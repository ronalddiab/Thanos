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913" activeTab="17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'13'!$A$1:$M$184</definedName>
    <definedName name="_xlnm.Print_Area" localSheetId="19">'14'!$A$1:$M$175</definedName>
    <definedName name="_xlnm.Print_Area" localSheetId="20">'15'!$A$1:$J$184</definedName>
    <definedName name="_xlnm.Print_Area" localSheetId="21">'16'!$A$1:$J$184</definedName>
    <definedName name="_xlnm.Print_Area" localSheetId="22">'17'!$A$1:$M$176</definedName>
    <definedName name="_xlnm.Print_Area" localSheetId="23">'18 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'21'!$A$1:$J$184</definedName>
    <definedName name="_xlnm.Print_Area" localSheetId="27">'22'!$A$1:$J$184</definedName>
    <definedName name="_xlnm.Print_Area" localSheetId="28">'23'!$A$1:$J$184</definedName>
    <definedName name="_xlnm.Print_Area" localSheetId="29">'24'!$A$1:$J$184</definedName>
    <definedName name="_xlnm.Print_Area" localSheetId="30">'25'!$A$1:$J$184</definedName>
    <definedName name="_xlnm.Print_Area" localSheetId="31">'26'!$A$1:$J$183</definedName>
    <definedName name="_xlnm.Print_Area" localSheetId="32">'27'!$A$1:$J$184</definedName>
    <definedName name="_xlnm.Print_Area" localSheetId="33">'28'!$A$1:$J$176</definedName>
    <definedName name="_xlnm.Print_Area" localSheetId="8">'3'!$A$1:$O$179</definedName>
    <definedName name="_xlnm.Print_Area" localSheetId="35">'30'!$A$1:$J$176</definedName>
    <definedName name="_xlnm.Print_Area" localSheetId="36">'31'!$A$1:$J$176</definedName>
    <definedName name="_xlnm.Print_Area" localSheetId="9">'4'!$A$1:$J$177</definedName>
    <definedName name="_xlnm.Print_Area" localSheetId="10">'5'!$A$1:$N$188</definedName>
    <definedName name="_xlnm.Print_Area" localSheetId="11">'6'!$A$1:$J$184</definedName>
    <definedName name="_xlnm.Print_Area" localSheetId="12">'7'!$A$1:$J$186</definedName>
    <definedName name="_xlnm.Print_Area" localSheetId="13">'8'!$A$1:$J$175</definedName>
    <definedName name="_xlnm.Print_Area" localSheetId="14">'9'!$A$1:$J$175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2" i="12"/>
  <c r="E173"/>
  <c r="E174"/>
  <c r="E175"/>
  <c r="E173" i="13"/>
  <c r="E174"/>
  <c r="E175"/>
  <c r="E162"/>
  <c r="E163"/>
  <c r="E164"/>
  <c r="E165"/>
  <c r="E166"/>
  <c r="E167"/>
  <c r="E168"/>
  <c r="E169"/>
  <c r="E170"/>
  <c r="E171"/>
  <c r="E172"/>
  <c r="E110" i="12"/>
  <c r="G110" i="11"/>
  <c r="O27" i="13"/>
  <c r="E36"/>
  <c r="E37"/>
  <c r="E38"/>
  <c r="E39"/>
  <c r="E40"/>
  <c r="E41"/>
  <c r="E42"/>
  <c r="E43"/>
  <c r="E44"/>
  <c r="E45"/>
  <c r="E46"/>
  <c r="G59"/>
  <c r="E8"/>
  <c r="E9"/>
  <c r="E10"/>
  <c r="E11"/>
  <c r="E12"/>
  <c r="E7"/>
  <c r="E63" i="12"/>
  <c r="E64"/>
  <c r="E65"/>
  <c r="E66"/>
  <c r="E67"/>
  <c r="E68"/>
  <c r="E69"/>
  <c r="E73"/>
  <c r="E74"/>
  <c r="E75"/>
  <c r="E76"/>
  <c r="E77"/>
  <c r="E78"/>
  <c r="E79"/>
  <c r="E80"/>
  <c r="E81"/>
  <c r="E83"/>
  <c r="E84"/>
  <c r="E2" i="48"/>
  <c r="AC36" i="44"/>
  <c r="AE36"/>
  <c r="AP36"/>
  <c r="AZ36"/>
  <c r="AC37"/>
  <c r="AE37"/>
  <c r="AP37"/>
  <c r="AZ37"/>
  <c r="F8" i="20"/>
  <c r="F8" i="22"/>
  <c r="F8" i="23"/>
  <c r="E49" i="9"/>
  <c r="G177" i="50"/>
  <c r="H177" s="1"/>
  <c r="J177" s="1"/>
  <c r="E176"/>
  <c r="G176" s="1"/>
  <c r="H176" s="1"/>
  <c r="J176" s="1"/>
  <c r="E175"/>
  <c r="G175" s="1"/>
  <c r="H175" s="1"/>
  <c r="J175" s="1"/>
  <c r="H174"/>
  <c r="J174" s="1"/>
  <c r="E172"/>
  <c r="G172" s="1"/>
  <c r="H172" s="1"/>
  <c r="J172" s="1"/>
  <c r="E171"/>
  <c r="G171" s="1"/>
  <c r="H171" s="1"/>
  <c r="J171" s="1"/>
  <c r="E170"/>
  <c r="G170" s="1"/>
  <c r="H169"/>
  <c r="E167"/>
  <c r="G167" s="1"/>
  <c r="H167" s="1"/>
  <c r="J167" s="1"/>
  <c r="E166"/>
  <c r="G166" s="1"/>
  <c r="H166" s="1"/>
  <c r="J166" s="1"/>
  <c r="E165"/>
  <c r="G165" s="1"/>
  <c r="E157"/>
  <c r="G157" s="1"/>
  <c r="H157" s="1"/>
  <c r="J157" s="1"/>
  <c r="E156"/>
  <c r="G156" s="1"/>
  <c r="H156" s="1"/>
  <c r="J156" s="1"/>
  <c r="E155"/>
  <c r="G155" s="1"/>
  <c r="H155" s="1"/>
  <c r="J155" s="1"/>
  <c r="E154"/>
  <c r="G154" s="1"/>
  <c r="H154" s="1"/>
  <c r="J154" s="1"/>
  <c r="E153"/>
  <c r="G153" s="1"/>
  <c r="H153" s="1"/>
  <c r="J153" s="1"/>
  <c r="H135"/>
  <c r="J135" s="1"/>
  <c r="H134"/>
  <c r="J134" s="1"/>
  <c r="H127"/>
  <c r="J127" s="1"/>
  <c r="E150"/>
  <c r="G150" s="1"/>
  <c r="H150" s="1"/>
  <c r="J150" s="1"/>
  <c r="E149"/>
  <c r="G149" s="1"/>
  <c r="H149" s="1"/>
  <c r="J149" s="1"/>
  <c r="E148"/>
  <c r="G148" s="1"/>
  <c r="H148" s="1"/>
  <c r="J148" s="1"/>
  <c r="E147"/>
  <c r="G147" s="1"/>
  <c r="H147" s="1"/>
  <c r="J147" s="1"/>
  <c r="E146"/>
  <c r="G146" s="1"/>
  <c r="H146" s="1"/>
  <c r="J146" s="1"/>
  <c r="E145"/>
  <c r="G145" s="1"/>
  <c r="H145" s="1"/>
  <c r="J145" s="1"/>
  <c r="E144"/>
  <c r="G144" s="1"/>
  <c r="H144" s="1"/>
  <c r="J144" s="1"/>
  <c r="E143"/>
  <c r="G143" s="1"/>
  <c r="H143" s="1"/>
  <c r="J143" s="1"/>
  <c r="E142"/>
  <c r="G142" s="1"/>
  <c r="H142" s="1"/>
  <c r="J142" s="1"/>
  <c r="E141"/>
  <c r="G141" s="1"/>
  <c r="H141" s="1"/>
  <c r="J141" s="1"/>
  <c r="E140"/>
  <c r="G140" s="1"/>
  <c r="H140" s="1"/>
  <c r="J140" s="1"/>
  <c r="E139"/>
  <c r="G139" s="1"/>
  <c r="H139" s="1"/>
  <c r="J139" s="1"/>
  <c r="E138"/>
  <c r="G138" s="1"/>
  <c r="H138" s="1"/>
  <c r="J138" s="1"/>
  <c r="E133"/>
  <c r="G133" s="1"/>
  <c r="H133" s="1"/>
  <c r="J133" s="1"/>
  <c r="E132"/>
  <c r="G132" s="1"/>
  <c r="H132" s="1"/>
  <c r="J132" s="1"/>
  <c r="E131"/>
  <c r="G131" s="1"/>
  <c r="H131" s="1"/>
  <c r="J131" s="1"/>
  <c r="E130"/>
  <c r="G130" s="1"/>
  <c r="H130" s="1"/>
  <c r="J130" s="1"/>
  <c r="E129"/>
  <c r="G129" s="1"/>
  <c r="H129" s="1"/>
  <c r="J129" s="1"/>
  <c r="E128"/>
  <c r="G128" s="1"/>
  <c r="H128" s="1"/>
  <c r="J128" s="1"/>
  <c r="G117"/>
  <c r="H117" s="1"/>
  <c r="J117" s="1"/>
  <c r="G115"/>
  <c r="H115" s="1"/>
  <c r="J115" s="1"/>
  <c r="G114"/>
  <c r="H114" s="1"/>
  <c r="J114" s="1"/>
  <c r="G113"/>
  <c r="H113" s="1"/>
  <c r="J113" s="1"/>
  <c r="G112"/>
  <c r="H112" s="1"/>
  <c r="J112" s="1"/>
  <c r="E92"/>
  <c r="G92" s="1"/>
  <c r="E91"/>
  <c r="G91" s="1"/>
  <c r="E90"/>
  <c r="G90" s="1"/>
  <c r="E89"/>
  <c r="G89" s="1"/>
  <c r="E88"/>
  <c r="G88" s="1"/>
  <c r="E87"/>
  <c r="G87" s="1"/>
  <c r="E86"/>
  <c r="G86" s="1"/>
  <c r="E85"/>
  <c r="G85" s="1"/>
  <c r="E84"/>
  <c r="G84" s="1"/>
  <c r="E83"/>
  <c r="G83" s="1"/>
  <c r="E82"/>
  <c r="G82" s="1"/>
  <c r="E78"/>
  <c r="G78" s="1"/>
  <c r="E77"/>
  <c r="G77" s="1"/>
  <c r="E76"/>
  <c r="G76" s="1"/>
  <c r="E75"/>
  <c r="G75" s="1"/>
  <c r="E74"/>
  <c r="G74" s="1"/>
  <c r="E70"/>
  <c r="G70" s="1"/>
  <c r="E69"/>
  <c r="G69" s="1"/>
  <c r="E68"/>
  <c r="G68" s="1"/>
  <c r="E67"/>
  <c r="G67" s="1"/>
  <c r="E66"/>
  <c r="G66" s="1"/>
  <c r="E65"/>
  <c r="G65" s="1"/>
  <c r="E63"/>
  <c r="G63" s="1"/>
  <c r="E62"/>
  <c r="G62" s="1"/>
  <c r="G122"/>
  <c r="H122" s="1"/>
  <c r="J122" s="1"/>
  <c r="G120"/>
  <c r="H120" s="1"/>
  <c r="J120" s="1"/>
  <c r="G118"/>
  <c r="H118" s="1"/>
  <c r="J118" s="1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G46"/>
  <c r="G45"/>
  <c r="G44"/>
  <c r="G43"/>
  <c r="G42"/>
  <c r="G41"/>
  <c r="G40"/>
  <c r="G39"/>
  <c r="G38"/>
  <c r="G37"/>
  <c r="G36"/>
  <c r="G35"/>
  <c r="E29"/>
  <c r="G29" s="1"/>
  <c r="E24"/>
  <c r="E23"/>
  <c r="E22"/>
  <c r="G22" s="1"/>
  <c r="E19"/>
  <c r="G19" s="1"/>
  <c r="I18"/>
  <c r="G18"/>
  <c r="E18"/>
  <c r="I15"/>
  <c r="G15"/>
  <c r="E10"/>
  <c r="G10" s="1"/>
  <c r="K9"/>
  <c r="G9"/>
  <c r="M8"/>
  <c r="I7"/>
  <c r="E7"/>
  <c r="G7" s="1"/>
  <c r="E161" i="16"/>
  <c r="G161" s="1"/>
  <c r="E162"/>
  <c r="G162" s="1"/>
  <c r="E163"/>
  <c r="G163" s="1"/>
  <c r="E164"/>
  <c r="G164" s="1"/>
  <c r="E165"/>
  <c r="G165" s="1"/>
  <c r="F165"/>
  <c r="F167"/>
  <c r="F168"/>
  <c r="F169"/>
  <c r="F170"/>
  <c r="F171"/>
  <c r="F172"/>
  <c r="E184" i="12"/>
  <c r="G184" s="1"/>
  <c r="E183"/>
  <c r="E182"/>
  <c r="G182" s="1"/>
  <c r="E181"/>
  <c r="G181" s="1"/>
  <c r="E180"/>
  <c r="G180" s="1"/>
  <c r="E179"/>
  <c r="G179" s="1"/>
  <c r="E178"/>
  <c r="G178" s="1"/>
  <c r="E184" i="13"/>
  <c r="G184" s="1"/>
  <c r="E183"/>
  <c r="G183" s="1"/>
  <c r="E182"/>
  <c r="G182" s="1"/>
  <c r="E181"/>
  <c r="G181" s="1"/>
  <c r="E180"/>
  <c r="G180" s="1"/>
  <c r="E179"/>
  <c r="G179" s="1"/>
  <c r="E178"/>
  <c r="G178" s="1"/>
  <c r="E184" i="14"/>
  <c r="G184" s="1"/>
  <c r="E183"/>
  <c r="G183" s="1"/>
  <c r="E182"/>
  <c r="G182" s="1"/>
  <c r="E181"/>
  <c r="E180"/>
  <c r="G180" s="1"/>
  <c r="E179"/>
  <c r="G179" s="1"/>
  <c r="E178"/>
  <c r="G178" s="1"/>
  <c r="E184" i="15"/>
  <c r="G184" s="1"/>
  <c r="E183"/>
  <c r="G183" s="1"/>
  <c r="E182"/>
  <c r="G182" s="1"/>
  <c r="E181"/>
  <c r="G181" s="1"/>
  <c r="E180"/>
  <c r="G180" s="1"/>
  <c r="E179"/>
  <c r="G179" s="1"/>
  <c r="E178"/>
  <c r="E184" i="16"/>
  <c r="G184" s="1"/>
  <c r="E183"/>
  <c r="G183" s="1"/>
  <c r="E182"/>
  <c r="G182" s="1"/>
  <c r="E181"/>
  <c r="G181" s="1"/>
  <c r="E180"/>
  <c r="G180" s="1"/>
  <c r="E179"/>
  <c r="G179" s="1"/>
  <c r="E178"/>
  <c r="G178" s="1"/>
  <c r="E184" i="17"/>
  <c r="G184" s="1"/>
  <c r="E183"/>
  <c r="G183" s="1"/>
  <c r="E182"/>
  <c r="G182" s="1"/>
  <c r="E181"/>
  <c r="G181" s="1"/>
  <c r="E180"/>
  <c r="G180" s="1"/>
  <c r="E179"/>
  <c r="G179" s="1"/>
  <c r="E178"/>
  <c r="G178" s="1"/>
  <c r="E184" i="18"/>
  <c r="G184" s="1"/>
  <c r="E183"/>
  <c r="G183" s="1"/>
  <c r="E182"/>
  <c r="G182" s="1"/>
  <c r="E181"/>
  <c r="G181" s="1"/>
  <c r="E180"/>
  <c r="G180" s="1"/>
  <c r="E179"/>
  <c r="G179" s="1"/>
  <c r="E178"/>
  <c r="G178" s="1"/>
  <c r="E184" i="19"/>
  <c r="G184" s="1"/>
  <c r="E183"/>
  <c r="G183" s="1"/>
  <c r="E182"/>
  <c r="E181"/>
  <c r="G181" s="1"/>
  <c r="E180"/>
  <c r="G180" s="1"/>
  <c r="E179"/>
  <c r="G179" s="1"/>
  <c r="E178"/>
  <c r="G178" s="1"/>
  <c r="E184" i="20"/>
  <c r="G184" s="1"/>
  <c r="E183"/>
  <c r="G183" s="1"/>
  <c r="E182"/>
  <c r="G182" s="1"/>
  <c r="E181"/>
  <c r="G181" s="1"/>
  <c r="E180"/>
  <c r="G180" s="1"/>
  <c r="E179"/>
  <c r="G179" s="1"/>
  <c r="E178"/>
  <c r="G178" s="1"/>
  <c r="E184" i="21"/>
  <c r="G184" s="1"/>
  <c r="E183"/>
  <c r="G183" s="1"/>
  <c r="E182"/>
  <c r="G182" s="1"/>
  <c r="E181"/>
  <c r="G181" s="1"/>
  <c r="E180"/>
  <c r="G180" s="1"/>
  <c r="E179"/>
  <c r="G179" s="1"/>
  <c r="E178"/>
  <c r="G178" s="1"/>
  <c r="E184" i="22"/>
  <c r="G184" s="1"/>
  <c r="E183"/>
  <c r="G183" s="1"/>
  <c r="E182"/>
  <c r="E181"/>
  <c r="G181" s="1"/>
  <c r="E180"/>
  <c r="G180" s="1"/>
  <c r="E179"/>
  <c r="G179" s="1"/>
  <c r="E178"/>
  <c r="E184" i="23"/>
  <c r="G184" s="1"/>
  <c r="E183"/>
  <c r="G183" s="1"/>
  <c r="E182"/>
  <c r="G182" s="1"/>
  <c r="E181"/>
  <c r="G181" s="1"/>
  <c r="E180"/>
  <c r="G180" s="1"/>
  <c r="E179"/>
  <c r="E178"/>
  <c r="E184" i="24"/>
  <c r="E183"/>
  <c r="G183" s="1"/>
  <c r="E182"/>
  <c r="G182" s="1"/>
  <c r="E181"/>
  <c r="G181" s="1"/>
  <c r="E180"/>
  <c r="G180" s="1"/>
  <c r="E179"/>
  <c r="E178"/>
  <c r="G178" s="1"/>
  <c r="E184" i="25"/>
  <c r="G184" s="1"/>
  <c r="E183"/>
  <c r="G183" s="1"/>
  <c r="E182"/>
  <c r="G182" s="1"/>
  <c r="E181"/>
  <c r="G181" s="1"/>
  <c r="E180"/>
  <c r="G180" s="1"/>
  <c r="E179"/>
  <c r="G179" s="1"/>
  <c r="E178"/>
  <c r="G178" s="1"/>
  <c r="E184" i="40"/>
  <c r="G184" s="1"/>
  <c r="E183"/>
  <c r="G183" s="1"/>
  <c r="E182"/>
  <c r="G182" s="1"/>
  <c r="E181"/>
  <c r="G181" s="1"/>
  <c r="E180"/>
  <c r="G180" s="1"/>
  <c r="E179"/>
  <c r="G179" s="1"/>
  <c r="E178"/>
  <c r="E184" i="27"/>
  <c r="E183"/>
  <c r="G183" s="1"/>
  <c r="E182"/>
  <c r="E181"/>
  <c r="G181" s="1"/>
  <c r="E180"/>
  <c r="G180" s="1"/>
  <c r="E179"/>
  <c r="E178"/>
  <c r="G178" s="1"/>
  <c r="E184" i="28"/>
  <c r="G184" s="1"/>
  <c r="E183"/>
  <c r="E182"/>
  <c r="E181"/>
  <c r="E180"/>
  <c r="G180" s="1"/>
  <c r="E179"/>
  <c r="G179" s="1"/>
  <c r="E178"/>
  <c r="G178" s="1"/>
  <c r="E184" i="29"/>
  <c r="G184" s="1"/>
  <c r="E183"/>
  <c r="G183" s="1"/>
  <c r="E182"/>
  <c r="E181"/>
  <c r="G181" s="1"/>
  <c r="E180"/>
  <c r="G180" s="1"/>
  <c r="E179"/>
  <c r="G179" s="1"/>
  <c r="E178"/>
  <c r="G178" s="1"/>
  <c r="E184" i="30"/>
  <c r="E183"/>
  <c r="G183" s="1"/>
  <c r="E182"/>
  <c r="E181"/>
  <c r="G181" s="1"/>
  <c r="E180"/>
  <c r="G180" s="1"/>
  <c r="E179"/>
  <c r="G179" s="1"/>
  <c r="E178"/>
  <c r="G178" s="1"/>
  <c r="E184" i="43"/>
  <c r="G184" s="1"/>
  <c r="E183"/>
  <c r="G183" s="1"/>
  <c r="E182"/>
  <c r="G182" s="1"/>
  <c r="E181"/>
  <c r="G181" s="1"/>
  <c r="E180"/>
  <c r="G180" s="1"/>
  <c r="E179"/>
  <c r="G179" s="1"/>
  <c r="E178"/>
  <c r="E184" i="31"/>
  <c r="G184" s="1"/>
  <c r="E183"/>
  <c r="G183" s="1"/>
  <c r="E182"/>
  <c r="G182" s="1"/>
  <c r="E181"/>
  <c r="G181" s="1"/>
  <c r="E180"/>
  <c r="G180" s="1"/>
  <c r="E179"/>
  <c r="G179" s="1"/>
  <c r="E178"/>
  <c r="G178" s="1"/>
  <c r="G178" i="43"/>
  <c r="G184" i="30"/>
  <c r="G182"/>
  <c r="G182" i="29"/>
  <c r="G183" i="28"/>
  <c r="G182"/>
  <c r="G181"/>
  <c r="G184" i="27"/>
  <c r="G182"/>
  <c r="G179"/>
  <c r="G178" i="40"/>
  <c r="G184" i="24"/>
  <c r="G179"/>
  <c r="G179" i="23"/>
  <c r="G178"/>
  <c r="G182" i="22"/>
  <c r="G178"/>
  <c r="G182" i="19"/>
  <c r="E176"/>
  <c r="G176" s="1"/>
  <c r="E175"/>
  <c r="G175" s="1"/>
  <c r="E174"/>
  <c r="G174" s="1"/>
  <c r="E176" i="17"/>
  <c r="G176" s="1"/>
  <c r="E175"/>
  <c r="G175" s="1"/>
  <c r="E174"/>
  <c r="G174" s="1"/>
  <c r="G175" i="16"/>
  <c r="G174"/>
  <c r="G173"/>
  <c r="G178" i="15"/>
  <c r="G181" i="14"/>
  <c r="G183" i="12"/>
  <c r="E184" i="11"/>
  <c r="G184" s="1"/>
  <c r="E183"/>
  <c r="G183" s="1"/>
  <c r="E182"/>
  <c r="G182" s="1"/>
  <c r="G181"/>
  <c r="E180"/>
  <c r="G180" s="1"/>
  <c r="E179"/>
  <c r="G179" s="1"/>
  <c r="E178"/>
  <c r="G178" s="1"/>
  <c r="G184" i="10"/>
  <c r="G183"/>
  <c r="G182"/>
  <c r="G181"/>
  <c r="G180"/>
  <c r="G179"/>
  <c r="E178"/>
  <c r="G178" s="1"/>
  <c r="E184" i="9"/>
  <c r="G184" s="1"/>
  <c r="E183"/>
  <c r="G183" s="1"/>
  <c r="E182"/>
  <c r="G182" s="1"/>
  <c r="E181"/>
  <c r="G181" s="1"/>
  <c r="E180"/>
  <c r="G180" s="1"/>
  <c r="E179"/>
  <c r="E178"/>
  <c r="G178" s="1"/>
  <c r="E184" i="8"/>
  <c r="G184" s="1"/>
  <c r="E183"/>
  <c r="E182"/>
  <c r="G182" s="1"/>
  <c r="E181"/>
  <c r="G181" s="1"/>
  <c r="E180"/>
  <c r="G180" s="1"/>
  <c r="E179"/>
  <c r="G179" s="1"/>
  <c r="G179" i="9"/>
  <c r="G183" i="8"/>
  <c r="E184" i="7"/>
  <c r="G184" s="1"/>
  <c r="E183"/>
  <c r="G183" s="1"/>
  <c r="E181"/>
  <c r="G181" s="1"/>
  <c r="E180"/>
  <c r="G180" s="1"/>
  <c r="E179"/>
  <c r="G179" s="1"/>
  <c r="E178"/>
  <c r="G178" s="1"/>
  <c r="G182"/>
  <c r="G184" i="33"/>
  <c r="G183"/>
  <c r="G182"/>
  <c r="G181"/>
  <c r="G180"/>
  <c r="G179"/>
  <c r="G178"/>
  <c r="E163" i="5"/>
  <c r="E74" i="3"/>
  <c r="E74" i="4"/>
  <c r="G18"/>
  <c r="E18"/>
  <c r="E7" i="3"/>
  <c r="F167" i="2"/>
  <c r="F168"/>
  <c r="F169"/>
  <c r="F170"/>
  <c r="F171"/>
  <c r="F172"/>
  <c r="F165"/>
  <c r="E172"/>
  <c r="E171"/>
  <c r="E170"/>
  <c r="E169"/>
  <c r="E168"/>
  <c r="E167"/>
  <c r="E165"/>
  <c r="G176" i="31"/>
  <c r="G175"/>
  <c r="G174"/>
  <c r="G104" i="50" l="1"/>
  <c r="G20"/>
  <c r="G180"/>
  <c r="H180" s="1"/>
  <c r="J180" s="1"/>
  <c r="G179"/>
  <c r="H179" s="1"/>
  <c r="J179" s="1"/>
  <c r="H165"/>
  <c r="J165" s="1"/>
  <c r="G168"/>
  <c r="H168" s="1"/>
  <c r="J168" s="1"/>
  <c r="H170"/>
  <c r="J170" s="1"/>
  <c r="G173"/>
  <c r="G178"/>
  <c r="H178" s="1"/>
  <c r="J178" s="1"/>
  <c r="G94"/>
  <c r="G95" s="1"/>
  <c r="I85"/>
  <c r="G98"/>
  <c r="G99" s="1"/>
  <c r="G79"/>
  <c r="H79" s="1"/>
  <c r="G96"/>
  <c r="E31"/>
  <c r="G31" s="1"/>
  <c r="G102"/>
  <c r="G103" s="1"/>
  <c r="G100"/>
  <c r="G101" s="1"/>
  <c r="G116"/>
  <c r="H116" s="1"/>
  <c r="J116" s="1"/>
  <c r="E30"/>
  <c r="G30" s="1"/>
  <c r="G71"/>
  <c r="G121"/>
  <c r="H121" s="1"/>
  <c r="J121" s="1"/>
  <c r="G105"/>
  <c r="I88"/>
  <c r="G119"/>
  <c r="H119" s="1"/>
  <c r="J119" s="1"/>
  <c r="G123"/>
  <c r="H123" s="1"/>
  <c r="J123" s="1"/>
  <c r="G59"/>
  <c r="G64"/>
  <c r="E28"/>
  <c r="G28" s="1"/>
  <c r="I90"/>
  <c r="G47"/>
  <c r="G39" i="31"/>
  <c r="G40"/>
  <c r="G41"/>
  <c r="G42"/>
  <c r="G43"/>
  <c r="G44"/>
  <c r="G45"/>
  <c r="G46"/>
  <c r="E38" i="43"/>
  <c r="E39"/>
  <c r="E162"/>
  <c r="E163"/>
  <c r="E164"/>
  <c r="E40"/>
  <c r="E41"/>
  <c r="E42"/>
  <c r="E43"/>
  <c r="E44"/>
  <c r="E45"/>
  <c r="E46"/>
  <c r="G80" i="50" l="1"/>
  <c r="G97"/>
  <c r="G181"/>
  <c r="H181" s="1"/>
  <c r="J181" s="1"/>
  <c r="H173"/>
  <c r="J173" s="1"/>
  <c r="G60"/>
  <c r="G174" i="28"/>
  <c r="J26" i="48"/>
  <c r="J25"/>
  <c r="B26"/>
  <c r="E132" i="40"/>
  <c r="E133"/>
  <c r="E134"/>
  <c r="E135"/>
  <c r="E136"/>
  <c r="E137"/>
  <c r="E138"/>
  <c r="E139"/>
  <c r="E140"/>
  <c r="E141"/>
  <c r="E175" i="24"/>
  <c r="E176"/>
  <c r="E105" i="21"/>
  <c r="E10"/>
  <c r="E175" i="20"/>
  <c r="E176"/>
  <c r="E174"/>
  <c r="F8" i="19"/>
  <c r="F7"/>
  <c r="E36" i="18"/>
  <c r="O14" i="19"/>
  <c r="E105" i="18"/>
  <c r="E7" i="15"/>
  <c r="G176" i="14"/>
  <c r="G175"/>
  <c r="G174"/>
  <c r="E36" i="12"/>
  <c r="E37"/>
  <c r="E38"/>
  <c r="E39"/>
  <c r="E40"/>
  <c r="E41"/>
  <c r="E42"/>
  <c r="E43"/>
  <c r="E44"/>
  <c r="E45"/>
  <c r="E46"/>
  <c r="E36" i="11"/>
  <c r="E37"/>
  <c r="E38"/>
  <c r="E39"/>
  <c r="E40"/>
  <c r="E41"/>
  <c r="E42"/>
  <c r="E43"/>
  <c r="E44"/>
  <c r="E45"/>
  <c r="E63" i="10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I59" i="50" l="1"/>
  <c r="E4" i="45"/>
  <c r="F4"/>
  <c r="H4"/>
  <c r="E8" i="9"/>
  <c r="E9"/>
  <c r="E10"/>
  <c r="E11"/>
  <c r="E12"/>
  <c r="F166" i="7"/>
  <c r="F167"/>
  <c r="F168"/>
  <c r="F169"/>
  <c r="F170"/>
  <c r="F171"/>
  <c r="F172"/>
  <c r="F165"/>
  <c r="E105" i="33"/>
  <c r="E8"/>
  <c r="E7"/>
  <c r="E174" i="5"/>
  <c r="E175"/>
  <c r="E173"/>
  <c r="E175" i="4"/>
  <c r="E176"/>
  <c r="E174"/>
  <c r="E175" i="3"/>
  <c r="E176"/>
  <c r="E174"/>
  <c r="E166"/>
  <c r="E42"/>
  <c r="E24"/>
  <c r="E18"/>
  <c r="G13" i="2" l="1"/>
  <c r="E132" i="27" l="1"/>
  <c r="G132" s="1"/>
  <c r="E133"/>
  <c r="G133" s="1"/>
  <c r="E134"/>
  <c r="G134" s="1"/>
  <c r="E135"/>
  <c r="G135" s="1"/>
  <c r="E136"/>
  <c r="G136" s="1"/>
  <c r="E137"/>
  <c r="G137" s="1"/>
  <c r="E138"/>
  <c r="G138" s="1"/>
  <c r="E139"/>
  <c r="G139" s="1"/>
  <c r="E140"/>
  <c r="G140" s="1"/>
  <c r="E141"/>
  <c r="G141" s="1"/>
  <c r="G176" i="28"/>
  <c r="G175"/>
  <c r="E162" i="40"/>
  <c r="E163"/>
  <c r="E164"/>
  <c r="E173"/>
  <c r="E174"/>
  <c r="G174" s="1"/>
  <c r="E175"/>
  <c r="G175" s="1"/>
  <c r="E176"/>
  <c r="G176" s="1"/>
  <c r="E162" i="25"/>
  <c r="E163"/>
  <c r="E164"/>
  <c r="E36"/>
  <c r="E37"/>
  <c r="E38"/>
  <c r="E39"/>
  <c r="E40"/>
  <c r="E41"/>
  <c r="E42"/>
  <c r="E43"/>
  <c r="E44"/>
  <c r="E45"/>
  <c r="E46"/>
  <c r="E175" i="21"/>
  <c r="E176"/>
  <c r="E174"/>
  <c r="B20" i="48"/>
  <c r="E132" i="20"/>
  <c r="E133"/>
  <c r="E134"/>
  <c r="E135"/>
  <c r="E136"/>
  <c r="E137"/>
  <c r="E138"/>
  <c r="E139"/>
  <c r="E140"/>
  <c r="E14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N48" i="19"/>
  <c r="E107"/>
  <c r="G107" s="1"/>
  <c r="E175" i="18"/>
  <c r="G175" s="1"/>
  <c r="E176"/>
  <c r="G176" s="1"/>
  <c r="E174"/>
  <c r="G174" s="1"/>
  <c r="E93" i="17"/>
  <c r="E96"/>
  <c r="E97"/>
  <c r="E106" i="15"/>
  <c r="G175"/>
  <c r="G174"/>
  <c r="G173"/>
  <c r="E41"/>
  <c r="E79" i="13"/>
  <c r="E76"/>
  <c r="E75"/>
  <c r="E73"/>
  <c r="E84"/>
  <c r="E72" i="12"/>
  <c r="G174" i="13"/>
  <c r="G175"/>
  <c r="G173"/>
  <c r="G174" i="12"/>
  <c r="E105"/>
  <c r="G175" i="11"/>
  <c r="G174"/>
  <c r="G173"/>
  <c r="G175" i="10"/>
  <c r="G174"/>
  <c r="G173"/>
  <c r="E82" i="4"/>
  <c r="E73" i="3"/>
  <c r="G73" s="1"/>
  <c r="E83"/>
  <c r="E174" i="9"/>
  <c r="G174" s="1"/>
  <c r="E133" i="33"/>
  <c r="E133" i="7"/>
  <c r="E133" i="9"/>
  <c r="E115"/>
  <c r="E175" i="8"/>
  <c r="E174"/>
  <c r="G174" s="1"/>
  <c r="E173"/>
  <c r="E175" i="7"/>
  <c r="G175" s="1"/>
  <c r="E174"/>
  <c r="G174" s="1"/>
  <c r="E173"/>
  <c r="G173" s="1"/>
  <c r="E112" i="33"/>
  <c r="E174"/>
  <c r="G174" s="1"/>
  <c r="E175"/>
  <c r="G175" s="1"/>
  <c r="E173"/>
  <c r="G173" s="1"/>
  <c r="E9"/>
  <c r="G175" i="5" l="1"/>
  <c r="G174"/>
  <c r="G173"/>
  <c r="G176" i="4"/>
  <c r="G175"/>
  <c r="G174"/>
  <c r="F168"/>
  <c r="G174" i="3"/>
  <c r="G175"/>
  <c r="G176"/>
  <c r="E140"/>
  <c r="G9" i="2"/>
  <c r="G7" l="1"/>
  <c r="G23"/>
  <c r="G18"/>
  <c r="E31" s="1"/>
  <c r="G133"/>
  <c r="H133" s="1"/>
  <c r="J133" s="1"/>
  <c r="G134"/>
  <c r="H134" s="1"/>
  <c r="J134" s="1"/>
  <c r="G135"/>
  <c r="H135" s="1"/>
  <c r="J135" s="1"/>
  <c r="G174"/>
  <c r="G176"/>
  <c r="G175"/>
  <c r="G176" i="43" l="1"/>
  <c r="G175"/>
  <c r="G174"/>
  <c r="C33" i="48" l="1"/>
  <c r="D33"/>
  <c r="F33"/>
  <c r="G176" i="30"/>
  <c r="G175"/>
  <c r="G174"/>
  <c r="G176" i="29"/>
  <c r="G175"/>
  <c r="G174"/>
  <c r="B3" i="48"/>
  <c r="B4"/>
  <c r="B5"/>
  <c r="B6"/>
  <c r="B7"/>
  <c r="B8"/>
  <c r="B9"/>
  <c r="B10"/>
  <c r="B11"/>
  <c r="B12"/>
  <c r="B13"/>
  <c r="B14"/>
  <c r="B15"/>
  <c r="B16"/>
  <c r="B17"/>
  <c r="B18"/>
  <c r="B19"/>
  <c r="B21"/>
  <c r="B25"/>
  <c r="B27"/>
  <c r="B28"/>
  <c r="B29"/>
  <c r="B30"/>
  <c r="B31"/>
  <c r="B32"/>
  <c r="B2"/>
  <c r="D4" i="45" s="1"/>
  <c r="E111" i="28"/>
  <c r="E112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F50" s="1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G176"/>
  <c r="G175"/>
  <c r="G174"/>
  <c r="G2" i="48"/>
  <c r="I4" i="45" s="1"/>
  <c r="J20" i="48"/>
  <c r="K2"/>
  <c r="G4" i="45"/>
  <c r="B33" i="48" l="1"/>
  <c r="G176" i="25"/>
  <c r="G175"/>
  <c r="G174"/>
  <c r="E73"/>
  <c r="E74"/>
  <c r="E75"/>
  <c r="E76"/>
  <c r="E77"/>
  <c r="E78"/>
  <c r="E79"/>
  <c r="E80"/>
  <c r="E81"/>
  <c r="E82"/>
  <c r="E83"/>
  <c r="E84"/>
  <c r="E11" i="24"/>
  <c r="E12"/>
  <c r="G175"/>
  <c r="G176"/>
  <c r="E174"/>
  <c r="G174" s="1"/>
  <c r="E175" i="23"/>
  <c r="G175" s="1"/>
  <c r="E176"/>
  <c r="G176" s="1"/>
  <c r="E174"/>
  <c r="G174" s="1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93" i="20"/>
  <c r="E36" i="21"/>
  <c r="E37"/>
  <c r="E38"/>
  <c r="E39"/>
  <c r="E40"/>
  <c r="E41"/>
  <c r="E42"/>
  <c r="E43"/>
  <c r="E44"/>
  <c r="E45"/>
  <c r="E46"/>
  <c r="E83"/>
  <c r="E84"/>
  <c r="E35"/>
  <c r="E24"/>
  <c r="E11"/>
  <c r="E12"/>
  <c r="E133" i="19"/>
  <c r="G133" s="1"/>
  <c r="F168" i="18"/>
  <c r="E87"/>
  <c r="E97"/>
  <c r="E93"/>
  <c r="E50" i="17"/>
  <c r="E50" i="13" l="1"/>
  <c r="E51"/>
  <c r="E52"/>
  <c r="E53"/>
  <c r="E54"/>
  <c r="E55"/>
  <c r="E56"/>
  <c r="E57"/>
  <c r="E58"/>
  <c r="G58" s="1"/>
  <c r="E162" i="12" l="1"/>
  <c r="G162" s="1"/>
  <c r="E163"/>
  <c r="G163" s="1"/>
  <c r="E164"/>
  <c r="G164" s="1"/>
  <c r="G173"/>
  <c r="G175"/>
  <c r="E97"/>
  <c r="E98"/>
  <c r="E99"/>
  <c r="E100"/>
  <c r="E101"/>
  <c r="E94"/>
  <c r="E87"/>
  <c r="E88"/>
  <c r="E89"/>
  <c r="E90"/>
  <c r="E91"/>
  <c r="E50"/>
  <c r="E51"/>
  <c r="E52"/>
  <c r="E53"/>
  <c r="E54"/>
  <c r="E55"/>
  <c r="E56"/>
  <c r="E57"/>
  <c r="E58"/>
  <c r="E9"/>
  <c r="E10"/>
  <c r="E11"/>
  <c r="E12"/>
  <c r="E132" i="11"/>
  <c r="E133"/>
  <c r="E134"/>
  <c r="E135"/>
  <c r="E136"/>
  <c r="E137"/>
  <c r="E138"/>
  <c r="E139"/>
  <c r="E140"/>
  <c r="E141"/>
  <c r="E62" i="9" l="1"/>
  <c r="E54"/>
  <c r="E55"/>
  <c r="E56"/>
  <c r="E57"/>
  <c r="E58"/>
  <c r="E173"/>
  <c r="G173" s="1"/>
  <c r="E175"/>
  <c r="G175" s="1"/>
  <c r="G173" i="8"/>
  <c r="G175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5"/>
  <c r="E116"/>
  <c r="E117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J4" i="45" s="1"/>
  <c r="H33" i="48" l="1"/>
  <c r="G167" i="5"/>
  <c r="F167" i="3"/>
  <c r="E167" i="4" s="1"/>
  <c r="F168" i="3"/>
  <c r="E168" i="4" s="1"/>
  <c r="F169" i="3"/>
  <c r="E169" i="4" s="1"/>
  <c r="F170" i="3"/>
  <c r="E170" i="4" s="1"/>
  <c r="F171" i="3"/>
  <c r="E171" i="4" s="1"/>
  <c r="F172" i="3"/>
  <c r="E172" i="4" s="1"/>
  <c r="G163" i="2"/>
  <c r="E56" i="3"/>
  <c r="E10" i="43" l="1"/>
  <c r="E11"/>
  <c r="E12"/>
  <c r="E98" i="27"/>
  <c r="E34" i="1"/>
  <c r="F34"/>
  <c r="T34"/>
  <c r="V34" s="1"/>
  <c r="AM34"/>
  <c r="F168" i="40"/>
  <c r="F169"/>
  <c r="F170"/>
  <c r="F171"/>
  <c r="F172"/>
  <c r="E24" i="25"/>
  <c r="E17" i="48" l="1"/>
  <c r="E162" i="19"/>
  <c r="E163"/>
  <c r="E164"/>
  <c r="E168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G78" s="1"/>
  <c r="E79"/>
  <c r="E80"/>
  <c r="E81"/>
  <c r="E82"/>
  <c r="E83"/>
  <c r="E87" i="17"/>
  <c r="G87" s="1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162" i="10"/>
  <c r="E163"/>
  <c r="E164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E73"/>
  <c r="E74"/>
  <c r="E75"/>
  <c r="E76"/>
  <c r="E77"/>
  <c r="E78"/>
  <c r="E79"/>
  <c r="E80"/>
  <c r="E81"/>
  <c r="E82"/>
  <c r="E83"/>
  <c r="E10"/>
  <c r="E11"/>
  <c r="E12"/>
  <c r="E91" i="9"/>
  <c r="G91" s="1"/>
  <c r="H91" s="1"/>
  <c r="E134" i="7"/>
  <c r="N133" i="9"/>
  <c r="H91" i="10" l="1"/>
  <c r="J91" s="1"/>
  <c r="E87" i="4"/>
  <c r="E88"/>
  <c r="E89"/>
  <c r="E90"/>
  <c r="E91"/>
  <c r="G91" s="1"/>
  <c r="E162"/>
  <c r="E163"/>
  <c r="E164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J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H91" s="1"/>
  <c r="K32" i="47"/>
  <c r="L32"/>
  <c r="E31" i="48"/>
  <c r="G31"/>
  <c r="E132" i="43"/>
  <c r="E133"/>
  <c r="E134"/>
  <c r="E135"/>
  <c r="E136"/>
  <c r="E137"/>
  <c r="E138"/>
  <c r="E139"/>
  <c r="E140"/>
  <c r="E141"/>
  <c r="H91" l="1"/>
  <c r="J91" s="1"/>
  <c r="H91" i="8"/>
  <c r="J91" s="1"/>
  <c r="H91" i="22"/>
  <c r="J91" s="1"/>
  <c r="E10" i="40"/>
  <c r="E135" i="25"/>
  <c r="E134"/>
  <c r="G174" i="21"/>
  <c r="G174" i="20"/>
  <c r="E46" i="11"/>
  <c r="E105"/>
  <c r="G105" s="1"/>
  <c r="E93" i="9"/>
  <c r="E83"/>
  <c r="H91" i="23" l="1"/>
  <c r="H91" i="24" s="1"/>
  <c r="J91" s="1"/>
  <c r="H91" i="31"/>
  <c r="J91" s="1"/>
  <c r="E77" i="7"/>
  <c r="E11"/>
  <c r="E12"/>
  <c r="E12" i="3"/>
  <c r="E11"/>
  <c r="E23"/>
  <c r="E22"/>
  <c r="E162" i="5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G93" s="1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1"/>
  <c r="E42"/>
  <c r="E43"/>
  <c r="E44"/>
  <c r="E45"/>
  <c r="E46"/>
  <c r="E35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1"/>
  <c r="E80"/>
  <c r="E79"/>
  <c r="E78"/>
  <c r="E77"/>
  <c r="E76"/>
  <c r="E75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5"/>
  <c r="E76"/>
  <c r="E77"/>
  <c r="E78"/>
  <c r="E79"/>
  <c r="E80"/>
  <c r="E81"/>
  <c r="E82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9" i="3"/>
  <c r="E9" i="4" s="1"/>
  <c r="E9" i="5" s="1"/>
  <c r="E10" i="3"/>
  <c r="E8"/>
  <c r="E8" i="4" s="1"/>
  <c r="E8" i="5" s="1"/>
  <c r="E7" i="4"/>
  <c r="G8" i="5" l="1"/>
  <c r="I23"/>
  <c r="G19" i="4"/>
  <c r="E19" i="5"/>
  <c r="E15"/>
  <c r="E7"/>
  <c r="G7" s="1"/>
  <c r="J91" i="23"/>
  <c r="E12" i="11"/>
  <c r="E11"/>
  <c r="E29" i="5"/>
  <c r="F33" i="1"/>
  <c r="E33"/>
  <c r="D33"/>
  <c r="T33"/>
  <c r="V33" s="1"/>
  <c r="I22" i="5" l="1"/>
  <c r="N41" i="31"/>
  <c r="O135" i="29" l="1"/>
  <c r="E133"/>
  <c r="F24"/>
  <c r="F24" i="28"/>
  <c r="E24" i="29" s="1"/>
  <c r="E85" i="27"/>
  <c r="E95" i="40"/>
  <c r="E24" i="27"/>
  <c r="O16" i="40"/>
  <c r="O17" s="1"/>
  <c r="O32"/>
  <c r="O33" s="1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 i="10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G112"/>
  <c r="G111"/>
  <c r="G110"/>
  <c r="G107"/>
  <c r="G106"/>
  <c r="G105"/>
  <c r="G101"/>
  <c r="G100"/>
  <c r="G99"/>
  <c r="G98"/>
  <c r="G97"/>
  <c r="G96"/>
  <c r="G94"/>
  <c r="G90"/>
  <c r="G89"/>
  <c r="G88"/>
  <c r="G87"/>
  <c r="G86"/>
  <c r="G84"/>
  <c r="G83"/>
  <c r="G82"/>
  <c r="G81"/>
  <c r="G80"/>
  <c r="G79"/>
  <c r="G78"/>
  <c r="G77"/>
  <c r="G76"/>
  <c r="G75"/>
  <c r="Q8" i="44" s="1"/>
  <c r="G74" i="5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I7" i="1"/>
  <c r="K7" s="1"/>
  <c r="I7" i="5"/>
  <c r="H7" i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I18"/>
  <c r="G15"/>
  <c r="G12"/>
  <c r="G11"/>
  <c r="G10"/>
  <c r="G9"/>
  <c r="G8"/>
  <c r="I6" i="1" s="1"/>
  <c r="K6" s="1"/>
  <c r="I7" i="4"/>
  <c r="G7"/>
  <c r="H6" i="1" s="1"/>
  <c r="E166" i="4"/>
  <c r="G166" s="1"/>
  <c r="F165" i="3"/>
  <c r="E165" i="4" s="1"/>
  <c r="G164" i="3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K5" s="1"/>
  <c r="I7" i="3"/>
  <c r="G7"/>
  <c r="H5" i="1" s="1"/>
  <c r="E171" i="3"/>
  <c r="E170"/>
  <c r="E169"/>
  <c r="G165" i="2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G112"/>
  <c r="H112" s="1"/>
  <c r="J112" s="1"/>
  <c r="G111"/>
  <c r="G110"/>
  <c r="J107" s="1"/>
  <c r="H109"/>
  <c r="H109" i="3" s="1"/>
  <c r="H109" i="4" s="1"/>
  <c r="H109" i="5" s="1"/>
  <c r="G107" i="2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H23"/>
  <c r="G22"/>
  <c r="G19"/>
  <c r="G15"/>
  <c r="G12"/>
  <c r="H12" s="1"/>
  <c r="J12" s="1"/>
  <c r="G11"/>
  <c r="H11" s="1"/>
  <c r="J11" s="1"/>
  <c r="G10"/>
  <c r="H10" s="1"/>
  <c r="J10" s="1"/>
  <c r="G8"/>
  <c r="H4" i="1"/>
  <c r="G31" i="2" l="1"/>
  <c r="H31" s="1"/>
  <c r="J31" s="1"/>
  <c r="E30"/>
  <c r="G30" s="1"/>
  <c r="H30" s="1"/>
  <c r="J30" s="1"/>
  <c r="H22"/>
  <c r="J22" s="1"/>
  <c r="G24"/>
  <c r="E29" s="1"/>
  <c r="J114"/>
  <c r="H114" i="3"/>
  <c r="G47" i="4"/>
  <c r="G129" i="5"/>
  <c r="D5" i="44"/>
  <c r="E28" i="2"/>
  <c r="G47" i="5"/>
  <c r="I4" i="1"/>
  <c r="K4" s="1"/>
  <c r="E27" i="2"/>
  <c r="G27" s="1"/>
  <c r="H27" s="1"/>
  <c r="J27" s="1"/>
  <c r="G167" i="4"/>
  <c r="H140" i="3"/>
  <c r="J140" s="1"/>
  <c r="G172" i="4"/>
  <c r="G171" i="3"/>
  <c r="G171" i="4"/>
  <c r="G170"/>
  <c r="G170" i="3"/>
  <c r="G168" i="4"/>
  <c r="H133" i="3"/>
  <c r="H133" i="4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7" s="1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97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I13" i="2"/>
  <c r="G20"/>
  <c r="H36"/>
  <c r="J36" s="1"/>
  <c r="G113"/>
  <c r="I141"/>
  <c r="G171"/>
  <c r="H9"/>
  <c r="J9" s="1"/>
  <c r="H18"/>
  <c r="J18" s="1"/>
  <c r="G20" i="3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H24" i="2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43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143"/>
  <c r="E28"/>
  <c r="G28" s="1"/>
  <c r="G119"/>
  <c r="I141"/>
  <c r="G153"/>
  <c r="G13" i="3"/>
  <c r="G143"/>
  <c r="G4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G29" i="2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G60" i="3" l="1"/>
  <c r="H86" i="4"/>
  <c r="H86" i="5" s="1"/>
  <c r="J86" s="1"/>
  <c r="G60" i="4"/>
  <c r="H114"/>
  <c r="J114" i="3"/>
  <c r="G60" i="5"/>
  <c r="H7" i="3"/>
  <c r="H7" i="4" s="1"/>
  <c r="H7" i="5" s="1"/>
  <c r="J7" s="1"/>
  <c r="H94" i="3"/>
  <c r="J94" s="1"/>
  <c r="H143" i="2"/>
  <c r="J143" s="1"/>
  <c r="J137" i="3"/>
  <c r="H140" i="4"/>
  <c r="H140" i="5" s="1"/>
  <c r="J140" s="1"/>
  <c r="G32" i="4"/>
  <c r="H133" i="5"/>
  <c r="J133" s="1"/>
  <c r="J133" i="4"/>
  <c r="H29" i="2"/>
  <c r="H29" i="3" s="1"/>
  <c r="H113" i="2"/>
  <c r="J113" s="1"/>
  <c r="G121"/>
  <c r="H121" s="1"/>
  <c r="J121" s="1"/>
  <c r="J49" i="3"/>
  <c r="J105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8" i="4" s="1"/>
  <c r="H15" i="3"/>
  <c r="H15" i="4" s="1"/>
  <c r="H15" i="5" s="1"/>
  <c r="J15" s="1"/>
  <c r="I16" s="1"/>
  <c r="H9" i="3"/>
  <c r="J37"/>
  <c r="J7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43"/>
  <c r="J69"/>
  <c r="J138"/>
  <c r="J82"/>
  <c r="H98"/>
  <c r="J112"/>
  <c r="J132"/>
  <c r="J80"/>
  <c r="J73"/>
  <c r="H111"/>
  <c r="H107" i="4"/>
  <c r="H107" i="5" s="1"/>
  <c r="J107" s="1"/>
  <c r="H101" i="4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J46"/>
  <c r="J55"/>
  <c r="H52" i="4"/>
  <c r="J40" i="3"/>
  <c r="J53"/>
  <c r="H13" i="2"/>
  <c r="J13" s="1"/>
  <c r="H20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7" i="2"/>
  <c r="H151"/>
  <c r="J151" s="1"/>
  <c r="F121"/>
  <c r="H153"/>
  <c r="J153" s="1"/>
  <c r="G148"/>
  <c r="H148" s="1"/>
  <c r="J148" s="1"/>
  <c r="G32" i="5"/>
  <c r="G144"/>
  <c r="F121"/>
  <c r="E121" i="33" s="1"/>
  <c r="G121" i="5"/>
  <c r="G146"/>
  <c r="G152"/>
  <c r="G150"/>
  <c r="G152" i="4"/>
  <c r="G148"/>
  <c r="G154"/>
  <c r="G146"/>
  <c r="G144"/>
  <c r="F121"/>
  <c r="G121"/>
  <c r="G152" i="3"/>
  <c r="G148"/>
  <c r="G146"/>
  <c r="G32"/>
  <c r="G154"/>
  <c r="G144"/>
  <c r="G150"/>
  <c r="F121"/>
  <c r="G121"/>
  <c r="G146" i="2"/>
  <c r="H146" s="1"/>
  <c r="J146" s="1"/>
  <c r="H145"/>
  <c r="J145" s="1"/>
  <c r="G32"/>
  <c r="H32" s="1"/>
  <c r="J32" s="1"/>
  <c r="J29" l="1"/>
  <c r="H143" i="3"/>
  <c r="H143" i="4" s="1"/>
  <c r="H143" i="5" s="1"/>
  <c r="J143" s="1"/>
  <c r="H114"/>
  <c r="J114" s="1"/>
  <c r="J114" i="4"/>
  <c r="H57" i="5"/>
  <c r="J57" s="1"/>
  <c r="J7" i="3"/>
  <c r="J7" i="4"/>
  <c r="H94"/>
  <c r="H94" i="5" s="1"/>
  <c r="J94" s="1"/>
  <c r="J140" i="4"/>
  <c r="H47" i="5"/>
  <c r="J47" s="1"/>
  <c r="H113" i="3"/>
  <c r="H113" i="4" s="1"/>
  <c r="H113" i="5" s="1"/>
  <c r="J113" s="1"/>
  <c r="H20" i="3"/>
  <c r="H20" i="4" s="1"/>
  <c r="J20" s="1"/>
  <c r="I20" s="1"/>
  <c r="J134"/>
  <c r="H36" i="5"/>
  <c r="J36" s="1"/>
  <c r="H60" i="3"/>
  <c r="J60" s="1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H95" i="4"/>
  <c r="H95" i="5" s="1"/>
  <c r="J95" s="1"/>
  <c r="J110" i="3"/>
  <c r="H110" i="4"/>
  <c r="J99"/>
  <c r="J67"/>
  <c r="J58"/>
  <c r="H147"/>
  <c r="J147" s="1"/>
  <c r="I60" i="2"/>
  <c r="I59"/>
  <c r="J18" i="3"/>
  <c r="J15" i="4"/>
  <c r="I16" s="1"/>
  <c r="J15" i="3"/>
  <c r="I16" s="1"/>
  <c r="H9" i="4"/>
  <c r="J9" i="3"/>
  <c r="J117" i="4"/>
  <c r="J97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H30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I59" i="5"/>
  <c r="I60"/>
  <c r="I60" i="4"/>
  <c r="I59"/>
  <c r="I59" i="3"/>
  <c r="I60"/>
  <c r="J143" i="4" l="1"/>
  <c r="J143" i="3"/>
  <c r="J94" i="4"/>
  <c r="H60"/>
  <c r="J60" s="1"/>
  <c r="J113" i="3"/>
  <c r="J113" i="4"/>
  <c r="J20" i="3"/>
  <c r="I20" s="1"/>
  <c r="H20" i="5"/>
  <c r="J20" s="1"/>
  <c r="I20" s="1"/>
  <c r="H8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144" i="4"/>
  <c r="J144" s="1"/>
  <c r="H148"/>
  <c r="J15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60" i="5" l="1"/>
  <c r="J60" s="1"/>
  <c r="H146"/>
  <c r="J146" s="1"/>
  <c r="H32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K31" i="47" l="1"/>
  <c r="G3" i="48"/>
  <c r="G4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E171" i="12" s="1"/>
  <c r="F170" i="11"/>
  <c r="E170" i="12" s="1"/>
  <c r="F169" i="11"/>
  <c r="E169" i="12" s="1"/>
  <c r="F168" i="11"/>
  <c r="E168" i="12" s="1"/>
  <c r="F167" i="11"/>
  <c r="E167" i="12" s="1"/>
  <c r="G167" s="1"/>
  <c r="F166" i="11"/>
  <c r="E166" i="12" s="1"/>
  <c r="F165" i="11"/>
  <c r="E165" i="12" s="1"/>
  <c r="G162" i="10"/>
  <c r="G163"/>
  <c r="G164"/>
  <c r="E161"/>
  <c r="G161" s="1"/>
  <c r="E172" i="11"/>
  <c r="F171" i="10"/>
  <c r="E171" i="11" s="1"/>
  <c r="E170"/>
  <c r="E169"/>
  <c r="E168"/>
  <c r="E167"/>
  <c r="E166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G164" i="8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E172" i="8"/>
  <c r="E171"/>
  <c r="E170"/>
  <c r="E169"/>
  <c r="E168"/>
  <c r="E167"/>
  <c r="E166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G171" i="12" l="1"/>
  <c r="G165" i="8"/>
  <c r="G168" i="12"/>
  <c r="G166"/>
  <c r="G172"/>
  <c r="G170"/>
  <c r="G169"/>
  <c r="K3" i="47"/>
  <c r="G33" i="48"/>
  <c r="G165" i="9"/>
  <c r="G171" i="8"/>
  <c r="G165" i="10"/>
  <c r="G167" i="8"/>
  <c r="G165" i="11"/>
  <c r="G167"/>
  <c r="E4" i="48"/>
  <c r="E33" s="1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5" i="44" l="1"/>
  <c r="AP41"/>
  <c r="N39" i="25"/>
  <c r="E58"/>
  <c r="I19" i="24"/>
  <c r="I18"/>
  <c r="E49" i="21" l="1"/>
  <c r="E49" i="20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29"/>
  <c r="E23"/>
  <c r="E24"/>
  <c r="E22"/>
  <c r="E18"/>
  <c r="E10"/>
  <c r="E41" i="29"/>
  <c r="L86" i="20" l="1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AC35" i="44" s="1"/>
  <c r="G90" i="31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G164" i="40"/>
  <c r="G163"/>
  <c r="G162"/>
  <c r="E161"/>
  <c r="G161" s="1"/>
  <c r="G164" i="25"/>
  <c r="G163"/>
  <c r="G162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G164" i="13"/>
  <c r="G163"/>
  <c r="G162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E172" i="40" s="1"/>
  <c r="F171" i="25"/>
  <c r="E171" i="40" s="1"/>
  <c r="F170" i="25"/>
  <c r="E170" i="40" s="1"/>
  <c r="F169" i="25"/>
  <c r="E169" i="40" s="1"/>
  <c r="F168" i="25"/>
  <c r="E168" i="40" s="1"/>
  <c r="F167" i="25"/>
  <c r="E167" i="40" s="1"/>
  <c r="F166" i="25"/>
  <c r="E166" i="40" s="1"/>
  <c r="F165" i="25"/>
  <c r="E165" i="40" s="1"/>
  <c r="F172" i="24"/>
  <c r="E172" i="25" s="1"/>
  <c r="F171" i="24"/>
  <c r="E171" i="25" s="1"/>
  <c r="F170" i="24"/>
  <c r="E170" i="25" s="1"/>
  <c r="F169" i="24"/>
  <c r="E169" i="25" s="1"/>
  <c r="F168" i="24"/>
  <c r="E168" i="25" s="1"/>
  <c r="F167" i="24"/>
  <c r="E167" i="25" s="1"/>
  <c r="F166" i="24"/>
  <c r="E166" i="25" s="1"/>
  <c r="F165" i="24"/>
  <c r="E165" i="25" s="1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/>
  <c r="F170"/>
  <c r="F169"/>
  <c r="F168"/>
  <c r="F167"/>
  <c r="F166"/>
  <c r="F165"/>
  <c r="E172"/>
  <c r="E171"/>
  <c r="E170"/>
  <c r="E169"/>
  <c r="E168"/>
  <c r="E167"/>
  <c r="E165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G165" s="1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6" i="17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6"/>
  <c r="AB5"/>
  <c r="AB7"/>
  <c r="AA4" i="49" s="1"/>
  <c r="AA6" i="44"/>
  <c r="AA5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AB10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B15"/>
  <c r="AD25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AC12" i="49" l="1"/>
  <c r="AD36" i="44"/>
  <c r="AD37"/>
  <c r="AA12" i="49"/>
  <c r="AB37" i="44"/>
  <c r="AB36"/>
  <c r="Z12" i="49"/>
  <c r="AA37" i="44"/>
  <c r="AA36"/>
  <c r="Z3" i="49"/>
  <c r="AB3"/>
  <c r="AA3"/>
  <c r="AD27" i="44"/>
  <c r="AC24" i="49" s="1"/>
  <c r="J89" i="23"/>
  <c r="H89" i="24"/>
  <c r="J89" s="1"/>
  <c r="H88" i="43"/>
  <c r="J88" s="1"/>
  <c r="Z2" i="49"/>
  <c r="AB2"/>
  <c r="AC11"/>
  <c r="AA2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J89" i="7" l="1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95" i="12"/>
  <c r="E96"/>
  <c r="E116"/>
  <c r="E115"/>
  <c r="E112"/>
  <c r="E111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E29"/>
  <c r="G29" s="1"/>
  <c r="G35"/>
  <c r="G49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07"/>
  <c r="E106"/>
  <c r="G106" s="1"/>
  <c r="E116" i="7"/>
  <c r="E115"/>
  <c r="E124" i="8"/>
  <c r="E116"/>
  <c r="E115"/>
  <c r="E9" i="14" l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G76"/>
  <c r="G85" s="1"/>
  <c r="G118"/>
  <c r="I137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J86" l="1"/>
  <c r="H86" i="8"/>
  <c r="J86" s="1"/>
  <c r="E101" i="33"/>
  <c r="E97" l="1"/>
  <c r="G8" l="1"/>
  <c r="E8" i="7"/>
  <c r="G8" s="1"/>
  <c r="E29" i="43"/>
  <c r="C9" i="44" l="1"/>
  <c r="I8" i="1"/>
  <c r="K8" s="1"/>
  <c r="C10" i="44"/>
  <c r="I9" i="1"/>
  <c r="K9" s="1"/>
  <c r="N27" i="31"/>
  <c r="G79"/>
  <c r="U35" i="44" s="1"/>
  <c r="G132" i="31"/>
  <c r="G133"/>
  <c r="G134"/>
  <c r="G136"/>
  <c r="G137"/>
  <c r="AV35" i="44" s="1"/>
  <c r="G138" i="31"/>
  <c r="AW35" i="44" s="1"/>
  <c r="G140" i="31"/>
  <c r="G141"/>
  <c r="AU35" i="44" s="1"/>
  <c r="G131" i="31"/>
  <c r="G126"/>
  <c r="AQ35" i="44" s="1"/>
  <c r="G124" i="31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/>
  <c r="N35" i="44" s="1"/>
  <c r="G63" i="31"/>
  <c r="AF35" i="44" s="1"/>
  <c r="G168" i="31"/>
  <c r="G170"/>
  <c r="G172"/>
  <c r="G62"/>
  <c r="AE35" i="44" s="1"/>
  <c r="G50" i="31"/>
  <c r="G5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G37"/>
  <c r="G38"/>
  <c r="AS34" i="1" s="1"/>
  <c r="AV34"/>
  <c r="AW34"/>
  <c r="AX34"/>
  <c r="G35" i="31"/>
  <c r="G22"/>
  <c r="G15"/>
  <c r="D35" i="44" s="1"/>
  <c r="G10" i="31"/>
  <c r="G80"/>
  <c r="V35" i="44" s="1"/>
  <c r="G97" i="31"/>
  <c r="G101"/>
  <c r="G139"/>
  <c r="G135"/>
  <c r="G128"/>
  <c r="AS35" i="44" s="1"/>
  <c r="G127" i="31"/>
  <c r="AR35" i="44" s="1"/>
  <c r="G125" i="31"/>
  <c r="AP35" i="44" s="1"/>
  <c r="G117" i="31"/>
  <c r="G116"/>
  <c r="J114"/>
  <c r="G69"/>
  <c r="AL35" i="44" s="1"/>
  <c r="G65" i="31"/>
  <c r="AH35" i="44" s="1"/>
  <c r="G56" i="31"/>
  <c r="BG34" i="1" s="1"/>
  <c r="G52" i="31"/>
  <c r="AY34" i="1"/>
  <c r="AU34"/>
  <c r="G29" i="31"/>
  <c r="G18"/>
  <c r="I15"/>
  <c r="K9"/>
  <c r="M8"/>
  <c r="I7"/>
  <c r="AQ34" i="1" l="1"/>
  <c r="G47" i="31"/>
  <c r="M35" i="44"/>
  <c r="L32" i="49" s="1"/>
  <c r="AZ34" i="1"/>
  <c r="I35" i="44"/>
  <c r="H32" i="49" s="1"/>
  <c r="AT34" i="1"/>
  <c r="H35" i="44"/>
  <c r="G32" i="49" s="1"/>
  <c r="BC34" i="1"/>
  <c r="L35" i="44"/>
  <c r="K32" i="49" s="1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E28" i="31"/>
  <c r="G28" s="1"/>
  <c r="E31"/>
  <c r="G31" s="1"/>
  <c r="AH14" i="45"/>
  <c r="AH15"/>
  <c r="AD32" i="49"/>
  <c r="AE32"/>
  <c r="G68" i="31"/>
  <c r="AK35" i="44" s="1"/>
  <c r="G171" i="31"/>
  <c r="G67"/>
  <c r="AJ35" i="44" s="1"/>
  <c r="G66" i="31"/>
  <c r="AI35" i="44" s="1"/>
  <c r="G169" i="31"/>
  <c r="G64"/>
  <c r="AG35" i="44" s="1"/>
  <c r="G167" i="31"/>
  <c r="X32" i="49"/>
  <c r="G59" i="31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O34" i="1" l="1"/>
  <c r="G32" i="47"/>
  <c r="AT35" i="44"/>
  <c r="AT32" i="49"/>
  <c r="BB32"/>
  <c r="AS32"/>
  <c r="BA32"/>
  <c r="N28" i="31"/>
  <c r="G173"/>
  <c r="G121"/>
  <c r="G60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G72" i="15" l="1"/>
  <c r="E73"/>
  <c r="E75"/>
  <c r="E76"/>
  <c r="E77"/>
  <c r="E78"/>
  <c r="E79"/>
  <c r="E80"/>
  <c r="E81"/>
  <c r="E82"/>
  <c r="E83"/>
  <c r="E84"/>
  <c r="E36"/>
  <c r="E37"/>
  <c r="E38"/>
  <c r="E39"/>
  <c r="E42"/>
  <c r="E43"/>
  <c r="E44"/>
  <c r="I8"/>
  <c r="G9" i="14"/>
  <c r="G58" i="12"/>
  <c r="G57"/>
  <c r="G56"/>
  <c r="G55"/>
  <c r="G54"/>
  <c r="G53"/>
  <c r="G52"/>
  <c r="G51"/>
  <c r="G50"/>
  <c r="G49"/>
  <c r="L15" i="44" l="1"/>
  <c r="Y15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6" i="17"/>
  <c r="E107"/>
  <c r="E108"/>
  <c r="E109"/>
  <c r="E110"/>
  <c r="E111"/>
  <c r="E112"/>
  <c r="E113"/>
  <c r="E114"/>
  <c r="E115"/>
  <c r="E116"/>
  <c r="E106" i="16"/>
  <c r="E107"/>
  <c r="E108"/>
  <c r="E109"/>
  <c r="E110"/>
  <c r="E111"/>
  <c r="E112"/>
  <c r="E113"/>
  <c r="E114"/>
  <c r="E115"/>
  <c r="E116"/>
  <c r="E105"/>
  <c r="E107" i="15"/>
  <c r="E108"/>
  <c r="E109"/>
  <c r="E110"/>
  <c r="E111"/>
  <c r="E112"/>
  <c r="E113"/>
  <c r="E114"/>
  <c r="E115"/>
  <c r="E116"/>
  <c r="E105"/>
  <c r="E107" i="14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X12" i="49" l="1"/>
  <c r="K12"/>
  <c r="G29" i="13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U19" i="45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AT26" l="1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AU17" i="49" l="1"/>
  <c r="AS17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H115" i="31" l="1"/>
  <c r="N115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s="1"/>
  <c r="J115" i="21"/>
  <c r="H115" i="33"/>
  <c r="K9" i="43"/>
  <c r="M8"/>
  <c r="G8" i="8" l="1"/>
  <c r="E8" i="10"/>
  <c r="G8" i="9"/>
  <c r="I11" i="1" s="1"/>
  <c r="K11" s="1"/>
  <c r="H115" i="7"/>
  <c r="J115" i="33"/>
  <c r="E27" i="7"/>
  <c r="G27" s="1"/>
  <c r="E27" i="33"/>
  <c r="G27" s="1"/>
  <c r="C11" i="44" l="1"/>
  <c r="I10" i="1"/>
  <c r="K10" s="1"/>
  <c r="E27" i="8"/>
  <c r="G27" s="1"/>
  <c r="E8" i="11"/>
  <c r="G8" i="10"/>
  <c r="I12" i="1" s="1"/>
  <c r="K12" s="1"/>
  <c r="C12" i="44"/>
  <c r="E27" i="9"/>
  <c r="G27" s="1"/>
  <c r="H115" i="8"/>
  <c r="J115" i="7"/>
  <c r="M10" i="29"/>
  <c r="I7"/>
  <c r="E8" i="12" l="1"/>
  <c r="C13" i="44"/>
  <c r="BB13" s="1"/>
  <c r="E27" i="10"/>
  <c r="G27" s="1"/>
  <c r="J115" i="8"/>
  <c r="H115" i="9"/>
  <c r="G8" i="11" l="1"/>
  <c r="G8" i="12"/>
  <c r="J115" i="9"/>
  <c r="H115" i="10"/>
  <c r="E10" i="28"/>
  <c r="L16" i="27"/>
  <c r="L19" s="1"/>
  <c r="I14" i="1" l="1"/>
  <c r="K14" s="1"/>
  <c r="C15" i="44"/>
  <c r="E27" i="12"/>
  <c r="G27" s="1"/>
  <c r="I13" i="1"/>
  <c r="K13" s="1"/>
  <c r="C14" i="44"/>
  <c r="E27" i="11"/>
  <c r="G27" s="1"/>
  <c r="E8" i="14"/>
  <c r="F8" s="1"/>
  <c r="G8" i="13"/>
  <c r="H115" i="11"/>
  <c r="J115" s="1"/>
  <c r="J115" i="10"/>
  <c r="E23" i="27"/>
  <c r="G23" s="1"/>
  <c r="G24"/>
  <c r="I15"/>
  <c r="L10" i="40"/>
  <c r="E8" i="15" l="1"/>
  <c r="F8" s="1"/>
  <c r="G8" i="14"/>
  <c r="I15" i="1"/>
  <c r="K15" s="1"/>
  <c r="E27" i="13"/>
  <c r="G27" s="1"/>
  <c r="C16" i="44"/>
  <c r="G29" i="27"/>
  <c r="I15" i="40"/>
  <c r="J3" i="25"/>
  <c r="I3"/>
  <c r="H3"/>
  <c r="G3"/>
  <c r="I7"/>
  <c r="I15"/>
  <c r="C17" i="44" l="1"/>
  <c r="E27" i="14"/>
  <c r="G27" s="1"/>
  <c r="I16" i="1"/>
  <c r="K16" s="1"/>
  <c r="E8" i="16"/>
  <c r="F8" s="1"/>
  <c r="G8" i="15"/>
  <c r="G18" i="21"/>
  <c r="E8" i="17" l="1"/>
  <c r="F8" s="1"/>
  <c r="G8" i="16"/>
  <c r="I17" i="1"/>
  <c r="K17" s="1"/>
  <c r="C18" i="44"/>
  <c r="E27" i="15"/>
  <c r="G27" s="1"/>
  <c r="E31" i="21"/>
  <c r="G31" s="1"/>
  <c r="W5" i="45"/>
  <c r="G16" i="1"/>
  <c r="G15"/>
  <c r="G14"/>
  <c r="G13"/>
  <c r="G12"/>
  <c r="G11"/>
  <c r="G10"/>
  <c r="G9"/>
  <c r="G8"/>
  <c r="G7"/>
  <c r="G6"/>
  <c r="G5"/>
  <c r="G4"/>
  <c r="I18" l="1"/>
  <c r="K18" s="1"/>
  <c r="C19" i="44"/>
  <c r="E27" i="16"/>
  <c r="G27" s="1"/>
  <c r="K8" i="17"/>
  <c r="E8" i="18"/>
  <c r="F8" s="1"/>
  <c r="E8" i="19" s="1"/>
  <c r="G8" s="1"/>
  <c r="G8" i="17"/>
  <c r="G19" i="1" s="1"/>
  <c r="G18"/>
  <c r="G17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8" i="18" l="1"/>
  <c r="E27" i="17"/>
  <c r="G27" s="1"/>
  <c r="I19" i="1"/>
  <c r="K19" s="1"/>
  <c r="C20" i="44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O8" i="19" l="1"/>
  <c r="N8"/>
  <c r="G173" i="17"/>
  <c r="I20" i="1"/>
  <c r="K20" s="1"/>
  <c r="C21" i="44"/>
  <c r="N11" i="18"/>
  <c r="E27"/>
  <c r="G27" s="1"/>
  <c r="G20" i="1"/>
  <c r="E8" i="21" l="1"/>
  <c r="F8" s="1"/>
  <c r="G8" i="20"/>
  <c r="I21" i="1"/>
  <c r="K21" s="1"/>
  <c r="E27" i="19"/>
  <c r="G27" s="1"/>
  <c r="C22" i="44"/>
  <c r="C36" s="1"/>
  <c r="G21" i="1"/>
  <c r="C37" i="44" l="1"/>
  <c r="G8" i="21"/>
  <c r="I22" i="1"/>
  <c r="K22" s="1"/>
  <c r="G27" i="20"/>
  <c r="C23" i="44"/>
  <c r="G22" i="1"/>
  <c r="E72" i="8"/>
  <c r="G8" i="22" l="1"/>
  <c r="E27" i="21"/>
  <c r="G27" s="1"/>
  <c r="I23" i="1"/>
  <c r="K23" s="1"/>
  <c r="C24" i="44"/>
  <c r="G23" i="1"/>
  <c r="E94" i="7"/>
  <c r="G8" i="23" l="1"/>
  <c r="E8" i="24"/>
  <c r="F8" s="1"/>
  <c r="E27" i="22"/>
  <c r="G27" s="1"/>
  <c r="C25" i="44"/>
  <c r="L8" i="22"/>
  <c r="I24" i="1"/>
  <c r="K24" s="1"/>
  <c r="G24"/>
  <c r="E132" i="25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G166" s="1"/>
  <c r="E64"/>
  <c r="G167" s="1"/>
  <c r="E65"/>
  <c r="G168" s="1"/>
  <c r="E66"/>
  <c r="G169" s="1"/>
  <c r="E67"/>
  <c r="G170" s="1"/>
  <c r="E68"/>
  <c r="G171" s="1"/>
  <c r="E69"/>
  <c r="G172" s="1"/>
  <c r="E62"/>
  <c r="G165" s="1"/>
  <c r="E50"/>
  <c r="G50" s="1"/>
  <c r="E51"/>
  <c r="E52"/>
  <c r="E53"/>
  <c r="E54"/>
  <c r="E55"/>
  <c r="E56"/>
  <c r="E57"/>
  <c r="E49"/>
  <c r="E35"/>
  <c r="E23"/>
  <c r="G23" s="1"/>
  <c r="E22"/>
  <c r="G22" s="1"/>
  <c r="E18"/>
  <c r="I25" i="1" l="1"/>
  <c r="K25" s="1"/>
  <c r="C26" i="44"/>
  <c r="E27" i="23"/>
  <c r="G27" s="1"/>
  <c r="G25" i="1"/>
  <c r="G8" i="24"/>
  <c r="E8" i="25"/>
  <c r="F8" s="1"/>
  <c r="G24"/>
  <c r="E29" s="1"/>
  <c r="G29" s="1"/>
  <c r="L28" i="44"/>
  <c r="K25" i="49" s="1"/>
  <c r="G173" i="25"/>
  <c r="E35" i="13"/>
  <c r="I7" i="9"/>
  <c r="E93" i="8"/>
  <c r="E94"/>
  <c r="I7"/>
  <c r="E27" i="24" l="1"/>
  <c r="G27" s="1"/>
  <c r="C27" i="44"/>
  <c r="I26" i="1"/>
  <c r="K26" s="1"/>
  <c r="G26"/>
  <c r="G8" i="25"/>
  <c r="E8" i="40"/>
  <c r="F8" s="1"/>
  <c r="G141" i="25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8"/>
  <c r="G10"/>
  <c r="E27" l="1"/>
  <c r="G27" s="1"/>
  <c r="I27" i="1"/>
  <c r="K27" s="1"/>
  <c r="C28" i="44"/>
  <c r="G27" i="1"/>
  <c r="G8" i="40"/>
  <c r="E8" i="27"/>
  <c r="F8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G120" i="25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G41" i="13"/>
  <c r="BB28" i="44" l="1"/>
  <c r="E27" i="40"/>
  <c r="G27" s="1"/>
  <c r="C29" i="44"/>
  <c r="I28" i="1"/>
  <c r="K28" s="1"/>
  <c r="G28"/>
  <c r="G8" i="27"/>
  <c r="E8" i="28"/>
  <c r="F8" s="1"/>
  <c r="AA31" i="45"/>
  <c r="G60" i="25"/>
  <c r="E124" i="30"/>
  <c r="E35" i="28"/>
  <c r="G35" s="1"/>
  <c r="E27" i="27" l="1"/>
  <c r="G27" s="1"/>
  <c r="C30" i="44"/>
  <c r="I29" i="1"/>
  <c r="K29" s="1"/>
  <c r="G29"/>
  <c r="E8" i="29"/>
  <c r="F8" s="1"/>
  <c r="G8" i="28"/>
  <c r="E36" i="23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G8" i="29" l="1"/>
  <c r="E8" i="30"/>
  <c r="F8" s="1"/>
  <c r="C31" i="44"/>
  <c r="I30" i="1"/>
  <c r="K30" s="1"/>
  <c r="E27" i="28"/>
  <c r="G27" s="1"/>
  <c r="G30" i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s="1"/>
  <c r="I31" i="1"/>
  <c r="K31" s="1"/>
  <c r="C32" i="44"/>
  <c r="G31" i="1"/>
  <c r="E8" i="43"/>
  <c r="F8" s="1"/>
  <c r="E8" i="50" s="1"/>
  <c r="G8" s="1"/>
  <c r="E27" s="1"/>
  <c r="G27" s="1"/>
  <c r="G32" s="1"/>
  <c r="G8" i="30"/>
  <c r="E23" i="19"/>
  <c r="E98" i="17"/>
  <c r="G98" s="1"/>
  <c r="S11" i="45" s="1"/>
  <c r="G97" i="17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AD34" i="1" s="1"/>
  <c r="G138" i="43"/>
  <c r="G139"/>
  <c r="AI34" i="1" s="1"/>
  <c r="G140" i="43"/>
  <c r="AJ34" i="1" s="1"/>
  <c r="G141" i="43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G75"/>
  <c r="G76"/>
  <c r="E77"/>
  <c r="G77" s="1"/>
  <c r="E78"/>
  <c r="G78" s="1"/>
  <c r="G79"/>
  <c r="E80"/>
  <c r="G80" s="1"/>
  <c r="E81"/>
  <c r="G81" s="1"/>
  <c r="E82"/>
  <c r="G82" s="1"/>
  <c r="E83"/>
  <c r="G83" s="1"/>
  <c r="G84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G72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X6"/>
  <c r="W6"/>
  <c r="V6"/>
  <c r="U6"/>
  <c r="T6"/>
  <c r="S6"/>
  <c r="R6"/>
  <c r="Q6"/>
  <c r="P6"/>
  <c r="O6"/>
  <c r="N6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8"/>
  <c r="G10"/>
  <c r="AV30" i="44"/>
  <c r="AD29" i="1"/>
  <c r="AB29"/>
  <c r="AA29"/>
  <c r="E131" i="27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G132" i="20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G58" i="20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G44"/>
  <c r="G43"/>
  <c r="G42"/>
  <c r="G41"/>
  <c r="G40"/>
  <c r="G39"/>
  <c r="G38"/>
  <c r="G37"/>
  <c r="G36"/>
  <c r="E35"/>
  <c r="G35" s="1"/>
  <c r="G22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G56"/>
  <c r="G55"/>
  <c r="G54"/>
  <c r="G53"/>
  <c r="G52"/>
  <c r="G51"/>
  <c r="G50"/>
  <c r="E49"/>
  <c r="G46"/>
  <c r="G45"/>
  <c r="G44"/>
  <c r="G43"/>
  <c r="G42"/>
  <c r="G41"/>
  <c r="G38"/>
  <c r="G36"/>
  <c r="E35"/>
  <c r="G35" s="1"/>
  <c r="E24"/>
  <c r="E22"/>
  <c r="G22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G36"/>
  <c r="M21" i="44" s="1"/>
  <c r="L18" i="49" s="1"/>
  <c r="E35" i="18"/>
  <c r="G35" s="1"/>
  <c r="E24"/>
  <c r="E23"/>
  <c r="E22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G96" i="17"/>
  <c r="S9" i="45" s="1"/>
  <c r="E95" i="17"/>
  <c r="E94"/>
  <c r="G94" s="1"/>
  <c r="S8" i="45" s="1"/>
  <c r="AN17" i="49" s="1"/>
  <c r="G93" i="17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E124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G46"/>
  <c r="G45"/>
  <c r="G44"/>
  <c r="G43"/>
  <c r="G42"/>
  <c r="G41"/>
  <c r="G40"/>
  <c r="G39"/>
  <c r="G38"/>
  <c r="G37"/>
  <c r="G36"/>
  <c r="E35"/>
  <c r="G35" s="1"/>
  <c r="E24"/>
  <c r="E23"/>
  <c r="E22"/>
  <c r="G22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8"/>
  <c r="G10"/>
  <c r="E131" i="13"/>
  <c r="G131" s="1"/>
  <c r="E124"/>
  <c r="G124" s="1"/>
  <c r="G96"/>
  <c r="E93"/>
  <c r="G93" s="1"/>
  <c r="E62"/>
  <c r="G57"/>
  <c r="G56"/>
  <c r="G55"/>
  <c r="G54"/>
  <c r="G53"/>
  <c r="G52"/>
  <c r="G51"/>
  <c r="G50"/>
  <c r="E49"/>
  <c r="G49" s="1"/>
  <c r="G35"/>
  <c r="E24"/>
  <c r="E23"/>
  <c r="E22"/>
  <c r="G22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8"/>
  <c r="G10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G133" i="9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G49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E10"/>
  <c r="G10" s="1"/>
  <c r="E11"/>
  <c r="E11" i="50" s="1"/>
  <c r="G11" s="1"/>
  <c r="E12" i="33"/>
  <c r="E12" i="50" s="1"/>
  <c r="G12" s="1"/>
  <c r="E7" i="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G18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AR6"/>
  <c r="AQ6"/>
  <c r="AP6"/>
  <c r="E13" i="45"/>
  <c r="BC3" i="49" s="1"/>
  <c r="E9" i="45"/>
  <c r="AO3" i="49" s="1"/>
  <c r="E7" i="45"/>
  <c r="AE6" i="44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G47" i="13" l="1"/>
  <c r="G60" s="1"/>
  <c r="N52" i="19"/>
  <c r="N54"/>
  <c r="G13" i="50"/>
  <c r="G120" i="17"/>
  <c r="H120" s="1"/>
  <c r="J120" s="1"/>
  <c r="N45" i="19"/>
  <c r="BK3" i="49"/>
  <c r="S3"/>
  <c r="BJ3"/>
  <c r="R3"/>
  <c r="BI3"/>
  <c r="Q3"/>
  <c r="P3"/>
  <c r="Y3"/>
  <c r="O3"/>
  <c r="W3"/>
  <c r="N3"/>
  <c r="V3"/>
  <c r="AD3"/>
  <c r="M3"/>
  <c r="U3"/>
  <c r="BL3"/>
  <c r="T3"/>
  <c r="N55" i="19"/>
  <c r="N43"/>
  <c r="E19" i="7"/>
  <c r="N44" i="19"/>
  <c r="BD21" i="1"/>
  <c r="N53" i="19"/>
  <c r="BA17" i="1"/>
  <c r="G59" i="15"/>
  <c r="AW21" i="1"/>
  <c r="G125" i="15"/>
  <c r="AP18" i="44" s="1"/>
  <c r="BI15" i="49" s="1"/>
  <c r="AU21" i="1"/>
  <c r="N40" i="19"/>
  <c r="BB21" i="1"/>
  <c r="N51" i="19"/>
  <c r="Y22" i="44"/>
  <c r="X19" i="49" s="1"/>
  <c r="N58" i="19"/>
  <c r="N10"/>
  <c r="N41"/>
  <c r="N38"/>
  <c r="N50"/>
  <c r="BH21" i="1"/>
  <c r="N36" i="19"/>
  <c r="N35"/>
  <c r="BG21" i="1"/>
  <c r="N46" i="19"/>
  <c r="G8" i="43"/>
  <c r="N8"/>
  <c r="E8" i="31"/>
  <c r="F8" s="1"/>
  <c r="J33" i="44"/>
  <c r="I30" i="49" s="1"/>
  <c r="C33" i="44"/>
  <c r="E27" i="30"/>
  <c r="G27" s="1"/>
  <c r="I32" i="1"/>
  <c r="K32" s="1"/>
  <c r="G32"/>
  <c r="G47" i="33"/>
  <c r="E15" i="7"/>
  <c r="E9"/>
  <c r="G9" s="1"/>
  <c r="G13" s="1"/>
  <c r="E7" i="8"/>
  <c r="E9" i="16"/>
  <c r="AC29" i="1"/>
  <c r="AE29" s="1"/>
  <c r="BF33"/>
  <c r="Y33"/>
  <c r="X34"/>
  <c r="AM33"/>
  <c r="AL34"/>
  <c r="AO34" s="1"/>
  <c r="AY33"/>
  <c r="AI33"/>
  <c r="AH34"/>
  <c r="AK34" s="1"/>
  <c r="AU33"/>
  <c r="BG33"/>
  <c r="AG13" i="45"/>
  <c r="BC31" i="49" s="1"/>
  <c r="Y34" i="1"/>
  <c r="BE33"/>
  <c r="X33"/>
  <c r="W34"/>
  <c r="AV33"/>
  <c r="BH33"/>
  <c r="AP34" i="44"/>
  <c r="BI31" i="49" s="1"/>
  <c r="AP34" i="1"/>
  <c r="AC33"/>
  <c r="AB34"/>
  <c r="AW33"/>
  <c r="AD33"/>
  <c r="AC34"/>
  <c r="G24" i="9"/>
  <c r="AJ33" i="1"/>
  <c r="AX35" i="44"/>
  <c r="AY35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G11" i="13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G12" i="13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F8" i="44"/>
  <c r="H8"/>
  <c r="G5" i="49" s="1"/>
  <c r="BD7" i="1"/>
  <c r="K9" i="44"/>
  <c r="J6" i="49" s="1"/>
  <c r="L12" i="44"/>
  <c r="K9" i="49" s="1"/>
  <c r="F18" i="44"/>
  <c r="K18"/>
  <c r="J15" i="49" s="1"/>
  <c r="F19" i="44"/>
  <c r="M2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AU29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K6"/>
  <c r="M30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K24"/>
  <c r="J21" i="49" s="1"/>
  <c r="G27" i="44"/>
  <c r="F24" i="49" s="1"/>
  <c r="I31" i="44"/>
  <c r="H28" i="49" s="1"/>
  <c r="F31" i="44"/>
  <c r="K32"/>
  <c r="J29" i="49" s="1"/>
  <c r="I32" i="44"/>
  <c r="H29" i="49" s="1"/>
  <c r="M7" i="44"/>
  <c r="L4" i="49" s="1"/>
  <c r="H15" i="44"/>
  <c r="M14"/>
  <c r="L11" i="49" s="1"/>
  <c r="L6" i="44"/>
  <c r="F29"/>
  <c r="F30"/>
  <c r="L9"/>
  <c r="K6" i="49" s="1"/>
  <c r="F16" i="44"/>
  <c r="F20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F33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L18"/>
  <c r="K15" i="49" s="1"/>
  <c r="J19" i="44"/>
  <c r="I16" i="49" s="1"/>
  <c r="H22" i="44"/>
  <c r="G19" i="49" s="1"/>
  <c r="G23" i="44"/>
  <c r="F20" i="49" s="1"/>
  <c r="F27" i="44"/>
  <c r="K27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/>
  <c r="J24"/>
  <c r="I21" i="49" s="1"/>
  <c r="M11" i="44"/>
  <c r="L8" i="49" s="1"/>
  <c r="K15" i="44"/>
  <c r="M8"/>
  <c r="L5" i="49" s="1"/>
  <c r="M32" i="44"/>
  <c r="L29" i="49" s="1"/>
  <c r="F9" i="44"/>
  <c r="I9"/>
  <c r="H6" i="49" s="1"/>
  <c r="M10" i="44"/>
  <c r="L7" i="49" s="1"/>
  <c r="M12" i="44"/>
  <c r="L9" i="49" s="1"/>
  <c r="F15" i="44"/>
  <c r="I18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H6"/>
  <c r="H24"/>
  <c r="G21" i="49" s="1"/>
  <c r="L27" i="44"/>
  <c r="K24" i="49" s="1"/>
  <c r="M18" i="44"/>
  <c r="L15" i="49" s="1"/>
  <c r="L8" i="44"/>
  <c r="K5" i="49" s="1"/>
  <c r="F10" i="44"/>
  <c r="F12"/>
  <c r="E9" i="49" s="1"/>
  <c r="K12" i="44"/>
  <c r="J9" i="49" s="1"/>
  <c r="L16" i="44"/>
  <c r="L17"/>
  <c r="K14" i="49" s="1"/>
  <c r="H18" i="44"/>
  <c r="G15" i="49" s="1"/>
  <c r="F23" i="44"/>
  <c r="K23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AL13" i="1"/>
  <c r="AU14" i="44"/>
  <c r="BD19" i="1"/>
  <c r="I20" i="44"/>
  <c r="H17" i="49" s="1"/>
  <c r="K11" i="44"/>
  <c r="J8" i="49" s="1"/>
  <c r="F11" i="44"/>
  <c r="K16"/>
  <c r="J13" i="49" s="1"/>
  <c r="K5" i="44"/>
  <c r="AU6"/>
  <c r="F14"/>
  <c r="AL16" i="1"/>
  <c r="AU17" i="44"/>
  <c r="F25"/>
  <c r="M26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H30"/>
  <c r="G27" i="49" s="1"/>
  <c r="H5" i="44"/>
  <c r="F5"/>
  <c r="I17"/>
  <c r="H14" i="49" s="1"/>
  <c r="K8" i="44"/>
  <c r="J5" i="49" s="1"/>
  <c r="K7" i="44"/>
  <c r="J4" i="49" s="1"/>
  <c r="F7" i="44"/>
  <c r="H11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K30"/>
  <c r="J27" i="49" s="1"/>
  <c r="G29" i="44"/>
  <c r="F26" i="49" s="1"/>
  <c r="G13" i="9"/>
  <c r="AF6" i="44"/>
  <c r="AE8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6"/>
  <c r="AJ8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K8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K6"/>
  <c r="AL8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AW5" i="1"/>
  <c r="AM5"/>
  <c r="AM8"/>
  <c r="AM11"/>
  <c r="G63" i="15"/>
  <c r="AF18" i="44" s="1"/>
  <c r="AE15" i="49" s="1"/>
  <c r="E166" i="15"/>
  <c r="G166" s="1"/>
  <c r="AM18" i="1"/>
  <c r="AM19"/>
  <c r="G49" i="18"/>
  <c r="F21" i="44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K4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G165" i="13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G166" i="13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G166" i="40"/>
  <c r="G67"/>
  <c r="AJ29" i="44" s="1"/>
  <c r="AI26" i="49" s="1"/>
  <c r="G170" i="40"/>
  <c r="G62"/>
  <c r="AE29" i="44" s="1"/>
  <c r="AD26" i="49" s="1"/>
  <c r="G165" i="40"/>
  <c r="G66"/>
  <c r="AI29" i="44" s="1"/>
  <c r="AH26" i="49" s="1"/>
  <c r="G169" i="40"/>
  <c r="G65"/>
  <c r="AH29" i="44" s="1"/>
  <c r="AG26" i="49" s="1"/>
  <c r="G168" i="40"/>
  <c r="G69"/>
  <c r="AL29" i="44" s="1"/>
  <c r="AK26" i="49" s="1"/>
  <c r="G172" i="40"/>
  <c r="G64"/>
  <c r="AG29" i="44" s="1"/>
  <c r="AF26" i="49" s="1"/>
  <c r="G167" i="40"/>
  <c r="G68"/>
  <c r="AK29" i="44" s="1"/>
  <c r="AJ26" i="49" s="1"/>
  <c r="G171" i="40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G172"/>
  <c r="G68"/>
  <c r="AK16" i="44" s="1"/>
  <c r="AJ13" i="49" s="1"/>
  <c r="G171" i="13"/>
  <c r="G67"/>
  <c r="G170"/>
  <c r="G66"/>
  <c r="AI16" i="44" s="1"/>
  <c r="AH13" i="49" s="1"/>
  <c r="G169" i="13"/>
  <c r="G65"/>
  <c r="AH16" i="44" s="1"/>
  <c r="AG13" i="49" s="1"/>
  <c r="G168" i="13"/>
  <c r="G64"/>
  <c r="AG16" i="44" s="1"/>
  <c r="AF13" i="49" s="1"/>
  <c r="G167" i="13"/>
  <c r="F120" i="11"/>
  <c r="M9" i="45"/>
  <c r="M7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W15"/>
  <c r="AM14" i="1"/>
  <c r="N13" i="45"/>
  <c r="BC12" i="49" s="1"/>
  <c r="AP15" i="44"/>
  <c r="BI12" i="49" s="1"/>
  <c r="R15" i="44"/>
  <c r="V15"/>
  <c r="AB14" i="1"/>
  <c r="N7" i="45"/>
  <c r="AS15" i="44"/>
  <c r="Q15"/>
  <c r="U15"/>
  <c r="Z15"/>
  <c r="AW14" i="1"/>
  <c r="AC14"/>
  <c r="AQ15" i="44"/>
  <c r="S15"/>
  <c r="AR15"/>
  <c r="AA14" i="1"/>
  <c r="P15" i="44"/>
  <c r="T15"/>
  <c r="X15"/>
  <c r="AL14" i="1"/>
  <c r="AD14"/>
  <c r="F120" i="33"/>
  <c r="N9" i="45"/>
  <c r="F120" i="12"/>
  <c r="E31" i="18"/>
  <c r="T5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K25" s="1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AI13"/>
  <c r="AW14" i="44"/>
  <c r="Y15" i="1"/>
  <c r="O11" i="45"/>
  <c r="AQ13" i="49" s="1"/>
  <c r="AJ15" i="1"/>
  <c r="AX16" i="44"/>
  <c r="AH10" i="1"/>
  <c r="X10"/>
  <c r="J10" i="45"/>
  <c r="G68" i="12"/>
  <c r="G63"/>
  <c r="AF15" i="44" s="1"/>
  <c r="AI14" i="1"/>
  <c r="AW15" i="44"/>
  <c r="E31" i="14"/>
  <c r="G31" s="1"/>
  <c r="P5" i="45"/>
  <c r="G62" i="12"/>
  <c r="AE15" i="44" s="1"/>
  <c r="AD12" i="49" s="1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BF24" i="1"/>
  <c r="Y10"/>
  <c r="J11" i="45"/>
  <c r="AQ8" i="49" s="1"/>
  <c r="G64" i="12"/>
  <c r="AJ14" i="1"/>
  <c r="AX15" i="44"/>
  <c r="AH12" i="1"/>
  <c r="X19"/>
  <c r="S10" i="45"/>
  <c r="E31" i="33"/>
  <c r="G31" s="1"/>
  <c r="H5" i="45"/>
  <c r="AH18" i="1"/>
  <c r="G31" i="7"/>
  <c r="I5" i="45"/>
  <c r="E31" i="12"/>
  <c r="G31" s="1"/>
  <c r="N5" i="45"/>
  <c r="E31" i="15"/>
  <c r="G31" s="1"/>
  <c r="Q5" i="45"/>
  <c r="X8" i="1"/>
  <c r="H10" i="45"/>
  <c r="AH11" i="1"/>
  <c r="X12"/>
  <c r="L10" i="45"/>
  <c r="X14" i="1"/>
  <c r="N10" i="45"/>
  <c r="X16" i="1"/>
  <c r="P10" i="45"/>
  <c r="AH16" i="1"/>
  <c r="X18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H4" i="1"/>
  <c r="D10" i="45"/>
  <c r="H105" i="30"/>
  <c r="D13" i="45"/>
  <c r="AH5"/>
  <c r="E31" i="43"/>
  <c r="G31" s="1"/>
  <c r="AG5" i="45"/>
  <c r="AH25"/>
  <c r="BE32" i="49" s="1"/>
  <c r="AG9" i="45"/>
  <c r="E31" i="30"/>
  <c r="G31" s="1"/>
  <c r="AF5" i="45"/>
  <c r="AX34" i="44"/>
  <c r="AW34"/>
  <c r="AG11" i="45"/>
  <c r="AQ31" i="49" s="1"/>
  <c r="AG10" i="45"/>
  <c r="AJ31" i="1"/>
  <c r="AX32" i="44"/>
  <c r="Y31" i="1"/>
  <c r="AE11" i="45"/>
  <c r="AQ29" i="49" s="1"/>
  <c r="X31" i="1"/>
  <c r="AE10" i="45"/>
  <c r="BF31" i="1"/>
  <c r="AJ30"/>
  <c r="AX31" i="44"/>
  <c r="AI30" i="1"/>
  <c r="AW31" i="44"/>
  <c r="Y30" i="1"/>
  <c r="AD11" i="45"/>
  <c r="BF30" i="1"/>
  <c r="BF29"/>
  <c r="BC30"/>
  <c r="AJ29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s="1"/>
  <c r="Y5" i="45"/>
  <c r="E31" i="24"/>
  <c r="G31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20" i="25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20" i="16"/>
  <c r="G120"/>
  <c r="H120" s="1"/>
  <c r="J120" s="1"/>
  <c r="G120" i="9"/>
  <c r="G120" i="11"/>
  <c r="F120" i="17"/>
  <c r="F120" i="8"/>
  <c r="G120"/>
  <c r="F120" i="18"/>
  <c r="G120" i="33"/>
  <c r="F120" i="7"/>
  <c r="G120"/>
  <c r="G120" i="24"/>
  <c r="H120" s="1"/>
  <c r="J120" s="1"/>
  <c r="G120" i="28"/>
  <c r="H120" s="1"/>
  <c r="J120" s="1"/>
  <c r="F120" i="21"/>
  <c r="G120"/>
  <c r="G120" i="30"/>
  <c r="F120" i="15"/>
  <c r="G120"/>
  <c r="H120" s="1"/>
  <c r="J120" s="1"/>
  <c r="G120" i="14"/>
  <c r="H120" s="1"/>
  <c r="J120" s="1"/>
  <c r="F120"/>
  <c r="G120" i="22"/>
  <c r="F120"/>
  <c r="G120" i="29"/>
  <c r="H120" s="1"/>
  <c r="J120" s="1"/>
  <c r="F120" i="19"/>
  <c r="G120"/>
  <c r="H120" s="1"/>
  <c r="J120" s="1"/>
  <c r="F120" i="23"/>
  <c r="F120" i="20"/>
  <c r="G120"/>
  <c r="G120" i="27"/>
  <c r="H120" s="1"/>
  <c r="J120" s="1"/>
  <c r="E11" i="35"/>
  <c r="G11" s="1"/>
  <c r="W19" i="1"/>
  <c r="W8"/>
  <c r="W9"/>
  <c r="W30"/>
  <c r="W18"/>
  <c r="W20"/>
  <c r="W23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N37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AP16" i="1"/>
  <c r="AO17" i="44"/>
  <c r="BH14" i="49" s="1"/>
  <c r="AP19" i="1"/>
  <c r="AO20" i="44"/>
  <c r="BH17" i="49" s="1"/>
  <c r="G56" i="18"/>
  <c r="N56" i="19" s="1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BK9" i="1"/>
  <c r="AM10" i="44"/>
  <c r="AL7" i="49" s="1"/>
  <c r="M14" i="35"/>
  <c r="O14" s="1"/>
  <c r="N15" i="44"/>
  <c r="BK14" i="1"/>
  <c r="AM15" i="44"/>
  <c r="AL32" i="49"/>
  <c r="BH32"/>
  <c r="P5" i="44"/>
  <c r="AR5"/>
  <c r="AP4" i="1"/>
  <c r="AO5" i="44"/>
  <c r="AN5"/>
  <c r="H12" i="35"/>
  <c r="AP13" i="1"/>
  <c r="AP14"/>
  <c r="AO15" i="44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P5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/>
  <c r="V9"/>
  <c r="V8"/>
  <c r="G95" i="11"/>
  <c r="G149" i="16"/>
  <c r="G95" i="28"/>
  <c r="G149" i="43"/>
  <c r="AT4" i="1"/>
  <c r="G147" i="29"/>
  <c r="G149" i="28"/>
  <c r="AJ27" i="1"/>
  <c r="AJ28"/>
  <c r="G153" i="43"/>
  <c r="BB36" i="1"/>
  <c r="BF36"/>
  <c r="G95" i="27"/>
  <c r="G153" i="24"/>
  <c r="G151" i="40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AT27"/>
  <c r="BG17"/>
  <c r="G145" i="15"/>
  <c r="AZ26" i="1"/>
  <c r="G151" i="24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AE16"/>
  <c r="G147" i="14"/>
  <c r="I139" i="12"/>
  <c r="G95" i="13"/>
  <c r="G85"/>
  <c r="G149"/>
  <c r="BC15" i="1"/>
  <c r="V13"/>
  <c r="AO12"/>
  <c r="I134" i="11"/>
  <c r="G85"/>
  <c r="G143"/>
  <c r="W11" i="1"/>
  <c r="BK12"/>
  <c r="AV12"/>
  <c r="BK1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151" i="15"/>
  <c r="I134"/>
  <c r="I139" i="20"/>
  <c r="V24" i="1"/>
  <c r="V15"/>
  <c r="V22"/>
  <c r="I134" i="24"/>
  <c r="G153" i="7"/>
  <c r="G47" i="16"/>
  <c r="AE19" i="1"/>
  <c r="G102" i="22"/>
  <c r="G143" i="14"/>
  <c r="G95"/>
  <c r="G85" i="20"/>
  <c r="G149" i="23"/>
  <c r="N36" i="1"/>
  <c r="G85" i="14"/>
  <c r="I139" i="13"/>
  <c r="G145" i="17"/>
  <c r="G47" i="27"/>
  <c r="G13" i="11"/>
  <c r="AD36" i="1"/>
  <c r="I139" i="15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AZ25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60" s="1"/>
  <c r="G145" i="11"/>
  <c r="J70" i="12"/>
  <c r="H70" i="13"/>
  <c r="G143" i="33"/>
  <c r="G145" i="24"/>
  <c r="I137" i="12"/>
  <c r="G47" i="21"/>
  <c r="L47" s="1"/>
  <c r="G47" i="14"/>
  <c r="G149" i="33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G143" i="30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G95"/>
  <c r="G85"/>
  <c r="G145"/>
  <c r="G59"/>
  <c r="G47"/>
  <c r="G147"/>
  <c r="Y32" i="1"/>
  <c r="BK31"/>
  <c r="AP31"/>
  <c r="G102" i="29"/>
  <c r="X32" i="1"/>
  <c r="G102" i="30"/>
  <c r="W32" i="1"/>
  <c r="G85" i="29"/>
  <c r="G85" i="30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AU36" i="44" l="1"/>
  <c r="AU37"/>
  <c r="AX36"/>
  <c r="AX37"/>
  <c r="AW37"/>
  <c r="AW36"/>
  <c r="AV37"/>
  <c r="AV36"/>
  <c r="BL12" i="49"/>
  <c r="AS36" i="44"/>
  <c r="AS37"/>
  <c r="BK12" i="49"/>
  <c r="AR36" i="44"/>
  <c r="AR37"/>
  <c r="BJ12" i="49"/>
  <c r="AQ36" i="44"/>
  <c r="AQ37"/>
  <c r="BH12" i="49"/>
  <c r="AO36" i="44"/>
  <c r="AO37"/>
  <c r="U12" i="49"/>
  <c r="V37" i="44"/>
  <c r="V36"/>
  <c r="T12" i="49"/>
  <c r="U36" i="44"/>
  <c r="U37"/>
  <c r="S12" i="49"/>
  <c r="T36" i="44"/>
  <c r="T37"/>
  <c r="Y12" i="49"/>
  <c r="Z36" i="44"/>
  <c r="Z37"/>
  <c r="AL12" i="49"/>
  <c r="AM36" i="44"/>
  <c r="AM37"/>
  <c r="W12" i="49"/>
  <c r="X36" i="44"/>
  <c r="X37"/>
  <c r="V12" i="49"/>
  <c r="W36" i="44"/>
  <c r="W37"/>
  <c r="R12" i="49"/>
  <c r="S37" i="44"/>
  <c r="S36"/>
  <c r="Q12" i="49"/>
  <c r="R37" i="44"/>
  <c r="R36"/>
  <c r="P12" i="49"/>
  <c r="Q36" i="44"/>
  <c r="Q37"/>
  <c r="O12" i="49"/>
  <c r="P36" i="44"/>
  <c r="P37"/>
  <c r="N12" i="49"/>
  <c r="O37" i="44"/>
  <c r="O36"/>
  <c r="M12" i="49"/>
  <c r="N37" i="44"/>
  <c r="N36"/>
  <c r="AE12" i="49"/>
  <c r="AF36" i="44"/>
  <c r="AF37"/>
  <c r="X13" i="49"/>
  <c r="Y37" i="44"/>
  <c r="Y36"/>
  <c r="K13" i="49"/>
  <c r="L36" i="44"/>
  <c r="L37"/>
  <c r="F36"/>
  <c r="F37"/>
  <c r="J12" i="49"/>
  <c r="K37" i="44"/>
  <c r="K36"/>
  <c r="I12" i="49"/>
  <c r="J37" i="44"/>
  <c r="J36"/>
  <c r="H12" i="49"/>
  <c r="I36" i="44"/>
  <c r="I37"/>
  <c r="G12" i="49"/>
  <c r="H36" i="44"/>
  <c r="H37"/>
  <c r="F12" i="49"/>
  <c r="G37" i="44"/>
  <c r="G36"/>
  <c r="L12" i="49"/>
  <c r="M36" i="44"/>
  <c r="M37"/>
  <c r="E17" i="49"/>
  <c r="BB20" i="44"/>
  <c r="BB6"/>
  <c r="BC6" s="1"/>
  <c r="E8" i="49"/>
  <c r="BB11" i="44"/>
  <c r="E13" i="49"/>
  <c r="BB16" i="44"/>
  <c r="E16" i="49"/>
  <c r="BB19" i="44"/>
  <c r="E14" i="49"/>
  <c r="BB17" i="44"/>
  <c r="BB5"/>
  <c r="BC5" s="1"/>
  <c r="E22" i="49"/>
  <c r="BB25" i="44"/>
  <c r="E7" i="49"/>
  <c r="BB10" i="44"/>
  <c r="E12" i="49"/>
  <c r="BB15" i="44"/>
  <c r="E27" i="49"/>
  <c r="BB30" i="44"/>
  <c r="E28" i="49"/>
  <c r="BB31" i="44"/>
  <c r="E15" i="49"/>
  <c r="BB18" i="44"/>
  <c r="E20" i="49"/>
  <c r="E26"/>
  <c r="BB29" i="44"/>
  <c r="E5" i="49"/>
  <c r="BB8" i="44"/>
  <c r="BC8" s="1"/>
  <c r="E18" i="49"/>
  <c r="E11"/>
  <c r="BB14" i="44"/>
  <c r="BB33"/>
  <c r="E4" i="49"/>
  <c r="BH13"/>
  <c r="BA16" i="44"/>
  <c r="E23" i="49"/>
  <c r="BB26" i="44"/>
  <c r="E6" i="49"/>
  <c r="BB9" i="44"/>
  <c r="E24" i="49"/>
  <c r="BB27" i="44"/>
  <c r="E21" i="49"/>
  <c r="BB24" i="44"/>
  <c r="BB32"/>
  <c r="F9" i="49"/>
  <c r="BB12" i="44"/>
  <c r="I13" i="50"/>
  <c r="I60"/>
  <c r="N12" i="19"/>
  <c r="AZ9" i="44"/>
  <c r="G47" i="18"/>
  <c r="E3" i="49"/>
  <c r="AI3"/>
  <c r="AK3"/>
  <c r="AY6" i="44"/>
  <c r="AH3" i="49"/>
  <c r="J2"/>
  <c r="G3"/>
  <c r="J3"/>
  <c r="X3"/>
  <c r="AF3"/>
  <c r="H3"/>
  <c r="AJ3"/>
  <c r="AE3"/>
  <c r="I3"/>
  <c r="L3"/>
  <c r="K3"/>
  <c r="AL3"/>
  <c r="AG3"/>
  <c r="G2"/>
  <c r="F2"/>
  <c r="BH8"/>
  <c r="AZ11" i="44"/>
  <c r="BH7" i="49"/>
  <c r="AZ10" i="44"/>
  <c r="E2" i="49"/>
  <c r="F3"/>
  <c r="G60" i="15"/>
  <c r="BA36" i="1"/>
  <c r="G19" i="33"/>
  <c r="E19" i="8"/>
  <c r="BA21" i="1"/>
  <c r="N49" i="19"/>
  <c r="N11"/>
  <c r="N39"/>
  <c r="N57"/>
  <c r="N42"/>
  <c r="N8" i="31"/>
  <c r="G8"/>
  <c r="G60" i="33"/>
  <c r="I33" i="1"/>
  <c r="K33" s="1"/>
  <c r="G33"/>
  <c r="E27" i="43"/>
  <c r="G27" s="1"/>
  <c r="C34" i="44"/>
  <c r="BB34" s="1"/>
  <c r="AZ5"/>
  <c r="BH6" i="49"/>
  <c r="BH3"/>
  <c r="AZ6" i="44"/>
  <c r="BH5" i="49"/>
  <c r="AZ8" i="44"/>
  <c r="BH4" i="49"/>
  <c r="AZ7" i="44"/>
  <c r="E14" i="47"/>
  <c r="AG27" i="45"/>
  <c r="BF31" i="49" s="1"/>
  <c r="AO33" i="1"/>
  <c r="G9" i="15"/>
  <c r="G13" s="1"/>
  <c r="G9" i="33"/>
  <c r="G13" s="1"/>
  <c r="I13" s="1"/>
  <c r="G15"/>
  <c r="G7" i="7"/>
  <c r="E15" i="8"/>
  <c r="E7" i="9"/>
  <c r="E9" i="17"/>
  <c r="G13" i="14"/>
  <c r="Z33" i="1"/>
  <c r="AR31" i="49"/>
  <c r="BJ33" i="1"/>
  <c r="AH31" i="45"/>
  <c r="AF33" i="1"/>
  <c r="AB33"/>
  <c r="AE33" s="1"/>
  <c r="AA34"/>
  <c r="AE34" s="1"/>
  <c r="Z34"/>
  <c r="AK33"/>
  <c r="BJ34"/>
  <c r="AF34"/>
  <c r="BP34"/>
  <c r="G13" i="13"/>
  <c r="AO18" i="1"/>
  <c r="G13" i="12"/>
  <c r="AO23" i="1"/>
  <c r="G95" i="9"/>
  <c r="BP33" i="1"/>
  <c r="G152" i="33"/>
  <c r="E24" i="45"/>
  <c r="BD3" i="49" s="1"/>
  <c r="F24" i="45"/>
  <c r="BD4" i="49" s="1"/>
  <c r="G24" i="45"/>
  <c r="BD5" i="49" s="1"/>
  <c r="S2"/>
  <c r="BJ2"/>
  <c r="T2"/>
  <c r="AE2"/>
  <c r="AF2"/>
  <c r="B9" i="44"/>
  <c r="K2" i="49"/>
  <c r="Y2"/>
  <c r="AJ2"/>
  <c r="H2"/>
  <c r="V2"/>
  <c r="U2"/>
  <c r="BL2"/>
  <c r="O2"/>
  <c r="P2"/>
  <c r="N2"/>
  <c r="AK2"/>
  <c r="AL2"/>
  <c r="X2"/>
  <c r="AG2"/>
  <c r="W2"/>
  <c r="Q2"/>
  <c r="I2"/>
  <c r="R2"/>
  <c r="BK2"/>
  <c r="M2"/>
  <c r="G95" i="30"/>
  <c r="AQ17" i="49"/>
  <c r="AH2"/>
  <c r="AI2"/>
  <c r="F31"/>
  <c r="BG2"/>
  <c r="BI2"/>
  <c r="BH2"/>
  <c r="AD2"/>
  <c r="AL36" i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R17" i="49"/>
  <c r="D27" i="45"/>
  <c r="AP3" i="49"/>
  <c r="AP18"/>
  <c r="BE9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AO11"/>
  <c r="AE23"/>
  <c r="AO9"/>
  <c r="AO19"/>
  <c r="G39" i="44"/>
  <c r="AO22" i="1"/>
  <c r="AO16"/>
  <c r="H9" i="35"/>
  <c r="I134" i="43"/>
  <c r="BJ5" i="1"/>
  <c r="I9" i="35"/>
  <c r="AM36" i="1"/>
  <c r="J39" i="44"/>
  <c r="I39"/>
  <c r="I22"/>
  <c r="H19" i="49" s="1"/>
  <c r="G22" i="44"/>
  <c r="F19" i="49" s="1"/>
  <c r="AO30" i="1"/>
  <c r="H39" i="44"/>
  <c r="I21"/>
  <c r="H18" i="49" s="1"/>
  <c r="F39" i="44"/>
  <c r="K39"/>
  <c r="AO29" i="1"/>
  <c r="F22" i="44"/>
  <c r="J23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/>
  <c r="M25" i="45"/>
  <c r="BE11" i="49" s="1"/>
  <c r="I14" i="35"/>
  <c r="AL15" i="44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AK17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G31" i="1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G60" i="30"/>
  <c r="G147" i="19"/>
  <c r="G147" i="18"/>
  <c r="X36" i="1"/>
  <c r="AK20"/>
  <c r="Q25" i="45"/>
  <c r="BE15" i="49" s="1"/>
  <c r="H120" i="13"/>
  <c r="J120" s="1"/>
  <c r="Z5" i="1"/>
  <c r="K11" i="35"/>
  <c r="AN6" i="44"/>
  <c r="AY5"/>
  <c r="AK18" i="1"/>
  <c r="Z17"/>
  <c r="AY18" i="44"/>
  <c r="AY17"/>
  <c r="AK11" i="1"/>
  <c r="G60" i="12"/>
  <c r="H120"/>
  <c r="J120" s="1"/>
  <c r="AI15" i="44"/>
  <c r="AK15"/>
  <c r="AJ15"/>
  <c r="AH15"/>
  <c r="AG15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AF18" i="1"/>
  <c r="AF21"/>
  <c r="BG20"/>
  <c r="Z19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BP7"/>
  <c r="P6"/>
  <c r="I4" i="47" s="1"/>
  <c r="AK4" i="1"/>
  <c r="BP27"/>
  <c r="BQ27" s="1"/>
  <c r="G60" i="27"/>
  <c r="Z16" i="1"/>
  <c r="BP30"/>
  <c r="BQ30" s="1"/>
  <c r="Z11"/>
  <c r="AC36"/>
  <c r="G60" i="28"/>
  <c r="G60" i="16"/>
  <c r="AR36" i="1"/>
  <c r="BG36"/>
  <c r="G60" i="40"/>
  <c r="AK28" i="1"/>
  <c r="V36"/>
  <c r="AF17"/>
  <c r="AG17" s="1"/>
  <c r="G60" i="14"/>
  <c r="BP15" i="1"/>
  <c r="BP12"/>
  <c r="BQ12" s="1"/>
  <c r="G60" i="9"/>
  <c r="AE10" i="1"/>
  <c r="AF10"/>
  <c r="W36"/>
  <c r="G60" i="23"/>
  <c r="AF29" i="1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AE7"/>
  <c r="AE6"/>
  <c r="BP6"/>
  <c r="AF6"/>
  <c r="L6"/>
  <c r="AE5"/>
  <c r="AF5"/>
  <c r="BP5"/>
  <c r="L5"/>
  <c r="AE4"/>
  <c r="AF4"/>
  <c r="L4"/>
  <c r="AO32"/>
  <c r="AE32"/>
  <c r="Z32"/>
  <c r="AK32"/>
  <c r="AF32"/>
  <c r="BP32"/>
  <c r="G60" i="29"/>
  <c r="AY36" i="44" l="1"/>
  <c r="AY37"/>
  <c r="AK12" i="49"/>
  <c r="AL36" i="44"/>
  <c r="AL37"/>
  <c r="AJ12" i="49"/>
  <c r="AK37" i="44"/>
  <c r="AK36"/>
  <c r="AI12" i="49"/>
  <c r="AJ37" i="44"/>
  <c r="AJ36"/>
  <c r="AH12" i="49"/>
  <c r="AI37" i="44"/>
  <c r="AI36"/>
  <c r="AG12" i="49"/>
  <c r="AH36" i="44"/>
  <c r="AH37"/>
  <c r="AF12" i="49"/>
  <c r="AG36" i="44"/>
  <c r="AG37"/>
  <c r="BB7"/>
  <c r="BC7" s="1"/>
  <c r="BC9"/>
  <c r="BB23"/>
  <c r="E19" i="49"/>
  <c r="BB22" i="44"/>
  <c r="BB36" s="1"/>
  <c r="BB21"/>
  <c r="AB35" i="1"/>
  <c r="G60" i="19"/>
  <c r="G60" i="20"/>
  <c r="G60" i="18"/>
  <c r="BG3" i="49"/>
  <c r="G19" i="7"/>
  <c r="G119" s="1"/>
  <c r="G119" i="33"/>
  <c r="H119" s="1"/>
  <c r="H6" i="45"/>
  <c r="H24" s="1"/>
  <c r="BD6" i="49" s="1"/>
  <c r="E30" i="33"/>
  <c r="G30" s="1"/>
  <c r="H30" s="1"/>
  <c r="F119"/>
  <c r="G20"/>
  <c r="G19" i="8"/>
  <c r="E19" i="9"/>
  <c r="N59" i="19"/>
  <c r="N47"/>
  <c r="BA35" i="1"/>
  <c r="BQ4"/>
  <c r="E27" i="31"/>
  <c r="G27" s="1"/>
  <c r="I34" i="1"/>
  <c r="G34"/>
  <c r="G35" s="1"/>
  <c r="C35" i="44"/>
  <c r="BB35" s="1"/>
  <c r="G144" i="7"/>
  <c r="H9" i="1"/>
  <c r="BN16"/>
  <c r="BM16"/>
  <c r="BL16"/>
  <c r="G146" i="7"/>
  <c r="D9" i="44"/>
  <c r="AN9"/>
  <c r="E28" i="33"/>
  <c r="G28" s="1"/>
  <c r="G129"/>
  <c r="M8" i="1"/>
  <c r="I13" i="7"/>
  <c r="G7" i="8"/>
  <c r="G148" s="1"/>
  <c r="G152" i="7"/>
  <c r="G148"/>
  <c r="G150"/>
  <c r="B10" i="44"/>
  <c r="BC10" s="1"/>
  <c r="G154" i="7"/>
  <c r="G15"/>
  <c r="E15" i="9"/>
  <c r="G15" i="8"/>
  <c r="G9" i="16"/>
  <c r="G13" s="1"/>
  <c r="I60" s="1"/>
  <c r="K9" i="17"/>
  <c r="G9"/>
  <c r="G13" s="1"/>
  <c r="I60" s="1"/>
  <c r="E9" i="18"/>
  <c r="I60" i="12"/>
  <c r="BQ33" i="1"/>
  <c r="AG33"/>
  <c r="AA35"/>
  <c r="AG34"/>
  <c r="BQ34"/>
  <c r="O31" i="45"/>
  <c r="AO36" i="1"/>
  <c r="L8"/>
  <c r="I60" i="15"/>
  <c r="Y31" i="45"/>
  <c r="G29" i="9"/>
  <c r="BM8" i="1"/>
  <c r="BL8"/>
  <c r="N31" i="45"/>
  <c r="BN8" i="1"/>
  <c r="J118" i="43"/>
  <c r="BQ23" i="1"/>
  <c r="AG31" i="45"/>
  <c r="BM2" i="49"/>
  <c r="H111" i="31"/>
  <c r="N111" s="1"/>
  <c r="J116" i="43"/>
  <c r="H107" i="31"/>
  <c r="N107" s="1"/>
  <c r="H108"/>
  <c r="N108" s="1"/>
  <c r="J113" i="43"/>
  <c r="J121"/>
  <c r="J110"/>
  <c r="J106"/>
  <c r="J105"/>
  <c r="AF31" i="45"/>
  <c r="D31"/>
  <c r="H117" i="31"/>
  <c r="J117" s="1"/>
  <c r="J112" i="43"/>
  <c r="J120" i="30"/>
  <c r="H120" i="43"/>
  <c r="BF17" i="49"/>
  <c r="BF2"/>
  <c r="BE17"/>
  <c r="BE2"/>
  <c r="M31" i="45"/>
  <c r="G3" i="47"/>
  <c r="K9" i="35"/>
  <c r="K13"/>
  <c r="J112" i="31"/>
  <c r="AG23" i="1"/>
  <c r="AL35"/>
  <c r="H120" i="21"/>
  <c r="H120" i="22" s="1"/>
  <c r="J120" s="1"/>
  <c r="AT6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AG14" i="1"/>
  <c r="BQ14"/>
  <c r="J106" i="31"/>
  <c r="V4" i="1"/>
  <c r="V35" s="1"/>
  <c r="T35"/>
  <c r="AM35"/>
  <c r="BC35"/>
  <c r="BR4"/>
  <c r="AE35"/>
  <c r="BG35"/>
  <c r="AT35"/>
  <c r="Z35"/>
  <c r="S7"/>
  <c r="M5" i="47"/>
  <c r="S6" i="1"/>
  <c r="M4" i="47"/>
  <c r="S5" i="1"/>
  <c r="S4"/>
  <c r="M2" i="47"/>
  <c r="O5" i="1"/>
  <c r="BL15"/>
  <c r="J121" i="31"/>
  <c r="AG21" i="1"/>
  <c r="J113" i="31"/>
  <c r="J105"/>
  <c r="J118"/>
  <c r="BQ21" i="1"/>
  <c r="Z36"/>
  <c r="AK36"/>
  <c r="K14" i="35"/>
  <c r="BQ5" i="1"/>
  <c r="BQ32"/>
  <c r="BQ25"/>
  <c r="AG25"/>
  <c r="BQ18"/>
  <c r="BQ15"/>
  <c r="AG15"/>
  <c r="BQ10"/>
  <c r="BQ6"/>
  <c r="BQ7"/>
  <c r="L15"/>
  <c r="K15" i="35"/>
  <c r="R4" i="1"/>
  <c r="AF20"/>
  <c r="AG20" s="1"/>
  <c r="BM15"/>
  <c r="BN15"/>
  <c r="BP20"/>
  <c r="BQ20" s="1"/>
  <c r="BJ20"/>
  <c r="BJ35" s="1"/>
  <c r="BP36"/>
  <c r="AG7"/>
  <c r="R6"/>
  <c r="BO6" s="1"/>
  <c r="H139" i="33"/>
  <c r="H134"/>
  <c r="H134" i="7" s="1"/>
  <c r="H134" i="8" s="1"/>
  <c r="I60" i="14"/>
  <c r="AF36" i="1"/>
  <c r="AG18"/>
  <c r="AG36" s="1"/>
  <c r="I60" i="9"/>
  <c r="AG10" i="1"/>
  <c r="H24" i="7"/>
  <c r="J24" i="33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70" i="24"/>
  <c r="H70" i="25" s="1"/>
  <c r="I60" i="13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BB37" i="44" l="1"/>
  <c r="G32" i="33"/>
  <c r="N60" i="19"/>
  <c r="BM3" i="49"/>
  <c r="I6" i="45"/>
  <c r="I24" s="1"/>
  <c r="BD7" i="49" s="1"/>
  <c r="F119" i="7"/>
  <c r="E30"/>
  <c r="G30" s="1"/>
  <c r="G20"/>
  <c r="E10" i="44" s="1"/>
  <c r="G119" i="8"/>
  <c r="F119"/>
  <c r="J6" i="45"/>
  <c r="J24" s="1"/>
  <c r="BD8" i="49" s="1"/>
  <c r="E30" i="8"/>
  <c r="G30" s="1"/>
  <c r="G20"/>
  <c r="E19" i="10"/>
  <c r="E9" i="44"/>
  <c r="P8" i="1"/>
  <c r="K34"/>
  <c r="L34"/>
  <c r="E32" i="47"/>
  <c r="BN34" i="1"/>
  <c r="BL34"/>
  <c r="BM34"/>
  <c r="G152" i="8"/>
  <c r="H10" i="1"/>
  <c r="B11" i="44"/>
  <c r="BC11" s="1"/>
  <c r="G146" i="8"/>
  <c r="L10" i="1"/>
  <c r="G150" i="8"/>
  <c r="G7" i="9"/>
  <c r="I13" s="1"/>
  <c r="I59" i="8"/>
  <c r="G144"/>
  <c r="G6" i="47"/>
  <c r="O8" i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129"/>
  <c r="AN11" i="44"/>
  <c r="M10" i="1"/>
  <c r="D10" i="44"/>
  <c r="E28" i="7"/>
  <c r="G28" s="1"/>
  <c r="AN10" i="44"/>
  <c r="M9" i="1"/>
  <c r="G129" i="7"/>
  <c r="E9" i="19"/>
  <c r="E7" i="11"/>
  <c r="J111" i="31"/>
  <c r="J107"/>
  <c r="J108"/>
  <c r="J120" i="21"/>
  <c r="N117" i="31"/>
  <c r="H120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BO4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G32" i="7" l="1"/>
  <c r="P9" i="1"/>
  <c r="R9" s="1"/>
  <c r="G32" i="8"/>
  <c r="I6" i="47"/>
  <c r="M6" s="1"/>
  <c r="R8" i="1"/>
  <c r="BO8" s="1"/>
  <c r="S8"/>
  <c r="E11" i="44"/>
  <c r="P10" i="1"/>
  <c r="G19" i="9"/>
  <c r="G19" i="10"/>
  <c r="E19" i="11"/>
  <c r="E7" i="12"/>
  <c r="G7" s="1"/>
  <c r="B12" i="44"/>
  <c r="BC12" s="1"/>
  <c r="G144" i="9"/>
  <c r="H11" i="1"/>
  <c r="L17"/>
  <c r="G148" i="9"/>
  <c r="G152"/>
  <c r="G150"/>
  <c r="G154"/>
  <c r="O7"/>
  <c r="I59"/>
  <c r="G146"/>
  <c r="BL10" i="1"/>
  <c r="G15" i="9"/>
  <c r="G129" s="1"/>
  <c r="BN10" i="1"/>
  <c r="BM10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s="1"/>
  <c r="E9" i="20"/>
  <c r="G9" i="19"/>
  <c r="E9" i="47"/>
  <c r="L11" i="1"/>
  <c r="BL11"/>
  <c r="BN11"/>
  <c r="BM11"/>
  <c r="G7" i="10"/>
  <c r="H12" i="1" s="1"/>
  <c r="J120" i="31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S9" i="1" l="1"/>
  <c r="I7" i="47"/>
  <c r="M7" s="1"/>
  <c r="G7" i="11"/>
  <c r="H13" i="1" s="1"/>
  <c r="I8" i="47"/>
  <c r="M8" s="1"/>
  <c r="S10" i="1"/>
  <c r="R10"/>
  <c r="BO10" s="1"/>
  <c r="K6" i="45"/>
  <c r="K24" s="1"/>
  <c r="BD9" i="49" s="1"/>
  <c r="G119" i="9"/>
  <c r="H119" s="1"/>
  <c r="E30"/>
  <c r="G30" s="1"/>
  <c r="F119"/>
  <c r="G20"/>
  <c r="F119" i="10"/>
  <c r="G119"/>
  <c r="G20"/>
  <c r="E30"/>
  <c r="G30" s="1"/>
  <c r="L6" i="45"/>
  <c r="L24" s="1"/>
  <c r="BD10" i="49" s="1"/>
  <c r="E19" i="12"/>
  <c r="E7" i="14"/>
  <c r="G13" i="19"/>
  <c r="N13" s="1"/>
  <c r="N9"/>
  <c r="B15" i="44"/>
  <c r="H14" i="1"/>
  <c r="G144" i="12"/>
  <c r="G154"/>
  <c r="G150"/>
  <c r="G152"/>
  <c r="G148"/>
  <c r="G146"/>
  <c r="I13"/>
  <c r="I59"/>
  <c r="K36" i="1"/>
  <c r="BL17"/>
  <c r="BM17"/>
  <c r="BN17"/>
  <c r="E15" i="47"/>
  <c r="G15" i="10"/>
  <c r="AN13" i="44" s="1"/>
  <c r="M11" i="1"/>
  <c r="O11" s="1"/>
  <c r="E28" i="9"/>
  <c r="G28" s="1"/>
  <c r="AN12" i="44"/>
  <c r="D12"/>
  <c r="E15" i="12"/>
  <c r="BM7" i="49"/>
  <c r="BO9" i="1"/>
  <c r="B13" i="44"/>
  <c r="BC13" s="1"/>
  <c r="G146" i="10"/>
  <c r="G144"/>
  <c r="G154"/>
  <c r="I13"/>
  <c r="G150"/>
  <c r="G152"/>
  <c r="G148"/>
  <c r="I59"/>
  <c r="I60" i="18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BC15" i="44" l="1"/>
  <c r="I60" i="19"/>
  <c r="AT12" i="44"/>
  <c r="G154" i="11"/>
  <c r="B14" i="44"/>
  <c r="BC14" s="1"/>
  <c r="I59" i="11"/>
  <c r="G150"/>
  <c r="G146"/>
  <c r="G144"/>
  <c r="G148"/>
  <c r="I13"/>
  <c r="G152"/>
  <c r="G19"/>
  <c r="F119" s="1"/>
  <c r="E12" i="44"/>
  <c r="P11" i="1"/>
  <c r="E19" i="13"/>
  <c r="G32" i="9"/>
  <c r="E13" i="44"/>
  <c r="P12" i="1"/>
  <c r="G7" i="13"/>
  <c r="G144" s="1"/>
  <c r="M12" i="1"/>
  <c r="O12" s="1"/>
  <c r="D13" i="44"/>
  <c r="E28" i="10"/>
  <c r="G28" s="1"/>
  <c r="G32" s="1"/>
  <c r="G129"/>
  <c r="G9" i="47"/>
  <c r="G15" i="11"/>
  <c r="E28" s="1"/>
  <c r="G28" s="1"/>
  <c r="G9" i="20"/>
  <c r="BG9" i="49"/>
  <c r="E15" i="13"/>
  <c r="BG10" i="49"/>
  <c r="AT13" i="44"/>
  <c r="BM10" i="49" s="1"/>
  <c r="E11" i="47"/>
  <c r="BM13" i="1"/>
  <c r="L13"/>
  <c r="BN13"/>
  <c r="BL13"/>
  <c r="E16" i="47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G13" i="20" l="1"/>
  <c r="I60" s="1"/>
  <c r="BM9" i="49"/>
  <c r="E30" i="11"/>
  <c r="G30" s="1"/>
  <c r="G32" s="1"/>
  <c r="G148" i="13"/>
  <c r="G19" i="12"/>
  <c r="G119" s="1"/>
  <c r="H119" s="1"/>
  <c r="J119" s="1"/>
  <c r="G119" i="11"/>
  <c r="H119" s="1"/>
  <c r="J119" s="1"/>
  <c r="G20"/>
  <c r="P13" i="1" s="1"/>
  <c r="M6" i="45"/>
  <c r="M24" s="1"/>
  <c r="BD11" i="49" s="1"/>
  <c r="G146" i="13"/>
  <c r="G152"/>
  <c r="G7" i="14"/>
  <c r="H16" i="1" s="1"/>
  <c r="I9" i="47"/>
  <c r="M9" s="1"/>
  <c r="S11" i="1"/>
  <c r="R11"/>
  <c r="E19" i="14"/>
  <c r="I10" i="47"/>
  <c r="S12" i="1"/>
  <c r="R12"/>
  <c r="BO12" s="1"/>
  <c r="I59" i="13"/>
  <c r="H15" i="1"/>
  <c r="I13" i="13"/>
  <c r="B16" i="44"/>
  <c r="G7" i="15"/>
  <c r="G150" i="13"/>
  <c r="G154"/>
  <c r="E15" i="14"/>
  <c r="H28" i="10"/>
  <c r="J28" s="1"/>
  <c r="G10" i="47"/>
  <c r="D14" i="44"/>
  <c r="AN14"/>
  <c r="BG11" i="49" s="1"/>
  <c r="G129" i="11"/>
  <c r="M13" i="1"/>
  <c r="O13" s="1"/>
  <c r="G9" i="21"/>
  <c r="G13" s="1"/>
  <c r="I60" s="1"/>
  <c r="G15" i="12"/>
  <c r="D15" i="44" s="1"/>
  <c r="E18" i="47"/>
  <c r="L20" i="1"/>
  <c r="BN20"/>
  <c r="BM20"/>
  <c r="BL20"/>
  <c r="E9" i="23"/>
  <c r="J46" i="10"/>
  <c r="H46" i="11"/>
  <c r="H29" i="7"/>
  <c r="J29" s="1"/>
  <c r="H32" i="33"/>
  <c r="H32" i="7" s="1"/>
  <c r="J119" i="10"/>
  <c r="J12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BC16" i="44" l="1"/>
  <c r="F119" i="12"/>
  <c r="N6" i="45"/>
  <c r="N24" s="1"/>
  <c r="BD12" i="49" s="1"/>
  <c r="E14" i="44"/>
  <c r="G150" i="14"/>
  <c r="G19" i="13"/>
  <c r="F119" s="1"/>
  <c r="E30" i="12"/>
  <c r="G30" s="1"/>
  <c r="G20"/>
  <c r="E15" i="44" s="1"/>
  <c r="G146" i="14"/>
  <c r="I13"/>
  <c r="I59"/>
  <c r="B17" i="44"/>
  <c r="BC17" s="1"/>
  <c r="G152" i="14"/>
  <c r="E7" i="16"/>
  <c r="G7" s="1"/>
  <c r="G148" i="14"/>
  <c r="G144"/>
  <c r="G154"/>
  <c r="N7"/>
  <c r="M10" i="47"/>
  <c r="I11"/>
  <c r="R13" i="1"/>
  <c r="BO13" s="1"/>
  <c r="S13"/>
  <c r="BO11"/>
  <c r="E19" i="15"/>
  <c r="G15" i="13"/>
  <c r="D16" i="44" s="1"/>
  <c r="G146" i="15"/>
  <c r="B18" i="44"/>
  <c r="BC18" s="1"/>
  <c r="I59" i="15"/>
  <c r="I13"/>
  <c r="G150"/>
  <c r="H17" i="1"/>
  <c r="G144" i="15"/>
  <c r="G152"/>
  <c r="G148"/>
  <c r="G154"/>
  <c r="E15"/>
  <c r="G15" i="14"/>
  <c r="AT14" i="44"/>
  <c r="BM11" i="49" s="1"/>
  <c r="H28" i="11"/>
  <c r="J28" s="1"/>
  <c r="G11" i="47"/>
  <c r="E28" i="12"/>
  <c r="G28" s="1"/>
  <c r="AN15" i="44"/>
  <c r="G129" i="12"/>
  <c r="M14" i="1"/>
  <c r="G12" i="47" s="1"/>
  <c r="G9" i="22"/>
  <c r="G13" s="1"/>
  <c r="E9" i="24"/>
  <c r="E19" i="47"/>
  <c r="BN21" i="1"/>
  <c r="L21"/>
  <c r="BM21"/>
  <c r="BL21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H13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D36" i="44" l="1"/>
  <c r="B36"/>
  <c r="B37"/>
  <c r="AT15"/>
  <c r="P14" i="1"/>
  <c r="I12" i="47" s="1"/>
  <c r="M12" s="1"/>
  <c r="M11"/>
  <c r="O6" i="45"/>
  <c r="O24" s="1"/>
  <c r="BD13" i="49" s="1"/>
  <c r="E30" i="13"/>
  <c r="G30" s="1"/>
  <c r="G20"/>
  <c r="P15" i="1" s="1"/>
  <c r="G119" i="13"/>
  <c r="H119" s="1"/>
  <c r="J119" s="1"/>
  <c r="G19" i="14"/>
  <c r="P6" i="45" s="1"/>
  <c r="P24" s="1"/>
  <c r="BD14" i="49" s="1"/>
  <c r="G32" i="12"/>
  <c r="E7" i="17"/>
  <c r="G7" s="1"/>
  <c r="E19" i="16"/>
  <c r="M15" i="1"/>
  <c r="E28" i="13"/>
  <c r="G28" s="1"/>
  <c r="AN16" i="44"/>
  <c r="G129" i="13"/>
  <c r="H18" i="1"/>
  <c r="G154" i="16"/>
  <c r="B19" i="44"/>
  <c r="BC19" s="1"/>
  <c r="G144" i="16"/>
  <c r="G146"/>
  <c r="G150"/>
  <c r="I13"/>
  <c r="G152"/>
  <c r="I59"/>
  <c r="G148"/>
  <c r="D17" i="44"/>
  <c r="D37" s="1"/>
  <c r="M16" i="1"/>
  <c r="E28" i="14"/>
  <c r="G28" s="1"/>
  <c r="AN17" i="44"/>
  <c r="G129" i="14"/>
  <c r="E15" i="16"/>
  <c r="G15" s="1"/>
  <c r="G15" i="15"/>
  <c r="O14" i="1"/>
  <c r="H28" i="12"/>
  <c r="G9" i="23"/>
  <c r="G13" s="1"/>
  <c r="I60" s="1"/>
  <c r="BG12" i="49"/>
  <c r="E20" i="47"/>
  <c r="L22" i="1"/>
  <c r="BM22"/>
  <c r="BL22"/>
  <c r="BN22"/>
  <c r="I60" i="22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AN37" i="44" l="1"/>
  <c r="AN36"/>
  <c r="BM12" i="49"/>
  <c r="R14" i="1"/>
  <c r="BO14" s="1"/>
  <c r="S14"/>
  <c r="E16" i="44"/>
  <c r="G32" i="13"/>
  <c r="G19" i="15"/>
  <c r="G119" s="1"/>
  <c r="H119" s="1"/>
  <c r="J119" s="1"/>
  <c r="F119" i="14"/>
  <c r="G119"/>
  <c r="H119" s="1"/>
  <c r="J119" s="1"/>
  <c r="E30"/>
  <c r="G30" s="1"/>
  <c r="G32" s="1"/>
  <c r="G20"/>
  <c r="P16" i="1" s="1"/>
  <c r="H28" i="13"/>
  <c r="H28" i="14" s="1"/>
  <c r="E7" i="18"/>
  <c r="E7" i="19" s="1"/>
  <c r="K7" i="17"/>
  <c r="E19"/>
  <c r="I13" i="47"/>
  <c r="R15" i="1"/>
  <c r="S15"/>
  <c r="E15" i="17"/>
  <c r="O15" i="1"/>
  <c r="G13" i="47"/>
  <c r="BG13" i="49"/>
  <c r="AT16" i="44"/>
  <c r="BM13" i="49" s="1"/>
  <c r="H19" i="1"/>
  <c r="G146" i="17"/>
  <c r="B20" i="44"/>
  <c r="BC20" s="1"/>
  <c r="I13" i="17"/>
  <c r="G150"/>
  <c r="I59"/>
  <c r="G154"/>
  <c r="G148"/>
  <c r="G152"/>
  <c r="G144"/>
  <c r="G14" i="47"/>
  <c r="O16" i="1"/>
  <c r="BG14" i="49"/>
  <c r="AT17" i="44"/>
  <c r="AN18"/>
  <c r="M17" i="1"/>
  <c r="G129" i="15"/>
  <c r="D18" i="44"/>
  <c r="E28" i="15"/>
  <c r="G28" s="1"/>
  <c r="J28" i="12"/>
  <c r="E9" i="40"/>
  <c r="G9" i="25"/>
  <c r="G13" s="1"/>
  <c r="I60" s="1"/>
  <c r="I60" i="24"/>
  <c r="H31" i="13"/>
  <c r="J31" i="12"/>
  <c r="J153" i="10"/>
  <c r="H153" i="11"/>
  <c r="H30" i="12"/>
  <c r="J30" s="1"/>
  <c r="J60" i="10"/>
  <c r="H60" i="11"/>
  <c r="H60" i="12" s="1"/>
  <c r="H29"/>
  <c r="J29" i="11"/>
  <c r="J32" i="9"/>
  <c r="H32" i="11"/>
  <c r="J27" i="12"/>
  <c r="H27" i="13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E36" i="44" l="1"/>
  <c r="AT37"/>
  <c r="AT36"/>
  <c r="Q6" i="45"/>
  <c r="Q24" s="1"/>
  <c r="BD15" i="49" s="1"/>
  <c r="J73" i="14"/>
  <c r="H73" i="15"/>
  <c r="G7" i="19"/>
  <c r="N20" s="1"/>
  <c r="O17"/>
  <c r="P7"/>
  <c r="P9" s="1"/>
  <c r="BO15" i="1"/>
  <c r="J28" i="13"/>
  <c r="E17" i="44"/>
  <c r="E37" s="1"/>
  <c r="G20" i="15"/>
  <c r="P17" i="1" s="1"/>
  <c r="E30" i="15"/>
  <c r="G30" s="1"/>
  <c r="G32" s="1"/>
  <c r="G7" i="18"/>
  <c r="G148" s="1"/>
  <c r="E19"/>
  <c r="M13" i="47"/>
  <c r="I14"/>
  <c r="M14" s="1"/>
  <c r="R16" i="1"/>
  <c r="BO16" s="1"/>
  <c r="S16"/>
  <c r="G19" i="16"/>
  <c r="G129"/>
  <c r="BM14" i="49"/>
  <c r="BA17" i="44"/>
  <c r="G15" i="17"/>
  <c r="AT18" i="44"/>
  <c r="BG15" i="49"/>
  <c r="O17" i="1"/>
  <c r="G15" i="47"/>
  <c r="E22"/>
  <c r="E21"/>
  <c r="BM23" i="1"/>
  <c r="L23"/>
  <c r="BL23"/>
  <c r="BN23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H79"/>
  <c r="H79" i="15" s="1"/>
  <c r="J79" i="13"/>
  <c r="J78"/>
  <c r="H78" i="14"/>
  <c r="J76" i="13"/>
  <c r="H76" i="14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BA36" i="44" l="1"/>
  <c r="BA37"/>
  <c r="J80" i="14"/>
  <c r="H80" i="15"/>
  <c r="J76" i="14"/>
  <c r="H76" i="15"/>
  <c r="N7" i="19"/>
  <c r="E18" i="44"/>
  <c r="G152" i="18"/>
  <c r="H20" i="1"/>
  <c r="G146" i="18"/>
  <c r="G154"/>
  <c r="B21" i="44"/>
  <c r="BC21" s="1"/>
  <c r="G150" i="18"/>
  <c r="I13"/>
  <c r="I59"/>
  <c r="G144"/>
  <c r="I15" i="47"/>
  <c r="M15" s="1"/>
  <c r="R17" i="1"/>
  <c r="BO17" s="1"/>
  <c r="S17"/>
  <c r="G19" i="17"/>
  <c r="E19" i="19"/>
  <c r="F19" s="1"/>
  <c r="G119" i="16"/>
  <c r="H119" s="1"/>
  <c r="J119" s="1"/>
  <c r="F119"/>
  <c r="R6" i="45"/>
  <c r="R24" s="1"/>
  <c r="BD16" i="49" s="1"/>
  <c r="G20" i="16"/>
  <c r="E30"/>
  <c r="G30" s="1"/>
  <c r="E28"/>
  <c r="G28" s="1"/>
  <c r="D19" i="44"/>
  <c r="AN19"/>
  <c r="AT19" s="1"/>
  <c r="G7" i="20"/>
  <c r="N16" s="1"/>
  <c r="E7" i="21"/>
  <c r="H21" i="1"/>
  <c r="I59" i="19"/>
  <c r="G144"/>
  <c r="G154"/>
  <c r="G148"/>
  <c r="G150"/>
  <c r="B22" i="44"/>
  <c r="BC22" s="1"/>
  <c r="G146" i="19"/>
  <c r="I13"/>
  <c r="G152"/>
  <c r="M18" i="1"/>
  <c r="G16" i="47" s="1"/>
  <c r="BM15" i="49"/>
  <c r="BA18" i="44"/>
  <c r="AN20"/>
  <c r="M19" i="1"/>
  <c r="E28" i="17"/>
  <c r="G28" s="1"/>
  <c r="G129"/>
  <c r="H129" s="1"/>
  <c r="J129" s="1"/>
  <c r="D20" i="44"/>
  <c r="E15" i="18"/>
  <c r="H31" i="15"/>
  <c r="J31" s="1"/>
  <c r="J31" i="14"/>
  <c r="L24" i="1"/>
  <c r="BN24"/>
  <c r="BL24"/>
  <c r="BM24"/>
  <c r="E23" i="47"/>
  <c r="BN25" i="1"/>
  <c r="BL25"/>
  <c r="BM25"/>
  <c r="L25"/>
  <c r="E9" i="28"/>
  <c r="I60" i="40"/>
  <c r="J153" i="13"/>
  <c r="H153" i="14"/>
  <c r="H30"/>
  <c r="J30" s="1"/>
  <c r="H29"/>
  <c r="J29" i="13"/>
  <c r="J28" i="15"/>
  <c r="J32" i="12"/>
  <c r="H32" i="13"/>
  <c r="J27" i="14"/>
  <c r="H27" i="15"/>
  <c r="H75"/>
  <c r="H78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BC37" i="44" l="1"/>
  <c r="BC36"/>
  <c r="BG16" i="49"/>
  <c r="G19" i="18"/>
  <c r="F119" s="1"/>
  <c r="G32" i="16"/>
  <c r="G119" i="17"/>
  <c r="H119" s="1"/>
  <c r="J119" s="1"/>
  <c r="S6" i="45"/>
  <c r="S24" s="1"/>
  <c r="BD17" i="49" s="1"/>
  <c r="F119" i="17"/>
  <c r="E30"/>
  <c r="G30" s="1"/>
  <c r="G32" s="1"/>
  <c r="G20"/>
  <c r="E19" i="20"/>
  <c r="P18" i="1"/>
  <c r="E19" i="44"/>
  <c r="H28" i="16"/>
  <c r="J28" s="1"/>
  <c r="H22" i="1"/>
  <c r="G152" i="20"/>
  <c r="G148"/>
  <c r="B23" i="44"/>
  <c r="BC23" s="1"/>
  <c r="G146" i="20"/>
  <c r="G150"/>
  <c r="G144"/>
  <c r="G154"/>
  <c r="I13"/>
  <c r="I59"/>
  <c r="E7" i="22"/>
  <c r="G7" i="21"/>
  <c r="O18" i="1"/>
  <c r="M36"/>
  <c r="AT20" i="44"/>
  <c r="BG17" i="49"/>
  <c r="O19" i="1"/>
  <c r="G17" i="47"/>
  <c r="BA19" i="44"/>
  <c r="BM16" i="49"/>
  <c r="E15" i="19"/>
  <c r="G15" i="18"/>
  <c r="H31" i="16"/>
  <c r="E9" i="29"/>
  <c r="E24" i="47"/>
  <c r="L26" i="1"/>
  <c r="BN26"/>
  <c r="BM26"/>
  <c r="BL26"/>
  <c r="G9" i="27"/>
  <c r="G13" s="1"/>
  <c r="J153" i="14"/>
  <c r="H153" i="15"/>
  <c r="H30"/>
  <c r="J30" s="1"/>
  <c r="J29" i="14"/>
  <c r="H29" i="15"/>
  <c r="H32" i="14"/>
  <c r="H32" i="15" s="1"/>
  <c r="J32" i="13"/>
  <c r="J27" i="15"/>
  <c r="H27" i="16"/>
  <c r="J77" i="15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G20" i="18" l="1"/>
  <c r="P20" i="1" s="1"/>
  <c r="G119" i="18"/>
  <c r="H119" s="1"/>
  <c r="J119" s="1"/>
  <c r="T6" i="45"/>
  <c r="T24" s="1"/>
  <c r="BD18" i="49" s="1"/>
  <c r="E30" i="18"/>
  <c r="G30" s="1"/>
  <c r="G19" i="19"/>
  <c r="U6" i="45" s="1"/>
  <c r="U24" s="1"/>
  <c r="BD19" i="49" s="1"/>
  <c r="F19" i="20"/>
  <c r="E19" i="21" s="1"/>
  <c r="I16" i="47"/>
  <c r="M16" s="1"/>
  <c r="S18" i="1"/>
  <c r="S36" s="1"/>
  <c r="P36"/>
  <c r="R18"/>
  <c r="R36" s="1"/>
  <c r="E20" i="44"/>
  <c r="P19" i="1"/>
  <c r="H32" i="16"/>
  <c r="J32" s="1"/>
  <c r="J32" i="15"/>
  <c r="H28" i="17"/>
  <c r="J28" s="1"/>
  <c r="O36" i="1"/>
  <c r="E7" i="23"/>
  <c r="G7" i="22"/>
  <c r="H23" i="1"/>
  <c r="L7" i="21"/>
  <c r="I13"/>
  <c r="B24" i="44"/>
  <c r="BC24" s="1"/>
  <c r="I59" i="21"/>
  <c r="G148"/>
  <c r="G152"/>
  <c r="G150"/>
  <c r="G144"/>
  <c r="G154"/>
  <c r="G146"/>
  <c r="E15" i="20"/>
  <c r="G15" i="19"/>
  <c r="BA20" i="44"/>
  <c r="BM17" i="49"/>
  <c r="D21" i="44"/>
  <c r="AN21"/>
  <c r="M20" i="1"/>
  <c r="E28" i="18"/>
  <c r="G28" s="1"/>
  <c r="G32" s="1"/>
  <c r="G129"/>
  <c r="H129" s="1"/>
  <c r="J129" s="1"/>
  <c r="H31" i="17"/>
  <c r="H31" i="18" s="1"/>
  <c r="H31" i="19" s="1"/>
  <c r="H31" i="20" s="1"/>
  <c r="J31" i="16"/>
  <c r="E25" i="47"/>
  <c r="G9" i="28"/>
  <c r="G13" s="1"/>
  <c r="E9" i="30"/>
  <c r="G9" i="29"/>
  <c r="G13" s="1"/>
  <c r="I60" i="27"/>
  <c r="J153" i="15"/>
  <c r="H153" i="16"/>
  <c r="H30"/>
  <c r="J30" s="1"/>
  <c r="H29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E21" i="44" l="1"/>
  <c r="E30" i="19"/>
  <c r="G30" s="1"/>
  <c r="G20"/>
  <c r="P21" i="1" s="1"/>
  <c r="F119" i="19"/>
  <c r="G119"/>
  <c r="H119" s="1"/>
  <c r="J119" s="1"/>
  <c r="I17" i="47"/>
  <c r="M17" s="1"/>
  <c r="S19" i="1"/>
  <c r="R19"/>
  <c r="BO19" s="1"/>
  <c r="G19" i="20"/>
  <c r="E19" i="22"/>
  <c r="I18" i="47"/>
  <c r="S20" i="1"/>
  <c r="R20"/>
  <c r="BO18"/>
  <c r="BO36" s="1"/>
  <c r="G7" i="23"/>
  <c r="E7" i="24"/>
  <c r="H28" i="18"/>
  <c r="J28" s="1"/>
  <c r="G146" i="22"/>
  <c r="I13"/>
  <c r="G152"/>
  <c r="I59"/>
  <c r="G150"/>
  <c r="H24" i="1"/>
  <c r="B25" i="44"/>
  <c r="BC25" s="1"/>
  <c r="G144" i="22"/>
  <c r="L7"/>
  <c r="G154"/>
  <c r="G148"/>
  <c r="G15" i="20"/>
  <c r="E15" i="21"/>
  <c r="E28" i="19"/>
  <c r="G28" s="1"/>
  <c r="D22" i="44"/>
  <c r="G129" i="19"/>
  <c r="H129" s="1"/>
  <c r="J129" s="1"/>
  <c r="M21" i="1"/>
  <c r="AN22" i="44"/>
  <c r="BG18" i="49"/>
  <c r="AT21" i="44"/>
  <c r="O20" i="1"/>
  <c r="G18" i="47"/>
  <c r="H31" i="21"/>
  <c r="J31" i="20"/>
  <c r="BL27" i="1"/>
  <c r="BN27"/>
  <c r="L27"/>
  <c r="BM27"/>
  <c r="I60" i="28"/>
  <c r="G9" i="30"/>
  <c r="G13" s="1"/>
  <c r="I60" i="29"/>
  <c r="E26" i="47"/>
  <c r="BN28" i="1"/>
  <c r="BL28"/>
  <c r="BM28"/>
  <c r="L28"/>
  <c r="J153" i="16"/>
  <c r="H153" i="17"/>
  <c r="H30"/>
  <c r="J30" s="1"/>
  <c r="H29"/>
  <c r="J29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H35" i="19" s="1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I16" s="1"/>
  <c r="H12" i="19"/>
  <c r="J12" i="18"/>
  <c r="H10"/>
  <c r="J10" i="17"/>
  <c r="J13" i="16"/>
  <c r="H13" i="17"/>
  <c r="H13" i="18" s="1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G19" i="21" l="1"/>
  <c r="F119" s="1"/>
  <c r="G32" i="19"/>
  <c r="E22" i="44"/>
  <c r="I19" i="47"/>
  <c r="R21" i="1"/>
  <c r="S21"/>
  <c r="G119" i="20"/>
  <c r="H119" s="1"/>
  <c r="V6" i="45"/>
  <c r="V24" s="1"/>
  <c r="BD20" i="49" s="1"/>
  <c r="F119" i="20"/>
  <c r="G20"/>
  <c r="E30"/>
  <c r="G30" s="1"/>
  <c r="BO20" i="1"/>
  <c r="E19" i="23"/>
  <c r="M18" i="47"/>
  <c r="H25" i="1"/>
  <c r="G150" i="23"/>
  <c r="G146"/>
  <c r="G148"/>
  <c r="I59"/>
  <c r="G154"/>
  <c r="G152"/>
  <c r="G144"/>
  <c r="I13"/>
  <c r="B26" i="44"/>
  <c r="BC26" s="1"/>
  <c r="G7" i="24"/>
  <c r="E7" i="25"/>
  <c r="E28" i="20"/>
  <c r="G28" s="1"/>
  <c r="M22" i="1"/>
  <c r="G129" i="20"/>
  <c r="H129" s="1"/>
  <c r="J129" s="1"/>
  <c r="AN23" i="44"/>
  <c r="D23"/>
  <c r="BA21"/>
  <c r="BM18" i="49"/>
  <c r="E15" i="22"/>
  <c r="G15" i="21"/>
  <c r="O21" i="1"/>
  <c r="G19" i="47"/>
  <c r="H28" i="19"/>
  <c r="J28" s="1"/>
  <c r="BG19" i="49"/>
  <c r="AT22" i="44"/>
  <c r="H31" i="22"/>
  <c r="J31" i="21"/>
  <c r="I60" i="30"/>
  <c r="E27" i="47"/>
  <c r="BL29" i="1"/>
  <c r="BM29"/>
  <c r="BN29"/>
  <c r="L29"/>
  <c r="E9" i="43"/>
  <c r="J153" i="17"/>
  <c r="H153" i="18"/>
  <c r="H30"/>
  <c r="H30" i="19" s="1"/>
  <c r="J30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/>
  <c r="J12" i="19"/>
  <c r="H12" i="20"/>
  <c r="H10" i="19"/>
  <c r="J10" i="18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G20" i="21" l="1"/>
  <c r="P23" i="1" s="1"/>
  <c r="BO21"/>
  <c r="E30" i="21"/>
  <c r="G30" s="1"/>
  <c r="M19" i="47"/>
  <c r="G119" i="21"/>
  <c r="H119" s="1"/>
  <c r="J119" s="1"/>
  <c r="W6" i="45"/>
  <c r="W24" s="1"/>
  <c r="BD21" i="49" s="1"/>
  <c r="G32" i="20"/>
  <c r="G19" i="22"/>
  <c r="G119" s="1"/>
  <c r="J119" i="20"/>
  <c r="E19" i="24"/>
  <c r="E23" i="44"/>
  <c r="P22" i="1"/>
  <c r="H26"/>
  <c r="B27" i="44"/>
  <c r="BC27" s="1"/>
  <c r="I13" i="24"/>
  <c r="G148"/>
  <c r="I59"/>
  <c r="G152"/>
  <c r="G154"/>
  <c r="G150"/>
  <c r="G144"/>
  <c r="G146"/>
  <c r="E7" i="40"/>
  <c r="G7" i="25"/>
  <c r="O22" i="1"/>
  <c r="G20" i="47"/>
  <c r="AN24" i="44"/>
  <c r="G129" i="21"/>
  <c r="H129" s="1"/>
  <c r="J129" s="1"/>
  <c r="D24" i="44"/>
  <c r="M23" i="1"/>
  <c r="E28" i="21"/>
  <c r="G28" s="1"/>
  <c r="AT23" i="44"/>
  <c r="BG20" i="49"/>
  <c r="BM19"/>
  <c r="BA22" i="44"/>
  <c r="H28" i="20"/>
  <c r="E15" i="23"/>
  <c r="G15" i="22"/>
  <c r="H31" i="23"/>
  <c r="J31" i="22"/>
  <c r="N9" i="43"/>
  <c r="G9"/>
  <c r="G13" s="1"/>
  <c r="I60" s="1"/>
  <c r="E28" i="47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E24" i="44" l="1"/>
  <c r="G32" i="21"/>
  <c r="E30" i="22"/>
  <c r="G30" s="1"/>
  <c r="X6" i="45"/>
  <c r="X24" s="1"/>
  <c r="BD22" i="49" s="1"/>
  <c r="G19" i="23"/>
  <c r="G20" s="1"/>
  <c r="G20" i="22"/>
  <c r="P24" i="1" s="1"/>
  <c r="F119" i="22"/>
  <c r="I21" i="47"/>
  <c r="R23" i="1"/>
  <c r="S23"/>
  <c r="H119" i="22"/>
  <c r="J119" s="1"/>
  <c r="I20" i="47"/>
  <c r="M20" s="1"/>
  <c r="R22" i="1"/>
  <c r="BO22" s="1"/>
  <c r="S22"/>
  <c r="N20" i="24"/>
  <c r="E19" i="25"/>
  <c r="G19" i="24"/>
  <c r="H28" i="21"/>
  <c r="J28" s="1"/>
  <c r="J28" i="20"/>
  <c r="G7" i="40"/>
  <c r="E7" i="27"/>
  <c r="B28" i="44"/>
  <c r="BC28" s="1"/>
  <c r="G150" i="25"/>
  <c r="G146"/>
  <c r="G148"/>
  <c r="I13"/>
  <c r="G152"/>
  <c r="I59"/>
  <c r="G154"/>
  <c r="H27" i="1"/>
  <c r="G144" i="25"/>
  <c r="AT24" i="44"/>
  <c r="BG21" i="49"/>
  <c r="BA23" i="44"/>
  <c r="BM20" i="49"/>
  <c r="E15" i="24"/>
  <c r="G15" i="23"/>
  <c r="O23" i="1"/>
  <c r="G21" i="47"/>
  <c r="M24" i="1"/>
  <c r="D25" i="44"/>
  <c r="G129" i="22"/>
  <c r="H129" s="1"/>
  <c r="J129" s="1"/>
  <c r="E28"/>
  <c r="G28" s="1"/>
  <c r="AN25" i="44"/>
  <c r="H31" i="24"/>
  <c r="H31" i="25" s="1"/>
  <c r="H31" i="40" s="1"/>
  <c r="H31" i="27" s="1"/>
  <c r="H31" i="28" s="1"/>
  <c r="J31" i="23"/>
  <c r="BL31" i="1"/>
  <c r="E29" i="47"/>
  <c r="G9" i="31"/>
  <c r="G13" s="1"/>
  <c r="I60" s="1"/>
  <c r="N9"/>
  <c r="H153" i="20"/>
  <c r="J153" i="19"/>
  <c r="H30" i="21"/>
  <c r="J30" s="1"/>
  <c r="J29" i="19"/>
  <c r="H29" i="20"/>
  <c r="J27"/>
  <c r="H27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G119" i="23" l="1"/>
  <c r="H119" s="1"/>
  <c r="J119" s="1"/>
  <c r="Y6" i="45"/>
  <c r="Y24" s="1"/>
  <c r="BD23" i="49" s="1"/>
  <c r="F119" i="23"/>
  <c r="G32" i="22"/>
  <c r="E30" i="23"/>
  <c r="G30" s="1"/>
  <c r="E25" i="44"/>
  <c r="BO23" i="1"/>
  <c r="G19" i="25"/>
  <c r="E19" i="40"/>
  <c r="G20" i="24"/>
  <c r="G119"/>
  <c r="H119" s="1"/>
  <c r="J119" s="1"/>
  <c r="Z6" i="45"/>
  <c r="Z24" s="1"/>
  <c r="BD24" i="49" s="1"/>
  <c r="E30" i="24"/>
  <c r="G30" s="1"/>
  <c r="I22" i="47"/>
  <c r="R24" i="1"/>
  <c r="S24"/>
  <c r="M21" i="47"/>
  <c r="E26" i="44"/>
  <c r="P25" i="1"/>
  <c r="H31" i="29"/>
  <c r="J31" s="1"/>
  <c r="J31" i="28"/>
  <c r="H28" i="1"/>
  <c r="G152" i="40"/>
  <c r="G154"/>
  <c r="G150"/>
  <c r="G144"/>
  <c r="N7"/>
  <c r="N11" s="1"/>
  <c r="I13"/>
  <c r="B29" i="44"/>
  <c r="BC29" s="1"/>
  <c r="I59" i="40"/>
  <c r="G148"/>
  <c r="G146"/>
  <c r="E7" i="28"/>
  <c r="G7" i="27"/>
  <c r="O24" i="1"/>
  <c r="G22" i="47"/>
  <c r="BA24" i="44"/>
  <c r="BM21" i="49"/>
  <c r="BG22"/>
  <c r="AT25" i="44"/>
  <c r="E15" i="25"/>
  <c r="G15" i="24"/>
  <c r="H28" i="22"/>
  <c r="J28" s="1"/>
  <c r="M25" i="1"/>
  <c r="D26" i="44"/>
  <c r="G129" i="23"/>
  <c r="H129" s="1"/>
  <c r="J129" s="1"/>
  <c r="AN26" i="44"/>
  <c r="E28" i="23"/>
  <c r="G28" s="1"/>
  <c r="L31" i="1"/>
  <c r="BN31"/>
  <c r="BM31"/>
  <c r="E30" i="47"/>
  <c r="BM32" i="1"/>
  <c r="BL32"/>
  <c r="BN32"/>
  <c r="L32"/>
  <c r="J153" i="20"/>
  <c r="H153" i="21"/>
  <c r="H30" i="22"/>
  <c r="J30" s="1"/>
  <c r="J29" i="20"/>
  <c r="H29" i="21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G32" i="23" l="1"/>
  <c r="BO24" i="1"/>
  <c r="E19" i="27"/>
  <c r="E30" i="25"/>
  <c r="G30" s="1"/>
  <c r="G20"/>
  <c r="G119"/>
  <c r="H119" s="1"/>
  <c r="J119" s="1"/>
  <c r="AA6" i="45"/>
  <c r="AA24" s="1"/>
  <c r="BD25" i="49" s="1"/>
  <c r="E27" i="44"/>
  <c r="P26" i="1"/>
  <c r="S25"/>
  <c r="R25"/>
  <c r="I23" i="47"/>
  <c r="M22"/>
  <c r="H31" i="30"/>
  <c r="H28" i="23"/>
  <c r="J28" s="1"/>
  <c r="G7" i="28"/>
  <c r="E7" i="29"/>
  <c r="F7" s="1"/>
  <c r="G152" i="27"/>
  <c r="G150"/>
  <c r="G146"/>
  <c r="B30" i="44"/>
  <c r="BC30" s="1"/>
  <c r="I59" i="27"/>
  <c r="H29" i="1"/>
  <c r="G148" i="27"/>
  <c r="I13"/>
  <c r="G154"/>
  <c r="G144"/>
  <c r="AN27" i="44"/>
  <c r="E28" i="24"/>
  <c r="G28" s="1"/>
  <c r="G32" s="1"/>
  <c r="D27" i="44"/>
  <c r="G129" i="24"/>
  <c r="H129" s="1"/>
  <c r="J129" s="1"/>
  <c r="M26" i="1"/>
  <c r="E15" i="40"/>
  <c r="G15" i="25"/>
  <c r="O25" i="1"/>
  <c r="BO25" s="1"/>
  <c r="G23" i="47"/>
  <c r="M23" s="1"/>
  <c r="AT26" i="44"/>
  <c r="BG23" i="49"/>
  <c r="BA25" i="44"/>
  <c r="BM22" i="49"/>
  <c r="J153" i="21"/>
  <c r="H153" i="22"/>
  <c r="H30" i="23"/>
  <c r="J30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G19" i="40" l="1"/>
  <c r="G119" s="1"/>
  <c r="H119" s="1"/>
  <c r="J119" s="1"/>
  <c r="E19" i="28"/>
  <c r="E28" i="44"/>
  <c r="P27" i="1"/>
  <c r="I24" i="47"/>
  <c r="S26" i="1"/>
  <c r="R26"/>
  <c r="H31" i="43"/>
  <c r="H31" i="50" s="1"/>
  <c r="J31" s="1"/>
  <c r="J31" i="30"/>
  <c r="B31" i="44"/>
  <c r="BC31" s="1"/>
  <c r="I59" i="28"/>
  <c r="G146"/>
  <c r="G152"/>
  <c r="H30" i="1"/>
  <c r="G154" i="28"/>
  <c r="G144"/>
  <c r="I13"/>
  <c r="G150"/>
  <c r="G148"/>
  <c r="E7" i="30"/>
  <c r="G7" i="29"/>
  <c r="BA26" i="44"/>
  <c r="BM23" i="49"/>
  <c r="BG24"/>
  <c r="AT27" i="44"/>
  <c r="O26" i="1"/>
  <c r="G24" i="47"/>
  <c r="E15" i="27"/>
  <c r="G15" i="40"/>
  <c r="H28" i="24"/>
  <c r="J28" s="1"/>
  <c r="G129" i="25"/>
  <c r="H129" s="1"/>
  <c r="J129" s="1"/>
  <c r="M27" i="1"/>
  <c r="AN28" i="44"/>
  <c r="E28" i="25"/>
  <c r="G28" s="1"/>
  <c r="G32" s="1"/>
  <c r="D28" i="44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s="1"/>
  <c r="G20" i="40"/>
  <c r="P28" i="1" s="1"/>
  <c r="AB6" i="45"/>
  <c r="AB24" s="1"/>
  <c r="BD26" i="49" s="1"/>
  <c r="E30" i="40"/>
  <c r="G30" s="1"/>
  <c r="H30" s="1"/>
  <c r="BO26" i="1"/>
  <c r="M24" i="47"/>
  <c r="F19" i="28"/>
  <c r="E19" i="29" s="1"/>
  <c r="S27" i="1"/>
  <c r="R27"/>
  <c r="I25" i="47"/>
  <c r="J31" i="43"/>
  <c r="H31" i="31"/>
  <c r="J31" s="1"/>
  <c r="G7" i="30"/>
  <c r="I59" i="29"/>
  <c r="B32" i="44"/>
  <c r="BC32" s="1"/>
  <c r="G150" i="29"/>
  <c r="H31" i="1"/>
  <c r="G152" i="29"/>
  <c r="G154"/>
  <c r="G146"/>
  <c r="G148"/>
  <c r="I13"/>
  <c r="G144"/>
  <c r="E28" i="40"/>
  <c r="G28" s="1"/>
  <c r="G129"/>
  <c r="H129" s="1"/>
  <c r="J129" s="1"/>
  <c r="AN29" i="44"/>
  <c r="M28" i="1"/>
  <c r="D29" i="44"/>
  <c r="O27" i="1"/>
  <c r="G25" i="47"/>
  <c r="BA27" i="44"/>
  <c r="BM24" i="49"/>
  <c r="H28" i="25"/>
  <c r="J28" s="1"/>
  <c r="BG25" i="49"/>
  <c r="AT28" i="44"/>
  <c r="E15" i="28"/>
  <c r="G15" i="27"/>
  <c r="H153" i="24"/>
  <c r="J153" i="23"/>
  <c r="J30" i="24"/>
  <c r="J29" i="23"/>
  <c r="H29" i="24"/>
  <c r="H128" i="25"/>
  <c r="J128" s="1"/>
  <c r="J128" i="24"/>
  <c r="J27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G32" i="40" l="1"/>
  <c r="G19" i="28"/>
  <c r="G119" s="1"/>
  <c r="H119" s="1"/>
  <c r="J119" s="1"/>
  <c r="G119" i="27"/>
  <c r="H119" s="1"/>
  <c r="J119" s="1"/>
  <c r="AC6" i="45"/>
  <c r="AC24" s="1"/>
  <c r="BD27" i="49" s="1"/>
  <c r="E30" i="27"/>
  <c r="G30" s="1"/>
  <c r="H30" s="1"/>
  <c r="M25" i="47"/>
  <c r="E29" i="44"/>
  <c r="E19" i="30"/>
  <c r="I26" i="47"/>
  <c r="R28" i="1"/>
  <c r="S28"/>
  <c r="E30" i="44"/>
  <c r="P29" i="1"/>
  <c r="E7" i="31"/>
  <c r="N7" i="43"/>
  <c r="H32" i="1"/>
  <c r="G152" i="30"/>
  <c r="B33" i="44"/>
  <c r="BC33" s="1"/>
  <c r="I13" i="30"/>
  <c r="G144"/>
  <c r="G150"/>
  <c r="G148"/>
  <c r="G154"/>
  <c r="G146"/>
  <c r="I59"/>
  <c r="AT29" i="44"/>
  <c r="BG26" i="49"/>
  <c r="G26" i="47"/>
  <c r="O28" i="1"/>
  <c r="BA28" i="44"/>
  <c r="BM25" i="49"/>
  <c r="BO27" i="1"/>
  <c r="E15" i="29"/>
  <c r="G15" i="28"/>
  <c r="AN30" i="44"/>
  <c r="M29" i="1"/>
  <c r="D30" i="44"/>
  <c r="G129" i="27"/>
  <c r="H129" s="1"/>
  <c r="J129" s="1"/>
  <c r="E28"/>
  <c r="G28" s="1"/>
  <c r="H28" i="40"/>
  <c r="J28" s="1"/>
  <c r="J13" i="25"/>
  <c r="H13" i="40"/>
  <c r="J60" i="23"/>
  <c r="H47" i="24"/>
  <c r="H47" i="25" s="1"/>
  <c r="J47" s="1"/>
  <c r="H153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G20" i="28" l="1"/>
  <c r="E31" i="44" s="1"/>
  <c r="G32" i="27"/>
  <c r="AD6" i="45"/>
  <c r="AD24" s="1"/>
  <c r="BD28" i="49" s="1"/>
  <c r="E30" i="28"/>
  <c r="G30" s="1"/>
  <c r="H30" s="1"/>
  <c r="BO28" i="1"/>
  <c r="M26" i="47"/>
  <c r="G19" i="29"/>
  <c r="G119" s="1"/>
  <c r="H119" s="1"/>
  <c r="J119" s="1"/>
  <c r="G19" i="30"/>
  <c r="I27" i="47"/>
  <c r="S29" i="1"/>
  <c r="R29"/>
  <c r="G7" i="31"/>
  <c r="N7"/>
  <c r="E28" i="28"/>
  <c r="G28" s="1"/>
  <c r="AN31" i="44"/>
  <c r="M30" i="1"/>
  <c r="G129" i="28"/>
  <c r="H129" s="1"/>
  <c r="J129" s="1"/>
  <c r="D31" i="44"/>
  <c r="E15" i="30"/>
  <c r="G15" i="29"/>
  <c r="BG27" i="49"/>
  <c r="AT30" i="44"/>
  <c r="H28" i="27"/>
  <c r="J28" s="1"/>
  <c r="O29" i="1"/>
  <c r="G27" i="47"/>
  <c r="BA29" i="44"/>
  <c r="BM26" i="49"/>
  <c r="J153" i="25"/>
  <c r="H153" i="40"/>
  <c r="H29"/>
  <c r="J29" i="25"/>
  <c r="H32"/>
  <c r="J32" i="24"/>
  <c r="J27" i="40"/>
  <c r="H27" i="27"/>
  <c r="J30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G32" i="28" l="1"/>
  <c r="P30" i="1"/>
  <c r="S30" s="1"/>
  <c r="M27" i="47"/>
  <c r="G20" i="29"/>
  <c r="E32" i="44" s="1"/>
  <c r="AE6" i="45"/>
  <c r="AE24" s="1"/>
  <c r="BD29" i="49" s="1"/>
  <c r="E30" i="29"/>
  <c r="G30" s="1"/>
  <c r="H30" s="1"/>
  <c r="G20" i="30"/>
  <c r="G119"/>
  <c r="H119" s="1"/>
  <c r="J119" s="1"/>
  <c r="AF6" i="45"/>
  <c r="AF24" s="1"/>
  <c r="BD30" i="49" s="1"/>
  <c r="E30" i="30"/>
  <c r="G30" s="1"/>
  <c r="E19" i="43"/>
  <c r="H34" i="1"/>
  <c r="B35" i="44"/>
  <c r="BC35" s="1"/>
  <c r="G154" i="31"/>
  <c r="G146"/>
  <c r="G152"/>
  <c r="G148"/>
  <c r="G150"/>
  <c r="G144"/>
  <c r="I59"/>
  <c r="I13"/>
  <c r="BA30" i="44"/>
  <c r="BM27" i="49"/>
  <c r="AT31" i="44"/>
  <c r="BG28" i="49"/>
  <c r="BO29" i="1"/>
  <c r="O30"/>
  <c r="G28" i="47"/>
  <c r="G15" i="30"/>
  <c r="E15" i="43"/>
  <c r="H28" i="28"/>
  <c r="J28" s="1"/>
  <c r="D32" i="44"/>
  <c r="E28" i="29"/>
  <c r="G28" s="1"/>
  <c r="M31" i="1"/>
  <c r="G129" i="29"/>
  <c r="AN32" i="44"/>
  <c r="J153" i="40"/>
  <c r="H153" i="27"/>
  <c r="J29" i="40"/>
  <c r="H29" i="27"/>
  <c r="H32" i="40"/>
  <c r="J32" i="25"/>
  <c r="J27" i="27"/>
  <c r="H27" i="28"/>
  <c r="J30"/>
  <c r="H24" i="30"/>
  <c r="J24" i="29"/>
  <c r="H23" i="28"/>
  <c r="J23" i="27"/>
  <c r="J22" i="30"/>
  <c r="H22" i="43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34" i="43"/>
  <c r="H85" i="50" s="1"/>
  <c r="J85" s="1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22" i="31" l="1"/>
  <c r="J22" s="1"/>
  <c r="H22" i="50"/>
  <c r="J22" s="1"/>
  <c r="R30" i="1"/>
  <c r="BO30" s="1"/>
  <c r="G32" i="29"/>
  <c r="I28" i="47"/>
  <c r="M28" s="1"/>
  <c r="P31" i="1"/>
  <c r="S31" s="1"/>
  <c r="E33" i="44"/>
  <c r="P32" i="1"/>
  <c r="G19" i="43"/>
  <c r="H28" i="29"/>
  <c r="J28" s="1"/>
  <c r="AT32" i="44"/>
  <c r="BG29" i="49"/>
  <c r="G129" i="30"/>
  <c r="M32" i="1"/>
  <c r="E28" i="30"/>
  <c r="G28" s="1"/>
  <c r="G32" s="1"/>
  <c r="D33" i="44"/>
  <c r="AN33"/>
  <c r="BM28" i="49"/>
  <c r="BA31" i="44"/>
  <c r="N15" i="43"/>
  <c r="G15"/>
  <c r="O31" i="1"/>
  <c r="G29" i="47"/>
  <c r="H134" i="31"/>
  <c r="J134" s="1"/>
  <c r="H153" i="28"/>
  <c r="J153" i="27"/>
  <c r="H29" i="28"/>
  <c r="J29" i="27"/>
  <c r="J27" i="28"/>
  <c r="H27" i="29"/>
  <c r="J32" i="40"/>
  <c r="H32" i="27"/>
  <c r="J30" i="29"/>
  <c r="H30" i="30"/>
  <c r="H24" i="43"/>
  <c r="J24" i="30"/>
  <c r="H23" i="29"/>
  <c r="J23" i="28"/>
  <c r="J22" i="43"/>
  <c r="J95" i="29"/>
  <c r="H95" i="30"/>
  <c r="J18" i="28"/>
  <c r="H18" i="29"/>
  <c r="H18" i="30" s="1"/>
  <c r="H18" i="43" s="1"/>
  <c r="H18" i="50" s="1"/>
  <c r="J18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H24" i="31" l="1"/>
  <c r="J24" s="1"/>
  <c r="H24" i="50"/>
  <c r="J24" s="1"/>
  <c r="I29" i="47"/>
  <c r="M29" s="1"/>
  <c r="R31" i="1"/>
  <c r="BO31" s="1"/>
  <c r="I30" i="47"/>
  <c r="S32" i="1"/>
  <c r="R32"/>
  <c r="G119" i="43"/>
  <c r="H119" s="1"/>
  <c r="J119" s="1"/>
  <c r="G20"/>
  <c r="AG6" i="45"/>
  <c r="AG24" s="1"/>
  <c r="BD31" i="49" s="1"/>
  <c r="E30" i="43"/>
  <c r="G30" s="1"/>
  <c r="H30" s="1"/>
  <c r="H30" i="50" s="1"/>
  <c r="J30" s="1"/>
  <c r="N19" i="43"/>
  <c r="E19" i="31"/>
  <c r="H28" i="30"/>
  <c r="J28" s="1"/>
  <c r="BA32" i="44"/>
  <c r="BM29" i="49"/>
  <c r="D34" i="44"/>
  <c r="M33" i="1"/>
  <c r="AN34" i="44"/>
  <c r="E28" i="43"/>
  <c r="G28" s="1"/>
  <c r="G129"/>
  <c r="O32" i="1"/>
  <c r="G30" i="47"/>
  <c r="BG30" i="49"/>
  <c r="AT33" i="44"/>
  <c r="J153" i="28"/>
  <c r="H153" i="29"/>
  <c r="J29" i="28"/>
  <c r="H29" i="29"/>
  <c r="H32" i="28"/>
  <c r="J32" i="27"/>
  <c r="J27" i="29"/>
  <c r="H27" i="30"/>
  <c r="J30"/>
  <c r="J24" i="43"/>
  <c r="J23" i="29"/>
  <c r="H23" i="30"/>
  <c r="J95"/>
  <c r="H95" i="43"/>
  <c r="J18" i="29"/>
  <c r="J56" i="28"/>
  <c r="H56" i="29"/>
  <c r="J131"/>
  <c r="H131" i="30"/>
  <c r="H132" i="43"/>
  <c r="H83" i="50" s="1"/>
  <c r="J83" s="1"/>
  <c r="J132" i="30"/>
  <c r="H138"/>
  <c r="J138" i="29"/>
  <c r="H137" i="30"/>
  <c r="J137" i="29"/>
  <c r="J93"/>
  <c r="H93" i="30"/>
  <c r="J77"/>
  <c r="H77" i="43"/>
  <c r="H77" i="31" s="1"/>
  <c r="J68" i="30"/>
  <c r="H68" i="43"/>
  <c r="H68" i="31" s="1"/>
  <c r="J62" i="29"/>
  <c r="H62" i="30"/>
  <c r="H64"/>
  <c r="J64" i="29"/>
  <c r="H57" i="43"/>
  <c r="J57" i="30"/>
  <c r="J50" i="28"/>
  <c r="H50" i="29"/>
  <c r="J36" i="28"/>
  <c r="H36" i="29"/>
  <c r="H37"/>
  <c r="J37" i="28"/>
  <c r="J38" i="29"/>
  <c r="H38" i="30"/>
  <c r="H44" i="29"/>
  <c r="J44" i="28"/>
  <c r="J45" i="30"/>
  <c r="H45" i="43"/>
  <c r="H35" i="30"/>
  <c r="J35" i="29"/>
  <c r="J40"/>
  <c r="H40" i="30"/>
  <c r="H20" i="28"/>
  <c r="J20" i="27"/>
  <c r="J11" i="30"/>
  <c r="H11" i="43"/>
  <c r="H11" i="50" s="1"/>
  <c r="J11" s="1"/>
  <c r="H9" i="30"/>
  <c r="J9" i="29"/>
  <c r="H19" i="43"/>
  <c r="H19" i="50" s="1"/>
  <c r="J19" s="1"/>
  <c r="J19" i="30"/>
  <c r="J141"/>
  <c r="H141" i="43"/>
  <c r="H92" i="50" s="1"/>
  <c r="J92" s="1"/>
  <c r="J140" i="28"/>
  <c r="H140" i="29"/>
  <c r="H139" i="43"/>
  <c r="H90" i="50" s="1"/>
  <c r="J90" s="1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J81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H12" i="50" s="1"/>
  <c r="J12" s="1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95" i="31" l="1"/>
  <c r="N95" s="1"/>
  <c r="H64" i="50"/>
  <c r="J64" s="1"/>
  <c r="H43" i="31"/>
  <c r="H43" i="50"/>
  <c r="J43" s="1"/>
  <c r="H57" i="31"/>
  <c r="H57" i="50"/>
  <c r="J57" s="1"/>
  <c r="H45" i="31"/>
  <c r="H45" i="50"/>
  <c r="J45" s="1"/>
  <c r="G32" i="43"/>
  <c r="BO32" i="1"/>
  <c r="N19" i="31"/>
  <c r="G19"/>
  <c r="H19" s="1"/>
  <c r="J19" s="1"/>
  <c r="M30" i="47"/>
  <c r="P33" i="1"/>
  <c r="E34" i="44"/>
  <c r="H28" i="43"/>
  <c r="O33" i="1"/>
  <c r="O35" s="1"/>
  <c r="G31" i="47"/>
  <c r="M35" i="1"/>
  <c r="BA33" i="44"/>
  <c r="BM30" i="49"/>
  <c r="AT34" i="44"/>
  <c r="BG31" i="49"/>
  <c r="H12" i="31"/>
  <c r="J12" s="1"/>
  <c r="H132"/>
  <c r="J132" s="1"/>
  <c r="H11"/>
  <c r="J11" s="1"/>
  <c r="H139"/>
  <c r="J139" s="1"/>
  <c r="H141"/>
  <c r="J141" s="1"/>
  <c r="J68"/>
  <c r="N68"/>
  <c r="J43"/>
  <c r="N43"/>
  <c r="J45"/>
  <c r="N45"/>
  <c r="J153" i="29"/>
  <c r="H153" i="30"/>
  <c r="J81" i="31"/>
  <c r="N81"/>
  <c r="J77"/>
  <c r="N77"/>
  <c r="BH35" i="1"/>
  <c r="BP35" s="1"/>
  <c r="BQ35" s="1"/>
  <c r="J29" i="29"/>
  <c r="H29" i="30"/>
  <c r="H32" i="29"/>
  <c r="J32" i="28"/>
  <c r="H27" i="43"/>
  <c r="J27" i="30"/>
  <c r="J30" i="43"/>
  <c r="H23"/>
  <c r="J23" i="30"/>
  <c r="J95" i="43"/>
  <c r="J18" i="30"/>
  <c r="J56" i="29"/>
  <c r="H56" i="30"/>
  <c r="H138" i="43"/>
  <c r="H89" i="50" s="1"/>
  <c r="J89" s="1"/>
  <c r="J138" i="30"/>
  <c r="H131" i="43"/>
  <c r="H82" i="50" s="1"/>
  <c r="J82" s="1"/>
  <c r="J131" i="30"/>
  <c r="H137" i="43"/>
  <c r="H88" i="50" s="1"/>
  <c r="J88" s="1"/>
  <c r="J137" i="30"/>
  <c r="J132" i="43"/>
  <c r="H93"/>
  <c r="J93" i="30"/>
  <c r="J77" i="43"/>
  <c r="H64"/>
  <c r="H64" i="31" s="1"/>
  <c r="J64" i="30"/>
  <c r="H62" i="43"/>
  <c r="H62" i="31" s="1"/>
  <c r="J62" i="30"/>
  <c r="J68" i="43"/>
  <c r="H50" i="30"/>
  <c r="J50" i="29"/>
  <c r="J57" i="43"/>
  <c r="J36" i="29"/>
  <c r="H36" i="30"/>
  <c r="H36" i="43" s="1"/>
  <c r="H36" i="50" s="1"/>
  <c r="J36" s="1"/>
  <c r="J37" i="29"/>
  <c r="H37" i="30"/>
  <c r="H38" i="43"/>
  <c r="H38" i="50" s="1"/>
  <c r="J38" s="1"/>
  <c r="J38" i="30"/>
  <c r="J40"/>
  <c r="H40" i="43"/>
  <c r="H40" i="50" s="1"/>
  <c r="J40" s="1"/>
  <c r="J45" i="43"/>
  <c r="H44" i="30"/>
  <c r="J44" i="29"/>
  <c r="J35" i="30"/>
  <c r="H35" i="43"/>
  <c r="H35" i="50" s="1"/>
  <c r="J35" s="1"/>
  <c r="H20" i="29"/>
  <c r="J20" i="28"/>
  <c r="J11" i="43"/>
  <c r="H9"/>
  <c r="H9" i="50" s="1"/>
  <c r="J9" s="1"/>
  <c r="J9" i="30"/>
  <c r="J19" i="43"/>
  <c r="J141"/>
  <c r="J140" i="29"/>
  <c r="H140" i="30"/>
  <c r="J139" i="43"/>
  <c r="J136" i="30"/>
  <c r="H136" i="43"/>
  <c r="H87" i="50" s="1"/>
  <c r="J87" s="1"/>
  <c r="H135" i="30"/>
  <c r="J135" i="29"/>
  <c r="H133" i="43"/>
  <c r="H84" i="50" s="1"/>
  <c r="J84" s="1"/>
  <c r="J133" i="30"/>
  <c r="J126"/>
  <c r="H126" i="43"/>
  <c r="H128"/>
  <c r="J128" i="30"/>
  <c r="H127" i="43"/>
  <c r="J127" i="30"/>
  <c r="J125"/>
  <c r="H125" i="43"/>
  <c r="J124" i="30"/>
  <c r="H124" i="43"/>
  <c r="H101"/>
  <c r="J101" i="30"/>
  <c r="J100"/>
  <c r="H100" i="43"/>
  <c r="H99"/>
  <c r="J99" i="30"/>
  <c r="H98" i="43"/>
  <c r="J98" i="30"/>
  <c r="H97" i="43"/>
  <c r="J97" i="30"/>
  <c r="J102"/>
  <c r="H102" i="43"/>
  <c r="J96" i="29"/>
  <c r="H96" i="30"/>
  <c r="J94" i="29"/>
  <c r="H94" i="30"/>
  <c r="J85" i="29"/>
  <c r="H85" i="30"/>
  <c r="H84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/>
  <c r="H66" i="43"/>
  <c r="H66" i="31" s="1"/>
  <c r="J65" i="30"/>
  <c r="H65" i="43"/>
  <c r="H65" i="31" s="1"/>
  <c r="H63" i="43"/>
  <c r="H63" i="31" s="1"/>
  <c r="J63" i="30"/>
  <c r="J58"/>
  <c r="H58" i="43"/>
  <c r="H58" i="50" s="1"/>
  <c r="J58" s="1"/>
  <c r="J55" i="29"/>
  <c r="H55" i="30"/>
  <c r="J54" i="29"/>
  <c r="H54" i="30"/>
  <c r="H53" i="43"/>
  <c r="J53" i="30"/>
  <c r="H149"/>
  <c r="J149" i="29"/>
  <c r="H52" i="43"/>
  <c r="J52" i="30"/>
  <c r="H51" i="43"/>
  <c r="J51" i="30"/>
  <c r="H49" i="43"/>
  <c r="J49" i="30"/>
  <c r="J59"/>
  <c r="H59" i="43"/>
  <c r="H46"/>
  <c r="J46" i="30"/>
  <c r="H143" i="43"/>
  <c r="H94" i="50" s="1"/>
  <c r="J94" s="1"/>
  <c r="J143" i="30"/>
  <c r="J43" i="43"/>
  <c r="H42" i="30"/>
  <c r="J42" i="29"/>
  <c r="J145" i="30"/>
  <c r="H145" i="43"/>
  <c r="H96" i="50" s="1"/>
  <c r="J96" s="1"/>
  <c r="J41" i="29"/>
  <c r="H41" i="30"/>
  <c r="H60" i="28"/>
  <c r="J60" i="27"/>
  <c r="J147" i="29"/>
  <c r="H147" i="30"/>
  <c r="J39"/>
  <c r="H39" i="43"/>
  <c r="H39" i="50" s="1"/>
  <c r="J39" s="1"/>
  <c r="J47" i="28"/>
  <c r="H151" i="43"/>
  <c r="H102" i="50" s="1"/>
  <c r="J102" s="1"/>
  <c r="J151" i="30"/>
  <c r="J15" i="29"/>
  <c r="I16" s="1"/>
  <c r="H15" i="30"/>
  <c r="J12" i="43"/>
  <c r="H10"/>
  <c r="H10" i="50" s="1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J95" i="31" l="1"/>
  <c r="H127"/>
  <c r="J127" s="1"/>
  <c r="H77" i="50"/>
  <c r="J77" s="1"/>
  <c r="H53" i="31"/>
  <c r="H53" i="50"/>
  <c r="J53" s="1"/>
  <c r="H23" i="31"/>
  <c r="J23" s="1"/>
  <c r="H23" i="50"/>
  <c r="J23" s="1"/>
  <c r="H97" i="31"/>
  <c r="J97" s="1"/>
  <c r="H66" i="50"/>
  <c r="J66" s="1"/>
  <c r="H101" i="31"/>
  <c r="H70" i="50"/>
  <c r="J70" s="1"/>
  <c r="H128" i="31"/>
  <c r="J128" s="1"/>
  <c r="H78" i="50"/>
  <c r="J78" s="1"/>
  <c r="H51" i="31"/>
  <c r="N51" s="1"/>
  <c r="H51" i="50"/>
  <c r="J51" s="1"/>
  <c r="H124" i="31"/>
  <c r="J124" s="1"/>
  <c r="H74" i="50"/>
  <c r="J74" s="1"/>
  <c r="H126" i="31"/>
  <c r="N126" s="1"/>
  <c r="H76" i="50"/>
  <c r="J76" s="1"/>
  <c r="H49" i="31"/>
  <c r="H49" i="50"/>
  <c r="J49" s="1"/>
  <c r="H98" i="31"/>
  <c r="J98" s="1"/>
  <c r="H67" i="50"/>
  <c r="J67" s="1"/>
  <c r="H93" i="31"/>
  <c r="J93" s="1"/>
  <c r="H62" i="50"/>
  <c r="J62" s="1"/>
  <c r="H27" i="31"/>
  <c r="J27" s="1"/>
  <c r="H27" i="50"/>
  <c r="J27" s="1"/>
  <c r="J28" i="43"/>
  <c r="H28" i="50"/>
  <c r="J28" s="1"/>
  <c r="H46" i="31"/>
  <c r="J46" s="1"/>
  <c r="H46" i="50"/>
  <c r="J46" s="1"/>
  <c r="H52" i="31"/>
  <c r="J52" s="1"/>
  <c r="H52" i="50"/>
  <c r="J52" s="1"/>
  <c r="H125" i="31"/>
  <c r="H75" i="50"/>
  <c r="J75" s="1"/>
  <c r="H59" i="31"/>
  <c r="N59" s="1"/>
  <c r="H59" i="50"/>
  <c r="J59" s="1"/>
  <c r="H99" i="31"/>
  <c r="J99" s="1"/>
  <c r="H68" i="50"/>
  <c r="J68" s="1"/>
  <c r="H102" i="31"/>
  <c r="N102" s="1"/>
  <c r="H71" i="50"/>
  <c r="J71" s="1"/>
  <c r="H100" i="31"/>
  <c r="N100" s="1"/>
  <c r="H69" i="50"/>
  <c r="J69" s="1"/>
  <c r="E30" i="31"/>
  <c r="G30" s="1"/>
  <c r="G119"/>
  <c r="H119" s="1"/>
  <c r="G20"/>
  <c r="AH6" i="45"/>
  <c r="AH24" s="1"/>
  <c r="BD32" i="49" s="1"/>
  <c r="I31" i="47"/>
  <c r="S33" i="1"/>
  <c r="R33"/>
  <c r="H28" i="31"/>
  <c r="J28" s="1"/>
  <c r="BA34" i="44"/>
  <c r="BM31" i="49"/>
  <c r="H9" i="3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79"/>
  <c r="N79"/>
  <c r="N128"/>
  <c r="J53"/>
  <c r="N53"/>
  <c r="J65"/>
  <c r="N65"/>
  <c r="J66"/>
  <c r="N66"/>
  <c r="J67"/>
  <c r="N67"/>
  <c r="N98"/>
  <c r="J101"/>
  <c r="N101"/>
  <c r="J64"/>
  <c r="N64"/>
  <c r="J153" i="30"/>
  <c r="H153" i="43"/>
  <c r="J75" i="31"/>
  <c r="N75"/>
  <c r="J78"/>
  <c r="N78"/>
  <c r="J80"/>
  <c r="N80"/>
  <c r="J126"/>
  <c r="J57"/>
  <c r="N57"/>
  <c r="N127"/>
  <c r="J49"/>
  <c r="N49"/>
  <c r="J63"/>
  <c r="N63"/>
  <c r="J74"/>
  <c r="N74"/>
  <c r="J76"/>
  <c r="N76"/>
  <c r="J82"/>
  <c r="N82"/>
  <c r="J83"/>
  <c r="N83"/>
  <c r="J125"/>
  <c r="N125"/>
  <c r="J62"/>
  <c r="N62"/>
  <c r="J29" i="30"/>
  <c r="H29" i="43"/>
  <c r="H32" i="30"/>
  <c r="J32" i="29"/>
  <c r="J27" i="43"/>
  <c r="J23"/>
  <c r="J18"/>
  <c r="J56" i="30"/>
  <c r="H56" i="43"/>
  <c r="J137"/>
  <c r="J138"/>
  <c r="J131"/>
  <c r="J93"/>
  <c r="J64"/>
  <c r="J62"/>
  <c r="H50"/>
  <c r="J50" i="30"/>
  <c r="J36"/>
  <c r="H37" i="43"/>
  <c r="H37" i="50" s="1"/>
  <c r="J37" s="1"/>
  <c r="J37" i="30"/>
  <c r="J35" i="43"/>
  <c r="J40"/>
  <c r="H44"/>
  <c r="J44" i="30"/>
  <c r="J38" i="43"/>
  <c r="H20" i="30"/>
  <c r="H20" i="43" s="1"/>
  <c r="H20" i="50" s="1"/>
  <c r="J20" s="1"/>
  <c r="I20" s="1"/>
  <c r="J20" i="29"/>
  <c r="J9" i="43"/>
  <c r="H140"/>
  <c r="H91" i="50" s="1"/>
  <c r="J91" s="1"/>
  <c r="J140" i="30"/>
  <c r="J136" i="43"/>
  <c r="J135" i="30"/>
  <c r="H135" i="43"/>
  <c r="J133"/>
  <c r="J126"/>
  <c r="J128"/>
  <c r="J127"/>
  <c r="J125"/>
  <c r="J124"/>
  <c r="J101"/>
  <c r="J100"/>
  <c r="J99"/>
  <c r="J98"/>
  <c r="J97"/>
  <c r="J96" i="30"/>
  <c r="H96" i="43"/>
  <c r="J102"/>
  <c r="H94"/>
  <c r="J94" i="30"/>
  <c r="H84" i="43"/>
  <c r="H84" i="31" s="1"/>
  <c r="J84" i="30"/>
  <c r="J85"/>
  <c r="H85" i="43"/>
  <c r="H85" i="31" s="1"/>
  <c r="J83" i="43"/>
  <c r="J82"/>
  <c r="J80"/>
  <c r="J78"/>
  <c r="J79"/>
  <c r="J76"/>
  <c r="J75"/>
  <c r="J74"/>
  <c r="J73" i="30"/>
  <c r="H73" i="43"/>
  <c r="H73" i="31" s="1"/>
  <c r="J72" i="30"/>
  <c r="H72" i="43"/>
  <c r="H72" i="31" s="1"/>
  <c r="H69" i="43"/>
  <c r="H69" i="31" s="1"/>
  <c r="J69" i="30"/>
  <c r="J67" i="43"/>
  <c r="J66"/>
  <c r="J65"/>
  <c r="J63"/>
  <c r="J58"/>
  <c r="H55"/>
  <c r="J55" i="30"/>
  <c r="J54"/>
  <c r="H54" i="43"/>
  <c r="J53"/>
  <c r="H149"/>
  <c r="H100" i="50" s="1"/>
  <c r="J100" s="1"/>
  <c r="J149" i="30"/>
  <c r="J52" i="43"/>
  <c r="J51"/>
  <c r="J49"/>
  <c r="J59"/>
  <c r="J46"/>
  <c r="J143"/>
  <c r="J42" i="30"/>
  <c r="H42" i="43"/>
  <c r="J145"/>
  <c r="J41" i="30"/>
  <c r="H41" i="43"/>
  <c r="J39"/>
  <c r="J47" i="29"/>
  <c r="H47" i="30"/>
  <c r="H147" i="43"/>
  <c r="H98" i="50" s="1"/>
  <c r="J98" s="1"/>
  <c r="J147" i="30"/>
  <c r="H60" i="29"/>
  <c r="J60" i="28"/>
  <c r="J151" i="43"/>
  <c r="J15" i="30"/>
  <c r="I16" s="1"/>
  <c r="H15" i="43"/>
  <c r="H15" i="50" s="1"/>
  <c r="J15" s="1"/>
  <c r="I16" s="1"/>
  <c r="J10" i="43"/>
  <c r="J13" i="30"/>
  <c r="H13" i="43"/>
  <c r="H13" i="50" s="1"/>
  <c r="J13" s="1"/>
  <c r="J144" i="30"/>
  <c r="J146"/>
  <c r="J148"/>
  <c r="J150"/>
  <c r="J7"/>
  <c r="I9" s="1"/>
  <c r="J51" i="31" l="1"/>
  <c r="N99"/>
  <c r="N46"/>
  <c r="J100"/>
  <c r="J102"/>
  <c r="J59"/>
  <c r="N52"/>
  <c r="N124"/>
  <c r="N93"/>
  <c r="N97"/>
  <c r="H153"/>
  <c r="J153" s="1"/>
  <c r="H104" i="50"/>
  <c r="J104" s="1"/>
  <c r="H54" i="31"/>
  <c r="N54" s="1"/>
  <c r="H54" i="50"/>
  <c r="J54" s="1"/>
  <c r="H41" i="31"/>
  <c r="J41" s="1"/>
  <c r="H41" i="50"/>
  <c r="J41" s="1"/>
  <c r="H29" i="31"/>
  <c r="H29" i="50"/>
  <c r="J29" s="1"/>
  <c r="H55" i="31"/>
  <c r="N55" s="1"/>
  <c r="H55" i="50"/>
  <c r="J55" s="1"/>
  <c r="H135" i="31"/>
  <c r="H86" i="50"/>
  <c r="J86" s="1"/>
  <c r="H56" i="31"/>
  <c r="J56" s="1"/>
  <c r="H56" i="50"/>
  <c r="J56" s="1"/>
  <c r="H94" i="31"/>
  <c r="N94" s="1"/>
  <c r="H63" i="50"/>
  <c r="J63" s="1"/>
  <c r="H50" i="31"/>
  <c r="N50" s="1"/>
  <c r="H50" i="50"/>
  <c r="J50" s="1"/>
  <c r="H42" i="31"/>
  <c r="N42" s="1"/>
  <c r="H42" i="50"/>
  <c r="J42" s="1"/>
  <c r="H44" i="31"/>
  <c r="J44" s="1"/>
  <c r="H44" i="50"/>
  <c r="J44" s="1"/>
  <c r="H96" i="31"/>
  <c r="N96" s="1"/>
  <c r="H65" i="50"/>
  <c r="J65" s="1"/>
  <c r="H20" i="31"/>
  <c r="J20" s="1"/>
  <c r="N119"/>
  <c r="J119"/>
  <c r="P34" i="1"/>
  <c r="E35" i="44"/>
  <c r="G32" i="31"/>
  <c r="H30"/>
  <c r="J30" s="1"/>
  <c r="H15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69"/>
  <c r="N69"/>
  <c r="J73"/>
  <c r="N73"/>
  <c r="J84"/>
  <c r="N84"/>
  <c r="J153" i="43"/>
  <c r="J72" i="31"/>
  <c r="N72"/>
  <c r="J85"/>
  <c r="N85"/>
  <c r="N44"/>
  <c r="J135" i="43"/>
  <c r="J135" i="31"/>
  <c r="J29"/>
  <c r="J29" i="43"/>
  <c r="H32"/>
  <c r="H32" i="50" s="1"/>
  <c r="J32" s="1"/>
  <c r="J56" i="43"/>
  <c r="J50"/>
  <c r="J36"/>
  <c r="J37"/>
  <c r="J44"/>
  <c r="J20" i="30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7" i="43"/>
  <c r="J15"/>
  <c r="I16" s="1"/>
  <c r="J13"/>
  <c r="J54" i="31" l="1"/>
  <c r="J42"/>
  <c r="J94"/>
  <c r="J96"/>
  <c r="N56"/>
  <c r="J55"/>
  <c r="J50"/>
  <c r="H47"/>
  <c r="J47" s="1"/>
  <c r="H47" i="50"/>
  <c r="J47" s="1"/>
  <c r="I32" i="47"/>
  <c r="R34" i="1"/>
  <c r="S34"/>
  <c r="S35" s="1"/>
  <c r="P35"/>
  <c r="H32" i="31"/>
  <c r="J32" s="1"/>
  <c r="J32" i="43"/>
  <c r="J20"/>
  <c r="J60" i="30"/>
  <c r="H60" i="43"/>
  <c r="J47"/>
  <c r="N47" i="31" l="1"/>
  <c r="H60"/>
  <c r="N60" s="1"/>
  <c r="H60" i="50"/>
  <c r="J60" s="1"/>
  <c r="R35" i="1"/>
  <c r="BO34"/>
  <c r="J60" i="43"/>
  <c r="J60" i="31" l="1"/>
  <c r="H8" i="33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H8" i="50" s="1"/>
  <c r="J8" s="1"/>
  <c r="J8" i="30"/>
  <c r="H8" i="31" l="1"/>
  <c r="J8" s="1"/>
  <c r="J8" i="43"/>
  <c r="I18" i="9" l="1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H35" l="1"/>
  <c r="L33"/>
  <c r="BL33"/>
  <c r="BN33"/>
  <c r="BM33"/>
  <c r="H7" i="43"/>
  <c r="B34" i="44"/>
  <c r="G150" i="43"/>
  <c r="H150" s="1"/>
  <c r="G148"/>
  <c r="H148" s="1"/>
  <c r="G152"/>
  <c r="H152" s="1"/>
  <c r="E31" i="47"/>
  <c r="I59" i="43"/>
  <c r="G146"/>
  <c r="H146" s="1"/>
  <c r="G144"/>
  <c r="H144" s="1"/>
  <c r="I13"/>
  <c r="G154"/>
  <c r="H154" s="1"/>
  <c r="BC34" i="44" l="1"/>
  <c r="H150" i="31"/>
  <c r="J150" s="1"/>
  <c r="H101" i="50"/>
  <c r="J101" s="1"/>
  <c r="H7" i="31"/>
  <c r="J7" s="1"/>
  <c r="I9" s="1"/>
  <c r="H7" i="50"/>
  <c r="J7" s="1"/>
  <c r="I9" s="1"/>
  <c r="H144" i="31"/>
  <c r="J144" s="1"/>
  <c r="H95" i="50"/>
  <c r="J95" s="1"/>
  <c r="H154" i="31"/>
  <c r="J154" s="1"/>
  <c r="H105" i="50"/>
  <c r="J105" s="1"/>
  <c r="H146" i="31"/>
  <c r="J146" s="1"/>
  <c r="H97" i="50"/>
  <c r="J97" s="1"/>
  <c r="H152" i="31"/>
  <c r="J152" s="1"/>
  <c r="H103" i="50"/>
  <c r="J103" s="1"/>
  <c r="H148" i="31"/>
  <c r="J148" s="1"/>
  <c r="H99" i="50"/>
  <c r="J99" s="1"/>
  <c r="K35" i="1"/>
  <c r="BO33"/>
  <c r="BO35" s="1"/>
  <c r="M31" i="47"/>
  <c r="I35" i="1"/>
  <c r="I37" s="1"/>
  <c r="J150" i="43"/>
  <c r="J148"/>
  <c r="J154"/>
  <c r="J7"/>
  <c r="I9" s="1"/>
  <c r="J152"/>
  <c r="J144"/>
  <c r="L35" i="1"/>
  <c r="BN35"/>
  <c r="BM35"/>
  <c r="BL35"/>
  <c r="J146" i="43"/>
</calcChain>
</file>

<file path=xl/sharedStrings.xml><?xml version="1.0" encoding="utf-8"?>
<sst xmlns="http://schemas.openxmlformats.org/spreadsheetml/2006/main" count="10715" uniqueCount="404">
  <si>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</si>
  <si>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</si>
  <si>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</si>
  <si>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</si>
  <si>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</si>
  <si>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</si>
  <si>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</si>
  <si>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</si>
  <si>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</si>
  <si>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</si>
  <si>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</si>
  <si>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</si>
  <si>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</si>
  <si>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</si>
  <si>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</si>
  <si>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</si>
  <si>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</si>
  <si>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</si>
  <si>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</si>
  <si>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</si>
  <si>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</si>
  <si>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</si>
  <si>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</si>
  <si>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</si>
  <si>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</si>
  <si>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</si>
  <si>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</si>
  <si>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</si>
  <si>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</si>
  <si>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</si>
  <si>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</si>
  <si>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</si>
  <si>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</si>
  <si>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</si>
  <si>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</si>
  <si>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</si>
  <si>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</si>
  <si>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</si>
  <si>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</si>
  <si>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</si>
  <si>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</si>
  <si>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</si>
  <si>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</si>
  <si>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</si>
  <si>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</si>
  <si>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</si>
  <si>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</si>
  <si>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</si>
  <si>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</si>
  <si>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</si>
  <si>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</si>
  <si>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</si>
  <si>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</si>
  <si>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</si>
  <si>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</si>
  <si>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</si>
  <si>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</si>
  <si>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</si>
  <si>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</si>
  <si>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</si>
  <si>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</si>
  <si>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</si>
  <si>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</si>
  <si>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</si>
  <si>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</si>
  <si>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</si>
  <si>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</si>
  <si>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</si>
  <si>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</si>
  <si>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</si>
  <si>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</si>
  <si>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</si>
  <si>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</si>
  <si>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</si>
  <si>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</si>
  <si>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</si>
  <si>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</si>
  <si>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</si>
  <si>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</si>
  <si>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</si>
  <si>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</si>
  <si>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</si>
  <si>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</si>
  <si>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</si>
  <si>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</si>
  <si>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</si>
  <si>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</si>
  <si>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</si>
  <si>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</si>
  <si>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</si>
  <si>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</si>
  <si>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</si>
  <si>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</si>
  <si>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</si>
  <si>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</si>
  <si>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</si>
  <si>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</si>
  <si>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</si>
  <si>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</si>
  <si>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</si>
  <si>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</si>
  <si>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</si>
  <si>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</si>
  <si>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</si>
  <si>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</si>
  <si>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</si>
  <si>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</si>
  <si>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</si>
  <si>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</si>
  <si>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</si>
  <si>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</si>
  <si>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</si>
  <si>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</si>
  <si>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</si>
  <si>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</si>
  <si>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</si>
  <si>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</si>
  <si>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</si>
  <si>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</si>
  <si>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</si>
  <si>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</si>
  <si>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</si>
  <si>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</si>
  <si>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</si>
  <si>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</si>
  <si>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</si>
  <si>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</si>
  <si>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</si>
  <si>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</si>
  <si>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</si>
  <si>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</si>
  <si>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</si>
  <si>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</si>
  <si>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</si>
  <si>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</si>
  <si>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</si>
  <si>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</si>
  <si>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</si>
  <si>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</si>
  <si>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</si>
  <si>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</si>
  <si>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</si>
  <si>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</si>
  <si>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</si>
  <si>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</si>
  <si>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</si>
  <si>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</si>
  <si>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</si>
  <si>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</si>
  <si>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</si>
  <si>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</si>
  <si>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</si>
  <si>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</si>
  <si>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</si>
  <si>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</si>
  <si>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</si>
  <si>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</si>
  <si>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</si>
  <si>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</si>
  <si>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</si>
  <si>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</si>
  <si>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</si>
  <si>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</si>
  <si>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</si>
  <si>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</si>
  <si>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</si>
  <si>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</si>
  <si>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</si>
  <si>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</si>
  <si>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</si>
  <si>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</si>
  <si>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</si>
  <si>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</si>
  <si>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</si>
  <si>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</si>
  <si>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</si>
  <si>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</si>
  <si>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</si>
  <si>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</si>
  <si>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</si>
  <si>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</si>
  <si>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</si>
  <si>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</si>
  <si>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</si>
  <si>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</si>
  <si>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</si>
  <si>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</si>
  <si>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</si>
  <si>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</si>
  <si>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</si>
  <si>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</si>
  <si>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</si>
  <si>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</si>
  <si>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</si>
  <si>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</si>
  <si>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</si>
  <si>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</si>
  <si>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</si>
  <si>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</si>
  <si>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</si>
  <si>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</si>
  <si>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</si>
  <si>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</si>
  <si>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</si>
  <si>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</si>
  <si>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</si>
  <si>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</si>
  <si>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</si>
  <si>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</si>
  <si>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</si>
  <si>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</si>
  <si>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</si>
  <si>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</si>
  <si>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</si>
  <si>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</si>
  <si>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</si>
  <si>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</si>
  <si>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</si>
  <si>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</si>
  <si>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</si>
  <si>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</si>
  <si>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</si>
  <si>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</si>
  <si>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</si>
  <si>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</si>
  <si>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</si>
  <si>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</si>
  <si>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</si>
  <si>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</si>
  <si>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</si>
  <si>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</si>
  <si>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</si>
  <si>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</si>
  <si>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</si>
  <si>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</si>
  <si>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</si>
  <si>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</si>
  <si>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</si>
  <si>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</si>
  <si>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</si>
  <si>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</si>
  <si>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</si>
  <si>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</si>
  <si>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</si>
  <si>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</si>
  <si>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</si>
  <si>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</si>
  <si>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</si>
  <si>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</si>
  <si>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</si>
  <si>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</si>
  <si>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</si>
  <si>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</si>
  <si>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</si>
  <si>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</si>
  <si>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</si>
  <si>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</si>
  <si>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</si>
  <si>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</si>
  <si>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</si>
  <si>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</si>
  <si>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</si>
  <si>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</si>
  <si>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</si>
  <si>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</si>
  <si>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</si>
  <si>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</si>
  <si>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</si>
  <si>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</si>
  <si>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</si>
  <si>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</si>
  <si>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</si>
  <si>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</si>
  <si>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</si>
  <si>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1643044-1655344</t>
  </si>
  <si>
    <t>GLR</t>
  </si>
  <si>
    <t>HWG3</t>
  </si>
  <si>
    <t xml:space="preserve">Prepaired by- Devendra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</si>
  <si>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</si>
  <si>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</si>
  <si>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</si>
  <si>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</si>
  <si>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</si>
  <si>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</si>
  <si>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</si>
  <si>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</si>
  <si>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</si>
  <si>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</si>
  <si>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</si>
  <si>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</si>
  <si>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</si>
  <si>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</si>
  <si>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</si>
  <si>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</si>
  <si>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</si>
  <si>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</si>
  <si>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</si>
  <si>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</si>
  <si>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</si>
  <si>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</si>
  <si>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</si>
  <si>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</si>
  <si>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</si>
  <si>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</si>
  <si>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</si>
  <si>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</si>
  <si>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</si>
  <si>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</si>
  <si>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</si>
  <si>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</si>
  <si>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</si>
  <si>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</si>
  <si>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</si>
  <si>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</si>
  <si>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</si>
  <si>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</si>
  <si>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</si>
  <si>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</si>
  <si>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</si>
  <si>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</si>
  <si>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</si>
  <si>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</si>
  <si>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</si>
  <si>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</si>
  <si>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</si>
  <si>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</si>
  <si>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</si>
  <si>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</si>
  <si>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</si>
  <si>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</si>
  <si>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</si>
  <si>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</si>
  <si>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</si>
  <si>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</si>
  <si>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</si>
  <si>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</si>
  <si>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</si>
  <si>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</si>
  <si>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</si>
  <si>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</si>
  <si>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</si>
  <si>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 xml:space="preserve">Prepaired by--Devendra 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</si>
  <si>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</si>
  <si>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</si>
  <si>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</si>
  <si>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</si>
  <si>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</si>
  <si>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</si>
  <si>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</si>
  <si>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</si>
  <si>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</si>
  <si>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</si>
  <si>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</si>
  <si>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</si>
  <si>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</si>
  <si>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</si>
  <si>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</si>
  <si>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 xml:space="preserve">Prepaired by-- Devendra </t>
  </si>
  <si>
    <t xml:space="preserve">                                                                      </t>
  </si>
  <si>
    <t>kwh -791725</t>
  </si>
  <si>
    <t>kvah-800610</t>
  </si>
  <si>
    <t>kwh-812265</t>
  </si>
  <si>
    <t>kvah-821222</t>
  </si>
  <si>
    <t>kwh- 833849</t>
  </si>
  <si>
    <t>kvah- 842889</t>
  </si>
  <si>
    <t>meter reading</t>
  </si>
  <si>
    <t>Prepaired by-- Nilesh</t>
  </si>
  <si>
    <t>kvah-887655</t>
  </si>
  <si>
    <t>kwh-878014</t>
  </si>
  <si>
    <t>kwh-901059</t>
  </si>
  <si>
    <t>kvah-910406</t>
  </si>
  <si>
    <t>Prepaired by- Devendra</t>
  </si>
  <si>
    <t>kwh-921819</t>
  </si>
  <si>
    <t>kvah-931220</t>
  </si>
  <si>
    <t>kwh-943273</t>
  </si>
  <si>
    <t>kvah-952770</t>
  </si>
  <si>
    <t>Prepaired by------- Ramesh</t>
  </si>
  <si>
    <t>Prepaired by----Nilesh</t>
  </si>
  <si>
    <t>kwh-210731</t>
  </si>
  <si>
    <t>kvah-48579</t>
  </si>
  <si>
    <t xml:space="preserve">Prepaired by- Nilesh </t>
  </si>
  <si>
    <t xml:space="preserve">Prepaired by--- Nilesh 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</si>
  <si>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</si>
  <si>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</si>
  <si>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</si>
  <si>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</si>
  <si>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</si>
  <si>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</si>
  <si>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</si>
  <si>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</si>
  <si>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</si>
  <si>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</si>
  <si>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</si>
  <si>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</si>
  <si>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</si>
  <si>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</si>
  <si>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</si>
  <si>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</si>
  <si>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</si>
  <si>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</si>
  <si>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</si>
  <si>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Prepaired by---Prakash</t>
  </si>
  <si>
    <t xml:space="preserve">Prepaired by - Devendra </t>
  </si>
  <si>
    <t xml:space="preserve">Prepaired by ---Devendra </t>
  </si>
</sst>
</file>

<file path=xl/styles.xml><?xml version="1.0" encoding="utf-8"?>
<styleSheet xmlns="http://schemas.openxmlformats.org/spreadsheetml/2006/main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.000"/>
    <numFmt numFmtId="174" formatCode="0.0000"/>
    <numFmt numFmtId="175" formatCode="0;[Red]0"/>
    <numFmt numFmtId="176" formatCode="0.00000"/>
    <numFmt numFmtId="177" formatCode="0_ ;[Red]\-0\ "/>
  </numFmts>
  <fonts count="114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  <font>
      <sz val="16"/>
      <color theme="1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6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452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2" borderId="1" xfId="1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vertical="top" wrapText="1"/>
    </xf>
    <xf numFmtId="1" fontId="3" fillId="12" borderId="0" xfId="1" applyNumberFormat="1" applyFont="1" applyFill="1"/>
    <xf numFmtId="0" fontId="0" fillId="12" borderId="0" xfId="0" applyFill="1"/>
    <xf numFmtId="0" fontId="6" fillId="12" borderId="1" xfId="1" applyFont="1" applyFill="1" applyBorder="1" applyAlignment="1">
      <alignment horizontal="center" vertical="center" wrapText="1"/>
    </xf>
    <xf numFmtId="1" fontId="12" fillId="12" borderId="1" xfId="1" applyNumberFormat="1" applyFont="1" applyFill="1" applyBorder="1" applyAlignment="1">
      <alignment vertical="top" wrapText="1"/>
    </xf>
    <xf numFmtId="0" fontId="12" fillId="12" borderId="1" xfId="1" applyFont="1" applyFill="1" applyBorder="1" applyAlignment="1">
      <alignment horizontal="center"/>
    </xf>
    <xf numFmtId="166" fontId="12" fillId="12" borderId="1" xfId="1" applyNumberFormat="1" applyFont="1" applyFill="1" applyBorder="1" applyAlignment="1">
      <alignment horizontal="center"/>
    </xf>
    <xf numFmtId="2" fontId="12" fillId="12" borderId="1" xfId="1" applyNumberFormat="1" applyFont="1" applyFill="1" applyBorder="1" applyAlignment="1">
      <alignment vertical="top" wrapText="1"/>
    </xf>
    <xf numFmtId="1" fontId="12" fillId="12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0" fontId="23" fillId="0" borderId="1" xfId="4" applyFont="1" applyBorder="1" applyAlignment="1">
      <alignment horizontal="center"/>
    </xf>
    <xf numFmtId="166" fontId="20" fillId="2" borderId="0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Border="1"/>
    <xf numFmtId="0" fontId="26" fillId="0" borderId="0" xfId="0" applyFont="1" applyBorder="1"/>
    <xf numFmtId="0" fontId="26" fillId="0" borderId="0" xfId="0" applyFont="1"/>
    <xf numFmtId="166" fontId="25" fillId="2" borderId="0" xfId="5" applyNumberFormat="1" applyFont="1" applyFill="1" applyBorder="1" applyAlignment="1" applyProtection="1">
      <alignment horizontal="center"/>
    </xf>
    <xf numFmtId="0" fontId="28" fillId="0" borderId="0" xfId="4" applyFont="1"/>
    <xf numFmtId="1" fontId="24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6" fillId="8" borderId="1" xfId="3" applyNumberFormat="1" applyFont="1" applyFill="1" applyBorder="1" applyAlignment="1">
      <alignment horizontal="center"/>
    </xf>
    <xf numFmtId="166" fontId="25" fillId="2" borderId="0" xfId="3" applyNumberFormat="1" applyFont="1" applyFill="1" applyBorder="1" applyAlignment="1">
      <alignment horizontal="center" vertical="center" wrapText="1" shrinkToFit="1"/>
    </xf>
    <xf numFmtId="0" fontId="25" fillId="2" borderId="0" xfId="3" applyFont="1" applyFill="1" applyBorder="1" applyAlignment="1">
      <alignment horizontal="center" vertical="center"/>
    </xf>
    <xf numFmtId="1" fontId="25" fillId="2" borderId="0" xfId="5" applyNumberFormat="1" applyFont="1" applyFill="1" applyBorder="1" applyAlignment="1" applyProtection="1">
      <alignment horizontal="center"/>
    </xf>
    <xf numFmtId="0" fontId="25" fillId="2" borderId="0" xfId="3" applyFont="1" applyFill="1" applyBorder="1" applyAlignment="1">
      <alignment horizontal="center"/>
    </xf>
    <xf numFmtId="2" fontId="25" fillId="2" borderId="0" xfId="5" applyNumberFormat="1" applyFont="1" applyFill="1" applyBorder="1" applyAlignment="1" applyProtection="1">
      <alignment horizontal="center"/>
    </xf>
    <xf numFmtId="167" fontId="25" fillId="2" borderId="0" xfId="6" applyNumberFormat="1" applyFont="1" applyFill="1" applyBorder="1" applyAlignment="1">
      <alignment horizontal="center"/>
    </xf>
    <xf numFmtId="166" fontId="25" fillId="2" borderId="0" xfId="3" applyNumberFormat="1" applyFont="1" applyFill="1" applyBorder="1" applyAlignment="1">
      <alignment horizontal="center"/>
    </xf>
    <xf numFmtId="0" fontId="30" fillId="0" borderId="23" xfId="4" applyFont="1" applyBorder="1" applyAlignment="1">
      <alignment vertical="center" wrapText="1"/>
    </xf>
    <xf numFmtId="0" fontId="30" fillId="0" borderId="19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31" fillId="2" borderId="1" xfId="1" applyNumberFormat="1" applyFont="1" applyFill="1" applyBorder="1" applyAlignment="1">
      <alignment vertical="center" wrapText="1"/>
    </xf>
    <xf numFmtId="2" fontId="24" fillId="0" borderId="0" xfId="0" applyNumberFormat="1" applyFont="1"/>
    <xf numFmtId="0" fontId="24" fillId="0" borderId="0" xfId="0" applyFont="1" applyFill="1"/>
    <xf numFmtId="0" fontId="34" fillId="0" borderId="0" xfId="0" applyFont="1"/>
    <xf numFmtId="0" fontId="34" fillId="0" borderId="0" xfId="0" applyFont="1" applyBorder="1"/>
    <xf numFmtId="1" fontId="34" fillId="0" borderId="0" xfId="0" applyNumberFormat="1" applyFont="1"/>
    <xf numFmtId="0" fontId="34" fillId="0" borderId="0" xfId="0" applyFont="1" applyFill="1"/>
    <xf numFmtId="0" fontId="33" fillId="0" borderId="0" xfId="0" applyFont="1" applyFill="1"/>
    <xf numFmtId="1" fontId="34" fillId="0" borderId="0" xfId="0" applyNumberFormat="1" applyFont="1" applyFill="1"/>
    <xf numFmtId="0" fontId="32" fillId="0" borderId="1" xfId="0" applyFont="1" applyBorder="1"/>
    <xf numFmtId="9" fontId="32" fillId="0" borderId="1" xfId="0" applyNumberFormat="1" applyFont="1" applyBorder="1"/>
    <xf numFmtId="1" fontId="32" fillId="0" borderId="1" xfId="0" applyNumberFormat="1" applyFont="1" applyBorder="1"/>
    <xf numFmtId="0" fontId="0" fillId="0" borderId="0" xfId="0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5" fillId="13" borderId="1" xfId="3" applyFont="1" applyFill="1" applyBorder="1" applyAlignment="1"/>
    <xf numFmtId="0" fontId="41" fillId="0" borderId="0" xfId="0" applyFont="1"/>
    <xf numFmtId="2" fontId="42" fillId="8" borderId="1" xfId="3" applyNumberFormat="1" applyFont="1" applyFill="1" applyBorder="1" applyAlignment="1">
      <alignment horizontal="center"/>
    </xf>
    <xf numFmtId="0" fontId="45" fillId="0" borderId="0" xfId="0" applyFont="1"/>
    <xf numFmtId="0" fontId="43" fillId="0" borderId="0" xfId="0" applyFont="1"/>
    <xf numFmtId="0" fontId="35" fillId="13" borderId="1" xfId="3" applyFont="1" applyFill="1" applyBorder="1" applyAlignment="1">
      <alignment horizontal="center" vertical="center"/>
    </xf>
    <xf numFmtId="0" fontId="35" fillId="8" borderId="1" xfId="3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/>
    </xf>
    <xf numFmtId="0" fontId="36" fillId="9" borderId="1" xfId="3" applyFont="1" applyFill="1" applyBorder="1" applyAlignment="1">
      <alignment horizontal="center" vertical="center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2" fontId="36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4" fillId="0" borderId="0" xfId="0" applyFont="1"/>
    <xf numFmtId="2" fontId="42" fillId="2" borderId="1" xfId="3" applyNumberFormat="1" applyFont="1" applyFill="1" applyBorder="1" applyAlignment="1">
      <alignment horizontal="center" vertical="center"/>
    </xf>
    <xf numFmtId="166" fontId="42" fillId="8" borderId="1" xfId="3" applyNumberFormat="1" applyFont="1" applyFill="1" applyBorder="1" applyAlignment="1">
      <alignment horizontal="center" wrapText="1" shrinkToFit="1"/>
    </xf>
    <xf numFmtId="2" fontId="42" fillId="8" borderId="1" xfId="3" applyNumberFormat="1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/>
    </xf>
    <xf numFmtId="1" fontId="42" fillId="2" borderId="1" xfId="5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2" fontId="42" fillId="8" borderId="7" xfId="3" applyNumberFormat="1" applyFont="1" applyFill="1" applyBorder="1" applyAlignment="1">
      <alignment horizontal="center"/>
    </xf>
    <xf numFmtId="1" fontId="42" fillId="2" borderId="6" xfId="5" applyNumberFormat="1" applyFont="1" applyFill="1" applyBorder="1" applyAlignment="1">
      <alignment horizontal="center" vertical="center"/>
    </xf>
    <xf numFmtId="1" fontId="42" fillId="2" borderId="7" xfId="3" applyNumberFormat="1" applyFont="1" applyFill="1" applyBorder="1" applyAlignment="1">
      <alignment horizontal="center"/>
    </xf>
    <xf numFmtId="0" fontId="42" fillId="0" borderId="1" xfId="4" applyFont="1" applyBorder="1" applyAlignment="1">
      <alignment horizontal="center"/>
    </xf>
    <xf numFmtId="1" fontId="42" fillId="11" borderId="1" xfId="3" applyNumberFormat="1" applyFont="1" applyFill="1" applyBorder="1" applyAlignment="1">
      <alignment horizontal="center"/>
    </xf>
    <xf numFmtId="2" fontId="42" fillId="8" borderId="1" xfId="3" applyNumberFormat="1" applyFont="1" applyFill="1" applyBorder="1" applyAlignment="1">
      <alignment horizontal="right"/>
    </xf>
    <xf numFmtId="1" fontId="42" fillId="8" borderId="1" xfId="5" applyNumberFormat="1" applyFont="1" applyFill="1" applyBorder="1" applyAlignment="1">
      <alignment horizontal="center" vertical="center"/>
    </xf>
    <xf numFmtId="2" fontId="42" fillId="2" borderId="1" xfId="3" applyNumberFormat="1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2" fillId="2" borderId="1" xfId="4" applyFont="1" applyFill="1" applyBorder="1" applyAlignment="1">
      <alignment horizontal="center"/>
    </xf>
    <xf numFmtId="1" fontId="42" fillId="2" borderId="1" xfId="3" applyNumberFormat="1" applyFont="1" applyFill="1" applyBorder="1" applyAlignment="1">
      <alignment horizontal="center"/>
    </xf>
    <xf numFmtId="2" fontId="42" fillId="11" borderId="1" xfId="3" applyNumberFormat="1" applyFont="1" applyFill="1" applyBorder="1" applyAlignment="1">
      <alignment horizontal="center"/>
    </xf>
    <xf numFmtId="1" fontId="47" fillId="13" borderId="1" xfId="3" applyNumberFormat="1" applyFont="1" applyFill="1" applyBorder="1" applyAlignment="1">
      <alignment horizontal="center"/>
    </xf>
    <xf numFmtId="0" fontId="42" fillId="0" borderId="1" xfId="4" applyFont="1" applyBorder="1"/>
    <xf numFmtId="0" fontId="49" fillId="8" borderId="1" xfId="3" applyFont="1" applyFill="1" applyBorder="1" applyAlignment="1">
      <alignment horizontal="center"/>
    </xf>
    <xf numFmtId="166" fontId="49" fillId="8" borderId="1" xfId="5" applyNumberFormat="1" applyFont="1" applyFill="1" applyBorder="1" applyAlignment="1">
      <alignment horizontal="center" vertical="center"/>
    </xf>
    <xf numFmtId="1" fontId="42" fillId="11" borderId="1" xfId="5" applyNumberFormat="1" applyFont="1" applyFill="1" applyBorder="1" applyAlignment="1" applyProtection="1">
      <alignment horizontal="center"/>
    </xf>
    <xf numFmtId="0" fontId="49" fillId="2" borderId="1" xfId="4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horizontal="center" vertical="center"/>
    </xf>
    <xf numFmtId="0" fontId="50" fillId="13" borderId="1" xfId="3" applyFont="1" applyFill="1" applyBorder="1" applyAlignment="1">
      <alignment horizontal="center" vertical="center"/>
    </xf>
    <xf numFmtId="2" fontId="51" fillId="8" borderId="1" xfId="3" applyNumberFormat="1" applyFont="1" applyFill="1" applyBorder="1" applyAlignment="1">
      <alignment horizontal="center"/>
    </xf>
    <xf numFmtId="166" fontId="47" fillId="8" borderId="1" xfId="3" applyNumberFormat="1" applyFont="1" applyFill="1" applyBorder="1" applyAlignment="1">
      <alignment horizontal="center"/>
    </xf>
    <xf numFmtId="1" fontId="50" fillId="8" borderId="1" xfId="3" applyNumberFormat="1" applyFont="1" applyFill="1" applyBorder="1" applyAlignment="1">
      <alignment horizontal="center"/>
    </xf>
    <xf numFmtId="1" fontId="51" fillId="8" borderId="1" xfId="5" applyNumberFormat="1" applyFont="1" applyFill="1" applyBorder="1" applyAlignment="1">
      <alignment horizontal="center" vertical="center"/>
    </xf>
    <xf numFmtId="2" fontId="42" fillId="8" borderId="1" xfId="9" applyNumberFormat="1" applyFont="1" applyFill="1" applyBorder="1" applyAlignment="1">
      <alignment horizontal="center"/>
    </xf>
    <xf numFmtId="170" fontId="47" fillId="8" borderId="1" xfId="5" applyNumberFormat="1" applyFont="1" applyFill="1" applyBorder="1" applyAlignment="1" applyProtection="1">
      <alignment horizontal="center" vertical="center"/>
    </xf>
    <xf numFmtId="166" fontId="50" fillId="8" borderId="1" xfId="5" applyNumberFormat="1" applyFont="1" applyFill="1" applyBorder="1" applyAlignment="1" applyProtection="1">
      <alignment horizontal="center"/>
    </xf>
    <xf numFmtId="1" fontId="51" fillId="0" borderId="1" xfId="4" applyNumberFormat="1" applyFont="1" applyBorder="1" applyAlignment="1">
      <alignment horizontal="center"/>
    </xf>
    <xf numFmtId="2" fontId="50" fillId="8" borderId="1" xfId="3" applyNumberFormat="1" applyFont="1" applyFill="1" applyBorder="1" applyAlignment="1">
      <alignment horizontal="right"/>
    </xf>
    <xf numFmtId="1" fontId="51" fillId="8" borderId="1" xfId="3" applyNumberFormat="1" applyFont="1" applyFill="1" applyBorder="1" applyAlignment="1">
      <alignment horizontal="center" vertical="center"/>
    </xf>
    <xf numFmtId="0" fontId="49" fillId="2" borderId="1" xfId="3" applyFont="1" applyFill="1" applyBorder="1" applyAlignment="1">
      <alignment horizontal="center"/>
    </xf>
    <xf numFmtId="171" fontId="49" fillId="8" borderId="1" xfId="5" applyNumberFormat="1" applyFont="1" applyFill="1" applyBorder="1" applyAlignment="1" applyProtection="1">
      <alignment horizontal="center" vertical="center"/>
    </xf>
    <xf numFmtId="1" fontId="49" fillId="2" borderId="1" xfId="3" applyNumberFormat="1" applyFont="1" applyFill="1" applyBorder="1" applyAlignment="1">
      <alignment horizontal="center" vertical="top"/>
    </xf>
    <xf numFmtId="0" fontId="42" fillId="0" borderId="1" xfId="4" applyFont="1" applyBorder="1" applyAlignment="1">
      <alignment horizontal="center" vertical="center"/>
    </xf>
    <xf numFmtId="0" fontId="42" fillId="8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vertical="center"/>
    </xf>
    <xf numFmtId="0" fontId="42" fillId="13" borderId="1" xfId="3" applyFont="1" applyFill="1" applyBorder="1" applyAlignment="1"/>
    <xf numFmtId="1" fontId="42" fillId="2" borderId="1" xfId="3" applyNumberFormat="1" applyFont="1" applyFill="1" applyBorder="1" applyAlignment="1">
      <alignment horizontal="center" vertical="center"/>
    </xf>
    <xf numFmtId="166" fontId="42" fillId="2" borderId="1" xfId="5" applyNumberFormat="1" applyFont="1" applyFill="1" applyBorder="1" applyAlignment="1" applyProtection="1">
      <alignment horizontal="center" vertical="center"/>
    </xf>
    <xf numFmtId="166" fontId="42" fillId="8" borderId="1" xfId="5" applyNumberFormat="1" applyFont="1" applyFill="1" applyBorder="1" applyAlignment="1" applyProtection="1">
      <alignment horizontal="center" vertical="top"/>
    </xf>
    <xf numFmtId="0" fontId="42" fillId="2" borderId="1" xfId="4" applyFont="1" applyFill="1" applyBorder="1" applyAlignment="1">
      <alignment horizontal="left"/>
    </xf>
    <xf numFmtId="0" fontId="42" fillId="2" borderId="1" xfId="4" applyFont="1" applyFill="1" applyBorder="1" applyAlignment="1"/>
    <xf numFmtId="0" fontId="48" fillId="2" borderId="1" xfId="4" applyFont="1" applyFill="1" applyBorder="1" applyAlignment="1">
      <alignment horizontal="center" wrapText="1"/>
    </xf>
    <xf numFmtId="0" fontId="48" fillId="0" borderId="1" xfId="4" applyFont="1" applyFill="1" applyBorder="1" applyAlignment="1">
      <alignment horizontal="center" wrapText="1"/>
    </xf>
    <xf numFmtId="0" fontId="48" fillId="0" borderId="1" xfId="4" applyFont="1" applyBorder="1" applyAlignment="1">
      <alignment horizontal="center" wrapText="1"/>
    </xf>
    <xf numFmtId="0" fontId="48" fillId="2" borderId="1" xfId="4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" fontId="47" fillId="2" borderId="1" xfId="3" applyNumberFormat="1" applyFont="1" applyFill="1" applyBorder="1" applyAlignment="1">
      <alignment horizontal="center"/>
    </xf>
    <xf numFmtId="165" fontId="42" fillId="8" borderId="1" xfId="7" applyFont="1" applyFill="1" applyBorder="1" applyAlignment="1">
      <alignment horizontal="right" wrapText="1"/>
    </xf>
    <xf numFmtId="2" fontId="42" fillId="10" borderId="19" xfId="3" applyNumberFormat="1" applyFont="1" applyFill="1" applyBorder="1" applyAlignment="1">
      <alignment horizontal="center" vertical="center"/>
    </xf>
    <xf numFmtId="0" fontId="48" fillId="10" borderId="19" xfId="4" applyFont="1" applyFill="1" applyBorder="1" applyAlignment="1">
      <alignment horizontal="center" vertical="center"/>
    </xf>
    <xf numFmtId="1" fontId="42" fillId="10" borderId="19" xfId="5" applyNumberFormat="1" applyFont="1" applyFill="1" applyBorder="1" applyAlignment="1">
      <alignment horizontal="center" vertical="center"/>
    </xf>
    <xf numFmtId="1" fontId="42" fillId="10" borderId="19" xfId="3" applyNumberFormat="1" applyFont="1" applyFill="1" applyBorder="1" applyAlignment="1">
      <alignment horizontal="center" vertical="center"/>
    </xf>
    <xf numFmtId="0" fontId="47" fillId="10" borderId="0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0" fontId="47" fillId="0" borderId="1" xfId="0" applyFont="1" applyFill="1" applyBorder="1"/>
    <xf numFmtId="1" fontId="47" fillId="0" borderId="1" xfId="0" applyNumberFormat="1" applyFont="1" applyFill="1" applyBorder="1" applyAlignment="1">
      <alignment horizontal="center"/>
    </xf>
    <xf numFmtId="0" fontId="47" fillId="0" borderId="0" xfId="0" applyFont="1"/>
    <xf numFmtId="1" fontId="47" fillId="0" borderId="0" xfId="0" applyNumberFormat="1" applyFont="1" applyAlignment="1">
      <alignment horizontal="center"/>
    </xf>
    <xf numFmtId="1" fontId="47" fillId="0" borderId="0" xfId="0" applyNumberFormat="1" applyFont="1"/>
    <xf numFmtId="1" fontId="42" fillId="13" borderId="1" xfId="5" applyNumberFormat="1" applyFont="1" applyFill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7" fillId="0" borderId="1" xfId="0" applyFont="1" applyBorder="1"/>
    <xf numFmtId="9" fontId="42" fillId="8" borderId="1" xfId="6" applyNumberFormat="1" applyFont="1" applyFill="1" applyBorder="1" applyAlignment="1">
      <alignment horizontal="center"/>
    </xf>
    <xf numFmtId="167" fontId="42" fillId="0" borderId="1" xfId="6" applyNumberFormat="1" applyFont="1" applyFill="1" applyBorder="1" applyAlignment="1"/>
    <xf numFmtId="1" fontId="42" fillId="8" borderId="1" xfId="5" applyNumberFormat="1" applyFont="1" applyFill="1" applyBorder="1" applyAlignment="1">
      <alignment horizontal="right"/>
    </xf>
    <xf numFmtId="0" fontId="52" fillId="0" borderId="0" xfId="0" applyFont="1"/>
    <xf numFmtId="1" fontId="52" fillId="0" borderId="0" xfId="0" applyNumberFormat="1" applyFont="1" applyAlignment="1">
      <alignment horizontal="center"/>
    </xf>
    <xf numFmtId="1" fontId="52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42" fillId="8" borderId="12" xfId="3" applyNumberFormat="1" applyFont="1" applyFill="1" applyBorder="1" applyAlignment="1">
      <alignment horizontal="center" wrapText="1" shrinkToFit="1"/>
    </xf>
    <xf numFmtId="0" fontId="42" fillId="13" borderId="12" xfId="3" applyFont="1" applyFill="1" applyBorder="1" applyAlignment="1">
      <alignment horizontal="center"/>
    </xf>
    <xf numFmtId="1" fontId="42" fillId="8" borderId="12" xfId="5" applyNumberFormat="1" applyFont="1" applyFill="1" applyBorder="1" applyAlignment="1" applyProtection="1">
      <alignment horizontal="center"/>
    </xf>
    <xf numFmtId="1" fontId="42" fillId="2" borderId="12" xfId="5" applyNumberFormat="1" applyFont="1" applyFill="1" applyBorder="1" applyAlignment="1" applyProtection="1">
      <alignment horizontal="center"/>
    </xf>
    <xf numFmtId="1" fontId="42" fillId="13" borderId="12" xfId="3" applyNumberFormat="1" applyFont="1" applyFill="1" applyBorder="1" applyAlignment="1">
      <alignment horizontal="center" vertical="center"/>
    </xf>
    <xf numFmtId="0" fontId="42" fillId="13" borderId="12" xfId="3" applyFont="1" applyFill="1" applyBorder="1" applyAlignment="1"/>
    <xf numFmtId="0" fontId="42" fillId="2" borderId="12" xfId="4" applyFont="1" applyFill="1" applyBorder="1" applyAlignment="1"/>
    <xf numFmtId="1" fontId="42" fillId="10" borderId="24" xfId="5" applyNumberFormat="1" applyFont="1" applyFill="1" applyBorder="1" applyAlignment="1" applyProtection="1">
      <alignment horizontal="center" vertical="center"/>
    </xf>
    <xf numFmtId="1" fontId="47" fillId="0" borderId="12" xfId="0" applyNumberFormat="1" applyFont="1" applyBorder="1" applyAlignment="1">
      <alignment horizontal="center"/>
    </xf>
    <xf numFmtId="1" fontId="47" fillId="0" borderId="12" xfId="0" applyNumberFormat="1" applyFont="1" applyFill="1" applyBorder="1" applyAlignment="1">
      <alignment horizontal="center"/>
    </xf>
    <xf numFmtId="0" fontId="47" fillId="0" borderId="0" xfId="0" applyFont="1" applyBorder="1"/>
    <xf numFmtId="1" fontId="47" fillId="0" borderId="0" xfId="0" applyNumberFormat="1" applyFont="1" applyBorder="1" applyAlignment="1">
      <alignment horizontal="center"/>
    </xf>
    <xf numFmtId="1" fontId="47" fillId="0" borderId="28" xfId="0" applyNumberFormat="1" applyFont="1" applyBorder="1"/>
    <xf numFmtId="0" fontId="47" fillId="13" borderId="12" xfId="3" applyFont="1" applyFill="1" applyBorder="1" applyAlignment="1">
      <alignment horizontal="center"/>
    </xf>
    <xf numFmtId="1" fontId="42" fillId="13" borderId="12" xfId="5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center"/>
    </xf>
    <xf numFmtId="9" fontId="42" fillId="8" borderId="6" xfId="6" applyNumberFormat="1" applyFont="1" applyFill="1" applyBorder="1" applyAlignment="1">
      <alignment horizontal="center"/>
    </xf>
    <xf numFmtId="1" fontId="42" fillId="8" borderId="6" xfId="3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right"/>
    </xf>
    <xf numFmtId="1" fontId="42" fillId="8" borderId="18" xfId="5" applyNumberFormat="1" applyFont="1" applyFill="1" applyBorder="1" applyAlignment="1" applyProtection="1">
      <alignment horizontal="center"/>
    </xf>
    <xf numFmtId="9" fontId="36" fillId="9" borderId="16" xfId="3" applyNumberFormat="1" applyFont="1" applyFill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9" fillId="14" borderId="1" xfId="0" applyFont="1" applyFill="1" applyBorder="1"/>
    <xf numFmtId="0" fontId="41" fillId="0" borderId="0" xfId="0" applyFont="1" applyBorder="1"/>
    <xf numFmtId="0" fontId="44" fillId="0" borderId="1" xfId="0" applyFont="1" applyFill="1" applyBorder="1" applyAlignment="1">
      <alignment horizontal="left"/>
    </xf>
    <xf numFmtId="168" fontId="36" fillId="9" borderId="16" xfId="3" applyNumberFormat="1" applyFont="1" applyFill="1" applyBorder="1" applyAlignment="1">
      <alignment horizontal="left"/>
    </xf>
    <xf numFmtId="0" fontId="36" fillId="9" borderId="16" xfId="3" applyFont="1" applyFill="1" applyBorder="1"/>
    <xf numFmtId="0" fontId="36" fillId="8" borderId="16" xfId="3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center"/>
    </xf>
    <xf numFmtId="0" fontId="36" fillId="8" borderId="21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169" fontId="36" fillId="8" borderId="16" xfId="3" applyNumberFormat="1" applyFont="1" applyFill="1" applyBorder="1" applyAlignment="1">
      <alignment vertical="center"/>
    </xf>
    <xf numFmtId="169" fontId="35" fillId="8" borderId="1" xfId="3" applyNumberFormat="1" applyFont="1" applyFill="1" applyBorder="1" applyAlignment="1">
      <alignment vertical="center"/>
    </xf>
    <xf numFmtId="0" fontId="36" fillId="14" borderId="16" xfId="3" applyFont="1" applyFill="1" applyBorder="1" applyAlignment="1">
      <alignment horizontal="center"/>
    </xf>
    <xf numFmtId="0" fontId="35" fillId="14" borderId="1" xfId="3" applyFont="1" applyFill="1" applyBorder="1" applyAlignment="1">
      <alignment horizontal="center"/>
    </xf>
    <xf numFmtId="0" fontId="36" fillId="2" borderId="16" xfId="3" applyFont="1" applyFill="1" applyBorder="1" applyAlignment="1">
      <alignment horizontal="left" vertical="center"/>
    </xf>
    <xf numFmtId="0" fontId="35" fillId="2" borderId="1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/>
    </xf>
    <xf numFmtId="0" fontId="36" fillId="14" borderId="16" xfId="3" applyFont="1" applyFill="1" applyBorder="1" applyAlignment="1">
      <alignment horizontal="center" vertical="center"/>
    </xf>
    <xf numFmtId="0" fontId="35" fillId="14" borderId="1" xfId="3" applyFont="1" applyFill="1" applyBorder="1" applyAlignment="1">
      <alignment horizontal="center" vertical="center"/>
    </xf>
    <xf numFmtId="0" fontId="46" fillId="2" borderId="13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0" fontId="46" fillId="14" borderId="13" xfId="3" applyFont="1" applyFill="1" applyBorder="1" applyAlignment="1">
      <alignment horizontal="center"/>
    </xf>
    <xf numFmtId="0" fontId="46" fillId="14" borderId="3" xfId="3" applyFont="1" applyFill="1" applyBorder="1" applyAlignment="1">
      <alignment horizontal="center"/>
    </xf>
    <xf numFmtId="0" fontId="46" fillId="14" borderId="4" xfId="3" applyFont="1" applyFill="1" applyBorder="1" applyAlignment="1">
      <alignment horizontal="center"/>
    </xf>
    <xf numFmtId="0" fontId="36" fillId="13" borderId="16" xfId="3" applyFont="1" applyFill="1" applyBorder="1" applyAlignment="1">
      <alignment horizontal="left"/>
    </xf>
    <xf numFmtId="2" fontId="36" fillId="8" borderId="16" xfId="3" applyNumberFormat="1" applyFont="1" applyFill="1" applyBorder="1" applyAlignment="1">
      <alignment horizontal="left" vertical="center"/>
    </xf>
    <xf numFmtId="2" fontId="35" fillId="8" borderId="1" xfId="3" applyNumberFormat="1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justify"/>
    </xf>
    <xf numFmtId="0" fontId="36" fillId="13" borderId="16" xfId="3" applyFont="1" applyFill="1" applyBorder="1" applyAlignment="1"/>
    <xf numFmtId="0" fontId="36" fillId="0" borderId="16" xfId="4" applyFont="1" applyBorder="1" applyAlignment="1">
      <alignment vertical="center"/>
    </xf>
    <xf numFmtId="0" fontId="35" fillId="0" borderId="1" xfId="4" applyFont="1" applyBorder="1" applyAlignment="1">
      <alignment vertical="center"/>
    </xf>
    <xf numFmtId="0" fontId="38" fillId="14" borderId="16" xfId="4" applyFont="1" applyFill="1" applyBorder="1"/>
    <xf numFmtId="0" fontId="36" fillId="13" borderId="16" xfId="3" applyFont="1" applyFill="1" applyBorder="1" applyAlignment="1">
      <alignment horizontal="center"/>
    </xf>
    <xf numFmtId="0" fontId="36" fillId="10" borderId="26" xfId="3" applyFont="1" applyFill="1" applyBorder="1" applyAlignment="1">
      <alignment horizontal="center" vertical="center"/>
    </xf>
    <xf numFmtId="0" fontId="36" fillId="10" borderId="0" xfId="3" applyFont="1" applyFill="1" applyBorder="1" applyAlignment="1">
      <alignment horizontal="center" vertical="center"/>
    </xf>
    <xf numFmtId="0" fontId="36" fillId="0" borderId="16" xfId="4" applyFont="1" applyBorder="1"/>
    <xf numFmtId="0" fontId="36" fillId="13" borderId="16" xfId="3" applyFont="1" applyFill="1" applyBorder="1" applyAlignment="1">
      <alignment horizontal="center" vertical="center"/>
    </xf>
    <xf numFmtId="9" fontId="42" fillId="9" borderId="1" xfId="4" applyNumberFormat="1" applyFont="1" applyFill="1" applyBorder="1"/>
    <xf numFmtId="0" fontId="42" fillId="9" borderId="1" xfId="3" applyFont="1" applyFill="1" applyBorder="1" applyAlignment="1"/>
    <xf numFmtId="1" fontId="36" fillId="9" borderId="12" xfId="3" applyNumberFormat="1" applyFont="1" applyFill="1" applyBorder="1" applyAlignment="1">
      <alignment horizontal="center" vertical="center"/>
    </xf>
    <xf numFmtId="0" fontId="36" fillId="9" borderId="1" xfId="3" applyFont="1" applyFill="1" applyBorder="1" applyAlignment="1">
      <alignment horizontal="left"/>
    </xf>
    <xf numFmtId="1" fontId="36" fillId="9" borderId="12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42" fillId="8" borderId="7" xfId="3" applyFont="1" applyFill="1" applyBorder="1" applyAlignment="1">
      <alignment horizontal="center"/>
    </xf>
    <xf numFmtId="164" fontId="51" fillId="8" borderId="1" xfId="8" applyFont="1" applyFill="1" applyBorder="1" applyAlignment="1">
      <alignment horizontal="center"/>
    </xf>
    <xf numFmtId="0" fontId="51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 vertical="center"/>
    </xf>
    <xf numFmtId="0" fontId="42" fillId="10" borderId="25" xfId="3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52" fillId="0" borderId="4" xfId="0" applyFont="1" applyFill="1" applyBorder="1"/>
    <xf numFmtId="0" fontId="47" fillId="0" borderId="4" xfId="0" applyFont="1" applyFill="1" applyBorder="1" applyAlignment="1">
      <alignment horizontal="center"/>
    </xf>
    <xf numFmtId="0" fontId="42" fillId="8" borderId="6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/>
    </xf>
    <xf numFmtId="0" fontId="42" fillId="0" borderId="1" xfId="3" applyFont="1" applyFill="1" applyBorder="1" applyAlignment="1">
      <alignment horizontal="center"/>
    </xf>
    <xf numFmtId="1" fontId="56" fillId="11" borderId="0" xfId="0" applyNumberFormat="1" applyFont="1" applyFill="1"/>
    <xf numFmtId="1" fontId="56" fillId="0" borderId="0" xfId="0" applyNumberFormat="1" applyFont="1"/>
    <xf numFmtId="0" fontId="41" fillId="9" borderId="1" xfId="3" applyFont="1" applyFill="1" applyBorder="1" applyAlignment="1">
      <alignment horizontal="center" vertical="center"/>
    </xf>
    <xf numFmtId="2" fontId="41" fillId="9" borderId="1" xfId="3" applyNumberFormat="1" applyFont="1" applyFill="1" applyBorder="1" applyAlignment="1">
      <alignment horizontal="center"/>
    </xf>
    <xf numFmtId="2" fontId="47" fillId="2" borderId="1" xfId="3" applyNumberFormat="1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0" fontId="47" fillId="0" borderId="1" xfId="4" applyFont="1" applyBorder="1" applyAlignment="1">
      <alignment horizontal="center"/>
    </xf>
    <xf numFmtId="0" fontId="47" fillId="0" borderId="1" xfId="4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47" fillId="2" borderId="1" xfId="3" applyFont="1" applyFill="1" applyBorder="1" applyAlignment="1">
      <alignment horizontal="center"/>
    </xf>
    <xf numFmtId="0" fontId="47" fillId="0" borderId="1" xfId="4" applyFont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 vertical="center"/>
    </xf>
    <xf numFmtId="0" fontId="47" fillId="8" borderId="1" xfId="3" applyFont="1" applyFill="1" applyBorder="1" applyAlignment="1">
      <alignment horizontal="center" vertical="center"/>
    </xf>
    <xf numFmtId="0" fontId="47" fillId="0" borderId="1" xfId="4" applyFont="1" applyFill="1" applyBorder="1" applyAlignment="1">
      <alignment horizontal="center" vertical="center"/>
    </xf>
    <xf numFmtId="0" fontId="47" fillId="13" borderId="1" xfId="3" applyFont="1" applyFill="1" applyBorder="1" applyAlignment="1">
      <alignment vertical="center"/>
    </xf>
    <xf numFmtId="1" fontId="47" fillId="2" borderId="1" xfId="3" applyNumberFormat="1" applyFont="1" applyFill="1" applyBorder="1" applyAlignment="1">
      <alignment horizontal="center" vertical="center"/>
    </xf>
    <xf numFmtId="0" fontId="47" fillId="2" borderId="1" xfId="4" applyFont="1" applyFill="1" applyBorder="1" applyAlignment="1"/>
    <xf numFmtId="0" fontId="47" fillId="0" borderId="1" xfId="4" applyFont="1" applyFill="1" applyBorder="1" applyAlignment="1">
      <alignment horizontal="center" wrapText="1"/>
    </xf>
    <xf numFmtId="0" fontId="47" fillId="0" borderId="1" xfId="3" applyFont="1" applyFill="1" applyBorder="1" applyAlignment="1">
      <alignment horizontal="center"/>
    </xf>
    <xf numFmtId="0" fontId="47" fillId="10" borderId="19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horizontal="center"/>
    </xf>
    <xf numFmtId="2" fontId="47" fillId="8" borderId="6" xfId="3" applyNumberFormat="1" applyFont="1" applyFill="1" applyBorder="1" applyAlignment="1">
      <alignment horizontal="center"/>
    </xf>
    <xf numFmtId="0" fontId="42" fillId="0" borderId="1" xfId="4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 vertical="center"/>
    </xf>
    <xf numFmtId="0" fontId="42" fillId="0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>
      <alignment horizontal="center" wrapText="1"/>
    </xf>
    <xf numFmtId="0" fontId="42" fillId="0" borderId="1" xfId="4" applyFont="1" applyFill="1" applyBorder="1" applyAlignment="1">
      <alignment horizontal="center" wrapText="1"/>
    </xf>
    <xf numFmtId="0" fontId="42" fillId="0" borderId="1" xfId="4" applyFont="1" applyBorder="1" applyAlignment="1">
      <alignment horizontal="center" wrapText="1"/>
    </xf>
    <xf numFmtId="0" fontId="42" fillId="10" borderId="19" xfId="4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1" fontId="42" fillId="0" borderId="1" xfId="0" applyNumberFormat="1" applyFont="1" applyFill="1" applyBorder="1" applyAlignment="1">
      <alignment horizontal="center"/>
    </xf>
    <xf numFmtId="0" fontId="42" fillId="0" borderId="0" xfId="0" applyFont="1" applyBorder="1"/>
    <xf numFmtId="0" fontId="57" fillId="0" borderId="0" xfId="0" applyFont="1"/>
    <xf numFmtId="0" fontId="42" fillId="0" borderId="0" xfId="0" applyFont="1"/>
    <xf numFmtId="1" fontId="58" fillId="18" borderId="1" xfId="5" applyNumberFormat="1" applyFont="1" applyFill="1" applyBorder="1" applyAlignment="1">
      <alignment horizontal="center" vertical="center"/>
    </xf>
    <xf numFmtId="0" fontId="54" fillId="19" borderId="16" xfId="3" applyFont="1" applyFill="1" applyBorder="1" applyAlignment="1">
      <alignment horizontal="left"/>
    </xf>
    <xf numFmtId="0" fontId="53" fillId="19" borderId="1" xfId="3" applyFont="1" applyFill="1" applyBorder="1" applyAlignment="1">
      <alignment horizontal="left"/>
    </xf>
    <xf numFmtId="0" fontId="58" fillId="19" borderId="1" xfId="3" applyFont="1" applyFill="1" applyBorder="1" applyAlignment="1">
      <alignment horizontal="center"/>
    </xf>
    <xf numFmtId="0" fontId="58" fillId="19" borderId="1" xfId="4" applyFont="1" applyFill="1" applyBorder="1" applyAlignment="1">
      <alignment horizontal="center"/>
    </xf>
    <xf numFmtId="1" fontId="58" fillId="19" borderId="1" xfId="5" applyNumberFormat="1" applyFont="1" applyFill="1" applyBorder="1" applyAlignment="1">
      <alignment horizontal="center" vertical="center"/>
    </xf>
    <xf numFmtId="1" fontId="58" fillId="19" borderId="1" xfId="3" applyNumberFormat="1" applyFont="1" applyFill="1" applyBorder="1" applyAlignment="1">
      <alignment horizontal="center"/>
    </xf>
    <xf numFmtId="0" fontId="58" fillId="19" borderId="1" xfId="3" applyNumberFormat="1" applyFont="1" applyFill="1" applyBorder="1" applyAlignment="1">
      <alignment horizontal="center"/>
    </xf>
    <xf numFmtId="1" fontId="58" fillId="19" borderId="12" xfId="5" applyNumberFormat="1" applyFont="1" applyFill="1" applyBorder="1" applyAlignment="1" applyProtection="1">
      <alignment horizontal="center"/>
    </xf>
    <xf numFmtId="0" fontId="54" fillId="19" borderId="16" xfId="3" applyFont="1" applyFill="1" applyBorder="1" applyAlignment="1">
      <alignment horizontal="left" vertical="center"/>
    </xf>
    <xf numFmtId="0" fontId="53" fillId="19" borderId="1" xfId="3" applyFont="1" applyFill="1" applyBorder="1" applyAlignment="1">
      <alignment horizontal="left" vertical="center"/>
    </xf>
    <xf numFmtId="2" fontId="58" fillId="19" borderId="1" xfId="3" applyNumberFormat="1" applyFont="1" applyFill="1" applyBorder="1" applyAlignment="1">
      <alignment horizontal="center"/>
    </xf>
    <xf numFmtId="0" fontId="41" fillId="8" borderId="16" xfId="3" applyFont="1" applyFill="1" applyBorder="1" applyAlignment="1">
      <alignment horizontal="left" vertical="center"/>
    </xf>
    <xf numFmtId="0" fontId="43" fillId="8" borderId="1" xfId="3" applyFont="1" applyFill="1" applyBorder="1" applyAlignment="1">
      <alignment horizontal="left" vertical="center"/>
    </xf>
    <xf numFmtId="1" fontId="47" fillId="18" borderId="1" xfId="5" applyNumberFormat="1" applyFont="1" applyFill="1" applyBorder="1" applyAlignment="1">
      <alignment horizontal="center" vertical="center"/>
    </xf>
    <xf numFmtId="1" fontId="47" fillId="8" borderId="1" xfId="3" applyNumberFormat="1" applyFont="1" applyFill="1" applyBorder="1" applyAlignment="1">
      <alignment horizontal="center"/>
    </xf>
    <xf numFmtId="0" fontId="47" fillId="2" borderId="1" xfId="3" applyNumberFormat="1" applyFont="1" applyFill="1" applyBorder="1" applyAlignment="1">
      <alignment horizontal="center"/>
    </xf>
    <xf numFmtId="1" fontId="47" fillId="8" borderId="12" xfId="5" applyNumberFormat="1" applyFont="1" applyFill="1" applyBorder="1" applyAlignment="1" applyProtection="1">
      <alignment horizontal="center"/>
    </xf>
    <xf numFmtId="0" fontId="41" fillId="8" borderId="21" xfId="3" applyFont="1" applyFill="1" applyBorder="1" applyAlignment="1">
      <alignment horizontal="left" vertical="center"/>
    </xf>
    <xf numFmtId="0" fontId="41" fillId="8" borderId="5" xfId="3" applyFont="1" applyFill="1" applyBorder="1" applyAlignment="1">
      <alignment horizontal="left" vertical="center"/>
    </xf>
    <xf numFmtId="0" fontId="41" fillId="8" borderId="10" xfId="3" applyFont="1" applyFill="1" applyBorder="1" applyAlignment="1">
      <alignment horizontal="left" vertical="center"/>
    </xf>
    <xf numFmtId="0" fontId="47" fillId="8" borderId="7" xfId="3" applyFont="1" applyFill="1" applyBorder="1" applyAlignment="1">
      <alignment horizontal="center"/>
    </xf>
    <xf numFmtId="1" fontId="47" fillId="2" borderId="7" xfId="3" applyNumberFormat="1" applyFont="1" applyFill="1" applyBorder="1" applyAlignment="1">
      <alignment horizontal="center"/>
    </xf>
    <xf numFmtId="169" fontId="41" fillId="8" borderId="16" xfId="3" applyNumberFormat="1" applyFont="1" applyFill="1" applyBorder="1" applyAlignment="1">
      <alignment vertical="center"/>
    </xf>
    <xf numFmtId="169" fontId="43" fillId="8" borderId="1" xfId="3" applyNumberFormat="1" applyFont="1" applyFill="1" applyBorder="1" applyAlignment="1">
      <alignment vertical="center"/>
    </xf>
    <xf numFmtId="1" fontId="47" fillId="2" borderId="1" xfId="5" applyNumberFormat="1" applyFont="1" applyFill="1" applyBorder="1" applyAlignment="1">
      <alignment horizontal="center" vertical="center"/>
    </xf>
    <xf numFmtId="1" fontId="47" fillId="11" borderId="1" xfId="3" applyNumberFormat="1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0" fontId="41" fillId="14" borderId="16" xfId="3" applyFont="1" applyFill="1" applyBorder="1" applyAlignment="1">
      <alignment horizontal="center"/>
    </xf>
    <xf numFmtId="0" fontId="43" fillId="14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47" fillId="2" borderId="1" xfId="3" applyNumberFormat="1" applyFont="1" applyFill="1" applyBorder="1" applyAlignment="1">
      <alignment horizontal="center"/>
    </xf>
    <xf numFmtId="0" fontId="47" fillId="0" borderId="1" xfId="4" applyFont="1" applyBorder="1"/>
    <xf numFmtId="166" fontId="47" fillId="18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 applyProtection="1">
      <alignment horizontal="center"/>
    </xf>
    <xf numFmtId="1" fontId="42" fillId="8" borderId="1" xfId="9" applyNumberFormat="1" applyFont="1" applyFill="1" applyBorder="1" applyAlignment="1">
      <alignment horizontal="center"/>
    </xf>
    <xf numFmtId="0" fontId="42" fillId="19" borderId="1" xfId="4" applyFont="1" applyFill="1" applyBorder="1" applyAlignment="1">
      <alignment horizontal="center"/>
    </xf>
    <xf numFmtId="0" fontId="48" fillId="11" borderId="1" xfId="4" applyFont="1" applyFill="1" applyBorder="1" applyAlignment="1">
      <alignment horizontal="center"/>
    </xf>
    <xf numFmtId="1" fontId="47" fillId="2" borderId="7" xfId="5" applyNumberFormat="1" applyFont="1" applyFill="1" applyBorder="1" applyAlignment="1">
      <alignment horizontal="center" vertical="center"/>
    </xf>
    <xf numFmtId="173" fontId="24" fillId="0" borderId="0" xfId="0" applyNumberFormat="1" applyFont="1"/>
    <xf numFmtId="1" fontId="56" fillId="0" borderId="5" xfId="0" applyNumberFormat="1" applyFont="1" applyBorder="1"/>
    <xf numFmtId="1" fontId="42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 applyProtection="1">
      <alignment horizontal="center"/>
    </xf>
    <xf numFmtId="174" fontId="24" fillId="0" borderId="0" xfId="0" applyNumberFormat="1" applyFont="1"/>
    <xf numFmtId="0" fontId="42" fillId="11" borderId="1" xfId="3" applyFont="1" applyFill="1" applyBorder="1" applyAlignment="1">
      <alignment horizontal="center"/>
    </xf>
    <xf numFmtId="0" fontId="21" fillId="0" borderId="0" xfId="0" applyFont="1" applyFill="1"/>
    <xf numFmtId="174" fontId="24" fillId="0" borderId="0" xfId="0" applyNumberFormat="1" applyFont="1" applyFill="1"/>
    <xf numFmtId="173" fontId="24" fillId="0" borderId="0" xfId="0" applyNumberFormat="1" applyFont="1" applyFill="1"/>
    <xf numFmtId="1" fontId="24" fillId="0" borderId="0" xfId="0" applyNumberFormat="1" applyFont="1" applyFill="1"/>
    <xf numFmtId="1" fontId="56" fillId="0" borderId="0" xfId="0" applyNumberFormat="1" applyFont="1" applyFill="1"/>
    <xf numFmtId="1" fontId="56" fillId="0" borderId="5" xfId="0" applyNumberFormat="1" applyFont="1" applyFill="1" applyBorder="1"/>
    <xf numFmtId="0" fontId="59" fillId="0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59" fillId="0" borderId="0" xfId="0" applyNumberFormat="1" applyFont="1" applyFill="1" applyAlignment="1">
      <alignment horizontal="center"/>
    </xf>
    <xf numFmtId="1" fontId="61" fillId="0" borderId="0" xfId="0" applyNumberFormat="1" applyFont="1" applyFill="1" applyAlignment="1">
      <alignment horizontal="center"/>
    </xf>
    <xf numFmtId="1" fontId="61" fillId="0" borderId="5" xfId="0" applyNumberFormat="1" applyFont="1" applyFill="1" applyBorder="1" applyAlignment="1">
      <alignment horizontal="center"/>
    </xf>
    <xf numFmtId="1" fontId="24" fillId="11" borderId="0" xfId="0" applyNumberFormat="1" applyFont="1" applyFill="1"/>
    <xf numFmtId="1" fontId="59" fillId="11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5" fontId="24" fillId="0" borderId="0" xfId="0" applyNumberFormat="1" applyFont="1" applyAlignment="1">
      <alignment horizontal="center"/>
    </xf>
    <xf numFmtId="175" fontId="24" fillId="11" borderId="0" xfId="0" applyNumberFormat="1" applyFont="1" applyFill="1" applyAlignment="1">
      <alignment horizontal="center"/>
    </xf>
    <xf numFmtId="175" fontId="24" fillId="0" borderId="0" xfId="0" applyNumberFormat="1" applyFont="1" applyFill="1" applyAlignment="1">
      <alignment horizontal="center"/>
    </xf>
    <xf numFmtId="174" fontId="24" fillId="11" borderId="0" xfId="0" applyNumberFormat="1" applyFont="1" applyFill="1"/>
    <xf numFmtId="174" fontId="59" fillId="11" borderId="0" xfId="0" applyNumberFormat="1" applyFont="1" applyFill="1" applyAlignment="1">
      <alignment horizontal="center"/>
    </xf>
    <xf numFmtId="0" fontId="38" fillId="0" borderId="16" xfId="4" applyFont="1" applyFill="1" applyBorder="1"/>
    <xf numFmtId="0" fontId="39" fillId="0" borderId="1" xfId="0" applyFont="1" applyFill="1" applyBorder="1"/>
    <xf numFmtId="0" fontId="42" fillId="0" borderId="1" xfId="4" applyFont="1" applyFill="1" applyBorder="1"/>
    <xf numFmtId="166" fontId="25" fillId="0" borderId="0" xfId="5" applyNumberFormat="1" applyFont="1" applyFill="1" applyBorder="1" applyAlignment="1" applyProtection="1">
      <alignment horizontal="center"/>
    </xf>
    <xf numFmtId="0" fontId="26" fillId="0" borderId="0" xfId="0" applyFont="1" applyFill="1" applyBorder="1"/>
    <xf numFmtId="0" fontId="26" fillId="0" borderId="0" xfId="0" applyFont="1" applyFill="1"/>
    <xf numFmtId="1" fontId="36" fillId="9" borderId="1" xfId="3" applyNumberFormat="1" applyFont="1" applyFill="1" applyBorder="1" applyAlignment="1">
      <alignment horizontal="center" vertical="center"/>
    </xf>
    <xf numFmtId="1" fontId="42" fillId="0" borderId="1" xfId="4" applyNumberFormat="1" applyFont="1" applyBorder="1" applyAlignment="1">
      <alignment horizontal="center"/>
    </xf>
    <xf numFmtId="1" fontId="42" fillId="13" borderId="1" xfId="3" applyNumberFormat="1" applyFont="1" applyFill="1" applyBorder="1" applyAlignment="1">
      <alignment horizontal="center"/>
    </xf>
    <xf numFmtId="1" fontId="42" fillId="19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>
      <alignment horizontal="center"/>
    </xf>
    <xf numFmtId="1" fontId="42" fillId="0" borderId="1" xfId="4" applyNumberFormat="1" applyFont="1" applyBorder="1" applyAlignment="1">
      <alignment horizontal="center" vertical="center"/>
    </xf>
    <xf numFmtId="1" fontId="42" fillId="0" borderId="1" xfId="4" applyNumberFormat="1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vertical="center"/>
    </xf>
    <xf numFmtId="1" fontId="42" fillId="0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/>
    <xf numFmtId="1" fontId="42" fillId="2" borderId="1" xfId="4" applyNumberFormat="1" applyFont="1" applyFill="1" applyBorder="1" applyAlignment="1">
      <alignment horizontal="center" wrapText="1"/>
    </xf>
    <xf numFmtId="1" fontId="42" fillId="0" borderId="1" xfId="4" applyNumberFormat="1" applyFont="1" applyFill="1" applyBorder="1" applyAlignment="1">
      <alignment horizontal="center" wrapText="1"/>
    </xf>
    <xf numFmtId="1" fontId="42" fillId="0" borderId="1" xfId="4" applyNumberFormat="1" applyFont="1" applyBorder="1" applyAlignment="1">
      <alignment horizontal="center" wrapText="1"/>
    </xf>
    <xf numFmtId="1" fontId="47" fillId="0" borderId="1" xfId="3" applyNumberFormat="1" applyFont="1" applyFill="1" applyBorder="1" applyAlignment="1">
      <alignment horizontal="center"/>
    </xf>
    <xf numFmtId="1" fontId="42" fillId="10" borderId="19" xfId="4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/>
    </xf>
    <xf numFmtId="1" fontId="42" fillId="0" borderId="0" xfId="0" applyNumberFormat="1" applyFont="1" applyBorder="1"/>
    <xf numFmtId="1" fontId="42" fillId="11" borderId="1" xfId="4" applyNumberFormat="1" applyFont="1" applyFill="1" applyBorder="1" applyAlignment="1">
      <alignment horizontal="center"/>
    </xf>
    <xf numFmtId="1" fontId="57" fillId="0" borderId="0" xfId="0" applyNumberFormat="1" applyFont="1"/>
    <xf numFmtId="1" fontId="42" fillId="0" borderId="0" xfId="0" applyNumberFormat="1" applyFont="1"/>
    <xf numFmtId="1" fontId="58" fillId="19" borderId="1" xfId="4" applyNumberFormat="1" applyFont="1" applyFill="1" applyBorder="1" applyAlignment="1">
      <alignment horizontal="center"/>
    </xf>
    <xf numFmtId="1" fontId="47" fillId="0" borderId="1" xfId="4" applyNumberFormat="1" applyFont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2" borderId="1" xfId="4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49" fillId="2" borderId="1" xfId="3" applyNumberFormat="1" applyFont="1" applyFill="1" applyBorder="1" applyAlignment="1">
      <alignment horizontal="center"/>
    </xf>
    <xf numFmtId="1" fontId="48" fillId="2" borderId="1" xfId="4" applyNumberFormat="1" applyFont="1" applyFill="1" applyBorder="1" applyAlignment="1">
      <alignment horizontal="center" wrapText="1"/>
    </xf>
    <xf numFmtId="1" fontId="48" fillId="2" borderId="1" xfId="4" applyNumberFormat="1" applyFont="1" applyFill="1" applyBorder="1" applyAlignment="1">
      <alignment horizontal="center"/>
    </xf>
    <xf numFmtId="1" fontId="48" fillId="10" borderId="19" xfId="4" applyNumberFormat="1" applyFont="1" applyFill="1" applyBorder="1" applyAlignment="1">
      <alignment horizontal="center" vertical="center"/>
    </xf>
    <xf numFmtId="1" fontId="47" fillId="0" borderId="0" xfId="0" applyNumberFormat="1" applyFont="1" applyBorder="1"/>
    <xf numFmtId="1" fontId="48" fillId="0" borderId="1" xfId="4" applyNumberFormat="1" applyFont="1" applyFill="1" applyBorder="1" applyAlignment="1">
      <alignment horizontal="center"/>
    </xf>
    <xf numFmtId="1" fontId="48" fillId="11" borderId="1" xfId="4" applyNumberFormat="1" applyFont="1" applyFill="1" applyBorder="1" applyAlignment="1">
      <alignment horizontal="center"/>
    </xf>
    <xf numFmtId="0" fontId="63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62" fillId="0" borderId="0" xfId="16" applyAlignment="1" applyProtection="1"/>
    <xf numFmtId="1" fontId="14" fillId="0" borderId="0" xfId="2" applyNumberFormat="1" applyAlignment="1" applyProtection="1"/>
    <xf numFmtId="1" fontId="42" fillId="11" borderId="1" xfId="5" applyNumberFormat="1" applyFont="1" applyFill="1" applyBorder="1" applyAlignment="1">
      <alignment horizontal="center" vertical="center"/>
    </xf>
    <xf numFmtId="1" fontId="42" fillId="11" borderId="12" xfId="5" applyNumberFormat="1" applyFont="1" applyFill="1" applyBorder="1" applyAlignment="1" applyProtection="1">
      <alignment horizontal="center"/>
    </xf>
    <xf numFmtId="0" fontId="24" fillId="11" borderId="0" xfId="0" applyFont="1" applyFill="1"/>
    <xf numFmtId="1" fontId="26" fillId="0" borderId="0" xfId="0" applyNumberFormat="1" applyFont="1"/>
    <xf numFmtId="1" fontId="26" fillId="0" borderId="0" xfId="0" applyNumberFormat="1" applyFont="1" applyFill="1"/>
    <xf numFmtId="1" fontId="33" fillId="0" borderId="0" xfId="0" applyNumberFormat="1" applyFont="1" applyFill="1"/>
    <xf numFmtId="1" fontId="50" fillId="11" borderId="1" xfId="5" applyNumberFormat="1" applyFont="1" applyFill="1" applyBorder="1" applyAlignment="1">
      <alignment horizontal="center" vertical="center"/>
    </xf>
    <xf numFmtId="0" fontId="47" fillId="0" borderId="4" xfId="0" applyFont="1" applyFill="1" applyBorder="1"/>
    <xf numFmtId="1" fontId="65" fillId="0" borderId="1" xfId="0" applyNumberFormat="1" applyFont="1" applyFill="1" applyBorder="1" applyAlignment="1">
      <alignment horizontal="center" wrapText="1"/>
    </xf>
    <xf numFmtId="0" fontId="48" fillId="11" borderId="1" xfId="4" applyFont="1" applyFill="1" applyBorder="1" applyAlignment="1">
      <alignment horizontal="center" wrapText="1"/>
    </xf>
    <xf numFmtId="0" fontId="42" fillId="11" borderId="1" xfId="0" applyFont="1" applyFill="1" applyBorder="1" applyAlignment="1">
      <alignment horizontal="center"/>
    </xf>
    <xf numFmtId="0" fontId="41" fillId="0" borderId="1" xfId="0" applyFont="1" applyBorder="1"/>
    <xf numFmtId="0" fontId="43" fillId="0" borderId="1" xfId="0" applyFont="1" applyBorder="1"/>
    <xf numFmtId="0" fontId="36" fillId="0" borderId="1" xfId="4" applyFont="1" applyBorder="1" applyAlignment="1">
      <alignment vertical="center"/>
    </xf>
    <xf numFmtId="0" fontId="53" fillId="2" borderId="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center"/>
    </xf>
    <xf numFmtId="0" fontId="58" fillId="2" borderId="1" xfId="4" applyFont="1" applyFill="1" applyBorder="1" applyAlignment="1">
      <alignment horizontal="center"/>
    </xf>
    <xf numFmtId="0" fontId="54" fillId="2" borderId="16" xfId="3" applyFont="1" applyFill="1" applyBorder="1" applyAlignment="1">
      <alignment horizontal="left" vertical="center"/>
    </xf>
    <xf numFmtId="0" fontId="53" fillId="2" borderId="1" xfId="3" applyFont="1" applyFill="1" applyBorder="1" applyAlignment="1">
      <alignment horizontal="left" vertical="center"/>
    </xf>
    <xf numFmtId="0" fontId="36" fillId="2" borderId="16" xfId="3" applyFont="1" applyFill="1" applyBorder="1" applyAlignment="1">
      <alignment horizontal="left"/>
    </xf>
    <xf numFmtId="0" fontId="35" fillId="2" borderId="1" xfId="3" applyFont="1" applyFill="1" applyBorder="1" applyAlignment="1">
      <alignment horizontal="left"/>
    </xf>
    <xf numFmtId="0" fontId="41" fillId="2" borderId="1" xfId="0" applyFont="1" applyFill="1" applyBorder="1"/>
    <xf numFmtId="0" fontId="43" fillId="2" borderId="1" xfId="0" applyFont="1" applyFill="1" applyBorder="1"/>
    <xf numFmtId="0" fontId="36" fillId="2" borderId="1" xfId="4" applyFont="1" applyFill="1" applyBorder="1" applyAlignment="1">
      <alignment vertical="center"/>
    </xf>
    <xf numFmtId="0" fontId="35" fillId="2" borderId="1" xfId="4" applyFont="1" applyFill="1" applyBorder="1" applyAlignment="1">
      <alignment vertical="center"/>
    </xf>
    <xf numFmtId="0" fontId="41" fillId="2" borderId="0" xfId="0" applyFont="1" applyFill="1"/>
    <xf numFmtId="0" fontId="43" fillId="2" borderId="0" xfId="0" applyFont="1" applyFill="1"/>
    <xf numFmtId="0" fontId="47" fillId="2" borderId="0" xfId="0" applyFont="1" applyFill="1"/>
    <xf numFmtId="0" fontId="42" fillId="2" borderId="0" xfId="0" applyFont="1" applyFill="1"/>
    <xf numFmtId="1" fontId="47" fillId="2" borderId="0" xfId="0" applyNumberFormat="1" applyFont="1" applyFill="1"/>
    <xf numFmtId="0" fontId="42" fillId="2" borderId="1" xfId="0" applyFont="1" applyFill="1" applyBorder="1" applyAlignment="1">
      <alignment horizontal="center"/>
    </xf>
    <xf numFmtId="1" fontId="24" fillId="0" borderId="0" xfId="0" applyNumberFormat="1" applyFont="1" applyBorder="1"/>
    <xf numFmtId="0" fontId="67" fillId="0" borderId="0" xfId="0" applyFont="1"/>
    <xf numFmtId="168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center"/>
    </xf>
    <xf numFmtId="9" fontId="68" fillId="9" borderId="1" xfId="4" applyNumberFormat="1" applyFont="1" applyFill="1" applyBorder="1"/>
    <xf numFmtId="0" fontId="68" fillId="9" borderId="1" xfId="3" applyFont="1" applyFill="1" applyBorder="1" applyAlignment="1">
      <alignment horizontal="center" vertical="center"/>
    </xf>
    <xf numFmtId="1" fontId="68" fillId="9" borderId="12" xfId="3" applyNumberFormat="1" applyFont="1" applyFill="1" applyBorder="1" applyAlignment="1">
      <alignment horizontal="center" vertical="center"/>
    </xf>
    <xf numFmtId="9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left"/>
    </xf>
    <xf numFmtId="0" fontId="68" fillId="9" borderId="1" xfId="3" applyFont="1" applyFill="1" applyBorder="1" applyAlignment="1"/>
    <xf numFmtId="10" fontId="68" fillId="9" borderId="1" xfId="3" applyNumberFormat="1" applyFont="1" applyFill="1" applyBorder="1" applyAlignment="1">
      <alignment horizontal="center"/>
    </xf>
    <xf numFmtId="1" fontId="68" fillId="9" borderId="1" xfId="3" applyNumberFormat="1" applyFont="1" applyFill="1" applyBorder="1" applyAlignment="1">
      <alignment horizontal="center"/>
    </xf>
    <xf numFmtId="1" fontId="68" fillId="9" borderId="12" xfId="3" applyNumberFormat="1" applyFont="1" applyFill="1" applyBorder="1" applyAlignment="1">
      <alignment horizontal="center"/>
    </xf>
    <xf numFmtId="0" fontId="69" fillId="2" borderId="0" xfId="3" applyFont="1" applyFill="1" applyBorder="1" applyAlignment="1">
      <alignment horizontal="center" vertical="center"/>
    </xf>
    <xf numFmtId="0" fontId="67" fillId="0" borderId="0" xfId="0" applyFont="1" applyBorder="1"/>
    <xf numFmtId="0" fontId="68" fillId="9" borderId="16" xfId="3" applyFont="1" applyFill="1" applyBorder="1"/>
    <xf numFmtId="9" fontId="68" fillId="9" borderId="1" xfId="3" applyNumberFormat="1" applyFont="1" applyFill="1" applyBorder="1" applyAlignment="1">
      <alignment horizontal="left"/>
    </xf>
    <xf numFmtId="2" fontId="68" fillId="9" borderId="1" xfId="3" applyNumberFormat="1" applyFont="1" applyFill="1" applyBorder="1" applyAlignment="1">
      <alignment horizontal="center"/>
    </xf>
    <xf numFmtId="9" fontId="68" fillId="9" borderId="1" xfId="3" applyNumberFormat="1" applyFont="1" applyFill="1" applyBorder="1" applyAlignment="1">
      <alignment horizontal="center"/>
    </xf>
    <xf numFmtId="166" fontId="69" fillId="2" borderId="0" xfId="3" applyNumberFormat="1" applyFont="1" applyFill="1" applyBorder="1" applyAlignment="1">
      <alignment horizontal="center"/>
    </xf>
    <xf numFmtId="0" fontId="68" fillId="8" borderId="16" xfId="3" applyFont="1" applyFill="1" applyBorder="1" applyAlignment="1">
      <alignment horizontal="center" vertical="center"/>
    </xf>
    <xf numFmtId="0" fontId="68" fillId="8" borderId="1" xfId="3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 vertical="center"/>
    </xf>
    <xf numFmtId="166" fontId="68" fillId="8" borderId="1" xfId="3" applyNumberFormat="1" applyFont="1" applyFill="1" applyBorder="1" applyAlignment="1">
      <alignment horizontal="center" wrapText="1" shrinkToFit="1"/>
    </xf>
    <xf numFmtId="2" fontId="68" fillId="8" borderId="1" xfId="3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 vertical="center"/>
    </xf>
    <xf numFmtId="166" fontId="68" fillId="8" borderId="12" xfId="3" applyNumberFormat="1" applyFont="1" applyFill="1" applyBorder="1" applyAlignment="1">
      <alignment horizontal="center" wrapText="1" shrinkToFit="1"/>
    </xf>
    <xf numFmtId="166" fontId="70" fillId="2" borderId="0" xfId="3" applyNumberFormat="1" applyFont="1" applyFill="1" applyBorder="1" applyAlignment="1">
      <alignment horizontal="center" vertical="center" wrapText="1" shrinkToFit="1"/>
    </xf>
    <xf numFmtId="0" fontId="68" fillId="13" borderId="1" xfId="3" applyFont="1" applyFill="1" applyBorder="1" applyAlignment="1">
      <alignment horizontal="center" vertical="center"/>
    </xf>
    <xf numFmtId="0" fontId="68" fillId="13" borderId="1" xfId="3" applyFont="1" applyFill="1" applyBorder="1" applyAlignment="1">
      <alignment horizontal="center"/>
    </xf>
    <xf numFmtId="0" fontId="68" fillId="13" borderId="12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8" borderId="16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center"/>
    </xf>
    <xf numFmtId="2" fontId="68" fillId="8" borderId="1" xfId="3" applyNumberFormat="1" applyFont="1" applyFill="1" applyBorder="1" applyAlignment="1">
      <alignment horizontal="center"/>
    </xf>
    <xf numFmtId="1" fontId="68" fillId="2" borderId="1" xfId="5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/>
    </xf>
    <xf numFmtId="0" fontId="68" fillId="2" borderId="1" xfId="3" applyNumberFormat="1" applyFont="1" applyFill="1" applyBorder="1" applyAlignment="1">
      <alignment horizontal="center"/>
    </xf>
    <xf numFmtId="1" fontId="68" fillId="8" borderId="12" xfId="5" applyNumberFormat="1" applyFont="1" applyFill="1" applyBorder="1" applyAlignment="1" applyProtection="1">
      <alignment horizontal="center"/>
    </xf>
    <xf numFmtId="2" fontId="72" fillId="8" borderId="9" xfId="3" applyNumberFormat="1" applyFont="1" applyFill="1" applyBorder="1" applyAlignment="1">
      <alignment horizontal="center"/>
    </xf>
    <xf numFmtId="1" fontId="67" fillId="0" borderId="0" xfId="0" applyNumberFormat="1" applyFont="1"/>
    <xf numFmtId="0" fontId="68" fillId="8" borderId="21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0" xfId="3" applyFont="1" applyFill="1" applyBorder="1" applyAlignment="1">
      <alignment horizontal="left" vertical="center"/>
    </xf>
    <xf numFmtId="0" fontId="68" fillId="8" borderId="7" xfId="3" applyFont="1" applyFill="1" applyBorder="1" applyAlignment="1">
      <alignment horizontal="center"/>
    </xf>
    <xf numFmtId="1" fontId="68" fillId="2" borderId="6" xfId="5" applyNumberFormat="1" applyFont="1" applyFill="1" applyBorder="1" applyAlignment="1">
      <alignment horizontal="center" vertical="center"/>
    </xf>
    <xf numFmtId="1" fontId="68" fillId="2" borderId="7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center"/>
    </xf>
    <xf numFmtId="2" fontId="67" fillId="0" borderId="0" xfId="0" applyNumberFormat="1" applyFont="1"/>
    <xf numFmtId="169" fontId="68" fillId="8" borderId="16" xfId="3" applyNumberFormat="1" applyFont="1" applyFill="1" applyBorder="1" applyAlignment="1">
      <alignment vertical="center"/>
    </xf>
    <xf numFmtId="169" fontId="68" fillId="8" borderId="1" xfId="3" applyNumberFormat="1" applyFont="1" applyFill="1" applyBorder="1" applyAlignment="1">
      <alignment vertical="center"/>
    </xf>
    <xf numFmtId="0" fontId="68" fillId="0" borderId="1" xfId="4" applyFont="1" applyBorder="1" applyAlignment="1">
      <alignment horizontal="center"/>
    </xf>
    <xf numFmtId="1" fontId="68" fillId="11" borderId="1" xfId="3" applyNumberFormat="1" applyFont="1" applyFill="1" applyBorder="1" applyAlignment="1">
      <alignment horizontal="center"/>
    </xf>
    <xf numFmtId="1" fontId="70" fillId="2" borderId="0" xfId="5" applyNumberFormat="1" applyFont="1" applyFill="1" applyBorder="1" applyAlignment="1" applyProtection="1">
      <alignment horizontal="center"/>
    </xf>
    <xf numFmtId="2" fontId="68" fillId="8" borderId="1" xfId="3" applyNumberFormat="1" applyFont="1" applyFill="1" applyBorder="1" applyAlignment="1">
      <alignment horizontal="right"/>
    </xf>
    <xf numFmtId="0" fontId="68" fillId="14" borderId="16" xfId="3" applyFont="1" applyFill="1" applyBorder="1" applyAlignment="1">
      <alignment horizontal="center"/>
    </xf>
    <xf numFmtId="0" fontId="68" fillId="14" borderId="1" xfId="3" applyFont="1" applyFill="1" applyBorder="1" applyAlignment="1">
      <alignment horizontal="center"/>
    </xf>
    <xf numFmtId="1" fontId="68" fillId="8" borderId="1" xfId="5" applyNumberFormat="1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/>
    </xf>
    <xf numFmtId="0" fontId="68" fillId="2" borderId="16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center"/>
    </xf>
    <xf numFmtId="0" fontId="68" fillId="2" borderId="1" xfId="4" applyFont="1" applyFill="1" applyBorder="1" applyAlignment="1">
      <alignment horizontal="center"/>
    </xf>
    <xf numFmtId="1" fontId="68" fillId="2" borderId="1" xfId="3" applyNumberFormat="1" applyFont="1" applyFill="1" applyBorder="1" applyAlignment="1">
      <alignment horizontal="center"/>
    </xf>
    <xf numFmtId="2" fontId="68" fillId="11" borderId="1" xfId="3" applyNumberFormat="1" applyFont="1" applyFill="1" applyBorder="1" applyAlignment="1">
      <alignment horizontal="center"/>
    </xf>
    <xf numFmtId="1" fontId="68" fillId="2" borderId="12" xfId="5" applyNumberFormat="1" applyFont="1" applyFill="1" applyBorder="1" applyAlignment="1" applyProtection="1">
      <alignment horizontal="center"/>
    </xf>
    <xf numFmtId="1" fontId="73" fillId="13" borderId="1" xfId="3" applyNumberFormat="1" applyFont="1" applyFill="1" applyBorder="1" applyAlignment="1">
      <alignment horizontal="center"/>
    </xf>
    <xf numFmtId="0" fontId="68" fillId="0" borderId="1" xfId="4" applyFont="1" applyBorder="1"/>
    <xf numFmtId="0" fontId="75" fillId="8" borderId="1" xfId="3" applyFont="1" applyFill="1" applyBorder="1" applyAlignment="1">
      <alignment horizontal="center"/>
    </xf>
    <xf numFmtId="166" fontId="75" fillId="8" borderId="1" xfId="5" applyNumberFormat="1" applyFont="1" applyFill="1" applyBorder="1" applyAlignment="1">
      <alignment horizontal="center" vertical="center"/>
    </xf>
    <xf numFmtId="1" fontId="68" fillId="11" borderId="1" xfId="5" applyNumberFormat="1" applyFont="1" applyFill="1" applyBorder="1" applyAlignment="1" applyProtection="1">
      <alignment horizontal="center"/>
    </xf>
    <xf numFmtId="0" fontId="68" fillId="14" borderId="16" xfId="3" applyFont="1" applyFill="1" applyBorder="1" applyAlignment="1">
      <alignment horizontal="center" vertical="center"/>
    </xf>
    <xf numFmtId="0" fontId="68" fillId="14" borderId="1" xfId="3" applyFont="1" applyFill="1" applyBorder="1" applyAlignment="1">
      <alignment horizontal="center" vertical="center"/>
    </xf>
    <xf numFmtId="0" fontId="75" fillId="2" borderId="1" xfId="4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 vertical="center"/>
    </xf>
    <xf numFmtId="1" fontId="68" fillId="13" borderId="1" xfId="3" applyNumberFormat="1" applyFont="1" applyFill="1" applyBorder="1" applyAlignment="1">
      <alignment horizontal="center" vertical="center"/>
    </xf>
    <xf numFmtId="0" fontId="76" fillId="13" borderId="1" xfId="3" applyFont="1" applyFill="1" applyBorder="1" applyAlignment="1">
      <alignment horizontal="center" vertical="center"/>
    </xf>
    <xf numFmtId="1" fontId="68" fillId="13" borderId="12" xfId="3" applyNumberFormat="1" applyFont="1" applyFill="1" applyBorder="1" applyAlignment="1">
      <alignment horizontal="center" vertical="center"/>
    </xf>
    <xf numFmtId="0" fontId="77" fillId="0" borderId="0" xfId="0" applyFont="1" applyBorder="1"/>
    <xf numFmtId="0" fontId="77" fillId="0" borderId="0" xfId="0" applyFont="1"/>
    <xf numFmtId="0" fontId="78" fillId="2" borderId="13" xfId="3" applyFont="1" applyFill="1" applyBorder="1" applyAlignment="1">
      <alignment horizontal="center"/>
    </xf>
    <xf numFmtId="0" fontId="78" fillId="2" borderId="3" xfId="3" applyFont="1" applyFill="1" applyBorder="1" applyAlignment="1">
      <alignment horizontal="center"/>
    </xf>
    <xf numFmtId="0" fontId="78" fillId="2" borderId="4" xfId="3" applyFont="1" applyFill="1" applyBorder="1" applyAlignment="1">
      <alignment horizontal="center"/>
    </xf>
    <xf numFmtId="164" fontId="78" fillId="8" borderId="1" xfId="8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6" fontId="73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8" fillId="8" borderId="1" xfId="9" applyNumberFormat="1" applyFont="1" applyFill="1" applyBorder="1" applyAlignment="1">
      <alignment horizontal="center"/>
    </xf>
    <xf numFmtId="170" fontId="73" fillId="8" borderId="1" xfId="5" applyNumberFormat="1" applyFont="1" applyFill="1" applyBorder="1" applyAlignment="1" applyProtection="1">
      <alignment horizontal="center" vertical="center"/>
    </xf>
    <xf numFmtId="166" fontId="76" fillId="8" borderId="1" xfId="5" applyNumberFormat="1" applyFont="1" applyFill="1" applyBorder="1" applyAlignment="1" applyProtection="1">
      <alignment horizontal="center"/>
    </xf>
    <xf numFmtId="2" fontId="76" fillId="8" borderId="1" xfId="3" applyNumberFormat="1" applyFont="1" applyFill="1" applyBorder="1" applyAlignment="1">
      <alignment horizontal="right"/>
    </xf>
    <xf numFmtId="0" fontId="78" fillId="14" borderId="13" xfId="3" applyFont="1" applyFill="1" applyBorder="1" applyAlignment="1">
      <alignment horizontal="center"/>
    </xf>
    <xf numFmtId="0" fontId="78" fillId="14" borderId="3" xfId="3" applyFont="1" applyFill="1" applyBorder="1" applyAlignment="1">
      <alignment horizontal="center"/>
    </xf>
    <xf numFmtId="0" fontId="78" fillId="14" borderId="4" xfId="3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171" fontId="75" fillId="8" borderId="1" xfId="5" applyNumberFormat="1" applyFont="1" applyFill="1" applyBorder="1" applyAlignment="1" applyProtection="1">
      <alignment horizontal="center" vertical="center"/>
    </xf>
    <xf numFmtId="1" fontId="75" fillId="2" borderId="1" xfId="3" applyNumberFormat="1" applyFont="1" applyFill="1" applyBorder="1" applyAlignment="1">
      <alignment horizontal="center" vertical="top"/>
    </xf>
    <xf numFmtId="0" fontId="68" fillId="13" borderId="16" xfId="3" applyFont="1" applyFill="1" applyBorder="1" applyAlignment="1">
      <alignment horizontal="left"/>
    </xf>
    <xf numFmtId="0" fontId="68" fillId="13" borderId="1" xfId="3" applyFont="1" applyFill="1" applyBorder="1" applyAlignment="1">
      <alignment horizontal="left"/>
    </xf>
    <xf numFmtId="0" fontId="68" fillId="0" borderId="1" xfId="4" applyFont="1" applyBorder="1" applyAlignment="1">
      <alignment horizontal="center" vertical="center"/>
    </xf>
    <xf numFmtId="2" fontId="68" fillId="8" borderId="16" xfId="3" applyNumberFormat="1" applyFont="1" applyFill="1" applyBorder="1" applyAlignment="1">
      <alignment horizontal="left" vertical="center"/>
    </xf>
    <xf numFmtId="2" fontId="68" fillId="8" borderId="1" xfId="3" applyNumberFormat="1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justify"/>
    </xf>
    <xf numFmtId="0" fontId="68" fillId="13" borderId="16" xfId="3" applyFont="1" applyFill="1" applyBorder="1" applyAlignment="1"/>
    <xf numFmtId="0" fontId="68" fillId="13" borderId="1" xfId="3" applyFont="1" applyFill="1" applyBorder="1" applyAlignment="1"/>
    <xf numFmtId="0" fontId="68" fillId="13" borderId="1" xfId="3" applyFont="1" applyFill="1" applyBorder="1" applyAlignment="1">
      <alignment vertical="center"/>
    </xf>
    <xf numFmtId="0" fontId="68" fillId="13" borderId="12" xfId="3" applyFont="1" applyFill="1" applyBorder="1" applyAlignment="1"/>
    <xf numFmtId="0" fontId="68" fillId="0" borderId="16" xfId="4" applyFont="1" applyBorder="1" applyAlignment="1">
      <alignment vertical="center"/>
    </xf>
    <xf numFmtId="0" fontId="68" fillId="0" borderId="1" xfId="4" applyFont="1" applyBorder="1" applyAlignment="1">
      <alignment vertical="center"/>
    </xf>
    <xf numFmtId="1" fontId="68" fillId="2" borderId="1" xfId="3" applyNumberFormat="1" applyFont="1" applyFill="1" applyBorder="1" applyAlignment="1">
      <alignment horizontal="center" vertical="center"/>
    </xf>
    <xf numFmtId="166" fontId="68" fillId="2" borderId="1" xfId="5" applyNumberFormat="1" applyFont="1" applyFill="1" applyBorder="1" applyAlignment="1" applyProtection="1">
      <alignment horizontal="center" vertical="center"/>
    </xf>
    <xf numFmtId="166" fontId="68" fillId="8" borderId="1" xfId="5" applyNumberFormat="1" applyFont="1" applyFill="1" applyBorder="1" applyAlignment="1" applyProtection="1">
      <alignment horizontal="center" vertical="top"/>
    </xf>
    <xf numFmtId="2" fontId="70" fillId="2" borderId="0" xfId="5" applyNumberFormat="1" applyFont="1" applyFill="1" applyBorder="1" applyAlignment="1" applyProtection="1">
      <alignment horizontal="center"/>
    </xf>
    <xf numFmtId="167" fontId="70" fillId="2" borderId="0" xfId="6" applyNumberFormat="1" applyFont="1" applyFill="1" applyBorder="1" applyAlignment="1">
      <alignment horizontal="center"/>
    </xf>
    <xf numFmtId="0" fontId="68" fillId="2" borderId="1" xfId="4" applyFont="1" applyFill="1" applyBorder="1" applyAlignment="1">
      <alignment horizontal="left"/>
    </xf>
    <xf numFmtId="0" fontId="68" fillId="2" borderId="1" xfId="4" applyFont="1" applyFill="1" applyBorder="1" applyAlignment="1"/>
    <xf numFmtId="0" fontId="68" fillId="2" borderId="12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68" fillId="0" borderId="16" xfId="4" applyFont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68" fillId="2" borderId="1" xfId="3" applyFont="1" applyFill="1" applyBorder="1" applyAlignment="1">
      <alignment horizontal="center" vertical="center"/>
    </xf>
    <xf numFmtId="0" fontId="74" fillId="0" borderId="16" xfId="4" applyFont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68" fillId="0" borderId="1" xfId="3" applyFont="1" applyFill="1" applyBorder="1" applyAlignment="1">
      <alignment horizontal="center"/>
    </xf>
    <xf numFmtId="166" fontId="70" fillId="2" borderId="0" xfId="5" applyNumberFormat="1" applyFont="1" applyFill="1" applyBorder="1" applyAlignment="1" applyProtection="1">
      <alignment horizontal="center"/>
    </xf>
    <xf numFmtId="0" fontId="76" fillId="14" borderId="16" xfId="4" applyFont="1" applyFill="1" applyBorder="1"/>
    <xf numFmtId="0" fontId="76" fillId="14" borderId="1" xfId="0" applyFont="1" applyFill="1" applyBorder="1"/>
    <xf numFmtId="0" fontId="72" fillId="0" borderId="0" xfId="0" applyFont="1" applyBorder="1"/>
    <xf numFmtId="0" fontId="72" fillId="0" borderId="0" xfId="0" applyFont="1"/>
    <xf numFmtId="0" fontId="76" fillId="0" borderId="16" xfId="4" applyFont="1" applyFill="1" applyBorder="1"/>
    <xf numFmtId="0" fontId="76" fillId="0" borderId="1" xfId="0" applyFont="1" applyFill="1" applyBorder="1"/>
    <xf numFmtId="0" fontId="68" fillId="0" borderId="1" xfId="4" applyFont="1" applyFill="1" applyBorder="1"/>
    <xf numFmtId="0" fontId="73" fillId="0" borderId="1" xfId="3" applyFont="1" applyFill="1" applyBorder="1" applyAlignment="1">
      <alignment horizontal="center"/>
    </xf>
    <xf numFmtId="1" fontId="68" fillId="0" borderId="1" xfId="3" applyNumberFormat="1" applyFont="1" applyFill="1" applyBorder="1" applyAlignment="1">
      <alignment horizontal="center"/>
    </xf>
    <xf numFmtId="1" fontId="68" fillId="0" borderId="1" xfId="5" applyNumberFormat="1" applyFont="1" applyFill="1" applyBorder="1" applyAlignment="1">
      <alignment horizontal="center" vertical="center"/>
    </xf>
    <xf numFmtId="1" fontId="68" fillId="0" borderId="12" xfId="5" applyNumberFormat="1" applyFont="1" applyFill="1" applyBorder="1" applyAlignment="1" applyProtection="1">
      <alignment horizontal="center"/>
    </xf>
    <xf numFmtId="166" fontId="70" fillId="0" borderId="0" xfId="5" applyNumberFormat="1" applyFont="1" applyFill="1" applyBorder="1" applyAlignment="1" applyProtection="1">
      <alignment horizontal="center"/>
    </xf>
    <xf numFmtId="0" fontId="72" fillId="0" borderId="0" xfId="0" applyFont="1" applyFill="1" applyBorder="1"/>
    <xf numFmtId="0" fontId="72" fillId="0" borderId="0" xfId="0" applyFont="1" applyFill="1"/>
    <xf numFmtId="0" fontId="68" fillId="13" borderId="16" xfId="3" applyFont="1" applyFill="1" applyBorder="1" applyAlignment="1">
      <alignment horizontal="center"/>
    </xf>
    <xf numFmtId="166" fontId="70" fillId="2" borderId="0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65" fontId="68" fillId="8" borderId="1" xfId="7" applyFont="1" applyFill="1" applyBorder="1" applyAlignment="1">
      <alignment horizontal="right" wrapText="1"/>
    </xf>
    <xf numFmtId="0" fontId="68" fillId="10" borderId="26" xfId="3" applyFont="1" applyFill="1" applyBorder="1" applyAlignment="1">
      <alignment horizontal="center" vertical="center"/>
    </xf>
    <xf numFmtId="0" fontId="68" fillId="10" borderId="0" xfId="3" applyFont="1" applyFill="1" applyBorder="1" applyAlignment="1">
      <alignment horizontal="center" vertical="center"/>
    </xf>
    <xf numFmtId="0" fontId="68" fillId="10" borderId="25" xfId="3" applyFont="1" applyFill="1" applyBorder="1" applyAlignment="1">
      <alignment horizontal="center" vertical="center"/>
    </xf>
    <xf numFmtId="2" fontId="68" fillId="10" borderId="19" xfId="3" applyNumberFormat="1" applyFont="1" applyFill="1" applyBorder="1" applyAlignment="1">
      <alignment horizontal="center" vertical="center"/>
    </xf>
    <xf numFmtId="0" fontId="74" fillId="10" borderId="19" xfId="4" applyFont="1" applyFill="1" applyBorder="1" applyAlignment="1">
      <alignment horizontal="center" vertical="center"/>
    </xf>
    <xf numFmtId="1" fontId="68" fillId="10" borderId="19" xfId="5" applyNumberFormat="1" applyFont="1" applyFill="1" applyBorder="1" applyAlignment="1">
      <alignment horizontal="center" vertical="center"/>
    </xf>
    <xf numFmtId="1" fontId="68" fillId="10" borderId="19" xfId="3" applyNumberFormat="1" applyFont="1" applyFill="1" applyBorder="1" applyAlignment="1">
      <alignment horizontal="center" vertical="center"/>
    </xf>
    <xf numFmtId="0" fontId="73" fillId="10" borderId="0" xfId="0" applyFont="1" applyFill="1" applyBorder="1" applyAlignment="1">
      <alignment horizontal="center" vertical="center"/>
    </xf>
    <xf numFmtId="1" fontId="68" fillId="10" borderId="24" xfId="5" applyNumberFormat="1" applyFont="1" applyFill="1" applyBorder="1" applyAlignment="1" applyProtection="1">
      <alignment horizontal="center" vertical="center"/>
    </xf>
    <xf numFmtId="0" fontId="73" fillId="0" borderId="0" xfId="0" applyFont="1" applyBorder="1"/>
    <xf numFmtId="0" fontId="73" fillId="0" borderId="4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/>
    </xf>
    <xf numFmtId="1" fontId="73" fillId="0" borderId="12" xfId="0" applyNumberFormat="1" applyFont="1" applyBorder="1" applyAlignment="1">
      <alignment horizontal="center"/>
    </xf>
    <xf numFmtId="0" fontId="73" fillId="0" borderId="1" xfId="0" applyFont="1" applyBorder="1" applyAlignment="1">
      <alignment horizontal="left"/>
    </xf>
    <xf numFmtId="0" fontId="73" fillId="0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4" xfId="0" applyFont="1" applyFill="1" applyBorder="1"/>
    <xf numFmtId="0" fontId="77" fillId="0" borderId="0" xfId="0" applyFont="1" applyFill="1"/>
    <xf numFmtId="0" fontId="73" fillId="0" borderId="1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center"/>
    </xf>
    <xf numFmtId="0" fontId="73" fillId="0" borderId="1" xfId="0" applyFont="1" applyFill="1" applyBorder="1"/>
    <xf numFmtId="1" fontId="73" fillId="0" borderId="1" xfId="0" applyNumberFormat="1" applyFont="1" applyFill="1" applyBorder="1" applyAlignment="1">
      <alignment horizontal="center"/>
    </xf>
    <xf numFmtId="1" fontId="73" fillId="0" borderId="12" xfId="0" applyNumberFormat="1" applyFont="1" applyFill="1" applyBorder="1" applyAlignment="1">
      <alignment horizontal="center"/>
    </xf>
    <xf numFmtId="1" fontId="73" fillId="0" borderId="0" xfId="0" applyNumberFormat="1" applyFont="1" applyBorder="1" applyAlignment="1">
      <alignment horizontal="center"/>
    </xf>
    <xf numFmtId="1" fontId="73" fillId="0" borderId="28" xfId="0" applyNumberFormat="1" applyFont="1" applyBorder="1"/>
    <xf numFmtId="0" fontId="73" fillId="13" borderId="12" xfId="3" applyFont="1" applyFill="1" applyBorder="1" applyAlignment="1">
      <alignment horizontal="center"/>
    </xf>
    <xf numFmtId="0" fontId="68" fillId="11" borderId="1" xfId="4" applyFont="1" applyFill="1" applyBorder="1" applyAlignment="1">
      <alignment horizontal="center"/>
    </xf>
    <xf numFmtId="0" fontId="68" fillId="0" borderId="16" xfId="4" applyFont="1" applyBorder="1"/>
    <xf numFmtId="0" fontId="68" fillId="13" borderId="16" xfId="3" applyFont="1" applyFill="1" applyBorder="1" applyAlignment="1">
      <alignment horizontal="center" vertical="center"/>
    </xf>
    <xf numFmtId="1" fontId="68" fillId="13" borderId="1" xfId="5" applyNumberFormat="1" applyFont="1" applyFill="1" applyBorder="1" applyAlignment="1">
      <alignment horizontal="center"/>
    </xf>
    <xf numFmtId="1" fontId="68" fillId="13" borderId="12" xfId="5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3" fillId="0" borderId="1" xfId="0" applyFont="1" applyBorder="1"/>
    <xf numFmtId="9" fontId="68" fillId="8" borderId="1" xfId="6" applyNumberFormat="1" applyFont="1" applyFill="1" applyBorder="1" applyAlignment="1">
      <alignment horizontal="center"/>
    </xf>
    <xf numFmtId="167" fontId="68" fillId="0" borderId="1" xfId="6" applyNumberFormat="1" applyFont="1" applyFill="1" applyBorder="1" applyAlignment="1"/>
    <xf numFmtId="1" fontId="68" fillId="8" borderId="1" xfId="5" applyNumberFormat="1" applyFont="1" applyFill="1" applyBorder="1" applyAlignment="1">
      <alignment horizontal="right"/>
    </xf>
    <xf numFmtId="0" fontId="80" fillId="0" borderId="0" xfId="4" applyFont="1"/>
    <xf numFmtId="0" fontId="68" fillId="8" borderId="6" xfId="3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center"/>
    </xf>
    <xf numFmtId="9" fontId="68" fillId="8" borderId="6" xfId="6" applyNumberFormat="1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right"/>
    </xf>
    <xf numFmtId="1" fontId="68" fillId="8" borderId="18" xfId="5" applyNumberFormat="1" applyFont="1" applyFill="1" applyBorder="1" applyAlignment="1" applyProtection="1">
      <alignment horizontal="center"/>
    </xf>
    <xf numFmtId="0" fontId="64" fillId="0" borderId="0" xfId="0" applyFont="1"/>
    <xf numFmtId="1" fontId="64" fillId="0" borderId="0" xfId="0" applyNumberFormat="1" applyFont="1" applyAlignment="1">
      <alignment horizontal="center"/>
    </xf>
    <xf numFmtId="1" fontId="64" fillId="0" borderId="0" xfId="0" applyNumberFormat="1" applyFont="1"/>
    <xf numFmtId="0" fontId="73" fillId="0" borderId="0" xfId="0" applyFont="1"/>
    <xf numFmtId="1" fontId="73" fillId="0" borderId="0" xfId="0" applyNumberFormat="1" applyFont="1" applyAlignment="1">
      <alignment horizontal="center"/>
    </xf>
    <xf numFmtId="1" fontId="73" fillId="0" borderId="0" xfId="0" applyNumberFormat="1" applyFont="1"/>
    <xf numFmtId="0" fontId="67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1" fontId="72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1" fontId="68" fillId="0" borderId="1" xfId="0" applyNumberFormat="1" applyFont="1" applyBorder="1" applyAlignment="1">
      <alignment horizontal="center"/>
    </xf>
    <xf numFmtId="1" fontId="68" fillId="11" borderId="1" xfId="5" applyNumberFormat="1" applyFont="1" applyFill="1" applyBorder="1" applyAlignment="1">
      <alignment horizontal="center" vertical="center"/>
    </xf>
    <xf numFmtId="176" fontId="72" fillId="0" borderId="0" xfId="0" applyNumberFormat="1" applyFont="1" applyFill="1" applyAlignment="1">
      <alignment horizontal="center" vertical="center"/>
    </xf>
    <xf numFmtId="173" fontId="67" fillId="0" borderId="0" xfId="0" applyNumberFormat="1" applyFont="1" applyAlignment="1">
      <alignment horizontal="center" vertical="center"/>
    </xf>
    <xf numFmtId="166" fontId="67" fillId="0" borderId="0" xfId="0" applyNumberFormat="1" applyFont="1" applyAlignment="1">
      <alignment horizontal="center" vertical="center"/>
    </xf>
    <xf numFmtId="9" fontId="68" fillId="9" borderId="1" xfId="4" applyNumberFormat="1" applyFont="1" applyFill="1" applyBorder="1" applyAlignment="1">
      <alignment horizontal="center"/>
    </xf>
    <xf numFmtId="166" fontId="49" fillId="11" borderId="1" xfId="5" applyNumberFormat="1" applyFont="1" applyFill="1" applyBorder="1" applyAlignment="1">
      <alignment horizontal="center" vertical="center"/>
    </xf>
    <xf numFmtId="2" fontId="47" fillId="8" borderId="0" xfId="3" applyNumberFormat="1" applyFont="1" applyFill="1" applyBorder="1" applyAlignment="1">
      <alignment horizontal="center"/>
    </xf>
    <xf numFmtId="2" fontId="24" fillId="0" borderId="0" xfId="0" applyNumberFormat="1" applyFont="1" applyBorder="1"/>
    <xf numFmtId="170" fontId="47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2" fillId="11" borderId="1" xfId="0" applyFont="1" applyFill="1" applyBorder="1"/>
    <xf numFmtId="1" fontId="56" fillId="0" borderId="0" xfId="0" applyNumberFormat="1" applyFont="1" applyBorder="1"/>
    <xf numFmtId="1" fontId="42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2" fontId="19" fillId="9" borderId="1" xfId="3" applyNumberFormat="1" applyFont="1" applyFill="1" applyBorder="1" applyAlignment="1">
      <alignment horizontal="center"/>
    </xf>
    <xf numFmtId="0" fontId="42" fillId="2" borderId="1" xfId="4" applyFont="1" applyFill="1" applyBorder="1" applyAlignment="1">
      <alignment horizontal="center" vertical="center"/>
    </xf>
    <xf numFmtId="166" fontId="49" fillId="2" borderId="1" xfId="5" applyNumberFormat="1" applyFont="1" applyFill="1" applyBorder="1" applyAlignment="1">
      <alignment horizontal="center" vertical="center"/>
    </xf>
    <xf numFmtId="1" fontId="58" fillId="2" borderId="1" xfId="5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82" fillId="0" borderId="1" xfId="0" applyNumberFormat="1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166" fontId="47" fillId="11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 wrapText="1"/>
    </xf>
    <xf numFmtId="1" fontId="82" fillId="0" borderId="1" xfId="0" applyNumberFormat="1" applyFont="1" applyBorder="1" applyAlignment="1">
      <alignment horizontal="center" wrapText="1"/>
    </xf>
    <xf numFmtId="1" fontId="58" fillId="2" borderId="1" xfId="3" applyNumberFormat="1" applyFont="1" applyFill="1" applyBorder="1" applyAlignment="1">
      <alignment horizontal="center"/>
    </xf>
    <xf numFmtId="1" fontId="58" fillId="2" borderId="12" xfId="5" applyNumberFormat="1" applyFont="1" applyFill="1" applyBorder="1" applyAlignment="1" applyProtection="1">
      <alignment horizontal="center"/>
    </xf>
    <xf numFmtId="171" fontId="49" fillId="8" borderId="1" xfId="5" applyNumberFormat="1" applyFont="1" applyFill="1" applyBorder="1" applyAlignment="1" applyProtection="1">
      <alignment vertical="center"/>
    </xf>
    <xf numFmtId="1" fontId="42" fillId="20" borderId="1" xfId="5" applyNumberFormat="1" applyFont="1" applyFill="1" applyBorder="1" applyAlignment="1">
      <alignment horizontal="center" vertical="center"/>
    </xf>
    <xf numFmtId="0" fontId="42" fillId="11" borderId="1" xfId="4" applyFont="1" applyFill="1" applyBorder="1" applyAlignment="1">
      <alignment horizontal="center" vertical="center"/>
    </xf>
    <xf numFmtId="0" fontId="42" fillId="10" borderId="1" xfId="4" applyFont="1" applyFill="1" applyBorder="1" applyAlignment="1">
      <alignment horizontal="center"/>
    </xf>
    <xf numFmtId="1" fontId="42" fillId="10" borderId="1" xfId="5" applyNumberFormat="1" applyFont="1" applyFill="1" applyBorder="1" applyAlignment="1">
      <alignment horizontal="center" vertical="center"/>
    </xf>
    <xf numFmtId="1" fontId="42" fillId="15" borderId="1" xfId="5" applyNumberFormat="1" applyFont="1" applyFill="1" applyBorder="1" applyAlignment="1">
      <alignment horizontal="center" vertical="center"/>
    </xf>
    <xf numFmtId="0" fontId="48" fillId="10" borderId="1" xfId="4" applyFont="1" applyFill="1" applyBorder="1" applyAlignment="1">
      <alignment horizontal="center"/>
    </xf>
    <xf numFmtId="0" fontId="48" fillId="20" borderId="1" xfId="4" applyFont="1" applyFill="1" applyBorder="1" applyAlignment="1">
      <alignment horizontal="center"/>
    </xf>
    <xf numFmtId="0" fontId="42" fillId="20" borderId="1" xfId="4" applyFont="1" applyFill="1" applyBorder="1" applyAlignment="1">
      <alignment horizontal="center"/>
    </xf>
    <xf numFmtId="0" fontId="42" fillId="15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left" vertical="justify"/>
    </xf>
    <xf numFmtId="0" fontId="42" fillId="11" borderId="1" xfId="3" applyNumberFormat="1" applyFont="1" applyFill="1" applyBorder="1" applyAlignment="1">
      <alignment horizontal="center"/>
    </xf>
    <xf numFmtId="1" fontId="65" fillId="2" borderId="1" xfId="0" applyNumberFormat="1" applyFont="1" applyFill="1" applyBorder="1" applyAlignment="1">
      <alignment horizontal="center" wrapText="1"/>
    </xf>
    <xf numFmtId="1" fontId="65" fillId="11" borderId="1" xfId="0" applyNumberFormat="1" applyFont="1" applyFill="1" applyBorder="1" applyAlignment="1">
      <alignment horizontal="center" wrapText="1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/>
    <xf numFmtId="0" fontId="36" fillId="0" borderId="16" xfId="3" applyFont="1" applyFill="1" applyBorder="1" applyAlignment="1">
      <alignment horizontal="left"/>
    </xf>
    <xf numFmtId="0" fontId="36" fillId="0" borderId="1" xfId="3" applyFont="1" applyFill="1" applyBorder="1" applyAlignment="1">
      <alignment horizontal="left"/>
    </xf>
    <xf numFmtId="2" fontId="42" fillId="0" borderId="1" xfId="3" applyNumberFormat="1" applyFont="1" applyFill="1" applyBorder="1" applyAlignment="1">
      <alignment horizontal="right"/>
    </xf>
    <xf numFmtId="1" fontId="83" fillId="0" borderId="0" xfId="0" applyNumberFormat="1" applyFont="1"/>
    <xf numFmtId="1" fontId="84" fillId="0" borderId="0" xfId="0" applyNumberFormat="1" applyFont="1"/>
    <xf numFmtId="49" fontId="73" fillId="0" borderId="0" xfId="0" applyNumberFormat="1" applyFont="1"/>
    <xf numFmtId="1" fontId="85" fillId="0" borderId="1" xfId="0" applyNumberFormat="1" applyFont="1" applyFill="1" applyBorder="1" applyAlignment="1">
      <alignment horizontal="center" wrapText="1"/>
    </xf>
    <xf numFmtId="172" fontId="72" fillId="9" borderId="1" xfId="3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" fontId="86" fillId="19" borderId="1" xfId="3" applyNumberFormat="1" applyFont="1" applyFill="1" applyBorder="1" applyAlignment="1">
      <alignment horizontal="center"/>
    </xf>
    <xf numFmtId="0" fontId="86" fillId="19" borderId="1" xfId="3" applyNumberFormat="1" applyFont="1" applyFill="1" applyBorder="1" applyAlignment="1">
      <alignment horizontal="center"/>
    </xf>
    <xf numFmtId="1" fontId="86" fillId="19" borderId="12" xfId="5" applyNumberFormat="1" applyFont="1" applyFill="1" applyBorder="1" applyAlignment="1" applyProtection="1">
      <alignment horizontal="center"/>
    </xf>
    <xf numFmtId="2" fontId="86" fillId="19" borderId="1" xfId="3" applyNumberFormat="1" applyFont="1" applyFill="1" applyBorder="1" applyAlignment="1">
      <alignment horizontal="center"/>
    </xf>
    <xf numFmtId="1" fontId="86" fillId="8" borderId="1" xfId="3" applyNumberFormat="1" applyFont="1" applyFill="1" applyBorder="1" applyAlignment="1">
      <alignment horizontal="center"/>
    </xf>
    <xf numFmtId="2" fontId="86" fillId="2" borderId="1" xfId="3" applyNumberFormat="1" applyFont="1" applyFill="1" applyBorder="1" applyAlignment="1">
      <alignment horizontal="center"/>
    </xf>
    <xf numFmtId="1" fontId="86" fillId="8" borderId="12" xfId="5" applyNumberFormat="1" applyFont="1" applyFill="1" applyBorder="1" applyAlignment="1" applyProtection="1">
      <alignment horizontal="center"/>
    </xf>
    <xf numFmtId="0" fontId="86" fillId="13" borderId="1" xfId="3" applyFont="1" applyFill="1" applyBorder="1" applyAlignment="1">
      <alignment horizontal="center"/>
    </xf>
    <xf numFmtId="0" fontId="86" fillId="13" borderId="12" xfId="3" applyFont="1" applyFill="1" applyBorder="1" applyAlignment="1">
      <alignment horizontal="center"/>
    </xf>
    <xf numFmtId="0" fontId="86" fillId="2" borderId="1" xfId="3" applyNumberFormat="1" applyFont="1" applyFill="1" applyBorder="1" applyAlignment="1">
      <alignment horizontal="center"/>
    </xf>
    <xf numFmtId="0" fontId="86" fillId="8" borderId="1" xfId="3" applyFont="1" applyFill="1" applyBorder="1" applyAlignment="1">
      <alignment horizontal="center"/>
    </xf>
    <xf numFmtId="1" fontId="86" fillId="13" borderId="1" xfId="3" applyNumberFormat="1" applyFont="1" applyFill="1" applyBorder="1" applyAlignment="1">
      <alignment horizontal="center"/>
    </xf>
    <xf numFmtId="0" fontId="86" fillId="19" borderId="1" xfId="3" applyFont="1" applyFill="1" applyBorder="1" applyAlignment="1">
      <alignment horizontal="center"/>
    </xf>
    <xf numFmtId="1" fontId="86" fillId="19" borderId="1" xfId="4" applyNumberFormat="1" applyFont="1" applyFill="1" applyBorder="1" applyAlignment="1">
      <alignment horizontal="center"/>
    </xf>
    <xf numFmtId="0" fontId="87" fillId="0" borderId="0" xfId="2" applyFont="1" applyAlignment="1" applyProtection="1"/>
    <xf numFmtId="2" fontId="87" fillId="0" borderId="0" xfId="2" applyNumberFormat="1" applyFont="1" applyAlignment="1" applyProtection="1"/>
    <xf numFmtId="0" fontId="36" fillId="0" borderId="16" xfId="3" applyFont="1" applyFill="1" applyBorder="1" applyAlignment="1">
      <alignment horizontal="left" vertical="center"/>
    </xf>
    <xf numFmtId="0" fontId="35" fillId="0" borderId="1" xfId="3" applyFont="1" applyFill="1" applyBorder="1" applyAlignment="1">
      <alignment horizontal="left" vertical="justify"/>
    </xf>
    <xf numFmtId="1" fontId="25" fillId="0" borderId="0" xfId="5" applyNumberFormat="1" applyFont="1" applyFill="1" applyBorder="1" applyAlignment="1" applyProtection="1">
      <alignment horizontal="center"/>
    </xf>
    <xf numFmtId="0" fontId="24" fillId="0" borderId="0" xfId="0" applyFont="1" applyFill="1" applyBorder="1"/>
    <xf numFmtId="0" fontId="35" fillId="0" borderId="1" xfId="3" applyFont="1" applyFill="1" applyBorder="1" applyAlignment="1">
      <alignment horizontal="left" vertical="center"/>
    </xf>
    <xf numFmtId="1" fontId="42" fillId="0" borderId="1" xfId="3" applyNumberFormat="1" applyFont="1" applyFill="1" applyBorder="1" applyAlignment="1">
      <alignment horizontal="center" vertical="center"/>
    </xf>
    <xf numFmtId="2" fontId="36" fillId="0" borderId="16" xfId="3" applyNumberFormat="1" applyFont="1" applyFill="1" applyBorder="1" applyAlignment="1">
      <alignment horizontal="left" vertical="center"/>
    </xf>
    <xf numFmtId="2" fontId="35" fillId="0" borderId="1" xfId="3" applyNumberFormat="1" applyFont="1" applyFill="1" applyBorder="1" applyAlignment="1">
      <alignment horizontal="left" vertical="center"/>
    </xf>
    <xf numFmtId="0" fontId="25" fillId="0" borderId="0" xfId="3" applyFont="1" applyFill="1" applyBorder="1" applyAlignment="1">
      <alignment horizontal="center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6" fillId="0" borderId="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88" fillId="0" borderId="29" xfId="17" applyFont="1" applyBorder="1" applyAlignment="1">
      <alignment horizontal="center"/>
    </xf>
    <xf numFmtId="0" fontId="89" fillId="0" borderId="29" xfId="17" applyFont="1" applyBorder="1" applyAlignment="1">
      <alignment horizontal="center"/>
    </xf>
    <xf numFmtId="1" fontId="89" fillId="0" borderId="29" xfId="17" applyNumberFormat="1" applyFont="1" applyBorder="1" applyAlignment="1">
      <alignment horizontal="center"/>
    </xf>
    <xf numFmtId="1" fontId="88" fillId="0" borderId="29" xfId="17" applyNumberFormat="1" applyFont="1" applyBorder="1" applyAlignment="1">
      <alignment horizontal="center" wrapText="1"/>
    </xf>
    <xf numFmtId="0" fontId="88" fillId="0" borderId="29" xfId="17" applyFont="1" applyBorder="1" applyAlignment="1">
      <alignment horizontal="center" wrapText="1"/>
    </xf>
    <xf numFmtId="0" fontId="88" fillId="0" borderId="0" xfId="17" applyFont="1" applyAlignment="1">
      <alignment wrapText="1"/>
    </xf>
    <xf numFmtId="0" fontId="88" fillId="0" borderId="0" xfId="17" applyFont="1"/>
    <xf numFmtId="0" fontId="16" fillId="0" borderId="0" xfId="17" applyFont="1" applyAlignment="1">
      <alignment horizontal="center"/>
    </xf>
    <xf numFmtId="0" fontId="65" fillId="0" borderId="0" xfId="17" applyFont="1" applyAlignment="1">
      <alignment horizontal="center"/>
    </xf>
    <xf numFmtId="1" fontId="65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92" fillId="19" borderId="1" xfId="3" applyFont="1" applyFill="1" applyBorder="1" applyAlignment="1">
      <alignment horizontal="center"/>
    </xf>
    <xf numFmtId="0" fontId="92" fillId="19" borderId="1" xfId="4" applyFont="1" applyFill="1" applyBorder="1" applyAlignment="1">
      <alignment horizontal="center"/>
    </xf>
    <xf numFmtId="1" fontId="27" fillId="2" borderId="0" xfId="5" applyNumberFormat="1" applyFont="1" applyFill="1" applyBorder="1" applyAlignment="1" applyProtection="1">
      <alignment horizontal="center"/>
    </xf>
    <xf numFmtId="0" fontId="93" fillId="0" borderId="0" xfId="0" applyFont="1" applyBorder="1"/>
    <xf numFmtId="0" fontId="93" fillId="0" borderId="0" xfId="0" applyFont="1"/>
    <xf numFmtId="1" fontId="93" fillId="0" borderId="0" xfId="0" applyNumberFormat="1" applyFont="1"/>
    <xf numFmtId="0" fontId="90" fillId="19" borderId="16" xfId="3" applyFont="1" applyFill="1" applyBorder="1" applyAlignment="1">
      <alignment horizontal="left" vertical="center"/>
    </xf>
    <xf numFmtId="0" fontId="91" fillId="19" borderId="1" xfId="3" applyFont="1" applyFill="1" applyBorder="1" applyAlignment="1">
      <alignment horizontal="left" vertical="center"/>
    </xf>
    <xf numFmtId="1" fontId="94" fillId="19" borderId="1" xfId="3" applyNumberFormat="1" applyFont="1" applyFill="1" applyBorder="1" applyAlignment="1">
      <alignment horizontal="center"/>
    </xf>
    <xf numFmtId="0" fontId="94" fillId="19" borderId="1" xfId="3" applyNumberFormat="1" applyFont="1" applyFill="1" applyBorder="1" applyAlignment="1">
      <alignment horizontal="center"/>
    </xf>
    <xf numFmtId="1" fontId="94" fillId="19" borderId="12" xfId="5" applyNumberFormat="1" applyFont="1" applyFill="1" applyBorder="1" applyAlignment="1" applyProtection="1">
      <alignment horizontal="center"/>
    </xf>
    <xf numFmtId="1" fontId="94" fillId="19" borderId="1" xfId="5" applyNumberFormat="1" applyFont="1" applyFill="1" applyBorder="1" applyAlignment="1">
      <alignment horizontal="center" vertical="center"/>
    </xf>
    <xf numFmtId="2" fontId="94" fillId="19" borderId="1" xfId="3" applyNumberFormat="1" applyFont="1" applyFill="1" applyBorder="1" applyAlignment="1">
      <alignment horizontal="center"/>
    </xf>
    <xf numFmtId="0" fontId="41" fillId="19" borderId="16" xfId="3" applyFont="1" applyFill="1" applyBorder="1" applyAlignment="1">
      <alignment horizontal="left"/>
    </xf>
    <xf numFmtId="0" fontId="43" fillId="19" borderId="1" xfId="3" applyFont="1" applyFill="1" applyBorder="1" applyAlignment="1">
      <alignment horizontal="left"/>
    </xf>
    <xf numFmtId="0" fontId="47" fillId="19" borderId="1" xfId="3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2" fontId="25" fillId="11" borderId="0" xfId="5" applyNumberFormat="1" applyFont="1" applyFill="1" applyBorder="1" applyAlignment="1" applyProtection="1">
      <alignment horizontal="center"/>
    </xf>
    <xf numFmtId="0" fontId="24" fillId="11" borderId="0" xfId="0" applyFont="1" applyFill="1" applyBorder="1"/>
    <xf numFmtId="0" fontId="36" fillId="13" borderId="12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42" fillId="11" borderId="1" xfId="3" applyNumberFormat="1" applyFont="1" applyFill="1" applyBorder="1" applyAlignment="1">
      <alignment horizontal="center" vertical="center"/>
    </xf>
    <xf numFmtId="0" fontId="74" fillId="11" borderId="1" xfId="4" applyFont="1" applyFill="1" applyBorder="1" applyAlignment="1">
      <alignment horizontal="center" wrapText="1"/>
    </xf>
    <xf numFmtId="1" fontId="42" fillId="2" borderId="1" xfId="4" applyNumberFormat="1" applyFont="1" applyFill="1" applyBorder="1" applyAlignment="1">
      <alignment horizontal="center" vertical="center"/>
    </xf>
    <xf numFmtId="1" fontId="88" fillId="0" borderId="1" xfId="17" applyNumberFormat="1" applyFont="1" applyBorder="1" applyAlignment="1">
      <alignment horizontal="center" wrapText="1"/>
    </xf>
    <xf numFmtId="1" fontId="2" fillId="0" borderId="1" xfId="17" applyNumberForma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0" fontId="36" fillId="2" borderId="1" xfId="3" applyFont="1" applyFill="1" applyBorder="1" applyAlignment="1">
      <alignment horizontal="left"/>
    </xf>
    <xf numFmtId="2" fontId="42" fillId="2" borderId="1" xfId="3" applyNumberFormat="1" applyFont="1" applyFill="1" applyBorder="1" applyAlignment="1">
      <alignment horizontal="right"/>
    </xf>
    <xf numFmtId="0" fontId="86" fillId="0" borderId="1" xfId="4" applyFont="1" applyBorder="1" applyAlignment="1">
      <alignment horizontal="center" vertical="center"/>
    </xf>
    <xf numFmtId="2" fontId="86" fillId="8" borderId="1" xfId="3" applyNumberFormat="1" applyFont="1" applyFill="1" applyBorder="1" applyAlignment="1">
      <alignment horizontal="center" vertical="center"/>
    </xf>
    <xf numFmtId="0" fontId="86" fillId="8" borderId="1" xfId="3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horizontal="center" vertical="center"/>
    </xf>
    <xf numFmtId="0" fontId="86" fillId="0" borderId="1" xfId="4" applyFont="1" applyFill="1" applyBorder="1" applyAlignment="1">
      <alignment horizontal="center" vertical="center"/>
    </xf>
    <xf numFmtId="0" fontId="86" fillId="13" borderId="1" xfId="3" applyFont="1" applyFill="1" applyBorder="1" applyAlignment="1">
      <alignment vertical="center"/>
    </xf>
    <xf numFmtId="1" fontId="86" fillId="2" borderId="1" xfId="3" applyNumberFormat="1" applyFont="1" applyFill="1" applyBorder="1" applyAlignment="1">
      <alignment horizontal="center" vertical="center"/>
    </xf>
    <xf numFmtId="0" fontId="86" fillId="0" borderId="1" xfId="4" applyFont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0" fontId="86" fillId="2" borderId="1" xfId="4" applyFont="1" applyFill="1" applyBorder="1" applyAlignment="1"/>
    <xf numFmtId="2" fontId="86" fillId="8" borderId="1" xfId="3" applyNumberFormat="1" applyFont="1" applyFill="1" applyBorder="1" applyAlignment="1">
      <alignment horizontal="center"/>
    </xf>
    <xf numFmtId="2" fontId="86" fillId="8" borderId="7" xfId="3" applyNumberFormat="1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/>
    </xf>
    <xf numFmtId="1" fontId="86" fillId="2" borderId="1" xfId="5" applyNumberFormat="1" applyFont="1" applyFill="1" applyBorder="1" applyAlignment="1">
      <alignment horizontal="center" vertical="center"/>
    </xf>
    <xf numFmtId="1" fontId="86" fillId="2" borderId="1" xfId="3" applyNumberFormat="1" applyFont="1" applyFill="1" applyBorder="1" applyAlignment="1">
      <alignment horizontal="center"/>
    </xf>
    <xf numFmtId="1" fontId="86" fillId="2" borderId="12" xfId="5" applyNumberFormat="1" applyFont="1" applyFill="1" applyBorder="1" applyAlignment="1" applyProtection="1">
      <alignment horizontal="center"/>
    </xf>
    <xf numFmtId="0" fontId="86" fillId="2" borderId="1" xfId="3" applyFont="1" applyFill="1" applyBorder="1" applyAlignment="1">
      <alignment horizontal="center"/>
    </xf>
    <xf numFmtId="166" fontId="86" fillId="2" borderId="1" xfId="5" applyNumberFormat="1" applyFont="1" applyFill="1" applyBorder="1" applyAlignment="1">
      <alignment horizontal="center" vertic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86" fillId="0" borderId="1" xfId="3" applyFont="1" applyFill="1" applyBorder="1" applyAlignment="1">
      <alignment horizontal="center"/>
    </xf>
    <xf numFmtId="0" fontId="86" fillId="10" borderId="19" xfId="4" applyFont="1" applyFill="1" applyBorder="1" applyAlignment="1">
      <alignment horizontal="center" vertical="center"/>
    </xf>
    <xf numFmtId="0" fontId="86" fillId="0" borderId="1" xfId="0" applyFont="1" applyBorder="1" applyAlignment="1">
      <alignment horizontal="center"/>
    </xf>
    <xf numFmtId="0" fontId="86" fillId="0" borderId="1" xfId="0" applyFont="1" applyFill="1" applyBorder="1" applyAlignment="1">
      <alignment horizontal="center"/>
    </xf>
    <xf numFmtId="1" fontId="86" fillId="0" borderId="1" xfId="0" applyNumberFormat="1" applyFont="1" applyFill="1" applyBorder="1" applyAlignment="1">
      <alignment horizontal="center"/>
    </xf>
    <xf numFmtId="0" fontId="86" fillId="0" borderId="0" xfId="0" applyFont="1" applyBorder="1"/>
    <xf numFmtId="0" fontId="86" fillId="11" borderId="1" xfId="4" applyFont="1" applyFill="1" applyBorder="1" applyAlignment="1">
      <alignment horizontal="center"/>
    </xf>
    <xf numFmtId="2" fontId="86" fillId="8" borderId="6" xfId="3" applyNumberFormat="1" applyFont="1" applyFill="1" applyBorder="1" applyAlignment="1">
      <alignment horizontal="center"/>
    </xf>
    <xf numFmtId="0" fontId="86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74" fillId="11" borderId="1" xfId="4" applyFont="1" applyFill="1" applyBorder="1" applyAlignment="1">
      <alignment horizontal="center"/>
    </xf>
    <xf numFmtId="0" fontId="68" fillId="11" borderId="1" xfId="3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/>
    </xf>
    <xf numFmtId="0" fontId="88" fillId="0" borderId="5" xfId="18" applyFont="1" applyBorder="1"/>
    <xf numFmtId="0" fontId="89" fillId="0" borderId="5" xfId="18" applyFont="1" applyBorder="1" applyAlignment="1">
      <alignment horizontal="center"/>
    </xf>
    <xf numFmtId="0" fontId="88" fillId="0" borderId="0" xfId="18" applyFont="1"/>
    <xf numFmtId="0" fontId="16" fillId="0" borderId="0" xfId="19" applyFont="1" applyAlignment="1">
      <alignment horizontal="center"/>
    </xf>
    <xf numFmtId="0" fontId="62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73" fillId="11" borderId="1" xfId="3" applyFont="1" applyFill="1" applyBorder="1" applyAlignment="1">
      <alignment horizontal="center"/>
    </xf>
    <xf numFmtId="1" fontId="58" fillId="22" borderId="12" xfId="5" applyNumberFormat="1" applyFont="1" applyFill="1" applyBorder="1" applyAlignment="1" applyProtection="1">
      <alignment horizontal="center"/>
    </xf>
    <xf numFmtId="0" fontId="102" fillId="0" borderId="16" xfId="1" applyFont="1" applyFill="1" applyBorder="1" applyAlignment="1">
      <alignment vertical="top" wrapText="1"/>
    </xf>
    <xf numFmtId="0" fontId="102" fillId="0" borderId="1" xfId="1" applyFont="1" applyFill="1" applyBorder="1" applyAlignment="1">
      <alignment horizontal="center" vertical="top" wrapText="1"/>
    </xf>
    <xf numFmtId="0" fontId="102" fillId="0" borderId="12" xfId="1" applyFont="1" applyFill="1" applyBorder="1" applyAlignment="1">
      <alignment horizontal="center" vertical="top" wrapText="1"/>
    </xf>
    <xf numFmtId="1" fontId="96" fillId="0" borderId="5" xfId="18" applyNumberFormat="1" applyFont="1" applyFill="1" applyBorder="1" applyAlignment="1">
      <alignment horizontal="center" wrapText="1"/>
    </xf>
    <xf numFmtId="1" fontId="97" fillId="0" borderId="5" xfId="18" applyNumberFormat="1" applyFont="1" applyFill="1" applyBorder="1" applyAlignment="1">
      <alignment horizontal="center" wrapText="1"/>
    </xf>
    <xf numFmtId="1" fontId="98" fillId="0" borderId="5" xfId="18" applyNumberFormat="1" applyFont="1" applyFill="1" applyBorder="1" applyAlignment="1">
      <alignment horizontal="center" wrapText="1"/>
    </xf>
    <xf numFmtId="1" fontId="99" fillId="0" borderId="0" xfId="18" applyNumberFormat="1" applyFont="1" applyFill="1" applyAlignment="1">
      <alignment horizontal="center"/>
    </xf>
    <xf numFmtId="1" fontId="100" fillId="0" borderId="0" xfId="18" applyNumberFormat="1" applyFont="1" applyFill="1" applyAlignment="1">
      <alignment horizontal="center"/>
    </xf>
    <xf numFmtId="1" fontId="101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 wrapText="1"/>
    </xf>
    <xf numFmtId="0" fontId="42" fillId="11" borderId="1" xfId="3" applyFont="1" applyFill="1" applyBorder="1" applyAlignment="1">
      <alignment horizontal="center" vertical="center"/>
    </xf>
    <xf numFmtId="0" fontId="25" fillId="11" borderId="0" xfId="3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2" fontId="25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77" fontId="36" fillId="9" borderId="1" xfId="3" applyNumberFormat="1" applyFont="1" applyFill="1" applyBorder="1" applyAlignment="1">
      <alignment horizontal="center" vertical="center"/>
    </xf>
    <xf numFmtId="177" fontId="36" fillId="9" borderId="1" xfId="3" applyNumberFormat="1" applyFont="1" applyFill="1" applyBorder="1" applyAlignment="1">
      <alignment horizontal="center"/>
    </xf>
    <xf numFmtId="177" fontId="42" fillId="8" borderId="1" xfId="3" applyNumberFormat="1" applyFont="1" applyFill="1" applyBorder="1" applyAlignment="1">
      <alignment horizontal="center" wrapText="1" shrinkToFit="1"/>
    </xf>
    <xf numFmtId="177" fontId="42" fillId="13" borderId="1" xfId="3" applyNumberFormat="1" applyFont="1" applyFill="1" applyBorder="1" applyAlignment="1">
      <alignment horizontal="center" vertical="center"/>
    </xf>
    <xf numFmtId="177" fontId="42" fillId="2" borderId="1" xfId="5" applyNumberFormat="1" applyFont="1" applyFill="1" applyBorder="1" applyAlignment="1">
      <alignment horizontal="center" vertical="center"/>
    </xf>
    <xf numFmtId="177" fontId="42" fillId="2" borderId="6" xfId="5" applyNumberFormat="1" applyFont="1" applyFill="1" applyBorder="1" applyAlignment="1">
      <alignment horizontal="center" vertical="center"/>
    </xf>
    <xf numFmtId="177" fontId="42" fillId="8" borderId="1" xfId="5" applyNumberFormat="1" applyFont="1" applyFill="1" applyBorder="1" applyAlignment="1">
      <alignment horizontal="center" vertical="center"/>
    </xf>
    <xf numFmtId="177" fontId="47" fillId="13" borderId="1" xfId="3" applyNumberFormat="1" applyFont="1" applyFill="1" applyBorder="1" applyAlignment="1">
      <alignment horizontal="center"/>
    </xf>
    <xf numFmtId="177" fontId="50" fillId="11" borderId="1" xfId="5" applyNumberFormat="1" applyFont="1" applyFill="1" applyBorder="1" applyAlignment="1">
      <alignment horizontal="center" vertical="center"/>
    </xf>
    <xf numFmtId="177" fontId="49" fillId="8" borderId="1" xfId="5" applyNumberFormat="1" applyFont="1" applyFill="1" applyBorder="1" applyAlignment="1">
      <alignment horizontal="center" vertical="center"/>
    </xf>
    <xf numFmtId="177" fontId="47" fillId="13" borderId="1" xfId="3" applyNumberFormat="1" applyFont="1" applyFill="1" applyBorder="1" applyAlignment="1">
      <alignment horizontal="center" vertical="center"/>
    </xf>
    <xf numFmtId="177" fontId="47" fillId="8" borderId="1" xfId="3" applyNumberFormat="1" applyFont="1" applyFill="1" applyBorder="1" applyAlignment="1">
      <alignment horizontal="center"/>
    </xf>
    <xf numFmtId="177" fontId="47" fillId="8" borderId="1" xfId="5" applyNumberFormat="1" applyFont="1" applyFill="1" applyBorder="1" applyAlignment="1" applyProtection="1">
      <alignment horizontal="center" vertical="center"/>
    </xf>
    <xf numFmtId="177" fontId="49" fillId="8" borderId="1" xfId="5" applyNumberFormat="1" applyFont="1" applyFill="1" applyBorder="1" applyAlignment="1" applyProtection="1">
      <alignment horizontal="center" vertical="center"/>
    </xf>
    <xf numFmtId="177" fontId="42" fillId="13" borderId="1" xfId="3" applyNumberFormat="1" applyFont="1" applyFill="1" applyBorder="1" applyAlignment="1">
      <alignment horizontal="center"/>
    </xf>
    <xf numFmtId="177" fontId="42" fillId="13" borderId="1" xfId="3" applyNumberFormat="1" applyFont="1" applyFill="1" applyBorder="1" applyAlignment="1"/>
    <xf numFmtId="177" fontId="42" fillId="2" borderId="1" xfId="4" applyNumberFormat="1" applyFont="1" applyFill="1" applyBorder="1" applyAlignment="1"/>
    <xf numFmtId="177" fontId="42" fillId="8" borderId="1" xfId="3" applyNumberFormat="1" applyFont="1" applyFill="1" applyBorder="1" applyAlignment="1">
      <alignment horizontal="center"/>
    </xf>
    <xf numFmtId="177" fontId="42" fillId="0" borderId="1" xfId="3" applyNumberFormat="1" applyFont="1" applyFill="1" applyBorder="1" applyAlignment="1">
      <alignment horizontal="center"/>
    </xf>
    <xf numFmtId="177" fontId="47" fillId="2" borderId="1" xfId="3" applyNumberFormat="1" applyFont="1" applyFill="1" applyBorder="1" applyAlignment="1">
      <alignment horizontal="center"/>
    </xf>
    <xf numFmtId="177" fontId="42" fillId="10" borderId="19" xfId="5" applyNumberFormat="1" applyFont="1" applyFill="1" applyBorder="1" applyAlignment="1">
      <alignment horizontal="center" vertical="center"/>
    </xf>
    <xf numFmtId="177" fontId="47" fillId="0" borderId="1" xfId="0" applyNumberFormat="1" applyFont="1" applyBorder="1" applyAlignment="1">
      <alignment horizontal="center"/>
    </xf>
    <xf numFmtId="177" fontId="47" fillId="0" borderId="1" xfId="0" applyNumberFormat="1" applyFont="1" applyFill="1" applyBorder="1" applyAlignment="1">
      <alignment horizontal="center"/>
    </xf>
    <xf numFmtId="177" fontId="47" fillId="0" borderId="0" xfId="0" applyNumberFormat="1" applyFont="1" applyBorder="1"/>
    <xf numFmtId="177" fontId="42" fillId="13" borderId="1" xfId="5" applyNumberFormat="1" applyFont="1" applyFill="1" applyBorder="1" applyAlignment="1">
      <alignment horizontal="center"/>
    </xf>
    <xf numFmtId="177" fontId="42" fillId="0" borderId="1" xfId="5" applyNumberFormat="1" applyFont="1" applyFill="1" applyBorder="1" applyAlignment="1">
      <alignment horizontal="center" vertical="center"/>
    </xf>
    <xf numFmtId="177" fontId="42" fillId="8" borderId="1" xfId="6" applyNumberFormat="1" applyFont="1" applyFill="1" applyBorder="1" applyAlignment="1">
      <alignment horizontal="center"/>
    </xf>
    <xf numFmtId="177" fontId="42" fillId="8" borderId="6" xfId="6" applyNumberFormat="1" applyFont="1" applyFill="1" applyBorder="1" applyAlignment="1">
      <alignment horizontal="center"/>
    </xf>
    <xf numFmtId="177" fontId="52" fillId="0" borderId="0" xfId="0" applyNumberFormat="1" applyFont="1"/>
    <xf numFmtId="177" fontId="47" fillId="0" borderId="0" xfId="0" applyNumberFormat="1" applyFont="1"/>
    <xf numFmtId="0" fontId="25" fillId="0" borderId="0" xfId="3" applyFont="1" applyFill="1" applyBorder="1" applyAlignment="1">
      <alignment horizontal="center" vertic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97" fillId="11" borderId="5" xfId="18" applyNumberFormat="1" applyFont="1" applyFill="1" applyBorder="1" applyAlignment="1">
      <alignment horizontal="center" wrapText="1"/>
    </xf>
    <xf numFmtId="1" fontId="100" fillId="11" borderId="0" xfId="18" applyNumberFormat="1" applyFont="1" applyFill="1" applyAlignment="1">
      <alignment horizontal="center"/>
    </xf>
    <xf numFmtId="0" fontId="1" fillId="11" borderId="0" xfId="18" applyFill="1"/>
    <xf numFmtId="1" fontId="74" fillId="23" borderId="1" xfId="4" applyNumberFormat="1" applyFont="1" applyFill="1" applyBorder="1" applyAlignment="1">
      <alignment horizontal="center"/>
    </xf>
    <xf numFmtId="1" fontId="68" fillId="23" borderId="1" xfId="5" applyNumberFormat="1" applyFont="1" applyFill="1" applyBorder="1" applyAlignment="1">
      <alignment horizontal="center" vertical="center"/>
    </xf>
    <xf numFmtId="1" fontId="67" fillId="0" borderId="1" xfId="0" applyNumberFormat="1" applyFont="1" applyBorder="1"/>
    <xf numFmtId="168" fontId="42" fillId="9" borderId="16" xfId="3" applyNumberFormat="1" applyFont="1" applyFill="1" applyBorder="1" applyAlignment="1">
      <alignment horizontal="left"/>
    </xf>
    <xf numFmtId="0" fontId="82" fillId="0" borderId="4" xfId="0" applyFont="1" applyBorder="1" applyAlignment="1">
      <alignment horizontal="center" vertical="top" wrapText="1"/>
    </xf>
    <xf numFmtId="0" fontId="42" fillId="24" borderId="1" xfId="4" applyFont="1" applyFill="1" applyBorder="1" applyAlignment="1">
      <alignment horizontal="center"/>
    </xf>
    <xf numFmtId="1" fontId="42" fillId="24" borderId="1" xfId="5" applyNumberFormat="1" applyFont="1" applyFill="1" applyBorder="1" applyAlignment="1">
      <alignment horizontal="center" vertical="center"/>
    </xf>
    <xf numFmtId="0" fontId="36" fillId="0" borderId="1" xfId="3" applyFont="1" applyFill="1" applyBorder="1" applyAlignment="1">
      <alignment horizontal="center" vertical="center"/>
    </xf>
    <xf numFmtId="1" fontId="36" fillId="0" borderId="12" xfId="3" applyNumberFormat="1" applyFont="1" applyFill="1" applyBorder="1" applyAlignment="1">
      <alignment horizontal="center" vertical="center"/>
    </xf>
    <xf numFmtId="10" fontId="36" fillId="0" borderId="1" xfId="3" applyNumberFormat="1" applyFont="1" applyFill="1" applyBorder="1" applyAlignment="1">
      <alignment horizontal="center"/>
    </xf>
    <xf numFmtId="1" fontId="36" fillId="0" borderId="1" xfId="3" applyNumberFormat="1" applyFont="1" applyFill="1" applyBorder="1" applyAlignment="1">
      <alignment horizontal="center"/>
    </xf>
    <xf numFmtId="1" fontId="36" fillId="0" borderId="12" xfId="3" applyNumberFormat="1" applyFont="1" applyFill="1" applyBorder="1" applyAlignment="1">
      <alignment horizontal="center"/>
    </xf>
    <xf numFmtId="2" fontId="36" fillId="0" borderId="1" xfId="3" applyNumberFormat="1" applyFont="1" applyFill="1" applyBorder="1" applyAlignment="1">
      <alignment horizontal="center"/>
    </xf>
    <xf numFmtId="9" fontId="36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 vertical="center"/>
    </xf>
    <xf numFmtId="166" fontId="42" fillId="0" borderId="1" xfId="3" applyNumberFormat="1" applyFont="1" applyFill="1" applyBorder="1" applyAlignment="1">
      <alignment horizontal="center" wrapText="1" shrinkToFit="1"/>
    </xf>
    <xf numFmtId="166" fontId="42" fillId="0" borderId="12" xfId="3" applyNumberFormat="1" applyFont="1" applyFill="1" applyBorder="1" applyAlignment="1">
      <alignment horizontal="center" wrapText="1" shrinkToFit="1"/>
    </xf>
    <xf numFmtId="0" fontId="42" fillId="0" borderId="1" xfId="3" applyFont="1" applyFill="1" applyBorder="1" applyAlignment="1">
      <alignment horizontal="center" vertical="center"/>
    </xf>
    <xf numFmtId="0" fontId="42" fillId="0" borderId="12" xfId="3" applyFont="1" applyFill="1" applyBorder="1" applyAlignment="1">
      <alignment horizontal="center"/>
    </xf>
    <xf numFmtId="2" fontId="47" fillId="0" borderId="1" xfId="3" applyNumberFormat="1" applyFont="1" applyFill="1" applyBorder="1" applyAlignment="1">
      <alignment horizontal="center"/>
    </xf>
    <xf numFmtId="1" fontId="47" fillId="0" borderId="1" xfId="5" applyNumberFormat="1" applyFont="1" applyFill="1" applyBorder="1" applyAlignment="1">
      <alignment horizontal="center" vertical="center"/>
    </xf>
    <xf numFmtId="0" fontId="47" fillId="0" borderId="1" xfId="3" applyNumberFormat="1" applyFont="1" applyFill="1" applyBorder="1" applyAlignment="1">
      <alignment horizontal="center"/>
    </xf>
    <xf numFmtId="1" fontId="47" fillId="0" borderId="12" xfId="5" applyNumberFormat="1" applyFont="1" applyFill="1" applyBorder="1" applyAlignment="1" applyProtection="1">
      <alignment horizontal="center"/>
    </xf>
    <xf numFmtId="1" fontId="47" fillId="0" borderId="7" xfId="3" applyNumberFormat="1" applyFont="1" applyFill="1" applyBorder="1" applyAlignment="1">
      <alignment horizontal="center"/>
    </xf>
    <xf numFmtId="1" fontId="47" fillId="0" borderId="7" xfId="5" applyNumberFormat="1" applyFont="1" applyFill="1" applyBorder="1" applyAlignment="1">
      <alignment horizontal="center" vertical="center"/>
    </xf>
    <xf numFmtId="2" fontId="47" fillId="0" borderId="1" xfId="3" applyNumberFormat="1" applyFont="1" applyFill="1" applyBorder="1" applyAlignment="1">
      <alignment horizontal="right"/>
    </xf>
    <xf numFmtId="1" fontId="58" fillId="0" borderId="1" xfId="5" applyNumberFormat="1" applyFont="1" applyFill="1" applyBorder="1" applyAlignment="1">
      <alignment horizontal="center" vertical="center"/>
    </xf>
    <xf numFmtId="0" fontId="42" fillId="0" borderId="1" xfId="3" applyNumberFormat="1" applyFont="1" applyFill="1" applyBorder="1" applyAlignment="1">
      <alignment horizontal="center"/>
    </xf>
    <xf numFmtId="0" fontId="47" fillId="0" borderId="1" xfId="4" applyFont="1" applyFill="1" applyBorder="1"/>
    <xf numFmtId="166" fontId="47" fillId="0" borderId="1" xfId="5" applyNumberFormat="1" applyFont="1" applyFill="1" applyBorder="1" applyAlignment="1">
      <alignment horizontal="center" vertical="center"/>
    </xf>
    <xf numFmtId="1" fontId="47" fillId="0" borderId="1" xfId="5" applyNumberFormat="1" applyFont="1" applyFill="1" applyBorder="1" applyAlignment="1" applyProtection="1">
      <alignment horizontal="center"/>
    </xf>
    <xf numFmtId="0" fontId="49" fillId="0" borderId="1" xfId="4" applyFont="1" applyFill="1" applyBorder="1" applyAlignment="1">
      <alignment horizontal="center"/>
    </xf>
    <xf numFmtId="0" fontId="47" fillId="0" borderId="1" xfId="3" applyFont="1" applyFill="1" applyBorder="1" applyAlignment="1">
      <alignment horizontal="center" vertical="center"/>
    </xf>
    <xf numFmtId="0" fontId="50" fillId="0" borderId="1" xfId="3" applyFont="1" applyFill="1" applyBorder="1" applyAlignment="1">
      <alignment horizontal="center" vertical="center"/>
    </xf>
    <xf numFmtId="1" fontId="42" fillId="0" borderId="12" xfId="3" applyNumberFormat="1" applyFont="1" applyFill="1" applyBorder="1" applyAlignment="1">
      <alignment horizontal="center" vertical="center"/>
    </xf>
    <xf numFmtId="2" fontId="51" fillId="0" borderId="1" xfId="3" applyNumberFormat="1" applyFont="1" applyFill="1" applyBorder="1" applyAlignment="1">
      <alignment horizontal="center"/>
    </xf>
    <xf numFmtId="166" fontId="47" fillId="0" borderId="1" xfId="3" applyNumberFormat="1" applyFont="1" applyFill="1" applyBorder="1" applyAlignment="1">
      <alignment horizontal="center"/>
    </xf>
    <xf numFmtId="1" fontId="50" fillId="0" borderId="1" xfId="3" applyNumberFormat="1" applyFont="1" applyFill="1" applyBorder="1" applyAlignment="1">
      <alignment horizontal="center"/>
    </xf>
    <xf numFmtId="1" fontId="42" fillId="0" borderId="1" xfId="9" applyNumberFormat="1" applyFont="1" applyFill="1" applyBorder="1" applyAlignment="1">
      <alignment horizontal="center"/>
    </xf>
    <xf numFmtId="2" fontId="42" fillId="0" borderId="1" xfId="9" applyNumberFormat="1" applyFont="1" applyFill="1" applyBorder="1" applyAlignment="1">
      <alignment horizontal="center"/>
    </xf>
    <xf numFmtId="170" fontId="47" fillId="0" borderId="1" xfId="5" applyNumberFormat="1" applyFont="1" applyFill="1" applyBorder="1" applyAlignment="1" applyProtection="1">
      <alignment horizontal="center" vertical="center"/>
    </xf>
    <xf numFmtId="166" fontId="50" fillId="0" borderId="1" xfId="5" applyNumberFormat="1" applyFont="1" applyFill="1" applyBorder="1" applyAlignment="1" applyProtection="1">
      <alignment horizontal="center"/>
    </xf>
    <xf numFmtId="2" fontId="50" fillId="0" borderId="1" xfId="3" applyNumberFormat="1" applyFont="1" applyFill="1" applyBorder="1" applyAlignment="1">
      <alignment horizontal="right"/>
    </xf>
    <xf numFmtId="0" fontId="49" fillId="0" borderId="1" xfId="3" applyFont="1" applyFill="1" applyBorder="1" applyAlignment="1">
      <alignment horizontal="center"/>
    </xf>
    <xf numFmtId="171" fontId="49" fillId="0" borderId="1" xfId="5" applyNumberFormat="1" applyFont="1" applyFill="1" applyBorder="1" applyAlignment="1" applyProtection="1">
      <alignment horizontal="center" vertical="center"/>
    </xf>
    <xf numFmtId="1" fontId="49" fillId="0" borderId="1" xfId="3" applyNumberFormat="1" applyFont="1" applyFill="1" applyBorder="1" applyAlignment="1">
      <alignment horizontal="center" vertical="top"/>
    </xf>
    <xf numFmtId="0" fontId="42" fillId="0" borderId="1" xfId="3" applyFont="1" applyFill="1" applyBorder="1" applyAlignment="1">
      <alignment vertical="center"/>
    </xf>
    <xf numFmtId="0" fontId="42" fillId="0" borderId="1" xfId="3" applyFont="1" applyFill="1" applyBorder="1" applyAlignment="1"/>
    <xf numFmtId="0" fontId="42" fillId="0" borderId="12" xfId="3" applyFont="1" applyFill="1" applyBorder="1" applyAlignment="1"/>
    <xf numFmtId="166" fontId="42" fillId="0" borderId="1" xfId="5" applyNumberFormat="1" applyFont="1" applyFill="1" applyBorder="1" applyAlignment="1" applyProtection="1">
      <alignment horizontal="center" vertical="center"/>
    </xf>
    <xf numFmtId="166" fontId="42" fillId="0" borderId="1" xfId="5" applyNumberFormat="1" applyFont="1" applyFill="1" applyBorder="1" applyAlignment="1" applyProtection="1">
      <alignment horizontal="center" vertical="top"/>
    </xf>
    <xf numFmtId="0" fontId="42" fillId="0" borderId="1" xfId="4" applyFont="1" applyFill="1" applyBorder="1" applyAlignment="1"/>
    <xf numFmtId="0" fontId="42" fillId="0" borderId="12" xfId="4" applyFont="1" applyFill="1" applyBorder="1" applyAlignment="1"/>
    <xf numFmtId="165" fontId="42" fillId="0" borderId="1" xfId="7" applyFont="1" applyFill="1" applyBorder="1" applyAlignment="1">
      <alignment horizontal="right" wrapText="1"/>
    </xf>
    <xf numFmtId="0" fontId="42" fillId="0" borderId="19" xfId="4" applyFont="1" applyFill="1" applyBorder="1" applyAlignment="1">
      <alignment horizontal="center" vertical="center"/>
    </xf>
    <xf numFmtId="1" fontId="42" fillId="0" borderId="19" xfId="5" applyNumberFormat="1" applyFont="1" applyFill="1" applyBorder="1" applyAlignment="1">
      <alignment horizontal="center" vertical="center"/>
    </xf>
    <xf numFmtId="1" fontId="42" fillId="0" borderId="19" xfId="3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1" fontId="42" fillId="0" borderId="24" xfId="5" applyNumberFormat="1" applyFont="1" applyFill="1" applyBorder="1" applyAlignment="1" applyProtection="1">
      <alignment horizontal="center" vertical="center"/>
    </xf>
    <xf numFmtId="0" fontId="47" fillId="0" borderId="0" xfId="0" applyFont="1" applyFill="1" applyBorder="1"/>
    <xf numFmtId="0" fontId="42" fillId="0" borderId="0" xfId="0" applyFont="1" applyFill="1" applyBorder="1"/>
    <xf numFmtId="1" fontId="47" fillId="0" borderId="0" xfId="0" applyNumberFormat="1" applyFont="1" applyFill="1" applyBorder="1" applyAlignment="1">
      <alignment horizontal="center"/>
    </xf>
    <xf numFmtId="1" fontId="47" fillId="0" borderId="28" xfId="0" applyNumberFormat="1" applyFont="1" applyFill="1" applyBorder="1"/>
    <xf numFmtId="0" fontId="47" fillId="0" borderId="12" xfId="3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>
      <alignment horizontal="center"/>
    </xf>
    <xf numFmtId="9" fontId="42" fillId="0" borderId="1" xfId="6" applyNumberFormat="1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right"/>
    </xf>
    <xf numFmtId="2" fontId="42" fillId="0" borderId="6" xfId="3" applyNumberFormat="1" applyFont="1" applyFill="1" applyBorder="1" applyAlignment="1">
      <alignment horizontal="center"/>
    </xf>
    <xf numFmtId="9" fontId="42" fillId="0" borderId="6" xfId="6" applyNumberFormat="1" applyFont="1" applyFill="1" applyBorder="1" applyAlignment="1">
      <alignment horizontal="center"/>
    </xf>
    <xf numFmtId="2" fontId="42" fillId="0" borderId="6" xfId="3" applyNumberFormat="1" applyFont="1" applyFill="1" applyBorder="1" applyAlignment="1">
      <alignment horizontal="right"/>
    </xf>
    <xf numFmtId="1" fontId="42" fillId="0" borderId="18" xfId="5" applyNumberFormat="1" applyFont="1" applyFill="1" applyBorder="1" applyAlignment="1" applyProtection="1">
      <alignment horizontal="center"/>
    </xf>
    <xf numFmtId="0" fontId="52" fillId="0" borderId="0" xfId="0" applyFont="1" applyFill="1"/>
    <xf numFmtId="0" fontId="57" fillId="0" borderId="0" xfId="0" applyFont="1" applyFill="1"/>
    <xf numFmtId="1" fontId="52" fillId="0" borderId="0" xfId="0" applyNumberFormat="1" applyFont="1" applyFill="1" applyAlignment="1">
      <alignment horizontal="center"/>
    </xf>
    <xf numFmtId="1" fontId="52" fillId="0" borderId="0" xfId="0" applyNumberFormat="1" applyFont="1" applyFill="1"/>
    <xf numFmtId="0" fontId="47" fillId="0" borderId="0" xfId="0" applyFont="1" applyFill="1"/>
    <xf numFmtId="0" fontId="42" fillId="0" borderId="0" xfId="0" applyFont="1" applyFill="1"/>
    <xf numFmtId="1" fontId="47" fillId="0" borderId="0" xfId="0" applyNumberFormat="1" applyFont="1" applyFill="1" applyAlignment="1">
      <alignment horizontal="center"/>
    </xf>
    <xf numFmtId="1" fontId="47" fillId="0" borderId="0" xfId="0" applyNumberFormat="1" applyFont="1" applyFill="1"/>
    <xf numFmtId="1" fontId="103" fillId="2" borderId="16" xfId="1" applyNumberFormat="1" applyFont="1" applyFill="1" applyBorder="1" applyAlignment="1">
      <alignment vertical="center" wrapText="1"/>
    </xf>
    <xf numFmtId="1" fontId="104" fillId="0" borderId="1" xfId="0" applyNumberFormat="1" applyFont="1" applyBorder="1" applyAlignment="1">
      <alignment horizontal="center" wrapText="1"/>
    </xf>
    <xf numFmtId="0" fontId="68" fillId="11" borderId="1" xfId="4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/>
    </xf>
    <xf numFmtId="0" fontId="68" fillId="0" borderId="1" xfId="4" applyFont="1" applyFill="1" applyBorder="1" applyAlignment="1">
      <alignment horizontal="center" vertical="center"/>
    </xf>
    <xf numFmtId="0" fontId="16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31" fillId="2" borderId="16" xfId="1" applyNumberFormat="1" applyFont="1" applyFill="1" applyBorder="1" applyAlignment="1">
      <alignment vertical="center" wrapText="1"/>
    </xf>
    <xf numFmtId="1" fontId="42" fillId="19" borderId="1" xfId="3" applyNumberFormat="1" applyFont="1" applyFill="1" applyBorder="1" applyAlignment="1">
      <alignment horizontal="center"/>
    </xf>
    <xf numFmtId="0" fontId="42" fillId="19" borderId="1" xfId="3" applyNumberFormat="1" applyFont="1" applyFill="1" applyBorder="1" applyAlignment="1">
      <alignment horizontal="center"/>
    </xf>
    <xf numFmtId="1" fontId="42" fillId="19" borderId="12" xfId="5" applyNumberFormat="1" applyFont="1" applyFill="1" applyBorder="1" applyAlignment="1" applyProtection="1">
      <alignment horizontal="center"/>
    </xf>
    <xf numFmtId="0" fontId="47" fillId="11" borderId="1" xfId="3" applyFont="1" applyFill="1" applyBorder="1" applyAlignment="1">
      <alignment horizontal="center"/>
    </xf>
    <xf numFmtId="177" fontId="47" fillId="0" borderId="0" xfId="0" applyNumberFormat="1" applyFont="1" applyAlignment="1">
      <alignment horizontal="center"/>
    </xf>
    <xf numFmtId="177" fontId="47" fillId="2" borderId="1" xfId="5" applyNumberFormat="1" applyFont="1" applyFill="1" applyBorder="1" applyAlignment="1">
      <alignment horizontal="center" vertical="center"/>
    </xf>
    <xf numFmtId="177" fontId="47" fillId="0" borderId="1" xfId="5" applyNumberFormat="1" applyFont="1" applyFill="1" applyBorder="1" applyAlignment="1">
      <alignment horizontal="center" vertical="center"/>
    </xf>
    <xf numFmtId="0" fontId="76" fillId="11" borderId="16" xfId="4" applyFont="1" applyFill="1" applyBorder="1"/>
    <xf numFmtId="0" fontId="76" fillId="11" borderId="1" xfId="0" applyFont="1" applyFill="1" applyBorder="1"/>
    <xf numFmtId="0" fontId="68" fillId="11" borderId="1" xfId="4" applyFont="1" applyFill="1" applyBorder="1"/>
    <xf numFmtId="1" fontId="68" fillId="11" borderId="12" xfId="5" applyNumberFormat="1" applyFont="1" applyFill="1" applyBorder="1" applyAlignment="1" applyProtection="1">
      <alignment horizontal="center"/>
    </xf>
    <xf numFmtId="166" fontId="70" fillId="11" borderId="0" xfId="5" applyNumberFormat="1" applyFont="1" applyFill="1" applyBorder="1" applyAlignment="1" applyProtection="1">
      <alignment horizontal="center"/>
    </xf>
    <xf numFmtId="0" fontId="72" fillId="11" borderId="0" xfId="0" applyFont="1" applyFill="1" applyBorder="1"/>
    <xf numFmtId="0" fontId="72" fillId="11" borderId="0" xfId="0" applyFont="1" applyFill="1"/>
    <xf numFmtId="1" fontId="72" fillId="11" borderId="0" xfId="0" applyNumberFormat="1" applyFont="1" applyFill="1"/>
    <xf numFmtId="1" fontId="67" fillId="11" borderId="0" xfId="0" applyNumberFormat="1" applyFont="1" applyFill="1"/>
    <xf numFmtId="0" fontId="68" fillId="0" borderId="1" xfId="3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>
      <alignment horizontal="center"/>
    </xf>
    <xf numFmtId="0" fontId="75" fillId="0" borderId="1" xfId="3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2" fontId="68" fillId="0" borderId="1" xfId="9" applyNumberFormat="1" applyFont="1" applyFill="1" applyBorder="1" applyAlignment="1">
      <alignment horizontal="center"/>
    </xf>
    <xf numFmtId="0" fontId="68" fillId="0" borderId="1" xfId="3" applyFont="1" applyFill="1" applyBorder="1" applyAlignment="1">
      <alignment vertical="center"/>
    </xf>
    <xf numFmtId="1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/>
    <xf numFmtId="0" fontId="74" fillId="0" borderId="19" xfId="4" applyFont="1" applyFill="1" applyBorder="1" applyAlignment="1">
      <alignment horizontal="center" vertical="center"/>
    </xf>
    <xf numFmtId="0" fontId="73" fillId="0" borderId="0" xfId="0" applyFont="1" applyFill="1" applyBorder="1"/>
    <xf numFmtId="2" fontId="68" fillId="0" borderId="6" xfId="3" applyNumberFormat="1" applyFont="1" applyFill="1" applyBorder="1" applyAlignment="1">
      <alignment horizontal="center"/>
    </xf>
    <xf numFmtId="0" fontId="64" fillId="0" borderId="0" xfId="0" applyFont="1" applyFill="1"/>
    <xf numFmtId="1" fontId="68" fillId="0" borderId="1" xfId="0" applyNumberFormat="1" applyFont="1" applyFill="1" applyBorder="1" applyAlignment="1">
      <alignment horizontal="center"/>
    </xf>
    <xf numFmtId="0" fontId="73" fillId="0" borderId="0" xfId="0" applyFont="1" applyFill="1"/>
    <xf numFmtId="1" fontId="88" fillId="0" borderId="31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47" fillId="0" borderId="0" xfId="0" applyFont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1" fontId="36" fillId="2" borderId="1" xfId="5" applyNumberFormat="1" applyFont="1" applyFill="1" applyBorder="1" applyAlignment="1">
      <alignment horizontal="center" vertical="center"/>
    </xf>
    <xf numFmtId="1" fontId="41" fillId="0" borderId="0" xfId="0" applyNumberFormat="1" applyFont="1" applyAlignment="1">
      <alignment horizontal="center"/>
    </xf>
    <xf numFmtId="1" fontId="41" fillId="0" borderId="0" xfId="0" applyNumberFormat="1" applyFont="1"/>
    <xf numFmtId="0" fontId="41" fillId="11" borderId="1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1" fontId="47" fillId="19" borderId="1" xfId="4" applyNumberFormat="1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44" fillId="0" borderId="1" xfId="0" applyFont="1" applyBorder="1"/>
    <xf numFmtId="0" fontId="105" fillId="8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106" fillId="0" borderId="1" xfId="0" applyFont="1" applyBorder="1"/>
    <xf numFmtId="1" fontId="57" fillId="2" borderId="1" xfId="5" applyNumberFormat="1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/>
    </xf>
    <xf numFmtId="0" fontId="106" fillId="0" borderId="1" xfId="0" applyFont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07" fillId="0" borderId="0" xfId="0" applyFont="1" applyBorder="1"/>
    <xf numFmtId="0" fontId="107" fillId="0" borderId="0" xfId="0" applyFont="1"/>
    <xf numFmtId="1" fontId="107" fillId="0" borderId="0" xfId="0" applyNumberFormat="1" applyFont="1"/>
    <xf numFmtId="166" fontId="59" fillId="11" borderId="0" xfId="0" applyNumberFormat="1" applyFont="1" applyFill="1" applyAlignment="1">
      <alignment horizontal="center"/>
    </xf>
    <xf numFmtId="2" fontId="68" fillId="8" borderId="7" xfId="3" applyNumberFormat="1" applyFont="1" applyFill="1" applyBorder="1" applyAlignment="1">
      <alignment horizontal="center"/>
    </xf>
    <xf numFmtId="0" fontId="68" fillId="19" borderId="1" xfId="4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2" fontId="42" fillId="0" borderId="1" xfId="4" applyNumberFormat="1" applyFont="1" applyFill="1" applyBorder="1" applyAlignment="1">
      <alignment horizontal="center"/>
    </xf>
    <xf numFmtId="2" fontId="42" fillId="0" borderId="1" xfId="4" applyNumberFormat="1" applyFont="1" applyBorder="1" applyAlignment="1">
      <alignment horizontal="center"/>
    </xf>
    <xf numFmtId="1" fontId="42" fillId="2" borderId="0" xfId="3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50" fillId="11" borderId="1" xfId="0" applyFont="1" applyFill="1" applyBorder="1" applyAlignment="1">
      <alignment horizontal="center"/>
    </xf>
    <xf numFmtId="0" fontId="1" fillId="2" borderId="0" xfId="18" applyFill="1"/>
    <xf numFmtId="0" fontId="16" fillId="0" borderId="0" xfId="9" applyAlignment="1">
      <alignment horizontal="center"/>
    </xf>
    <xf numFmtId="0" fontId="28" fillId="0" borderId="32" xfId="0" applyFont="1" applyBorder="1" applyAlignment="1">
      <alignment horizontal="center" wrapText="1"/>
    </xf>
    <xf numFmtId="0" fontId="108" fillId="0" borderId="32" xfId="0" applyFont="1" applyBorder="1" applyAlignment="1">
      <alignment horizontal="center" wrapText="1"/>
    </xf>
    <xf numFmtId="0" fontId="11" fillId="0" borderId="0" xfId="0" applyFont="1"/>
    <xf numFmtId="0" fontId="11" fillId="15" borderId="5" xfId="0" applyFont="1" applyFill="1" applyBorder="1" applyAlignment="1">
      <alignment horizontal="center"/>
    </xf>
    <xf numFmtId="0" fontId="13" fillId="0" borderId="21" xfId="1" applyFont="1" applyFill="1" applyBorder="1" applyAlignment="1">
      <alignment horizontal="center" vertical="center" wrapText="1"/>
    </xf>
    <xf numFmtId="0" fontId="13" fillId="0" borderId="5" xfId="1" applyFont="1" applyFill="1" applyBorder="1" applyAlignment="1">
      <alignment horizontal="center" vertical="center" wrapText="1"/>
    </xf>
    <xf numFmtId="0" fontId="13" fillId="0" borderId="30" xfId="1" applyFont="1" applyFill="1" applyBorder="1" applyAlignment="1">
      <alignment horizontal="center" vertical="center" wrapText="1"/>
    </xf>
    <xf numFmtId="0" fontId="11" fillId="17" borderId="5" xfId="0" applyFont="1" applyFill="1" applyBorder="1" applyAlignment="1">
      <alignment horizontal="center"/>
    </xf>
    <xf numFmtId="0" fontId="11" fillId="17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3" borderId="0" xfId="0" applyFont="1" applyFill="1"/>
    <xf numFmtId="1" fontId="11" fillId="13" borderId="0" xfId="0" applyNumberFormat="1" applyFont="1" applyFill="1"/>
    <xf numFmtId="0" fontId="11" fillId="0" borderId="0" xfId="0" applyNumberFormat="1" applyFont="1"/>
    <xf numFmtId="1" fontId="13" fillId="0" borderId="0" xfId="1" applyNumberFormat="1" applyFont="1"/>
    <xf numFmtId="0" fontId="109" fillId="0" borderId="1" xfId="0" applyFont="1" applyBorder="1"/>
    <xf numFmtId="0" fontId="11" fillId="0" borderId="1" xfId="0" applyFont="1" applyBorder="1"/>
    <xf numFmtId="0" fontId="32" fillId="0" borderId="0" xfId="0" applyFont="1"/>
    <xf numFmtId="0" fontId="11" fillId="20" borderId="1" xfId="0" applyFont="1" applyFill="1" applyBorder="1"/>
    <xf numFmtId="0" fontId="31" fillId="0" borderId="1" xfId="0" applyFont="1" applyBorder="1"/>
    <xf numFmtId="0" fontId="11" fillId="0" borderId="0" xfId="0" applyFont="1" applyBorder="1"/>
    <xf numFmtId="2" fontId="50" fillId="8" borderId="1" xfId="3" applyNumberFormat="1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/>
    </xf>
    <xf numFmtId="0" fontId="73" fillId="2" borderId="1" xfId="0" applyFont="1" applyFill="1" applyBorder="1" applyAlignment="1">
      <alignment horizontal="center"/>
    </xf>
    <xf numFmtId="1" fontId="42" fillId="11" borderId="1" xfId="4" applyNumberFormat="1" applyFont="1" applyFill="1" applyBorder="1" applyAlignment="1">
      <alignment horizontal="center" vertical="center"/>
    </xf>
    <xf numFmtId="0" fontId="47" fillId="11" borderId="1" xfId="0" applyFont="1" applyFill="1" applyBorder="1" applyAlignment="1">
      <alignment horizontal="center"/>
    </xf>
    <xf numFmtId="0" fontId="41" fillId="0" borderId="4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0" fillId="0" borderId="1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50" fillId="0" borderId="1" xfId="4" applyFont="1" applyBorder="1" applyAlignment="1">
      <alignment horizontal="center" vertical="center"/>
    </xf>
    <xf numFmtId="0" fontId="50" fillId="2" borderId="1" xfId="4" applyFont="1" applyFill="1" applyBorder="1" applyAlignment="1">
      <alignment horizontal="center" vertical="center"/>
    </xf>
    <xf numFmtId="1" fontId="50" fillId="2" borderId="1" xfId="5" applyNumberFormat="1" applyFont="1" applyFill="1" applyBorder="1" applyAlignment="1">
      <alignment horizontal="center" vertical="center"/>
    </xf>
    <xf numFmtId="1" fontId="47" fillId="0" borderId="1" xfId="0" applyNumberFormat="1" applyFont="1" applyBorder="1"/>
    <xf numFmtId="1" fontId="42" fillId="8" borderId="1" xfId="5" applyNumberFormat="1" applyFont="1" applyFill="1" applyBorder="1" applyAlignment="1" applyProtection="1">
      <alignment horizontal="center"/>
    </xf>
    <xf numFmtId="0" fontId="41" fillId="0" borderId="2" xfId="0" applyFont="1" applyBorder="1" applyAlignment="1"/>
    <xf numFmtId="0" fontId="41" fillId="0" borderId="3" xfId="0" applyFont="1" applyBorder="1" applyAlignment="1"/>
    <xf numFmtId="0" fontId="41" fillId="0" borderId="4" xfId="0" applyFont="1" applyBorder="1" applyAlignment="1"/>
    <xf numFmtId="0" fontId="41" fillId="2" borderId="0" xfId="0" applyFont="1" applyFill="1" applyBorder="1"/>
    <xf numFmtId="0" fontId="41" fillId="2" borderId="1" xfId="0" applyFont="1" applyFill="1" applyBorder="1" applyAlignment="1">
      <alignment horizontal="left"/>
    </xf>
    <xf numFmtId="0" fontId="44" fillId="2" borderId="1" xfId="0" applyFont="1" applyFill="1" applyBorder="1" applyAlignment="1">
      <alignment horizontal="left"/>
    </xf>
    <xf numFmtId="0" fontId="42" fillId="2" borderId="1" xfId="4" applyFont="1" applyFill="1" applyBorder="1"/>
    <xf numFmtId="1" fontId="42" fillId="2" borderId="1" xfId="5" applyNumberFormat="1" applyFont="1" applyFill="1" applyBorder="1" applyAlignment="1" applyProtection="1">
      <alignment horizontal="center"/>
    </xf>
    <xf numFmtId="0" fontId="25" fillId="25" borderId="3" xfId="3" applyFont="1" applyFill="1" applyBorder="1" applyAlignment="1">
      <alignment vertical="justify"/>
    </xf>
    <xf numFmtId="0" fontId="25" fillId="25" borderId="22" xfId="3" applyFont="1" applyFill="1" applyBorder="1" applyAlignment="1">
      <alignment vertical="justify"/>
    </xf>
    <xf numFmtId="0" fontId="42" fillId="25" borderId="1" xfId="3" applyFont="1" applyFill="1" applyBorder="1" applyAlignment="1">
      <alignment horizontal="center"/>
    </xf>
    <xf numFmtId="1" fontId="47" fillId="25" borderId="1" xfId="3" applyNumberFormat="1" applyFont="1" applyFill="1" applyBorder="1" applyAlignment="1">
      <alignment horizontal="center"/>
    </xf>
    <xf numFmtId="0" fontId="42" fillId="25" borderId="12" xfId="3" applyFont="1" applyFill="1" applyBorder="1" applyAlignment="1">
      <alignment horizontal="center"/>
    </xf>
    <xf numFmtId="0" fontId="47" fillId="25" borderId="1" xfId="3" applyFont="1" applyFill="1" applyBorder="1" applyAlignment="1">
      <alignment horizontal="center"/>
    </xf>
    <xf numFmtId="0" fontId="47" fillId="25" borderId="12" xfId="3" applyFont="1" applyFill="1" applyBorder="1" applyAlignment="1">
      <alignment horizontal="center"/>
    </xf>
    <xf numFmtId="1" fontId="56" fillId="2" borderId="0" xfId="0" applyNumberFormat="1" applyFont="1" applyFill="1"/>
    <xf numFmtId="1" fontId="12" fillId="15" borderId="16" xfId="1" applyNumberFormat="1" applyFont="1" applyFill="1" applyBorder="1" applyAlignment="1">
      <alignment vertical="center" wrapText="1"/>
    </xf>
    <xf numFmtId="0" fontId="11" fillId="0" borderId="1" xfId="0" applyNumberFormat="1" applyFont="1" applyBorder="1"/>
    <xf numFmtId="2" fontId="11" fillId="0" borderId="1" xfId="0" applyNumberFormat="1" applyFont="1" applyBorder="1"/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3" fillId="0" borderId="14" xfId="1" applyFont="1" applyFill="1" applyBorder="1" applyAlignment="1">
      <alignment horizontal="center" vertical="center" wrapText="1"/>
    </xf>
    <xf numFmtId="0" fontId="13" fillId="0" borderId="11" xfId="1" applyFont="1" applyFill="1" applyBorder="1" applyAlignment="1">
      <alignment horizontal="center" vertical="center" wrapText="1"/>
    </xf>
    <xf numFmtId="0" fontId="13" fillId="0" borderId="15" xfId="1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36" fillId="0" borderId="13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0" borderId="13" xfId="4" applyFont="1" applyBorder="1" applyAlignment="1">
      <alignment horizontal="left"/>
    </xf>
    <xf numFmtId="0" fontId="40" fillId="0" borderId="3" xfId="4" applyFont="1" applyBorder="1" applyAlignment="1">
      <alignment horizontal="left"/>
    </xf>
    <xf numFmtId="0" fontId="40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3" xfId="0" applyFont="1" applyFill="1" applyBorder="1" applyAlignment="1">
      <alignment horizontal="left"/>
    </xf>
    <xf numFmtId="0" fontId="41" fillId="0" borderId="4" xfId="0" applyFont="1" applyFill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44" fillId="0" borderId="13" xfId="0" applyFont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44" fillId="16" borderId="13" xfId="0" applyFont="1" applyFill="1" applyBorder="1" applyAlignment="1">
      <alignment horizontal="left"/>
    </xf>
    <xf numFmtId="0" fontId="44" fillId="16" borderId="4" xfId="0" applyFont="1" applyFill="1" applyBorder="1" applyAlignment="1">
      <alignment horizontal="left"/>
    </xf>
    <xf numFmtId="0" fontId="41" fillId="16" borderId="13" xfId="0" applyFont="1" applyFill="1" applyBorder="1" applyAlignment="1">
      <alignment horizontal="left"/>
    </xf>
    <xf numFmtId="0" fontId="41" fillId="16" borderId="4" xfId="0" applyFont="1" applyFill="1" applyBorder="1" applyAlignment="1">
      <alignment horizontal="left"/>
    </xf>
    <xf numFmtId="0" fontId="44" fillId="15" borderId="13" xfId="0" applyFont="1" applyFill="1" applyBorder="1" applyAlignment="1">
      <alignment horizontal="left"/>
    </xf>
    <xf numFmtId="0" fontId="44" fillId="15" borderId="4" xfId="0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13" borderId="13" xfId="3" applyFont="1" applyFill="1" applyBorder="1" applyAlignment="1">
      <alignment horizontal="center"/>
    </xf>
    <xf numFmtId="0" fontId="35" fillId="13" borderId="4" xfId="3" applyFont="1" applyFill="1" applyBorder="1" applyAlignment="1">
      <alignment horizontal="center"/>
    </xf>
    <xf numFmtId="0" fontId="55" fillId="8" borderId="14" xfId="3" applyFont="1" applyFill="1" applyBorder="1" applyAlignment="1">
      <alignment horizontal="center"/>
    </xf>
    <xf numFmtId="0" fontId="55" fillId="8" borderId="11" xfId="3" applyFont="1" applyFill="1" applyBorder="1" applyAlignment="1">
      <alignment horizontal="center"/>
    </xf>
    <xf numFmtId="0" fontId="55" fillId="8" borderId="15" xfId="3" applyFont="1" applyFill="1" applyBorder="1" applyAlignment="1">
      <alignment horizontal="center"/>
    </xf>
    <xf numFmtId="0" fontId="53" fillId="13" borderId="13" xfId="3" applyFont="1" applyFill="1" applyBorder="1" applyAlignment="1">
      <alignment horizontal="center" vertical="center"/>
    </xf>
    <xf numFmtId="0" fontId="53" fillId="13" borderId="3" xfId="3" applyFont="1" applyFill="1" applyBorder="1" applyAlignment="1">
      <alignment horizontal="center" vertical="center"/>
    </xf>
    <xf numFmtId="0" fontId="53" fillId="13" borderId="4" xfId="3" applyFont="1" applyFill="1" applyBorder="1" applyAlignment="1">
      <alignment horizontal="center" vertical="center"/>
    </xf>
    <xf numFmtId="0" fontId="53" fillId="13" borderId="13" xfId="3" applyFont="1" applyFill="1" applyBorder="1" applyAlignment="1">
      <alignment horizontal="center"/>
    </xf>
    <xf numFmtId="0" fontId="53" fillId="13" borderId="3" xfId="3" applyFont="1" applyFill="1" applyBorder="1" applyAlignment="1">
      <alignment horizontal="center"/>
    </xf>
    <xf numFmtId="0" fontId="53" fillId="13" borderId="4" xfId="3" applyFont="1" applyFill="1" applyBorder="1" applyAlignment="1">
      <alignment horizontal="center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25" fillId="2" borderId="13" xfId="3" applyFont="1" applyFill="1" applyBorder="1" applyAlignment="1">
      <alignment horizontal="center" vertical="justify"/>
    </xf>
    <xf numFmtId="0" fontId="25" fillId="2" borderId="3" xfId="3" applyFont="1" applyFill="1" applyBorder="1" applyAlignment="1">
      <alignment horizontal="center" vertical="justify"/>
    </xf>
    <xf numFmtId="0" fontId="25" fillId="2" borderId="22" xfId="3" applyFont="1" applyFill="1" applyBorder="1" applyAlignment="1">
      <alignment horizontal="center" vertical="justify"/>
    </xf>
    <xf numFmtId="0" fontId="36" fillId="2" borderId="13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29" fillId="13" borderId="13" xfId="4" applyFont="1" applyFill="1" applyBorder="1" applyAlignment="1">
      <alignment horizontal="left"/>
    </xf>
    <xf numFmtId="0" fontId="29" fillId="13" borderId="3" xfId="4" applyFont="1" applyFill="1" applyBorder="1" applyAlignment="1">
      <alignment horizontal="left"/>
    </xf>
    <xf numFmtId="0" fontId="29" fillId="13" borderId="22" xfId="4" applyFont="1" applyFill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5" fillId="13" borderId="13" xfId="3" applyFont="1" applyFill="1" applyBorder="1" applyAlignment="1">
      <alignment horizontal="left"/>
    </xf>
    <xf numFmtId="0" fontId="35" fillId="13" borderId="3" xfId="3" applyFont="1" applyFill="1" applyBorder="1" applyAlignment="1">
      <alignment horizontal="left"/>
    </xf>
    <xf numFmtId="0" fontId="35" fillId="13" borderId="4" xfId="3" applyFont="1" applyFill="1" applyBorder="1" applyAlignment="1">
      <alignment horizontal="left"/>
    </xf>
    <xf numFmtId="0" fontId="35" fillId="14" borderId="13" xfId="3" applyFont="1" applyFill="1" applyBorder="1" applyAlignment="1">
      <alignment horizontal="left"/>
    </xf>
    <xf numFmtId="0" fontId="35" fillId="14" borderId="3" xfId="3" applyFont="1" applyFill="1" applyBorder="1" applyAlignment="1">
      <alignment horizontal="left"/>
    </xf>
    <xf numFmtId="0" fontId="35" fillId="14" borderId="4" xfId="3" applyFont="1" applyFill="1" applyBorder="1" applyAlignment="1">
      <alignment horizontal="left"/>
    </xf>
    <xf numFmtId="0" fontId="36" fillId="15" borderId="21" xfId="0" applyFont="1" applyFill="1" applyBorder="1" applyAlignment="1">
      <alignment horizontal="center"/>
    </xf>
    <xf numFmtId="0" fontId="36" fillId="15" borderId="5" xfId="0" applyFont="1" applyFill="1" applyBorder="1" applyAlignment="1">
      <alignment horizontal="center"/>
    </xf>
    <xf numFmtId="0" fontId="44" fillId="0" borderId="3" xfId="0" applyFont="1" applyBorder="1" applyAlignment="1">
      <alignment horizontal="left"/>
    </xf>
    <xf numFmtId="0" fontId="36" fillId="8" borderId="20" xfId="3" applyFont="1" applyFill="1" applyBorder="1" applyAlignment="1">
      <alignment horizontal="left"/>
    </xf>
    <xf numFmtId="0" fontId="36" fillId="8" borderId="8" xfId="3" applyFont="1" applyFill="1" applyBorder="1" applyAlignment="1">
      <alignment horizontal="left"/>
    </xf>
    <xf numFmtId="0" fontId="36" fillId="8" borderId="9" xfId="3" applyFont="1" applyFill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41" fillId="15" borderId="13" xfId="0" applyFont="1" applyFill="1" applyBorder="1" applyAlignment="1">
      <alignment horizontal="left"/>
    </xf>
    <xf numFmtId="0" fontId="41" fillId="15" borderId="4" xfId="0" applyFont="1" applyFill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41" fillId="8" borderId="13" xfId="3" applyFont="1" applyFill="1" applyBorder="1" applyAlignment="1">
      <alignment horizontal="left"/>
    </xf>
    <xf numFmtId="0" fontId="41" fillId="8" borderId="3" xfId="3" applyFont="1" applyFill="1" applyBorder="1" applyAlignment="1">
      <alignment horizontal="left"/>
    </xf>
    <xf numFmtId="0" fontId="41" fillId="8" borderId="4" xfId="3" applyFont="1" applyFill="1" applyBorder="1" applyAlignment="1">
      <alignment horizontal="left"/>
    </xf>
    <xf numFmtId="0" fontId="41" fillId="0" borderId="0" xfId="0" applyFont="1" applyAlignment="1">
      <alignment horizontal="center"/>
    </xf>
    <xf numFmtId="0" fontId="36" fillId="0" borderId="2" xfId="3" applyFont="1" applyFill="1" applyBorder="1" applyAlignment="1">
      <alignment horizontal="center"/>
    </xf>
    <xf numFmtId="0" fontId="36" fillId="0" borderId="4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left"/>
    </xf>
    <xf numFmtId="0" fontId="40" fillId="2" borderId="13" xfId="4" applyFont="1" applyFill="1" applyBorder="1" applyAlignment="1">
      <alignment horizontal="left"/>
    </xf>
    <xf numFmtId="0" fontId="40" fillId="2" borderId="3" xfId="4" applyFont="1" applyFill="1" applyBorder="1" applyAlignment="1">
      <alignment horizontal="left"/>
    </xf>
    <xf numFmtId="0" fontId="40" fillId="2" borderId="4" xfId="4" applyFont="1" applyFill="1" applyBorder="1" applyAlignment="1">
      <alignment horizontal="left"/>
    </xf>
    <xf numFmtId="0" fontId="40" fillId="11" borderId="13" xfId="4" applyFont="1" applyFill="1" applyBorder="1" applyAlignment="1">
      <alignment horizontal="left"/>
    </xf>
    <xf numFmtId="0" fontId="40" fillId="11" borderId="3" xfId="4" applyFont="1" applyFill="1" applyBorder="1" applyAlignment="1">
      <alignment horizontal="left"/>
    </xf>
    <xf numFmtId="0" fontId="40" fillId="11" borderId="4" xfId="4" applyFont="1" applyFill="1" applyBorder="1" applyAlignment="1">
      <alignment horizontal="left"/>
    </xf>
    <xf numFmtId="0" fontId="40" fillId="0" borderId="13" xfId="4" applyFont="1" applyFill="1" applyBorder="1" applyAlignment="1">
      <alignment horizontal="left"/>
    </xf>
    <xf numFmtId="0" fontId="40" fillId="0" borderId="3" xfId="4" applyFont="1" applyFill="1" applyBorder="1" applyAlignment="1">
      <alignment horizontal="left"/>
    </xf>
    <xf numFmtId="0" fontId="40" fillId="0" borderId="4" xfId="4" applyFont="1" applyFill="1" applyBorder="1" applyAlignment="1">
      <alignment horizontal="left"/>
    </xf>
    <xf numFmtId="0" fontId="36" fillId="11" borderId="13" xfId="4" applyFont="1" applyFill="1" applyBorder="1" applyAlignment="1">
      <alignment horizontal="left"/>
    </xf>
    <xf numFmtId="0" fontId="36" fillId="11" borderId="3" xfId="4" applyFont="1" applyFill="1" applyBorder="1" applyAlignment="1">
      <alignment horizontal="left"/>
    </xf>
    <xf numFmtId="0" fontId="36" fillId="11" borderId="4" xfId="4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73" fillId="0" borderId="4" xfId="0" applyFont="1" applyBorder="1" applyAlignment="1">
      <alignment horizontal="left"/>
    </xf>
    <xf numFmtId="0" fontId="73" fillId="0" borderId="13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left"/>
    </xf>
    <xf numFmtId="0" fontId="73" fillId="0" borderId="13" xfId="0" applyFont="1" applyBorder="1" applyAlignment="1">
      <alignment horizontal="left"/>
    </xf>
    <xf numFmtId="0" fontId="64" fillId="15" borderId="13" xfId="0" applyFont="1" applyFill="1" applyBorder="1" applyAlignment="1">
      <alignment horizontal="left"/>
    </xf>
    <xf numFmtId="0" fontId="64" fillId="15" borderId="4" xfId="0" applyFont="1" applyFill="1" applyBorder="1" applyAlignment="1">
      <alignment horizontal="left"/>
    </xf>
    <xf numFmtId="0" fontId="64" fillId="0" borderId="13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4" fillId="16" borderId="13" xfId="0" applyFont="1" applyFill="1" applyBorder="1" applyAlignment="1">
      <alignment horizontal="left"/>
    </xf>
    <xf numFmtId="0" fontId="64" fillId="16" borderId="4" xfId="0" applyFont="1" applyFill="1" applyBorder="1" applyAlignment="1">
      <alignment horizontal="left"/>
    </xf>
    <xf numFmtId="0" fontId="73" fillId="16" borderId="13" xfId="0" applyFont="1" applyFill="1" applyBorder="1" applyAlignment="1">
      <alignment horizontal="left"/>
    </xf>
    <xf numFmtId="0" fontId="73" fillId="16" borderId="4" xfId="0" applyFont="1" applyFill="1" applyBorder="1" applyAlignment="1">
      <alignment horizontal="left"/>
    </xf>
    <xf numFmtId="0" fontId="68" fillId="15" borderId="21" xfId="0" applyFont="1" applyFill="1" applyBorder="1" applyAlignment="1">
      <alignment horizontal="center"/>
    </xf>
    <xf numFmtId="0" fontId="68" fillId="15" borderId="5" xfId="0" applyFont="1" applyFill="1" applyBorder="1" applyAlignment="1">
      <alignment horizontal="center"/>
    </xf>
    <xf numFmtId="0" fontId="64" fillId="0" borderId="3" xfId="0" applyFont="1" applyBorder="1" applyAlignment="1">
      <alignment horizontal="left"/>
    </xf>
    <xf numFmtId="0" fontId="68" fillId="14" borderId="13" xfId="3" applyFont="1" applyFill="1" applyBorder="1" applyAlignment="1">
      <alignment horizontal="left"/>
    </xf>
    <xf numFmtId="0" fontId="68" fillId="14" borderId="3" xfId="3" applyFont="1" applyFill="1" applyBorder="1" applyAlignment="1">
      <alignment horizontal="left"/>
    </xf>
    <xf numFmtId="0" fontId="68" fillId="14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left"/>
    </xf>
    <xf numFmtId="0" fontId="68" fillId="13" borderId="3" xfId="3" applyFont="1" applyFill="1" applyBorder="1" applyAlignment="1">
      <alignment horizontal="left"/>
    </xf>
    <xf numFmtId="0" fontId="68" fillId="13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center"/>
    </xf>
    <xf numFmtId="0" fontId="68" fillId="13" borderId="4" xfId="3" applyFont="1" applyFill="1" applyBorder="1" applyAlignment="1">
      <alignment horizontal="center"/>
    </xf>
    <xf numFmtId="0" fontId="68" fillId="8" borderId="13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8" fillId="8" borderId="20" xfId="3" applyFont="1" applyFill="1" applyBorder="1" applyAlignment="1">
      <alignment horizontal="left"/>
    </xf>
    <xf numFmtId="0" fontId="68" fillId="8" borderId="8" xfId="3" applyFont="1" applyFill="1" applyBorder="1" applyAlignment="1">
      <alignment horizontal="left"/>
    </xf>
    <xf numFmtId="0" fontId="68" fillId="8" borderId="9" xfId="3" applyFont="1" applyFill="1" applyBorder="1" applyAlignment="1">
      <alignment horizontal="left"/>
    </xf>
    <xf numFmtId="0" fontId="68" fillId="0" borderId="13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9" fillId="13" borderId="13" xfId="4" applyFont="1" applyFill="1" applyBorder="1" applyAlignment="1">
      <alignment horizontal="left"/>
    </xf>
    <xf numFmtId="0" fontId="79" fillId="13" borderId="3" xfId="4" applyFont="1" applyFill="1" applyBorder="1" applyAlignment="1">
      <alignment horizontal="left"/>
    </xf>
    <xf numFmtId="0" fontId="79" fillId="13" borderId="22" xfId="4" applyFont="1" applyFill="1" applyBorder="1" applyAlignment="1">
      <alignment horizontal="left"/>
    </xf>
    <xf numFmtId="0" fontId="68" fillId="2" borderId="13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6" fillId="8" borderId="14" xfId="3" applyFont="1" applyFill="1" applyBorder="1" applyAlignment="1">
      <alignment horizontal="center"/>
    </xf>
    <xf numFmtId="0" fontId="66" fillId="8" borderId="11" xfId="3" applyFont="1" applyFill="1" applyBorder="1" applyAlignment="1">
      <alignment horizontal="center"/>
    </xf>
    <xf numFmtId="0" fontId="66" fillId="8" borderId="15" xfId="3" applyFont="1" applyFill="1" applyBorder="1" applyAlignment="1">
      <alignment horizontal="center"/>
    </xf>
    <xf numFmtId="0" fontId="71" fillId="13" borderId="13" xfId="3" applyFont="1" applyFill="1" applyBorder="1" applyAlignment="1">
      <alignment horizontal="center" vertical="center"/>
    </xf>
    <xf numFmtId="0" fontId="71" fillId="13" borderId="3" xfId="3" applyFont="1" applyFill="1" applyBorder="1" applyAlignment="1">
      <alignment horizontal="center" vertical="center"/>
    </xf>
    <xf numFmtId="0" fontId="71" fillId="13" borderId="4" xfId="3" applyFont="1" applyFill="1" applyBorder="1" applyAlignment="1">
      <alignment horizontal="center" vertical="center"/>
    </xf>
    <xf numFmtId="0" fontId="71" fillId="13" borderId="13" xfId="3" applyFont="1" applyFill="1" applyBorder="1" applyAlignment="1">
      <alignment horizontal="center"/>
    </xf>
    <xf numFmtId="0" fontId="71" fillId="13" borderId="3" xfId="3" applyFont="1" applyFill="1" applyBorder="1" applyAlignment="1">
      <alignment horizontal="center"/>
    </xf>
    <xf numFmtId="0" fontId="71" fillId="13" borderId="4" xfId="3" applyFont="1" applyFill="1" applyBorder="1" applyAlignment="1">
      <alignment horizontal="center"/>
    </xf>
    <xf numFmtId="0" fontId="68" fillId="9" borderId="2" xfId="3" applyFont="1" applyFill="1" applyBorder="1" applyAlignment="1">
      <alignment horizontal="center"/>
    </xf>
    <xf numFmtId="0" fontId="68" fillId="9" borderId="4" xfId="3" applyFont="1" applyFill="1" applyBorder="1" applyAlignment="1">
      <alignment horizontal="center"/>
    </xf>
    <xf numFmtId="0" fontId="70" fillId="2" borderId="13" xfId="3" applyFont="1" applyFill="1" applyBorder="1" applyAlignment="1">
      <alignment horizontal="center" vertical="justify"/>
    </xf>
    <xf numFmtId="0" fontId="70" fillId="2" borderId="3" xfId="3" applyFont="1" applyFill="1" applyBorder="1" applyAlignment="1">
      <alignment horizontal="center" vertical="justify"/>
    </xf>
    <xf numFmtId="0" fontId="70" fillId="2" borderId="22" xfId="3" applyFont="1" applyFill="1" applyBorder="1" applyAlignment="1">
      <alignment horizontal="center" vertical="justify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44" fillId="0" borderId="16" xfId="0" applyFont="1" applyBorder="1" applyAlignment="1">
      <alignment horizontal="left"/>
    </xf>
    <xf numFmtId="0" fontId="44" fillId="16" borderId="16" xfId="0" applyFont="1" applyFill="1" applyBorder="1" applyAlignment="1">
      <alignment horizontal="left"/>
    </xf>
    <xf numFmtId="0" fontId="44" fillId="16" borderId="1" xfId="0" applyFont="1" applyFill="1" applyBorder="1" applyAlignment="1">
      <alignment horizontal="left"/>
    </xf>
    <xf numFmtId="0" fontId="41" fillId="0" borderId="16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6" xfId="3" applyFont="1" applyFill="1" applyBorder="1" applyAlignment="1">
      <alignment horizontal="center"/>
    </xf>
    <xf numFmtId="0" fontId="35" fillId="13" borderId="1" xfId="3" applyFont="1" applyFill="1" applyBorder="1" applyAlignment="1">
      <alignment horizontal="center"/>
    </xf>
    <xf numFmtId="0" fontId="36" fillId="8" borderId="17" xfId="3" applyFont="1" applyFill="1" applyBorder="1" applyAlignment="1">
      <alignment horizontal="left"/>
    </xf>
    <xf numFmtId="0" fontId="36" fillId="8" borderId="6" xfId="3" applyFont="1" applyFill="1" applyBorder="1" applyAlignment="1">
      <alignment horizontal="left"/>
    </xf>
    <xf numFmtId="0" fontId="53" fillId="13" borderId="16" xfId="3" applyFont="1" applyFill="1" applyBorder="1" applyAlignment="1">
      <alignment horizontal="center"/>
    </xf>
    <xf numFmtId="0" fontId="53" fillId="13" borderId="1" xfId="3" applyFont="1" applyFill="1" applyBorder="1" applyAlignment="1">
      <alignment horizontal="center"/>
    </xf>
    <xf numFmtId="0" fontId="25" fillId="2" borderId="16" xfId="3" applyFont="1" applyFill="1" applyBorder="1" applyAlignment="1">
      <alignment horizontal="center" vertical="justify"/>
    </xf>
    <xf numFmtId="0" fontId="25" fillId="2" borderId="1" xfId="3" applyFont="1" applyFill="1" applyBorder="1" applyAlignment="1">
      <alignment horizontal="center" vertical="justify"/>
    </xf>
    <xf numFmtId="0" fontId="25" fillId="2" borderId="12" xfId="3" applyFont="1" applyFill="1" applyBorder="1" applyAlignment="1">
      <alignment horizontal="center" vertical="justify"/>
    </xf>
    <xf numFmtId="0" fontId="36" fillId="9" borderId="1" xfId="3" applyFont="1" applyFill="1" applyBorder="1" applyAlignment="1">
      <alignment horizontal="center"/>
    </xf>
    <xf numFmtId="0" fontId="53" fillId="13" borderId="16" xfId="3" applyFont="1" applyFill="1" applyBorder="1" applyAlignment="1">
      <alignment horizontal="center" vertical="center"/>
    </xf>
    <xf numFmtId="0" fontId="53" fillId="13" borderId="1" xfId="3" applyFont="1" applyFill="1" applyBorder="1" applyAlignment="1">
      <alignment horizontal="center" vertical="center"/>
    </xf>
    <xf numFmtId="0" fontId="36" fillId="2" borderId="16" xfId="4" applyFont="1" applyFill="1" applyBorder="1" applyAlignment="1">
      <alignment horizontal="left"/>
    </xf>
    <xf numFmtId="0" fontId="29" fillId="13" borderId="16" xfId="4" applyFont="1" applyFill="1" applyBorder="1" applyAlignment="1">
      <alignment horizontal="left"/>
    </xf>
    <xf numFmtId="0" fontId="29" fillId="13" borderId="1" xfId="4" applyFont="1" applyFill="1" applyBorder="1" applyAlignment="1">
      <alignment horizontal="left"/>
    </xf>
    <xf numFmtId="0" fontId="29" fillId="13" borderId="12" xfId="4" applyFont="1" applyFill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40" fillId="0" borderId="1" xfId="4" applyFont="1" applyBorder="1" applyAlignment="1">
      <alignment horizontal="left"/>
    </xf>
    <xf numFmtId="0" fontId="35" fillId="14" borderId="16" xfId="3" applyFont="1" applyFill="1" applyBorder="1" applyAlignment="1">
      <alignment horizontal="left"/>
    </xf>
    <xf numFmtId="0" fontId="35" fillId="14" borderId="1" xfId="3" applyFont="1" applyFill="1" applyBorder="1" applyAlignment="1">
      <alignment horizontal="left"/>
    </xf>
    <xf numFmtId="0" fontId="35" fillId="13" borderId="16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15" borderId="27" xfId="0" applyFont="1" applyFill="1" applyBorder="1" applyAlignment="1">
      <alignment horizontal="center"/>
    </xf>
    <xf numFmtId="0" fontId="36" fillId="15" borderId="0" xfId="0" applyFont="1" applyFill="1" applyBorder="1" applyAlignment="1">
      <alignment horizontal="center"/>
    </xf>
    <xf numFmtId="0" fontId="44" fillId="15" borderId="16" xfId="0" applyFont="1" applyFill="1" applyBorder="1" applyAlignment="1">
      <alignment horizontal="left"/>
    </xf>
    <xf numFmtId="0" fontId="44" fillId="15" borderId="1" xfId="0" applyFont="1" applyFill="1" applyBorder="1" applyAlignment="1">
      <alignment horizontal="left"/>
    </xf>
    <xf numFmtId="0" fontId="41" fillId="16" borderId="16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/>
    </xf>
    <xf numFmtId="0" fontId="41" fillId="2" borderId="13" xfId="0" applyFont="1" applyFill="1" applyBorder="1" applyAlignment="1">
      <alignment horizontal="left"/>
    </xf>
    <xf numFmtId="0" fontId="41" fillId="2" borderId="4" xfId="0" applyFont="1" applyFill="1" applyBorder="1" applyAlignment="1">
      <alignment horizontal="left"/>
    </xf>
    <xf numFmtId="0" fontId="110" fillId="13" borderId="27" xfId="3" applyFont="1" applyFill="1" applyBorder="1" applyAlignment="1">
      <alignment horizontal="center" vertical="center"/>
    </xf>
    <xf numFmtId="0" fontId="110" fillId="13" borderId="0" xfId="3" applyFont="1" applyFill="1" applyBorder="1" applyAlignment="1">
      <alignment horizontal="center" vertical="center"/>
    </xf>
    <xf numFmtId="0" fontId="110" fillId="13" borderId="28" xfId="3" applyFont="1" applyFill="1" applyBorder="1" applyAlignment="1">
      <alignment horizontal="center" vertical="center"/>
    </xf>
    <xf numFmtId="0" fontId="41" fillId="0" borderId="2" xfId="0" applyFont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4" xfId="0" applyFont="1" applyBorder="1" applyAlignment="1">
      <alignment horizontal="center"/>
    </xf>
    <xf numFmtId="0" fontId="35" fillId="13" borderId="3" xfId="3" applyFont="1" applyFill="1" applyBorder="1" applyAlignment="1">
      <alignment horizontal="center"/>
    </xf>
    <xf numFmtId="0" fontId="43" fillId="13" borderId="2" xfId="0" applyFont="1" applyFill="1" applyBorder="1" applyAlignment="1">
      <alignment horizontal="center"/>
    </xf>
    <xf numFmtId="0" fontId="43" fillId="13" borderId="3" xfId="0" applyFont="1" applyFill="1" applyBorder="1" applyAlignment="1">
      <alignment horizontal="center"/>
    </xf>
    <xf numFmtId="0" fontId="43" fillId="13" borderId="4" xfId="0" applyFont="1" applyFill="1" applyBorder="1" applyAlignment="1">
      <alignment horizontal="center"/>
    </xf>
    <xf numFmtId="0" fontId="36" fillId="13" borderId="13" xfId="3" applyFont="1" applyFill="1" applyBorder="1" applyAlignment="1">
      <alignment horizontal="center" vertical="center"/>
    </xf>
    <xf numFmtId="0" fontId="36" fillId="13" borderId="3" xfId="3" applyFont="1" applyFill="1" applyBorder="1" applyAlignment="1">
      <alignment horizontal="center" vertical="center"/>
    </xf>
    <xf numFmtId="0" fontId="36" fillId="13" borderId="4" xfId="3" applyFont="1" applyFill="1" applyBorder="1" applyAlignment="1">
      <alignment horizontal="center" vertical="center"/>
    </xf>
    <xf numFmtId="0" fontId="44" fillId="2" borderId="13" xfId="0" applyFont="1" applyFill="1" applyBorder="1" applyAlignment="1">
      <alignment horizontal="left"/>
    </xf>
    <xf numFmtId="0" fontId="44" fillId="2" borderId="4" xfId="0" applyFont="1" applyFill="1" applyBorder="1" applyAlignment="1">
      <alignment horizontal="left"/>
    </xf>
    <xf numFmtId="0" fontId="36" fillId="2" borderId="21" xfId="0" applyFont="1" applyFill="1" applyBorder="1" applyAlignment="1">
      <alignment horizontal="center"/>
    </xf>
    <xf numFmtId="0" fontId="36" fillId="2" borderId="5" xfId="0" applyFont="1" applyFill="1" applyBorder="1" applyAlignment="1">
      <alignment horizontal="center"/>
    </xf>
    <xf numFmtId="0" fontId="44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left" vertical="center"/>
    </xf>
    <xf numFmtId="0" fontId="36" fillId="0" borderId="3" xfId="4" applyFont="1" applyBorder="1" applyAlignment="1">
      <alignment horizontal="left" vertical="center"/>
    </xf>
    <xf numFmtId="0" fontId="36" fillId="0" borderId="4" xfId="4" applyFont="1" applyBorder="1" applyAlignment="1">
      <alignment horizontal="left" vertical="center"/>
    </xf>
    <xf numFmtId="0" fontId="84" fillId="13" borderId="1" xfId="0" applyFont="1" applyFill="1" applyBorder="1" applyAlignment="1">
      <alignment horizontal="center"/>
    </xf>
    <xf numFmtId="0" fontId="41" fillId="13" borderId="1" xfId="0" applyFont="1" applyFill="1" applyBorder="1" applyAlignment="1">
      <alignment horizontal="center"/>
    </xf>
    <xf numFmtId="0" fontId="36" fillId="0" borderId="2" xfId="4" applyFont="1" applyBorder="1" applyAlignment="1">
      <alignment horizontal="left"/>
    </xf>
    <xf numFmtId="0" fontId="84" fillId="13" borderId="0" xfId="0" applyFont="1" applyFill="1" applyAlignment="1">
      <alignment horizontal="center"/>
    </xf>
    <xf numFmtId="0" fontId="35" fillId="8" borderId="0" xfId="3" applyFont="1" applyFill="1" applyBorder="1" applyAlignment="1">
      <alignment vertical="center"/>
    </xf>
    <xf numFmtId="0" fontId="111" fillId="13" borderId="13" xfId="3" applyFont="1" applyFill="1" applyBorder="1" applyAlignment="1">
      <alignment horizontal="center" vertical="center"/>
    </xf>
    <xf numFmtId="0" fontId="111" fillId="13" borderId="3" xfId="3" applyFont="1" applyFill="1" applyBorder="1" applyAlignment="1">
      <alignment horizontal="center" vertical="center"/>
    </xf>
    <xf numFmtId="0" fontId="111" fillId="13" borderId="4" xfId="3" applyFont="1" applyFill="1" applyBorder="1" applyAlignment="1">
      <alignment horizontal="center" vertical="center"/>
    </xf>
    <xf numFmtId="0" fontId="111" fillId="13" borderId="13" xfId="3" applyFont="1" applyFill="1" applyBorder="1" applyAlignment="1">
      <alignment horizontal="center"/>
    </xf>
    <xf numFmtId="0" fontId="111" fillId="13" borderId="3" xfId="3" applyFont="1" applyFill="1" applyBorder="1" applyAlignment="1">
      <alignment horizontal="center"/>
    </xf>
    <xf numFmtId="0" fontId="111" fillId="13" borderId="4" xfId="3" applyFont="1" applyFill="1" applyBorder="1" applyAlignment="1">
      <alignment horizontal="center"/>
    </xf>
    <xf numFmtId="0" fontId="111" fillId="25" borderId="13" xfId="3" applyFont="1" applyFill="1" applyBorder="1" applyAlignment="1">
      <alignment horizontal="center"/>
    </xf>
    <xf numFmtId="0" fontId="111" fillId="25" borderId="3" xfId="3" applyFont="1" applyFill="1" applyBorder="1" applyAlignment="1">
      <alignment horizontal="center"/>
    </xf>
    <xf numFmtId="0" fontId="111" fillId="25" borderId="4" xfId="3" applyFont="1" applyFill="1" applyBorder="1" applyAlignment="1">
      <alignment horizontal="center"/>
    </xf>
    <xf numFmtId="0" fontId="112" fillId="25" borderId="13" xfId="3" applyFont="1" applyFill="1" applyBorder="1" applyAlignment="1">
      <alignment horizontal="center"/>
    </xf>
    <xf numFmtId="0" fontId="112" fillId="25" borderId="3" xfId="3" applyFont="1" applyFill="1" applyBorder="1" applyAlignment="1">
      <alignment horizontal="center"/>
    </xf>
    <xf numFmtId="0" fontId="112" fillId="25" borderId="4" xfId="3" applyFont="1" applyFill="1" applyBorder="1" applyAlignment="1">
      <alignment horizontal="center"/>
    </xf>
    <xf numFmtId="0" fontId="112" fillId="13" borderId="13" xfId="3" applyFont="1" applyFill="1" applyBorder="1" applyAlignment="1">
      <alignment horizontal="center" vertical="center"/>
    </xf>
    <xf numFmtId="0" fontId="112" fillId="13" borderId="3" xfId="3" applyFont="1" applyFill="1" applyBorder="1" applyAlignment="1">
      <alignment horizontal="center" vertical="center"/>
    </xf>
    <xf numFmtId="0" fontId="112" fillId="13" borderId="4" xfId="3" applyFont="1" applyFill="1" applyBorder="1" applyAlignment="1">
      <alignment horizontal="center" vertical="center"/>
    </xf>
    <xf numFmtId="0" fontId="113" fillId="25" borderId="13" xfId="3" applyFont="1" applyFill="1" applyBorder="1" applyAlignment="1">
      <alignment horizontal="center" vertical="center"/>
    </xf>
    <xf numFmtId="0" fontId="113" fillId="25" borderId="3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39.130000000000564</c:v>
                </c:pt>
                <c:pt idx="1">
                  <c:v>32.149999999994179</c:v>
                </c:pt>
                <c:pt idx="2">
                  <c:v>30.870000000000914</c:v>
                </c:pt>
                <c:pt idx="3">
                  <c:v>23.600000000000819</c:v>
                </c:pt>
                <c:pt idx="4">
                  <c:v>39.089999999999691</c:v>
                </c:pt>
                <c:pt idx="5">
                  <c:v>32.18999999999744</c:v>
                </c:pt>
                <c:pt idx="6">
                  <c:v>24.030000000006112</c:v>
                </c:pt>
                <c:pt idx="7">
                  <c:v>30.21999999999764</c:v>
                </c:pt>
                <c:pt idx="8">
                  <c:v>29.239999999999441</c:v>
                </c:pt>
                <c:pt idx="9">
                  <c:v>27.860000000000582</c:v>
                </c:pt>
                <c:pt idx="10">
                  <c:v>29.620000000002619</c:v>
                </c:pt>
                <c:pt idx="11">
                  <c:v>32.400000000005207</c:v>
                </c:pt>
                <c:pt idx="12">
                  <c:v>-909.15000000000521</c:v>
                </c:pt>
                <c:pt idx="13">
                  <c:v>25</c:v>
                </c:pt>
                <c:pt idx="14">
                  <c:v>27</c:v>
                </c:pt>
                <c:pt idx="15">
                  <c:v>29.599999999998545</c:v>
                </c:pt>
                <c:pt idx="16">
                  <c:v>24.459999999999127</c:v>
                </c:pt>
                <c:pt idx="17">
                  <c:v>28.110000000000582</c:v>
                </c:pt>
                <c:pt idx="18">
                  <c:v>29.020000000004075</c:v>
                </c:pt>
                <c:pt idx="19">
                  <c:v>28.05000000000291</c:v>
                </c:pt>
                <c:pt idx="20">
                  <c:v>28.339999999996508</c:v>
                </c:pt>
                <c:pt idx="21">
                  <c:v>30.200000000000273</c:v>
                </c:pt>
                <c:pt idx="22">
                  <c:v>30.549999999999727</c:v>
                </c:pt>
                <c:pt idx="23">
                  <c:v>34.94999999999709</c:v>
                </c:pt>
                <c:pt idx="24">
                  <c:v>36.869999999998527</c:v>
                </c:pt>
                <c:pt idx="25">
                  <c:v>32.560000000001423</c:v>
                </c:pt>
                <c:pt idx="26">
                  <c:v>34.57000000000005</c:v>
                </c:pt>
                <c:pt idx="27">
                  <c:v>34.470000000001164</c:v>
                </c:pt>
                <c:pt idx="28">
                  <c:v>29</c:v>
                </c:pt>
                <c:pt idx="29">
                  <c:v>32</c:v>
                </c:pt>
                <c:pt idx="30">
                  <c:v>42</c:v>
                </c:pt>
                <c:pt idx="31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86164608"/>
        <c:axId val="86166144"/>
      </c:lineChart>
      <c:catAx>
        <c:axId val="8616460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66144"/>
        <c:crosses val="autoZero"/>
        <c:auto val="1"/>
        <c:lblAlgn val="ctr"/>
        <c:lblOffset val="100"/>
      </c:catAx>
      <c:valAx>
        <c:axId val="86166144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8616460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11.249999999996362</c:v>
                </c:pt>
                <c:pt idx="1">
                  <c:v>10.75</c:v>
                </c:pt>
                <c:pt idx="2">
                  <c:v>7.9700000000011642</c:v>
                </c:pt>
                <c:pt idx="3">
                  <c:v>8.6899999999986903</c:v>
                </c:pt>
                <c:pt idx="4">
                  <c:v>8.4200000000018917</c:v>
                </c:pt>
                <c:pt idx="5">
                  <c:v>9.4399999999986903</c:v>
                </c:pt>
                <c:pt idx="6">
                  <c:v>8.9900000000016007</c:v>
                </c:pt>
                <c:pt idx="7">
                  <c:v>9.0200000000004366</c:v>
                </c:pt>
                <c:pt idx="8">
                  <c:v>9.5600000000013097</c:v>
                </c:pt>
                <c:pt idx="9">
                  <c:v>8.3899999999994179</c:v>
                </c:pt>
                <c:pt idx="10">
                  <c:v>8.3799999999973807</c:v>
                </c:pt>
                <c:pt idx="11">
                  <c:v>9.2400000000016007</c:v>
                </c:pt>
                <c:pt idx="12">
                  <c:v>-271.93000000000029</c:v>
                </c:pt>
                <c:pt idx="13">
                  <c:v>15.250000000003638</c:v>
                </c:pt>
                <c:pt idx="14">
                  <c:v>8.6299999999973807</c:v>
                </c:pt>
                <c:pt idx="15">
                  <c:v>9.8600000000005821</c:v>
                </c:pt>
                <c:pt idx="16">
                  <c:v>7.6399999999994179</c:v>
                </c:pt>
                <c:pt idx="17">
                  <c:v>9.2600000000056752</c:v>
                </c:pt>
                <c:pt idx="18">
                  <c:v>6.999999999996362</c:v>
                </c:pt>
                <c:pt idx="19">
                  <c:v>10.240000000001601</c:v>
                </c:pt>
                <c:pt idx="20">
                  <c:v>7.8600000000005821</c:v>
                </c:pt>
                <c:pt idx="21">
                  <c:v>9.4599999999954889</c:v>
                </c:pt>
                <c:pt idx="22">
                  <c:v>7.75</c:v>
                </c:pt>
                <c:pt idx="23">
                  <c:v>9.4700000000011642</c:v>
                </c:pt>
                <c:pt idx="24">
                  <c:v>9.4700000000011642</c:v>
                </c:pt>
                <c:pt idx="25">
                  <c:v>9.0999999999985448</c:v>
                </c:pt>
                <c:pt idx="26">
                  <c:v>8.430000000000291</c:v>
                </c:pt>
                <c:pt idx="27">
                  <c:v>10.319999999996071</c:v>
                </c:pt>
                <c:pt idx="28">
                  <c:v>6.2700000000040745</c:v>
                </c:pt>
                <c:pt idx="29">
                  <c:v>10</c:v>
                </c:pt>
                <c:pt idx="30">
                  <c:v>10.220000000000255</c:v>
                </c:pt>
                <c:pt idx="31">
                  <c:v>4.4000000000005457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86207488"/>
        <c:axId val="86209280"/>
      </c:lineChart>
      <c:catAx>
        <c:axId val="86207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09280"/>
        <c:crosses val="autoZero"/>
        <c:auto val="1"/>
        <c:lblAlgn val="ctr"/>
        <c:lblOffset val="100"/>
      </c:catAx>
      <c:valAx>
        <c:axId val="86209280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0748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688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146</c:v>
                </c:pt>
                <c:pt idx="1">
                  <c:v>183</c:v>
                </c:pt>
                <c:pt idx="2">
                  <c:v>241</c:v>
                </c:pt>
                <c:pt idx="3">
                  <c:v>203</c:v>
                </c:pt>
                <c:pt idx="4">
                  <c:v>261</c:v>
                </c:pt>
                <c:pt idx="5">
                  <c:v>163</c:v>
                </c:pt>
                <c:pt idx="6">
                  <c:v>218</c:v>
                </c:pt>
                <c:pt idx="7">
                  <c:v>209</c:v>
                </c:pt>
                <c:pt idx="8">
                  <c:v>200</c:v>
                </c:pt>
                <c:pt idx="9">
                  <c:v>197</c:v>
                </c:pt>
                <c:pt idx="10">
                  <c:v>211</c:v>
                </c:pt>
                <c:pt idx="11">
                  <c:v>223</c:v>
                </c:pt>
                <c:pt idx="12">
                  <c:v>-1680</c:v>
                </c:pt>
                <c:pt idx="13">
                  <c:v>223</c:v>
                </c:pt>
                <c:pt idx="14">
                  <c:v>264</c:v>
                </c:pt>
                <c:pt idx="15">
                  <c:v>214</c:v>
                </c:pt>
                <c:pt idx="16">
                  <c:v>226</c:v>
                </c:pt>
                <c:pt idx="17">
                  <c:v>200</c:v>
                </c:pt>
                <c:pt idx="18">
                  <c:v>210</c:v>
                </c:pt>
                <c:pt idx="19">
                  <c:v>299</c:v>
                </c:pt>
                <c:pt idx="20">
                  <c:v>253</c:v>
                </c:pt>
                <c:pt idx="21">
                  <c:v>265</c:v>
                </c:pt>
                <c:pt idx="22">
                  <c:v>226</c:v>
                </c:pt>
                <c:pt idx="23">
                  <c:v>224</c:v>
                </c:pt>
                <c:pt idx="24">
                  <c:v>222</c:v>
                </c:pt>
                <c:pt idx="25">
                  <c:v>226</c:v>
                </c:pt>
                <c:pt idx="26">
                  <c:v>260</c:v>
                </c:pt>
                <c:pt idx="27">
                  <c:v>260</c:v>
                </c:pt>
                <c:pt idx="28">
                  <c:v>242</c:v>
                </c:pt>
                <c:pt idx="29">
                  <c:v>249</c:v>
                </c:pt>
                <c:pt idx="30">
                  <c:v>202</c:v>
                </c:pt>
                <c:pt idx="31">
                  <c:v>5040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86230528"/>
        <c:axId val="86232064"/>
      </c:lineChart>
      <c:catAx>
        <c:axId val="8623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2064"/>
        <c:crosses val="autoZero"/>
        <c:auto val="1"/>
        <c:lblAlgn val="ctr"/>
        <c:lblOffset val="100"/>
      </c:catAx>
      <c:valAx>
        <c:axId val="86232064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0528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800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945.48999999999069</c:v>
                </c:pt>
                <c:pt idx="1">
                  <c:v>861.03000000002794</c:v>
                </c:pt>
                <c:pt idx="2">
                  <c:v>866.20200000004843</c:v>
                </c:pt>
                <c:pt idx="3">
                  <c:v>821.23799999989569</c:v>
                </c:pt>
                <c:pt idx="4">
                  <c:v>851.14000000013039</c:v>
                </c:pt>
                <c:pt idx="5">
                  <c:v>920.31999999983236</c:v>
                </c:pt>
                <c:pt idx="6">
                  <c:v>856.76000000000931</c:v>
                </c:pt>
                <c:pt idx="7">
                  <c:v>851.33000000007451</c:v>
                </c:pt>
                <c:pt idx="8">
                  <c:v>851.48999999999069</c:v>
                </c:pt>
                <c:pt idx="9">
                  <c:v>796</c:v>
                </c:pt>
                <c:pt idx="10">
                  <c:v>881</c:v>
                </c:pt>
                <c:pt idx="11">
                  <c:v>916.83100000000559</c:v>
                </c:pt>
                <c:pt idx="12">
                  <c:v>-26251.831000000006</c:v>
                </c:pt>
                <c:pt idx="13">
                  <c:v>1092</c:v>
                </c:pt>
                <c:pt idx="14">
                  <c:v>920</c:v>
                </c:pt>
                <c:pt idx="15">
                  <c:v>896.09700000006706</c:v>
                </c:pt>
                <c:pt idx="16">
                  <c:v>813.51199999987148</c:v>
                </c:pt>
                <c:pt idx="17">
                  <c:v>964.54300000006333</c:v>
                </c:pt>
                <c:pt idx="18">
                  <c:v>837.84799999999814</c:v>
                </c:pt>
                <c:pt idx="19">
                  <c:v>900.52000000001863</c:v>
                </c:pt>
                <c:pt idx="20">
                  <c:v>890.93999999994412</c:v>
                </c:pt>
                <c:pt idx="21">
                  <c:v>882.82000000006519</c:v>
                </c:pt>
                <c:pt idx="22">
                  <c:v>828.71999999997206</c:v>
                </c:pt>
                <c:pt idx="23">
                  <c:v>879</c:v>
                </c:pt>
                <c:pt idx="24">
                  <c:v>795</c:v>
                </c:pt>
                <c:pt idx="25">
                  <c:v>863</c:v>
                </c:pt>
                <c:pt idx="26">
                  <c:v>845</c:v>
                </c:pt>
                <c:pt idx="27">
                  <c:v>964</c:v>
                </c:pt>
                <c:pt idx="28">
                  <c:v>834</c:v>
                </c:pt>
                <c:pt idx="29">
                  <c:v>877</c:v>
                </c:pt>
                <c:pt idx="30">
                  <c:v>749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86244352"/>
        <c:axId val="90329856"/>
      </c:lineChart>
      <c:catAx>
        <c:axId val="8624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29856"/>
        <c:crosses val="autoZero"/>
        <c:auto val="1"/>
        <c:lblAlgn val="ctr"/>
        <c:lblOffset val="100"/>
      </c:catAx>
      <c:valAx>
        <c:axId val="9032985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44352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593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3713.96</c:v>
                </c:pt>
                <c:pt idx="1">
                  <c:v>3969.5199999999995</c:v>
                </c:pt>
                <c:pt idx="2">
                  <c:v>3782.84</c:v>
                </c:pt>
                <c:pt idx="3">
                  <c:v>3801.0299999999988</c:v>
                </c:pt>
                <c:pt idx="4">
                  <c:v>3765.16</c:v>
                </c:pt>
                <c:pt idx="5">
                  <c:v>3883.880000000001</c:v>
                </c:pt>
                <c:pt idx="6">
                  <c:v>3792.2900000000009</c:v>
                </c:pt>
                <c:pt idx="7">
                  <c:v>3944.4099999999962</c:v>
                </c:pt>
                <c:pt idx="8">
                  <c:v>3960.9100000000035</c:v>
                </c:pt>
                <c:pt idx="9">
                  <c:v>3934</c:v>
                </c:pt>
                <c:pt idx="10">
                  <c:v>3836</c:v>
                </c:pt>
                <c:pt idx="11">
                  <c:v>3783.25</c:v>
                </c:pt>
                <c:pt idx="12">
                  <c:v>519529.75</c:v>
                </c:pt>
                <c:pt idx="13">
                  <c:v>3674</c:v>
                </c:pt>
                <c:pt idx="14">
                  <c:v>3671</c:v>
                </c:pt>
                <c:pt idx="15">
                  <c:v>3912</c:v>
                </c:pt>
                <c:pt idx="16">
                  <c:v>3719</c:v>
                </c:pt>
                <c:pt idx="17">
                  <c:v>3771</c:v>
                </c:pt>
                <c:pt idx="18">
                  <c:v>3827</c:v>
                </c:pt>
                <c:pt idx="19">
                  <c:v>3421</c:v>
                </c:pt>
                <c:pt idx="20">
                  <c:v>3720</c:v>
                </c:pt>
                <c:pt idx="21">
                  <c:v>4097</c:v>
                </c:pt>
                <c:pt idx="22">
                  <c:v>3499</c:v>
                </c:pt>
                <c:pt idx="23">
                  <c:v>3973</c:v>
                </c:pt>
                <c:pt idx="24">
                  <c:v>4050</c:v>
                </c:pt>
                <c:pt idx="25">
                  <c:v>3903</c:v>
                </c:pt>
                <c:pt idx="26">
                  <c:v>3207</c:v>
                </c:pt>
                <c:pt idx="27">
                  <c:v>4184</c:v>
                </c:pt>
                <c:pt idx="28">
                  <c:v>3986</c:v>
                </c:pt>
                <c:pt idx="29">
                  <c:v>3876</c:v>
                </c:pt>
                <c:pt idx="30">
                  <c:v>3886</c:v>
                </c:pt>
                <c:pt idx="31">
                  <c:v>634073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434232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90367872"/>
        <c:axId val="90369408"/>
      </c:lineChart>
      <c:catAx>
        <c:axId val="9036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69408"/>
        <c:crosses val="autoZero"/>
        <c:auto val="1"/>
        <c:lblAlgn val="ctr"/>
        <c:lblOffset val="100"/>
      </c:catAx>
      <c:valAx>
        <c:axId val="90369408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367872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-0.69999999995343387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1.3000000000465661</c:v>
                </c:pt>
                <c:pt idx="16">
                  <c:v>0</c:v>
                </c:pt>
                <c:pt idx="17">
                  <c:v>0</c:v>
                </c:pt>
                <c:pt idx="18">
                  <c:v>-0.30000000004656613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90406912"/>
        <c:axId val="90408448"/>
      </c:lineChart>
      <c:catAx>
        <c:axId val="9040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08448"/>
        <c:crosses val="autoZero"/>
        <c:auto val="1"/>
        <c:lblAlgn val="ctr"/>
        <c:lblOffset val="100"/>
      </c:catAx>
      <c:valAx>
        <c:axId val="90408448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069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0.92959999999999998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0.48</c:v>
                </c:pt>
                <c:pt idx="5">
                  <c:v>0.7</c:v>
                </c:pt>
                <c:pt idx="6">
                  <c:v>0.71</c:v>
                </c:pt>
                <c:pt idx="7">
                  <c:v>0.78</c:v>
                </c:pt>
                <c:pt idx="8">
                  <c:v>0.42</c:v>
                </c:pt>
                <c:pt idx="9">
                  <c:v>0.45</c:v>
                </c:pt>
                <c:pt idx="10">
                  <c:v>0.99</c:v>
                </c:pt>
                <c:pt idx="11">
                  <c:v>0.74</c:v>
                </c:pt>
                <c:pt idx="12">
                  <c:v>0.68</c:v>
                </c:pt>
                <c:pt idx="13">
                  <c:v>0.8</c:v>
                </c:pt>
                <c:pt idx="14">
                  <c:v>0.57999999999999996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0.73799999999999999</c:v>
                </c:pt>
                <c:pt idx="20">
                  <c:v>0.66</c:v>
                </c:pt>
                <c:pt idx="21">
                  <c:v>0.8</c:v>
                </c:pt>
                <c:pt idx="22">
                  <c:v>0.72</c:v>
                </c:pt>
                <c:pt idx="23">
                  <c:v>0.81</c:v>
                </c:pt>
                <c:pt idx="24">
                  <c:v>0.99</c:v>
                </c:pt>
                <c:pt idx="25">
                  <c:v>0.75</c:v>
                </c:pt>
                <c:pt idx="26">
                  <c:v>0.72</c:v>
                </c:pt>
                <c:pt idx="27">
                  <c:v>0.65</c:v>
                </c:pt>
                <c:pt idx="28">
                  <c:v>0.86</c:v>
                </c:pt>
                <c:pt idx="29">
                  <c:v>0.68</c:v>
                </c:pt>
                <c:pt idx="30">
                  <c:v>27</c:v>
                </c:pt>
                <c:pt idx="31">
                  <c:v>1.5289548387096774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90420736"/>
        <c:axId val="90422272"/>
      </c:lineChart>
      <c:catAx>
        <c:axId val="9042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22272"/>
        <c:crosses val="autoZero"/>
        <c:auto val="1"/>
        <c:lblAlgn val="ctr"/>
        <c:lblOffset val="100"/>
      </c:catAx>
      <c:valAx>
        <c:axId val="904222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04207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769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769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769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24099.409999999974</c:v>
                </c:pt>
                <c:pt idx="1">
                  <c:v>22799.340000000026</c:v>
                </c:pt>
                <c:pt idx="2">
                  <c:v>21890.559999999998</c:v>
                </c:pt>
                <c:pt idx="3">
                  <c:v>21459.679999999993</c:v>
                </c:pt>
                <c:pt idx="4">
                  <c:v>21315.160000000033</c:v>
                </c:pt>
                <c:pt idx="5">
                  <c:v>22055.51999999996</c:v>
                </c:pt>
                <c:pt idx="6">
                  <c:v>20481.920000000042</c:v>
                </c:pt>
                <c:pt idx="7">
                  <c:v>22311.399999999965</c:v>
                </c:pt>
                <c:pt idx="8">
                  <c:v>21965.010000000009</c:v>
                </c:pt>
                <c:pt idx="9">
                  <c:v>21417</c:v>
                </c:pt>
                <c:pt idx="10">
                  <c:v>21441</c:v>
                </c:pt>
                <c:pt idx="11">
                  <c:v>22425.270000000019</c:v>
                </c:pt>
                <c:pt idx="12">
                  <c:v>22500</c:v>
                </c:pt>
                <c:pt idx="13">
                  <c:v>22500</c:v>
                </c:pt>
                <c:pt idx="14">
                  <c:v>22500</c:v>
                </c:pt>
                <c:pt idx="15">
                  <c:v>22500</c:v>
                </c:pt>
                <c:pt idx="16">
                  <c:v>22500</c:v>
                </c:pt>
                <c:pt idx="17">
                  <c:v>331487.73</c:v>
                </c:pt>
                <c:pt idx="18">
                  <c:v>22500</c:v>
                </c:pt>
                <c:pt idx="19">
                  <c:v>22500</c:v>
                </c:pt>
                <c:pt idx="20">
                  <c:v>22500</c:v>
                </c:pt>
                <c:pt idx="21">
                  <c:v>22500</c:v>
                </c:pt>
                <c:pt idx="22">
                  <c:v>22500</c:v>
                </c:pt>
                <c:pt idx="23">
                  <c:v>22499.999999999985</c:v>
                </c:pt>
                <c:pt idx="24">
                  <c:v>22500</c:v>
                </c:pt>
                <c:pt idx="25">
                  <c:v>22500</c:v>
                </c:pt>
                <c:pt idx="26">
                  <c:v>22500</c:v>
                </c:pt>
                <c:pt idx="27">
                  <c:v>22500</c:v>
                </c:pt>
                <c:pt idx="28">
                  <c:v>22500</c:v>
                </c:pt>
                <c:pt idx="29">
                  <c:v>22500</c:v>
                </c:pt>
                <c:pt idx="30">
                  <c:v>22500</c:v>
                </c:pt>
                <c:pt idx="31">
                  <c:v>1000149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90463616"/>
        <c:axId val="90481792"/>
      </c:lineChart>
      <c:catAx>
        <c:axId val="9046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81792"/>
        <c:crosses val="autoZero"/>
        <c:auto val="1"/>
        <c:lblAlgn val="ctr"/>
        <c:lblOffset val="100"/>
      </c:catAx>
      <c:valAx>
        <c:axId val="90481792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463616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9.8600000000001273</c:v>
                </c:pt>
                <c:pt idx="1">
                  <c:v>8.2100000000000364</c:v>
                </c:pt>
                <c:pt idx="2">
                  <c:v>9.5899999999996908</c:v>
                </c:pt>
                <c:pt idx="3">
                  <c:v>9.3400000000001455</c:v>
                </c:pt>
                <c:pt idx="4">
                  <c:v>9.7100000000000364</c:v>
                </c:pt>
                <c:pt idx="5">
                  <c:v>10.429999999999836</c:v>
                </c:pt>
                <c:pt idx="6">
                  <c:v>8.7600000000002183</c:v>
                </c:pt>
                <c:pt idx="7">
                  <c:v>8.2399999999997817</c:v>
                </c:pt>
                <c:pt idx="8">
                  <c:v>8.6900000000000546</c:v>
                </c:pt>
                <c:pt idx="9">
                  <c:v>8.5900000000001455</c:v>
                </c:pt>
                <c:pt idx="10">
                  <c:v>10.059999999999945</c:v>
                </c:pt>
                <c:pt idx="11">
                  <c:v>10.2800000000002</c:v>
                </c:pt>
                <c:pt idx="12">
                  <c:v>-300.15000000000009</c:v>
                </c:pt>
                <c:pt idx="13">
                  <c:v>9.8899999999998727</c:v>
                </c:pt>
                <c:pt idx="14">
                  <c:v>11.220000000000255</c:v>
                </c:pt>
                <c:pt idx="15">
                  <c:v>9.5399999999999636</c:v>
                </c:pt>
                <c:pt idx="16">
                  <c:v>11.409999999999854</c:v>
                </c:pt>
                <c:pt idx="17">
                  <c:v>11.300000000000182</c:v>
                </c:pt>
                <c:pt idx="18">
                  <c:v>11.149999999999636</c:v>
                </c:pt>
                <c:pt idx="19">
                  <c:v>10.950000000000273</c:v>
                </c:pt>
                <c:pt idx="20">
                  <c:v>10.769999999999982</c:v>
                </c:pt>
                <c:pt idx="21">
                  <c:v>10.5</c:v>
                </c:pt>
                <c:pt idx="22">
                  <c:v>10.179999999999836</c:v>
                </c:pt>
                <c:pt idx="23">
                  <c:v>9.1700000000000728</c:v>
                </c:pt>
                <c:pt idx="24">
                  <c:v>10.179999999999836</c:v>
                </c:pt>
                <c:pt idx="25">
                  <c:v>9.7300000000000182</c:v>
                </c:pt>
                <c:pt idx="26">
                  <c:v>10.650000000000091</c:v>
                </c:pt>
                <c:pt idx="27">
                  <c:v>10.869999999999891</c:v>
                </c:pt>
                <c:pt idx="28">
                  <c:v>11.099999999999909</c:v>
                </c:pt>
                <c:pt idx="29">
                  <c:v>10.220000000000255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09384448"/>
        <c:axId val="109385984"/>
      </c:lineChart>
      <c:catAx>
        <c:axId val="10938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85984"/>
        <c:crosses val="autoZero"/>
        <c:auto val="1"/>
        <c:lblAlgn val="ctr"/>
        <c:lblOffset val="100"/>
      </c:catAx>
      <c:valAx>
        <c:axId val="10938598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844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IN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4.1828817210434806E-2"/>
          <c:y val="7.4487823818545337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241.89000000001397</c:v>
                </c:pt>
                <c:pt idx="1">
                  <c:v>255.31000000005588</c:v>
                </c:pt>
                <c:pt idx="2">
                  <c:v>286.56999999994878</c:v>
                </c:pt>
                <c:pt idx="3">
                  <c:v>234.1600000000326</c:v>
                </c:pt>
                <c:pt idx="4">
                  <c:v>222.18999999994412</c:v>
                </c:pt>
                <c:pt idx="5">
                  <c:v>233.65000000002328</c:v>
                </c:pt>
                <c:pt idx="6">
                  <c:v>229</c:v>
                </c:pt>
                <c:pt idx="7">
                  <c:v>270</c:v>
                </c:pt>
                <c:pt idx="8">
                  <c:v>282.02000000001863</c:v>
                </c:pt>
                <c:pt idx="9">
                  <c:v>-7885.0200000000186</c:v>
                </c:pt>
                <c:pt idx="10">
                  <c:v>271</c:v>
                </c:pt>
                <c:pt idx="11">
                  <c:v>304</c:v>
                </c:pt>
                <c:pt idx="12">
                  <c:v>250.45999999996275</c:v>
                </c:pt>
                <c:pt idx="13">
                  <c:v>296.09000000008382</c:v>
                </c:pt>
                <c:pt idx="14">
                  <c:v>293.44999999995343</c:v>
                </c:pt>
                <c:pt idx="15">
                  <c:v>288</c:v>
                </c:pt>
                <c:pt idx="16">
                  <c:v>285.69999999995343</c:v>
                </c:pt>
                <c:pt idx="17">
                  <c:v>279.30000000004657</c:v>
                </c:pt>
                <c:pt idx="18">
                  <c:v>272.02000000001863</c:v>
                </c:pt>
                <c:pt idx="19">
                  <c:v>261.97999999998137</c:v>
                </c:pt>
                <c:pt idx="20">
                  <c:v>244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448.31799999987925</c:v>
                </c:pt>
                <c:pt idx="1">
                  <c:v>457.91000000007261</c:v>
                </c:pt>
                <c:pt idx="2">
                  <c:v>502.15999999988708</c:v>
                </c:pt>
                <c:pt idx="3">
                  <c:v>484.93999999997686</c:v>
                </c:pt>
                <c:pt idx="4">
                  <c:v>489.76000000011663</c:v>
                </c:pt>
                <c:pt idx="5">
                  <c:v>510.45999999998094</c:v>
                </c:pt>
                <c:pt idx="6">
                  <c:v>439</c:v>
                </c:pt>
                <c:pt idx="7">
                  <c:v>486</c:v>
                </c:pt>
                <c:pt idx="8">
                  <c:v>503.02099999998609</c:v>
                </c:pt>
                <c:pt idx="9">
                  <c:v>-14330.620999999992</c:v>
                </c:pt>
                <c:pt idx="10">
                  <c:v>659.60000000000582</c:v>
                </c:pt>
                <c:pt idx="11">
                  <c:v>470</c:v>
                </c:pt>
                <c:pt idx="12">
                  <c:v>529.13700000010067</c:v>
                </c:pt>
                <c:pt idx="13">
                  <c:v>400.04199999979573</c:v>
                </c:pt>
                <c:pt idx="14">
                  <c:v>525.94300000011572</c:v>
                </c:pt>
                <c:pt idx="15">
                  <c:v>411.99799999997231</c:v>
                </c:pt>
                <c:pt idx="16">
                  <c:v>488.25000000008004</c:v>
                </c:pt>
                <c:pt idx="17">
                  <c:v>447.4699999998993</c:v>
                </c:pt>
                <c:pt idx="18">
                  <c:v>473.99000000003252</c:v>
                </c:pt>
                <c:pt idx="19">
                  <c:v>436.17000000000371</c:v>
                </c:pt>
                <c:pt idx="20">
                  <c:v>508.39999999999418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91.130000000004657</c:v>
                </c:pt>
                <c:pt idx="1">
                  <c:v>94.220000000001164</c:v>
                </c:pt>
                <c:pt idx="2">
                  <c:v>95.089999999996508</c:v>
                </c:pt>
                <c:pt idx="3">
                  <c:v>85.459999999991851</c:v>
                </c:pt>
                <c:pt idx="4">
                  <c:v>91.180000000022119</c:v>
                </c:pt>
                <c:pt idx="5">
                  <c:v>72.079999999987194</c:v>
                </c:pt>
                <c:pt idx="6">
                  <c:v>90</c:v>
                </c:pt>
                <c:pt idx="7">
                  <c:v>76</c:v>
                </c:pt>
                <c:pt idx="8">
                  <c:v>85.089999999996508</c:v>
                </c:pt>
                <c:pt idx="9">
                  <c:v>-2686.0899999999965</c:v>
                </c:pt>
                <c:pt idx="10">
                  <c:v>110</c:v>
                </c:pt>
                <c:pt idx="11">
                  <c:v>86</c:v>
                </c:pt>
                <c:pt idx="12">
                  <c:v>75.5</c:v>
                </c:pt>
                <c:pt idx="13">
                  <c:v>76.779999999998836</c:v>
                </c:pt>
                <c:pt idx="14">
                  <c:v>99.549999999988358</c:v>
                </c:pt>
                <c:pt idx="15">
                  <c:v>96.090000000025611</c:v>
                </c:pt>
                <c:pt idx="16">
                  <c:v>86.579999999987194</c:v>
                </c:pt>
                <c:pt idx="17">
                  <c:v>101.11999999999534</c:v>
                </c:pt>
                <c:pt idx="18">
                  <c:v>97.610000000015134</c:v>
                </c:pt>
                <c:pt idx="19">
                  <c:v>95.769999999989523</c:v>
                </c:pt>
                <c:pt idx="20">
                  <c:v>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18046720"/>
        <c:axId val="118048256"/>
      </c:lineChart>
      <c:catAx>
        <c:axId val="11804672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8048256"/>
        <c:crosses val="autoZero"/>
        <c:auto val="1"/>
        <c:lblAlgn val="ctr"/>
        <c:lblOffset val="100"/>
      </c:catAx>
      <c:valAx>
        <c:axId val="11804825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1804672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80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18</c:v>
                </c:pt>
                <c:pt idx="1">
                  <c:v>84</c:v>
                </c:pt>
                <c:pt idx="2">
                  <c:v>87</c:v>
                </c:pt>
                <c:pt idx="3">
                  <c:v>83</c:v>
                </c:pt>
                <c:pt idx="4">
                  <c:v>0</c:v>
                </c:pt>
                <c:pt idx="5">
                  <c:v>71</c:v>
                </c:pt>
                <c:pt idx="6">
                  <c:v>71</c:v>
                </c:pt>
                <c:pt idx="7">
                  <c:v>69</c:v>
                </c:pt>
                <c:pt idx="8">
                  <c:v>72</c:v>
                </c:pt>
                <c:pt idx="9">
                  <c:v>56</c:v>
                </c:pt>
                <c:pt idx="10">
                  <c:v>64</c:v>
                </c:pt>
                <c:pt idx="11">
                  <c:v>70</c:v>
                </c:pt>
                <c:pt idx="12">
                  <c:v>-2303</c:v>
                </c:pt>
                <c:pt idx="13">
                  <c:v>69</c:v>
                </c:pt>
                <c:pt idx="14">
                  <c:v>78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15617152"/>
        <c:axId val="11562713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595733.27</c:v>
                </c:pt>
                <c:pt idx="13">
                  <c:v>618233.27</c:v>
                </c:pt>
                <c:pt idx="14">
                  <c:v>640733.27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15628672"/>
        <c:axId val="115638656"/>
      </c:lineChart>
      <c:catAx>
        <c:axId val="115617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27136"/>
        <c:crosses val="autoZero"/>
        <c:auto val="1"/>
        <c:lblAlgn val="ctr"/>
        <c:lblOffset val="100"/>
      </c:catAx>
      <c:valAx>
        <c:axId val="11562713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17152"/>
        <c:crosses val="autoZero"/>
        <c:crossBetween val="between"/>
        <c:minorUnit val="50"/>
      </c:valAx>
      <c:catAx>
        <c:axId val="115628672"/>
        <c:scaling>
          <c:orientation val="minMax"/>
        </c:scaling>
        <c:delete val="1"/>
        <c:axPos val="b"/>
        <c:tickLblPos val="none"/>
        <c:crossAx val="115638656"/>
        <c:crosses val="autoZero"/>
        <c:auto val="1"/>
        <c:lblAlgn val="ctr"/>
        <c:lblOffset val="100"/>
      </c:catAx>
      <c:valAx>
        <c:axId val="11563865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28672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15659136"/>
        <c:axId val="115660672"/>
      </c:lineChart>
      <c:catAx>
        <c:axId val="11565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60672"/>
        <c:crosses val="autoZero"/>
        <c:auto val="1"/>
        <c:lblAlgn val="ctr"/>
        <c:lblOffset val="100"/>
      </c:catAx>
      <c:valAx>
        <c:axId val="11566067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591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595733.27</c:v>
                </c:pt>
                <c:pt idx="13">
                  <c:v>618233.27</c:v>
                </c:pt>
                <c:pt idx="14">
                  <c:v>640733.27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15505408"/>
        <c:axId val="115507200"/>
      </c:lineChart>
      <c:catAx>
        <c:axId val="115505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07200"/>
        <c:crosses val="autoZero"/>
        <c:auto val="1"/>
        <c:lblAlgn val="ctr"/>
        <c:lblOffset val="100"/>
      </c:catAx>
      <c:valAx>
        <c:axId val="115507200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0540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6753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13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6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-315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15537408"/>
        <c:axId val="115538944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595733.27</c:v>
                </c:pt>
                <c:pt idx="13">
                  <c:v>618233.27</c:v>
                </c:pt>
                <c:pt idx="14">
                  <c:v>640733.27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16265728"/>
        <c:axId val="116267264"/>
      </c:lineChart>
      <c:catAx>
        <c:axId val="11553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38944"/>
        <c:crosses val="autoZero"/>
        <c:auto val="1"/>
        <c:lblAlgn val="ctr"/>
        <c:lblOffset val="100"/>
      </c:catAx>
      <c:valAx>
        <c:axId val="115538944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37408"/>
        <c:crosses val="autoZero"/>
        <c:crossBetween val="between"/>
      </c:valAx>
      <c:catAx>
        <c:axId val="116265728"/>
        <c:scaling>
          <c:orientation val="minMax"/>
        </c:scaling>
        <c:delete val="1"/>
        <c:axPos val="b"/>
        <c:tickLblPos val="none"/>
        <c:crossAx val="116267264"/>
        <c:crosses val="autoZero"/>
        <c:auto val="1"/>
        <c:lblAlgn val="ctr"/>
        <c:lblOffset val="100"/>
      </c:catAx>
      <c:valAx>
        <c:axId val="11626726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657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IN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294</c:v>
                </c:pt>
                <c:pt idx="1">
                  <c:v>291.94000000000233</c:v>
                </c:pt>
                <c:pt idx="2">
                  <c:v>289.11999999999534</c:v>
                </c:pt>
                <c:pt idx="3">
                  <c:v>289.11999999999534</c:v>
                </c:pt>
                <c:pt idx="4">
                  <c:v>0</c:v>
                </c:pt>
                <c:pt idx="5">
                  <c:v>296.86999999999534</c:v>
                </c:pt>
                <c:pt idx="6">
                  <c:v>298.16999999999825</c:v>
                </c:pt>
                <c:pt idx="7">
                  <c:v>314.35000000000582</c:v>
                </c:pt>
                <c:pt idx="8">
                  <c:v>308.86000000000058</c:v>
                </c:pt>
                <c:pt idx="9">
                  <c:v>474</c:v>
                </c:pt>
                <c:pt idx="10">
                  <c:v>414</c:v>
                </c:pt>
                <c:pt idx="11">
                  <c:v>590.36999999999534</c:v>
                </c:pt>
                <c:pt idx="12">
                  <c:v>-9845.3699999999953</c:v>
                </c:pt>
                <c:pt idx="13">
                  <c:v>303</c:v>
                </c:pt>
                <c:pt idx="14">
                  <c:v>292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17375360"/>
        <c:axId val="11737689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333671.40999999997</c:v>
                </c:pt>
                <c:pt idx="1">
                  <c:v>356470.75</c:v>
                </c:pt>
                <c:pt idx="2">
                  <c:v>399820.99</c:v>
                </c:pt>
                <c:pt idx="3">
                  <c:v>378361.31</c:v>
                </c:pt>
                <c:pt idx="4">
                  <c:v>0</c:v>
                </c:pt>
                <c:pt idx="5">
                  <c:v>443191.67</c:v>
                </c:pt>
                <c:pt idx="6">
                  <c:v>463673.59</c:v>
                </c:pt>
                <c:pt idx="7">
                  <c:v>485984.99</c:v>
                </c:pt>
                <c:pt idx="8">
                  <c:v>507950</c:v>
                </c:pt>
                <c:pt idx="9">
                  <c:v>529367</c:v>
                </c:pt>
                <c:pt idx="10">
                  <c:v>550808</c:v>
                </c:pt>
                <c:pt idx="11">
                  <c:v>573233.27</c:v>
                </c:pt>
                <c:pt idx="12">
                  <c:v>595733.27</c:v>
                </c:pt>
                <c:pt idx="13">
                  <c:v>618233.27</c:v>
                </c:pt>
                <c:pt idx="14">
                  <c:v>640733.27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17378432"/>
        <c:axId val="117380224"/>
      </c:lineChart>
      <c:catAx>
        <c:axId val="117375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76896"/>
        <c:crosses val="autoZero"/>
        <c:auto val="1"/>
        <c:lblAlgn val="ctr"/>
        <c:lblOffset val="100"/>
      </c:catAx>
      <c:valAx>
        <c:axId val="11737689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75360"/>
        <c:crosses val="autoZero"/>
        <c:crossBetween val="between"/>
        <c:majorUnit val="2"/>
      </c:valAx>
      <c:catAx>
        <c:axId val="117378432"/>
        <c:scaling>
          <c:orientation val="minMax"/>
        </c:scaling>
        <c:delete val="1"/>
        <c:axPos val="b"/>
        <c:tickLblPos val="none"/>
        <c:crossAx val="117380224"/>
        <c:crosses val="autoZero"/>
        <c:auto val="1"/>
        <c:lblAlgn val="ctr"/>
        <c:lblOffset val="100"/>
      </c:catAx>
      <c:valAx>
        <c:axId val="11738022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37843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opLeftCell="A14" workbookViewId="0">
      <selection activeCell="C2" sqref="C2:C32"/>
    </sheetView>
  </sheetViews>
  <sheetFormatPr defaultColWidth="9" defaultRowHeight="15"/>
  <cols>
    <col min="1" max="1" width="9.6640625" style="780" customWidth="1"/>
    <col min="2" max="3" width="9" style="774"/>
    <col min="4" max="4" width="10.44140625" style="775" customWidth="1"/>
    <col min="5" max="5" width="9.77734375" style="776" customWidth="1"/>
    <col min="6" max="6" width="9.77734375" style="780" customWidth="1"/>
    <col min="7" max="10" width="9" style="780"/>
    <col min="11" max="12" width="9" style="776"/>
    <col min="13" max="13" width="0" style="779" hidden="1" customWidth="1"/>
    <col min="14" max="256" width="9" style="779"/>
    <col min="257" max="257" width="9.6640625" style="779" customWidth="1"/>
    <col min="258" max="259" width="9" style="779"/>
    <col min="260" max="260" width="10.44140625" style="779" customWidth="1"/>
    <col min="261" max="262" width="9.77734375" style="779" customWidth="1"/>
    <col min="263" max="268" width="9" style="779"/>
    <col min="269" max="269" width="0" style="779" hidden="1" customWidth="1"/>
    <col min="270" max="512" width="9" style="779"/>
    <col min="513" max="513" width="9.6640625" style="779" customWidth="1"/>
    <col min="514" max="515" width="9" style="779"/>
    <col min="516" max="516" width="10.44140625" style="779" customWidth="1"/>
    <col min="517" max="518" width="9.77734375" style="779" customWidth="1"/>
    <col min="519" max="524" width="9" style="779"/>
    <col min="525" max="525" width="0" style="779" hidden="1" customWidth="1"/>
    <col min="526" max="768" width="9" style="779"/>
    <col min="769" max="769" width="9.6640625" style="779" customWidth="1"/>
    <col min="770" max="771" width="9" style="779"/>
    <col min="772" max="772" width="10.44140625" style="779" customWidth="1"/>
    <col min="773" max="774" width="9.77734375" style="779" customWidth="1"/>
    <col min="775" max="780" width="9" style="779"/>
    <col min="781" max="781" width="0" style="779" hidden="1" customWidth="1"/>
    <col min="782" max="1024" width="9" style="779"/>
    <col min="1025" max="1025" width="9.6640625" style="779" customWidth="1"/>
    <col min="1026" max="1027" width="9" style="779"/>
    <col min="1028" max="1028" width="10.44140625" style="779" customWidth="1"/>
    <col min="1029" max="1030" width="9.77734375" style="779" customWidth="1"/>
    <col min="1031" max="1036" width="9" style="779"/>
    <col min="1037" max="1037" width="0" style="779" hidden="1" customWidth="1"/>
    <col min="1038" max="1280" width="9" style="779"/>
    <col min="1281" max="1281" width="9.6640625" style="779" customWidth="1"/>
    <col min="1282" max="1283" width="9" style="779"/>
    <col min="1284" max="1284" width="10.44140625" style="779" customWidth="1"/>
    <col min="1285" max="1286" width="9.77734375" style="779" customWidth="1"/>
    <col min="1287" max="1292" width="9" style="779"/>
    <col min="1293" max="1293" width="0" style="779" hidden="1" customWidth="1"/>
    <col min="1294" max="1536" width="9" style="779"/>
    <col min="1537" max="1537" width="9.6640625" style="779" customWidth="1"/>
    <col min="1538" max="1539" width="9" style="779"/>
    <col min="1540" max="1540" width="10.44140625" style="779" customWidth="1"/>
    <col min="1541" max="1542" width="9.77734375" style="779" customWidth="1"/>
    <col min="1543" max="1548" width="9" style="779"/>
    <col min="1549" max="1549" width="0" style="779" hidden="1" customWidth="1"/>
    <col min="1550" max="1792" width="9" style="779"/>
    <col min="1793" max="1793" width="9.6640625" style="779" customWidth="1"/>
    <col min="1794" max="1795" width="9" style="779"/>
    <col min="1796" max="1796" width="10.44140625" style="779" customWidth="1"/>
    <col min="1797" max="1798" width="9.77734375" style="779" customWidth="1"/>
    <col min="1799" max="1804" width="9" style="779"/>
    <col min="1805" max="1805" width="0" style="779" hidden="1" customWidth="1"/>
    <col min="1806" max="2048" width="9" style="779"/>
    <col min="2049" max="2049" width="9.6640625" style="779" customWidth="1"/>
    <col min="2050" max="2051" width="9" style="779"/>
    <col min="2052" max="2052" width="10.44140625" style="779" customWidth="1"/>
    <col min="2053" max="2054" width="9.77734375" style="779" customWidth="1"/>
    <col min="2055" max="2060" width="9" style="779"/>
    <col min="2061" max="2061" width="0" style="779" hidden="1" customWidth="1"/>
    <col min="2062" max="2304" width="9" style="779"/>
    <col min="2305" max="2305" width="9.6640625" style="779" customWidth="1"/>
    <col min="2306" max="2307" width="9" style="779"/>
    <col min="2308" max="2308" width="10.44140625" style="779" customWidth="1"/>
    <col min="2309" max="2310" width="9.77734375" style="779" customWidth="1"/>
    <col min="2311" max="2316" width="9" style="779"/>
    <col min="2317" max="2317" width="0" style="779" hidden="1" customWidth="1"/>
    <col min="2318" max="2560" width="9" style="779"/>
    <col min="2561" max="2561" width="9.6640625" style="779" customWidth="1"/>
    <col min="2562" max="2563" width="9" style="779"/>
    <col min="2564" max="2564" width="10.44140625" style="779" customWidth="1"/>
    <col min="2565" max="2566" width="9.77734375" style="779" customWidth="1"/>
    <col min="2567" max="2572" width="9" style="779"/>
    <col min="2573" max="2573" width="0" style="779" hidden="1" customWidth="1"/>
    <col min="2574" max="2816" width="9" style="779"/>
    <col min="2817" max="2817" width="9.6640625" style="779" customWidth="1"/>
    <col min="2818" max="2819" width="9" style="779"/>
    <col min="2820" max="2820" width="10.44140625" style="779" customWidth="1"/>
    <col min="2821" max="2822" width="9.77734375" style="779" customWidth="1"/>
    <col min="2823" max="2828" width="9" style="779"/>
    <col min="2829" max="2829" width="0" style="779" hidden="1" customWidth="1"/>
    <col min="2830" max="3072" width="9" style="779"/>
    <col min="3073" max="3073" width="9.6640625" style="779" customWidth="1"/>
    <col min="3074" max="3075" width="9" style="779"/>
    <col min="3076" max="3076" width="10.44140625" style="779" customWidth="1"/>
    <col min="3077" max="3078" width="9.77734375" style="779" customWidth="1"/>
    <col min="3079" max="3084" width="9" style="779"/>
    <col min="3085" max="3085" width="0" style="779" hidden="1" customWidth="1"/>
    <col min="3086" max="3328" width="9" style="779"/>
    <col min="3329" max="3329" width="9.6640625" style="779" customWidth="1"/>
    <col min="3330" max="3331" width="9" style="779"/>
    <col min="3332" max="3332" width="10.44140625" style="779" customWidth="1"/>
    <col min="3333" max="3334" width="9.77734375" style="779" customWidth="1"/>
    <col min="3335" max="3340" width="9" style="779"/>
    <col min="3341" max="3341" width="0" style="779" hidden="1" customWidth="1"/>
    <col min="3342" max="3584" width="9" style="779"/>
    <col min="3585" max="3585" width="9.6640625" style="779" customWidth="1"/>
    <col min="3586" max="3587" width="9" style="779"/>
    <col min="3588" max="3588" width="10.44140625" style="779" customWidth="1"/>
    <col min="3589" max="3590" width="9.77734375" style="779" customWidth="1"/>
    <col min="3591" max="3596" width="9" style="779"/>
    <col min="3597" max="3597" width="0" style="779" hidden="1" customWidth="1"/>
    <col min="3598" max="3840" width="9" style="779"/>
    <col min="3841" max="3841" width="9.6640625" style="779" customWidth="1"/>
    <col min="3842" max="3843" width="9" style="779"/>
    <col min="3844" max="3844" width="10.44140625" style="779" customWidth="1"/>
    <col min="3845" max="3846" width="9.77734375" style="779" customWidth="1"/>
    <col min="3847" max="3852" width="9" style="779"/>
    <col min="3853" max="3853" width="0" style="779" hidden="1" customWidth="1"/>
    <col min="3854" max="4096" width="9" style="779"/>
    <col min="4097" max="4097" width="9.6640625" style="779" customWidth="1"/>
    <col min="4098" max="4099" width="9" style="779"/>
    <col min="4100" max="4100" width="10.44140625" style="779" customWidth="1"/>
    <col min="4101" max="4102" width="9.77734375" style="779" customWidth="1"/>
    <col min="4103" max="4108" width="9" style="779"/>
    <col min="4109" max="4109" width="0" style="779" hidden="1" customWidth="1"/>
    <col min="4110" max="4352" width="9" style="779"/>
    <col min="4353" max="4353" width="9.6640625" style="779" customWidth="1"/>
    <col min="4354" max="4355" width="9" style="779"/>
    <col min="4356" max="4356" width="10.44140625" style="779" customWidth="1"/>
    <col min="4357" max="4358" width="9.77734375" style="779" customWidth="1"/>
    <col min="4359" max="4364" width="9" style="779"/>
    <col min="4365" max="4365" width="0" style="779" hidden="1" customWidth="1"/>
    <col min="4366" max="4608" width="9" style="779"/>
    <col min="4609" max="4609" width="9.6640625" style="779" customWidth="1"/>
    <col min="4610" max="4611" width="9" style="779"/>
    <col min="4612" max="4612" width="10.44140625" style="779" customWidth="1"/>
    <col min="4613" max="4614" width="9.77734375" style="779" customWidth="1"/>
    <col min="4615" max="4620" width="9" style="779"/>
    <col min="4621" max="4621" width="0" style="779" hidden="1" customWidth="1"/>
    <col min="4622" max="4864" width="9" style="779"/>
    <col min="4865" max="4865" width="9.6640625" style="779" customWidth="1"/>
    <col min="4866" max="4867" width="9" style="779"/>
    <col min="4868" max="4868" width="10.44140625" style="779" customWidth="1"/>
    <col min="4869" max="4870" width="9.77734375" style="779" customWidth="1"/>
    <col min="4871" max="4876" width="9" style="779"/>
    <col min="4877" max="4877" width="0" style="779" hidden="1" customWidth="1"/>
    <col min="4878" max="5120" width="9" style="779"/>
    <col min="5121" max="5121" width="9.6640625" style="779" customWidth="1"/>
    <col min="5122" max="5123" width="9" style="779"/>
    <col min="5124" max="5124" width="10.44140625" style="779" customWidth="1"/>
    <col min="5125" max="5126" width="9.77734375" style="779" customWidth="1"/>
    <col min="5127" max="5132" width="9" style="779"/>
    <col min="5133" max="5133" width="0" style="779" hidden="1" customWidth="1"/>
    <col min="5134" max="5376" width="9" style="779"/>
    <col min="5377" max="5377" width="9.6640625" style="779" customWidth="1"/>
    <col min="5378" max="5379" width="9" style="779"/>
    <col min="5380" max="5380" width="10.44140625" style="779" customWidth="1"/>
    <col min="5381" max="5382" width="9.77734375" style="779" customWidth="1"/>
    <col min="5383" max="5388" width="9" style="779"/>
    <col min="5389" max="5389" width="0" style="779" hidden="1" customWidth="1"/>
    <col min="5390" max="5632" width="9" style="779"/>
    <col min="5633" max="5633" width="9.6640625" style="779" customWidth="1"/>
    <col min="5634" max="5635" width="9" style="779"/>
    <col min="5636" max="5636" width="10.44140625" style="779" customWidth="1"/>
    <col min="5637" max="5638" width="9.77734375" style="779" customWidth="1"/>
    <col min="5639" max="5644" width="9" style="779"/>
    <col min="5645" max="5645" width="0" style="779" hidden="1" customWidth="1"/>
    <col min="5646" max="5888" width="9" style="779"/>
    <col min="5889" max="5889" width="9.6640625" style="779" customWidth="1"/>
    <col min="5890" max="5891" width="9" style="779"/>
    <col min="5892" max="5892" width="10.44140625" style="779" customWidth="1"/>
    <col min="5893" max="5894" width="9.77734375" style="779" customWidth="1"/>
    <col min="5895" max="5900" width="9" style="779"/>
    <col min="5901" max="5901" width="0" style="779" hidden="1" customWidth="1"/>
    <col min="5902" max="6144" width="9" style="779"/>
    <col min="6145" max="6145" width="9.6640625" style="779" customWidth="1"/>
    <col min="6146" max="6147" width="9" style="779"/>
    <col min="6148" max="6148" width="10.44140625" style="779" customWidth="1"/>
    <col min="6149" max="6150" width="9.77734375" style="779" customWidth="1"/>
    <col min="6151" max="6156" width="9" style="779"/>
    <col min="6157" max="6157" width="0" style="779" hidden="1" customWidth="1"/>
    <col min="6158" max="6400" width="9" style="779"/>
    <col min="6401" max="6401" width="9.6640625" style="779" customWidth="1"/>
    <col min="6402" max="6403" width="9" style="779"/>
    <col min="6404" max="6404" width="10.44140625" style="779" customWidth="1"/>
    <col min="6405" max="6406" width="9.77734375" style="779" customWidth="1"/>
    <col min="6407" max="6412" width="9" style="779"/>
    <col min="6413" max="6413" width="0" style="779" hidden="1" customWidth="1"/>
    <col min="6414" max="6656" width="9" style="779"/>
    <col min="6657" max="6657" width="9.6640625" style="779" customWidth="1"/>
    <col min="6658" max="6659" width="9" style="779"/>
    <col min="6660" max="6660" width="10.44140625" style="779" customWidth="1"/>
    <col min="6661" max="6662" width="9.77734375" style="779" customWidth="1"/>
    <col min="6663" max="6668" width="9" style="779"/>
    <col min="6669" max="6669" width="0" style="779" hidden="1" customWidth="1"/>
    <col min="6670" max="6912" width="9" style="779"/>
    <col min="6913" max="6913" width="9.6640625" style="779" customWidth="1"/>
    <col min="6914" max="6915" width="9" style="779"/>
    <col min="6916" max="6916" width="10.44140625" style="779" customWidth="1"/>
    <col min="6917" max="6918" width="9.77734375" style="779" customWidth="1"/>
    <col min="6919" max="6924" width="9" style="779"/>
    <col min="6925" max="6925" width="0" style="779" hidden="1" customWidth="1"/>
    <col min="6926" max="7168" width="9" style="779"/>
    <col min="7169" max="7169" width="9.6640625" style="779" customWidth="1"/>
    <col min="7170" max="7171" width="9" style="779"/>
    <col min="7172" max="7172" width="10.44140625" style="779" customWidth="1"/>
    <col min="7173" max="7174" width="9.77734375" style="779" customWidth="1"/>
    <col min="7175" max="7180" width="9" style="779"/>
    <col min="7181" max="7181" width="0" style="779" hidden="1" customWidth="1"/>
    <col min="7182" max="7424" width="9" style="779"/>
    <col min="7425" max="7425" width="9.6640625" style="779" customWidth="1"/>
    <col min="7426" max="7427" width="9" style="779"/>
    <col min="7428" max="7428" width="10.44140625" style="779" customWidth="1"/>
    <col min="7429" max="7430" width="9.77734375" style="779" customWidth="1"/>
    <col min="7431" max="7436" width="9" style="779"/>
    <col min="7437" max="7437" width="0" style="779" hidden="1" customWidth="1"/>
    <col min="7438" max="7680" width="9" style="779"/>
    <col min="7681" max="7681" width="9.6640625" style="779" customWidth="1"/>
    <col min="7682" max="7683" width="9" style="779"/>
    <col min="7684" max="7684" width="10.44140625" style="779" customWidth="1"/>
    <col min="7685" max="7686" width="9.77734375" style="779" customWidth="1"/>
    <col min="7687" max="7692" width="9" style="779"/>
    <col min="7693" max="7693" width="0" style="779" hidden="1" customWidth="1"/>
    <col min="7694" max="7936" width="9" style="779"/>
    <col min="7937" max="7937" width="9.6640625" style="779" customWidth="1"/>
    <col min="7938" max="7939" width="9" style="779"/>
    <col min="7940" max="7940" width="10.44140625" style="779" customWidth="1"/>
    <col min="7941" max="7942" width="9.77734375" style="779" customWidth="1"/>
    <col min="7943" max="7948" width="9" style="779"/>
    <col min="7949" max="7949" width="0" style="779" hidden="1" customWidth="1"/>
    <col min="7950" max="8192" width="9" style="779"/>
    <col min="8193" max="8193" width="9.6640625" style="779" customWidth="1"/>
    <col min="8194" max="8195" width="9" style="779"/>
    <col min="8196" max="8196" width="10.44140625" style="779" customWidth="1"/>
    <col min="8197" max="8198" width="9.77734375" style="779" customWidth="1"/>
    <col min="8199" max="8204" width="9" style="779"/>
    <col min="8205" max="8205" width="0" style="779" hidden="1" customWidth="1"/>
    <col min="8206" max="8448" width="9" style="779"/>
    <col min="8449" max="8449" width="9.6640625" style="779" customWidth="1"/>
    <col min="8450" max="8451" width="9" style="779"/>
    <col min="8452" max="8452" width="10.44140625" style="779" customWidth="1"/>
    <col min="8453" max="8454" width="9.77734375" style="779" customWidth="1"/>
    <col min="8455" max="8460" width="9" style="779"/>
    <col min="8461" max="8461" width="0" style="779" hidden="1" customWidth="1"/>
    <col min="8462" max="8704" width="9" style="779"/>
    <col min="8705" max="8705" width="9.6640625" style="779" customWidth="1"/>
    <col min="8706" max="8707" width="9" style="779"/>
    <col min="8708" max="8708" width="10.44140625" style="779" customWidth="1"/>
    <col min="8709" max="8710" width="9.77734375" style="779" customWidth="1"/>
    <col min="8711" max="8716" width="9" style="779"/>
    <col min="8717" max="8717" width="0" style="779" hidden="1" customWidth="1"/>
    <col min="8718" max="8960" width="9" style="779"/>
    <col min="8961" max="8961" width="9.6640625" style="779" customWidth="1"/>
    <col min="8962" max="8963" width="9" style="779"/>
    <col min="8964" max="8964" width="10.44140625" style="779" customWidth="1"/>
    <col min="8965" max="8966" width="9.77734375" style="779" customWidth="1"/>
    <col min="8967" max="8972" width="9" style="779"/>
    <col min="8973" max="8973" width="0" style="779" hidden="1" customWidth="1"/>
    <col min="8974" max="9216" width="9" style="779"/>
    <col min="9217" max="9217" width="9.6640625" style="779" customWidth="1"/>
    <col min="9218" max="9219" width="9" style="779"/>
    <col min="9220" max="9220" width="10.44140625" style="779" customWidth="1"/>
    <col min="9221" max="9222" width="9.77734375" style="779" customWidth="1"/>
    <col min="9223" max="9228" width="9" style="779"/>
    <col min="9229" max="9229" width="0" style="779" hidden="1" customWidth="1"/>
    <col min="9230" max="9472" width="9" style="779"/>
    <col min="9473" max="9473" width="9.6640625" style="779" customWidth="1"/>
    <col min="9474" max="9475" width="9" style="779"/>
    <col min="9476" max="9476" width="10.44140625" style="779" customWidth="1"/>
    <col min="9477" max="9478" width="9.77734375" style="779" customWidth="1"/>
    <col min="9479" max="9484" width="9" style="779"/>
    <col min="9485" max="9485" width="0" style="779" hidden="1" customWidth="1"/>
    <col min="9486" max="9728" width="9" style="779"/>
    <col min="9729" max="9729" width="9.6640625" style="779" customWidth="1"/>
    <col min="9730" max="9731" width="9" style="779"/>
    <col min="9732" max="9732" width="10.44140625" style="779" customWidth="1"/>
    <col min="9733" max="9734" width="9.77734375" style="779" customWidth="1"/>
    <col min="9735" max="9740" width="9" style="779"/>
    <col min="9741" max="9741" width="0" style="779" hidden="1" customWidth="1"/>
    <col min="9742" max="9984" width="9" style="779"/>
    <col min="9985" max="9985" width="9.6640625" style="779" customWidth="1"/>
    <col min="9986" max="9987" width="9" style="779"/>
    <col min="9988" max="9988" width="10.44140625" style="779" customWidth="1"/>
    <col min="9989" max="9990" width="9.77734375" style="779" customWidth="1"/>
    <col min="9991" max="9996" width="9" style="779"/>
    <col min="9997" max="9997" width="0" style="779" hidden="1" customWidth="1"/>
    <col min="9998" max="10240" width="9" style="779"/>
    <col min="10241" max="10241" width="9.6640625" style="779" customWidth="1"/>
    <col min="10242" max="10243" width="9" style="779"/>
    <col min="10244" max="10244" width="10.44140625" style="779" customWidth="1"/>
    <col min="10245" max="10246" width="9.77734375" style="779" customWidth="1"/>
    <col min="10247" max="10252" width="9" style="779"/>
    <col min="10253" max="10253" width="0" style="779" hidden="1" customWidth="1"/>
    <col min="10254" max="10496" width="9" style="779"/>
    <col min="10497" max="10497" width="9.6640625" style="779" customWidth="1"/>
    <col min="10498" max="10499" width="9" style="779"/>
    <col min="10500" max="10500" width="10.44140625" style="779" customWidth="1"/>
    <col min="10501" max="10502" width="9.77734375" style="779" customWidth="1"/>
    <col min="10503" max="10508" width="9" style="779"/>
    <col min="10509" max="10509" width="0" style="779" hidden="1" customWidth="1"/>
    <col min="10510" max="10752" width="9" style="779"/>
    <col min="10753" max="10753" width="9.6640625" style="779" customWidth="1"/>
    <col min="10754" max="10755" width="9" style="779"/>
    <col min="10756" max="10756" width="10.44140625" style="779" customWidth="1"/>
    <col min="10757" max="10758" width="9.77734375" style="779" customWidth="1"/>
    <col min="10759" max="10764" width="9" style="779"/>
    <col min="10765" max="10765" width="0" style="779" hidden="1" customWidth="1"/>
    <col min="10766" max="11008" width="9" style="779"/>
    <col min="11009" max="11009" width="9.6640625" style="779" customWidth="1"/>
    <col min="11010" max="11011" width="9" style="779"/>
    <col min="11012" max="11012" width="10.44140625" style="779" customWidth="1"/>
    <col min="11013" max="11014" width="9.77734375" style="779" customWidth="1"/>
    <col min="11015" max="11020" width="9" style="779"/>
    <col min="11021" max="11021" width="0" style="779" hidden="1" customWidth="1"/>
    <col min="11022" max="11264" width="9" style="779"/>
    <col min="11265" max="11265" width="9.6640625" style="779" customWidth="1"/>
    <col min="11266" max="11267" width="9" style="779"/>
    <col min="11268" max="11268" width="10.44140625" style="779" customWidth="1"/>
    <col min="11269" max="11270" width="9.77734375" style="779" customWidth="1"/>
    <col min="11271" max="11276" width="9" style="779"/>
    <col min="11277" max="11277" width="0" style="779" hidden="1" customWidth="1"/>
    <col min="11278" max="11520" width="9" style="779"/>
    <col min="11521" max="11521" width="9.6640625" style="779" customWidth="1"/>
    <col min="11522" max="11523" width="9" style="779"/>
    <col min="11524" max="11524" width="10.44140625" style="779" customWidth="1"/>
    <col min="11525" max="11526" width="9.77734375" style="779" customWidth="1"/>
    <col min="11527" max="11532" width="9" style="779"/>
    <col min="11533" max="11533" width="0" style="779" hidden="1" customWidth="1"/>
    <col min="11534" max="11776" width="9" style="779"/>
    <col min="11777" max="11777" width="9.6640625" style="779" customWidth="1"/>
    <col min="11778" max="11779" width="9" style="779"/>
    <col min="11780" max="11780" width="10.44140625" style="779" customWidth="1"/>
    <col min="11781" max="11782" width="9.77734375" style="779" customWidth="1"/>
    <col min="11783" max="11788" width="9" style="779"/>
    <col min="11789" max="11789" width="0" style="779" hidden="1" customWidth="1"/>
    <col min="11790" max="12032" width="9" style="779"/>
    <col min="12033" max="12033" width="9.6640625" style="779" customWidth="1"/>
    <col min="12034" max="12035" width="9" style="779"/>
    <col min="12036" max="12036" width="10.44140625" style="779" customWidth="1"/>
    <col min="12037" max="12038" width="9.77734375" style="779" customWidth="1"/>
    <col min="12039" max="12044" width="9" style="779"/>
    <col min="12045" max="12045" width="0" style="779" hidden="1" customWidth="1"/>
    <col min="12046" max="12288" width="9" style="779"/>
    <col min="12289" max="12289" width="9.6640625" style="779" customWidth="1"/>
    <col min="12290" max="12291" width="9" style="779"/>
    <col min="12292" max="12292" width="10.44140625" style="779" customWidth="1"/>
    <col min="12293" max="12294" width="9.77734375" style="779" customWidth="1"/>
    <col min="12295" max="12300" width="9" style="779"/>
    <col min="12301" max="12301" width="0" style="779" hidden="1" customWidth="1"/>
    <col min="12302" max="12544" width="9" style="779"/>
    <col min="12545" max="12545" width="9.6640625" style="779" customWidth="1"/>
    <col min="12546" max="12547" width="9" style="779"/>
    <col min="12548" max="12548" width="10.44140625" style="779" customWidth="1"/>
    <col min="12549" max="12550" width="9.77734375" style="779" customWidth="1"/>
    <col min="12551" max="12556" width="9" style="779"/>
    <col min="12557" max="12557" width="0" style="779" hidden="1" customWidth="1"/>
    <col min="12558" max="12800" width="9" style="779"/>
    <col min="12801" max="12801" width="9.6640625" style="779" customWidth="1"/>
    <col min="12802" max="12803" width="9" style="779"/>
    <col min="12804" max="12804" width="10.44140625" style="779" customWidth="1"/>
    <col min="12805" max="12806" width="9.77734375" style="779" customWidth="1"/>
    <col min="12807" max="12812" width="9" style="779"/>
    <col min="12813" max="12813" width="0" style="779" hidden="1" customWidth="1"/>
    <col min="12814" max="13056" width="9" style="779"/>
    <col min="13057" max="13057" width="9.6640625" style="779" customWidth="1"/>
    <col min="13058" max="13059" width="9" style="779"/>
    <col min="13060" max="13060" width="10.44140625" style="779" customWidth="1"/>
    <col min="13061" max="13062" width="9.77734375" style="779" customWidth="1"/>
    <col min="13063" max="13068" width="9" style="779"/>
    <col min="13069" max="13069" width="0" style="779" hidden="1" customWidth="1"/>
    <col min="13070" max="13312" width="9" style="779"/>
    <col min="13313" max="13313" width="9.6640625" style="779" customWidth="1"/>
    <col min="13314" max="13315" width="9" style="779"/>
    <col min="13316" max="13316" width="10.44140625" style="779" customWidth="1"/>
    <col min="13317" max="13318" width="9.77734375" style="779" customWidth="1"/>
    <col min="13319" max="13324" width="9" style="779"/>
    <col min="13325" max="13325" width="0" style="779" hidden="1" customWidth="1"/>
    <col min="13326" max="13568" width="9" style="779"/>
    <col min="13569" max="13569" width="9.6640625" style="779" customWidth="1"/>
    <col min="13570" max="13571" width="9" style="779"/>
    <col min="13572" max="13572" width="10.44140625" style="779" customWidth="1"/>
    <col min="13573" max="13574" width="9.77734375" style="779" customWidth="1"/>
    <col min="13575" max="13580" width="9" style="779"/>
    <col min="13581" max="13581" width="0" style="779" hidden="1" customWidth="1"/>
    <col min="13582" max="13824" width="9" style="779"/>
    <col min="13825" max="13825" width="9.6640625" style="779" customWidth="1"/>
    <col min="13826" max="13827" width="9" style="779"/>
    <col min="13828" max="13828" width="10.44140625" style="779" customWidth="1"/>
    <col min="13829" max="13830" width="9.77734375" style="779" customWidth="1"/>
    <col min="13831" max="13836" width="9" style="779"/>
    <col min="13837" max="13837" width="0" style="779" hidden="1" customWidth="1"/>
    <col min="13838" max="14080" width="9" style="779"/>
    <col min="14081" max="14081" width="9.6640625" style="779" customWidth="1"/>
    <col min="14082" max="14083" width="9" style="779"/>
    <col min="14084" max="14084" width="10.44140625" style="779" customWidth="1"/>
    <col min="14085" max="14086" width="9.77734375" style="779" customWidth="1"/>
    <col min="14087" max="14092" width="9" style="779"/>
    <col min="14093" max="14093" width="0" style="779" hidden="1" customWidth="1"/>
    <col min="14094" max="14336" width="9" style="779"/>
    <col min="14337" max="14337" width="9.6640625" style="779" customWidth="1"/>
    <col min="14338" max="14339" width="9" style="779"/>
    <col min="14340" max="14340" width="10.44140625" style="779" customWidth="1"/>
    <col min="14341" max="14342" width="9.77734375" style="779" customWidth="1"/>
    <col min="14343" max="14348" width="9" style="779"/>
    <col min="14349" max="14349" width="0" style="779" hidden="1" customWidth="1"/>
    <col min="14350" max="14592" width="9" style="779"/>
    <col min="14593" max="14593" width="9.6640625" style="779" customWidth="1"/>
    <col min="14594" max="14595" width="9" style="779"/>
    <col min="14596" max="14596" width="10.44140625" style="779" customWidth="1"/>
    <col min="14597" max="14598" width="9.77734375" style="779" customWidth="1"/>
    <col min="14599" max="14604" width="9" style="779"/>
    <col min="14605" max="14605" width="0" style="779" hidden="1" customWidth="1"/>
    <col min="14606" max="14848" width="9" style="779"/>
    <col min="14849" max="14849" width="9.6640625" style="779" customWidth="1"/>
    <col min="14850" max="14851" width="9" style="779"/>
    <col min="14852" max="14852" width="10.44140625" style="779" customWidth="1"/>
    <col min="14853" max="14854" width="9.77734375" style="779" customWidth="1"/>
    <col min="14855" max="14860" width="9" style="779"/>
    <col min="14861" max="14861" width="0" style="779" hidden="1" customWidth="1"/>
    <col min="14862" max="15104" width="9" style="779"/>
    <col min="15105" max="15105" width="9.6640625" style="779" customWidth="1"/>
    <col min="15106" max="15107" width="9" style="779"/>
    <col min="15108" max="15108" width="10.44140625" style="779" customWidth="1"/>
    <col min="15109" max="15110" width="9.77734375" style="779" customWidth="1"/>
    <col min="15111" max="15116" width="9" style="779"/>
    <col min="15117" max="15117" width="0" style="779" hidden="1" customWidth="1"/>
    <col min="15118" max="15360" width="9" style="779"/>
    <col min="15361" max="15361" width="9.6640625" style="779" customWidth="1"/>
    <col min="15362" max="15363" width="9" style="779"/>
    <col min="15364" max="15364" width="10.44140625" style="779" customWidth="1"/>
    <col min="15365" max="15366" width="9.77734375" style="779" customWidth="1"/>
    <col min="15367" max="15372" width="9" style="779"/>
    <col min="15373" max="15373" width="0" style="779" hidden="1" customWidth="1"/>
    <col min="15374" max="15616" width="9" style="779"/>
    <col min="15617" max="15617" width="9.6640625" style="779" customWidth="1"/>
    <col min="15618" max="15619" width="9" style="779"/>
    <col min="15620" max="15620" width="10.44140625" style="779" customWidth="1"/>
    <col min="15621" max="15622" width="9.77734375" style="779" customWidth="1"/>
    <col min="15623" max="15628" width="9" style="779"/>
    <col min="15629" max="15629" width="0" style="779" hidden="1" customWidth="1"/>
    <col min="15630" max="15872" width="9" style="779"/>
    <col min="15873" max="15873" width="9.6640625" style="779" customWidth="1"/>
    <col min="15874" max="15875" width="9" style="779"/>
    <col min="15876" max="15876" width="10.44140625" style="779" customWidth="1"/>
    <col min="15877" max="15878" width="9.77734375" style="779" customWidth="1"/>
    <col min="15879" max="15884" width="9" style="779"/>
    <col min="15885" max="15885" width="0" style="779" hidden="1" customWidth="1"/>
    <col min="15886" max="16128" width="9" style="779"/>
    <col min="16129" max="16129" width="9.6640625" style="779" customWidth="1"/>
    <col min="16130" max="16131" width="9" style="779"/>
    <col min="16132" max="16132" width="10.44140625" style="779" customWidth="1"/>
    <col min="16133" max="16134" width="9.77734375" style="779" customWidth="1"/>
    <col min="16135" max="16140" width="9" style="779"/>
    <col min="16141" max="16141" width="0" style="779" hidden="1" customWidth="1"/>
    <col min="16142" max="16384" width="9" style="779"/>
  </cols>
  <sheetData>
    <row r="1" spans="1:13" s="772" customFormat="1" ht="60.75" thickBot="1">
      <c r="A1" s="766" t="s">
        <v>278</v>
      </c>
      <c r="B1" s="767" t="s">
        <v>279</v>
      </c>
      <c r="C1" s="767" t="s">
        <v>280</v>
      </c>
      <c r="D1" s="768" t="s">
        <v>281</v>
      </c>
      <c r="E1" s="769" t="s">
        <v>282</v>
      </c>
      <c r="F1" s="770" t="s">
        <v>283</v>
      </c>
      <c r="G1" s="769" t="s">
        <v>290</v>
      </c>
      <c r="H1" s="770" t="s">
        <v>291</v>
      </c>
      <c r="I1" s="770" t="s">
        <v>284</v>
      </c>
      <c r="J1" s="770" t="s">
        <v>285</v>
      </c>
      <c r="K1" s="769" t="s">
        <v>286</v>
      </c>
      <c r="L1" s="769" t="s">
        <v>287</v>
      </c>
      <c r="M1" s="771" t="s">
        <v>288</v>
      </c>
    </row>
    <row r="2" spans="1:13">
      <c r="A2" s="773" t="s">
        <v>289</v>
      </c>
      <c r="B2" s="774">
        <v>1</v>
      </c>
      <c r="C2" s="774">
        <v>9</v>
      </c>
      <c r="D2" s="775">
        <v>2021</v>
      </c>
      <c r="E2" s="776">
        <f>(IF('Daily HLP'!I4&gt;0,'Daily HLP'!I4,0))</f>
        <v>24099.409999999974</v>
      </c>
      <c r="F2" s="777">
        <v>9</v>
      </c>
      <c r="G2" s="777">
        <f>(IF('Daily HLP'!M4&gt;0,'Daily HLP'!M4,0))</f>
        <v>945.48999999999069</v>
      </c>
      <c r="H2" s="777">
        <v>52</v>
      </c>
      <c r="I2" s="777">
        <f>(IF('Daily HLP'!P4&gt;0,'Daily HLP'!P4,0))</f>
        <v>146</v>
      </c>
      <c r="J2" s="777">
        <v>118</v>
      </c>
      <c r="K2" s="851">
        <f>Occupancy!G2</f>
        <v>167</v>
      </c>
      <c r="L2" s="776">
        <f>Occupancy!F2</f>
        <v>530</v>
      </c>
      <c r="M2" s="778" t="e">
        <f>E2*F2+G2*H2+#REF!*#REF!+I2*J2</f>
        <v>#REF!</v>
      </c>
    </row>
    <row r="3" spans="1:13">
      <c r="A3" s="773" t="s">
        <v>289</v>
      </c>
      <c r="B3" s="774">
        <f>B2+1</f>
        <v>2</v>
      </c>
      <c r="C3" s="774">
        <v>9</v>
      </c>
      <c r="D3" s="775">
        <v>2021</v>
      </c>
      <c r="E3" s="776">
        <f>(IF('Daily HLP'!I5&gt;0,'Daily HLP'!I5,0))</f>
        <v>22799.340000000026</v>
      </c>
      <c r="F3" s="777">
        <v>9</v>
      </c>
      <c r="G3" s="777">
        <f>(IF('Daily HLP'!M5&gt;0,'Daily HLP'!M5,0))</f>
        <v>861.03000000002794</v>
      </c>
      <c r="H3" s="777">
        <v>52</v>
      </c>
      <c r="I3" s="777">
        <f>(IF('Daily HLP'!P5&gt;0,'Daily HLP'!P5,0))</f>
        <v>183</v>
      </c>
      <c r="J3" s="777">
        <v>118</v>
      </c>
      <c r="K3" s="851">
        <f>Occupancy!G3</f>
        <v>158</v>
      </c>
      <c r="L3" s="776">
        <f>Occupancy!F3</f>
        <v>633</v>
      </c>
      <c r="M3" s="778" t="e">
        <f>E3*F3+G3*H3+#REF!*#REF!+I3*J3</f>
        <v>#REF!</v>
      </c>
    </row>
    <row r="4" spans="1:13">
      <c r="A4" s="773" t="s">
        <v>289</v>
      </c>
      <c r="B4" s="774">
        <f t="shared" ref="B4:B32" si="0">B3+1</f>
        <v>3</v>
      </c>
      <c r="C4" s="774">
        <v>9</v>
      </c>
      <c r="D4" s="775">
        <v>2021</v>
      </c>
      <c r="E4" s="776">
        <f>(IF('Daily HLP'!I6&gt;0,'Daily HLP'!I6,0))</f>
        <v>21890.559999999998</v>
      </c>
      <c r="F4" s="777">
        <v>9</v>
      </c>
      <c r="G4" s="777">
        <f>(IF('Daily HLP'!M6&gt;0,'Daily HLP'!M6,0))</f>
        <v>866.20200000004843</v>
      </c>
      <c r="H4" s="777">
        <v>52</v>
      </c>
      <c r="I4" s="777">
        <f>(IF('Daily HLP'!P6&gt;0,'Daily HLP'!P6,0))</f>
        <v>241</v>
      </c>
      <c r="J4" s="777">
        <v>118</v>
      </c>
      <c r="K4" s="851">
        <f>Occupancy!G4</f>
        <v>148</v>
      </c>
      <c r="L4" s="776">
        <f>Occupancy!F4</f>
        <v>505</v>
      </c>
      <c r="M4" s="778" t="e">
        <f>E4*F4+G4*H4+#REF!*#REF!+I4*J4</f>
        <v>#REF!</v>
      </c>
    </row>
    <row r="5" spans="1:13">
      <c r="A5" s="773" t="s">
        <v>289</v>
      </c>
      <c r="B5" s="774">
        <f t="shared" si="0"/>
        <v>4</v>
      </c>
      <c r="C5" s="774">
        <v>9</v>
      </c>
      <c r="D5" s="775">
        <v>2021</v>
      </c>
      <c r="E5" s="776">
        <f>(IF('Daily HLP'!I7&gt;0,'Daily HLP'!I7,0))</f>
        <v>21459.679999999993</v>
      </c>
      <c r="F5" s="777">
        <v>9</v>
      </c>
      <c r="G5" s="777">
        <f>(IF('Daily HLP'!M7&gt;0,'Daily HLP'!M7,0))</f>
        <v>821.23799999989569</v>
      </c>
      <c r="H5" s="777">
        <v>52</v>
      </c>
      <c r="I5" s="777">
        <f>(IF('Daily HLP'!P7&gt;0,'Daily HLP'!P7,0))</f>
        <v>203</v>
      </c>
      <c r="J5" s="777">
        <v>118</v>
      </c>
      <c r="K5" s="851">
        <f>Occupancy!G5</f>
        <v>166</v>
      </c>
      <c r="L5" s="776">
        <f>Occupancy!F5</f>
        <v>414</v>
      </c>
      <c r="M5" s="778" t="e">
        <f>E5*F5+G5*H5+#REF!*#REF!+I5*J5</f>
        <v>#REF!</v>
      </c>
    </row>
    <row r="6" spans="1:13">
      <c r="A6" s="773" t="s">
        <v>289</v>
      </c>
      <c r="B6" s="774">
        <f t="shared" si="0"/>
        <v>5</v>
      </c>
      <c r="C6" s="774">
        <v>9</v>
      </c>
      <c r="D6" s="775">
        <v>2021</v>
      </c>
      <c r="E6" s="776">
        <f>(IF('Daily HLP'!I8&gt;0,'Daily HLP'!I8,0))</f>
        <v>21315.160000000033</v>
      </c>
      <c r="F6" s="777">
        <v>9</v>
      </c>
      <c r="G6" s="777">
        <f>(IF('Daily HLP'!M8&gt;0,'Daily HLP'!M8,0))</f>
        <v>851.14000000013039</v>
      </c>
      <c r="H6" s="777">
        <v>52</v>
      </c>
      <c r="I6" s="777">
        <f>(IF('Daily HLP'!P8&gt;0,'Daily HLP'!P8,0))</f>
        <v>261</v>
      </c>
      <c r="J6" s="777">
        <v>118</v>
      </c>
      <c r="K6" s="851">
        <f>Occupancy!G6</f>
        <v>123</v>
      </c>
      <c r="L6" s="776">
        <f>Occupancy!F6</f>
        <v>417</v>
      </c>
      <c r="M6" s="778" t="e">
        <f>E6*F6+G6*H6+#REF!*#REF!+I6*J6</f>
        <v>#REF!</v>
      </c>
    </row>
    <row r="7" spans="1:13">
      <c r="A7" s="773" t="s">
        <v>289</v>
      </c>
      <c r="B7" s="774">
        <f t="shared" si="0"/>
        <v>6</v>
      </c>
      <c r="C7" s="774">
        <v>9</v>
      </c>
      <c r="D7" s="775">
        <v>2021</v>
      </c>
      <c r="E7" s="776">
        <f>(IF('Daily HLP'!I9&gt;0,'Daily HLP'!I9,0))</f>
        <v>22055.51999999996</v>
      </c>
      <c r="F7" s="777">
        <v>9</v>
      </c>
      <c r="G7" s="777">
        <f>(IF('Daily HLP'!M9&gt;0,'Daily HLP'!M9,0))</f>
        <v>920.31999999983236</v>
      </c>
      <c r="H7" s="777">
        <v>52</v>
      </c>
      <c r="I7" s="777">
        <f>(IF('Daily HLP'!P9&gt;0,'Daily HLP'!P9,0))</f>
        <v>163</v>
      </c>
      <c r="J7" s="777">
        <v>118</v>
      </c>
      <c r="K7" s="851">
        <f>Occupancy!G7</f>
        <v>130</v>
      </c>
      <c r="L7" s="776">
        <f>Occupancy!F7</f>
        <v>356</v>
      </c>
      <c r="M7" s="778" t="e">
        <f>E7*F7+G7*H7+#REF!*#REF!+I7*J7</f>
        <v>#REF!</v>
      </c>
    </row>
    <row r="8" spans="1:13">
      <c r="A8" s="773" t="s">
        <v>289</v>
      </c>
      <c r="B8" s="774">
        <f t="shared" si="0"/>
        <v>7</v>
      </c>
      <c r="C8" s="774">
        <v>9</v>
      </c>
      <c r="D8" s="775">
        <v>2021</v>
      </c>
      <c r="E8" s="776">
        <f>(IF('Daily HLP'!I10&gt;0,'Daily HLP'!I10,0))</f>
        <v>20481.920000000042</v>
      </c>
      <c r="F8" s="777">
        <v>9</v>
      </c>
      <c r="G8" s="777">
        <f>(IF('Daily HLP'!M10&gt;0,'Daily HLP'!M10,0))</f>
        <v>856.76000000000931</v>
      </c>
      <c r="H8" s="777">
        <v>52</v>
      </c>
      <c r="I8" s="777">
        <f>(IF('Daily HLP'!P10&gt;0,'Daily HLP'!P10,0))</f>
        <v>218</v>
      </c>
      <c r="J8" s="777">
        <v>118</v>
      </c>
      <c r="K8" s="851">
        <f>Occupancy!G8</f>
        <v>145</v>
      </c>
      <c r="L8" s="776">
        <f>Occupancy!F8</f>
        <v>402</v>
      </c>
      <c r="M8" s="778" t="e">
        <f>E8*F8+G8*H8+#REF!*#REF!+I8*J8</f>
        <v>#REF!</v>
      </c>
    </row>
    <row r="9" spans="1:13">
      <c r="A9" s="773" t="s">
        <v>289</v>
      </c>
      <c r="B9" s="774">
        <f t="shared" si="0"/>
        <v>8</v>
      </c>
      <c r="C9" s="774">
        <v>9</v>
      </c>
      <c r="D9" s="775">
        <v>2021</v>
      </c>
      <c r="E9" s="776">
        <f>(IF('Daily HLP'!I11&gt;0,'Daily HLP'!I11,0))</f>
        <v>22311.399999999965</v>
      </c>
      <c r="F9" s="777">
        <v>9</v>
      </c>
      <c r="G9" s="777">
        <f>(IF('Daily HLP'!M11&gt;0,'Daily HLP'!M11,0))</f>
        <v>851.33000000007451</v>
      </c>
      <c r="H9" s="777">
        <v>52</v>
      </c>
      <c r="I9" s="777">
        <f>(IF('Daily HLP'!P11&gt;0,'Daily HLP'!P11,0))</f>
        <v>209</v>
      </c>
      <c r="J9" s="777">
        <v>118</v>
      </c>
      <c r="K9" s="851">
        <f>Occupancy!G9</f>
        <v>164</v>
      </c>
      <c r="L9" s="776">
        <f>Occupancy!F9</f>
        <v>467</v>
      </c>
      <c r="M9" s="778" t="e">
        <f>E9*F9+G9*H9+#REF!*#REF!+I9*J9</f>
        <v>#REF!</v>
      </c>
    </row>
    <row r="10" spans="1:13">
      <c r="A10" s="773" t="s">
        <v>289</v>
      </c>
      <c r="B10" s="774">
        <f t="shared" si="0"/>
        <v>9</v>
      </c>
      <c r="C10" s="774">
        <v>9</v>
      </c>
      <c r="D10" s="775">
        <v>2021</v>
      </c>
      <c r="E10" s="776">
        <f>(IF('Daily HLP'!I12&gt;0,'Daily HLP'!I12,0))</f>
        <v>21965.010000000009</v>
      </c>
      <c r="F10" s="777">
        <v>9</v>
      </c>
      <c r="G10" s="777">
        <f>(IF('Daily HLP'!M12&gt;0,'Daily HLP'!M12,0))</f>
        <v>851.48999999999069</v>
      </c>
      <c r="H10" s="777">
        <v>52</v>
      </c>
      <c r="I10" s="777">
        <f>(IF('Daily HLP'!P12&gt;0,'Daily HLP'!P12,0))</f>
        <v>200</v>
      </c>
      <c r="J10" s="777">
        <v>118</v>
      </c>
      <c r="K10" s="851">
        <f>Occupancy!G10</f>
        <v>113</v>
      </c>
      <c r="L10" s="776">
        <f>Occupancy!F10</f>
        <v>444</v>
      </c>
      <c r="M10" s="778" t="e">
        <f>E10*F10+G10*H10+#REF!*#REF!+I10*J10</f>
        <v>#REF!</v>
      </c>
    </row>
    <row r="11" spans="1:13">
      <c r="A11" s="773" t="s">
        <v>289</v>
      </c>
      <c r="B11" s="774">
        <f t="shared" si="0"/>
        <v>10</v>
      </c>
      <c r="C11" s="774">
        <v>9</v>
      </c>
      <c r="D11" s="775">
        <v>2021</v>
      </c>
      <c r="E11" s="776">
        <f>(IF('Daily HLP'!I13&gt;0,'Daily HLP'!I13,0))</f>
        <v>21417</v>
      </c>
      <c r="F11" s="777">
        <v>9</v>
      </c>
      <c r="G11" s="777">
        <f>(IF('Daily HLP'!M13&gt;0,'Daily HLP'!M13,0))</f>
        <v>796</v>
      </c>
      <c r="H11" s="777">
        <v>52</v>
      </c>
      <c r="I11" s="777">
        <f>(IF('Daily HLP'!P13&gt;0,'Daily HLP'!P13,0))</f>
        <v>197</v>
      </c>
      <c r="J11" s="777">
        <v>118</v>
      </c>
      <c r="K11" s="851">
        <f>Occupancy!G11</f>
        <v>141</v>
      </c>
      <c r="L11" s="776">
        <f>Occupancy!F11</f>
        <v>327</v>
      </c>
      <c r="M11" s="778" t="e">
        <f>E11*F11+G11*H11+#REF!*#REF!+I11*J11</f>
        <v>#REF!</v>
      </c>
    </row>
    <row r="12" spans="1:13">
      <c r="A12" s="773" t="s">
        <v>289</v>
      </c>
      <c r="B12" s="774">
        <f t="shared" si="0"/>
        <v>11</v>
      </c>
      <c r="C12" s="774">
        <v>9</v>
      </c>
      <c r="D12" s="775">
        <v>2021</v>
      </c>
      <c r="E12" s="776">
        <f>(IF('Daily HLP'!I14&gt;0,'Daily HLP'!I14,0))</f>
        <v>21441</v>
      </c>
      <c r="F12" s="777">
        <v>9</v>
      </c>
      <c r="G12" s="777">
        <f>(IF('Daily HLP'!M14&gt;0,'Daily HLP'!M14,0))</f>
        <v>881</v>
      </c>
      <c r="H12" s="777">
        <v>52</v>
      </c>
      <c r="I12" s="777">
        <f>(IF('Daily HLP'!P14&gt;0,'Daily HLP'!P14,0))</f>
        <v>211</v>
      </c>
      <c r="J12" s="777">
        <v>118</v>
      </c>
      <c r="K12" s="851">
        <f>Occupancy!G12</f>
        <v>0</v>
      </c>
      <c r="L12" s="776">
        <f>Occupancy!F12</f>
        <v>0</v>
      </c>
      <c r="M12" s="778" t="e">
        <f>E12*F12+G12*H12+#REF!*#REF!+I12*J12</f>
        <v>#REF!</v>
      </c>
    </row>
    <row r="13" spans="1:13">
      <c r="A13" s="773" t="s">
        <v>289</v>
      </c>
      <c r="B13" s="774">
        <f t="shared" si="0"/>
        <v>12</v>
      </c>
      <c r="C13" s="774">
        <v>9</v>
      </c>
      <c r="D13" s="775">
        <v>2021</v>
      </c>
      <c r="E13" s="776">
        <f>(IF('Daily HLP'!I15&gt;0,'Daily HLP'!I15,0))</f>
        <v>22425.270000000019</v>
      </c>
      <c r="F13" s="777">
        <v>9</v>
      </c>
      <c r="G13" s="777">
        <f>(IF('Daily HLP'!M15&gt;0,'Daily HLP'!M15,0))</f>
        <v>916.83100000000559</v>
      </c>
      <c r="H13" s="777">
        <v>52</v>
      </c>
      <c r="I13" s="777">
        <f>(IF('Daily HLP'!P15&gt;0,'Daily HLP'!P15,0))</f>
        <v>223</v>
      </c>
      <c r="J13" s="777">
        <v>118</v>
      </c>
      <c r="K13" s="851">
        <f>Occupancy!G13</f>
        <v>0</v>
      </c>
      <c r="L13" s="776">
        <f>Occupancy!F13</f>
        <v>0</v>
      </c>
      <c r="M13" s="778" t="e">
        <f>E13*F13+G13*H13+#REF!*#REF!+I13*J13</f>
        <v>#REF!</v>
      </c>
    </row>
    <row r="14" spans="1:13">
      <c r="A14" s="773" t="s">
        <v>289</v>
      </c>
      <c r="B14" s="774">
        <f t="shared" si="0"/>
        <v>13</v>
      </c>
      <c r="C14" s="774">
        <v>9</v>
      </c>
      <c r="D14" s="775">
        <v>2021</v>
      </c>
      <c r="E14" s="776">
        <f>(IF('Daily HLP'!I16&gt;0,'Daily HLP'!I16,0))</f>
        <v>22500</v>
      </c>
      <c r="F14" s="777">
        <v>9</v>
      </c>
      <c r="G14" s="777">
        <f>(IF('Daily HLP'!M16&gt;0,'Daily HLP'!M16,0))</f>
        <v>0</v>
      </c>
      <c r="H14" s="777">
        <v>52</v>
      </c>
      <c r="I14" s="777">
        <f>(IF('Daily HLP'!P16&gt;0,'Daily HLP'!P16,0))</f>
        <v>0</v>
      </c>
      <c r="J14" s="777">
        <v>118</v>
      </c>
      <c r="K14" s="851">
        <f>Occupancy!G14</f>
        <v>0</v>
      </c>
      <c r="L14" s="776">
        <f>Occupancy!F14</f>
        <v>0</v>
      </c>
      <c r="M14" s="778" t="e">
        <f>E14*F14+G14*H14+#REF!*#REF!+I14*J14</f>
        <v>#REF!</v>
      </c>
    </row>
    <row r="15" spans="1:13">
      <c r="A15" s="773" t="s">
        <v>289</v>
      </c>
      <c r="B15" s="774">
        <f t="shared" si="0"/>
        <v>14</v>
      </c>
      <c r="C15" s="774">
        <v>9</v>
      </c>
      <c r="D15" s="775">
        <v>2021</v>
      </c>
      <c r="E15" s="776">
        <f>(IF('Daily HLP'!I17&gt;0,'Daily HLP'!I17,0))</f>
        <v>22500</v>
      </c>
      <c r="F15" s="777">
        <v>9</v>
      </c>
      <c r="G15" s="777">
        <f>(IF('Daily HLP'!M17&gt;0,'Daily HLP'!M17,0))</f>
        <v>1092</v>
      </c>
      <c r="H15" s="777">
        <v>52</v>
      </c>
      <c r="I15" s="777">
        <f>(IF('Daily HLP'!P17&gt;0,'Daily HLP'!P17,0))</f>
        <v>223</v>
      </c>
      <c r="J15" s="777">
        <v>118</v>
      </c>
      <c r="K15" s="851">
        <f>Occupancy!G15</f>
        <v>0</v>
      </c>
      <c r="L15" s="776">
        <f>Occupancy!F15</f>
        <v>0</v>
      </c>
      <c r="M15" s="778" t="e">
        <f>E15*F15+G15*H15+#REF!*#REF!+I15*J15</f>
        <v>#REF!</v>
      </c>
    </row>
    <row r="16" spans="1:13">
      <c r="A16" s="773" t="s">
        <v>289</v>
      </c>
      <c r="B16" s="774">
        <f t="shared" si="0"/>
        <v>15</v>
      </c>
      <c r="C16" s="774">
        <v>9</v>
      </c>
      <c r="D16" s="775">
        <v>2021</v>
      </c>
      <c r="E16" s="776">
        <f>(IF('Daily HLP'!I18&gt;0,'Daily HLP'!I18,0))</f>
        <v>22500</v>
      </c>
      <c r="F16" s="777">
        <v>9</v>
      </c>
      <c r="G16" s="777">
        <f>(IF('Daily HLP'!M18&gt;0,'Daily HLP'!M18,0))</f>
        <v>920</v>
      </c>
      <c r="H16" s="777">
        <v>52</v>
      </c>
      <c r="I16" s="777">
        <f>(IF('Daily HLP'!P18&gt;0,'Daily HLP'!P18,0))</f>
        <v>264</v>
      </c>
      <c r="J16" s="777">
        <v>118</v>
      </c>
      <c r="K16" s="851">
        <f>Occupancy!G16</f>
        <v>0</v>
      </c>
      <c r="L16" s="776">
        <f>Occupancy!F16</f>
        <v>0</v>
      </c>
      <c r="M16" s="778" t="e">
        <f>E16*F16+G16*H16+#REF!*#REF!+I16*J16</f>
        <v>#REF!</v>
      </c>
    </row>
    <row r="17" spans="1:13">
      <c r="A17" s="773" t="s">
        <v>289</v>
      </c>
      <c r="B17" s="774">
        <f t="shared" si="0"/>
        <v>16</v>
      </c>
      <c r="C17" s="774">
        <v>9</v>
      </c>
      <c r="D17" s="775">
        <v>2021</v>
      </c>
      <c r="E17" s="776">
        <f>(IF('Daily HLP'!I19&gt;0,'Daily HLP'!I19,0))</f>
        <v>22500</v>
      </c>
      <c r="F17" s="777">
        <v>9</v>
      </c>
      <c r="G17" s="777">
        <f>(IF('Daily HLP'!M19&gt;0,'Daily HLP'!M19,0))</f>
        <v>896.09700000006706</v>
      </c>
      <c r="H17" s="777">
        <v>52</v>
      </c>
      <c r="I17" s="777">
        <f>(IF('Daily HLP'!P19&gt;0,'Daily HLP'!P19,0))</f>
        <v>214</v>
      </c>
      <c r="J17" s="777">
        <v>118</v>
      </c>
      <c r="K17" s="851">
        <f>Occupancy!G17</f>
        <v>0</v>
      </c>
      <c r="L17" s="776">
        <f>Occupancy!F17</f>
        <v>0</v>
      </c>
      <c r="M17" s="778" t="e">
        <f>E17*F17+G17*H17+#REF!*#REF!+I17*J17</f>
        <v>#REF!</v>
      </c>
    </row>
    <row r="18" spans="1:13">
      <c r="A18" s="773" t="s">
        <v>289</v>
      </c>
      <c r="B18" s="774">
        <f t="shared" si="0"/>
        <v>17</v>
      </c>
      <c r="C18" s="774">
        <v>9</v>
      </c>
      <c r="D18" s="775">
        <v>2021</v>
      </c>
      <c r="E18" s="776">
        <f>(IF('Daily HLP'!I20&gt;0,'Daily HLP'!I20,0))</f>
        <v>22500</v>
      </c>
      <c r="F18" s="777">
        <v>9</v>
      </c>
      <c r="G18" s="777">
        <f>(IF('Daily HLP'!M20&gt;0,'Daily HLP'!M20,0))</f>
        <v>813.51199999987148</v>
      </c>
      <c r="H18" s="777">
        <v>52</v>
      </c>
      <c r="I18" s="777">
        <f>(IF('Daily HLP'!P20&gt;0,'Daily HLP'!P20,0))</f>
        <v>226</v>
      </c>
      <c r="J18" s="777">
        <v>118</v>
      </c>
      <c r="K18" s="851">
        <f>Occupancy!G18</f>
        <v>0</v>
      </c>
      <c r="L18" s="776">
        <f>Occupancy!F18</f>
        <v>0</v>
      </c>
      <c r="M18" s="778" t="e">
        <f>E18*F18+G18*H18+#REF!*#REF!+I18*J18</f>
        <v>#REF!</v>
      </c>
    </row>
    <row r="19" spans="1:13">
      <c r="A19" s="773" t="s">
        <v>289</v>
      </c>
      <c r="B19" s="774">
        <f t="shared" si="0"/>
        <v>18</v>
      </c>
      <c r="C19" s="774">
        <v>9</v>
      </c>
      <c r="D19" s="775">
        <v>2021</v>
      </c>
      <c r="E19" s="776">
        <f>(IF('Daily HLP'!I21&gt;0,'Daily HLP'!I21,0))</f>
        <v>331487.73</v>
      </c>
      <c r="F19" s="777">
        <v>9</v>
      </c>
      <c r="G19" s="777">
        <f>(IF('Daily HLP'!M21&gt;0,'Daily HLP'!M21,0))</f>
        <v>964.54300000006333</v>
      </c>
      <c r="H19" s="777">
        <v>52</v>
      </c>
      <c r="I19" s="777">
        <f>(IF('Daily HLP'!P21&gt;0,'Daily HLP'!P21,0))</f>
        <v>200</v>
      </c>
      <c r="J19" s="777">
        <v>118</v>
      </c>
      <c r="K19" s="851">
        <f>Occupancy!G19</f>
        <v>0</v>
      </c>
      <c r="L19" s="776">
        <f>Occupancy!F19</f>
        <v>0</v>
      </c>
      <c r="M19" s="778" t="e">
        <f>E19*F19+G19*H19+#REF!*#REF!+I19*J19</f>
        <v>#REF!</v>
      </c>
    </row>
    <row r="20" spans="1:13">
      <c r="A20" s="773" t="s">
        <v>289</v>
      </c>
      <c r="B20" s="774">
        <f t="shared" si="0"/>
        <v>19</v>
      </c>
      <c r="C20" s="774">
        <v>9</v>
      </c>
      <c r="D20" s="775">
        <v>2021</v>
      </c>
      <c r="E20" s="776">
        <f>(IF('Daily HLP'!I22&gt;0,'Daily HLP'!I22,0))</f>
        <v>22500</v>
      </c>
      <c r="F20" s="777">
        <v>9</v>
      </c>
      <c r="G20" s="777">
        <f>(IF('Daily HLP'!M22&gt;0,'Daily HLP'!M22,0))</f>
        <v>837.84799999999814</v>
      </c>
      <c r="H20" s="777">
        <v>52</v>
      </c>
      <c r="I20" s="777">
        <f>(IF('Daily HLP'!P22&gt;0,'Daily HLP'!P22,0))</f>
        <v>210</v>
      </c>
      <c r="J20" s="777">
        <v>118</v>
      </c>
      <c r="K20" s="851">
        <f>Occupancy!G20</f>
        <v>0</v>
      </c>
      <c r="L20" s="776">
        <f>Occupancy!F20</f>
        <v>0</v>
      </c>
      <c r="M20" s="778" t="e">
        <f>E20*F20+G20*H20+#REF!*#REF!+I20*J20</f>
        <v>#REF!</v>
      </c>
    </row>
    <row r="21" spans="1:13">
      <c r="A21" s="773" t="s">
        <v>289</v>
      </c>
      <c r="B21" s="774">
        <f t="shared" si="0"/>
        <v>20</v>
      </c>
      <c r="C21" s="774">
        <v>9</v>
      </c>
      <c r="D21" s="775">
        <v>2021</v>
      </c>
      <c r="E21" s="776">
        <f>(IF('Daily HLP'!I23&gt;0,'Daily HLP'!I23,0))</f>
        <v>22500</v>
      </c>
      <c r="F21" s="777">
        <v>9</v>
      </c>
      <c r="G21" s="777">
        <f>(IF('Daily HLP'!M23&gt;0,'Daily HLP'!M23,0))</f>
        <v>900.52000000001863</v>
      </c>
      <c r="H21" s="777">
        <v>52</v>
      </c>
      <c r="I21" s="777">
        <f>(IF('Daily HLP'!P23&gt;0,'Daily HLP'!P23,0))</f>
        <v>299</v>
      </c>
      <c r="J21" s="777">
        <v>118</v>
      </c>
      <c r="K21" s="851">
        <f>Occupancy!G21</f>
        <v>0</v>
      </c>
      <c r="L21" s="776">
        <f>Occupancy!F21</f>
        <v>0</v>
      </c>
      <c r="M21" s="778" t="e">
        <f>E21*F21+G21*H21+#REF!*#REF!+I21*J21</f>
        <v>#REF!</v>
      </c>
    </row>
    <row r="22" spans="1:13">
      <c r="A22" s="773" t="s">
        <v>289</v>
      </c>
      <c r="B22" s="774">
        <f t="shared" si="0"/>
        <v>21</v>
      </c>
      <c r="C22" s="774">
        <v>9</v>
      </c>
      <c r="D22" s="775">
        <v>2021</v>
      </c>
      <c r="E22" s="776">
        <f>(IF('Daily HLP'!I24&gt;0,'Daily HLP'!I24,0))</f>
        <v>22500</v>
      </c>
      <c r="F22" s="777">
        <v>9</v>
      </c>
      <c r="G22" s="777">
        <f>(IF('Daily HLP'!M24&gt;0,'Daily HLP'!M24,0))</f>
        <v>890.93999999994412</v>
      </c>
      <c r="H22" s="777">
        <v>52</v>
      </c>
      <c r="I22" s="777">
        <f>(IF('Daily HLP'!P24&gt;0,'Daily HLP'!P24,0))</f>
        <v>253</v>
      </c>
      <c r="J22" s="777">
        <v>118</v>
      </c>
      <c r="K22" s="851">
        <f>Occupancy!G22</f>
        <v>0</v>
      </c>
      <c r="L22" s="776">
        <f>Occupancy!F22</f>
        <v>0</v>
      </c>
      <c r="M22" s="778" t="e">
        <f>E22*F22+G22*H22+#REF!*#REF!+I22*J22</f>
        <v>#REF!</v>
      </c>
    </row>
    <row r="23" spans="1:13">
      <c r="A23" s="773" t="s">
        <v>289</v>
      </c>
      <c r="B23" s="774">
        <f t="shared" si="0"/>
        <v>22</v>
      </c>
      <c r="C23" s="774">
        <v>9</v>
      </c>
      <c r="D23" s="775">
        <v>2021</v>
      </c>
      <c r="E23" s="776">
        <f>(IF('Daily HLP'!I25&gt;0,'Daily HLP'!I25,0))</f>
        <v>22500</v>
      </c>
      <c r="F23" s="777">
        <v>9</v>
      </c>
      <c r="G23" s="777">
        <f>(IF('Daily HLP'!M25&gt;0,'Daily HLP'!M25,0))</f>
        <v>882.82000000006519</v>
      </c>
      <c r="H23" s="777">
        <v>52</v>
      </c>
      <c r="I23" s="777">
        <f>(IF('Daily HLP'!P25&gt;0,'Daily HLP'!P25,0))</f>
        <v>265</v>
      </c>
      <c r="J23" s="777">
        <v>118</v>
      </c>
      <c r="K23" s="851">
        <f>Occupancy!G23</f>
        <v>0</v>
      </c>
      <c r="L23" s="776">
        <f>Occupancy!F23</f>
        <v>0</v>
      </c>
      <c r="M23" s="778" t="e">
        <f>E23*F23+G23*H23+#REF!*#REF!+I23*J23</f>
        <v>#REF!</v>
      </c>
    </row>
    <row r="24" spans="1:13">
      <c r="A24" s="773" t="s">
        <v>289</v>
      </c>
      <c r="B24" s="774">
        <f t="shared" si="0"/>
        <v>23</v>
      </c>
      <c r="C24" s="774">
        <v>9</v>
      </c>
      <c r="D24" s="775">
        <v>2021</v>
      </c>
      <c r="E24" s="776">
        <f>(IF('Daily HLP'!I26&gt;0,'Daily HLP'!I26,0))</f>
        <v>22500</v>
      </c>
      <c r="F24" s="777">
        <v>9</v>
      </c>
      <c r="G24" s="777">
        <f>(IF('Daily HLP'!M26&gt;0,'Daily HLP'!M26,0))</f>
        <v>828.71999999997206</v>
      </c>
      <c r="H24" s="777">
        <v>52</v>
      </c>
      <c r="I24" s="777">
        <f>(IF('Daily HLP'!P26&gt;0,'Daily HLP'!P26,0))</f>
        <v>226</v>
      </c>
      <c r="J24" s="777">
        <v>118</v>
      </c>
      <c r="K24" s="851">
        <f>Occupancy!G24</f>
        <v>0</v>
      </c>
      <c r="L24" s="776">
        <f>Occupancy!F24</f>
        <v>0</v>
      </c>
      <c r="M24" s="778" t="e">
        <f>E24*F24+G24*H24+#REF!*#REF!+I24*J24</f>
        <v>#REF!</v>
      </c>
    </row>
    <row r="25" spans="1:13">
      <c r="A25" s="773" t="s">
        <v>289</v>
      </c>
      <c r="B25" s="774">
        <f t="shared" si="0"/>
        <v>24</v>
      </c>
      <c r="C25" s="774">
        <v>9</v>
      </c>
      <c r="D25" s="775">
        <v>2021</v>
      </c>
      <c r="E25" s="776">
        <f>(IF('Daily HLP'!I27&gt;0,'Daily HLP'!I27,0))</f>
        <v>22499.999999999985</v>
      </c>
      <c r="F25" s="777">
        <v>9</v>
      </c>
      <c r="G25" s="777">
        <f>(IF('Daily HLP'!M27&gt;0,'Daily HLP'!M27,0))</f>
        <v>879</v>
      </c>
      <c r="H25" s="777">
        <v>52</v>
      </c>
      <c r="I25" s="777">
        <f>(IF('Daily HLP'!P27&gt;0,'Daily HLP'!P27,0))</f>
        <v>224</v>
      </c>
      <c r="J25" s="777">
        <v>118</v>
      </c>
      <c r="K25" s="851">
        <f>Occupancy!G25</f>
        <v>0</v>
      </c>
      <c r="L25" s="776">
        <f>Occupancy!F25</f>
        <v>0</v>
      </c>
      <c r="M25" s="778" t="e">
        <f>E25*F25+G25*H25+#REF!*#REF!+I25*J25</f>
        <v>#REF!</v>
      </c>
    </row>
    <row r="26" spans="1:13">
      <c r="A26" s="773" t="s">
        <v>289</v>
      </c>
      <c r="B26" s="774">
        <f>B25+1</f>
        <v>25</v>
      </c>
      <c r="C26" s="774">
        <v>9</v>
      </c>
      <c r="D26" s="775">
        <v>2021</v>
      </c>
      <c r="E26" s="776">
        <f>(IF('Daily HLP'!I28&gt;0,'Daily HLP'!I28,0))</f>
        <v>22500</v>
      </c>
      <c r="F26" s="777">
        <v>9</v>
      </c>
      <c r="G26" s="777">
        <f>(IF('Daily HLP'!M28&gt;0,'Daily HLP'!M28,0))</f>
        <v>795</v>
      </c>
      <c r="H26" s="777">
        <v>52</v>
      </c>
      <c r="I26" s="777">
        <f>(IF('Daily HLP'!P28&gt;0,'Daily HLP'!P28,0))</f>
        <v>222</v>
      </c>
      <c r="J26" s="777">
        <v>118</v>
      </c>
      <c r="K26" s="851">
        <f>Occupancy!G26</f>
        <v>0</v>
      </c>
      <c r="L26" s="776">
        <f>Occupancy!F26</f>
        <v>0</v>
      </c>
      <c r="M26" s="778" t="e">
        <f>E26*F26+G26*H26+#REF!*#REF!+I26*J26</f>
        <v>#REF!</v>
      </c>
    </row>
    <row r="27" spans="1:13">
      <c r="A27" s="773" t="s">
        <v>289</v>
      </c>
      <c r="B27" s="774">
        <f t="shared" si="0"/>
        <v>26</v>
      </c>
      <c r="C27" s="774">
        <v>9</v>
      </c>
      <c r="D27" s="775">
        <v>2021</v>
      </c>
      <c r="E27" s="776">
        <f>(IF('Daily HLP'!I29&gt;0,'Daily HLP'!I29,0))</f>
        <v>22500</v>
      </c>
      <c r="F27" s="777">
        <v>9</v>
      </c>
      <c r="G27" s="777">
        <f>(IF('Daily HLP'!M29&gt;0,'Daily HLP'!M29,0))</f>
        <v>863</v>
      </c>
      <c r="H27" s="777">
        <v>52</v>
      </c>
      <c r="I27" s="777">
        <f>(IF('Daily HLP'!P29&gt;0,'Daily HLP'!P29,0))</f>
        <v>226</v>
      </c>
      <c r="J27" s="777">
        <v>118</v>
      </c>
      <c r="K27" s="851">
        <f>Occupancy!G27</f>
        <v>0</v>
      </c>
      <c r="L27" s="776">
        <f>Occupancy!F27</f>
        <v>0</v>
      </c>
      <c r="M27" s="778" t="e">
        <f>E27*F27+G27*H27+#REF!*#REF!+I27*J27</f>
        <v>#REF!</v>
      </c>
    </row>
    <row r="28" spans="1:13">
      <c r="A28" s="773" t="s">
        <v>289</v>
      </c>
      <c r="B28" s="774">
        <f t="shared" si="0"/>
        <v>27</v>
      </c>
      <c r="C28" s="774">
        <v>9</v>
      </c>
      <c r="D28" s="775">
        <v>2021</v>
      </c>
      <c r="E28" s="776">
        <f>(IF('Daily HLP'!I30&gt;0,'Daily HLP'!I30,0))</f>
        <v>22500</v>
      </c>
      <c r="F28" s="777">
        <v>9</v>
      </c>
      <c r="G28" s="777">
        <f>(IF('Daily HLP'!M30&gt;0,'Daily HLP'!M30,0))</f>
        <v>845</v>
      </c>
      <c r="H28" s="777">
        <v>52</v>
      </c>
      <c r="I28" s="777">
        <f>(IF('Daily HLP'!P30&gt;0,'Daily HLP'!P30,0))</f>
        <v>260</v>
      </c>
      <c r="J28" s="777">
        <v>118</v>
      </c>
      <c r="K28" s="851">
        <f>Occupancy!G28</f>
        <v>0</v>
      </c>
      <c r="L28" s="776">
        <f>Occupancy!F28</f>
        <v>0</v>
      </c>
      <c r="M28" s="778" t="e">
        <f>E28*F28+G28*H28+#REF!*#REF!+I28*J28</f>
        <v>#REF!</v>
      </c>
    </row>
    <row r="29" spans="1:13">
      <c r="A29" s="773" t="s">
        <v>289</v>
      </c>
      <c r="B29" s="774">
        <f t="shared" si="0"/>
        <v>28</v>
      </c>
      <c r="C29" s="774">
        <v>9</v>
      </c>
      <c r="D29" s="775">
        <v>2021</v>
      </c>
      <c r="E29" s="776">
        <f>(IF('Daily HLP'!I31&gt;0,'Daily HLP'!I31,0))</f>
        <v>22500</v>
      </c>
      <c r="F29" s="777">
        <v>9</v>
      </c>
      <c r="G29" s="777">
        <f>(IF('Daily HLP'!M31&gt;0,'Daily HLP'!M31,0))</f>
        <v>964</v>
      </c>
      <c r="H29" s="777">
        <v>52</v>
      </c>
      <c r="I29" s="777">
        <f>(IF('Daily HLP'!P31&gt;0,'Daily HLP'!P31,0))</f>
        <v>260</v>
      </c>
      <c r="J29" s="777">
        <v>118</v>
      </c>
      <c r="K29" s="851">
        <f>Occupancy!G29</f>
        <v>0</v>
      </c>
      <c r="L29" s="776">
        <f>Occupancy!F29</f>
        <v>0</v>
      </c>
      <c r="M29" s="778" t="e">
        <f>E29*F29+G29*H29+#REF!*#REF!+I29*J29</f>
        <v>#REF!</v>
      </c>
    </row>
    <row r="30" spans="1:13">
      <c r="A30" s="773" t="s">
        <v>289</v>
      </c>
      <c r="B30" s="774">
        <f t="shared" si="0"/>
        <v>29</v>
      </c>
      <c r="C30" s="774">
        <v>9</v>
      </c>
      <c r="D30" s="775">
        <v>2021</v>
      </c>
      <c r="E30" s="776">
        <f>(IF('Daily HLP'!I32&gt;0,'Daily HLP'!I32,0))</f>
        <v>22500</v>
      </c>
      <c r="F30" s="777">
        <v>9</v>
      </c>
      <c r="G30" s="777">
        <f>(IF('Daily HLP'!M32&gt;0,'Daily HLP'!M32,0))</f>
        <v>834</v>
      </c>
      <c r="H30" s="777">
        <v>52</v>
      </c>
      <c r="I30" s="777">
        <f>(IF('Daily HLP'!P32&gt;0,'Daily HLP'!P32,0))</f>
        <v>242</v>
      </c>
      <c r="J30" s="777">
        <v>118</v>
      </c>
      <c r="K30" s="851">
        <f>Occupancy!G30</f>
        <v>0</v>
      </c>
      <c r="L30" s="776">
        <f>Occupancy!F30</f>
        <v>0</v>
      </c>
      <c r="M30" s="778" t="e">
        <f>E30*F30+G30*H30+#REF!*#REF!+I30*J30</f>
        <v>#REF!</v>
      </c>
    </row>
    <row r="31" spans="1:13">
      <c r="A31" s="773" t="s">
        <v>289</v>
      </c>
      <c r="B31" s="774">
        <f t="shared" si="0"/>
        <v>30</v>
      </c>
      <c r="C31" s="774">
        <v>9</v>
      </c>
      <c r="D31" s="775">
        <v>2021</v>
      </c>
      <c r="E31" s="776">
        <f>(IF('Daily HLP'!I33&gt;0,'Daily HLP'!I33,0))</f>
        <v>22500</v>
      </c>
      <c r="F31" s="777">
        <v>9</v>
      </c>
      <c r="G31" s="777">
        <f>(IF('Daily HLP'!M33&gt;0,'Daily HLP'!M33,0))</f>
        <v>877</v>
      </c>
      <c r="H31" s="777">
        <v>52</v>
      </c>
      <c r="I31" s="777">
        <f>(IF('Daily HLP'!P33&gt;0,'Daily HLP'!P33,0))</f>
        <v>249</v>
      </c>
      <c r="J31" s="777">
        <v>118</v>
      </c>
      <c r="K31" s="851">
        <f>Occupancy!G31</f>
        <v>0</v>
      </c>
      <c r="L31" s="776">
        <f>Occupancy!F31</f>
        <v>0</v>
      </c>
      <c r="M31" s="778" t="e">
        <f>E31*F31+G31*H31+#REF!*#REF!+I31*J31</f>
        <v>#REF!</v>
      </c>
    </row>
    <row r="32" spans="1:13" s="776" customFormat="1">
      <c r="A32" s="773" t="s">
        <v>289</v>
      </c>
      <c r="B32" s="774">
        <f t="shared" si="0"/>
        <v>31</v>
      </c>
      <c r="C32" s="774">
        <v>9</v>
      </c>
      <c r="D32" s="775">
        <v>2021</v>
      </c>
      <c r="E32" s="776">
        <f>(IF('Daily HLP'!I34&gt;0,'Daily HLP'!I34,0))</f>
        <v>22500</v>
      </c>
      <c r="F32" s="777">
        <v>9</v>
      </c>
      <c r="G32" s="777">
        <f>(IF('Daily HLP'!M34&gt;0,'Daily HLP'!M34,0))</f>
        <v>749</v>
      </c>
      <c r="H32" s="777">
        <v>52</v>
      </c>
      <c r="I32" s="777">
        <f>(IF('Daily HLP'!P34&gt;0,'Daily HLP'!P34,0))</f>
        <v>202</v>
      </c>
      <c r="J32" s="777">
        <v>118</v>
      </c>
      <c r="K32" s="851">
        <f>Occupancy!G32</f>
        <v>0</v>
      </c>
      <c r="L32" s="776">
        <f>Occupancy!F32</f>
        <v>0</v>
      </c>
      <c r="M32" s="779"/>
    </row>
    <row r="33" spans="1:13" s="776" customFormat="1">
      <c r="A33" s="780"/>
      <c r="B33" s="774"/>
      <c r="C33" s="774"/>
      <c r="D33" s="775"/>
      <c r="F33" s="777"/>
      <c r="G33" s="777"/>
      <c r="H33" s="777"/>
      <c r="I33" s="777"/>
      <c r="J33" s="777"/>
      <c r="M33" s="779"/>
    </row>
    <row r="34" spans="1:13" s="776" customFormat="1">
      <c r="A34" s="780"/>
      <c r="B34" s="774"/>
      <c r="C34" s="774"/>
      <c r="D34" s="775"/>
      <c r="F34" s="777"/>
      <c r="G34" s="777"/>
      <c r="H34" s="777"/>
      <c r="I34" s="777"/>
      <c r="J34" s="777"/>
      <c r="M34" s="779"/>
    </row>
    <row r="35" spans="1:13" s="776" customFormat="1">
      <c r="A35" s="780"/>
      <c r="B35" s="774"/>
      <c r="C35" s="774"/>
      <c r="D35" s="775"/>
      <c r="F35" s="777"/>
      <c r="G35" s="777"/>
      <c r="H35" s="777"/>
      <c r="I35" s="777"/>
      <c r="J35" s="777"/>
      <c r="M35" s="779"/>
    </row>
    <row r="36" spans="1:13" s="776" customFormat="1">
      <c r="A36" s="780"/>
      <c r="B36" s="774"/>
      <c r="C36" s="774"/>
      <c r="D36" s="775"/>
      <c r="F36" s="777"/>
      <c r="G36" s="777"/>
      <c r="H36" s="777"/>
      <c r="I36" s="777"/>
      <c r="J36" s="777"/>
      <c r="M36" s="779"/>
    </row>
    <row r="37" spans="1:13" s="776" customFormat="1">
      <c r="A37" s="780"/>
      <c r="B37" s="774"/>
      <c r="C37" s="774"/>
      <c r="D37" s="775"/>
      <c r="F37" s="777"/>
      <c r="G37" s="777"/>
      <c r="H37" s="777"/>
      <c r="I37" s="777"/>
      <c r="J37" s="777"/>
      <c r="M37" s="779"/>
    </row>
    <row r="38" spans="1:13" s="776" customFormat="1">
      <c r="A38" s="780"/>
      <c r="B38" s="774"/>
      <c r="C38" s="774"/>
      <c r="D38" s="775"/>
      <c r="F38" s="777"/>
      <c r="G38" s="777"/>
      <c r="H38" s="777"/>
      <c r="I38" s="777"/>
      <c r="J38" s="777"/>
      <c r="M38" s="779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5"/>
  <sheetViews>
    <sheetView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892" customWidth="1"/>
    <col min="2" max="3" width="9" style="896" customWidth="1"/>
    <col min="4" max="4" width="10.44140625" style="896" customWidth="1"/>
    <col min="5" max="29" width="9.77734375" style="908" customWidth="1"/>
    <col min="30" max="30" width="9" style="908"/>
    <col min="31" max="31" width="9" style="909"/>
    <col min="32" max="32" width="9" style="908"/>
    <col min="33" max="39" width="9" style="910"/>
    <col min="40" max="40" width="9" style="982"/>
    <col min="41" max="49" width="9" style="910"/>
    <col min="50" max="58" width="9" style="982"/>
    <col min="59" max="65" width="9" style="910"/>
    <col min="66" max="16384" width="9" style="895"/>
  </cols>
  <sheetData>
    <row r="1" spans="1:65" s="892" customFormat="1" ht="60" customHeight="1">
      <c r="A1" s="890" t="s">
        <v>278</v>
      </c>
      <c r="B1" s="891" t="s">
        <v>279</v>
      </c>
      <c r="C1" s="891" t="s">
        <v>280</v>
      </c>
      <c r="D1" s="891" t="s">
        <v>281</v>
      </c>
      <c r="E1" s="902" t="str">
        <f>'Section Load'!F4</f>
        <v>HVAC</v>
      </c>
      <c r="F1" s="902" t="str">
        <f>'Section Load'!G4</f>
        <v>Fire &amp; Emergency PP</v>
      </c>
      <c r="G1" s="902" t="str">
        <f>'Section Load'!H4</f>
        <v>Main PP</v>
      </c>
      <c r="H1" s="902" t="str">
        <f>'Section Load'!I4</f>
        <v>Lighting PP</v>
      </c>
      <c r="I1" s="902" t="str">
        <f>'Section Load'!J4</f>
        <v>CH-1+ CH2+CH3+CH4</v>
      </c>
      <c r="J1" s="902" t="str">
        <f>'Section Load'!K4</f>
        <v>Chilled water Pump</v>
      </c>
      <c r="K1" s="902" t="str">
        <f>'Section Load'!L4</f>
        <v>Ball Room-1</v>
      </c>
      <c r="L1" s="902" t="str">
        <f>'Section Load'!M4</f>
        <v>Ball Room-2</v>
      </c>
      <c r="M1" s="902" t="str">
        <f>'Section Load'!N4</f>
        <v>MK-1</v>
      </c>
      <c r="N1" s="902" t="str">
        <f>'Section Load'!O4</f>
        <v>MK-2</v>
      </c>
      <c r="O1" s="902" t="str">
        <f>'Section Load'!P4</f>
        <v>Prato</v>
      </c>
      <c r="P1" s="902" t="str">
        <f>'Section Load'!Q4</f>
        <v>San- Qi Indian</v>
      </c>
      <c r="Q1" s="902" t="str">
        <f>'Section Load'!R4</f>
        <v>San- Qi Japanese</v>
      </c>
      <c r="R1" s="902" t="str">
        <f>'Section Load'!S4</f>
        <v>The club</v>
      </c>
      <c r="S1" s="902" t="str">
        <f>'Section Load'!T4</f>
        <v>AER</v>
      </c>
      <c r="T1" s="902" t="str">
        <f>'Section Load'!U4</f>
        <v>COLD ROOM'S</v>
      </c>
      <c r="U1" s="902" t="str">
        <f>'Section Load'!V4</f>
        <v>Ball Room 1</v>
      </c>
      <c r="V1" s="902" t="str">
        <f>'Section Load'!W4</f>
        <v>Ball Room 2</v>
      </c>
      <c r="W1" s="902" t="str">
        <f>'Section Load'!X4</f>
        <v>B1 Laundry</v>
      </c>
      <c r="X1" s="902" t="str">
        <f>'Section Load'!Y4</f>
        <v>B2 Laundry</v>
      </c>
      <c r="Y1" s="902" t="str">
        <f>'Section Load'!Z4</f>
        <v>STP</v>
      </c>
      <c r="Z1" s="902" t="str">
        <f>'Section Load'!AA4</f>
        <v>MOCK Up Room</v>
      </c>
      <c r="AA1" s="902" t="str">
        <f>'Section Load'!AB4</f>
        <v>27th Floor</v>
      </c>
      <c r="AB1" s="902" t="str">
        <f>'Section Load'!AC4</f>
        <v>Physic57</v>
      </c>
      <c r="AC1" s="902" t="str">
        <f>'Section Load'!AD4</f>
        <v>Pinoor Legal- Power+lighting</v>
      </c>
      <c r="AD1" s="902" t="str">
        <f>'Section Load'!AE4</f>
        <v>2nd floor plant room</v>
      </c>
      <c r="AE1" s="902" t="str">
        <f>'Section Load'!AF4</f>
        <v>5th Floor</v>
      </c>
      <c r="AF1" s="902" t="str">
        <f>'Section Load'!AG4</f>
        <v>5th Floor</v>
      </c>
      <c r="AG1" s="902" t="str">
        <f>'Section Load'!AH4</f>
        <v>12th Floor</v>
      </c>
      <c r="AH1" s="902" t="str">
        <f>'Section Load'!AI4</f>
        <v>20th Floor</v>
      </c>
      <c r="AI1" s="902" t="str">
        <f>'Section Load'!AJ4</f>
        <v>27th Floor</v>
      </c>
      <c r="AJ1" s="902" t="str">
        <f>'Section Load'!AK4</f>
        <v>34th Floor</v>
      </c>
      <c r="AK1" s="902" t="str">
        <f>'Section Load'!AL4</f>
        <v>Sanqi</v>
      </c>
      <c r="AL1" s="902" t="str">
        <f>'Section Load'!AM4</f>
        <v>Cooling Tower</v>
      </c>
      <c r="AM1" s="903" t="s">
        <v>302</v>
      </c>
      <c r="AN1" s="980" t="s">
        <v>206</v>
      </c>
      <c r="AO1" s="903" t="s">
        <v>208</v>
      </c>
      <c r="AP1" s="903" t="s">
        <v>209</v>
      </c>
      <c r="AQ1" s="903" t="s">
        <v>210</v>
      </c>
      <c r="AR1" s="903" t="s">
        <v>211</v>
      </c>
      <c r="AS1" s="903" t="s">
        <v>212</v>
      </c>
      <c r="AT1" s="903" t="s">
        <v>213</v>
      </c>
      <c r="AU1" s="903" t="s">
        <v>218</v>
      </c>
      <c r="AV1" s="903" t="s">
        <v>76</v>
      </c>
      <c r="AW1" s="903" t="s">
        <v>77</v>
      </c>
      <c r="AX1" s="980" t="s">
        <v>219</v>
      </c>
      <c r="AY1" s="980" t="s">
        <v>220</v>
      </c>
      <c r="AZ1" s="980" t="s">
        <v>221</v>
      </c>
      <c r="BA1" s="980" t="s">
        <v>223</v>
      </c>
      <c r="BB1" s="980" t="s">
        <v>224</v>
      </c>
      <c r="BC1" s="980" t="s">
        <v>325</v>
      </c>
      <c r="BD1" s="980" t="s">
        <v>323</v>
      </c>
      <c r="BE1" s="980" t="s">
        <v>303</v>
      </c>
      <c r="BF1" s="980" t="s">
        <v>304</v>
      </c>
      <c r="BG1" s="904" t="str">
        <f>'Section Load'!AN4</f>
        <v>MGL</v>
      </c>
      <c r="BH1" s="904" t="str">
        <f>'Section Load'!AO4</f>
        <v>HWG</v>
      </c>
      <c r="BI1" s="904" t="str">
        <f>'Section Load'!AP4</f>
        <v>Prato</v>
      </c>
      <c r="BJ1" s="904" t="str">
        <f>'Section Load'!AQ4</f>
        <v>BR-1</v>
      </c>
      <c r="BK1" s="904" t="str">
        <f>'Section Load'!AR4</f>
        <v>SanQi IND</v>
      </c>
      <c r="BL1" s="904" t="str">
        <f>'Section Load'!AS4</f>
        <v>SanQi JPN</v>
      </c>
      <c r="BM1" s="904" t="str">
        <f>'Section Load'!AT4</f>
        <v>Boiler</v>
      </c>
    </row>
    <row r="2" spans="1:65" ht="15" customHeight="1">
      <c r="A2" s="893" t="s">
        <v>289</v>
      </c>
      <c r="B2" s="894">
        <v>1</v>
      </c>
      <c r="C2" s="894">
        <v>9</v>
      </c>
      <c r="D2" s="894">
        <v>2021</v>
      </c>
      <c r="E2" s="905">
        <f>(IF('Section Load'!F5&gt;0,'Section Load'!F5,0))</f>
        <v>3258.13</v>
      </c>
      <c r="F2" s="905">
        <f>(IF('Section Load'!G5&gt;0,'Section Load'!G5,0))</f>
        <v>1523.0299999999997</v>
      </c>
      <c r="G2" s="905">
        <f>(IF('Section Load'!H5&gt;0,'Section Load'!H5,0))</f>
        <v>1668.3000000000002</v>
      </c>
      <c r="H2" s="905">
        <f>(IF('Section Load'!I5&gt;0,'Section Load'!I5,0))</f>
        <v>3713.96</v>
      </c>
      <c r="I2" s="905">
        <f>(IF('Section Load'!J5&gt;0,'Section Load'!J5,0))</f>
        <v>7992</v>
      </c>
      <c r="J2" s="905">
        <f>(IF('Section Load'!K5&gt;0,'Section Load'!K5,0))</f>
        <v>2885</v>
      </c>
      <c r="K2" s="905">
        <f>(IF('Section Load'!L5&gt;0,'Section Load'!L5,0))</f>
        <v>1444</v>
      </c>
      <c r="L2" s="905">
        <f>(IF('Section Load'!M5&gt;0,'Section Load'!M5,0))</f>
        <v>1101.96</v>
      </c>
      <c r="M2" s="905">
        <f>(IF('Section Load'!N5&gt;0,'Section Load'!N5,0))</f>
        <v>13</v>
      </c>
      <c r="N2" s="905">
        <f>(IF('Section Load'!O5&gt;0,'Section Load'!O5,0))</f>
        <v>1</v>
      </c>
      <c r="O2" s="905">
        <f>(IF('Section Load'!P5&gt;0,'Section Load'!P5,0))</f>
        <v>4.1999999999970896</v>
      </c>
      <c r="P2" s="905">
        <f>(IF('Section Load'!Q5&gt;0,'Section Load'!Q5,0))</f>
        <v>204.29999999999927</v>
      </c>
      <c r="Q2" s="905">
        <f>(IF('Section Load'!R5&gt;0,'Section Load'!R5,0))</f>
        <v>75.700000000000728</v>
      </c>
      <c r="R2" s="905">
        <f>(IF('Section Load'!S5&gt;0,'Section Load'!S5,0))</f>
        <v>47</v>
      </c>
      <c r="S2" s="905">
        <f>(IF('Section Load'!T5&gt;0,'Section Load'!T5,0))</f>
        <v>18</v>
      </c>
      <c r="T2" s="905">
        <f>(IF('Section Load'!U5&gt;0,'Section Load'!U5,0))</f>
        <v>166</v>
      </c>
      <c r="U2" s="905">
        <f>(IF('Section Load'!V5&gt;0,'Section Load'!V5,0))</f>
        <v>383.56000000005588</v>
      </c>
      <c r="V2" s="905">
        <f>(IF('Section Load'!W5&gt;0,'Section Load'!W5,0))</f>
        <v>174.80000000004657</v>
      </c>
      <c r="W2" s="905">
        <f>(IF('Section Load'!X5&gt;0,'Section Load'!X5,0))</f>
        <v>30</v>
      </c>
      <c r="X2" s="905">
        <f>(IF('Section Load'!Y5&gt;0,'Section Load'!Y5,0))</f>
        <v>215.69999999999709</v>
      </c>
      <c r="Y2" s="905">
        <f>(IF('Section Load'!Z5&gt;0,'Section Load'!Z5,0))</f>
        <v>311</v>
      </c>
      <c r="Z2" s="905">
        <f>(IF('Section Load'!AA5&gt;0,'Section Load'!AA5,0))</f>
        <v>26.200000000011642</v>
      </c>
      <c r="AA2" s="905">
        <f>(IF('Section Load'!AB5&gt;0,'Section Load'!AB5,0))</f>
        <v>28</v>
      </c>
      <c r="AB2" s="905">
        <f>(IF('Section Load'!AC5&gt;0,'Section Load'!AC5,0))</f>
        <v>0</v>
      </c>
      <c r="AC2" s="905">
        <f>(IF('Section Load'!AD5&gt;0,'Section Load'!AD5,0))</f>
        <v>78.400000000000091</v>
      </c>
      <c r="AD2" s="905">
        <f>(IF('Section Load'!AE5&gt;0,'Section Load'!AE5,0))</f>
        <v>0</v>
      </c>
      <c r="AE2" s="905">
        <f>(IF('Section Load'!AF5&gt;0,'Section Load'!AF5,0))</f>
        <v>0</v>
      </c>
      <c r="AF2" s="905">
        <f>(IF('Section Load'!AG5&gt;0,'Section Load'!AG5,0))</f>
        <v>452</v>
      </c>
      <c r="AG2" s="905">
        <f>(IF('Section Load'!AH5&gt;0,'Section Load'!AH5,0))</f>
        <v>39</v>
      </c>
      <c r="AH2" s="905">
        <f>(IF('Section Load'!AI5&gt;0,'Section Load'!AI5,0))</f>
        <v>445.89999999999418</v>
      </c>
      <c r="AI2" s="905">
        <f>(IF('Section Load'!AJ5&gt;0,'Section Load'!AJ5,0))</f>
        <v>447</v>
      </c>
      <c r="AJ2" s="905">
        <f>(IF('Section Load'!AK5&gt;0,'Section Load'!AK5,0))</f>
        <v>0</v>
      </c>
      <c r="AK2" s="905">
        <f>(IF('Section Load'!AL5&gt;0,'Section Load'!AL5,0))</f>
        <v>294</v>
      </c>
      <c r="AL2" s="905">
        <f>(IF('Section Load'!AM5&gt;0,'Section Load'!AM5,0))</f>
        <v>740</v>
      </c>
      <c r="AM2" s="906">
        <f>(IF('Water Report'!$D$7&gt;0,'Water Report'!$D$7,0))</f>
        <v>62</v>
      </c>
      <c r="AN2" s="906">
        <f>(IF('Water Report'!$D$8&gt;0,'Water Report'!$D$8,0))</f>
        <v>163</v>
      </c>
      <c r="AO2" s="906">
        <f>(IF('Water Report'!$D$9&gt;0,'Water Report'!$D$9,0))</f>
        <v>66</v>
      </c>
      <c r="AP2" s="906">
        <f>(IF('Water Report'!$D$10&gt;0,'Water Report'!$D$10,0))</f>
        <v>18</v>
      </c>
      <c r="AQ2" s="906">
        <f>(IF('Water Report'!$D$11&gt;0,'Water Report'!$D$11,0))</f>
        <v>24</v>
      </c>
      <c r="AR2" s="906">
        <f>(IF('Water Report'!$D$13&gt;0,'Water Report'!$D$13,0))</f>
        <v>11</v>
      </c>
      <c r="AS2" s="906">
        <f>(IF('Water Report'!$D$14&gt;0,'Water Report'!$D$14,0))</f>
        <v>13</v>
      </c>
      <c r="AT2" s="906">
        <f>(IF('Water Report'!$D$15&gt;0,'Water Report'!$D$15,0))</f>
        <v>7</v>
      </c>
      <c r="AU2" s="906">
        <f>(IF('Water Report'!$D$17&gt;0,'Water Report'!$D$17,0))</f>
        <v>0</v>
      </c>
      <c r="AV2" s="906">
        <f>(IF('Water Report'!$D$18&gt;0,'Water Report'!$D$18,0))</f>
        <v>7</v>
      </c>
      <c r="AW2" s="906">
        <f>(IF('Water Report'!$D$19&gt;0,'Water Report'!$D$19,0))</f>
        <v>10</v>
      </c>
      <c r="AX2" s="981">
        <f>(IF('Water Report'!$D$21&gt;0,'Water Report'!$D$21,0))</f>
        <v>93</v>
      </c>
      <c r="AY2" s="981">
        <f>(IF('Water Report'!$D$22&gt;0,'Water Report'!$D$22,0))</f>
        <v>0</v>
      </c>
      <c r="AZ2" s="981">
        <f>(IF('Water Report'!$D$23&gt;0,'Water Report'!$D$23,0))</f>
        <v>0</v>
      </c>
      <c r="BA2" s="981">
        <f>(IF('Water Report'!$D$14&gt;0,'Water Report'!$D$14,0))</f>
        <v>13</v>
      </c>
      <c r="BB2" s="981">
        <f>(IF('Water Report'!$D$15&gt;0,'Water Report'!$D$15,0))</f>
        <v>7</v>
      </c>
      <c r="BC2" s="981">
        <f>(IF('Water Report'!$D$13&gt;0,'Water Report'!$D$13,0))</f>
        <v>11</v>
      </c>
      <c r="BD2" s="981">
        <f>(IF('Water Report'!$D$24&gt;0,'Water Report'!$D$24,0))</f>
        <v>146</v>
      </c>
      <c r="BE2" s="981">
        <f>(IF('Water Report'!$D$25&gt;0,'Water Report'!$D$25,0))</f>
        <v>128</v>
      </c>
      <c r="BF2" s="981">
        <f>(IF('Water Report'!$D$27&gt;0,'Water Report'!$D$27,0))</f>
        <v>104</v>
      </c>
      <c r="BG2" s="907">
        <f>(IF('Section Load'!AN5&gt;0,'Section Load'!AN5,0))</f>
        <v>945.48999999999069</v>
      </c>
      <c r="BH2" s="907">
        <f>(IF('Section Load'!AO5&gt;0,'Section Load'!AO5,0))</f>
        <v>265</v>
      </c>
      <c r="BI2" s="907">
        <f>(IF('Section Load'!AP5&gt;0,'Section Load'!AP5,0))</f>
        <v>0</v>
      </c>
      <c r="BJ2" s="907">
        <f>(IF('Section Load'!AQ5&gt;0,'Section Load'!AQ5,0))</f>
        <v>88.799999999988358</v>
      </c>
      <c r="BK2" s="907">
        <f>(IF('Section Load'!AR5&gt;0,'Section Load'!AR5,0))</f>
        <v>44.099999999998545</v>
      </c>
      <c r="BL2" s="907">
        <f>(IF('Section Load'!AS5&gt;0,'Section Load'!AS5,0))</f>
        <v>1.8999999999996362</v>
      </c>
      <c r="BM2" s="907">
        <f>(IF('Section Load'!AT5&gt;0,'Section Load'!AT5,0))</f>
        <v>545.69000000000415</v>
      </c>
    </row>
    <row r="3" spans="1:65">
      <c r="A3" s="893" t="s">
        <v>289</v>
      </c>
      <c r="B3" s="894">
        <f>B2+1</f>
        <v>2</v>
      </c>
      <c r="C3" s="894">
        <v>9</v>
      </c>
      <c r="D3" s="894">
        <v>2021</v>
      </c>
      <c r="E3" s="905">
        <f>(IF('Section Load'!F6&gt;0,'Section Load'!F6,0))</f>
        <v>3230.1700000000465</v>
      </c>
      <c r="F3" s="905">
        <f>(IF('Section Load'!G6&gt;0,'Section Load'!G6,0))</f>
        <v>1548.17</v>
      </c>
      <c r="G3" s="905">
        <f>(IF('Section Load'!H6&gt;0,'Section Load'!H6,0))</f>
        <v>1746.0700000000006</v>
      </c>
      <c r="H3" s="905">
        <f>(IF('Section Load'!I6&gt;0,'Section Load'!I6,0))</f>
        <v>3969.5199999999995</v>
      </c>
      <c r="I3" s="905">
        <f>(IF('Section Load'!J6&gt;0,'Section Load'!J6,0))</f>
        <v>6815.1400000000431</v>
      </c>
      <c r="J3" s="905">
        <f>(IF('Section Load'!K6&gt;0,'Section Load'!K6,0))</f>
        <v>2704.8999999999069</v>
      </c>
      <c r="K3" s="905">
        <f>(IF('Section Load'!L6&gt;0,'Section Load'!L6,0))</f>
        <v>1424.7900000000373</v>
      </c>
      <c r="L3" s="905">
        <f>(IF('Section Load'!M6&gt;0,'Section Load'!M6,0))</f>
        <v>966.11999999999989</v>
      </c>
      <c r="M3" s="905">
        <f>(IF('Section Load'!N6&gt;0,'Section Load'!N6,0))</f>
        <v>7</v>
      </c>
      <c r="N3" s="905">
        <f>(IF('Section Load'!O6&gt;0,'Section Load'!O6,0))</f>
        <v>0</v>
      </c>
      <c r="O3" s="905">
        <f>(IF('Section Load'!P6&gt;0,'Section Load'!P6,0))</f>
        <v>4.3000000000029104</v>
      </c>
      <c r="P3" s="905">
        <f>(IF('Section Load'!Q6&gt;0,'Section Load'!Q6,0))</f>
        <v>172</v>
      </c>
      <c r="Q3" s="905">
        <f>(IF('Section Load'!R6&gt;0,'Section Load'!R6,0))</f>
        <v>67.079999999999927</v>
      </c>
      <c r="R3" s="905">
        <f>(IF('Section Load'!S6&gt;0,'Section Load'!S6,0))</f>
        <v>57</v>
      </c>
      <c r="S3" s="905">
        <f>(IF('Section Load'!T6&gt;0,'Section Load'!T6,0))</f>
        <v>17</v>
      </c>
      <c r="T3" s="905">
        <f>(IF('Section Load'!U6&gt;0,'Section Load'!U6,0))</f>
        <v>172</v>
      </c>
      <c r="U3" s="905">
        <f>(IF('Section Load'!V6&gt;0,'Section Load'!V6,0))</f>
        <v>398.07999999995809</v>
      </c>
      <c r="V3" s="905">
        <f>(IF('Section Load'!W6&gt;0,'Section Load'!W6,0))</f>
        <v>112.8399999999674</v>
      </c>
      <c r="W3" s="905">
        <f>(IF('Section Load'!X6&gt;0,'Section Load'!X6,0))</f>
        <v>25.190000000002328</v>
      </c>
      <c r="X3" s="905">
        <f>(IF('Section Load'!Y6&gt;0,'Section Load'!Y6,0))</f>
        <v>204.15000000000873</v>
      </c>
      <c r="Y3" s="905">
        <f>(IF('Section Load'!Z6&gt;0,'Section Load'!Z6,0))</f>
        <v>273</v>
      </c>
      <c r="Z3" s="905">
        <f>(IF('Section Load'!AA6&gt;0,'Section Load'!AA6,0))</f>
        <v>12.64000000001397</v>
      </c>
      <c r="AA3" s="905">
        <f>(IF('Section Load'!AB6&gt;0,'Section Load'!AB6,0))</f>
        <v>41.600000000005821</v>
      </c>
      <c r="AB3" s="905">
        <f>(IF('Section Load'!AC6&gt;0,'Section Load'!AC6,0))</f>
        <v>0</v>
      </c>
      <c r="AC3" s="905">
        <f>(IF('Section Load'!AD6&gt;0,'Section Load'!AD6,0))</f>
        <v>68.200000000003001</v>
      </c>
      <c r="AD3" s="905">
        <f>(IF('Section Load'!AE6&gt;0,'Section Load'!AE6,0))</f>
        <v>0</v>
      </c>
      <c r="AE3" s="905">
        <f>(IF('Section Load'!AF6&gt;0,'Section Load'!AF6,0))</f>
        <v>0</v>
      </c>
      <c r="AF3" s="905">
        <f>(IF('Section Load'!AG6&gt;0,'Section Load'!AG6,0))</f>
        <v>394.48999999999069</v>
      </c>
      <c r="AG3" s="905">
        <f>(IF('Section Load'!AH6&gt;0,'Section Load'!AH6,0))</f>
        <v>767.35000000000582</v>
      </c>
      <c r="AH3" s="905">
        <f>(IF('Section Load'!AI6&gt;0,'Section Load'!AI6,0))</f>
        <v>406.81000000001222</v>
      </c>
      <c r="AI3" s="905">
        <f>(IF('Section Load'!AJ6&gt;0,'Section Load'!AJ6,0))</f>
        <v>397.22999999998137</v>
      </c>
      <c r="AJ3" s="905">
        <f>(IF('Section Load'!AK6&gt;0,'Section Load'!AK6,0))</f>
        <v>0</v>
      </c>
      <c r="AK3" s="905">
        <f>(IF('Section Load'!AL6&gt;0,'Section Load'!AL6,0))</f>
        <v>291.94000000000233</v>
      </c>
      <c r="AL3" s="905">
        <f>(IF('Section Load'!AM6&gt;0,'Section Load'!AM6,0))</f>
        <v>634</v>
      </c>
      <c r="AM3" s="906">
        <f>(IF('Water Report'!$E$7&gt;0,'Water Report'!$E$7,0))</f>
        <v>91</v>
      </c>
      <c r="AN3" s="906">
        <f>(IF('Water Report'!$E$8&gt;0,'Water Report'!$E$8,0))</f>
        <v>144</v>
      </c>
      <c r="AO3" s="906">
        <f>(IF('Water Report'!$E$9&gt;0,'Water Report'!$E$9,0))</f>
        <v>84</v>
      </c>
      <c r="AP3" s="906">
        <f>(IF('Water Report'!$E$10&gt;0,'Water Report'!$E$10,0))</f>
        <v>21</v>
      </c>
      <c r="AQ3" s="906">
        <f>(IF('Water Report'!$E$11&gt;0,'Water Report'!$E$11,0))</f>
        <v>37</v>
      </c>
      <c r="AR3" s="906">
        <f>(IF('Water Report'!$E$13&gt;0,'Water Report'!$E$13,0))</f>
        <v>29</v>
      </c>
      <c r="AS3" s="906">
        <f>(IF('Water Report'!$E$14&gt;0,'Water Report'!$E$14,0))</f>
        <v>11</v>
      </c>
      <c r="AT3" s="906">
        <f>(IF('Water Report'!$E$15&gt;0,'Water Report'!$E$15,0))</f>
        <v>13</v>
      </c>
      <c r="AU3" s="906">
        <f>(IF('Water Report'!$E$17&gt;0,'Water Report'!$E$17,0))</f>
        <v>0</v>
      </c>
      <c r="AV3" s="906">
        <f>(IF('Water Report'!$E$18&gt;0,'Water Report'!$E$18,0))</f>
        <v>9</v>
      </c>
      <c r="AW3" s="906">
        <f>(IF('Water Report'!$E$19&gt;0,'Water Report'!$E$19,0))</f>
        <v>9</v>
      </c>
      <c r="AX3" s="981">
        <f>(IF('Water Report'!$E$21&gt;0,'Water Report'!$E$21,0))</f>
        <v>79</v>
      </c>
      <c r="AY3" s="981">
        <f>(IF('Water Report'!$E$22&gt;0,'Water Report'!$E$22,0))</f>
        <v>0</v>
      </c>
      <c r="AZ3" s="981">
        <f>(IF('Water Report'!$E$23&gt;0,'Water Report'!$E$23,0))</f>
        <v>0</v>
      </c>
      <c r="BA3" s="981">
        <f>(IF('Water Report'!$E$14&gt;0,'Water Report'!$E$14,0))</f>
        <v>11</v>
      </c>
      <c r="BB3" s="981">
        <f>(IF('Water Report'!$E$15&gt;0,'Water Report'!$E$15,0))</f>
        <v>13</v>
      </c>
      <c r="BC3" s="981">
        <f>(IF('Water Report'!$E$13&gt;0,'Water Report'!$E$13,0))</f>
        <v>29</v>
      </c>
      <c r="BD3" s="981">
        <f>(IF('Water Report'!$E$24&gt;0,'Water Report'!$E$24,0))</f>
        <v>183</v>
      </c>
      <c r="BE3" s="981">
        <f>(IF('Water Report'!$E$25&gt;0,'Water Report'!$E$25,0))</f>
        <v>166</v>
      </c>
      <c r="BF3" s="981">
        <f>(IF('Water Report'!$E$27&gt;0,'Water Report'!$E$27,0))</f>
        <v>108</v>
      </c>
      <c r="BG3" s="907">
        <f>(IF('Section Load'!AN6&gt;0,'Section Load'!AN6,0))</f>
        <v>861.03000000002794</v>
      </c>
      <c r="BH3" s="907">
        <f>(IF('Section Load'!AO6&gt;0,'Section Load'!AO6,0))</f>
        <v>213.1600000000326</v>
      </c>
      <c r="BI3" s="907">
        <f>(IF('Section Load'!AP6&gt;0,'Section Load'!AP6,0))</f>
        <v>0</v>
      </c>
      <c r="BJ3" s="907">
        <f>(IF('Section Load'!AQ6&gt;0,'Section Load'!AQ6,0))</f>
        <v>85.39000000001397</v>
      </c>
      <c r="BK3" s="907">
        <f>(IF('Section Load'!AR6&gt;0,'Section Load'!AR6,0))</f>
        <v>47.200000000004366</v>
      </c>
      <c r="BL3" s="907">
        <f>(IF('Section Load'!AS6&gt;0,'Section Load'!AS6,0))</f>
        <v>1.3000000000010914</v>
      </c>
      <c r="BM3" s="907">
        <f>(IF('Section Load'!AT6&gt;0,'Section Load'!AT6,0))</f>
        <v>513.97999999997592</v>
      </c>
    </row>
    <row r="4" spans="1:65">
      <c r="A4" s="893" t="s">
        <v>289</v>
      </c>
      <c r="B4" s="894">
        <f t="shared" ref="B4:B32" si="0">B3+1</f>
        <v>3</v>
      </c>
      <c r="C4" s="894">
        <v>9</v>
      </c>
      <c r="D4" s="894">
        <v>2021</v>
      </c>
      <c r="E4" s="905">
        <f>(IF('Section Load'!F7&gt;0,'Section Load'!F7,0))</f>
        <v>2702.4799999999996</v>
      </c>
      <c r="F4" s="905">
        <f>(IF('Section Load'!G7&gt;0,'Section Load'!G7,0))</f>
        <v>1487.2799999999997</v>
      </c>
      <c r="G4" s="905">
        <f>(IF('Section Load'!H7&gt;0,'Section Load'!H7,0))</f>
        <v>1807.5</v>
      </c>
      <c r="H4" s="905">
        <f>(IF('Section Load'!I7&gt;0,'Section Load'!I7,0))</f>
        <v>3782.84</v>
      </c>
      <c r="I4" s="905">
        <f>(IF('Section Load'!J7&gt;0,'Section Load'!J7,0))</f>
        <v>6081.9799999999232</v>
      </c>
      <c r="J4" s="905">
        <f>(IF('Section Load'!K7&gt;0,'Section Load'!K7,0))</f>
        <v>2608.6000000000931</v>
      </c>
      <c r="K4" s="905">
        <f>(IF('Section Load'!L7&gt;0,'Section Load'!L7,0))</f>
        <v>1619.7199999999721</v>
      </c>
      <c r="L4" s="905">
        <f>(IF('Section Load'!M7&gt;0,'Section Load'!M7,0))</f>
        <v>664.27000000000044</v>
      </c>
      <c r="M4" s="905">
        <f>(IF('Section Load'!N7&gt;0,'Section Load'!N7,0))</f>
        <v>5</v>
      </c>
      <c r="N4" s="905">
        <f>(IF('Section Load'!O7&gt;0,'Section Load'!O7,0))</f>
        <v>0</v>
      </c>
      <c r="O4" s="905">
        <f>(IF('Section Load'!P7&gt;0,'Section Load'!P7,0))</f>
        <v>4.6999999999970896</v>
      </c>
      <c r="P4" s="905">
        <f>(IF('Section Load'!Q7&gt;0,'Section Load'!Q7,0))</f>
        <v>183.35000000000218</v>
      </c>
      <c r="Q4" s="905">
        <f>(IF('Section Load'!R7&gt;0,'Section Load'!R7,0))</f>
        <v>68.359999999998763</v>
      </c>
      <c r="R4" s="905">
        <f>(IF('Section Load'!S7&gt;0,'Section Load'!S7,0))</f>
        <v>51</v>
      </c>
      <c r="S4" s="905">
        <f>(IF('Section Load'!T7&gt;0,'Section Load'!T7,0))</f>
        <v>5</v>
      </c>
      <c r="T4" s="905">
        <f>(IF('Section Load'!U7&gt;0,'Section Load'!U7,0))</f>
        <v>177</v>
      </c>
      <c r="U4" s="905">
        <f>(IF('Section Load'!V7&gt;0,'Section Load'!V7,0))</f>
        <v>394.1600000000326</v>
      </c>
      <c r="V4" s="905">
        <f>(IF('Section Load'!W7&gt;0,'Section Load'!W7,0))</f>
        <v>106.07999999995809</v>
      </c>
      <c r="W4" s="905">
        <f>(IF('Section Load'!X7&gt;0,'Section Load'!X7,0))</f>
        <v>20.119999999995343</v>
      </c>
      <c r="X4" s="905">
        <f>(IF('Section Load'!Y7&gt;0,'Section Load'!Y7,0))</f>
        <v>196.7899999999936</v>
      </c>
      <c r="Y4" s="905">
        <f>(IF('Section Load'!Z7&gt;0,'Section Load'!Z7,0))</f>
        <v>309</v>
      </c>
      <c r="Z4" s="905">
        <f>(IF('Section Load'!AA7&gt;0,'Section Load'!AA7,0))</f>
        <v>276.67999999999302</v>
      </c>
      <c r="AA4" s="905">
        <f>(IF('Section Load'!AB7&gt;0,'Section Load'!AB7,0))</f>
        <v>28</v>
      </c>
      <c r="AB4" s="905">
        <f>(IF('Section Load'!AC7&gt;0,'Section Load'!AC7,0))</f>
        <v>0</v>
      </c>
      <c r="AC4" s="905">
        <f>(IF('Section Load'!AD7&gt;0,'Section Load'!AD7,0))</f>
        <v>71.099999999993997</v>
      </c>
      <c r="AD4" s="905">
        <f>(IF('Section Load'!AE7&gt;0,'Section Load'!AE7,0))</f>
        <v>0</v>
      </c>
      <c r="AE4" s="905">
        <f>(IF('Section Load'!AF7&gt;0,'Section Load'!AF7,0))</f>
        <v>0</v>
      </c>
      <c r="AF4" s="905">
        <f>(IF('Section Load'!AG7&gt;0,'Section Load'!AG7,0))</f>
        <v>415.04000000000815</v>
      </c>
      <c r="AG4" s="905">
        <f>(IF('Section Load'!AH7&gt;0,'Section Load'!AH7,0))</f>
        <v>377.25999999998021</v>
      </c>
      <c r="AH4" s="905">
        <f>(IF('Section Load'!AI7&gt;0,'Section Load'!AI7,0))</f>
        <v>410.07999999998719</v>
      </c>
      <c r="AI4" s="905">
        <f>(IF('Section Load'!AJ7&gt;0,'Section Load'!AJ7,0))</f>
        <v>423.5</v>
      </c>
      <c r="AJ4" s="905">
        <f>(IF('Section Load'!AK7&gt;0,'Section Load'!AK7,0))</f>
        <v>0</v>
      </c>
      <c r="AK4" s="905">
        <f>(IF('Section Load'!AL7&gt;0,'Section Load'!AL7,0))</f>
        <v>289.11999999999534</v>
      </c>
      <c r="AL4" s="905">
        <f>(IF('Section Load'!AM7&gt;0,'Section Load'!AM7,0))</f>
        <v>597</v>
      </c>
      <c r="AM4" s="906">
        <f>(IF('Water Report'!$F$7&gt;0,'Water Report'!$F$7,0))</f>
        <v>102</v>
      </c>
      <c r="AN4" s="906">
        <f>(IF('Water Report'!$F$8&gt;0,'Water Report'!$F$8,0))</f>
        <v>123</v>
      </c>
      <c r="AO4" s="906">
        <f>(IF('Water Report'!$F$9&gt;0,'Water Report'!$G$9,0))</f>
        <v>83</v>
      </c>
      <c r="AP4" s="906">
        <f>(IF('Water Report'!$F$10&gt;0,'Water Report'!$F$10,0))</f>
        <v>24</v>
      </c>
      <c r="AQ4" s="906">
        <f>(IF('Water Report'!$F$11&gt;0,'Water Report'!$F$11,0))</f>
        <v>30</v>
      </c>
      <c r="AR4" s="906">
        <f>(IF('Water Report'!$F$13&gt;0,'Water Report'!$F$13,0))</f>
        <v>29</v>
      </c>
      <c r="AS4" s="906">
        <f>(IF('Water Report'!$F$14&gt;0,'Water Report'!$F$14,0))</f>
        <v>13</v>
      </c>
      <c r="AT4" s="906">
        <f>(IF('Water Report'!$F$15&gt;0,'Water Report'!$F$15,0))</f>
        <v>0</v>
      </c>
      <c r="AU4" s="906">
        <f>(IF('Water Report'!$F$17&gt;0,'Water Report'!$F$17,0))</f>
        <v>0</v>
      </c>
      <c r="AV4" s="906">
        <f>(IF('Water Report'!$F$18&gt;0,'Water Report'!$F$18,0))</f>
        <v>8</v>
      </c>
      <c r="AW4" s="906">
        <f>(IF('Water Report'!$F$19&gt;0,'Water Report'!$F$19,0))</f>
        <v>8</v>
      </c>
      <c r="AX4" s="981">
        <f>(IF('Water Report'!$F$21&gt;0,'Water Report'!$F$21,0))</f>
        <v>50</v>
      </c>
      <c r="AY4" s="981">
        <f>(IF('Water Report'!$F$22&gt;0,'Water Report'!$F$22,0))</f>
        <v>0</v>
      </c>
      <c r="AZ4" s="981">
        <f>(IF('Water Report'!$F$23&gt;0,'Water Report'!$F$23,0))</f>
        <v>5</v>
      </c>
      <c r="BA4" s="981">
        <f>(IF('Water Report'!$F$14&gt;0,'Water Report'!$F$14,0))</f>
        <v>13</v>
      </c>
      <c r="BB4" s="981">
        <f>(IF('Water Report'!$F$15&gt;0,'Water Report'!$F$15,0))</f>
        <v>0</v>
      </c>
      <c r="BC4" s="981">
        <f>(IF('Water Report'!$F$13&gt;0,'Water Report'!$F$13,0))</f>
        <v>29</v>
      </c>
      <c r="BD4" s="981">
        <f>(IF('Water Report'!$F$24&gt;0,'Water Report'!$F$24,0))</f>
        <v>241</v>
      </c>
      <c r="BE4" s="981">
        <f>(IF('Water Report'!$F$25&gt;0,'Water Report'!$F$25,0))</f>
        <v>154</v>
      </c>
      <c r="BF4" s="981">
        <f>(IF('Water Report'!$F$27&gt;0,'Water Report'!$F$27,0))</f>
        <v>84</v>
      </c>
      <c r="BG4" s="907">
        <f>(IF('Section Load'!AN7&gt;0,'Section Load'!AN7,0))</f>
        <v>866.20200000004843</v>
      </c>
      <c r="BH4" s="907">
        <f>(IF('Section Load'!AO7&gt;0,'Section Load'!AO7,0))</f>
        <v>248.06999999994878</v>
      </c>
      <c r="BI4" s="907">
        <f>(IF('Section Load'!AP7&gt;0,'Section Load'!AP7,0))</f>
        <v>0</v>
      </c>
      <c r="BJ4" s="907">
        <f>(IF('Section Load'!AQ7&gt;0,'Section Load'!AQ7,0))</f>
        <v>95.649999999994179</v>
      </c>
      <c r="BK4" s="907">
        <f>(IF('Section Load'!AR7&gt;0,'Section Load'!AR7,0))</f>
        <v>49.5</v>
      </c>
      <c r="BL4" s="907">
        <f>(IF('Section Load'!AS7&gt;0,'Section Load'!AS7,0))</f>
        <v>1.1999999999989086</v>
      </c>
      <c r="BM4" s="907">
        <f>(IF('Section Load'!AT7&gt;0,'Section Load'!AT7,0))</f>
        <v>471.78200000010656</v>
      </c>
    </row>
    <row r="5" spans="1:65">
      <c r="A5" s="893" t="s">
        <v>289</v>
      </c>
      <c r="B5" s="894">
        <f t="shared" si="0"/>
        <v>4</v>
      </c>
      <c r="C5" s="894">
        <v>9</v>
      </c>
      <c r="D5" s="894">
        <v>2021</v>
      </c>
      <c r="E5" s="905">
        <f>(IF('Section Load'!F8&gt;0,'Section Load'!F8,0))</f>
        <v>3147.5500000000011</v>
      </c>
      <c r="F5" s="905">
        <f>(IF('Section Load'!G8&gt;0,'Section Load'!G8,0))</f>
        <v>1491.33</v>
      </c>
      <c r="G5" s="905">
        <f>(IF('Section Load'!H8&gt;0,'Section Load'!H8,0))</f>
        <v>1776.7299999999996</v>
      </c>
      <c r="H5" s="905">
        <f>(IF('Section Load'!I8&gt;0,'Section Load'!I8,0))</f>
        <v>3801.0299999999988</v>
      </c>
      <c r="I5" s="905">
        <f>(IF('Section Load'!J8&gt;0,'Section Load'!J8,0))</f>
        <v>6292.5600000000559</v>
      </c>
      <c r="J5" s="905">
        <f>(IF('Section Load'!K8&gt;0,'Section Load'!K8,0))</f>
        <v>2655.6000000000931</v>
      </c>
      <c r="K5" s="905">
        <f>(IF('Section Load'!L8&gt;0,'Section Load'!L8,0))</f>
        <v>1085.359999999986</v>
      </c>
      <c r="L5" s="905">
        <f>(IF('Section Load'!M8&gt;0,'Section Load'!M8,0))</f>
        <v>634.54</v>
      </c>
      <c r="M5" s="905">
        <f>(IF('Section Load'!N8&gt;0,'Section Load'!N8,0))</f>
        <v>6</v>
      </c>
      <c r="N5" s="905">
        <f>(IF('Section Load'!O8&gt;0,'Section Load'!O8,0))</f>
        <v>1</v>
      </c>
      <c r="O5" s="905">
        <f>(IF('Section Load'!P8&gt;0,'Section Load'!P8,0))</f>
        <v>1.1999999999970896</v>
      </c>
      <c r="P5" s="905">
        <f>(IF('Section Load'!Q8&gt;0,'Section Load'!Q8,0))</f>
        <v>193.34000000000015</v>
      </c>
      <c r="Q5" s="905">
        <f>(IF('Section Load'!R8&gt;0,'Section Load'!R8,0))</f>
        <v>71.440000000000509</v>
      </c>
      <c r="R5" s="905">
        <f>(IF('Section Load'!S8&gt;0,'Section Load'!S8,0))</f>
        <v>51</v>
      </c>
      <c r="S5" s="905">
        <f>(IF('Section Load'!T8&gt;0,'Section Load'!T8,0))</f>
        <v>47</v>
      </c>
      <c r="T5" s="905">
        <f>(IF('Section Load'!U8&gt;0,'Section Load'!U8,0))</f>
        <v>163</v>
      </c>
      <c r="U5" s="905">
        <f>(IF('Section Load'!V8&gt;0,'Section Load'!V8,0))</f>
        <v>411</v>
      </c>
      <c r="V5" s="905">
        <f>(IF('Section Load'!W8&gt;0,'Section Load'!W8,0))</f>
        <v>134.56000000005588</v>
      </c>
      <c r="W5" s="905">
        <f>(IF('Section Load'!X8&gt;0,'Section Load'!X8,0))</f>
        <v>19.19999999999709</v>
      </c>
      <c r="X5" s="905">
        <f>(IF('Section Load'!Y8&gt;0,'Section Load'!Y8,0))</f>
        <v>197.35000000000582</v>
      </c>
      <c r="Y5" s="905">
        <f>(IF('Section Load'!Z8&gt;0,'Section Load'!Z8,0))</f>
        <v>297</v>
      </c>
      <c r="Z5" s="905">
        <f>(IF('Section Load'!AA8&gt;0,'Section Load'!AA8,0))</f>
        <v>39.519999999960419</v>
      </c>
      <c r="AA5" s="905">
        <f>(IF('Section Load'!AB8&gt;0,'Section Load'!AB8,0))</f>
        <v>30.200000000011642</v>
      </c>
      <c r="AB5" s="905">
        <f>(IF('Section Load'!AC8&gt;0,'Section Load'!AC8,0))</f>
        <v>0</v>
      </c>
      <c r="AC5" s="905">
        <f>(IF('Section Load'!AD8&gt;0,'Section Load'!AD8,0))</f>
        <v>50.500000000005912</v>
      </c>
      <c r="AD5" s="905">
        <f>(IF('Section Load'!AE8&gt;0,'Section Load'!AE8,0))</f>
        <v>0</v>
      </c>
      <c r="AE5" s="905">
        <f>(IF('Section Load'!AF8&gt;0,'Section Load'!AF8,0))</f>
        <v>0</v>
      </c>
      <c r="AF5" s="905">
        <f>(IF('Section Load'!AG8&gt;0,'Section Load'!AG8,0))</f>
        <v>385.64000000001397</v>
      </c>
      <c r="AG5" s="905">
        <f>(IF('Section Load'!AH8&gt;0,'Section Load'!AH8,0))</f>
        <v>394.92000000001281</v>
      </c>
      <c r="AH5" s="905">
        <f>(IF('Section Load'!AI8&gt;0,'Section Load'!AI8,0))</f>
        <v>411.04000000000815</v>
      </c>
      <c r="AI5" s="905">
        <f>(IF('Section Load'!AJ8&gt;0,'Section Load'!AJ8,0))</f>
        <v>435.78000000002794</v>
      </c>
      <c r="AJ5" s="905">
        <f>(IF('Section Load'!AK8&gt;0,'Section Load'!AK8,0))</f>
        <v>0</v>
      </c>
      <c r="AK5" s="905">
        <f>(IF('Section Load'!AL8&gt;0,'Section Load'!AL8,0))</f>
        <v>289.11999999999534</v>
      </c>
      <c r="AL5" s="905">
        <f>(IF('Section Load'!AM8&gt;0,'Section Load'!AM8,0))</f>
        <v>660</v>
      </c>
      <c r="AM5" s="906">
        <f>(IF('Water Report'!$G$7&gt;0,'Water Report'!$F$7,0))</f>
        <v>102</v>
      </c>
      <c r="AN5" s="906">
        <f>(IF('Water Report'!$G$8&gt;0,'Water Report'!$F$8,0))</f>
        <v>123</v>
      </c>
      <c r="AO5" s="906">
        <f>(IF('Water Report'!$G$9&gt;0,'Water Report'!$H$9,0))</f>
        <v>67</v>
      </c>
      <c r="AP5" s="906">
        <f>(IF('Water Report'!$G$10&gt;0,'Water Report'!$G$10,0))</f>
        <v>21</v>
      </c>
      <c r="AQ5" s="906">
        <f>(IF('Water Report'!$G$11&gt;0,'Water Report'!$G$11,0))</f>
        <v>29</v>
      </c>
      <c r="AR5" s="906">
        <f>(IF('Water Report'!$G$13&gt;0,'Water Report'!$G$13,0))</f>
        <v>32</v>
      </c>
      <c r="AS5" s="906">
        <f>(IF('Water Report'!$G$14&gt;0,'Water Report'!$G$14,0))</f>
        <v>14</v>
      </c>
      <c r="AT5" s="906">
        <f>(IF('Water Report'!$G$15&gt;0,'Water Report'!$G$15,0))</f>
        <v>7</v>
      </c>
      <c r="AU5" s="906">
        <f>(IF('Water Report'!$G$17&gt;0,'Water Report'!$G$17,0))</f>
        <v>0</v>
      </c>
      <c r="AV5" s="906">
        <f>(IF('Water Report'!$G$18&gt;0,'Water Report'!$G$18,0))</f>
        <v>9</v>
      </c>
      <c r="AW5" s="906">
        <f>(IF('Water Report'!$G$19&gt;0,'Water Report'!$G$19,0))</f>
        <v>8</v>
      </c>
      <c r="AX5" s="981">
        <f>(IF('Water Report'!$G$21&gt;0,'Water Report'!$G$21,0))</f>
        <v>62</v>
      </c>
      <c r="AY5" s="981">
        <f>(IF('Water Report'!$G$22&gt;0,'Water Report'!$G$22,0))</f>
        <v>0</v>
      </c>
      <c r="AZ5" s="981">
        <f>(IF('Water Report'!$G$23&gt;0,'Water Report'!$G$23,0))</f>
        <v>2</v>
      </c>
      <c r="BA5" s="981">
        <f>(IF('Water Report'!$G$14&gt;0,'Water Report'!$G$14,0))</f>
        <v>14</v>
      </c>
      <c r="BB5" s="981">
        <f>(IF('Water Report'!$G$15&gt;0,'Water Report'!$G$15,0))</f>
        <v>7</v>
      </c>
      <c r="BC5" s="981">
        <f>(IF('Water Report'!$G$13&gt;0,'Water Report'!$G$13,0))</f>
        <v>32</v>
      </c>
      <c r="BD5" s="981">
        <f>(IF('Water Report'!$G$24&gt;0,'Water Report'!$G$24,0))</f>
        <v>203</v>
      </c>
      <c r="BE5" s="981">
        <f>(IF('Water Report'!$G$25&gt;0,'Water Report'!$G$25,0))</f>
        <v>154</v>
      </c>
      <c r="BF5" s="981">
        <f>(IF('Water Report'!$G$27&gt;0,'Water Report'!$G$27,0))</f>
        <v>96</v>
      </c>
      <c r="BG5" s="907">
        <f>(IF('Section Load'!AN8&gt;0,'Section Load'!AN8,0))</f>
        <v>821.23799999989569</v>
      </c>
      <c r="BH5" s="907">
        <f>(IF('Section Load'!AO8&gt;0,'Section Load'!AO8,0))</f>
        <v>241.89000000001397</v>
      </c>
      <c r="BI5" s="907">
        <f>(IF('Section Load'!AP8&gt;0,'Section Load'!AP8,0))</f>
        <v>0</v>
      </c>
      <c r="BJ5" s="907">
        <f>(IF('Section Load'!AQ8&gt;0,'Section Load'!AQ8,0))</f>
        <v>91.130000000004657</v>
      </c>
      <c r="BK5" s="907">
        <f>(IF('Section Load'!AR8&gt;0,'Section Load'!AR8,0))</f>
        <v>35.19999999999709</v>
      </c>
      <c r="BL5" s="907">
        <f>(IF('Section Load'!AS8&gt;0,'Section Load'!AS8,0))</f>
        <v>4.7000000000007276</v>
      </c>
      <c r="BM5" s="907">
        <f>(IF('Section Load'!AT8&gt;0,'Section Load'!AT8,0))</f>
        <v>448.31799999987925</v>
      </c>
    </row>
    <row r="6" spans="1:65">
      <c r="A6" s="893" t="s">
        <v>289</v>
      </c>
      <c r="B6" s="894">
        <f t="shared" si="0"/>
        <v>5</v>
      </c>
      <c r="C6" s="894">
        <v>9</v>
      </c>
      <c r="D6" s="894">
        <v>2021</v>
      </c>
      <c r="E6" s="905">
        <f>(IF('Section Load'!F9&gt;0,'Section Load'!F9,0))</f>
        <v>3023.3700000000008</v>
      </c>
      <c r="F6" s="905">
        <f>(IF('Section Load'!G9&gt;0,'Section Load'!G9,0))</f>
        <v>1454.1499999999996</v>
      </c>
      <c r="G6" s="905">
        <f>(IF('Section Load'!H9&gt;0,'Section Load'!H9,0))</f>
        <v>1714.8599999999988</v>
      </c>
      <c r="H6" s="905">
        <f>(IF('Section Load'!I9&gt;0,'Section Load'!I9,0))</f>
        <v>3765.16</v>
      </c>
      <c r="I6" s="905">
        <f>(IF('Section Load'!J9&gt;0,'Section Load'!J9,0))</f>
        <v>6489.1800000000803</v>
      </c>
      <c r="J6" s="905">
        <f>(IF('Section Load'!K9&gt;0,'Section Load'!K9,0))</f>
        <v>2643.3999999999069</v>
      </c>
      <c r="K6" s="905">
        <f>(IF('Section Load'!L9&gt;0,'Section Load'!L9,0))</f>
        <v>1139.5999999999767</v>
      </c>
      <c r="L6" s="905">
        <f>(IF('Section Load'!M9&gt;0,'Section Load'!M9,0))</f>
        <v>566.79999999999927</v>
      </c>
      <c r="M6" s="905">
        <f>(IF('Section Load'!N9&gt;0,'Section Load'!N9,0))</f>
        <v>5</v>
      </c>
      <c r="N6" s="905">
        <f>(IF('Section Load'!O9&gt;0,'Section Load'!O9,0))</f>
        <v>0</v>
      </c>
      <c r="O6" s="905">
        <f>(IF('Section Load'!P9&gt;0,'Section Load'!P9,0))</f>
        <v>1.2000000000116415</v>
      </c>
      <c r="P6" s="905">
        <f>(IF('Section Load'!Q9&gt;0,'Section Load'!Q9,0))</f>
        <v>182.38999999999942</v>
      </c>
      <c r="Q6" s="905">
        <f>(IF('Section Load'!R9&gt;0,'Section Load'!R9,0))</f>
        <v>64.1200000000008</v>
      </c>
      <c r="R6" s="905">
        <f>(IF('Section Load'!S9&gt;0,'Section Load'!S9,0))</f>
        <v>49</v>
      </c>
      <c r="S6" s="905">
        <f>(IF('Section Load'!T9&gt;0,'Section Load'!T9,0))</f>
        <v>84</v>
      </c>
      <c r="T6" s="905">
        <f>(IF('Section Load'!U9&gt;0,'Section Load'!U9,0))</f>
        <v>165</v>
      </c>
      <c r="U6" s="905">
        <f>(IF('Section Load'!V9&gt;0,'Section Load'!V9,0))</f>
        <v>395.19999999995343</v>
      </c>
      <c r="V6" s="905">
        <f>(IF('Section Load'!W9&gt;0,'Section Load'!W9,0))</f>
        <v>126.71999999997206</v>
      </c>
      <c r="W6" s="905">
        <f>(IF('Section Load'!X9&gt;0,'Section Load'!X9,0))</f>
        <v>20.490000000005239</v>
      </c>
      <c r="X6" s="905">
        <f>(IF('Section Load'!Y9&gt;0,'Section Load'!Y9,0))</f>
        <v>184.31999999999243</v>
      </c>
      <c r="Y6" s="905">
        <f>(IF('Section Load'!Z9&gt;0,'Section Load'!Z9,0))</f>
        <v>250</v>
      </c>
      <c r="Z6" s="905">
        <f>(IF('Section Load'!AA9&gt;0,'Section Load'!AA9,0))</f>
        <v>12.880000000004657</v>
      </c>
      <c r="AA6" s="905">
        <f>(IF('Section Load'!AB9&gt;0,'Section Load'!AB9,0))</f>
        <v>10.799999999988358</v>
      </c>
      <c r="AB6" s="905">
        <f>(IF('Section Load'!AC9&gt;0,'Section Load'!AC9,0))</f>
        <v>0</v>
      </c>
      <c r="AC6" s="905">
        <f>(IF('Section Load'!AD9&gt;0,'Section Load'!AD9,0))</f>
        <v>64.999999999994088</v>
      </c>
      <c r="AD6" s="905">
        <f>(IF('Section Load'!AE9&gt;0,'Section Load'!AE9,0))</f>
        <v>0</v>
      </c>
      <c r="AE6" s="905">
        <f>(IF('Section Load'!AF9&gt;0,'Section Load'!AF9,0))</f>
        <v>0</v>
      </c>
      <c r="AF6" s="905">
        <f>(IF('Section Load'!AG9&gt;0,'Section Load'!AG9,0))</f>
        <v>412.92999999999302</v>
      </c>
      <c r="AG6" s="905">
        <f>(IF('Section Load'!AH9&gt;0,'Section Load'!AH9,0))</f>
        <v>386.88000000000466</v>
      </c>
      <c r="AH6" s="905">
        <f>(IF('Section Load'!AI9&gt;0,'Section Load'!AI9,0))</f>
        <v>391.13999999999942</v>
      </c>
      <c r="AI6" s="905">
        <f>(IF('Section Load'!AJ9&gt;0,'Section Load'!AJ9,0))</f>
        <v>438.3399999999674</v>
      </c>
      <c r="AJ6" s="905">
        <f>(IF('Section Load'!AK9&gt;0,'Section Load'!AK9,0))</f>
        <v>0</v>
      </c>
      <c r="AK6" s="905">
        <f>(IF('Section Load'!AL9&gt;0,'Section Load'!AL9,0))</f>
        <v>300.57000000000698</v>
      </c>
      <c r="AL6" s="905">
        <f>(IF('Section Load'!AM9&gt;0,'Section Load'!AM9,0))</f>
        <v>589</v>
      </c>
      <c r="AM6" s="906">
        <f>(IF('Water Report'!$H$7&gt;0,'Water Report'!$H$7,0))</f>
        <v>107</v>
      </c>
      <c r="AN6" s="906">
        <f>(IF('Water Report'!$H$8&gt;0,'Water Report'!$H$8,0))</f>
        <v>155</v>
      </c>
      <c r="AO6" s="906">
        <f>(IF('Water Report'!$H$9&gt;0,'Water Report'!$H$9,0))</f>
        <v>67</v>
      </c>
      <c r="AP6" s="906">
        <f>(IF('Water Report'!$H$10&gt;0,'Water Report'!$H$10,0))</f>
        <v>27</v>
      </c>
      <c r="AQ6" s="906">
        <f>(IF('Water Report'!$H$11&gt;0,'Water Report'!$H$11,0))</f>
        <v>30</v>
      </c>
      <c r="AR6" s="906">
        <f>(IF('Water Report'!$H$13&gt;0,'Water Report'!$H$13,0))</f>
        <v>27</v>
      </c>
      <c r="AS6" s="906">
        <f>(IF('Water Report'!$H$14&gt;0,'Water Report'!$H$14,0))</f>
        <v>22</v>
      </c>
      <c r="AT6" s="906">
        <f>(IF('Water Report'!$H$15&gt;0,'Water Report'!$H$15,0))</f>
        <v>11</v>
      </c>
      <c r="AU6" s="906">
        <f>(IF('Water Report'!$H$17&gt;0,'Water Report'!$H$17,0))</f>
        <v>0</v>
      </c>
      <c r="AV6" s="906">
        <f>(IF('Water Report'!$H$18&gt;0,'Water Report'!$H$18,0))</f>
        <v>6</v>
      </c>
      <c r="AW6" s="906">
        <f>(IF('Water Report'!$H$19&gt;0,'Water Report'!$H$19,0))</f>
        <v>7</v>
      </c>
      <c r="AX6" s="981">
        <f>(IF('Water Report'!$H$21&gt;0,'Water Report'!$H$21,0))</f>
        <v>76</v>
      </c>
      <c r="AY6" s="981">
        <f>(IF('Water Report'!$H$22&gt;0,'Water Report'!$H$22,0))</f>
        <v>0</v>
      </c>
      <c r="AZ6" s="981">
        <f>(IF('Water Report'!$H$23&gt;0,'Water Report'!$H$23,0))</f>
        <v>0</v>
      </c>
      <c r="BA6" s="981">
        <f>(IF('Water Report'!$H$14&gt;0,'Water Report'!$H$14,0))</f>
        <v>22</v>
      </c>
      <c r="BB6" s="981">
        <f>(IF('Water Report'!$H$15&gt;0,'Water Report'!$H$15,0))</f>
        <v>11</v>
      </c>
      <c r="BC6" s="981">
        <f>(IF('Water Report'!$H$13&gt;0,'Water Report'!$H$13,0))</f>
        <v>27</v>
      </c>
      <c r="BD6" s="981">
        <f>(IF('Water Report'!$H$24&gt;0,'Water Report'!$H$24,0))</f>
        <v>261</v>
      </c>
      <c r="BE6" s="981">
        <f>(IF('Water Report'!$H$25&gt;0,'Water Report'!$H$25,0))</f>
        <v>157</v>
      </c>
      <c r="BF6" s="981">
        <f>(IF('Water Report'!$H$27&gt;0,'Water Report'!$H$27,0))</f>
        <v>103</v>
      </c>
      <c r="BG6" s="907">
        <f>(IF('Section Load'!AN9&gt;0,'Section Load'!AN9,0))</f>
        <v>851.14000000013039</v>
      </c>
      <c r="BH6" s="907">
        <f>(IF('Section Load'!AO9&gt;0,'Section Load'!AO9,0))</f>
        <v>255.31000000005588</v>
      </c>
      <c r="BI6" s="907">
        <f>(IF('Section Load'!AP9&gt;0,'Section Load'!AP9,0))</f>
        <v>0</v>
      </c>
      <c r="BJ6" s="907">
        <f>(IF('Section Load'!AQ9&gt;0,'Section Load'!AQ9,0))</f>
        <v>94.220000000001164</v>
      </c>
      <c r="BK6" s="907">
        <f>(IF('Section Load'!AR9&gt;0,'Section Load'!AR9,0))</f>
        <v>40.900000000001455</v>
      </c>
      <c r="BL6" s="907">
        <f>(IF('Section Load'!AS9&gt;0,'Section Load'!AS9,0))</f>
        <v>2.7999999999992724</v>
      </c>
      <c r="BM6" s="907">
        <f>(IF('Section Load'!AT9&gt;0,'Section Load'!AT9,0))</f>
        <v>457.91000000007261</v>
      </c>
    </row>
    <row r="7" spans="1:65">
      <c r="A7" s="893" t="s">
        <v>289</v>
      </c>
      <c r="B7" s="894">
        <f t="shared" si="0"/>
        <v>6</v>
      </c>
      <c r="C7" s="894">
        <v>9</v>
      </c>
      <c r="D7" s="894">
        <v>2021</v>
      </c>
      <c r="E7" s="905">
        <f>(IF('Section Load'!F10&gt;0,'Section Load'!F10,0))</f>
        <v>3085.7799999999988</v>
      </c>
      <c r="F7" s="905">
        <f>(IF('Section Load'!G10&gt;0,'Section Load'!G10,0))</f>
        <v>1828.4900000000016</v>
      </c>
      <c r="G7" s="905">
        <f>(IF('Section Load'!H10&gt;0,'Section Load'!H10,0))</f>
        <v>1659.6200000000008</v>
      </c>
      <c r="H7" s="905">
        <f>(IF('Section Load'!I10&gt;0,'Section Load'!I10,0))</f>
        <v>3883.880000000001</v>
      </c>
      <c r="I7" s="905">
        <f>(IF('Section Load'!J10&gt;0,'Section Load'!J10,0))</f>
        <v>7083.1199999999662</v>
      </c>
      <c r="J7" s="905">
        <f>(IF('Section Load'!K10&gt;0,'Section Load'!K10,0))</f>
        <v>2661.8000000000466</v>
      </c>
      <c r="K7" s="905">
        <f>(IF('Section Load'!L10&gt;0,'Section Load'!L10,0))</f>
        <v>956.35999999998603</v>
      </c>
      <c r="L7" s="905">
        <f>(IF('Section Load'!M10&gt;0,'Section Load'!M10,0))</f>
        <v>685.98000000000047</v>
      </c>
      <c r="M7" s="905">
        <f>(IF('Section Load'!N10&gt;0,'Section Load'!N10,0))</f>
        <v>6</v>
      </c>
      <c r="N7" s="905">
        <f>(IF('Section Load'!O10&gt;0,'Section Load'!O10,0))</f>
        <v>0</v>
      </c>
      <c r="O7" s="905">
        <f>(IF('Section Load'!P10&gt;0,'Section Load'!P10,0))</f>
        <v>1.0999999999912689</v>
      </c>
      <c r="P7" s="905">
        <f>(IF('Section Load'!Q10&gt;0,'Section Load'!Q10,0))</f>
        <v>185.2599999999984</v>
      </c>
      <c r="Q7" s="905">
        <f>(IF('Section Load'!R10&gt;0,'Section Load'!R10,0))</f>
        <v>64.969999999999345</v>
      </c>
      <c r="R7" s="905">
        <f>(IF('Section Load'!S10&gt;0,'Section Load'!S10,0))</f>
        <v>48</v>
      </c>
      <c r="S7" s="905">
        <f>(IF('Section Load'!T10&gt;0,'Section Load'!T10,0))</f>
        <v>138</v>
      </c>
      <c r="T7" s="905">
        <f>(IF('Section Load'!U10&gt;0,'Section Load'!U10,0))</f>
        <v>172</v>
      </c>
      <c r="U7" s="905">
        <f>(IF('Section Load'!V10&gt;0,'Section Load'!V10,0))</f>
        <v>358</v>
      </c>
      <c r="V7" s="905">
        <f>(IF('Section Load'!W10&gt;0,'Section Load'!W10,0))</f>
        <v>117</v>
      </c>
      <c r="W7" s="905">
        <f>(IF('Section Load'!X10&gt;0,'Section Load'!X10,0))</f>
        <v>22</v>
      </c>
      <c r="X7" s="905">
        <f>(IF('Section Load'!Y10&gt;0,'Section Load'!Y10,0))</f>
        <v>202.58999999999651</v>
      </c>
      <c r="Y7" s="905">
        <f>(IF('Section Load'!Z10&gt;0,'Section Load'!Z10,0))</f>
        <v>272</v>
      </c>
      <c r="Z7" s="905">
        <f>(IF('Section Load'!AA10&gt;0,'Section Load'!AA10,0))</f>
        <v>15.080000000016298</v>
      </c>
      <c r="AA7" s="905">
        <f>(IF('Section Load'!AB10&gt;0,'Section Load'!AB10,0))</f>
        <v>35.600000000005821</v>
      </c>
      <c r="AB7" s="905">
        <f>(IF('Section Load'!AC10&gt;0,'Section Load'!AC10,0))</f>
        <v>0</v>
      </c>
      <c r="AC7" s="905">
        <f>(IF('Section Load'!AD10&gt;0,'Section Load'!AD10,0))</f>
        <v>75.800000000008822</v>
      </c>
      <c r="AD7" s="905">
        <f>(IF('Section Load'!AE10&gt;0,'Section Load'!AE10,0))</f>
        <v>0</v>
      </c>
      <c r="AE7" s="905">
        <f>(IF('Section Load'!AF10&gt;0,'Section Load'!AF10,0))</f>
        <v>4</v>
      </c>
      <c r="AF7" s="905">
        <f>(IF('Section Load'!AG10&gt;0,'Section Load'!AG10,0))</f>
        <v>434.69000000000233</v>
      </c>
      <c r="AG7" s="905">
        <f>(IF('Section Load'!AH10&gt;0,'Section Load'!AH10,0))</f>
        <v>390.07999999998719</v>
      </c>
      <c r="AH7" s="905">
        <f>(IF('Section Load'!AI10&gt;0,'Section Load'!AI10,0))</f>
        <v>402.56999999999243</v>
      </c>
      <c r="AI7" s="905">
        <f>(IF('Section Load'!AJ10&gt;0,'Section Load'!AJ10,0))</f>
        <v>457.32000000000698</v>
      </c>
      <c r="AJ7" s="905">
        <f>(IF('Section Load'!AK10&gt;0,'Section Load'!AK10,0))</f>
        <v>0</v>
      </c>
      <c r="AK7" s="905">
        <f>(IF('Section Load'!AL10&gt;0,'Section Load'!AL10,0))</f>
        <v>296.86999999999534</v>
      </c>
      <c r="AL7" s="905">
        <f>(IF('Section Load'!AM10&gt;0,'Section Load'!AM10,0))</f>
        <v>601</v>
      </c>
      <c r="AM7" s="906">
        <f>(IF('Water Report'!$I$7&gt;0,'Water Report'!$I$7,0))</f>
        <v>70</v>
      </c>
      <c r="AN7" s="906">
        <f>(IF('Water Report'!$I$8&gt;0,'Water Report'!$I$8,0))</f>
        <v>163</v>
      </c>
      <c r="AO7" s="906">
        <f>(IF('Water Report'!$I$9&gt;0,'Water Report'!$I$9,0))</f>
        <v>71</v>
      </c>
      <c r="AP7" s="906">
        <f>(IF('Water Report'!$I$10&gt;0,'Water Report'!$I$10,0))</f>
        <v>17</v>
      </c>
      <c r="AQ7" s="906">
        <f>(IF('Water Report'!$I$11&gt;0,'Water Report'!$I$11,0))</f>
        <v>27</v>
      </c>
      <c r="AR7" s="906">
        <f>(IF('Water Report'!$I$13&gt;0,'Water Report'!$I$13,0))</f>
        <v>17</v>
      </c>
      <c r="AS7" s="906">
        <f>(IF('Water Report'!$I$14&gt;0,'Water Report'!$I$14,0))</f>
        <v>12</v>
      </c>
      <c r="AT7" s="906">
        <f>(IF('Water Report'!$I$15&gt;0,'Water Report'!$I$15,0))</f>
        <v>9</v>
      </c>
      <c r="AU7" s="906">
        <f>(IF('Water Report'!$I$17&gt;0,'Water Report'!$I$17,0))</f>
        <v>0</v>
      </c>
      <c r="AV7" s="906">
        <f>(IF('Water Report'!$I$18&gt;0,'Water Report'!$I$18,0))</f>
        <v>10</v>
      </c>
      <c r="AW7" s="906">
        <f>(IF('Water Report'!$I$19&gt;0,'Water Report'!$I$19,0))</f>
        <v>8</v>
      </c>
      <c r="AX7" s="981">
        <f>(IF('Water Report'!$I$21&gt;0,'Water Report'!$I$21,0))</f>
        <v>66</v>
      </c>
      <c r="AY7" s="981">
        <f>(IF('Water Report'!$I$22&gt;0,'Water Report'!$I$22,0))</f>
        <v>0</v>
      </c>
      <c r="AZ7" s="981">
        <f>(IF('Water Report'!$I$23&gt;0,'Water Report'!$I$23,0))</f>
        <v>4</v>
      </c>
      <c r="BA7" s="981">
        <f>(IF('Water Report'!$I$14&gt;0,'Water Report'!$I$14,0))</f>
        <v>12</v>
      </c>
      <c r="BB7" s="981">
        <f>(IF('Water Report'!$I$15&gt;0,'Water Report'!$I$15,0))</f>
        <v>9</v>
      </c>
      <c r="BC7" s="981">
        <f>(IF('Water Report'!$I$13&gt;0,'Water Report'!$I$13,0))</f>
        <v>17</v>
      </c>
      <c r="BD7" s="981">
        <f>(IF('Water Report'!$I$24&gt;0,'Water Report'!$I$24,0))</f>
        <v>163</v>
      </c>
      <c r="BE7" s="981">
        <f>(IF('Water Report'!$I$25&gt;0,'Water Report'!$I$25,0))</f>
        <v>136</v>
      </c>
      <c r="BF7" s="981">
        <f>(IF('Water Report'!$I$27&gt;0,'Water Report'!$I$27,0))</f>
        <v>87</v>
      </c>
      <c r="BG7" s="907">
        <f>(IF('Section Load'!AN10&gt;0,'Section Load'!AN10,0))</f>
        <v>920.31999999983236</v>
      </c>
      <c r="BH7" s="907">
        <f>(IF('Section Load'!AO10&gt;0,'Section Load'!AO10,0))</f>
        <v>286.56999999994878</v>
      </c>
      <c r="BI7" s="907">
        <f>(IF('Section Load'!AP10&gt;0,'Section Load'!AP10,0))</f>
        <v>0</v>
      </c>
      <c r="BJ7" s="907">
        <f>(IF('Section Load'!AQ10&gt;0,'Section Load'!AQ10,0))</f>
        <v>95.089999999996508</v>
      </c>
      <c r="BK7" s="907">
        <f>(IF('Section Load'!AR10&gt;0,'Section Load'!AR10,0))</f>
        <v>35.5</v>
      </c>
      <c r="BL7" s="907">
        <f>(IF('Section Load'!AS10&gt;0,'Section Load'!AS10,0))</f>
        <v>1</v>
      </c>
      <c r="BM7" s="907">
        <f>(IF('Section Load'!AT10&gt;0,'Section Load'!AT10,0))</f>
        <v>502.15999999988708</v>
      </c>
    </row>
    <row r="8" spans="1:65">
      <c r="A8" s="893" t="s">
        <v>289</v>
      </c>
      <c r="B8" s="894">
        <f t="shared" si="0"/>
        <v>7</v>
      </c>
      <c r="C8" s="894">
        <v>9</v>
      </c>
      <c r="D8" s="894">
        <v>2021</v>
      </c>
      <c r="E8" s="905">
        <f>(IF('Section Load'!F11&gt;0,'Section Load'!F11,0))</f>
        <v>4524.8899999999994</v>
      </c>
      <c r="F8" s="905">
        <f>(IF('Section Load'!G11&gt;0,'Section Load'!G11,0))</f>
        <v>1681.0499999999993</v>
      </c>
      <c r="G8" s="905">
        <f>(IF('Section Load'!H11&gt;0,'Section Load'!H11,0))</f>
        <v>1663.8900000000012</v>
      </c>
      <c r="H8" s="905">
        <f>(IF('Section Load'!I11&gt;0,'Section Load'!I11,0))</f>
        <v>3792.2900000000009</v>
      </c>
      <c r="I8" s="905">
        <f>(IF('Section Load'!J11&gt;0,'Section Load'!J11,0))</f>
        <v>5975</v>
      </c>
      <c r="J8" s="905">
        <f>(IF('Section Load'!K11&gt;0,'Section Load'!K11,0))</f>
        <v>2465.8000000000466</v>
      </c>
      <c r="K8" s="905">
        <f>(IF('Section Load'!L11&gt;0,'Section Load'!L11,0))</f>
        <v>928.56000000005588</v>
      </c>
      <c r="L8" s="905">
        <f>(IF('Section Load'!M11&gt;0,'Section Load'!M11,0))</f>
        <v>590.47999999999956</v>
      </c>
      <c r="M8" s="905">
        <f>(IF('Section Load'!N11&gt;0,'Section Load'!N11,0))</f>
        <v>5</v>
      </c>
      <c r="N8" s="905">
        <f>(IF('Section Load'!O11&gt;0,'Section Load'!O11,0))</f>
        <v>1</v>
      </c>
      <c r="O8" s="905">
        <f>(IF('Section Load'!P11&gt;0,'Section Load'!P11,0))</f>
        <v>1.3000000000029104</v>
      </c>
      <c r="P8" s="905">
        <f>(IF('Section Load'!Q11&gt;0,'Section Load'!Q11,0))</f>
        <v>171.42000000000189</v>
      </c>
      <c r="Q8" s="905">
        <f>(IF('Section Load'!R11&gt;0,'Section Load'!R11,0))</f>
        <v>64.110000000000582</v>
      </c>
      <c r="R8" s="905">
        <f>(IF('Section Load'!S11&gt;0,'Section Load'!S11,0))</f>
        <v>59</v>
      </c>
      <c r="S8" s="905">
        <f>(IF('Section Load'!T11&gt;0,'Section Load'!T11,0))</f>
        <v>136</v>
      </c>
      <c r="T8" s="905">
        <f>(IF('Section Load'!U11&gt;0,'Section Load'!U11,0))</f>
        <v>176</v>
      </c>
      <c r="U8" s="905">
        <f>(IF('Section Load'!V11&gt;0,'Section Load'!V11,0))</f>
        <v>396</v>
      </c>
      <c r="V8" s="905">
        <f>(IF('Section Load'!W11&gt;0,'Section Load'!W11,0))</f>
        <v>126</v>
      </c>
      <c r="W8" s="905">
        <f>(IF('Section Load'!X11&gt;0,'Section Load'!X11,0))</f>
        <v>26</v>
      </c>
      <c r="X8" s="905">
        <f>(IF('Section Load'!Y11&gt;0,'Section Load'!Y11,0))</f>
        <v>202.74000000000524</v>
      </c>
      <c r="Y8" s="905">
        <f>(IF('Section Load'!Z11&gt;0,'Section Load'!Z11,0))</f>
        <v>235</v>
      </c>
      <c r="Z8" s="905">
        <f>(IF('Section Load'!AA11&gt;0,'Section Load'!AA11,0))</f>
        <v>13</v>
      </c>
      <c r="AA8" s="905">
        <f>(IF('Section Load'!AB11&gt;0,'Section Load'!AB11,0))</f>
        <v>36.19999999999709</v>
      </c>
      <c r="AB8" s="905">
        <f>(IF('Section Load'!AC11&gt;0,'Section Load'!AC11,0))</f>
        <v>0</v>
      </c>
      <c r="AC8" s="905">
        <f>(IF('Section Load'!AD11&gt;0,'Section Load'!AD11,0))</f>
        <v>77.29999999999427</v>
      </c>
      <c r="AD8" s="905">
        <f>(IF('Section Load'!AE11&gt;0,'Section Load'!AE11,0))</f>
        <v>0</v>
      </c>
      <c r="AE8" s="905">
        <f>(IF('Section Load'!AF11&gt;0,'Section Load'!AF11,0))</f>
        <v>8.36</v>
      </c>
      <c r="AF8" s="905">
        <f>(IF('Section Load'!AG11&gt;0,'Section Load'!AG11,0))</f>
        <v>406.07999999998719</v>
      </c>
      <c r="AG8" s="905">
        <f>(IF('Section Load'!AH11&gt;0,'Section Load'!AH11,0))</f>
        <v>375.98000000001048</v>
      </c>
      <c r="AH8" s="905">
        <f>(IF('Section Load'!AI11&gt;0,'Section Load'!AI11,0))</f>
        <v>383.61000000000058</v>
      </c>
      <c r="AI8" s="905">
        <f>(IF('Section Load'!AJ11&gt;0,'Section Load'!AJ11,0))</f>
        <v>461.79999999998836</v>
      </c>
      <c r="AJ8" s="905">
        <f>(IF('Section Load'!AK11&gt;0,'Section Load'!AK11,0))</f>
        <v>0</v>
      </c>
      <c r="AK8" s="905">
        <f>(IF('Section Load'!AL11&gt;0,'Section Load'!AL11,0))</f>
        <v>298.16999999999825</v>
      </c>
      <c r="AL8" s="905">
        <f>(IF('Section Load'!AM11&gt;0,'Section Load'!AM11,0))</f>
        <v>607</v>
      </c>
      <c r="AM8" s="906">
        <f>(IF('Water Report'!$J$7&gt;0,'Water Report'!$J$7,0))</f>
        <v>83</v>
      </c>
      <c r="AN8" s="906">
        <f>(IF('Water Report'!$J$8&gt;0,'Water Report'!$J$8,0))</f>
        <v>100</v>
      </c>
      <c r="AO8" s="906">
        <f>(IF('Water Report'!$J$9&gt;0,'Water Report'!$J$9,0))</f>
        <v>71</v>
      </c>
      <c r="AP8" s="906">
        <f>(IF('Water Report'!$J$10&gt;0,'Water Report'!$J$10,0))</f>
        <v>14</v>
      </c>
      <c r="AQ8" s="906">
        <f>(IF('Water Report'!$J$11&gt;0,'Water Report'!$J$11,0))</f>
        <v>38</v>
      </c>
      <c r="AR8" s="906">
        <f>(IF('Water Report'!$J$13&gt;0,'Water Report'!$J$13,0))</f>
        <v>31</v>
      </c>
      <c r="AS8" s="906">
        <f>(IF('Water Report'!$J$14&gt;0,'Water Report'!$J$14,0))</f>
        <v>12</v>
      </c>
      <c r="AT8" s="906">
        <f>(IF('Water Report'!$J$15&gt;0,'Water Report'!$J$15,0))</f>
        <v>7</v>
      </c>
      <c r="AU8" s="906">
        <f>(IF('Water Report'!$J$17&gt;0,'Water Report'!$J$17,0))</f>
        <v>0</v>
      </c>
      <c r="AV8" s="906">
        <f>(IF('Water Report'!$J$18&gt;0,'Water Report'!$J$18,0))</f>
        <v>7</v>
      </c>
      <c r="AW8" s="906">
        <f>(IF('Water Report'!$J$19&gt;0,'Water Report'!$J$19,0))</f>
        <v>8</v>
      </c>
      <c r="AX8" s="981">
        <f>(IF('Water Report'!$J$21&gt;0,'Water Report'!$J$21,0))</f>
        <v>62</v>
      </c>
      <c r="AY8" s="981">
        <f>(IF('Water Report'!$J$22&gt;0,'Water Report'!$J$22,0))</f>
        <v>0</v>
      </c>
      <c r="AZ8" s="981">
        <f>(IF('Water Report'!$J$23&gt;0,'Water Report'!$J$23,0))</f>
        <v>0</v>
      </c>
      <c r="BA8" s="981">
        <f>(IF('Water Report'!$J$14&gt;0,'Water Report'!$J$14,0))</f>
        <v>12</v>
      </c>
      <c r="BB8" s="981">
        <f>(IF('Water Report'!$J$15&gt;0,'Water Report'!$J$15,0))</f>
        <v>7</v>
      </c>
      <c r="BC8" s="981">
        <f>(IF('Water Report'!$J$13&gt;0,'Water Report'!$J$13,0))</f>
        <v>31</v>
      </c>
      <c r="BD8" s="981">
        <f>(IF('Water Report'!$J$24&gt;0,'Water Report'!$J$24,0))</f>
        <v>218</v>
      </c>
      <c r="BE8" s="981">
        <f>(IF('Water Report'!$J$25&gt;0,'Water Report'!$J$25,0))</f>
        <v>142</v>
      </c>
      <c r="BF8" s="981">
        <f>(IF('Water Report'!$J$27&gt;0,'Water Report'!$J$27,0))</f>
        <v>93</v>
      </c>
      <c r="BG8" s="907">
        <f>(IF('Section Load'!AN11&gt;0,'Section Load'!AN11,0))</f>
        <v>856.76000000000931</v>
      </c>
      <c r="BH8" s="907">
        <f>(IF('Section Load'!AO11&gt;0,'Section Load'!AO11,0))</f>
        <v>234.1600000000326</v>
      </c>
      <c r="BI8" s="907">
        <f>(IF('Section Load'!AP11&gt;0,'Section Load'!AP11,0))</f>
        <v>0</v>
      </c>
      <c r="BJ8" s="907">
        <f>(IF('Section Load'!AQ11&gt;0,'Section Load'!AQ11,0))</f>
        <v>85.459999999991851</v>
      </c>
      <c r="BK8" s="907">
        <f>(IF('Section Load'!AR11&gt;0,'Section Load'!AR11,0))</f>
        <v>51.400000000001455</v>
      </c>
      <c r="BL8" s="907">
        <f>(IF('Section Load'!AS11&gt;0,'Section Load'!AS11,0))</f>
        <v>1.2000000000007276</v>
      </c>
      <c r="BM8" s="907">
        <f>(IF('Section Load'!AT11&gt;0,'Section Load'!AT11,0))</f>
        <v>484.93999999997686</v>
      </c>
    </row>
    <row r="9" spans="1:65">
      <c r="A9" s="893" t="s">
        <v>289</v>
      </c>
      <c r="B9" s="894">
        <f t="shared" si="0"/>
        <v>8</v>
      </c>
      <c r="C9" s="894">
        <v>9</v>
      </c>
      <c r="D9" s="894">
        <v>2021</v>
      </c>
      <c r="E9" s="905">
        <f>(IF('Section Load'!F12&gt;0,'Section Load'!F12,0))</f>
        <v>4765.9599999999555</v>
      </c>
      <c r="F9" s="905">
        <f>(IF('Section Load'!G12&gt;0,'Section Load'!G12,0))</f>
        <v>1742.4300000000003</v>
      </c>
      <c r="G9" s="905">
        <f>(IF('Section Load'!H12&gt;0,'Section Load'!H12,0))</f>
        <v>1706.9599999999991</v>
      </c>
      <c r="H9" s="905">
        <f>(IF('Section Load'!I12&gt;0,'Section Load'!I12,0))</f>
        <v>3944.4099999999962</v>
      </c>
      <c r="I9" s="905">
        <f>(IF('Section Load'!J12&gt;0,'Section Load'!J12,0))</f>
        <v>7061.6199999999662</v>
      </c>
      <c r="J9" s="905">
        <f>(IF('Section Load'!K12&gt;0,'Section Load'!K12,0))</f>
        <v>2588.5999999998603</v>
      </c>
      <c r="K9" s="905">
        <f>(IF('Section Load'!L12&gt;0,'Section Load'!L12,0))</f>
        <v>948.28000000002794</v>
      </c>
      <c r="L9" s="905">
        <f>(IF('Section Load'!M12&gt;0,'Section Load'!M12,0))</f>
        <v>730.86000000000058</v>
      </c>
      <c r="M9" s="905">
        <f>(IF('Section Load'!N12&gt;0,'Section Load'!N12,0))</f>
        <v>6</v>
      </c>
      <c r="N9" s="905">
        <f>(IF('Section Load'!O12&gt;0,'Section Load'!O12,0))</f>
        <v>0</v>
      </c>
      <c r="O9" s="905">
        <f>(IF('Section Load'!P12&gt;0,'Section Load'!P12,0))</f>
        <v>1.3000000000029104</v>
      </c>
      <c r="P9" s="905">
        <f>(IF('Section Load'!Q12&gt;0,'Section Load'!Q12,0))</f>
        <v>158.41999999999825</v>
      </c>
      <c r="Q9" s="905">
        <f>(IF('Section Load'!R12&gt;0,'Section Load'!R12,0))</f>
        <v>64.899999999999636</v>
      </c>
      <c r="R9" s="905">
        <f>(IF('Section Load'!S12&gt;0,'Section Load'!S12,0))</f>
        <v>64</v>
      </c>
      <c r="S9" s="905">
        <f>(IF('Section Load'!T12&gt;0,'Section Load'!T12,0))</f>
        <v>192</v>
      </c>
      <c r="T9" s="905">
        <f>(IF('Section Load'!U12&gt;0,'Section Load'!U12,0))</f>
        <v>171</v>
      </c>
      <c r="U9" s="905">
        <f>(IF('Section Load'!V12&gt;0,'Section Load'!V12,0))</f>
        <v>388</v>
      </c>
      <c r="V9" s="905">
        <f>(IF('Section Load'!W12&gt;0,'Section Load'!W12,0))</f>
        <v>106.59999999997672</v>
      </c>
      <c r="W9" s="905">
        <f>(IF('Section Load'!X12&gt;0,'Section Load'!X12,0))</f>
        <v>19.160000000003492</v>
      </c>
      <c r="X9" s="905">
        <f>(IF('Section Load'!Y12&gt;0,'Section Load'!Y12,0))</f>
        <v>217.66999999999825</v>
      </c>
      <c r="Y9" s="905">
        <f>(IF('Section Load'!Z12&gt;0,'Section Load'!Z12,0))</f>
        <v>310</v>
      </c>
      <c r="Z9" s="905">
        <f>(IF('Section Load'!AA12&gt;0,'Section Load'!AA12,0))</f>
        <v>13.679999999993015</v>
      </c>
      <c r="AA9" s="905">
        <f>(IF('Section Load'!AB12&gt;0,'Section Load'!AB12,0))</f>
        <v>37.100000000005821</v>
      </c>
      <c r="AB9" s="905">
        <f>(IF('Section Load'!AC12&gt;0,'Section Load'!AC12,0))</f>
        <v>0</v>
      </c>
      <c r="AC9" s="905">
        <f>(IF('Section Load'!AD12&gt;0,'Section Load'!AD12,0))</f>
        <v>77.80000000000291</v>
      </c>
      <c r="AD9" s="905">
        <f>(IF('Section Load'!AE12&gt;0,'Section Load'!AE12,0))</f>
        <v>0</v>
      </c>
      <c r="AE9" s="905">
        <f>(IF('Section Load'!AF12&gt;0,'Section Load'!AF12,0))</f>
        <v>8.5</v>
      </c>
      <c r="AF9" s="905">
        <f>(IF('Section Load'!AG12&gt;0,'Section Load'!AG12,0))</f>
        <v>410.42000000001281</v>
      </c>
      <c r="AG9" s="905">
        <f>(IF('Section Load'!AH12&gt;0,'Section Load'!AH12,0))</f>
        <v>368.5</v>
      </c>
      <c r="AH9" s="905">
        <f>(IF('Section Load'!AI12&gt;0,'Section Load'!AI12,0))</f>
        <v>386.82000000000698</v>
      </c>
      <c r="AI9" s="905">
        <f>(IF('Section Load'!AJ12&gt;0,'Section Load'!AJ12,0))</f>
        <v>534.24000000004889</v>
      </c>
      <c r="AJ9" s="905">
        <f>(IF('Section Load'!AK12&gt;0,'Section Load'!AK12,0))</f>
        <v>0</v>
      </c>
      <c r="AK9" s="905">
        <f>(IF('Section Load'!AL12&gt;0,'Section Load'!AL12,0))</f>
        <v>314.35000000000582</v>
      </c>
      <c r="AL9" s="905">
        <f>(IF('Section Load'!AM12&gt;0,'Section Load'!AM12,0))</f>
        <v>637</v>
      </c>
      <c r="AM9" s="906">
        <f>(IF('Water Report'!$K$7&gt;0,'Water Report'!$K$7,0))</f>
        <v>87</v>
      </c>
      <c r="AN9" s="906">
        <f>(IF('Water Report'!$K$8&gt;0,'Water Report'!$K$8,0))</f>
        <v>195</v>
      </c>
      <c r="AO9" s="906">
        <f>(IF('Water Report'!$K$9&gt;0,'Water Report'!$K$9,0))</f>
        <v>69</v>
      </c>
      <c r="AP9" s="906">
        <f>(IF('Water Report'!$K$10&gt;0,'Water Report'!$K$10,0))</f>
        <v>20</v>
      </c>
      <c r="AQ9" s="906">
        <f>(IF('Water Report'!$K$11&gt;0,'Water Report'!$K$11,0))</f>
        <v>25</v>
      </c>
      <c r="AR9" s="906">
        <f>(IF('Water Report'!$K$13&gt;0,'Water Report'!$K$13,0))</f>
        <v>22</v>
      </c>
      <c r="AS9" s="906">
        <f>(IF('Water Report'!$K$14&gt;0,'Water Report'!$K$14,0))</f>
        <v>15</v>
      </c>
      <c r="AT9" s="906">
        <f>(IF('Water Report'!$K$15&gt;0,'Water Report'!$K$15,0))</f>
        <v>6</v>
      </c>
      <c r="AU9" s="906">
        <f>(IF('Water Report'!$K$17&gt;0,'Water Report'!$K$17,0))</f>
        <v>0</v>
      </c>
      <c r="AV9" s="906">
        <f>(IF('Water Report'!$K$18&gt;0,'Water Report'!$K$18,0))</f>
        <v>6</v>
      </c>
      <c r="AW9" s="906">
        <f>(IF('Water Report'!$K$19&gt;0,'Water Report'!$K$19,0))</f>
        <v>7</v>
      </c>
      <c r="AX9" s="981">
        <f>(IF('Water Report'!$K$21&gt;0,'Water Report'!$K$21,0))</f>
        <v>68</v>
      </c>
      <c r="AY9" s="981">
        <f>(IF('Water Report'!$K$22&gt;0,'Water Report'!$K$22,0))</f>
        <v>0</v>
      </c>
      <c r="AZ9" s="981">
        <f>(IF('Water Report'!$K$23&gt;0,'Water Report'!$K$23,0))</f>
        <v>3</v>
      </c>
      <c r="BA9" s="981">
        <f>(IF('Water Report'!$K$14&gt;0,'Water Report'!$K$14,0))</f>
        <v>15</v>
      </c>
      <c r="BB9" s="981">
        <f>(IF('Water Report'!$K$15&gt;0,'Water Report'!$K$15,0))</f>
        <v>6</v>
      </c>
      <c r="BC9" s="981">
        <f>(IF('Water Report'!$K$13&gt;0,'Water Report'!$K$13,0))</f>
        <v>22</v>
      </c>
      <c r="BD9" s="981">
        <f>(IF('Water Report'!$K$24&gt;0,'Water Report'!$K$24,0))</f>
        <v>209</v>
      </c>
      <c r="BE9" s="981">
        <f>(IF('Water Report'!$K$25&gt;0,'Water Report'!$K$25,0))</f>
        <v>135</v>
      </c>
      <c r="BF9" s="981">
        <f>(IF('Water Report'!$K$27&gt;0,'Water Report'!$K$27,0))</f>
        <v>93</v>
      </c>
      <c r="BG9" s="907">
        <f>(IF('Section Load'!AN12&gt;0,'Section Load'!AN12,0))</f>
        <v>851.33000000007451</v>
      </c>
      <c r="BH9" s="907">
        <f>(IF('Section Load'!AO12&gt;0,'Section Load'!AO12,0))</f>
        <v>222.18999999994412</v>
      </c>
      <c r="BI9" s="907">
        <f>(IF('Section Load'!AP12&gt;0,'Section Load'!AP12,0))</f>
        <v>0.39999999999417923</v>
      </c>
      <c r="BJ9" s="907">
        <f>(IF('Section Load'!AQ12&gt;0,'Section Load'!AQ12,0))</f>
        <v>91.180000000022119</v>
      </c>
      <c r="BK9" s="907">
        <f>(IF('Section Load'!AR12&gt;0,'Section Load'!AR12,0))</f>
        <v>46.19999999999709</v>
      </c>
      <c r="BL9" s="907">
        <f>(IF('Section Load'!AS12&gt;0,'Section Load'!AS12,0))</f>
        <v>1.6000000000003638</v>
      </c>
      <c r="BM9" s="907">
        <f>(IF('Section Load'!AT12&gt;0,'Section Load'!AT12,0))</f>
        <v>489.76000000011663</v>
      </c>
    </row>
    <row r="10" spans="1:65">
      <c r="A10" s="893" t="s">
        <v>289</v>
      </c>
      <c r="B10" s="894">
        <f t="shared" si="0"/>
        <v>9</v>
      </c>
      <c r="C10" s="894">
        <v>9</v>
      </c>
      <c r="D10" s="894">
        <v>2021</v>
      </c>
      <c r="E10" s="905">
        <f>(IF('Section Load'!F13&gt;0,'Section Load'!F13,0))</f>
        <v>4824.6699999999983</v>
      </c>
      <c r="F10" s="905">
        <f>(IF('Section Load'!G13&gt;0,'Section Load'!G13,0))</f>
        <v>1716.0699999999997</v>
      </c>
      <c r="G10" s="905">
        <f>(IF('Section Load'!H13&gt;0,'Section Load'!H13,0))</f>
        <v>1626.0699999999997</v>
      </c>
      <c r="H10" s="905">
        <f>(IF('Section Load'!I13&gt;0,'Section Load'!I13,0))</f>
        <v>3960.9100000000035</v>
      </c>
      <c r="I10" s="905">
        <f>(IF('Section Load'!J13&gt;0,'Section Load'!J13,0))</f>
        <v>6865.6199999999953</v>
      </c>
      <c r="J10" s="905">
        <f>(IF('Section Load'!K13&gt;0,'Section Load'!K13,0))</f>
        <v>2589.3000000000466</v>
      </c>
      <c r="K10" s="905">
        <f>(IF('Section Load'!L13&gt;0,'Section Load'!L13,0))</f>
        <v>930.32999999995809</v>
      </c>
      <c r="L10" s="905">
        <f>(IF('Section Load'!M13&gt;0,'Section Load'!M13,0))</f>
        <v>618.98999999999978</v>
      </c>
      <c r="M10" s="905">
        <f>(IF('Section Load'!N13&gt;0,'Section Load'!N13,0))</f>
        <v>5</v>
      </c>
      <c r="N10" s="905">
        <f>(IF('Section Load'!O13&gt;0,'Section Load'!O13,0))</f>
        <v>0</v>
      </c>
      <c r="O10" s="905">
        <f>(IF('Section Load'!P13&gt;0,'Section Load'!P13,0))</f>
        <v>0.69999999999708962</v>
      </c>
      <c r="P10" s="905">
        <f>(IF('Section Load'!Q13&gt;0,'Section Load'!Q13,0))</f>
        <v>213.52000000000044</v>
      </c>
      <c r="Q10" s="905">
        <f>(IF('Section Load'!R13&gt;0,'Section Load'!R13,0))</f>
        <v>64.319999999999709</v>
      </c>
      <c r="R10" s="905">
        <f>(IF('Section Load'!S13&gt;0,'Section Load'!S13,0))</f>
        <v>47</v>
      </c>
      <c r="S10" s="905">
        <f>(IF('Section Load'!T13&gt;0,'Section Load'!T13,0))</f>
        <v>186</v>
      </c>
      <c r="T10" s="905">
        <f>(IF('Section Load'!U13&gt;0,'Section Load'!U13,0))</f>
        <v>169</v>
      </c>
      <c r="U10" s="905">
        <f>(IF('Section Load'!V13&gt;0,'Section Load'!V13,0))</f>
        <v>359</v>
      </c>
      <c r="V10" s="905">
        <f>(IF('Section Load'!W13&gt;0,'Section Load'!W13,0))</f>
        <v>134.40000000002328</v>
      </c>
      <c r="W10" s="905">
        <f>(IF('Section Load'!X13&gt;0,'Section Load'!X13,0))</f>
        <v>22.839999999996508</v>
      </c>
      <c r="X10" s="905">
        <f>(IF('Section Load'!Y13&gt;0,'Section Load'!Y13,0))</f>
        <v>235.69000000000233</v>
      </c>
      <c r="Y10" s="905">
        <f>(IF('Section Load'!Z13&gt;0,'Section Load'!Z13,0))</f>
        <v>247</v>
      </c>
      <c r="Z10" s="905">
        <f>(IF('Section Load'!AA13&gt;0,'Section Load'!AA13,0))</f>
        <v>27.320000000006985</v>
      </c>
      <c r="AA10" s="905">
        <f>(IF('Section Load'!AB13&gt;0,'Section Load'!AB13,0))</f>
        <v>28.69999999999709</v>
      </c>
      <c r="AB10" s="905">
        <f>(IF('Section Load'!AC13&gt;0,'Section Load'!AC13,0))</f>
        <v>0</v>
      </c>
      <c r="AC10" s="905">
        <f>(IF('Section Load'!AD13&gt;0,'Section Load'!AD13,0))</f>
        <v>93.399999999996908</v>
      </c>
      <c r="AD10" s="905">
        <f>(IF('Section Load'!AE13&gt;0,'Section Load'!AE13,0))</f>
        <v>0</v>
      </c>
      <c r="AE10" s="905">
        <f>(IF('Section Load'!AF13&gt;0,'Section Load'!AF13,0))</f>
        <v>9.9400000000000013</v>
      </c>
      <c r="AF10" s="905">
        <f>(IF('Section Load'!AG13&gt;0,'Section Load'!AG13,0))</f>
        <v>426.70999999999185</v>
      </c>
      <c r="AG10" s="905">
        <f>(IF('Section Load'!AH13&gt;0,'Section Load'!AH13,0))</f>
        <v>362.02999999999884</v>
      </c>
      <c r="AH10" s="905">
        <f>(IF('Section Load'!AI13&gt;0,'Section Load'!AI13,0))</f>
        <v>394.02999999999884</v>
      </c>
      <c r="AI10" s="905">
        <f>(IF('Section Load'!AJ13&gt;0,'Section Load'!AJ13,0))</f>
        <v>519.78999999997905</v>
      </c>
      <c r="AJ10" s="905">
        <f>(IF('Section Load'!AK13&gt;0,'Section Load'!AK13,0))</f>
        <v>0</v>
      </c>
      <c r="AK10" s="905">
        <f>(IF('Section Load'!AL13&gt;0,'Section Load'!AL13,0))</f>
        <v>308.86000000000058</v>
      </c>
      <c r="AL10" s="905">
        <f>(IF('Section Load'!AM13&gt;0,'Section Load'!AM13,0))</f>
        <v>748</v>
      </c>
      <c r="AM10" s="906">
        <f>(IF('Water Report'!$L$7&gt;0,'Water Report'!$L$7,0))</f>
        <v>96</v>
      </c>
      <c r="AN10" s="906">
        <f>(IF('Water Report'!$L$8&gt;0,'Water Report'!$L$8,0))</f>
        <v>127</v>
      </c>
      <c r="AO10" s="906">
        <f>(IF('Water Report'!$L$9&gt;0,'Water Report'!$L$9,0))</f>
        <v>72</v>
      </c>
      <c r="AP10" s="906">
        <f>(IF('Water Report'!$L$10&gt;0,'Water Report'!$L$10,0))</f>
        <v>21</v>
      </c>
      <c r="AQ10" s="906">
        <f>(IF('Water Report'!$L$11&gt;0,'Water Report'!$L$11,0))</f>
        <v>26</v>
      </c>
      <c r="AR10" s="906">
        <f>(IF('Water Report'!$L$13&gt;0,'Water Report'!$L$13,0))</f>
        <v>17</v>
      </c>
      <c r="AS10" s="906">
        <f>(IF('Water Report'!$L$14&gt;0,'Water Report'!$L$14,0))</f>
        <v>20</v>
      </c>
      <c r="AT10" s="906">
        <f>(IF('Water Report'!$L$15&gt;0,'Water Report'!$L$15,0))</f>
        <v>8</v>
      </c>
      <c r="AU10" s="906">
        <f>(IF('Water Report'!$L$17&gt;0,'Water Report'!$L$17,0))</f>
        <v>0</v>
      </c>
      <c r="AV10" s="906">
        <f>(IF('Water Report'!$L$18&gt;0,'Water Report'!$L$18,0))</f>
        <v>10</v>
      </c>
      <c r="AW10" s="906">
        <f>(IF('Water Report'!$L$19&gt;0,'Water Report'!$L$19,0))</f>
        <v>9</v>
      </c>
      <c r="AX10" s="981">
        <f>(IF('Water Report'!$L$21&gt;0,'Water Report'!$L$21,0))</f>
        <v>72</v>
      </c>
      <c r="AY10" s="981">
        <f>(IF('Water Report'!$L$22&gt;0,'Water Report'!$L$22,0))</f>
        <v>0</v>
      </c>
      <c r="AZ10" s="981">
        <f>(IF('Water Report'!$L$23&gt;0,'Water Report'!$L$23,0))</f>
        <v>2</v>
      </c>
      <c r="BA10" s="981">
        <f>(IF('Water Report'!$L$14&gt;0,'Water Report'!$L$14,0))</f>
        <v>20</v>
      </c>
      <c r="BB10" s="981">
        <f>(IF('Water Report'!$L$15&gt;0,'Water Report'!$L$15,0))</f>
        <v>8</v>
      </c>
      <c r="BC10" s="981">
        <f>(IF('Water Report'!$L$13&gt;0,'Water Report'!$L$13,0))</f>
        <v>17</v>
      </c>
      <c r="BD10" s="981">
        <f>(IF('Water Report'!$L$24&gt;0,'Water Report'!$L$24,0))</f>
        <v>200</v>
      </c>
      <c r="BE10" s="981">
        <f>(IF('Water Report'!$L$25&gt;0,'Water Report'!$L$25,0))</f>
        <v>147</v>
      </c>
      <c r="BF10" s="981">
        <f>(IF('Water Report'!$L$27&gt;0,'Water Report'!$L$27,0))</f>
        <v>91</v>
      </c>
      <c r="BG10" s="907">
        <f>(IF('Section Load'!AN13&gt;0,'Section Load'!AN13,0))</f>
        <v>851.48999999999069</v>
      </c>
      <c r="BH10" s="907">
        <f>(IF('Section Load'!AO13&gt;0,'Section Load'!AO13,0))</f>
        <v>233.65000000002328</v>
      </c>
      <c r="BI10" s="907">
        <f>(IF('Section Load'!AP13&gt;0,'Section Load'!AP13,0))</f>
        <v>0</v>
      </c>
      <c r="BJ10" s="907">
        <f>(IF('Section Load'!AQ13&gt;0,'Section Load'!AQ13,0))</f>
        <v>72.079999999987194</v>
      </c>
      <c r="BK10" s="907">
        <f>(IF('Section Load'!AR13&gt;0,'Section Load'!AR13,0))</f>
        <v>34</v>
      </c>
      <c r="BL10" s="907">
        <f>(IF('Section Load'!AS13&gt;0,'Section Load'!AS13,0))</f>
        <v>1.2999999999992724</v>
      </c>
      <c r="BM10" s="907">
        <f>(IF('Section Load'!AT13&gt;0,'Section Load'!AT13,0))</f>
        <v>510.45999999998094</v>
      </c>
    </row>
    <row r="11" spans="1:65">
      <c r="A11" s="893" t="s">
        <v>289</v>
      </c>
      <c r="B11" s="894">
        <f t="shared" si="0"/>
        <v>10</v>
      </c>
      <c r="C11" s="894">
        <v>9</v>
      </c>
      <c r="D11" s="894">
        <v>2021</v>
      </c>
      <c r="E11" s="905">
        <f>(IF('Section Load'!F14&gt;0,'Section Load'!F14,0))</f>
        <v>4554</v>
      </c>
      <c r="F11" s="905">
        <f>(IF('Section Load'!G14&gt;0,'Section Load'!G14,0))</f>
        <v>1638</v>
      </c>
      <c r="G11" s="905">
        <f>(IF('Section Load'!H14&gt;0,'Section Load'!H14,0))</f>
        <v>1688</v>
      </c>
      <c r="H11" s="905">
        <f>(IF('Section Load'!I14&gt;0,'Section Load'!I14,0))</f>
        <v>3934</v>
      </c>
      <c r="I11" s="905">
        <f>(IF('Section Load'!J14&gt;0,'Section Load'!J14,0))</f>
        <v>6866</v>
      </c>
      <c r="J11" s="905">
        <f>(IF('Section Load'!K14&gt;0,'Section Load'!K14,0))</f>
        <v>2556</v>
      </c>
      <c r="K11" s="905">
        <f>(IF('Section Load'!L14&gt;0,'Section Load'!L14,0))</f>
        <v>920</v>
      </c>
      <c r="L11" s="905">
        <f>(IF('Section Load'!M14&gt;0,'Section Load'!M14,0))</f>
        <v>524</v>
      </c>
      <c r="M11" s="905">
        <f>(IF('Section Load'!N14&gt;0,'Section Load'!N14,0))</f>
        <v>6</v>
      </c>
      <c r="N11" s="905">
        <f>(IF('Section Load'!O14&gt;0,'Section Load'!O14,0))</f>
        <v>1</v>
      </c>
      <c r="O11" s="905">
        <f>(IF('Section Load'!P14&gt;0,'Section Load'!P14,0))</f>
        <v>1</v>
      </c>
      <c r="P11" s="905">
        <f>(IF('Section Load'!Q14&gt;0,'Section Load'!Q14,0))</f>
        <v>123</v>
      </c>
      <c r="Q11" s="905">
        <f>(IF('Section Load'!R14&gt;0,'Section Load'!R14,0))</f>
        <v>68</v>
      </c>
      <c r="R11" s="905">
        <f>(IF('Section Load'!S14&gt;0,'Section Load'!S14,0))</f>
        <v>55</v>
      </c>
      <c r="S11" s="905">
        <f>(IF('Section Load'!T14&gt;0,'Section Load'!T14,0))</f>
        <v>183</v>
      </c>
      <c r="T11" s="905">
        <f>(IF('Section Load'!U14&gt;0,'Section Load'!U14,0))</f>
        <v>168</v>
      </c>
      <c r="U11" s="905">
        <f>(IF('Section Load'!V14&gt;0,'Section Load'!V14,0))</f>
        <v>336</v>
      </c>
      <c r="V11" s="905">
        <f>(IF('Section Load'!W14&gt;0,'Section Load'!W14,0))</f>
        <v>121</v>
      </c>
      <c r="W11" s="905">
        <f>(IF('Section Load'!X14&gt;0,'Section Load'!X14,0))</f>
        <v>20</v>
      </c>
      <c r="X11" s="905">
        <f>(IF('Section Load'!Y14&gt;0,'Section Load'!Y14,0))</f>
        <v>169</v>
      </c>
      <c r="Y11" s="905">
        <f>(IF('Section Load'!Z14&gt;0,'Section Load'!Z14,0))</f>
        <v>302</v>
      </c>
      <c r="Z11" s="905">
        <f>(IF('Section Load'!AA14&gt;0,'Section Load'!AA14,0))</f>
        <v>38</v>
      </c>
      <c r="AA11" s="905">
        <f>(IF('Section Load'!AB14&gt;0,'Section Load'!AB14,0))</f>
        <v>16</v>
      </c>
      <c r="AB11" s="905">
        <f>(IF('Section Load'!AC14&gt;0,'Section Load'!AC14,0))</f>
        <v>0</v>
      </c>
      <c r="AC11" s="905">
        <f>(IF('Section Load'!AD14&gt;0,'Section Load'!AD14,0))</f>
        <v>32.699999999999818</v>
      </c>
      <c r="AD11" s="905">
        <f>(IF('Section Load'!AE14&gt;0,'Section Load'!AE14,0))</f>
        <v>0</v>
      </c>
      <c r="AE11" s="905">
        <f>(IF('Section Load'!AF14&gt;0,'Section Load'!AF14,0))</f>
        <v>10.199999999999999</v>
      </c>
      <c r="AF11" s="905">
        <f>(IF('Section Load'!AG14&gt;0,'Section Load'!AG14,0))</f>
        <v>398</v>
      </c>
      <c r="AG11" s="905">
        <f>(IF('Section Load'!AH14&gt;0,'Section Load'!AH14,0))</f>
        <v>393</v>
      </c>
      <c r="AH11" s="905">
        <f>(IF('Section Load'!AI14&gt;0,'Section Load'!AI14,0))</f>
        <v>408</v>
      </c>
      <c r="AI11" s="905">
        <f>(IF('Section Load'!AJ14&gt;0,'Section Load'!AJ14,0))</f>
        <v>516</v>
      </c>
      <c r="AJ11" s="905">
        <f>(IF('Section Load'!AK14&gt;0,'Section Load'!AK14,0))</f>
        <v>167</v>
      </c>
      <c r="AK11" s="905">
        <f>(IF('Section Load'!AL14&gt;0,'Section Load'!AL14,0))</f>
        <v>307</v>
      </c>
      <c r="AL11" s="905">
        <f>(IF('Section Load'!AM14&gt;0,'Section Load'!AM14,0))</f>
        <v>689</v>
      </c>
      <c r="AM11" s="906">
        <f>(IF('Water Report'!$M$7&gt;0,'Water Report'!$M$7,0))</f>
        <v>63</v>
      </c>
      <c r="AN11" s="906">
        <f>(IF('Water Report'!$M$8&gt;0,'Water Report'!$M$8,0))</f>
        <v>157</v>
      </c>
      <c r="AO11" s="906">
        <f>(IF('Water Report'!$M$9&gt;0,'Water Report'!$M$9,0))</f>
        <v>56</v>
      </c>
      <c r="AP11" s="906">
        <f>(IF('Water Report'!$M$10&gt;0,'Water Report'!$M$10,0))</f>
        <v>20</v>
      </c>
      <c r="AQ11" s="906">
        <f>(IF('Water Report'!$M$11&gt;0,'Water Report'!$M$11,0))</f>
        <v>26</v>
      </c>
      <c r="AR11" s="906">
        <f>(IF('Water Report'!$M$13&gt;0,'Water Report'!$M$13,0))</f>
        <v>50</v>
      </c>
      <c r="AS11" s="906">
        <f>(IF('Water Report'!$M$14&gt;0,'Water Report'!$M$14,0))</f>
        <v>10</v>
      </c>
      <c r="AT11" s="906">
        <f>(IF('Water Report'!$M$15&gt;0,'Water Report'!$M$15,0))</f>
        <v>12</v>
      </c>
      <c r="AU11" s="906">
        <f>(IF('Water Report'!$M$17&gt;0,'Water Report'!$M$17,0))</f>
        <v>0</v>
      </c>
      <c r="AV11" s="906">
        <f>(IF('Water Report'!$M$18&gt;0,'Water Report'!$M$18,0))</f>
        <v>7</v>
      </c>
      <c r="AW11" s="906">
        <f>(IF('Water Report'!$M$19&gt;0,'Water Report'!$M$19,0))</f>
        <v>6</v>
      </c>
      <c r="AX11" s="981">
        <f>(IF('Water Report'!$M$21&gt;0,'Water Report'!$M$21,0))</f>
        <v>129</v>
      </c>
      <c r="AY11" s="981">
        <f>(IF('Water Report'!$M$22&gt;0,'Water Report'!$M$22,0))</f>
        <v>0</v>
      </c>
      <c r="AZ11" s="981">
        <f>(IF('Water Report'!$M$23&gt;0,'Water Report'!$M$23,0))</f>
        <v>2</v>
      </c>
      <c r="BA11" s="981">
        <f>(IF('Water Report'!$M$14&gt;0,'Water Report'!$M$14,0))</f>
        <v>10</v>
      </c>
      <c r="BB11" s="981">
        <f>(IF('Water Report'!$M$15&gt;0,'Water Report'!$M$15,0))</f>
        <v>12</v>
      </c>
      <c r="BC11" s="981">
        <f>(IF('Water Report'!$M$13&gt;0,'Water Report'!$M$13,0))</f>
        <v>50</v>
      </c>
      <c r="BD11" s="981">
        <f>(IF('Water Report'!$M$24&gt;0,'Water Report'!$M$24,0))</f>
        <v>197</v>
      </c>
      <c r="BE11" s="981">
        <f>(IF('Water Report'!$M$25&gt;0,'Water Report'!$M$25,0))</f>
        <v>124</v>
      </c>
      <c r="BF11" s="981">
        <f>(IF('Water Report'!$M$27&gt;0,'Water Report'!$M$27,0))</f>
        <v>181</v>
      </c>
      <c r="BG11" s="907">
        <f>(IF('Section Load'!AN14&gt;0,'Section Load'!AN14,0))</f>
        <v>796</v>
      </c>
      <c r="BH11" s="907">
        <f>(IF('Section Load'!AO14&gt;0,'Section Load'!AO14,0))</f>
        <v>229</v>
      </c>
      <c r="BI11" s="907">
        <f>(IF('Section Load'!AP14&gt;0,'Section Load'!AP14,0))</f>
        <v>0</v>
      </c>
      <c r="BJ11" s="907">
        <f>(IF('Section Load'!AQ14&gt;0,'Section Load'!AQ14,0))</f>
        <v>90</v>
      </c>
      <c r="BK11" s="907">
        <f>(IF('Section Load'!AR14&gt;0,'Section Load'!AR14,0))</f>
        <v>36</v>
      </c>
      <c r="BL11" s="907">
        <f>(IF('Section Load'!AS14&gt;0,'Section Load'!AS14,0))</f>
        <v>2</v>
      </c>
      <c r="BM11" s="907">
        <f>(IF('Section Load'!AT14&gt;0,'Section Load'!AT14,0))</f>
        <v>439</v>
      </c>
    </row>
    <row r="12" spans="1:65">
      <c r="A12" s="893" t="s">
        <v>289</v>
      </c>
      <c r="B12" s="894">
        <f t="shared" si="0"/>
        <v>11</v>
      </c>
      <c r="C12" s="894">
        <v>9</v>
      </c>
      <c r="D12" s="894">
        <v>2021</v>
      </c>
      <c r="E12" s="905">
        <f>(IF('Section Load'!F15&gt;0,'Section Load'!F15,0))</f>
        <v>4510</v>
      </c>
      <c r="F12" s="905">
        <f>(IF('Section Load'!G15&gt;0,'Section Load'!G15,0))</f>
        <v>1694</v>
      </c>
      <c r="G12" s="905">
        <f>(IF('Section Load'!H15&gt;0,'Section Load'!H15,0))</f>
        <v>1618</v>
      </c>
      <c r="H12" s="905">
        <f>(IF('Section Load'!I15&gt;0,'Section Load'!I15,0))</f>
        <v>3836</v>
      </c>
      <c r="I12" s="905">
        <f>(IF('Section Load'!J15&gt;0,'Section Load'!J15,0))</f>
        <v>6766</v>
      </c>
      <c r="J12" s="905">
        <f>(IF('Section Load'!K15&gt;0,'Section Load'!K15,0))</f>
        <v>2593</v>
      </c>
      <c r="K12" s="905">
        <f>(IF('Section Load'!L15&gt;0,'Section Load'!L15,0))</f>
        <v>997</v>
      </c>
      <c r="L12" s="905">
        <f>(IF('Section Load'!M15&gt;0,'Section Load'!M15,0))</f>
        <v>553</v>
      </c>
      <c r="M12" s="905">
        <f>(IF('Section Load'!N15&gt;0,'Section Load'!N15,0))</f>
        <v>5</v>
      </c>
      <c r="N12" s="905">
        <f>(IF('Section Load'!O15&gt;0,'Section Load'!O15,0))</f>
        <v>0</v>
      </c>
      <c r="O12" s="905">
        <f>(IF('Section Load'!P15&gt;0,'Section Load'!P15,0))</f>
        <v>0</v>
      </c>
      <c r="P12" s="905">
        <f>(IF('Section Load'!Q15&gt;0,'Section Load'!Q15,0))</f>
        <v>197</v>
      </c>
      <c r="Q12" s="905">
        <f>(IF('Section Load'!R15&gt;0,'Section Load'!R15,0))</f>
        <v>81</v>
      </c>
      <c r="R12" s="905">
        <f>(IF('Section Load'!S15&gt;0,'Section Load'!S15,0))</f>
        <v>49</v>
      </c>
      <c r="S12" s="905">
        <f>(IF('Section Load'!T15&gt;0,'Section Load'!T15,0))</f>
        <v>163</v>
      </c>
      <c r="T12" s="905">
        <f>(IF('Section Load'!U15&gt;0,'Section Load'!U15,0))</f>
        <v>171</v>
      </c>
      <c r="U12" s="905">
        <f>(IF('Section Load'!V15&gt;0,'Section Load'!V15,0))</f>
        <v>414</v>
      </c>
      <c r="V12" s="905">
        <f>(IF('Section Load'!W15&gt;0,'Section Load'!W15,0))</f>
        <v>145</v>
      </c>
      <c r="W12" s="905">
        <f>(IF('Section Load'!X15&gt;0,'Section Load'!X15,0))</f>
        <v>22</v>
      </c>
      <c r="X12" s="905">
        <f>(IF('Section Load'!Y15&gt;0,'Section Load'!Y15,0))</f>
        <v>186</v>
      </c>
      <c r="Y12" s="905">
        <f>(IF('Section Load'!Z15&gt;0,'Section Load'!Z15,0))</f>
        <v>240</v>
      </c>
      <c r="Z12" s="905">
        <f>(IF('Section Load'!AA15&gt;0,'Section Load'!AA15,0))</f>
        <v>42</v>
      </c>
      <c r="AA12" s="905">
        <f>(IF('Section Load'!AB15&gt;0,'Section Load'!AB15,0))</f>
        <v>14</v>
      </c>
      <c r="AB12" s="905">
        <f>(IF('Section Load'!AC15&gt;0,'Section Load'!AC15,0))</f>
        <v>0</v>
      </c>
      <c r="AC12" s="905">
        <f>(IF('Section Load'!AD15&gt;0,'Section Load'!AD15,0))</f>
        <v>18</v>
      </c>
      <c r="AD12" s="905">
        <f>(IF('Section Load'!AE15&gt;0,'Section Load'!AE15,0))</f>
        <v>0</v>
      </c>
      <c r="AE12" s="905">
        <f>(IF('Section Load'!AF15&gt;0,'Section Load'!AF15,0))</f>
        <v>10</v>
      </c>
      <c r="AF12" s="905">
        <f>(IF('Section Load'!AG15&gt;0,'Section Load'!AG15,0))</f>
        <v>391</v>
      </c>
      <c r="AG12" s="905">
        <f>(IF('Section Load'!AH15&gt;0,'Section Load'!AH15,0))</f>
        <v>384</v>
      </c>
      <c r="AH12" s="905">
        <f>(IF('Section Load'!AI15&gt;0,'Section Load'!AI15,0))</f>
        <v>404</v>
      </c>
      <c r="AI12" s="905">
        <f>(IF('Section Load'!AJ15&gt;0,'Section Load'!AJ15,0))</f>
        <v>498</v>
      </c>
      <c r="AJ12" s="905">
        <f>(IF('Section Load'!AK15&gt;0,'Section Load'!AK15,0))</f>
        <v>114</v>
      </c>
      <c r="AK12" s="905">
        <f>(IF('Section Load'!AL15&gt;0,'Section Load'!AL15,0))</f>
        <v>300</v>
      </c>
      <c r="AL12" s="905">
        <f>(IF('Section Load'!AM15&gt;0,'Section Load'!AM15,0))</f>
        <v>712</v>
      </c>
      <c r="AM12" s="906">
        <f>(IF('Water Report'!$N$7&gt;0,'Water Report'!$N$7,0))</f>
        <v>83</v>
      </c>
      <c r="AN12" s="906">
        <f>(IF('Water Report'!$N$8&gt;0,'Water Report'!$N$8,0))</f>
        <v>190</v>
      </c>
      <c r="AO12" s="906">
        <f>(IF('Water Report'!$N$9&gt;0,'Water Report'!$N$9,0))</f>
        <v>64</v>
      </c>
      <c r="AP12" s="906">
        <f>(IF('Water Report'!$N$10&gt;0,'Water Report'!$N$10,0))</f>
        <v>29</v>
      </c>
      <c r="AQ12" s="906">
        <f>(IF('Water Report'!$N$11&gt;0,'Water Report'!$N$11,0))</f>
        <v>39</v>
      </c>
      <c r="AR12" s="906">
        <f>(IF('Water Report'!$N$13&gt;0,'Water Report'!$N$13,0))</f>
        <v>12</v>
      </c>
      <c r="AS12" s="906">
        <f>(IF('Water Report'!$N$14&gt;0,'Water Report'!$N$14,0))</f>
        <v>0</v>
      </c>
      <c r="AT12" s="906">
        <f>(IF('Water Report'!$N$15&gt;0,'Water Report'!$N$15,0))</f>
        <v>7</v>
      </c>
      <c r="AU12" s="906">
        <f>(IF('Water Report'!$N$17&gt;0,'Water Report'!$N$17,0))</f>
        <v>0</v>
      </c>
      <c r="AV12" s="906">
        <f>(IF('Water Report'!$N$18&gt;0,'Water Report'!$N$18,0))</f>
        <v>7</v>
      </c>
      <c r="AW12" s="906">
        <f>(IF('Water Report'!$N$19&gt;0,'Water Report'!$N$19,0))</f>
        <v>7</v>
      </c>
      <c r="AX12" s="981">
        <f>(IF('Water Report'!$N$21&gt;0,'Water Report'!$N$21,0))</f>
        <v>18</v>
      </c>
      <c r="AY12" s="981">
        <f>(IF('Water Report'!$N$22&gt;0,'Water Report'!$N$22,0))</f>
        <v>0</v>
      </c>
      <c r="AZ12" s="981">
        <f>(IF('Water Report'!$N$23&gt;0,'Water Report'!$N$23,0))</f>
        <v>4</v>
      </c>
      <c r="BA12" s="981">
        <f>(IF('Water Report'!$N$14&gt;0,'Water Report'!$N$14,0))</f>
        <v>0</v>
      </c>
      <c r="BB12" s="981">
        <f>(IF('Water Report'!$N$15&gt;0,'Water Report'!$N$15,0))</f>
        <v>7</v>
      </c>
      <c r="BC12" s="981">
        <f>(IF('Water Report'!$N$13&gt;0,'Water Report'!$N$13,0))</f>
        <v>12</v>
      </c>
      <c r="BD12" s="981">
        <f>(IF('Water Report'!$N$24&gt;0,'Water Report'!$N$24,0))</f>
        <v>211</v>
      </c>
      <c r="BE12" s="981">
        <f>(IF('Water Report'!$N$25&gt;0,'Water Report'!$N$25,0))</f>
        <v>139</v>
      </c>
      <c r="BF12" s="981">
        <f>(IF('Water Report'!$N$27&gt;0,'Water Report'!$N$27,0))</f>
        <v>34</v>
      </c>
      <c r="BG12" s="907">
        <f>(IF('Section Load'!AN15&gt;0,'Section Load'!AN15,0))</f>
        <v>881</v>
      </c>
      <c r="BH12" s="907">
        <f>(IF('Section Load'!AO15&gt;0,'Section Load'!AO15,0))</f>
        <v>270</v>
      </c>
      <c r="BI12" s="907">
        <f>(IF('Section Load'!AP15&gt;0,'Section Load'!AP15,0))</f>
        <v>0</v>
      </c>
      <c r="BJ12" s="907">
        <f>(IF('Section Load'!AQ15&gt;0,'Section Load'!AQ15,0))</f>
        <v>76</v>
      </c>
      <c r="BK12" s="907">
        <f>(IF('Section Load'!AR15&gt;0,'Section Load'!AR15,0))</f>
        <v>47</v>
      </c>
      <c r="BL12" s="907">
        <f>(IF('Section Load'!AS15&gt;0,'Section Load'!AS15,0))</f>
        <v>2</v>
      </c>
      <c r="BM12" s="907">
        <f>(IF('Section Load'!AT15&gt;0,'Section Load'!AT15,0))</f>
        <v>486</v>
      </c>
    </row>
    <row r="13" spans="1:65">
      <c r="A13" s="893" t="s">
        <v>289</v>
      </c>
      <c r="B13" s="894">
        <f t="shared" si="0"/>
        <v>12</v>
      </c>
      <c r="C13" s="894">
        <v>9</v>
      </c>
      <c r="D13" s="894">
        <v>2021</v>
      </c>
      <c r="E13" s="905">
        <f>(IF('Section Load'!F16&gt;0,'Section Load'!F16,0))</f>
        <v>4641.6299999999974</v>
      </c>
      <c r="F13" s="905">
        <f>(IF('Section Load'!G16&gt;0,'Section Load'!G16,0))</f>
        <v>1706.5900000000001</v>
      </c>
      <c r="G13" s="905">
        <f>(IF('Section Load'!H16&gt;0,'Section Load'!H16,0))</f>
        <v>1663.3499999999985</v>
      </c>
      <c r="H13" s="905">
        <f>(IF('Section Load'!I16&gt;0,'Section Load'!I16,0))</f>
        <v>3783.25</v>
      </c>
      <c r="I13" s="905">
        <f>(IF('Section Load'!J16&gt;0,'Section Load'!J16,0))</f>
        <v>6958.9799999999232</v>
      </c>
      <c r="J13" s="905">
        <f>(IF('Section Load'!K16&gt;0,'Section Load'!K16,0))</f>
        <v>2648</v>
      </c>
      <c r="K13" s="905">
        <f>(IF('Section Load'!L16&gt;0,'Section Load'!L16,0))</f>
        <v>1184.9899999999907</v>
      </c>
      <c r="L13" s="905">
        <f>(IF('Section Load'!M16&gt;0,'Section Load'!M16,0))</f>
        <v>713.60000000000036</v>
      </c>
      <c r="M13" s="905">
        <f>(IF('Section Load'!N16&gt;0,'Section Load'!N16,0))</f>
        <v>6</v>
      </c>
      <c r="N13" s="905">
        <f>(IF('Section Load'!O16&gt;0,'Section Load'!O16,0))</f>
        <v>0</v>
      </c>
      <c r="O13" s="905">
        <f>(IF('Section Load'!P16&gt;0,'Section Load'!P16,0))</f>
        <v>0</v>
      </c>
      <c r="P13" s="905">
        <f>(IF('Section Load'!Q16&gt;0,'Section Load'!Q16,0))</f>
        <v>138.18000000000029</v>
      </c>
      <c r="Q13" s="905">
        <f>(IF('Section Load'!R16&gt;0,'Section Load'!R16,0))</f>
        <v>54.920000000000073</v>
      </c>
      <c r="R13" s="905">
        <f>(IF('Section Load'!S16&gt;0,'Section Load'!S16,0))</f>
        <v>45</v>
      </c>
      <c r="S13" s="905">
        <f>(IF('Section Load'!T16&gt;0,'Section Load'!T16,0))</f>
        <v>109</v>
      </c>
      <c r="T13" s="905">
        <f>(IF('Section Load'!U16&gt;0,'Section Load'!U16,0))</f>
        <v>155</v>
      </c>
      <c r="U13" s="905">
        <f>(IF('Section Load'!V16&gt;0,'Section Load'!V16,0))</f>
        <v>405.43999999994412</v>
      </c>
      <c r="V13" s="905">
        <f>(IF('Section Load'!W16&gt;0,'Section Load'!W16,0))</f>
        <v>163.52000000001863</v>
      </c>
      <c r="W13" s="905">
        <f>(IF('Section Load'!X16&gt;0,'Section Load'!X16,0))</f>
        <v>28.9</v>
      </c>
      <c r="X13" s="905">
        <f>(IF('Section Load'!Y16&gt;0,'Section Load'!Y16,0))</f>
        <v>195.97999999999593</v>
      </c>
      <c r="Y13" s="905">
        <f>(IF('Section Load'!Z16&gt;0,'Section Load'!Z16,0))</f>
        <v>276</v>
      </c>
      <c r="Z13" s="905">
        <f>(IF('Section Load'!AA16&gt;0,'Section Load'!AA16,0))</f>
        <v>40.039999999979045</v>
      </c>
      <c r="AA13" s="905">
        <f>(IF('Section Load'!AB16&gt;0,'Section Load'!AB16,0))</f>
        <v>6.6000000000058208</v>
      </c>
      <c r="AB13" s="905">
        <f>(IF('Section Load'!AC16&gt;0,'Section Load'!AC16,0))</f>
        <v>0</v>
      </c>
      <c r="AC13" s="905">
        <f>(IF('Section Load'!AD16&gt;0,'Section Load'!AD16,0))</f>
        <v>11.20000000000573</v>
      </c>
      <c r="AD13" s="905">
        <f>(IF('Section Load'!AE16&gt;0,'Section Load'!AE16,0))</f>
        <v>0</v>
      </c>
      <c r="AE13" s="905">
        <f>(IF('Section Load'!AF16&gt;0,'Section Load'!AF16,0))</f>
        <v>0</v>
      </c>
      <c r="AF13" s="905">
        <f>(IF('Section Load'!AG16&gt;0,'Section Load'!AG16,0))</f>
        <v>365.25</v>
      </c>
      <c r="AG13" s="905">
        <f>(IF('Section Load'!AH16&gt;0,'Section Load'!AH16,0))</f>
        <v>361.75</v>
      </c>
      <c r="AH13" s="905">
        <f>(IF('Section Load'!AI16&gt;0,'Section Load'!AI16,0))</f>
        <v>406.77999999999884</v>
      </c>
      <c r="AI13" s="905">
        <f>(IF('Section Load'!AJ16&gt;0,'Section Load'!AJ16,0))</f>
        <v>470.3300000000163</v>
      </c>
      <c r="AJ13" s="905">
        <f>(IF('Section Load'!AK16&gt;0,'Section Load'!AK16,0))</f>
        <v>287.25999999999476</v>
      </c>
      <c r="AK13" s="905">
        <f>(IF('Section Load'!AL16&gt;0,'Section Load'!AL16,0))</f>
        <v>303.11000000000058</v>
      </c>
      <c r="AL13" s="905">
        <f>(IF('Section Load'!AM16&gt;0,'Section Load'!AM16,0))</f>
        <v>670</v>
      </c>
      <c r="AM13" s="906">
        <f>(IF('Water Report'!$O$7&gt;0,'Water Report'!$O$7,0))</f>
        <v>105</v>
      </c>
      <c r="AN13" s="906">
        <f>(IF('Water Report'!$O$8&gt;0,'Water Report'!$O$8,0))</f>
        <v>168</v>
      </c>
      <c r="AO13" s="906">
        <f>(IF('Water Report'!$O$9&gt;0,'Water Report'!$O$9,0))</f>
        <v>70</v>
      </c>
      <c r="AP13" s="906">
        <f>(IF('Water Report'!$O$10&gt;0,'Water Report'!$O$10,0))</f>
        <v>35</v>
      </c>
      <c r="AQ13" s="906">
        <f>(IF('Water Report'!$O$11&gt;0,'Water Report'!$O$11,0))</f>
        <v>33</v>
      </c>
      <c r="AR13" s="906">
        <f>(IF('Water Report'!$O$13&gt;0,'Water Report'!$O$13,0))</f>
        <v>25</v>
      </c>
      <c r="AS13" s="906">
        <f>(IF('Water Report'!$O$14&gt;0,'Water Report'!$O$14,0))</f>
        <v>30</v>
      </c>
      <c r="AT13" s="906">
        <f>(IF('Water Report'!$O$15&gt;0,'Water Report'!$O$15,0))</f>
        <v>15</v>
      </c>
      <c r="AU13" s="906">
        <f>(IF('Water Report'!$O$17&gt;0,'Water Report'!$O$17,0))</f>
        <v>0</v>
      </c>
      <c r="AV13" s="906">
        <f>(IF('Water Report'!$O$18&gt;0,'Water Report'!$O$18,0))</f>
        <v>10</v>
      </c>
      <c r="AW13" s="906">
        <f>(IF('Water Report'!$O$19&gt;0,'Water Report'!$O$19,0))</f>
        <v>9</v>
      </c>
      <c r="AX13" s="981">
        <f>(IF('Water Report'!$O$21&gt;0,'Water Report'!$O$21,0))</f>
        <v>57</v>
      </c>
      <c r="AY13" s="981">
        <f>(IF('Water Report'!$O$22&gt;0,'Water Report'!$O$22,0))</f>
        <v>0</v>
      </c>
      <c r="AZ13" s="981">
        <f>(IF('Water Report'!$O$23&gt;0,'Water Report'!$O$23,0))</f>
        <v>5</v>
      </c>
      <c r="BA13" s="981">
        <f>(IF('Water Report'!$O$14&gt;0,'Water Report'!$O$14,0))</f>
        <v>30</v>
      </c>
      <c r="BB13" s="981">
        <f>(IF('Water Report'!$O$15&gt;0,'Water Report'!$O$15,0))</f>
        <v>15</v>
      </c>
      <c r="BC13" s="981">
        <f>(IF('Water Report'!$O$13&gt;0,'Water Report'!$O$13,0))</f>
        <v>25</v>
      </c>
      <c r="BD13" s="981">
        <f>(IF('Water Report'!$O$24&gt;0,'Water Report'!$O$24,0))</f>
        <v>223</v>
      </c>
      <c r="BE13" s="981">
        <f>(IF('Water Report'!$O$25&gt;0,'Water Report'!$O$25,0))</f>
        <v>183</v>
      </c>
      <c r="BF13" s="981">
        <f>(IF('Water Report'!$O$27&gt;0,'Water Report'!$O$27,0))</f>
        <v>87</v>
      </c>
      <c r="BG13" s="907">
        <f>(IF('Section Load'!AN16&gt;0,'Section Load'!AN16,0))</f>
        <v>916.83100000000559</v>
      </c>
      <c r="BH13" s="907">
        <f>(IF('Section Load'!AO16&gt;0,'Section Load'!AO16,0))</f>
        <v>282.02000000001863</v>
      </c>
      <c r="BI13" s="907">
        <f>(IF('Section Load'!AP16&gt;0,'Section Load'!AP16,0))</f>
        <v>0</v>
      </c>
      <c r="BJ13" s="907">
        <f>(IF('Section Load'!AQ16&gt;0,'Section Load'!AQ16,0))</f>
        <v>85.089999999996508</v>
      </c>
      <c r="BK13" s="907">
        <f>(IF('Section Load'!AR16&gt;0,'Section Load'!AR16,0))</f>
        <v>43.599999999998545</v>
      </c>
      <c r="BL13" s="907">
        <f>(IF('Section Load'!AS16&gt;0,'Section Load'!AS16,0))</f>
        <v>3.5</v>
      </c>
      <c r="BM13" s="907">
        <f>(IF('Section Load'!AT16&gt;0,'Section Load'!AT16,0))</f>
        <v>503.02099999998609</v>
      </c>
    </row>
    <row r="14" spans="1:65">
      <c r="A14" s="893" t="s">
        <v>289</v>
      </c>
      <c r="B14" s="894">
        <f t="shared" si="0"/>
        <v>13</v>
      </c>
      <c r="C14" s="894">
        <v>9</v>
      </c>
      <c r="D14" s="894">
        <v>2021</v>
      </c>
      <c r="E14" s="905">
        <f>(IF('Section Load'!F17&gt;0,'Section Load'!F17,0))</f>
        <v>305211.37</v>
      </c>
      <c r="F14" s="905">
        <f>(IF('Section Load'!G17&gt;0,'Section Load'!G17,0))</f>
        <v>368339.28</v>
      </c>
      <c r="G14" s="905">
        <f>(IF('Section Load'!H17&gt;0,'Section Load'!H17,0))</f>
        <v>785104.72</v>
      </c>
      <c r="H14" s="905">
        <f>(IF('Section Load'!I17&gt;0,'Section Load'!I17,0))</f>
        <v>953761.75</v>
      </c>
      <c r="I14" s="905">
        <f>(IF('Section Load'!J17&gt;0,'Section Load'!J17,0))</f>
        <v>0</v>
      </c>
      <c r="J14" s="905">
        <f>(IF('Section Load'!K17&gt;0,'Section Load'!K17,0))</f>
        <v>0</v>
      </c>
      <c r="K14" s="905">
        <f>(IF('Section Load'!L17&gt;0,'Section Load'!L17,0))</f>
        <v>0</v>
      </c>
      <c r="L14" s="905">
        <f>(IF('Section Load'!M17&gt;0,'Section Load'!M17,0))</f>
        <v>46200</v>
      </c>
      <c r="M14" s="905">
        <f>(IF('Section Load'!N17&gt;0,'Section Load'!N17,0))</f>
        <v>0</v>
      </c>
      <c r="N14" s="905">
        <f>(IF('Section Load'!O17&gt;0,'Section Load'!O17,0))</f>
        <v>0</v>
      </c>
      <c r="O14" s="905">
        <f>(IF('Section Load'!P17&gt;0,'Section Load'!P17,0))</f>
        <v>0</v>
      </c>
      <c r="P14" s="905">
        <f>(IF('Section Load'!Q17&gt;0,'Section Load'!Q17,0))</f>
        <v>0</v>
      </c>
      <c r="Q14" s="905">
        <f>(IF('Section Load'!R17&gt;0,'Section Load'!R17,0))</f>
        <v>0</v>
      </c>
      <c r="R14" s="905">
        <f>(IF('Section Load'!S17&gt;0,'Section Load'!S17,0))</f>
        <v>0</v>
      </c>
      <c r="S14" s="905">
        <f>(IF('Section Load'!T17&gt;0,'Section Load'!T17,0))</f>
        <v>0</v>
      </c>
      <c r="T14" s="905">
        <f>(IF('Section Load'!U17&gt;0,'Section Load'!U17,0))</f>
        <v>0</v>
      </c>
      <c r="U14" s="905">
        <f>(IF('Section Load'!V17&gt;0,'Section Load'!V17,0))</f>
        <v>0</v>
      </c>
      <c r="V14" s="905">
        <f>(IF('Section Load'!W17&gt;0,'Section Load'!W17,0))</f>
        <v>0</v>
      </c>
      <c r="W14" s="905">
        <f>(IF('Section Load'!X17&gt;0,'Section Load'!X17,0))</f>
        <v>109528.1</v>
      </c>
      <c r="X14" s="905">
        <f>(IF('Section Load'!Y17&gt;0,'Section Load'!Y17,0))</f>
        <v>0</v>
      </c>
      <c r="Y14" s="905">
        <f>(IF('Section Load'!Z17&gt;0,'Section Load'!Z17,0))</f>
        <v>0</v>
      </c>
      <c r="Z14" s="905">
        <f>(IF('Section Load'!AA17&gt;0,'Section Load'!AA17,0))</f>
        <v>0</v>
      </c>
      <c r="AA14" s="905">
        <f>(IF('Section Load'!AB17&gt;0,'Section Load'!AB17,0))</f>
        <v>0</v>
      </c>
      <c r="AB14" s="905">
        <f>(IF('Section Load'!AC17&gt;0,'Section Load'!AC17,0))</f>
        <v>0</v>
      </c>
      <c r="AC14" s="905">
        <f>(IF('Section Load'!AD17&gt;0,'Section Load'!AD17,0))</f>
        <v>0</v>
      </c>
      <c r="AD14" s="905">
        <f>(IF('Section Load'!AE17&gt;0,'Section Load'!AE17,0))</f>
        <v>0</v>
      </c>
      <c r="AE14" s="905">
        <f>(IF('Section Load'!AF17&gt;0,'Section Load'!AF17,0))</f>
        <v>0</v>
      </c>
      <c r="AF14" s="905">
        <f>(IF('Section Load'!AG17&gt;0,'Section Load'!AG17,0))</f>
        <v>0</v>
      </c>
      <c r="AG14" s="905">
        <f>(IF('Section Load'!AH17&gt;0,'Section Load'!AH17,0))</f>
        <v>0</v>
      </c>
      <c r="AH14" s="905">
        <f>(IF('Section Load'!AI17&gt;0,'Section Load'!AI17,0))</f>
        <v>0</v>
      </c>
      <c r="AI14" s="905">
        <f>(IF('Section Load'!AJ17&gt;0,'Section Load'!AJ17,0))</f>
        <v>0</v>
      </c>
      <c r="AJ14" s="905">
        <f>(IF('Section Load'!AK17&gt;0,'Section Load'!AK17,0))</f>
        <v>0</v>
      </c>
      <c r="AK14" s="905">
        <f>(IF('Section Load'!AL17&gt;0,'Section Load'!AL17,0))</f>
        <v>0</v>
      </c>
      <c r="AL14" s="905">
        <f>(IF('Section Load'!AM17&gt;0,'Section Load'!AM17,0))</f>
        <v>0</v>
      </c>
      <c r="AM14" s="906">
        <f>(IF('Water Report'!$P$7&gt;0,'Water Report'!$P$7,0))</f>
        <v>0</v>
      </c>
      <c r="AN14" s="906">
        <f>(IF('Water Report'!$P$8&gt;0,'Water Report'!$P$8,0))</f>
        <v>0</v>
      </c>
      <c r="AO14" s="906">
        <f>(IF('Water Report'!$P$9&gt;0,'Water Report'!$P$9,0))</f>
        <v>0</v>
      </c>
      <c r="AP14" s="906">
        <f>(IF('Water Report'!$P$10&gt;0,'Water Report'!$P$10,0))</f>
        <v>0</v>
      </c>
      <c r="AQ14" s="906">
        <f>(IF('Water Report'!$P$11&gt;0,'Water Report'!$P$11,0))</f>
        <v>0</v>
      </c>
      <c r="AR14" s="906">
        <f>(IF('Water Report'!$P$13&gt;0,'Water Report'!$P$13,0))</f>
        <v>0</v>
      </c>
      <c r="AS14" s="906">
        <f>(IF('Water Report'!$P$14&gt;0,'Water Report'!$P$14,0))</f>
        <v>0</v>
      </c>
      <c r="AT14" s="906">
        <f>(IF('Water Report'!$P$15&gt;0,'Water Report'!$P$15,0))</f>
        <v>0</v>
      </c>
      <c r="AU14" s="906">
        <f>(IF('Water Report'!$P$17&gt;0,'Water Report'!$P$17,0))</f>
        <v>0</v>
      </c>
      <c r="AV14" s="906">
        <f>(IF('Water Report'!$P$18&gt;0,'Water Report'!$P$18,0))</f>
        <v>9</v>
      </c>
      <c r="AW14" s="906">
        <f>(IF('Water Report'!$P$19&gt;0,'Water Report'!$P$19,0))</f>
        <v>0</v>
      </c>
      <c r="AX14" s="981">
        <f>(IF('Water Report'!$P$21&gt;0,'Water Report'!$P$21,0))</f>
        <v>0</v>
      </c>
      <c r="AY14" s="981">
        <f>(IF('Water Report'!$P$22&gt;0,'Water Report'!$P$22,0))</f>
        <v>0</v>
      </c>
      <c r="AZ14" s="981">
        <f>(IF('Water Report'!$P$23&gt;0,'Water Report'!$P$23,0))</f>
        <v>0</v>
      </c>
      <c r="BA14" s="981">
        <f>(IF('Water Report'!$P$14&gt;0,'Water Report'!$P$14,0))</f>
        <v>0</v>
      </c>
      <c r="BB14" s="981">
        <f>(IF('Water Report'!$P$15&gt;0,'Water Report'!$P$15,0))</f>
        <v>0</v>
      </c>
      <c r="BC14" s="981">
        <f>(IF('Water Report'!$P$13&gt;0,'Water Report'!$P$13,0))</f>
        <v>0</v>
      </c>
      <c r="BD14" s="981">
        <f>(IF('Water Report'!$P$24&gt;0,'Water Report'!$P$24,0))</f>
        <v>0</v>
      </c>
      <c r="BE14" s="981">
        <f>(IF('Water Report'!$P$25&gt;0,'Water Report'!$P$25,0))</f>
        <v>0</v>
      </c>
      <c r="BF14" s="981">
        <f>(IF('Water Report'!$P$27&gt;0,'Water Report'!$P$27,0))</f>
        <v>0</v>
      </c>
      <c r="BG14" s="907">
        <f>(IF('Section Load'!AN17&gt;0,'Section Load'!AN17,0))</f>
        <v>0</v>
      </c>
      <c r="BH14" s="907">
        <f>(IF('Section Load'!AO17&gt;0,'Section Load'!AO17,0))</f>
        <v>0</v>
      </c>
      <c r="BI14" s="907">
        <f>(IF('Section Load'!AP17&gt;0,'Section Load'!AP17,0))</f>
        <v>0</v>
      </c>
      <c r="BJ14" s="907">
        <f>(IF('Section Load'!AQ17&gt;0,'Section Load'!AQ17,0))</f>
        <v>0</v>
      </c>
      <c r="BK14" s="907">
        <f>(IF('Section Load'!AR17&gt;0,'Section Load'!AR17,0))</f>
        <v>0</v>
      </c>
      <c r="BL14" s="907">
        <f>(IF('Section Load'!AS17&gt;0,'Section Load'!AS17,0))</f>
        <v>0</v>
      </c>
      <c r="BM14" s="907">
        <f>(IF('Section Load'!AT17&gt;0,'Section Load'!AT17,0))</f>
        <v>0</v>
      </c>
    </row>
    <row r="15" spans="1:65">
      <c r="A15" s="893" t="s">
        <v>289</v>
      </c>
      <c r="B15" s="894">
        <f t="shared" si="0"/>
        <v>14</v>
      </c>
      <c r="C15" s="894">
        <v>9</v>
      </c>
      <c r="D15" s="894">
        <v>2021</v>
      </c>
      <c r="E15" s="905">
        <f>(IF('Section Load'!F18&gt;0,'Section Load'!F18,0))</f>
        <v>3064</v>
      </c>
      <c r="F15" s="905">
        <f>(IF('Section Load'!G18&gt;0,'Section Load'!G18,0))</f>
        <v>1554</v>
      </c>
      <c r="G15" s="905">
        <f>(IF('Section Load'!H18&gt;0,'Section Load'!H18,0))</f>
        <v>1717</v>
      </c>
      <c r="H15" s="905">
        <f>(IF('Section Load'!I18&gt;0,'Section Load'!I18,0))</f>
        <v>3673.5900000000256</v>
      </c>
      <c r="I15" s="905">
        <f>(IF('Section Load'!J18&gt;0,'Section Load'!J18,0))</f>
        <v>6022</v>
      </c>
      <c r="J15" s="905">
        <f>(IF('Section Load'!K18&gt;0,'Section Load'!K18,0))</f>
        <v>2490</v>
      </c>
      <c r="K15" s="905">
        <f>(IF('Section Load'!L18&gt;0,'Section Load'!L18,0))</f>
        <v>986</v>
      </c>
      <c r="L15" s="905">
        <f>(IF('Section Load'!M18&gt;0,'Section Load'!M18,0))</f>
        <v>633.40000000000146</v>
      </c>
      <c r="M15" s="905">
        <f>(IF('Section Load'!N18&gt;0,'Section Load'!N18,0))</f>
        <v>12</v>
      </c>
      <c r="N15" s="905">
        <f>(IF('Section Load'!O18&gt;0,'Section Load'!O18,0))</f>
        <v>1</v>
      </c>
      <c r="O15" s="905">
        <f>(IF('Section Load'!P18&gt;0,'Section Load'!P18,0))</f>
        <v>72</v>
      </c>
      <c r="P15" s="905">
        <f>(IF('Section Load'!Q18&gt;0,'Section Load'!Q18,0))</f>
        <v>176.79999999999927</v>
      </c>
      <c r="Q15" s="905">
        <f>(IF('Section Load'!R18&gt;0,'Section Load'!R18,0))</f>
        <v>51.899999999999636</v>
      </c>
      <c r="R15" s="905">
        <f>(IF('Section Load'!S18&gt;0,'Section Load'!S18,0))</f>
        <v>51</v>
      </c>
      <c r="S15" s="905">
        <f>(IF('Section Load'!T18&gt;0,'Section Load'!T18,0))</f>
        <v>83</v>
      </c>
      <c r="T15" s="905">
        <f>(IF('Section Load'!U18&gt;0,'Section Load'!U18,0))</f>
        <v>166</v>
      </c>
      <c r="U15" s="905">
        <f>(IF('Section Load'!V18&gt;0,'Section Load'!V18,0))</f>
        <v>414</v>
      </c>
      <c r="V15" s="905">
        <f>(IF('Section Load'!W18&gt;0,'Section Load'!W18,0))</f>
        <v>172</v>
      </c>
      <c r="W15" s="905">
        <f>(IF('Section Load'!X18&gt;0,'Section Load'!X18,0))</f>
        <v>21</v>
      </c>
      <c r="X15" s="905">
        <f>(IF('Section Load'!Y18&gt;0,'Section Load'!Y18,0))</f>
        <v>197.89999999999418</v>
      </c>
      <c r="Y15" s="905">
        <f>(IF('Section Load'!Z18&gt;0,'Section Load'!Z18,0))</f>
        <v>297</v>
      </c>
      <c r="Z15" s="905">
        <f>(IF('Section Load'!AA18&gt;0,'Section Load'!AA18,0))</f>
        <v>8</v>
      </c>
      <c r="AA15" s="905">
        <f>(IF('Section Load'!AB18&gt;0,'Section Load'!AB18,0))</f>
        <v>24</v>
      </c>
      <c r="AB15" s="905">
        <f>(IF('Section Load'!AC18&gt;0,'Section Load'!AC18,0))</f>
        <v>0</v>
      </c>
      <c r="AC15" s="905">
        <f>(IF('Section Load'!AD18&gt;0,'Section Load'!AD18,0))</f>
        <v>25</v>
      </c>
      <c r="AD15" s="905">
        <f>(IF('Section Load'!AE18&gt;0,'Section Load'!AE18,0))</f>
        <v>0</v>
      </c>
      <c r="AE15" s="905">
        <f>(IF('Section Load'!AF18&gt;0,'Section Load'!AF18,0))</f>
        <v>0</v>
      </c>
      <c r="AF15" s="905">
        <f>(IF('Section Load'!AG18&gt;0,'Section Load'!AG18,0))</f>
        <v>359</v>
      </c>
      <c r="AG15" s="905">
        <f>(IF('Section Load'!AH18&gt;0,'Section Load'!AH18,0))</f>
        <v>26</v>
      </c>
      <c r="AH15" s="905">
        <f>(IF('Section Load'!AI18&gt;0,'Section Load'!AI18,0))</f>
        <v>408</v>
      </c>
      <c r="AI15" s="905">
        <f>(IF('Section Load'!AJ18&gt;0,'Section Load'!AJ18,0))</f>
        <v>466</v>
      </c>
      <c r="AJ15" s="905">
        <f>(IF('Section Load'!AK18&gt;0,'Section Load'!AK18,0))</f>
        <v>0</v>
      </c>
      <c r="AK15" s="905">
        <f>(IF('Section Load'!AL18&gt;0,'Section Load'!AL18,0))</f>
        <v>303</v>
      </c>
      <c r="AL15" s="905">
        <f>(IF('Section Load'!AM18&gt;0,'Section Load'!AM18,0))</f>
        <v>807</v>
      </c>
      <c r="AM15" s="906">
        <f>(IF('Water Report'!$Q$7&gt;0,'Water Report'!$Q$7,0))</f>
        <v>83</v>
      </c>
      <c r="AN15" s="906">
        <f>(IF('Water Report'!$Q$8&gt;0,'Water Report'!$Q$8,0))</f>
        <v>179</v>
      </c>
      <c r="AO15" s="906">
        <f>(IF('Water Report'!$Q$9&gt;0,'Water Report'!$Q$9,0))</f>
        <v>69</v>
      </c>
      <c r="AP15" s="906">
        <f>(IF('Water Report'!$Q$10&gt;0,'Water Report'!$Q$10,0))</f>
        <v>22</v>
      </c>
      <c r="AQ15" s="906">
        <f>(IF('Water Report'!$Q$11&gt;0,'Water Report'!$Q$11,0))</f>
        <v>36</v>
      </c>
      <c r="AR15" s="906">
        <f>(IF('Water Report'!$Q$13&gt;0,'Water Report'!$Q$13,0))</f>
        <v>11</v>
      </c>
      <c r="AS15" s="906">
        <f>(IF('Water Report'!$Q$14&gt;0,'Water Report'!$Q$14,0))</f>
        <v>15</v>
      </c>
      <c r="AT15" s="906">
        <f>(IF('Water Report'!$Q$15&gt;0,'Water Report'!$Q$15,0))</f>
        <v>9</v>
      </c>
      <c r="AU15" s="906">
        <f>(IF('Water Report'!$Q$17&gt;0,'Water Report'!$Q$17,0))</f>
        <v>15</v>
      </c>
      <c r="AV15" s="906">
        <f>(IF('Water Report'!$Q$18&gt;0,'Water Report'!$Q$18,0))</f>
        <v>8</v>
      </c>
      <c r="AW15" s="906">
        <f>(IF('Water Report'!$Q$19&gt;0,'Water Report'!$Q$19,0))</f>
        <v>11</v>
      </c>
      <c r="AX15" s="981">
        <f>(IF('Water Report'!$Q$21&gt;0,'Water Report'!$Q$21,0))</f>
        <v>71</v>
      </c>
      <c r="AY15" s="981">
        <f>(IF('Water Report'!$Q$22&gt;0,'Water Report'!$Q$22,0))</f>
        <v>0</v>
      </c>
      <c r="AZ15" s="981">
        <f>(IF('Water Report'!$Q$23&gt;0,'Water Report'!$Q$23,0))</f>
        <v>0</v>
      </c>
      <c r="BA15" s="981">
        <f>(IF('Water Report'!$Q$14&gt;0,'Water Report'!$Q$14,0))</f>
        <v>15</v>
      </c>
      <c r="BB15" s="981">
        <f>(IF('Water Report'!$Q$15&gt;0,'Water Report'!$Q$15,0))</f>
        <v>9</v>
      </c>
      <c r="BC15" s="981">
        <f>(IF('Water Report'!$Q$13&gt;0,'Water Report'!$Q$13,0))</f>
        <v>11</v>
      </c>
      <c r="BD15" s="981">
        <f>(IF('Water Report'!$Q$24&gt;0,'Water Report'!$Q$24,0))</f>
        <v>223</v>
      </c>
      <c r="BE15" s="981">
        <f>(IF('Water Report'!$Q$25&gt;0,'Water Report'!$Q$25,0))</f>
        <v>151</v>
      </c>
      <c r="BF15" s="981">
        <f>(IF('Water Report'!$Q$27&gt;0,'Water Report'!$Q$27,0))</f>
        <v>82</v>
      </c>
      <c r="BG15" s="907">
        <f>(IF('Section Load'!AN18&gt;0,'Section Load'!AN18,0))</f>
        <v>1092</v>
      </c>
      <c r="BH15" s="907">
        <f>(IF('Section Load'!AO18&gt;0,'Section Load'!AO18,0))</f>
        <v>271</v>
      </c>
      <c r="BI15" s="907">
        <f>(IF('Section Load'!AP18&gt;0,'Section Load'!AP18,0))</f>
        <v>0.39999999999417923</v>
      </c>
      <c r="BJ15" s="907">
        <f>(IF('Section Load'!AQ18&gt;0,'Section Load'!AQ18,0))</f>
        <v>110</v>
      </c>
      <c r="BK15" s="907">
        <f>(IF('Section Load'!AR18&gt;0,'Section Load'!AR18,0))</f>
        <v>47</v>
      </c>
      <c r="BL15" s="907">
        <f>(IF('Section Load'!AS18&gt;0,'Section Load'!AS18,0))</f>
        <v>4</v>
      </c>
      <c r="BM15" s="907">
        <f>(IF('Section Load'!AT18&gt;0,'Section Load'!AT18,0))</f>
        <v>659.60000000000582</v>
      </c>
    </row>
    <row r="16" spans="1:65">
      <c r="A16" s="893" t="s">
        <v>289</v>
      </c>
      <c r="B16" s="894">
        <f t="shared" si="0"/>
        <v>15</v>
      </c>
      <c r="C16" s="894">
        <v>9</v>
      </c>
      <c r="D16" s="894">
        <v>2021</v>
      </c>
      <c r="E16" s="905">
        <f>(IF('Section Load'!F19&gt;0,'Section Load'!F19,0))</f>
        <v>2975</v>
      </c>
      <c r="F16" s="905">
        <f>(IF('Section Load'!G19&gt;0,'Section Load'!G19,0))</f>
        <v>1554</v>
      </c>
      <c r="G16" s="905">
        <f>(IF('Section Load'!H19&gt;0,'Section Load'!H19,0))</f>
        <v>1841.9300000000512</v>
      </c>
      <c r="H16" s="905">
        <f>(IF('Section Load'!I19&gt;0,'Section Load'!I19,0))</f>
        <v>3671.4099999999744</v>
      </c>
      <c r="I16" s="905">
        <f>(IF('Section Load'!J19&gt;0,'Section Load'!J19,0))</f>
        <v>6209</v>
      </c>
      <c r="J16" s="905">
        <f>(IF('Section Load'!K19&gt;0,'Section Load'!K19,0))</f>
        <v>2580</v>
      </c>
      <c r="K16" s="905">
        <f>(IF('Section Load'!L19&gt;0,'Section Load'!L19,0))</f>
        <v>1206</v>
      </c>
      <c r="L16" s="905">
        <f>(IF('Section Load'!M19&gt;0,'Section Load'!M19,0))</f>
        <v>823</v>
      </c>
      <c r="M16" s="905">
        <f>(IF('Section Load'!N19&gt;0,'Section Load'!N19,0))</f>
        <v>10</v>
      </c>
      <c r="N16" s="905">
        <f>(IF('Section Load'!O19&gt;0,'Section Load'!O19,0))</f>
        <v>1</v>
      </c>
      <c r="O16" s="905">
        <f>(IF('Section Load'!P19&gt;0,'Section Load'!P19,0))</f>
        <v>1</v>
      </c>
      <c r="P16" s="905">
        <f>(IF('Section Load'!Q19&gt;0,'Section Load'!Q19,0))</f>
        <v>179</v>
      </c>
      <c r="Q16" s="905">
        <f>(IF('Section Load'!R19&gt;0,'Section Load'!R19,0))</f>
        <v>47</v>
      </c>
      <c r="R16" s="905">
        <f>(IF('Section Load'!S19&gt;0,'Section Load'!S19,0))</f>
        <v>44</v>
      </c>
      <c r="S16" s="905">
        <f>(IF('Section Load'!T19&gt;0,'Section Load'!T19,0))</f>
        <v>75</v>
      </c>
      <c r="T16" s="905">
        <f>(IF('Section Load'!U19&gt;0,'Section Load'!U19,0))</f>
        <v>154</v>
      </c>
      <c r="U16" s="905">
        <f>(IF('Section Load'!V19&gt;0,'Section Load'!V19,0))</f>
        <v>424</v>
      </c>
      <c r="V16" s="905">
        <f>(IF('Section Load'!W19&gt;0,'Section Load'!W19,0))</f>
        <v>210</v>
      </c>
      <c r="W16" s="905">
        <f>(IF('Section Load'!X19&gt;0,'Section Load'!X19,0))</f>
        <v>13</v>
      </c>
      <c r="X16" s="905">
        <f>(IF('Section Load'!Y19&gt;0,'Section Load'!Y19,0))</f>
        <v>212.30000000000291</v>
      </c>
      <c r="Y16" s="905">
        <f>(IF('Section Load'!Z19&gt;0,'Section Load'!Z19,0))</f>
        <v>390</v>
      </c>
      <c r="Z16" s="905">
        <f>(IF('Section Load'!AA19&gt;0,'Section Load'!AA19,0))</f>
        <v>8</v>
      </c>
      <c r="AA16" s="905">
        <f>(IF('Section Load'!AB19&gt;0,'Section Load'!AB19,0))</f>
        <v>26</v>
      </c>
      <c r="AB16" s="905">
        <f>(IF('Section Load'!AC19&gt;0,'Section Load'!AC19,0))</f>
        <v>0</v>
      </c>
      <c r="AC16" s="905">
        <f>(IF('Section Load'!AD19&gt;0,'Section Load'!AD19,0))</f>
        <v>27</v>
      </c>
      <c r="AD16" s="905">
        <f>(IF('Section Load'!AE19&gt;0,'Section Load'!AE19,0))</f>
        <v>0.18000000000029104</v>
      </c>
      <c r="AE16" s="905">
        <f>(IF('Section Load'!AF19&gt;0,'Section Load'!AF19,0))</f>
        <v>0</v>
      </c>
      <c r="AF16" s="905">
        <f>(IF('Section Load'!AG19&gt;0,'Section Load'!AG19,0))</f>
        <v>362</v>
      </c>
      <c r="AG16" s="905">
        <f>(IF('Section Load'!AH19&gt;0,'Section Load'!AH19,0))</f>
        <v>777</v>
      </c>
      <c r="AH16" s="905">
        <f>(IF('Section Load'!AI19&gt;0,'Section Load'!AI19,0))</f>
        <v>404</v>
      </c>
      <c r="AI16" s="905">
        <f>(IF('Section Load'!AJ19&gt;0,'Section Load'!AJ19,0))</f>
        <v>444</v>
      </c>
      <c r="AJ16" s="905">
        <f>(IF('Section Load'!AK19&gt;0,'Section Load'!AK19,0))</f>
        <v>0</v>
      </c>
      <c r="AK16" s="905">
        <f>(IF('Section Load'!AL19&gt;0,'Section Load'!AL19,0))</f>
        <v>292</v>
      </c>
      <c r="AL16" s="905">
        <f>(IF('Section Load'!AM19&gt;0,'Section Load'!AM19,0))</f>
        <v>837</v>
      </c>
      <c r="AM16" s="906">
        <f>(IF('Water Report'!$R$7&gt;0,'Water Report'!$R$7,0))</f>
        <v>130</v>
      </c>
      <c r="AN16" s="906">
        <f>(IF('Water Report'!$R$8&gt;0,'Water Report'!$R$8,0))</f>
        <v>168</v>
      </c>
      <c r="AO16" s="906">
        <f>(IF('Water Report'!$R$9&gt;0,'Water Report'!$R$9,0))</f>
        <v>78</v>
      </c>
      <c r="AP16" s="906">
        <f>(IF('Water Report'!$R$10&gt;0,'Water Report'!$R$10,0))</f>
        <v>38</v>
      </c>
      <c r="AQ16" s="906">
        <f>(IF('Water Report'!$R$11&gt;0,'Water Report'!$R$11,0))</f>
        <v>41</v>
      </c>
      <c r="AR16" s="906">
        <f>(IF('Water Report'!$R$13&gt;0,'Water Report'!$R$13,0))</f>
        <v>50</v>
      </c>
      <c r="AS16" s="906">
        <f>(IF('Water Report'!$R$14&gt;0,'Water Report'!$R$14,0))</f>
        <v>20</v>
      </c>
      <c r="AT16" s="906">
        <f>(IF('Water Report'!$R$15&gt;0,'Water Report'!$R$15,0))</f>
        <v>13</v>
      </c>
      <c r="AU16" s="906">
        <f>(IF('Water Report'!$R$17&gt;0,'Water Report'!$R$17,0))</f>
        <v>0</v>
      </c>
      <c r="AV16" s="906">
        <f>(IF('Water Report'!$R$18&gt;0,'Water Report'!$R$18,0))</f>
        <v>11</v>
      </c>
      <c r="AW16" s="906">
        <f>(IF('Water Report'!$R$19&gt;0,'Water Report'!$R$19,0))</f>
        <v>9</v>
      </c>
      <c r="AX16" s="981">
        <f>(IF('Water Report'!$R$21&gt;0,'Water Report'!$R$21,0))</f>
        <v>47</v>
      </c>
      <c r="AY16" s="981">
        <f>(IF('Water Report'!$R$22&gt;0,'Water Report'!$R$22,0))</f>
        <v>0</v>
      </c>
      <c r="AZ16" s="981">
        <f>(IF('Water Report'!$R$23&gt;0,'Water Report'!$R$23,0))</f>
        <v>0</v>
      </c>
      <c r="BA16" s="981">
        <f>(IF('Water Report'!$R$14&gt;0,'Water Report'!$R$14,0))</f>
        <v>20</v>
      </c>
      <c r="BB16" s="981">
        <f>(IF('Water Report'!$R$15&gt;0,'Water Report'!$R$15,0))</f>
        <v>13</v>
      </c>
      <c r="BC16" s="981">
        <f>(IF('Water Report'!$R$13&gt;0,'Water Report'!$R$13,0))</f>
        <v>50</v>
      </c>
      <c r="BD16" s="981">
        <f>(IF('Water Report'!$R$24&gt;0,'Water Report'!$R$24,0))</f>
        <v>264</v>
      </c>
      <c r="BE16" s="981">
        <f>(IF('Water Report'!$R$25&gt;0,'Water Report'!$R$25,0))</f>
        <v>190</v>
      </c>
      <c r="BF16" s="981">
        <f>(IF('Water Report'!$R$27&gt;0,'Water Report'!$R$27,0))</f>
        <v>97</v>
      </c>
      <c r="BG16" s="907">
        <f>(IF('Section Load'!AN19&gt;0,'Section Load'!AN19,0))</f>
        <v>920</v>
      </c>
      <c r="BH16" s="907">
        <f>(IF('Section Load'!AO19&gt;0,'Section Load'!AO19,0))</f>
        <v>304</v>
      </c>
      <c r="BI16" s="907">
        <f>(IF('Section Load'!AP19&gt;0,'Section Load'!AP19,0))</f>
        <v>0</v>
      </c>
      <c r="BJ16" s="907">
        <f>(IF('Section Load'!AQ19&gt;0,'Section Load'!AQ19,0))</f>
        <v>86</v>
      </c>
      <c r="BK16" s="907">
        <f>(IF('Section Load'!AR19&gt;0,'Section Load'!AR19,0))</f>
        <v>57</v>
      </c>
      <c r="BL16" s="907">
        <f>(IF('Section Load'!AS19&gt;0,'Section Load'!AS19,0))</f>
        <v>3</v>
      </c>
      <c r="BM16" s="907">
        <f>(IF('Section Load'!AT19&gt;0,'Section Load'!AT19,0))</f>
        <v>470</v>
      </c>
    </row>
    <row r="17" spans="1:65">
      <c r="A17" s="893" t="s">
        <v>289</v>
      </c>
      <c r="B17" s="894">
        <f t="shared" si="0"/>
        <v>16</v>
      </c>
      <c r="C17" s="894">
        <v>9</v>
      </c>
      <c r="D17" s="894">
        <v>2021</v>
      </c>
      <c r="E17" s="905">
        <f>(IF('Section Load'!F20&gt;0,'Section Load'!F20,0))</f>
        <v>3248.3000000000466</v>
      </c>
      <c r="F17" s="905">
        <f>(IF('Section Load'!G20&gt;0,'Section Load'!G20,0))</f>
        <v>1612</v>
      </c>
      <c r="G17" s="905">
        <f>(IF('Section Load'!H20&gt;0,'Section Load'!H20,0))</f>
        <v>1690.0699999999488</v>
      </c>
      <c r="H17" s="905">
        <f>(IF('Section Load'!I20&gt;0,'Section Load'!I20,0))</f>
        <v>3911.5900000000256</v>
      </c>
      <c r="I17" s="905">
        <f>(IF('Section Load'!J20&gt;0,'Section Load'!J20,0))</f>
        <v>6647</v>
      </c>
      <c r="J17" s="905">
        <f>(IF('Section Load'!K20&gt;0,'Section Load'!K20,0))</f>
        <v>2740</v>
      </c>
      <c r="K17" s="905">
        <f>(IF('Section Load'!L20&gt;0,'Section Load'!L20,0))</f>
        <v>1437</v>
      </c>
      <c r="L17" s="905">
        <f>(IF('Section Load'!M20&gt;0,'Section Load'!M20,0))</f>
        <v>663</v>
      </c>
      <c r="M17" s="905">
        <f>(IF('Section Load'!N20&gt;0,'Section Load'!N20,0))</f>
        <v>16</v>
      </c>
      <c r="N17" s="905">
        <f>(IF('Section Load'!O20&gt;0,'Section Load'!O20,0))</f>
        <v>2</v>
      </c>
      <c r="O17" s="905">
        <f>(IF('Section Load'!P20&gt;0,'Section Load'!P20,0))</f>
        <v>1.6000000000058208</v>
      </c>
      <c r="P17" s="905">
        <f>(IF('Section Load'!Q20&gt;0,'Section Load'!Q20,0))</f>
        <v>160.90000000000146</v>
      </c>
      <c r="Q17" s="905">
        <f>(IF('Section Load'!R20&gt;0,'Section Load'!R20,0))</f>
        <v>51.299999999999272</v>
      </c>
      <c r="R17" s="905">
        <f>(IF('Section Load'!S20&gt;0,'Section Load'!S20,0))</f>
        <v>48</v>
      </c>
      <c r="S17" s="905">
        <f>(IF('Section Load'!T20&gt;0,'Section Load'!T20,0))</f>
        <v>65</v>
      </c>
      <c r="T17" s="905">
        <f>(IF('Section Load'!U20&gt;0,'Section Load'!U20,0))</f>
        <v>164</v>
      </c>
      <c r="U17" s="905">
        <f>(IF('Section Load'!V20&gt;0,'Section Load'!V20,0))</f>
        <v>477.92000000004191</v>
      </c>
      <c r="V17" s="905">
        <f>(IF('Section Load'!W20&gt;0,'Section Load'!W20,0))</f>
        <v>168.64000000001397</v>
      </c>
      <c r="W17" s="905">
        <f>(IF('Section Load'!X20&gt;0,'Section Load'!X20,0))</f>
        <v>26</v>
      </c>
      <c r="X17" s="905">
        <f>(IF('Section Load'!Y20&gt;0,'Section Load'!Y20,0))</f>
        <v>216.30000000000291</v>
      </c>
      <c r="Y17" s="905">
        <f>(IF('Section Load'!Z20&gt;0,'Section Load'!Z20,0))</f>
        <v>351</v>
      </c>
      <c r="Z17" s="905">
        <f>(IF('Section Load'!AA20&gt;0,'Section Load'!AA20,0))</f>
        <v>12.840000000025611</v>
      </c>
      <c r="AA17" s="905">
        <f>(IF('Section Load'!AB20&gt;0,'Section Load'!AB20,0))</f>
        <v>36.600000000005821</v>
      </c>
      <c r="AB17" s="905">
        <f>(IF('Section Load'!AC20&gt;0,'Section Load'!AC20,0))</f>
        <v>0</v>
      </c>
      <c r="AC17" s="905">
        <f>(IF('Section Load'!AD20&gt;0,'Section Load'!AD20,0))</f>
        <v>40.800000000005639</v>
      </c>
      <c r="AD17" s="905">
        <f>(IF('Section Load'!AE20&gt;0,'Section Load'!AE20,0))</f>
        <v>0</v>
      </c>
      <c r="AE17" s="905">
        <f>(IF('Section Load'!AF20&gt;0,'Section Load'!AF20,0))</f>
        <v>0</v>
      </c>
      <c r="AF17" s="905">
        <f>(IF('Section Load'!AG20&gt;0,'Section Load'!AG20,0))</f>
        <v>383</v>
      </c>
      <c r="AG17" s="905">
        <f>(IF('Section Load'!AH20&gt;0,'Section Load'!AH20,0))</f>
        <v>459</v>
      </c>
      <c r="AH17" s="905">
        <f>(IF('Section Load'!AI20&gt;0,'Section Load'!AI20,0))</f>
        <v>439.39999999999418</v>
      </c>
      <c r="AI17" s="905">
        <f>(IF('Section Load'!AJ20&gt;0,'Section Load'!AJ20,0))</f>
        <v>468</v>
      </c>
      <c r="AJ17" s="905">
        <f>(IF('Section Load'!AK20&gt;0,'Section Load'!AK20,0))</f>
        <v>0</v>
      </c>
      <c r="AK17" s="905">
        <f>(IF('Section Load'!AL20&gt;0,'Section Load'!AL20,0))</f>
        <v>298</v>
      </c>
      <c r="AL17" s="905">
        <f>(IF('Section Load'!AM20&gt;0,'Section Load'!AM20,0))</f>
        <v>837</v>
      </c>
      <c r="AM17" s="906">
        <f>(IF('Water Report'!$S$7&gt;0,'Water Report'!$S$7,0))</f>
        <v>84</v>
      </c>
      <c r="AN17" s="906">
        <f>(IF('Water Report'!$S$8&gt;0,'Water Report'!$S$8,0))</f>
        <v>140</v>
      </c>
      <c r="AO17" s="906">
        <f>(IF('Water Report'!$S$9&gt;0,'Water Report'!$S$9,0))</f>
        <v>67</v>
      </c>
      <c r="AP17" s="906">
        <f>(IF('Water Report'!$S$10&gt;0,'Water Report'!$D$10,0))</f>
        <v>18</v>
      </c>
      <c r="AQ17" s="906">
        <f>(IF('Water Report'!$S$11&gt;0,'Water Report'!$D$11,0))</f>
        <v>24</v>
      </c>
      <c r="AR17" s="906">
        <f>(IF('Water Report'!$S$13&gt;0,'Water Report'!$D$13,0))</f>
        <v>11</v>
      </c>
      <c r="AS17" s="906">
        <f>(IF('Water Report'!$S$14&gt;0,'Water Report'!$D$14,0))</f>
        <v>13</v>
      </c>
      <c r="AT17" s="906">
        <f>(IF('Water Report'!$S$15&gt;0,'Water Report'!$D$15,0))</f>
        <v>7</v>
      </c>
      <c r="AU17" s="906">
        <f>(IF('Water Report'!$S$17&gt;0,'Water Report'!$D$17,0))</f>
        <v>0</v>
      </c>
      <c r="AV17" s="906">
        <f>(IF('Water Report'!$S$18&gt;0,'Water Report'!$D$18,0))</f>
        <v>7</v>
      </c>
      <c r="AW17" s="906">
        <f>(IF('Water Report'!$S$19&gt;0,'Water Report'!$D$19,0))</f>
        <v>10</v>
      </c>
      <c r="AX17" s="981">
        <f>(IF('Water Report'!$S$21&gt;0,'Water Report'!$D$21,0))</f>
        <v>93</v>
      </c>
      <c r="AY17" s="981">
        <f>(IF('Water Report'!$S$22&gt;0,'Water Report'!$D$22,0))</f>
        <v>0</v>
      </c>
      <c r="AZ17" s="981">
        <f>(IF('Water Report'!$S$23&gt;0,'Water Report'!$D$23,0))</f>
        <v>0</v>
      </c>
      <c r="BA17" s="981">
        <f>(IF('Water Report'!$S$14&gt;0,'Water Report'!$D$14,0))</f>
        <v>13</v>
      </c>
      <c r="BB17" s="981">
        <f>(IF('Water Report'!$S$15&gt;0,'Water Report'!$D$15,0))</f>
        <v>7</v>
      </c>
      <c r="BC17" s="981">
        <f>(IF('Water Report'!$S$13&gt;0,'Water Report'!$D$13,0))</f>
        <v>11</v>
      </c>
      <c r="BD17" s="981">
        <f>(IF('Water Report'!$S$24&gt;0,'Water Report'!$D$24,0))</f>
        <v>146</v>
      </c>
      <c r="BE17" s="981">
        <f>(IF('Water Report'!$S$25&gt;0,'Water Report'!$D$25,0))</f>
        <v>128</v>
      </c>
      <c r="BF17" s="981">
        <f>(IF('Water Report'!$S$27&gt;0,'Water Report'!$D$27,0))</f>
        <v>104</v>
      </c>
      <c r="BG17" s="907">
        <f>(IF('Section Load'!AN20&gt;0,'Section Load'!AN20,0))</f>
        <v>896.09700000006706</v>
      </c>
      <c r="BH17" s="907">
        <f>(IF('Section Load'!AO20&gt;0,'Section Load'!AO20,0))</f>
        <v>250.45999999996275</v>
      </c>
      <c r="BI17" s="907">
        <f>(IF('Section Load'!AP20&gt;0,'Section Load'!AP20,0))</f>
        <v>0</v>
      </c>
      <c r="BJ17" s="907">
        <f>(IF('Section Load'!AQ20&gt;0,'Section Load'!AQ20,0))</f>
        <v>75.5</v>
      </c>
      <c r="BK17" s="907">
        <f>(IF('Section Load'!AR20&gt;0,'Section Load'!AR20,0))</f>
        <v>40.30000000000291</v>
      </c>
      <c r="BL17" s="907">
        <f>(IF('Section Load'!AS20&gt;0,'Section Load'!AS20,0))</f>
        <v>0.7000000000007276</v>
      </c>
      <c r="BM17" s="907">
        <f>(IF('Section Load'!AT20&gt;0,'Section Load'!AT20,0))</f>
        <v>529.13700000010067</v>
      </c>
    </row>
    <row r="18" spans="1:65">
      <c r="A18" s="893" t="s">
        <v>289</v>
      </c>
      <c r="B18" s="894">
        <f t="shared" si="0"/>
        <v>17</v>
      </c>
      <c r="C18" s="894">
        <v>9</v>
      </c>
      <c r="D18" s="894">
        <v>2021</v>
      </c>
      <c r="E18" s="905">
        <f>(IF('Section Load'!F21&gt;0,'Section Load'!F21,0))</f>
        <v>3008</v>
      </c>
      <c r="F18" s="905">
        <f>(IF('Section Load'!G21&gt;0,'Section Load'!G21,0))</f>
        <v>1496</v>
      </c>
      <c r="G18" s="905">
        <f>(IF('Section Load'!H21&gt;0,'Section Load'!H21,0))</f>
        <v>1715</v>
      </c>
      <c r="H18" s="905">
        <f>(IF('Section Load'!I21&gt;0,'Section Load'!I21,0))</f>
        <v>3719.3999999999651</v>
      </c>
      <c r="I18" s="905">
        <f>(IF('Section Load'!J21&gt;0,'Section Load'!J21,0))</f>
        <v>5807</v>
      </c>
      <c r="J18" s="905">
        <f>(IF('Section Load'!K21&gt;0,'Section Load'!K21,0))</f>
        <v>2430</v>
      </c>
      <c r="K18" s="905">
        <f>(IF('Section Load'!L21&gt;0,'Section Load'!L21,0))</f>
        <v>1453</v>
      </c>
      <c r="L18" s="905">
        <f>(IF('Section Load'!M21&gt;0,'Section Load'!M21,0))</f>
        <v>632.5</v>
      </c>
      <c r="M18" s="905">
        <f>(IF('Section Load'!N21&gt;0,'Section Load'!N21,0))</f>
        <v>14</v>
      </c>
      <c r="N18" s="905">
        <f>(IF('Section Load'!O21&gt;0,'Section Load'!O21,0))</f>
        <v>1</v>
      </c>
      <c r="O18" s="905">
        <f>(IF('Section Load'!P21&gt;0,'Section Load'!P21,0))</f>
        <v>1.3999999999941792</v>
      </c>
      <c r="P18" s="905">
        <f>(IF('Section Load'!Q21&gt;0,'Section Load'!Q21,0))</f>
        <v>176.19999999999709</v>
      </c>
      <c r="Q18" s="905">
        <f>(IF('Section Load'!R21&gt;0,'Section Load'!R21,0))</f>
        <v>56.300000000001091</v>
      </c>
      <c r="R18" s="905">
        <f>(IF('Section Load'!S21&gt;0,'Section Load'!S21,0))</f>
        <v>55</v>
      </c>
      <c r="S18" s="905">
        <f>(IF('Section Load'!T21&gt;0,'Section Load'!T21,0))</f>
        <v>64</v>
      </c>
      <c r="T18" s="905">
        <f>(IF('Section Load'!U21&gt;0,'Section Load'!U21,0))</f>
        <v>154</v>
      </c>
      <c r="U18" s="905">
        <f>(IF('Section Load'!V21&gt;0,'Section Load'!V21,0))</f>
        <v>305.43999999994412</v>
      </c>
      <c r="V18" s="905">
        <f>(IF('Section Load'!W21&gt;0,'Section Load'!W21,0))</f>
        <v>161.40000000002328</v>
      </c>
      <c r="W18" s="905">
        <f>(IF('Section Load'!X21&gt;0,'Section Load'!X21,0))</f>
        <v>14</v>
      </c>
      <c r="X18" s="905">
        <f>(IF('Section Load'!Y21&gt;0,'Section Load'!Y21,0))</f>
        <v>196.19999999999709</v>
      </c>
      <c r="Y18" s="905">
        <f>(IF('Section Load'!Z21&gt;0,'Section Load'!Z21,0))</f>
        <v>284</v>
      </c>
      <c r="Z18" s="905">
        <f>(IF('Section Load'!AA21&gt;0,'Section Load'!AA21,0))</f>
        <v>8.3999999999650754</v>
      </c>
      <c r="AA18" s="905">
        <f>(IF('Section Load'!AB21&gt;0,'Section Load'!AB21,0))</f>
        <v>32.899999999994179</v>
      </c>
      <c r="AB18" s="905">
        <f>(IF('Section Load'!AC21&gt;0,'Section Load'!AC21,0))</f>
        <v>0</v>
      </c>
      <c r="AC18" s="905">
        <f>(IF('Section Load'!AD21&gt;0,'Section Load'!AD21,0))</f>
        <v>39.199999999994361</v>
      </c>
      <c r="AD18" s="905">
        <f>(IF('Section Load'!AE21&gt;0,'Section Load'!AE21,0))</f>
        <v>0</v>
      </c>
      <c r="AE18" s="905">
        <f>(IF('Section Load'!AF21&gt;0,'Section Load'!AF21,0))</f>
        <v>0</v>
      </c>
      <c r="AF18" s="905">
        <f>(IF('Section Load'!AG21&gt;0,'Section Load'!AG21,0))</f>
        <v>432</v>
      </c>
      <c r="AG18" s="905">
        <f>(IF('Section Load'!AH21&gt;0,'Section Load'!AH21,0))</f>
        <v>423</v>
      </c>
      <c r="AH18" s="905">
        <f>(IF('Section Load'!AI21&gt;0,'Section Load'!AI21,0))</f>
        <v>418.40000000000873</v>
      </c>
      <c r="AI18" s="905">
        <f>(IF('Section Load'!AJ21&gt;0,'Section Load'!AJ21,0))</f>
        <v>422</v>
      </c>
      <c r="AJ18" s="905">
        <f>(IF('Section Load'!AK21&gt;0,'Section Load'!AK21,0))</f>
        <v>0</v>
      </c>
      <c r="AK18" s="905">
        <f>(IF('Section Load'!AL21&gt;0,'Section Load'!AL21,0))</f>
        <v>303</v>
      </c>
      <c r="AL18" s="905">
        <f>(IF('Section Load'!AM21&gt;0,'Section Load'!AM21,0))</f>
        <v>679</v>
      </c>
      <c r="AM18" s="906">
        <f>(IF('Water Report'!$T$7&gt;0,'Water Report'!$T$7,0))</f>
        <v>79</v>
      </c>
      <c r="AN18" s="906">
        <f>(IF('Water Report'!$T$8&gt;0,'Water Report'!$T$8,0))</f>
        <v>105</v>
      </c>
      <c r="AO18" s="906">
        <f>(IF('Water Report'!$T$9&gt;0,'Water Report'!$T$9,0))</f>
        <v>80</v>
      </c>
      <c r="AP18" s="906">
        <f>(IF('Water Report'!$T$10&gt;0,'Water Report'!$T$10,0))</f>
        <v>18</v>
      </c>
      <c r="AQ18" s="906">
        <f>(IF('Water Report'!$T$11&gt;0,'Water Report'!$T$11,0))</f>
        <v>24</v>
      </c>
      <c r="AR18" s="906">
        <f>(IF('Water Report'!$T$13&gt;0,'Water Report'!$T$13,0))</f>
        <v>36</v>
      </c>
      <c r="AS18" s="906">
        <f>(IF('Water Report'!$T$14&gt;0,'Water Report'!$T$14,0))</f>
        <v>14</v>
      </c>
      <c r="AT18" s="906">
        <f>(IF('Water Report'!$T$15&gt;0,'Water Report'!$T$15,0))</f>
        <v>4</v>
      </c>
      <c r="AU18" s="906">
        <f>(IF('Water Report'!$T$17&gt;0,'Water Report'!$T$17,0))</f>
        <v>0</v>
      </c>
      <c r="AV18" s="906">
        <f>(IF('Water Report'!$T$18&gt;0,'Water Report'!$T$18,0))</f>
        <v>9</v>
      </c>
      <c r="AW18" s="906">
        <f>(IF('Water Report'!$T$19&gt;0,'Water Report'!$T$19,0))</f>
        <v>6</v>
      </c>
      <c r="AX18" s="981">
        <f>(IF('Water Report'!$T$21&gt;0,'Water Report'!$T$21,0))</f>
        <v>74</v>
      </c>
      <c r="AY18" s="981">
        <f>(IF('Water Report'!$T$22&gt;0,'Water Report'!$T$22,0))</f>
        <v>0</v>
      </c>
      <c r="AZ18" s="981">
        <f>(IF('Water Report'!$T$23&gt;0,'Water Report'!$T$23,0))</f>
        <v>0</v>
      </c>
      <c r="BA18" s="981">
        <f>(IF('Water Report'!$T$14&gt;0,'Water Report'!$T$14,0))</f>
        <v>14</v>
      </c>
      <c r="BB18" s="981">
        <f>(IF('Water Report'!$T$15&gt;0,'Water Report'!$T$15,0))</f>
        <v>4</v>
      </c>
      <c r="BC18" s="981">
        <f>(IF('Water Report'!$T$13&gt;0,'Water Report'!$T$13,0))</f>
        <v>36</v>
      </c>
      <c r="BD18" s="981">
        <f>(IF('Water Report'!$T$24&gt;0,'Water Report'!$T$24,0))</f>
        <v>226</v>
      </c>
      <c r="BE18" s="981">
        <f>(IF('Water Report'!$T$25&gt;0,'Water Report'!$T$25,0))</f>
        <v>140</v>
      </c>
      <c r="BF18" s="981">
        <f>(IF('Water Report'!$T$27&gt;0,'Water Report'!$T$27,0))</f>
        <v>110</v>
      </c>
      <c r="BG18" s="907">
        <f>(IF('Section Load'!AN21&gt;0,'Section Load'!AN21,0))</f>
        <v>813.51199999987148</v>
      </c>
      <c r="BH18" s="907">
        <f>(IF('Section Load'!AO21&gt;0,'Section Load'!AO21,0))</f>
        <v>296.09000000008382</v>
      </c>
      <c r="BI18" s="907">
        <f>(IF('Section Load'!AP21&gt;0,'Section Load'!AP21,0))</f>
        <v>0</v>
      </c>
      <c r="BJ18" s="907">
        <f>(IF('Section Load'!AQ21&gt;0,'Section Load'!AQ21,0))</f>
        <v>76.779999999998836</v>
      </c>
      <c r="BK18" s="907">
        <f>(IF('Section Load'!AR21&gt;0,'Section Load'!AR21,0))</f>
        <v>39.899999999994179</v>
      </c>
      <c r="BL18" s="907">
        <f>(IF('Section Load'!AS21&gt;0,'Section Load'!AS21,0))</f>
        <v>0.69999999999890861</v>
      </c>
      <c r="BM18" s="907">
        <f>(IF('Section Load'!AT21&gt;0,'Section Load'!AT21,0))</f>
        <v>400.04199999979573</v>
      </c>
    </row>
    <row r="19" spans="1:65">
      <c r="A19" s="893" t="s">
        <v>289</v>
      </c>
      <c r="B19" s="894">
        <f t="shared" si="0"/>
        <v>18</v>
      </c>
      <c r="C19" s="894">
        <v>9</v>
      </c>
      <c r="D19" s="894">
        <v>2021</v>
      </c>
      <c r="E19" s="905">
        <f>(IF('Section Load'!F22&gt;0,'Section Load'!F22,0))</f>
        <v>2982</v>
      </c>
      <c r="F19" s="905">
        <f>(IF('Section Load'!G22&gt;0,'Section Load'!G22,0))</f>
        <v>1535</v>
      </c>
      <c r="G19" s="905">
        <f>(IF('Section Load'!H22&gt;0,'Section Load'!H22,0))</f>
        <v>1724</v>
      </c>
      <c r="H19" s="905">
        <f>(IF('Section Load'!I22&gt;0,'Section Load'!I22,0))</f>
        <v>3770.6000000000349</v>
      </c>
      <c r="I19" s="905">
        <f>(IF('Section Load'!J22&gt;0,'Section Load'!J22,0))</f>
        <v>5978</v>
      </c>
      <c r="J19" s="905">
        <f>(IF('Section Load'!K22&gt;0,'Section Load'!K22,0))</f>
        <v>2570</v>
      </c>
      <c r="K19" s="905">
        <f>(IF('Section Load'!L22&gt;0,'Section Load'!L22,0))</f>
        <v>1651</v>
      </c>
      <c r="L19" s="905">
        <f>(IF('Section Load'!M22&gt;0,'Section Load'!M22,0))</f>
        <v>711.19999999999709</v>
      </c>
      <c r="M19" s="905">
        <f>(IF('Section Load'!N22&gt;0,'Section Load'!N22,0))</f>
        <v>14</v>
      </c>
      <c r="N19" s="905">
        <f>(IF('Section Load'!O22&gt;0,'Section Load'!O22,0))</f>
        <v>2</v>
      </c>
      <c r="O19" s="905">
        <f>(IF('Section Load'!P22&gt;0,'Section Load'!P22,0))</f>
        <v>2</v>
      </c>
      <c r="P19" s="905">
        <f>(IF('Section Load'!Q22&gt;0,'Section Load'!Q22,0))</f>
        <v>170.30000000000291</v>
      </c>
      <c r="Q19" s="905">
        <f>(IF('Section Load'!R22&gt;0,'Section Load'!R22,0))</f>
        <v>67.199999999998909</v>
      </c>
      <c r="R19" s="905">
        <f>(IF('Section Load'!S22&gt;0,'Section Load'!S22,0))</f>
        <v>57</v>
      </c>
      <c r="S19" s="905">
        <f>(IF('Section Load'!T22&gt;0,'Section Load'!T22,0))</f>
        <v>76</v>
      </c>
      <c r="T19" s="905">
        <f>(IF('Section Load'!U22&gt;0,'Section Load'!U22,0))</f>
        <v>141</v>
      </c>
      <c r="U19" s="905">
        <f>(IF('Section Load'!V22&gt;0,'Section Load'!V22,0))</f>
        <v>380.44000000006054</v>
      </c>
      <c r="V19" s="905">
        <f>(IF('Section Load'!W22&gt;0,'Section Load'!W22,0))</f>
        <v>183.91999999992549</v>
      </c>
      <c r="W19" s="905">
        <f>(IF('Section Load'!X22&gt;0,'Section Load'!X22,0))</f>
        <v>23</v>
      </c>
      <c r="X19" s="905">
        <f>(IF('Section Load'!Y22&gt;0,'Section Load'!Y22,0))</f>
        <v>207.30000000000291</v>
      </c>
      <c r="Y19" s="905">
        <f>(IF('Section Load'!Z22&gt;0,'Section Load'!Z22,0))</f>
        <v>232</v>
      </c>
      <c r="Z19" s="905">
        <f>(IF('Section Load'!AA22&gt;0,'Section Load'!AA22,0))</f>
        <v>10.679999999993015</v>
      </c>
      <c r="AA19" s="905">
        <f>(IF('Section Load'!AB22&gt;0,'Section Load'!AB22,0))</f>
        <v>33.30000000000291</v>
      </c>
      <c r="AB19" s="905">
        <f>(IF('Section Load'!AC22&gt;0,'Section Load'!AC22,0))</f>
        <v>0</v>
      </c>
      <c r="AC19" s="905">
        <f>(IF('Section Load'!AD22&gt;0,'Section Load'!AD22,0))</f>
        <v>40.000000000002728</v>
      </c>
      <c r="AD19" s="905">
        <f>(IF('Section Load'!AE22&gt;0,'Section Load'!AE22,0))</f>
        <v>0.18000000000029104</v>
      </c>
      <c r="AE19" s="905">
        <f>(IF('Section Load'!AF22&gt;0,'Section Load'!AF22,0))</f>
        <v>0</v>
      </c>
      <c r="AF19" s="905">
        <f>(IF('Section Load'!AG22&gt;0,'Section Load'!AG22,0))</f>
        <v>433</v>
      </c>
      <c r="AG19" s="905">
        <f>(IF('Section Load'!AH22&gt;0,'Section Load'!AH22,0))</f>
        <v>412</v>
      </c>
      <c r="AH19" s="905">
        <f>(IF('Section Load'!AI22&gt;0,'Section Load'!AI22,0))</f>
        <v>423.5</v>
      </c>
      <c r="AI19" s="905">
        <f>(IF('Section Load'!AJ22&gt;0,'Section Load'!AJ22,0))</f>
        <v>439</v>
      </c>
      <c r="AJ19" s="905">
        <f>(IF('Section Load'!AK22&gt;0,'Section Load'!AK22,0))</f>
        <v>0</v>
      </c>
      <c r="AK19" s="905">
        <f>(IF('Section Load'!AL22&gt;0,'Section Load'!AL22,0))</f>
        <v>307</v>
      </c>
      <c r="AL19" s="905">
        <f>(IF('Section Load'!AM22&gt;0,'Section Load'!AM22,0))</f>
        <v>705</v>
      </c>
      <c r="AM19" s="906">
        <f>(IF('Water Report'!$U$7&gt;0,'Water Report'!$U$7,0))</f>
        <v>103</v>
      </c>
      <c r="AN19" s="906">
        <f>(IF('Water Report'!$U$8&gt;0,'Water Report'!$U$8,0))</f>
        <v>55</v>
      </c>
      <c r="AO19" s="906">
        <f>(IF('Water Report'!$U$9&gt;0,'Water Report'!$U$9,0))</f>
        <v>110</v>
      </c>
      <c r="AP19" s="906">
        <f>(IF('Water Report'!$U$10&gt;0,'Water Report'!$U$10,0))</f>
        <v>20</v>
      </c>
      <c r="AQ19" s="906">
        <f>(IF('Water Report'!$U$11&gt;0,'Water Report'!$U$11,0))</f>
        <v>24</v>
      </c>
      <c r="AR19" s="906">
        <f>(IF('Water Report'!$U$13&gt;0,'Water Report'!$U$13,0))</f>
        <v>46</v>
      </c>
      <c r="AS19" s="906">
        <f>(IF('Water Report'!$U$14&gt;0,'Water Report'!$U$14,0))</f>
        <v>18</v>
      </c>
      <c r="AT19" s="906">
        <f>(IF('Water Report'!$U$15&gt;0,'Water Report'!$U$15,0))</f>
        <v>6</v>
      </c>
      <c r="AU19" s="906">
        <f>(IF('Water Report'!$U$17&gt;0,'Water Report'!$U$17,0))</f>
        <v>16</v>
      </c>
      <c r="AV19" s="906">
        <f>(IF('Water Report'!$U$18&gt;0,'Water Report'!$U$18,0))</f>
        <v>20</v>
      </c>
      <c r="AW19" s="906">
        <f>(IF('Water Report'!$U$19&gt;0,'Water Report'!$U$19,0))</f>
        <v>10</v>
      </c>
      <c r="AX19" s="981">
        <f>(IF('Water Report'!$U$21&gt;0,'Water Report'!$U$21,0))</f>
        <v>49</v>
      </c>
      <c r="AY19" s="981">
        <f>(IF('Water Report'!$U$22&gt;0,'Water Report'!$U$22,0))</f>
        <v>0</v>
      </c>
      <c r="AZ19" s="981">
        <f>(IF('Water Report'!$U$23&gt;0,'Water Report'!$U$23,0))</f>
        <v>0</v>
      </c>
      <c r="BA19" s="981">
        <f>(IF('Water Report'!$U$14&gt;0,'Water Report'!$U$14,0))</f>
        <v>18</v>
      </c>
      <c r="BB19" s="981">
        <f>(IF('Water Report'!$U$15&gt;0,'Water Report'!$U$15,0))</f>
        <v>6</v>
      </c>
      <c r="BC19" s="981">
        <f>(IF('Water Report'!$U$13&gt;0,'Water Report'!$U$13,0))</f>
        <v>46</v>
      </c>
      <c r="BD19" s="981">
        <f>(IF('Water Report'!$U$24&gt;0,'Water Report'!$U$24,0))</f>
        <v>200</v>
      </c>
      <c r="BE19" s="981">
        <f>(IF('Water Report'!$U$25&gt;0,'Water Report'!$U$25,0))</f>
        <v>178</v>
      </c>
      <c r="BF19" s="981">
        <f>(IF('Water Report'!$U$27&gt;0,'Water Report'!$U$27,0))</f>
        <v>95</v>
      </c>
      <c r="BG19" s="907">
        <f>(IF('Section Load'!AN22&gt;0,'Section Load'!AN22,0))</f>
        <v>964.54300000006333</v>
      </c>
      <c r="BH19" s="907">
        <f>(IF('Section Load'!AO22&gt;0,'Section Load'!AO22,0))</f>
        <v>293.44999999995343</v>
      </c>
      <c r="BI19" s="907">
        <f>(IF('Section Load'!AP22&gt;0,'Section Load'!AP22,0))</f>
        <v>0</v>
      </c>
      <c r="BJ19" s="907">
        <f>(IF('Section Load'!AQ22&gt;0,'Section Load'!AQ22,0))</f>
        <v>99.549999999988358</v>
      </c>
      <c r="BK19" s="907">
        <f>(IF('Section Load'!AR22&gt;0,'Section Load'!AR22,0))</f>
        <v>45.600000000005821</v>
      </c>
      <c r="BL19" s="907">
        <f>(IF('Section Load'!AS22&gt;0,'Section Load'!AS22,0))</f>
        <v>0</v>
      </c>
      <c r="BM19" s="907">
        <f>(IF('Section Load'!AT22&gt;0,'Section Load'!AT22,0))</f>
        <v>525.94300000011572</v>
      </c>
    </row>
    <row r="20" spans="1:65">
      <c r="A20" s="893" t="s">
        <v>289</v>
      </c>
      <c r="B20" s="894">
        <f t="shared" si="0"/>
        <v>19</v>
      </c>
      <c r="C20" s="894">
        <v>9</v>
      </c>
      <c r="D20" s="894">
        <v>2021</v>
      </c>
      <c r="E20" s="905">
        <f>(IF('Section Load'!F23&gt;0,'Section Load'!F23,0))</f>
        <v>3165.6999999999534</v>
      </c>
      <c r="F20" s="905">
        <f>(IF('Section Load'!G23&gt;0,'Section Load'!G23,0))</f>
        <v>1571.1300000000047</v>
      </c>
      <c r="G20" s="905">
        <f>(IF('Section Load'!H23&gt;0,'Section Load'!H23,0))</f>
        <v>1830.9300000000512</v>
      </c>
      <c r="H20" s="905">
        <f>(IF('Section Load'!I23&gt;0,'Section Load'!I23,0))</f>
        <v>3827</v>
      </c>
      <c r="I20" s="905">
        <f>(IF('Section Load'!J23&gt;0,'Section Load'!J23,0))</f>
        <v>6118</v>
      </c>
      <c r="J20" s="905">
        <f>(IF('Section Load'!K23&gt;0,'Section Load'!K23,0))</f>
        <v>2599.67</v>
      </c>
      <c r="K20" s="905">
        <f>(IF('Section Load'!L23&gt;0,'Section Load'!L23,0))</f>
        <v>1813</v>
      </c>
      <c r="L20" s="905">
        <f>(IF('Section Load'!M23&gt;0,'Section Load'!M23,0))</f>
        <v>962.30000000000291</v>
      </c>
      <c r="M20" s="905">
        <f>(IF('Section Load'!N23&gt;0,'Section Load'!N23,0))</f>
        <v>15</v>
      </c>
      <c r="N20" s="905">
        <f>(IF('Section Load'!O23&gt;0,'Section Load'!O23,0))</f>
        <v>1</v>
      </c>
      <c r="O20" s="905">
        <f>(IF('Section Load'!P23&gt;0,'Section Load'!P23,0))</f>
        <v>0.19999999999708962</v>
      </c>
      <c r="P20" s="905">
        <f>(IF('Section Load'!Q23&gt;0,'Section Load'!Q23,0))</f>
        <v>159.09999999999854</v>
      </c>
      <c r="Q20" s="905">
        <f>(IF('Section Load'!R23&gt;0,'Section Load'!R23,0))</f>
        <v>66</v>
      </c>
      <c r="R20" s="905">
        <f>(IF('Section Load'!S23&gt;0,'Section Load'!S23,0))</f>
        <v>61</v>
      </c>
      <c r="S20" s="905">
        <f>(IF('Section Load'!T23&gt;0,'Section Load'!T23,0))</f>
        <v>84</v>
      </c>
      <c r="T20" s="905">
        <f>(IF('Section Load'!U23&gt;0,'Section Load'!U23,0))</f>
        <v>213</v>
      </c>
      <c r="U20" s="905">
        <f>(IF('Section Load'!V23&gt;0,'Section Load'!V23,0))</f>
        <v>421.8399999999674</v>
      </c>
      <c r="V20" s="905">
        <f>(IF('Section Load'!W23&gt;0,'Section Load'!W23,0))</f>
        <v>195.68000000005122</v>
      </c>
      <c r="W20" s="905">
        <f>(IF('Section Load'!X23&gt;0,'Section Load'!X23,0))</f>
        <v>13</v>
      </c>
      <c r="X20" s="905">
        <f>(IF('Section Load'!Y23&gt;0,'Section Load'!Y23,0))</f>
        <v>159.39999999999418</v>
      </c>
      <c r="Y20" s="905">
        <f>(IF('Section Load'!Z23&gt;0,'Section Load'!Z23,0))</f>
        <v>331</v>
      </c>
      <c r="Z20" s="905">
        <f>(IF('Section Load'!AA23&gt;0,'Section Load'!AA23,0))</f>
        <v>8.4000000000232831</v>
      </c>
      <c r="AA20" s="905">
        <f>(IF('Section Load'!AB23&gt;0,'Section Load'!AB23,0))</f>
        <v>34.80000000000291</v>
      </c>
      <c r="AB20" s="905">
        <f>(IF('Section Load'!AC23&gt;0,'Section Load'!AC23,0))</f>
        <v>0</v>
      </c>
      <c r="AC20" s="905">
        <f>(IF('Section Load'!AD23&gt;0,'Section Load'!AD23,0))</f>
        <v>41.600000000003092</v>
      </c>
      <c r="AD20" s="905">
        <f>(IF('Section Load'!AE23&gt;0,'Section Load'!AE23,0))</f>
        <v>2.0000000000436557E-2</v>
      </c>
      <c r="AE20" s="905">
        <f>(IF('Section Load'!AF23&gt;0,'Section Load'!AF23,0))</f>
        <v>0</v>
      </c>
      <c r="AF20" s="905">
        <f>(IF('Section Load'!AG23&gt;0,'Section Load'!AG23,0))</f>
        <v>451</v>
      </c>
      <c r="AG20" s="905">
        <f>(IF('Section Load'!AH23&gt;0,'Section Load'!AH23,0))</f>
        <v>404</v>
      </c>
      <c r="AH20" s="905">
        <f>(IF('Section Load'!AI23&gt;0,'Section Load'!AI23,0))</f>
        <v>412.19999999999709</v>
      </c>
      <c r="AI20" s="905">
        <f>(IF('Section Load'!AJ23&gt;0,'Section Load'!AJ23,0))</f>
        <v>448</v>
      </c>
      <c r="AJ20" s="905">
        <f>(IF('Section Load'!AK23&gt;0,'Section Load'!AK23,0))</f>
        <v>0</v>
      </c>
      <c r="AK20" s="905">
        <f>(IF('Section Load'!AL23&gt;0,'Section Load'!AL23,0))</f>
        <v>309</v>
      </c>
      <c r="AL20" s="905">
        <f>(IF('Section Load'!AM23&gt;0,'Section Load'!AM23,0))</f>
        <v>778</v>
      </c>
      <c r="AM20" s="906">
        <f>(IF('Water Report'!$V$7&gt;0,'Water Report'!$V$7,0))</f>
        <v>90</v>
      </c>
      <c r="AN20" s="906">
        <f>(IF('Water Report'!$V$8&gt;0,'Water Report'!$V$8,0))</f>
        <v>188</v>
      </c>
      <c r="AO20" s="906">
        <f>(IF('Water Report'!$V$9&gt;0,'Water Report'!$V$9,0))</f>
        <v>74</v>
      </c>
      <c r="AP20" s="906">
        <f>(IF('Water Report'!$V$10&gt;0,'Water Report'!$V$10,0))</f>
        <v>26</v>
      </c>
      <c r="AQ20" s="906">
        <f>(IF('Water Report'!$V$11&gt;0,'Water Report'!$V$11,0))</f>
        <v>29</v>
      </c>
      <c r="AR20" s="906">
        <f>(IF('Water Report'!$V$13&gt;0,'Water Report'!$V$13,0))</f>
        <v>24</v>
      </c>
      <c r="AS20" s="906">
        <f>(IF('Water Report'!$V$14&gt;0,'Water Report'!$V$14,0))</f>
        <v>15</v>
      </c>
      <c r="AT20" s="906">
        <f>(IF('Water Report'!$V$15&gt;0,'Water Report'!$V$15,0))</f>
        <v>8</v>
      </c>
      <c r="AU20" s="906">
        <f>(IF('Water Report'!$V$17&gt;0,'Water Report'!$V$17,0))</f>
        <v>0</v>
      </c>
      <c r="AV20" s="906">
        <f>(IF('Water Report'!$V$18&gt;0,'Water Report'!$V$18,0))</f>
        <v>8</v>
      </c>
      <c r="AW20" s="906">
        <f>(IF('Water Report'!$V$19&gt;0,'Water Report'!$V$19,0))</f>
        <v>6</v>
      </c>
      <c r="AX20" s="981">
        <f>(IF('Water Report'!$V$21&gt;0,'Water Report'!$V$21,0))</f>
        <v>70</v>
      </c>
      <c r="AY20" s="981">
        <f>(IF('Water Report'!$V$22&gt;0,'Water Report'!$V$22,0))</f>
        <v>0</v>
      </c>
      <c r="AZ20" s="981">
        <f>(IF('Water Report'!$V$23&gt;0,'Water Report'!$V$23,0))</f>
        <v>0</v>
      </c>
      <c r="BA20" s="981">
        <f>(IF('Water Report'!$V$14&gt;0,'Water Report'!$V$14,0))</f>
        <v>15</v>
      </c>
      <c r="BB20" s="981">
        <f>(IF('Water Report'!$V$15&gt;0,'Water Report'!$V$15,0))</f>
        <v>8</v>
      </c>
      <c r="BC20" s="981">
        <f>(IF('Water Report'!$V$13&gt;0,'Water Report'!$V$13,0))</f>
        <v>24</v>
      </c>
      <c r="BD20" s="981">
        <f>(IF('Water Report'!$V$24&gt;0,'Water Report'!$V$24,0))</f>
        <v>210</v>
      </c>
      <c r="BE20" s="981">
        <f>(IF('Water Report'!$V$25&gt;0,'Water Report'!$V$25,0))</f>
        <v>152</v>
      </c>
      <c r="BF20" s="981">
        <f>(IF('Water Report'!$V$27&gt;0,'Water Report'!$V$27,0))</f>
        <v>94</v>
      </c>
      <c r="BG20" s="907">
        <f>(IF('Section Load'!AN23&gt;0,'Section Load'!AN23,0))</f>
        <v>837.84799999999814</v>
      </c>
      <c r="BH20" s="907">
        <f>(IF('Section Load'!AO23&gt;0,'Section Load'!AO23,0))</f>
        <v>288</v>
      </c>
      <c r="BI20" s="907">
        <f>(IF('Section Load'!AP23&gt;0,'Section Load'!AP23,0))</f>
        <v>0</v>
      </c>
      <c r="BJ20" s="907">
        <f>(IF('Section Load'!AQ23&gt;0,'Section Load'!AQ23,0))</f>
        <v>96.090000000025611</v>
      </c>
      <c r="BK20" s="907">
        <f>(IF('Section Load'!AR23&gt;0,'Section Load'!AR23,0))</f>
        <v>42</v>
      </c>
      <c r="BL20" s="907">
        <f>(IF('Section Load'!AS23&gt;0,'Section Load'!AS23,0))</f>
        <v>0</v>
      </c>
      <c r="BM20" s="907">
        <f>(IF('Section Load'!AT23&gt;0,'Section Load'!AT23,0))</f>
        <v>411.99799999997231</v>
      </c>
    </row>
    <row r="21" spans="1:65">
      <c r="A21" s="893" t="s">
        <v>289</v>
      </c>
      <c r="B21" s="894">
        <f t="shared" si="0"/>
        <v>20</v>
      </c>
      <c r="C21" s="894">
        <v>9</v>
      </c>
      <c r="D21" s="894">
        <v>2021</v>
      </c>
      <c r="E21" s="905">
        <f>(IF('Section Load'!F24&gt;0,'Section Load'!F24,0))</f>
        <v>2777</v>
      </c>
      <c r="F21" s="905">
        <f>(IF('Section Load'!G24&gt;0,'Section Load'!G24,0))</f>
        <v>1460</v>
      </c>
      <c r="G21" s="905">
        <f>(IF('Section Load'!H24&gt;0,'Section Load'!H24,0))</f>
        <v>1714</v>
      </c>
      <c r="H21" s="905">
        <f>(IF('Section Load'!I24&gt;0,'Section Load'!I24,0))</f>
        <v>3421</v>
      </c>
      <c r="I21" s="905">
        <f>(IF('Section Load'!J24&gt;0,'Section Load'!J24,0))</f>
        <v>5842.140000000014</v>
      </c>
      <c r="J21" s="905">
        <f>(IF('Section Load'!K24&gt;0,'Section Load'!K24,0))</f>
        <v>2360</v>
      </c>
      <c r="K21" s="905">
        <f>(IF('Section Load'!L24&gt;0,'Section Load'!L24,0))</f>
        <v>1302</v>
      </c>
      <c r="L21" s="905">
        <f>(IF('Section Load'!M24&gt;0,'Section Load'!M24,0))</f>
        <v>802.59999999999854</v>
      </c>
      <c r="M21" s="905">
        <f>(IF('Section Load'!N24&gt;0,'Section Load'!N24,0))</f>
        <v>11</v>
      </c>
      <c r="N21" s="905">
        <f>(IF('Section Load'!O24&gt;0,'Section Load'!O24,0))</f>
        <v>1</v>
      </c>
      <c r="O21" s="905">
        <f>(IF('Section Load'!P24&gt;0,'Section Load'!P24,0))</f>
        <v>1.3000000000029104</v>
      </c>
      <c r="P21" s="905">
        <f>(IF('Section Load'!Q24&gt;0,'Section Load'!Q24,0))</f>
        <v>175.29999999999927</v>
      </c>
      <c r="Q21" s="905">
        <f>(IF('Section Load'!R24&gt;0,'Section Load'!R24,0))</f>
        <v>61.800000000001091</v>
      </c>
      <c r="R21" s="905">
        <f>(IF('Section Load'!S24&gt;0,'Section Load'!S24,0))</f>
        <v>61</v>
      </c>
      <c r="S21" s="905">
        <f>(IF('Section Load'!T24&gt;0,'Section Load'!T24,0))</f>
        <v>91</v>
      </c>
      <c r="T21" s="905">
        <f>(IF('Section Load'!U24&gt;0,'Section Load'!U24,0))</f>
        <v>155</v>
      </c>
      <c r="U21" s="905">
        <f>(IF('Section Load'!V24&gt;0,'Section Load'!V24,0))</f>
        <v>412</v>
      </c>
      <c r="V21" s="905">
        <f>(IF('Section Load'!W24&gt;0,'Section Load'!W24,0))</f>
        <v>187.52000000001863</v>
      </c>
      <c r="W21" s="905">
        <f>(IF('Section Load'!X24&gt;0,'Section Load'!X24,0))</f>
        <v>26</v>
      </c>
      <c r="X21" s="905">
        <f>(IF('Section Load'!Y24&gt;0,'Section Load'!Y24,0))</f>
        <v>215.70000000000437</v>
      </c>
      <c r="Y21" s="905">
        <f>(IF('Section Load'!Z24&gt;0,'Section Load'!Z24,0))</f>
        <v>247</v>
      </c>
      <c r="Z21" s="905">
        <f>(IF('Section Load'!AA24&gt;0,'Section Load'!AA24,0))</f>
        <v>8.5200000000186265</v>
      </c>
      <c r="AA21" s="905">
        <f>(IF('Section Load'!AB24&gt;0,'Section Load'!AB24,0))</f>
        <v>35.69999999999709</v>
      </c>
      <c r="AB21" s="905">
        <f>(IF('Section Load'!AC24&gt;0,'Section Load'!AC24,0))</f>
        <v>0</v>
      </c>
      <c r="AC21" s="905">
        <f>(IF('Section Load'!AD24&gt;0,'Section Load'!AD24,0))</f>
        <v>49.899999999997362</v>
      </c>
      <c r="AD21" s="905">
        <f>(IF('Section Load'!AE24&gt;0,'Section Load'!AE24,0))</f>
        <v>0</v>
      </c>
      <c r="AE21" s="905">
        <f>(IF('Section Load'!AF24&gt;0,'Section Load'!AF24,0))</f>
        <v>0</v>
      </c>
      <c r="AF21" s="905">
        <f>(IF('Section Load'!AG24&gt;0,'Section Load'!AG24,0))</f>
        <v>380</v>
      </c>
      <c r="AG21" s="905">
        <f>(IF('Section Load'!AH24&gt;0,'Section Load'!AH24,0))</f>
        <v>360</v>
      </c>
      <c r="AH21" s="905">
        <f>(IF('Section Load'!AI24&gt;0,'Section Load'!AI24,0))</f>
        <v>370.10000000000582</v>
      </c>
      <c r="AI21" s="905">
        <f>(IF('Section Load'!AJ24&gt;0,'Section Load'!AJ24,0))</f>
        <v>417</v>
      </c>
      <c r="AJ21" s="905">
        <f>(IF('Section Load'!AK24&gt;0,'Section Load'!AK24,0))</f>
        <v>0</v>
      </c>
      <c r="AK21" s="905">
        <f>(IF('Section Load'!AL24&gt;0,'Section Load'!AL24,0))</f>
        <v>272</v>
      </c>
      <c r="AL21" s="905">
        <f>(IF('Section Load'!AM24&gt;0,'Section Load'!AM24,0))</f>
        <v>673</v>
      </c>
      <c r="AM21" s="906">
        <f>(IF('Water Report'!$W$7&gt;0,'Water Report'!$W$7,0))</f>
        <v>123</v>
      </c>
      <c r="AN21" s="906">
        <f>(IF('Water Report'!$W$8&gt;0,'Water Report'!$W$8,0))</f>
        <v>134</v>
      </c>
      <c r="AO21" s="906">
        <f>(IF('Water Report'!$W$9&gt;0,'Water Report'!$W$9,0))</f>
        <v>111</v>
      </c>
      <c r="AP21" s="906">
        <f>(IF('Water Report'!$W$10&gt;0,'Water Report'!$W$10,0))</f>
        <v>26</v>
      </c>
      <c r="AQ21" s="906">
        <f>(IF('Water Report'!$W$11&gt;0,'Water Report'!$W$11,0))</f>
        <v>32</v>
      </c>
      <c r="AR21" s="906">
        <f>(IF('Water Report'!$W$13&gt;0,'Water Report'!$W$13,0))</f>
        <v>29</v>
      </c>
      <c r="AS21" s="906">
        <f>(IF('Water Report'!$W$14&gt;0,'Water Report'!$W$14,0))</f>
        <v>21</v>
      </c>
      <c r="AT21" s="906">
        <f>(IF('Water Report'!$W$15&gt;0,'Water Report'!$W$15,0))</f>
        <v>11</v>
      </c>
      <c r="AU21" s="906">
        <f>(IF('Water Report'!$W$17&gt;0,'Water Report'!$W$17,0))</f>
        <v>0</v>
      </c>
      <c r="AV21" s="906">
        <f>(IF('Water Report'!$W$18&gt;0,'Water Report'!$W$18,0))</f>
        <v>9</v>
      </c>
      <c r="AW21" s="906">
        <f>(IF('Water Report'!$W$19&gt;0,'Water Report'!$W$19,0))</f>
        <v>9</v>
      </c>
      <c r="AX21" s="981">
        <f>(IF('Water Report'!$W$21&gt;0,'Water Report'!$W$21,0))</f>
        <v>61</v>
      </c>
      <c r="AY21" s="981">
        <f>(IF('Water Report'!$W$22&gt;0,'Water Report'!$W$22,0))</f>
        <v>0</v>
      </c>
      <c r="AZ21" s="981">
        <f>(IF('Water Report'!$W$23&gt;0,'Water Report'!$W$23,0))</f>
        <v>74</v>
      </c>
      <c r="BA21" s="981">
        <f>(IF('Water Report'!$W$14&gt;0,'Water Report'!$W$14,0))</f>
        <v>21</v>
      </c>
      <c r="BB21" s="981">
        <f>(IF('Water Report'!$W$15&gt;0,'Water Report'!$W$15,0))</f>
        <v>11</v>
      </c>
      <c r="BC21" s="981">
        <f>(IF('Water Report'!$W$13&gt;0,'Water Report'!$W$13,0))</f>
        <v>29</v>
      </c>
      <c r="BD21" s="981">
        <f>(IF('Water Report'!$W$24&gt;0,'Water Report'!$W$24,0))</f>
        <v>299</v>
      </c>
      <c r="BE21" s="981">
        <f>(IF('Water Report'!$W$25&gt;0,'Water Report'!$W$25,0))</f>
        <v>201</v>
      </c>
      <c r="BF21" s="981">
        <f>(IF('Water Report'!$W$27&gt;0,'Water Report'!$W$27,0))</f>
        <v>164</v>
      </c>
      <c r="BG21" s="907">
        <f>(IF('Section Load'!AN24&gt;0,'Section Load'!AN24,0))</f>
        <v>900.52000000001863</v>
      </c>
      <c r="BH21" s="907">
        <f>(IF('Section Load'!AO24&gt;0,'Section Load'!AO24,0))</f>
        <v>285.69999999995343</v>
      </c>
      <c r="BI21" s="907">
        <f>(IF('Section Load'!AP24&gt;0,'Section Load'!AP24,0))</f>
        <v>0</v>
      </c>
      <c r="BJ21" s="907">
        <f>(IF('Section Load'!AQ24&gt;0,'Section Load'!AQ24,0))</f>
        <v>86.579999999987194</v>
      </c>
      <c r="BK21" s="907">
        <f>(IF('Section Load'!AR24&gt;0,'Section Load'!AR24,0))</f>
        <v>39.69999999999709</v>
      </c>
      <c r="BL21" s="907">
        <f>(IF('Section Load'!AS24&gt;0,'Section Load'!AS24,0))</f>
        <v>0.29000000000087311</v>
      </c>
      <c r="BM21" s="907">
        <f>(IF('Section Load'!AT24&gt;0,'Section Load'!AT24,0))</f>
        <v>488.25000000008004</v>
      </c>
    </row>
    <row r="22" spans="1:65">
      <c r="A22" s="893" t="s">
        <v>289</v>
      </c>
      <c r="B22" s="894">
        <f t="shared" si="0"/>
        <v>21</v>
      </c>
      <c r="C22" s="894">
        <v>9</v>
      </c>
      <c r="D22" s="894">
        <v>2021</v>
      </c>
      <c r="E22" s="905">
        <f>(IF('Section Load'!F25&gt;0,'Section Load'!F25,0))</f>
        <v>3056</v>
      </c>
      <c r="F22" s="905">
        <f>(IF('Section Load'!G25&gt;0,'Section Load'!G25,0))</f>
        <v>1562</v>
      </c>
      <c r="G22" s="905">
        <f>(IF('Section Load'!H25&gt;0,'Section Load'!H25,0))</f>
        <v>1883.0699999999488</v>
      </c>
      <c r="H22" s="905">
        <f>(IF('Section Load'!I25&gt;0,'Section Load'!I25,0))</f>
        <v>3720</v>
      </c>
      <c r="I22" s="905">
        <f>(IF('Section Load'!J25&gt;0,'Section Load'!J25,0))</f>
        <v>6296</v>
      </c>
      <c r="J22" s="905">
        <f>(IF('Section Load'!K25&gt;0,'Section Load'!K25,0))</f>
        <v>2600</v>
      </c>
      <c r="K22" s="905">
        <f>(IF('Section Load'!L25&gt;0,'Section Load'!L25,0))</f>
        <v>1002</v>
      </c>
      <c r="L22" s="905">
        <f>(IF('Section Load'!M25&gt;0,'Section Load'!M25,0))</f>
        <v>674.80000000000291</v>
      </c>
      <c r="M22" s="905">
        <f>(IF('Section Load'!N25&gt;0,'Section Load'!N25,0))</f>
        <v>29</v>
      </c>
      <c r="N22" s="905">
        <f>(IF('Section Load'!O25&gt;0,'Section Load'!O25,0))</f>
        <v>1</v>
      </c>
      <c r="O22" s="905">
        <f>(IF('Section Load'!P25&gt;0,'Section Load'!P25,0))</f>
        <v>1.1000000000058208</v>
      </c>
      <c r="P22" s="905">
        <f>(IF('Section Load'!Q25&gt;0,'Section Load'!Q25,0))</f>
        <v>199.40000000000146</v>
      </c>
      <c r="Q22" s="905">
        <f>(IF('Section Load'!R25&gt;0,'Section Load'!R25,0))</f>
        <v>68</v>
      </c>
      <c r="R22" s="905">
        <f>(IF('Section Load'!S25&gt;0,'Section Load'!S25,0))</f>
        <v>72</v>
      </c>
      <c r="S22" s="905">
        <f>(IF('Section Load'!T25&gt;0,'Section Load'!T25,0))</f>
        <v>110</v>
      </c>
      <c r="T22" s="905">
        <f>(IF('Section Load'!U25&gt;0,'Section Load'!U25,0))</f>
        <v>166</v>
      </c>
      <c r="U22" s="905">
        <f>(IF('Section Load'!V25&gt;0,'Section Load'!V25,0))</f>
        <v>379.88000000000466</v>
      </c>
      <c r="V22" s="905">
        <f>(IF('Section Load'!W25&gt;0,'Section Load'!W25,0))</f>
        <v>172.40000000002328</v>
      </c>
      <c r="W22" s="905">
        <f>(IF('Section Load'!X25&gt;0,'Section Load'!X25,0))</f>
        <v>17</v>
      </c>
      <c r="X22" s="905">
        <f>(IF('Section Load'!Y25&gt;0,'Section Load'!Y25,0))</f>
        <v>202.40000000000146</v>
      </c>
      <c r="Y22" s="905">
        <f>(IF('Section Load'!Z25&gt;0,'Section Load'!Z25,0))</f>
        <v>306</v>
      </c>
      <c r="Z22" s="905">
        <f>(IF('Section Load'!AA25&gt;0,'Section Load'!AA25,0))</f>
        <v>9.1999999999534339</v>
      </c>
      <c r="AA22" s="905">
        <f>(IF('Section Load'!AB25&gt;0,'Section Load'!AB25,0))</f>
        <v>28.599999999991269</v>
      </c>
      <c r="AB22" s="905">
        <f>(IF('Section Load'!AC25&gt;0,'Section Load'!AC25,0))</f>
        <v>0</v>
      </c>
      <c r="AC22" s="905">
        <f>(IF('Section Load'!AD25&gt;0,'Section Load'!AD25,0))</f>
        <v>46.199999999991633</v>
      </c>
      <c r="AD22" s="905">
        <f>(IF('Section Load'!AE25&gt;0,'Section Load'!AE25,0))</f>
        <v>0</v>
      </c>
      <c r="AE22" s="905">
        <f>(IF('Section Load'!AF25&gt;0,'Section Load'!AF25,0))</f>
        <v>0</v>
      </c>
      <c r="AF22" s="905">
        <f>(IF('Section Load'!AG25&gt;0,'Section Load'!AG25,0))</f>
        <v>357</v>
      </c>
      <c r="AG22" s="905">
        <f>(IF('Section Load'!AH25&gt;0,'Section Load'!AH25,0))</f>
        <v>394</v>
      </c>
      <c r="AH22" s="905">
        <f>(IF('Section Load'!AI25&gt;0,'Section Load'!AI25,0))</f>
        <v>410.69999999999709</v>
      </c>
      <c r="AI22" s="905">
        <f>(IF('Section Load'!AJ25&gt;0,'Section Load'!AJ25,0))</f>
        <v>456</v>
      </c>
      <c r="AJ22" s="905">
        <f>(IF('Section Load'!AK25&gt;0,'Section Load'!AK25,0))</f>
        <v>0</v>
      </c>
      <c r="AK22" s="905">
        <f>(IF('Section Load'!AL25&gt;0,'Section Load'!AL25,0))</f>
        <v>321</v>
      </c>
      <c r="AL22" s="905">
        <f>(IF('Section Load'!AM25&gt;0,'Section Load'!AM25,0))</f>
        <v>661</v>
      </c>
      <c r="AM22" s="906">
        <f>(IF('Water Report'!$X$7&gt;0,'Water Report'!$X$7,0))</f>
        <v>129</v>
      </c>
      <c r="AN22" s="906">
        <f>(IF('Water Report'!$X$8&gt;0,'Water Report'!$X$8,0))</f>
        <v>144</v>
      </c>
      <c r="AO22" s="906">
        <f>(IF('Water Report'!$X$9&gt;0,'Water Report'!$X$9,0))</f>
        <v>78</v>
      </c>
      <c r="AP22" s="906">
        <f>(IF('Water Report'!$X$10&gt;0,'Water Report'!$X$10,0))</f>
        <v>28</v>
      </c>
      <c r="AQ22" s="906">
        <f>(IF('Water Report'!$X$11&gt;0,'Water Report'!$X$11,0))</f>
        <v>33</v>
      </c>
      <c r="AR22" s="906">
        <f>(IF('Water Report'!$X$13&gt;0,'Water Report'!$X$13,0))</f>
        <v>13</v>
      </c>
      <c r="AS22" s="906">
        <f>(IF('Water Report'!$X$14&gt;0,'Water Report'!$X$14,0))</f>
        <v>18</v>
      </c>
      <c r="AT22" s="906">
        <f>(IF('Water Report'!$X$15&gt;0,'Water Report'!$X$15,0))</f>
        <v>25</v>
      </c>
      <c r="AU22" s="906">
        <f>(IF('Water Report'!$X$17&gt;0,'Water Report'!$X$17,0))</f>
        <v>18</v>
      </c>
      <c r="AV22" s="906">
        <f>(IF('Water Report'!$X$18&gt;0,'Water Report'!$X$18,0))</f>
        <v>11</v>
      </c>
      <c r="AW22" s="906">
        <f>(IF('Water Report'!$X$19&gt;0,'Water Report'!$X$19,0))</f>
        <v>8</v>
      </c>
      <c r="AX22" s="981">
        <f>(IF('Water Report'!$X$21&gt;0,'Water Report'!$X$21,0))</f>
        <v>85</v>
      </c>
      <c r="AY22" s="981">
        <f>(IF('Water Report'!$X$22&gt;0,'Water Report'!$X$22,0))</f>
        <v>0</v>
      </c>
      <c r="AZ22" s="981">
        <f>(IF('Water Report'!$X$23&gt;0,'Water Report'!$X$23,0))</f>
        <v>0</v>
      </c>
      <c r="BA22" s="981">
        <f>(IF('Water Report'!$X$14&gt;0,'Water Report'!$X$14,0))</f>
        <v>18</v>
      </c>
      <c r="BB22" s="981">
        <f>(IF('Water Report'!$X$15&gt;0,'Water Report'!$X$15,0))</f>
        <v>25</v>
      </c>
      <c r="BC22" s="981">
        <f>(IF('Water Report'!$X$13&gt;0,'Water Report'!$X$13,0))</f>
        <v>13</v>
      </c>
      <c r="BD22" s="981">
        <f>(IF('Water Report'!$X$24&gt;0,'Water Report'!$X$24,0))</f>
        <v>253</v>
      </c>
      <c r="BE22" s="981">
        <f>(IF('Water Report'!$X$25&gt;0,'Water Report'!$X$25,0))</f>
        <v>182</v>
      </c>
      <c r="BF22" s="981">
        <f>(IF('Water Report'!$X$27&gt;0,'Water Report'!$X$27,0))</f>
        <v>98</v>
      </c>
      <c r="BG22" s="907">
        <f>(IF('Section Load'!AN25&gt;0,'Section Load'!AN25,0))</f>
        <v>890.93999999994412</v>
      </c>
      <c r="BH22" s="907">
        <f>(IF('Section Load'!AO25&gt;0,'Section Load'!AO25,0))</f>
        <v>279.30000000004657</v>
      </c>
      <c r="BI22" s="907">
        <f>(IF('Section Load'!AP25&gt;0,'Section Load'!AP25,0))</f>
        <v>0</v>
      </c>
      <c r="BJ22" s="907">
        <f>(IF('Section Load'!AQ25&gt;0,'Section Load'!AQ25,0))</f>
        <v>101.11999999999534</v>
      </c>
      <c r="BK22" s="907">
        <f>(IF('Section Load'!AR25&gt;0,'Section Load'!AR25,0))</f>
        <v>50.30000000000291</v>
      </c>
      <c r="BL22" s="907">
        <f>(IF('Section Load'!AS25&gt;0,'Section Load'!AS25,0))</f>
        <v>12.75</v>
      </c>
      <c r="BM22" s="907">
        <f>(IF('Section Load'!AT25&gt;0,'Section Load'!AT25,0))</f>
        <v>447.4699999998993</v>
      </c>
    </row>
    <row r="23" spans="1:65">
      <c r="A23" s="893" t="s">
        <v>289</v>
      </c>
      <c r="B23" s="894">
        <f t="shared" si="0"/>
        <v>22</v>
      </c>
      <c r="C23" s="894">
        <v>9</v>
      </c>
      <c r="D23" s="894">
        <v>2021</v>
      </c>
      <c r="E23" s="905">
        <f>(IF('Section Load'!F26&gt;0,'Section Load'!F26,0))</f>
        <v>3360</v>
      </c>
      <c r="F23" s="905">
        <f>(IF('Section Load'!G26&gt;0,'Section Load'!G26,0))</f>
        <v>1652</v>
      </c>
      <c r="G23" s="905">
        <f>(IF('Section Load'!H26&gt;0,'Section Load'!H26,0))</f>
        <v>1801</v>
      </c>
      <c r="H23" s="905">
        <f>(IF('Section Load'!I26&gt;0,'Section Load'!I26,0))</f>
        <v>4097</v>
      </c>
      <c r="I23" s="905">
        <f>(IF('Section Load'!J26&gt;0,'Section Load'!J26,0))</f>
        <v>7248.859999999986</v>
      </c>
      <c r="J23" s="905">
        <f>(IF('Section Load'!K26&gt;0,'Section Load'!K26,0))</f>
        <v>2820</v>
      </c>
      <c r="K23" s="905">
        <f>(IF('Section Load'!L26&gt;0,'Section Load'!L26,0))</f>
        <v>1431</v>
      </c>
      <c r="L23" s="905">
        <f>(IF('Section Load'!M26&gt;0,'Section Load'!M26,0))</f>
        <v>865.40000000000146</v>
      </c>
      <c r="M23" s="905">
        <f>(IF('Section Load'!N26&gt;0,'Section Load'!N26,0))</f>
        <v>16</v>
      </c>
      <c r="N23" s="905">
        <f>(IF('Section Load'!O26&gt;0,'Section Load'!O26,0))</f>
        <v>1</v>
      </c>
      <c r="O23" s="905">
        <f>(IF('Section Load'!P26&gt;0,'Section Load'!P26,0))</f>
        <v>1.1999999999970896</v>
      </c>
      <c r="P23" s="905">
        <f>(IF('Section Load'!Q26&gt;0,'Section Load'!Q26,0))</f>
        <v>191.79999999999927</v>
      </c>
      <c r="Q23" s="905">
        <f>(IF('Section Load'!R26&gt;0,'Section Load'!R26,0))</f>
        <v>65.199999999998909</v>
      </c>
      <c r="R23" s="905">
        <f>(IF('Section Load'!S26&gt;0,'Section Load'!S26,0))</f>
        <v>67</v>
      </c>
      <c r="S23" s="905">
        <f>(IF('Section Load'!T26&gt;0,'Section Load'!T26,0))</f>
        <v>146</v>
      </c>
      <c r="T23" s="905">
        <f>(IF('Section Load'!U26&gt;0,'Section Load'!U26,0))</f>
        <v>151</v>
      </c>
      <c r="U23" s="905">
        <f>(IF('Section Load'!V26&gt;0,'Section Load'!V26,0))</f>
        <v>396.47999999998137</v>
      </c>
      <c r="V23" s="905">
        <f>(IF('Section Load'!W26&gt;0,'Section Load'!W26,0))</f>
        <v>180.43999999994412</v>
      </c>
      <c r="W23" s="905">
        <f>(IF('Section Load'!X26&gt;0,'Section Load'!X26,0))</f>
        <v>24</v>
      </c>
      <c r="X23" s="905">
        <f>(IF('Section Load'!Y26&gt;0,'Section Load'!Y26,0))</f>
        <v>187</v>
      </c>
      <c r="Y23" s="905">
        <f>(IF('Section Load'!Z26&gt;0,'Section Load'!Z26,0))</f>
        <v>239</v>
      </c>
      <c r="Z23" s="905">
        <f>(IF('Section Load'!AA26&gt;0,'Section Load'!AA26,0))</f>
        <v>8.0599999999976717</v>
      </c>
      <c r="AA23" s="905">
        <f>(IF('Section Load'!AB26&gt;0,'Section Load'!AB26,0))</f>
        <v>13.5</v>
      </c>
      <c r="AB23" s="905">
        <f>(IF('Section Load'!AC26&gt;0,'Section Load'!AC26,0))</f>
        <v>0</v>
      </c>
      <c r="AC23" s="905">
        <f>(IF('Section Load'!AD26&gt;0,'Section Load'!AD26,0))</f>
        <v>34.5</v>
      </c>
      <c r="AD23" s="905">
        <f>(IF('Section Load'!AE26&gt;0,'Section Load'!AE26,0))</f>
        <v>0</v>
      </c>
      <c r="AE23" s="905">
        <f>(IF('Section Load'!AF26&gt;0,'Section Load'!AF26,0))</f>
        <v>0</v>
      </c>
      <c r="AF23" s="905">
        <f>(IF('Section Load'!AG26&gt;0,'Section Load'!AG26,0))</f>
        <v>368</v>
      </c>
      <c r="AG23" s="905">
        <f>(IF('Section Load'!AH26&gt;0,'Section Load'!AH26,0))</f>
        <v>394</v>
      </c>
      <c r="AH23" s="905">
        <f>(IF('Section Load'!AI26&gt;0,'Section Load'!AI26,0))</f>
        <v>395.19999999999709</v>
      </c>
      <c r="AI23" s="905">
        <f>(IF('Section Load'!AJ26&gt;0,'Section Load'!AJ26,0))</f>
        <v>478</v>
      </c>
      <c r="AJ23" s="905">
        <f>(IF('Section Load'!AK26&gt;0,'Section Load'!AK26,0))</f>
        <v>0</v>
      </c>
      <c r="AK23" s="905">
        <f>(IF('Section Load'!AL26&gt;0,'Section Load'!AL26,0))</f>
        <v>325</v>
      </c>
      <c r="AL23" s="905">
        <f>(IF('Section Load'!AM26&gt;0,'Section Load'!AM26,0))</f>
        <v>783</v>
      </c>
      <c r="AM23" s="906">
        <f>(IF('Water Report'!$Y$7&gt;0,'Water Report'!$Y$7,0))</f>
        <v>106</v>
      </c>
      <c r="AN23" s="906">
        <f>(IF('Water Report'!$Y$8&gt;0,'Water Report'!$Y$8,0))</f>
        <v>157</v>
      </c>
      <c r="AO23" s="906">
        <f>(IF('Water Report'!$Y$9&gt;0,'Water Report'!$Y$9,0))</f>
        <v>82</v>
      </c>
      <c r="AP23" s="906">
        <f>(IF('Water Report'!$Y$10&gt;0,'Water Report'!$Y$10,0))</f>
        <v>28</v>
      </c>
      <c r="AQ23" s="906">
        <f>(IF('Water Report'!$Y$11&gt;0,'Water Report'!$Y$11,0))</f>
        <v>33</v>
      </c>
      <c r="AR23" s="906">
        <f>(IF('Water Report'!$Y$13&gt;0,'Water Report'!$Y$13,0))</f>
        <v>41</v>
      </c>
      <c r="AS23" s="906">
        <f>(IF('Water Report'!$Y$14&gt;0,'Water Report'!$Y$14,0))</f>
        <v>13</v>
      </c>
      <c r="AT23" s="906">
        <f>(IF('Water Report'!$Y$15&gt;0,'Water Report'!$Y$15,0))</f>
        <v>9</v>
      </c>
      <c r="AU23" s="906">
        <f>(IF('Water Report'!$Y$17&gt;0,'Water Report'!$Y$17,0))</f>
        <v>0</v>
      </c>
      <c r="AV23" s="906">
        <f>(IF('Water Report'!$Y$18&gt;0,'Water Report'!$Y$18,0))</f>
        <v>7</v>
      </c>
      <c r="AW23" s="906">
        <f>(IF('Water Report'!$Y$19&gt;0,'Water Report'!$Y$19,0))</f>
        <v>9</v>
      </c>
      <c r="AX23" s="981">
        <f>(IF('Water Report'!$Y$21&gt;0,'Water Report'!$Y$21,0))</f>
        <v>83</v>
      </c>
      <c r="AY23" s="981">
        <f>(IF('Water Report'!$Y$22&gt;0,'Water Report'!$Y$22,0))</f>
        <v>0</v>
      </c>
      <c r="AZ23" s="981">
        <f>(IF('Water Report'!$Y$23&gt;0,'Water Report'!$Y$23,0))</f>
        <v>2</v>
      </c>
      <c r="BA23" s="981">
        <f>(IF('Water Report'!$Y$14&gt;0,'Water Report'!$Y$14,0))</f>
        <v>13</v>
      </c>
      <c r="BB23" s="981">
        <f>(IF('Water Report'!$Y$15&gt;0,'Water Report'!$Y$15,0))</f>
        <v>9</v>
      </c>
      <c r="BC23" s="981">
        <f>(IF('Water Report'!$Y$13&gt;0,'Water Report'!$Y$13,0))</f>
        <v>41</v>
      </c>
      <c r="BD23" s="981">
        <f>(IF('Water Report'!$Y$24&gt;0,'Water Report'!$Y$24,0))</f>
        <v>265</v>
      </c>
      <c r="BE23" s="981">
        <f>(IF('Water Report'!$Y$25&gt;0,'Water Report'!$Y$25,0))</f>
        <v>165</v>
      </c>
      <c r="BF23" s="981">
        <f>(IF('Water Report'!$Y$27&gt;0,'Water Report'!$Y$27,0))</f>
        <v>126</v>
      </c>
      <c r="BG23" s="907">
        <f>(IF('Section Load'!AN26&gt;0,'Section Load'!AN26,0))</f>
        <v>882.82000000006519</v>
      </c>
      <c r="BH23" s="907">
        <f>(IF('Section Load'!AO26&gt;0,'Section Load'!AO26,0))</f>
        <v>272.02000000001863</v>
      </c>
      <c r="BI23" s="907">
        <f>(IF('Section Load'!AP26&gt;0,'Section Load'!AP26,0))</f>
        <v>0</v>
      </c>
      <c r="BJ23" s="907">
        <f>(IF('Section Load'!AQ26&gt;0,'Section Load'!AQ26,0))</f>
        <v>97.610000000015134</v>
      </c>
      <c r="BK23" s="907">
        <f>(IF('Section Load'!AR26&gt;0,'Section Load'!AR26,0))</f>
        <v>37.5</v>
      </c>
      <c r="BL23" s="907">
        <f>(IF('Section Load'!AS26&gt;0,'Section Load'!AS26,0))</f>
        <v>1.6999999999989086</v>
      </c>
      <c r="BM23" s="907">
        <f>(IF('Section Load'!AT26&gt;0,'Section Load'!AT26,0))</f>
        <v>473.99000000003252</v>
      </c>
    </row>
    <row r="24" spans="1:65">
      <c r="A24" s="893" t="s">
        <v>289</v>
      </c>
      <c r="B24" s="894">
        <f t="shared" si="0"/>
        <v>23</v>
      </c>
      <c r="C24" s="894">
        <v>9</v>
      </c>
      <c r="D24" s="894">
        <v>2021</v>
      </c>
      <c r="E24" s="905">
        <f>(IF('Section Load'!F27&gt;0,'Section Load'!F27,0))</f>
        <v>3117</v>
      </c>
      <c r="F24" s="905">
        <f>(IF('Section Load'!G27&gt;0,'Section Load'!G27,0))</f>
        <v>1589</v>
      </c>
      <c r="G24" s="905">
        <f>(IF('Section Load'!H27&gt;0,'Section Load'!H27,0))</f>
        <v>1544</v>
      </c>
      <c r="H24" s="905">
        <f>(IF('Section Load'!I27&gt;0,'Section Load'!I27,0))</f>
        <v>3499</v>
      </c>
      <c r="I24" s="905">
        <f>(IF('Section Load'!J27&gt;0,'Section Load'!J27,0))</f>
        <v>7286</v>
      </c>
      <c r="J24" s="905">
        <f>(IF('Section Load'!K27&gt;0,'Section Load'!K27,0))</f>
        <v>2470</v>
      </c>
      <c r="K24" s="905">
        <f>(IF('Section Load'!L27&gt;0,'Section Load'!L27,0))</f>
        <v>985</v>
      </c>
      <c r="L24" s="905">
        <f>(IF('Section Load'!M27&gt;0,'Section Load'!M27,0))</f>
        <v>662.19999999999709</v>
      </c>
      <c r="M24" s="905">
        <f>(IF('Section Load'!N27&gt;0,'Section Load'!N27,0))</f>
        <v>9</v>
      </c>
      <c r="N24" s="905">
        <f>(IF('Section Load'!O27&gt;0,'Section Load'!O27,0))</f>
        <v>1</v>
      </c>
      <c r="O24" s="905">
        <f>(IF('Section Load'!P27&gt;0,'Section Load'!P27,0))</f>
        <v>0.19999999999708962</v>
      </c>
      <c r="P24" s="905">
        <f>(IF('Section Load'!Q27&gt;0,'Section Load'!Q27,0))</f>
        <v>170.5</v>
      </c>
      <c r="Q24" s="905">
        <f>(IF('Section Load'!R27&gt;0,'Section Load'!R27,0))</f>
        <v>63.200000000000728</v>
      </c>
      <c r="R24" s="905">
        <f>(IF('Section Load'!S27&gt;0,'Section Load'!S27,0))</f>
        <v>64</v>
      </c>
      <c r="S24" s="905">
        <f>(IF('Section Load'!T27&gt;0,'Section Load'!T27,0))</f>
        <v>75</v>
      </c>
      <c r="T24" s="905">
        <f>(IF('Section Load'!U27&gt;0,'Section Load'!U27,0))</f>
        <v>158</v>
      </c>
      <c r="U24" s="905">
        <f>(IF('Section Load'!V27&gt;0,'Section Load'!V27,0))</f>
        <v>400</v>
      </c>
      <c r="V24" s="905">
        <f>(IF('Section Load'!W27&gt;0,'Section Load'!W27,0))</f>
        <v>137</v>
      </c>
      <c r="W24" s="905">
        <f>(IF('Section Load'!X27&gt;0,'Section Load'!X27,0))</f>
        <v>16</v>
      </c>
      <c r="X24" s="905">
        <f>(IF('Section Load'!Y27&gt;0,'Section Load'!Y27,0))</f>
        <v>193.69999999999709</v>
      </c>
      <c r="Y24" s="905">
        <f>(IF('Section Load'!Z27&gt;0,'Section Load'!Z27,0))</f>
        <v>290</v>
      </c>
      <c r="Z24" s="905">
        <f>(IF('Section Load'!AA27&gt;0,'Section Load'!AA27,0))</f>
        <v>18.900000000023283</v>
      </c>
      <c r="AA24" s="905">
        <f>(IF('Section Load'!AB27&gt;0,'Section Load'!AB27,0))</f>
        <v>44.600000000005821</v>
      </c>
      <c r="AB24" s="905">
        <f>(IF('Section Load'!AC27&gt;0,'Section Load'!AC27,0))</f>
        <v>0</v>
      </c>
      <c r="AC24" s="905">
        <f>(IF('Section Load'!AD27&gt;0,'Section Load'!AD27,0))</f>
        <v>72.400000000006003</v>
      </c>
      <c r="AD24" s="905">
        <f>(IF('Section Load'!AE27&gt;0,'Section Load'!AE27,0))</f>
        <v>0</v>
      </c>
      <c r="AE24" s="905">
        <f>(IF('Section Load'!AF27&gt;0,'Section Load'!AF27,0))</f>
        <v>0</v>
      </c>
      <c r="AF24" s="905">
        <f>(IF('Section Load'!AG27&gt;0,'Section Load'!AG27,0))</f>
        <v>465</v>
      </c>
      <c r="AG24" s="905">
        <f>(IF('Section Load'!AH27&gt;0,'Section Load'!AH27,0))</f>
        <v>423</v>
      </c>
      <c r="AH24" s="905">
        <f>(IF('Section Load'!AI27&gt;0,'Section Load'!AI27,0))</f>
        <v>456.5</v>
      </c>
      <c r="AI24" s="905">
        <f>(IF('Section Load'!AJ27&gt;0,'Section Load'!AJ27,0))</f>
        <v>489</v>
      </c>
      <c r="AJ24" s="905">
        <f>(IF('Section Load'!AK27&gt;0,'Section Load'!AK27,0))</f>
        <v>0</v>
      </c>
      <c r="AK24" s="905">
        <f>(IF('Section Load'!AL27&gt;0,'Section Load'!AL27,0))</f>
        <v>325</v>
      </c>
      <c r="AL24" s="905">
        <f>(IF('Section Load'!AM27&gt;0,'Section Load'!AM27,0))</f>
        <v>691</v>
      </c>
      <c r="AM24" s="906">
        <f>(IF('Water Report'!$Z$7&gt;0,'Water Report'!$Z$7,0))</f>
        <v>64</v>
      </c>
      <c r="AN24" s="906">
        <f>(IF('Water Report'!$Z$8&gt;0,'Water Report'!$Z$8,0))</f>
        <v>178</v>
      </c>
      <c r="AO24" s="906">
        <f>(IF('Water Report'!$Z$9&gt;0,'Water Report'!$Z$9,0))</f>
        <v>65</v>
      </c>
      <c r="AP24" s="906">
        <f>(IF('Water Report'!$Z$10&gt;0,'Water Report'!$Z$10,0))</f>
        <v>19</v>
      </c>
      <c r="AQ24" s="906">
        <f>(IF('Water Report'!$Z$11&gt;0,'Water Report'!$Z$11,0))</f>
        <v>23</v>
      </c>
      <c r="AR24" s="906">
        <f>(IF('Water Report'!$Z$13&gt;0,'Water Report'!$Z$13,0))</f>
        <v>44</v>
      </c>
      <c r="AS24" s="906">
        <f>(IF('Water Report'!$Z$14&gt;0,'Water Report'!$Z$14,0))</f>
        <v>18</v>
      </c>
      <c r="AT24" s="906">
        <f>(IF('Water Report'!$Z$15&gt;0,'Water Report'!$Z$15,0))</f>
        <v>3</v>
      </c>
      <c r="AU24" s="906">
        <f>(IF('Water Report'!$Z$17&gt;0,'Water Report'!$Z$17,0))</f>
        <v>0</v>
      </c>
      <c r="AV24" s="906">
        <f>(IF('Water Report'!$Z$18&gt;0,'Water Report'!$Z$18,0))</f>
        <v>11</v>
      </c>
      <c r="AW24" s="906">
        <f>(IF('Water Report'!$Z$19&gt;0,'Water Report'!$Z$19,0))</f>
        <v>7</v>
      </c>
      <c r="AX24" s="981">
        <f>(IF('Water Report'!$Z$21&gt;0,'Water Report'!$Z$21,0))</f>
        <v>77</v>
      </c>
      <c r="AY24" s="981">
        <f>(IF('Water Report'!$Z$22&gt;0,'Water Report'!$Z$22,0))</f>
        <v>0</v>
      </c>
      <c r="AZ24" s="981">
        <f>(IF('Water Report'!$Z$23&gt;0,'Water Report'!$Z$23,0))</f>
        <v>0</v>
      </c>
      <c r="BA24" s="981">
        <f>(IF('Water Report'!$Z$14&gt;0,'Water Report'!$Z$14,0))</f>
        <v>18</v>
      </c>
      <c r="BB24" s="981">
        <f>(IF('Water Report'!$Z$15&gt;0,'Water Report'!$Z$15,0))</f>
        <v>3</v>
      </c>
      <c r="BC24" s="981">
        <f>(IF('Water Report'!$Z$13&gt;0,'Water Report'!$Z$13,0))</f>
        <v>44</v>
      </c>
      <c r="BD24" s="981">
        <f>(IF('Water Report'!$Z$24&gt;0,'Water Report'!$Z$24,0))</f>
        <v>226</v>
      </c>
      <c r="BE24" s="981">
        <f>(IF('Water Report'!$Z$25&gt;0,'Water Report'!$Z$25,0))</f>
        <v>128</v>
      </c>
      <c r="BF24" s="981">
        <f>(IF('Water Report'!$Z$27&gt;0,'Water Report'!$Z$27,0))</f>
        <v>121</v>
      </c>
      <c r="BG24" s="907">
        <f>(IF('Section Load'!AN27&gt;0,'Section Load'!AN27,0))</f>
        <v>828.71999999997206</v>
      </c>
      <c r="BH24" s="907">
        <f>(IF('Section Load'!AO27&gt;0,'Section Load'!AO27,0))</f>
        <v>261.97999999998137</v>
      </c>
      <c r="BI24" s="907">
        <f>(IF('Section Load'!AP27&gt;0,'Section Load'!AP27,0))</f>
        <v>0</v>
      </c>
      <c r="BJ24" s="907">
        <f>(IF('Section Load'!AQ27&gt;0,'Section Load'!AQ27,0))</f>
        <v>95.769999999989523</v>
      </c>
      <c r="BK24" s="907">
        <f>(IF('Section Load'!AR27&gt;0,'Section Load'!AR27,0))</f>
        <v>33.69999999999709</v>
      </c>
      <c r="BL24" s="907">
        <f>(IF('Section Load'!AS27&gt;0,'Section Load'!AS27,0))</f>
        <v>1.1000000000003638</v>
      </c>
      <c r="BM24" s="907">
        <f>(IF('Section Load'!AT27&gt;0,'Section Load'!AT27,0))</f>
        <v>436.17000000000371</v>
      </c>
    </row>
    <row r="25" spans="1:65">
      <c r="A25" s="893" t="s">
        <v>289</v>
      </c>
      <c r="B25" s="894">
        <f t="shared" si="0"/>
        <v>24</v>
      </c>
      <c r="C25" s="894">
        <v>9</v>
      </c>
      <c r="D25" s="894">
        <v>2021</v>
      </c>
      <c r="E25" s="905">
        <f>(IF('Section Load'!F28&gt;0,'Section Load'!F28,0))</f>
        <v>3121</v>
      </c>
      <c r="F25" s="905">
        <f>(IF('Section Load'!G28&gt;0,'Section Load'!G28,0))</f>
        <v>1505</v>
      </c>
      <c r="G25" s="905">
        <f>(IF('Section Load'!H28&gt;0,'Section Load'!H28,0))</f>
        <v>1660.9300000000512</v>
      </c>
      <c r="H25" s="905">
        <f>(IF('Section Load'!I28&gt;0,'Section Load'!I28,0))</f>
        <v>3973.4099999999744</v>
      </c>
      <c r="I25" s="905">
        <f>(IF('Section Load'!J28&gt;0,'Section Load'!J28,0))</f>
        <v>8002</v>
      </c>
      <c r="J25" s="905">
        <f>(IF('Section Load'!K28&gt;0,'Section Load'!K28,0))</f>
        <v>3020</v>
      </c>
      <c r="K25" s="905">
        <f>(IF('Section Load'!L28&gt;0,'Section Load'!L28,0))</f>
        <v>1445</v>
      </c>
      <c r="L25" s="905">
        <f>(IF('Section Load'!M28&gt;0,'Section Load'!M28,0))</f>
        <v>672</v>
      </c>
      <c r="M25" s="905">
        <f>(IF('Section Load'!N28&gt;0,'Section Load'!N28,0))</f>
        <v>10</v>
      </c>
      <c r="N25" s="905">
        <f>(IF('Section Load'!O28&gt;0,'Section Load'!O28,0))</f>
        <v>1</v>
      </c>
      <c r="O25" s="905">
        <f>(IF('Section Load'!P28&gt;0,'Section Load'!P28,0))</f>
        <v>0</v>
      </c>
      <c r="P25" s="905">
        <f>(IF('Section Load'!Q28&gt;0,'Section Load'!Q28,0))</f>
        <v>158</v>
      </c>
      <c r="Q25" s="905">
        <f>(IF('Section Load'!R28&gt;0,'Section Load'!R28,0))</f>
        <v>71</v>
      </c>
      <c r="R25" s="905">
        <f>(IF('Section Load'!S28&gt;0,'Section Load'!S28,0))</f>
        <v>60</v>
      </c>
      <c r="S25" s="905">
        <f>(IF('Section Load'!T28&gt;0,'Section Load'!T28,0))</f>
        <v>59</v>
      </c>
      <c r="T25" s="905">
        <f>(IF('Section Load'!U28&gt;0,'Section Load'!U28,0))</f>
        <v>168</v>
      </c>
      <c r="U25" s="905">
        <f>(IF('Section Load'!V28&gt;0,'Section Load'!V28,0))</f>
        <v>382</v>
      </c>
      <c r="V25" s="905">
        <f>(IF('Section Load'!W28&gt;0,'Section Load'!W28,0))</f>
        <v>129</v>
      </c>
      <c r="W25" s="905">
        <f>(IF('Section Load'!X28&gt;0,'Section Load'!X28,0))</f>
        <v>26</v>
      </c>
      <c r="X25" s="905">
        <f>(IF('Section Load'!Y28&gt;0,'Section Load'!Y28,0))</f>
        <v>223</v>
      </c>
      <c r="Y25" s="905">
        <f>(IF('Section Load'!Z28&gt;0,'Section Load'!Z28,0))</f>
        <v>276</v>
      </c>
      <c r="Z25" s="905">
        <f>(IF('Section Load'!AA28&gt;0,'Section Load'!AA28,0))</f>
        <v>27</v>
      </c>
      <c r="AA25" s="905">
        <f>(IF('Section Load'!AB28&gt;0,'Section Load'!AB28,0))</f>
        <v>28</v>
      </c>
      <c r="AB25" s="905">
        <f>(IF('Section Load'!AC28&gt;0,'Section Load'!AC28,0))</f>
        <v>0</v>
      </c>
      <c r="AC25" s="905">
        <f>(IF('Section Load'!AD28&gt;0,'Section Load'!AD28,0))</f>
        <v>35</v>
      </c>
      <c r="AD25" s="905">
        <f>(IF('Section Load'!AE28&gt;0,'Section Load'!AE28,0))</f>
        <v>0</v>
      </c>
      <c r="AE25" s="905">
        <f>(IF('Section Load'!AF28&gt;0,'Section Load'!AF28,0))</f>
        <v>0</v>
      </c>
      <c r="AF25" s="905">
        <f>(IF('Section Load'!AG28&gt;0,'Section Load'!AG28,0))</f>
        <v>427</v>
      </c>
      <c r="AG25" s="905">
        <f>(IF('Section Load'!AH28&gt;0,'Section Load'!AH28,0))</f>
        <v>393</v>
      </c>
      <c r="AH25" s="905">
        <f>(IF('Section Load'!AI28&gt;0,'Section Load'!AI28,0))</f>
        <v>375</v>
      </c>
      <c r="AI25" s="905">
        <f>(IF('Section Load'!AJ28&gt;0,'Section Load'!AJ28,0))</f>
        <v>441</v>
      </c>
      <c r="AJ25" s="905">
        <f>(IF('Section Load'!AK28&gt;0,'Section Load'!AK28,0))</f>
        <v>0</v>
      </c>
      <c r="AK25" s="905">
        <f>(IF('Section Load'!AL28&gt;0,'Section Load'!AL28,0))</f>
        <v>340</v>
      </c>
      <c r="AL25" s="905">
        <f>(IF('Section Load'!AM28&gt;0,'Section Load'!AM28,0))</f>
        <v>687</v>
      </c>
      <c r="AM25" s="906">
        <f>(IF('Water Report'!$AA$7&gt;0,'Water Report'!$AA$7,0))</f>
        <v>76</v>
      </c>
      <c r="AN25" s="906">
        <f>(IF('Water Report'!$AA$8&gt;0,'Water Report'!$AA$8,0))</f>
        <v>137</v>
      </c>
      <c r="AO25" s="906">
        <f>(IF('Water Report'!$AA$9&gt;0,'Water Report'!$AA$9,0))</f>
        <v>67</v>
      </c>
      <c r="AP25" s="906">
        <f>(IF('Water Report'!$AA$10&gt;0,'Water Report'!$AA$10,0))</f>
        <v>27</v>
      </c>
      <c r="AQ25" s="906">
        <f>(IF('Water Report'!$AA$11&gt;0,'Water Report'!$AA$11,0))</f>
        <v>20</v>
      </c>
      <c r="AR25" s="906">
        <f>(IF('Water Report'!$AA$13&gt;0,'Water Report'!$AA$13,0))</f>
        <v>52</v>
      </c>
      <c r="AS25" s="906">
        <f>(IF('Water Report'!$AA$14&gt;0,'Water Report'!$AA$14,0))</f>
        <v>15</v>
      </c>
      <c r="AT25" s="906">
        <f>(IF('Water Report'!$AA$15&gt;0,'Water Report'!$AA$15,0))</f>
        <v>7</v>
      </c>
      <c r="AU25" s="906">
        <f>(IF('Water Report'!$AA$17&gt;0,'Water Report'!$AA$17,0))</f>
        <v>16</v>
      </c>
      <c r="AV25" s="906">
        <f>(IF('Water Report'!$AA$18&gt;0,'Water Report'!$AA$18,0))</f>
        <v>7</v>
      </c>
      <c r="AW25" s="906">
        <f>(IF('Water Report'!$AA$19&gt;0,'Water Report'!$AA$19,0))</f>
        <v>10</v>
      </c>
      <c r="AX25" s="981">
        <f>(IF('Water Report'!$AA$21&gt;0,'Water Report'!$AA$21,0))</f>
        <v>75</v>
      </c>
      <c r="AY25" s="981">
        <f>(IF('Water Report'!$AA$22&gt;0,'Water Report'!$AA$22,0))</f>
        <v>0</v>
      </c>
      <c r="AZ25" s="981">
        <f>(IF('Water Report'!$AA$23&gt;0,'Water Report'!$AA$23,0))</f>
        <v>60</v>
      </c>
      <c r="BA25" s="981">
        <f>(IF('Water Report'!$AA$14&gt;0,'Water Report'!$AA$14,0))</f>
        <v>15</v>
      </c>
      <c r="BB25" s="981">
        <f>(IF('Water Report'!$AA$15&gt;0,'Water Report'!$AA$15,0))</f>
        <v>7</v>
      </c>
      <c r="BC25" s="981">
        <f>(IF('Water Report'!$AA$13&gt;0,'Water Report'!$AA$13,0))</f>
        <v>52</v>
      </c>
      <c r="BD25" s="981">
        <f>(IF('Water Report'!$AA$24&gt;0,'Water Report'!$AA$24,0))</f>
        <v>224</v>
      </c>
      <c r="BE25" s="981">
        <f>(IF('Water Report'!$AA$25&gt;0,'Water Report'!$AA$25,0))</f>
        <v>136</v>
      </c>
      <c r="BF25" s="981">
        <f>(IF('Water Report'!$AA$27&gt;0,'Water Report'!$AA$27,0))</f>
        <v>187</v>
      </c>
      <c r="BG25" s="907">
        <f>(IF('Section Load'!AN28&gt;0,'Section Load'!AN28,0))</f>
        <v>879</v>
      </c>
      <c r="BH25" s="907">
        <f>(IF('Section Load'!AO28&gt;0,'Section Load'!AO28,0))</f>
        <v>244</v>
      </c>
      <c r="BI25" s="907">
        <f>(IF('Section Load'!AP28&gt;0,'Section Load'!AP28,0))</f>
        <v>0</v>
      </c>
      <c r="BJ25" s="907">
        <f>(IF('Section Load'!AQ28&gt;0,'Section Load'!AQ28,0))</f>
        <v>80</v>
      </c>
      <c r="BK25" s="907">
        <f>(IF('Section Load'!AR28&gt;0,'Section Load'!AR28,0))</f>
        <v>45</v>
      </c>
      <c r="BL25" s="907">
        <f>(IF('Section Load'!AS28&gt;0,'Section Load'!AS28,0))</f>
        <v>2</v>
      </c>
      <c r="BM25" s="907">
        <f>(IF('Section Load'!AT28&gt;0,'Section Load'!AT28,0))</f>
        <v>508.39999999999418</v>
      </c>
    </row>
    <row r="26" spans="1:65">
      <c r="A26" s="893" t="s">
        <v>289</v>
      </c>
      <c r="B26" s="894">
        <f>B25+1</f>
        <v>25</v>
      </c>
      <c r="C26" s="894">
        <v>9</v>
      </c>
      <c r="D26" s="894">
        <v>2021</v>
      </c>
      <c r="E26" s="905">
        <f>(IF('Section Load'!F29&gt;0,'Section Load'!F29,0))</f>
        <v>3038</v>
      </c>
      <c r="F26" s="905">
        <f>(IF('Section Load'!G29&gt;0,'Section Load'!G29,0))</f>
        <v>1615.8699999999953</v>
      </c>
      <c r="G26" s="905">
        <f>(IF('Section Load'!H29&gt;0,'Section Load'!H29,0))</f>
        <v>1662.0699999999488</v>
      </c>
      <c r="H26" s="905">
        <f>(IF('Section Load'!I29&gt;0,'Section Load'!I29,0))</f>
        <v>4050</v>
      </c>
      <c r="I26" s="905">
        <f>(IF('Section Load'!J29&gt;0,'Section Load'!J29,0))</f>
        <v>7567</v>
      </c>
      <c r="J26" s="905">
        <f>(IF('Section Load'!K29&gt;0,'Section Load'!K29,0))</f>
        <v>3160</v>
      </c>
      <c r="K26" s="905">
        <f>(IF('Section Load'!L29&gt;0,'Section Load'!L29,0))</f>
        <v>1299</v>
      </c>
      <c r="L26" s="905">
        <f>(IF('Section Load'!M29&gt;0,'Section Load'!M29,0))</f>
        <v>696</v>
      </c>
      <c r="M26" s="905">
        <f>(IF('Section Load'!N29&gt;0,'Section Load'!N29,0))</f>
        <v>11</v>
      </c>
      <c r="N26" s="905">
        <f>(IF('Section Load'!O29&gt;0,'Section Load'!O29,0))</f>
        <v>1</v>
      </c>
      <c r="O26" s="905">
        <f>(IF('Section Load'!P29&gt;0,'Section Load'!P29,0))</f>
        <v>0</v>
      </c>
      <c r="P26" s="905">
        <f>(IF('Section Load'!Q29&gt;0,'Section Load'!Q29,0))</f>
        <v>179</v>
      </c>
      <c r="Q26" s="905">
        <f>(IF('Section Load'!R29&gt;0,'Section Load'!R29,0))</f>
        <v>70</v>
      </c>
      <c r="R26" s="905">
        <f>(IF('Section Load'!S29&gt;0,'Section Load'!S29,0))</f>
        <v>56</v>
      </c>
      <c r="S26" s="905">
        <f>(IF('Section Load'!T29&gt;0,'Section Load'!T29,0))</f>
        <v>138</v>
      </c>
      <c r="T26" s="905">
        <f>(IF('Section Load'!U29&gt;0,'Section Load'!U29,0))</f>
        <v>148</v>
      </c>
      <c r="U26" s="905">
        <f>(IF('Section Load'!V29&gt;0,'Section Load'!V29,0))</f>
        <v>361</v>
      </c>
      <c r="V26" s="905">
        <f>(IF('Section Load'!W29&gt;0,'Section Load'!W29,0))</f>
        <v>139</v>
      </c>
      <c r="W26" s="905">
        <f>(IF('Section Load'!X29&gt;0,'Section Load'!X29,0))</f>
        <v>13</v>
      </c>
      <c r="X26" s="905">
        <f>(IF('Section Load'!Y29&gt;0,'Section Load'!Y29,0))</f>
        <v>188</v>
      </c>
      <c r="Y26" s="905">
        <f>(IF('Section Load'!Z29&gt;0,'Section Load'!Z29,0))</f>
        <v>264</v>
      </c>
      <c r="Z26" s="905">
        <f>(IF('Section Load'!AA29&gt;0,'Section Load'!AA29,0))</f>
        <v>11</v>
      </c>
      <c r="AA26" s="905">
        <f>(IF('Section Load'!AB29&gt;0,'Section Load'!AB29,0))</f>
        <v>31</v>
      </c>
      <c r="AB26" s="905">
        <f>(IF('Section Load'!AC29&gt;0,'Section Load'!AC29,0))</f>
        <v>0</v>
      </c>
      <c r="AC26" s="905">
        <f>(IF('Section Load'!AD29&gt;0,'Section Load'!AD29,0))</f>
        <v>38</v>
      </c>
      <c r="AD26" s="905">
        <f>(IF('Section Load'!AE29&gt;0,'Section Load'!AE29,0))</f>
        <v>0</v>
      </c>
      <c r="AE26" s="905">
        <f>(IF('Section Load'!AF29&gt;0,'Section Load'!AF29,0))</f>
        <v>0</v>
      </c>
      <c r="AF26" s="905">
        <f>(IF('Section Load'!AG29&gt;0,'Section Load'!AG29,0))</f>
        <v>454</v>
      </c>
      <c r="AG26" s="905">
        <f>(IF('Section Load'!AH29&gt;0,'Section Load'!AH29,0))</f>
        <v>420</v>
      </c>
      <c r="AH26" s="905">
        <f>(IF('Section Load'!AI29&gt;0,'Section Load'!AI29,0))</f>
        <v>411</v>
      </c>
      <c r="AI26" s="905">
        <f>(IF('Section Load'!AJ29&gt;0,'Section Load'!AJ29,0))</f>
        <v>502</v>
      </c>
      <c r="AJ26" s="905">
        <f>(IF('Section Load'!AK29&gt;0,'Section Load'!AK29,0))</f>
        <v>0</v>
      </c>
      <c r="AK26" s="905">
        <f>(IF('Section Load'!AL29&gt;0,'Section Load'!AL29,0))</f>
        <v>345</v>
      </c>
      <c r="AL26" s="905">
        <f>(IF('Section Load'!AM29&gt;0,'Section Load'!AM29,0))</f>
        <v>685</v>
      </c>
      <c r="AM26" s="906">
        <f>(IF('Water Report'!$AB$7&gt;0,'Water Report'!$AB$7,0))</f>
        <v>73</v>
      </c>
      <c r="AN26" s="906">
        <f>(IF('Water Report'!$AB$8&gt;0,'Water Report'!$AB$8,0))</f>
        <v>124</v>
      </c>
      <c r="AO26" s="906">
        <f>(IF('Water Report'!$AB$9&gt;0,'Water Report'!$AB$9,0))</f>
        <v>65</v>
      </c>
      <c r="AP26" s="906">
        <f>(IF('Water Report'!$AB$10&gt;0,'Water Report'!$AB$10,0))</f>
        <v>20</v>
      </c>
      <c r="AQ26" s="906">
        <f>(IF('Water Report'!$AB$11&gt;0,'Water Report'!$AB$11,0))</f>
        <v>27</v>
      </c>
      <c r="AR26" s="906">
        <f>(IF('Water Report'!$AB$13&gt;0,'Water Report'!$AB$13,0))</f>
        <v>27</v>
      </c>
      <c r="AS26" s="906">
        <f>(IF('Water Report'!$AB$14&gt;0,'Water Report'!$AB$14,0))</f>
        <v>13</v>
      </c>
      <c r="AT26" s="906">
        <f>(IF('Water Report'!$AB$15&gt;0,'Water Report'!$AB$15,0))</f>
        <v>9</v>
      </c>
      <c r="AU26" s="906">
        <f>(IF('Water Report'!$AB$17&gt;0,'Water Report'!$AB$17,0))</f>
        <v>0</v>
      </c>
      <c r="AV26" s="906">
        <f>(IF('Water Report'!$AB$18&gt;0,'Water Report'!$AB$18,0))</f>
        <v>8</v>
      </c>
      <c r="AW26" s="906">
        <f>(IF('Water Report'!$AB$19&gt;0,'Water Report'!$AB$19,0))</f>
        <v>8</v>
      </c>
      <c r="AX26" s="981">
        <f>(IF('Water Report'!$AB$21&gt;0,'Water Report'!$AB$21,0))</f>
        <v>73</v>
      </c>
      <c r="AY26" s="981">
        <f>(IF('Water Report'!$AB$22&gt;0,'Water Report'!$AB$22,0))</f>
        <v>0</v>
      </c>
      <c r="AZ26" s="981">
        <f>(IF('Water Report'!$AB$23&gt;0,'Water Report'!$AB$23,0))</f>
        <v>5</v>
      </c>
      <c r="BA26" s="981">
        <f>(IF('Water Report'!$AB$14&gt;0,'Water Report'!$AB$14,0))</f>
        <v>13</v>
      </c>
      <c r="BB26" s="981">
        <f>(IF('Water Report'!$AB$15&gt;0,'Water Report'!$AB$15,0))</f>
        <v>9</v>
      </c>
      <c r="BC26" s="981">
        <f>(IF('Water Report'!$AB$13&gt;0,'Water Report'!$AB$13,0))</f>
        <v>27</v>
      </c>
      <c r="BD26" s="981">
        <f>(IF('Water Report'!$AB$24&gt;0,'Water Report'!$AB$24,0))</f>
        <v>222</v>
      </c>
      <c r="BE26" s="981">
        <f>(IF('Water Report'!$AB$25&gt;0,'Water Report'!$AB$25,0))</f>
        <v>134</v>
      </c>
      <c r="BF26" s="981">
        <f>(IF('Water Report'!$AB$27&gt;0,'Water Report'!$AB$27,0))</f>
        <v>105</v>
      </c>
      <c r="BG26" s="907">
        <f>(IF('Section Load'!AN29&gt;0,'Section Load'!AN29,0))</f>
        <v>795</v>
      </c>
      <c r="BH26" s="907">
        <f>(IF('Section Load'!AO29&gt;0,'Section Load'!AO29,0))</f>
        <v>242</v>
      </c>
      <c r="BI26" s="907">
        <f>(IF('Section Load'!AP29&gt;0,'Section Load'!AP29,0))</f>
        <v>0</v>
      </c>
      <c r="BJ26" s="907">
        <f>(IF('Section Load'!AQ29&gt;0,'Section Load'!AQ29,0))</f>
        <v>94</v>
      </c>
      <c r="BK26" s="907">
        <f>(IF('Section Load'!AR29&gt;0,'Section Load'!AR29,0))</f>
        <v>51</v>
      </c>
      <c r="BL26" s="907">
        <f>(IF('Section Load'!AS29&gt;0,'Section Load'!AS29,0))</f>
        <v>2</v>
      </c>
      <c r="BM26" s="907">
        <f>(IF('Section Load'!AT29&gt;0,'Section Load'!AT29,0))</f>
        <v>406</v>
      </c>
    </row>
    <row r="27" spans="1:65">
      <c r="A27" s="893" t="s">
        <v>289</v>
      </c>
      <c r="B27" s="894">
        <f t="shared" si="0"/>
        <v>26</v>
      </c>
      <c r="C27" s="894">
        <v>9</v>
      </c>
      <c r="D27" s="894">
        <v>2021</v>
      </c>
      <c r="E27" s="905">
        <f>(IF('Section Load'!F30&gt;0,'Section Load'!F30,0))</f>
        <v>3049</v>
      </c>
      <c r="F27" s="905">
        <f>(IF('Section Load'!G30&gt;0,'Section Load'!G30,0))</f>
        <v>1519</v>
      </c>
      <c r="G27" s="905">
        <f>(IF('Section Load'!H30&gt;0,'Section Load'!H30,0))</f>
        <v>1729</v>
      </c>
      <c r="H27" s="905">
        <f>(IF('Section Load'!I30&gt;0,'Section Load'!I30,0))</f>
        <v>3903</v>
      </c>
      <c r="I27" s="905">
        <f>(IF('Section Load'!J30&gt;0,'Section Load'!J30,0))</f>
        <v>6975</v>
      </c>
      <c r="J27" s="905">
        <f>(IF('Section Load'!K30&gt;0,'Section Load'!K30,0))</f>
        <v>2870</v>
      </c>
      <c r="K27" s="905">
        <f>(IF('Section Load'!L30&gt;0,'Section Load'!L30,0))</f>
        <v>1061</v>
      </c>
      <c r="L27" s="905">
        <f>(IF('Section Load'!M30&gt;0,'Section Load'!M30,0))</f>
        <v>822</v>
      </c>
      <c r="M27" s="905">
        <f>(IF('Section Load'!N30&gt;0,'Section Load'!N30,0))</f>
        <v>11</v>
      </c>
      <c r="N27" s="905">
        <f>(IF('Section Load'!O30&gt;0,'Section Load'!O30,0))</f>
        <v>1</v>
      </c>
      <c r="O27" s="905">
        <f>(IF('Section Load'!P30&gt;0,'Section Load'!P30,0))</f>
        <v>0</v>
      </c>
      <c r="P27" s="905">
        <f>(IF('Section Load'!Q30&gt;0,'Section Load'!Q30,0))</f>
        <v>170</v>
      </c>
      <c r="Q27" s="905">
        <f>(IF('Section Load'!R30&gt;0,'Section Load'!R30,0))</f>
        <v>73</v>
      </c>
      <c r="R27" s="905">
        <f>(IF('Section Load'!S30&gt;0,'Section Load'!S30,0))</f>
        <v>57</v>
      </c>
      <c r="S27" s="905">
        <f>(IF('Section Load'!T30&gt;0,'Section Load'!T30,0))</f>
        <v>191</v>
      </c>
      <c r="T27" s="905">
        <f>(IF('Section Load'!U30&gt;0,'Section Load'!U30,0))</f>
        <v>152</v>
      </c>
      <c r="U27" s="905">
        <f>(IF('Section Load'!V30&gt;0,'Section Load'!V30,0))</f>
        <v>411</v>
      </c>
      <c r="V27" s="905">
        <f>(IF('Section Load'!W30&gt;0,'Section Load'!W30,0))</f>
        <v>162</v>
      </c>
      <c r="W27" s="905">
        <f>(IF('Section Load'!X30&gt;0,'Section Load'!X30,0))</f>
        <v>24</v>
      </c>
      <c r="X27" s="905">
        <f>(IF('Section Load'!Y30&gt;0,'Section Load'!Y30,0))</f>
        <v>198</v>
      </c>
      <c r="Y27" s="905">
        <f>(IF('Section Load'!Z30&gt;0,'Section Load'!Z30,0))</f>
        <v>276</v>
      </c>
      <c r="Z27" s="905">
        <f>(IF('Section Load'!AA30&gt;0,'Section Load'!AA30,0))</f>
        <v>12</v>
      </c>
      <c r="AA27" s="905">
        <f>(IF('Section Load'!AB30&gt;0,'Section Load'!AB30,0))</f>
        <v>35</v>
      </c>
      <c r="AB27" s="905">
        <f>(IF('Section Load'!AC30&gt;0,'Section Load'!AC30,0))</f>
        <v>0</v>
      </c>
      <c r="AC27" s="905">
        <f>(IF('Section Load'!AD30&gt;0,'Section Load'!AD30,0))</f>
        <v>41</v>
      </c>
      <c r="AD27" s="905">
        <f>(IF('Section Load'!AE30&gt;0,'Section Load'!AE30,0))</f>
        <v>0</v>
      </c>
      <c r="AE27" s="905">
        <f>(IF('Section Load'!AF30&gt;0,'Section Load'!AF30,0))</f>
        <v>0</v>
      </c>
      <c r="AF27" s="905">
        <f>(IF('Section Load'!AG30&gt;0,'Section Load'!AG30,0))</f>
        <v>435</v>
      </c>
      <c r="AG27" s="905">
        <f>(IF('Section Load'!AH30&gt;0,'Section Load'!AH30,0))</f>
        <v>385</v>
      </c>
      <c r="AH27" s="905">
        <f>(IF('Section Load'!AI30&gt;0,'Section Load'!AI30,0))</f>
        <v>406</v>
      </c>
      <c r="AI27" s="905">
        <f>(IF('Section Load'!AJ30&gt;0,'Section Load'!AJ30,0))</f>
        <v>531</v>
      </c>
      <c r="AJ27" s="905">
        <f>(IF('Section Load'!AK30&gt;0,'Section Load'!AK30,0))</f>
        <v>0</v>
      </c>
      <c r="AK27" s="905">
        <f>(IF('Section Load'!AL30&gt;0,'Section Load'!AL30,0))</f>
        <v>327</v>
      </c>
      <c r="AL27" s="905">
        <f>(IF('Section Load'!AM30&gt;0,'Section Load'!AM30,0))</f>
        <v>674</v>
      </c>
      <c r="AM27" s="906">
        <f>(IF('Water Report'!$AC$7&gt;0,'Water Report'!$AC$7,0))</f>
        <v>108</v>
      </c>
      <c r="AN27" s="906">
        <f>(IF('Water Report'!$AC$8&gt;0,'Water Report'!$AC$8,0))</f>
        <v>105</v>
      </c>
      <c r="AO27" s="906">
        <f>(IF('Water Report'!$AC$9&gt;0,'Water Report'!$AC$9,0))</f>
        <v>73</v>
      </c>
      <c r="AP27" s="906">
        <f>(IF('Water Report'!$AC$10&gt;0,'Water Report'!$AC$10,0))</f>
        <v>24</v>
      </c>
      <c r="AQ27" s="906">
        <f>(IF('Water Report'!$AC$11&gt;0,'Water Report'!$AC$11,0))</f>
        <v>31</v>
      </c>
      <c r="AR27" s="906">
        <f>(IF('Water Report'!$AC$13&gt;0,'Water Report'!$AC$13,0))</f>
        <v>43</v>
      </c>
      <c r="AS27" s="906">
        <f>(IF('Water Report'!$AC$14&gt;0,'Water Report'!$AC$14,0))</f>
        <v>30</v>
      </c>
      <c r="AT27" s="906">
        <f>(IF('Water Report'!$AC$15&gt;0,'Water Report'!$AC$15,0))</f>
        <v>8</v>
      </c>
      <c r="AU27" s="906">
        <f>(IF('Water Report'!$AC$17&gt;0,'Water Report'!$AC$17,0))</f>
        <v>16</v>
      </c>
      <c r="AV27" s="906">
        <f>(IF('Water Report'!$AC$18&gt;0,'Water Report'!$AC$18,0))</f>
        <v>7</v>
      </c>
      <c r="AW27" s="906">
        <f>(IF('Water Report'!$AC$19&gt;0,'Water Report'!$AC$19,0))</f>
        <v>10</v>
      </c>
      <c r="AX27" s="981">
        <f>(IF('Water Report'!$AC$21&gt;0,'Water Report'!$AC$21,0))</f>
        <v>99</v>
      </c>
      <c r="AY27" s="981">
        <f>(IF('Water Report'!$AC$22&gt;0,'Water Report'!$AC$22,0))</f>
        <v>0</v>
      </c>
      <c r="AZ27" s="981">
        <f>(IF('Water Report'!$AC$23&gt;0,'Water Report'!$AC$23,0))</f>
        <v>6</v>
      </c>
      <c r="BA27" s="981">
        <f>(IF('Water Report'!$AC$14&gt;0,'Water Report'!$AC$14,0))</f>
        <v>30</v>
      </c>
      <c r="BB27" s="981">
        <f>(IF('Water Report'!$AC$15&gt;0,'Water Report'!$AC$15,0))</f>
        <v>8</v>
      </c>
      <c r="BC27" s="981">
        <f>(IF('Water Report'!$AC$13&gt;0,'Water Report'!$AC$13,0))</f>
        <v>43</v>
      </c>
      <c r="BD27" s="981">
        <f>(IF('Water Report'!$AC$24&gt;0,'Water Report'!$AC$24,0))</f>
        <v>226</v>
      </c>
      <c r="BE27" s="981">
        <f>(IF('Water Report'!$AC$25&gt;0,'Water Report'!$AC$25,0))</f>
        <v>166</v>
      </c>
      <c r="BF27" s="981">
        <f>(IF('Water Report'!$AC$27&gt;0,'Water Report'!$AC$27,0))</f>
        <v>148</v>
      </c>
      <c r="BG27" s="907">
        <f>(IF('Section Load'!AN30&gt;0,'Section Load'!AN30,0))</f>
        <v>863</v>
      </c>
      <c r="BH27" s="907">
        <f>(IF('Section Load'!AO30&gt;0,'Section Load'!AO30,0))</f>
        <v>252</v>
      </c>
      <c r="BI27" s="907">
        <f>(IF('Section Load'!AP30&gt;0,'Section Load'!AP30,0))</f>
        <v>0</v>
      </c>
      <c r="BJ27" s="907">
        <f>(IF('Section Load'!AQ30&gt;0,'Section Load'!AQ30,0))</f>
        <v>89</v>
      </c>
      <c r="BK27" s="907">
        <f>(IF('Section Load'!AR30&gt;0,'Section Load'!AR30,0))</f>
        <v>37</v>
      </c>
      <c r="BL27" s="907">
        <f>(IF('Section Load'!AS30&gt;0,'Section Load'!AS30,0))</f>
        <v>2</v>
      </c>
      <c r="BM27" s="907">
        <f>(IF('Section Load'!AT30&gt;0,'Section Load'!AT30,0))</f>
        <v>483</v>
      </c>
    </row>
    <row r="28" spans="1:65">
      <c r="A28" s="893" t="s">
        <v>289</v>
      </c>
      <c r="B28" s="894">
        <f t="shared" si="0"/>
        <v>27</v>
      </c>
      <c r="C28" s="894">
        <v>9</v>
      </c>
      <c r="D28" s="894">
        <v>2021</v>
      </c>
      <c r="E28" s="905">
        <f>(IF('Section Load'!F31&gt;0,'Section Load'!F31,0))</f>
        <v>2493</v>
      </c>
      <c r="F28" s="905">
        <f>(IF('Section Load'!G31&gt;0,'Section Load'!G31,0))</f>
        <v>1481.1300000000047</v>
      </c>
      <c r="G28" s="905">
        <f>(IF('Section Load'!H31&gt;0,'Section Load'!H31,0))</f>
        <v>1757.9300000000512</v>
      </c>
      <c r="H28" s="905">
        <f>(IF('Section Load'!I31&gt;0,'Section Load'!I31,0))</f>
        <v>3207</v>
      </c>
      <c r="I28" s="905">
        <f>(IF('Section Load'!J31&gt;0,'Section Load'!J31,0))</f>
        <v>5590</v>
      </c>
      <c r="J28" s="905">
        <f>(IF('Section Load'!K31&gt;0,'Section Load'!K31,0))</f>
        <v>2380</v>
      </c>
      <c r="K28" s="905">
        <f>(IF('Section Load'!L31&gt;0,'Section Load'!L31,0))</f>
        <v>1064</v>
      </c>
      <c r="L28" s="905">
        <f>(IF('Section Load'!M31&gt;0,'Section Load'!M31,0))</f>
        <v>693</v>
      </c>
      <c r="M28" s="905">
        <f>(IF('Section Load'!N31&gt;0,'Section Load'!N31,0))</f>
        <v>13</v>
      </c>
      <c r="N28" s="905">
        <f>(IF('Section Load'!O31&gt;0,'Section Load'!O31,0))</f>
        <v>1</v>
      </c>
      <c r="O28" s="905">
        <f>(IF('Section Load'!P31&gt;0,'Section Load'!P31,0))</f>
        <v>12</v>
      </c>
      <c r="P28" s="905">
        <f>(IF('Section Load'!Q31&gt;0,'Section Load'!Q31,0))</f>
        <v>153</v>
      </c>
      <c r="Q28" s="905">
        <f>(IF('Section Load'!R31&gt;0,'Section Load'!R31,0))</f>
        <v>57</v>
      </c>
      <c r="R28" s="905">
        <f>(IF('Section Load'!S31&gt;0,'Section Load'!S31,0))</f>
        <v>50</v>
      </c>
      <c r="S28" s="905">
        <f>(IF('Section Load'!T31&gt;0,'Section Load'!T31,0))</f>
        <v>155</v>
      </c>
      <c r="T28" s="905">
        <f>(IF('Section Load'!U31&gt;0,'Section Load'!U31,0))</f>
        <v>166</v>
      </c>
      <c r="U28" s="905">
        <f>(IF('Section Load'!V31&gt;0,'Section Load'!V31,0))</f>
        <v>414</v>
      </c>
      <c r="V28" s="905">
        <f>(IF('Section Load'!W31&gt;0,'Section Load'!W31,0))</f>
        <v>193</v>
      </c>
      <c r="W28" s="905">
        <f>(IF('Section Load'!X31&gt;0,'Section Load'!X31,0))</f>
        <v>13</v>
      </c>
      <c r="X28" s="905">
        <f>(IF('Section Load'!Y31&gt;0,'Section Load'!Y31,0))</f>
        <v>190</v>
      </c>
      <c r="Y28" s="905">
        <f>(IF('Section Load'!Z31&gt;0,'Section Load'!Z31,0))</f>
        <v>306</v>
      </c>
      <c r="Z28" s="905">
        <f>(IF('Section Load'!AA31&gt;0,'Section Load'!AA31,0))</f>
        <v>12</v>
      </c>
      <c r="AA28" s="905">
        <f>(IF('Section Load'!AB31&gt;0,'Section Load'!AB31,0))</f>
        <v>37</v>
      </c>
      <c r="AB28" s="905">
        <f>(IF('Section Load'!AC31&gt;0,'Section Load'!AC31,0))</f>
        <v>0</v>
      </c>
      <c r="AC28" s="905">
        <f>(IF('Section Load'!AD31&gt;0,'Section Load'!AD31,0))</f>
        <v>44</v>
      </c>
      <c r="AD28" s="905">
        <f>(IF('Section Load'!AE31&gt;0,'Section Load'!AE31,0))</f>
        <v>0</v>
      </c>
      <c r="AE28" s="905">
        <f>(IF('Section Load'!AF31&gt;0,'Section Load'!AF31,0))</f>
        <v>0</v>
      </c>
      <c r="AF28" s="905">
        <f>(IF('Section Load'!AG31&gt;0,'Section Load'!AG31,0))</f>
        <v>411</v>
      </c>
      <c r="AG28" s="905">
        <f>(IF('Section Load'!AH31&gt;0,'Section Load'!AH31,0))</f>
        <v>374</v>
      </c>
      <c r="AH28" s="905">
        <f>(IF('Section Load'!AI31&gt;0,'Section Load'!AI31,0))</f>
        <v>341</v>
      </c>
      <c r="AI28" s="905">
        <f>(IF('Section Load'!AJ31&gt;0,'Section Load'!AJ31,0))</f>
        <v>433</v>
      </c>
      <c r="AJ28" s="905">
        <f>(IF('Section Load'!AK31&gt;0,'Section Load'!AK31,0))</f>
        <v>0</v>
      </c>
      <c r="AK28" s="905">
        <f>(IF('Section Load'!AL31&gt;0,'Section Load'!AL31,0))</f>
        <v>269</v>
      </c>
      <c r="AL28" s="905">
        <f>(IF('Section Load'!AM31&gt;0,'Section Load'!AM31,0))</f>
        <v>634</v>
      </c>
      <c r="AM28" s="906">
        <f>(IF('Water Report'!$AD$7&gt;0,'Water Report'!$AD$7,0))</f>
        <v>146</v>
      </c>
      <c r="AN28" s="906">
        <f>(IF('Water Report'!$AD$8&gt;0,'Water Report'!$AD$8,0))</f>
        <v>201</v>
      </c>
      <c r="AO28" s="906">
        <f>(IF('Water Report'!$AD$9&gt;0,'Water Report'!$AD$9,0))</f>
        <v>121</v>
      </c>
      <c r="AP28" s="906">
        <f>(IF('Water Report'!$AD$10&gt;0,'Water Report'!AD$10,0))</f>
        <v>26</v>
      </c>
      <c r="AQ28" s="906">
        <f>(IF('Water Report'!$AD$11&gt;0,'Water Report'!AE$11,0))</f>
        <v>35</v>
      </c>
      <c r="AR28" s="906">
        <f>(IF('Water Report'!$AD$13&gt;0,'Water Report'!AF$13,0))</f>
        <v>10</v>
      </c>
      <c r="AS28" s="906">
        <f>(IF('Water Report'!$AD$14&gt;0,'Water Report'!AG$14,0))</f>
        <v>12</v>
      </c>
      <c r="AT28" s="906">
        <f>(IF('Water Report'!$AD$15&gt;0,'Water Report'!AH$15,0))</f>
        <v>6</v>
      </c>
      <c r="AU28" s="906">
        <f>(IF('Water Report'!$AD$17&gt;0,'Water Report'!AI$17,0))</f>
        <v>0</v>
      </c>
      <c r="AV28" s="906">
        <f>(IF('Water Report'!$AD$18&gt;0,'Water Report'!AJ$18,0))</f>
        <v>0</v>
      </c>
      <c r="AW28" s="906">
        <f>(IF('Water Report'!$AD$19&gt;0,'Water Report'!AK$19,0))</f>
        <v>0</v>
      </c>
      <c r="AX28" s="981">
        <f>(IF('Water Report'!$AD$21&gt;0,'Water Report'!AL$21,0))</f>
        <v>0</v>
      </c>
      <c r="AY28" s="981">
        <f>(IF('Water Report'!$AD$22&gt;0,'Water Report'!AM$22,0))</f>
        <v>0</v>
      </c>
      <c r="AZ28" s="981">
        <f>(IF('Water Report'!$AD$23&gt;0,'Water Report'!AN$23,0))</f>
        <v>0</v>
      </c>
      <c r="BA28" s="981">
        <f>(IF('Water Report'!$AD$14&gt;0,'Water Report'!AO$14,0))</f>
        <v>0</v>
      </c>
      <c r="BB28" s="981">
        <f>(IF('Water Report'!$AD$15&gt;0,'Water Report'!AP$15,0))</f>
        <v>0</v>
      </c>
      <c r="BC28" s="981">
        <f>(IF('Water Report'!$AD$13&gt;0,'Water Report'!AQ$13,0))</f>
        <v>0</v>
      </c>
      <c r="BD28" s="981">
        <f>(IF('Water Report'!$AD$24&gt;0,'Water Report'!AR$24,0))</f>
        <v>0</v>
      </c>
      <c r="BE28" s="981">
        <f>(IF('Water Report'!$AD$25&gt;0,'Water Report'!AS$25,0))</f>
        <v>0</v>
      </c>
      <c r="BF28" s="981">
        <f>(IF('Water Report'!$AD$27&gt;0,'Water Report'!AT$27,0))</f>
        <v>0</v>
      </c>
      <c r="BG28" s="907">
        <f>(IF('Section Load'!AN31&gt;0,'Section Load'!AN31,0))</f>
        <v>845</v>
      </c>
      <c r="BH28" s="907">
        <f>(IF('Section Load'!AO31&gt;0,'Section Load'!AO31,0))</f>
        <v>274</v>
      </c>
      <c r="BI28" s="907">
        <f>(IF('Section Load'!AP31&gt;0,'Section Load'!AP31,0))</f>
        <v>0.39999999999417923</v>
      </c>
      <c r="BJ28" s="907">
        <f>(IF('Section Load'!AQ31&gt;0,'Section Load'!AQ31,0))</f>
        <v>97</v>
      </c>
      <c r="BK28" s="907">
        <f>(IF('Section Load'!AR31&gt;0,'Section Load'!AR31,0))</f>
        <v>47</v>
      </c>
      <c r="BL28" s="907">
        <f>(IF('Section Load'!AS31&gt;0,'Section Load'!AS31,0))</f>
        <v>2</v>
      </c>
      <c r="BM28" s="907">
        <f>(IF('Section Load'!AT31&gt;0,'Section Load'!AT31,0))</f>
        <v>424.60000000000582</v>
      </c>
    </row>
    <row r="29" spans="1:65">
      <c r="A29" s="893" t="s">
        <v>289</v>
      </c>
      <c r="B29" s="894">
        <f t="shared" si="0"/>
        <v>28</v>
      </c>
      <c r="C29" s="894">
        <v>9</v>
      </c>
      <c r="D29" s="894">
        <v>2021</v>
      </c>
      <c r="E29" s="905">
        <f>(IF('Section Load'!F32&gt;0,'Section Load'!F32,0))</f>
        <v>3633</v>
      </c>
      <c r="F29" s="905">
        <f>(IF('Section Load'!G32&gt;0,'Section Load'!G32,0))</f>
        <v>1485</v>
      </c>
      <c r="G29" s="905">
        <f>(IF('Section Load'!H32&gt;0,'Section Load'!H32,0))</f>
        <v>1792.0699999999488</v>
      </c>
      <c r="H29" s="905">
        <f>(IF('Section Load'!I32&gt;0,'Section Load'!I32,0))</f>
        <v>4184</v>
      </c>
      <c r="I29" s="905">
        <f>(IF('Section Load'!J32&gt;0,'Section Load'!J32,0))</f>
        <v>6994</v>
      </c>
      <c r="J29" s="905">
        <f>(IF('Section Load'!K32&gt;0,'Section Load'!K32,0))</f>
        <v>3100.33</v>
      </c>
      <c r="K29" s="905">
        <f>(IF('Section Load'!L32&gt;0,'Section Load'!L32,0))</f>
        <v>1071</v>
      </c>
      <c r="L29" s="905">
        <f>(IF('Section Load'!M32&gt;0,'Section Load'!M32,0))</f>
        <v>849</v>
      </c>
      <c r="M29" s="905">
        <f>(IF('Section Load'!N32&gt;0,'Section Load'!N32,0))</f>
        <v>10</v>
      </c>
      <c r="N29" s="905">
        <f>(IF('Section Load'!O32&gt;0,'Section Load'!O32,0))</f>
        <v>1</v>
      </c>
      <c r="O29" s="905">
        <f>(IF('Section Load'!P32&gt;0,'Section Load'!P32,0))</f>
        <v>2</v>
      </c>
      <c r="P29" s="905">
        <f>(IF('Section Load'!Q32&gt;0,'Section Load'!Q32,0))</f>
        <v>214</v>
      </c>
      <c r="Q29" s="905">
        <f>(IF('Section Load'!R32&gt;0,'Section Load'!R32,0))</f>
        <v>13</v>
      </c>
      <c r="R29" s="905">
        <f>(IF('Section Load'!S32&gt;0,'Section Load'!S32,0))</f>
        <v>51</v>
      </c>
      <c r="S29" s="905">
        <f>(IF('Section Load'!T32&gt;0,'Section Load'!T32,0))</f>
        <v>156</v>
      </c>
      <c r="T29" s="905">
        <f>(IF('Section Load'!U32&gt;0,'Section Load'!U32,0))</f>
        <v>178</v>
      </c>
      <c r="U29" s="905">
        <f>(IF('Section Load'!V32&gt;0,'Section Load'!V32,0))</f>
        <v>387</v>
      </c>
      <c r="V29" s="905">
        <f>(IF('Section Load'!W32&gt;0,'Section Load'!W32,0))</f>
        <v>135</v>
      </c>
      <c r="W29" s="905">
        <f>(IF('Section Load'!X32&gt;0,'Section Load'!X32,0))</f>
        <v>27</v>
      </c>
      <c r="X29" s="905">
        <f>(IF('Section Load'!Y32&gt;0,'Section Load'!Y32,0))</f>
        <v>225</v>
      </c>
      <c r="Y29" s="905">
        <f>(IF('Section Load'!Z32&gt;0,'Section Load'!Z32,0))</f>
        <v>327</v>
      </c>
      <c r="Z29" s="905">
        <f>(IF('Section Load'!AA32&gt;0,'Section Load'!AA32,0))</f>
        <v>10</v>
      </c>
      <c r="AA29" s="905">
        <f>(IF('Section Load'!AB32&gt;0,'Section Load'!AB32,0))</f>
        <v>17</v>
      </c>
      <c r="AB29" s="905">
        <f>(IF('Section Load'!AC32&gt;0,'Section Load'!AC32,0))</f>
        <v>0</v>
      </c>
      <c r="AC29" s="905">
        <f>(IF('Section Load'!AD32&gt;0,'Section Load'!AD32,0))</f>
        <v>19</v>
      </c>
      <c r="AD29" s="905">
        <f>(IF('Section Load'!AE32&gt;0,'Section Load'!AE32,0))</f>
        <v>0</v>
      </c>
      <c r="AE29" s="905">
        <f>(IF('Section Load'!AF32&gt;0,'Section Load'!AF32,0))</f>
        <v>0</v>
      </c>
      <c r="AF29" s="905">
        <f>(IF('Section Load'!AG32&gt;0,'Section Load'!AG32,0))</f>
        <v>376</v>
      </c>
      <c r="AG29" s="905">
        <f>(IF('Section Load'!AH32&gt;0,'Section Load'!AH32,0))</f>
        <v>392</v>
      </c>
      <c r="AH29" s="905">
        <f>(IF('Section Load'!AI32&gt;0,'Section Load'!AI32,0))</f>
        <v>455</v>
      </c>
      <c r="AI29" s="905">
        <f>(IF('Section Load'!AJ32&gt;0,'Section Load'!AJ32,0))</f>
        <v>545</v>
      </c>
      <c r="AJ29" s="905">
        <f>(IF('Section Load'!AK32&gt;0,'Section Load'!AK32,0))</f>
        <v>0</v>
      </c>
      <c r="AK29" s="905">
        <f>(IF('Section Load'!AL32&gt;0,'Section Load'!AL32,0))</f>
        <v>356</v>
      </c>
      <c r="AL29" s="905">
        <f>(IF('Section Load'!AM32&gt;0,'Section Load'!AM32,0))</f>
        <v>751</v>
      </c>
      <c r="AM29" s="906">
        <f>(IF('Water Report'!$AE$7&gt;0,'Water Report'!$AE$7,0))</f>
        <v>114</v>
      </c>
      <c r="AN29" s="906">
        <f>(IF('Water Report'!$AE$8&gt;0,'Water Report'!$AE$8,0))</f>
        <v>183</v>
      </c>
      <c r="AO29" s="906">
        <f>(IF('Water Report'!$AE$9&gt;0,'Water Report'!$AE$9,0))</f>
        <v>82</v>
      </c>
      <c r="AP29" s="906">
        <f>(IF('Water Report'!$AE$10&gt;0,'Water Report'!$AE$10,0))</f>
        <v>25</v>
      </c>
      <c r="AQ29" s="906">
        <f>(IF('Water Report'!$AE$11&gt;0,'Water Report'!$AE$11,0))</f>
        <v>35</v>
      </c>
      <c r="AR29" s="906">
        <f>(IF('Water Report'!$AE$13&gt;0,'Water Report'!$AE$13,0))</f>
        <v>41</v>
      </c>
      <c r="AS29" s="906">
        <f>(IF('Water Report'!$AE$14&gt;0,'Water Report'!$AE$14,0))</f>
        <v>16</v>
      </c>
      <c r="AT29" s="906">
        <f>(IF('Water Report'!$AE$15&gt;0,'Water Report'!$AE$15,0))</f>
        <v>11</v>
      </c>
      <c r="AU29" s="906">
        <f>(IF('Water Report'!$AE$17&gt;0,'Water Report'!$AE$17,0))</f>
        <v>0</v>
      </c>
      <c r="AV29" s="906">
        <f>(IF('Water Report'!$AE$18&gt;0,'Water Report'!$AE$18,0))</f>
        <v>10</v>
      </c>
      <c r="AW29" s="906">
        <f>(IF('Water Report'!$AE$19&gt;0,'Water Report'!$AE$19,0))</f>
        <v>11</v>
      </c>
      <c r="AX29" s="981">
        <f>(IF('Water Report'!$AE$21&gt;0,'Water Report'!$AE$21,0))</f>
        <v>101</v>
      </c>
      <c r="AY29" s="981">
        <f>(IF('Water Report'!$AE$22&gt;0,'Water Report'!$AE$22,0))</f>
        <v>0</v>
      </c>
      <c r="AZ29" s="981">
        <f>(IF('Water Report'!$AE$23&gt;0,'Water Report'!$AE$23,0))</f>
        <v>3</v>
      </c>
      <c r="BA29" s="981">
        <f>(IF('Water Report'!$AE$14&gt;0,'Water Report'!$AE$14,0))</f>
        <v>16</v>
      </c>
      <c r="BB29" s="981">
        <f>(IF('Water Report'!$AE$15&gt;0,'Water Report'!$AE$15,0))</f>
        <v>11</v>
      </c>
      <c r="BC29" s="981">
        <f>(IF('Water Report'!$AE$13&gt;0,'Water Report'!$AE$13,0))</f>
        <v>41</v>
      </c>
      <c r="BD29" s="981">
        <f>(IF('Water Report'!$AE$24&gt;0,'Water Report'!$AE$24,0))</f>
        <v>260</v>
      </c>
      <c r="BE29" s="981">
        <f>(IF('Water Report'!$AE$25&gt;0,'Water Report'!$AE$25,0))</f>
        <v>169</v>
      </c>
      <c r="BF29" s="981">
        <f>(IF('Water Report'!$AE$27&gt;0,'Water Report'!$AE$27,0))</f>
        <v>145</v>
      </c>
      <c r="BG29" s="907">
        <f>(IF('Section Load'!AN32&gt;0,'Section Load'!AN32,0))</f>
        <v>964</v>
      </c>
      <c r="BH29" s="907">
        <f>(IF('Section Load'!AO32&gt;0,'Section Load'!AO32,0))</f>
        <v>278</v>
      </c>
      <c r="BI29" s="907">
        <f>(IF('Section Load'!AP32&gt;0,'Section Load'!AP32,0))</f>
        <v>0</v>
      </c>
      <c r="BJ29" s="907">
        <f>(IF('Section Load'!AQ32&gt;0,'Section Load'!AQ32,0))</f>
        <v>98</v>
      </c>
      <c r="BK29" s="907">
        <f>(IF('Section Load'!AR32&gt;0,'Section Load'!AR32,0))</f>
        <v>43</v>
      </c>
      <c r="BL29" s="907">
        <f>(IF('Section Load'!AS32&gt;0,'Section Load'!AS32,0))</f>
        <v>4</v>
      </c>
      <c r="BM29" s="907">
        <f>(IF('Section Load'!AT32&gt;0,'Section Load'!AT32,0))</f>
        <v>541</v>
      </c>
    </row>
    <row r="30" spans="1:65">
      <c r="A30" s="893" t="s">
        <v>289</v>
      </c>
      <c r="B30" s="894">
        <f t="shared" si="0"/>
        <v>29</v>
      </c>
      <c r="C30" s="894">
        <v>9</v>
      </c>
      <c r="D30" s="894">
        <v>2021</v>
      </c>
      <c r="E30" s="905">
        <f>(IF('Section Load'!F33&gt;0,'Section Load'!F33,0))</f>
        <v>3322</v>
      </c>
      <c r="F30" s="905">
        <f>(IF('Section Load'!G33&gt;0,'Section Load'!G33,0))</f>
        <v>1388.8699999999953</v>
      </c>
      <c r="G30" s="905">
        <f>(IF('Section Load'!H33&gt;0,'Section Load'!H33,0))</f>
        <v>1012</v>
      </c>
      <c r="H30" s="905">
        <f>(IF('Section Load'!I33&gt;0,'Section Load'!I33,0))</f>
        <v>3986</v>
      </c>
      <c r="I30" s="905">
        <f>(IF('Section Load'!J33&gt;0,'Section Load'!J33,0))</f>
        <v>6639</v>
      </c>
      <c r="J30" s="905">
        <f>(IF('Section Load'!K33&gt;0,'Section Load'!K33,0))</f>
        <v>2894.67</v>
      </c>
      <c r="K30" s="905">
        <f>(IF('Section Load'!L33&gt;0,'Section Load'!L33,0))</f>
        <v>1098</v>
      </c>
      <c r="L30" s="905">
        <f>(IF('Section Load'!M33&gt;0,'Section Load'!M33,0))</f>
        <v>812</v>
      </c>
      <c r="M30" s="905">
        <f>(IF('Section Load'!N33&gt;0,'Section Load'!N33,0))</f>
        <v>8</v>
      </c>
      <c r="N30" s="905">
        <f>(IF('Section Load'!O33&gt;0,'Section Load'!O33,0))</f>
        <v>2</v>
      </c>
      <c r="O30" s="905">
        <f>(IF('Section Load'!P33&gt;0,'Section Load'!P33,0))</f>
        <v>0</v>
      </c>
      <c r="P30" s="905">
        <f>(IF('Section Load'!Q33&gt;0,'Section Load'!Q33,0))</f>
        <v>198</v>
      </c>
      <c r="Q30" s="905">
        <f>(IF('Section Load'!R33&gt;0,'Section Load'!R33,0))</f>
        <v>140</v>
      </c>
      <c r="R30" s="905">
        <f>(IF('Section Load'!S33&gt;0,'Section Load'!S33,0))</f>
        <v>49</v>
      </c>
      <c r="S30" s="905">
        <f>(IF('Section Load'!T33&gt;0,'Section Load'!T33,0))</f>
        <v>167</v>
      </c>
      <c r="T30" s="905">
        <f>(IF('Section Load'!U33&gt;0,'Section Load'!U33,0))</f>
        <v>134</v>
      </c>
      <c r="U30" s="905">
        <f>(IF('Section Load'!V33&gt;0,'Section Load'!V33,0))</f>
        <v>660</v>
      </c>
      <c r="V30" s="905">
        <f>(IF('Section Load'!W33&gt;0,'Section Load'!W33,0))</f>
        <v>148</v>
      </c>
      <c r="W30" s="905">
        <f>(IF('Section Load'!X33&gt;0,'Section Load'!X33,0))</f>
        <v>11</v>
      </c>
      <c r="X30" s="905">
        <f>(IF('Section Load'!Y33&gt;0,'Section Load'!Y33,0))</f>
        <v>223</v>
      </c>
      <c r="Y30" s="905">
        <f>(IF('Section Load'!Z33&gt;0,'Section Load'!Z33,0))</f>
        <v>262</v>
      </c>
      <c r="Z30" s="905">
        <f>(IF('Section Load'!AA33&gt;0,'Section Load'!AA33,0))</f>
        <v>7</v>
      </c>
      <c r="AA30" s="905">
        <f>(IF('Section Load'!AB33&gt;0,'Section Load'!AB33,0))</f>
        <v>18</v>
      </c>
      <c r="AB30" s="905">
        <f>(IF('Section Load'!AC33&gt;0,'Section Load'!AC33,0))</f>
        <v>0</v>
      </c>
      <c r="AC30" s="905">
        <f>(IF('Section Load'!AD33&gt;0,'Section Load'!AD33,0))</f>
        <v>18</v>
      </c>
      <c r="AD30" s="905">
        <f>(IF('Section Load'!AE33&gt;0,'Section Load'!AE33,0))</f>
        <v>0</v>
      </c>
      <c r="AE30" s="905">
        <f>(IF('Section Load'!AF33&gt;0,'Section Load'!AF33,0))</f>
        <v>0</v>
      </c>
      <c r="AF30" s="905">
        <f>(IF('Section Load'!AG33&gt;0,'Section Load'!AG33,0))</f>
        <v>392</v>
      </c>
      <c r="AG30" s="905">
        <f>(IF('Section Load'!AH33&gt;0,'Section Load'!AH33,0))</f>
        <v>405</v>
      </c>
      <c r="AH30" s="905">
        <f>(IF('Section Load'!AI33&gt;0,'Section Load'!AI33,0))</f>
        <v>459</v>
      </c>
      <c r="AI30" s="905">
        <f>(IF('Section Load'!AJ33&gt;0,'Section Load'!AJ33,0))</f>
        <v>559</v>
      </c>
      <c r="AJ30" s="905">
        <f>(IF('Section Load'!AK33&gt;0,'Section Load'!AK33,0))</f>
        <v>0</v>
      </c>
      <c r="AK30" s="905">
        <f>(IF('Section Load'!AL33&gt;0,'Section Load'!AL33,0))</f>
        <v>325</v>
      </c>
      <c r="AL30" s="905">
        <f>(IF('Section Load'!AM33&gt;0,'Section Load'!AM33,0))</f>
        <v>730</v>
      </c>
      <c r="AM30" s="906">
        <f>(IF('Water Report'!$AF$7&gt;0,'Water Report'!$AF$7,0))</f>
        <v>112</v>
      </c>
      <c r="AN30" s="906">
        <f>(IF('Water Report'!$AF$8&gt;0,'Water Report'!$AF$8,0))</f>
        <v>211</v>
      </c>
      <c r="AO30" s="906">
        <f>(IF('Water Report'!$AF$9&gt;0,'Water Report'!$AF$9,0))</f>
        <v>79</v>
      </c>
      <c r="AP30" s="906">
        <f>(IF('Water Report'!$AF$10&gt;0,'Water Report'!$AF$10,0))</f>
        <v>33</v>
      </c>
      <c r="AQ30" s="906">
        <f>(IF('Water Report'!$AF$11&gt;0,'Water Report'!$AF$11,0))</f>
        <v>39</v>
      </c>
      <c r="AR30" s="906">
        <f>(IF('Water Report'!$AF$13&gt;0,'Water Report'!$AF$13,0))</f>
        <v>10</v>
      </c>
      <c r="AS30" s="906">
        <f>(IF('Water Report'!$AF$14&gt;0,'Water Report'!$AF$14,0))</f>
        <v>18</v>
      </c>
      <c r="AT30" s="906">
        <f>(IF('Water Report'!$AF$15&gt;0,'Water Report'!$AF$15,0))</f>
        <v>9</v>
      </c>
      <c r="AU30" s="906">
        <f>(IF('Water Report'!$AF$17&gt;0,'Water Report'!$AF$17,0))</f>
        <v>0</v>
      </c>
      <c r="AV30" s="906">
        <f>(IF('Water Report'!$AF$18&gt;0,'Water Report'!$AF$18,0))</f>
        <v>12</v>
      </c>
      <c r="AW30" s="906">
        <f>(IF('Water Report'!$AF$19&gt;0,'Water Report'!$AF$19,0))</f>
        <v>7</v>
      </c>
      <c r="AX30" s="981">
        <f>(IF('Water Report'!$AF$21&gt;0,'Water Report'!$AF$21,0))</f>
        <v>83</v>
      </c>
      <c r="AY30" s="981">
        <f>(IF('Water Report'!$AF$22&gt;0,'Water Report'!$AF$22,0))</f>
        <v>0</v>
      </c>
      <c r="AZ30" s="981">
        <f>(IF('Water Report'!$AF$23&gt;0,'Water Report'!$AF$23,0))</f>
        <v>0</v>
      </c>
      <c r="BA30" s="981">
        <f>(IF('Water Report'!$AF$14&gt;0,'Water Report'!$AF$14,0))</f>
        <v>18</v>
      </c>
      <c r="BB30" s="981">
        <f>(IF('Water Report'!$AF$15&gt;0,'Water Report'!$AF$15,0))</f>
        <v>9</v>
      </c>
      <c r="BC30" s="981">
        <f>(IF('Water Report'!$AF$13&gt;0,'Water Report'!$AF$13,0))</f>
        <v>10</v>
      </c>
      <c r="BD30" s="981">
        <f>(IF('Water Report'!$AF$24&gt;0,'Water Report'!$AF$24,0))</f>
        <v>242</v>
      </c>
      <c r="BE30" s="981">
        <f>(IF('Water Report'!$AF$25&gt;0,'Water Report'!$AF$25,0))</f>
        <v>178</v>
      </c>
      <c r="BF30" s="981">
        <f>(IF('Water Report'!$AF$27&gt;0,'Water Report'!$AF$27,0))</f>
        <v>93</v>
      </c>
      <c r="BG30" s="907">
        <f>(IF('Section Load'!AN33&gt;0,'Section Load'!AN33,0))</f>
        <v>834</v>
      </c>
      <c r="BH30" s="907">
        <f>(IF('Section Load'!AO33&gt;0,'Section Load'!AO33,0))</f>
        <v>285</v>
      </c>
      <c r="BI30" s="907">
        <f>(IF('Section Load'!AP33&gt;0,'Section Load'!AP33,0))</f>
        <v>0</v>
      </c>
      <c r="BJ30" s="907">
        <f>(IF('Section Load'!AQ33&gt;0,'Section Load'!AQ33,0))</f>
        <v>99</v>
      </c>
      <c r="BK30" s="907">
        <f>(IF('Section Load'!AR33&gt;0,'Section Load'!AR33,0))</f>
        <v>50</v>
      </c>
      <c r="BL30" s="907">
        <f>(IF('Section Load'!AS33&gt;0,'Section Load'!AS33,0))</f>
        <v>4</v>
      </c>
      <c r="BM30" s="907">
        <f>(IF('Section Load'!AT33&gt;0,'Section Load'!AT33,0))</f>
        <v>396.39999999999418</v>
      </c>
    </row>
    <row r="31" spans="1:65">
      <c r="A31" s="893" t="s">
        <v>289</v>
      </c>
      <c r="B31" s="894">
        <f t="shared" si="0"/>
        <v>30</v>
      </c>
      <c r="C31" s="894">
        <v>9</v>
      </c>
      <c r="D31" s="894">
        <v>2021</v>
      </c>
      <c r="E31" s="905">
        <f>(IF('Section Load'!F34&gt;0,'Section Load'!F34,0))</f>
        <v>3556</v>
      </c>
      <c r="F31" s="905">
        <f>(IF('Section Load'!G34&gt;0,'Section Load'!G34,0))</f>
        <v>1323.1300000000047</v>
      </c>
      <c r="G31" s="905">
        <f>(IF('Section Load'!H34&gt;0,'Section Load'!H34,0))</f>
        <v>1113.9300000000512</v>
      </c>
      <c r="H31" s="905">
        <f>(IF('Section Load'!I34&gt;0,'Section Load'!I34,0))</f>
        <v>3876</v>
      </c>
      <c r="I31" s="905">
        <f>(IF('Section Load'!J34&gt;0,'Section Load'!J34,0))</f>
        <v>7640.789999999979</v>
      </c>
      <c r="J31" s="905">
        <f>(IF('Section Load'!K34&gt;0,'Section Load'!K34,0))</f>
        <v>2575</v>
      </c>
      <c r="K31" s="905">
        <f>(IF('Section Load'!L34&gt;0,'Section Load'!L34,0))</f>
        <v>1097</v>
      </c>
      <c r="L31" s="905">
        <f>(IF('Section Load'!M34&gt;0,'Section Load'!M34,0))</f>
        <v>682</v>
      </c>
      <c r="M31" s="905">
        <f>(IF('Section Load'!N34&gt;0,'Section Load'!N34,0))</f>
        <v>18</v>
      </c>
      <c r="N31" s="905">
        <f>(IF('Section Load'!O34&gt;0,'Section Load'!O34,0))</f>
        <v>1</v>
      </c>
      <c r="O31" s="905">
        <f>(IF('Section Load'!P34&gt;0,'Section Load'!P34,0))</f>
        <v>0</v>
      </c>
      <c r="P31" s="905">
        <f>(IF('Section Load'!Q34&gt;0,'Section Load'!Q34,0))</f>
        <v>182</v>
      </c>
      <c r="Q31" s="905">
        <f>(IF('Section Load'!R34&gt;0,'Section Load'!R34,0))</f>
        <v>80</v>
      </c>
      <c r="R31" s="905">
        <f>(IF('Section Load'!S34&gt;0,'Section Load'!S34,0))</f>
        <v>50</v>
      </c>
      <c r="S31" s="905">
        <f>(IF('Section Load'!T34&gt;0,'Section Load'!T34,0))</f>
        <v>220</v>
      </c>
      <c r="T31" s="905">
        <f>(IF('Section Load'!U34&gt;0,'Section Load'!U34,0))</f>
        <v>129</v>
      </c>
      <c r="U31" s="905">
        <f>(IF('Section Load'!V34&gt;0,'Section Load'!V34,0))</f>
        <v>113</v>
      </c>
      <c r="V31" s="905">
        <f>(IF('Section Load'!W34&gt;0,'Section Load'!W34,0))</f>
        <v>164</v>
      </c>
      <c r="W31" s="905">
        <f>(IF('Section Load'!X34&gt;0,'Section Load'!X34,0))</f>
        <v>25</v>
      </c>
      <c r="X31" s="905">
        <f>(IF('Section Load'!Y34&gt;0,'Section Load'!Y34,0))</f>
        <v>219</v>
      </c>
      <c r="Y31" s="905">
        <f>(IF('Section Load'!Z34&gt;0,'Section Load'!Z34,0))</f>
        <v>272</v>
      </c>
      <c r="Z31" s="905">
        <f>(IF('Section Load'!AA34&gt;0,'Section Load'!AA34,0))</f>
        <v>9</v>
      </c>
      <c r="AA31" s="905">
        <f>(IF('Section Load'!AB34&gt;0,'Section Load'!AB34,0))</f>
        <v>35</v>
      </c>
      <c r="AB31" s="905">
        <f>(IF('Section Load'!AC34&gt;0,'Section Load'!AC34,0))</f>
        <v>0</v>
      </c>
      <c r="AC31" s="905">
        <f>(IF('Section Load'!AD34&gt;0,'Section Load'!AD34,0))</f>
        <v>42</v>
      </c>
      <c r="AD31" s="905">
        <f>(IF('Section Load'!AE34&gt;0,'Section Load'!AE34,0))</f>
        <v>0</v>
      </c>
      <c r="AE31" s="905">
        <f>(IF('Section Load'!AF34&gt;0,'Section Load'!AF34,0))</f>
        <v>0</v>
      </c>
      <c r="AF31" s="905">
        <f>(IF('Section Load'!AG34&gt;0,'Section Load'!AG34,0))</f>
        <v>459</v>
      </c>
      <c r="AG31" s="905">
        <f>(IF('Section Load'!AH34&gt;0,'Section Load'!AH34,0))</f>
        <v>430</v>
      </c>
      <c r="AH31" s="905">
        <f>(IF('Section Load'!AI34&gt;0,'Section Load'!AI34,0))</f>
        <v>418</v>
      </c>
      <c r="AI31" s="905">
        <f>(IF('Section Load'!AJ34&gt;0,'Section Load'!AJ34,0))</f>
        <v>563</v>
      </c>
      <c r="AJ31" s="905">
        <f>(IF('Section Load'!AK34&gt;0,'Section Load'!AK34,0))</f>
        <v>0</v>
      </c>
      <c r="AK31" s="905">
        <f>(IF('Section Load'!AL34&gt;0,'Section Load'!AL34,0))</f>
        <v>350</v>
      </c>
      <c r="AL31" s="905">
        <f>(IF('Section Load'!AM34&gt;0,'Section Load'!AM34,0))</f>
        <v>760</v>
      </c>
      <c r="AM31" s="906">
        <f>(IF('Water Report'!$AG$7&gt;0,'Water Report'!$AG$7,0))</f>
        <v>109</v>
      </c>
      <c r="AN31" s="906">
        <f>(IF('Water Report'!$AG$8&gt;0,'Water Report'!$AG$8,0))</f>
        <v>174</v>
      </c>
      <c r="AO31" s="906">
        <f>(IF('Water Report'!$AG$9&gt;0,'Water Report'!$AG$9,0))</f>
        <v>77</v>
      </c>
      <c r="AP31" s="906">
        <f>(IF('Water Report'!$AG$10&gt;0,'Water Report'!$DAG$10,0))</f>
        <v>0</v>
      </c>
      <c r="AQ31" s="906">
        <f>(IF('Water Report'!$AG$11&gt;0,'Water Report'!$DAG$11,0))</f>
        <v>0</v>
      </c>
      <c r="AR31" s="906">
        <f>(IF('Water Report'!$AG$13&gt;0,'Water Report'!$DAG$13,0))</f>
        <v>0</v>
      </c>
      <c r="AS31" s="906">
        <f>(IF('Water Report'!$AG$14&gt;0,'Water Report'!$DAG$14,0))</f>
        <v>0</v>
      </c>
      <c r="AT31" s="906">
        <f>(IF('Water Report'!$AG$15&gt;0,'Water Report'!$DAG$15,0))</f>
        <v>0</v>
      </c>
      <c r="AU31" s="906">
        <f>(IF('Water Report'!$AG$17&gt;0,'Water Report'!$DAG$17,0))</f>
        <v>0</v>
      </c>
      <c r="AV31" s="906">
        <f>(IF('Water Report'!$AG$18&gt;0,'Water Report'!$DAG$18,0))</f>
        <v>0</v>
      </c>
      <c r="AW31" s="906">
        <f>(IF('Water Report'!$AG$19&gt;0,'Water Report'!$DAG$19,0))</f>
        <v>0</v>
      </c>
      <c r="AX31" s="981">
        <f>(IF('Water Report'!$AG$21&gt;0,'Water Report'!$DAG$21,0))</f>
        <v>0</v>
      </c>
      <c r="AY31" s="981">
        <f>(IF('Water Report'!$AG$22&gt;0,'Water Report'!$DAG$22,0))</f>
        <v>0</v>
      </c>
      <c r="AZ31" s="981">
        <f>(IF('Water Report'!$AG$23&gt;0,'Water Report'!$DAG$23,0))</f>
        <v>0</v>
      </c>
      <c r="BA31" s="981">
        <f>(IF('Water Report'!$AG$14&gt;0,'Water Report'!$DAG$14,0))</f>
        <v>0</v>
      </c>
      <c r="BB31" s="981">
        <f>(IF('Water Report'!$AG$15&gt;0,'Water Report'!$DAG$15,0))</f>
        <v>0</v>
      </c>
      <c r="BC31" s="981">
        <f>(IF('Water Report'!$AG$13&gt;0,'Water Report'!$DAG$13,0))</f>
        <v>0</v>
      </c>
      <c r="BD31" s="981">
        <f>(IF('Water Report'!$AG$24&gt;0,'Water Report'!$DAG$24,0))</f>
        <v>0</v>
      </c>
      <c r="BE31" s="981">
        <f>(IF('Water Report'!$AG$25&gt;0,'Water Report'!$DAG$25,0))</f>
        <v>0</v>
      </c>
      <c r="BF31" s="981">
        <f>(IF('Water Report'!$AG$27&gt;0,'Water Report'!$DAG$27,0))</f>
        <v>0</v>
      </c>
      <c r="BG31" s="907">
        <f>(IF('Section Load'!AN34&gt;0,'Section Load'!AN34,0))</f>
        <v>877</v>
      </c>
      <c r="BH31" s="907">
        <f>(IF('Section Load'!AO34&gt;0,'Section Load'!AO34,0))</f>
        <v>265</v>
      </c>
      <c r="BI31" s="907">
        <f>(IF('Section Load'!AP34&gt;0,'Section Load'!AP34,0))</f>
        <v>0.39999999999417923</v>
      </c>
      <c r="BJ31" s="907">
        <f>(IF('Section Load'!AQ34&gt;0,'Section Load'!AQ34,0))</f>
        <v>82</v>
      </c>
      <c r="BK31" s="907">
        <f>(IF('Section Load'!AR34&gt;0,'Section Load'!AR34,0))</f>
        <v>33</v>
      </c>
      <c r="BL31" s="907">
        <f>(IF('Section Load'!AS34&gt;0,'Section Load'!AS34,0))</f>
        <v>2</v>
      </c>
      <c r="BM31" s="907">
        <f>(IF('Section Load'!AT34&gt;0,'Section Load'!AT34,0))</f>
        <v>494.60000000000582</v>
      </c>
    </row>
    <row r="32" spans="1:65">
      <c r="A32" s="893" t="s">
        <v>289</v>
      </c>
      <c r="B32" s="894">
        <f t="shared" si="0"/>
        <v>31</v>
      </c>
      <c r="C32" s="894">
        <v>9</v>
      </c>
      <c r="D32" s="894">
        <v>2021</v>
      </c>
      <c r="E32" s="905">
        <f>(IF('Section Load'!F35&gt;0,'Section Load'!F35,0))</f>
        <v>3151</v>
      </c>
      <c r="F32" s="905">
        <f>(IF('Section Load'!G35&gt;0,'Section Load'!G35,0))</f>
        <v>1163</v>
      </c>
      <c r="G32" s="905">
        <f>(IF('Section Load'!H35&gt;0,'Section Load'!H35,0))</f>
        <v>1668</v>
      </c>
      <c r="H32" s="905">
        <f>(IF('Section Load'!I35&gt;0,'Section Load'!I35,0))</f>
        <v>3886</v>
      </c>
      <c r="I32" s="905">
        <f>(IF('Section Load'!J35&gt;0,'Section Load'!J35,0))</f>
        <v>5195.9899999999907</v>
      </c>
      <c r="J32" s="905">
        <f>(IF('Section Load'!K35&gt;0,'Section Load'!K35,0))</f>
        <v>2495</v>
      </c>
      <c r="K32" s="905">
        <f>(IF('Section Load'!L35&gt;0,'Section Load'!L35,0))</f>
        <v>976</v>
      </c>
      <c r="L32" s="905">
        <f>(IF('Section Load'!M35&gt;0,'Section Load'!M35,0))</f>
        <v>668</v>
      </c>
      <c r="M32" s="905">
        <f>(IF('Section Load'!N35&gt;0,'Section Load'!N35,0))</f>
        <v>14</v>
      </c>
      <c r="N32" s="905">
        <f>(IF('Section Load'!O35&gt;0,'Section Load'!O35,0))</f>
        <v>2</v>
      </c>
      <c r="O32" s="905">
        <f>(IF('Section Load'!P35&gt;0,'Section Load'!P35,0))</f>
        <v>1</v>
      </c>
      <c r="P32" s="905">
        <f>(IF('Section Load'!Q35&gt;0,'Section Load'!Q35,0))</f>
        <v>160</v>
      </c>
      <c r="Q32" s="905">
        <f>(IF('Section Load'!R35&gt;0,'Section Load'!R35,0))</f>
        <v>62</v>
      </c>
      <c r="R32" s="905">
        <f>(IF('Section Load'!S35&gt;0,'Section Load'!S35,0))</f>
        <v>45</v>
      </c>
      <c r="S32" s="905">
        <f>(IF('Section Load'!T35&gt;0,'Section Load'!T35,0))</f>
        <v>87</v>
      </c>
      <c r="T32" s="905">
        <f>(IF('Section Load'!U35&gt;0,'Section Load'!U35,0))</f>
        <v>152</v>
      </c>
      <c r="U32" s="905">
        <f>(IF('Section Load'!V35&gt;0,'Section Load'!V35,0))</f>
        <v>367</v>
      </c>
      <c r="V32" s="905">
        <f>(IF('Section Load'!W35&gt;0,'Section Load'!W35,0))</f>
        <v>131</v>
      </c>
      <c r="W32" s="905">
        <f>(IF('Section Load'!X35&gt;0,'Section Load'!X35,0))</f>
        <v>12</v>
      </c>
      <c r="X32" s="905">
        <f>(IF('Section Load'!Y35&gt;0,'Section Load'!Y35,0))</f>
        <v>196</v>
      </c>
      <c r="Y32" s="905">
        <f>(IF('Section Load'!Z35&gt;0,'Section Load'!Z35,0))</f>
        <v>310</v>
      </c>
      <c r="Z32" s="905">
        <f>(IF('Section Load'!AA35&gt;0,'Section Load'!AA35,0))</f>
        <v>39</v>
      </c>
      <c r="AA32" s="905">
        <f>(IF('Section Load'!AB35&gt;0,'Section Load'!AB35,0))</f>
        <v>0</v>
      </c>
      <c r="AB32" s="905">
        <f>(IF('Section Load'!AC35&gt;0,'Section Load'!AC35,0))</f>
        <v>97</v>
      </c>
      <c r="AC32" s="905">
        <f>(IF('Section Load'!AD35&gt;0,'Section Load'!AD35,0))</f>
        <v>0</v>
      </c>
      <c r="AD32" s="905">
        <f>(IF('Section Load'!AE35&gt;0,'Section Load'!AE35,0))</f>
        <v>0</v>
      </c>
      <c r="AE32" s="905">
        <f>(IF('Section Load'!AF35&gt;0,'Section Load'!AF35,0))</f>
        <v>0</v>
      </c>
      <c r="AF32" s="905">
        <f>(IF('Section Load'!AG35&gt;0,'Section Load'!AG35,0))</f>
        <v>415</v>
      </c>
      <c r="AG32" s="905">
        <f>(IF('Section Load'!AH35&gt;0,'Section Load'!AH35,0))</f>
        <v>364</v>
      </c>
      <c r="AH32" s="905">
        <f>(IF('Section Load'!AI35&gt;0,'Section Load'!AI35,0))</f>
        <v>393</v>
      </c>
      <c r="AI32" s="905">
        <f>(IF('Section Load'!AJ35&gt;0,'Section Load'!AJ35,0))</f>
        <v>438</v>
      </c>
      <c r="AJ32" s="905">
        <f>(IF('Section Load'!AK35&gt;0,'Section Load'!AK35,0))</f>
        <v>0</v>
      </c>
      <c r="AK32" s="905">
        <f>(IF('Section Load'!AL35&gt;0,'Section Load'!AL35,0))</f>
        <v>317</v>
      </c>
      <c r="AL32" s="905">
        <f>(IF('Section Load'!AM35&gt;0,'Section Load'!AM35,0))</f>
        <v>654</v>
      </c>
      <c r="AM32" s="906">
        <f>(IF('Water Report'!$AH$7&gt;0,'Water Report'!$AH$7,0))</f>
        <v>60</v>
      </c>
      <c r="AN32" s="906">
        <f>(IF('Water Report'!$AH$8&gt;0,'Water Report'!$AH$8,0))</f>
        <v>168</v>
      </c>
      <c r="AO32" s="906">
        <f>(IF('Water Report'!$AH$9&gt;0,'Water Report'!$AH$9,0))</f>
        <v>65</v>
      </c>
      <c r="AP32" s="906">
        <f>(IF('Water Report'!$AH$10&gt;0,'Water Report'!$DAH$10,0))</f>
        <v>0</v>
      </c>
      <c r="AQ32" s="906">
        <f>(IF('Water Report'!$AH$11&gt;0,'Water Report'!$DAH$11,0))</f>
        <v>0</v>
      </c>
      <c r="AR32" s="906">
        <f>(IF('Water Report'!$AH$13&gt;0,'Water Report'!$DAH$13,0))</f>
        <v>0</v>
      </c>
      <c r="AS32" s="906">
        <f>(IF('Water Report'!$AH$14&gt;0,'Water Report'!$DAH$14,0))</f>
        <v>0</v>
      </c>
      <c r="AT32" s="906">
        <f>(IF('Water Report'!$AH$15&gt;0,'Water Report'!$DAH$15,0))</f>
        <v>0</v>
      </c>
      <c r="AU32" s="906">
        <f>(IF('Water Report'!$AH$17&gt;0,'Water Report'!$DAH$17,0))</f>
        <v>0</v>
      </c>
      <c r="AV32" s="906">
        <f>(IF('Water Report'!$AH$18&gt;0,'Water Report'!$DAH$18,0))</f>
        <v>0</v>
      </c>
      <c r="AW32" s="906">
        <f>(IF('Water Report'!$AH$19&gt;0,'Water Report'!$DAH$19,0))</f>
        <v>0</v>
      </c>
      <c r="AX32" s="981">
        <f>(IF('Water Report'!$AH$21&gt;0,'Water Report'!$DAH$21,0))</f>
        <v>0</v>
      </c>
      <c r="AY32" s="981">
        <f>(IF('Water Report'!$AH$22&gt;0,'Water Report'!$DAH$22,0))</f>
        <v>0</v>
      </c>
      <c r="AZ32" s="981">
        <f>(IF('Water Report'!$AH$23&gt;0,'Water Report'!$DAH$23,0))</f>
        <v>0</v>
      </c>
      <c r="BA32" s="981">
        <f>(IF('Water Report'!$AH$14&gt;0,'Water Report'!$DAH$14,0))</f>
        <v>0</v>
      </c>
      <c r="BB32" s="981">
        <f>(IF('Water Report'!$AH$15&gt;0,'Water Report'!$DAH$15,0))</f>
        <v>0</v>
      </c>
      <c r="BC32" s="981">
        <f>(IF('Water Report'!$AH$13&gt;0,'Water Report'!$DAH$13,0))</f>
        <v>0</v>
      </c>
      <c r="BD32" s="981">
        <f>(IF('Water Report'!$AH$24&gt;0,'Water Report'!$DAH$24,0))</f>
        <v>0</v>
      </c>
      <c r="BE32" s="981">
        <f>(IF('Water Report'!$AH$25&gt;0,'Water Report'!$DAH$25,0))</f>
        <v>0</v>
      </c>
      <c r="BF32" s="981">
        <f>(IF('Water Report'!$AH$27&gt;0,'Water Report'!$DAH$27,0))</f>
        <v>0</v>
      </c>
      <c r="BG32" s="907">
        <f>(IF('Section Load'!AN35&gt;0,'Section Load'!AN35,0))</f>
        <v>749</v>
      </c>
      <c r="BH32" s="907">
        <f>(IF('Section Load'!AO35&gt;0,'Section Load'!AO35,0))</f>
        <v>262</v>
      </c>
      <c r="BI32" s="907">
        <f>(IF('Section Load'!AP35&gt;0,'Section Load'!AP35,0))</f>
        <v>0</v>
      </c>
      <c r="BJ32" s="907">
        <f>(IF('Section Load'!AQ35&gt;0,'Section Load'!AQ35,0))</f>
        <v>72</v>
      </c>
      <c r="BK32" s="907">
        <f>(IF('Section Load'!AR35&gt;0,'Section Load'!AR35,0))</f>
        <v>33</v>
      </c>
      <c r="BL32" s="907">
        <f>(IF('Section Load'!AS35&gt;0,'Section Load'!AS35,0))</f>
        <v>1</v>
      </c>
      <c r="BM32" s="907">
        <f>(IF('Section Load'!AT35&gt;0,'Section Load'!AT35,0))</f>
        <v>381</v>
      </c>
    </row>
    <row r="35" spans="45:45">
      <c r="AS35" s="114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N4" sqref="N4:N3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205"/>
      <c r="B1" s="1205"/>
      <c r="C1" s="1205"/>
      <c r="D1" s="1205"/>
      <c r="E1" s="1205"/>
      <c r="F1" s="1205"/>
      <c r="G1" s="1205"/>
      <c r="H1" s="1205"/>
      <c r="I1" s="1205"/>
      <c r="J1" s="1205"/>
      <c r="K1" s="1205"/>
      <c r="L1" s="1205"/>
      <c r="M1" s="1205"/>
      <c r="N1" s="1205"/>
      <c r="O1" s="1205"/>
      <c r="P1" s="1205"/>
      <c r="Q1" s="1205"/>
      <c r="R1" s="1205"/>
      <c r="S1" s="1205"/>
      <c r="T1" s="1205"/>
      <c r="U1" s="1205"/>
      <c r="V1" s="1205"/>
      <c r="W1" s="1205"/>
      <c r="X1" s="1205"/>
      <c r="Y1" s="1205"/>
      <c r="Z1" s="1205"/>
      <c r="AA1" s="1205"/>
      <c r="AB1" s="1205"/>
      <c r="AC1" s="1205"/>
      <c r="AD1" s="1205"/>
      <c r="AE1" s="1205"/>
      <c r="AF1" s="1205"/>
      <c r="AG1" s="1205"/>
      <c r="AH1" s="1205"/>
      <c r="AI1" s="1205"/>
      <c r="AJ1" s="1205"/>
      <c r="AK1" s="1205"/>
      <c r="AL1" s="1205"/>
      <c r="AM1" s="1205"/>
      <c r="AN1" s="1205"/>
      <c r="AO1" s="1205"/>
      <c r="AP1" s="1205"/>
      <c r="AQ1" s="1205"/>
      <c r="AR1" s="1205"/>
      <c r="AS1" s="1205"/>
      <c r="AT1" s="1205"/>
      <c r="AU1" s="1205"/>
      <c r="AV1" s="1205"/>
      <c r="AW1" s="1205"/>
      <c r="AX1" s="1205"/>
      <c r="AY1" s="1205"/>
      <c r="AZ1" s="1205"/>
      <c r="BA1" s="1205"/>
      <c r="BB1" s="1205"/>
      <c r="BC1" s="1205"/>
      <c r="BD1" s="1205"/>
      <c r="BE1" s="1205"/>
      <c r="BF1" s="1205"/>
      <c r="BG1" s="1205"/>
      <c r="BH1" s="1205"/>
      <c r="BI1" s="1205"/>
      <c r="BJ1" s="1205"/>
      <c r="BK1" s="1205"/>
      <c r="BL1" s="1205"/>
      <c r="BM1" s="1205"/>
      <c r="BN1" s="1205"/>
      <c r="BO1" s="1205"/>
    </row>
    <row r="2" spans="1:70" ht="28.5" customHeight="1">
      <c r="A2" s="1" t="s">
        <v>0</v>
      </c>
      <c r="B2" s="1" t="s">
        <v>0</v>
      </c>
      <c r="C2" s="753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206" t="s">
        <v>6</v>
      </c>
      <c r="J2" s="1206"/>
      <c r="K2" s="1206"/>
      <c r="L2" s="44"/>
      <c r="M2" s="1207" t="s">
        <v>7</v>
      </c>
      <c r="N2" s="1207"/>
      <c r="O2" s="1207"/>
      <c r="P2" s="1208" t="s">
        <v>8</v>
      </c>
      <c r="Q2" s="1208"/>
      <c r="R2" s="1208"/>
      <c r="S2" s="44" t="s">
        <v>9</v>
      </c>
      <c r="T2" s="1209" t="s">
        <v>10</v>
      </c>
      <c r="U2" s="1209"/>
      <c r="V2" s="1209"/>
      <c r="W2" s="1210" t="s">
        <v>11</v>
      </c>
      <c r="X2" s="1211"/>
      <c r="Y2" s="1212"/>
      <c r="Z2" s="752"/>
      <c r="AA2" s="1213" t="s">
        <v>12</v>
      </c>
      <c r="AB2" s="1213"/>
      <c r="AC2" s="1213"/>
      <c r="AD2" s="1213"/>
      <c r="AE2" s="753"/>
      <c r="AF2" s="753" t="s">
        <v>13</v>
      </c>
      <c r="AG2" s="753" t="s">
        <v>14</v>
      </c>
      <c r="AH2" s="1213" t="s">
        <v>15</v>
      </c>
      <c r="AI2" s="1213"/>
      <c r="AJ2" s="1213"/>
      <c r="AK2" s="753" t="s">
        <v>16</v>
      </c>
      <c r="AL2" s="1213" t="s">
        <v>17</v>
      </c>
      <c r="AM2" s="1213"/>
      <c r="AN2" s="1213"/>
      <c r="AO2" s="753" t="s">
        <v>18</v>
      </c>
      <c r="AP2" s="5" t="s">
        <v>19</v>
      </c>
      <c r="AQ2" s="1214" t="s">
        <v>20</v>
      </c>
      <c r="AR2" s="1215"/>
      <c r="AS2" s="1215"/>
      <c r="AT2" s="1215"/>
      <c r="AU2" s="1215"/>
      <c r="AV2" s="1215"/>
      <c r="AW2" s="1215"/>
      <c r="AX2" s="1215"/>
      <c r="AY2" s="1215"/>
      <c r="AZ2" s="1216"/>
      <c r="BA2" s="1214" t="s">
        <v>21</v>
      </c>
      <c r="BB2" s="1215"/>
      <c r="BC2" s="1215"/>
      <c r="BD2" s="1215"/>
      <c r="BE2" s="1215"/>
      <c r="BF2" s="1215"/>
      <c r="BG2" s="1215"/>
      <c r="BH2" s="1215"/>
      <c r="BI2" s="1215"/>
      <c r="BJ2" s="89"/>
      <c r="BK2" s="77"/>
      <c r="BL2" s="39"/>
      <c r="BM2" s="39"/>
      <c r="BN2" s="39"/>
      <c r="BO2" s="753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352</v>
      </c>
      <c r="I3" s="11" t="s">
        <v>351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0.92959999999999998</v>
      </c>
      <c r="G4" s="19">
        <f>'1'!G8</f>
        <v>24099.409999999974</v>
      </c>
      <c r="H4" s="19">
        <f>'1'!G7</f>
        <v>24015.409999999974</v>
      </c>
      <c r="I4" s="19">
        <f>'1'!G8</f>
        <v>24099.409999999974</v>
      </c>
      <c r="J4" s="19">
        <v>9</v>
      </c>
      <c r="K4" s="49">
        <f>I4*J4</f>
        <v>216894.68999999977</v>
      </c>
      <c r="L4" s="45">
        <f>I4/202</f>
        <v>119.30400990098997</v>
      </c>
      <c r="M4" s="19">
        <f>'1'!G15</f>
        <v>945.48999999999069</v>
      </c>
      <c r="N4" s="19">
        <v>56.2</v>
      </c>
      <c r="O4" s="45">
        <f>M4*N4</f>
        <v>53136.537999999477</v>
      </c>
      <c r="P4" s="19">
        <f>'1'!G20</f>
        <v>146</v>
      </c>
      <c r="Q4" s="19">
        <v>108</v>
      </c>
      <c r="R4" s="46">
        <f t="shared" ref="R4:R33" si="0">P4*Q4</f>
        <v>15768</v>
      </c>
      <c r="S4" s="47">
        <f t="shared" ref="S4:S33" si="1">P4/(F4*202/100)</f>
        <v>77.750890407457263</v>
      </c>
      <c r="T4" s="19">
        <f>'1'!G24</f>
        <v>0</v>
      </c>
      <c r="U4" s="19">
        <v>69</v>
      </c>
      <c r="V4" s="48">
        <f>T4*U4</f>
        <v>0</v>
      </c>
      <c r="W4" s="22">
        <f>'1'!G96</f>
        <v>66</v>
      </c>
      <c r="X4" s="22">
        <f>'1'!G97</f>
        <v>18</v>
      </c>
      <c r="Y4" s="22">
        <f>'1'!G98</f>
        <v>24</v>
      </c>
      <c r="Z4" s="22">
        <f>W4+X4+Y4</f>
        <v>108</v>
      </c>
      <c r="AA4" s="19">
        <f>'1'!G133</f>
        <v>-0.47000000000116415</v>
      </c>
      <c r="AB4" s="19">
        <f>'1'!G134</f>
        <v>24.269999999999982</v>
      </c>
      <c r="AC4" s="19">
        <f>'1'!G135</f>
        <v>0.13999999999941792</v>
      </c>
      <c r="AD4" s="19">
        <f>'1'!G136</f>
        <v>15.190000000002328</v>
      </c>
      <c r="AE4" s="19">
        <f>AA4+AB4+AC4+AD4</f>
        <v>39.130000000000564</v>
      </c>
      <c r="AF4" s="23">
        <f t="shared" ref="AF4:AF33" si="2">AV4+AW4+BF4+BG4</f>
        <v>7992</v>
      </c>
      <c r="AG4" s="23">
        <f>AF4/AE4</f>
        <v>204.24226935854549</v>
      </c>
      <c r="AH4" s="19">
        <f>'1'!G137</f>
        <v>10.110000000000582</v>
      </c>
      <c r="AI4" s="19">
        <f>'1'!G138</f>
        <v>2.0000000000436557E-2</v>
      </c>
      <c r="AJ4" s="19">
        <f>'1'!G139</f>
        <v>1.1199999999953434</v>
      </c>
      <c r="AK4" s="19">
        <f>AH4+AI4+AJ4</f>
        <v>11.249999999996362</v>
      </c>
      <c r="AL4" s="19">
        <f>'1'!G140</f>
        <v>10.190000000000055</v>
      </c>
      <c r="AM4" s="19">
        <f>'1'!G141</f>
        <v>-0.32999999999992724</v>
      </c>
      <c r="AN4" s="19"/>
      <c r="AO4" s="19">
        <f>AL4+AM4</f>
        <v>9.8600000000001273</v>
      </c>
      <c r="AP4" s="52">
        <f>'1'!G124</f>
        <v>265</v>
      </c>
      <c r="AQ4" s="55">
        <f>'1'!G35</f>
        <v>0</v>
      </c>
      <c r="AR4" s="19">
        <f>'1'!G37</f>
        <v>1523.0299999999997</v>
      </c>
      <c r="AS4" s="19">
        <f>'1'!G38</f>
        <v>1668.3000000000002</v>
      </c>
      <c r="AT4" s="19">
        <f>'1'!G39</f>
        <v>3713.96</v>
      </c>
      <c r="AU4" s="19">
        <f>'1'!G40</f>
        <v>157.70000000000437</v>
      </c>
      <c r="AV4" s="19">
        <f>'1'!G41</f>
        <v>0</v>
      </c>
      <c r="AW4" s="19">
        <f>'1'!G42</f>
        <v>5610</v>
      </c>
      <c r="AX4" s="19">
        <f>'1'!G43</f>
        <v>2885</v>
      </c>
      <c r="AY4" s="19">
        <f>'1'!G44</f>
        <v>0</v>
      </c>
      <c r="AZ4" s="56">
        <f>'1'!G36</f>
        <v>1101.96</v>
      </c>
      <c r="BA4" s="55">
        <f>'1'!G49</f>
        <v>3258.13</v>
      </c>
      <c r="BB4" s="19">
        <f>'1'!G51</f>
        <v>0</v>
      </c>
      <c r="BC4" s="19">
        <f>'1'!G52</f>
        <v>0</v>
      </c>
      <c r="BD4" s="19">
        <f>'1'!G53</f>
        <v>0</v>
      </c>
      <c r="BE4" s="19">
        <f>'1'!G54</f>
        <v>159.0300000000002</v>
      </c>
      <c r="BF4" s="19">
        <f>'1'!G55</f>
        <v>0</v>
      </c>
      <c r="BG4" s="19">
        <f>'1'!G56</f>
        <v>2382</v>
      </c>
      <c r="BH4" s="19">
        <f>'1'!G57</f>
        <v>0</v>
      </c>
      <c r="BI4" s="56">
        <f>'1'!G50</f>
        <v>1444</v>
      </c>
      <c r="BJ4" s="62">
        <f>SUM(AV4,AW4,BF4,BG4)</f>
        <v>7992</v>
      </c>
      <c r="BK4" s="62">
        <f>'1'!G84</f>
        <v>740</v>
      </c>
      <c r="BL4" s="23">
        <f>SUM(AQ4,AV4,AW4,AX4,BA4,BF4,BG4,BH4)/I4%</f>
        <v>58.653427615032967</v>
      </c>
      <c r="BM4" s="23">
        <f>SUM(AT4,BD4)/I4%</f>
        <v>15.41099968837413</v>
      </c>
      <c r="BN4" s="24">
        <f>(AS4+BC4)/I4</f>
        <v>6.9225761128592023E-2</v>
      </c>
      <c r="BO4" s="25">
        <f>K4+O4+R4+V4</f>
        <v>285799.22799999925</v>
      </c>
      <c r="BP4" s="38">
        <f>SUM(AV4,AW4,AX4,BF4,BG4,BH4,BK4)</f>
        <v>11617</v>
      </c>
      <c r="BQ4">
        <f>BP4/(AE4*280)</f>
        <v>1.0602935270709204</v>
      </c>
      <c r="BR4" s="38">
        <f>SUM(AV4,AW4,BF4,BG4)/(AE4*400)</f>
        <v>0.51060567339636376</v>
      </c>
    </row>
    <row r="5" spans="1:70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22799.340000000026</v>
      </c>
      <c r="H5" s="19">
        <f>'2'!G7</f>
        <v>22864.590000000026</v>
      </c>
      <c r="I5" s="19">
        <f>'2'!G8</f>
        <v>22799.340000000026</v>
      </c>
      <c r="J5" s="19">
        <v>9</v>
      </c>
      <c r="K5" s="49">
        <f t="shared" ref="K5:K34" si="3">I5*J5</f>
        <v>205194.06000000023</v>
      </c>
      <c r="L5" s="45">
        <f t="shared" ref="L5:L33" si="4">I5/202</f>
        <v>112.86801980198032</v>
      </c>
      <c r="M5" s="19">
        <f>'2'!G15</f>
        <v>861.03000000002794</v>
      </c>
      <c r="N5" s="19">
        <v>56.2</v>
      </c>
      <c r="O5" s="45">
        <f t="shared" ref="O5:O33" si="5">M5*N5</f>
        <v>48389.88600000157</v>
      </c>
      <c r="P5" s="19">
        <f>'2'!G20</f>
        <v>183</v>
      </c>
      <c r="Q5" s="19">
        <v>108</v>
      </c>
      <c r="R5" s="46">
        <f t="shared" si="0"/>
        <v>19764</v>
      </c>
      <c r="S5" s="47">
        <f t="shared" si="1"/>
        <v>111.84451778511183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84</v>
      </c>
      <c r="X5" s="22">
        <f>'2'!G97</f>
        <v>21</v>
      </c>
      <c r="Y5" s="22">
        <f>'2'!G98</f>
        <v>37</v>
      </c>
      <c r="Z5" s="22">
        <f t="shared" ref="Z5:Z33" si="7">W5+X5+Y5</f>
        <v>142</v>
      </c>
      <c r="AA5" s="19">
        <f>'2'!G133</f>
        <v>0</v>
      </c>
      <c r="AB5" s="19">
        <f>'2'!G134</f>
        <v>24</v>
      </c>
      <c r="AC5" s="19">
        <f>'2'!G135</f>
        <v>0</v>
      </c>
      <c r="AD5" s="19">
        <f>'2'!G136</f>
        <v>8.1499999999941792</v>
      </c>
      <c r="AE5" s="19">
        <f t="shared" ref="AE5:AE33" si="8">AA5+AB5+AC5+AD5</f>
        <v>32.149999999994179</v>
      </c>
      <c r="AF5" s="23">
        <f t="shared" si="2"/>
        <v>6815.1400000000431</v>
      </c>
      <c r="AG5" s="23">
        <f t="shared" ref="AG5:AG33" si="9">AF5/AE5</f>
        <v>211.97947122865557</v>
      </c>
      <c r="AH5" s="19">
        <f>'2'!G137</f>
        <v>10.419999999998254</v>
      </c>
      <c r="AI5" s="19">
        <f>'2'!G138</f>
        <v>0</v>
      </c>
      <c r="AJ5" s="19">
        <f>'2'!G139</f>
        <v>0.33000000000174623</v>
      </c>
      <c r="AK5" s="19">
        <f t="shared" ref="AK5:AK33" si="10">AH5+AI5+AJ5</f>
        <v>10.75</v>
      </c>
      <c r="AL5" s="19">
        <f>'2'!G140</f>
        <v>8.2100000000000364</v>
      </c>
      <c r="AM5" s="19">
        <f>'2'!G141</f>
        <v>0</v>
      </c>
      <c r="AN5" s="19"/>
      <c r="AO5" s="19">
        <f t="shared" ref="AO5:AO33" si="11">AL5+AM5</f>
        <v>8.2100000000000364</v>
      </c>
      <c r="AP5" s="52">
        <f>'2'!G124</f>
        <v>213.1600000000326</v>
      </c>
      <c r="AQ5" s="55">
        <f>'2'!G35</f>
        <v>-0.69999999995343387</v>
      </c>
      <c r="AR5" s="19">
        <f>'2'!G37</f>
        <v>1548.17</v>
      </c>
      <c r="AS5" s="19">
        <f>'2'!G38</f>
        <v>1746.0700000000006</v>
      </c>
      <c r="AT5" s="19">
        <f>'2'!G39</f>
        <v>3969.5199999999995</v>
      </c>
      <c r="AU5" s="19">
        <f>'2'!G40</f>
        <v>0</v>
      </c>
      <c r="AV5" s="19">
        <f>'2'!G41</f>
        <v>0</v>
      </c>
      <c r="AW5" s="19">
        <f>'2'!G42</f>
        <v>5218.8299999999872</v>
      </c>
      <c r="AX5" s="19">
        <f>'2'!G43</f>
        <v>2704.8999999999069</v>
      </c>
      <c r="AY5" s="19">
        <f>'2'!G44</f>
        <v>0</v>
      </c>
      <c r="AZ5" s="56">
        <f>'2'!G36</f>
        <v>966.11999999999989</v>
      </c>
      <c r="BA5" s="55">
        <f>'2'!G49</f>
        <v>3230.87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3.8499999999999091</v>
      </c>
      <c r="BF5" s="19">
        <f>'2'!G55</f>
        <v>0</v>
      </c>
      <c r="BG5" s="19">
        <f>'2'!G56</f>
        <v>1596.3100000000559</v>
      </c>
      <c r="BH5" s="19">
        <f>'2'!G57</f>
        <v>0</v>
      </c>
      <c r="BI5" s="56">
        <f>'2'!G50</f>
        <v>1424.7900000000373</v>
      </c>
      <c r="BJ5" s="62">
        <f t="shared" ref="BJ5:BJ32" si="12">SUM(AV5,AW5,BF5,BG5)</f>
        <v>6815.1400000000431</v>
      </c>
      <c r="BK5" s="62">
        <f>'2'!G84</f>
        <v>634</v>
      </c>
      <c r="BL5" s="23">
        <f t="shared" ref="BL5:BL33" si="13">SUM(AQ5,AV5,AW5,AX5,BA5,BF5,BG5,BH5)/I5%</f>
        <v>55.923592525046693</v>
      </c>
      <c r="BM5" s="23">
        <f t="shared" ref="BM5:BM33" si="14">SUM(AT5,BD5)/I5%</f>
        <v>17.410679431948445</v>
      </c>
      <c r="BN5" s="24">
        <f t="shared" ref="BN5:BN33" si="15">(AS5+BC5)/I5</f>
        <v>7.6584234455909631E-2</v>
      </c>
      <c r="BO5" s="25">
        <f t="shared" ref="BO5:BO33" si="16">K5+O5+R5+V5</f>
        <v>273347.9460000018</v>
      </c>
      <c r="BP5" s="38">
        <f t="shared" ref="BP5:BP35" si="17">SUM(AV5,AW5,AX5,BF5,BG5,BH5,BK5)</f>
        <v>10154.03999999995</v>
      </c>
      <c r="BQ5">
        <f t="shared" ref="BQ5:BQ35" si="18">BP5/(AE5*280)</f>
        <v>1.1279760053323471</v>
      </c>
    </row>
    <row r="6" spans="1:70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21890.559999999998</v>
      </c>
      <c r="H6" s="19">
        <f>'3'!G7</f>
        <v>21645.869999999995</v>
      </c>
      <c r="I6" s="19">
        <f>'3'!G8</f>
        <v>21890.559999999998</v>
      </c>
      <c r="J6" s="19">
        <v>9</v>
      </c>
      <c r="K6" s="49">
        <f t="shared" si="3"/>
        <v>197015.03999999998</v>
      </c>
      <c r="L6" s="45">
        <f t="shared" si="4"/>
        <v>108.36910891089107</v>
      </c>
      <c r="M6" s="19">
        <f>'3'!G15</f>
        <v>866.20200000004843</v>
      </c>
      <c r="N6" s="19">
        <v>56.2</v>
      </c>
      <c r="O6" s="45">
        <f t="shared" si="5"/>
        <v>48680.552400002722</v>
      </c>
      <c r="P6" s="19">
        <f>'3'!G20</f>
        <v>241</v>
      </c>
      <c r="Q6" s="19">
        <v>108</v>
      </c>
      <c r="R6" s="46">
        <f t="shared" si="0"/>
        <v>26028</v>
      </c>
      <c r="S6" s="47">
        <f t="shared" si="1"/>
        <v>209.31040472468302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87</v>
      </c>
      <c r="X6" s="22">
        <f>'3'!G97</f>
        <v>24</v>
      </c>
      <c r="Y6" s="22">
        <f>'3'!G98</f>
        <v>30</v>
      </c>
      <c r="Z6" s="22">
        <f>W6+X6+Y6</f>
        <v>141</v>
      </c>
      <c r="AA6" s="19">
        <f>'3'!G133</f>
        <v>0</v>
      </c>
      <c r="AB6" s="19">
        <f>'3'!G134</f>
        <v>23.830000000000041</v>
      </c>
      <c r="AC6" s="19">
        <f>'3'!G135</f>
        <v>0</v>
      </c>
      <c r="AD6" s="19">
        <f>'3'!G136</f>
        <v>7.0400000000008731</v>
      </c>
      <c r="AE6" s="19">
        <f t="shared" si="8"/>
        <v>30.870000000000914</v>
      </c>
      <c r="AF6" s="23">
        <f t="shared" si="2"/>
        <v>6081.9799999999232</v>
      </c>
      <c r="AG6" s="23">
        <f t="shared" si="9"/>
        <v>197.01911240685919</v>
      </c>
      <c r="AH6" s="19">
        <f>'3'!G137</f>
        <v>7.9700000000011642</v>
      </c>
      <c r="AI6" s="19">
        <f>'3'!G138</f>
        <v>0</v>
      </c>
      <c r="AJ6" s="19">
        <f>'3'!G139</f>
        <v>0</v>
      </c>
      <c r="AK6" s="19">
        <f t="shared" si="10"/>
        <v>7.9700000000011642</v>
      </c>
      <c r="AL6" s="19">
        <f>'3'!G140</f>
        <v>9.5899999999996908</v>
      </c>
      <c r="AM6" s="19">
        <f>'3'!G141</f>
        <v>0</v>
      </c>
      <c r="AN6" s="19"/>
      <c r="AO6" s="19">
        <f t="shared" si="11"/>
        <v>9.5899999999996908</v>
      </c>
      <c r="AP6" s="52">
        <f>'3'!G124</f>
        <v>248.06999999994878</v>
      </c>
      <c r="AQ6" s="55">
        <f>'3'!G35</f>
        <v>0</v>
      </c>
      <c r="AR6" s="19">
        <f>'3'!G37</f>
        <v>1487.2799999999997</v>
      </c>
      <c r="AS6" s="19">
        <f>'3'!G38</f>
        <v>1807.5</v>
      </c>
      <c r="AT6" s="19">
        <f>'3'!G39</f>
        <v>3782.84</v>
      </c>
      <c r="AU6" s="19">
        <f>'3'!G40</f>
        <v>-0.30000000000291038</v>
      </c>
      <c r="AV6" s="19">
        <f>'3'!G41</f>
        <v>0</v>
      </c>
      <c r="AW6" s="19">
        <f>'3'!G42</f>
        <v>4941.9400000000023</v>
      </c>
      <c r="AX6" s="19">
        <f>'3'!G43</f>
        <v>2608.6000000000931</v>
      </c>
      <c r="AY6" s="19">
        <f>'3'!G44</f>
        <v>0</v>
      </c>
      <c r="AZ6" s="56">
        <f>'3'!G36</f>
        <v>664.27000000000044</v>
      </c>
      <c r="BA6" s="55">
        <f>'3'!G49</f>
        <v>2702.4799999999996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3.819999999999709</v>
      </c>
      <c r="BF6" s="19">
        <f>'3'!G55</f>
        <v>0</v>
      </c>
      <c r="BG6" s="19">
        <f>'3'!G56</f>
        <v>1140.0399999999208</v>
      </c>
      <c r="BH6" s="19">
        <f>'3'!G57</f>
        <v>0</v>
      </c>
      <c r="BI6" s="56">
        <f>'3'!G50</f>
        <v>1619.7199999999721</v>
      </c>
      <c r="BJ6" s="62">
        <f t="shared" si="12"/>
        <v>6081.9799999999232</v>
      </c>
      <c r="BK6" s="62">
        <f>'3'!G84</f>
        <v>597</v>
      </c>
      <c r="BL6" s="23">
        <f t="shared" si="13"/>
        <v>52.045539264413598</v>
      </c>
      <c r="BM6" s="23">
        <f t="shared" si="14"/>
        <v>17.28069085487078</v>
      </c>
      <c r="BN6" s="24">
        <f t="shared" si="15"/>
        <v>8.2569838323003172E-2</v>
      </c>
      <c r="BO6" s="25">
        <f t="shared" si="16"/>
        <v>271723.5924000027</v>
      </c>
      <c r="BP6" s="38">
        <f t="shared" si="17"/>
        <v>9287.5800000000163</v>
      </c>
      <c r="BQ6">
        <f t="shared" si="18"/>
        <v>1.0745036790225995</v>
      </c>
    </row>
    <row r="7" spans="1:70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21459.679999999993</v>
      </c>
      <c r="H7" s="19">
        <f>'4'!G7</f>
        <v>21363</v>
      </c>
      <c r="I7" s="19">
        <f>'4'!G8</f>
        <v>21459.679999999993</v>
      </c>
      <c r="J7" s="19">
        <v>9</v>
      </c>
      <c r="K7" s="49">
        <f t="shared" si="3"/>
        <v>193137.11999999994</v>
      </c>
      <c r="L7" s="45">
        <f t="shared" si="4"/>
        <v>106.23603960396036</v>
      </c>
      <c r="M7" s="19">
        <f>'4'!G15</f>
        <v>821.23799999989569</v>
      </c>
      <c r="N7" s="19">
        <v>56.2</v>
      </c>
      <c r="O7" s="45">
        <f t="shared" si="5"/>
        <v>46153.575599994139</v>
      </c>
      <c r="P7" s="19">
        <f>'4'!G20</f>
        <v>203</v>
      </c>
      <c r="Q7" s="19">
        <v>108</v>
      </c>
      <c r="R7" s="46">
        <f t="shared" si="0"/>
        <v>21924</v>
      </c>
      <c r="S7" s="47">
        <f t="shared" si="1"/>
        <v>1004.9504950495048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83</v>
      </c>
      <c r="X7" s="22">
        <f>'4'!G97</f>
        <v>21</v>
      </c>
      <c r="Y7" s="22">
        <f>'4'!G98</f>
        <v>29</v>
      </c>
      <c r="Z7" s="22">
        <f t="shared" si="7"/>
        <v>133</v>
      </c>
      <c r="AA7" s="19">
        <f>'4'!G133</f>
        <v>11.540000000000873</v>
      </c>
      <c r="AB7" s="19">
        <f>'4'!G134</f>
        <v>12.059999999999945</v>
      </c>
      <c r="AC7" s="19">
        <f>'4'!G135</f>
        <v>0</v>
      </c>
      <c r="AD7" s="19">
        <f>'4'!G136</f>
        <v>0</v>
      </c>
      <c r="AE7" s="19">
        <f t="shared" si="8"/>
        <v>23.600000000000819</v>
      </c>
      <c r="AF7" s="23">
        <f t="shared" si="2"/>
        <v>6292.5600000000559</v>
      </c>
      <c r="AG7" s="23">
        <f t="shared" si="9"/>
        <v>266.63389830507788</v>
      </c>
      <c r="AH7" s="19">
        <f>'4'!G137</f>
        <v>8.6899999999986903</v>
      </c>
      <c r="AI7" s="19">
        <f>'4'!G138</f>
        <v>0</v>
      </c>
      <c r="AJ7" s="19">
        <f>'4'!G139</f>
        <v>0</v>
      </c>
      <c r="AK7" s="19">
        <f t="shared" si="10"/>
        <v>8.6899999999986903</v>
      </c>
      <c r="AL7" s="19">
        <f>'4'!G140</f>
        <v>9.3400000000001455</v>
      </c>
      <c r="AM7" s="19">
        <f>'4'!G141</f>
        <v>0</v>
      </c>
      <c r="AN7" s="19"/>
      <c r="AO7" s="19">
        <f t="shared" si="11"/>
        <v>9.3400000000001455</v>
      </c>
      <c r="AP7" s="52">
        <f>'4'!G124</f>
        <v>241.89000000001397</v>
      </c>
      <c r="AQ7" s="55">
        <f>'4'!G35</f>
        <v>0</v>
      </c>
      <c r="AR7" s="19">
        <f>'4'!G37</f>
        <v>1491.33</v>
      </c>
      <c r="AS7" s="19">
        <f>'4'!G38</f>
        <v>1776.7299999999996</v>
      </c>
      <c r="AT7" s="19">
        <f>'4'!G39</f>
        <v>3801.0299999999988</v>
      </c>
      <c r="AU7" s="19">
        <f>'4'!G40</f>
        <v>0</v>
      </c>
      <c r="AV7" s="19">
        <f>'4'!G41</f>
        <v>2283.6000000000349</v>
      </c>
      <c r="AW7" s="19">
        <f>'4'!G42</f>
        <v>3998.320000000007</v>
      </c>
      <c r="AX7" s="19">
        <f>'4'!G43</f>
        <v>2655.6000000000931</v>
      </c>
      <c r="AY7" s="19">
        <f>'4'!G44</f>
        <v>0</v>
      </c>
      <c r="AZ7" s="56">
        <f>'4'!G36</f>
        <v>634.54</v>
      </c>
      <c r="BA7" s="55">
        <f>'4'!G49</f>
        <v>3147.5500000000011</v>
      </c>
      <c r="BB7" s="19">
        <f>'4'!G51</f>
        <v>0</v>
      </c>
      <c r="BC7" s="19">
        <f>'4'!G52</f>
        <v>0</v>
      </c>
      <c r="BD7" s="19">
        <f>'4'!G53</f>
        <v>0</v>
      </c>
      <c r="BE7" s="19">
        <f>'4'!G54</f>
        <v>4.0300000000002001</v>
      </c>
      <c r="BF7" s="19">
        <f>'4'!G55</f>
        <v>0</v>
      </c>
      <c r="BG7" s="19">
        <f>'4'!G56</f>
        <v>10.64000000001397</v>
      </c>
      <c r="BH7" s="19">
        <f>'4'!G57</f>
        <v>0</v>
      </c>
      <c r="BI7" s="56">
        <f>'4'!G50</f>
        <v>1085.359999999986</v>
      </c>
      <c r="BJ7" s="62">
        <f t="shared" si="12"/>
        <v>6292.5600000000559</v>
      </c>
      <c r="BK7" s="62">
        <f>'3'!G84</f>
        <v>597</v>
      </c>
      <c r="BL7" s="23">
        <f t="shared" si="13"/>
        <v>56.364819978677012</v>
      </c>
      <c r="BM7" s="23">
        <f t="shared" si="14"/>
        <v>17.712426280354602</v>
      </c>
      <c r="BN7" s="24">
        <f t="shared" si="15"/>
        <v>8.2793872042826372E-2</v>
      </c>
      <c r="BO7" s="25">
        <f t="shared" si="16"/>
        <v>261214.69559999407</v>
      </c>
      <c r="BP7" s="38">
        <f t="shared" si="17"/>
        <v>9545.160000000149</v>
      </c>
      <c r="BQ7">
        <f t="shared" si="18"/>
        <v>1.4444854721549361</v>
      </c>
    </row>
    <row r="8" spans="1:70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0.48</v>
      </c>
      <c r="G8" s="19">
        <f>'5'!G8</f>
        <v>21315.160000000033</v>
      </c>
      <c r="H8" s="19">
        <f>'5'!G7</f>
        <v>21236.160000000033</v>
      </c>
      <c r="I8" s="19">
        <f>'5'!G8</f>
        <v>21315.160000000033</v>
      </c>
      <c r="J8" s="19">
        <v>9</v>
      </c>
      <c r="K8" s="49">
        <f t="shared" si="3"/>
        <v>191836.44000000029</v>
      </c>
      <c r="L8" s="45">
        <f t="shared" si="4"/>
        <v>105.52059405940611</v>
      </c>
      <c r="M8" s="19">
        <f>'5'!G15</f>
        <v>851.14000000013039</v>
      </c>
      <c r="N8" s="19">
        <v>56.2</v>
      </c>
      <c r="O8" s="45">
        <f t="shared" si="5"/>
        <v>47834.068000007333</v>
      </c>
      <c r="P8" s="19">
        <f>'5'!G20</f>
        <v>261</v>
      </c>
      <c r="Q8" s="19">
        <v>108</v>
      </c>
      <c r="R8" s="46">
        <f t="shared" si="0"/>
        <v>28188</v>
      </c>
      <c r="S8" s="47">
        <f t="shared" si="1"/>
        <v>269.18316831683171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67</v>
      </c>
      <c r="X8" s="22">
        <f>'5'!G97</f>
        <v>27</v>
      </c>
      <c r="Y8" s="22">
        <f>'5'!G98</f>
        <v>30</v>
      </c>
      <c r="Z8" s="22">
        <f t="shared" si="7"/>
        <v>124</v>
      </c>
      <c r="AA8" s="19">
        <f>'5'!G133</f>
        <v>24.069999999999709</v>
      </c>
      <c r="AB8" s="19">
        <f>'5'!G134</f>
        <v>15.019999999999982</v>
      </c>
      <c r="AC8" s="19">
        <f>'5'!G135</f>
        <v>0</v>
      </c>
      <c r="AD8" s="19">
        <f>'5'!G136</f>
        <v>0</v>
      </c>
      <c r="AE8" s="19">
        <f t="shared" si="8"/>
        <v>39.089999999999691</v>
      </c>
      <c r="AF8" s="23">
        <f t="shared" si="2"/>
        <v>6489.1800000000803</v>
      </c>
      <c r="AG8" s="23">
        <f t="shared" si="9"/>
        <v>166.00613967767029</v>
      </c>
      <c r="AH8" s="19">
        <f>'5'!G137</f>
        <v>8.4200000000018917</v>
      </c>
      <c r="AI8" s="19">
        <f>'5'!G138</f>
        <v>0</v>
      </c>
      <c r="AJ8" s="19">
        <f>'5'!G139</f>
        <v>0</v>
      </c>
      <c r="AK8" s="19">
        <f t="shared" si="10"/>
        <v>8.4200000000018917</v>
      </c>
      <c r="AL8" s="19">
        <f>'5'!G140</f>
        <v>9.7100000000000364</v>
      </c>
      <c r="AM8" s="19">
        <f>'5'!G141</f>
        <v>0</v>
      </c>
      <c r="AN8" s="19"/>
      <c r="AO8" s="19">
        <f t="shared" si="11"/>
        <v>9.7100000000000364</v>
      </c>
      <c r="AP8" s="52">
        <f>'5'!G124</f>
        <v>255.31000000005588</v>
      </c>
      <c r="AQ8" s="55">
        <f>'5'!G35</f>
        <v>0</v>
      </c>
      <c r="AR8" s="19">
        <f>'5'!G37</f>
        <v>1454.1499999999996</v>
      </c>
      <c r="AS8" s="19">
        <f>'5'!G38</f>
        <v>1714.8599999999988</v>
      </c>
      <c r="AT8" s="19">
        <f>'5'!G39</f>
        <v>3765.16</v>
      </c>
      <c r="AU8" s="19">
        <f>'5'!G40</f>
        <v>0</v>
      </c>
      <c r="AV8" s="19">
        <f>'5'!G41</f>
        <v>5220.2000000000116</v>
      </c>
      <c r="AW8" s="19">
        <f>'5'!G42</f>
        <v>1257.5400000000081</v>
      </c>
      <c r="AX8" s="19">
        <f>'5'!G43</f>
        <v>2643.3999999999069</v>
      </c>
      <c r="AY8" s="19">
        <f>'5'!G44</f>
        <v>0</v>
      </c>
      <c r="AZ8" s="56">
        <f>'5'!G36</f>
        <v>566.79999999999927</v>
      </c>
      <c r="BA8" s="55">
        <f>'5'!G49</f>
        <v>3023.3700000000008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3.8600000000001273</v>
      </c>
      <c r="BF8" s="19">
        <f>'5'!G55</f>
        <v>0</v>
      </c>
      <c r="BG8" s="19">
        <f>'5'!G56</f>
        <v>11.440000000060536</v>
      </c>
      <c r="BH8" s="19">
        <f>'5'!G57</f>
        <v>0</v>
      </c>
      <c r="BI8" s="56">
        <f>'5'!G50</f>
        <v>1139.5999999999767</v>
      </c>
      <c r="BJ8" s="62">
        <f t="shared" si="12"/>
        <v>6489.1800000000803</v>
      </c>
      <c r="BK8" s="62">
        <f>'5'!G84</f>
        <v>589</v>
      </c>
      <c r="BL8" s="23">
        <f t="shared" si="13"/>
        <v>57.029597713552093</v>
      </c>
      <c r="BM8" s="23">
        <f t="shared" si="14"/>
        <v>17.664235220378334</v>
      </c>
      <c r="BN8" s="24">
        <f t="shared" si="15"/>
        <v>8.0452598056969596E-2</v>
      </c>
      <c r="BO8" s="25">
        <f t="shared" si="16"/>
        <v>267858.5080000076</v>
      </c>
      <c r="BP8" s="38">
        <f t="shared" si="17"/>
        <v>9721.5799999999872</v>
      </c>
      <c r="BQ8">
        <f t="shared" si="18"/>
        <v>0.88820487519643898</v>
      </c>
    </row>
    <row r="9" spans="1:70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0.7</v>
      </c>
      <c r="G9" s="19">
        <f>'6'!G8</f>
        <v>22055.51999999996</v>
      </c>
      <c r="H9" s="19">
        <f>'6'!G7</f>
        <v>21947.439999999944</v>
      </c>
      <c r="I9" s="19">
        <f>'6'!G8</f>
        <v>22055.51999999996</v>
      </c>
      <c r="J9" s="19">
        <v>9</v>
      </c>
      <c r="K9" s="49">
        <f t="shared" si="3"/>
        <v>198499.67999999964</v>
      </c>
      <c r="L9" s="45">
        <f t="shared" si="4"/>
        <v>109.18574257425723</v>
      </c>
      <c r="M9" s="19">
        <f>'6'!G15</f>
        <v>920.31999999983236</v>
      </c>
      <c r="N9" s="19">
        <v>56.2</v>
      </c>
      <c r="O9" s="45">
        <f t="shared" si="5"/>
        <v>51721.983999990582</v>
      </c>
      <c r="P9" s="19">
        <f>'6'!G20</f>
        <v>163</v>
      </c>
      <c r="Q9" s="19">
        <v>108</v>
      </c>
      <c r="R9" s="46">
        <f t="shared" si="0"/>
        <v>17604</v>
      </c>
      <c r="S9" s="47">
        <f t="shared" si="1"/>
        <v>115.27581329561529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71</v>
      </c>
      <c r="X9" s="22">
        <f>'6'!G97</f>
        <v>17</v>
      </c>
      <c r="Y9" s="22">
        <f>'6'!G98</f>
        <v>27</v>
      </c>
      <c r="Z9" s="22">
        <f t="shared" si="7"/>
        <v>115</v>
      </c>
      <c r="AA9" s="19">
        <f>'6'!G133</f>
        <v>24.129999999997381</v>
      </c>
      <c r="AB9" s="19">
        <f>'6'!G134</f>
        <v>8.0600000000000591</v>
      </c>
      <c r="AC9" s="19">
        <f>'6'!G135</f>
        <v>0</v>
      </c>
      <c r="AD9" s="19">
        <f>'6'!G136</f>
        <v>0</v>
      </c>
      <c r="AE9" s="19">
        <f t="shared" si="8"/>
        <v>32.18999999999744</v>
      </c>
      <c r="AF9" s="23">
        <f t="shared" si="2"/>
        <v>7083.1199999999662</v>
      </c>
      <c r="AG9" s="23">
        <f t="shared" si="9"/>
        <v>220.04100652378159</v>
      </c>
      <c r="AH9" s="19">
        <f>'6'!G137</f>
        <v>9.4399999999986903</v>
      </c>
      <c r="AI9" s="19">
        <f>'6'!G138</f>
        <v>0</v>
      </c>
      <c r="AJ9" s="19">
        <f>'6'!G139</f>
        <v>0</v>
      </c>
      <c r="AK9" s="19">
        <f t="shared" si="10"/>
        <v>9.4399999999986903</v>
      </c>
      <c r="AL9" s="19">
        <f>'6'!G140</f>
        <v>5.6399999999998727</v>
      </c>
      <c r="AM9" s="19">
        <f>'6'!G141</f>
        <v>4.7899999999999636</v>
      </c>
      <c r="AN9" s="19"/>
      <c r="AO9" s="19">
        <f t="shared" si="11"/>
        <v>10.429999999999836</v>
      </c>
      <c r="AP9" s="52">
        <f>'6'!G124</f>
        <v>286.56999999994878</v>
      </c>
      <c r="AQ9" s="55">
        <f>'6'!G35</f>
        <v>0</v>
      </c>
      <c r="AR9" s="19">
        <f>'6'!G37</f>
        <v>1828.4900000000016</v>
      </c>
      <c r="AS9" s="19">
        <f>'6'!G38</f>
        <v>1659.6200000000008</v>
      </c>
      <c r="AT9" s="19">
        <f>'6'!G39</f>
        <v>3883.880000000001</v>
      </c>
      <c r="AU9" s="19">
        <f>'6'!G40</f>
        <v>0</v>
      </c>
      <c r="AV9" s="19">
        <f>'6'!G41</f>
        <v>5387.9199999999837</v>
      </c>
      <c r="AW9" s="19">
        <f>'6'!G42</f>
        <v>1683.0799999999872</v>
      </c>
      <c r="AX9" s="19">
        <f>'6'!G43</f>
        <v>2661.8000000000466</v>
      </c>
      <c r="AY9" s="19">
        <f>'6'!G44</f>
        <v>0</v>
      </c>
      <c r="AZ9" s="56">
        <f>'6'!G36</f>
        <v>685.98000000000047</v>
      </c>
      <c r="BA9" s="55">
        <f>'6'!G49</f>
        <v>3085.7799999999988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3.7599999999997635</v>
      </c>
      <c r="BF9" s="19">
        <f>'6'!G55</f>
        <v>0</v>
      </c>
      <c r="BG9" s="19">
        <f>'6'!G56</f>
        <v>12.119999999995343</v>
      </c>
      <c r="BH9" s="19">
        <f>'6'!G57</f>
        <v>0</v>
      </c>
      <c r="BI9" s="56">
        <f>'6'!G50</f>
        <v>956.35999999998603</v>
      </c>
      <c r="BJ9" s="62">
        <f t="shared" si="12"/>
        <v>7083.1199999999662</v>
      </c>
      <c r="BK9" s="62">
        <f>'6'!G84</f>
        <v>601</v>
      </c>
      <c r="BL9" s="23">
        <f t="shared" si="13"/>
        <v>58.174552220940761</v>
      </c>
      <c r="BM9" s="23">
        <f t="shared" si="14"/>
        <v>17.609559874353486</v>
      </c>
      <c r="BN9" s="24">
        <f t="shared" si="15"/>
        <v>7.5247375713653711E-2</v>
      </c>
      <c r="BO9" s="25">
        <f t="shared" si="16"/>
        <v>267825.66399999021</v>
      </c>
      <c r="BP9" s="38">
        <f t="shared" si="17"/>
        <v>10345.920000000013</v>
      </c>
      <c r="BQ9">
        <f t="shared" si="18"/>
        <v>1.1478631340701233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0.71</v>
      </c>
      <c r="G10" s="19">
        <f>'7'!G8</f>
        <v>20481.920000000042</v>
      </c>
      <c r="H10" s="19">
        <f>'7'!G7</f>
        <v>20386.440000000002</v>
      </c>
      <c r="I10" s="19">
        <f>'7'!G8</f>
        <v>20481.920000000042</v>
      </c>
      <c r="J10" s="19">
        <v>9</v>
      </c>
      <c r="K10" s="49">
        <f t="shared" si="3"/>
        <v>184337.28000000038</v>
      </c>
      <c r="L10" s="45">
        <f t="shared" si="4"/>
        <v>101.39564356435665</v>
      </c>
      <c r="M10" s="19">
        <f>'7'!G15</f>
        <v>856.76000000000931</v>
      </c>
      <c r="N10" s="19">
        <v>56.2</v>
      </c>
      <c r="O10" s="45">
        <f t="shared" si="5"/>
        <v>48149.912000000528</v>
      </c>
      <c r="P10" s="19">
        <f>'7'!G20</f>
        <v>218</v>
      </c>
      <c r="Q10" s="19">
        <v>108</v>
      </c>
      <c r="R10" s="46">
        <f t="shared" si="0"/>
        <v>23544</v>
      </c>
      <c r="S10" s="47">
        <f t="shared" si="1"/>
        <v>152.00111560451822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71</v>
      </c>
      <c r="X10" s="22">
        <f>'7'!G97</f>
        <v>14</v>
      </c>
      <c r="Y10" s="22">
        <f>'7'!G98</f>
        <v>38</v>
      </c>
      <c r="Z10" s="22">
        <f t="shared" si="7"/>
        <v>123</v>
      </c>
      <c r="AA10" s="19">
        <f>'7'!G133</f>
        <v>24.030000000006112</v>
      </c>
      <c r="AB10" s="19">
        <f>'7'!G134</f>
        <v>0</v>
      </c>
      <c r="AC10" s="19">
        <f>'7'!G135</f>
        <v>0</v>
      </c>
      <c r="AD10" s="19">
        <f>'7'!G136</f>
        <v>0</v>
      </c>
      <c r="AE10" s="19">
        <f t="shared" si="8"/>
        <v>24.030000000006112</v>
      </c>
      <c r="AF10" s="23">
        <f t="shared" si="2"/>
        <v>5975</v>
      </c>
      <c r="AG10" s="23">
        <f t="shared" si="9"/>
        <v>248.64752392835956</v>
      </c>
      <c r="AH10" s="19">
        <f>'7'!G137</f>
        <v>8.9900000000016007</v>
      </c>
      <c r="AI10" s="19">
        <f>'7'!G138</f>
        <v>0</v>
      </c>
      <c r="AJ10" s="19">
        <f>'7'!G139</f>
        <v>0</v>
      </c>
      <c r="AK10" s="19">
        <f t="shared" si="10"/>
        <v>8.9900000000016007</v>
      </c>
      <c r="AL10" s="19">
        <f>'7'!G140</f>
        <v>8.7600000000002183</v>
      </c>
      <c r="AM10" s="19">
        <f>'7'!G141</f>
        <v>0</v>
      </c>
      <c r="AN10" s="19"/>
      <c r="AO10" s="19">
        <f t="shared" si="11"/>
        <v>8.7600000000002183</v>
      </c>
      <c r="AP10" s="52">
        <f>'7'!G124</f>
        <v>234.1600000000326</v>
      </c>
      <c r="AQ10" s="55">
        <f>'7'!G35</f>
        <v>0</v>
      </c>
      <c r="AR10" s="19">
        <f>'7'!G37</f>
        <v>1681.0499999999993</v>
      </c>
      <c r="AS10" s="19">
        <f>'7'!G38</f>
        <v>1663.8900000000012</v>
      </c>
      <c r="AT10" s="19">
        <f>'7'!G39</f>
        <v>3792.2900000000009</v>
      </c>
      <c r="AU10" s="19">
        <f>'7'!G40</f>
        <v>0</v>
      </c>
      <c r="AV10" s="19">
        <f>'7'!G41</f>
        <v>5963.7600000000093</v>
      </c>
      <c r="AW10" s="19">
        <f>'7'!G42</f>
        <v>0</v>
      </c>
      <c r="AX10" s="19">
        <f>'7'!G43</f>
        <v>2465.8000000000466</v>
      </c>
      <c r="AY10" s="19">
        <f>'7'!G44</f>
        <v>0</v>
      </c>
      <c r="AZ10" s="56">
        <f>'7'!G36</f>
        <v>590.47999999999956</v>
      </c>
      <c r="BA10" s="55">
        <f>'7'!G49</f>
        <v>4524.8899999999994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3.9700000000002547</v>
      </c>
      <c r="BF10" s="19">
        <f>'7'!G55</f>
        <v>0</v>
      </c>
      <c r="BG10" s="19">
        <f>'7'!G56</f>
        <v>11.239999999990687</v>
      </c>
      <c r="BH10" s="19">
        <f>'7'!G57</f>
        <v>0</v>
      </c>
      <c r="BI10" s="56">
        <f>'7'!G50</f>
        <v>928.56000000005588</v>
      </c>
      <c r="BJ10" s="62">
        <f t="shared" si="12"/>
        <v>5975</v>
      </c>
      <c r="BK10" s="62">
        <f>'7'!G84</f>
        <v>607</v>
      </c>
      <c r="BL10" s="23">
        <f t="shared" si="13"/>
        <v>63.30309853763719</v>
      </c>
      <c r="BM10" s="23">
        <f t="shared" si="14"/>
        <v>18.515305205761926</v>
      </c>
      <c r="BN10" s="24">
        <f t="shared" si="15"/>
        <v>8.1237012936287115E-2</v>
      </c>
      <c r="BO10" s="25">
        <f t="shared" si="16"/>
        <v>256031.19200000091</v>
      </c>
      <c r="BP10" s="38">
        <f t="shared" si="17"/>
        <v>9047.8000000000466</v>
      </c>
      <c r="BQ10">
        <f t="shared" si="18"/>
        <v>1.3447179121333073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22311.399999999965</v>
      </c>
      <c r="H11" s="19">
        <f>'8'!G7</f>
        <v>22222.520000000019</v>
      </c>
      <c r="I11" s="19">
        <f>'8'!G8</f>
        <v>22311.399999999965</v>
      </c>
      <c r="J11" s="19">
        <v>9</v>
      </c>
      <c r="K11" s="49">
        <f t="shared" si="3"/>
        <v>200802.59999999969</v>
      </c>
      <c r="L11" s="45">
        <f t="shared" si="4"/>
        <v>110.45247524752457</v>
      </c>
      <c r="M11" s="19">
        <f>'8'!G15</f>
        <v>851.33000000007451</v>
      </c>
      <c r="N11" s="19">
        <v>56.2</v>
      </c>
      <c r="O11" s="45">
        <f t="shared" si="5"/>
        <v>47844.74600000419</v>
      </c>
      <c r="P11" s="19">
        <f>'8'!G20</f>
        <v>209</v>
      </c>
      <c r="Q11" s="19">
        <v>108</v>
      </c>
      <c r="R11" s="46">
        <f t="shared" si="0"/>
        <v>22572</v>
      </c>
      <c r="S11" s="47">
        <f t="shared" si="1"/>
        <v>132.64788017263263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69</v>
      </c>
      <c r="X11" s="22">
        <f>'8'!G97</f>
        <v>20</v>
      </c>
      <c r="Y11" s="22">
        <f>'8'!G98</f>
        <v>25</v>
      </c>
      <c r="Z11" s="22">
        <f t="shared" si="7"/>
        <v>114</v>
      </c>
      <c r="AA11" s="19">
        <f>'8'!G133</f>
        <v>24.059999999997672</v>
      </c>
      <c r="AB11" s="19">
        <f>'8'!G134</f>
        <v>6.1599999999999682</v>
      </c>
      <c r="AC11" s="19">
        <f>'8'!G135</f>
        <v>0</v>
      </c>
      <c r="AD11" s="19">
        <f>'8'!G136</f>
        <v>0</v>
      </c>
      <c r="AE11" s="19">
        <f t="shared" si="8"/>
        <v>30.21999999999764</v>
      </c>
      <c r="AF11" s="23">
        <f t="shared" si="2"/>
        <v>7061.6199999999662</v>
      </c>
      <c r="AG11" s="23">
        <f t="shared" si="9"/>
        <v>233.67372600928252</v>
      </c>
      <c r="AH11" s="19">
        <f>'8'!G137</f>
        <v>9.0200000000004366</v>
      </c>
      <c r="AI11" s="19">
        <f>'8'!G138</f>
        <v>0</v>
      </c>
      <c r="AJ11" s="19">
        <f>'8'!G139</f>
        <v>0</v>
      </c>
      <c r="AK11" s="19">
        <f t="shared" si="10"/>
        <v>9.0200000000004366</v>
      </c>
      <c r="AL11" s="19">
        <f>'8'!G140</f>
        <v>8.2399999999997817</v>
      </c>
      <c r="AM11" s="19">
        <f>'8'!G141</f>
        <v>0</v>
      </c>
      <c r="AN11" s="19"/>
      <c r="AO11" s="19">
        <f t="shared" si="11"/>
        <v>8.2399999999997817</v>
      </c>
      <c r="AP11" s="52">
        <f>'8'!G124</f>
        <v>222.18999999994412</v>
      </c>
      <c r="AQ11" s="55">
        <f>'8'!G35</f>
        <v>-0.30000000004656613</v>
      </c>
      <c r="AR11" s="19">
        <f>'8'!G37</f>
        <v>1742.4300000000003</v>
      </c>
      <c r="AS11" s="19">
        <f>'8'!G38</f>
        <v>1706.9599999999991</v>
      </c>
      <c r="AT11" s="19">
        <f>'8'!G39</f>
        <v>3944.4099999999962</v>
      </c>
      <c r="AU11" s="19">
        <f>'8'!G40</f>
        <v>0</v>
      </c>
      <c r="AV11" s="19">
        <f>'8'!G41</f>
        <v>5703.3999999999651</v>
      </c>
      <c r="AW11" s="19">
        <f>'8'!G42</f>
        <v>1348.2200000000012</v>
      </c>
      <c r="AX11" s="19">
        <f>'8'!G43</f>
        <v>2588.5999999998603</v>
      </c>
      <c r="AY11" s="23">
        <f>'8'!G44</f>
        <v>0</v>
      </c>
      <c r="AZ11" s="56">
        <f>'8'!G36</f>
        <v>730.86000000000058</v>
      </c>
      <c r="BA11" s="55">
        <f>'8'!G49</f>
        <v>4766.260000000002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3.7799999999997453</v>
      </c>
      <c r="BF11" s="19">
        <f>'8'!G55</f>
        <v>0</v>
      </c>
      <c r="BG11" s="19">
        <f>'8'!G56</f>
        <v>10</v>
      </c>
      <c r="BH11" s="19">
        <f>'8'!G57</f>
        <v>0</v>
      </c>
      <c r="BI11" s="56">
        <f>'8'!G50</f>
        <v>948.28000000002794</v>
      </c>
      <c r="BJ11" s="62">
        <f t="shared" si="12"/>
        <v>7061.6199999999662</v>
      </c>
      <c r="BK11" s="62">
        <f>'8'!G84</f>
        <v>637</v>
      </c>
      <c r="BL11" s="23">
        <f t="shared" si="13"/>
        <v>64.613515960449831</v>
      </c>
      <c r="BM11" s="23">
        <f t="shared" si="14"/>
        <v>17.678899576001516</v>
      </c>
      <c r="BN11" s="24">
        <f t="shared" si="15"/>
        <v>7.6506180696863574E-2</v>
      </c>
      <c r="BO11" s="25">
        <f t="shared" si="16"/>
        <v>271219.34600000386</v>
      </c>
      <c r="BP11" s="38">
        <f t="shared" si="17"/>
        <v>10287.219999999827</v>
      </c>
      <c r="BQ11">
        <f t="shared" si="18"/>
        <v>1.2157535217926432</v>
      </c>
    </row>
    <row r="12" spans="1:70">
      <c r="A12" s="16">
        <v>9</v>
      </c>
      <c r="B12" s="27">
        <v>9</v>
      </c>
      <c r="C12" s="26"/>
      <c r="D12" s="19">
        <f>'9'!D3</f>
        <v>27</v>
      </c>
      <c r="E12" s="50">
        <f>'9'!D4</f>
        <v>0.93</v>
      </c>
      <c r="F12" s="50">
        <f>'9'!D2</f>
        <v>0.42</v>
      </c>
      <c r="G12" s="19">
        <f>'9'!G8</f>
        <v>21965.010000000009</v>
      </c>
      <c r="H12" s="19">
        <f>'9'!G7</f>
        <v>21877.570000000007</v>
      </c>
      <c r="I12" s="19">
        <f>'9'!G8</f>
        <v>21965.010000000009</v>
      </c>
      <c r="J12" s="19">
        <v>9</v>
      </c>
      <c r="K12" s="49">
        <f t="shared" si="3"/>
        <v>197685.09000000008</v>
      </c>
      <c r="L12" s="45">
        <f t="shared" si="4"/>
        <v>108.73767326732678</v>
      </c>
      <c r="M12" s="19">
        <f>'9'!G15</f>
        <v>851.48999999999069</v>
      </c>
      <c r="N12" s="19">
        <v>56.2</v>
      </c>
      <c r="O12" s="45">
        <f t="shared" si="5"/>
        <v>47853.737999999481</v>
      </c>
      <c r="P12" s="19">
        <f>'9'!G20</f>
        <v>200</v>
      </c>
      <c r="Q12" s="19">
        <v>108</v>
      </c>
      <c r="R12" s="46">
        <f t="shared" si="0"/>
        <v>21600</v>
      </c>
      <c r="S12" s="47">
        <f t="shared" si="1"/>
        <v>235.73785950023571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72</v>
      </c>
      <c r="X12" s="22">
        <f>'9'!G97</f>
        <v>21</v>
      </c>
      <c r="Y12" s="22">
        <f>'9'!G98</f>
        <v>26</v>
      </c>
      <c r="Z12" s="22">
        <f t="shared" si="7"/>
        <v>119</v>
      </c>
      <c r="AA12" s="19">
        <f>'9'!G133</f>
        <v>23.639999999999418</v>
      </c>
      <c r="AB12" s="19">
        <f>'9'!G134</f>
        <v>5.6000000000000227</v>
      </c>
      <c r="AC12" s="19">
        <f>'9'!G135</f>
        <v>0</v>
      </c>
      <c r="AD12" s="19">
        <f>'9'!G136</f>
        <v>0</v>
      </c>
      <c r="AE12" s="19">
        <f t="shared" si="8"/>
        <v>29.239999999999441</v>
      </c>
      <c r="AF12" s="23">
        <f t="shared" si="2"/>
        <v>6865.6199999999953</v>
      </c>
      <c r="AG12" s="23">
        <f t="shared" si="9"/>
        <v>234.80232558139969</v>
      </c>
      <c r="AH12" s="19">
        <f>'9'!G137</f>
        <v>9.5099999999983993</v>
      </c>
      <c r="AI12" s="19">
        <f>'9'!G138</f>
        <v>0</v>
      </c>
      <c r="AJ12" s="19">
        <f>'9'!G139</f>
        <v>5.0000000002910383E-2</v>
      </c>
      <c r="AK12" s="19">
        <f t="shared" si="10"/>
        <v>9.5600000000013097</v>
      </c>
      <c r="AL12" s="19">
        <f>'9'!G140</f>
        <v>8.6900000000000546</v>
      </c>
      <c r="AM12" s="19">
        <f>'9'!G141</f>
        <v>0</v>
      </c>
      <c r="AN12" s="19"/>
      <c r="AO12" s="19">
        <f t="shared" si="11"/>
        <v>8.6900000000000546</v>
      </c>
      <c r="AP12" s="52">
        <f>'9'!G124</f>
        <v>233.65000000002328</v>
      </c>
      <c r="AQ12" s="55">
        <f>'9'!G35</f>
        <v>0</v>
      </c>
      <c r="AR12" s="19">
        <f>'9'!G37</f>
        <v>1716.0699999999997</v>
      </c>
      <c r="AS12" s="19">
        <f>'9'!G38</f>
        <v>1626.0699999999997</v>
      </c>
      <c r="AT12" s="19">
        <f>'9'!G39</f>
        <v>3960.9100000000035</v>
      </c>
      <c r="AU12" s="19">
        <f>'9'!G40</f>
        <v>0</v>
      </c>
      <c r="AV12" s="19">
        <f>'9'!G41</f>
        <v>5639.3300000000163</v>
      </c>
      <c r="AW12" s="19">
        <f>'9'!G42</f>
        <v>1216.070000000007</v>
      </c>
      <c r="AX12" s="19">
        <f>'9'!G43</f>
        <v>2589.3000000000466</v>
      </c>
      <c r="AY12" s="23">
        <f>'9'!G44</f>
        <v>0</v>
      </c>
      <c r="AZ12" s="56">
        <f>'9'!G36</f>
        <v>618.98999999999978</v>
      </c>
      <c r="BA12" s="55">
        <f>'9'!G49</f>
        <v>4824.6699999999983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2.9000000000000909</v>
      </c>
      <c r="BF12" s="19">
        <f>'9'!G55</f>
        <v>1.0000000009313226E-2</v>
      </c>
      <c r="BG12" s="19">
        <f>'9'!G56</f>
        <v>10.209999999962747</v>
      </c>
      <c r="BH12" s="19">
        <f>'9'!G57</f>
        <v>0</v>
      </c>
      <c r="BI12" s="56">
        <f>'9'!G50</f>
        <v>930.32999999995809</v>
      </c>
      <c r="BJ12" s="62">
        <f t="shared" si="12"/>
        <v>6865.6199999999953</v>
      </c>
      <c r="BK12" s="62">
        <f>'8'!G84</f>
        <v>637</v>
      </c>
      <c r="BL12" s="23">
        <f t="shared" si="13"/>
        <v>65.01062371471734</v>
      </c>
      <c r="BM12" s="23">
        <f t="shared" si="14"/>
        <v>18.032816738986241</v>
      </c>
      <c r="BN12" s="24">
        <f t="shared" si="15"/>
        <v>7.4030014099697616E-2</v>
      </c>
      <c r="BO12" s="25">
        <f t="shared" si="16"/>
        <v>267138.82799999957</v>
      </c>
      <c r="BP12" s="38">
        <f t="shared" si="17"/>
        <v>10091.920000000042</v>
      </c>
      <c r="BQ12">
        <f t="shared" si="18"/>
        <v>1.2326460816885181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50">
        <f>'10'!D4</f>
        <v>0.9</v>
      </c>
      <c r="F13" s="50">
        <f>'10'!D2</f>
        <v>0.45</v>
      </c>
      <c r="G13" s="19">
        <f>'10'!G8</f>
        <v>21417</v>
      </c>
      <c r="H13" s="19">
        <f>'10'!G7</f>
        <v>21347</v>
      </c>
      <c r="I13" s="19">
        <f>'10'!G8</f>
        <v>21417</v>
      </c>
      <c r="J13" s="19">
        <v>9</v>
      </c>
      <c r="K13" s="49">
        <f t="shared" si="3"/>
        <v>192753</v>
      </c>
      <c r="L13" s="45">
        <f t="shared" si="4"/>
        <v>106.02475247524752</v>
      </c>
      <c r="M13" s="19">
        <f>'10'!G15</f>
        <v>796</v>
      </c>
      <c r="N13" s="19">
        <v>56.2</v>
      </c>
      <c r="O13" s="45">
        <f t="shared" si="5"/>
        <v>44735.200000000004</v>
      </c>
      <c r="P13" s="19">
        <f>'10'!G20</f>
        <v>197</v>
      </c>
      <c r="Q13" s="19">
        <v>108</v>
      </c>
      <c r="R13" s="46">
        <f t="shared" si="0"/>
        <v>21276</v>
      </c>
      <c r="S13" s="47">
        <f t="shared" si="1"/>
        <v>216.72167216721672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56</v>
      </c>
      <c r="X13" s="22">
        <f>'10'!G97</f>
        <v>20</v>
      </c>
      <c r="Y13" s="22">
        <f>'10'!G98</f>
        <v>26</v>
      </c>
      <c r="Z13" s="22">
        <f t="shared" si="7"/>
        <v>102</v>
      </c>
      <c r="AA13" s="19">
        <f>'10'!G133</f>
        <v>24</v>
      </c>
      <c r="AB13" s="19">
        <f>'10'!G134</f>
        <v>0</v>
      </c>
      <c r="AC13" s="19">
        <f>'10'!G135</f>
        <v>3.8600000000005821</v>
      </c>
      <c r="AD13" s="19">
        <f>'10'!G136</f>
        <v>0</v>
      </c>
      <c r="AE13" s="19">
        <f t="shared" si="8"/>
        <v>27.860000000000582</v>
      </c>
      <c r="AF13" s="23">
        <f t="shared" si="2"/>
        <v>6866</v>
      </c>
      <c r="AG13" s="23">
        <f t="shared" si="9"/>
        <v>246.44651830580963</v>
      </c>
      <c r="AH13" s="19">
        <f>'10'!G137</f>
        <v>8.3899999999994179</v>
      </c>
      <c r="AI13" s="19">
        <f>'10'!G138</f>
        <v>0</v>
      </c>
      <c r="AJ13" s="19">
        <f>'10'!G139</f>
        <v>0</v>
      </c>
      <c r="AK13" s="19">
        <f t="shared" si="10"/>
        <v>8.3899999999994179</v>
      </c>
      <c r="AL13" s="19">
        <f>'10'!G140</f>
        <v>8.5900000000001455</v>
      </c>
      <c r="AM13" s="19">
        <f>'10'!G141</f>
        <v>0</v>
      </c>
      <c r="AN13" s="19"/>
      <c r="AO13" s="19">
        <f t="shared" si="11"/>
        <v>8.5900000000001455</v>
      </c>
      <c r="AP13" s="52">
        <f>'10'!G124</f>
        <v>229</v>
      </c>
      <c r="AQ13" s="55">
        <f>'10'!G35</f>
        <v>0</v>
      </c>
      <c r="AR13" s="19">
        <f>'10'!G37</f>
        <v>1638</v>
      </c>
      <c r="AS13" s="19">
        <f>'10'!G38</f>
        <v>1688</v>
      </c>
      <c r="AT13" s="19">
        <f>'10'!G39</f>
        <v>3934</v>
      </c>
      <c r="AU13" s="19">
        <f>'10'!G40</f>
        <v>0</v>
      </c>
      <c r="AV13" s="19">
        <f>'10'!G41</f>
        <v>5824</v>
      </c>
      <c r="AW13" s="19">
        <f>'10'!G42</f>
        <v>0</v>
      </c>
      <c r="AX13" s="19">
        <f>'10'!G43</f>
        <v>2556</v>
      </c>
      <c r="AY13" s="23">
        <f>'10'!G44</f>
        <v>0</v>
      </c>
      <c r="AZ13" s="56">
        <f>'10'!G36</f>
        <v>524</v>
      </c>
      <c r="BA13" s="55">
        <f>'10'!G49</f>
        <v>4554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4</v>
      </c>
      <c r="BF13" s="19">
        <f>'10'!G55</f>
        <v>1030</v>
      </c>
      <c r="BG13" s="19">
        <f>'10'!G56</f>
        <v>12</v>
      </c>
      <c r="BH13" s="19">
        <f>'10'!G57</f>
        <v>0</v>
      </c>
      <c r="BI13" s="56">
        <f>'10'!G50</f>
        <v>920</v>
      </c>
      <c r="BJ13" s="62">
        <f t="shared" si="12"/>
        <v>6866</v>
      </c>
      <c r="BK13" s="62">
        <f>'8'!G84</f>
        <v>637</v>
      </c>
      <c r="BL13" s="23">
        <f t="shared" si="13"/>
        <v>65.2565718821497</v>
      </c>
      <c r="BM13" s="23">
        <f t="shared" si="14"/>
        <v>18.368585702946259</v>
      </c>
      <c r="BN13" s="24">
        <f t="shared" si="15"/>
        <v>7.8815893916047999E-2</v>
      </c>
      <c r="BO13" s="25">
        <f t="shared" si="16"/>
        <v>258764.2</v>
      </c>
      <c r="BP13" s="38">
        <f t="shared" si="17"/>
        <v>10059</v>
      </c>
      <c r="BQ13">
        <f t="shared" si="18"/>
        <v>1.2894831299353644</v>
      </c>
    </row>
    <row r="14" spans="1:70">
      <c r="A14" s="16">
        <v>11</v>
      </c>
      <c r="B14" s="17">
        <v>11</v>
      </c>
      <c r="C14" s="27"/>
      <c r="D14" s="19">
        <f>'11'!D3</f>
        <v>28</v>
      </c>
      <c r="E14" s="50">
        <f>'11'!D4</f>
        <v>0.8</v>
      </c>
      <c r="F14" s="50">
        <f>'11'!D2</f>
        <v>0.99</v>
      </c>
      <c r="G14" s="19">
        <f>'11'!G8</f>
        <v>21441</v>
      </c>
      <c r="H14" s="19">
        <f>'11'!G7</f>
        <v>21343</v>
      </c>
      <c r="I14" s="19">
        <f>'11'!G8</f>
        <v>21441</v>
      </c>
      <c r="J14" s="19">
        <v>9</v>
      </c>
      <c r="K14" s="49">
        <f t="shared" si="3"/>
        <v>192969</v>
      </c>
      <c r="L14" s="45">
        <f t="shared" si="4"/>
        <v>106.14356435643565</v>
      </c>
      <c r="M14" s="19">
        <f>'11'!G15</f>
        <v>881</v>
      </c>
      <c r="N14" s="19">
        <v>56.2</v>
      </c>
      <c r="O14" s="45">
        <f t="shared" si="5"/>
        <v>49512.200000000004</v>
      </c>
      <c r="P14" s="19">
        <f>'11'!G20</f>
        <v>211</v>
      </c>
      <c r="Q14" s="19">
        <v>108</v>
      </c>
      <c r="R14" s="46">
        <f t="shared" si="0"/>
        <v>22788</v>
      </c>
      <c r="S14" s="47">
        <f t="shared" si="1"/>
        <v>105.51055105510552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64</v>
      </c>
      <c r="X14" s="22">
        <f>'11'!G97</f>
        <v>29</v>
      </c>
      <c r="Y14" s="22">
        <f>'11'!G98</f>
        <v>39</v>
      </c>
      <c r="Z14" s="22">
        <f t="shared" si="7"/>
        <v>132</v>
      </c>
      <c r="AA14" s="19">
        <f>'11'!G133</f>
        <v>24</v>
      </c>
      <c r="AB14" s="19">
        <f>'11'!G134</f>
        <v>0</v>
      </c>
      <c r="AC14" s="19">
        <f>'11'!G135</f>
        <v>0</v>
      </c>
      <c r="AD14" s="19">
        <f>'11'!G136</f>
        <v>5.6200000000026193</v>
      </c>
      <c r="AE14" s="19">
        <f t="shared" si="8"/>
        <v>29.620000000002619</v>
      </c>
      <c r="AF14" s="23">
        <f t="shared" si="2"/>
        <v>6766</v>
      </c>
      <c r="AG14" s="23">
        <f t="shared" si="9"/>
        <v>228.42673869005407</v>
      </c>
      <c r="AH14" s="19">
        <f>'11'!G137</f>
        <v>8.430000000000291</v>
      </c>
      <c r="AI14" s="19">
        <f>'11'!G138</f>
        <v>0</v>
      </c>
      <c r="AJ14" s="19">
        <f>'11'!G139</f>
        <v>-5.0000000002910383E-2</v>
      </c>
      <c r="AK14" s="19">
        <f t="shared" si="10"/>
        <v>8.3799999999973807</v>
      </c>
      <c r="AL14" s="19">
        <f>'11'!G140</f>
        <v>10.059999999999945</v>
      </c>
      <c r="AM14" s="19">
        <f>'11'!G141</f>
        <v>0</v>
      </c>
      <c r="AN14" s="19"/>
      <c r="AO14" s="19">
        <f t="shared" si="11"/>
        <v>10.059999999999945</v>
      </c>
      <c r="AP14" s="52">
        <f>'11'!G124</f>
        <v>270</v>
      </c>
      <c r="AQ14" s="55">
        <f>'11'!G35</f>
        <v>0</v>
      </c>
      <c r="AR14" s="19">
        <f>'11'!G37</f>
        <v>1694</v>
      </c>
      <c r="AS14" s="19">
        <f>'11'!G38</f>
        <v>1618</v>
      </c>
      <c r="AT14" s="19">
        <f>'11'!G39</f>
        <v>3836</v>
      </c>
      <c r="AU14" s="19">
        <f>'11'!G40</f>
        <v>0</v>
      </c>
      <c r="AV14" s="19">
        <f>'11'!G41</f>
        <v>5630</v>
      </c>
      <c r="AW14" s="19">
        <f>'11'!G42</f>
        <v>0</v>
      </c>
      <c r="AX14" s="19">
        <f>'11'!G43</f>
        <v>2593</v>
      </c>
      <c r="AY14" s="23">
        <f>'11'!G44</f>
        <v>0</v>
      </c>
      <c r="AZ14" s="56">
        <f>'11'!G36</f>
        <v>553</v>
      </c>
      <c r="BA14" s="55">
        <f>'11'!G49</f>
        <v>4510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4</v>
      </c>
      <c r="BF14" s="19">
        <f>'11'!G55</f>
        <v>0</v>
      </c>
      <c r="BG14" s="19">
        <f>'11'!G56</f>
        <v>1136</v>
      </c>
      <c r="BH14" s="19">
        <f>'11'!G57</f>
        <v>0</v>
      </c>
      <c r="BI14" s="56">
        <f>'11'!G50</f>
        <v>997</v>
      </c>
      <c r="BJ14" s="62">
        <f t="shared" si="12"/>
        <v>6766</v>
      </c>
      <c r="BK14" s="62">
        <f>'11'!G84</f>
        <v>712</v>
      </c>
      <c r="BL14" s="23">
        <f t="shared" si="13"/>
        <v>64.68448299986008</v>
      </c>
      <c r="BM14" s="23">
        <f t="shared" si="14"/>
        <v>17.890956578517795</v>
      </c>
      <c r="BN14" s="24">
        <f t="shared" si="15"/>
        <v>7.5462898185718955E-2</v>
      </c>
      <c r="BO14" s="25">
        <f t="shared" si="16"/>
        <v>265269.2</v>
      </c>
      <c r="BP14" s="38">
        <f t="shared" si="17"/>
        <v>10071</v>
      </c>
      <c r="BQ14">
        <f t="shared" si="18"/>
        <v>1.2143098292658325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0.74</v>
      </c>
      <c r="G15" s="19">
        <f>'12'!G8</f>
        <v>22425.270000000019</v>
      </c>
      <c r="H15" s="19">
        <f>'12'!G7</f>
        <v>22295.670000000042</v>
      </c>
      <c r="I15" s="19">
        <f>'12'!G8</f>
        <v>22425.270000000019</v>
      </c>
      <c r="J15" s="19">
        <v>9</v>
      </c>
      <c r="K15" s="49">
        <f t="shared" si="3"/>
        <v>201827.43000000017</v>
      </c>
      <c r="L15" s="45">
        <f t="shared" si="4"/>
        <v>111.01618811881197</v>
      </c>
      <c r="M15" s="19">
        <f>'12'!G15</f>
        <v>916.83100000000559</v>
      </c>
      <c r="N15" s="19">
        <v>56.2</v>
      </c>
      <c r="O15" s="41">
        <f t="shared" si="5"/>
        <v>51525.902200000317</v>
      </c>
      <c r="P15" s="19">
        <f>'12'!G20</f>
        <v>223</v>
      </c>
      <c r="Q15" s="19">
        <v>108</v>
      </c>
      <c r="R15" s="46">
        <f t="shared" si="0"/>
        <v>24084</v>
      </c>
      <c r="S15" s="47">
        <f t="shared" si="1"/>
        <v>149.18383730264918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70</v>
      </c>
      <c r="X15" s="22">
        <f>'12'!G97</f>
        <v>35</v>
      </c>
      <c r="Y15" s="22">
        <f>'12'!G98</f>
        <v>33</v>
      </c>
      <c r="Z15" s="22">
        <f t="shared" si="7"/>
        <v>138</v>
      </c>
      <c r="AA15" s="19">
        <f>'12'!G133</f>
        <v>10.480000000003201</v>
      </c>
      <c r="AB15" s="19">
        <f>'12'!G134</f>
        <v>13.159999999999968</v>
      </c>
      <c r="AC15" s="19">
        <f>'12'!G135</f>
        <v>0.47000000000116415</v>
      </c>
      <c r="AD15" s="19">
        <f>'12'!G136</f>
        <v>8.2900000000008731</v>
      </c>
      <c r="AE15" s="19">
        <f t="shared" si="8"/>
        <v>32.400000000005207</v>
      </c>
      <c r="AF15" s="23">
        <f t="shared" si="2"/>
        <v>6958.9799999999232</v>
      </c>
      <c r="AG15" s="23">
        <f t="shared" si="9"/>
        <v>214.78333333329644</v>
      </c>
      <c r="AH15" s="19">
        <f>'12'!G137</f>
        <v>9.1899999999986903</v>
      </c>
      <c r="AI15" s="19">
        <f>'12'!G138</f>
        <v>0</v>
      </c>
      <c r="AJ15" s="19">
        <f>'12'!G139</f>
        <v>5.0000000002910383E-2</v>
      </c>
      <c r="AK15" s="19">
        <f t="shared" si="10"/>
        <v>9.2400000000016007</v>
      </c>
      <c r="AL15" s="19">
        <f>'12'!G140</f>
        <v>10.2800000000002</v>
      </c>
      <c r="AM15" s="19">
        <f>'12'!G141</f>
        <v>0</v>
      </c>
      <c r="AN15" s="19"/>
      <c r="AO15" s="19">
        <f t="shared" si="11"/>
        <v>10.2800000000002</v>
      </c>
      <c r="AP15" s="52">
        <f>'12'!G124</f>
        <v>282.02000000001863</v>
      </c>
      <c r="AQ15" s="55">
        <f>'12'!G35</f>
        <v>0</v>
      </c>
      <c r="AR15" s="19">
        <f>'12'!G37</f>
        <v>1706.5900000000001</v>
      </c>
      <c r="AS15" s="19">
        <f>'12'!G38</f>
        <v>1663.3499999999985</v>
      </c>
      <c r="AT15" s="19">
        <f>'12'!G39</f>
        <v>3783.25</v>
      </c>
      <c r="AU15" s="19">
        <f>'12'!G40</f>
        <v>0</v>
      </c>
      <c r="AV15" s="19">
        <f>'12'!G41</f>
        <v>2573.429999999993</v>
      </c>
      <c r="AW15" s="19">
        <f>'12'!G42</f>
        <v>2879.25</v>
      </c>
      <c r="AX15" s="19">
        <f>'12'!G43</f>
        <v>2648</v>
      </c>
      <c r="AY15" s="23">
        <f>'12'!G44</f>
        <v>0</v>
      </c>
      <c r="AZ15" s="56">
        <f>'12'!G36</f>
        <v>713.60000000000036</v>
      </c>
      <c r="BA15" s="55">
        <f>'12'!G49</f>
        <v>4641.6299999999974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4.3400000000001455</v>
      </c>
      <c r="BF15" s="19">
        <f>'12'!G55</f>
        <v>0.46999999997206032</v>
      </c>
      <c r="BG15" s="19">
        <f>'12'!G56</f>
        <v>1505.8299999999581</v>
      </c>
      <c r="BH15" s="19">
        <f>'12'!G57</f>
        <v>0</v>
      </c>
      <c r="BI15" s="56">
        <f>'12'!G50</f>
        <v>1184.9899999999907</v>
      </c>
      <c r="BJ15" s="62">
        <f t="shared" si="12"/>
        <v>6958.9799999999232</v>
      </c>
      <c r="BK15" s="62">
        <f>'12'!G84</f>
        <v>670</v>
      </c>
      <c r="BL15" s="23">
        <f t="shared" si="13"/>
        <v>63.538187054157696</v>
      </c>
      <c r="BM15" s="23">
        <f t="shared" si="14"/>
        <v>16.870476921794015</v>
      </c>
      <c r="BN15" s="24">
        <f t="shared" si="15"/>
        <v>7.4173019990394634E-2</v>
      </c>
      <c r="BO15" s="25">
        <f t="shared" si="16"/>
        <v>277437.33220000047</v>
      </c>
      <c r="BP15" s="38">
        <f t="shared" si="17"/>
        <v>10276.979999999923</v>
      </c>
      <c r="BQ15">
        <f t="shared" si="18"/>
        <v>1.1328240740738835</v>
      </c>
    </row>
    <row r="16" spans="1:70">
      <c r="A16" s="16">
        <v>13</v>
      </c>
      <c r="B16" s="26">
        <v>13</v>
      </c>
      <c r="C16" s="26"/>
      <c r="D16" s="19">
        <f>'13'!D3</f>
        <v>28</v>
      </c>
      <c r="E16" s="50">
        <f>'13'!D4</f>
        <v>0.86</v>
      </c>
      <c r="F16" s="50">
        <f>'13'!D2</f>
        <v>0.68</v>
      </c>
      <c r="G16" s="19">
        <f>'13'!G8</f>
        <v>22500</v>
      </c>
      <c r="H16" s="19">
        <f>'13'!G7</f>
        <v>338615.32999999996</v>
      </c>
      <c r="I16" s="19">
        <f>'13'!G8</f>
        <v>22500</v>
      </c>
      <c r="J16" s="19">
        <v>9</v>
      </c>
      <c r="K16" s="49">
        <f t="shared" si="3"/>
        <v>202500</v>
      </c>
      <c r="L16" s="45">
        <f t="shared" si="4"/>
        <v>111.38613861386139</v>
      </c>
      <c r="M16" s="19">
        <f>'13'!G15</f>
        <v>-26251.831000000006</v>
      </c>
      <c r="N16" s="19">
        <v>56.2</v>
      </c>
      <c r="O16" s="41">
        <f t="shared" si="5"/>
        <v>-1475352.9022000004</v>
      </c>
      <c r="P16" s="19">
        <f>'13'!G20</f>
        <v>-1680</v>
      </c>
      <c r="Q16" s="19">
        <v>108</v>
      </c>
      <c r="R16" s="46">
        <f t="shared" si="0"/>
        <v>-181440</v>
      </c>
      <c r="S16" s="47">
        <f t="shared" si="1"/>
        <v>-1223.0634828188699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-2303</v>
      </c>
      <c r="X16" s="22">
        <f>'13'!G97</f>
        <v>-719</v>
      </c>
      <c r="Y16" s="22">
        <f>'13'!G98</f>
        <v>-908</v>
      </c>
      <c r="Z16" s="22">
        <f t="shared" si="7"/>
        <v>-3930</v>
      </c>
      <c r="AA16" s="19">
        <f>'13'!G133</f>
        <v>-354.4800000000032</v>
      </c>
      <c r="AB16" s="19">
        <f>'13'!G134</f>
        <v>-263.90999999999997</v>
      </c>
      <c r="AC16" s="19">
        <f>'13'!G135</f>
        <v>-192.47000000000116</v>
      </c>
      <c r="AD16" s="19">
        <f>'13'!G136</f>
        <v>-98.290000000000873</v>
      </c>
      <c r="AE16" s="19">
        <f t="shared" si="8"/>
        <v>-909.15000000000521</v>
      </c>
      <c r="AF16" s="23">
        <f t="shared" si="2"/>
        <v>-199304.97999999992</v>
      </c>
      <c r="AG16" s="23">
        <f t="shared" si="9"/>
        <v>219.22122862013836</v>
      </c>
      <c r="AH16" s="19">
        <f>'13'!G137</f>
        <v>-254.17999999999665</v>
      </c>
      <c r="AI16" s="19">
        <f>'13'!G138</f>
        <v>-9.8999999999978172</v>
      </c>
      <c r="AJ16" s="19">
        <f>'13'!G139</f>
        <v>-7.8500000000058208</v>
      </c>
      <c r="AK16" s="19">
        <f t="shared" si="10"/>
        <v>-271.93000000000029</v>
      </c>
      <c r="AL16" s="19">
        <f>'13'!G140</f>
        <v>-295.36000000000013</v>
      </c>
      <c r="AM16" s="19">
        <f>'13'!G141</f>
        <v>-4.7899999999999636</v>
      </c>
      <c r="AN16" s="19"/>
      <c r="AO16" s="19">
        <f t="shared" si="11"/>
        <v>-300.15000000000009</v>
      </c>
      <c r="AP16" s="52">
        <f>'13'!G124</f>
        <v>-7885.0200000000186</v>
      </c>
      <c r="AQ16" s="55">
        <f>'13'!G35</f>
        <v>0</v>
      </c>
      <c r="AR16" s="19">
        <f>'13'!G37</f>
        <v>223699.41</v>
      </c>
      <c r="AS16" s="19">
        <f>'13'!G38</f>
        <v>245498.65</v>
      </c>
      <c r="AT16" s="19">
        <f>'13'!G39</f>
        <v>519529.75</v>
      </c>
      <c r="AU16" s="19">
        <f>'13'!G40</f>
        <v>26525</v>
      </c>
      <c r="AV16" s="19">
        <f>'13'!G41</f>
        <v>-81651.429999999993</v>
      </c>
      <c r="AW16" s="19">
        <f>'13'!G42</f>
        <v>-55366.25</v>
      </c>
      <c r="AX16" s="19">
        <f>'13'!G43</f>
        <v>-79755</v>
      </c>
      <c r="AY16" s="23">
        <f>'13'!G44</f>
        <v>0</v>
      </c>
      <c r="AZ16" s="56">
        <f>'13'!G36</f>
        <v>46200</v>
      </c>
      <c r="BA16" s="55">
        <f>'13'!G49</f>
        <v>305211.37</v>
      </c>
      <c r="BB16" s="19">
        <f>'13'!G51</f>
        <v>144639.87</v>
      </c>
      <c r="BC16" s="19">
        <f>'13'!G52</f>
        <v>539606.06999999995</v>
      </c>
      <c r="BD16" s="19">
        <f>'13'!G53</f>
        <v>434232</v>
      </c>
      <c r="BE16" s="19">
        <f>'13'!G54</f>
        <v>12304.66</v>
      </c>
      <c r="BF16" s="19">
        <f>'13'!G55</f>
        <v>-42936.469999999972</v>
      </c>
      <c r="BG16" s="19">
        <f>'13'!G56</f>
        <v>-19350.829999999958</v>
      </c>
      <c r="BH16" s="19">
        <f>'13'!G57</f>
        <v>0.32999999999992724</v>
      </c>
      <c r="BI16" s="56">
        <f>'13'!G50</f>
        <v>-35955.989999999991</v>
      </c>
      <c r="BJ16" s="62">
        <f t="shared" si="12"/>
        <v>-199304.97999999992</v>
      </c>
      <c r="BK16" s="62">
        <f>'13'!G84</f>
        <v>-20910</v>
      </c>
      <c r="BL16" s="23">
        <f t="shared" si="13"/>
        <v>116.22986666666699</v>
      </c>
      <c r="BM16" s="23">
        <f t="shared" si="14"/>
        <v>4238.9411111111112</v>
      </c>
      <c r="BN16" s="24">
        <f t="shared" si="15"/>
        <v>34.893543111111107</v>
      </c>
      <c r="BO16" s="25">
        <f t="shared" si="16"/>
        <v>-1454292.9022000004</v>
      </c>
      <c r="BP16" s="38">
        <f t="shared" si="17"/>
        <v>-299969.64999999991</v>
      </c>
      <c r="BQ16">
        <f t="shared" si="18"/>
        <v>1.1783756020144334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0.8</v>
      </c>
      <c r="G17" s="19">
        <f>'14'!G8</f>
        <v>22500</v>
      </c>
      <c r="H17" s="19">
        <f>'14'!G7</f>
        <v>20799</v>
      </c>
      <c r="I17" s="19">
        <f>'14'!G8</f>
        <v>22500</v>
      </c>
      <c r="J17" s="19">
        <v>9</v>
      </c>
      <c r="K17" s="49">
        <f t="shared" si="3"/>
        <v>202500</v>
      </c>
      <c r="L17" s="45">
        <f t="shared" si="4"/>
        <v>111.38613861386139</v>
      </c>
      <c r="M17" s="19">
        <f>'14'!G15</f>
        <v>1092</v>
      </c>
      <c r="N17" s="19">
        <v>56.2</v>
      </c>
      <c r="O17" s="41">
        <f t="shared" si="5"/>
        <v>61370.400000000001</v>
      </c>
      <c r="P17" s="19">
        <f>'14'!G20</f>
        <v>223</v>
      </c>
      <c r="Q17" s="19">
        <v>108</v>
      </c>
      <c r="R17" s="46">
        <f t="shared" si="0"/>
        <v>24084</v>
      </c>
      <c r="S17" s="47">
        <f t="shared" si="1"/>
        <v>137.99504950495046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69</v>
      </c>
      <c r="X17" s="22">
        <f>'14'!G97</f>
        <v>22</v>
      </c>
      <c r="Y17" s="22">
        <f>'14'!G98</f>
        <v>36</v>
      </c>
      <c r="Z17" s="22">
        <f>W17+X17+Y17</f>
        <v>127</v>
      </c>
      <c r="AA17" s="19">
        <f>'14'!G133</f>
        <v>24</v>
      </c>
      <c r="AB17" s="19">
        <f>'14'!G134</f>
        <v>0</v>
      </c>
      <c r="AC17" s="19">
        <f>'14'!G135</f>
        <v>1</v>
      </c>
      <c r="AD17" s="19">
        <f>'14'!G136</f>
        <v>0</v>
      </c>
      <c r="AE17" s="19">
        <f t="shared" si="8"/>
        <v>25</v>
      </c>
      <c r="AF17" s="23">
        <f t="shared" si="2"/>
        <v>6022</v>
      </c>
      <c r="AG17" s="23">
        <f t="shared" si="9"/>
        <v>240.88</v>
      </c>
      <c r="AH17" s="19">
        <f>'14'!G137</f>
        <v>0</v>
      </c>
      <c r="AI17" s="19">
        <f>'14'!G138</f>
        <v>9.8999999999978172</v>
      </c>
      <c r="AJ17" s="19">
        <f>'14'!G139</f>
        <v>5.3500000000058208</v>
      </c>
      <c r="AK17" s="19">
        <f t="shared" si="10"/>
        <v>15.250000000003638</v>
      </c>
      <c r="AL17" s="19">
        <f>'14'!G140</f>
        <v>9.8899999999998727</v>
      </c>
      <c r="AM17" s="19">
        <f>'14'!G141</f>
        <v>0</v>
      </c>
      <c r="AN17" s="19"/>
      <c r="AO17" s="19">
        <f t="shared" si="11"/>
        <v>9.8899999999998727</v>
      </c>
      <c r="AP17" s="52">
        <f>'14'!G124</f>
        <v>271</v>
      </c>
      <c r="AQ17" s="55">
        <f>'14'!G35</f>
        <v>0</v>
      </c>
      <c r="AR17" s="19">
        <f>'14'!G37</f>
        <v>1554</v>
      </c>
      <c r="AS17" s="19">
        <f>'14'!G38</f>
        <v>1717</v>
      </c>
      <c r="AT17" s="19">
        <f>'14'!G39</f>
        <v>3674</v>
      </c>
      <c r="AU17" s="19">
        <f>'14'!G40</f>
        <v>352</v>
      </c>
      <c r="AV17" s="19">
        <f>'14'!G41</f>
        <v>5703</v>
      </c>
      <c r="AW17" s="19">
        <f>'14'!G42</f>
        <v>0</v>
      </c>
      <c r="AX17" s="19">
        <f>'14'!G43</f>
        <v>2490</v>
      </c>
      <c r="AY17" s="23">
        <f>'14'!G44</f>
        <v>0</v>
      </c>
      <c r="AZ17" s="56">
        <f>'14'!G36</f>
        <v>633.40000000000146</v>
      </c>
      <c r="BA17" s="55">
        <f>'14'!G49</f>
        <v>3064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306</v>
      </c>
      <c r="BG17" s="19">
        <f>'14'!G56</f>
        <v>13</v>
      </c>
      <c r="BH17" s="19">
        <f>'14'!G57</f>
        <v>0</v>
      </c>
      <c r="BI17" s="56">
        <f>'14'!G50</f>
        <v>986</v>
      </c>
      <c r="BJ17" s="62">
        <f t="shared" si="12"/>
        <v>6022</v>
      </c>
      <c r="BK17" s="62">
        <f>'14'!G84</f>
        <v>807</v>
      </c>
      <c r="BL17" s="23">
        <f t="shared" si="13"/>
        <v>51.448888888888888</v>
      </c>
      <c r="BM17" s="23">
        <f t="shared" si="14"/>
        <v>16.327066666666781</v>
      </c>
      <c r="BN17" s="24">
        <f t="shared" si="15"/>
        <v>7.6311111111111107E-2</v>
      </c>
      <c r="BO17" s="25">
        <f t="shared" si="16"/>
        <v>287954.40000000002</v>
      </c>
      <c r="BP17" s="38">
        <f t="shared" si="17"/>
        <v>9319</v>
      </c>
      <c r="BQ17">
        <f t="shared" si="18"/>
        <v>1.3312857142857142</v>
      </c>
    </row>
    <row r="18" spans="1:69">
      <c r="A18" s="16">
        <v>15</v>
      </c>
      <c r="B18" s="26">
        <v>15</v>
      </c>
      <c r="C18" s="18"/>
      <c r="D18" s="19">
        <f>'15'!D3</f>
        <v>28</v>
      </c>
      <c r="E18" s="50">
        <f>'15'!D4</f>
        <v>0.9</v>
      </c>
      <c r="F18" s="50">
        <f>'15'!D2</f>
        <v>0.57999999999999996</v>
      </c>
      <c r="G18" s="19">
        <f>'15'!G8</f>
        <v>22500</v>
      </c>
      <c r="H18" s="19">
        <f>'15'!G7</f>
        <v>22756</v>
      </c>
      <c r="I18" s="19">
        <f>'15'!G8</f>
        <v>22500</v>
      </c>
      <c r="J18" s="19">
        <v>9</v>
      </c>
      <c r="K18" s="49">
        <f t="shared" si="3"/>
        <v>202500</v>
      </c>
      <c r="L18" s="45">
        <f t="shared" si="4"/>
        <v>111.38613861386139</v>
      </c>
      <c r="M18" s="19">
        <f>'15'!G15</f>
        <v>920</v>
      </c>
      <c r="N18" s="19">
        <v>56.2</v>
      </c>
      <c r="O18" s="41">
        <f t="shared" si="5"/>
        <v>51704</v>
      </c>
      <c r="P18" s="19">
        <f>'15'!G20</f>
        <v>264</v>
      </c>
      <c r="Q18" s="19">
        <v>108</v>
      </c>
      <c r="R18" s="46">
        <f t="shared" si="0"/>
        <v>28512</v>
      </c>
      <c r="S18" s="47">
        <f t="shared" si="1"/>
        <v>225.33287811539776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78</v>
      </c>
      <c r="X18" s="22">
        <f>'15'!G97</f>
        <v>38</v>
      </c>
      <c r="Y18" s="22">
        <f>'15'!G98</f>
        <v>41</v>
      </c>
      <c r="Z18" s="22">
        <f t="shared" si="7"/>
        <v>157</v>
      </c>
      <c r="AA18" s="19">
        <f>'15'!G133</f>
        <v>24</v>
      </c>
      <c r="AB18" s="19">
        <f>'15'!G134</f>
        <v>0</v>
      </c>
      <c r="AC18" s="19">
        <f>'15'!G135</f>
        <v>3</v>
      </c>
      <c r="AD18" s="19">
        <f>'15'!G136</f>
        <v>0</v>
      </c>
      <c r="AE18" s="19">
        <f t="shared" si="8"/>
        <v>27</v>
      </c>
      <c r="AF18" s="23">
        <f t="shared" si="2"/>
        <v>6209</v>
      </c>
      <c r="AG18" s="23">
        <f t="shared" si="9"/>
        <v>229.96296296296296</v>
      </c>
      <c r="AH18" s="19">
        <f>'15'!G137</f>
        <v>8.6299999999973807</v>
      </c>
      <c r="AI18" s="19">
        <f>'15'!G138</f>
        <v>0</v>
      </c>
      <c r="AJ18" s="19">
        <f>'15'!G139</f>
        <v>0</v>
      </c>
      <c r="AK18" s="19">
        <f t="shared" si="10"/>
        <v>8.6299999999973807</v>
      </c>
      <c r="AL18" s="19">
        <f>'15'!G140</f>
        <v>11.220000000000255</v>
      </c>
      <c r="AM18" s="19">
        <f>'15'!G141</f>
        <v>0</v>
      </c>
      <c r="AN18" s="19"/>
      <c r="AO18" s="19">
        <f t="shared" si="11"/>
        <v>11.220000000000255</v>
      </c>
      <c r="AP18" s="52">
        <f>'15'!G124</f>
        <v>304</v>
      </c>
      <c r="AQ18" s="55">
        <f>'15'!G35</f>
        <v>0</v>
      </c>
      <c r="AR18" s="19">
        <f>'15'!G37</f>
        <v>1554</v>
      </c>
      <c r="AS18" s="19">
        <f>'15'!G38</f>
        <v>1842</v>
      </c>
      <c r="AT18" s="19">
        <f>'15'!G39</f>
        <v>3671</v>
      </c>
      <c r="AU18" s="19">
        <f>'15'!G40</f>
        <v>431</v>
      </c>
      <c r="AV18" s="19">
        <f>'15'!G41</f>
        <v>5558</v>
      </c>
      <c r="AW18" s="19">
        <f>'15'!G42</f>
        <v>0</v>
      </c>
      <c r="AX18" s="19">
        <f>'15'!G43</f>
        <v>2580</v>
      </c>
      <c r="AY18" s="23">
        <f>'15'!G44</f>
        <v>0</v>
      </c>
      <c r="AZ18" s="56">
        <f>'15'!G36</f>
        <v>823</v>
      </c>
      <c r="BA18" s="55">
        <f>'15'!G49</f>
        <v>2975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638</v>
      </c>
      <c r="BG18" s="19">
        <f>'15'!G56</f>
        <v>13</v>
      </c>
      <c r="BH18" s="19">
        <f>'15'!G57</f>
        <v>0</v>
      </c>
      <c r="BI18" s="56">
        <f>'15'!G50</f>
        <v>1206</v>
      </c>
      <c r="BJ18" s="62">
        <f t="shared" si="12"/>
        <v>6209</v>
      </c>
      <c r="BK18" s="62">
        <f>'15'!G84</f>
        <v>837</v>
      </c>
      <c r="BL18" s="23">
        <f t="shared" si="13"/>
        <v>52.284444444444446</v>
      </c>
      <c r="BM18" s="23">
        <f t="shared" si="14"/>
        <v>16.317377777777665</v>
      </c>
      <c r="BN18" s="24">
        <f t="shared" si="15"/>
        <v>8.1863555555557826E-2</v>
      </c>
      <c r="BO18" s="25">
        <f t="shared" si="16"/>
        <v>282716</v>
      </c>
      <c r="BP18" s="38">
        <f t="shared" si="17"/>
        <v>9626</v>
      </c>
      <c r="BQ18">
        <f t="shared" si="18"/>
        <v>1.2732804232804233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50">
        <f>'16'!D4</f>
        <v>0.78</v>
      </c>
      <c r="F19" s="50">
        <f>'16'!D2</f>
        <v>0.52</v>
      </c>
      <c r="G19" s="19">
        <f>'16'!G8</f>
        <v>22500</v>
      </c>
      <c r="H19" s="19">
        <f>'16'!G7</f>
        <v>21722</v>
      </c>
      <c r="I19" s="19">
        <f>'16'!G8</f>
        <v>22500</v>
      </c>
      <c r="J19" s="19">
        <v>9</v>
      </c>
      <c r="K19" s="49">
        <f t="shared" si="3"/>
        <v>202500</v>
      </c>
      <c r="L19" s="45">
        <f t="shared" si="4"/>
        <v>111.38613861386139</v>
      </c>
      <c r="M19" s="19">
        <f>'16'!G15</f>
        <v>896.09700000006706</v>
      </c>
      <c r="N19" s="19">
        <v>56.2</v>
      </c>
      <c r="O19" s="41">
        <f t="shared" si="5"/>
        <v>50360.651400003771</v>
      </c>
      <c r="P19" s="19">
        <f>'16'!G20</f>
        <v>214</v>
      </c>
      <c r="Q19" s="19">
        <v>108</v>
      </c>
      <c r="R19" s="46">
        <f t="shared" si="0"/>
        <v>23112</v>
      </c>
      <c r="S19" s="47">
        <f t="shared" si="1"/>
        <v>203.73191165270373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67</v>
      </c>
      <c r="X19" s="22">
        <f>'16'!G97</f>
        <v>29</v>
      </c>
      <c r="Y19" s="22">
        <f>'16'!G98</f>
        <v>27</v>
      </c>
      <c r="Z19" s="22">
        <f t="shared" si="7"/>
        <v>123</v>
      </c>
      <c r="AA19" s="19">
        <f>'16'!G133</f>
        <v>23.540000000000873</v>
      </c>
      <c r="AB19" s="19">
        <f>'16'!G134</f>
        <v>0</v>
      </c>
      <c r="AC19" s="19">
        <f>'16'!G135</f>
        <v>6.0599999999976717</v>
      </c>
      <c r="AD19" s="19">
        <f>'16'!G136</f>
        <v>0</v>
      </c>
      <c r="AE19" s="19">
        <f t="shared" si="8"/>
        <v>29.599999999998545</v>
      </c>
      <c r="AF19" s="23">
        <f t="shared" si="2"/>
        <v>6647</v>
      </c>
      <c r="AG19" s="23">
        <f t="shared" si="9"/>
        <v>224.56081081082186</v>
      </c>
      <c r="AH19" s="19">
        <f>'16'!G137</f>
        <v>9.8600000000005821</v>
      </c>
      <c r="AI19" s="19">
        <f>'16'!G138</f>
        <v>0</v>
      </c>
      <c r="AJ19" s="19">
        <f>'16'!G139</f>
        <v>0</v>
      </c>
      <c r="AK19" s="19">
        <f t="shared" si="10"/>
        <v>9.8600000000005821</v>
      </c>
      <c r="AL19" s="19">
        <f>'16'!G140</f>
        <v>9.5399999999999636</v>
      </c>
      <c r="AM19" s="19">
        <f>'16'!G141</f>
        <v>0</v>
      </c>
      <c r="AN19" s="19"/>
      <c r="AO19" s="19">
        <f t="shared" si="11"/>
        <v>9.5399999999999636</v>
      </c>
      <c r="AP19" s="52">
        <f>'16'!G124</f>
        <v>250.45999999996275</v>
      </c>
      <c r="AQ19" s="55">
        <f>'16'!G35</f>
        <v>1.3000000000465661</v>
      </c>
      <c r="AR19" s="19">
        <f>'16'!G37</f>
        <v>1612</v>
      </c>
      <c r="AS19" s="19">
        <f>'16'!G38</f>
        <v>1690</v>
      </c>
      <c r="AT19" s="19">
        <f>'16'!G39</f>
        <v>3912</v>
      </c>
      <c r="AU19" s="19">
        <f>'16'!G40</f>
        <v>596.79999999999927</v>
      </c>
      <c r="AV19" s="19">
        <f>'16'!G41</f>
        <v>5562</v>
      </c>
      <c r="AW19" s="19">
        <f>'16'!G42</f>
        <v>0</v>
      </c>
      <c r="AX19" s="19">
        <f>'16'!G43</f>
        <v>2740</v>
      </c>
      <c r="AY19" s="23">
        <f>'16'!G44</f>
        <v>0</v>
      </c>
      <c r="AZ19" s="56">
        <f>'16'!G36</f>
        <v>663</v>
      </c>
      <c r="BA19" s="55">
        <f>'16'!G49</f>
        <v>3247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1073</v>
      </c>
      <c r="BG19" s="19">
        <f>'16'!G56</f>
        <v>12</v>
      </c>
      <c r="BH19" s="19">
        <f>'16'!G57</f>
        <v>0</v>
      </c>
      <c r="BI19" s="56">
        <f>'16'!G50</f>
        <v>1437</v>
      </c>
      <c r="BJ19" s="62">
        <f t="shared" si="12"/>
        <v>6647</v>
      </c>
      <c r="BK19" s="62">
        <f>'16'!G84</f>
        <v>837</v>
      </c>
      <c r="BL19" s="23">
        <f t="shared" si="13"/>
        <v>56.156888888889092</v>
      </c>
      <c r="BM19" s="23">
        <f t="shared" si="14"/>
        <v>17.384844444444557</v>
      </c>
      <c r="BN19" s="24">
        <f t="shared" si="15"/>
        <v>7.5114222222219945E-2</v>
      </c>
      <c r="BO19" s="25">
        <f t="shared" si="16"/>
        <v>275972.65140000376</v>
      </c>
      <c r="BP19" s="38">
        <f t="shared" si="17"/>
        <v>10224</v>
      </c>
      <c r="BQ19">
        <f t="shared" si="18"/>
        <v>1.2335907335907943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22500</v>
      </c>
      <c r="H20" s="19">
        <f>'17'!G7</f>
        <v>20791</v>
      </c>
      <c r="I20" s="19">
        <f>'17'!G8</f>
        <v>22500</v>
      </c>
      <c r="J20" s="19">
        <v>9</v>
      </c>
      <c r="K20" s="49">
        <f t="shared" si="3"/>
        <v>202500</v>
      </c>
      <c r="L20" s="45">
        <f t="shared" si="4"/>
        <v>111.38613861386139</v>
      </c>
      <c r="M20" s="19">
        <f>'17'!G15</f>
        <v>813.51199999987148</v>
      </c>
      <c r="N20" s="19">
        <v>56.2</v>
      </c>
      <c r="O20" s="41">
        <f t="shared" si="5"/>
        <v>45719.374399992783</v>
      </c>
      <c r="P20" s="19">
        <f>'17'!G20</f>
        <v>226</v>
      </c>
      <c r="Q20" s="19">
        <v>108</v>
      </c>
      <c r="R20" s="46">
        <f t="shared" si="0"/>
        <v>24408</v>
      </c>
      <c r="S20" s="47">
        <f t="shared" si="1"/>
        <v>186.46864686468646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80</v>
      </c>
      <c r="X20" s="22">
        <f>'17'!G97</f>
        <v>18</v>
      </c>
      <c r="Y20" s="22">
        <f>'17'!G98</f>
        <v>24</v>
      </c>
      <c r="Z20" s="22">
        <f t="shared" si="7"/>
        <v>122</v>
      </c>
      <c r="AA20" s="19">
        <f>'17'!G133</f>
        <v>24.459999999999127</v>
      </c>
      <c r="AB20" s="19">
        <f>'17'!G134</f>
        <v>0</v>
      </c>
      <c r="AC20" s="19">
        <f>'17'!G135</f>
        <v>0</v>
      </c>
      <c r="AD20" s="19">
        <f>'17'!G136</f>
        <v>0</v>
      </c>
      <c r="AE20" s="19">
        <f t="shared" si="8"/>
        <v>24.459999999999127</v>
      </c>
      <c r="AF20" s="23">
        <f t="shared" si="2"/>
        <v>5807</v>
      </c>
      <c r="AG20" s="23">
        <f t="shared" si="9"/>
        <v>237.40801308259228</v>
      </c>
      <c r="AH20" s="19">
        <f>'17'!G137</f>
        <v>7.6399999999994179</v>
      </c>
      <c r="AI20" s="19">
        <f>'17'!G138</f>
        <v>0</v>
      </c>
      <c r="AJ20" s="19">
        <f>'17'!G139</f>
        <v>0</v>
      </c>
      <c r="AK20" s="19">
        <f t="shared" si="10"/>
        <v>7.6399999999994179</v>
      </c>
      <c r="AL20" s="19">
        <f>'17'!G140</f>
        <v>11.409999999999854</v>
      </c>
      <c r="AM20" s="19">
        <f>'17'!G141</f>
        <v>0</v>
      </c>
      <c r="AN20" s="19"/>
      <c r="AO20" s="19">
        <f t="shared" si="11"/>
        <v>11.409999999999854</v>
      </c>
      <c r="AP20" s="52">
        <f>'17'!G124</f>
        <v>296.09000000008382</v>
      </c>
      <c r="AQ20" s="55">
        <f>'17'!G35</f>
        <v>0</v>
      </c>
      <c r="AR20" s="19">
        <f>'17'!G37</f>
        <v>1496</v>
      </c>
      <c r="AS20" s="19">
        <f>'17'!G38</f>
        <v>1715</v>
      </c>
      <c r="AT20" s="19">
        <f>'17'!G39</f>
        <v>3719</v>
      </c>
      <c r="AU20" s="19">
        <f>'17'!G40</f>
        <v>426.40000000000146</v>
      </c>
      <c r="AV20" s="19">
        <f>'17'!G41</f>
        <v>5794</v>
      </c>
      <c r="AW20" s="19">
        <f>'17'!G42</f>
        <v>0</v>
      </c>
      <c r="AX20" s="19">
        <f>'17'!G43</f>
        <v>2430</v>
      </c>
      <c r="AY20" s="23">
        <f>'17'!G44</f>
        <v>0</v>
      </c>
      <c r="AZ20" s="56">
        <f>'17'!G36</f>
        <v>632.5</v>
      </c>
      <c r="BA20" s="55">
        <f>'17'!G49</f>
        <v>3008</v>
      </c>
      <c r="BB20" s="19">
        <f>'17'!G51</f>
        <v>0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0</v>
      </c>
      <c r="BG20" s="19">
        <f>'17'!G56</f>
        <v>13</v>
      </c>
      <c r="BH20" s="19">
        <f>'17'!G57</f>
        <v>0</v>
      </c>
      <c r="BI20" s="56">
        <f>'17'!G50</f>
        <v>1453</v>
      </c>
      <c r="BJ20" s="62">
        <f t="shared" si="12"/>
        <v>5807</v>
      </c>
      <c r="BK20" s="62">
        <f>'17'!G84</f>
        <v>679</v>
      </c>
      <c r="BL20" s="23">
        <f t="shared" si="13"/>
        <v>49.977777777777774</v>
      </c>
      <c r="BM20" s="23">
        <f t="shared" si="14"/>
        <v>16.530666666666512</v>
      </c>
      <c r="BN20" s="24">
        <f t="shared" si="15"/>
        <v>7.6222222222222219E-2</v>
      </c>
      <c r="BO20" s="25">
        <f t="shared" si="16"/>
        <v>272627.37439999275</v>
      </c>
      <c r="BP20" s="38">
        <f t="shared" si="17"/>
        <v>8916</v>
      </c>
      <c r="BQ20">
        <f t="shared" si="18"/>
        <v>1.3018338979091693</v>
      </c>
    </row>
    <row r="21" spans="1:69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0.54</v>
      </c>
      <c r="G21" s="19">
        <f>'18 '!G8</f>
        <v>331487.73</v>
      </c>
      <c r="H21" s="19">
        <f>'18 '!G7</f>
        <v>21056</v>
      </c>
      <c r="I21" s="19">
        <f>'18 '!G8</f>
        <v>331487.73</v>
      </c>
      <c r="J21" s="19">
        <v>9</v>
      </c>
      <c r="K21" s="49">
        <f t="shared" si="3"/>
        <v>2983389.57</v>
      </c>
      <c r="L21" s="45">
        <f t="shared" si="4"/>
        <v>1641.0283663366336</v>
      </c>
      <c r="M21" s="19">
        <f>'18 '!G15</f>
        <v>964.54300000006333</v>
      </c>
      <c r="N21" s="19">
        <v>56.2</v>
      </c>
      <c r="O21" s="41">
        <f t="shared" si="5"/>
        <v>54207.316600003564</v>
      </c>
      <c r="P21" s="19">
        <f>'18 '!G20</f>
        <v>200</v>
      </c>
      <c r="Q21" s="19">
        <v>108</v>
      </c>
      <c r="R21" s="46">
        <f t="shared" si="0"/>
        <v>21600</v>
      </c>
      <c r="S21" s="47">
        <f t="shared" si="1"/>
        <v>183.35166850018331</v>
      </c>
      <c r="T21" s="19">
        <f>'18 '!G24</f>
        <v>0</v>
      </c>
      <c r="U21" s="19">
        <v>69</v>
      </c>
      <c r="V21" s="48">
        <f t="shared" si="6"/>
        <v>0</v>
      </c>
      <c r="W21" s="22">
        <f>'18 '!G96</f>
        <v>110</v>
      </c>
      <c r="X21" s="22">
        <f>'18 '!G97</f>
        <v>20</v>
      </c>
      <c r="Y21" s="22">
        <f>'18 '!G98</f>
        <v>24</v>
      </c>
      <c r="Z21" s="22">
        <f t="shared" si="7"/>
        <v>154</v>
      </c>
      <c r="AA21" s="19">
        <f>'18 '!G133</f>
        <v>24.129999999997381</v>
      </c>
      <c r="AB21" s="19">
        <f>'18 '!G134</f>
        <v>0</v>
      </c>
      <c r="AC21" s="19">
        <f>'18 '!G135</f>
        <v>3.9800000000032014</v>
      </c>
      <c r="AD21" s="19">
        <f>'18 '!G136</f>
        <v>0</v>
      </c>
      <c r="AE21" s="19">
        <f t="shared" si="8"/>
        <v>28.110000000000582</v>
      </c>
      <c r="AF21" s="23">
        <f t="shared" si="2"/>
        <v>5978</v>
      </c>
      <c r="AG21" s="23">
        <f t="shared" si="9"/>
        <v>212.664532194944</v>
      </c>
      <c r="AH21" s="19">
        <f>'18 '!G137</f>
        <v>9.2900000000008731</v>
      </c>
      <c r="AI21" s="19">
        <f>'18 '!G138</f>
        <v>-7.9999999998108251E-2</v>
      </c>
      <c r="AJ21" s="19">
        <f>'18 '!G139</f>
        <v>5.0000000002910383E-2</v>
      </c>
      <c r="AK21" s="19">
        <f t="shared" si="10"/>
        <v>9.2600000000056752</v>
      </c>
      <c r="AL21" s="19">
        <f>'18 '!G140</f>
        <v>11.300000000000182</v>
      </c>
      <c r="AM21" s="19">
        <f>'18 '!G141</f>
        <v>0</v>
      </c>
      <c r="AN21" s="19"/>
      <c r="AO21" s="19">
        <f t="shared" si="11"/>
        <v>11.300000000000182</v>
      </c>
      <c r="AP21" s="52">
        <f>'18 '!G124</f>
        <v>293.44999999995343</v>
      </c>
      <c r="AQ21" s="55">
        <f>'18 '!G35</f>
        <v>0</v>
      </c>
      <c r="AR21" s="19">
        <f>'18 '!G37</f>
        <v>1535</v>
      </c>
      <c r="AS21" s="19">
        <f>'18 '!G38</f>
        <v>1724</v>
      </c>
      <c r="AT21" s="19">
        <f>'18 '!G39</f>
        <v>3771</v>
      </c>
      <c r="AU21" s="19">
        <f>'18 '!G40</f>
        <v>474.89999999999782</v>
      </c>
      <c r="AV21" s="19">
        <f>'18 '!G41</f>
        <v>5197</v>
      </c>
      <c r="AW21" s="19">
        <f>'18 '!G42</f>
        <v>0</v>
      </c>
      <c r="AX21" s="19">
        <f>'18 '!G43</f>
        <v>2570</v>
      </c>
      <c r="AY21" s="23">
        <f>'18 '!G44</f>
        <v>0</v>
      </c>
      <c r="AZ21" s="56">
        <f>'18 '!G36</f>
        <v>711.19999999999709</v>
      </c>
      <c r="BA21" s="55">
        <f>'18 '!G49</f>
        <v>2982</v>
      </c>
      <c r="BB21" s="19">
        <f>'18 '!G51</f>
        <v>0</v>
      </c>
      <c r="BC21" s="19">
        <f>'18 '!G52</f>
        <v>0</v>
      </c>
      <c r="BD21" s="19">
        <f>'18 '!G53</f>
        <v>-0.3999999999650754</v>
      </c>
      <c r="BE21" s="19">
        <f>'18 '!G54</f>
        <v>7.999999999992724E-2</v>
      </c>
      <c r="BF21" s="19">
        <f>'18 '!G55</f>
        <v>768</v>
      </c>
      <c r="BG21" s="19">
        <f>'18 '!G56</f>
        <v>13</v>
      </c>
      <c r="BH21" s="19">
        <f>'18 '!G57</f>
        <v>0</v>
      </c>
      <c r="BI21" s="56">
        <f>'18 '!G50</f>
        <v>1651</v>
      </c>
      <c r="BJ21" s="62">
        <f t="shared" si="12"/>
        <v>5978</v>
      </c>
      <c r="BK21" s="62">
        <f>'18 '!G84</f>
        <v>705</v>
      </c>
      <c r="BL21" s="23">
        <f t="shared" si="13"/>
        <v>3.4782584562028891</v>
      </c>
      <c r="BM21" s="23">
        <f t="shared" si="14"/>
        <v>1.1374779995627697</v>
      </c>
      <c r="BN21" s="24">
        <f t="shared" si="15"/>
        <v>5.2007958182946927E-3</v>
      </c>
      <c r="BO21" s="25">
        <f t="shared" si="16"/>
        <v>3059196.8866000036</v>
      </c>
      <c r="BP21" s="38">
        <f t="shared" si="17"/>
        <v>9253</v>
      </c>
      <c r="BQ21">
        <f t="shared" si="18"/>
        <v>1.1756111195812127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22500</v>
      </c>
      <c r="H22" s="19">
        <f>'19'!G7</f>
        <v>22093.09</v>
      </c>
      <c r="I22" s="19">
        <f>'19'!G8</f>
        <v>22500</v>
      </c>
      <c r="J22" s="19">
        <v>9</v>
      </c>
      <c r="K22" s="49">
        <f t="shared" si="3"/>
        <v>202500</v>
      </c>
      <c r="L22" s="45">
        <f t="shared" si="4"/>
        <v>111.38613861386139</v>
      </c>
      <c r="M22" s="19">
        <f>'19'!G15</f>
        <v>837.84799999999814</v>
      </c>
      <c r="N22" s="19">
        <v>56.2</v>
      </c>
      <c r="O22" s="41">
        <f t="shared" si="5"/>
        <v>47087.057599999898</v>
      </c>
      <c r="P22" s="19">
        <f>'19'!G20</f>
        <v>210</v>
      </c>
      <c r="Q22" s="19">
        <v>108</v>
      </c>
      <c r="R22" s="46">
        <f t="shared" si="0"/>
        <v>22680</v>
      </c>
      <c r="S22" s="47">
        <f t="shared" si="1"/>
        <v>167.6780581283935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74</v>
      </c>
      <c r="X22" s="22">
        <f>'19'!G97</f>
        <v>26</v>
      </c>
      <c r="Y22" s="22">
        <f>'19'!G98</f>
        <v>29</v>
      </c>
      <c r="Z22" s="22">
        <f t="shared" si="7"/>
        <v>129</v>
      </c>
      <c r="AA22" s="19">
        <f>'19'!G133</f>
        <v>23.870000000002619</v>
      </c>
      <c r="AB22" s="19">
        <f>'19'!G134</f>
        <v>0</v>
      </c>
      <c r="AC22" s="19">
        <f>'19'!G135</f>
        <v>5.1500000000014552</v>
      </c>
      <c r="AD22" s="19">
        <f>'19'!G136</f>
        <v>0</v>
      </c>
      <c r="AE22" s="19">
        <f t="shared" si="8"/>
        <v>29.020000000004075</v>
      </c>
      <c r="AF22" s="23">
        <f t="shared" si="2"/>
        <v>6118</v>
      </c>
      <c r="AG22" s="23">
        <f t="shared" si="9"/>
        <v>210.82012405234806</v>
      </c>
      <c r="AH22" s="19">
        <f>'19'!G137</f>
        <v>6.9199999999982538</v>
      </c>
      <c r="AI22" s="19">
        <f>'19'!G138</f>
        <v>7.9999999998108251E-2</v>
      </c>
      <c r="AJ22" s="19">
        <f>'19'!G139</f>
        <v>0</v>
      </c>
      <c r="AK22" s="19">
        <f t="shared" si="10"/>
        <v>6.999999999996362</v>
      </c>
      <c r="AL22" s="19">
        <f>'19'!G140</f>
        <v>11.149999999999636</v>
      </c>
      <c r="AM22" s="19">
        <f>'19'!G141</f>
        <v>0</v>
      </c>
      <c r="AN22" s="19"/>
      <c r="AO22" s="19">
        <f t="shared" si="11"/>
        <v>11.149999999999636</v>
      </c>
      <c r="AP22" s="52">
        <f>'19'!G124</f>
        <v>288</v>
      </c>
      <c r="AQ22" s="55">
        <f>'19'!G35</f>
        <v>-0.30000000004656613</v>
      </c>
      <c r="AR22" s="19">
        <f>'19'!G37</f>
        <v>1571</v>
      </c>
      <c r="AS22" s="19">
        <f>'19'!G38</f>
        <v>1831</v>
      </c>
      <c r="AT22" s="19">
        <f>'19'!G39</f>
        <v>3827</v>
      </c>
      <c r="AU22" s="19">
        <f>'19'!G40</f>
        <v>369.20000000000073</v>
      </c>
      <c r="AV22" s="19">
        <f>'19'!G41</f>
        <v>5149</v>
      </c>
      <c r="AW22" s="19">
        <f>'19'!G42</f>
        <v>0</v>
      </c>
      <c r="AX22" s="19">
        <f>'19'!G43</f>
        <v>2600</v>
      </c>
      <c r="AY22" s="23">
        <f>'19'!G44</f>
        <v>0</v>
      </c>
      <c r="AZ22" s="56">
        <f>'19'!G36</f>
        <v>962.30000000000291</v>
      </c>
      <c r="BA22" s="55">
        <f>'19'!G49</f>
        <v>3166</v>
      </c>
      <c r="BB22" s="19">
        <f>'19'!G51</f>
        <v>0.13000000000465661</v>
      </c>
      <c r="BC22" s="19">
        <f>'19'!G52</f>
        <v>-6.9999999948777258E-2</v>
      </c>
      <c r="BD22" s="19">
        <f>'19'!G53</f>
        <v>0</v>
      </c>
      <c r="BE22" s="19">
        <f>'19'!G54</f>
        <v>-0.3500000000003638</v>
      </c>
      <c r="BF22" s="19">
        <f>'19'!G55</f>
        <v>956</v>
      </c>
      <c r="BG22" s="19">
        <f>'19'!G56</f>
        <v>13</v>
      </c>
      <c r="BH22" s="19">
        <f>'19'!G57</f>
        <v>-0.32999999999992724</v>
      </c>
      <c r="BI22" s="56">
        <f>'19'!G50</f>
        <v>1813</v>
      </c>
      <c r="BJ22" s="62">
        <f t="shared" si="12"/>
        <v>6118</v>
      </c>
      <c r="BK22" s="62">
        <f>'19'!G84</f>
        <v>778</v>
      </c>
      <c r="BL22" s="23">
        <f t="shared" si="13"/>
        <v>52.814977777777571</v>
      </c>
      <c r="BM22" s="23">
        <f t="shared" si="14"/>
        <v>17.00888888888889</v>
      </c>
      <c r="BN22" s="24">
        <f t="shared" si="15"/>
        <v>8.1374666666668941E-2</v>
      </c>
      <c r="BO22" s="25">
        <f t="shared" si="16"/>
        <v>272267.05759999988</v>
      </c>
      <c r="BP22" s="38">
        <f t="shared" si="17"/>
        <v>9495.67</v>
      </c>
      <c r="BQ22">
        <f t="shared" si="18"/>
        <v>1.1686115486854713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0.73799999999999999</v>
      </c>
      <c r="G23" s="19">
        <f>'20'!G8</f>
        <v>22500</v>
      </c>
      <c r="H23" s="19">
        <f>'20'!G7</f>
        <v>21183.200000000001</v>
      </c>
      <c r="I23" s="19">
        <f>'20'!G8</f>
        <v>22500</v>
      </c>
      <c r="J23" s="19">
        <v>9</v>
      </c>
      <c r="K23" s="49">
        <f t="shared" si="3"/>
        <v>202500</v>
      </c>
      <c r="L23" s="45">
        <f t="shared" si="4"/>
        <v>111.38613861386139</v>
      </c>
      <c r="M23" s="19">
        <f>'20'!G15</f>
        <v>900.52000000001863</v>
      </c>
      <c r="N23" s="19">
        <v>56.2</v>
      </c>
      <c r="O23" s="41">
        <f t="shared" si="5"/>
        <v>50609.22400000105</v>
      </c>
      <c r="P23" s="19">
        <f>'20'!G20</f>
        <v>299</v>
      </c>
      <c r="Q23" s="19">
        <v>108</v>
      </c>
      <c r="R23" s="46">
        <f t="shared" si="0"/>
        <v>32292</v>
      </c>
      <c r="S23" s="47">
        <f t="shared" si="1"/>
        <v>200.56883737154206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111</v>
      </c>
      <c r="X23" s="22">
        <f>'20'!G97</f>
        <v>26</v>
      </c>
      <c r="Y23" s="22">
        <f>'20'!G98</f>
        <v>32</v>
      </c>
      <c r="Z23" s="22">
        <f t="shared" si="7"/>
        <v>169</v>
      </c>
      <c r="AA23" s="19">
        <f>'20'!G133</f>
        <v>16.190000000002328</v>
      </c>
      <c r="AB23" s="19">
        <f>'20'!G134</f>
        <v>0</v>
      </c>
      <c r="AC23" s="19">
        <f>'20'!G135</f>
        <v>11.809999999997672</v>
      </c>
      <c r="AD23" s="19">
        <f>'20'!G136</f>
        <v>5.0000000002910383E-2</v>
      </c>
      <c r="AE23" s="19">
        <f t="shared" si="8"/>
        <v>28.05000000000291</v>
      </c>
      <c r="AF23" s="23">
        <f t="shared" si="2"/>
        <v>5842.140000000014</v>
      </c>
      <c r="AG23" s="23">
        <f t="shared" si="9"/>
        <v>208.27593582885589</v>
      </c>
      <c r="AH23" s="19">
        <f>'20'!G137</f>
        <v>10.240000000001601</v>
      </c>
      <c r="AI23" s="19">
        <f>'20'!G138</f>
        <v>0</v>
      </c>
      <c r="AJ23" s="19">
        <f>'20'!G139</f>
        <v>0</v>
      </c>
      <c r="AK23" s="19">
        <f t="shared" si="10"/>
        <v>10.240000000001601</v>
      </c>
      <c r="AL23" s="19">
        <f>'20'!G140</f>
        <v>10.950000000000273</v>
      </c>
      <c r="AM23" s="19">
        <f>'20'!G141</f>
        <v>0</v>
      </c>
      <c r="AN23" s="19"/>
      <c r="AO23" s="19">
        <f t="shared" si="11"/>
        <v>10.950000000000273</v>
      </c>
      <c r="AP23" s="52">
        <f>'20'!G124</f>
        <v>285.69999999995343</v>
      </c>
      <c r="AQ23" s="55">
        <f>'20'!G35</f>
        <v>0</v>
      </c>
      <c r="AR23" s="19">
        <f>'20'!G37</f>
        <v>1460</v>
      </c>
      <c r="AS23" s="19">
        <f>'20'!G38</f>
        <v>1714</v>
      </c>
      <c r="AT23" s="19">
        <f>'20'!G39</f>
        <v>3421</v>
      </c>
      <c r="AU23" s="19">
        <f>'20'!G40</f>
        <v>590.10000000000218</v>
      </c>
      <c r="AV23" s="19">
        <f>'20'!G41</f>
        <v>3565</v>
      </c>
      <c r="AW23" s="19">
        <f>'20'!G42</f>
        <v>0.14000000001396984</v>
      </c>
      <c r="AX23" s="19">
        <f>'20'!G43</f>
        <v>2360</v>
      </c>
      <c r="AY23" s="23">
        <f>'20'!G44</f>
        <v>0</v>
      </c>
      <c r="AZ23" s="56">
        <f>'20'!G36</f>
        <v>802.59999999999854</v>
      </c>
      <c r="BA23" s="55">
        <f>'20'!G49</f>
        <v>2777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0</v>
      </c>
      <c r="BF23" s="19">
        <f>'20'!G55</f>
        <v>2265</v>
      </c>
      <c r="BG23" s="19">
        <f>'20'!G56</f>
        <v>12</v>
      </c>
      <c r="BH23" s="19">
        <f>'20'!G57</f>
        <v>0</v>
      </c>
      <c r="BI23" s="56">
        <f>'20'!G50</f>
        <v>1302</v>
      </c>
      <c r="BJ23" s="62">
        <f t="shared" si="12"/>
        <v>5842.140000000014</v>
      </c>
      <c r="BK23" s="62">
        <f>'20'!G84</f>
        <v>673</v>
      </c>
      <c r="BL23" s="23">
        <f t="shared" si="13"/>
        <v>48.796177777777842</v>
      </c>
      <c r="BM23" s="23">
        <f t="shared" si="14"/>
        <v>15.204444444444444</v>
      </c>
      <c r="BN23" s="24">
        <f t="shared" si="15"/>
        <v>7.6177777777777775E-2</v>
      </c>
      <c r="BO23" s="25">
        <f t="shared" si="16"/>
        <v>285401.22400000104</v>
      </c>
      <c r="BP23" s="38">
        <f t="shared" si="17"/>
        <v>8875.140000000014</v>
      </c>
      <c r="BQ23">
        <f t="shared" si="18"/>
        <v>1.1300152788386928</v>
      </c>
    </row>
    <row r="24" spans="1:69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0.66</v>
      </c>
      <c r="G24" s="19">
        <f>'21'!G8</f>
        <v>22500</v>
      </c>
      <c r="H24" s="19">
        <f>'21'!G7</f>
        <v>21387.200000000004</v>
      </c>
      <c r="I24" s="19">
        <f>'21'!G8</f>
        <v>22500</v>
      </c>
      <c r="J24" s="19">
        <v>9</v>
      </c>
      <c r="K24" s="49">
        <f t="shared" si="3"/>
        <v>202500</v>
      </c>
      <c r="L24" s="45">
        <f t="shared" si="4"/>
        <v>111.38613861386139</v>
      </c>
      <c r="M24" s="19">
        <f>'21'!G15</f>
        <v>890.93999999994412</v>
      </c>
      <c r="N24" s="19">
        <v>56.2</v>
      </c>
      <c r="O24" s="41">
        <f t="shared" si="5"/>
        <v>50070.827999996865</v>
      </c>
      <c r="P24" s="19">
        <f>'21'!G20</f>
        <v>253</v>
      </c>
      <c r="Q24" s="19">
        <v>108</v>
      </c>
      <c r="R24" s="46">
        <f t="shared" si="0"/>
        <v>27324</v>
      </c>
      <c r="S24" s="47">
        <f t="shared" si="1"/>
        <v>189.76897689768978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78</v>
      </c>
      <c r="X24" s="22">
        <f>'21'!G97</f>
        <v>28</v>
      </c>
      <c r="Y24" s="22">
        <f>'21'!G98</f>
        <v>33</v>
      </c>
      <c r="Z24" s="22">
        <f t="shared" si="7"/>
        <v>139</v>
      </c>
      <c r="AA24" s="19">
        <f>'21'!G133</f>
        <v>4.3399999999965075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28.339999999996508</v>
      </c>
      <c r="AF24" s="23">
        <f t="shared" si="2"/>
        <v>6296</v>
      </c>
      <c r="AG24" s="23">
        <f t="shared" si="9"/>
        <v>222.15949188428991</v>
      </c>
      <c r="AH24" s="19">
        <f>'21'!G137</f>
        <v>7.8600000000005821</v>
      </c>
      <c r="AI24" s="19">
        <f>'21'!G138</f>
        <v>0</v>
      </c>
      <c r="AJ24" s="19">
        <f>'21'!G139</f>
        <v>0</v>
      </c>
      <c r="AK24" s="19">
        <f t="shared" si="10"/>
        <v>7.8600000000005821</v>
      </c>
      <c r="AL24" s="19">
        <f>'21'!G140</f>
        <v>10.769999999999982</v>
      </c>
      <c r="AM24" s="19">
        <f>'21'!G141</f>
        <v>0</v>
      </c>
      <c r="AN24" s="19"/>
      <c r="AO24" s="19">
        <f t="shared" si="11"/>
        <v>10.769999999999982</v>
      </c>
      <c r="AP24" s="52">
        <f>'21'!G124</f>
        <v>279.30000000004657</v>
      </c>
      <c r="AQ24" s="55">
        <f>'21'!G35</f>
        <v>0</v>
      </c>
      <c r="AR24" s="19">
        <f>'21'!G37</f>
        <v>1562</v>
      </c>
      <c r="AS24" s="19">
        <f>'21'!G38</f>
        <v>1883</v>
      </c>
      <c r="AT24" s="19">
        <f>'21'!G39</f>
        <v>3720</v>
      </c>
      <c r="AU24" s="19">
        <f>'21'!G40</f>
        <v>302.29999999999927</v>
      </c>
      <c r="AV24" s="19">
        <f>'21'!G41</f>
        <v>898</v>
      </c>
      <c r="AW24" s="19">
        <f>'21'!G42</f>
        <v>0</v>
      </c>
      <c r="AX24" s="19">
        <f>'21'!G43</f>
        <v>2600</v>
      </c>
      <c r="AY24" s="23">
        <f>'21'!G44</f>
        <v>0</v>
      </c>
      <c r="AZ24" s="56">
        <f>'21'!G36</f>
        <v>674.80000000000291</v>
      </c>
      <c r="BA24" s="55">
        <f>'21'!G49</f>
        <v>3056</v>
      </c>
      <c r="BB24" s="19">
        <f>'21'!G51</f>
        <v>0</v>
      </c>
      <c r="BC24" s="19">
        <f>'21'!G52</f>
        <v>6.9999999948777258E-2</v>
      </c>
      <c r="BD24" s="19">
        <f>'21'!G53</f>
        <v>0</v>
      </c>
      <c r="BE24" s="19">
        <f>'21'!G54</f>
        <v>0</v>
      </c>
      <c r="BF24" s="19">
        <f>'21'!G55</f>
        <v>5386</v>
      </c>
      <c r="BG24" s="19">
        <f>'21'!G56</f>
        <v>12</v>
      </c>
      <c r="BH24" s="19">
        <f>'21'!G57</f>
        <v>0</v>
      </c>
      <c r="BI24" s="56">
        <f>'21'!G50</f>
        <v>1002</v>
      </c>
      <c r="BJ24" s="62">
        <f t="shared" si="12"/>
        <v>6296</v>
      </c>
      <c r="BK24" s="62">
        <f>'21'!G84</f>
        <v>661</v>
      </c>
      <c r="BL24" s="23">
        <f t="shared" si="13"/>
        <v>53.12</v>
      </c>
      <c r="BM24" s="23">
        <f t="shared" si="14"/>
        <v>16.533333333333335</v>
      </c>
      <c r="BN24" s="24">
        <f t="shared" si="15"/>
        <v>8.3691999999997727E-2</v>
      </c>
      <c r="BO24" s="25">
        <f t="shared" si="16"/>
        <v>279894.82799999684</v>
      </c>
      <c r="BP24" s="38">
        <f t="shared" si="17"/>
        <v>9557</v>
      </c>
      <c r="BQ24">
        <f t="shared" si="18"/>
        <v>1.2043804819035662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0.8</v>
      </c>
      <c r="G25" s="19">
        <f>'22'!G8</f>
        <v>22500</v>
      </c>
      <c r="H25" s="19">
        <f>'22'!G7</f>
        <v>23774.399999999994</v>
      </c>
      <c r="I25" s="19">
        <f>'22'!G8</f>
        <v>22500</v>
      </c>
      <c r="J25" s="19">
        <v>9</v>
      </c>
      <c r="K25" s="49">
        <f t="shared" si="3"/>
        <v>202500</v>
      </c>
      <c r="L25" s="45">
        <f t="shared" si="4"/>
        <v>111.38613861386139</v>
      </c>
      <c r="M25" s="19">
        <f>'22'!G15</f>
        <v>882.82000000006519</v>
      </c>
      <c r="N25" s="19">
        <v>56.2</v>
      </c>
      <c r="O25" s="41">
        <f t="shared" si="5"/>
        <v>49614.484000003664</v>
      </c>
      <c r="P25" s="19">
        <f>'22'!G20</f>
        <v>265</v>
      </c>
      <c r="Q25" s="19">
        <v>108</v>
      </c>
      <c r="R25" s="46">
        <f t="shared" si="0"/>
        <v>28620</v>
      </c>
      <c r="S25" s="47">
        <f t="shared" si="1"/>
        <v>163.98514851485146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82</v>
      </c>
      <c r="X25" s="22">
        <f>'22'!G97</f>
        <v>28</v>
      </c>
      <c r="Y25" s="22">
        <f>'22'!G98</f>
        <v>33</v>
      </c>
      <c r="Z25" s="22">
        <f t="shared" si="7"/>
        <v>143</v>
      </c>
      <c r="AA25" s="19">
        <f>'22'!G133</f>
        <v>0</v>
      </c>
      <c r="AB25" s="19">
        <f>'22'!G134</f>
        <v>6.0199999999999818</v>
      </c>
      <c r="AC25" s="19">
        <f>'22'!G135</f>
        <v>24.180000000000291</v>
      </c>
      <c r="AD25" s="19">
        <f>'22'!G136</f>
        <v>0</v>
      </c>
      <c r="AE25" s="19">
        <f t="shared" si="8"/>
        <v>30.200000000000273</v>
      </c>
      <c r="AF25" s="23">
        <f t="shared" si="2"/>
        <v>7248.859999999986</v>
      </c>
      <c r="AG25" s="23">
        <f t="shared" si="9"/>
        <v>240.02847682118943</v>
      </c>
      <c r="AH25" s="19">
        <f>'22'!G137</f>
        <v>8.5099999999983993</v>
      </c>
      <c r="AI25" s="19">
        <f>'22'!G138</f>
        <v>0</v>
      </c>
      <c r="AJ25" s="19">
        <f>'22'!G139</f>
        <v>0.94999999999708962</v>
      </c>
      <c r="AK25" s="19">
        <f t="shared" si="10"/>
        <v>9.4599999999954889</v>
      </c>
      <c r="AL25" s="19">
        <f>'22'!G140</f>
        <v>10.5</v>
      </c>
      <c r="AM25" s="19">
        <f>'22'!G141</f>
        <v>0</v>
      </c>
      <c r="AN25" s="19"/>
      <c r="AO25" s="19">
        <f t="shared" si="11"/>
        <v>10.5</v>
      </c>
      <c r="AP25" s="52">
        <f>'22'!G124</f>
        <v>272.02000000001863</v>
      </c>
      <c r="AQ25" s="55">
        <f>'22'!G35</f>
        <v>0</v>
      </c>
      <c r="AR25" s="19">
        <f>'22'!G37</f>
        <v>1652</v>
      </c>
      <c r="AS25" s="19">
        <f>'22'!G38</f>
        <v>1801</v>
      </c>
      <c r="AT25" s="19">
        <f>'22'!G39</f>
        <v>4097</v>
      </c>
      <c r="AU25" s="19">
        <f>'22'!G40</f>
        <v>537.09999999999854</v>
      </c>
      <c r="AV25" s="19">
        <f>'22'!G41</f>
        <v>0</v>
      </c>
      <c r="AW25" s="19">
        <f>'22'!G42</f>
        <v>1097.859999999986</v>
      </c>
      <c r="AX25" s="19">
        <f>'22'!G43</f>
        <v>2820</v>
      </c>
      <c r="AY25" s="23">
        <f>'22'!G44</f>
        <v>0</v>
      </c>
      <c r="AZ25" s="56">
        <f>'22'!G36</f>
        <v>865.40000000000146</v>
      </c>
      <c r="BA25" s="55">
        <f>'22'!G49</f>
        <v>3360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0.38999999999941792</v>
      </c>
      <c r="BF25" s="19">
        <f>'22'!G55</f>
        <v>6137</v>
      </c>
      <c r="BG25" s="19">
        <f>'22'!G56</f>
        <v>14</v>
      </c>
      <c r="BH25" s="19">
        <f>'22'!G57</f>
        <v>0</v>
      </c>
      <c r="BI25" s="56">
        <f>'22'!G50</f>
        <v>1431</v>
      </c>
      <c r="BJ25" s="62">
        <f t="shared" si="12"/>
        <v>7248.859999999986</v>
      </c>
      <c r="BK25" s="62">
        <f>'22'!G84</f>
        <v>783</v>
      </c>
      <c r="BL25" s="23">
        <f t="shared" si="13"/>
        <v>59.683822222222162</v>
      </c>
      <c r="BM25" s="23">
        <f t="shared" si="14"/>
        <v>18.20888888888889</v>
      </c>
      <c r="BN25" s="24">
        <f t="shared" si="15"/>
        <v>8.0044444444444446E-2</v>
      </c>
      <c r="BO25" s="25">
        <f t="shared" si="16"/>
        <v>280734.48400000366</v>
      </c>
      <c r="BP25" s="38">
        <f t="shared" si="17"/>
        <v>10851.859999999986</v>
      </c>
      <c r="BQ25">
        <f t="shared" si="18"/>
        <v>1.283332544938492</v>
      </c>
    </row>
    <row r="26" spans="1:69">
      <c r="A26" s="16">
        <v>23</v>
      </c>
      <c r="B26" s="27">
        <v>23</v>
      </c>
      <c r="C26" s="28"/>
      <c r="D26" s="19">
        <f>'23'!D3</f>
        <v>28</v>
      </c>
      <c r="E26" s="50">
        <f>'23'!D4</f>
        <v>0.78</v>
      </c>
      <c r="F26" s="50">
        <f>'23'!D2</f>
        <v>0.72</v>
      </c>
      <c r="G26" s="19">
        <f>'23'!G8</f>
        <v>22500</v>
      </c>
      <c r="H26" s="19">
        <f>'23'!G7</f>
        <v>22303.5</v>
      </c>
      <c r="I26" s="19">
        <f>'23'!G8</f>
        <v>22500</v>
      </c>
      <c r="J26" s="19">
        <v>9</v>
      </c>
      <c r="K26" s="49">
        <f t="shared" si="3"/>
        <v>202500</v>
      </c>
      <c r="L26" s="45">
        <f t="shared" si="4"/>
        <v>111.38613861386139</v>
      </c>
      <c r="M26" s="19">
        <f>'23'!G15</f>
        <v>828.71999999997206</v>
      </c>
      <c r="N26" s="19">
        <v>56.2</v>
      </c>
      <c r="O26" s="41">
        <f t="shared" si="5"/>
        <v>46574.063999998434</v>
      </c>
      <c r="P26" s="19">
        <f>'23'!G20</f>
        <v>226</v>
      </c>
      <c r="Q26" s="19">
        <v>108</v>
      </c>
      <c r="R26" s="46">
        <f t="shared" si="0"/>
        <v>24408</v>
      </c>
      <c r="S26" s="47">
        <f t="shared" si="1"/>
        <v>155.3905390539054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65</v>
      </c>
      <c r="X26" s="22">
        <f>'23'!G97</f>
        <v>19</v>
      </c>
      <c r="Y26" s="22">
        <f>'23'!G98</f>
        <v>23</v>
      </c>
      <c r="Z26" s="22">
        <f t="shared" si="7"/>
        <v>107</v>
      </c>
      <c r="AA26" s="19">
        <f>'23'!G133</f>
        <v>0</v>
      </c>
      <c r="AB26" s="19">
        <f>'23'!G134</f>
        <v>6.7300000000000182</v>
      </c>
      <c r="AC26" s="19">
        <f>'23'!G135</f>
        <v>23.819999999999709</v>
      </c>
      <c r="AD26" s="19">
        <f>'23'!G136</f>
        <v>0</v>
      </c>
      <c r="AE26" s="19">
        <f t="shared" si="8"/>
        <v>30.549999999999727</v>
      </c>
      <c r="AF26" s="23">
        <f t="shared" si="2"/>
        <v>7286</v>
      </c>
      <c r="AG26" s="23">
        <f t="shared" si="9"/>
        <v>238.49427168576318</v>
      </c>
      <c r="AH26" s="19">
        <f>'23'!G137</f>
        <v>7.75</v>
      </c>
      <c r="AI26" s="19">
        <f>'23'!G138</f>
        <v>0</v>
      </c>
      <c r="AJ26" s="19">
        <f>'23'!G139</f>
        <v>0</v>
      </c>
      <c r="AK26" s="19">
        <f t="shared" si="10"/>
        <v>7.75</v>
      </c>
      <c r="AL26" s="19">
        <f>'23'!G140</f>
        <v>10.179999999999836</v>
      </c>
      <c r="AM26" s="19">
        <f>'23'!G141</f>
        <v>0</v>
      </c>
      <c r="AN26" s="19"/>
      <c r="AO26" s="19">
        <f t="shared" si="11"/>
        <v>10.179999999999836</v>
      </c>
      <c r="AP26" s="52">
        <f>'23'!G124</f>
        <v>261.97999999998137</v>
      </c>
      <c r="AQ26" s="55">
        <f>'23'!G35</f>
        <v>0</v>
      </c>
      <c r="AR26" s="19">
        <f>'23'!G37</f>
        <v>1589</v>
      </c>
      <c r="AS26" s="19">
        <f>'23'!G38</f>
        <v>1544</v>
      </c>
      <c r="AT26" s="19">
        <f>'23'!G39</f>
        <v>3499</v>
      </c>
      <c r="AU26" s="19">
        <f>'23'!G40</f>
        <v>539.20000000000073</v>
      </c>
      <c r="AV26" s="19">
        <f>'23'!G41</f>
        <v>0</v>
      </c>
      <c r="AW26" s="19">
        <f>'23'!G42</f>
        <v>1430</v>
      </c>
      <c r="AX26" s="19">
        <f>'23'!G43</f>
        <v>2470</v>
      </c>
      <c r="AY26" s="23">
        <f>'23'!G44</f>
        <v>0</v>
      </c>
      <c r="AZ26" s="56">
        <f>'23'!G36</f>
        <v>662.19999999999709</v>
      </c>
      <c r="BA26" s="55">
        <f>'23'!G49</f>
        <v>3117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0</v>
      </c>
      <c r="BF26" s="19">
        <f>'23'!G55</f>
        <v>5843</v>
      </c>
      <c r="BG26" s="19">
        <f>'23'!G56</f>
        <v>13</v>
      </c>
      <c r="BH26" s="19">
        <f>'23'!G57</f>
        <v>0</v>
      </c>
      <c r="BI26" s="56">
        <f>'23'!G50</f>
        <v>985</v>
      </c>
      <c r="BJ26" s="62">
        <f t="shared" si="12"/>
        <v>7286</v>
      </c>
      <c r="BK26" s="62">
        <f>'23'!G84</f>
        <v>691</v>
      </c>
      <c r="BL26" s="23">
        <f t="shared" si="13"/>
        <v>57.213333333333331</v>
      </c>
      <c r="BM26" s="23">
        <f t="shared" si="14"/>
        <v>15.551111111111112</v>
      </c>
      <c r="BN26" s="24">
        <f t="shared" si="15"/>
        <v>6.8622222222222223E-2</v>
      </c>
      <c r="BO26" s="25">
        <f t="shared" si="16"/>
        <v>273482.06399999844</v>
      </c>
      <c r="BP26" s="38">
        <f t="shared" si="17"/>
        <v>10447</v>
      </c>
      <c r="BQ26">
        <f t="shared" si="18"/>
        <v>1.2212999766191364</v>
      </c>
    </row>
    <row r="27" spans="1:69">
      <c r="A27" s="16">
        <v>24</v>
      </c>
      <c r="B27" s="17">
        <v>24</v>
      </c>
      <c r="C27" s="28"/>
      <c r="D27" s="19">
        <f>'24'!D3</f>
        <v>29</v>
      </c>
      <c r="E27" s="50">
        <f>'24'!D4</f>
        <v>0.8</v>
      </c>
      <c r="F27" s="50">
        <f>'24'!D2</f>
        <v>0.81</v>
      </c>
      <c r="G27" s="19">
        <f>'24'!G8</f>
        <v>22499.999999999985</v>
      </c>
      <c r="H27" s="19">
        <f>'24'!G7</f>
        <v>24087</v>
      </c>
      <c r="I27" s="19">
        <f>'24'!G8</f>
        <v>22499.999999999985</v>
      </c>
      <c r="J27" s="19">
        <v>9</v>
      </c>
      <c r="K27" s="49">
        <f t="shared" si="3"/>
        <v>202499.99999999988</v>
      </c>
      <c r="L27" s="45">
        <f t="shared" si="4"/>
        <v>111.38613861386132</v>
      </c>
      <c r="M27" s="19">
        <f>'24'!G15</f>
        <v>879</v>
      </c>
      <c r="N27" s="19">
        <v>56.2</v>
      </c>
      <c r="O27" s="41">
        <f t="shared" si="5"/>
        <v>49399.8</v>
      </c>
      <c r="P27" s="19">
        <f>'24'!G20</f>
        <v>224</v>
      </c>
      <c r="Q27" s="19">
        <v>108</v>
      </c>
      <c r="R27" s="46">
        <f t="shared" si="0"/>
        <v>24192</v>
      </c>
      <c r="S27" s="47">
        <f t="shared" si="1"/>
        <v>136.90257914680356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67</v>
      </c>
      <c r="X27" s="22">
        <f>'24'!G97</f>
        <v>27</v>
      </c>
      <c r="Y27" s="22">
        <f>'24'!G98</f>
        <v>20</v>
      </c>
      <c r="Z27" s="22">
        <f t="shared" si="7"/>
        <v>114</v>
      </c>
      <c r="AA27" s="19">
        <f>'24'!G133</f>
        <v>0</v>
      </c>
      <c r="AB27" s="19">
        <f>'24'!G134</f>
        <v>11</v>
      </c>
      <c r="AC27" s="19">
        <f>'24'!G135</f>
        <v>24</v>
      </c>
      <c r="AD27" s="19">
        <f>'24'!G136</f>
        <v>-5.0000000002910383E-2</v>
      </c>
      <c r="AE27" s="19">
        <f t="shared" si="8"/>
        <v>34.94999999999709</v>
      </c>
      <c r="AF27" s="23">
        <f t="shared" si="2"/>
        <v>8002</v>
      </c>
      <c r="AG27" s="23">
        <f t="shared" si="9"/>
        <v>228.95565092991893</v>
      </c>
      <c r="AH27" s="19">
        <f>'24'!G137</f>
        <v>9.4700000000011642</v>
      </c>
      <c r="AI27" s="19">
        <f>'24'!G138</f>
        <v>0</v>
      </c>
      <c r="AJ27" s="19">
        <f>'24'!G139</f>
        <v>0</v>
      </c>
      <c r="AK27" s="19">
        <f t="shared" si="10"/>
        <v>9.4700000000011642</v>
      </c>
      <c r="AL27" s="19">
        <f>'24'!G140</f>
        <v>9.1700000000000728</v>
      </c>
      <c r="AM27" s="19">
        <f>'24'!G141</f>
        <v>0</v>
      </c>
      <c r="AN27" s="19"/>
      <c r="AO27" s="19">
        <f t="shared" si="11"/>
        <v>9.1700000000000728</v>
      </c>
      <c r="AP27" s="52">
        <f>'24'!G124</f>
        <v>244</v>
      </c>
      <c r="AQ27" s="55">
        <f>'24'!G35</f>
        <v>0</v>
      </c>
      <c r="AR27" s="19">
        <f>'24'!G37</f>
        <v>1505</v>
      </c>
      <c r="AS27" s="19">
        <f>'24'!G38</f>
        <v>1661</v>
      </c>
      <c r="AT27" s="19">
        <f>'24'!G39</f>
        <v>3973</v>
      </c>
      <c r="AU27" s="19">
        <f>'24'!G40</f>
        <v>422</v>
      </c>
      <c r="AV27" s="19">
        <f>'24'!G41</f>
        <v>0</v>
      </c>
      <c r="AW27" s="19">
        <f>'24'!G42</f>
        <v>2333</v>
      </c>
      <c r="AX27" s="19">
        <f>'24'!G43</f>
        <v>3020</v>
      </c>
      <c r="AY27" s="23">
        <f>'24'!G44</f>
        <v>0</v>
      </c>
      <c r="AZ27" s="56">
        <f>'24'!G36</f>
        <v>672</v>
      </c>
      <c r="BA27" s="55">
        <f>'24'!G49</f>
        <v>3121</v>
      </c>
      <c r="BB27" s="19">
        <f>'24'!G51</f>
        <v>0</v>
      </c>
      <c r="BC27" s="19">
        <f>'24'!G52</f>
        <v>-6.9999999948777258E-2</v>
      </c>
      <c r="BD27" s="19">
        <f>'24'!G53</f>
        <v>0.40999999997438863</v>
      </c>
      <c r="BE27" s="19">
        <f>'24'!G54</f>
        <v>-0.38999999999941792</v>
      </c>
      <c r="BF27" s="19">
        <f>'24'!G55</f>
        <v>5656</v>
      </c>
      <c r="BG27" s="19">
        <f>'24'!G56</f>
        <v>13</v>
      </c>
      <c r="BH27" s="19">
        <f>'24'!G57</f>
        <v>0</v>
      </c>
      <c r="BI27" s="56">
        <f>'24'!G50</f>
        <v>1445</v>
      </c>
      <c r="BJ27" s="62">
        <f t="shared" si="12"/>
        <v>8002</v>
      </c>
      <c r="BK27" s="62">
        <f>'24'!G84</f>
        <v>687</v>
      </c>
      <c r="BL27" s="23">
        <f t="shared" si="13"/>
        <v>62.857777777777819</v>
      </c>
      <c r="BM27" s="23">
        <f t="shared" si="14"/>
        <v>17.659599999999898</v>
      </c>
      <c r="BN27" s="24">
        <f t="shared" si="15"/>
        <v>7.3819111111113431E-2</v>
      </c>
      <c r="BO27" s="25">
        <f t="shared" si="16"/>
        <v>276091.79999999987</v>
      </c>
      <c r="BP27" s="38">
        <f t="shared" si="17"/>
        <v>11709</v>
      </c>
      <c r="BQ27">
        <f t="shared" si="18"/>
        <v>1.1965052115267705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0.99</v>
      </c>
      <c r="G28" s="19">
        <f>'25'!G8</f>
        <v>22500</v>
      </c>
      <c r="H28" s="19">
        <f>'25'!G7</f>
        <v>23250</v>
      </c>
      <c r="I28" s="19">
        <f>'25'!G8</f>
        <v>22500</v>
      </c>
      <c r="J28" s="19">
        <v>9</v>
      </c>
      <c r="K28" s="49">
        <f t="shared" si="3"/>
        <v>202500</v>
      </c>
      <c r="L28" s="45">
        <f t="shared" si="4"/>
        <v>111.38613861386139</v>
      </c>
      <c r="M28" s="19">
        <f>'25'!G15</f>
        <v>795</v>
      </c>
      <c r="N28" s="19">
        <v>56.2</v>
      </c>
      <c r="O28" s="41">
        <f t="shared" si="5"/>
        <v>44679</v>
      </c>
      <c r="P28" s="19">
        <f>'25'!G20</f>
        <v>222</v>
      </c>
      <c r="Q28" s="19">
        <v>108</v>
      </c>
      <c r="R28" s="46">
        <f t="shared" si="0"/>
        <v>23976</v>
      </c>
      <c r="S28" s="47">
        <f t="shared" si="1"/>
        <v>111.01110111011103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65</v>
      </c>
      <c r="X28" s="22">
        <f>'25'!G97</f>
        <v>20</v>
      </c>
      <c r="Y28" s="22">
        <f>'25'!G98</f>
        <v>27</v>
      </c>
      <c r="Z28" s="22">
        <f t="shared" si="7"/>
        <v>112</v>
      </c>
      <c r="AA28" s="19">
        <f>'25'!G133</f>
        <v>0</v>
      </c>
      <c r="AB28" s="19">
        <f>'25'!G134</f>
        <v>12.519999999999982</v>
      </c>
      <c r="AC28" s="19">
        <f>'25'!G135</f>
        <v>24.349999999998545</v>
      </c>
      <c r="AD28" s="19">
        <f>'25'!G136</f>
        <v>0</v>
      </c>
      <c r="AE28" s="19">
        <f t="shared" si="8"/>
        <v>36.869999999998527</v>
      </c>
      <c r="AF28" s="23">
        <f t="shared" si="2"/>
        <v>5089</v>
      </c>
      <c r="AG28" s="23">
        <f t="shared" si="9"/>
        <v>138.02549498237602</v>
      </c>
      <c r="AH28" s="19">
        <f>'24'!G137</f>
        <v>9.4700000000011642</v>
      </c>
      <c r="AI28" s="19">
        <f>'24'!G138</f>
        <v>0</v>
      </c>
      <c r="AJ28" s="19">
        <f>'24'!G139</f>
        <v>0</v>
      </c>
      <c r="AK28" s="19">
        <f t="shared" si="10"/>
        <v>9.4700000000011642</v>
      </c>
      <c r="AL28" s="19">
        <f>'23'!G140</f>
        <v>10.179999999999836</v>
      </c>
      <c r="AM28" s="19">
        <f>'24'!G141</f>
        <v>0</v>
      </c>
      <c r="AN28" s="19"/>
      <c r="AO28" s="19">
        <f t="shared" si="11"/>
        <v>10.179999999999836</v>
      </c>
      <c r="AP28" s="52">
        <f>'25'!G124</f>
        <v>242</v>
      </c>
      <c r="AQ28" s="55">
        <f>'25'!G35</f>
        <v>0</v>
      </c>
      <c r="AR28" s="19">
        <f>'25'!G37</f>
        <v>1616</v>
      </c>
      <c r="AS28" s="19">
        <f>'25'!G38</f>
        <v>1662</v>
      </c>
      <c r="AT28" s="19">
        <f>'25'!G39</f>
        <v>4050</v>
      </c>
      <c r="AU28" s="19">
        <f>'25'!G40</f>
        <v>495</v>
      </c>
      <c r="AV28" s="19">
        <f>'25'!G41</f>
        <v>0</v>
      </c>
      <c r="AW28" s="19"/>
      <c r="AX28" s="19">
        <f>'25'!G43</f>
        <v>3160</v>
      </c>
      <c r="AY28" s="23">
        <f>'25'!G44</f>
        <v>0</v>
      </c>
      <c r="AZ28" s="56">
        <f>'25'!G36</f>
        <v>696</v>
      </c>
      <c r="BA28" s="55">
        <f>'25'!G49</f>
        <v>3038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-0.38999999999941792</v>
      </c>
      <c r="BF28" s="19">
        <f>'25'!G55</f>
        <v>5076</v>
      </c>
      <c r="BG28" s="19">
        <f>'25'!G56</f>
        <v>13</v>
      </c>
      <c r="BH28" s="19">
        <f>'25'!G57</f>
        <v>0</v>
      </c>
      <c r="BI28" s="56">
        <f>'25'!G50</f>
        <v>1299</v>
      </c>
      <c r="BJ28" s="62">
        <f t="shared" si="12"/>
        <v>5089</v>
      </c>
      <c r="BK28" s="62">
        <f>'25'!G84</f>
        <v>685</v>
      </c>
      <c r="BL28" s="23">
        <f t="shared" si="13"/>
        <v>50.164444444444442</v>
      </c>
      <c r="BM28" s="23">
        <f t="shared" si="14"/>
        <v>18</v>
      </c>
      <c r="BN28" s="24">
        <f t="shared" si="15"/>
        <v>7.3869777777775494E-2</v>
      </c>
      <c r="BO28" s="25">
        <f t="shared" si="16"/>
        <v>271155</v>
      </c>
      <c r="BP28" s="38">
        <f t="shared" si="17"/>
        <v>8934</v>
      </c>
      <c r="BQ28">
        <f t="shared" si="18"/>
        <v>0.86539579216555829</v>
      </c>
    </row>
    <row r="29" spans="1:69">
      <c r="A29" s="16">
        <v>26</v>
      </c>
      <c r="B29" s="26">
        <v>26</v>
      </c>
      <c r="C29" s="29"/>
      <c r="D29" s="19">
        <f>'26'!D3</f>
        <v>29</v>
      </c>
      <c r="E29" s="50">
        <f>'26'!D4</f>
        <v>0.79</v>
      </c>
      <c r="F29" s="50">
        <f>'26'!D2</f>
        <v>0.75</v>
      </c>
      <c r="G29" s="19">
        <f>'26'!G8</f>
        <v>22500</v>
      </c>
      <c r="H29" s="19">
        <f>'26'!G7</f>
        <v>22798</v>
      </c>
      <c r="I29" s="19">
        <f>'26'!G8</f>
        <v>22500</v>
      </c>
      <c r="J29" s="19">
        <v>9</v>
      </c>
      <c r="K29" s="49">
        <f t="shared" si="3"/>
        <v>202500</v>
      </c>
      <c r="L29" s="45">
        <f t="shared" si="4"/>
        <v>111.38613861386139</v>
      </c>
      <c r="M29" s="19">
        <f>'26'!G15</f>
        <v>863</v>
      </c>
      <c r="N29" s="19">
        <v>56.2</v>
      </c>
      <c r="O29" s="41">
        <f t="shared" si="5"/>
        <v>48500.600000000006</v>
      </c>
      <c r="P29" s="19">
        <f>'26'!G20</f>
        <v>226</v>
      </c>
      <c r="Q29" s="19">
        <v>108</v>
      </c>
      <c r="R29" s="46">
        <f t="shared" si="0"/>
        <v>24408</v>
      </c>
      <c r="S29" s="47">
        <f t="shared" si="1"/>
        <v>149.1749174917492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73</v>
      </c>
      <c r="X29" s="22">
        <f>'26'!G97</f>
        <v>24</v>
      </c>
      <c r="Y29" s="22">
        <f>'26'!G98</f>
        <v>31</v>
      </c>
      <c r="Z29" s="22">
        <f t="shared" si="7"/>
        <v>128</v>
      </c>
      <c r="AA29" s="19">
        <f>'26'!G133</f>
        <v>0</v>
      </c>
      <c r="AB29" s="19">
        <f>'26'!G134</f>
        <v>13.909999999999968</v>
      </c>
      <c r="AC29" s="19">
        <f>'26'!G135</f>
        <v>18.650000000001455</v>
      </c>
      <c r="AD29" s="19">
        <f>'26'!G136</f>
        <v>0</v>
      </c>
      <c r="AE29" s="19">
        <f t="shared" si="8"/>
        <v>32.560000000001423</v>
      </c>
      <c r="AF29" s="23">
        <f t="shared" si="2"/>
        <v>6975</v>
      </c>
      <c r="AG29" s="23">
        <f t="shared" si="9"/>
        <v>214.21990171989236</v>
      </c>
      <c r="AH29" s="19">
        <f>'26'!G137</f>
        <v>9.0999999999985448</v>
      </c>
      <c r="AI29" s="19">
        <f>'26'!G138</f>
        <v>0</v>
      </c>
      <c r="AJ29" s="19">
        <f>'26'!G139</f>
        <v>0</v>
      </c>
      <c r="AK29" s="19">
        <f t="shared" si="10"/>
        <v>9.0999999999985448</v>
      </c>
      <c r="AL29" s="19">
        <f>'26'!G140</f>
        <v>9.7300000000000182</v>
      </c>
      <c r="AM29" s="19">
        <f>'26'!G141</f>
        <v>0</v>
      </c>
      <c r="AN29" s="19"/>
      <c r="AO29" s="19">
        <f t="shared" si="11"/>
        <v>9.7300000000000182</v>
      </c>
      <c r="AP29" s="52">
        <f>'26'!G124</f>
        <v>252</v>
      </c>
      <c r="AQ29" s="55">
        <f>'26'!G35</f>
        <v>0</v>
      </c>
      <c r="AR29" s="19">
        <f>'26'!G37</f>
        <v>1519</v>
      </c>
      <c r="AS29" s="19">
        <f>'26'!G38</f>
        <v>1729</v>
      </c>
      <c r="AT29" s="19">
        <f>'26'!G39</f>
        <v>3903</v>
      </c>
      <c r="AU29" s="19">
        <f>'26'!G40</f>
        <v>564</v>
      </c>
      <c r="AV29" s="19">
        <f>'26'!G41</f>
        <v>0</v>
      </c>
      <c r="AW29" s="19">
        <f>'26'!G42</f>
        <v>2906</v>
      </c>
      <c r="AX29" s="19">
        <f>'26'!G43</f>
        <v>2870</v>
      </c>
      <c r="AY29" s="23">
        <f>'26'!G44</f>
        <v>0</v>
      </c>
      <c r="AZ29" s="56">
        <f>'26'!G36</f>
        <v>822</v>
      </c>
      <c r="BA29" s="55">
        <f>'26'!G49</f>
        <v>3049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4056</v>
      </c>
      <c r="BG29" s="19">
        <f>'26'!G56</f>
        <v>13</v>
      </c>
      <c r="BH29" s="19">
        <f>'26'!G57</f>
        <v>0</v>
      </c>
      <c r="BI29" s="56">
        <f>'26'!G50</f>
        <v>1061</v>
      </c>
      <c r="BJ29" s="62">
        <f t="shared" si="12"/>
        <v>6975</v>
      </c>
      <c r="BK29" s="62">
        <f>'26'!G84</f>
        <v>674</v>
      </c>
      <c r="BL29" s="23">
        <f t="shared" si="13"/>
        <v>57.306666666666665</v>
      </c>
      <c r="BM29" s="23">
        <f t="shared" si="14"/>
        <v>17.346666666666668</v>
      </c>
      <c r="BN29" s="24">
        <f t="shared" si="15"/>
        <v>7.6844444444444451E-2</v>
      </c>
      <c r="BO29" s="25">
        <f t="shared" si="16"/>
        <v>275408.59999999998</v>
      </c>
      <c r="BP29" s="38">
        <f t="shared" si="17"/>
        <v>10519</v>
      </c>
      <c r="BQ29">
        <f t="shared" si="18"/>
        <v>1.1538039663039157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50">
        <f>'27'!D4</f>
        <v>0.85</v>
      </c>
      <c r="F30" s="50">
        <f>'27'!D2</f>
        <v>0.72</v>
      </c>
      <c r="G30" s="19">
        <f>'27'!G8</f>
        <v>22500</v>
      </c>
      <c r="H30" s="19">
        <f>'27'!G7</f>
        <v>18832</v>
      </c>
      <c r="I30" s="19">
        <f>'27'!G8</f>
        <v>22500</v>
      </c>
      <c r="J30" s="19">
        <v>9</v>
      </c>
      <c r="K30" s="49">
        <f t="shared" si="3"/>
        <v>202500</v>
      </c>
      <c r="L30" s="45">
        <f t="shared" si="4"/>
        <v>111.38613861386139</v>
      </c>
      <c r="M30" s="19">
        <f>'27'!G15</f>
        <v>845</v>
      </c>
      <c r="N30" s="19">
        <v>56.2</v>
      </c>
      <c r="O30" s="41">
        <f t="shared" si="5"/>
        <v>47489</v>
      </c>
      <c r="P30" s="19">
        <f>'27'!G20</f>
        <v>260</v>
      </c>
      <c r="Q30" s="19">
        <v>108</v>
      </c>
      <c r="R30" s="46">
        <f t="shared" si="0"/>
        <v>28080</v>
      </c>
      <c r="S30" s="47">
        <f t="shared" si="1"/>
        <v>178.76787678767877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121</v>
      </c>
      <c r="X30" s="22">
        <f>'27'!G97</f>
        <v>26</v>
      </c>
      <c r="Y30" s="22">
        <f>'27'!G98</f>
        <v>37</v>
      </c>
      <c r="Z30" s="22">
        <f t="shared" si="7"/>
        <v>184</v>
      </c>
      <c r="AA30" s="19">
        <f>'27'!G133</f>
        <v>0</v>
      </c>
      <c r="AB30" s="19">
        <f>'27'!G134</f>
        <v>23.57000000000005</v>
      </c>
      <c r="AC30" s="19">
        <f>'27'!G135</f>
        <v>0</v>
      </c>
      <c r="AD30" s="19">
        <f>'27'!G136</f>
        <v>11</v>
      </c>
      <c r="AE30" s="19">
        <f t="shared" si="8"/>
        <v>34.57000000000005</v>
      </c>
      <c r="AF30" s="23">
        <f t="shared" si="2"/>
        <v>5590</v>
      </c>
      <c r="AG30" s="23">
        <f t="shared" si="9"/>
        <v>161.70089673126967</v>
      </c>
      <c r="AH30" s="19">
        <f>'27'!G137</f>
        <v>8.430000000000291</v>
      </c>
      <c r="AI30" s="19">
        <f>'27'!G138</f>
        <v>0</v>
      </c>
      <c r="AJ30" s="19">
        <f>'27'!G139</f>
        <v>0</v>
      </c>
      <c r="AK30" s="19">
        <f t="shared" si="10"/>
        <v>8.430000000000291</v>
      </c>
      <c r="AL30" s="19">
        <f>'27'!G140</f>
        <v>10.650000000000091</v>
      </c>
      <c r="AM30" s="19">
        <f>'27'!G141</f>
        <v>0</v>
      </c>
      <c r="AN30" s="19"/>
      <c r="AO30" s="19">
        <f t="shared" si="11"/>
        <v>10.650000000000091</v>
      </c>
      <c r="AP30" s="52">
        <f>'27'!G124</f>
        <v>274</v>
      </c>
      <c r="AQ30" s="55">
        <f>'27'!G35</f>
        <v>0</v>
      </c>
      <c r="AR30" s="19">
        <f>'27'!G37</f>
        <v>1481</v>
      </c>
      <c r="AS30" s="19">
        <f>'27'!G38</f>
        <v>1758</v>
      </c>
      <c r="AT30" s="19">
        <f>'27'!G39</f>
        <v>3207</v>
      </c>
      <c r="AU30" s="19">
        <f>'27'!G40</f>
        <v>341</v>
      </c>
      <c r="AV30" s="19">
        <f>'27'!G41</f>
        <v>0</v>
      </c>
      <c r="AW30" s="19">
        <f>'27'!G42</f>
        <v>4127</v>
      </c>
      <c r="AX30" s="19">
        <f>'27'!G43</f>
        <v>2380</v>
      </c>
      <c r="AY30" s="23">
        <f>'27'!G44</f>
        <v>0</v>
      </c>
      <c r="AZ30" s="56">
        <f>'27'!G36</f>
        <v>693</v>
      </c>
      <c r="BA30" s="55">
        <f>'27'!G49</f>
        <v>2493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0</v>
      </c>
      <c r="BG30" s="19">
        <f>'27'!G56</f>
        <v>1463</v>
      </c>
      <c r="BH30" s="19">
        <f>'27'!G57</f>
        <v>0</v>
      </c>
      <c r="BI30" s="56">
        <f>'27'!G50</f>
        <v>1064</v>
      </c>
      <c r="BJ30" s="62">
        <f t="shared" si="12"/>
        <v>5590</v>
      </c>
      <c r="BK30" s="62">
        <f>'27'!G84</f>
        <v>634</v>
      </c>
      <c r="BL30" s="23">
        <f t="shared" si="13"/>
        <v>46.502222222222223</v>
      </c>
      <c r="BM30" s="23">
        <f t="shared" si="14"/>
        <v>14.253333333333334</v>
      </c>
      <c r="BN30" s="24">
        <f t="shared" si="15"/>
        <v>7.8130222222224502E-2</v>
      </c>
      <c r="BO30" s="25">
        <f t="shared" si="16"/>
        <v>278069</v>
      </c>
      <c r="BP30" s="38">
        <f t="shared" si="17"/>
        <v>8604</v>
      </c>
      <c r="BQ30">
        <f t="shared" si="18"/>
        <v>0.8888797057729646</v>
      </c>
    </row>
    <row r="31" spans="1:69">
      <c r="A31" s="16">
        <v>28</v>
      </c>
      <c r="B31" s="26">
        <v>28</v>
      </c>
      <c r="C31" s="28"/>
      <c r="D31" s="19">
        <f>'28'!D3</f>
        <v>28</v>
      </c>
      <c r="E31" s="50">
        <f>'28'!D4</f>
        <v>0.85</v>
      </c>
      <c r="F31" s="50">
        <f>'28'!D2</f>
        <v>0.65</v>
      </c>
      <c r="G31" s="19">
        <f>'28'!G8</f>
        <v>22500</v>
      </c>
      <c r="H31" s="19">
        <f>'28'!G7</f>
        <v>23250</v>
      </c>
      <c r="I31" s="19">
        <f>'28'!G8</f>
        <v>22500</v>
      </c>
      <c r="J31" s="19">
        <v>9</v>
      </c>
      <c r="K31" s="49">
        <f t="shared" si="3"/>
        <v>202500</v>
      </c>
      <c r="L31" s="45">
        <f t="shared" si="4"/>
        <v>111.38613861386139</v>
      </c>
      <c r="M31" s="19">
        <f>'28'!G15</f>
        <v>964</v>
      </c>
      <c r="N31" s="19">
        <v>56.2</v>
      </c>
      <c r="O31" s="41">
        <f t="shared" si="5"/>
        <v>54176.800000000003</v>
      </c>
      <c r="P31" s="19">
        <f>'28'!G20</f>
        <v>260</v>
      </c>
      <c r="Q31" s="19">
        <v>108</v>
      </c>
      <c r="R31" s="46">
        <f t="shared" si="0"/>
        <v>28080</v>
      </c>
      <c r="S31" s="47">
        <f t="shared" si="1"/>
        <v>198.019801980198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82</v>
      </c>
      <c r="X31" s="22">
        <f>'28'!G97</f>
        <v>25</v>
      </c>
      <c r="Y31" s="22">
        <f>'28'!G98</f>
        <v>35</v>
      </c>
      <c r="Z31" s="22">
        <f t="shared" si="7"/>
        <v>142</v>
      </c>
      <c r="AA31" s="19">
        <f>'28'!G133</f>
        <v>0.47000000000116415</v>
      </c>
      <c r="AB31" s="19">
        <f>'28'!G134</f>
        <v>0</v>
      </c>
      <c r="AC31" s="19">
        <f>'28'!G135</f>
        <v>10</v>
      </c>
      <c r="AD31" s="19">
        <f>'28'!G136</f>
        <v>24</v>
      </c>
      <c r="AE31" s="19">
        <f t="shared" si="8"/>
        <v>34.470000000001164</v>
      </c>
      <c r="AF31" s="23">
        <f t="shared" si="2"/>
        <v>6994</v>
      </c>
      <c r="AG31" s="23">
        <f t="shared" si="9"/>
        <v>202.9010733971501</v>
      </c>
      <c r="AH31" s="19">
        <f>'28'!G137</f>
        <v>9.8699999999989814</v>
      </c>
      <c r="AI31" s="19">
        <f>'28'!G138</f>
        <v>0</v>
      </c>
      <c r="AJ31" s="19">
        <f>'28'!G139</f>
        <v>0.44999999999708962</v>
      </c>
      <c r="AK31" s="19">
        <f t="shared" si="10"/>
        <v>10.319999999996071</v>
      </c>
      <c r="AL31" s="19">
        <f>'28'!G140</f>
        <v>10.539999999999964</v>
      </c>
      <c r="AM31" s="19">
        <f>'28'!G141</f>
        <v>0.32999999999992724</v>
      </c>
      <c r="AN31" s="19"/>
      <c r="AO31" s="19">
        <f t="shared" si="11"/>
        <v>10.869999999999891</v>
      </c>
      <c r="AP31" s="52">
        <f>'28'!G124</f>
        <v>278</v>
      </c>
      <c r="AQ31" s="55">
        <f>'28'!G35</f>
        <v>0</v>
      </c>
      <c r="AR31" s="19">
        <f>'28'!G37</f>
        <v>1485</v>
      </c>
      <c r="AS31" s="19">
        <f>'28'!G38</f>
        <v>1792</v>
      </c>
      <c r="AT31" s="19">
        <f>'28'!G39</f>
        <v>4184</v>
      </c>
      <c r="AU31" s="19">
        <f>'28'!G40</f>
        <v>439.69999999999709</v>
      </c>
      <c r="AV31" s="19">
        <f>'28'!G41</f>
        <v>0</v>
      </c>
      <c r="AW31" s="19">
        <f>'28'!G42</f>
        <v>0</v>
      </c>
      <c r="AX31" s="90">
        <f>'28'!G43</f>
        <v>3100</v>
      </c>
      <c r="AY31" s="23">
        <f>'28'!G44</f>
        <v>0</v>
      </c>
      <c r="AZ31" s="56">
        <f>'28'!G36</f>
        <v>849</v>
      </c>
      <c r="BA31" s="55">
        <f>'28'!G49</f>
        <v>3633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1901</v>
      </c>
      <c r="BG31" s="19">
        <f>'28'!G56</f>
        <v>5093</v>
      </c>
      <c r="BH31" s="19">
        <f>'28'!G57</f>
        <v>0.32999999999992724</v>
      </c>
      <c r="BI31" s="56">
        <f>'28'!G50</f>
        <v>1071</v>
      </c>
      <c r="BJ31" s="62">
        <f t="shared" si="12"/>
        <v>6994</v>
      </c>
      <c r="BK31" s="62">
        <f>'28'!G84</f>
        <v>751</v>
      </c>
      <c r="BL31" s="23">
        <f>SUM(AQ31,AV31,AW31,AX31,BA31,BF31,BG31,BH31)/I31%</f>
        <v>61.010355555555556</v>
      </c>
      <c r="BM31" s="23">
        <f t="shared" si="14"/>
        <v>18.595555555555556</v>
      </c>
      <c r="BN31" s="24">
        <f t="shared" si="15"/>
        <v>7.9647555555553279E-2</v>
      </c>
      <c r="BO31" s="25">
        <f t="shared" si="16"/>
        <v>284756.8</v>
      </c>
      <c r="BP31" s="38">
        <f t="shared" si="17"/>
        <v>10845.33</v>
      </c>
      <c r="BQ31">
        <f t="shared" si="18"/>
        <v>1.1236820837995394</v>
      </c>
    </row>
    <row r="32" spans="1:69">
      <c r="A32" s="16">
        <v>29</v>
      </c>
      <c r="B32" s="26">
        <v>29</v>
      </c>
      <c r="C32" s="28"/>
      <c r="D32" s="19">
        <f>'29'!D3</f>
        <v>28</v>
      </c>
      <c r="E32" s="50">
        <f>'29'!D4</f>
        <v>0.78</v>
      </c>
      <c r="F32" s="50">
        <f>'29'!D2</f>
        <v>0.86</v>
      </c>
      <c r="G32" s="19">
        <f>'29'!G8</f>
        <v>22500</v>
      </c>
      <c r="H32" s="19">
        <f>'29'!G7</f>
        <v>21510</v>
      </c>
      <c r="I32" s="19">
        <f>'29'!G8</f>
        <v>22500</v>
      </c>
      <c r="J32" s="19">
        <v>9</v>
      </c>
      <c r="K32" s="49">
        <f t="shared" si="3"/>
        <v>202500</v>
      </c>
      <c r="L32" s="45">
        <f t="shared" si="4"/>
        <v>111.38613861386139</v>
      </c>
      <c r="M32" s="19">
        <f>'29'!G15</f>
        <v>834</v>
      </c>
      <c r="N32" s="19">
        <v>56.2</v>
      </c>
      <c r="O32" s="41">
        <f t="shared" si="5"/>
        <v>46870.8</v>
      </c>
      <c r="P32" s="19">
        <f>'29'!G20</f>
        <v>242</v>
      </c>
      <c r="Q32" s="19">
        <v>108</v>
      </c>
      <c r="R32" s="46">
        <f t="shared" si="0"/>
        <v>26136</v>
      </c>
      <c r="S32" s="47">
        <f t="shared" si="1"/>
        <v>139.30462813723233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79</v>
      </c>
      <c r="X32" s="22">
        <f>'29'!G97</f>
        <v>33</v>
      </c>
      <c r="Y32" s="22">
        <f>'29'!G98</f>
        <v>39</v>
      </c>
      <c r="Z32" s="22">
        <f t="shared" si="7"/>
        <v>151</v>
      </c>
      <c r="AA32" s="19">
        <f>'29'!G133</f>
        <v>0</v>
      </c>
      <c r="AB32" s="19">
        <f>'29'!G134</f>
        <v>10</v>
      </c>
      <c r="AC32" s="19">
        <f>'29'!G135</f>
        <v>0</v>
      </c>
      <c r="AD32" s="19">
        <f>'29'!G136</f>
        <v>19</v>
      </c>
      <c r="AE32" s="19">
        <f t="shared" si="8"/>
        <v>29</v>
      </c>
      <c r="AF32" s="23">
        <f t="shared" si="2"/>
        <v>6639</v>
      </c>
      <c r="AG32" s="23">
        <f t="shared" si="9"/>
        <v>228.93103448275863</v>
      </c>
      <c r="AH32" s="19">
        <f>'29'!G137</f>
        <v>6.7000000000007276</v>
      </c>
      <c r="AI32" s="19">
        <f>'29'!G138</f>
        <v>2.0000000000436557E-2</v>
      </c>
      <c r="AJ32" s="19">
        <f>'29'!G139</f>
        <v>-0.44999999999708962</v>
      </c>
      <c r="AK32" s="19">
        <f t="shared" si="10"/>
        <v>6.2700000000040745</v>
      </c>
      <c r="AL32" s="19">
        <f>'29'!G140</f>
        <v>11.099999999999909</v>
      </c>
      <c r="AM32" s="19">
        <f>'29'!G141</f>
        <v>0</v>
      </c>
      <c r="AN32" s="19"/>
      <c r="AO32" s="19">
        <f t="shared" si="11"/>
        <v>11.099999999999909</v>
      </c>
      <c r="AP32" s="52">
        <f>'29'!G124</f>
        <v>285</v>
      </c>
      <c r="AQ32" s="55">
        <f>'29'!G35</f>
        <v>0</v>
      </c>
      <c r="AR32" s="19">
        <f>'29'!G37</f>
        <v>1389</v>
      </c>
      <c r="AS32" s="19">
        <f>'29'!G38</f>
        <v>1012</v>
      </c>
      <c r="AT32" s="19">
        <f>'29'!G39</f>
        <v>3986</v>
      </c>
      <c r="AU32" s="19">
        <f>'29'!G40</f>
        <v>419.30000000000291</v>
      </c>
      <c r="AV32" s="19">
        <f>'29'!G41</f>
        <v>0</v>
      </c>
      <c r="AW32" s="19">
        <f>'29'!G42</f>
        <v>2451</v>
      </c>
      <c r="AX32" s="19">
        <f>'29'!G43</f>
        <v>2895</v>
      </c>
      <c r="AY32" s="23">
        <f>'29'!G44</f>
        <v>0</v>
      </c>
      <c r="AZ32" s="56">
        <f>'29'!G36</f>
        <v>812</v>
      </c>
      <c r="BA32" s="55">
        <f>'29'!G49</f>
        <v>3322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0</v>
      </c>
      <c r="BG32" s="19">
        <f>'29'!G56</f>
        <v>4188</v>
      </c>
      <c r="BH32" s="19">
        <f>'29'!G57</f>
        <v>-0.32999999999992724</v>
      </c>
      <c r="BI32" s="56">
        <f>'29'!G50</f>
        <v>1098</v>
      </c>
      <c r="BJ32" s="62">
        <f t="shared" si="12"/>
        <v>6639</v>
      </c>
      <c r="BK32" s="62">
        <f>'29'!G84</f>
        <v>730</v>
      </c>
      <c r="BL32" s="23">
        <f t="shared" si="13"/>
        <v>57.136311111111112</v>
      </c>
      <c r="BM32" s="23">
        <f t="shared" si="14"/>
        <v>17.715555555555557</v>
      </c>
      <c r="BN32" s="24">
        <f t="shared" si="15"/>
        <v>4.4977777777777776E-2</v>
      </c>
      <c r="BO32" s="25">
        <f t="shared" si="16"/>
        <v>275506.8</v>
      </c>
      <c r="BP32" s="38">
        <f t="shared" si="17"/>
        <v>10263.67</v>
      </c>
      <c r="BQ32">
        <f t="shared" si="18"/>
        <v>1.2639987684729064</v>
      </c>
    </row>
    <row r="33" spans="1:69">
      <c r="A33" s="16">
        <v>30</v>
      </c>
      <c r="B33" s="27">
        <v>30</v>
      </c>
      <c r="C33" s="28"/>
      <c r="D33" s="19">
        <f>'30'!D3</f>
        <v>27</v>
      </c>
      <c r="E33" s="50">
        <f>'30'!D4</f>
        <v>0.78</v>
      </c>
      <c r="F33" s="50">
        <f>'30'!D2</f>
        <v>0.68</v>
      </c>
      <c r="G33" s="19">
        <f>'30'!G8</f>
        <v>22500</v>
      </c>
      <c r="H33" s="19">
        <f>'30'!G7</f>
        <v>22509</v>
      </c>
      <c r="I33" s="19">
        <f>'30'!G8</f>
        <v>22500</v>
      </c>
      <c r="J33" s="19">
        <v>9</v>
      </c>
      <c r="K33" s="49">
        <f t="shared" si="3"/>
        <v>202500</v>
      </c>
      <c r="L33" s="45">
        <f t="shared" si="4"/>
        <v>111.38613861386139</v>
      </c>
      <c r="M33" s="19">
        <f>'30'!G15</f>
        <v>877</v>
      </c>
      <c r="N33" s="19">
        <v>56.2</v>
      </c>
      <c r="O33" s="41">
        <f t="shared" si="5"/>
        <v>49287.4</v>
      </c>
      <c r="P33" s="19">
        <f>'30'!G20</f>
        <v>249</v>
      </c>
      <c r="Q33" s="19">
        <v>108</v>
      </c>
      <c r="R33" s="46">
        <f t="shared" si="0"/>
        <v>26892</v>
      </c>
      <c r="S33" s="47">
        <f t="shared" si="1"/>
        <v>181.27548048922537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77</v>
      </c>
      <c r="X33" s="22">
        <f>'30'!G97</f>
        <v>23</v>
      </c>
      <c r="Y33" s="22">
        <f>'30'!G98</f>
        <v>31</v>
      </c>
      <c r="Z33" s="22">
        <f t="shared" si="7"/>
        <v>131</v>
      </c>
      <c r="AA33" s="19">
        <f>'30'!G133</f>
        <v>0</v>
      </c>
      <c r="AB33" s="19">
        <f>'30'!G134</f>
        <v>24</v>
      </c>
      <c r="AC33" s="19">
        <f>'30'!G135</f>
        <v>8</v>
      </c>
      <c r="AD33" s="19">
        <f>'30'!G136</f>
        <v>0</v>
      </c>
      <c r="AE33" s="19">
        <f t="shared" si="8"/>
        <v>32</v>
      </c>
      <c r="AF33" s="23">
        <f t="shared" si="2"/>
        <v>7640.789999999979</v>
      </c>
      <c r="AG33" s="23">
        <f t="shared" si="9"/>
        <v>238.77468749999935</v>
      </c>
      <c r="AH33" s="19">
        <f>'30'!G137</f>
        <v>10</v>
      </c>
      <c r="AI33" s="19">
        <f>'30'!G138</f>
        <v>0</v>
      </c>
      <c r="AJ33" s="19">
        <f>'30'!G139</f>
        <v>0</v>
      </c>
      <c r="AK33" s="19">
        <f t="shared" si="10"/>
        <v>10</v>
      </c>
      <c r="AL33" s="19">
        <f>'30'!G140</f>
        <v>10.220000000000255</v>
      </c>
      <c r="AM33" s="19">
        <f>'30'!G141</f>
        <v>0</v>
      </c>
      <c r="AN33" s="19"/>
      <c r="AO33" s="19">
        <f t="shared" si="11"/>
        <v>10.220000000000255</v>
      </c>
      <c r="AP33" s="52">
        <f>'30'!G124</f>
        <v>265</v>
      </c>
      <c r="AQ33" s="55">
        <f>'30'!G35</f>
        <v>0</v>
      </c>
      <c r="AR33" s="19">
        <f>'30'!G37</f>
        <v>1323</v>
      </c>
      <c r="AS33" s="19">
        <f>'30'!G38</f>
        <v>1114</v>
      </c>
      <c r="AT33" s="19">
        <f>'30'!G39</f>
        <v>3876</v>
      </c>
      <c r="AU33" s="19">
        <f>'30'!G40</f>
        <v>396</v>
      </c>
      <c r="AV33" s="19">
        <f>'30'!G41</f>
        <v>-0.21000000002095476</v>
      </c>
      <c r="AW33" s="19">
        <f>'30'!G42</f>
        <v>5785</v>
      </c>
      <c r="AX33" s="19">
        <f>'30'!G43</f>
        <v>2575</v>
      </c>
      <c r="AY33" s="23">
        <f>'30'!G44</f>
        <v>0</v>
      </c>
      <c r="AZ33" s="56">
        <f>'30'!G36</f>
        <v>682</v>
      </c>
      <c r="BA33" s="55">
        <f>'30'!G49</f>
        <v>3556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1844</v>
      </c>
      <c r="BG33" s="19">
        <f>'30'!G56</f>
        <v>12</v>
      </c>
      <c r="BH33" s="19">
        <f>'30'!G57</f>
        <v>0</v>
      </c>
      <c r="BI33" s="56">
        <f>'30'!G50</f>
        <v>1097</v>
      </c>
      <c r="BJ33" s="62">
        <f t="shared" ref="BJ33" si="19">SUM(AV33,AW33,BF33,BG33)</f>
        <v>7640.789999999979</v>
      </c>
      <c r="BK33" s="62">
        <f>'30'!G84</f>
        <v>760</v>
      </c>
      <c r="BL33" s="23">
        <f t="shared" si="13"/>
        <v>61.207955555555465</v>
      </c>
      <c r="BM33" s="23">
        <f t="shared" si="14"/>
        <v>17.226666666666667</v>
      </c>
      <c r="BN33" s="24">
        <f t="shared" si="15"/>
        <v>4.9508000000002279E-2</v>
      </c>
      <c r="BO33" s="25">
        <f t="shared" si="16"/>
        <v>278679.40000000002</v>
      </c>
      <c r="BP33" s="38">
        <f t="shared" si="17"/>
        <v>10975.789999999979</v>
      </c>
      <c r="BQ33">
        <f t="shared" si="18"/>
        <v>1.2249765624999978</v>
      </c>
    </row>
    <row r="34" spans="1:69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22500</v>
      </c>
      <c r="H34" s="19">
        <f>'31'!G7</f>
        <v>20593</v>
      </c>
      <c r="I34" s="19">
        <f>'31'!G8</f>
        <v>22500</v>
      </c>
      <c r="J34" s="19">
        <v>9</v>
      </c>
      <c r="K34" s="49">
        <f t="shared" si="3"/>
        <v>202500</v>
      </c>
      <c r="L34" s="45">
        <f t="shared" ref="L34" si="20">I34/202</f>
        <v>111.38613861386139</v>
      </c>
      <c r="M34" s="19">
        <f>'31'!G15</f>
        <v>749</v>
      </c>
      <c r="N34" s="19">
        <v>56.2</v>
      </c>
      <c r="O34" s="41">
        <f t="shared" ref="O34" si="21">M34*N34</f>
        <v>42093.8</v>
      </c>
      <c r="P34" s="19">
        <f>'31'!G20</f>
        <v>202</v>
      </c>
      <c r="Q34" s="19">
        <v>108</v>
      </c>
      <c r="R34" s="46">
        <f t="shared" ref="R34" si="22">P34*Q34</f>
        <v>21816</v>
      </c>
      <c r="S34" s="47">
        <f t="shared" ref="S34" si="23">P34/(F34*202/100)</f>
        <v>3.7037037037037037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23</v>
      </c>
      <c r="X34" s="22">
        <f>'30'!G98</f>
        <v>31</v>
      </c>
      <c r="Y34" s="22">
        <f>'30'!G99</f>
        <v>32</v>
      </c>
      <c r="Z34" s="22">
        <f t="shared" ref="Z34" si="25">W34+X34+Y34</f>
        <v>86</v>
      </c>
      <c r="AA34" s="19">
        <f>'30'!G134</f>
        <v>24</v>
      </c>
      <c r="AB34" s="19">
        <f>'30'!G135</f>
        <v>8</v>
      </c>
      <c r="AC34" s="19">
        <f>'30'!G136</f>
        <v>0</v>
      </c>
      <c r="AD34" s="19">
        <f>'30'!G137</f>
        <v>10</v>
      </c>
      <c r="AE34" s="19">
        <f t="shared" ref="AE34" si="26">AA34+AB34+AC34+AD34</f>
        <v>42</v>
      </c>
      <c r="AF34" s="23">
        <f t="shared" ref="AF34" si="27">AV34+AW34+BF34+BG34</f>
        <v>5195.9899999999907</v>
      </c>
      <c r="AG34" s="23">
        <f t="shared" ref="AG34" si="28">AF34/AE34</f>
        <v>123.71404761904739</v>
      </c>
      <c r="AH34" s="19">
        <f>'30'!G138</f>
        <v>0</v>
      </c>
      <c r="AI34" s="19">
        <f>'30'!G139</f>
        <v>0</v>
      </c>
      <c r="AJ34" s="19">
        <f>'30'!G140</f>
        <v>10.220000000000255</v>
      </c>
      <c r="AK34" s="19">
        <f t="shared" ref="AK34" si="29">AH34+AI34+AJ34</f>
        <v>10.220000000000255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0</v>
      </c>
      <c r="AR34" s="19">
        <f>'31'!G37</f>
        <v>1163</v>
      </c>
      <c r="AS34" s="19">
        <f>'31'!G38</f>
        <v>1668</v>
      </c>
      <c r="AT34" s="19">
        <f>'31'!G39</f>
        <v>3886</v>
      </c>
      <c r="AU34" s="19">
        <f>'31'!G40</f>
        <v>378</v>
      </c>
      <c r="AV34" s="19">
        <f>'31'!G41</f>
        <v>0</v>
      </c>
      <c r="AW34" s="19">
        <f>'31'!G42</f>
        <v>4605</v>
      </c>
      <c r="AX34" s="19">
        <f>'31'!G43</f>
        <v>2495</v>
      </c>
      <c r="AY34" s="23">
        <f>'31'!G44</f>
        <v>0</v>
      </c>
      <c r="AZ34" s="56">
        <f>'31'!G36</f>
        <v>668</v>
      </c>
      <c r="BA34" s="55">
        <f>'31'!G49</f>
        <v>3151</v>
      </c>
      <c r="BB34" s="19">
        <f>'31'!G51</f>
        <v>0</v>
      </c>
      <c r="BC34" s="19">
        <f>'31'!G52</f>
        <v>0</v>
      </c>
      <c r="BD34" s="19">
        <f>'31'!G53</f>
        <v>0</v>
      </c>
      <c r="BE34" s="19">
        <f>'31'!G54</f>
        <v>0</v>
      </c>
      <c r="BF34" s="19">
        <f>'31'!G55</f>
        <v>0.98999999999068677</v>
      </c>
      <c r="BG34" s="19">
        <f>'31'!G56</f>
        <v>590</v>
      </c>
      <c r="BH34" s="19">
        <f>'31'!G57</f>
        <v>0</v>
      </c>
      <c r="BI34" s="56">
        <f>'31'!G50</f>
        <v>976</v>
      </c>
      <c r="BJ34" s="62">
        <f t="shared" ref="BJ34" si="31">SUM(AV34,AW34,BF34,BG34)</f>
        <v>5195.9899999999907</v>
      </c>
      <c r="BK34" s="62">
        <f>'31'!G84</f>
        <v>654</v>
      </c>
      <c r="BL34" s="23">
        <f t="shared" ref="BL34" si="32">SUM(AQ34,AV34,AW34,AX34,BA34,BF34,BG34,BH34)/I34%</f>
        <v>48.186622222222184</v>
      </c>
      <c r="BM34" s="23">
        <f t="shared" ref="BM34" si="33">SUM(AT34,BD34)/I34%</f>
        <v>17.271111111111111</v>
      </c>
      <c r="BN34" s="24">
        <f t="shared" ref="BN34" si="34">(AS34+BC34)/I34</f>
        <v>7.4133333333333329E-2</v>
      </c>
      <c r="BO34" s="25">
        <f t="shared" ref="BO34" si="35">K34+O34+R34+V34</f>
        <v>266409.8</v>
      </c>
      <c r="BP34" s="38">
        <f t="shared" ref="BP34" si="36">SUM(AV34,AW34,AX34,BF34,BG34,BH34,BK34)</f>
        <v>8344.9899999999907</v>
      </c>
      <c r="BQ34">
        <f t="shared" ref="BQ34" si="37">BP34/(AE34*280)</f>
        <v>0.70960799319727808</v>
      </c>
    </row>
    <row r="35" spans="1:69">
      <c r="A35" s="16" t="s">
        <v>201</v>
      </c>
      <c r="B35" s="30"/>
      <c r="C35" s="31"/>
      <c r="D35" s="32">
        <f>AVERAGE(D4:D34)</f>
        <v>28.677419354838708</v>
      </c>
      <c r="E35" s="33"/>
      <c r="F35" s="75">
        <f>AVERAGE(F4:F34)</f>
        <v>1.5289548387096774</v>
      </c>
      <c r="G35" s="34">
        <f>SUM(G4:G34)</f>
        <v>1000149</v>
      </c>
      <c r="H35" s="34">
        <f>SUM(H4:H34)</f>
        <v>995854.3899999999</v>
      </c>
      <c r="I35" s="34">
        <f t="shared" ref="I35:BO35" si="38">SUM(I4:I34)</f>
        <v>1000149</v>
      </c>
      <c r="J35" s="19">
        <v>9</v>
      </c>
      <c r="K35" s="34">
        <f t="shared" si="38"/>
        <v>9001341</v>
      </c>
      <c r="L35" s="34">
        <f t="shared" si="38"/>
        <v>4951.2326732673282</v>
      </c>
      <c r="M35" s="34">
        <f t="shared" si="38"/>
        <v>0</v>
      </c>
      <c r="N35" s="34">
        <f t="shared" si="38"/>
        <v>1742.200000000001</v>
      </c>
      <c r="O35" s="34">
        <f t="shared" si="38"/>
        <v>1.2369127944111824E-10</v>
      </c>
      <c r="P35" s="34">
        <f t="shared" si="38"/>
        <v>5040</v>
      </c>
      <c r="Q35" s="34">
        <f t="shared" si="38"/>
        <v>3348</v>
      </c>
      <c r="R35" s="34">
        <f t="shared" si="38"/>
        <v>544320</v>
      </c>
      <c r="S35" s="34">
        <f t="shared" si="38"/>
        <v>4469.4865260136976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-42</v>
      </c>
      <c r="X35" s="34">
        <f t="shared" si="38"/>
        <v>11</v>
      </c>
      <c r="Y35" s="34">
        <f t="shared" si="38"/>
        <v>10</v>
      </c>
      <c r="Z35" s="34">
        <f t="shared" si="38"/>
        <v>-21</v>
      </c>
      <c r="AA35" s="34">
        <f t="shared" si="38"/>
        <v>24</v>
      </c>
      <c r="AB35" s="34">
        <f t="shared" si="38"/>
        <v>-16</v>
      </c>
      <c r="AC35" s="34">
        <f t="shared" si="38"/>
        <v>0</v>
      </c>
      <c r="AD35" s="34">
        <f t="shared" si="38"/>
        <v>10</v>
      </c>
      <c r="AE35" s="34">
        <f t="shared" si="38"/>
        <v>18</v>
      </c>
      <c r="AF35" s="34">
        <f t="shared" si="38"/>
        <v>-2478</v>
      </c>
      <c r="AG35" s="34">
        <f t="shared" si="38"/>
        <v>6694.4006986551103</v>
      </c>
      <c r="AH35" s="34">
        <f t="shared" si="38"/>
        <v>-5.8600000000005821</v>
      </c>
      <c r="AI35" s="34">
        <f t="shared" si="38"/>
        <v>4.0000000000873115E-2</v>
      </c>
      <c r="AJ35" s="34">
        <f t="shared" si="38"/>
        <v>10.220000000000255</v>
      </c>
      <c r="AK35" s="34">
        <f t="shared" si="38"/>
        <v>4.4000000000005457</v>
      </c>
      <c r="AL35" s="34">
        <f t="shared" si="38"/>
        <v>-9.5599999999999454</v>
      </c>
      <c r="AM35" s="34">
        <f t="shared" si="38"/>
        <v>0</v>
      </c>
      <c r="AN35" s="34">
        <f t="shared" si="38"/>
        <v>0</v>
      </c>
      <c r="AO35" s="34">
        <f t="shared" si="38"/>
        <v>-9.5599999999999454</v>
      </c>
      <c r="AP35" s="34">
        <f t="shared" si="38"/>
        <v>-261.60000000000582</v>
      </c>
      <c r="AQ35" s="34">
        <f t="shared" si="38"/>
        <v>0</v>
      </c>
      <c r="AR35" s="34">
        <f t="shared" si="38"/>
        <v>270276</v>
      </c>
      <c r="AS35" s="34">
        <f t="shared" si="38"/>
        <v>295695</v>
      </c>
      <c r="AT35" s="34">
        <f t="shared" si="38"/>
        <v>634073</v>
      </c>
      <c r="AU35" s="34">
        <f t="shared" si="38"/>
        <v>34756.400000000001</v>
      </c>
      <c r="AV35" s="34">
        <f t="shared" si="38"/>
        <v>0</v>
      </c>
      <c r="AW35" s="34">
        <f t="shared" si="38"/>
        <v>-2478</v>
      </c>
      <c r="AX35" s="34">
        <f t="shared" si="38"/>
        <v>0</v>
      </c>
      <c r="AY35" s="34">
        <f t="shared" si="38"/>
        <v>0</v>
      </c>
      <c r="AZ35" s="34">
        <f t="shared" si="38"/>
        <v>67875</v>
      </c>
      <c r="BA35" s="34">
        <f t="shared" si="38"/>
        <v>407596</v>
      </c>
      <c r="BB35" s="34">
        <f t="shared" si="38"/>
        <v>144640</v>
      </c>
      <c r="BC35" s="34">
        <f t="shared" si="38"/>
        <v>539606</v>
      </c>
      <c r="BD35" s="34">
        <f t="shared" si="38"/>
        <v>434232</v>
      </c>
      <c r="BE35" s="34">
        <f t="shared" si="38"/>
        <v>12505.61</v>
      </c>
      <c r="BF35" s="34">
        <f t="shared" si="38"/>
        <v>0</v>
      </c>
      <c r="BG35" s="34">
        <f t="shared" si="38"/>
        <v>0</v>
      </c>
      <c r="BH35" s="34">
        <f t="shared" si="38"/>
        <v>0</v>
      </c>
      <c r="BI35" s="34">
        <f t="shared" si="38"/>
        <v>0</v>
      </c>
      <c r="BJ35" s="34">
        <f t="shared" si="38"/>
        <v>-2478</v>
      </c>
      <c r="BK35" s="34">
        <f t="shared" si="38"/>
        <v>-226</v>
      </c>
      <c r="BL35" s="34">
        <f t="shared" si="38"/>
        <v>1770.1748012561711</v>
      </c>
      <c r="BM35" s="34">
        <f t="shared" si="38"/>
        <v>4737.6593322960725</v>
      </c>
      <c r="BN35" s="34">
        <f t="shared" si="38"/>
        <v>37.076195050919829</v>
      </c>
      <c r="BO35" s="34">
        <f t="shared" si="38"/>
        <v>9545661.0000000019</v>
      </c>
      <c r="BP35" s="38">
        <f t="shared" si="17"/>
        <v>-2704</v>
      </c>
      <c r="BQ35">
        <f t="shared" si="18"/>
        <v>-0.53650793650793649</v>
      </c>
    </row>
    <row r="36" spans="1:69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5.0000000000000044E-2</v>
      </c>
      <c r="F36" s="35">
        <f t="shared" si="39"/>
        <v>-0.22000000000000008</v>
      </c>
      <c r="G36" s="35"/>
      <c r="H36" s="35"/>
      <c r="I36" s="35">
        <f t="shared" ref="I36:AO36" si="40">I18-I17</f>
        <v>0</v>
      </c>
      <c r="J36" s="35">
        <f t="shared" si="40"/>
        <v>0</v>
      </c>
      <c r="K36" s="42">
        <f t="shared" si="40"/>
        <v>0</v>
      </c>
      <c r="L36" s="42">
        <f t="shared" si="40"/>
        <v>0</v>
      </c>
      <c r="M36" s="35">
        <f t="shared" si="40"/>
        <v>-172</v>
      </c>
      <c r="N36" s="35">
        <f t="shared" si="40"/>
        <v>0</v>
      </c>
      <c r="O36" s="42">
        <f t="shared" si="40"/>
        <v>-9666.4000000000015</v>
      </c>
      <c r="P36" s="35">
        <f t="shared" si="40"/>
        <v>41</v>
      </c>
      <c r="Q36" s="35">
        <f t="shared" si="40"/>
        <v>0</v>
      </c>
      <c r="R36" s="42">
        <f t="shared" si="40"/>
        <v>4428</v>
      </c>
      <c r="S36" s="42">
        <f t="shared" si="40"/>
        <v>87.337828610447303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9</v>
      </c>
      <c r="X36" s="35">
        <f t="shared" si="40"/>
        <v>16</v>
      </c>
      <c r="Y36" s="35">
        <f t="shared" si="40"/>
        <v>5</v>
      </c>
      <c r="Z36" s="35">
        <f t="shared" si="40"/>
        <v>30</v>
      </c>
      <c r="AA36" s="35">
        <f t="shared" si="40"/>
        <v>0</v>
      </c>
      <c r="AB36" s="35">
        <f t="shared" si="40"/>
        <v>0</v>
      </c>
      <c r="AC36" s="35">
        <f t="shared" si="40"/>
        <v>2</v>
      </c>
      <c r="AD36" s="35">
        <f t="shared" si="40"/>
        <v>0</v>
      </c>
      <c r="AE36" s="35">
        <f t="shared" si="40"/>
        <v>2</v>
      </c>
      <c r="AF36" s="35">
        <f t="shared" si="40"/>
        <v>187</v>
      </c>
      <c r="AG36" s="35">
        <f t="shared" si="40"/>
        <v>-10.917037037037034</v>
      </c>
      <c r="AH36" s="35">
        <f t="shared" si="40"/>
        <v>8.6299999999973807</v>
      </c>
      <c r="AI36" s="35">
        <f t="shared" si="40"/>
        <v>-9.8999999999978172</v>
      </c>
      <c r="AJ36" s="35">
        <f t="shared" si="40"/>
        <v>-5.3500000000058208</v>
      </c>
      <c r="AK36" s="35">
        <f t="shared" si="40"/>
        <v>-6.6200000000062573</v>
      </c>
      <c r="AL36" s="35">
        <f t="shared" si="40"/>
        <v>1.330000000000382</v>
      </c>
      <c r="AM36" s="35">
        <f t="shared" si="40"/>
        <v>0</v>
      </c>
      <c r="AN36" s="35">
        <f t="shared" si="40"/>
        <v>0</v>
      </c>
      <c r="AO36" s="35">
        <f t="shared" si="40"/>
        <v>1.330000000000382</v>
      </c>
      <c r="AP36" s="35"/>
      <c r="AQ36" s="35">
        <f t="shared" ref="AQ36:AX36" si="41">AQ18-AQ17</f>
        <v>0</v>
      </c>
      <c r="AR36" s="35">
        <f t="shared" si="41"/>
        <v>0</v>
      </c>
      <c r="AS36" s="35">
        <f t="shared" si="41"/>
        <v>125</v>
      </c>
      <c r="AT36" s="35">
        <f t="shared" si="41"/>
        <v>-3</v>
      </c>
      <c r="AU36" s="35">
        <f t="shared" si="41"/>
        <v>79</v>
      </c>
      <c r="AV36" s="35">
        <f t="shared" si="41"/>
        <v>-145</v>
      </c>
      <c r="AW36" s="35">
        <f t="shared" si="41"/>
        <v>0</v>
      </c>
      <c r="AX36" s="35">
        <f t="shared" si="41"/>
        <v>90</v>
      </c>
      <c r="AY36" s="35"/>
      <c r="AZ36" s="35"/>
      <c r="BA36" s="35">
        <f t="shared" ref="BA36:BH36" si="42">BA18-BA17</f>
        <v>-89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332</v>
      </c>
      <c r="BG36" s="35">
        <f t="shared" si="42"/>
        <v>0</v>
      </c>
      <c r="BH36" s="35">
        <f t="shared" si="42"/>
        <v>0</v>
      </c>
      <c r="BI36" s="35"/>
      <c r="BJ36" s="35"/>
      <c r="BK36" s="35"/>
      <c r="BL36" s="35">
        <f>BL18-BL17</f>
        <v>0.83555555555555827</v>
      </c>
      <c r="BM36" s="35">
        <f>BM18-BM17</f>
        <v>-9.6888888891157876E-3</v>
      </c>
      <c r="BN36" s="35"/>
      <c r="BO36" s="35">
        <f>BO18-BO17</f>
        <v>-5238.4000000000233</v>
      </c>
      <c r="BP36" s="35">
        <f>BP18-BP17</f>
        <v>307</v>
      </c>
    </row>
    <row r="37" spans="1:69">
      <c r="F37" s="38">
        <f>AVERAGE(F4:F35)</f>
        <v>1.5289548387096774</v>
      </c>
      <c r="G37" s="38"/>
      <c r="H37" s="38"/>
      <c r="I37" s="38">
        <f>AVERAGE(I4:I35)</f>
        <v>62509.3125</v>
      </c>
    </row>
    <row r="38" spans="1:69">
      <c r="B38" s="36" t="s">
        <v>67</v>
      </c>
      <c r="F38" s="74">
        <f>AVERAGE(F4:F35)</f>
        <v>1.5289548387096774</v>
      </c>
      <c r="G38" s="74"/>
      <c r="H38" s="74"/>
    </row>
    <row r="41" spans="1:69">
      <c r="BJ41">
        <f>(BJ31+BK31)/400</f>
        <v>19.362500000000001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selection activeCell="J7" sqref="J7"/>
    </sheetView>
  </sheetViews>
  <sheetFormatPr defaultRowHeight="15.75"/>
  <cols>
    <col min="2" max="2" width="8.5546875" style="776" customWidth="1"/>
    <col min="3" max="3" width="7.44140625" style="776" customWidth="1"/>
    <col min="4" max="4" width="7.5546875" style="776" customWidth="1"/>
    <col min="5" max="5" width="7.88671875" style="776" customWidth="1"/>
    <col min="6" max="6" width="10.6640625" style="776" customWidth="1"/>
    <col min="8" max="8" width="7.5546875" customWidth="1"/>
  </cols>
  <sheetData>
    <row r="1" spans="1:11" ht="47.25">
      <c r="A1" s="676"/>
      <c r="B1" s="849" t="s">
        <v>350</v>
      </c>
      <c r="C1" s="849" t="s">
        <v>292</v>
      </c>
      <c r="D1" s="849" t="s">
        <v>293</v>
      </c>
      <c r="E1" s="849" t="s">
        <v>295</v>
      </c>
      <c r="F1" s="849" t="s">
        <v>294</v>
      </c>
      <c r="G1" s="886" t="s">
        <v>297</v>
      </c>
      <c r="H1" s="1103" t="s">
        <v>336</v>
      </c>
    </row>
    <row r="2" spans="1:11">
      <c r="A2" s="676">
        <v>1</v>
      </c>
      <c r="B2" s="850">
        <f>C2/202%</f>
        <v>69.801980198019805</v>
      </c>
      <c r="C2" s="850">
        <v>141</v>
      </c>
      <c r="D2" s="850">
        <v>26</v>
      </c>
      <c r="E2" s="850">
        <f>SUM(C2:D2)/202%</f>
        <v>82.67326732673267</v>
      </c>
      <c r="F2" s="885">
        <v>530</v>
      </c>
      <c r="G2" s="885">
        <f>C2+D2</f>
        <v>167</v>
      </c>
      <c r="H2" s="1104">
        <f>C2/202%</f>
        <v>69.801980198019805</v>
      </c>
      <c r="K2">
        <f>10/202</f>
        <v>4.9504950495049507E-2</v>
      </c>
    </row>
    <row r="3" spans="1:11">
      <c r="A3" s="676">
        <v>2</v>
      </c>
      <c r="B3" s="850">
        <f t="shared" ref="B3:B32" si="0">C3/202%</f>
        <v>64.356435643564353</v>
      </c>
      <c r="C3" s="850">
        <v>130</v>
      </c>
      <c r="D3" s="850">
        <v>28</v>
      </c>
      <c r="E3" s="850">
        <f t="shared" ref="E3:E5" si="1">SUM(C3:D3)/202%</f>
        <v>78.21782178217822</v>
      </c>
      <c r="F3" s="885">
        <v>633</v>
      </c>
      <c r="G3" s="885">
        <f t="shared" ref="G3:G31" si="2">C3+D3</f>
        <v>158</v>
      </c>
      <c r="H3" s="1104">
        <f t="shared" ref="H3:H32" si="3">C3/202%</f>
        <v>64.356435643564353</v>
      </c>
    </row>
    <row r="4" spans="1:11">
      <c r="A4" s="676">
        <v>3</v>
      </c>
      <c r="B4" s="850">
        <f t="shared" si="0"/>
        <v>59.900990099009903</v>
      </c>
      <c r="C4" s="850">
        <v>121</v>
      </c>
      <c r="D4" s="850">
        <v>27</v>
      </c>
      <c r="E4" s="850">
        <f t="shared" si="1"/>
        <v>73.267326732673268</v>
      </c>
      <c r="F4" s="885">
        <v>505</v>
      </c>
      <c r="G4" s="885">
        <f t="shared" si="2"/>
        <v>148</v>
      </c>
      <c r="H4" s="1104">
        <f t="shared" si="3"/>
        <v>59.900990099009903</v>
      </c>
    </row>
    <row r="5" spans="1:11">
      <c r="A5" s="676">
        <v>4</v>
      </c>
      <c r="B5" s="850">
        <f t="shared" si="0"/>
        <v>69.306930693069305</v>
      </c>
      <c r="C5" s="850">
        <v>140</v>
      </c>
      <c r="D5" s="850">
        <v>26</v>
      </c>
      <c r="E5" s="850">
        <f t="shared" si="1"/>
        <v>82.178217821782184</v>
      </c>
      <c r="F5" s="885">
        <v>414</v>
      </c>
      <c r="G5" s="885">
        <f t="shared" si="2"/>
        <v>166</v>
      </c>
      <c r="H5" s="1104">
        <f t="shared" si="3"/>
        <v>69.306930693069305</v>
      </c>
    </row>
    <row r="6" spans="1:11">
      <c r="A6" s="676">
        <v>5</v>
      </c>
      <c r="B6" s="850">
        <f t="shared" si="0"/>
        <v>48.019801980198018</v>
      </c>
      <c r="C6" s="850">
        <v>97</v>
      </c>
      <c r="D6" s="850">
        <v>26</v>
      </c>
      <c r="E6" s="850">
        <f t="shared" ref="E6:E31" si="4">SUM(C6:D6)/202%</f>
        <v>60.89108910891089</v>
      </c>
      <c r="F6" s="885">
        <v>417</v>
      </c>
      <c r="G6" s="885">
        <f t="shared" si="2"/>
        <v>123</v>
      </c>
      <c r="H6" s="1104">
        <f t="shared" si="3"/>
        <v>48.019801980198018</v>
      </c>
    </row>
    <row r="7" spans="1:11">
      <c r="A7" s="676">
        <v>6</v>
      </c>
      <c r="B7" s="850">
        <f t="shared" si="0"/>
        <v>50</v>
      </c>
      <c r="C7" s="850">
        <v>101</v>
      </c>
      <c r="D7" s="850">
        <v>29</v>
      </c>
      <c r="E7" s="850">
        <f t="shared" si="4"/>
        <v>64.356435643564353</v>
      </c>
      <c r="F7" s="885">
        <v>356</v>
      </c>
      <c r="G7" s="885">
        <f t="shared" si="2"/>
        <v>130</v>
      </c>
      <c r="H7" s="1104">
        <f t="shared" si="3"/>
        <v>50</v>
      </c>
    </row>
    <row r="8" spans="1:11">
      <c r="A8" s="676">
        <v>7</v>
      </c>
      <c r="B8" s="850">
        <f t="shared" si="0"/>
        <v>57.425742574257427</v>
      </c>
      <c r="C8" s="850">
        <v>116</v>
      </c>
      <c r="D8" s="850">
        <v>29</v>
      </c>
      <c r="E8" s="850">
        <f t="shared" si="4"/>
        <v>71.78217821782178</v>
      </c>
      <c r="F8" s="885">
        <v>402</v>
      </c>
      <c r="G8" s="885">
        <f t="shared" si="2"/>
        <v>145</v>
      </c>
      <c r="H8" s="1104">
        <f t="shared" si="3"/>
        <v>57.425742574257427</v>
      </c>
    </row>
    <row r="9" spans="1:11">
      <c r="A9" s="676">
        <v>8</v>
      </c>
      <c r="B9" s="850">
        <f t="shared" si="0"/>
        <v>66.831683168316829</v>
      </c>
      <c r="C9" s="850">
        <v>135</v>
      </c>
      <c r="D9" s="850">
        <v>29</v>
      </c>
      <c r="E9" s="850">
        <f t="shared" si="4"/>
        <v>81.188118811881182</v>
      </c>
      <c r="F9" s="885">
        <v>467</v>
      </c>
      <c r="G9" s="885">
        <f t="shared" si="2"/>
        <v>164</v>
      </c>
      <c r="H9" s="1104">
        <f t="shared" si="3"/>
        <v>66.831683168316829</v>
      </c>
    </row>
    <row r="10" spans="1:11">
      <c r="A10" s="676">
        <v>9</v>
      </c>
      <c r="B10" s="850">
        <f t="shared" si="0"/>
        <v>42.079207920792079</v>
      </c>
      <c r="C10" s="850">
        <v>85</v>
      </c>
      <c r="D10" s="850">
        <v>28</v>
      </c>
      <c r="E10" s="850">
        <f t="shared" si="4"/>
        <v>55.940594059405939</v>
      </c>
      <c r="F10" s="885">
        <v>444</v>
      </c>
      <c r="G10" s="885">
        <f t="shared" si="2"/>
        <v>113</v>
      </c>
      <c r="H10" s="1104">
        <f t="shared" si="3"/>
        <v>42.079207920792079</v>
      </c>
    </row>
    <row r="11" spans="1:11">
      <c r="A11" s="676">
        <v>10</v>
      </c>
      <c r="B11" s="850">
        <f t="shared" si="0"/>
        <v>55.445544554455445</v>
      </c>
      <c r="C11" s="850">
        <v>112</v>
      </c>
      <c r="D11" s="850">
        <v>29</v>
      </c>
      <c r="E11" s="850">
        <f t="shared" si="4"/>
        <v>69.801980198019805</v>
      </c>
      <c r="F11" s="885">
        <v>327</v>
      </c>
      <c r="G11" s="885">
        <f t="shared" si="2"/>
        <v>141</v>
      </c>
      <c r="H11" s="1104">
        <f t="shared" si="3"/>
        <v>55.445544554455445</v>
      </c>
    </row>
    <row r="12" spans="1:11">
      <c r="A12" s="676">
        <v>11</v>
      </c>
      <c r="B12" s="850">
        <f t="shared" si="0"/>
        <v>0</v>
      </c>
      <c r="C12" s="850"/>
      <c r="D12" s="850"/>
      <c r="E12" s="850">
        <f t="shared" si="4"/>
        <v>0</v>
      </c>
      <c r="F12" s="885"/>
      <c r="G12" s="885">
        <f t="shared" si="2"/>
        <v>0</v>
      </c>
      <c r="H12" s="1104">
        <f t="shared" si="3"/>
        <v>0</v>
      </c>
    </row>
    <row r="13" spans="1:11">
      <c r="A13" s="676">
        <v>12</v>
      </c>
      <c r="B13" s="850">
        <f t="shared" si="0"/>
        <v>0</v>
      </c>
      <c r="C13" s="850"/>
      <c r="D13" s="850"/>
      <c r="E13" s="850">
        <f t="shared" si="4"/>
        <v>0</v>
      </c>
      <c r="F13" s="850"/>
      <c r="G13" s="885">
        <f t="shared" si="2"/>
        <v>0</v>
      </c>
      <c r="H13" s="1104">
        <f t="shared" si="3"/>
        <v>0</v>
      </c>
    </row>
    <row r="14" spans="1:11">
      <c r="A14" s="676">
        <v>13</v>
      </c>
      <c r="B14" s="850">
        <f t="shared" si="0"/>
        <v>0</v>
      </c>
      <c r="C14" s="850"/>
      <c r="D14" s="850"/>
      <c r="E14" s="850">
        <f t="shared" si="4"/>
        <v>0</v>
      </c>
      <c r="F14" s="850"/>
      <c r="G14" s="885">
        <f t="shared" si="2"/>
        <v>0</v>
      </c>
      <c r="H14" s="1104">
        <f t="shared" si="3"/>
        <v>0</v>
      </c>
    </row>
    <row r="15" spans="1:11">
      <c r="A15" s="676">
        <v>14</v>
      </c>
      <c r="B15" s="850">
        <f t="shared" si="0"/>
        <v>0</v>
      </c>
      <c r="C15" s="850"/>
      <c r="D15" s="850"/>
      <c r="E15" s="850">
        <f t="shared" si="4"/>
        <v>0</v>
      </c>
      <c r="F15" s="850"/>
      <c r="G15" s="885">
        <f t="shared" si="2"/>
        <v>0</v>
      </c>
      <c r="H15" s="1104">
        <f t="shared" si="3"/>
        <v>0</v>
      </c>
    </row>
    <row r="16" spans="1:11">
      <c r="A16" s="676">
        <v>15</v>
      </c>
      <c r="B16" s="850">
        <f t="shared" si="0"/>
        <v>0</v>
      </c>
      <c r="C16" s="850"/>
      <c r="D16" s="850"/>
      <c r="E16" s="850">
        <f t="shared" si="4"/>
        <v>0</v>
      </c>
      <c r="F16" s="850"/>
      <c r="G16" s="885">
        <f t="shared" si="2"/>
        <v>0</v>
      </c>
      <c r="H16" s="1104">
        <f t="shared" si="3"/>
        <v>0</v>
      </c>
    </row>
    <row r="17" spans="1:10">
      <c r="A17" s="676">
        <v>16</v>
      </c>
      <c r="B17" s="850">
        <f t="shared" si="0"/>
        <v>0</v>
      </c>
      <c r="C17" s="850"/>
      <c r="D17" s="850"/>
      <c r="E17" s="850">
        <f>SUM(C17:D17)/202%</f>
        <v>0</v>
      </c>
      <c r="F17" s="850"/>
      <c r="G17" s="885">
        <f t="shared" si="2"/>
        <v>0</v>
      </c>
      <c r="H17" s="1104">
        <f t="shared" si="3"/>
        <v>0</v>
      </c>
    </row>
    <row r="18" spans="1:10">
      <c r="A18" s="676">
        <v>17</v>
      </c>
      <c r="B18" s="850">
        <f t="shared" si="0"/>
        <v>0</v>
      </c>
      <c r="C18" s="850"/>
      <c r="D18" s="850"/>
      <c r="E18" s="850">
        <f t="shared" si="4"/>
        <v>0</v>
      </c>
      <c r="F18" s="850"/>
      <c r="G18" s="885">
        <f t="shared" si="2"/>
        <v>0</v>
      </c>
      <c r="H18" s="1104">
        <f t="shared" si="3"/>
        <v>0</v>
      </c>
    </row>
    <row r="19" spans="1:10">
      <c r="A19" s="676">
        <v>18</v>
      </c>
      <c r="B19" s="850">
        <f t="shared" si="0"/>
        <v>0</v>
      </c>
      <c r="E19" s="850">
        <f t="shared" si="4"/>
        <v>0</v>
      </c>
      <c r="G19" s="885">
        <f t="shared" si="2"/>
        <v>0</v>
      </c>
      <c r="H19" s="1104">
        <f t="shared" si="3"/>
        <v>0</v>
      </c>
    </row>
    <row r="20" spans="1:10">
      <c r="A20" s="676">
        <v>19</v>
      </c>
      <c r="B20" s="850">
        <f t="shared" si="0"/>
        <v>0</v>
      </c>
      <c r="C20" s="850"/>
      <c r="D20" s="850"/>
      <c r="E20" s="850">
        <f t="shared" si="4"/>
        <v>0</v>
      </c>
      <c r="F20" s="850"/>
      <c r="G20" s="885">
        <f t="shared" si="2"/>
        <v>0</v>
      </c>
      <c r="H20" s="1104">
        <f t="shared" si="3"/>
        <v>0</v>
      </c>
      <c r="J20">
        <f>165/192</f>
        <v>0.859375</v>
      </c>
    </row>
    <row r="21" spans="1:10">
      <c r="A21" s="676">
        <v>20</v>
      </c>
      <c r="B21" s="850">
        <f t="shared" si="0"/>
        <v>0</v>
      </c>
      <c r="C21" s="850"/>
      <c r="D21" s="850"/>
      <c r="E21" s="850">
        <f t="shared" si="4"/>
        <v>0</v>
      </c>
      <c r="F21" s="850"/>
      <c r="G21" s="885">
        <f t="shared" si="2"/>
        <v>0</v>
      </c>
      <c r="H21" s="1104">
        <f t="shared" si="3"/>
        <v>0</v>
      </c>
    </row>
    <row r="22" spans="1:10">
      <c r="A22" s="676">
        <v>21</v>
      </c>
      <c r="B22" s="850">
        <v>150</v>
      </c>
      <c r="C22" s="850"/>
      <c r="D22" s="850"/>
      <c r="E22" s="850">
        <f t="shared" si="4"/>
        <v>0</v>
      </c>
      <c r="F22" s="850"/>
      <c r="G22" s="885">
        <f t="shared" si="2"/>
        <v>0</v>
      </c>
      <c r="H22" s="1104">
        <f t="shared" si="3"/>
        <v>0</v>
      </c>
    </row>
    <row r="23" spans="1:10">
      <c r="A23" s="676">
        <v>22</v>
      </c>
      <c r="B23" s="850">
        <v>83</v>
      </c>
      <c r="C23" s="850"/>
      <c r="D23" s="850"/>
      <c r="E23" s="850">
        <f t="shared" si="4"/>
        <v>0</v>
      </c>
      <c r="F23" s="850"/>
      <c r="G23" s="885">
        <f t="shared" si="2"/>
        <v>0</v>
      </c>
      <c r="H23" s="1104">
        <f t="shared" si="3"/>
        <v>0</v>
      </c>
    </row>
    <row r="24" spans="1:10">
      <c r="A24" s="676">
        <v>23</v>
      </c>
      <c r="B24" s="850">
        <v>98</v>
      </c>
      <c r="C24" s="850"/>
      <c r="D24" s="850"/>
      <c r="E24" s="850">
        <f t="shared" si="4"/>
        <v>0</v>
      </c>
      <c r="F24" s="850"/>
      <c r="G24" s="885">
        <f t="shared" si="2"/>
        <v>0</v>
      </c>
      <c r="H24" s="1104">
        <f t="shared" si="3"/>
        <v>0</v>
      </c>
    </row>
    <row r="25" spans="1:10">
      <c r="A25" s="676">
        <v>24</v>
      </c>
      <c r="B25" s="850">
        <f t="shared" si="0"/>
        <v>0</v>
      </c>
      <c r="C25" s="850"/>
      <c r="D25" s="850"/>
      <c r="E25" s="850">
        <f t="shared" si="4"/>
        <v>0</v>
      </c>
      <c r="F25" s="850"/>
      <c r="G25" s="885">
        <f t="shared" si="2"/>
        <v>0</v>
      </c>
      <c r="H25" s="1104">
        <f t="shared" si="3"/>
        <v>0</v>
      </c>
      <c r="J25">
        <f>151/202</f>
        <v>0.74752475247524752</v>
      </c>
    </row>
    <row r="26" spans="1:10">
      <c r="A26" s="676">
        <v>25</v>
      </c>
      <c r="B26" s="850">
        <f t="shared" si="0"/>
        <v>0</v>
      </c>
      <c r="C26" s="850"/>
      <c r="D26" s="850"/>
      <c r="E26" s="850">
        <f t="shared" si="4"/>
        <v>0</v>
      </c>
      <c r="F26" s="850"/>
      <c r="G26" s="885">
        <f t="shared" si="2"/>
        <v>0</v>
      </c>
      <c r="H26" s="1104">
        <f t="shared" si="3"/>
        <v>0</v>
      </c>
      <c r="J26">
        <f>151/190</f>
        <v>0.79473684210526319</v>
      </c>
    </row>
    <row r="27" spans="1:10">
      <c r="A27" s="676">
        <v>26</v>
      </c>
      <c r="B27" s="850">
        <f t="shared" si="0"/>
        <v>0</v>
      </c>
      <c r="C27" s="850"/>
      <c r="D27" s="850"/>
      <c r="E27" s="850">
        <f t="shared" si="4"/>
        <v>0</v>
      </c>
      <c r="F27" s="850"/>
      <c r="G27" s="885">
        <f t="shared" si="2"/>
        <v>0</v>
      </c>
      <c r="H27" s="1104">
        <f t="shared" si="3"/>
        <v>0</v>
      </c>
    </row>
    <row r="28" spans="1:10">
      <c r="A28" s="676">
        <v>27</v>
      </c>
      <c r="B28" s="850">
        <f t="shared" si="0"/>
        <v>0</v>
      </c>
      <c r="C28" s="850"/>
      <c r="D28" s="850"/>
      <c r="E28" s="850">
        <f t="shared" si="4"/>
        <v>0</v>
      </c>
      <c r="F28" s="850"/>
      <c r="G28" s="885">
        <f t="shared" si="2"/>
        <v>0</v>
      </c>
      <c r="H28" s="1104">
        <f t="shared" si="3"/>
        <v>0</v>
      </c>
    </row>
    <row r="29" spans="1:10">
      <c r="A29" s="676">
        <v>28</v>
      </c>
      <c r="B29" s="850">
        <f t="shared" si="0"/>
        <v>0</v>
      </c>
      <c r="C29" s="850"/>
      <c r="D29" s="850"/>
      <c r="E29" s="850">
        <f t="shared" si="4"/>
        <v>0</v>
      </c>
      <c r="F29" s="850"/>
      <c r="G29" s="885">
        <f t="shared" si="2"/>
        <v>0</v>
      </c>
      <c r="H29" s="1104">
        <f t="shared" si="3"/>
        <v>0</v>
      </c>
    </row>
    <row r="30" spans="1:10">
      <c r="A30" s="676">
        <v>29</v>
      </c>
      <c r="B30" s="850">
        <f t="shared" si="0"/>
        <v>0</v>
      </c>
      <c r="C30" s="850"/>
      <c r="D30" s="850"/>
      <c r="E30" s="850">
        <f t="shared" si="4"/>
        <v>0</v>
      </c>
      <c r="F30" s="850"/>
      <c r="G30" s="885">
        <f t="shared" si="2"/>
        <v>0</v>
      </c>
      <c r="H30" s="1104">
        <f t="shared" si="3"/>
        <v>0</v>
      </c>
    </row>
    <row r="31" spans="1:10">
      <c r="A31" s="676">
        <v>30</v>
      </c>
      <c r="B31" s="850">
        <f t="shared" si="0"/>
        <v>0</v>
      </c>
      <c r="C31" s="850"/>
      <c r="D31" s="850"/>
      <c r="E31" s="850">
        <f t="shared" si="4"/>
        <v>0</v>
      </c>
      <c r="F31" s="850"/>
      <c r="G31" s="927">
        <f t="shared" si="2"/>
        <v>0</v>
      </c>
      <c r="H31" s="1104">
        <f t="shared" si="3"/>
        <v>0</v>
      </c>
    </row>
    <row r="32" spans="1:10">
      <c r="A32" s="676">
        <v>31</v>
      </c>
      <c r="B32" s="850">
        <f t="shared" si="0"/>
        <v>0</v>
      </c>
      <c r="C32" s="850"/>
      <c r="D32" s="850"/>
      <c r="E32" s="850"/>
      <c r="F32" s="850"/>
      <c r="G32" s="927"/>
      <c r="H32" s="1104">
        <f t="shared" si="3"/>
        <v>0</v>
      </c>
    </row>
    <row r="33" spans="1:8">
      <c r="A33" t="s">
        <v>354</v>
      </c>
      <c r="B33" s="776">
        <f>AVERAGE(B2:B31)</f>
        <v>30.47227722772277</v>
      </c>
      <c r="C33" s="776">
        <f t="shared" ref="C33:H33" si="5">AVERAGE(C2:C31)</f>
        <v>117.8</v>
      </c>
      <c r="D33" s="776">
        <f t="shared" si="5"/>
        <v>27.7</v>
      </c>
      <c r="E33" s="776">
        <f t="shared" si="5"/>
        <v>24.009900990099009</v>
      </c>
      <c r="F33" s="776">
        <f t="shared" si="5"/>
        <v>449.5</v>
      </c>
      <c r="G33" s="776">
        <f t="shared" si="5"/>
        <v>48.5</v>
      </c>
      <c r="H33" s="776">
        <f t="shared" si="5"/>
        <v>19.438943894389435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1" sqref="J11"/>
    </sheetView>
  </sheetViews>
  <sheetFormatPr defaultRowHeight="15.7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>
      <c r="B3" s="714"/>
      <c r="C3" s="715" t="s">
        <v>0</v>
      </c>
      <c r="D3" s="678">
        <v>1</v>
      </c>
      <c r="E3" s="678">
        <v>2</v>
      </c>
      <c r="F3" s="678">
        <v>3</v>
      </c>
      <c r="G3" s="678">
        <v>4</v>
      </c>
      <c r="H3" s="678">
        <v>5</v>
      </c>
      <c r="I3" s="678">
        <v>6</v>
      </c>
      <c r="J3" s="678">
        <v>7</v>
      </c>
      <c r="K3" s="678">
        <v>8</v>
      </c>
      <c r="L3" s="678">
        <v>9</v>
      </c>
      <c r="M3" s="678">
        <v>10</v>
      </c>
      <c r="N3" s="678">
        <v>11</v>
      </c>
      <c r="O3" s="678">
        <v>12</v>
      </c>
      <c r="P3" s="678">
        <v>13</v>
      </c>
      <c r="Q3" s="678">
        <v>14</v>
      </c>
      <c r="R3" s="715">
        <v>15</v>
      </c>
      <c r="S3" s="715">
        <v>16</v>
      </c>
      <c r="T3" s="715">
        <v>17</v>
      </c>
      <c r="U3" s="715">
        <v>18</v>
      </c>
      <c r="V3" s="715">
        <v>19</v>
      </c>
      <c r="W3" s="715">
        <v>20</v>
      </c>
      <c r="X3" s="715">
        <v>21</v>
      </c>
      <c r="Y3" s="715">
        <v>22</v>
      </c>
      <c r="Z3" s="715">
        <v>23</v>
      </c>
      <c r="AA3" s="715">
        <v>24</v>
      </c>
      <c r="AB3" s="715">
        <v>25</v>
      </c>
      <c r="AC3" s="715">
        <v>26</v>
      </c>
      <c r="AD3" s="715">
        <v>27</v>
      </c>
      <c r="AE3" s="715">
        <v>28</v>
      </c>
      <c r="AF3" s="715">
        <v>29</v>
      </c>
      <c r="AG3" s="715">
        <v>30</v>
      </c>
      <c r="AH3" s="715">
        <v>31</v>
      </c>
      <c r="AI3" s="715"/>
    </row>
    <row r="4" spans="2:35">
      <c r="B4" s="103"/>
      <c r="C4" s="99" t="s">
        <v>68</v>
      </c>
      <c r="D4" s="100">
        <f>Occupancy!B2</f>
        <v>69.801980198019805</v>
      </c>
      <c r="E4" s="100">
        <f>Occupancy!C2</f>
        <v>141</v>
      </c>
      <c r="F4" s="100">
        <f>Occupancy!D2</f>
        <v>26</v>
      </c>
      <c r="G4" s="100">
        <f>Occupancy!E2</f>
        <v>82.67326732673267</v>
      </c>
      <c r="H4" s="100">
        <f>Occupancy!F2</f>
        <v>530</v>
      </c>
      <c r="I4" s="100">
        <f>Occupancy!G2</f>
        <v>167</v>
      </c>
      <c r="J4" s="100">
        <f>Occupancy!H2</f>
        <v>69.801980198019805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>
      <c r="B5" s="103"/>
      <c r="C5" s="99" t="s">
        <v>69</v>
      </c>
      <c r="D5" s="101">
        <f>'1'!G18</f>
        <v>80</v>
      </c>
      <c r="E5" s="101">
        <f>'2'!G18</f>
        <v>120</v>
      </c>
      <c r="F5" s="101">
        <f>'3'!G18</f>
        <v>180</v>
      </c>
      <c r="G5" s="101">
        <f>'4'!G18</f>
        <v>140</v>
      </c>
      <c r="H5" s="101">
        <f>'5'!G18</f>
        <v>200</v>
      </c>
      <c r="I5" s="101">
        <f>'6'!G18</f>
        <v>100</v>
      </c>
      <c r="J5" s="101">
        <f>'7'!G18</f>
        <v>160</v>
      </c>
      <c r="K5" s="101">
        <f>'8'!G18</f>
        <v>160</v>
      </c>
      <c r="L5" s="101">
        <f>'9'!G18</f>
        <v>140</v>
      </c>
      <c r="M5" s="101">
        <f>'10'!G18</f>
        <v>140</v>
      </c>
      <c r="N5" s="101">
        <f>'11'!G18</f>
        <v>150</v>
      </c>
      <c r="O5" s="101">
        <f>'12'!G18</f>
        <v>160</v>
      </c>
      <c r="P5" s="101">
        <f>'13'!G18</f>
        <v>180</v>
      </c>
      <c r="Q5" s="101">
        <f>'14'!G18</f>
        <v>160</v>
      </c>
      <c r="R5" s="101">
        <f>'15'!G18</f>
        <v>200</v>
      </c>
      <c r="S5" s="101">
        <f>'16'!G18</f>
        <v>150</v>
      </c>
      <c r="T5" s="101">
        <f>'17'!G18</f>
        <v>160</v>
      </c>
      <c r="U5" s="101">
        <f>'18 '!G18</f>
        <v>140</v>
      </c>
      <c r="V5" s="101">
        <f>'19'!G18</f>
        <v>150</v>
      </c>
      <c r="W5" s="101">
        <f>'20'!G18</f>
        <v>220</v>
      </c>
      <c r="X5" s="101">
        <f>'21'!G18</f>
        <v>190</v>
      </c>
      <c r="Y5" s="101">
        <f>'22'!G18</f>
        <v>200</v>
      </c>
      <c r="Z5" s="101">
        <f>'23'!G18</f>
        <v>160</v>
      </c>
      <c r="AA5" s="101">
        <f>'24'!G18</f>
        <v>160</v>
      </c>
      <c r="AB5" s="101">
        <f>'25'!G18</f>
        <v>160</v>
      </c>
      <c r="AC5" s="101">
        <f>'26'!G18</f>
        <v>170</v>
      </c>
      <c r="AD5" s="101">
        <f>'27'!G18</f>
        <v>200</v>
      </c>
      <c r="AE5" s="101">
        <f>'28'!G18</f>
        <v>200</v>
      </c>
      <c r="AF5" s="101">
        <f>'29'!G18</f>
        <v>180</v>
      </c>
      <c r="AG5" s="101">
        <f>'30'!G18</f>
        <v>190</v>
      </c>
      <c r="AH5" s="101">
        <f>'31'!G18</f>
        <v>140</v>
      </c>
      <c r="AI5" s="99"/>
    </row>
    <row r="6" spans="2:35">
      <c r="B6" s="103"/>
      <c r="C6" s="99" t="s">
        <v>70</v>
      </c>
      <c r="D6" s="101">
        <f>'1'!G19</f>
        <v>66</v>
      </c>
      <c r="E6" s="101">
        <f>'2'!G19</f>
        <v>63</v>
      </c>
      <c r="F6" s="101">
        <f>'3'!G19</f>
        <v>61</v>
      </c>
      <c r="G6" s="101">
        <f>'4'!G19</f>
        <v>63</v>
      </c>
      <c r="H6" s="101">
        <f>'5'!G19</f>
        <v>61</v>
      </c>
      <c r="I6" s="101">
        <f>'6'!G19</f>
        <v>63</v>
      </c>
      <c r="J6" s="101">
        <f>'7'!G19</f>
        <v>58</v>
      </c>
      <c r="K6" s="101">
        <f>'8'!G19</f>
        <v>49</v>
      </c>
      <c r="L6" s="101">
        <f>'9'!G19</f>
        <v>60</v>
      </c>
      <c r="M6" s="101">
        <f>'10'!G19</f>
        <v>57</v>
      </c>
      <c r="N6" s="101">
        <f>'11'!G19</f>
        <v>61</v>
      </c>
      <c r="O6" s="101">
        <f>'12'!G19</f>
        <v>63</v>
      </c>
      <c r="P6" s="101">
        <f>'13'!G19</f>
        <v>-1860</v>
      </c>
      <c r="Q6" s="101">
        <f>'14'!G19</f>
        <v>63</v>
      </c>
      <c r="R6" s="101">
        <f>'15'!G19</f>
        <v>64</v>
      </c>
      <c r="S6" s="101">
        <f>'16'!G19</f>
        <v>64</v>
      </c>
      <c r="T6" s="101">
        <f>'17'!G19</f>
        <v>66</v>
      </c>
      <c r="U6" s="101">
        <f>'18 '!G19</f>
        <v>60</v>
      </c>
      <c r="V6" s="101">
        <f>'19'!G19</f>
        <v>60</v>
      </c>
      <c r="W6" s="101">
        <f>'20'!G19</f>
        <v>79</v>
      </c>
      <c r="X6" s="101">
        <f>'21'!G19</f>
        <v>63</v>
      </c>
      <c r="Y6" s="101">
        <f>'22'!G19</f>
        <v>65</v>
      </c>
      <c r="Z6" s="101">
        <f>'23'!G19</f>
        <v>66</v>
      </c>
      <c r="AA6" s="101">
        <f>'24'!G19</f>
        <v>64</v>
      </c>
      <c r="AB6" s="101">
        <f>'25'!G19</f>
        <v>62</v>
      </c>
      <c r="AC6" s="101">
        <f>'26'!G19</f>
        <v>56</v>
      </c>
      <c r="AD6" s="101">
        <f>'27'!G19</f>
        <v>60</v>
      </c>
      <c r="AE6" s="101">
        <f>'28'!G19</f>
        <v>60</v>
      </c>
      <c r="AF6" s="101">
        <f>'29'!G19</f>
        <v>62</v>
      </c>
      <c r="AG6" s="101">
        <f>'30'!G19</f>
        <v>59</v>
      </c>
      <c r="AH6" s="101">
        <f>'31'!G19</f>
        <v>62</v>
      </c>
      <c r="AI6" s="99"/>
    </row>
    <row r="7" spans="2:35">
      <c r="B7" s="103"/>
      <c r="C7" s="99" t="s">
        <v>71</v>
      </c>
      <c r="D7" s="101">
        <f>'1'!G93</f>
        <v>62</v>
      </c>
      <c r="E7" s="101">
        <f>'2'!G93</f>
        <v>91</v>
      </c>
      <c r="F7" s="101">
        <f>'3'!G93</f>
        <v>102</v>
      </c>
      <c r="G7" s="101">
        <f>'4'!G93</f>
        <v>83</v>
      </c>
      <c r="H7" s="101">
        <f>'5'!G93</f>
        <v>107</v>
      </c>
      <c r="I7" s="101">
        <f>'6'!G93</f>
        <v>70</v>
      </c>
      <c r="J7" s="101">
        <f>'7'!G93</f>
        <v>83</v>
      </c>
      <c r="K7" s="101">
        <f>'8'!G93</f>
        <v>87</v>
      </c>
      <c r="L7" s="101">
        <f>'9'!G93</f>
        <v>96</v>
      </c>
      <c r="M7" s="101">
        <f>'10'!G93</f>
        <v>63</v>
      </c>
      <c r="N7" s="101">
        <f>'11'!G93</f>
        <v>83</v>
      </c>
      <c r="O7" s="101">
        <f>'12'!G93</f>
        <v>105</v>
      </c>
      <c r="P7" s="101">
        <f>'13'!G93</f>
        <v>-2821</v>
      </c>
      <c r="Q7" s="101">
        <f>'14'!G93</f>
        <v>83</v>
      </c>
      <c r="R7" s="101">
        <f>'15'!G93</f>
        <v>130</v>
      </c>
      <c r="S7" s="101">
        <f>'16'!G93</f>
        <v>84</v>
      </c>
      <c r="T7" s="101">
        <f>'17'!G93</f>
        <v>79</v>
      </c>
      <c r="U7" s="101">
        <f>'18 '!G93</f>
        <v>103</v>
      </c>
      <c r="V7" s="101">
        <f>'19'!G93</f>
        <v>90</v>
      </c>
      <c r="W7" s="101">
        <f>'20'!G93</f>
        <v>123</v>
      </c>
      <c r="X7" s="101">
        <f>'21'!G93</f>
        <v>129</v>
      </c>
      <c r="Y7" s="101">
        <f>'22'!G93</f>
        <v>106</v>
      </c>
      <c r="Z7" s="101">
        <f>'23'!G93</f>
        <v>64</v>
      </c>
      <c r="AA7" s="101">
        <f>'24'!G93</f>
        <v>76</v>
      </c>
      <c r="AB7" s="101">
        <f>'25'!G93</f>
        <v>73</v>
      </c>
      <c r="AC7" s="101">
        <f>'26'!G93</f>
        <v>108</v>
      </c>
      <c r="AD7" s="101">
        <f>'27'!G93</f>
        <v>146</v>
      </c>
      <c r="AE7" s="101">
        <f>'28'!G93</f>
        <v>114</v>
      </c>
      <c r="AF7" s="101">
        <f>'29'!G93</f>
        <v>112</v>
      </c>
      <c r="AG7" s="101">
        <f>'30'!G93</f>
        <v>109</v>
      </c>
      <c r="AH7" s="101">
        <f>'31'!G93</f>
        <v>60</v>
      </c>
      <c r="AI7" s="99"/>
    </row>
    <row r="8" spans="2:35">
      <c r="B8" s="103"/>
      <c r="C8" s="99" t="s">
        <v>322</v>
      </c>
      <c r="D8" s="101">
        <f>'1'!G94</f>
        <v>163</v>
      </c>
      <c r="E8" s="101">
        <f>'2'!G94</f>
        <v>144</v>
      </c>
      <c r="F8" s="101">
        <f>'3'!G94</f>
        <v>123</v>
      </c>
      <c r="G8" s="101">
        <f>'4'!G94</f>
        <v>192</v>
      </c>
      <c r="H8" s="101">
        <f>'5'!G94</f>
        <v>155</v>
      </c>
      <c r="I8" s="101">
        <f>'6'!G94</f>
        <v>163</v>
      </c>
      <c r="J8" s="101">
        <f>'7'!G94</f>
        <v>100</v>
      </c>
      <c r="K8" s="101">
        <f>'8'!G94</f>
        <v>195</v>
      </c>
      <c r="L8" s="101">
        <f>'9'!G94</f>
        <v>127</v>
      </c>
      <c r="M8" s="101">
        <f>'10'!G94</f>
        <v>157</v>
      </c>
      <c r="N8" s="101">
        <f>'11'!G94</f>
        <v>190</v>
      </c>
      <c r="O8" s="101">
        <f>'12'!G94</f>
        <v>168</v>
      </c>
      <c r="P8" s="101">
        <f>'13'!G94</f>
        <v>-4628</v>
      </c>
      <c r="Q8" s="101">
        <f>'14'!G94</f>
        <v>179</v>
      </c>
      <c r="R8" s="101">
        <f>'15'!G94</f>
        <v>168</v>
      </c>
      <c r="S8" s="101">
        <f>'16'!G94</f>
        <v>140</v>
      </c>
      <c r="T8" s="101">
        <f>'17'!G94</f>
        <v>105</v>
      </c>
      <c r="U8" s="101">
        <f>'18 '!G94</f>
        <v>55</v>
      </c>
      <c r="V8" s="101">
        <f>'19'!G94</f>
        <v>188</v>
      </c>
      <c r="W8" s="101">
        <f>'20'!G94</f>
        <v>134</v>
      </c>
      <c r="X8" s="101">
        <f>'21'!G94</f>
        <v>144</v>
      </c>
      <c r="Y8" s="101">
        <f>'22'!G94</f>
        <v>157</v>
      </c>
      <c r="Z8" s="101">
        <f>'23'!G94</f>
        <v>178</v>
      </c>
      <c r="AA8" s="101">
        <f>'24'!G94</f>
        <v>137</v>
      </c>
      <c r="AB8" s="101">
        <f>'25'!G94</f>
        <v>124</v>
      </c>
      <c r="AC8" s="101">
        <f>'26'!G94</f>
        <v>105</v>
      </c>
      <c r="AD8" s="101">
        <f>'27'!G94</f>
        <v>201</v>
      </c>
      <c r="AE8" s="101">
        <f>'28'!G94</f>
        <v>183</v>
      </c>
      <c r="AF8" s="101">
        <f>'29'!G94</f>
        <v>211</v>
      </c>
      <c r="AG8" s="101">
        <f>'30'!G94</f>
        <v>174</v>
      </c>
      <c r="AH8" s="101">
        <f>'31'!G94</f>
        <v>168</v>
      </c>
      <c r="AI8" s="99"/>
    </row>
    <row r="9" spans="2:35">
      <c r="B9" s="1217" t="s">
        <v>72</v>
      </c>
      <c r="C9" s="99" t="s">
        <v>32</v>
      </c>
      <c r="D9" s="101">
        <f>'1'!G96</f>
        <v>66</v>
      </c>
      <c r="E9" s="101">
        <f>'2'!G96</f>
        <v>84</v>
      </c>
      <c r="F9" s="101">
        <f>'3'!G96</f>
        <v>87</v>
      </c>
      <c r="G9" s="101">
        <f>'4'!G96</f>
        <v>83</v>
      </c>
      <c r="H9" s="101">
        <f>'5'!G96</f>
        <v>67</v>
      </c>
      <c r="I9" s="101">
        <f>'6'!G96</f>
        <v>71</v>
      </c>
      <c r="J9" s="101">
        <f>'7'!G96</f>
        <v>71</v>
      </c>
      <c r="K9" s="101">
        <f>'8'!G96</f>
        <v>69</v>
      </c>
      <c r="L9" s="101">
        <f>'9'!G96</f>
        <v>72</v>
      </c>
      <c r="M9" s="101">
        <f>'10'!G96</f>
        <v>56</v>
      </c>
      <c r="N9" s="101">
        <f>'11'!G96</f>
        <v>64</v>
      </c>
      <c r="O9" s="101">
        <f>'12'!G96</f>
        <v>70</v>
      </c>
      <c r="P9" s="101">
        <f>'13'!G96</f>
        <v>-2303</v>
      </c>
      <c r="Q9" s="101">
        <f>'14'!G96</f>
        <v>69</v>
      </c>
      <c r="R9" s="101">
        <f>'15'!G96</f>
        <v>78</v>
      </c>
      <c r="S9" s="101">
        <f>'16'!G96</f>
        <v>67</v>
      </c>
      <c r="T9" s="101">
        <f>'17'!G96</f>
        <v>80</v>
      </c>
      <c r="U9" s="101">
        <f>'18 '!G96</f>
        <v>110</v>
      </c>
      <c r="V9" s="101">
        <f>'19'!G96</f>
        <v>74</v>
      </c>
      <c r="W9" s="101">
        <f>'20'!G96</f>
        <v>111</v>
      </c>
      <c r="X9" s="101">
        <f>'21'!G96</f>
        <v>78</v>
      </c>
      <c r="Y9" s="101">
        <f>'22'!G96</f>
        <v>82</v>
      </c>
      <c r="Z9" s="101">
        <f>'23'!G96</f>
        <v>65</v>
      </c>
      <c r="AA9" s="101">
        <f>'24'!G96</f>
        <v>67</v>
      </c>
      <c r="AB9" s="101">
        <f>'25'!G96</f>
        <v>65</v>
      </c>
      <c r="AC9" s="101">
        <f>'26'!G96</f>
        <v>73</v>
      </c>
      <c r="AD9" s="101">
        <f>'27'!G96</f>
        <v>121</v>
      </c>
      <c r="AE9" s="101">
        <f>'28'!G96</f>
        <v>82</v>
      </c>
      <c r="AF9" s="101">
        <f>'29'!G96</f>
        <v>79</v>
      </c>
      <c r="AG9" s="101">
        <f>'30'!G96</f>
        <v>77</v>
      </c>
      <c r="AH9" s="101">
        <f>'31'!G96</f>
        <v>65</v>
      </c>
      <c r="AI9" s="99"/>
    </row>
    <row r="10" spans="2:35">
      <c r="B10" s="1217"/>
      <c r="C10" s="99" t="s">
        <v>33</v>
      </c>
      <c r="D10" s="101">
        <f>'1'!G97</f>
        <v>18</v>
      </c>
      <c r="E10" s="101">
        <f>'2'!G97</f>
        <v>21</v>
      </c>
      <c r="F10" s="101">
        <f>'3'!G97</f>
        <v>24</v>
      </c>
      <c r="G10" s="101">
        <f>'4'!G97</f>
        <v>21</v>
      </c>
      <c r="H10" s="101">
        <f>'5'!G97</f>
        <v>27</v>
      </c>
      <c r="I10" s="101">
        <f>'6'!G97</f>
        <v>17</v>
      </c>
      <c r="J10" s="101">
        <f>'7'!G97</f>
        <v>14</v>
      </c>
      <c r="K10" s="101">
        <f>'8'!G97</f>
        <v>20</v>
      </c>
      <c r="L10" s="101">
        <f>'9'!G97</f>
        <v>21</v>
      </c>
      <c r="M10" s="101">
        <f>'10'!G97</f>
        <v>20</v>
      </c>
      <c r="N10" s="101">
        <f>'11'!G97</f>
        <v>29</v>
      </c>
      <c r="O10" s="101">
        <f>'12'!G97</f>
        <v>35</v>
      </c>
      <c r="P10" s="101">
        <f>'13'!G97</f>
        <v>-719</v>
      </c>
      <c r="Q10" s="101">
        <f>'14'!G97</f>
        <v>22</v>
      </c>
      <c r="R10" s="101">
        <f>'15'!G97</f>
        <v>38</v>
      </c>
      <c r="S10" s="101">
        <f>'16'!G97</f>
        <v>29</v>
      </c>
      <c r="T10" s="101">
        <f>'17'!G97</f>
        <v>18</v>
      </c>
      <c r="U10" s="101">
        <f>'18 '!G97</f>
        <v>20</v>
      </c>
      <c r="V10" s="101">
        <f>'19'!G97</f>
        <v>26</v>
      </c>
      <c r="W10" s="101">
        <f>'20'!G97</f>
        <v>26</v>
      </c>
      <c r="X10" s="101">
        <f>'21'!G97</f>
        <v>28</v>
      </c>
      <c r="Y10" s="101">
        <f>'22'!G97</f>
        <v>28</v>
      </c>
      <c r="Z10" s="101">
        <f>'23'!G97</f>
        <v>19</v>
      </c>
      <c r="AA10" s="101">
        <f>'24'!G97</f>
        <v>27</v>
      </c>
      <c r="AB10" s="101">
        <f>'25'!G97</f>
        <v>20</v>
      </c>
      <c r="AC10" s="101">
        <f>'26'!G97</f>
        <v>24</v>
      </c>
      <c r="AD10" s="101">
        <f>'27'!G97</f>
        <v>26</v>
      </c>
      <c r="AE10" s="101">
        <f>'28'!G97</f>
        <v>25</v>
      </c>
      <c r="AF10" s="101">
        <f>'29'!G97</f>
        <v>33</v>
      </c>
      <c r="AG10" s="101">
        <f>'30'!G97</f>
        <v>23</v>
      </c>
      <c r="AH10" s="101">
        <f>'31'!G97</f>
        <v>20</v>
      </c>
      <c r="AI10" s="99"/>
    </row>
    <row r="11" spans="2:35">
      <c r="B11" s="1217"/>
      <c r="C11" s="99" t="s">
        <v>34</v>
      </c>
      <c r="D11" s="101">
        <f>'1'!G98</f>
        <v>24</v>
      </c>
      <c r="E11" s="101">
        <f>'2'!G98</f>
        <v>37</v>
      </c>
      <c r="F11" s="101">
        <f>'3'!G98</f>
        <v>30</v>
      </c>
      <c r="G11" s="101">
        <f>'4'!G98</f>
        <v>29</v>
      </c>
      <c r="H11" s="101">
        <f>'5'!G98</f>
        <v>30</v>
      </c>
      <c r="I11" s="101">
        <f>'6'!G98</f>
        <v>27</v>
      </c>
      <c r="J11" s="101">
        <f>'7'!G98</f>
        <v>38</v>
      </c>
      <c r="K11" s="101">
        <f>'8'!G98</f>
        <v>25</v>
      </c>
      <c r="L11" s="101">
        <f>'9'!G98</f>
        <v>26</v>
      </c>
      <c r="M11" s="101">
        <f>'10'!G98</f>
        <v>26</v>
      </c>
      <c r="N11" s="101">
        <f>'11'!G98</f>
        <v>39</v>
      </c>
      <c r="O11" s="101">
        <f>'12'!G98</f>
        <v>33</v>
      </c>
      <c r="P11" s="101">
        <f>'13'!G98</f>
        <v>-908</v>
      </c>
      <c r="Q11" s="101">
        <f>'14'!G98</f>
        <v>36</v>
      </c>
      <c r="R11" s="101">
        <f>'15'!G98</f>
        <v>41</v>
      </c>
      <c r="S11" s="101">
        <f>'16'!G98</f>
        <v>27</v>
      </c>
      <c r="T11" s="101">
        <f>'17'!G98</f>
        <v>24</v>
      </c>
      <c r="U11" s="101">
        <f>'18 '!G98</f>
        <v>24</v>
      </c>
      <c r="V11" s="101">
        <f>'19'!G98</f>
        <v>29</v>
      </c>
      <c r="W11" s="101">
        <f>'20'!G98</f>
        <v>32</v>
      </c>
      <c r="X11" s="101">
        <f>'21'!G98</f>
        <v>33</v>
      </c>
      <c r="Y11" s="101">
        <f>'22'!G98</f>
        <v>33</v>
      </c>
      <c r="Z11" s="101">
        <f>'23'!G98</f>
        <v>23</v>
      </c>
      <c r="AA11" s="101">
        <f>'24'!G98</f>
        <v>20</v>
      </c>
      <c r="AB11" s="101">
        <f>'25'!G98</f>
        <v>27</v>
      </c>
      <c r="AC11" s="101">
        <f>'26'!G98</f>
        <v>31</v>
      </c>
      <c r="AD11" s="101">
        <f>'27'!G98</f>
        <v>37</v>
      </c>
      <c r="AE11" s="101">
        <f>'28'!G98</f>
        <v>35</v>
      </c>
      <c r="AF11" s="101">
        <f>'29'!G98</f>
        <v>39</v>
      </c>
      <c r="AG11" s="101">
        <f>'30'!G98</f>
        <v>31</v>
      </c>
      <c r="AH11" s="101">
        <f>'31'!G98</f>
        <v>22</v>
      </c>
      <c r="AI11" s="99"/>
    </row>
    <row r="12" spans="2:3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>
      <c r="B13" s="1217" t="s">
        <v>73</v>
      </c>
      <c r="C13" s="99" t="s">
        <v>32</v>
      </c>
      <c r="D13" s="101">
        <f>'1'!G99</f>
        <v>11</v>
      </c>
      <c r="E13" s="101">
        <f>'2'!G99</f>
        <v>29</v>
      </c>
      <c r="F13" s="101">
        <f>'3'!G99</f>
        <v>29</v>
      </c>
      <c r="G13" s="101">
        <f>'4'!G99</f>
        <v>32</v>
      </c>
      <c r="H13" s="101">
        <f>'5'!G99</f>
        <v>27</v>
      </c>
      <c r="I13" s="101">
        <f>'6'!G99</f>
        <v>17</v>
      </c>
      <c r="J13" s="101">
        <f>'7'!G99</f>
        <v>31</v>
      </c>
      <c r="K13" s="101">
        <f>'8'!G99</f>
        <v>22</v>
      </c>
      <c r="L13" s="101">
        <f>'9'!G99</f>
        <v>17</v>
      </c>
      <c r="M13" s="101">
        <f>'10'!G99</f>
        <v>50</v>
      </c>
      <c r="N13" s="101">
        <f>'11'!G99</f>
        <v>12</v>
      </c>
      <c r="O13" s="101">
        <f>'12'!G99</f>
        <v>25</v>
      </c>
      <c r="P13" s="101">
        <f>'13'!G99</f>
        <v>-852</v>
      </c>
      <c r="Q13" s="101">
        <f>'14'!G99</f>
        <v>11</v>
      </c>
      <c r="R13" s="101">
        <f>'15'!G99</f>
        <v>50</v>
      </c>
      <c r="S13" s="101">
        <f>'16'!G99</f>
        <v>19</v>
      </c>
      <c r="T13" s="101">
        <f>'17'!G99</f>
        <v>36</v>
      </c>
      <c r="U13" s="101">
        <f>'18 '!G99</f>
        <v>46</v>
      </c>
      <c r="V13" s="101">
        <f>'19'!G99</f>
        <v>24</v>
      </c>
      <c r="W13" s="101">
        <f>'20'!G99</f>
        <v>29</v>
      </c>
      <c r="X13" s="101">
        <f>'21'!G99</f>
        <v>13</v>
      </c>
      <c r="Y13" s="101">
        <f>'22'!G99</f>
        <v>41</v>
      </c>
      <c r="Z13" s="101">
        <f>'23'!G99</f>
        <v>44</v>
      </c>
      <c r="AA13" s="101">
        <f>'24'!G99</f>
        <v>52</v>
      </c>
      <c r="AB13" s="101">
        <f>'25'!G99</f>
        <v>27</v>
      </c>
      <c r="AC13" s="101">
        <f>'26'!G99</f>
        <v>43</v>
      </c>
      <c r="AD13" s="101">
        <f>'27'!G99</f>
        <v>23</v>
      </c>
      <c r="AE13" s="101">
        <f>'28'!G99</f>
        <v>41</v>
      </c>
      <c r="AF13" s="101">
        <f>'29'!G99</f>
        <v>10</v>
      </c>
      <c r="AG13" s="101">
        <f>'30'!G99</f>
        <v>32</v>
      </c>
      <c r="AH13" s="101">
        <f>'31'!G99</f>
        <v>9</v>
      </c>
      <c r="AI13" s="99"/>
    </row>
    <row r="14" spans="2:35">
      <c r="B14" s="1217"/>
      <c r="C14" s="99" t="s">
        <v>33</v>
      </c>
      <c r="D14" s="101">
        <f>'1'!G115</f>
        <v>13</v>
      </c>
      <c r="E14" s="101">
        <f>'2'!G115</f>
        <v>11</v>
      </c>
      <c r="F14" s="101">
        <f>'3'!G115</f>
        <v>13</v>
      </c>
      <c r="G14" s="101">
        <f>'4'!G115</f>
        <v>14</v>
      </c>
      <c r="H14" s="101">
        <f>'5'!G115</f>
        <v>22</v>
      </c>
      <c r="I14" s="101">
        <f>'6'!G115</f>
        <v>12</v>
      </c>
      <c r="J14" s="101">
        <f>'7'!G115</f>
        <v>12</v>
      </c>
      <c r="K14" s="101">
        <f>'8'!G115</f>
        <v>15</v>
      </c>
      <c r="L14" s="101">
        <f>'9'!G115</f>
        <v>20</v>
      </c>
      <c r="M14" s="101">
        <f>'10'!G115</f>
        <v>10</v>
      </c>
      <c r="N14" s="101">
        <f>'11'!G115</f>
        <v>0</v>
      </c>
      <c r="O14" s="101">
        <f>'12'!G115</f>
        <v>30</v>
      </c>
      <c r="P14" s="101">
        <f>'13'!G115</f>
        <v>-476</v>
      </c>
      <c r="Q14" s="101">
        <f>'14'!G115</f>
        <v>15</v>
      </c>
      <c r="R14" s="101">
        <f>'15'!G115</f>
        <v>20</v>
      </c>
      <c r="S14" s="101">
        <f>'16'!G115</f>
        <v>13</v>
      </c>
      <c r="T14" s="101">
        <f>'17'!G115</f>
        <v>14</v>
      </c>
      <c r="U14" s="101">
        <f>'18 '!G115</f>
        <v>18</v>
      </c>
      <c r="V14" s="101">
        <f>'19'!G115</f>
        <v>15</v>
      </c>
      <c r="W14" s="101">
        <f>'20'!G115</f>
        <v>21</v>
      </c>
      <c r="X14" s="101">
        <f>'21'!G115</f>
        <v>18</v>
      </c>
      <c r="Y14" s="101">
        <f>'22'!G115</f>
        <v>13</v>
      </c>
      <c r="Z14" s="101">
        <f>'23'!G115</f>
        <v>18</v>
      </c>
      <c r="AA14" s="101">
        <f>'24'!G115</f>
        <v>15</v>
      </c>
      <c r="AB14" s="101">
        <f>'25'!G115</f>
        <v>13</v>
      </c>
      <c r="AC14" s="101">
        <f>'26'!G115</f>
        <v>30</v>
      </c>
      <c r="AD14" s="101">
        <f>'27'!G115</f>
        <v>22</v>
      </c>
      <c r="AE14" s="101">
        <f>'28'!G115</f>
        <v>16</v>
      </c>
      <c r="AF14" s="101">
        <f>'29'!G115</f>
        <v>18</v>
      </c>
      <c r="AG14" s="101">
        <f>'30'!G115</f>
        <v>12</v>
      </c>
      <c r="AH14" s="101">
        <f>'31'!G115</f>
        <v>13</v>
      </c>
      <c r="AI14" s="99"/>
    </row>
    <row r="15" spans="2:35">
      <c r="B15" s="1217"/>
      <c r="C15" s="99" t="s">
        <v>34</v>
      </c>
      <c r="D15" s="101">
        <f>'1'!G116</f>
        <v>7</v>
      </c>
      <c r="E15" s="101">
        <f>'2'!G116</f>
        <v>13</v>
      </c>
      <c r="F15" s="101">
        <f>'3'!G116</f>
        <v>0</v>
      </c>
      <c r="G15" s="101">
        <f>'4'!G116</f>
        <v>7</v>
      </c>
      <c r="H15" s="101">
        <f>'5'!G116</f>
        <v>11</v>
      </c>
      <c r="I15" s="101">
        <f>'6'!G116</f>
        <v>9</v>
      </c>
      <c r="J15" s="101">
        <f>'7'!G116</f>
        <v>7</v>
      </c>
      <c r="K15" s="101">
        <f>'8'!G116</f>
        <v>6</v>
      </c>
      <c r="L15" s="101">
        <f>'9'!G116</f>
        <v>8</v>
      </c>
      <c r="M15" s="101">
        <f>'10'!G116</f>
        <v>12</v>
      </c>
      <c r="N15" s="101">
        <f>'11'!G116</f>
        <v>7</v>
      </c>
      <c r="O15" s="101">
        <f>'12'!G116</f>
        <v>15</v>
      </c>
      <c r="P15" s="101">
        <f>'13'!G116</f>
        <v>-274</v>
      </c>
      <c r="Q15" s="101">
        <f>'14'!G116</f>
        <v>9</v>
      </c>
      <c r="R15" s="101">
        <f>'15'!G116</f>
        <v>13</v>
      </c>
      <c r="S15" s="101">
        <f>'16'!G116</f>
        <v>12</v>
      </c>
      <c r="T15" s="101">
        <f>'17'!G116</f>
        <v>4</v>
      </c>
      <c r="U15" s="101">
        <f>'18 '!G116</f>
        <v>6</v>
      </c>
      <c r="V15" s="101">
        <f>'19'!G116</f>
        <v>8</v>
      </c>
      <c r="W15" s="101">
        <f>'20'!G116</f>
        <v>11</v>
      </c>
      <c r="X15" s="101">
        <f>'21'!G116</f>
        <v>25</v>
      </c>
      <c r="Y15" s="101">
        <f>'22'!G116</f>
        <v>9</v>
      </c>
      <c r="Z15" s="101">
        <f>'23'!G116</f>
        <v>3</v>
      </c>
      <c r="AA15" s="101">
        <f>'24'!G116</f>
        <v>7</v>
      </c>
      <c r="AB15" s="101">
        <f>'25'!G116</f>
        <v>9</v>
      </c>
      <c r="AC15" s="101">
        <f>'26'!G116</f>
        <v>8</v>
      </c>
      <c r="AD15" s="101">
        <f>'27'!G116</f>
        <v>9</v>
      </c>
      <c r="AE15" s="101">
        <f>'28'!G116</f>
        <v>11</v>
      </c>
      <c r="AF15" s="101">
        <f>'29'!G116</f>
        <v>9</v>
      </c>
      <c r="AG15" s="101">
        <f>'30'!G116</f>
        <v>13</v>
      </c>
      <c r="AH15" s="101">
        <f>'31'!G116</f>
        <v>6</v>
      </c>
      <c r="AI15" s="99"/>
    </row>
    <row r="16" spans="2:3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>
      <c r="B17" s="1217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0</v>
      </c>
      <c r="H17" s="101">
        <f>'5'!G105</f>
        <v>0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0</v>
      </c>
      <c r="O17" s="101">
        <f>'12'!G105</f>
        <v>0</v>
      </c>
      <c r="P17" s="101">
        <f>'13'!G105</f>
        <v>-24</v>
      </c>
      <c r="Q17" s="101">
        <f>'14'!G105</f>
        <v>15</v>
      </c>
      <c r="R17" s="101">
        <f>'15'!G105</f>
        <v>0</v>
      </c>
      <c r="S17" s="101">
        <f>'16'!G105</f>
        <v>15</v>
      </c>
      <c r="T17" s="101">
        <f>'17'!G105</f>
        <v>0</v>
      </c>
      <c r="U17" s="101">
        <f>'18 '!G105</f>
        <v>16</v>
      </c>
      <c r="V17" s="101">
        <f>'19'!G105</f>
        <v>0</v>
      </c>
      <c r="W17" s="101">
        <f>'20'!G105</f>
        <v>0</v>
      </c>
      <c r="X17" s="101">
        <f>'21'!G105</f>
        <v>18</v>
      </c>
      <c r="Y17" s="101">
        <f>'22'!G105</f>
        <v>0</v>
      </c>
      <c r="Z17" s="101">
        <f>'23'!G105</f>
        <v>0</v>
      </c>
      <c r="AA17" s="101">
        <f>'24'!G105</f>
        <v>16</v>
      </c>
      <c r="AB17" s="101">
        <f>'25'!G105</f>
        <v>0</v>
      </c>
      <c r="AC17" s="101">
        <f>'26'!G105</f>
        <v>16</v>
      </c>
      <c r="AD17" s="101">
        <f>'27'!G105</f>
        <v>0</v>
      </c>
      <c r="AE17" s="101">
        <f>'28'!G105</f>
        <v>0</v>
      </c>
      <c r="AF17" s="101">
        <f>'29'!G105</f>
        <v>0</v>
      </c>
      <c r="AG17" s="101">
        <f>'30'!G105</f>
        <v>0</v>
      </c>
      <c r="AH17" s="101">
        <f>'31'!G105</f>
        <v>0</v>
      </c>
      <c r="AI17" s="99"/>
    </row>
    <row r="18" spans="2:35">
      <c r="B18" s="1217"/>
      <c r="C18" s="99" t="s">
        <v>76</v>
      </c>
      <c r="D18" s="99">
        <f>'1'!G106</f>
        <v>7</v>
      </c>
      <c r="E18" s="101">
        <f>'2'!G106</f>
        <v>9</v>
      </c>
      <c r="F18" s="101">
        <f>'3'!G106</f>
        <v>8</v>
      </c>
      <c r="G18" s="101">
        <f>'4'!G106</f>
        <v>9</v>
      </c>
      <c r="H18" s="101">
        <f>'5'!G106</f>
        <v>6</v>
      </c>
      <c r="I18" s="101">
        <f>'6'!G106</f>
        <v>10</v>
      </c>
      <c r="J18" s="101">
        <f>'7'!G106</f>
        <v>7</v>
      </c>
      <c r="K18" s="101">
        <f>'8'!G106</f>
        <v>6</v>
      </c>
      <c r="L18" s="101">
        <f>'9'!G106</f>
        <v>10</v>
      </c>
      <c r="M18" s="101">
        <f>'10'!G106</f>
        <v>7</v>
      </c>
      <c r="N18" s="101">
        <f>'11'!G106</f>
        <v>7</v>
      </c>
      <c r="O18" s="101">
        <f>'12'!G106</f>
        <v>10</v>
      </c>
      <c r="P18" s="101">
        <f>'13'!G106</f>
        <v>9</v>
      </c>
      <c r="Q18" s="101">
        <f>'14'!G106</f>
        <v>8</v>
      </c>
      <c r="R18" s="101">
        <f>'15'!G106</f>
        <v>11</v>
      </c>
      <c r="S18" s="101">
        <f>'16'!G106</f>
        <v>9</v>
      </c>
      <c r="T18" s="101">
        <f>'17'!G106</f>
        <v>9</v>
      </c>
      <c r="U18" s="101">
        <f>'18 '!G106</f>
        <v>20</v>
      </c>
      <c r="V18" s="101">
        <f>'19'!G106</f>
        <v>8</v>
      </c>
      <c r="W18" s="101">
        <f>'20'!G106</f>
        <v>9</v>
      </c>
      <c r="X18" s="101">
        <f>'21'!G106</f>
        <v>11</v>
      </c>
      <c r="Y18" s="101">
        <f>'22'!G106</f>
        <v>7</v>
      </c>
      <c r="Z18" s="101">
        <f>'23'!G106</f>
        <v>11</v>
      </c>
      <c r="AA18" s="101">
        <f>'24'!G106</f>
        <v>7</v>
      </c>
      <c r="AB18" s="101">
        <f>'25'!G106</f>
        <v>8</v>
      </c>
      <c r="AC18" s="101">
        <f>'26'!G106</f>
        <v>7</v>
      </c>
      <c r="AD18" s="101">
        <f>'27'!G106</f>
        <v>13</v>
      </c>
      <c r="AE18" s="101">
        <f>'28'!G106</f>
        <v>10</v>
      </c>
      <c r="AF18" s="101">
        <f>'29'!G106</f>
        <v>12</v>
      </c>
      <c r="AG18" s="101">
        <f>'30'!G106</f>
        <v>13</v>
      </c>
      <c r="AH18" s="101">
        <f>'31'!G106</f>
        <v>9</v>
      </c>
      <c r="AI18" s="99"/>
    </row>
    <row r="19" spans="2:35">
      <c r="B19" s="1217"/>
      <c r="C19" s="99" t="s">
        <v>77</v>
      </c>
      <c r="D19" s="99">
        <f>'1'!G107</f>
        <v>10</v>
      </c>
      <c r="E19" s="101">
        <f>'2'!G107</f>
        <v>9</v>
      </c>
      <c r="F19" s="101">
        <f>'3'!G107</f>
        <v>8</v>
      </c>
      <c r="G19" s="101">
        <f>'4'!G107</f>
        <v>8</v>
      </c>
      <c r="H19" s="101">
        <f>'5'!G107</f>
        <v>7</v>
      </c>
      <c r="I19" s="101">
        <f>'6'!G107</f>
        <v>8</v>
      </c>
      <c r="J19" s="101">
        <f>'7'!G107</f>
        <v>8</v>
      </c>
      <c r="K19" s="101">
        <f>'8'!G107</f>
        <v>7</v>
      </c>
      <c r="L19" s="101">
        <f>'9'!G107</f>
        <v>9</v>
      </c>
      <c r="M19" s="101">
        <f>'10'!G107</f>
        <v>6</v>
      </c>
      <c r="N19" s="101">
        <f>'11'!G107</f>
        <v>7</v>
      </c>
      <c r="O19" s="101">
        <f>'12'!G107</f>
        <v>9</v>
      </c>
      <c r="P19" s="101">
        <f>'13'!G107</f>
        <v>-247</v>
      </c>
      <c r="Q19" s="101">
        <f>'14'!G107</f>
        <v>11</v>
      </c>
      <c r="R19" s="101">
        <f>'15'!G107</f>
        <v>9</v>
      </c>
      <c r="S19" s="101">
        <f>'16'!G107</f>
        <v>8</v>
      </c>
      <c r="T19" s="101">
        <f>'17'!G107</f>
        <v>6</v>
      </c>
      <c r="U19" s="101">
        <f>'18 '!G107</f>
        <v>10</v>
      </c>
      <c r="V19" s="101">
        <f>'19'!G107</f>
        <v>6</v>
      </c>
      <c r="W19" s="101">
        <f>'20'!G107</f>
        <v>9</v>
      </c>
      <c r="X19" s="101">
        <f>'21'!G107</f>
        <v>8</v>
      </c>
      <c r="Y19" s="101">
        <f>'22'!G107</f>
        <v>9</v>
      </c>
      <c r="Z19" s="101">
        <f>'23'!G107</f>
        <v>7</v>
      </c>
      <c r="AA19" s="101">
        <f>'24'!G107</f>
        <v>10</v>
      </c>
      <c r="AB19" s="101">
        <f>'25'!G107</f>
        <v>8</v>
      </c>
      <c r="AC19" s="101">
        <f>'26'!G107</f>
        <v>10</v>
      </c>
      <c r="AD19" s="101">
        <f>'27'!G107</f>
        <v>7</v>
      </c>
      <c r="AE19" s="101">
        <f>'28'!G107</f>
        <v>11</v>
      </c>
      <c r="AF19" s="101">
        <f>'29'!G107</f>
        <v>7</v>
      </c>
      <c r="AG19" s="101">
        <f>'30'!G107</f>
        <v>8</v>
      </c>
      <c r="AH19" s="101">
        <f>'31'!G107</f>
        <v>7</v>
      </c>
      <c r="AI19" s="99"/>
    </row>
    <row r="20" spans="2:3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>
      <c r="B21" s="1217" t="s">
        <v>78</v>
      </c>
      <c r="C21" s="99" t="s">
        <v>79</v>
      </c>
      <c r="D21" s="99">
        <f>'1'!G110</f>
        <v>93</v>
      </c>
      <c r="E21" s="101">
        <f>'2'!G110</f>
        <v>79</v>
      </c>
      <c r="F21" s="101">
        <f>'3'!G110</f>
        <v>50</v>
      </c>
      <c r="G21" s="101">
        <f>'4'!G110</f>
        <v>62</v>
      </c>
      <c r="H21" s="101">
        <f>'5'!G110</f>
        <v>76</v>
      </c>
      <c r="I21" s="101">
        <f>'6'!G110</f>
        <v>66</v>
      </c>
      <c r="J21" s="101">
        <f>'7'!G110</f>
        <v>62</v>
      </c>
      <c r="K21" s="101">
        <f>'8'!G110</f>
        <v>68</v>
      </c>
      <c r="L21" s="101">
        <f>'9'!G110</f>
        <v>72</v>
      </c>
      <c r="M21" s="101">
        <f>'10'!G110</f>
        <v>129</v>
      </c>
      <c r="N21" s="101">
        <f>'11'!G110</f>
        <v>18</v>
      </c>
      <c r="O21" s="101">
        <f>'12'!G110</f>
        <v>57</v>
      </c>
      <c r="P21" s="101">
        <f>'13'!G110</f>
        <v>-2186</v>
      </c>
      <c r="Q21" s="101">
        <f>'14'!G110</f>
        <v>71</v>
      </c>
      <c r="R21" s="101">
        <f>'15'!G110</f>
        <v>47</v>
      </c>
      <c r="S21" s="101">
        <f>'16'!G110</f>
        <v>75</v>
      </c>
      <c r="T21" s="101">
        <f>'17'!G110</f>
        <v>74</v>
      </c>
      <c r="U21" s="101">
        <f>'18 '!G110</f>
        <v>49</v>
      </c>
      <c r="V21" s="101">
        <f>'19'!G110</f>
        <v>70</v>
      </c>
      <c r="W21" s="101">
        <f>'20'!G110</f>
        <v>61</v>
      </c>
      <c r="X21" s="101">
        <f>'21'!G110</f>
        <v>85</v>
      </c>
      <c r="Y21" s="101">
        <f>'22'!G110</f>
        <v>83</v>
      </c>
      <c r="Z21" s="101">
        <f>'23'!G110</f>
        <v>77</v>
      </c>
      <c r="AA21" s="101">
        <f>'24'!G110</f>
        <v>75</v>
      </c>
      <c r="AB21" s="101">
        <f>'25'!G110</f>
        <v>73</v>
      </c>
      <c r="AC21" s="101">
        <f>'26'!G110</f>
        <v>99</v>
      </c>
      <c r="AD21" s="101">
        <f>'27'!G110</f>
        <v>76</v>
      </c>
      <c r="AE21" s="101">
        <f>'28'!G110</f>
        <v>101</v>
      </c>
      <c r="AF21" s="101">
        <f>'29'!G110</f>
        <v>83</v>
      </c>
      <c r="AG21" s="101">
        <f>'30'!G110</f>
        <v>76</v>
      </c>
      <c r="AH21" s="101">
        <f>'31'!G110</f>
        <v>79</v>
      </c>
      <c r="AI21" s="99"/>
    </row>
    <row r="22" spans="2:35">
      <c r="B22" s="1217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0</v>
      </c>
      <c r="O22" s="101">
        <f>'12'!G111</f>
        <v>0</v>
      </c>
      <c r="P22" s="101">
        <f>'13'!G111</f>
        <v>0</v>
      </c>
      <c r="Q22" s="101">
        <f>'14'!G111</f>
        <v>0</v>
      </c>
      <c r="R22" s="101">
        <f>'15'!G111</f>
        <v>0</v>
      </c>
      <c r="S22" s="101">
        <f>'16'!G111</f>
        <v>0</v>
      </c>
      <c r="T22" s="101">
        <f>'17'!G111</f>
        <v>0</v>
      </c>
      <c r="U22" s="101">
        <f>'18 '!G111</f>
        <v>0</v>
      </c>
      <c r="V22" s="101">
        <f>'19'!G111</f>
        <v>0</v>
      </c>
      <c r="W22" s="101">
        <f>'20'!G111</f>
        <v>0</v>
      </c>
      <c r="X22" s="101">
        <f>'21'!G111</f>
        <v>0</v>
      </c>
      <c r="Y22" s="101">
        <f>'22'!G111</f>
        <v>0</v>
      </c>
      <c r="Z22" s="101">
        <f>'23'!G111</f>
        <v>0</v>
      </c>
      <c r="AA22" s="101">
        <f>'24'!G111</f>
        <v>0</v>
      </c>
      <c r="AB22" s="101">
        <f>'25'!G111</f>
        <v>0</v>
      </c>
      <c r="AC22" s="101">
        <f>'26'!G111</f>
        <v>0</v>
      </c>
      <c r="AD22" s="101">
        <f>'27'!G111</f>
        <v>0</v>
      </c>
      <c r="AE22" s="101">
        <f>'28'!G111</f>
        <v>0</v>
      </c>
      <c r="AF22" s="101">
        <f>'29'!G111</f>
        <v>0</v>
      </c>
      <c r="AG22" s="101">
        <f>'30'!G111</f>
        <v>0</v>
      </c>
      <c r="AH22" s="101">
        <f>'31'!G111</f>
        <v>0</v>
      </c>
      <c r="AI22" s="99"/>
    </row>
    <row r="23" spans="2:35">
      <c r="B23" s="1217"/>
      <c r="C23" s="99" t="s">
        <v>81</v>
      </c>
      <c r="D23" s="99">
        <f>'1'!G112</f>
        <v>0</v>
      </c>
      <c r="E23" s="101">
        <f>'2'!G112</f>
        <v>0</v>
      </c>
      <c r="F23" s="101">
        <f>'3'!G112</f>
        <v>5</v>
      </c>
      <c r="G23" s="101">
        <f>'4'!G112</f>
        <v>2</v>
      </c>
      <c r="H23" s="101">
        <f>'5'!G112</f>
        <v>0</v>
      </c>
      <c r="I23" s="101">
        <f>'6'!G112</f>
        <v>4</v>
      </c>
      <c r="J23" s="101">
        <f>'7'!G112</f>
        <v>0</v>
      </c>
      <c r="K23" s="101">
        <f>'8'!G112</f>
        <v>3</v>
      </c>
      <c r="L23" s="101">
        <f>'9'!G112</f>
        <v>2</v>
      </c>
      <c r="M23" s="101">
        <f>'10'!G112</f>
        <v>2</v>
      </c>
      <c r="N23" s="101">
        <f>'11'!G112</f>
        <v>4</v>
      </c>
      <c r="O23" s="101">
        <f>'12'!G112</f>
        <v>5</v>
      </c>
      <c r="P23" s="101">
        <f>'13'!G112</f>
        <v>-123</v>
      </c>
      <c r="Q23" s="101">
        <f>'14'!G112</f>
        <v>0</v>
      </c>
      <c r="R23" s="101">
        <f>'15'!G112</f>
        <v>0</v>
      </c>
      <c r="S23" s="101">
        <f>'16'!G112</f>
        <v>2</v>
      </c>
      <c r="T23" s="101">
        <f>'17'!G112</f>
        <v>0</v>
      </c>
      <c r="U23" s="101">
        <f>'18 '!G112</f>
        <v>0</v>
      </c>
      <c r="V23" s="101">
        <f>'19'!G112</f>
        <v>0</v>
      </c>
      <c r="W23" s="101">
        <f>'20'!G112</f>
        <v>74</v>
      </c>
      <c r="X23" s="101">
        <f>'21'!G112</f>
        <v>0</v>
      </c>
      <c r="Y23" s="101">
        <f>'22'!G112</f>
        <v>2</v>
      </c>
      <c r="Z23" s="101">
        <f>'23'!G112</f>
        <v>0</v>
      </c>
      <c r="AA23" s="101">
        <f>'24'!G112</f>
        <v>60</v>
      </c>
      <c r="AB23" s="101">
        <f>'25'!G112</f>
        <v>5</v>
      </c>
      <c r="AC23" s="101">
        <f>'26'!G112</f>
        <v>6</v>
      </c>
      <c r="AD23" s="101">
        <f>'27'!G112</f>
        <v>7</v>
      </c>
      <c r="AE23" s="101">
        <f>'28'!G112</f>
        <v>3</v>
      </c>
      <c r="AF23" s="101">
        <f>'29'!G112</f>
        <v>0</v>
      </c>
      <c r="AG23" s="101">
        <f>'30'!G112</f>
        <v>9</v>
      </c>
      <c r="AH23" s="101">
        <f>'31'!G112</f>
        <v>0</v>
      </c>
      <c r="AI23" s="99"/>
    </row>
    <row r="24" spans="2:35" ht="30">
      <c r="B24" s="103" t="s">
        <v>324</v>
      </c>
      <c r="C24" s="99"/>
      <c r="D24" s="101">
        <f>SUM(D5:D6)</f>
        <v>146</v>
      </c>
      <c r="E24" s="101">
        <f t="shared" ref="E24:AH24" si="0">SUM(E5:E6)</f>
        <v>183</v>
      </c>
      <c r="F24" s="101">
        <f t="shared" si="0"/>
        <v>241</v>
      </c>
      <c r="G24" s="101">
        <f t="shared" si="0"/>
        <v>203</v>
      </c>
      <c r="H24" s="101">
        <f t="shared" si="0"/>
        <v>261</v>
      </c>
      <c r="I24" s="101">
        <f t="shared" si="0"/>
        <v>163</v>
      </c>
      <c r="J24" s="101">
        <f t="shared" si="0"/>
        <v>218</v>
      </c>
      <c r="K24" s="101">
        <f t="shared" si="0"/>
        <v>209</v>
      </c>
      <c r="L24" s="101">
        <f t="shared" si="0"/>
        <v>200</v>
      </c>
      <c r="M24" s="101">
        <f t="shared" si="0"/>
        <v>197</v>
      </c>
      <c r="N24" s="101">
        <f t="shared" si="0"/>
        <v>211</v>
      </c>
      <c r="O24" s="101">
        <f t="shared" si="0"/>
        <v>223</v>
      </c>
      <c r="P24" s="101">
        <f t="shared" si="0"/>
        <v>-1680</v>
      </c>
      <c r="Q24" s="101">
        <f t="shared" si="0"/>
        <v>223</v>
      </c>
      <c r="R24" s="101">
        <f t="shared" si="0"/>
        <v>264</v>
      </c>
      <c r="S24" s="101">
        <f t="shared" si="0"/>
        <v>214</v>
      </c>
      <c r="T24" s="101">
        <f t="shared" si="0"/>
        <v>226</v>
      </c>
      <c r="U24" s="101">
        <f t="shared" si="0"/>
        <v>200</v>
      </c>
      <c r="V24" s="101">
        <f t="shared" si="0"/>
        <v>210</v>
      </c>
      <c r="W24" s="101">
        <f t="shared" si="0"/>
        <v>299</v>
      </c>
      <c r="X24" s="101">
        <f t="shared" si="0"/>
        <v>253</v>
      </c>
      <c r="Y24" s="101">
        <f t="shared" si="0"/>
        <v>265</v>
      </c>
      <c r="Z24" s="101">
        <f t="shared" si="0"/>
        <v>226</v>
      </c>
      <c r="AA24" s="101">
        <f t="shared" si="0"/>
        <v>224</v>
      </c>
      <c r="AB24" s="101">
        <f t="shared" si="0"/>
        <v>222</v>
      </c>
      <c r="AC24" s="101">
        <f t="shared" si="0"/>
        <v>226</v>
      </c>
      <c r="AD24" s="101">
        <f t="shared" si="0"/>
        <v>260</v>
      </c>
      <c r="AE24" s="101">
        <f t="shared" si="0"/>
        <v>260</v>
      </c>
      <c r="AF24" s="101">
        <f t="shared" si="0"/>
        <v>242</v>
      </c>
      <c r="AG24" s="101">
        <f t="shared" si="0"/>
        <v>249</v>
      </c>
      <c r="AH24" s="101">
        <f t="shared" si="0"/>
        <v>202</v>
      </c>
      <c r="AI24" s="99"/>
    </row>
    <row r="25" spans="2:35" ht="30">
      <c r="B25" s="103" t="s">
        <v>82</v>
      </c>
      <c r="C25" s="99"/>
      <c r="D25" s="101">
        <f>SUM(D9:D11,D14:D15,)</f>
        <v>128</v>
      </c>
      <c r="E25" s="101">
        <f t="shared" ref="E25:AI25" si="1">SUM(E9:E11,E14:E15,)</f>
        <v>166</v>
      </c>
      <c r="F25" s="101">
        <f t="shared" si="1"/>
        <v>154</v>
      </c>
      <c r="G25" s="101">
        <f t="shared" si="1"/>
        <v>154</v>
      </c>
      <c r="H25" s="101">
        <f t="shared" si="1"/>
        <v>157</v>
      </c>
      <c r="I25" s="101">
        <f t="shared" si="1"/>
        <v>136</v>
      </c>
      <c r="J25" s="101">
        <f t="shared" si="1"/>
        <v>142</v>
      </c>
      <c r="K25" s="101">
        <f>SUM(K9:K11,K14:K15,)</f>
        <v>135</v>
      </c>
      <c r="L25" s="101">
        <f t="shared" si="1"/>
        <v>147</v>
      </c>
      <c r="M25" s="101">
        <f t="shared" si="1"/>
        <v>124</v>
      </c>
      <c r="N25" s="101">
        <f t="shared" si="1"/>
        <v>139</v>
      </c>
      <c r="O25" s="101">
        <f t="shared" si="1"/>
        <v>183</v>
      </c>
      <c r="P25" s="101">
        <f t="shared" si="1"/>
        <v>-4680</v>
      </c>
      <c r="Q25" s="101">
        <f t="shared" si="1"/>
        <v>151</v>
      </c>
      <c r="R25" s="101">
        <f t="shared" si="1"/>
        <v>190</v>
      </c>
      <c r="S25" s="101">
        <f t="shared" si="1"/>
        <v>148</v>
      </c>
      <c r="T25" s="101">
        <f>SUM(T9:T11,T14:T15,)</f>
        <v>140</v>
      </c>
      <c r="U25" s="101">
        <f t="shared" si="1"/>
        <v>178</v>
      </c>
      <c r="V25" s="101">
        <f t="shared" si="1"/>
        <v>152</v>
      </c>
      <c r="W25" s="101">
        <f t="shared" si="1"/>
        <v>201</v>
      </c>
      <c r="X25" s="101">
        <f t="shared" si="1"/>
        <v>182</v>
      </c>
      <c r="Y25" s="101">
        <f t="shared" si="1"/>
        <v>165</v>
      </c>
      <c r="Z25" s="101">
        <f t="shared" si="1"/>
        <v>128</v>
      </c>
      <c r="AA25" s="101">
        <f t="shared" si="1"/>
        <v>136</v>
      </c>
      <c r="AB25" s="101">
        <f t="shared" si="1"/>
        <v>134</v>
      </c>
      <c r="AC25" s="101">
        <f t="shared" si="1"/>
        <v>166</v>
      </c>
      <c r="AD25" s="101">
        <f t="shared" si="1"/>
        <v>215</v>
      </c>
      <c r="AE25" s="101">
        <f t="shared" si="1"/>
        <v>169</v>
      </c>
      <c r="AF25" s="101">
        <f t="shared" si="1"/>
        <v>178</v>
      </c>
      <c r="AG25" s="101">
        <f t="shared" si="1"/>
        <v>156</v>
      </c>
      <c r="AH25" s="101">
        <f t="shared" si="1"/>
        <v>126</v>
      </c>
      <c r="AI25" s="101">
        <f t="shared" si="1"/>
        <v>0</v>
      </c>
    </row>
    <row r="26" spans="2:3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>
      <c r="B27" s="103" t="s">
        <v>83</v>
      </c>
      <c r="C27" s="99"/>
      <c r="D27" s="101">
        <f>SUM(D13,D21,D23)</f>
        <v>104</v>
      </c>
      <c r="E27" s="101">
        <f t="shared" ref="E27:AH27" si="2">SUM(E13,E21,E23)</f>
        <v>108</v>
      </c>
      <c r="F27" s="101">
        <f>SUM(F13,F21,F23)</f>
        <v>84</v>
      </c>
      <c r="G27" s="101">
        <f t="shared" si="2"/>
        <v>96</v>
      </c>
      <c r="H27" s="101">
        <f t="shared" si="2"/>
        <v>103</v>
      </c>
      <c r="I27" s="101">
        <f t="shared" si="2"/>
        <v>87</v>
      </c>
      <c r="J27" s="101">
        <f t="shared" si="2"/>
        <v>93</v>
      </c>
      <c r="K27" s="101">
        <f t="shared" si="2"/>
        <v>93</v>
      </c>
      <c r="L27" s="101">
        <f t="shared" si="2"/>
        <v>91</v>
      </c>
      <c r="M27" s="101">
        <f t="shared" si="2"/>
        <v>181</v>
      </c>
      <c r="N27" s="101">
        <f t="shared" si="2"/>
        <v>34</v>
      </c>
      <c r="O27" s="101">
        <f t="shared" si="2"/>
        <v>87</v>
      </c>
      <c r="P27" s="101">
        <f t="shared" si="2"/>
        <v>-3161</v>
      </c>
      <c r="Q27" s="101">
        <f t="shared" si="2"/>
        <v>82</v>
      </c>
      <c r="R27" s="101">
        <f t="shared" si="2"/>
        <v>97</v>
      </c>
      <c r="S27" s="101">
        <f t="shared" si="2"/>
        <v>96</v>
      </c>
      <c r="T27" s="101">
        <f t="shared" si="2"/>
        <v>110</v>
      </c>
      <c r="U27" s="101">
        <f t="shared" si="2"/>
        <v>95</v>
      </c>
      <c r="V27" s="101">
        <f t="shared" si="2"/>
        <v>94</v>
      </c>
      <c r="W27" s="101">
        <f t="shared" si="2"/>
        <v>164</v>
      </c>
      <c r="X27" s="101">
        <f t="shared" si="2"/>
        <v>98</v>
      </c>
      <c r="Y27" s="101">
        <f t="shared" si="2"/>
        <v>126</v>
      </c>
      <c r="Z27" s="101">
        <f t="shared" si="2"/>
        <v>121</v>
      </c>
      <c r="AA27" s="101">
        <f t="shared" si="2"/>
        <v>187</v>
      </c>
      <c r="AB27" s="101">
        <f t="shared" si="2"/>
        <v>105</v>
      </c>
      <c r="AC27" s="101">
        <f t="shared" si="2"/>
        <v>148</v>
      </c>
      <c r="AD27" s="101">
        <f t="shared" si="2"/>
        <v>106</v>
      </c>
      <c r="AE27" s="101">
        <f t="shared" si="2"/>
        <v>145</v>
      </c>
      <c r="AF27" s="101">
        <f t="shared" si="2"/>
        <v>93</v>
      </c>
      <c r="AG27" s="101">
        <f t="shared" si="2"/>
        <v>117</v>
      </c>
      <c r="AH27" s="101">
        <f t="shared" si="2"/>
        <v>88</v>
      </c>
      <c r="AI27" s="101">
        <f t="shared" ref="AI27" si="3">SUM(AI13)</f>
        <v>0</v>
      </c>
    </row>
    <row r="28" spans="2:35">
      <c r="B28" s="675"/>
      <c r="C28" s="676"/>
      <c r="D28" s="676"/>
      <c r="E28" s="676"/>
      <c r="F28" s="676"/>
      <c r="G28" s="676"/>
      <c r="H28" s="676"/>
      <c r="I28" s="676"/>
      <c r="J28" s="676"/>
      <c r="K28" s="676"/>
      <c r="L28" s="676"/>
      <c r="M28" s="676"/>
      <c r="N28" s="676"/>
      <c r="O28" s="676"/>
      <c r="P28" s="676"/>
      <c r="Q28" s="676"/>
      <c r="R28" s="676"/>
      <c r="S28" s="676"/>
      <c r="T28" s="676"/>
      <c r="U28" s="676"/>
      <c r="V28" s="676"/>
      <c r="W28" s="676"/>
      <c r="X28" s="676"/>
      <c r="Y28" s="676"/>
      <c r="Z28" s="676"/>
      <c r="AA28" s="676"/>
      <c r="AB28" s="676"/>
      <c r="AC28" s="676"/>
      <c r="AD28" s="676"/>
      <c r="AE28" s="676"/>
      <c r="AF28" s="676"/>
      <c r="AG28" s="676"/>
      <c r="AH28" s="676"/>
      <c r="AI28" s="676"/>
    </row>
    <row r="29" spans="2:35">
      <c r="B29" s="675" t="s">
        <v>84</v>
      </c>
      <c r="C29" s="676"/>
      <c r="D29" s="677">
        <f>D9</f>
        <v>66</v>
      </c>
      <c r="E29" s="677">
        <f t="shared" ref="E29:AH29" si="4">E9</f>
        <v>84</v>
      </c>
      <c r="F29" s="677">
        <f t="shared" si="4"/>
        <v>87</v>
      </c>
      <c r="G29" s="677">
        <f t="shared" si="4"/>
        <v>83</v>
      </c>
      <c r="H29" s="677">
        <f t="shared" si="4"/>
        <v>67</v>
      </c>
      <c r="I29" s="677">
        <f t="shared" si="4"/>
        <v>71</v>
      </c>
      <c r="J29" s="677">
        <f t="shared" si="4"/>
        <v>71</v>
      </c>
      <c r="K29" s="677">
        <f t="shared" si="4"/>
        <v>69</v>
      </c>
      <c r="L29" s="677">
        <f t="shared" si="4"/>
        <v>72</v>
      </c>
      <c r="M29" s="677">
        <f t="shared" si="4"/>
        <v>56</v>
      </c>
      <c r="N29" s="677">
        <f t="shared" si="4"/>
        <v>64</v>
      </c>
      <c r="O29" s="677">
        <f t="shared" si="4"/>
        <v>70</v>
      </c>
      <c r="P29" s="677">
        <f t="shared" si="4"/>
        <v>-2303</v>
      </c>
      <c r="Q29" s="677">
        <f t="shared" si="4"/>
        <v>69</v>
      </c>
      <c r="R29" s="677">
        <f t="shared" si="4"/>
        <v>78</v>
      </c>
      <c r="S29" s="677">
        <f t="shared" si="4"/>
        <v>67</v>
      </c>
      <c r="T29" s="677">
        <f t="shared" si="4"/>
        <v>80</v>
      </c>
      <c r="U29" s="677">
        <f t="shared" si="4"/>
        <v>110</v>
      </c>
      <c r="V29" s="677">
        <f t="shared" si="4"/>
        <v>74</v>
      </c>
      <c r="W29" s="677">
        <f t="shared" si="4"/>
        <v>111</v>
      </c>
      <c r="X29" s="677">
        <f t="shared" si="4"/>
        <v>78</v>
      </c>
      <c r="Y29" s="677">
        <f t="shared" si="4"/>
        <v>82</v>
      </c>
      <c r="Z29" s="677">
        <f t="shared" si="4"/>
        <v>65</v>
      </c>
      <c r="AA29" s="677">
        <f t="shared" si="4"/>
        <v>67</v>
      </c>
      <c r="AB29" s="677">
        <f t="shared" si="4"/>
        <v>65</v>
      </c>
      <c r="AC29" s="677">
        <f t="shared" si="4"/>
        <v>73</v>
      </c>
      <c r="AD29" s="677">
        <f t="shared" si="4"/>
        <v>121</v>
      </c>
      <c r="AE29" s="677">
        <f t="shared" si="4"/>
        <v>82</v>
      </c>
      <c r="AF29" s="677">
        <f t="shared" si="4"/>
        <v>79</v>
      </c>
      <c r="AG29" s="677">
        <f t="shared" si="4"/>
        <v>77</v>
      </c>
      <c r="AH29" s="677">
        <f t="shared" si="4"/>
        <v>65</v>
      </c>
      <c r="AI29" s="676"/>
    </row>
    <row r="30" spans="2:35">
      <c r="B30" s="675" t="s">
        <v>85</v>
      </c>
      <c r="C30" s="676"/>
      <c r="D30" s="677">
        <f>SUM(D10:D11,D14:D15)</f>
        <v>62</v>
      </c>
      <c r="E30" s="677">
        <f t="shared" ref="E30:AH30" si="5">SUM(E10:E11,E14:E15)</f>
        <v>82</v>
      </c>
      <c r="F30" s="677">
        <f t="shared" si="5"/>
        <v>67</v>
      </c>
      <c r="G30" s="677">
        <f t="shared" si="5"/>
        <v>71</v>
      </c>
      <c r="H30" s="677">
        <f t="shared" si="5"/>
        <v>90</v>
      </c>
      <c r="I30" s="677">
        <f t="shared" si="5"/>
        <v>65</v>
      </c>
      <c r="J30" s="677">
        <f t="shared" si="5"/>
        <v>71</v>
      </c>
      <c r="K30" s="677">
        <f t="shared" si="5"/>
        <v>66</v>
      </c>
      <c r="L30" s="677">
        <f t="shared" si="5"/>
        <v>75</v>
      </c>
      <c r="M30" s="677">
        <f t="shared" si="5"/>
        <v>68</v>
      </c>
      <c r="N30" s="677">
        <f t="shared" si="5"/>
        <v>75</v>
      </c>
      <c r="O30" s="677">
        <f t="shared" si="5"/>
        <v>113</v>
      </c>
      <c r="P30" s="677">
        <f t="shared" si="5"/>
        <v>-2377</v>
      </c>
      <c r="Q30" s="677">
        <f t="shared" si="5"/>
        <v>82</v>
      </c>
      <c r="R30" s="677">
        <f t="shared" si="5"/>
        <v>112</v>
      </c>
      <c r="S30" s="677">
        <f t="shared" si="5"/>
        <v>81</v>
      </c>
      <c r="T30" s="677">
        <f t="shared" si="5"/>
        <v>60</v>
      </c>
      <c r="U30" s="677">
        <f t="shared" si="5"/>
        <v>68</v>
      </c>
      <c r="V30" s="677">
        <f t="shared" si="5"/>
        <v>78</v>
      </c>
      <c r="W30" s="677">
        <f t="shared" si="5"/>
        <v>90</v>
      </c>
      <c r="X30" s="677">
        <f t="shared" si="5"/>
        <v>104</v>
      </c>
      <c r="Y30" s="677">
        <f t="shared" si="5"/>
        <v>83</v>
      </c>
      <c r="Z30" s="677">
        <f t="shared" si="5"/>
        <v>63</v>
      </c>
      <c r="AA30" s="677">
        <f t="shared" si="5"/>
        <v>69</v>
      </c>
      <c r="AB30" s="677">
        <f t="shared" si="5"/>
        <v>69</v>
      </c>
      <c r="AC30" s="677">
        <f t="shared" si="5"/>
        <v>93</v>
      </c>
      <c r="AD30" s="677">
        <f t="shared" si="5"/>
        <v>94</v>
      </c>
      <c r="AE30" s="677">
        <f t="shared" si="5"/>
        <v>87</v>
      </c>
      <c r="AF30" s="677">
        <f t="shared" si="5"/>
        <v>99</v>
      </c>
      <c r="AG30" s="677">
        <f t="shared" si="5"/>
        <v>79</v>
      </c>
      <c r="AH30" s="677">
        <f t="shared" si="5"/>
        <v>61</v>
      </c>
      <c r="AI30" s="676"/>
    </row>
    <row r="31" spans="2:35">
      <c r="B31" s="675" t="s">
        <v>86</v>
      </c>
      <c r="C31" s="676"/>
      <c r="D31" s="676">
        <f>D30/SUM(D29:D30)%</f>
        <v>48.4375</v>
      </c>
      <c r="E31" s="676">
        <f t="shared" ref="E31:AH31" si="6">E30/SUM(E29:E30)%</f>
        <v>49.397590361445786</v>
      </c>
      <c r="F31" s="676">
        <f t="shared" si="6"/>
        <v>43.506493506493506</v>
      </c>
      <c r="G31" s="676">
        <f t="shared" si="6"/>
        <v>46.103896103896105</v>
      </c>
      <c r="H31" s="676">
        <f t="shared" si="6"/>
        <v>57.324840764331206</v>
      </c>
      <c r="I31" s="676">
        <f t="shared" si="6"/>
        <v>47.794117647058819</v>
      </c>
      <c r="J31" s="676">
        <f t="shared" si="6"/>
        <v>50</v>
      </c>
      <c r="K31" s="676">
        <f t="shared" si="6"/>
        <v>48.888888888888886</v>
      </c>
      <c r="L31" s="676">
        <f t="shared" si="6"/>
        <v>51.020408163265309</v>
      </c>
      <c r="M31" s="676">
        <f t="shared" si="6"/>
        <v>54.838709677419352</v>
      </c>
      <c r="N31" s="676">
        <f t="shared" si="6"/>
        <v>53.956834532374103</v>
      </c>
      <c r="O31" s="676">
        <f t="shared" si="6"/>
        <v>61.748633879781416</v>
      </c>
      <c r="P31" s="676">
        <f t="shared" si="6"/>
        <v>50.790598290598297</v>
      </c>
      <c r="Q31" s="676">
        <f t="shared" si="6"/>
        <v>54.304635761589402</v>
      </c>
      <c r="R31" s="676">
        <f t="shared" si="6"/>
        <v>58.947368421052637</v>
      </c>
      <c r="S31" s="676">
        <f t="shared" si="6"/>
        <v>54.729729729729733</v>
      </c>
      <c r="T31" s="676">
        <f t="shared" si="6"/>
        <v>42.857142857142861</v>
      </c>
      <c r="U31" s="676">
        <f t="shared" si="6"/>
        <v>38.202247191011239</v>
      </c>
      <c r="V31" s="676">
        <f t="shared" si="6"/>
        <v>51.315789473684212</v>
      </c>
      <c r="W31" s="676">
        <f t="shared" si="6"/>
        <v>44.776119402985081</v>
      </c>
      <c r="X31" s="676">
        <f t="shared" si="6"/>
        <v>57.142857142857139</v>
      </c>
      <c r="Y31" s="676">
        <f t="shared" si="6"/>
        <v>50.303030303030305</v>
      </c>
      <c r="Z31" s="676">
        <f t="shared" si="6"/>
        <v>49.21875</v>
      </c>
      <c r="AA31" s="676">
        <f t="shared" si="6"/>
        <v>50.735294117647058</v>
      </c>
      <c r="AB31" s="676">
        <f t="shared" si="6"/>
        <v>51.492537313432834</v>
      </c>
      <c r="AC31" s="676">
        <f t="shared" si="6"/>
        <v>56.024096385542173</v>
      </c>
      <c r="AD31" s="676">
        <f t="shared" si="6"/>
        <v>43.720930232558139</v>
      </c>
      <c r="AE31" s="676">
        <f t="shared" si="6"/>
        <v>51.479289940828401</v>
      </c>
      <c r="AF31" s="676">
        <f t="shared" si="6"/>
        <v>55.617977528089888</v>
      </c>
      <c r="AG31" s="676">
        <f t="shared" si="6"/>
        <v>50.641025641025642</v>
      </c>
      <c r="AH31" s="676">
        <f t="shared" si="6"/>
        <v>48.412698412698411</v>
      </c>
      <c r="AI31" s="676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BC92"/>
  <sheetViews>
    <sheetView zoomScale="64" zoomScaleNormal="64" workbookViewId="0">
      <pane xSplit="1" topLeftCell="B1" activePane="topRight" state="frozen"/>
      <selection activeCell="A4" sqref="A4"/>
      <selection pane="topRight" activeCell="C25" sqref="C25"/>
    </sheetView>
  </sheetViews>
  <sheetFormatPr defaultRowHeight="15"/>
  <cols>
    <col min="1" max="5" width="8.88671875" style="1147"/>
    <col min="6" max="6" width="8.109375" style="1163" bestFit="1" customWidth="1"/>
    <col min="7" max="7" width="6.44140625" style="1163" customWidth="1"/>
    <col min="8" max="8" width="7.5546875" style="1163" bestFit="1" customWidth="1"/>
    <col min="9" max="9" width="7.77734375" style="1163" bestFit="1" customWidth="1"/>
    <col min="10" max="10" width="8.109375" style="1163" bestFit="1" customWidth="1"/>
    <col min="11" max="11" width="8.21875" style="1163" bestFit="1" customWidth="1"/>
    <col min="12" max="13" width="7.109375" style="1163" customWidth="1"/>
    <col min="14" max="32" width="7.33203125" style="1147" customWidth="1"/>
    <col min="33" max="51" width="7" style="1147" customWidth="1"/>
    <col min="52" max="53" width="8.88671875" style="1147"/>
    <col min="54" max="54" width="11.21875" style="1147" bestFit="1" customWidth="1"/>
    <col min="55" max="55" width="9.109375" style="1147" bestFit="1" customWidth="1"/>
    <col min="56" max="16384" width="8.88671875" style="1147"/>
  </cols>
  <sheetData>
    <row r="1" spans="1:55" ht="15.75" thickBot="1">
      <c r="F1" s="1147"/>
      <c r="G1" s="1147"/>
      <c r="H1" s="1147"/>
      <c r="I1" s="1147"/>
      <c r="J1" s="1147"/>
      <c r="K1" s="1147"/>
      <c r="L1" s="1147"/>
      <c r="M1" s="1147"/>
    </row>
    <row r="2" spans="1:55">
      <c r="F2" s="1221" t="s">
        <v>331</v>
      </c>
      <c r="G2" s="1222"/>
      <c r="H2" s="1222"/>
      <c r="I2" s="1222"/>
      <c r="J2" s="1222"/>
      <c r="K2" s="1222"/>
      <c r="L2" s="1222"/>
      <c r="M2" s="1223"/>
      <c r="N2" s="1220" t="s">
        <v>87</v>
      </c>
      <c r="O2" s="1220"/>
      <c r="P2" s="1220"/>
      <c r="Q2" s="1220"/>
      <c r="R2" s="1220"/>
      <c r="S2" s="1220"/>
      <c r="T2" s="1220"/>
      <c r="U2" s="1220"/>
      <c r="V2" s="1220"/>
      <c r="W2" s="1220"/>
      <c r="X2" s="1220"/>
      <c r="Y2" s="1220"/>
      <c r="Z2" s="1220"/>
      <c r="AA2" s="1220"/>
      <c r="AB2" s="1220"/>
      <c r="AC2" s="1220"/>
      <c r="AD2" s="1220"/>
      <c r="AE2" s="1220"/>
      <c r="AF2" s="1220"/>
      <c r="AG2" s="1220"/>
      <c r="AH2" s="1220"/>
      <c r="AI2" s="1220"/>
      <c r="AJ2" s="1220"/>
      <c r="AK2" s="1220"/>
      <c r="AL2" s="1220"/>
      <c r="AM2" s="1220"/>
      <c r="AN2" s="1219"/>
      <c r="AO2" s="1219"/>
      <c r="AP2" s="1219"/>
      <c r="AQ2" s="1219"/>
      <c r="AR2" s="1219"/>
      <c r="AS2" s="1219"/>
      <c r="AT2" s="1219"/>
      <c r="AU2" s="1148"/>
      <c r="AV2" s="1218" t="s">
        <v>88</v>
      </c>
      <c r="AW2" s="1218"/>
      <c r="AX2" s="1218"/>
      <c r="AY2" s="1218"/>
      <c r="BB2" s="1162" t="s">
        <v>399</v>
      </c>
      <c r="BC2" s="1162" t="s">
        <v>400</v>
      </c>
    </row>
    <row r="3" spans="1:55">
      <c r="F3" s="1149"/>
      <c r="G3" s="1150"/>
      <c r="H3" s="1150"/>
      <c r="I3" s="1150"/>
      <c r="J3" s="1150"/>
      <c r="K3" s="1150"/>
      <c r="L3" s="1150"/>
      <c r="M3" s="1151"/>
      <c r="N3" s="1152"/>
      <c r="O3" s="1152"/>
      <c r="P3" s="1152"/>
      <c r="Q3" s="1152"/>
      <c r="R3" s="1152"/>
      <c r="S3" s="1152"/>
      <c r="T3" s="1152"/>
      <c r="U3" s="1152"/>
      <c r="V3" s="1152"/>
      <c r="W3" s="1152"/>
      <c r="X3" s="1152"/>
      <c r="Y3" s="1152"/>
      <c r="Z3" s="1152"/>
      <c r="AA3" s="1153"/>
      <c r="AB3" s="1153"/>
      <c r="AC3" s="1153"/>
      <c r="AD3" s="1153"/>
      <c r="AE3" s="1153"/>
      <c r="AF3" s="1153"/>
      <c r="AG3" s="1153"/>
      <c r="AH3" s="1153"/>
      <c r="AI3" s="1153"/>
      <c r="AJ3" s="1153"/>
      <c r="AK3" s="1153"/>
      <c r="AL3" s="1153"/>
      <c r="AM3" s="1152"/>
      <c r="AN3" s="1224" t="s">
        <v>139</v>
      </c>
      <c r="AO3" s="1224"/>
      <c r="AP3" s="1224"/>
      <c r="AQ3" s="1224"/>
      <c r="AR3" s="1224"/>
      <c r="AS3" s="1224"/>
      <c r="AT3" s="1224"/>
      <c r="AU3" s="1225" t="s">
        <v>306</v>
      </c>
      <c r="AV3" s="1225"/>
      <c r="AW3" s="1225"/>
      <c r="AX3" s="1225"/>
      <c r="AY3" s="1225"/>
      <c r="BB3" s="1162"/>
      <c r="BC3" s="1162"/>
    </row>
    <row r="4" spans="1:55" ht="34.5" customHeight="1">
      <c r="A4" s="686"/>
      <c r="B4" s="987" t="s">
        <v>327</v>
      </c>
      <c r="C4" s="987" t="s">
        <v>328</v>
      </c>
      <c r="D4" s="987" t="s">
        <v>330</v>
      </c>
      <c r="E4" s="987" t="s">
        <v>329</v>
      </c>
      <c r="F4" s="899" t="s">
        <v>307</v>
      </c>
      <c r="G4" s="900" t="s">
        <v>308</v>
      </c>
      <c r="H4" s="900" t="s">
        <v>309</v>
      </c>
      <c r="I4" s="900" t="s">
        <v>310</v>
      </c>
      <c r="J4" s="900" t="s">
        <v>305</v>
      </c>
      <c r="K4" s="900" t="s">
        <v>52</v>
      </c>
      <c r="L4" s="901" t="s">
        <v>61</v>
      </c>
      <c r="M4" s="901" t="s">
        <v>54</v>
      </c>
      <c r="N4" s="686" t="s">
        <v>89</v>
      </c>
      <c r="O4" s="686" t="s">
        <v>90</v>
      </c>
      <c r="P4" s="686" t="s">
        <v>105</v>
      </c>
      <c r="Q4" s="686" t="s">
        <v>311</v>
      </c>
      <c r="R4" s="686" t="s">
        <v>312</v>
      </c>
      <c r="S4" s="686" t="s">
        <v>313</v>
      </c>
      <c r="T4" s="686" t="s">
        <v>314</v>
      </c>
      <c r="U4" s="686" t="s">
        <v>91</v>
      </c>
      <c r="V4" s="686" t="s">
        <v>315</v>
      </c>
      <c r="W4" s="686" t="s">
        <v>316</v>
      </c>
      <c r="X4" s="686" t="s">
        <v>301</v>
      </c>
      <c r="Y4" s="686" t="s">
        <v>76</v>
      </c>
      <c r="Z4" s="686" t="s">
        <v>317</v>
      </c>
      <c r="AA4" s="687" t="s">
        <v>318</v>
      </c>
      <c r="AB4" s="687" t="s">
        <v>101</v>
      </c>
      <c r="AC4" s="687" t="s">
        <v>95</v>
      </c>
      <c r="AD4" s="687" t="s">
        <v>96</v>
      </c>
      <c r="AE4" s="86" t="s">
        <v>319</v>
      </c>
      <c r="AF4" s="87" t="s">
        <v>98</v>
      </c>
      <c r="AG4" s="87" t="s">
        <v>98</v>
      </c>
      <c r="AH4" s="87" t="s">
        <v>99</v>
      </c>
      <c r="AI4" s="87" t="s">
        <v>300</v>
      </c>
      <c r="AJ4" s="87" t="s">
        <v>101</v>
      </c>
      <c r="AK4" s="87" t="s">
        <v>102</v>
      </c>
      <c r="AL4" s="87" t="s">
        <v>103</v>
      </c>
      <c r="AM4" s="686" t="s">
        <v>200</v>
      </c>
      <c r="AN4" s="686" t="s">
        <v>320</v>
      </c>
      <c r="AO4" s="686" t="s">
        <v>104</v>
      </c>
      <c r="AP4" s="686" t="s">
        <v>105</v>
      </c>
      <c r="AQ4" s="686" t="s">
        <v>106</v>
      </c>
      <c r="AR4" s="686" t="s">
        <v>107</v>
      </c>
      <c r="AS4" s="686" t="s">
        <v>108</v>
      </c>
      <c r="AT4" s="686" t="s">
        <v>321</v>
      </c>
      <c r="AU4" s="686" t="s">
        <v>104</v>
      </c>
      <c r="AV4" s="686" t="s">
        <v>40</v>
      </c>
      <c r="AW4" s="686" t="s">
        <v>41</v>
      </c>
      <c r="AX4" s="686" t="s">
        <v>298</v>
      </c>
      <c r="AY4" s="686" t="s">
        <v>109</v>
      </c>
      <c r="BB4" s="1162"/>
      <c r="BC4" s="1162"/>
    </row>
    <row r="5" spans="1:55">
      <c r="A5" s="688">
        <v>44044</v>
      </c>
      <c r="B5" s="55">
        <f>'1'!G7</f>
        <v>24015.409999999974</v>
      </c>
      <c r="C5" s="55">
        <f>'1'!G8</f>
        <v>24099.409999999974</v>
      </c>
      <c r="D5" s="55">
        <f>'1'!G15</f>
        <v>945.48999999999069</v>
      </c>
      <c r="E5" s="55">
        <f>'1'!G20</f>
        <v>146</v>
      </c>
      <c r="F5" s="55">
        <f>SUM('1'!G35,'1'!G49)</f>
        <v>3258.13</v>
      </c>
      <c r="G5" s="55">
        <f>SUM('1'!H37,'1'!H51)</f>
        <v>1523.0299999999997</v>
      </c>
      <c r="H5" s="55">
        <f>SUM('1'!G38,'1'!G52)</f>
        <v>1668.3000000000002</v>
      </c>
      <c r="I5" s="55">
        <f>SUM('1'!G39,'1'!G53)</f>
        <v>3713.96</v>
      </c>
      <c r="J5" s="55">
        <f>SUM('1'!G41,'1'!G42,'1'!G55,'1'!G56)</f>
        <v>7992</v>
      </c>
      <c r="K5" s="55">
        <f>SUM('1'!G43,'1'!G57)</f>
        <v>2885</v>
      </c>
      <c r="L5" s="689">
        <f>'1'!G50</f>
        <v>1444</v>
      </c>
      <c r="M5" s="689">
        <f>'1'!G36</f>
        <v>1101.96</v>
      </c>
      <c r="N5" s="689">
        <f>'1'!G72</f>
        <v>13</v>
      </c>
      <c r="O5" s="689">
        <f>'1'!$G$73</f>
        <v>1</v>
      </c>
      <c r="P5" s="689">
        <f>'1'!$G$74</f>
        <v>4.1999999999970896</v>
      </c>
      <c r="Q5" s="689">
        <f>'1'!$G$75</f>
        <v>204.29999999999927</v>
      </c>
      <c r="R5" s="689">
        <f>'1'!$G$76</f>
        <v>75.700000000000728</v>
      </c>
      <c r="S5" s="689">
        <f>'1'!$G$77</f>
        <v>47</v>
      </c>
      <c r="T5" s="689">
        <f>'1'!$G$78</f>
        <v>18</v>
      </c>
      <c r="U5" s="689">
        <f>'1'!$G$79</f>
        <v>166</v>
      </c>
      <c r="V5" s="689">
        <f>'1'!$G$80</f>
        <v>383.56000000005588</v>
      </c>
      <c r="W5" s="689">
        <f>'1'!$G$81</f>
        <v>174.80000000004657</v>
      </c>
      <c r="X5" s="689">
        <f>'1'!$G$82</f>
        <v>30</v>
      </c>
      <c r="Y5" s="689">
        <f>'1'!$G$58</f>
        <v>215.69999999999709</v>
      </c>
      <c r="Z5" s="689">
        <f>'1'!$G$83</f>
        <v>311</v>
      </c>
      <c r="AA5" s="689">
        <f>'1'!G86</f>
        <v>26.200000000011642</v>
      </c>
      <c r="AB5" s="689">
        <f>'1'!G87</f>
        <v>28</v>
      </c>
      <c r="AC5" s="689">
        <f>'1'!G88</f>
        <v>0</v>
      </c>
      <c r="AD5" s="689">
        <f>'1'!G89+'1'!G90</f>
        <v>78.400000000000091</v>
      </c>
      <c r="AE5" s="689">
        <f>'1'!$G$62</f>
        <v>0</v>
      </c>
      <c r="AF5" s="689">
        <f>'1'!$G$63</f>
        <v>0</v>
      </c>
      <c r="AG5" s="689">
        <f>'1'!$G$64</f>
        <v>452</v>
      </c>
      <c r="AH5" s="689">
        <f>'1'!$G$65</f>
        <v>39</v>
      </c>
      <c r="AI5" s="689">
        <f>'1'!$G$66</f>
        <v>445.89999999999418</v>
      </c>
      <c r="AJ5" s="689">
        <f>'1'!$G$67</f>
        <v>447</v>
      </c>
      <c r="AK5" s="689">
        <f>'1'!$G$68</f>
        <v>0</v>
      </c>
      <c r="AL5" s="689">
        <f>'1'!$G$69</f>
        <v>294</v>
      </c>
      <c r="AM5" s="689">
        <f>'1'!$G$84</f>
        <v>740</v>
      </c>
      <c r="AN5" s="689">
        <f>'1'!$G$15</f>
        <v>945.48999999999069</v>
      </c>
      <c r="AO5" s="689">
        <f>'1'!$G$124</f>
        <v>265</v>
      </c>
      <c r="AP5" s="689">
        <f>'1'!$G$125</f>
        <v>0</v>
      </c>
      <c r="AQ5" s="689">
        <f>'1'!$G$126</f>
        <v>88.799999999988358</v>
      </c>
      <c r="AR5" s="689">
        <f>'1'!$G$127</f>
        <v>44.099999999998545</v>
      </c>
      <c r="AS5" s="689">
        <f>'1'!$G$128</f>
        <v>1.8999999999996362</v>
      </c>
      <c r="AT5" s="689">
        <f>AN5-SUM(AO5:AS5)</f>
        <v>545.69000000000415</v>
      </c>
      <c r="AU5" s="689">
        <f>SUM('1'!G140:G141)</f>
        <v>9.8600000000001273</v>
      </c>
      <c r="AV5" s="689">
        <f>'1'!$G$137</f>
        <v>10.110000000000582</v>
      </c>
      <c r="AW5" s="689">
        <f>'1'!$G$138</f>
        <v>2.0000000000436557E-2</v>
      </c>
      <c r="AX5" s="689">
        <f>'1'!$G$139</f>
        <v>1.1199999999953434</v>
      </c>
      <c r="AY5" s="686">
        <f>SUM(AV5:AX5)</f>
        <v>11.249999999996362</v>
      </c>
      <c r="AZ5" s="1147">
        <f>AO5/AU5</f>
        <v>26.876267748478355</v>
      </c>
      <c r="BB5" s="1204">
        <f>C5-SUM(F5:K5,Y5)</f>
        <v>2843.289999999979</v>
      </c>
      <c r="BC5" s="1204">
        <f>BB5/B5%</f>
        <v>11.839439759720872</v>
      </c>
    </row>
    <row r="6" spans="1:55">
      <c r="A6" s="688">
        <v>44045</v>
      </c>
      <c r="B6" s="55">
        <f>'2'!G7</f>
        <v>22864.590000000026</v>
      </c>
      <c r="C6" s="55">
        <f>'2'!G8</f>
        <v>22799.340000000026</v>
      </c>
      <c r="D6" s="55">
        <f>'2'!G15</f>
        <v>861.03000000002794</v>
      </c>
      <c r="E6" s="55">
        <f>'2'!G20</f>
        <v>183</v>
      </c>
      <c r="F6" s="55">
        <f>SUM('2'!G35,'2'!G49)</f>
        <v>3230.1700000000465</v>
      </c>
      <c r="G6" s="55">
        <f>SUM('2'!G37,'2'!G51)</f>
        <v>1548.17</v>
      </c>
      <c r="H6" s="55">
        <f>SUM('2'!G38,'2'!G52)</f>
        <v>1746.0700000000006</v>
      </c>
      <c r="I6" s="55">
        <f>SUM('2'!G39,'2'!G53)</f>
        <v>3969.5199999999995</v>
      </c>
      <c r="J6" s="55">
        <f>SUM('2'!G41,'2'!G42,'2'!G55,'2'!G56)</f>
        <v>6815.1400000000431</v>
      </c>
      <c r="K6" s="55">
        <f>SUM('2'!G43,'2'!G57)</f>
        <v>2704.8999999999069</v>
      </c>
      <c r="L6" s="689">
        <f>'2'!G50</f>
        <v>1424.7900000000373</v>
      </c>
      <c r="M6" s="689">
        <f>'2'!G36</f>
        <v>966.11999999999989</v>
      </c>
      <c r="N6" s="689">
        <f>'2'!G72</f>
        <v>7</v>
      </c>
      <c r="O6" s="689">
        <f>'2'!$G$73</f>
        <v>0</v>
      </c>
      <c r="P6" s="689">
        <f>'2'!$G$74</f>
        <v>4.3000000000029104</v>
      </c>
      <c r="Q6" s="689">
        <f>'2'!$G$75</f>
        <v>172</v>
      </c>
      <c r="R6" s="689">
        <f>'2'!$G$76</f>
        <v>67.079999999999927</v>
      </c>
      <c r="S6" s="689">
        <f>'2'!$G$77</f>
        <v>57</v>
      </c>
      <c r="T6" s="689">
        <f>'2'!$G$78</f>
        <v>17</v>
      </c>
      <c r="U6" s="689">
        <f>'2'!$G$79</f>
        <v>172</v>
      </c>
      <c r="V6" s="689">
        <f>'2'!$G$80</f>
        <v>398.07999999995809</v>
      </c>
      <c r="W6" s="681">
        <f>'2'!$G$81</f>
        <v>112.8399999999674</v>
      </c>
      <c r="X6" s="681">
        <f>'2'!$G$82</f>
        <v>25.190000000002328</v>
      </c>
      <c r="Y6" s="681">
        <f>'2'!$G$58</f>
        <v>204.15000000000873</v>
      </c>
      <c r="Z6" s="681">
        <f>'2'!$G$83</f>
        <v>273</v>
      </c>
      <c r="AA6" s="681">
        <f>'2'!G86</f>
        <v>12.64000000001397</v>
      </c>
      <c r="AB6" s="689">
        <f>'2'!G87</f>
        <v>41.600000000005821</v>
      </c>
      <c r="AC6" s="689">
        <f>'2'!G88</f>
        <v>0</v>
      </c>
      <c r="AD6" s="689">
        <f>'2'!G89+'2'!G90</f>
        <v>68.200000000003001</v>
      </c>
      <c r="AE6" s="689">
        <f>'2'!$G$62</f>
        <v>0</v>
      </c>
      <c r="AF6" s="689">
        <f>'2'!$G$63</f>
        <v>0</v>
      </c>
      <c r="AG6" s="689">
        <f>'2'!$G$64</f>
        <v>394.48999999999069</v>
      </c>
      <c r="AH6" s="689">
        <f>'2'!$G$65</f>
        <v>767.35000000000582</v>
      </c>
      <c r="AI6" s="689">
        <f>'2'!$G$66</f>
        <v>406.81000000001222</v>
      </c>
      <c r="AJ6" s="689">
        <f>'2'!$G$67</f>
        <v>397.22999999998137</v>
      </c>
      <c r="AK6" s="689">
        <f>'2'!$G$68</f>
        <v>0</v>
      </c>
      <c r="AL6" s="689">
        <f>'2'!$G$69</f>
        <v>291.94000000000233</v>
      </c>
      <c r="AM6" s="689">
        <f>'2'!$G$84</f>
        <v>634</v>
      </c>
      <c r="AN6" s="689">
        <f>'2'!$G$15</f>
        <v>861.03000000002794</v>
      </c>
      <c r="AO6" s="689">
        <f>'2'!$G$124</f>
        <v>213.1600000000326</v>
      </c>
      <c r="AP6" s="689">
        <f>'2'!$G$125</f>
        <v>0</v>
      </c>
      <c r="AQ6" s="689">
        <f>'2'!$G$126</f>
        <v>85.39000000001397</v>
      </c>
      <c r="AR6" s="689">
        <f>'2'!$G$127</f>
        <v>47.200000000004366</v>
      </c>
      <c r="AS6" s="689">
        <f>'2'!$G$128</f>
        <v>1.3000000000010914</v>
      </c>
      <c r="AT6" s="689">
        <f t="shared" ref="AT6:AT34" si="0">AN6-SUM(AO6:AS6)</f>
        <v>513.97999999997592</v>
      </c>
      <c r="AU6" s="689">
        <f>SUM('2'!G140:G141)</f>
        <v>8.2100000000000364</v>
      </c>
      <c r="AV6" s="689">
        <f>'2'!$G$137</f>
        <v>10.419999999998254</v>
      </c>
      <c r="AW6" s="689">
        <f>'2'!$G$138</f>
        <v>0</v>
      </c>
      <c r="AX6" s="689">
        <f>'2'!$G$139</f>
        <v>0.33000000000174623</v>
      </c>
      <c r="AY6" s="686">
        <f t="shared" ref="AY6:AY34" si="1">SUM(AV6:AX6)</f>
        <v>10.75</v>
      </c>
      <c r="AZ6" s="1147">
        <f t="shared" ref="AZ6:AZ8" si="2">AO6/AU6</f>
        <v>25.963459196106168</v>
      </c>
      <c r="BB6" s="1204">
        <f t="shared" ref="BB6:BB35" si="3">C6-SUM(F6:K6,Y6)</f>
        <v>2581.2200000000194</v>
      </c>
      <c r="BC6" s="1204">
        <f t="shared" ref="BC6:BC35" si="4">BB6/B6%</f>
        <v>11.289159350769099</v>
      </c>
    </row>
    <row r="7" spans="1:55" s="1154" customFormat="1">
      <c r="A7" s="688">
        <v>44046</v>
      </c>
      <c r="B7" s="55">
        <f>'3'!G7</f>
        <v>21645.869999999995</v>
      </c>
      <c r="C7" s="55">
        <f>'3'!G8</f>
        <v>21890.559999999998</v>
      </c>
      <c r="D7" s="55">
        <f>'3'!G15</f>
        <v>866.20200000004843</v>
      </c>
      <c r="E7" s="55">
        <f>'3'!G20</f>
        <v>241</v>
      </c>
      <c r="F7" s="55">
        <f>SUM('3'!G35,'3'!G49)</f>
        <v>2702.4799999999996</v>
      </c>
      <c r="G7" s="55">
        <f>SUM('3'!G37,'3'!G51)</f>
        <v>1487.2799999999997</v>
      </c>
      <c r="H7" s="55">
        <f>SUM('3'!G38,'3'!G52)</f>
        <v>1807.5</v>
      </c>
      <c r="I7" s="55">
        <f>SUM('3'!G39,'3'!G53)</f>
        <v>3782.84</v>
      </c>
      <c r="J7" s="55">
        <f>SUM('3'!G41,'3'!G42,'3'!G55,'3'!G56)</f>
        <v>6081.9799999999232</v>
      </c>
      <c r="K7" s="55">
        <f>SUM('3'!G43,'3'!G57)</f>
        <v>2608.6000000000931</v>
      </c>
      <c r="L7" s="681">
        <f>'3'!G50</f>
        <v>1619.7199999999721</v>
      </c>
      <c r="M7" s="681">
        <f>'3'!G36</f>
        <v>664.27000000000044</v>
      </c>
      <c r="N7" s="681">
        <f>'3'!G72</f>
        <v>5</v>
      </c>
      <c r="O7" s="681">
        <f>'3'!$G$73</f>
        <v>0</v>
      </c>
      <c r="P7" s="681">
        <f>'3'!$G$74</f>
        <v>4.6999999999970896</v>
      </c>
      <c r="Q7" s="681">
        <f>'3'!$G$75</f>
        <v>183.35000000000218</v>
      </c>
      <c r="R7" s="681">
        <f>'3'!$G$76</f>
        <v>68.359999999998763</v>
      </c>
      <c r="S7" s="681">
        <f>'3'!$G$77</f>
        <v>51</v>
      </c>
      <c r="T7" s="681">
        <f>'3'!$G$78</f>
        <v>5</v>
      </c>
      <c r="U7" s="681">
        <f>'3'!$G$79</f>
        <v>177</v>
      </c>
      <c r="V7" s="681">
        <f>'3'!$G$80</f>
        <v>394.1600000000326</v>
      </c>
      <c r="W7" s="681">
        <f>'3'!$G$81</f>
        <v>106.07999999995809</v>
      </c>
      <c r="X7" s="681">
        <f>'3'!$G$82</f>
        <v>20.119999999995343</v>
      </c>
      <c r="Y7" s="681">
        <f>'3'!$G$58</f>
        <v>196.7899999999936</v>
      </c>
      <c r="Z7" s="681">
        <f>'3'!$G$83</f>
        <v>309</v>
      </c>
      <c r="AA7" s="689">
        <f>'3'!G86</f>
        <v>276.67999999999302</v>
      </c>
      <c r="AB7" s="689">
        <f>'1'!G87</f>
        <v>28</v>
      </c>
      <c r="AC7" s="689">
        <f>'3'!G88</f>
        <v>0</v>
      </c>
      <c r="AD7" s="689">
        <f>'3'!G89+'3'!G90</f>
        <v>71.099999999993997</v>
      </c>
      <c r="AE7" s="681">
        <f>'3'!$G$62</f>
        <v>0</v>
      </c>
      <c r="AF7" s="681">
        <f>'3'!$G$63</f>
        <v>0</v>
      </c>
      <c r="AG7" s="681">
        <f>'3'!$G$64</f>
        <v>415.04000000000815</v>
      </c>
      <c r="AH7" s="681">
        <f>'3'!$G$65</f>
        <v>377.25999999998021</v>
      </c>
      <c r="AI7" s="681">
        <f>'3'!$G$66</f>
        <v>410.07999999998719</v>
      </c>
      <c r="AJ7" s="432">
        <f>'3'!$G$67</f>
        <v>423.5</v>
      </c>
      <c r="AK7" s="432">
        <f>'3'!$G$68</f>
        <v>0</v>
      </c>
      <c r="AL7" s="681">
        <f>'3'!$G$69</f>
        <v>289.11999999999534</v>
      </c>
      <c r="AM7" s="681">
        <f>'3'!$G$84</f>
        <v>597</v>
      </c>
      <c r="AN7" s="681">
        <f>'3'!$G$15</f>
        <v>866.20200000004843</v>
      </c>
      <c r="AO7" s="681">
        <f>'3'!$G$124</f>
        <v>248.06999999994878</v>
      </c>
      <c r="AP7" s="681">
        <f>'3'!$G$125</f>
        <v>0</v>
      </c>
      <c r="AQ7" s="681">
        <f>'3'!$G$126</f>
        <v>95.649999999994179</v>
      </c>
      <c r="AR7" s="681">
        <f>'3'!$G$127</f>
        <v>49.5</v>
      </c>
      <c r="AS7" s="681">
        <f>'3'!$G$128</f>
        <v>1.1999999999989086</v>
      </c>
      <c r="AT7" s="681">
        <f t="shared" si="0"/>
        <v>471.78200000010656</v>
      </c>
      <c r="AU7" s="689">
        <f>SUM('3'!G140:G141)</f>
        <v>9.5899999999996908</v>
      </c>
      <c r="AV7" s="681">
        <f>'3'!$G$137</f>
        <v>7.9700000000011642</v>
      </c>
      <c r="AW7" s="681">
        <f>'3'!$G$138</f>
        <v>0</v>
      </c>
      <c r="AX7" s="681">
        <f>'3'!$G$139</f>
        <v>0</v>
      </c>
      <c r="AY7" s="690">
        <f t="shared" si="1"/>
        <v>7.9700000000011642</v>
      </c>
      <c r="AZ7" s="1147">
        <f t="shared" si="2"/>
        <v>25.867570385814055</v>
      </c>
      <c r="BB7" s="1204">
        <f t="shared" si="3"/>
        <v>3223.0899999999892</v>
      </c>
      <c r="BC7" s="1204">
        <f t="shared" si="4"/>
        <v>14.890092197726355</v>
      </c>
    </row>
    <row r="8" spans="1:55">
      <c r="A8" s="688">
        <v>44047</v>
      </c>
      <c r="B8" s="55">
        <f>'4'!G7</f>
        <v>21363</v>
      </c>
      <c r="C8" s="55">
        <f>'4'!G8</f>
        <v>21459.679999999993</v>
      </c>
      <c r="D8" s="55">
        <f>'4'!G15</f>
        <v>821.23799999989569</v>
      </c>
      <c r="E8" s="55">
        <f>'4'!G20</f>
        <v>203</v>
      </c>
      <c r="F8" s="55">
        <f>SUM('4'!G35,'4'!G49)</f>
        <v>3147.5500000000011</v>
      </c>
      <c r="G8" s="55">
        <f>SUM('4'!G37,'4'!G51)</f>
        <v>1491.33</v>
      </c>
      <c r="H8" s="55">
        <f>SUM('4'!G38,'4'!G52)</f>
        <v>1776.7299999999996</v>
      </c>
      <c r="I8" s="55">
        <f>SUM('4'!G39,'4'!G53)</f>
        <v>3801.0299999999988</v>
      </c>
      <c r="J8" s="55">
        <f>SUM('4'!G41,'4'!G42,'4'!G55,'4'!G56)</f>
        <v>6292.5600000000559</v>
      </c>
      <c r="K8" s="55">
        <f>SUM('4'!G43,'4'!G57)</f>
        <v>2655.6000000000931</v>
      </c>
      <c r="L8" s="689">
        <f>'4'!G50</f>
        <v>1085.359999999986</v>
      </c>
      <c r="M8" s="689">
        <f>'4'!G36</f>
        <v>634.54</v>
      </c>
      <c r="N8" s="689">
        <f>'4'!G72</f>
        <v>6</v>
      </c>
      <c r="O8" s="689">
        <f>'4'!$G$73</f>
        <v>1</v>
      </c>
      <c r="P8" s="689">
        <f>'4'!$G$74</f>
        <v>1.1999999999970896</v>
      </c>
      <c r="Q8" s="689">
        <f>'4'!$G$75</f>
        <v>193.34000000000015</v>
      </c>
      <c r="R8" s="689">
        <f>'4'!$G$76</f>
        <v>71.440000000000509</v>
      </c>
      <c r="S8" s="689">
        <f>'4'!$G$77</f>
        <v>51</v>
      </c>
      <c r="T8" s="689">
        <f>'4'!$G$78</f>
        <v>47</v>
      </c>
      <c r="U8" s="689">
        <f>'4'!$G$79</f>
        <v>163</v>
      </c>
      <c r="V8" s="681">
        <f>'4'!$G$80</f>
        <v>411</v>
      </c>
      <c r="W8" s="681">
        <f>'4'!$G$81</f>
        <v>134.56000000005588</v>
      </c>
      <c r="X8" s="689">
        <f>'4'!$G$82</f>
        <v>19.19999999999709</v>
      </c>
      <c r="Y8" s="689">
        <f>'4'!$G$58</f>
        <v>197.35000000000582</v>
      </c>
      <c r="Z8" s="689">
        <f>'4'!$G$83</f>
        <v>297</v>
      </c>
      <c r="AA8" s="689">
        <f>'4'!G86</f>
        <v>39.519999999960419</v>
      </c>
      <c r="AB8" s="689">
        <f>'4'!G87</f>
        <v>30.200000000011642</v>
      </c>
      <c r="AC8" s="689">
        <f>'4'!G88</f>
        <v>0</v>
      </c>
      <c r="AD8" s="689">
        <f>'4'!G89+'4'!G90</f>
        <v>50.500000000005912</v>
      </c>
      <c r="AE8" s="689">
        <f>'4'!$G$62</f>
        <v>0</v>
      </c>
      <c r="AF8" s="689">
        <f>'4'!$G$63</f>
        <v>0</v>
      </c>
      <c r="AG8" s="689">
        <f>'4'!$G$64</f>
        <v>385.64000000001397</v>
      </c>
      <c r="AH8" s="689">
        <f>'4'!$G$65</f>
        <v>394.92000000001281</v>
      </c>
      <c r="AI8" s="689">
        <f>'4'!$G$66</f>
        <v>411.04000000000815</v>
      </c>
      <c r="AJ8" s="689">
        <f>'4'!$G$67</f>
        <v>435.78000000002794</v>
      </c>
      <c r="AK8" s="689">
        <f>'4'!$G$68</f>
        <v>0</v>
      </c>
      <c r="AL8" s="689">
        <f>'4'!$G$69</f>
        <v>289.11999999999534</v>
      </c>
      <c r="AM8" s="689">
        <f>'4'!$G$84</f>
        <v>660</v>
      </c>
      <c r="AN8" s="689">
        <f>'4'!$G$15</f>
        <v>821.23799999989569</v>
      </c>
      <c r="AO8" s="689">
        <f>'4'!$G$124</f>
        <v>241.89000000001397</v>
      </c>
      <c r="AP8" s="689">
        <f>'4'!$G$125</f>
        <v>0</v>
      </c>
      <c r="AQ8" s="689">
        <f>'4'!$G$126</f>
        <v>91.130000000004657</v>
      </c>
      <c r="AR8" s="689">
        <f>'4'!$G$127</f>
        <v>35.19999999999709</v>
      </c>
      <c r="AS8" s="689">
        <f>'4'!$G$128</f>
        <v>4.7000000000007276</v>
      </c>
      <c r="AT8" s="689">
        <f t="shared" si="0"/>
        <v>448.31799999987925</v>
      </c>
      <c r="AU8" s="689">
        <f>SUM('4'!G140:G141)</f>
        <v>9.3400000000001455</v>
      </c>
      <c r="AV8" s="689">
        <f>'4'!$G$137</f>
        <v>8.6899999999986903</v>
      </c>
      <c r="AW8" s="689">
        <f>'4'!$G$138</f>
        <v>0</v>
      </c>
      <c r="AX8" s="689">
        <f>'4'!$G$139</f>
        <v>0</v>
      </c>
      <c r="AY8" s="686">
        <f t="shared" si="1"/>
        <v>8.6899999999986903</v>
      </c>
      <c r="AZ8" s="1147">
        <f t="shared" si="2"/>
        <v>25.89828693790259</v>
      </c>
      <c r="BB8" s="1204">
        <f t="shared" si="3"/>
        <v>2097.5299999998388</v>
      </c>
      <c r="BC8" s="1204">
        <f t="shared" si="4"/>
        <v>9.8185179984077084</v>
      </c>
    </row>
    <row r="9" spans="1:55">
      <c r="A9" s="688">
        <v>44048</v>
      </c>
      <c r="B9" s="55">
        <f>'5'!G7</f>
        <v>21236.160000000033</v>
      </c>
      <c r="C9" s="55">
        <f>'5'!G8</f>
        <v>21315.160000000033</v>
      </c>
      <c r="D9" s="55">
        <f>'5'!G15</f>
        <v>851.14000000013039</v>
      </c>
      <c r="E9" s="55">
        <f>'5'!G20</f>
        <v>261</v>
      </c>
      <c r="F9" s="55">
        <f>SUM('5'!G35,'5'!G49)</f>
        <v>3023.3700000000008</v>
      </c>
      <c r="G9" s="55">
        <f>SUM('5'!G37,'5'!G51)</f>
        <v>1454.1499999999996</v>
      </c>
      <c r="H9" s="55">
        <f>SUM('5'!G38,'5'!G52)</f>
        <v>1714.8599999999988</v>
      </c>
      <c r="I9" s="55">
        <f>SUM('5'!G39,'5'!G53)</f>
        <v>3765.16</v>
      </c>
      <c r="J9" s="55">
        <f>SUM('5'!G41,'5'!G42,'5'!G55,'5'!G56)</f>
        <v>6489.1800000000803</v>
      </c>
      <c r="K9" s="55">
        <f>SUM('5'!G43,'5'!G57)</f>
        <v>2643.3999999999069</v>
      </c>
      <c r="L9" s="689">
        <f>'5'!G50</f>
        <v>1139.5999999999767</v>
      </c>
      <c r="M9" s="689">
        <f>'5'!G36</f>
        <v>566.79999999999927</v>
      </c>
      <c r="N9" s="689">
        <f>'5'!G72</f>
        <v>5</v>
      </c>
      <c r="O9" s="689">
        <f>'5'!$G$73</f>
        <v>0</v>
      </c>
      <c r="P9" s="689">
        <f>'5'!$G$74</f>
        <v>1.2000000000116415</v>
      </c>
      <c r="Q9" s="697">
        <f>'5'!$G$75</f>
        <v>182.38999999999942</v>
      </c>
      <c r="R9" s="689">
        <f>'5'!$G$76</f>
        <v>64.1200000000008</v>
      </c>
      <c r="S9" s="681">
        <f>'5'!$G$77</f>
        <v>49</v>
      </c>
      <c r="T9" s="696">
        <f>'5'!$G$78</f>
        <v>84</v>
      </c>
      <c r="U9" s="696">
        <f>'5'!$G$79</f>
        <v>165</v>
      </c>
      <c r="V9" s="691">
        <f>'5'!$G$80</f>
        <v>395.19999999995343</v>
      </c>
      <c r="W9" s="696">
        <f>'5'!$G$81</f>
        <v>126.71999999997206</v>
      </c>
      <c r="X9" s="689">
        <f>'5'!$G$82</f>
        <v>20.490000000005239</v>
      </c>
      <c r="Y9" s="689">
        <f>'5'!$G$58</f>
        <v>184.31999999999243</v>
      </c>
      <c r="Z9" s="689">
        <f>'5'!$G$83</f>
        <v>250</v>
      </c>
      <c r="AA9" s="696">
        <f>'5'!G86</f>
        <v>12.880000000004657</v>
      </c>
      <c r="AB9" s="689">
        <f>'5'!G87</f>
        <v>10.799999999988358</v>
      </c>
      <c r="AC9" s="689">
        <f>'5'!G88</f>
        <v>0</v>
      </c>
      <c r="AD9" s="689">
        <f>'5'!G89+'5'!G90</f>
        <v>64.999999999994088</v>
      </c>
      <c r="AE9" s="689">
        <f>'5'!$G$62</f>
        <v>0</v>
      </c>
      <c r="AF9" s="689">
        <f>'5'!$G$63</f>
        <v>0</v>
      </c>
      <c r="AG9" s="689">
        <f>'5'!$G$64</f>
        <v>412.92999999999302</v>
      </c>
      <c r="AH9" s="689">
        <f>'5'!$G$65</f>
        <v>386.88000000000466</v>
      </c>
      <c r="AI9" s="689">
        <f>'5'!$G$66</f>
        <v>391.13999999999942</v>
      </c>
      <c r="AJ9" s="689">
        <f>'5'!$G$67</f>
        <v>438.3399999999674</v>
      </c>
      <c r="AK9" s="689">
        <f>'5'!$G$68</f>
        <v>0</v>
      </c>
      <c r="AL9" s="689">
        <f>'5'!$G$69</f>
        <v>300.57000000000698</v>
      </c>
      <c r="AM9" s="689">
        <f>'5'!$G$84</f>
        <v>589</v>
      </c>
      <c r="AN9" s="696">
        <f>'5'!$G$15</f>
        <v>851.14000000013039</v>
      </c>
      <c r="AO9" s="689">
        <f>'5'!$G$124</f>
        <v>255.31000000005588</v>
      </c>
      <c r="AP9" s="689">
        <f>'5'!$G$125</f>
        <v>0</v>
      </c>
      <c r="AQ9" s="689">
        <f>'5'!$G$126</f>
        <v>94.220000000001164</v>
      </c>
      <c r="AR9" s="689">
        <f>'5'!$G$127</f>
        <v>40.900000000001455</v>
      </c>
      <c r="AS9" s="689">
        <f>'5'!$G$128</f>
        <v>2.7999999999992724</v>
      </c>
      <c r="AT9" s="689">
        <f t="shared" si="0"/>
        <v>457.91000000007261</v>
      </c>
      <c r="AU9" s="689">
        <f>SUM('5'!G140:G141)</f>
        <v>9.7100000000000364</v>
      </c>
      <c r="AV9" s="689">
        <f>'5'!$G$137</f>
        <v>8.4200000000018917</v>
      </c>
      <c r="AW9" s="689">
        <f>'5'!$G$138</f>
        <v>0</v>
      </c>
      <c r="AX9" s="689">
        <f>'5'!$G$139</f>
        <v>0</v>
      </c>
      <c r="AY9" s="686">
        <f t="shared" si="1"/>
        <v>8.4200000000018917</v>
      </c>
      <c r="AZ9" s="1147">
        <f>AO9/AU9</f>
        <v>26.293511843466007</v>
      </c>
      <c r="BB9" s="1204">
        <f t="shared" si="3"/>
        <v>2040.7200000000521</v>
      </c>
      <c r="BC9" s="1204">
        <f t="shared" si="4"/>
        <v>9.6096469418202215</v>
      </c>
    </row>
    <row r="10" spans="1:55">
      <c r="A10" s="688">
        <v>44049</v>
      </c>
      <c r="B10" s="55">
        <f>'6'!G7</f>
        <v>21947.439999999944</v>
      </c>
      <c r="C10" s="55">
        <f>'6'!G8</f>
        <v>22055.51999999996</v>
      </c>
      <c r="D10" s="55">
        <f>'6'!G15</f>
        <v>920.31999999983236</v>
      </c>
      <c r="E10" s="55">
        <f>'6'!G20</f>
        <v>163</v>
      </c>
      <c r="F10" s="1202">
        <f>SUM('6'!G35,'6'!G49)</f>
        <v>3085.7799999999988</v>
      </c>
      <c r="G10" s="55">
        <f>SUM('6'!G37,'6'!G51)</f>
        <v>1828.4900000000016</v>
      </c>
      <c r="H10" s="55">
        <f>SUM('6'!G38,'6'!G52)</f>
        <v>1659.6200000000008</v>
      </c>
      <c r="I10" s="55">
        <f>SUM('6'!G39,'6'!G53)</f>
        <v>3883.880000000001</v>
      </c>
      <c r="J10" s="55">
        <f>SUM('6'!G41,'6'!G42,'6'!G55,'6'!G56)</f>
        <v>7083.1199999999662</v>
      </c>
      <c r="K10" s="55">
        <f>SUM('6'!G43,'6'!G57)</f>
        <v>2661.8000000000466</v>
      </c>
      <c r="L10" s="689">
        <f>'6'!G50</f>
        <v>956.35999999998603</v>
      </c>
      <c r="M10" s="689">
        <f>'6'!G36</f>
        <v>685.98000000000047</v>
      </c>
      <c r="N10" s="689">
        <f>'6'!G72</f>
        <v>6</v>
      </c>
      <c r="O10" s="689">
        <f>'6'!$G$73</f>
        <v>0</v>
      </c>
      <c r="P10" s="689">
        <f>'6'!$G$74</f>
        <v>1.0999999999912689</v>
      </c>
      <c r="Q10" s="689">
        <f>'6'!$G$75</f>
        <v>185.2599999999984</v>
      </c>
      <c r="R10" s="689">
        <f>'6'!$G$76</f>
        <v>64.969999999999345</v>
      </c>
      <c r="S10" s="689">
        <f>'6'!$G$77</f>
        <v>48</v>
      </c>
      <c r="T10" s="681">
        <f>'6'!$G$78</f>
        <v>138</v>
      </c>
      <c r="U10" s="681">
        <f>'6'!$G$79</f>
        <v>172</v>
      </c>
      <c r="V10" s="681">
        <f>'6'!$G$80</f>
        <v>358</v>
      </c>
      <c r="W10" s="681">
        <f>'6'!$G$81</f>
        <v>117</v>
      </c>
      <c r="X10" s="681">
        <f>'6'!$G$82</f>
        <v>22</v>
      </c>
      <c r="Y10" s="681">
        <f>'6'!$G$58</f>
        <v>202.58999999999651</v>
      </c>
      <c r="Z10" s="681">
        <f>'6'!$G$83</f>
        <v>272</v>
      </c>
      <c r="AA10" s="681">
        <f>'6'!G86</f>
        <v>15.080000000016298</v>
      </c>
      <c r="AB10" s="681">
        <f>'6'!G87</f>
        <v>35.600000000005821</v>
      </c>
      <c r="AC10" s="681">
        <f>'6'!G88</f>
        <v>0</v>
      </c>
      <c r="AD10" s="681">
        <f>'6'!G89+'6'!G90</f>
        <v>75.800000000008822</v>
      </c>
      <c r="AE10" s="689">
        <f>'6'!$G$62</f>
        <v>0</v>
      </c>
      <c r="AF10" s="689">
        <f>'6'!$G$63</f>
        <v>4</v>
      </c>
      <c r="AG10" s="689">
        <f>'6'!$G$64</f>
        <v>434.69000000000233</v>
      </c>
      <c r="AH10" s="689">
        <f>'6'!$G$65</f>
        <v>390.07999999998719</v>
      </c>
      <c r="AI10" s="689">
        <f>'6'!$G$66</f>
        <v>402.56999999999243</v>
      </c>
      <c r="AJ10" s="689">
        <f>'6'!$G$67</f>
        <v>457.32000000000698</v>
      </c>
      <c r="AK10" s="689">
        <f>'6'!$G$68</f>
        <v>0</v>
      </c>
      <c r="AL10" s="689">
        <f>'6'!$G$69</f>
        <v>296.86999999999534</v>
      </c>
      <c r="AM10" s="689">
        <f>'6'!$G$84</f>
        <v>601</v>
      </c>
      <c r="AN10" s="689">
        <f>'6'!$G$15</f>
        <v>920.31999999983236</v>
      </c>
      <c r="AO10" s="724">
        <f>'6'!$G$124</f>
        <v>286.56999999994878</v>
      </c>
      <c r="AP10" s="689">
        <f>'6'!$G$125</f>
        <v>0</v>
      </c>
      <c r="AQ10" s="689">
        <f>'6'!$G$126</f>
        <v>95.089999999996508</v>
      </c>
      <c r="AR10" s="689">
        <f>'6'!$G$127</f>
        <v>35.5</v>
      </c>
      <c r="AS10" s="689">
        <f>'6'!$G$128</f>
        <v>1</v>
      </c>
      <c r="AT10" s="689">
        <f t="shared" si="0"/>
        <v>502.15999999988708</v>
      </c>
      <c r="AU10" s="689">
        <f>SUM('6'!G140:G141)</f>
        <v>10.429999999999836</v>
      </c>
      <c r="AV10" s="689">
        <f>'6'!$G$137</f>
        <v>9.4399999999986903</v>
      </c>
      <c r="AW10" s="689">
        <f>'6'!$G$138</f>
        <v>0</v>
      </c>
      <c r="AX10" s="689">
        <f>'6'!$G$139</f>
        <v>0</v>
      </c>
      <c r="AY10" s="686">
        <f t="shared" si="1"/>
        <v>9.4399999999986903</v>
      </c>
      <c r="AZ10" s="1147">
        <f t="shared" ref="AZ10:AZ11" si="5">AO10/AU10</f>
        <v>27.475551294338761</v>
      </c>
      <c r="BB10" s="1204">
        <f t="shared" si="3"/>
        <v>1650.239999999947</v>
      </c>
      <c r="BC10" s="1204">
        <f t="shared" si="4"/>
        <v>7.5190546141142258</v>
      </c>
    </row>
    <row r="11" spans="1:55">
      <c r="A11" s="688">
        <v>44050</v>
      </c>
      <c r="B11" s="55">
        <f>'7'!G7</f>
        <v>20386.440000000002</v>
      </c>
      <c r="C11" s="55">
        <f>'7'!G8</f>
        <v>20481.920000000042</v>
      </c>
      <c r="D11" s="55">
        <f>'7'!G15</f>
        <v>856.76000000000931</v>
      </c>
      <c r="E11" s="55">
        <f>'7'!G20</f>
        <v>218</v>
      </c>
      <c r="F11" s="1202">
        <f>SUM('7'!G35,'7'!G49)</f>
        <v>4524.8899999999994</v>
      </c>
      <c r="G11" s="55">
        <f>SUM('7'!G37,'7'!G51)</f>
        <v>1681.0499999999993</v>
      </c>
      <c r="H11" s="55">
        <f>SUM('7'!G38,'7'!G52)</f>
        <v>1663.8900000000012</v>
      </c>
      <c r="I11" s="55">
        <f>SUM('7'!G39,'7'!G53)</f>
        <v>3792.2900000000009</v>
      </c>
      <c r="J11" s="55">
        <f>SUM('7'!G41,'7'!G42,'7'!G55,'7'!G56)</f>
        <v>5975</v>
      </c>
      <c r="K11" s="55">
        <f>SUM('7'!G43,'7'!G57)</f>
        <v>2465.8000000000466</v>
      </c>
      <c r="L11" s="689">
        <f>'7'!G50</f>
        <v>928.56000000005588</v>
      </c>
      <c r="M11" s="689">
        <f>'7'!G36</f>
        <v>590.47999999999956</v>
      </c>
      <c r="N11" s="689">
        <f>'7'!G72</f>
        <v>5</v>
      </c>
      <c r="O11" s="689">
        <f>'7'!$G$73</f>
        <v>1</v>
      </c>
      <c r="P11" s="689">
        <f>'7'!$G$74</f>
        <v>1.3000000000029104</v>
      </c>
      <c r="Q11" s="689">
        <f>'7'!$G$75</f>
        <v>171.42000000000189</v>
      </c>
      <c r="R11" s="689">
        <f>'7'!$G$76</f>
        <v>64.110000000000582</v>
      </c>
      <c r="S11" s="689">
        <f>'7'!$G$77</f>
        <v>59</v>
      </c>
      <c r="T11" s="681">
        <f>'7'!$G$78</f>
        <v>136</v>
      </c>
      <c r="U11" s="681">
        <f>'7'!$G$79</f>
        <v>176</v>
      </c>
      <c r="V11" s="681">
        <f>'7'!$G$80</f>
        <v>396</v>
      </c>
      <c r="W11" s="681">
        <f>'7'!$G$81</f>
        <v>126</v>
      </c>
      <c r="X11" s="681">
        <f>'7'!$G$82</f>
        <v>26</v>
      </c>
      <c r="Y11" s="681">
        <f>'7'!$G$58</f>
        <v>202.74000000000524</v>
      </c>
      <c r="Z11" s="691">
        <f>'7'!$G$83</f>
        <v>235</v>
      </c>
      <c r="AA11" s="712">
        <f>'7'!G86</f>
        <v>13</v>
      </c>
      <c r="AB11" s="681">
        <f>'7'!G87</f>
        <v>36.19999999999709</v>
      </c>
      <c r="AC11" s="681">
        <f>'7'!G88</f>
        <v>0</v>
      </c>
      <c r="AD11" s="681">
        <f>'7'!G89+'7'!G90</f>
        <v>77.29999999999427</v>
      </c>
      <c r="AE11" s="689">
        <f>'7'!$G$62</f>
        <v>0</v>
      </c>
      <c r="AF11" s="689">
        <f>'7'!$G$63</f>
        <v>8.36</v>
      </c>
      <c r="AG11" s="689">
        <f>'7'!$G$64</f>
        <v>406.07999999998719</v>
      </c>
      <c r="AH11" s="689">
        <f>'7'!$G$65</f>
        <v>375.98000000001048</v>
      </c>
      <c r="AI11" s="689">
        <f>'7'!$G$66</f>
        <v>383.61000000000058</v>
      </c>
      <c r="AJ11" s="689">
        <f>'7'!$G$67</f>
        <v>461.79999999998836</v>
      </c>
      <c r="AK11" s="691">
        <f>'7'!$G$68</f>
        <v>0</v>
      </c>
      <c r="AL11" s="689">
        <f>'7'!$G$69</f>
        <v>298.16999999999825</v>
      </c>
      <c r="AM11" s="689">
        <f>'7'!$G$84</f>
        <v>607</v>
      </c>
      <c r="AN11" s="689">
        <f>'7'!$G$15</f>
        <v>856.76000000000931</v>
      </c>
      <c r="AO11" s="724">
        <f>'7'!$G$124</f>
        <v>234.1600000000326</v>
      </c>
      <c r="AP11" s="689">
        <f>'7'!$G$125</f>
        <v>-0.39999999999417923</v>
      </c>
      <c r="AQ11" s="689">
        <f>'7'!$G$126</f>
        <v>85.459999999991851</v>
      </c>
      <c r="AR11" s="689">
        <f>'7'!$G$127</f>
        <v>51.400000000001455</v>
      </c>
      <c r="AS11" s="689">
        <f>'7'!$G$128</f>
        <v>1.2000000000007276</v>
      </c>
      <c r="AT11" s="689">
        <f t="shared" si="0"/>
        <v>484.93999999997686</v>
      </c>
      <c r="AU11" s="689">
        <f>SUM('7'!G140:G141)</f>
        <v>8.7600000000002183</v>
      </c>
      <c r="AV11" s="689">
        <f>'7'!$G$137</f>
        <v>8.9900000000016007</v>
      </c>
      <c r="AW11" s="689">
        <f>'7'!$G$138</f>
        <v>0</v>
      </c>
      <c r="AX11" s="689">
        <f>'7'!$G$139</f>
        <v>0</v>
      </c>
      <c r="AY11" s="686">
        <f t="shared" si="1"/>
        <v>8.9900000000016007</v>
      </c>
      <c r="AZ11" s="1147">
        <f t="shared" si="5"/>
        <v>26.73059360730899</v>
      </c>
      <c r="BB11" s="1204">
        <f t="shared" si="3"/>
        <v>176.25999999998749</v>
      </c>
      <c r="BC11" s="1204">
        <f t="shared" si="4"/>
        <v>0.86459430876596144</v>
      </c>
    </row>
    <row r="12" spans="1:55">
      <c r="A12" s="688">
        <v>44051</v>
      </c>
      <c r="B12" s="55">
        <f>'8'!G7</f>
        <v>22222.520000000019</v>
      </c>
      <c r="C12" s="55">
        <f>'8'!G8</f>
        <v>22311.399999999965</v>
      </c>
      <c r="D12" s="55">
        <f>'8'!G15</f>
        <v>851.33000000007451</v>
      </c>
      <c r="E12" s="55">
        <f>'8'!G20</f>
        <v>209</v>
      </c>
      <c r="F12" s="55">
        <f>SUM('8'!G35,'8'!G49)</f>
        <v>4765.9599999999555</v>
      </c>
      <c r="G12" s="55">
        <f>SUM('8'!G37,'8'!G51)</f>
        <v>1742.4300000000003</v>
      </c>
      <c r="H12" s="55">
        <f>SUM('8'!G38,'8'!G52)</f>
        <v>1706.9599999999991</v>
      </c>
      <c r="I12" s="55">
        <f>SUM('8'!G39,'8'!G53)</f>
        <v>3944.4099999999962</v>
      </c>
      <c r="J12" s="55">
        <f>SUM('8'!G41,'8'!G42,'8'!G55,'8'!G56)</f>
        <v>7061.6199999999662</v>
      </c>
      <c r="K12" s="55">
        <f>SUM('8'!G43,'8'!G57)</f>
        <v>2588.5999999998603</v>
      </c>
      <c r="L12" s="689">
        <f>'8'!G50</f>
        <v>948.28000000002794</v>
      </c>
      <c r="M12" s="689">
        <f>'8'!G36</f>
        <v>730.86000000000058</v>
      </c>
      <c r="N12" s="689">
        <f>'8'!G72</f>
        <v>6</v>
      </c>
      <c r="O12" s="689">
        <f>'8'!$G$73</f>
        <v>0</v>
      </c>
      <c r="P12" s="689">
        <f>'8'!$G$74</f>
        <v>1.3000000000029104</v>
      </c>
      <c r="Q12" s="689">
        <f>'8'!$G$75</f>
        <v>158.41999999999825</v>
      </c>
      <c r="R12" s="689">
        <f>'8'!$G$76</f>
        <v>64.899999999999636</v>
      </c>
      <c r="S12" s="689">
        <f>'8'!$G$77</f>
        <v>64</v>
      </c>
      <c r="T12" s="681">
        <f>'8'!$G$78</f>
        <v>192</v>
      </c>
      <c r="U12" s="681">
        <f>'8'!$G$79</f>
        <v>171</v>
      </c>
      <c r="V12" s="681">
        <f>'8'!$G$80</f>
        <v>388</v>
      </c>
      <c r="W12" s="681">
        <f>'8'!$G$81</f>
        <v>106.59999999997672</v>
      </c>
      <c r="X12" s="681">
        <f>'8'!$G$82</f>
        <v>19.160000000003492</v>
      </c>
      <c r="Y12" s="681">
        <f>'8'!$G$58</f>
        <v>217.66999999999825</v>
      </c>
      <c r="Z12" s="681">
        <f>'8'!$G$83</f>
        <v>310</v>
      </c>
      <c r="AA12" s="681">
        <f>'8'!G86</f>
        <v>13.679999999993015</v>
      </c>
      <c r="AB12" s="681">
        <f>'8'!G87</f>
        <v>37.100000000005821</v>
      </c>
      <c r="AC12" s="681">
        <f>'8'!G88</f>
        <v>0</v>
      </c>
      <c r="AD12" s="681">
        <f>'8'!G89+'8'!G90</f>
        <v>77.80000000000291</v>
      </c>
      <c r="AE12" s="689">
        <f>'8'!$G$62</f>
        <v>0</v>
      </c>
      <c r="AF12" s="689">
        <f>'8'!$G$63</f>
        <v>8.5</v>
      </c>
      <c r="AG12" s="689">
        <f>'8'!$G$64</f>
        <v>410.42000000001281</v>
      </c>
      <c r="AH12" s="689">
        <f>'8'!$G$65</f>
        <v>368.5</v>
      </c>
      <c r="AI12" s="689">
        <f>'8'!$G$66</f>
        <v>386.82000000000698</v>
      </c>
      <c r="AJ12" s="689">
        <f>'8'!$G$67</f>
        <v>534.24000000004889</v>
      </c>
      <c r="AK12" s="689">
        <f>'8'!$G$68</f>
        <v>0</v>
      </c>
      <c r="AL12" s="689">
        <f>'8'!$G$69</f>
        <v>314.35000000000582</v>
      </c>
      <c r="AM12" s="689">
        <f>'8'!$G$84</f>
        <v>637</v>
      </c>
      <c r="AN12" s="689">
        <f>'8'!$G$15</f>
        <v>851.33000000007451</v>
      </c>
      <c r="AO12" s="689">
        <f>'8'!$G$124</f>
        <v>222.18999999994412</v>
      </c>
      <c r="AP12" s="689">
        <f>'8'!$G$125</f>
        <v>0.39999999999417923</v>
      </c>
      <c r="AQ12" s="689">
        <f>'8'!$G$126</f>
        <v>91.180000000022119</v>
      </c>
      <c r="AR12" s="689">
        <f>'8'!$G$127</f>
        <v>46.19999999999709</v>
      </c>
      <c r="AS12" s="689">
        <f>'8'!$G$128</f>
        <v>1.6000000000003638</v>
      </c>
      <c r="AT12" s="689">
        <f t="shared" si="0"/>
        <v>489.76000000011663</v>
      </c>
      <c r="AU12" s="689">
        <f>SUM('8'!G140:G141)</f>
        <v>8.2399999999997817</v>
      </c>
      <c r="AV12" s="689">
        <f>'8'!$G$137</f>
        <v>9.0200000000004366</v>
      </c>
      <c r="AW12" s="689">
        <f>'8'!$G$138</f>
        <v>0</v>
      </c>
      <c r="AX12" s="689">
        <f>'8'!$G$139</f>
        <v>0</v>
      </c>
      <c r="AY12" s="686">
        <f t="shared" si="1"/>
        <v>9.0200000000004366</v>
      </c>
      <c r="BB12" s="1204">
        <f t="shared" si="3"/>
        <v>283.75000000018917</v>
      </c>
      <c r="BC12" s="1204">
        <f t="shared" si="4"/>
        <v>1.2768578901051226</v>
      </c>
    </row>
    <row r="13" spans="1:55">
      <c r="A13" s="688">
        <v>44052</v>
      </c>
      <c r="B13" s="55">
        <f>'9'!G7</f>
        <v>21877.570000000007</v>
      </c>
      <c r="C13" s="55">
        <f>'9'!G8</f>
        <v>21965.010000000009</v>
      </c>
      <c r="D13" s="55">
        <f>'9'!G15</f>
        <v>851.48999999999069</v>
      </c>
      <c r="E13" s="55">
        <f>'9'!G20</f>
        <v>200</v>
      </c>
      <c r="F13" s="55">
        <f>SUM('9'!G35,'9'!G49)</f>
        <v>4824.6699999999983</v>
      </c>
      <c r="G13" s="55">
        <f>SUM('9'!G37,'9'!G51)</f>
        <v>1716.0699999999997</v>
      </c>
      <c r="H13" s="55">
        <f>SUM('9'!G38,'9'!G52)</f>
        <v>1626.0699999999997</v>
      </c>
      <c r="I13" s="55">
        <f>SUM('9'!G39,'9'!G53)</f>
        <v>3960.9100000000035</v>
      </c>
      <c r="J13" s="55">
        <f>SUM('9'!G41,'9'!G42,'9'!G55,'9'!G56)</f>
        <v>6865.6199999999953</v>
      </c>
      <c r="K13" s="55">
        <f>SUM('9'!G43,'9'!G57)</f>
        <v>2589.3000000000466</v>
      </c>
      <c r="L13" s="689">
        <f>'9'!G50</f>
        <v>930.32999999995809</v>
      </c>
      <c r="M13" s="689">
        <f>'9'!G36</f>
        <v>618.98999999999978</v>
      </c>
      <c r="N13" s="689">
        <f>'9'!G72</f>
        <v>5</v>
      </c>
      <c r="O13" s="689">
        <f>'9'!$G$73</f>
        <v>0</v>
      </c>
      <c r="P13" s="689">
        <f>'9'!$G$74</f>
        <v>0.69999999999708962</v>
      </c>
      <c r="Q13" s="689">
        <f>'9'!$G$75</f>
        <v>213.52000000000044</v>
      </c>
      <c r="R13" s="689">
        <f>'9'!$G$76</f>
        <v>64.319999999999709</v>
      </c>
      <c r="S13" s="689">
        <f>'9'!$G$77</f>
        <v>47</v>
      </c>
      <c r="T13" s="681">
        <f>'9'!$G$78</f>
        <v>186</v>
      </c>
      <c r="U13" s="681">
        <f>'9'!$G$79</f>
        <v>169</v>
      </c>
      <c r="V13" s="681">
        <f>'9'!$G$80</f>
        <v>359</v>
      </c>
      <c r="W13" s="681">
        <f>'9'!$G$81</f>
        <v>134.40000000002328</v>
      </c>
      <c r="X13" s="681">
        <f>'9'!$G$82</f>
        <v>22.839999999996508</v>
      </c>
      <c r="Y13" s="681">
        <f>'9'!$G$58</f>
        <v>235.69000000000233</v>
      </c>
      <c r="Z13" s="681">
        <f>'9'!$G$83</f>
        <v>247</v>
      </c>
      <c r="AA13" s="681">
        <f>'9'!G86</f>
        <v>27.320000000006985</v>
      </c>
      <c r="AB13" s="681">
        <f>'9'!G87</f>
        <v>28.69999999999709</v>
      </c>
      <c r="AC13" s="681">
        <f>'9'!G88</f>
        <v>0</v>
      </c>
      <c r="AD13" s="681">
        <f>'9'!G89+'9'!H90</f>
        <v>93.399999999996908</v>
      </c>
      <c r="AE13" s="689">
        <f>'9'!$G$62</f>
        <v>0</v>
      </c>
      <c r="AF13" s="689">
        <f>'9'!$G$63</f>
        <v>9.9400000000000013</v>
      </c>
      <c r="AG13" s="689">
        <f>'9'!$G$64</f>
        <v>426.70999999999185</v>
      </c>
      <c r="AH13" s="696">
        <f>'9'!$G$65</f>
        <v>362.02999999999884</v>
      </c>
      <c r="AI13" s="696">
        <f>'9'!$G$66</f>
        <v>394.02999999999884</v>
      </c>
      <c r="AJ13" s="689">
        <f>'9'!$G$67</f>
        <v>519.78999999997905</v>
      </c>
      <c r="AK13" s="689">
        <f>'9'!$G$68</f>
        <v>0</v>
      </c>
      <c r="AL13" s="689">
        <f>'9'!$G$69</f>
        <v>308.86000000000058</v>
      </c>
      <c r="AM13" s="689">
        <f>'9'!$G$84</f>
        <v>748</v>
      </c>
      <c r="AN13" s="689">
        <f>'9'!$G$15</f>
        <v>851.48999999999069</v>
      </c>
      <c r="AO13" s="689">
        <f>'9'!$G$124</f>
        <v>233.65000000002328</v>
      </c>
      <c r="AP13" s="689">
        <f>'9'!$G$125</f>
        <v>0</v>
      </c>
      <c r="AQ13" s="689">
        <f>'9'!$G$126</f>
        <v>72.079999999987194</v>
      </c>
      <c r="AR13" s="689">
        <f>'9'!$G$127</f>
        <v>34</v>
      </c>
      <c r="AS13" s="689">
        <f>'9'!$G$128</f>
        <v>1.2999999999992724</v>
      </c>
      <c r="AT13" s="689">
        <f t="shared" si="0"/>
        <v>510.45999999998094</v>
      </c>
      <c r="AU13" s="689">
        <f>SUM('9'!G140:G141)</f>
        <v>8.6900000000000546</v>
      </c>
      <c r="AV13" s="689">
        <f>'9'!$G$137</f>
        <v>9.5099999999983993</v>
      </c>
      <c r="AW13" s="689">
        <f>'9'!$G$138</f>
        <v>0</v>
      </c>
      <c r="AX13" s="689">
        <f>'9'!$G$139</f>
        <v>5.0000000002910383E-2</v>
      </c>
      <c r="AY13" s="686">
        <f t="shared" si="1"/>
        <v>9.5600000000013097</v>
      </c>
      <c r="BB13" s="1204">
        <f t="shared" si="3"/>
        <v>146.67999999996391</v>
      </c>
      <c r="BC13" s="1204">
        <f t="shared" si="4"/>
        <v>0.67045837357605931</v>
      </c>
    </row>
    <row r="14" spans="1:55">
      <c r="A14" s="688">
        <v>44053</v>
      </c>
      <c r="B14" s="55">
        <f>'10'!G7</f>
        <v>21347</v>
      </c>
      <c r="C14" s="55">
        <f>'10'!G8</f>
        <v>21417</v>
      </c>
      <c r="D14" s="55">
        <f>'10'!G15</f>
        <v>796</v>
      </c>
      <c r="E14" s="55">
        <f>'10'!G20</f>
        <v>197</v>
      </c>
      <c r="F14" s="55">
        <f>SUM('10'!G35,'10'!G49)</f>
        <v>4554</v>
      </c>
      <c r="G14" s="55">
        <f>SUM('10'!G37,'10'!G51)</f>
        <v>1638</v>
      </c>
      <c r="H14" s="55">
        <f>SUM('10'!G38,'10'!G52)</f>
        <v>1688</v>
      </c>
      <c r="I14" s="55">
        <f>SUM('10'!G39,'10'!G53)</f>
        <v>3934</v>
      </c>
      <c r="J14" s="55">
        <f>SUM('10'!G41,'10'!G42,'10'!G55,'10'!G56)</f>
        <v>6866</v>
      </c>
      <c r="K14" s="55">
        <f>SUM('10'!G43,'10'!G57)</f>
        <v>2556</v>
      </c>
      <c r="L14" s="689">
        <f>'10'!G50</f>
        <v>920</v>
      </c>
      <c r="M14" s="689">
        <f>'10'!G36</f>
        <v>524</v>
      </c>
      <c r="N14" s="689">
        <f>'10'!G72</f>
        <v>6</v>
      </c>
      <c r="O14" s="689">
        <f>'10'!$G$73</f>
        <v>1</v>
      </c>
      <c r="P14" s="689">
        <f>'10'!$G$74</f>
        <v>1</v>
      </c>
      <c r="Q14" s="689">
        <f>'10'!$G$75</f>
        <v>123</v>
      </c>
      <c r="R14" s="689">
        <f>'10'!$G$76</f>
        <v>68</v>
      </c>
      <c r="S14" s="689">
        <f>'10'!$G$77</f>
        <v>55</v>
      </c>
      <c r="T14" s="681">
        <f>'10'!$G$78</f>
        <v>183</v>
      </c>
      <c r="U14" s="681">
        <f>'10'!$G$79</f>
        <v>168</v>
      </c>
      <c r="V14" s="692">
        <f>'10'!$G$80</f>
        <v>336</v>
      </c>
      <c r="W14" s="692">
        <f>'10'!$G$81</f>
        <v>121</v>
      </c>
      <c r="X14" s="681">
        <f>'10'!$G$82</f>
        <v>20</v>
      </c>
      <c r="Y14" s="681">
        <f>'10'!$G$58</f>
        <v>169</v>
      </c>
      <c r="Z14" s="681">
        <f>'10'!$G$83</f>
        <v>302</v>
      </c>
      <c r="AA14" s="681">
        <f>'10'!G86</f>
        <v>38</v>
      </c>
      <c r="AB14" s="681">
        <f>'10'!G87</f>
        <v>16</v>
      </c>
      <c r="AC14" s="681">
        <f>'10'!G88</f>
        <v>0</v>
      </c>
      <c r="AD14" s="681">
        <f>'10'!G87+'10'!H90</f>
        <v>32.699999999999818</v>
      </c>
      <c r="AE14" s="689">
        <f>'10'!$G$62</f>
        <v>0</v>
      </c>
      <c r="AF14" s="689">
        <f>'10'!$G$63</f>
        <v>10.199999999999999</v>
      </c>
      <c r="AG14" s="689">
        <f>'10'!$G$64</f>
        <v>398</v>
      </c>
      <c r="AH14" s="689">
        <f>'10'!$G$65</f>
        <v>393</v>
      </c>
      <c r="AI14" s="689">
        <f>'10'!$G$66</f>
        <v>408</v>
      </c>
      <c r="AJ14" s="689">
        <f>'10'!$G$67</f>
        <v>516</v>
      </c>
      <c r="AK14" s="689">
        <f>'10'!$G$68</f>
        <v>167</v>
      </c>
      <c r="AL14" s="689">
        <f>'10'!$G$69</f>
        <v>307</v>
      </c>
      <c r="AM14" s="689">
        <f>'10'!$G$84</f>
        <v>689</v>
      </c>
      <c r="AN14" s="689">
        <f>'10'!$G$15</f>
        <v>796</v>
      </c>
      <c r="AO14" s="689">
        <f>'10'!$G$124</f>
        <v>229</v>
      </c>
      <c r="AP14" s="689">
        <f>'10'!$G$125</f>
        <v>0</v>
      </c>
      <c r="AQ14" s="689">
        <f>'10'!$G$126</f>
        <v>90</v>
      </c>
      <c r="AR14" s="689">
        <f>'10'!$G$127</f>
        <v>36</v>
      </c>
      <c r="AS14" s="689">
        <f>'10'!$G$128</f>
        <v>2</v>
      </c>
      <c r="AT14" s="689">
        <f t="shared" si="0"/>
        <v>439</v>
      </c>
      <c r="AU14" s="689">
        <f>SUM('10'!G140:G141)</f>
        <v>8.5900000000001455</v>
      </c>
      <c r="AV14" s="689">
        <f>'10'!$G$137</f>
        <v>8.3899999999994179</v>
      </c>
      <c r="AW14" s="689">
        <f>'10'!$G$138</f>
        <v>0</v>
      </c>
      <c r="AX14" s="689">
        <f>'10'!$G$139</f>
        <v>0</v>
      </c>
      <c r="AY14" s="686">
        <f t="shared" si="1"/>
        <v>8.3899999999994179</v>
      </c>
      <c r="BB14" s="1204">
        <f t="shared" si="3"/>
        <v>12</v>
      </c>
      <c r="BC14" s="1204">
        <f t="shared" si="4"/>
        <v>5.6213987913992597E-2</v>
      </c>
    </row>
    <row r="15" spans="1:55">
      <c r="A15" s="688">
        <v>44054</v>
      </c>
      <c r="B15" s="55">
        <f>'11'!G7</f>
        <v>21343</v>
      </c>
      <c r="C15" s="55">
        <f>'11'!G8</f>
        <v>21441</v>
      </c>
      <c r="D15" s="55">
        <f>'11'!G15</f>
        <v>881</v>
      </c>
      <c r="E15" s="55">
        <f>'11'!G20</f>
        <v>211</v>
      </c>
      <c r="F15" s="55">
        <f>SUM('11'!G35,'11'!G49)</f>
        <v>4510</v>
      </c>
      <c r="G15" s="55">
        <f>SUM('11'!G37,'11'!G51)</f>
        <v>1694</v>
      </c>
      <c r="H15" s="55">
        <f>SUM('11'!G38,'11'!G52)</f>
        <v>1618</v>
      </c>
      <c r="I15" s="55">
        <f>SUM('11'!G39,'11'!G53)</f>
        <v>3836</v>
      </c>
      <c r="J15" s="55">
        <f>SUM('11'!G41,'11'!G42,'11'!G55,'11'!G56)</f>
        <v>6766</v>
      </c>
      <c r="K15" s="55">
        <f>SUM('11'!G43,'11'!G57)</f>
        <v>2593</v>
      </c>
      <c r="L15" s="689">
        <f>'11'!G50</f>
        <v>997</v>
      </c>
      <c r="M15" s="689">
        <f>'11'!G36</f>
        <v>553</v>
      </c>
      <c r="N15" s="689">
        <f>'11'!G72</f>
        <v>5</v>
      </c>
      <c r="O15" s="689">
        <f>'11'!$G$73</f>
        <v>0</v>
      </c>
      <c r="P15" s="689">
        <f>'11'!$G$74</f>
        <v>0</v>
      </c>
      <c r="Q15" s="689">
        <f>'11'!$G$75</f>
        <v>197</v>
      </c>
      <c r="R15" s="689">
        <f>'11'!$G$76</f>
        <v>81</v>
      </c>
      <c r="S15" s="689">
        <f>'11'!$G$77</f>
        <v>49</v>
      </c>
      <c r="T15" s="681">
        <f>'11'!$G$78</f>
        <v>163</v>
      </c>
      <c r="U15" s="681">
        <f>'11'!$G$79</f>
        <v>171</v>
      </c>
      <c r="V15" s="681">
        <f>'11'!$G$80</f>
        <v>414</v>
      </c>
      <c r="W15" s="681">
        <f>'11'!$G$81</f>
        <v>145</v>
      </c>
      <c r="X15" s="681">
        <f>'11'!$G$82</f>
        <v>22</v>
      </c>
      <c r="Y15" s="681">
        <f>'11'!$G$58</f>
        <v>186</v>
      </c>
      <c r="Z15" s="681">
        <f>'11'!$G$83</f>
        <v>240</v>
      </c>
      <c r="AA15" s="681">
        <f>'11'!G86</f>
        <v>42</v>
      </c>
      <c r="AB15" s="681">
        <f>'11'!G87</f>
        <v>14</v>
      </c>
      <c r="AC15" s="681">
        <f>'11'!G88</f>
        <v>0</v>
      </c>
      <c r="AD15" s="681">
        <f>'11'!G87+'11'!H90</f>
        <v>18</v>
      </c>
      <c r="AE15" s="689">
        <f>'11'!$G$62</f>
        <v>0</v>
      </c>
      <c r="AF15" s="689">
        <f>'11'!$G$63</f>
        <v>10</v>
      </c>
      <c r="AG15" s="689">
        <f>'11'!$G$64</f>
        <v>391</v>
      </c>
      <c r="AH15" s="689">
        <f>'11'!$G$65</f>
        <v>384</v>
      </c>
      <c r="AI15" s="689">
        <f>'11'!$G$66</f>
        <v>404</v>
      </c>
      <c r="AJ15" s="689">
        <f>'11'!$G$67</f>
        <v>498</v>
      </c>
      <c r="AK15" s="689">
        <f>'11'!$G$68</f>
        <v>114</v>
      </c>
      <c r="AL15" s="689">
        <f>'11'!$G$69</f>
        <v>300</v>
      </c>
      <c r="AM15" s="689">
        <f>'11'!$G$84</f>
        <v>712</v>
      </c>
      <c r="AN15" s="689">
        <f>'11'!$G$15</f>
        <v>881</v>
      </c>
      <c r="AO15" s="689">
        <f>'11'!$G$124</f>
        <v>270</v>
      </c>
      <c r="AP15" s="689">
        <f>'11'!$G$125</f>
        <v>0</v>
      </c>
      <c r="AQ15" s="689">
        <f>'11'!$G$126</f>
        <v>76</v>
      </c>
      <c r="AR15" s="689">
        <f>'11'!$G$127</f>
        <v>47</v>
      </c>
      <c r="AS15" s="689">
        <f>'11'!$G$128</f>
        <v>2</v>
      </c>
      <c r="AT15" s="689">
        <f t="shared" si="0"/>
        <v>486</v>
      </c>
      <c r="AU15" s="689">
        <f>SUM('11'!G140:G141)</f>
        <v>10.059999999999945</v>
      </c>
      <c r="AV15" s="689">
        <f>'11'!$G$137</f>
        <v>8.430000000000291</v>
      </c>
      <c r="AW15" s="689">
        <f>'11'!$G$138</f>
        <v>0</v>
      </c>
      <c r="AX15" s="689">
        <f>'11'!$G$139</f>
        <v>-5.0000000002910383E-2</v>
      </c>
      <c r="AY15" s="686">
        <f t="shared" si="1"/>
        <v>8.3799999999973807</v>
      </c>
      <c r="BB15" s="1204">
        <f t="shared" si="3"/>
        <v>238</v>
      </c>
      <c r="BC15" s="1204">
        <f t="shared" si="4"/>
        <v>1.1151197113807805</v>
      </c>
    </row>
    <row r="16" spans="1:55">
      <c r="A16" s="688">
        <v>44055</v>
      </c>
      <c r="B16" s="55">
        <f>'12'!G7</f>
        <v>22295.670000000042</v>
      </c>
      <c r="C16" s="55">
        <f>'12'!G8</f>
        <v>22425.270000000019</v>
      </c>
      <c r="D16" s="55">
        <f>'12'!G15</f>
        <v>916.83100000000559</v>
      </c>
      <c r="E16" s="55">
        <f>'12'!G20</f>
        <v>223</v>
      </c>
      <c r="F16" s="55">
        <f>SUM('12'!G35,'12'!G49)</f>
        <v>4641.6299999999974</v>
      </c>
      <c r="G16" s="55">
        <f>SUM('12'!G37,'12'!G51)</f>
        <v>1706.5900000000001</v>
      </c>
      <c r="H16" s="55">
        <f>SUM('12'!G38,'12'!G52)</f>
        <v>1663.3499999999985</v>
      </c>
      <c r="I16" s="55">
        <f>SUM('12'!G39,'12'!G53)</f>
        <v>3783.25</v>
      </c>
      <c r="J16" s="55">
        <f>SUM('12'!G41,'12'!G42,'12'!G55,'12'!G56)</f>
        <v>6958.9799999999232</v>
      </c>
      <c r="K16" s="55">
        <f>SUM('12'!G43,'12'!G57)</f>
        <v>2648</v>
      </c>
      <c r="L16" s="689">
        <f>'12'!G50</f>
        <v>1184.9899999999907</v>
      </c>
      <c r="M16" s="689">
        <f>'12'!G36</f>
        <v>713.60000000000036</v>
      </c>
      <c r="N16" s="689">
        <f>'12'!G72</f>
        <v>6</v>
      </c>
      <c r="O16" s="689">
        <f>'12'!$G$73</f>
        <v>0</v>
      </c>
      <c r="P16" s="689">
        <f>'12'!$G$74</f>
        <v>0</v>
      </c>
      <c r="Q16" s="689">
        <f>'12'!$G$75</f>
        <v>138.18000000000029</v>
      </c>
      <c r="R16" s="689">
        <f>'12'!$G$76</f>
        <v>54.920000000000073</v>
      </c>
      <c r="S16" s="689">
        <f>'12'!$G$77</f>
        <v>45</v>
      </c>
      <c r="T16" s="681">
        <f>'12'!$G$78</f>
        <v>109</v>
      </c>
      <c r="U16" s="681">
        <f>'12'!$G$79</f>
        <v>155</v>
      </c>
      <c r="V16" s="681">
        <f>'12'!$G$80</f>
        <v>405.43999999994412</v>
      </c>
      <c r="W16" s="681">
        <f>'12'!$G$81</f>
        <v>163.52000000001863</v>
      </c>
      <c r="X16" s="681">
        <f>'12'!$G$82</f>
        <v>28.9</v>
      </c>
      <c r="Y16" s="681">
        <f>'12'!$G$58</f>
        <v>195.97999999999593</v>
      </c>
      <c r="Z16" s="681">
        <f>'12'!$G$83</f>
        <v>276</v>
      </c>
      <c r="AA16" s="681">
        <f>'12'!G86</f>
        <v>40.039999999979045</v>
      </c>
      <c r="AB16" s="681">
        <f>'12'!G87</f>
        <v>6.6000000000058208</v>
      </c>
      <c r="AC16" s="681">
        <f>'12'!G88</f>
        <v>0</v>
      </c>
      <c r="AD16" s="681">
        <f>'12'!G87+'12'!H90</f>
        <v>11.20000000000573</v>
      </c>
      <c r="AE16" s="689">
        <f>'12'!$G$62</f>
        <v>0</v>
      </c>
      <c r="AF16" s="689">
        <f>'12'!$G$63</f>
        <v>0</v>
      </c>
      <c r="AG16" s="689">
        <f>'12'!$G$64</f>
        <v>365.25</v>
      </c>
      <c r="AH16" s="689">
        <f>'12'!$G$65</f>
        <v>361.75</v>
      </c>
      <c r="AI16" s="689">
        <f>'12'!$G$66</f>
        <v>406.77999999999884</v>
      </c>
      <c r="AJ16" s="689">
        <f>'12'!$G$67</f>
        <v>470.3300000000163</v>
      </c>
      <c r="AK16" s="689">
        <f>'12'!$G$68</f>
        <v>287.25999999999476</v>
      </c>
      <c r="AL16" s="689">
        <f>'12'!$G$69</f>
        <v>303.11000000000058</v>
      </c>
      <c r="AM16" s="689">
        <f>'12'!$G$84</f>
        <v>670</v>
      </c>
      <c r="AN16" s="689">
        <f>'12'!$G$15</f>
        <v>916.83100000000559</v>
      </c>
      <c r="AO16" s="724">
        <f>'12'!$G$124</f>
        <v>282.02000000001863</v>
      </c>
      <c r="AP16" s="689">
        <f>'12'!$G$125</f>
        <v>-0.39999999999417923</v>
      </c>
      <c r="AQ16" s="713">
        <f>'12'!$G$126</f>
        <v>85.089999999996508</v>
      </c>
      <c r="AR16" s="689">
        <f>'12'!$G$127</f>
        <v>43.599999999998545</v>
      </c>
      <c r="AS16" s="689">
        <f>'12'!$G$128</f>
        <v>3.5</v>
      </c>
      <c r="AT16" s="689">
        <f t="shared" si="0"/>
        <v>503.02099999998609</v>
      </c>
      <c r="AU16" s="689">
        <f>SUM('12'!G140:G141)</f>
        <v>10.2800000000002</v>
      </c>
      <c r="AV16" s="689">
        <f>'12'!$G$137</f>
        <v>9.1899999999986903</v>
      </c>
      <c r="AW16" s="689">
        <f>'12'!$G$138</f>
        <v>0</v>
      </c>
      <c r="AX16" s="689">
        <f>'12'!$G$139</f>
        <v>5.0000000002910383E-2</v>
      </c>
      <c r="AY16" s="686">
        <f t="shared" si="1"/>
        <v>9.2400000000016007</v>
      </c>
      <c r="BA16" s="1155">
        <f>AO16-AQ16</f>
        <v>196.93000000002212</v>
      </c>
      <c r="BB16" s="1204">
        <f t="shared" si="3"/>
        <v>827.49000000010346</v>
      </c>
      <c r="BC16" s="1204">
        <f t="shared" si="4"/>
        <v>3.7114381402312735</v>
      </c>
    </row>
    <row r="17" spans="1:55">
      <c r="A17" s="688">
        <v>44056</v>
      </c>
      <c r="B17" s="55">
        <f>'13'!G7</f>
        <v>338615.32999999996</v>
      </c>
      <c r="C17" s="55">
        <f>'13'!G8</f>
        <v>22500</v>
      </c>
      <c r="D17" s="55">
        <f>'13'!G15</f>
        <v>-26251.831000000006</v>
      </c>
      <c r="E17" s="55">
        <f>'13'!G20</f>
        <v>-1680</v>
      </c>
      <c r="F17" s="55">
        <f>SUM('13'!G35,'13'!G49)</f>
        <v>305211.37</v>
      </c>
      <c r="G17" s="55">
        <f>SUM('13'!G37,'13'!G51)</f>
        <v>368339.28</v>
      </c>
      <c r="H17" s="55">
        <f>SUM('13'!G38,'13'!G52)</f>
        <v>785104.72</v>
      </c>
      <c r="I17" s="55">
        <f>SUM('13'!G39,'13'!G53)</f>
        <v>953761.75</v>
      </c>
      <c r="J17" s="55">
        <f>SUM('13'!G41,'13'!G42,'13'!G55,'13'!G56)</f>
        <v>-199304.97999999992</v>
      </c>
      <c r="K17" s="55">
        <f>SUM('13'!G43,'13'!G57)</f>
        <v>-79754.67</v>
      </c>
      <c r="L17" s="689">
        <f>'13'!G50</f>
        <v>-35955.989999999991</v>
      </c>
      <c r="M17" s="689">
        <f>'13'!G36</f>
        <v>46200</v>
      </c>
      <c r="N17" s="689">
        <f>'13'!G72</f>
        <v>-315</v>
      </c>
      <c r="O17" s="689">
        <f>'13'!$G$73</f>
        <v>-26</v>
      </c>
      <c r="P17" s="689">
        <f>'13'!$G$74</f>
        <v>-32</v>
      </c>
      <c r="Q17" s="689">
        <f>'13'!$G$75</f>
        <v>-5295.48</v>
      </c>
      <c r="R17" s="689">
        <f>'13'!$G$76</f>
        <v>-1972.8199999999997</v>
      </c>
      <c r="S17" s="689">
        <f>'13'!$G$77</f>
        <v>-1620</v>
      </c>
      <c r="T17" s="681">
        <f>'13'!$G$78</f>
        <v>-3320</v>
      </c>
      <c r="U17" s="681">
        <f>'13'!$G$79</f>
        <v>-4874</v>
      </c>
      <c r="V17" s="681">
        <f>'13'!$G$80</f>
        <v>-11745.439999999944</v>
      </c>
      <c r="W17" s="681">
        <f>'13'!$G$81</f>
        <v>-4538.5200000000186</v>
      </c>
      <c r="X17" s="681">
        <f>'13'!$G$82</f>
        <v>109528.1</v>
      </c>
      <c r="Y17" s="681">
        <f>'13'!$G$58</f>
        <v>-6058.179999999993</v>
      </c>
      <c r="Z17" s="681">
        <f>'13'!$G$83</f>
        <v>-8582</v>
      </c>
      <c r="AA17" s="681">
        <f>'13'!G86</f>
        <v>-765.03999999997905</v>
      </c>
      <c r="AB17" s="681">
        <f>'13'!G87</f>
        <v>-871.60000000000582</v>
      </c>
      <c r="AC17" s="681">
        <f>'13'!G88</f>
        <v>0</v>
      </c>
      <c r="AD17" s="681">
        <f>'13'!G87+'13'!H90</f>
        <v>-1044.2000000000057</v>
      </c>
      <c r="AE17" s="689">
        <f>'13'!$G$62</f>
        <v>0</v>
      </c>
      <c r="AF17" s="689">
        <f>'13'!$G$63</f>
        <v>-51</v>
      </c>
      <c r="AG17" s="689">
        <f>'13'!$G$64</f>
        <v>-12251.25</v>
      </c>
      <c r="AH17" s="689">
        <f>'13'!$G$65</f>
        <v>-11835.75</v>
      </c>
      <c r="AI17" s="689">
        <f>'13'!$G$66</f>
        <v>-12246.779999999999</v>
      </c>
      <c r="AJ17" s="689">
        <f>'13'!$G$67</f>
        <v>-14138.330000000016</v>
      </c>
      <c r="AK17" s="689">
        <f>'13'!$G$68</f>
        <v>-568.25999999999476</v>
      </c>
      <c r="AL17" s="689">
        <f>'13'!$G$69</f>
        <v>-9277.11</v>
      </c>
      <c r="AM17" s="689">
        <f>'13'!$G$84</f>
        <v>-20910</v>
      </c>
      <c r="AN17" s="689">
        <f>'13'!$G$15</f>
        <v>-26251.831000000006</v>
      </c>
      <c r="AO17" s="724">
        <f>'13'!$G$124</f>
        <v>-7885.0200000000186</v>
      </c>
      <c r="AP17" s="689">
        <f>'13'!$G$125</f>
        <v>0</v>
      </c>
      <c r="AQ17" s="689">
        <f>'13'!$G$126</f>
        <v>-2686.0899999999965</v>
      </c>
      <c r="AR17" s="689">
        <f>'13'!$G$127</f>
        <v>-1282.5999999999985</v>
      </c>
      <c r="AS17" s="689">
        <f>'13'!$G$128</f>
        <v>-67.5</v>
      </c>
      <c r="AT17" s="689">
        <f t="shared" si="0"/>
        <v>-14330.620999999992</v>
      </c>
      <c r="AU17" s="689">
        <f>SUM('13'!G140:G141)</f>
        <v>-300.15000000000009</v>
      </c>
      <c r="AV17" s="689">
        <f>'13'!$G$137</f>
        <v>-254.17999999999665</v>
      </c>
      <c r="AW17" s="689">
        <f>'13'!$G$138</f>
        <v>-9.8999999999978172</v>
      </c>
      <c r="AX17" s="689">
        <f>'13'!$G$139</f>
        <v>-7.8500000000058208</v>
      </c>
      <c r="AY17" s="686">
        <f t="shared" si="1"/>
        <v>-271.93000000000029</v>
      </c>
      <c r="BA17" s="1155">
        <f t="shared" ref="BA17:BA34" si="6">AO17-AT17</f>
        <v>6445.6009999999733</v>
      </c>
      <c r="BB17" s="1204">
        <f t="shared" si="3"/>
        <v>-2104799.29</v>
      </c>
      <c r="BC17" s="1204">
        <f t="shared" si="4"/>
        <v>-621.59007685800884</v>
      </c>
    </row>
    <row r="18" spans="1:55">
      <c r="A18" s="688">
        <v>44057</v>
      </c>
      <c r="B18" s="55">
        <f>'14'!G7</f>
        <v>20799</v>
      </c>
      <c r="C18" s="55">
        <f>'14'!G8</f>
        <v>22500</v>
      </c>
      <c r="D18" s="55">
        <f>'14'!G15</f>
        <v>1092</v>
      </c>
      <c r="E18" s="55">
        <f>'14'!G20</f>
        <v>223</v>
      </c>
      <c r="F18" s="55">
        <f>SUM('14'!G35,'14'!G49)</f>
        <v>3064</v>
      </c>
      <c r="G18" s="55">
        <f>SUM('14'!G37,'14'!G51)</f>
        <v>1554</v>
      </c>
      <c r="H18" s="55">
        <f>SUM('14'!G38,'14'!G52)</f>
        <v>1717</v>
      </c>
      <c r="I18" s="55">
        <f>SUM('14'!G39,'14'!G53)</f>
        <v>3673.5900000000256</v>
      </c>
      <c r="J18" s="55">
        <f>SUM('14'!G41,'14'!G42,'14'!G55,'14'!G56)</f>
        <v>6022</v>
      </c>
      <c r="K18" s="55">
        <f>SUM('14'!G43,'14'!G57)</f>
        <v>2490</v>
      </c>
      <c r="L18" s="689">
        <f>'14'!G50</f>
        <v>986</v>
      </c>
      <c r="M18" s="689">
        <f>'14'!G36</f>
        <v>633.40000000000146</v>
      </c>
      <c r="N18" s="689">
        <f>'14'!G72</f>
        <v>12</v>
      </c>
      <c r="O18" s="689">
        <f>'14'!$G$73</f>
        <v>1</v>
      </c>
      <c r="P18" s="689">
        <f>'14'!$G$74</f>
        <v>72</v>
      </c>
      <c r="Q18" s="689">
        <f>'14'!$G$75</f>
        <v>176.79999999999927</v>
      </c>
      <c r="R18" s="689">
        <f>'14'!$G$76</f>
        <v>51.899999999999636</v>
      </c>
      <c r="S18" s="689">
        <f>'14'!$G$77</f>
        <v>51</v>
      </c>
      <c r="T18" s="681">
        <f>'14'!$G$78</f>
        <v>83</v>
      </c>
      <c r="U18" s="681">
        <f>'14'!$G$79</f>
        <v>166</v>
      </c>
      <c r="V18" s="681">
        <f>'14'!$G$80</f>
        <v>414</v>
      </c>
      <c r="W18" s="681">
        <f>'14'!$G$81</f>
        <v>172</v>
      </c>
      <c r="X18" s="681">
        <f>'14'!$G$82</f>
        <v>21</v>
      </c>
      <c r="Y18" s="681">
        <f>'14'!$G$58</f>
        <v>197.89999999999418</v>
      </c>
      <c r="Z18" s="681">
        <f>'14'!$G$83</f>
        <v>297</v>
      </c>
      <c r="AA18" s="681">
        <f>'14'!G86</f>
        <v>8</v>
      </c>
      <c r="AB18" s="681">
        <f>'14'!G87</f>
        <v>24</v>
      </c>
      <c r="AC18" s="681">
        <f>'14'!G88</f>
        <v>0</v>
      </c>
      <c r="AD18" s="681">
        <f>'14'!G87+'14'!H90</f>
        <v>25</v>
      </c>
      <c r="AE18" s="689">
        <f>'14'!$G$62</f>
        <v>0</v>
      </c>
      <c r="AF18" s="689">
        <f>'14'!$G$63</f>
        <v>0</v>
      </c>
      <c r="AG18" s="689">
        <f>'14'!$G$64</f>
        <v>359</v>
      </c>
      <c r="AH18" s="689">
        <f>'14'!$G$65</f>
        <v>26</v>
      </c>
      <c r="AI18" s="689">
        <f>'14'!$G$66</f>
        <v>408</v>
      </c>
      <c r="AJ18" s="689">
        <f>'14'!$G$67</f>
        <v>466</v>
      </c>
      <c r="AK18" s="689">
        <f>'14'!$G$68</f>
        <v>0</v>
      </c>
      <c r="AL18" s="689">
        <f>'14'!$G$69</f>
        <v>303</v>
      </c>
      <c r="AM18" s="689">
        <f>'14'!$G$84</f>
        <v>807</v>
      </c>
      <c r="AN18" s="689">
        <f>'14'!$G$15</f>
        <v>1092</v>
      </c>
      <c r="AO18" s="689">
        <f>'14'!$G$124</f>
        <v>271</v>
      </c>
      <c r="AP18" s="689">
        <f>'14'!$G$125</f>
        <v>0.39999999999417923</v>
      </c>
      <c r="AQ18" s="689">
        <f>'14'!$G$126</f>
        <v>110</v>
      </c>
      <c r="AR18" s="689">
        <f>'14'!$G$127</f>
        <v>47</v>
      </c>
      <c r="AS18" s="689">
        <f>'14'!$G$128</f>
        <v>4</v>
      </c>
      <c r="AT18" s="689">
        <f t="shared" si="0"/>
        <v>659.60000000000582</v>
      </c>
      <c r="AU18" s="689">
        <f>SUM('14'!G140:G141)</f>
        <v>9.8899999999998727</v>
      </c>
      <c r="AV18" s="689">
        <f>'14'!$G$137</f>
        <v>0</v>
      </c>
      <c r="AW18" s="689">
        <f>'14'!$G$138</f>
        <v>9.8999999999978172</v>
      </c>
      <c r="AX18" s="689">
        <f>'14'!$G$139</f>
        <v>5.3500000000058208</v>
      </c>
      <c r="AY18" s="686">
        <f t="shared" si="1"/>
        <v>15.250000000003638</v>
      </c>
      <c r="BA18" s="1155">
        <f>AO18-AT18</f>
        <v>-388.60000000000582</v>
      </c>
      <c r="BB18" s="1204">
        <f t="shared" si="3"/>
        <v>3781.5099999999802</v>
      </c>
      <c r="BC18" s="1204">
        <f t="shared" si="4"/>
        <v>18.181210635126593</v>
      </c>
    </row>
    <row r="19" spans="1:55">
      <c r="A19" s="688">
        <v>44058</v>
      </c>
      <c r="B19" s="55">
        <f>'15'!G7</f>
        <v>22756</v>
      </c>
      <c r="C19" s="55">
        <f>'15'!G8</f>
        <v>22500</v>
      </c>
      <c r="D19" s="1063">
        <f>'15'!G15</f>
        <v>920</v>
      </c>
      <c r="E19" s="55">
        <f>'15'!G20</f>
        <v>264</v>
      </c>
      <c r="F19" s="1063">
        <f>SUM('15'!G35,'15'!G49)</f>
        <v>2975</v>
      </c>
      <c r="G19" s="1063">
        <f>SUM('15'!G37,'15'!G51)</f>
        <v>1554</v>
      </c>
      <c r="H19" s="1063">
        <f>SUM('15'!G38,'15'!G52)</f>
        <v>1841.9300000000512</v>
      </c>
      <c r="I19" s="1063">
        <f>SUM('15'!G39,'15'!G53)</f>
        <v>3671.4099999999744</v>
      </c>
      <c r="J19" s="1063">
        <f>SUM('15'!G41,'15'!G42,'15'!G55,'15'!G56)</f>
        <v>6209</v>
      </c>
      <c r="K19" s="55">
        <f>SUM('15'!G43,'15'!G57)</f>
        <v>2580</v>
      </c>
      <c r="L19" s="1064">
        <f>'15'!G50</f>
        <v>1206</v>
      </c>
      <c r="M19" s="689">
        <f>'15'!G36</f>
        <v>823</v>
      </c>
      <c r="N19" s="689">
        <f>'15'!G72</f>
        <v>10</v>
      </c>
      <c r="O19" s="689">
        <f>'15'!$G$73</f>
        <v>1</v>
      </c>
      <c r="P19" s="689">
        <f>'15'!$G$74</f>
        <v>1</v>
      </c>
      <c r="Q19" s="689">
        <f>'15'!$G$75</f>
        <v>179</v>
      </c>
      <c r="R19" s="689">
        <f>'15'!$G$76</f>
        <v>47</v>
      </c>
      <c r="S19" s="689">
        <f>'15'!$G$77</f>
        <v>44</v>
      </c>
      <c r="T19" s="681">
        <f>'15'!$G$78</f>
        <v>75</v>
      </c>
      <c r="U19" s="681">
        <f>'15'!$G$79</f>
        <v>154</v>
      </c>
      <c r="V19" s="681">
        <f>'15'!$G$80</f>
        <v>424</v>
      </c>
      <c r="W19" s="681">
        <f>'15'!$G$81</f>
        <v>210</v>
      </c>
      <c r="X19" s="681">
        <f>'15'!$G$82</f>
        <v>13</v>
      </c>
      <c r="Y19" s="681">
        <f>'15'!$G$58</f>
        <v>212.30000000000291</v>
      </c>
      <c r="Z19" s="681">
        <f>'15'!$G$83</f>
        <v>390</v>
      </c>
      <c r="AA19" s="681">
        <f>'15'!G86</f>
        <v>8</v>
      </c>
      <c r="AB19" s="681">
        <f>'15'!G87</f>
        <v>26</v>
      </c>
      <c r="AC19" s="681">
        <f>'15'!G88</f>
        <v>0</v>
      </c>
      <c r="AD19" s="681">
        <f>'15'!G87+'15'!H90</f>
        <v>27</v>
      </c>
      <c r="AE19" s="689">
        <f>'15'!$G$62</f>
        <v>0.18000000000029104</v>
      </c>
      <c r="AF19" s="689">
        <f>'15'!$G$63</f>
        <v>0</v>
      </c>
      <c r="AG19" s="689">
        <f>'15'!$G$64</f>
        <v>362</v>
      </c>
      <c r="AH19" s="689">
        <f>'15'!$G$65</f>
        <v>777</v>
      </c>
      <c r="AI19" s="689">
        <f>'15'!$G$66</f>
        <v>404</v>
      </c>
      <c r="AJ19" s="689">
        <f>'15'!$G$67</f>
        <v>444</v>
      </c>
      <c r="AK19" s="689">
        <f>'15'!$G$68</f>
        <v>0</v>
      </c>
      <c r="AL19" s="689">
        <f>'15'!$G$69</f>
        <v>292</v>
      </c>
      <c r="AM19" s="689">
        <f>'15'!$G$84</f>
        <v>837</v>
      </c>
      <c r="AN19" s="689">
        <f>'15'!$G$15</f>
        <v>920</v>
      </c>
      <c r="AO19" s="689">
        <f>'15'!$G$124</f>
        <v>304</v>
      </c>
      <c r="AP19" s="689">
        <f>'15'!$G$125</f>
        <v>0</v>
      </c>
      <c r="AQ19" s="689">
        <f>'15'!$G$126</f>
        <v>86</v>
      </c>
      <c r="AR19" s="689">
        <f>'15'!$G$127</f>
        <v>57</v>
      </c>
      <c r="AS19" s="689">
        <f>'15'!$G$128</f>
        <v>3</v>
      </c>
      <c r="AT19" s="689">
        <f t="shared" si="0"/>
        <v>470</v>
      </c>
      <c r="AU19" s="689">
        <f>SUM('15'!G140:G141)</f>
        <v>11.220000000000255</v>
      </c>
      <c r="AV19" s="689">
        <f>'15'!$G$137</f>
        <v>8.6299999999973807</v>
      </c>
      <c r="AW19" s="689">
        <f>'15'!$G$138</f>
        <v>0</v>
      </c>
      <c r="AX19" s="689">
        <f>'15'!$G$139</f>
        <v>0</v>
      </c>
      <c r="AY19" s="686">
        <f t="shared" si="1"/>
        <v>8.6299999999973807</v>
      </c>
      <c r="BA19" s="1155">
        <f t="shared" si="6"/>
        <v>-166</v>
      </c>
      <c r="BB19" s="1204">
        <f t="shared" si="3"/>
        <v>3456.3599999999715</v>
      </c>
      <c r="BC19" s="1204">
        <f t="shared" si="4"/>
        <v>15.188785375285514</v>
      </c>
    </row>
    <row r="20" spans="1:55">
      <c r="A20" s="688">
        <v>44059</v>
      </c>
      <c r="B20" s="55">
        <f>'16'!G7</f>
        <v>21722</v>
      </c>
      <c r="C20" s="55">
        <f>'16'!G8</f>
        <v>22500</v>
      </c>
      <c r="D20" s="55">
        <f>'16'!G15</f>
        <v>896.09700000006706</v>
      </c>
      <c r="E20" s="55">
        <f>'16'!G20</f>
        <v>214</v>
      </c>
      <c r="F20" s="55">
        <f>SUM('16'!G35,'16'!G49)</f>
        <v>3248.3000000000466</v>
      </c>
      <c r="G20" s="55">
        <f>SUM('16'!G37,'16'!G51)</f>
        <v>1612</v>
      </c>
      <c r="H20" s="55">
        <f>SUM('16'!G38,'16'!G52)</f>
        <v>1690.0699999999488</v>
      </c>
      <c r="I20" s="55">
        <f>SUM('16'!G39,'16'!G53)</f>
        <v>3911.5900000000256</v>
      </c>
      <c r="J20" s="55">
        <f>SUM('16'!G41,'16'!G42,'16'!G55,'16'!G56)</f>
        <v>6647</v>
      </c>
      <c r="K20" s="55">
        <f>SUM('16'!G43,'16'!G57)</f>
        <v>2740</v>
      </c>
      <c r="L20" s="689">
        <f>'16'!G50</f>
        <v>1437</v>
      </c>
      <c r="M20" s="689">
        <f>'16'!G36</f>
        <v>663</v>
      </c>
      <c r="N20" s="689">
        <f>'16'!G72</f>
        <v>16</v>
      </c>
      <c r="O20" s="689">
        <f>'16'!$G$73</f>
        <v>2</v>
      </c>
      <c r="P20" s="689">
        <f>'16'!$G$74</f>
        <v>1.6000000000058208</v>
      </c>
      <c r="Q20" s="689">
        <f>'16'!$G$75</f>
        <v>160.90000000000146</v>
      </c>
      <c r="R20" s="689">
        <f>'16'!$G$76</f>
        <v>51.299999999999272</v>
      </c>
      <c r="S20" s="689">
        <f>'16'!$G$77</f>
        <v>48</v>
      </c>
      <c r="T20" s="681">
        <f>'16'!$G$78</f>
        <v>65</v>
      </c>
      <c r="U20" s="681">
        <f>'16'!$G$79</f>
        <v>164</v>
      </c>
      <c r="V20" s="681">
        <f>'16'!$G$80</f>
        <v>477.92000000004191</v>
      </c>
      <c r="W20" s="681">
        <f>'16'!$G$81</f>
        <v>168.64000000001397</v>
      </c>
      <c r="X20" s="681">
        <f>'16'!$G$82</f>
        <v>26</v>
      </c>
      <c r="Y20" s="681">
        <f>'16'!$G$58</f>
        <v>216.30000000000291</v>
      </c>
      <c r="Z20" s="681">
        <f>'16'!$G$83</f>
        <v>351</v>
      </c>
      <c r="AA20" s="681">
        <f>'16'!G86</f>
        <v>12.840000000025611</v>
      </c>
      <c r="AB20" s="681">
        <f>'16'!G87</f>
        <v>36.600000000005821</v>
      </c>
      <c r="AC20" s="681">
        <f>'16'!G88</f>
        <v>0</v>
      </c>
      <c r="AD20" s="681">
        <f>'16'!G87+'16'!H90</f>
        <v>40.800000000005639</v>
      </c>
      <c r="AE20" s="689">
        <f>'16'!$G$62</f>
        <v>0</v>
      </c>
      <c r="AF20" s="689">
        <f>'16'!$G$63</f>
        <v>0</v>
      </c>
      <c r="AG20" s="689">
        <f>'16'!$G$64</f>
        <v>383</v>
      </c>
      <c r="AH20" s="689">
        <f>'16'!$G$65</f>
        <v>459</v>
      </c>
      <c r="AI20" s="689">
        <f>'16'!$G$66</f>
        <v>439.39999999999418</v>
      </c>
      <c r="AJ20" s="689">
        <f>'16'!$G$67</f>
        <v>468</v>
      </c>
      <c r="AK20" s="689">
        <f>'16'!$G$68</f>
        <v>0</v>
      </c>
      <c r="AL20" s="689">
        <f>'16'!$G$69</f>
        <v>298</v>
      </c>
      <c r="AM20" s="689">
        <f>'16'!$G$84</f>
        <v>837</v>
      </c>
      <c r="AN20" s="689">
        <f>'16'!$G$15</f>
        <v>896.09700000006706</v>
      </c>
      <c r="AO20" s="724">
        <f>'16'!$G$124</f>
        <v>250.45999999996275</v>
      </c>
      <c r="AP20" s="689">
        <f>'16'!$G$125</f>
        <v>0</v>
      </c>
      <c r="AQ20" s="689">
        <f>'16'!$G$126</f>
        <v>75.5</v>
      </c>
      <c r="AR20" s="689">
        <f>'16'!$G$127</f>
        <v>40.30000000000291</v>
      </c>
      <c r="AS20" s="689">
        <f>'16'!$G$128</f>
        <v>0.7000000000007276</v>
      </c>
      <c r="AT20" s="689">
        <f t="shared" si="0"/>
        <v>529.13700000010067</v>
      </c>
      <c r="AU20" s="689">
        <f>SUM('16'!G140:G141)</f>
        <v>9.5399999999999636</v>
      </c>
      <c r="AV20" s="689">
        <f>'16'!$G$137</f>
        <v>9.8600000000005821</v>
      </c>
      <c r="AW20" s="689">
        <f>'16'!$G$138</f>
        <v>0</v>
      </c>
      <c r="AX20" s="689">
        <f>'16'!$G$139</f>
        <v>0</v>
      </c>
      <c r="AY20" s="686">
        <f t="shared" si="1"/>
        <v>9.8600000000005821</v>
      </c>
      <c r="BA20" s="1155">
        <f t="shared" si="6"/>
        <v>-278.67700000013792</v>
      </c>
      <c r="BB20" s="1204">
        <f t="shared" si="3"/>
        <v>2434.7399999999761</v>
      </c>
      <c r="BC20" s="1204">
        <f t="shared" si="4"/>
        <v>11.208636405487415</v>
      </c>
    </row>
    <row r="21" spans="1:55">
      <c r="A21" s="688">
        <v>44060</v>
      </c>
      <c r="B21" s="55">
        <f>'17'!G7</f>
        <v>20791</v>
      </c>
      <c r="C21" s="55">
        <f>'17'!G8</f>
        <v>22500</v>
      </c>
      <c r="D21" s="55">
        <f>'17'!G15</f>
        <v>813.51199999987148</v>
      </c>
      <c r="E21" s="55">
        <f>'17'!G20</f>
        <v>226</v>
      </c>
      <c r="F21" s="55">
        <f>SUM('17'!G35,'17'!G49)</f>
        <v>3008</v>
      </c>
      <c r="G21" s="55">
        <f>SUM('17'!G37,'17'!G51)</f>
        <v>1496</v>
      </c>
      <c r="H21" s="55">
        <f>SUM('17'!G38,'17'!G52)</f>
        <v>1715</v>
      </c>
      <c r="I21" s="55">
        <f>SUM('17'!G39,'17'!G53)</f>
        <v>3719.3999999999651</v>
      </c>
      <c r="J21" s="55">
        <f>SUM('17'!G41,'17'!G42,'17'!G55,'17'!G56)</f>
        <v>5807</v>
      </c>
      <c r="K21" s="55">
        <f>SUM('17'!G43,'17'!G57)</f>
        <v>2430</v>
      </c>
      <c r="L21" s="689">
        <f>'17'!G50</f>
        <v>1453</v>
      </c>
      <c r="M21" s="689">
        <f>'17'!G36</f>
        <v>632.5</v>
      </c>
      <c r="N21" s="689">
        <f>'18 '!G72</f>
        <v>14</v>
      </c>
      <c r="O21" s="689">
        <f>'17'!$G$73</f>
        <v>1</v>
      </c>
      <c r="P21" s="689">
        <f>'17'!$G$74</f>
        <v>1.3999999999941792</v>
      </c>
      <c r="Q21" s="689">
        <f>'17'!$G$75</f>
        <v>176.19999999999709</v>
      </c>
      <c r="R21" s="689">
        <f>'17'!$G$76</f>
        <v>56.300000000001091</v>
      </c>
      <c r="S21" s="689">
        <f>'17'!$G$77</f>
        <v>55</v>
      </c>
      <c r="T21" s="681">
        <f>'17'!$G$78</f>
        <v>64</v>
      </c>
      <c r="U21" s="681">
        <f>'17'!$G$79</f>
        <v>154</v>
      </c>
      <c r="V21" s="681">
        <f>'17'!$G$80</f>
        <v>305.43999999994412</v>
      </c>
      <c r="W21" s="681">
        <f>'17'!$G$81</f>
        <v>161.40000000002328</v>
      </c>
      <c r="X21" s="681">
        <f>'17'!$G$82</f>
        <v>14</v>
      </c>
      <c r="Y21" s="681">
        <f>'17'!$G$58</f>
        <v>196.19999999999709</v>
      </c>
      <c r="Z21" s="681">
        <f>'17'!$G$83</f>
        <v>284</v>
      </c>
      <c r="AA21" s="681">
        <f>'17'!G86</f>
        <v>8.3999999999650754</v>
      </c>
      <c r="AB21" s="681">
        <f>'17'!G87</f>
        <v>32.899999999994179</v>
      </c>
      <c r="AC21" s="681">
        <f>'17'!G88</f>
        <v>0</v>
      </c>
      <c r="AD21" s="681">
        <f>'17'!G87+'17'!H90</f>
        <v>39.199999999994361</v>
      </c>
      <c r="AE21" s="689">
        <f>'17'!$G$62</f>
        <v>-0.18000000000029104</v>
      </c>
      <c r="AF21" s="689">
        <f>'17'!$G$63</f>
        <v>0</v>
      </c>
      <c r="AG21" s="689">
        <f>'17'!$G$64</f>
        <v>432</v>
      </c>
      <c r="AH21" s="689">
        <f>'17'!$G$65</f>
        <v>423</v>
      </c>
      <c r="AI21" s="689">
        <f>'17'!$G$66</f>
        <v>418.40000000000873</v>
      </c>
      <c r="AJ21" s="689">
        <f>'17'!$G$67</f>
        <v>422</v>
      </c>
      <c r="AK21" s="689">
        <f>'17'!$G$68</f>
        <v>0</v>
      </c>
      <c r="AL21" s="689">
        <f>'17'!$G$69</f>
        <v>303</v>
      </c>
      <c r="AM21" s="689">
        <f>'17'!$G$84</f>
        <v>679</v>
      </c>
      <c r="AN21" s="689">
        <f>'17'!$G$15</f>
        <v>813.51199999987148</v>
      </c>
      <c r="AO21" s="689">
        <f>'17'!$G$124</f>
        <v>296.09000000008382</v>
      </c>
      <c r="AP21" s="689">
        <f>'17'!$G$125</f>
        <v>0</v>
      </c>
      <c r="AQ21" s="689">
        <f>'17'!$G$126</f>
        <v>76.779999999998836</v>
      </c>
      <c r="AR21" s="689">
        <f>'17'!$G$127</f>
        <v>39.899999999994179</v>
      </c>
      <c r="AS21" s="689">
        <f>'17'!$G$128</f>
        <v>0.69999999999890861</v>
      </c>
      <c r="AT21" s="689">
        <f t="shared" si="0"/>
        <v>400.04199999979573</v>
      </c>
      <c r="AU21" s="689">
        <f>SUM('17'!G140:G141)</f>
        <v>11.409999999999854</v>
      </c>
      <c r="AV21" s="689">
        <f>'17'!$G$137</f>
        <v>7.6399999999994179</v>
      </c>
      <c r="AW21" s="689">
        <f>'17'!$G$138</f>
        <v>0</v>
      </c>
      <c r="AX21" s="689">
        <f>'17'!$G$139</f>
        <v>0</v>
      </c>
      <c r="AY21" s="686">
        <f t="shared" si="1"/>
        <v>7.6399999999994179</v>
      </c>
      <c r="BA21" s="1155">
        <f t="shared" si="6"/>
        <v>-103.95199999971192</v>
      </c>
      <c r="BB21" s="1204">
        <f t="shared" si="3"/>
        <v>4128.4000000000378</v>
      </c>
      <c r="BC21" s="1204">
        <f t="shared" si="4"/>
        <v>19.856668750902013</v>
      </c>
    </row>
    <row r="22" spans="1:55">
      <c r="A22" s="688">
        <v>44061</v>
      </c>
      <c r="B22" s="55">
        <f>'18 '!G7</f>
        <v>21056</v>
      </c>
      <c r="C22" s="55">
        <f>'18 '!G8</f>
        <v>331487.73</v>
      </c>
      <c r="D22" s="55">
        <f>'18 '!G15</f>
        <v>964.54300000006333</v>
      </c>
      <c r="E22" s="55">
        <f>'18 '!G20</f>
        <v>200</v>
      </c>
      <c r="F22" s="55">
        <f>SUM('18 '!G35,'18 '!G49)</f>
        <v>2982</v>
      </c>
      <c r="G22" s="55">
        <f>SUM('18 '!G37,'18 '!G51)</f>
        <v>1535</v>
      </c>
      <c r="H22" s="55">
        <f>SUM('18 '!G38,'18 '!G52)</f>
        <v>1724</v>
      </c>
      <c r="I22" s="55">
        <f>SUM('18 '!G39,'18 '!G53)</f>
        <v>3770.6000000000349</v>
      </c>
      <c r="J22" s="55">
        <f>SUM('18 '!G41,'18 '!G42,'18 '!G55,'18 '!G56)</f>
        <v>5978</v>
      </c>
      <c r="K22" s="55">
        <f>SUM('18 '!G43,'18 '!G57)</f>
        <v>2570</v>
      </c>
      <c r="L22" s="689">
        <f>'18 '!G50</f>
        <v>1651</v>
      </c>
      <c r="M22" s="689">
        <f>'18 '!G36</f>
        <v>711.19999999999709</v>
      </c>
      <c r="N22" s="689">
        <f>'18 '!G72</f>
        <v>14</v>
      </c>
      <c r="O22" s="689">
        <f>'18 '!$G$73</f>
        <v>2</v>
      </c>
      <c r="P22" s="689">
        <f>'18 '!$G$74</f>
        <v>2</v>
      </c>
      <c r="Q22" s="689">
        <f>'18 '!$G$75</f>
        <v>170.30000000000291</v>
      </c>
      <c r="R22" s="689">
        <f>'18 '!$G$76</f>
        <v>67.199999999998909</v>
      </c>
      <c r="S22" s="689">
        <f>'18 '!$G$77</f>
        <v>57</v>
      </c>
      <c r="T22" s="681">
        <f>'18 '!$G$78</f>
        <v>76</v>
      </c>
      <c r="U22" s="681">
        <f>'18 '!$G$79</f>
        <v>141</v>
      </c>
      <c r="V22" s="691">
        <f>'18 '!$G$80</f>
        <v>380.44000000006054</v>
      </c>
      <c r="W22" s="691">
        <f>'18 '!$G$81</f>
        <v>183.91999999992549</v>
      </c>
      <c r="X22" s="691">
        <f>'18 '!$G$82</f>
        <v>23</v>
      </c>
      <c r="Y22" s="691">
        <f>'18 '!$G$58</f>
        <v>207.30000000000291</v>
      </c>
      <c r="Z22" s="691">
        <f>'18 '!$G$83</f>
        <v>232</v>
      </c>
      <c r="AA22" s="691">
        <f>'18 '!G86</f>
        <v>10.679999999993015</v>
      </c>
      <c r="AB22" s="681">
        <f>'18 '!G87</f>
        <v>33.30000000000291</v>
      </c>
      <c r="AC22" s="681">
        <f>'18 '!G88</f>
        <v>0</v>
      </c>
      <c r="AD22" s="681">
        <f>'18 '!G87+'18 '!H90</f>
        <v>40.000000000002728</v>
      </c>
      <c r="AE22" s="689">
        <f>'18 '!$G$62</f>
        <v>0.18000000000029104</v>
      </c>
      <c r="AF22" s="689">
        <f>'18 '!$G$63</f>
        <v>0</v>
      </c>
      <c r="AG22" s="689">
        <f>'18 '!$G$64</f>
        <v>433</v>
      </c>
      <c r="AH22" s="689">
        <f>'18 '!$G$65</f>
        <v>412</v>
      </c>
      <c r="AI22" s="689">
        <f>'18 '!$G$66</f>
        <v>423.5</v>
      </c>
      <c r="AJ22" s="689">
        <f>'18 '!$G$67</f>
        <v>439</v>
      </c>
      <c r="AK22" s="689">
        <f>'18 '!$G$68</f>
        <v>0</v>
      </c>
      <c r="AL22" s="689">
        <f>'18 '!$G$69</f>
        <v>307</v>
      </c>
      <c r="AM22" s="689">
        <f>'18 '!$G$84</f>
        <v>705</v>
      </c>
      <c r="AN22" s="689">
        <f>'18 '!$G$15</f>
        <v>964.54300000006333</v>
      </c>
      <c r="AO22" s="689">
        <f>'18 '!$G$124</f>
        <v>293.44999999995343</v>
      </c>
      <c r="AP22" s="689">
        <f>'18 '!$G$125</f>
        <v>0</v>
      </c>
      <c r="AQ22" s="689">
        <f>'18 '!$G$126</f>
        <v>99.549999999988358</v>
      </c>
      <c r="AR22" s="689">
        <f>'18 '!$G$127</f>
        <v>45.600000000005821</v>
      </c>
      <c r="AS22" s="689">
        <f>'18 '!$G$128</f>
        <v>0</v>
      </c>
      <c r="AT22" s="689">
        <f t="shared" si="0"/>
        <v>525.94300000011572</v>
      </c>
      <c r="AU22" s="689">
        <f>SUM('18 '!G140:G141)</f>
        <v>11.300000000000182</v>
      </c>
      <c r="AV22" s="689">
        <f>'18 '!$G$137</f>
        <v>9.2900000000008731</v>
      </c>
      <c r="AW22" s="689">
        <f>'18 '!$G$138</f>
        <v>-7.9999999998108251E-2</v>
      </c>
      <c r="AX22" s="689">
        <f>'18 '!$G$139</f>
        <v>5.0000000002910383E-2</v>
      </c>
      <c r="AY22" s="686">
        <f t="shared" si="1"/>
        <v>9.2600000000056752</v>
      </c>
      <c r="BA22" s="1155">
        <f t="shared" si="6"/>
        <v>-232.49300000016228</v>
      </c>
      <c r="BB22" s="1204">
        <f t="shared" si="3"/>
        <v>312720.82999999996</v>
      </c>
      <c r="BC22" s="1204">
        <f t="shared" si="4"/>
        <v>1485.1863126899693</v>
      </c>
    </row>
    <row r="23" spans="1:55" s="1154" customFormat="1">
      <c r="A23" s="688">
        <v>44062</v>
      </c>
      <c r="B23" s="55">
        <f>'19'!G7</f>
        <v>22093.09</v>
      </c>
      <c r="C23" s="55">
        <f>'19'!G8</f>
        <v>22500</v>
      </c>
      <c r="D23" s="55">
        <f>'19'!G15</f>
        <v>837.84799999999814</v>
      </c>
      <c r="E23" s="55">
        <f>'19'!G20</f>
        <v>210</v>
      </c>
      <c r="F23" s="55">
        <f>SUM('19'!G35,'19'!G49)</f>
        <v>3165.6999999999534</v>
      </c>
      <c r="G23" s="55">
        <f>SUM('19'!G37,'19'!G51)</f>
        <v>1571.1300000000047</v>
      </c>
      <c r="H23" s="55">
        <f>SUM('19'!G38,'19'!G52)</f>
        <v>1830.9300000000512</v>
      </c>
      <c r="I23" s="55">
        <f>SUM('19'!G39,'19'!G53)</f>
        <v>3827</v>
      </c>
      <c r="J23" s="55">
        <f>SUM('19'!G41,'19'!G42,'19'!G55,'19'!G56)</f>
        <v>6118</v>
      </c>
      <c r="K23" s="55">
        <f>SUM('19'!G43,'19'!G57)</f>
        <v>2599.67</v>
      </c>
      <c r="L23" s="681">
        <f>'19'!G50</f>
        <v>1813</v>
      </c>
      <c r="M23" s="681">
        <f>'19'!G36</f>
        <v>962.30000000000291</v>
      </c>
      <c r="N23" s="681">
        <f>'19'!G72</f>
        <v>15</v>
      </c>
      <c r="O23" s="681">
        <f>'19'!$G$73</f>
        <v>1</v>
      </c>
      <c r="P23" s="681">
        <f>'19'!$G$74</f>
        <v>0.19999999999708962</v>
      </c>
      <c r="Q23" s="681">
        <f>'19'!$G$75</f>
        <v>159.09999999999854</v>
      </c>
      <c r="R23" s="689">
        <f>'19'!G76</f>
        <v>66</v>
      </c>
      <c r="S23" s="681">
        <f>'19'!$G$77</f>
        <v>61</v>
      </c>
      <c r="T23" s="681">
        <f>'19'!$G$78</f>
        <v>84</v>
      </c>
      <c r="U23" s="681">
        <f>'19'!$G$79</f>
        <v>213</v>
      </c>
      <c r="V23" s="681">
        <f>'19'!$G$80</f>
        <v>421.8399999999674</v>
      </c>
      <c r="W23" s="681">
        <f>'19'!$G$81</f>
        <v>195.68000000005122</v>
      </c>
      <c r="X23" s="681">
        <f>'19'!$G$82</f>
        <v>13</v>
      </c>
      <c r="Y23" s="681">
        <f>'19'!$G$58</f>
        <v>159.39999999999418</v>
      </c>
      <c r="Z23" s="681">
        <f>'19'!$G$83</f>
        <v>331</v>
      </c>
      <c r="AA23" s="681">
        <f>'19'!G86</f>
        <v>8.4000000000232831</v>
      </c>
      <c r="AB23" s="681">
        <f>'19'!G87</f>
        <v>34.80000000000291</v>
      </c>
      <c r="AC23" s="681">
        <f>'19'!G88</f>
        <v>0</v>
      </c>
      <c r="AD23" s="681">
        <f>'19'!G87+'19'!H90</f>
        <v>41.600000000003092</v>
      </c>
      <c r="AE23" s="681">
        <f>'19'!$G$62</f>
        <v>2.0000000000436557E-2</v>
      </c>
      <c r="AF23" s="681">
        <f>'19'!$G$63</f>
        <v>0</v>
      </c>
      <c r="AG23" s="681">
        <f>'19'!$G$64</f>
        <v>451</v>
      </c>
      <c r="AH23" s="681">
        <f>'19'!$G$65</f>
        <v>404</v>
      </c>
      <c r="AI23" s="681">
        <f>'19'!$G$66</f>
        <v>412.19999999999709</v>
      </c>
      <c r="AJ23" s="681">
        <f>'19'!$G$67</f>
        <v>448</v>
      </c>
      <c r="AK23" s="681">
        <f>'19'!$G$68</f>
        <v>0</v>
      </c>
      <c r="AL23" s="681">
        <f>'19'!$G$69</f>
        <v>309</v>
      </c>
      <c r="AM23" s="681">
        <f>'19'!$G$84</f>
        <v>778</v>
      </c>
      <c r="AN23" s="681">
        <f>'19'!$G$15</f>
        <v>837.84799999999814</v>
      </c>
      <c r="AO23" s="681">
        <f>'19'!$G$124</f>
        <v>288</v>
      </c>
      <c r="AP23" s="681">
        <f>'19'!$G$125</f>
        <v>0</v>
      </c>
      <c r="AQ23" s="681">
        <f>'19'!$G$126</f>
        <v>96.090000000025611</v>
      </c>
      <c r="AR23" s="681">
        <f>'19'!$G$127</f>
        <v>42</v>
      </c>
      <c r="AS23" s="681">
        <f>'19'!$G$128</f>
        <v>-0.23999999999978172</v>
      </c>
      <c r="AT23" s="681">
        <f t="shared" si="0"/>
        <v>411.99799999997231</v>
      </c>
      <c r="AU23" s="681">
        <f>SUM('19'!G140:G141)</f>
        <v>11.149999999999636</v>
      </c>
      <c r="AV23" s="681">
        <f>'19'!$G$137</f>
        <v>6.9199999999982538</v>
      </c>
      <c r="AW23" s="681">
        <f>'19'!$G$138</f>
        <v>7.9999999998108251E-2</v>
      </c>
      <c r="AX23" s="681">
        <f>'19'!$G$139</f>
        <v>0</v>
      </c>
      <c r="AY23" s="690">
        <f t="shared" si="1"/>
        <v>6.999999999996362</v>
      </c>
      <c r="BA23" s="1156">
        <f t="shared" si="6"/>
        <v>-123.99799999997231</v>
      </c>
      <c r="BB23" s="1204">
        <f t="shared" si="3"/>
        <v>3228.1699999999983</v>
      </c>
      <c r="BC23" s="1204">
        <f t="shared" si="4"/>
        <v>14.611672699472994</v>
      </c>
    </row>
    <row r="24" spans="1:55">
      <c r="A24" s="688">
        <v>44063</v>
      </c>
      <c r="B24" s="55">
        <f>'20'!G7</f>
        <v>21183.200000000001</v>
      </c>
      <c r="C24" s="55">
        <f>'20'!G8</f>
        <v>22500</v>
      </c>
      <c r="D24" s="55">
        <f>'20'!G15</f>
        <v>900.52000000001863</v>
      </c>
      <c r="E24" s="55">
        <f>'20'!G20</f>
        <v>299</v>
      </c>
      <c r="F24" s="55">
        <f>SUM('20'!G35,'20'!G49)</f>
        <v>2777</v>
      </c>
      <c r="G24" s="55">
        <f>SUM('20'!G37,'20'!G51)</f>
        <v>1460</v>
      </c>
      <c r="H24" s="55">
        <f>SUM('20'!G38,'20'!G52)</f>
        <v>1714</v>
      </c>
      <c r="I24" s="55">
        <f>SUM('20'!G39,'20'!G53)</f>
        <v>3421</v>
      </c>
      <c r="J24" s="55">
        <f>SUM('20'!G41,'20'!G42,'20'!G55,'20'!G56)</f>
        <v>5842.140000000014</v>
      </c>
      <c r="K24" s="55">
        <f>SUM('20'!G43,'20'!G57)</f>
        <v>2360</v>
      </c>
      <c r="L24" s="689">
        <f>'20'!G50</f>
        <v>1302</v>
      </c>
      <c r="M24" s="689">
        <f>'20'!G36</f>
        <v>802.59999999999854</v>
      </c>
      <c r="N24" s="689">
        <f>'20'!G72</f>
        <v>11</v>
      </c>
      <c r="O24" s="689">
        <f>'20'!$G$73</f>
        <v>1</v>
      </c>
      <c r="P24" s="689">
        <f>'20'!$G$74</f>
        <v>1.3000000000029104</v>
      </c>
      <c r="Q24" s="689">
        <f>'20'!$G$75</f>
        <v>175.29999999999927</v>
      </c>
      <c r="R24" s="689">
        <f>'20'!$G$76</f>
        <v>61.800000000001091</v>
      </c>
      <c r="S24" s="689">
        <f>'20'!$G$77</f>
        <v>61</v>
      </c>
      <c r="T24" s="681">
        <f>'20'!$G$78</f>
        <v>91</v>
      </c>
      <c r="U24" s="681">
        <f>'20'!$G$79</f>
        <v>155</v>
      </c>
      <c r="V24" s="681">
        <f>'20'!$G$80</f>
        <v>412</v>
      </c>
      <c r="W24" s="681">
        <f>'20'!$G$81</f>
        <v>187.52000000001863</v>
      </c>
      <c r="X24" s="681">
        <f>'20'!$G$82</f>
        <v>26</v>
      </c>
      <c r="Y24" s="681">
        <f>'20'!$G$58</f>
        <v>215.70000000000437</v>
      </c>
      <c r="Z24" s="681">
        <f>'20'!$G$83</f>
        <v>247</v>
      </c>
      <c r="AA24" s="681">
        <f>'20'!G86</f>
        <v>8.5200000000186265</v>
      </c>
      <c r="AB24" s="681">
        <f>'20'!G87</f>
        <v>35.69999999999709</v>
      </c>
      <c r="AC24" s="681">
        <f>'20'!G88</f>
        <v>0</v>
      </c>
      <c r="AD24" s="681">
        <f>'20'!G87+'20'!H90</f>
        <v>49.899999999997362</v>
      </c>
      <c r="AE24" s="689">
        <f>'20'!$G$62</f>
        <v>0</v>
      </c>
      <c r="AF24" s="689">
        <f>'20'!$G$63</f>
        <v>0</v>
      </c>
      <c r="AG24" s="689">
        <f>'20'!$G$64</f>
        <v>380</v>
      </c>
      <c r="AH24" s="689">
        <f>'20'!$G$65</f>
        <v>360</v>
      </c>
      <c r="AI24" s="689">
        <f>'20'!$G$66</f>
        <v>370.10000000000582</v>
      </c>
      <c r="AJ24" s="689">
        <f>'20'!$G$67</f>
        <v>417</v>
      </c>
      <c r="AK24" s="689">
        <f>'20'!$G$68</f>
        <v>0</v>
      </c>
      <c r="AL24" s="689">
        <f>'20'!$G$69</f>
        <v>272</v>
      </c>
      <c r="AM24" s="689">
        <f>'20'!$G$84</f>
        <v>673</v>
      </c>
      <c r="AN24" s="689">
        <f>'20'!$G$15</f>
        <v>900.52000000001863</v>
      </c>
      <c r="AO24" s="689">
        <f>'20'!$G$124</f>
        <v>285.69999999995343</v>
      </c>
      <c r="AP24" s="689">
        <f>'20'!$G$125</f>
        <v>0</v>
      </c>
      <c r="AQ24" s="689">
        <f>'20'!$G$126</f>
        <v>86.579999999987194</v>
      </c>
      <c r="AR24" s="689">
        <f>'20'!$G$127</f>
        <v>39.69999999999709</v>
      </c>
      <c r="AS24" s="689">
        <f>'20'!$G$128</f>
        <v>0.29000000000087311</v>
      </c>
      <c r="AT24" s="689">
        <f t="shared" si="0"/>
        <v>488.25000000008004</v>
      </c>
      <c r="AU24" s="689">
        <f>SUM('20'!G140:G141)</f>
        <v>10.950000000000273</v>
      </c>
      <c r="AV24" s="689">
        <f>'20'!$G$137</f>
        <v>10.240000000001601</v>
      </c>
      <c r="AW24" s="689">
        <f>'20'!$G$138</f>
        <v>0</v>
      </c>
      <c r="AX24" s="689">
        <f>'20'!$G$139</f>
        <v>0</v>
      </c>
      <c r="AY24" s="686">
        <f t="shared" si="1"/>
        <v>10.240000000001601</v>
      </c>
      <c r="BA24" s="1155">
        <f t="shared" si="6"/>
        <v>-202.5500000001266</v>
      </c>
      <c r="BB24" s="1204">
        <f t="shared" si="3"/>
        <v>4710.1599999999817</v>
      </c>
      <c r="BC24" s="1204">
        <f t="shared" si="4"/>
        <v>22.235356320102635</v>
      </c>
    </row>
    <row r="25" spans="1:55">
      <c r="A25" s="688">
        <v>44064</v>
      </c>
      <c r="B25" s="55">
        <f>'21'!G7</f>
        <v>21387.200000000004</v>
      </c>
      <c r="C25" s="55">
        <f>'21'!G8</f>
        <v>22500</v>
      </c>
      <c r="D25" s="55">
        <f>'21'!G15</f>
        <v>890.93999999994412</v>
      </c>
      <c r="E25" s="55">
        <f>'21'!G20</f>
        <v>253</v>
      </c>
      <c r="F25" s="55">
        <f>SUM('21'!G35,'21'!G49)</f>
        <v>3056</v>
      </c>
      <c r="G25" s="55">
        <f>SUM('21'!G37,'21'!G51)</f>
        <v>1562</v>
      </c>
      <c r="H25" s="55">
        <f>SUM('21'!G38,'21'!G52)</f>
        <v>1883.0699999999488</v>
      </c>
      <c r="I25" s="55">
        <f>SUM('21'!G39,'21'!G53)</f>
        <v>3720</v>
      </c>
      <c r="J25" s="55">
        <f>SUM('21'!G41,'21'!G42,'21'!G55,'21'!G56)</f>
        <v>6296</v>
      </c>
      <c r="K25" s="55">
        <f>SUM('21'!G43,'21'!G57)</f>
        <v>2600</v>
      </c>
      <c r="L25" s="689">
        <f>'21'!G50</f>
        <v>1002</v>
      </c>
      <c r="M25" s="689">
        <f>'21'!G36</f>
        <v>674.80000000000291</v>
      </c>
      <c r="N25" s="689">
        <f>'21'!G72</f>
        <v>29</v>
      </c>
      <c r="O25" s="689">
        <f>'21'!$G$73</f>
        <v>1</v>
      </c>
      <c r="P25" s="689">
        <f>'21'!$G$74</f>
        <v>1.1000000000058208</v>
      </c>
      <c r="Q25" s="689">
        <f>'21'!$G$75</f>
        <v>199.40000000000146</v>
      </c>
      <c r="R25" s="689">
        <f>'21'!$G$76</f>
        <v>68</v>
      </c>
      <c r="S25" s="689">
        <f>'21'!$G$77</f>
        <v>72</v>
      </c>
      <c r="T25" s="681">
        <f>'21'!$G$78</f>
        <v>110</v>
      </c>
      <c r="U25" s="681">
        <f>'21'!$G$79</f>
        <v>166</v>
      </c>
      <c r="V25" s="681">
        <f>'21'!$G$80</f>
        <v>379.88000000000466</v>
      </c>
      <c r="W25" s="681">
        <f>'21'!$G$81</f>
        <v>172.40000000002328</v>
      </c>
      <c r="X25" s="681">
        <f>'21'!$G$82</f>
        <v>17</v>
      </c>
      <c r="Y25" s="681">
        <f>'21'!$G$58</f>
        <v>202.40000000000146</v>
      </c>
      <c r="Z25" s="681">
        <f>'21'!$G$83</f>
        <v>306</v>
      </c>
      <c r="AA25" s="681">
        <f>'21'!G86</f>
        <v>9.1999999999534339</v>
      </c>
      <c r="AB25" s="681">
        <f>'21'!G87</f>
        <v>28.599999999991269</v>
      </c>
      <c r="AC25" s="681">
        <f>'21'!G88</f>
        <v>0</v>
      </c>
      <c r="AD25" s="681">
        <f>'21'!G87+'21'!H90</f>
        <v>46.199999999991633</v>
      </c>
      <c r="AE25" s="689">
        <f>'21'!$G$62</f>
        <v>0</v>
      </c>
      <c r="AF25" s="689">
        <f>'21'!$G$63</f>
        <v>0</v>
      </c>
      <c r="AG25" s="689">
        <f>'21'!$G$64</f>
        <v>357</v>
      </c>
      <c r="AH25" s="689">
        <f>'21'!$G$65</f>
        <v>394</v>
      </c>
      <c r="AI25" s="689">
        <f>'21'!$G$66</f>
        <v>410.69999999999709</v>
      </c>
      <c r="AJ25" s="689">
        <f>'21'!$G$67</f>
        <v>456</v>
      </c>
      <c r="AK25" s="689">
        <f>'21'!$G$68</f>
        <v>0</v>
      </c>
      <c r="AL25" s="689">
        <f>'21'!$G$69</f>
        <v>321</v>
      </c>
      <c r="AM25" s="689">
        <f>'21'!$G$84</f>
        <v>661</v>
      </c>
      <c r="AN25" s="689">
        <f>'21'!$G$15</f>
        <v>890.93999999994412</v>
      </c>
      <c r="AO25" s="689">
        <f>'21'!$G$124</f>
        <v>279.30000000004657</v>
      </c>
      <c r="AP25" s="689">
        <f>'21'!$G$125</f>
        <v>0</v>
      </c>
      <c r="AQ25" s="689">
        <f>'21'!$G$126</f>
        <v>101.11999999999534</v>
      </c>
      <c r="AR25" s="689">
        <f>'21'!$G$127</f>
        <v>50.30000000000291</v>
      </c>
      <c r="AS25" s="689">
        <f>'21'!$G$128</f>
        <v>12.75</v>
      </c>
      <c r="AT25" s="689">
        <f t="shared" si="0"/>
        <v>447.4699999998993</v>
      </c>
      <c r="AU25" s="689">
        <f>SUM('21'!G140:G141)</f>
        <v>10.769999999999982</v>
      </c>
      <c r="AV25" s="689">
        <f>'21'!$G$137</f>
        <v>7.8600000000005821</v>
      </c>
      <c r="AW25" s="689">
        <f>'21'!$G$138</f>
        <v>0</v>
      </c>
      <c r="AX25" s="689">
        <f>'21'!$G$139</f>
        <v>0</v>
      </c>
      <c r="AY25" s="686">
        <f t="shared" si="1"/>
        <v>7.8600000000005821</v>
      </c>
      <c r="BA25" s="1155">
        <f t="shared" si="6"/>
        <v>-168.16999999985273</v>
      </c>
      <c r="BB25" s="1204">
        <f t="shared" si="3"/>
        <v>3180.5300000000498</v>
      </c>
      <c r="BC25" s="1204">
        <f t="shared" si="4"/>
        <v>14.871184633799885</v>
      </c>
    </row>
    <row r="26" spans="1:55">
      <c r="A26" s="688">
        <v>44065</v>
      </c>
      <c r="B26" s="55">
        <f>'22'!G7</f>
        <v>23774.399999999994</v>
      </c>
      <c r="C26" s="55">
        <f>'22'!G8</f>
        <v>22500</v>
      </c>
      <c r="D26" s="55">
        <f>'22'!G15</f>
        <v>882.82000000006519</v>
      </c>
      <c r="E26" s="55">
        <f>'22'!G20</f>
        <v>265</v>
      </c>
      <c r="F26" s="55">
        <f>SUM('22'!G35,'22'!G49)</f>
        <v>3360</v>
      </c>
      <c r="G26" s="55">
        <f>SUM('22'!G37,'22'!G51)</f>
        <v>1652</v>
      </c>
      <c r="H26" s="55">
        <f>SUM('22'!G38,'22'!G52)</f>
        <v>1801</v>
      </c>
      <c r="I26" s="55">
        <f>SUM('22'!G39,'22'!G53)</f>
        <v>4097</v>
      </c>
      <c r="J26" s="55">
        <f>SUM('22'!G41,'22'!G42,'22'!G55,'22'!G56)</f>
        <v>7248.859999999986</v>
      </c>
      <c r="K26" s="55">
        <f>SUM('22'!G43,'22'!G57)</f>
        <v>2820</v>
      </c>
      <c r="L26" s="689">
        <f>'22'!G50</f>
        <v>1431</v>
      </c>
      <c r="M26" s="689">
        <f>'22'!G36</f>
        <v>865.40000000000146</v>
      </c>
      <c r="N26" s="689">
        <f>'22'!G72</f>
        <v>16</v>
      </c>
      <c r="O26" s="689">
        <f>'22'!$G$73</f>
        <v>1</v>
      </c>
      <c r="P26" s="689">
        <f>'22'!$G$74</f>
        <v>1.1999999999970896</v>
      </c>
      <c r="Q26" s="689">
        <f>'22'!$G$75</f>
        <v>191.79999999999927</v>
      </c>
      <c r="R26" s="689">
        <f>'22'!$G$76</f>
        <v>65.199999999998909</v>
      </c>
      <c r="S26" s="689">
        <f>'22'!$G$77</f>
        <v>67</v>
      </c>
      <c r="T26" s="681">
        <f>'22'!$G$78</f>
        <v>146</v>
      </c>
      <c r="U26" s="681">
        <f>'22'!$G$79</f>
        <v>151</v>
      </c>
      <c r="V26" s="681">
        <f>'22'!$G$80</f>
        <v>396.47999999998137</v>
      </c>
      <c r="W26" s="681">
        <f>'22'!$G$81</f>
        <v>180.43999999994412</v>
      </c>
      <c r="X26" s="681">
        <f>'22'!$G$82</f>
        <v>24</v>
      </c>
      <c r="Y26" s="681">
        <f>'22'!$G$58</f>
        <v>187</v>
      </c>
      <c r="Z26" s="681">
        <f>'22'!$G$83</f>
        <v>239</v>
      </c>
      <c r="AA26" s="681">
        <f>'22'!G86</f>
        <v>8.0599999999976717</v>
      </c>
      <c r="AB26" s="681">
        <f>'22'!G87</f>
        <v>13.5</v>
      </c>
      <c r="AC26" s="681">
        <f>'22'!G88</f>
        <v>0</v>
      </c>
      <c r="AD26" s="681">
        <f>'22'!G87+'22'!H90</f>
        <v>34.5</v>
      </c>
      <c r="AE26" s="689">
        <f>'22'!$G$62</f>
        <v>0</v>
      </c>
      <c r="AF26" s="689">
        <f>'22'!$G$63</f>
        <v>0</v>
      </c>
      <c r="AG26" s="689">
        <f>'22'!$G$64</f>
        <v>368</v>
      </c>
      <c r="AH26" s="689">
        <f>'22'!$G$65</f>
        <v>394</v>
      </c>
      <c r="AI26" s="689">
        <f>'22'!$G$66</f>
        <v>395.19999999999709</v>
      </c>
      <c r="AJ26" s="689">
        <f>'22'!$G$67</f>
        <v>478</v>
      </c>
      <c r="AK26" s="689">
        <f>'22'!$G$68</f>
        <v>0</v>
      </c>
      <c r="AL26" s="689">
        <f>'22'!$G$69</f>
        <v>325</v>
      </c>
      <c r="AM26" s="689">
        <f>'22'!$G$84</f>
        <v>783</v>
      </c>
      <c r="AN26" s="689">
        <f>'22'!$G$15</f>
        <v>882.82000000006519</v>
      </c>
      <c r="AO26" s="724">
        <f>'22'!$G$124</f>
        <v>272.02000000001863</v>
      </c>
      <c r="AP26" s="689">
        <f>'22'!$G$125</f>
        <v>0</v>
      </c>
      <c r="AQ26" s="689">
        <f>'22'!$G$126</f>
        <v>97.610000000015134</v>
      </c>
      <c r="AR26" s="689">
        <f>'22'!$G$127</f>
        <v>37.5</v>
      </c>
      <c r="AS26" s="689">
        <f>'22'!$G$128</f>
        <v>1.6999999999989086</v>
      </c>
      <c r="AT26" s="689">
        <f t="shared" si="0"/>
        <v>473.99000000003252</v>
      </c>
      <c r="AU26" s="689">
        <f>SUM('22'!G140:G141)</f>
        <v>10.5</v>
      </c>
      <c r="AV26" s="689">
        <f>'22'!$G$137</f>
        <v>8.5099999999983993</v>
      </c>
      <c r="AW26" s="689">
        <f>'22'!$G$138</f>
        <v>0</v>
      </c>
      <c r="AX26" s="689">
        <f>'22'!$G$139</f>
        <v>0.94999999999708962</v>
      </c>
      <c r="AY26" s="686">
        <f t="shared" si="1"/>
        <v>9.4599999999954889</v>
      </c>
      <c r="BA26" s="1155">
        <f t="shared" si="6"/>
        <v>-201.9700000000139</v>
      </c>
      <c r="BB26" s="1204">
        <f t="shared" si="3"/>
        <v>1334.140000000014</v>
      </c>
      <c r="BC26" s="1204">
        <f t="shared" si="4"/>
        <v>5.6116663301703271</v>
      </c>
    </row>
    <row r="27" spans="1:55">
      <c r="A27" s="688">
        <v>44066</v>
      </c>
      <c r="B27" s="55">
        <f>'23'!G7</f>
        <v>22303.5</v>
      </c>
      <c r="C27" s="55">
        <f>'23'!G8</f>
        <v>22500</v>
      </c>
      <c r="D27" s="55">
        <f>'23'!G15</f>
        <v>828.71999999997206</v>
      </c>
      <c r="E27" s="55">
        <f>'23'!G20</f>
        <v>226</v>
      </c>
      <c r="F27" s="55">
        <f>SUM('23'!G35,'23'!G49)</f>
        <v>3117</v>
      </c>
      <c r="G27" s="55">
        <f>SUM('23'!G37,'23'!G51)</f>
        <v>1589</v>
      </c>
      <c r="H27" s="55">
        <f>SUM('23'!G38,'23'!G52)</f>
        <v>1544</v>
      </c>
      <c r="I27" s="55">
        <f>SUM('23'!G39,'23'!G53)</f>
        <v>3499</v>
      </c>
      <c r="J27" s="55">
        <f>SUM('23'!G41,'23'!G42,'23'!G55,'23'!G56)</f>
        <v>7286</v>
      </c>
      <c r="K27" s="55">
        <f>SUM('23'!G43,'23'!G57)</f>
        <v>2470</v>
      </c>
      <c r="L27" s="689">
        <f>'23'!G50</f>
        <v>985</v>
      </c>
      <c r="M27" s="689">
        <f>'23'!G36</f>
        <v>662.19999999999709</v>
      </c>
      <c r="N27" s="689">
        <f>'23'!G72</f>
        <v>9</v>
      </c>
      <c r="O27" s="689">
        <f>'23'!G73</f>
        <v>1</v>
      </c>
      <c r="P27" s="689">
        <f>'23'!$G$74</f>
        <v>0.19999999999708962</v>
      </c>
      <c r="Q27" s="689">
        <f>'23'!$G$75</f>
        <v>170.5</v>
      </c>
      <c r="R27" s="689">
        <f>'23'!$G$76</f>
        <v>63.200000000000728</v>
      </c>
      <c r="S27" s="689">
        <f>'23'!$G$77</f>
        <v>64</v>
      </c>
      <c r="T27" s="681">
        <f>'23'!$G$78</f>
        <v>75</v>
      </c>
      <c r="U27" s="681">
        <f>'23'!$G$79</f>
        <v>158</v>
      </c>
      <c r="V27" s="681">
        <f>'23'!$G$80</f>
        <v>400</v>
      </c>
      <c r="W27" s="681">
        <f>'23'!$G$81</f>
        <v>137</v>
      </c>
      <c r="X27" s="681">
        <f>'23'!$G$82</f>
        <v>16</v>
      </c>
      <c r="Y27" s="681">
        <f>'23'!$G$58</f>
        <v>193.69999999999709</v>
      </c>
      <c r="Z27" s="722">
        <f>'23'!$G$83</f>
        <v>290</v>
      </c>
      <c r="AA27" s="681">
        <f>'23'!$G$86</f>
        <v>18.900000000023283</v>
      </c>
      <c r="AB27" s="681">
        <f>'23'!G87</f>
        <v>44.600000000005821</v>
      </c>
      <c r="AC27" s="681">
        <f>'23'!G88</f>
        <v>0</v>
      </c>
      <c r="AD27" s="681">
        <f>'23'!G87+'23'!H90</f>
        <v>72.400000000006003</v>
      </c>
      <c r="AE27" s="689">
        <f>'23'!$G$62</f>
        <v>-0.2000000000007276</v>
      </c>
      <c r="AF27" s="689">
        <f>'23'!$G$63</f>
        <v>0</v>
      </c>
      <c r="AG27" s="689">
        <f>'23'!$G$64</f>
        <v>465</v>
      </c>
      <c r="AH27" s="689">
        <f>'23'!$G$65</f>
        <v>423</v>
      </c>
      <c r="AI27" s="689">
        <f>'23'!$G$66</f>
        <v>456.5</v>
      </c>
      <c r="AJ27" s="689">
        <f>'23'!$G$67</f>
        <v>489</v>
      </c>
      <c r="AK27" s="689">
        <f>'23'!$G$68</f>
        <v>0</v>
      </c>
      <c r="AL27" s="689">
        <f>'23'!$G$69</f>
        <v>325</v>
      </c>
      <c r="AM27" s="689">
        <f>'23'!$G$84</f>
        <v>691</v>
      </c>
      <c r="AN27" s="689">
        <f>'23'!$G$15</f>
        <v>828.71999999997206</v>
      </c>
      <c r="AO27" s="689">
        <f>'23'!$G$124</f>
        <v>261.97999999998137</v>
      </c>
      <c r="AP27" s="689">
        <f>'23'!$G$125</f>
        <v>0</v>
      </c>
      <c r="AQ27" s="689">
        <f>'23'!$G$126</f>
        <v>95.769999999989523</v>
      </c>
      <c r="AR27" s="689">
        <f>'23'!$G$127</f>
        <v>33.69999999999709</v>
      </c>
      <c r="AS27" s="689">
        <f>'23'!$G$128</f>
        <v>1.1000000000003638</v>
      </c>
      <c r="AT27" s="689">
        <f t="shared" si="0"/>
        <v>436.17000000000371</v>
      </c>
      <c r="AU27" s="689">
        <f>SUM('23'!G140:G141)</f>
        <v>10.179999999999836</v>
      </c>
      <c r="AV27" s="689">
        <f>'23'!$G$137</f>
        <v>7.75</v>
      </c>
      <c r="AW27" s="689">
        <f>'23'!$G$138</f>
        <v>0</v>
      </c>
      <c r="AX27" s="689">
        <f>'23'!$G$139</f>
        <v>0</v>
      </c>
      <c r="AY27" s="686">
        <f t="shared" si="1"/>
        <v>7.75</v>
      </c>
      <c r="BA27" s="1155">
        <f t="shared" si="6"/>
        <v>-174.19000000002234</v>
      </c>
      <c r="BB27" s="1204">
        <f t="shared" si="3"/>
        <v>2801.3000000000029</v>
      </c>
      <c r="BC27" s="1204">
        <f t="shared" si="4"/>
        <v>12.559912121415934</v>
      </c>
    </row>
    <row r="28" spans="1:55" s="1157" customFormat="1">
      <c r="A28" s="688">
        <v>44067</v>
      </c>
      <c r="B28" s="55">
        <f>'24'!G7</f>
        <v>24087</v>
      </c>
      <c r="C28" s="55">
        <f>'24'!G8</f>
        <v>22499.999999999985</v>
      </c>
      <c r="D28" s="55">
        <f>'24'!G15</f>
        <v>879</v>
      </c>
      <c r="E28" s="55">
        <f>'24'!G20</f>
        <v>224</v>
      </c>
      <c r="F28" s="55">
        <f>SUM('24'!G35,'24'!G49)</f>
        <v>3121</v>
      </c>
      <c r="G28" s="55">
        <f>SUM('24'!G37,'24'!G51)</f>
        <v>1505</v>
      </c>
      <c r="H28" s="55">
        <f>SUM('24'!G38,'24'!G52)</f>
        <v>1660.9300000000512</v>
      </c>
      <c r="I28" s="55">
        <f>SUM('24'!G39,'24'!G53)</f>
        <v>3973.4099999999744</v>
      </c>
      <c r="J28" s="55">
        <f>SUM('24'!G41,'24'!G42,'24'!G55,'24'!G56)</f>
        <v>8002</v>
      </c>
      <c r="K28" s="55">
        <f>SUM('24'!G43,'24'!G57)</f>
        <v>3020</v>
      </c>
      <c r="L28" s="689">
        <f>'24'!G50</f>
        <v>1445</v>
      </c>
      <c r="M28" s="681">
        <f>'24'!G36</f>
        <v>672</v>
      </c>
      <c r="N28" s="681">
        <f>'24'!G72</f>
        <v>10</v>
      </c>
      <c r="O28" s="681">
        <f>'24'!G73</f>
        <v>1</v>
      </c>
      <c r="P28" s="681">
        <f>'24'!$G$74</f>
        <v>0</v>
      </c>
      <c r="Q28" s="681">
        <f>'24'!$G$75</f>
        <v>158</v>
      </c>
      <c r="R28" s="681">
        <f>'24'!$G$76</f>
        <v>71</v>
      </c>
      <c r="S28" s="681">
        <f>'24'!$G$77</f>
        <v>60</v>
      </c>
      <c r="T28" s="681">
        <f>'24'!$G$78</f>
        <v>59</v>
      </c>
      <c r="U28" s="681">
        <f>'24'!$G$79</f>
        <v>168</v>
      </c>
      <c r="V28" s="681">
        <f>'24'!$G$80</f>
        <v>382</v>
      </c>
      <c r="W28" s="681">
        <f>'24'!$G$81</f>
        <v>129</v>
      </c>
      <c r="X28" s="681">
        <f>'24'!$G$82</f>
        <v>26</v>
      </c>
      <c r="Y28" s="681">
        <f>'24'!$G$58</f>
        <v>223</v>
      </c>
      <c r="Z28" s="681">
        <f>'24'!$G$83</f>
        <v>276</v>
      </c>
      <c r="AA28" s="681">
        <f>'24'!G86</f>
        <v>27</v>
      </c>
      <c r="AB28" s="681">
        <f>'24'!G87</f>
        <v>28</v>
      </c>
      <c r="AC28" s="681">
        <f>'24'!G88</f>
        <v>0</v>
      </c>
      <c r="AD28" s="681">
        <f>'24'!G87+'24'!H90</f>
        <v>35</v>
      </c>
      <c r="AE28" s="681">
        <f>'24'!$G$62</f>
        <v>0</v>
      </c>
      <c r="AF28" s="681">
        <f>'24'!$G$63</f>
        <v>0</v>
      </c>
      <c r="AG28" s="681">
        <f>'24'!$G$64</f>
        <v>427</v>
      </c>
      <c r="AH28" s="681">
        <f>'24'!$G$65</f>
        <v>393</v>
      </c>
      <c r="AI28" s="681">
        <f>'24'!$G$66</f>
        <v>375</v>
      </c>
      <c r="AJ28" s="681">
        <f>'24'!$G$67</f>
        <v>441</v>
      </c>
      <c r="AK28" s="681">
        <f>'24'!$G$68</f>
        <v>0</v>
      </c>
      <c r="AL28" s="681">
        <f>'24'!$G$69</f>
        <v>340</v>
      </c>
      <c r="AM28" s="681">
        <f>'24'!$G$84</f>
        <v>687</v>
      </c>
      <c r="AN28" s="681">
        <f>'24'!$G$15</f>
        <v>879</v>
      </c>
      <c r="AO28" s="724">
        <f>'24'!$G$124</f>
        <v>244</v>
      </c>
      <c r="AP28" s="724">
        <f>'24'!$G$125</f>
        <v>-0.39999999999417923</v>
      </c>
      <c r="AQ28" s="724">
        <f>'24'!$G$126</f>
        <v>80</v>
      </c>
      <c r="AR28" s="681">
        <f>'24'!$G$127</f>
        <v>45</v>
      </c>
      <c r="AS28" s="681">
        <f>'24'!$G$128</f>
        <v>2</v>
      </c>
      <c r="AT28" s="724">
        <f>AN28-SUM(AO28:AS28)</f>
        <v>508.39999999999418</v>
      </c>
      <c r="AU28" s="681">
        <f>SUM('24'!G140:G141)</f>
        <v>9.1700000000000728</v>
      </c>
      <c r="AV28" s="681">
        <f>'24'!$G$137</f>
        <v>9.4700000000011642</v>
      </c>
      <c r="AW28" s="681">
        <f>'24'!$G$138</f>
        <v>0</v>
      </c>
      <c r="AX28" s="681">
        <f>'24'!$G$139</f>
        <v>0</v>
      </c>
      <c r="AY28" s="690">
        <f t="shared" si="1"/>
        <v>9.4700000000011642</v>
      </c>
      <c r="BA28" s="1158">
        <f t="shared" si="6"/>
        <v>-264.39999999999418</v>
      </c>
      <c r="BB28" s="1204">
        <f t="shared" si="3"/>
        <v>994.65999999995984</v>
      </c>
      <c r="BC28" s="1204">
        <f t="shared" si="4"/>
        <v>4.1294474197698339</v>
      </c>
    </row>
    <row r="29" spans="1:55">
      <c r="A29" s="688">
        <v>44068</v>
      </c>
      <c r="B29" s="55">
        <f>'25'!G7</f>
        <v>23250</v>
      </c>
      <c r="C29" s="55">
        <f>'25'!G8</f>
        <v>22500</v>
      </c>
      <c r="D29" s="55">
        <f>'25'!G15</f>
        <v>795</v>
      </c>
      <c r="E29" s="55">
        <f>'25'!G20</f>
        <v>222</v>
      </c>
      <c r="F29" s="55">
        <f>SUM('25'!G35,'25'!G49)</f>
        <v>3038</v>
      </c>
      <c r="G29" s="55">
        <f>SUM('25'!G37,'25'!G51)</f>
        <v>1615.8699999999953</v>
      </c>
      <c r="H29" s="55">
        <f>SUM('25'!G38,'25'!G52)</f>
        <v>1662.0699999999488</v>
      </c>
      <c r="I29" s="55">
        <f>SUM('25'!G39,'25'!G53)</f>
        <v>4050</v>
      </c>
      <c r="J29" s="55">
        <f>SUM('25'!G41,'25'!G42,'25'!G55,'25'!G56)</f>
        <v>7567</v>
      </c>
      <c r="K29" s="55">
        <f>SUM('25'!G43,'25'!G57)</f>
        <v>3160</v>
      </c>
      <c r="L29" s="689">
        <f>'25'!G50</f>
        <v>1299</v>
      </c>
      <c r="M29" s="689">
        <f>'25'!G36</f>
        <v>696</v>
      </c>
      <c r="N29" s="689">
        <f>'25'!G72</f>
        <v>11</v>
      </c>
      <c r="O29" s="689">
        <f>'25'!$G$73</f>
        <v>1</v>
      </c>
      <c r="P29" s="689">
        <f>'25'!$G$74</f>
        <v>0</v>
      </c>
      <c r="Q29" s="689">
        <f>'25'!$G$75</f>
        <v>179</v>
      </c>
      <c r="R29" s="689">
        <f>'25'!$G$76</f>
        <v>70</v>
      </c>
      <c r="S29" s="689">
        <f>'25'!$G$77</f>
        <v>56</v>
      </c>
      <c r="T29" s="681">
        <f>'25'!$G$78</f>
        <v>138</v>
      </c>
      <c r="U29" s="681">
        <f>'25'!$G$79</f>
        <v>148</v>
      </c>
      <c r="V29" s="681">
        <f>'25'!$G$80</f>
        <v>361</v>
      </c>
      <c r="W29" s="681">
        <f>'25'!$G$81</f>
        <v>139</v>
      </c>
      <c r="X29" s="681">
        <f>'25'!$G$82</f>
        <v>13</v>
      </c>
      <c r="Y29" s="681">
        <f>'25'!$G$58</f>
        <v>188</v>
      </c>
      <c r="Z29" s="681">
        <f>'25'!$G$83</f>
        <v>264</v>
      </c>
      <c r="AA29" s="681">
        <f>'25'!G86</f>
        <v>11</v>
      </c>
      <c r="AB29" s="681">
        <f>'25'!G87</f>
        <v>31</v>
      </c>
      <c r="AC29" s="681">
        <f>'25'!G88</f>
        <v>0</v>
      </c>
      <c r="AD29" s="681">
        <f>'25'!G87+'25'!H90</f>
        <v>38</v>
      </c>
      <c r="AE29" s="689">
        <f>'25'!$G$62</f>
        <v>0</v>
      </c>
      <c r="AF29" s="689">
        <f>'25'!$G$63</f>
        <v>0</v>
      </c>
      <c r="AG29" s="689">
        <f>'25'!$G$64</f>
        <v>454</v>
      </c>
      <c r="AH29" s="689">
        <f>'25'!$G$65</f>
        <v>420</v>
      </c>
      <c r="AI29" s="689">
        <f>'25'!$G$66</f>
        <v>411</v>
      </c>
      <c r="AJ29" s="689">
        <f>'25'!$G$67</f>
        <v>502</v>
      </c>
      <c r="AK29" s="689">
        <f>'25'!$G$68</f>
        <v>0</v>
      </c>
      <c r="AL29" s="689">
        <f>'25'!$G$69</f>
        <v>345</v>
      </c>
      <c r="AM29" s="689">
        <f>'25'!$G$84</f>
        <v>685</v>
      </c>
      <c r="AN29" s="689">
        <f>'25'!$G$15</f>
        <v>795</v>
      </c>
      <c r="AO29" s="689">
        <f>'25'!$G$124</f>
        <v>242</v>
      </c>
      <c r="AP29" s="689">
        <f>'25'!$G$125</f>
        <v>0</v>
      </c>
      <c r="AQ29" s="689">
        <f>'25'!$G$126</f>
        <v>94</v>
      </c>
      <c r="AR29" s="689">
        <f>'25'!$G$127</f>
        <v>51</v>
      </c>
      <c r="AS29" s="689">
        <f>'25'!$G$128</f>
        <v>2</v>
      </c>
      <c r="AT29" s="689">
        <f t="shared" si="0"/>
        <v>406</v>
      </c>
      <c r="AU29" s="689">
        <f>SUM('25'!G140:G141)</f>
        <v>9.6199999999998909</v>
      </c>
      <c r="AV29" s="689">
        <f>'25'!$G$137</f>
        <v>7.9000000000014552</v>
      </c>
      <c r="AW29" s="689">
        <f>'25'!$G$138</f>
        <v>0</v>
      </c>
      <c r="AX29" s="689">
        <f>'25'!$G$139</f>
        <v>0</v>
      </c>
      <c r="AY29" s="686">
        <f t="shared" si="1"/>
        <v>7.9000000000014552</v>
      </c>
      <c r="BA29" s="1155">
        <f t="shared" si="6"/>
        <v>-164</v>
      </c>
      <c r="BB29" s="1204">
        <f t="shared" si="3"/>
        <v>1219.0600000000559</v>
      </c>
      <c r="BC29" s="1204">
        <f t="shared" si="4"/>
        <v>5.2432688172045419</v>
      </c>
    </row>
    <row r="30" spans="1:55">
      <c r="A30" s="688">
        <v>44069</v>
      </c>
      <c r="B30" s="55">
        <f>'26'!G7</f>
        <v>22798</v>
      </c>
      <c r="C30" s="55">
        <f>'26'!G8</f>
        <v>22500</v>
      </c>
      <c r="D30" s="55">
        <f>'26'!G15</f>
        <v>863</v>
      </c>
      <c r="E30" s="55">
        <f>'26'!G20</f>
        <v>226</v>
      </c>
      <c r="F30" s="55">
        <f>SUM('26'!G35,'26'!G49)</f>
        <v>3049</v>
      </c>
      <c r="G30" s="55">
        <f>SUM('26'!G37,'26'!G51)</f>
        <v>1519</v>
      </c>
      <c r="H30" s="55">
        <f>SUM('26'!G38,'26'!G52)</f>
        <v>1729</v>
      </c>
      <c r="I30" s="55">
        <f>SUM('26'!G39,'26'!G53)</f>
        <v>3903</v>
      </c>
      <c r="J30" s="55">
        <f>SUM('26'!G41,'26'!G42,'26'!G55,'26'!G56)</f>
        <v>6975</v>
      </c>
      <c r="K30" s="55">
        <f>SUM('26'!G43,'26'!G57)</f>
        <v>2870</v>
      </c>
      <c r="L30" s="689">
        <f>'26'!G50</f>
        <v>1061</v>
      </c>
      <c r="M30" s="689">
        <f>'26'!G36</f>
        <v>822</v>
      </c>
      <c r="N30" s="689">
        <f>'26'!G72</f>
        <v>11</v>
      </c>
      <c r="O30" s="689">
        <f>'26'!$G$73</f>
        <v>1</v>
      </c>
      <c r="P30" s="689">
        <f>'26'!$G$74</f>
        <v>0</v>
      </c>
      <c r="Q30" s="689">
        <f>'26'!$G$75</f>
        <v>170</v>
      </c>
      <c r="R30" s="689">
        <f>'26'!$G$76</f>
        <v>73</v>
      </c>
      <c r="S30" s="689">
        <f>'26'!$G$77</f>
        <v>57</v>
      </c>
      <c r="T30" s="681">
        <f>'26'!$G$78</f>
        <v>191</v>
      </c>
      <c r="U30" s="681">
        <f>'26'!$G$79</f>
        <v>152</v>
      </c>
      <c r="V30" s="681">
        <f>'26'!$G$80</f>
        <v>411</v>
      </c>
      <c r="W30" s="681">
        <f>'26'!$G$81</f>
        <v>162</v>
      </c>
      <c r="X30" s="681">
        <f>'26'!$G$82</f>
        <v>24</v>
      </c>
      <c r="Y30" s="681">
        <f>'26'!$G$58</f>
        <v>198</v>
      </c>
      <c r="Z30" s="681">
        <f>'26'!$G$83</f>
        <v>276</v>
      </c>
      <c r="AA30" s="681">
        <f>'26'!G86</f>
        <v>12</v>
      </c>
      <c r="AB30" s="681">
        <f>'26'!G87</f>
        <v>35</v>
      </c>
      <c r="AC30" s="681">
        <f>'26'!G88</f>
        <v>0</v>
      </c>
      <c r="AD30" s="681">
        <f>'26'!G87+'26'!H90</f>
        <v>41</v>
      </c>
      <c r="AE30" s="689">
        <f>'26'!$G$62</f>
        <v>0</v>
      </c>
      <c r="AF30" s="689">
        <f>'26'!$G$63</f>
        <v>0</v>
      </c>
      <c r="AG30" s="689">
        <f>'26'!$G$64</f>
        <v>435</v>
      </c>
      <c r="AH30" s="689">
        <f>'26'!$G$65</f>
        <v>385</v>
      </c>
      <c r="AI30" s="689">
        <f>'26'!$G$66</f>
        <v>406</v>
      </c>
      <c r="AJ30" s="689">
        <f>'26'!$G$67</f>
        <v>531</v>
      </c>
      <c r="AK30" s="689">
        <f>'26'!$G$68</f>
        <v>0</v>
      </c>
      <c r="AL30" s="689">
        <f>'26'!$G$69</f>
        <v>327</v>
      </c>
      <c r="AM30" s="689">
        <f>'26'!$G$84</f>
        <v>674</v>
      </c>
      <c r="AN30" s="689">
        <f>'26'!$G$15</f>
        <v>863</v>
      </c>
      <c r="AO30" s="689">
        <f>'26'!$G$124</f>
        <v>252</v>
      </c>
      <c r="AP30" s="689">
        <f>'26'!$G$125</f>
        <v>0</v>
      </c>
      <c r="AQ30" s="689">
        <f>'26'!$G$126</f>
        <v>89</v>
      </c>
      <c r="AR30" s="689">
        <f>'26'!$G$127</f>
        <v>37</v>
      </c>
      <c r="AS30" s="689">
        <f>'26'!$G$128</f>
        <v>2</v>
      </c>
      <c r="AT30" s="689">
        <f t="shared" si="0"/>
        <v>483</v>
      </c>
      <c r="AU30" s="689">
        <f>SUM('26'!G140:G141)</f>
        <v>9.7300000000000182</v>
      </c>
      <c r="AV30" s="689">
        <f>'26'!$G$137</f>
        <v>9.0999999999985448</v>
      </c>
      <c r="AW30" s="689">
        <f>'26'!$G$138</f>
        <v>0</v>
      </c>
      <c r="AX30" s="689">
        <f>'26'!$G$139</f>
        <v>0</v>
      </c>
      <c r="AY30" s="686">
        <f t="shared" si="1"/>
        <v>9.0999999999985448</v>
      </c>
      <c r="BA30" s="1155">
        <f t="shared" si="6"/>
        <v>-231</v>
      </c>
      <c r="BB30" s="1204">
        <f t="shared" si="3"/>
        <v>2257</v>
      </c>
      <c r="BC30" s="1204">
        <f t="shared" si="4"/>
        <v>9.8999912273006405</v>
      </c>
    </row>
    <row r="31" spans="1:55">
      <c r="A31" s="688">
        <v>44070</v>
      </c>
      <c r="B31" s="55">
        <f>'27'!G7</f>
        <v>18832</v>
      </c>
      <c r="C31" s="55">
        <f>'27'!G8</f>
        <v>22500</v>
      </c>
      <c r="D31" s="55">
        <f>'27'!G15</f>
        <v>845</v>
      </c>
      <c r="E31" s="55">
        <f>'27'!G20</f>
        <v>260</v>
      </c>
      <c r="F31" s="55">
        <f>SUM('27'!G35,'27'!G49)</f>
        <v>2493</v>
      </c>
      <c r="G31" s="55">
        <f>SUM('27'!G37,'27'!G51)</f>
        <v>1481.1300000000047</v>
      </c>
      <c r="H31" s="55">
        <f>SUM('27'!G38,'27'!G52)</f>
        <v>1757.9300000000512</v>
      </c>
      <c r="I31" s="55">
        <f>SUM('27'!G39,'27'!G53)</f>
        <v>3207</v>
      </c>
      <c r="J31" s="55">
        <f>SUM('27'!G41,'27'!G42,'27'!G55,'27'!G56)</f>
        <v>5590</v>
      </c>
      <c r="K31" s="55">
        <f>SUM('27'!G43,'27'!G57)</f>
        <v>2380</v>
      </c>
      <c r="L31" s="689">
        <f>'27'!G50</f>
        <v>1064</v>
      </c>
      <c r="M31" s="689">
        <f>'27'!G36</f>
        <v>693</v>
      </c>
      <c r="N31" s="689">
        <f>'27'!G72</f>
        <v>13</v>
      </c>
      <c r="O31" s="689">
        <f>'27'!$G$73</f>
        <v>1</v>
      </c>
      <c r="P31" s="689">
        <f>'27'!$G$74</f>
        <v>12</v>
      </c>
      <c r="Q31" s="689">
        <f>'27'!$G$75</f>
        <v>153</v>
      </c>
      <c r="R31" s="689">
        <f>'27'!$G$76</f>
        <v>57</v>
      </c>
      <c r="S31" s="689">
        <f>'27'!$G$77</f>
        <v>50</v>
      </c>
      <c r="T31" s="681">
        <f>'27'!$G$78</f>
        <v>155</v>
      </c>
      <c r="U31" s="681">
        <f>'27'!$G$79</f>
        <v>166</v>
      </c>
      <c r="V31" s="681">
        <f>'27'!$G$80</f>
        <v>414</v>
      </c>
      <c r="W31" s="681">
        <f>'27'!$G$81</f>
        <v>193</v>
      </c>
      <c r="X31" s="681">
        <f>'27'!$G$82</f>
        <v>13</v>
      </c>
      <c r="Y31" s="681">
        <f>'27'!$G$58</f>
        <v>190</v>
      </c>
      <c r="Z31" s="681">
        <f>'27'!$G$83</f>
        <v>306</v>
      </c>
      <c r="AA31" s="681">
        <f>'27'!G86</f>
        <v>12</v>
      </c>
      <c r="AB31" s="681">
        <f>'27'!G87</f>
        <v>37</v>
      </c>
      <c r="AC31" s="681">
        <f>'27'!G88</f>
        <v>0</v>
      </c>
      <c r="AD31" s="681">
        <f>'27'!G87+'27'!H90</f>
        <v>44</v>
      </c>
      <c r="AE31" s="689">
        <f>'27'!$G$62</f>
        <v>0</v>
      </c>
      <c r="AF31" s="689">
        <f>'27'!$G$63</f>
        <v>0</v>
      </c>
      <c r="AG31" s="689">
        <f>'27'!$G$64</f>
        <v>411</v>
      </c>
      <c r="AH31" s="689">
        <f>'27'!$G$65</f>
        <v>374</v>
      </c>
      <c r="AI31" s="689">
        <f>'27'!$G$66</f>
        <v>341</v>
      </c>
      <c r="AJ31" s="689">
        <f>'27'!$G$67</f>
        <v>433</v>
      </c>
      <c r="AK31" s="689">
        <f>'27'!$G$68</f>
        <v>0</v>
      </c>
      <c r="AL31" s="689">
        <f>'27'!$G$69</f>
        <v>269</v>
      </c>
      <c r="AM31" s="689">
        <f>'27'!$G$84</f>
        <v>634</v>
      </c>
      <c r="AN31" s="689">
        <f>'27'!$G$15</f>
        <v>845</v>
      </c>
      <c r="AO31" s="689">
        <f>'27'!$G$124</f>
        <v>274</v>
      </c>
      <c r="AP31" s="689">
        <f>'27'!$G$125</f>
        <v>0.39999999999417923</v>
      </c>
      <c r="AQ31" s="689">
        <f>'27'!$G$126</f>
        <v>97</v>
      </c>
      <c r="AR31" s="689">
        <f>'27'!$G$127</f>
        <v>47</v>
      </c>
      <c r="AS31" s="689">
        <f>'27'!$G$128</f>
        <v>2</v>
      </c>
      <c r="AT31" s="689">
        <f t="shared" si="0"/>
        <v>424.60000000000582</v>
      </c>
      <c r="AU31" s="689">
        <f>SUM('27'!G140:G141)</f>
        <v>10.650000000000091</v>
      </c>
      <c r="AV31" s="689">
        <f>'27'!$G$137</f>
        <v>8.430000000000291</v>
      </c>
      <c r="AW31" s="689">
        <f>'27'!$G$138</f>
        <v>0</v>
      </c>
      <c r="AX31" s="689">
        <f>'27'!$G$139</f>
        <v>0</v>
      </c>
      <c r="AY31" s="686">
        <f t="shared" si="1"/>
        <v>8.430000000000291</v>
      </c>
      <c r="BA31" s="1155">
        <f t="shared" si="6"/>
        <v>-150.60000000000582</v>
      </c>
      <c r="BB31" s="1204">
        <f t="shared" si="3"/>
        <v>5400.9399999999441</v>
      </c>
      <c r="BC31" s="1204">
        <f t="shared" si="4"/>
        <v>28.67958793542876</v>
      </c>
    </row>
    <row r="32" spans="1:55">
      <c r="A32" s="688">
        <v>44071</v>
      </c>
      <c r="B32" s="55">
        <f>'28'!G7</f>
        <v>23250</v>
      </c>
      <c r="C32" s="55">
        <f>'28'!G8</f>
        <v>22500</v>
      </c>
      <c r="D32" s="55">
        <f>'28'!G15</f>
        <v>964</v>
      </c>
      <c r="E32" s="55">
        <f>'28'!G20</f>
        <v>260</v>
      </c>
      <c r="F32" s="55">
        <f>SUM('28'!G35,'28'!G49)</f>
        <v>3633</v>
      </c>
      <c r="G32" s="55">
        <f>SUM('28'!G37,'28'!G51)</f>
        <v>1485</v>
      </c>
      <c r="H32" s="55">
        <f>SUM('28'!G38,'28'!G52)</f>
        <v>1792.0699999999488</v>
      </c>
      <c r="I32" s="55">
        <f>SUM('28'!G39,'28'!G53)</f>
        <v>4184</v>
      </c>
      <c r="J32" s="55">
        <f>SUM('28'!G41,'28'!G42,'28'!G55,'28'!G56)</f>
        <v>6994</v>
      </c>
      <c r="K32" s="55">
        <f>SUM('28'!G43,'28'!G57)</f>
        <v>3100.33</v>
      </c>
      <c r="L32" s="689">
        <f>'28'!G50</f>
        <v>1071</v>
      </c>
      <c r="M32" s="689">
        <f>'28'!G36</f>
        <v>849</v>
      </c>
      <c r="N32" s="689">
        <f>'28'!G72</f>
        <v>10</v>
      </c>
      <c r="O32" s="689">
        <f>'28'!$G$73</f>
        <v>1</v>
      </c>
      <c r="P32" s="689">
        <f>'28'!$G$74</f>
        <v>2</v>
      </c>
      <c r="Q32" s="689">
        <f>'28'!$G$75</f>
        <v>214</v>
      </c>
      <c r="R32" s="689">
        <f>'28'!$G$76</f>
        <v>13</v>
      </c>
      <c r="S32" s="689">
        <f>'28'!$G$77</f>
        <v>51</v>
      </c>
      <c r="T32" s="681">
        <f>'28'!$G$78</f>
        <v>156</v>
      </c>
      <c r="U32" s="681">
        <f>'28'!$G$79</f>
        <v>178</v>
      </c>
      <c r="V32" s="681">
        <f>'28'!$G$80</f>
        <v>387</v>
      </c>
      <c r="W32" s="681">
        <f>'28'!$G$81</f>
        <v>135</v>
      </c>
      <c r="X32" s="681">
        <f>'28'!$G$82</f>
        <v>27</v>
      </c>
      <c r="Y32" s="681">
        <f>'28'!$G$58</f>
        <v>225</v>
      </c>
      <c r="Z32" s="681">
        <f>'28'!$G$83</f>
        <v>327</v>
      </c>
      <c r="AA32" s="681">
        <f>'28'!G86</f>
        <v>10</v>
      </c>
      <c r="AB32" s="681">
        <f>'28'!G87</f>
        <v>17</v>
      </c>
      <c r="AC32" s="681">
        <f>'28'!G88</f>
        <v>0</v>
      </c>
      <c r="AD32" s="681">
        <f>'28'!G87+'28'!H90</f>
        <v>19</v>
      </c>
      <c r="AE32" s="689">
        <f>'28'!$G$62</f>
        <v>0</v>
      </c>
      <c r="AF32" s="689">
        <f>'28'!$G$63</f>
        <v>0</v>
      </c>
      <c r="AG32" s="689">
        <f>'28'!$G$64</f>
        <v>376</v>
      </c>
      <c r="AH32" s="689">
        <f>'28'!$G$65</f>
        <v>392</v>
      </c>
      <c r="AI32" s="689">
        <f>'28'!$G$66</f>
        <v>455</v>
      </c>
      <c r="AJ32" s="689">
        <f>'28'!$G$67</f>
        <v>545</v>
      </c>
      <c r="AK32" s="689">
        <f>'28'!$G$68</f>
        <v>0</v>
      </c>
      <c r="AL32" s="689">
        <f>'28'!$G$69</f>
        <v>356</v>
      </c>
      <c r="AM32" s="689">
        <f>'28'!$G$84</f>
        <v>751</v>
      </c>
      <c r="AN32" s="689">
        <f>'28'!$G$15</f>
        <v>964</v>
      </c>
      <c r="AO32" s="689">
        <f>'28'!$G$124</f>
        <v>278</v>
      </c>
      <c r="AP32" s="689">
        <f>'28'!$G$125</f>
        <v>0</v>
      </c>
      <c r="AQ32" s="689">
        <f>'28'!$G$126</f>
        <v>98</v>
      </c>
      <c r="AR32" s="689">
        <f>'28'!$G$127</f>
        <v>43</v>
      </c>
      <c r="AS32" s="689">
        <f>'28'!$G$128</f>
        <v>4</v>
      </c>
      <c r="AT32" s="689">
        <f t="shared" si="0"/>
        <v>541</v>
      </c>
      <c r="AU32" s="689">
        <f>SUM('28'!G140:G141)</f>
        <v>10.869999999999891</v>
      </c>
      <c r="AV32" s="689">
        <f>'28'!$G$137</f>
        <v>9.8699999999989814</v>
      </c>
      <c r="AW32" s="689">
        <f>'28'!$G$138</f>
        <v>0</v>
      </c>
      <c r="AX32" s="689">
        <f>'28'!$G$139</f>
        <v>0.44999999999708962</v>
      </c>
      <c r="AY32" s="686">
        <f t="shared" si="1"/>
        <v>10.319999999996071</v>
      </c>
      <c r="BA32" s="1155">
        <f t="shared" si="6"/>
        <v>-263</v>
      </c>
      <c r="BB32" s="1204">
        <f t="shared" si="3"/>
        <v>1086.6000000000495</v>
      </c>
      <c r="BC32" s="1204">
        <f t="shared" si="4"/>
        <v>4.6735483870969867</v>
      </c>
    </row>
    <row r="33" spans="1:55">
      <c r="A33" s="688">
        <v>44072</v>
      </c>
      <c r="B33" s="55">
        <f>'29'!G7</f>
        <v>21510</v>
      </c>
      <c r="C33" s="55">
        <f>'29'!G8</f>
        <v>22500</v>
      </c>
      <c r="D33" s="55">
        <f>'29'!G15</f>
        <v>834</v>
      </c>
      <c r="E33" s="55">
        <f>'29'!G20</f>
        <v>242</v>
      </c>
      <c r="F33" s="55">
        <f>SUM('29'!G35,'29'!G49)</f>
        <v>3322</v>
      </c>
      <c r="G33" s="55">
        <f>SUM('29'!G37,'29'!G51)</f>
        <v>1388.8699999999953</v>
      </c>
      <c r="H33" s="55">
        <f>SUM('29'!G38,'29'!G52)</f>
        <v>1012</v>
      </c>
      <c r="I33" s="55">
        <f>SUM('29'!G39,'29'!G53)</f>
        <v>3986</v>
      </c>
      <c r="J33" s="55">
        <f>SUM('29'!G41,'29'!G42,'29'!G55,'29'!G56)</f>
        <v>6639</v>
      </c>
      <c r="K33" s="55">
        <f>SUM('29'!G43,'29'!G57)</f>
        <v>2894.67</v>
      </c>
      <c r="L33" s="689">
        <f>'29'!G50</f>
        <v>1098</v>
      </c>
      <c r="M33" s="689">
        <f>'29'!G36</f>
        <v>812</v>
      </c>
      <c r="N33" s="689">
        <f>'29'!G72</f>
        <v>8</v>
      </c>
      <c r="O33" s="689">
        <f>'29'!$G$73</f>
        <v>2</v>
      </c>
      <c r="P33" s="689">
        <f>'29'!$G$74</f>
        <v>0</v>
      </c>
      <c r="Q33" s="689">
        <f>'29'!$G$75</f>
        <v>198</v>
      </c>
      <c r="R33" s="689">
        <f>'29'!$G$76</f>
        <v>140</v>
      </c>
      <c r="S33" s="689">
        <f>'29'!$G$77</f>
        <v>49</v>
      </c>
      <c r="T33" s="689">
        <f>'29'!$G$78</f>
        <v>167</v>
      </c>
      <c r="U33" s="689">
        <f>'29'!$G$79</f>
        <v>134</v>
      </c>
      <c r="V33" s="689">
        <f>'29'!$G$80</f>
        <v>660</v>
      </c>
      <c r="W33" s="689">
        <f>'29'!$G$81</f>
        <v>148</v>
      </c>
      <c r="X33" s="689">
        <f>'29'!$G$82</f>
        <v>11</v>
      </c>
      <c r="Y33" s="689">
        <f>'29'!$G$58</f>
        <v>223</v>
      </c>
      <c r="Z33" s="689">
        <f>'29'!$G$83</f>
        <v>262</v>
      </c>
      <c r="AA33" s="689">
        <f>'29'!G86</f>
        <v>7</v>
      </c>
      <c r="AB33" s="689">
        <f>'29'!G87</f>
        <v>18</v>
      </c>
      <c r="AC33" s="689">
        <f>'29'!G88</f>
        <v>0</v>
      </c>
      <c r="AD33" s="689">
        <f>'29'!G87+'29'!H90</f>
        <v>18</v>
      </c>
      <c r="AE33" s="689">
        <f>'29'!$G$62</f>
        <v>0</v>
      </c>
      <c r="AF33" s="689">
        <f>'29'!$G$63</f>
        <v>0</v>
      </c>
      <c r="AG33" s="689">
        <f>'29'!$G$64</f>
        <v>392</v>
      </c>
      <c r="AH33" s="689">
        <f>'29'!$G$65</f>
        <v>405</v>
      </c>
      <c r="AI33" s="689">
        <f>'29'!$G$66</f>
        <v>459</v>
      </c>
      <c r="AJ33" s="689">
        <f>'29'!$G$67</f>
        <v>559</v>
      </c>
      <c r="AK33" s="689">
        <f>'29'!$G$68</f>
        <v>0</v>
      </c>
      <c r="AL33" s="689">
        <f>'29'!$G$69</f>
        <v>325</v>
      </c>
      <c r="AM33" s="689">
        <f>'29'!$G$84</f>
        <v>730</v>
      </c>
      <c r="AN33" s="689">
        <f>'29'!$G$15</f>
        <v>834</v>
      </c>
      <c r="AO33" s="689">
        <f>'29'!$G$124</f>
        <v>285</v>
      </c>
      <c r="AP33" s="689">
        <f>'29'!$G$125</f>
        <v>-0.39999999999417923</v>
      </c>
      <c r="AQ33" s="689">
        <f>'29'!$G$126</f>
        <v>99</v>
      </c>
      <c r="AR33" s="689">
        <f>'29'!$G$127</f>
        <v>50</v>
      </c>
      <c r="AS33" s="689">
        <f>'29'!$G$128</f>
        <v>4</v>
      </c>
      <c r="AT33" s="689">
        <f t="shared" si="0"/>
        <v>396.39999999999418</v>
      </c>
      <c r="AU33" s="689">
        <f>SUM('29'!G140:G141)</f>
        <v>11.099999999999909</v>
      </c>
      <c r="AV33" s="689">
        <f>'29'!$G$137</f>
        <v>6.7000000000007276</v>
      </c>
      <c r="AW33" s="689">
        <f>'29'!$G$138</f>
        <v>2.0000000000436557E-2</v>
      </c>
      <c r="AX33" s="689">
        <f>'29'!$G$139</f>
        <v>-0.44999999999708962</v>
      </c>
      <c r="AY33" s="686">
        <f t="shared" si="1"/>
        <v>6.2700000000040745</v>
      </c>
      <c r="BA33" s="1155">
        <f t="shared" si="6"/>
        <v>-111.39999999999418</v>
      </c>
      <c r="BB33" s="1204">
        <f t="shared" si="3"/>
        <v>3034.4600000000064</v>
      </c>
      <c r="BC33" s="1204">
        <f t="shared" si="4"/>
        <v>14.107205950720624</v>
      </c>
    </row>
    <row r="34" spans="1:55" s="1154" customFormat="1">
      <c r="A34" s="688">
        <v>44073</v>
      </c>
      <c r="B34" s="55">
        <f>'30'!G7</f>
        <v>22509</v>
      </c>
      <c r="C34" s="55">
        <f>'30'!G8</f>
        <v>22500</v>
      </c>
      <c r="D34" s="55">
        <f>'30'!G15</f>
        <v>877</v>
      </c>
      <c r="E34" s="55">
        <f>'30'!G20</f>
        <v>249</v>
      </c>
      <c r="F34" s="1070">
        <f>SUM('30'!G35,'30'!G49)</f>
        <v>3556</v>
      </c>
      <c r="G34" s="1070">
        <f>SUM('30'!G37,'30'!G51)</f>
        <v>1323.1300000000047</v>
      </c>
      <c r="H34" s="1070">
        <f>SUM('30'!G38,'30'!G52)</f>
        <v>1113.9300000000512</v>
      </c>
      <c r="I34" s="55">
        <f>SUM('30'!G39,'30'!G53)</f>
        <v>3876</v>
      </c>
      <c r="J34" s="1070">
        <f>SUM('30'!G41,'30'!G42,'30'!G55,'30'!G56)</f>
        <v>7640.789999999979</v>
      </c>
      <c r="K34" s="1070">
        <f>SUM('30'!G43,'30'!G57)</f>
        <v>2575</v>
      </c>
      <c r="L34" s="432">
        <f>'30'!G50</f>
        <v>1097</v>
      </c>
      <c r="M34" s="432">
        <f>'30'!G36</f>
        <v>682</v>
      </c>
      <c r="N34" s="681">
        <f>'30'!G72</f>
        <v>18</v>
      </c>
      <c r="O34" s="681">
        <f>'30'!$G$73</f>
        <v>1</v>
      </c>
      <c r="P34" s="681">
        <f>'30'!$G$74</f>
        <v>0</v>
      </c>
      <c r="Q34" s="681">
        <f>'30'!$G$75</f>
        <v>182</v>
      </c>
      <c r="R34" s="681">
        <f>'30'!$G$76</f>
        <v>80</v>
      </c>
      <c r="S34" s="681">
        <f>'30'!$G$77</f>
        <v>50</v>
      </c>
      <c r="T34" s="681">
        <f>'30'!$G$78</f>
        <v>220</v>
      </c>
      <c r="U34" s="681">
        <f>'30'!$G$79</f>
        <v>129</v>
      </c>
      <c r="V34" s="681">
        <f>'30'!$G$80</f>
        <v>113</v>
      </c>
      <c r="W34" s="681">
        <f>'30'!$G$81</f>
        <v>164</v>
      </c>
      <c r="X34" s="681">
        <f>'30'!$G$82</f>
        <v>25</v>
      </c>
      <c r="Y34" s="681">
        <f>'30'!$G$58</f>
        <v>219</v>
      </c>
      <c r="Z34" s="681">
        <f>'30'!$G$83</f>
        <v>272</v>
      </c>
      <c r="AA34" s="681">
        <f>'30'!G86</f>
        <v>9</v>
      </c>
      <c r="AB34" s="681">
        <f>'30'!G87</f>
        <v>35</v>
      </c>
      <c r="AC34" s="681">
        <f>'30'!G88</f>
        <v>0</v>
      </c>
      <c r="AD34" s="681">
        <f>'30'!G87+'30'!H90</f>
        <v>42</v>
      </c>
      <c r="AE34" s="681">
        <f>'30'!$G$62</f>
        <v>0</v>
      </c>
      <c r="AF34" s="681">
        <f>'30'!$G$63</f>
        <v>0</v>
      </c>
      <c r="AG34" s="681">
        <f>'30'!$G$64</f>
        <v>459</v>
      </c>
      <c r="AH34" s="681">
        <f>'30'!$G$65</f>
        <v>430</v>
      </c>
      <c r="AI34" s="681">
        <f>'30'!$G$66</f>
        <v>418</v>
      </c>
      <c r="AJ34" s="681">
        <f>'30'!$G$67</f>
        <v>563</v>
      </c>
      <c r="AK34" s="681">
        <f>'30'!$G$68</f>
        <v>0</v>
      </c>
      <c r="AL34" s="681">
        <f>'30'!$G$69</f>
        <v>350</v>
      </c>
      <c r="AM34" s="681">
        <f>'30'!$G$84</f>
        <v>760</v>
      </c>
      <c r="AN34" s="681">
        <f>'30'!$G$15</f>
        <v>877</v>
      </c>
      <c r="AO34" s="681">
        <f>'30'!$G$124</f>
        <v>265</v>
      </c>
      <c r="AP34" s="681">
        <f>'30'!$G$125</f>
        <v>0.39999999999417923</v>
      </c>
      <c r="AQ34" s="681">
        <f>'30'!$G$126</f>
        <v>82</v>
      </c>
      <c r="AR34" s="681">
        <f>'30'!$G$127</f>
        <v>33</v>
      </c>
      <c r="AS34" s="681">
        <f>'30'!$G$128</f>
        <v>2</v>
      </c>
      <c r="AT34" s="681">
        <f t="shared" si="0"/>
        <v>494.60000000000582</v>
      </c>
      <c r="AU34" s="681">
        <f>SUM('30'!G140:G141)</f>
        <v>10.220000000000255</v>
      </c>
      <c r="AV34" s="681">
        <f>'30'!$G$137</f>
        <v>10</v>
      </c>
      <c r="AW34" s="681">
        <f>'30'!$G$138</f>
        <v>0</v>
      </c>
      <c r="AX34" s="681">
        <f>'30'!$G$139</f>
        <v>0</v>
      </c>
      <c r="AY34" s="690">
        <f t="shared" si="1"/>
        <v>10</v>
      </c>
      <c r="BA34" s="1156">
        <f t="shared" si="6"/>
        <v>-229.60000000000582</v>
      </c>
      <c r="BB34" s="1204">
        <f t="shared" si="3"/>
        <v>2196.1499999999651</v>
      </c>
      <c r="BC34" s="1204">
        <f t="shared" si="4"/>
        <v>9.7567639610820791</v>
      </c>
    </row>
    <row r="35" spans="1:55">
      <c r="A35" s="688">
        <v>44074</v>
      </c>
      <c r="B35" s="55">
        <f>'31'!G7</f>
        <v>20593</v>
      </c>
      <c r="C35" s="55">
        <f>'31'!G8</f>
        <v>22500</v>
      </c>
      <c r="D35" s="55">
        <f>'31'!G15</f>
        <v>749</v>
      </c>
      <c r="E35" s="55">
        <f>'31'!G20</f>
        <v>202</v>
      </c>
      <c r="F35" s="1070">
        <f>SUM('31'!G35,'31'!G49)</f>
        <v>3151</v>
      </c>
      <c r="G35" s="1070">
        <f>SUM('31'!G37,'31'!G51)</f>
        <v>1163</v>
      </c>
      <c r="H35" s="1070">
        <f>SUM('31'!G38,'31'!G52)</f>
        <v>1668</v>
      </c>
      <c r="I35" s="55">
        <f>SUM('31'!G39,'31'!G53)</f>
        <v>3886</v>
      </c>
      <c r="J35" s="1070">
        <f>SUM('31'!G41,'31'!G42,'31'!G55,'31'!G56)</f>
        <v>5195.9899999999907</v>
      </c>
      <c r="K35" s="1070">
        <f>SUM('31'!G43,'31'!G57)</f>
        <v>2495</v>
      </c>
      <c r="L35" s="432">
        <f>'31'!G50</f>
        <v>976</v>
      </c>
      <c r="M35" s="432">
        <f>'31'!G36</f>
        <v>668</v>
      </c>
      <c r="N35" s="681">
        <f>'31'!G72</f>
        <v>14</v>
      </c>
      <c r="O35" s="681">
        <f>'31'!$G$73</f>
        <v>2</v>
      </c>
      <c r="P35" s="681">
        <f>'31'!$G$74</f>
        <v>1</v>
      </c>
      <c r="Q35" s="681">
        <f>'31'!$G$75</f>
        <v>160</v>
      </c>
      <c r="R35" s="681">
        <f>'31'!$G$76</f>
        <v>62</v>
      </c>
      <c r="S35" s="681">
        <f>'31'!$G$77</f>
        <v>45</v>
      </c>
      <c r="T35" s="681">
        <f>'31'!$G$78</f>
        <v>87</v>
      </c>
      <c r="U35" s="681">
        <f>'31'!$G$79</f>
        <v>152</v>
      </c>
      <c r="V35" s="681">
        <f>'31'!$G$80</f>
        <v>367</v>
      </c>
      <c r="W35" s="681">
        <f>'31'!$G$81</f>
        <v>131</v>
      </c>
      <c r="X35" s="681">
        <f>'31'!$G$82</f>
        <v>12</v>
      </c>
      <c r="Y35" s="681">
        <f>'31'!$G$58</f>
        <v>196</v>
      </c>
      <c r="Z35" s="681">
        <f>'31'!$G$83</f>
        <v>310</v>
      </c>
      <c r="AA35" s="681">
        <f>'31'!G87</f>
        <v>39</v>
      </c>
      <c r="AB35" s="681">
        <f>'31'!G88</f>
        <v>0</v>
      </c>
      <c r="AC35" s="681">
        <f>'31'!G89</f>
        <v>97</v>
      </c>
      <c r="AD35" s="681">
        <f>'31'!G88+'31'!H92</f>
        <v>0</v>
      </c>
      <c r="AE35" s="681">
        <f>'31'!$G$62</f>
        <v>0</v>
      </c>
      <c r="AF35" s="681">
        <f>'31'!$G$63</f>
        <v>0</v>
      </c>
      <c r="AG35" s="681">
        <f>'31'!$G$64</f>
        <v>415</v>
      </c>
      <c r="AH35" s="681">
        <f>'31'!$G$65</f>
        <v>364</v>
      </c>
      <c r="AI35" s="681">
        <f>'31'!$G$66</f>
        <v>393</v>
      </c>
      <c r="AJ35" s="681">
        <f>'31'!$G$67</f>
        <v>438</v>
      </c>
      <c r="AK35" s="681">
        <f>'31'!$G$68</f>
        <v>0</v>
      </c>
      <c r="AL35" s="681">
        <f>'31'!$G$69</f>
        <v>317</v>
      </c>
      <c r="AM35" s="681">
        <f>'31'!$G$84</f>
        <v>654</v>
      </c>
      <c r="AN35" s="681">
        <f>'31'!$G$15</f>
        <v>749</v>
      </c>
      <c r="AO35" s="681">
        <f>'31'!$G$124</f>
        <v>262</v>
      </c>
      <c r="AP35" s="681">
        <f>'31'!$G$125</f>
        <v>0</v>
      </c>
      <c r="AQ35" s="681">
        <f>'31'!$G$126</f>
        <v>72</v>
      </c>
      <c r="AR35" s="681">
        <f>'31'!$G$127</f>
        <v>33</v>
      </c>
      <c r="AS35" s="681">
        <f>'31'!$G$128</f>
        <v>1</v>
      </c>
      <c r="AT35" s="681">
        <f t="shared" ref="AT35" si="7">AN35-SUM(AO35:AS35)</f>
        <v>381</v>
      </c>
      <c r="AU35" s="681">
        <f>SUM('31'!G141:G142)</f>
        <v>0</v>
      </c>
      <c r="AV35" s="681">
        <f>'31'!$G$137</f>
        <v>7.430000000000291</v>
      </c>
      <c r="AW35" s="681">
        <f>'31'!$G$138</f>
        <v>-4.0000000000873115E-2</v>
      </c>
      <c r="AX35" s="681">
        <f>'30'!$G$139</f>
        <v>0</v>
      </c>
      <c r="AY35" s="690">
        <f t="shared" ref="AY35" si="8">SUM(AV35:AX35)</f>
        <v>7.3899999999994179</v>
      </c>
      <c r="BA35" s="1155"/>
      <c r="BB35" s="1204">
        <f t="shared" si="3"/>
        <v>4745.0100000000093</v>
      </c>
      <c r="BC35" s="1204">
        <f t="shared" si="4"/>
        <v>23.041858884086871</v>
      </c>
    </row>
    <row r="36" spans="1:55" s="1159" customFormat="1">
      <c r="A36" s="1068" t="s">
        <v>334</v>
      </c>
      <c r="B36" s="1069">
        <f>AVERAGE(B5:B35)</f>
        <v>32124.335161290321</v>
      </c>
      <c r="C36" s="1069">
        <f t="shared" ref="C36:BC36" si="9">AVERAGE(C5:C35)</f>
        <v>32262.870967741936</v>
      </c>
      <c r="D36" s="1069">
        <f t="shared" si="9"/>
        <v>0</v>
      </c>
      <c r="E36" s="1069">
        <f t="shared" si="9"/>
        <v>162.58064516129033</v>
      </c>
      <c r="F36" s="1069">
        <f t="shared" si="9"/>
        <v>13148.258064516129</v>
      </c>
      <c r="G36" s="1069">
        <f t="shared" si="9"/>
        <v>13384.387096774195</v>
      </c>
      <c r="H36" s="1069">
        <f t="shared" si="9"/>
        <v>26945.193548387098</v>
      </c>
      <c r="I36" s="1069">
        <f t="shared" si="9"/>
        <v>34461.451612903227</v>
      </c>
      <c r="J36" s="1069">
        <f t="shared" si="9"/>
        <v>0</v>
      </c>
      <c r="K36" s="1069">
        <f t="shared" si="9"/>
        <v>0</v>
      </c>
      <c r="L36" s="1069">
        <f t="shared" si="9"/>
        <v>0</v>
      </c>
      <c r="M36" s="1069">
        <f t="shared" si="9"/>
        <v>2189.516129032258</v>
      </c>
      <c r="N36" s="1069">
        <f t="shared" si="9"/>
        <v>3.2258064516129031E-2</v>
      </c>
      <c r="O36" s="1069">
        <f t="shared" si="9"/>
        <v>0</v>
      </c>
      <c r="P36" s="1069">
        <f t="shared" si="9"/>
        <v>2.774193548387097</v>
      </c>
      <c r="Q36" s="1069">
        <f t="shared" si="9"/>
        <v>0</v>
      </c>
      <c r="R36" s="1069">
        <f t="shared" si="9"/>
        <v>0</v>
      </c>
      <c r="S36" s="1069">
        <f t="shared" si="9"/>
        <v>0</v>
      </c>
      <c r="T36" s="1069">
        <f t="shared" si="9"/>
        <v>0</v>
      </c>
      <c r="U36" s="1069">
        <f t="shared" si="9"/>
        <v>0</v>
      </c>
      <c r="V36" s="1069">
        <f t="shared" si="9"/>
        <v>0</v>
      </c>
      <c r="W36" s="1069">
        <f t="shared" si="9"/>
        <v>0</v>
      </c>
      <c r="X36" s="1069">
        <f t="shared" si="9"/>
        <v>3553.1612903225805</v>
      </c>
      <c r="Y36" s="1069">
        <f t="shared" si="9"/>
        <v>0</v>
      </c>
      <c r="Z36" s="1069">
        <f t="shared" si="9"/>
        <v>0</v>
      </c>
      <c r="AA36" s="1069">
        <f t="shared" si="9"/>
        <v>0.64516129032258063</v>
      </c>
      <c r="AB36" s="1069">
        <f t="shared" si="9"/>
        <v>-1.5419354838705923</v>
      </c>
      <c r="AC36" s="1069">
        <f t="shared" si="9"/>
        <v>3.129032258064516</v>
      </c>
      <c r="AD36" s="1069">
        <f t="shared" si="9"/>
        <v>10.606451612903246</v>
      </c>
      <c r="AE36" s="1069">
        <f t="shared" si="9"/>
        <v>0</v>
      </c>
      <c r="AF36" s="1069">
        <f t="shared" si="9"/>
        <v>0</v>
      </c>
      <c r="AG36" s="1069">
        <f t="shared" si="9"/>
        <v>0</v>
      </c>
      <c r="AH36" s="1069">
        <f t="shared" si="9"/>
        <v>0</v>
      </c>
      <c r="AI36" s="1069">
        <f t="shared" si="9"/>
        <v>0</v>
      </c>
      <c r="AJ36" s="1069">
        <f t="shared" si="9"/>
        <v>0</v>
      </c>
      <c r="AK36" s="1069">
        <f t="shared" si="9"/>
        <v>0</v>
      </c>
      <c r="AL36" s="1069">
        <f t="shared" si="9"/>
        <v>0</v>
      </c>
      <c r="AM36" s="1069">
        <f t="shared" si="9"/>
        <v>0</v>
      </c>
      <c r="AN36" s="1069">
        <f t="shared" si="9"/>
        <v>0</v>
      </c>
      <c r="AO36" s="1069">
        <f t="shared" si="9"/>
        <v>0</v>
      </c>
      <c r="AP36" s="1069">
        <f t="shared" si="9"/>
        <v>0</v>
      </c>
      <c r="AQ36" s="1069">
        <f t="shared" si="9"/>
        <v>0</v>
      </c>
      <c r="AR36" s="1069">
        <f t="shared" si="9"/>
        <v>0</v>
      </c>
      <c r="AS36" s="1069">
        <f t="shared" si="9"/>
        <v>0</v>
      </c>
      <c r="AT36" s="1069">
        <f t="shared" si="9"/>
        <v>0</v>
      </c>
      <c r="AU36" s="1069">
        <f t="shared" si="9"/>
        <v>-0.32645161290322228</v>
      </c>
      <c r="AV36" s="1069">
        <f t="shared" si="9"/>
        <v>0</v>
      </c>
      <c r="AW36" s="1069">
        <f t="shared" si="9"/>
        <v>0</v>
      </c>
      <c r="AX36" s="1069">
        <f t="shared" si="9"/>
        <v>0</v>
      </c>
      <c r="AY36" s="1069">
        <f t="shared" si="9"/>
        <v>0</v>
      </c>
      <c r="AZ36" s="1069">
        <f t="shared" si="9"/>
        <v>26.443605859059272</v>
      </c>
      <c r="BA36" s="1069">
        <f t="shared" si="9"/>
        <v>167.78584210526262</v>
      </c>
      <c r="BB36" s="1069">
        <f t="shared" si="9"/>
        <v>-55676.419354838719</v>
      </c>
      <c r="BC36" s="1069">
        <f t="shared" si="9"/>
        <v>37.745599837449866</v>
      </c>
    </row>
    <row r="37" spans="1:55">
      <c r="A37" s="725" t="s">
        <v>201</v>
      </c>
      <c r="B37" s="1069">
        <f>SUM(B5:B35)</f>
        <v>995854.3899999999</v>
      </c>
      <c r="C37" s="1069">
        <f t="shared" ref="C37:BC37" si="10">SUM(C5:C35)</f>
        <v>1000149</v>
      </c>
      <c r="D37" s="1069">
        <f t="shared" si="10"/>
        <v>0</v>
      </c>
      <c r="E37" s="1069">
        <f t="shared" si="10"/>
        <v>5040</v>
      </c>
      <c r="F37" s="1069">
        <f t="shared" si="10"/>
        <v>407596</v>
      </c>
      <c r="G37" s="1069">
        <f t="shared" si="10"/>
        <v>414916.00000000006</v>
      </c>
      <c r="H37" s="1069">
        <f t="shared" si="10"/>
        <v>835301</v>
      </c>
      <c r="I37" s="1069">
        <f t="shared" si="10"/>
        <v>1068305</v>
      </c>
      <c r="J37" s="1069">
        <f t="shared" si="10"/>
        <v>0</v>
      </c>
      <c r="K37" s="1069">
        <f t="shared" si="10"/>
        <v>0</v>
      </c>
      <c r="L37" s="1069">
        <f t="shared" si="10"/>
        <v>0</v>
      </c>
      <c r="M37" s="1069">
        <f t="shared" si="10"/>
        <v>67875</v>
      </c>
      <c r="N37" s="1069">
        <f t="shared" si="10"/>
        <v>1</v>
      </c>
      <c r="O37" s="1069">
        <f t="shared" si="10"/>
        <v>0</v>
      </c>
      <c r="P37" s="1069">
        <f t="shared" si="10"/>
        <v>86</v>
      </c>
      <c r="Q37" s="1069">
        <f t="shared" si="10"/>
        <v>0</v>
      </c>
      <c r="R37" s="1069">
        <f t="shared" si="10"/>
        <v>0</v>
      </c>
      <c r="S37" s="1069">
        <f t="shared" si="10"/>
        <v>0</v>
      </c>
      <c r="T37" s="1069">
        <f t="shared" si="10"/>
        <v>0</v>
      </c>
      <c r="U37" s="1069">
        <f t="shared" si="10"/>
        <v>0</v>
      </c>
      <c r="V37" s="1069">
        <f t="shared" si="10"/>
        <v>0</v>
      </c>
      <c r="W37" s="1069">
        <f t="shared" si="10"/>
        <v>0</v>
      </c>
      <c r="X37" s="1069">
        <f t="shared" si="10"/>
        <v>110148</v>
      </c>
      <c r="Y37" s="1069">
        <f t="shared" si="10"/>
        <v>0</v>
      </c>
      <c r="Z37" s="1069">
        <f t="shared" si="10"/>
        <v>0</v>
      </c>
      <c r="AA37" s="1069">
        <f t="shared" si="10"/>
        <v>20</v>
      </c>
      <c r="AB37" s="1069">
        <f t="shared" si="10"/>
        <v>-47.799999999988358</v>
      </c>
      <c r="AC37" s="1069">
        <f t="shared" si="10"/>
        <v>97</v>
      </c>
      <c r="AD37" s="1069">
        <f t="shared" si="10"/>
        <v>328.80000000000064</v>
      </c>
      <c r="AE37" s="1069">
        <f t="shared" si="10"/>
        <v>0</v>
      </c>
      <c r="AF37" s="1069">
        <f t="shared" si="10"/>
        <v>0</v>
      </c>
      <c r="AG37" s="1069">
        <f t="shared" si="10"/>
        <v>0</v>
      </c>
      <c r="AH37" s="1069">
        <f t="shared" si="10"/>
        <v>0</v>
      </c>
      <c r="AI37" s="1069">
        <f t="shared" si="10"/>
        <v>0</v>
      </c>
      <c r="AJ37" s="1069">
        <f t="shared" si="10"/>
        <v>0</v>
      </c>
      <c r="AK37" s="1069">
        <f t="shared" si="10"/>
        <v>0</v>
      </c>
      <c r="AL37" s="1069">
        <f t="shared" si="10"/>
        <v>0</v>
      </c>
      <c r="AM37" s="1069">
        <f t="shared" si="10"/>
        <v>0</v>
      </c>
      <c r="AN37" s="1069">
        <f t="shared" si="10"/>
        <v>0</v>
      </c>
      <c r="AO37" s="1069">
        <f t="shared" si="10"/>
        <v>0</v>
      </c>
      <c r="AP37" s="1069">
        <f t="shared" si="10"/>
        <v>0</v>
      </c>
      <c r="AQ37" s="1069">
        <f t="shared" si="10"/>
        <v>0</v>
      </c>
      <c r="AR37" s="1069">
        <f t="shared" si="10"/>
        <v>0</v>
      </c>
      <c r="AS37" s="1069">
        <f t="shared" si="10"/>
        <v>0</v>
      </c>
      <c r="AT37" s="1069">
        <f t="shared" si="10"/>
        <v>0</v>
      </c>
      <c r="AU37" s="1069">
        <f t="shared" si="10"/>
        <v>-10.119999999999891</v>
      </c>
      <c r="AV37" s="1069">
        <f t="shared" si="10"/>
        <v>0</v>
      </c>
      <c r="AW37" s="1069">
        <f t="shared" si="10"/>
        <v>0</v>
      </c>
      <c r="AX37" s="1069">
        <f t="shared" si="10"/>
        <v>0</v>
      </c>
      <c r="AY37" s="1069">
        <f t="shared" si="10"/>
        <v>0</v>
      </c>
      <c r="AZ37" s="1069">
        <f t="shared" si="10"/>
        <v>185.10524101341491</v>
      </c>
      <c r="BA37" s="1069">
        <f t="shared" si="10"/>
        <v>3187.9309999999896</v>
      </c>
      <c r="BB37" s="1069">
        <f t="shared" si="10"/>
        <v>-1725969.0000000002</v>
      </c>
      <c r="BC37" s="1069">
        <f t="shared" si="10"/>
        <v>1170.1135949609459</v>
      </c>
    </row>
    <row r="38" spans="1:55" s="1159" customFormat="1">
      <c r="A38" s="1068"/>
      <c r="B38" s="1069"/>
      <c r="C38" s="1068"/>
      <c r="D38" s="1068"/>
      <c r="E38" s="1068"/>
      <c r="F38" s="1068"/>
      <c r="G38" s="1068"/>
      <c r="H38" s="1068"/>
      <c r="I38" s="1068"/>
      <c r="J38" s="1068"/>
      <c r="K38" s="1068"/>
      <c r="L38" s="1068"/>
      <c r="M38" s="1068"/>
      <c r="N38" s="1068"/>
      <c r="O38" s="1068"/>
      <c r="P38" s="1068"/>
      <c r="Q38" s="1068"/>
      <c r="R38" s="1068"/>
      <c r="S38" s="1068"/>
      <c r="T38" s="1068"/>
      <c r="U38" s="1068"/>
      <c r="V38" s="1068"/>
      <c r="W38" s="1068"/>
      <c r="X38" s="1068"/>
      <c r="Y38" s="1068"/>
      <c r="Z38" s="1068"/>
      <c r="AA38" s="1068"/>
      <c r="AB38" s="1068"/>
      <c r="AC38" s="1068"/>
      <c r="AD38" s="1068"/>
      <c r="AE38" s="1068"/>
      <c r="AF38" s="1068"/>
      <c r="AG38" s="1068"/>
      <c r="AH38" s="1068"/>
      <c r="AI38" s="1068"/>
      <c r="AJ38" s="1068"/>
      <c r="AK38" s="1068"/>
      <c r="AL38" s="1068"/>
      <c r="AM38" s="1068"/>
      <c r="AN38" s="1068"/>
      <c r="AO38" s="1068"/>
      <c r="AP38" s="1068"/>
      <c r="AQ38" s="1068"/>
      <c r="AR38" s="1068"/>
      <c r="AS38" s="1068"/>
      <c r="AT38" s="1068"/>
      <c r="AU38" s="1068"/>
      <c r="AV38" s="1068"/>
      <c r="AW38" s="1068"/>
      <c r="AX38" s="1068"/>
      <c r="AY38" s="1068"/>
      <c r="BB38" s="1203"/>
      <c r="BC38" s="1203"/>
    </row>
    <row r="39" spans="1:55">
      <c r="A39" s="725"/>
      <c r="B39" s="725"/>
      <c r="C39" s="725"/>
      <c r="D39" s="725"/>
      <c r="E39" s="725"/>
      <c r="F39" s="1160">
        <f t="shared" ref="F39:K39" si="11">F19-F18</f>
        <v>-89</v>
      </c>
      <c r="G39" s="1160">
        <f t="shared" si="11"/>
        <v>0</v>
      </c>
      <c r="H39" s="1160">
        <f t="shared" si="11"/>
        <v>124.93000000005122</v>
      </c>
      <c r="I39" s="1160">
        <f t="shared" si="11"/>
        <v>-2.1800000000512227</v>
      </c>
      <c r="J39" s="1160">
        <f t="shared" si="11"/>
        <v>187</v>
      </c>
      <c r="K39" s="1160">
        <f t="shared" si="11"/>
        <v>90</v>
      </c>
      <c r="L39" s="1160"/>
      <c r="M39" s="1160"/>
      <c r="AO39" s="1161" t="s">
        <v>110</v>
      </c>
      <c r="AP39" s="1162">
        <v>191</v>
      </c>
      <c r="AQ39" s="1162"/>
      <c r="AR39" s="1162"/>
    </row>
    <row r="40" spans="1:55">
      <c r="A40" s="725"/>
      <c r="B40" s="725"/>
      <c r="C40" s="725"/>
      <c r="D40" s="725"/>
      <c r="E40" s="725"/>
      <c r="AO40" s="1162"/>
      <c r="AP40" s="1162">
        <v>88</v>
      </c>
      <c r="AQ40" s="1162"/>
      <c r="AR40" s="1162"/>
    </row>
    <row r="41" spans="1:55">
      <c r="A41" s="725"/>
      <c r="B41" s="725"/>
      <c r="C41" s="725"/>
      <c r="D41" s="725"/>
      <c r="E41" s="725"/>
      <c r="AO41" s="1162"/>
      <c r="AP41" s="1164">
        <f>SUM(AP39:AP40)</f>
        <v>279</v>
      </c>
      <c r="AQ41" s="1165" t="s">
        <v>111</v>
      </c>
      <c r="AR41" s="1165">
        <v>335</v>
      </c>
    </row>
    <row r="42" spans="1:55">
      <c r="A42" s="725"/>
      <c r="B42" s="725"/>
      <c r="C42" s="725"/>
      <c r="D42" s="725"/>
      <c r="E42" s="725"/>
      <c r="AO42" s="1162"/>
      <c r="AP42" s="1162"/>
      <c r="AQ42" s="1162"/>
      <c r="AR42" s="1162"/>
    </row>
    <row r="43" spans="1:55">
      <c r="A43" s="725"/>
      <c r="B43" s="725"/>
      <c r="C43" s="725"/>
      <c r="D43" s="725"/>
      <c r="E43" s="725"/>
      <c r="N43" s="1155"/>
      <c r="O43" s="1155"/>
      <c r="P43" s="1155"/>
      <c r="Q43" s="1155"/>
      <c r="R43" s="1155"/>
      <c r="S43" s="1155"/>
      <c r="T43" s="1155"/>
      <c r="U43" s="1155"/>
      <c r="V43" s="1155"/>
      <c r="W43" s="1155"/>
      <c r="X43" s="1155"/>
      <c r="Y43" s="1155"/>
      <c r="Z43" s="1155"/>
      <c r="AA43" s="1155"/>
      <c r="AB43" s="1155"/>
      <c r="AC43" s="1155"/>
      <c r="AD43" s="1155"/>
      <c r="AE43" s="1155"/>
      <c r="AF43" s="1155"/>
      <c r="AG43" s="1155"/>
      <c r="AH43" s="1155"/>
      <c r="AI43" s="1155"/>
      <c r="AJ43" s="1155"/>
      <c r="AK43" s="1155"/>
      <c r="AL43" s="1155"/>
      <c r="AN43" s="1155"/>
      <c r="AO43" s="1161" t="s">
        <v>112</v>
      </c>
      <c r="AP43" s="1164">
        <v>168</v>
      </c>
      <c r="AQ43" s="1162"/>
      <c r="AR43" s="1162"/>
    </row>
    <row r="44" spans="1:55">
      <c r="A44" s="725"/>
      <c r="B44" s="725"/>
      <c r="C44" s="725"/>
      <c r="D44" s="725"/>
      <c r="E44" s="725"/>
      <c r="AO44" s="1162"/>
      <c r="AP44" s="1162"/>
      <c r="AQ44" s="1165" t="s">
        <v>113</v>
      </c>
      <c r="AR44" s="1162"/>
    </row>
    <row r="45" spans="1:55">
      <c r="A45" s="725"/>
      <c r="B45" s="725"/>
      <c r="C45" s="725"/>
      <c r="D45" s="725"/>
      <c r="E45" s="725"/>
      <c r="AO45" s="1162" t="s">
        <v>114</v>
      </c>
      <c r="AP45" s="1162">
        <f>20*38.68</f>
        <v>773.6</v>
      </c>
      <c r="AQ45" s="1162" t="s">
        <v>115</v>
      </c>
      <c r="AR45" s="1162"/>
    </row>
    <row r="46" spans="1:55">
      <c r="A46" s="725"/>
      <c r="B46" s="725"/>
      <c r="C46" s="725"/>
      <c r="D46" s="725"/>
      <c r="E46" s="725"/>
    </row>
    <row r="47" spans="1:55">
      <c r="A47" s="725"/>
      <c r="B47" s="725"/>
      <c r="C47" s="725"/>
      <c r="D47" s="725"/>
      <c r="E47" s="725"/>
    </row>
    <row r="48" spans="1:55">
      <c r="A48" s="725"/>
      <c r="B48" s="725"/>
      <c r="C48" s="725"/>
      <c r="D48" s="725"/>
      <c r="E48" s="725"/>
    </row>
    <row r="49" spans="1:5">
      <c r="A49" s="725"/>
      <c r="B49" s="725"/>
      <c r="C49" s="725"/>
      <c r="D49" s="725"/>
      <c r="E49" s="725"/>
    </row>
    <row r="50" spans="1:5">
      <c r="A50" s="725"/>
      <c r="B50" s="725"/>
      <c r="C50" s="725"/>
      <c r="D50" s="725"/>
      <c r="E50" s="725"/>
    </row>
    <row r="51" spans="1:5">
      <c r="A51" s="725"/>
      <c r="B51" s="725"/>
      <c r="C51" s="725"/>
      <c r="D51" s="725"/>
      <c r="E51" s="725"/>
    </row>
    <row r="52" spans="1:5">
      <c r="A52" s="725"/>
      <c r="B52" s="725"/>
      <c r="C52" s="725"/>
      <c r="D52" s="725"/>
      <c r="E52" s="725"/>
    </row>
    <row r="53" spans="1:5">
      <c r="A53" s="725"/>
      <c r="B53" s="725"/>
      <c r="C53" s="725"/>
      <c r="D53" s="725"/>
      <c r="E53" s="725"/>
    </row>
    <row r="54" spans="1:5">
      <c r="A54" s="725"/>
      <c r="B54" s="725"/>
      <c r="C54" s="725"/>
      <c r="D54" s="725"/>
      <c r="E54" s="725"/>
    </row>
    <row r="55" spans="1:5">
      <c r="A55" s="725"/>
      <c r="B55" s="725"/>
      <c r="C55" s="725"/>
      <c r="D55" s="725"/>
      <c r="E55" s="725"/>
    </row>
    <row r="56" spans="1:5">
      <c r="A56" s="725"/>
      <c r="B56" s="725"/>
      <c r="C56" s="725"/>
      <c r="D56" s="725"/>
      <c r="E56" s="725"/>
    </row>
    <row r="57" spans="1:5">
      <c r="A57" s="725"/>
      <c r="B57" s="725"/>
      <c r="C57" s="725"/>
      <c r="D57" s="725"/>
      <c r="E57" s="725"/>
    </row>
    <row r="58" spans="1:5">
      <c r="A58" s="725"/>
      <c r="B58" s="725"/>
      <c r="C58" s="725"/>
      <c r="D58" s="725"/>
      <c r="E58" s="725"/>
    </row>
    <row r="59" spans="1:5">
      <c r="A59" s="725"/>
      <c r="B59" s="725"/>
      <c r="C59" s="725"/>
      <c r="D59" s="725"/>
      <c r="E59" s="725"/>
    </row>
    <row r="60" spans="1:5">
      <c r="A60" s="725"/>
      <c r="B60" s="725"/>
      <c r="C60" s="725"/>
      <c r="D60" s="725"/>
      <c r="E60" s="725"/>
    </row>
    <row r="61" spans="1:5">
      <c r="A61" s="725"/>
      <c r="B61" s="725"/>
      <c r="C61" s="725"/>
      <c r="D61" s="725"/>
      <c r="E61" s="725"/>
    </row>
    <row r="62" spans="1:5">
      <c r="A62" s="725"/>
      <c r="B62" s="725"/>
      <c r="C62" s="725"/>
      <c r="D62" s="725"/>
      <c r="E62" s="725"/>
    </row>
    <row r="63" spans="1:5">
      <c r="A63" s="725"/>
      <c r="B63" s="725"/>
      <c r="C63" s="725"/>
      <c r="D63" s="725"/>
      <c r="E63" s="725"/>
    </row>
    <row r="64" spans="1:5">
      <c r="A64" s="725"/>
      <c r="B64" s="725"/>
      <c r="C64" s="725"/>
      <c r="D64" s="725"/>
      <c r="E64" s="725"/>
    </row>
    <row r="65" spans="1:5">
      <c r="A65" s="725"/>
      <c r="B65" s="725"/>
      <c r="C65" s="725"/>
      <c r="D65" s="725"/>
      <c r="E65" s="725"/>
    </row>
    <row r="66" spans="1:5">
      <c r="A66" s="725"/>
      <c r="B66" s="725"/>
      <c r="C66" s="725"/>
      <c r="D66" s="725"/>
      <c r="E66" s="725"/>
    </row>
    <row r="67" spans="1:5">
      <c r="A67" s="725"/>
      <c r="B67" s="725"/>
      <c r="C67" s="725"/>
      <c r="D67" s="725"/>
      <c r="E67" s="725"/>
    </row>
    <row r="68" spans="1:5">
      <c r="A68" s="725"/>
      <c r="B68" s="725"/>
      <c r="C68" s="725"/>
      <c r="D68" s="725"/>
      <c r="E68" s="725"/>
    </row>
    <row r="69" spans="1:5">
      <c r="A69" s="725"/>
      <c r="B69" s="725"/>
      <c r="C69" s="725"/>
      <c r="D69" s="725"/>
      <c r="E69" s="725"/>
    </row>
    <row r="70" spans="1:5">
      <c r="A70" s="725"/>
      <c r="B70" s="725"/>
      <c r="C70" s="725"/>
      <c r="D70" s="725"/>
      <c r="E70" s="725"/>
    </row>
    <row r="71" spans="1:5">
      <c r="A71" s="725"/>
      <c r="B71" s="725"/>
      <c r="C71" s="725"/>
      <c r="D71" s="725"/>
      <c r="E71" s="725"/>
    </row>
    <row r="72" spans="1:5">
      <c r="A72" s="725"/>
      <c r="B72" s="725"/>
      <c r="C72" s="725"/>
      <c r="D72" s="725"/>
      <c r="E72" s="725"/>
    </row>
    <row r="73" spans="1:5">
      <c r="A73" s="725"/>
      <c r="B73" s="725"/>
      <c r="C73" s="725"/>
      <c r="D73" s="725"/>
      <c r="E73" s="725"/>
    </row>
    <row r="74" spans="1:5">
      <c r="A74" s="725"/>
      <c r="B74" s="725"/>
      <c r="C74" s="725"/>
      <c r="D74" s="725"/>
      <c r="E74" s="725"/>
    </row>
    <row r="75" spans="1:5">
      <c r="A75" s="725"/>
      <c r="B75" s="725"/>
      <c r="C75" s="725"/>
      <c r="D75" s="725"/>
      <c r="E75" s="725"/>
    </row>
    <row r="76" spans="1:5">
      <c r="A76" s="725"/>
      <c r="B76" s="725"/>
      <c r="C76" s="725"/>
      <c r="D76" s="725"/>
      <c r="E76" s="725"/>
    </row>
    <row r="77" spans="1:5">
      <c r="A77" s="725"/>
      <c r="B77" s="725"/>
      <c r="C77" s="725"/>
      <c r="D77" s="725"/>
      <c r="E77" s="725"/>
    </row>
    <row r="78" spans="1:5">
      <c r="A78" s="725"/>
      <c r="B78" s="725"/>
      <c r="C78" s="725"/>
      <c r="D78" s="725"/>
      <c r="E78" s="725"/>
    </row>
    <row r="79" spans="1:5">
      <c r="A79" s="725"/>
      <c r="B79" s="725"/>
      <c r="C79" s="725"/>
      <c r="D79" s="725"/>
      <c r="E79" s="725"/>
    </row>
    <row r="80" spans="1:5">
      <c r="A80" s="725"/>
      <c r="B80" s="725"/>
      <c r="C80" s="725"/>
      <c r="D80" s="725"/>
      <c r="E80" s="725"/>
    </row>
    <row r="81" spans="1:5">
      <c r="A81" s="725"/>
      <c r="B81" s="725"/>
      <c r="C81" s="725"/>
      <c r="D81" s="725"/>
      <c r="E81" s="725"/>
    </row>
    <row r="82" spans="1:5">
      <c r="A82" s="725"/>
      <c r="B82" s="725"/>
      <c r="C82" s="725"/>
      <c r="D82" s="725"/>
      <c r="E82" s="725"/>
    </row>
    <row r="83" spans="1:5">
      <c r="A83" s="725"/>
      <c r="B83" s="725"/>
      <c r="C83" s="725"/>
      <c r="D83" s="725"/>
      <c r="E83" s="725"/>
    </row>
    <row r="84" spans="1:5">
      <c r="A84" s="725"/>
      <c r="B84" s="725"/>
      <c r="C84" s="725"/>
      <c r="D84" s="725"/>
      <c r="E84" s="725"/>
    </row>
    <row r="85" spans="1:5">
      <c r="A85" s="725"/>
      <c r="B85" s="725"/>
      <c r="C85" s="725"/>
      <c r="D85" s="725"/>
      <c r="E85" s="725"/>
    </row>
    <row r="86" spans="1:5">
      <c r="A86" s="725"/>
      <c r="B86" s="725"/>
      <c r="C86" s="725"/>
      <c r="D86" s="725"/>
      <c r="E86" s="725"/>
    </row>
    <row r="87" spans="1:5">
      <c r="A87" s="725"/>
      <c r="B87" s="725"/>
      <c r="C87" s="725"/>
      <c r="D87" s="725"/>
      <c r="E87" s="725"/>
    </row>
    <row r="88" spans="1:5">
      <c r="A88" s="725"/>
      <c r="B88" s="725"/>
      <c r="C88" s="725"/>
      <c r="D88" s="725"/>
      <c r="E88" s="725"/>
    </row>
    <row r="89" spans="1:5">
      <c r="A89" s="1166"/>
      <c r="B89" s="1166"/>
      <c r="C89" s="1166"/>
      <c r="D89" s="1166"/>
      <c r="E89" s="1166"/>
    </row>
    <row r="90" spans="1:5">
      <c r="A90" s="1166"/>
      <c r="B90" s="1166"/>
      <c r="C90" s="1166"/>
      <c r="D90" s="1166"/>
      <c r="E90" s="1166"/>
    </row>
    <row r="91" spans="1:5">
      <c r="A91" s="1166"/>
      <c r="B91" s="1166"/>
      <c r="C91" s="1166"/>
      <c r="D91" s="1166"/>
      <c r="E91" s="1166"/>
    </row>
    <row r="92" spans="1:5">
      <c r="A92" s="1166"/>
      <c r="B92" s="1166"/>
      <c r="C92" s="1166"/>
      <c r="D92" s="1166"/>
      <c r="E92" s="1166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8"/>
  <sheetViews>
    <sheetView view="pageBreakPreview" topLeftCell="A13" zoomScale="60" zoomScaleNormal="61" zoomScalePageLayoutView="70" workbookViewId="0">
      <selection activeCell="F28" sqref="F28"/>
    </sheetView>
  </sheetViews>
  <sheetFormatPr defaultColWidth="22.33203125" defaultRowHeight="29.2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6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50" t="s">
        <v>214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5" s="57" customFormat="1" ht="27">
      <c r="A2" s="226" t="s">
        <v>346</v>
      </c>
      <c r="B2" s="682">
        <v>44440</v>
      </c>
      <c r="C2" s="917" t="s">
        <v>68</v>
      </c>
      <c r="D2" s="262">
        <v>0.92959999999999998</v>
      </c>
      <c r="E2" s="387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17" t="s">
        <v>119</v>
      </c>
      <c r="D3" s="263">
        <v>27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17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53" t="s">
        <v>129</v>
      </c>
      <c r="B6" s="1254"/>
      <c r="C6" s="1255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v>298691</v>
      </c>
      <c r="F7" s="106">
        <v>322706.40999999997</v>
      </c>
      <c r="G7" s="124">
        <f>F7-E7</f>
        <v>24015.409999999974</v>
      </c>
      <c r="H7" s="111">
        <f>G7</f>
        <v>24015.409999999974</v>
      </c>
      <c r="I7" s="125">
        <v>12000</v>
      </c>
      <c r="J7" s="203">
        <f>H7/DAY(B2)</f>
        <v>24015.409999999974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v>309572</v>
      </c>
      <c r="F8" s="126">
        <v>333671.40999999997</v>
      </c>
      <c r="G8" s="127">
        <f>F8-E8</f>
        <v>24099.409999999974</v>
      </c>
      <c r="H8" s="111">
        <f>G8</f>
        <v>24099.409999999974</v>
      </c>
      <c r="I8" s="128">
        <v>12000</v>
      </c>
      <c r="J8" s="203">
        <f>H8/DAY(B2)</f>
        <v>24099.409999999974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v>82530</v>
      </c>
      <c r="F9" s="129">
        <v>105840.49</v>
      </c>
      <c r="G9" s="124">
        <f>F9-E9</f>
        <v>23310.490000000005</v>
      </c>
      <c r="H9" s="111">
        <f t="shared" ref="H9:H13" si="0">G9</f>
        <v>23310.490000000005</v>
      </c>
      <c r="I9" s="130">
        <f>I8-J8</f>
        <v>-12099.409999999974</v>
      </c>
      <c r="J9" s="203">
        <f>H9/DAY(B2)</f>
        <v>23310.490000000005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24015.409999999974</v>
      </c>
      <c r="J13" s="203">
        <f>H13/DAY(B2)</f>
        <v>0</v>
      </c>
      <c r="K13" s="81"/>
      <c r="L13" s="68"/>
      <c r="N13" s="73"/>
      <c r="O13" s="73"/>
    </row>
    <row r="14" spans="1:15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>
      <c r="A15" s="915" t="s">
        <v>139</v>
      </c>
      <c r="B15" s="240"/>
      <c r="C15" s="240"/>
      <c r="D15" s="174" t="s">
        <v>140</v>
      </c>
      <c r="E15" s="351">
        <v>1756530</v>
      </c>
      <c r="F15" s="135">
        <v>1757475.49</v>
      </c>
      <c r="G15" s="430">
        <f>(F15-E15)</f>
        <v>945.48999999999069</v>
      </c>
      <c r="H15" s="111">
        <f>G15</f>
        <v>945.48999999999069</v>
      </c>
      <c r="I15" s="125">
        <v>800</v>
      </c>
      <c r="J15" s="203">
        <f>H15/DAY(B2)</f>
        <v>945.48999999999069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-145.48999999999069</v>
      </c>
      <c r="J16" s="204"/>
      <c r="K16" s="81"/>
      <c r="L16" s="68"/>
      <c r="N16" s="73"/>
      <c r="O16" s="73"/>
    </row>
    <row r="17" spans="1:15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>
      <c r="A18" s="1245" t="s">
        <v>142</v>
      </c>
      <c r="B18" s="1246"/>
      <c r="C18" s="1247"/>
      <c r="D18" s="174" t="s">
        <v>143</v>
      </c>
      <c r="E18" s="135">
        <v>14</v>
      </c>
      <c r="F18" s="135">
        <v>8</v>
      </c>
      <c r="G18" s="132">
        <f>F18*10</f>
        <v>80</v>
      </c>
      <c r="H18" s="111">
        <f>G18</f>
        <v>80</v>
      </c>
      <c r="I18" s="125">
        <v>65</v>
      </c>
      <c r="J18" s="203">
        <f>H18/DAY(B2)</f>
        <v>80</v>
      </c>
      <c r="K18" s="81"/>
      <c r="L18" s="68"/>
      <c r="N18" s="73"/>
      <c r="O18" s="73"/>
    </row>
    <row r="19" spans="1:15" ht="27.75">
      <c r="A19" s="1245" t="s">
        <v>70</v>
      </c>
      <c r="B19" s="1246"/>
      <c r="C19" s="1247"/>
      <c r="D19" s="174" t="s">
        <v>143</v>
      </c>
      <c r="E19" s="135">
        <v>145338</v>
      </c>
      <c r="F19" s="135">
        <v>145404</v>
      </c>
      <c r="G19" s="124">
        <f t="shared" ref="G19" si="2">F19-E19</f>
        <v>66</v>
      </c>
      <c r="H19" s="111">
        <f t="shared" ref="H19" si="3">G19</f>
        <v>66</v>
      </c>
      <c r="I19" s="140"/>
      <c r="J19" s="203">
        <f>H19/DAY(B2)</f>
        <v>66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142">
        <f>G18+G19</f>
        <v>146</v>
      </c>
      <c r="H20" s="111">
        <f>G20</f>
        <v>146</v>
      </c>
      <c r="I20" s="143">
        <f>I18-J20</f>
        <v>-81</v>
      </c>
      <c r="J20" s="203">
        <f>H20/DAY(B2)</f>
        <v>146</v>
      </c>
      <c r="K20" s="81"/>
      <c r="L20" s="68"/>
      <c r="N20" s="73"/>
      <c r="O20" s="73"/>
    </row>
    <row r="21" spans="1:15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>
      <c r="A22" s="915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915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24099.409999999974</v>
      </c>
      <c r="F27" s="152">
        <v>9</v>
      </c>
      <c r="G27" s="153">
        <f>E27*F27</f>
        <v>216894.68999999977</v>
      </c>
      <c r="H27" s="111">
        <f>G27</f>
        <v>216894.68999999977</v>
      </c>
      <c r="I27" s="154"/>
      <c r="J27" s="203">
        <f>H27/DAY(B2)</f>
        <v>216894.68999999977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945.48999999999069</v>
      </c>
      <c r="F28" s="152">
        <v>56.2</v>
      </c>
      <c r="G28" s="153">
        <f>E28*F28</f>
        <v>53136.537999999477</v>
      </c>
      <c r="H28" s="111">
        <f>G28</f>
        <v>53136.537999999477</v>
      </c>
      <c r="I28" s="156"/>
      <c r="J28" s="203">
        <f>H28/DAY(B2)</f>
        <v>53136.537999999477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66</v>
      </c>
      <c r="F30" s="152">
        <v>146</v>
      </c>
      <c r="G30" s="153">
        <f>E30*F30</f>
        <v>9636</v>
      </c>
      <c r="H30" s="111">
        <f>G30</f>
        <v>9636</v>
      </c>
      <c r="I30" s="156"/>
      <c r="J30" s="203">
        <f>H30/DAY(B2)</f>
        <v>9636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80</v>
      </c>
      <c r="F31" s="152">
        <v>80</v>
      </c>
      <c r="G31" s="153">
        <f>E31*F31</f>
        <v>6400</v>
      </c>
      <c r="H31" s="111">
        <f>G31</f>
        <v>6400</v>
      </c>
      <c r="I31" s="156"/>
      <c r="J31" s="203">
        <f>H31/DAY(B2)</f>
        <v>6400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286067.22799999925</v>
      </c>
      <c r="H32" s="111">
        <f t="shared" ref="H32" si="6">G32</f>
        <v>286067.22799999925</v>
      </c>
      <c r="I32" s="160"/>
      <c r="J32" s="203">
        <f>H32/DAY(B2)</f>
        <v>286067.22799999925</v>
      </c>
      <c r="K32" s="65"/>
      <c r="L32" s="94"/>
      <c r="N32" s="95"/>
      <c r="O32" s="73"/>
    </row>
    <row r="33" spans="1:15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  <c r="O33" s="73"/>
    </row>
    <row r="34" spans="1:15">
      <c r="A34" s="249" t="s">
        <v>162</v>
      </c>
      <c r="B34" s="920"/>
      <c r="C34" s="920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v>1833</v>
      </c>
      <c r="F36" s="161">
        <v>2934.96</v>
      </c>
      <c r="G36" s="124">
        <f t="shared" ref="G36:G46" si="7">F36-E36</f>
        <v>1101.96</v>
      </c>
      <c r="H36" s="111">
        <f t="shared" ref="H36:H47" si="8">G36</f>
        <v>1101.96</v>
      </c>
      <c r="I36" s="106"/>
      <c r="J36" s="203">
        <f>H36/DAY(B2)</f>
        <v>1101.96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v>2775</v>
      </c>
      <c r="F37" s="161">
        <v>4298.03</v>
      </c>
      <c r="G37" s="124">
        <f t="shared" si="7"/>
        <v>1523.0299999999997</v>
      </c>
      <c r="H37" s="111">
        <f t="shared" si="8"/>
        <v>1523.0299999999997</v>
      </c>
      <c r="I37" s="106"/>
      <c r="J37" s="203">
        <f>H37/DAY(B2)</f>
        <v>1523.0299999999997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v>4823</v>
      </c>
      <c r="F38" s="120">
        <v>6491.3</v>
      </c>
      <c r="G38" s="124">
        <f t="shared" si="7"/>
        <v>1668.3000000000002</v>
      </c>
      <c r="H38" s="111">
        <f t="shared" si="8"/>
        <v>1668.3000000000002</v>
      </c>
      <c r="I38" s="106"/>
      <c r="J38" s="203">
        <f>H38/DAY(B2)</f>
        <v>1668.3000000000002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v>3842</v>
      </c>
      <c r="F39" s="161">
        <v>7555.96</v>
      </c>
      <c r="G39" s="124">
        <f t="shared" si="7"/>
        <v>3713.96</v>
      </c>
      <c r="H39" s="111">
        <f t="shared" si="8"/>
        <v>3713.96</v>
      </c>
      <c r="I39" s="106"/>
      <c r="J39" s="203">
        <f>H39/DAY(B2)</f>
        <v>3713.96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v>33596.6</v>
      </c>
      <c r="F40" s="161">
        <v>33754.300000000003</v>
      </c>
      <c r="G40" s="124">
        <f t="shared" si="7"/>
        <v>157.70000000000437</v>
      </c>
      <c r="H40" s="111">
        <f t="shared" si="8"/>
        <v>157.70000000000437</v>
      </c>
      <c r="I40" s="106"/>
      <c r="J40" s="203">
        <f>H40/DAY(B2)</f>
        <v>157.70000000000437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v>175112</v>
      </c>
      <c r="F42" s="161">
        <v>180722</v>
      </c>
      <c r="G42" s="124">
        <f t="shared" si="7"/>
        <v>5610</v>
      </c>
      <c r="H42" s="111">
        <f t="shared" si="8"/>
        <v>5610</v>
      </c>
      <c r="I42" s="106"/>
      <c r="J42" s="203">
        <f>H42/DAY(B2)</f>
        <v>5610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v>1289745</v>
      </c>
      <c r="F43" s="161">
        <v>1292630</v>
      </c>
      <c r="G43" s="124">
        <f t="shared" si="7"/>
        <v>2885</v>
      </c>
      <c r="H43" s="111">
        <f t="shared" si="8"/>
        <v>2885</v>
      </c>
      <c r="I43" s="106"/>
      <c r="J43" s="203">
        <f>H43/DAY(B2)</f>
        <v>2885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16659.950000000004</v>
      </c>
      <c r="H47" s="111">
        <f t="shared" si="8"/>
        <v>16659.950000000004</v>
      </c>
      <c r="I47" s="106"/>
      <c r="J47" s="203">
        <f>H47/DAY(B2)</f>
        <v>16659.950000000004</v>
      </c>
      <c r="K47" s="81"/>
      <c r="L47" s="68"/>
      <c r="N47" s="73"/>
      <c r="O47" s="73"/>
    </row>
    <row r="48" spans="1:15">
      <c r="A48" s="249" t="s">
        <v>176</v>
      </c>
      <c r="B48" s="920"/>
      <c r="C48" s="920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v>2226</v>
      </c>
      <c r="F49" s="161">
        <v>5484.13</v>
      </c>
      <c r="G49" s="124">
        <f t="shared" ref="G49:G58" si="9">F49-E49</f>
        <v>3258.13</v>
      </c>
      <c r="H49" s="111">
        <f>G49</f>
        <v>3258.13</v>
      </c>
      <c r="I49" s="106"/>
      <c r="J49" s="203">
        <f>H49/DAY(B2)</f>
        <v>3258.13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v>607298</v>
      </c>
      <c r="F50" s="161">
        <v>608742</v>
      </c>
      <c r="G50" s="124">
        <f t="shared" si="9"/>
        <v>1444</v>
      </c>
      <c r="H50" s="111">
        <f t="shared" ref="H50:H60" si="10">G50</f>
        <v>1444</v>
      </c>
      <c r="I50" s="106"/>
      <c r="J50" s="203">
        <f>H50/DAY(B2)</f>
        <v>1444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v>0</v>
      </c>
      <c r="F51" s="161">
        <v>0</v>
      </c>
      <c r="G51" s="124">
        <f t="shared" si="9"/>
        <v>0</v>
      </c>
      <c r="H51" s="111">
        <f t="shared" si="10"/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v>0</v>
      </c>
      <c r="F52" s="161">
        <v>0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v>0</v>
      </c>
      <c r="F53" s="161">
        <v>0</v>
      </c>
      <c r="G53" s="124">
        <f t="shared" si="9"/>
        <v>0</v>
      </c>
      <c r="H53" s="111">
        <f t="shared" si="10"/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v>2461</v>
      </c>
      <c r="F54" s="161">
        <v>2620.0300000000002</v>
      </c>
      <c r="G54" s="124">
        <f t="shared" si="9"/>
        <v>159.0300000000002</v>
      </c>
      <c r="H54" s="111">
        <f t="shared" si="10"/>
        <v>159.0300000000002</v>
      </c>
      <c r="I54" s="106"/>
      <c r="J54" s="203">
        <f>H54/DAY(B2)</f>
        <v>159.0300000000002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v>306268.99</v>
      </c>
      <c r="F55" s="161">
        <v>306268.99</v>
      </c>
      <c r="G55" s="124">
        <f t="shared" si="9"/>
        <v>0</v>
      </c>
      <c r="H55" s="111">
        <f t="shared" si="10"/>
        <v>0</v>
      </c>
      <c r="I55" s="106"/>
      <c r="J55" s="203">
        <f>H55/DAY(B2)</f>
        <v>0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v>661019</v>
      </c>
      <c r="F56" s="161">
        <v>663401</v>
      </c>
      <c r="G56" s="124">
        <f t="shared" si="9"/>
        <v>2382</v>
      </c>
      <c r="H56" s="111">
        <f t="shared" si="10"/>
        <v>2382</v>
      </c>
      <c r="I56" s="106"/>
      <c r="J56" s="203">
        <f>H56/DAY(B2)</f>
        <v>2382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v>66014</v>
      </c>
      <c r="F58" s="161">
        <v>66229.7</v>
      </c>
      <c r="G58" s="124">
        <f t="shared" si="9"/>
        <v>215.69999999999709</v>
      </c>
      <c r="H58" s="111">
        <f t="shared" si="10"/>
        <v>215.69999999999709</v>
      </c>
      <c r="I58" s="106"/>
      <c r="J58" s="203">
        <f>H58/DAY(B2)</f>
        <v>215.69999999999709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7458.8599999999969</v>
      </c>
      <c r="H59" s="111">
        <f t="shared" si="10"/>
        <v>7458.8599999999969</v>
      </c>
      <c r="I59" s="106">
        <f>G7-G60</f>
        <v>-103.40000000002692</v>
      </c>
      <c r="J59" s="203">
        <f>H59/DAY(B2)</f>
        <v>7458.8599999999969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24118.81</v>
      </c>
      <c r="H60" s="111">
        <f t="shared" si="10"/>
        <v>24118.81</v>
      </c>
      <c r="I60" s="106">
        <f>G13-G60</f>
        <v>-24118.81</v>
      </c>
      <c r="J60" s="203">
        <f>H60/DAY(B2)</f>
        <v>24118.81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226" t="s">
        <v>98</v>
      </c>
      <c r="B64" s="1227"/>
      <c r="C64" s="1228"/>
      <c r="D64" s="174" t="s">
        <v>186</v>
      </c>
      <c r="E64" s="135">
        <v>194217</v>
      </c>
      <c r="F64" s="135">
        <v>194669</v>
      </c>
      <c r="G64" s="124">
        <f t="shared" si="11"/>
        <v>452</v>
      </c>
      <c r="H64" s="111">
        <f t="shared" si="12"/>
        <v>452</v>
      </c>
      <c r="I64" s="131"/>
      <c r="J64" s="203">
        <f>H64/DAY(B2)</f>
        <v>452</v>
      </c>
      <c r="K64" s="81"/>
      <c r="L64" s="68"/>
      <c r="N64" s="73"/>
      <c r="O64" s="73"/>
    </row>
    <row r="65" spans="1:15" ht="27.75">
      <c r="A65" s="1226" t="s">
        <v>99</v>
      </c>
      <c r="B65" s="1227"/>
      <c r="C65" s="1228"/>
      <c r="D65" s="174" t="s">
        <v>186</v>
      </c>
      <c r="E65" s="135">
        <v>194629</v>
      </c>
      <c r="F65" s="135">
        <v>194668</v>
      </c>
      <c r="G65" s="124">
        <f t="shared" si="11"/>
        <v>39</v>
      </c>
      <c r="H65" s="111">
        <f t="shared" si="12"/>
        <v>39</v>
      </c>
      <c r="I65" s="140"/>
      <c r="J65" s="203">
        <f>H65/DAY(B2)</f>
        <v>39</v>
      </c>
      <c r="K65" s="81"/>
      <c r="L65" s="68"/>
      <c r="N65" s="73"/>
      <c r="O65" s="73"/>
    </row>
    <row r="66" spans="1:15" ht="27.75">
      <c r="A66" s="1226" t="s">
        <v>100</v>
      </c>
      <c r="B66" s="1227"/>
      <c r="C66" s="1228"/>
      <c r="D66" s="174" t="s">
        <v>186</v>
      </c>
      <c r="E66" s="135">
        <v>93317</v>
      </c>
      <c r="F66" s="135">
        <v>93762.9</v>
      </c>
      <c r="G66" s="124">
        <f t="shared" si="11"/>
        <v>445.89999999999418</v>
      </c>
      <c r="H66" s="111">
        <f t="shared" si="12"/>
        <v>445.89999999999418</v>
      </c>
      <c r="I66" s="131"/>
      <c r="J66" s="203">
        <f>H66/DAY(B2)</f>
        <v>445.89999999999418</v>
      </c>
      <c r="K66" s="81"/>
      <c r="L66" s="68"/>
      <c r="N66" s="73"/>
      <c r="O66" s="73"/>
    </row>
    <row r="67" spans="1:15" ht="27.75">
      <c r="A67" s="1226" t="s">
        <v>101</v>
      </c>
      <c r="B67" s="1227"/>
      <c r="C67" s="1228"/>
      <c r="D67" s="174" t="s">
        <v>186</v>
      </c>
      <c r="E67" s="135">
        <v>294891</v>
      </c>
      <c r="F67" s="135">
        <v>295338</v>
      </c>
      <c r="G67" s="124">
        <f t="shared" si="11"/>
        <v>447</v>
      </c>
      <c r="H67" s="111">
        <f t="shared" si="12"/>
        <v>447</v>
      </c>
      <c r="I67" s="140"/>
      <c r="J67" s="203">
        <f>H67/DAY(B2)</f>
        <v>447</v>
      </c>
      <c r="K67" s="82"/>
      <c r="L67" s="68"/>
      <c r="N67" s="73"/>
      <c r="O67" s="73"/>
    </row>
    <row r="68" spans="1:15" ht="27.75">
      <c r="A68" s="1226" t="s">
        <v>102</v>
      </c>
      <c r="B68" s="1227"/>
      <c r="C68" s="1228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226" t="s">
        <v>103</v>
      </c>
      <c r="B69" s="1227"/>
      <c r="C69" s="1228"/>
      <c r="D69" s="174" t="s">
        <v>186</v>
      </c>
      <c r="E69" s="135">
        <v>106406</v>
      </c>
      <c r="F69" s="135">
        <v>106700</v>
      </c>
      <c r="G69" s="124">
        <f t="shared" si="11"/>
        <v>294</v>
      </c>
      <c r="H69" s="111">
        <f t="shared" si="12"/>
        <v>294</v>
      </c>
      <c r="I69" s="167"/>
      <c r="J69" s="203">
        <f>H69/DAY(B2)</f>
        <v>294</v>
      </c>
      <c r="K69" s="84"/>
      <c r="L69" s="68"/>
      <c r="N69" s="73"/>
      <c r="O69" s="73"/>
    </row>
    <row r="70" spans="1:15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  <c r="O71" s="73"/>
    </row>
    <row r="72" spans="1:15" ht="27.75">
      <c r="A72" s="1226" t="s">
        <v>190</v>
      </c>
      <c r="B72" s="1227"/>
      <c r="C72" s="1228"/>
      <c r="D72" s="174" t="s">
        <v>186</v>
      </c>
      <c r="E72" s="170">
        <v>857022</v>
      </c>
      <c r="F72" s="170">
        <v>857035</v>
      </c>
      <c r="G72" s="124">
        <f t="shared" ref="G72:G84" si="13">F72-E72</f>
        <v>13</v>
      </c>
      <c r="H72" s="111">
        <f>G72</f>
        <v>13</v>
      </c>
      <c r="I72" s="131"/>
      <c r="J72" s="203">
        <f>H72/DAY(B2)</f>
        <v>13</v>
      </c>
      <c r="K72" s="84"/>
      <c r="L72" s="68"/>
      <c r="N72" s="73"/>
      <c r="O72" s="73"/>
    </row>
    <row r="73" spans="1:15" ht="27.75">
      <c r="A73" s="1226" t="s">
        <v>191</v>
      </c>
      <c r="B73" s="1227"/>
      <c r="C73" s="1228"/>
      <c r="D73" s="174" t="s">
        <v>186</v>
      </c>
      <c r="E73" s="171">
        <v>886051</v>
      </c>
      <c r="F73" s="171">
        <v>886052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>
      <c r="A74" s="1267" t="s">
        <v>192</v>
      </c>
      <c r="B74" s="1268"/>
      <c r="C74" s="1269"/>
      <c r="D74" s="174" t="s">
        <v>186</v>
      </c>
      <c r="E74" s="172">
        <v>88762</v>
      </c>
      <c r="F74" s="172">
        <v>88766.2</v>
      </c>
      <c r="G74" s="124">
        <f t="shared" si="13"/>
        <v>4.1999999999970896</v>
      </c>
      <c r="H74" s="111">
        <f t="shared" si="14"/>
        <v>4.1999999999970896</v>
      </c>
      <c r="I74" s="131"/>
      <c r="J74" s="203">
        <f>H74/DAY(B2)</f>
        <v>4.1999999999970896</v>
      </c>
      <c r="K74" s="84"/>
      <c r="L74" s="68"/>
      <c r="N74" s="73"/>
      <c r="O74" s="73"/>
    </row>
    <row r="75" spans="1:15" ht="27.75">
      <c r="A75" s="1229" t="s">
        <v>193</v>
      </c>
      <c r="B75" s="1230"/>
      <c r="C75" s="1231"/>
      <c r="D75" s="174" t="s">
        <v>186</v>
      </c>
      <c r="E75" s="172">
        <v>26308</v>
      </c>
      <c r="F75" s="172">
        <v>26512.3</v>
      </c>
      <c r="G75" s="124">
        <f t="shared" si="13"/>
        <v>204.29999999999927</v>
      </c>
      <c r="H75" s="111">
        <f t="shared" si="14"/>
        <v>204.29999999999927</v>
      </c>
      <c r="I75" s="131"/>
      <c r="J75" s="203">
        <f>H75/DAY(B2)</f>
        <v>204.29999999999927</v>
      </c>
      <c r="K75" s="83"/>
      <c r="L75" s="68"/>
      <c r="N75" s="73"/>
      <c r="O75" s="73"/>
    </row>
    <row r="76" spans="1:15" ht="27.75">
      <c r="A76" s="1229" t="s">
        <v>194</v>
      </c>
      <c r="B76" s="1230"/>
      <c r="C76" s="1231"/>
      <c r="D76" s="174" t="s">
        <v>186</v>
      </c>
      <c r="E76" s="171">
        <v>13277</v>
      </c>
      <c r="F76" s="171">
        <v>13352.7</v>
      </c>
      <c r="G76" s="124">
        <f t="shared" si="13"/>
        <v>75.700000000000728</v>
      </c>
      <c r="H76" s="111">
        <f t="shared" si="14"/>
        <v>75.700000000000728</v>
      </c>
      <c r="I76" s="156"/>
      <c r="J76" s="203">
        <f>H76/DAY(B2)</f>
        <v>75.700000000000728</v>
      </c>
      <c r="K76" s="83"/>
      <c r="L76" s="68"/>
      <c r="N76" s="73"/>
      <c r="O76" s="73"/>
    </row>
    <row r="77" spans="1:15" ht="27.75">
      <c r="A77" s="1226" t="s">
        <v>195</v>
      </c>
      <c r="B77" s="1227"/>
      <c r="C77" s="1228"/>
      <c r="D77" s="174" t="s">
        <v>186</v>
      </c>
      <c r="E77" s="172">
        <v>708289</v>
      </c>
      <c r="F77" s="171">
        <v>708336</v>
      </c>
      <c r="G77" s="124">
        <f t="shared" si="13"/>
        <v>47</v>
      </c>
      <c r="H77" s="111">
        <f t="shared" si="14"/>
        <v>47</v>
      </c>
      <c r="I77" s="156"/>
      <c r="J77" s="203">
        <f>H77/DAY(B2)</f>
        <v>47</v>
      </c>
      <c r="K77" s="83"/>
      <c r="L77" s="68"/>
      <c r="N77" s="73"/>
      <c r="O77" s="73"/>
    </row>
    <row r="78" spans="1:15" ht="27.75">
      <c r="A78" s="918" t="s">
        <v>196</v>
      </c>
      <c r="B78" s="911"/>
      <c r="C78" s="911"/>
      <c r="D78" s="174" t="s">
        <v>186</v>
      </c>
      <c r="E78" s="172">
        <v>682413</v>
      </c>
      <c r="F78" s="171">
        <v>682431</v>
      </c>
      <c r="G78" s="124">
        <f t="shared" si="13"/>
        <v>18</v>
      </c>
      <c r="H78" s="111">
        <f t="shared" si="14"/>
        <v>18</v>
      </c>
      <c r="I78" s="156"/>
      <c r="J78" s="203">
        <f>H78/DAY(B2)</f>
        <v>18</v>
      </c>
      <c r="K78" s="83"/>
      <c r="L78" s="68"/>
      <c r="N78" s="73"/>
      <c r="O78" s="73"/>
    </row>
    <row r="79" spans="1:15" ht="27.75">
      <c r="A79" s="1229" t="s">
        <v>91</v>
      </c>
      <c r="B79" s="1230"/>
      <c r="C79" s="1231"/>
      <c r="D79" s="175" t="s">
        <v>186</v>
      </c>
      <c r="E79" s="172">
        <v>845049</v>
      </c>
      <c r="F79" s="171">
        <v>845215</v>
      </c>
      <c r="G79" s="124">
        <f t="shared" si="13"/>
        <v>166</v>
      </c>
      <c r="H79" s="111">
        <f t="shared" si="14"/>
        <v>166</v>
      </c>
      <c r="I79" s="156"/>
      <c r="J79" s="203">
        <f>H79/DAY(B2)</f>
        <v>166</v>
      </c>
      <c r="K79" s="83"/>
      <c r="L79" s="68"/>
      <c r="N79" s="73"/>
      <c r="O79" s="73"/>
    </row>
    <row r="80" spans="1:15" ht="27.75">
      <c r="A80" s="1229" t="s">
        <v>197</v>
      </c>
      <c r="B80" s="1230"/>
      <c r="C80" s="1231"/>
      <c r="D80" s="175" t="s">
        <v>186</v>
      </c>
      <c r="E80" s="171">
        <v>564298</v>
      </c>
      <c r="F80" s="171">
        <v>564681.56000000006</v>
      </c>
      <c r="G80" s="124">
        <f t="shared" si="13"/>
        <v>383.56000000005588</v>
      </c>
      <c r="H80" s="111">
        <f t="shared" si="14"/>
        <v>383.56000000005588</v>
      </c>
      <c r="I80" s="156"/>
      <c r="J80" s="203">
        <f>H80/DAY(B2)</f>
        <v>383.56000000005588</v>
      </c>
      <c r="K80" s="83"/>
      <c r="L80" s="68"/>
      <c r="N80" s="73"/>
      <c r="O80" s="73"/>
    </row>
    <row r="81" spans="1:15" ht="27.75">
      <c r="A81" s="1229" t="s">
        <v>198</v>
      </c>
      <c r="B81" s="1230"/>
      <c r="C81" s="1231"/>
      <c r="D81" s="175" t="s">
        <v>186</v>
      </c>
      <c r="E81" s="171">
        <v>654178</v>
      </c>
      <c r="F81" s="171">
        <v>654352.80000000005</v>
      </c>
      <c r="G81" s="124">
        <f t="shared" si="13"/>
        <v>174.80000000004657</v>
      </c>
      <c r="H81" s="111">
        <f t="shared" si="14"/>
        <v>174.80000000004657</v>
      </c>
      <c r="I81" s="156"/>
      <c r="J81" s="203">
        <f>H81/DAY(B2)</f>
        <v>174.80000000004657</v>
      </c>
      <c r="K81" s="83"/>
      <c r="L81" s="68"/>
      <c r="N81" s="73"/>
      <c r="O81" s="73"/>
    </row>
    <row r="82" spans="1:15" ht="27.75">
      <c r="A82" s="1229" t="s">
        <v>92</v>
      </c>
      <c r="B82" s="1230"/>
      <c r="C82" s="1231"/>
      <c r="D82" s="136" t="s">
        <v>131</v>
      </c>
      <c r="E82" s="173">
        <v>109925</v>
      </c>
      <c r="F82" s="192">
        <v>109955</v>
      </c>
      <c r="G82" s="124">
        <f t="shared" si="13"/>
        <v>30</v>
      </c>
      <c r="H82" s="111">
        <f t="shared" si="14"/>
        <v>30</v>
      </c>
      <c r="I82" s="137"/>
      <c r="J82" s="203">
        <f>H82/DAY(B2)</f>
        <v>30</v>
      </c>
      <c r="K82" s="83"/>
      <c r="L82" s="68"/>
      <c r="N82" s="73"/>
      <c r="O82" s="73"/>
    </row>
    <row r="83" spans="1:15" ht="27.75">
      <c r="A83" s="1229" t="s">
        <v>199</v>
      </c>
      <c r="B83" s="1230"/>
      <c r="C83" s="1231"/>
      <c r="D83" s="271" t="s">
        <v>131</v>
      </c>
      <c r="E83" s="162">
        <v>44323</v>
      </c>
      <c r="F83" s="1000">
        <v>44634</v>
      </c>
      <c r="G83" s="124">
        <f t="shared" si="13"/>
        <v>311</v>
      </c>
      <c r="H83" s="111">
        <f t="shared" si="14"/>
        <v>311</v>
      </c>
      <c r="I83" s="132"/>
      <c r="J83" s="203">
        <f>H83/DAY(B2)</f>
        <v>311</v>
      </c>
      <c r="K83" s="82"/>
      <c r="L83" s="68"/>
      <c r="N83" s="73"/>
      <c r="O83" s="372"/>
    </row>
    <row r="84" spans="1:15">
      <c r="A84" s="919" t="s">
        <v>200</v>
      </c>
      <c r="B84" s="222"/>
      <c r="C84" s="222"/>
      <c r="D84" s="129" t="s">
        <v>131</v>
      </c>
      <c r="E84" s="278">
        <v>570379</v>
      </c>
      <c r="F84" s="278">
        <v>571119</v>
      </c>
      <c r="G84" s="124">
        <f t="shared" si="13"/>
        <v>740</v>
      </c>
      <c r="H84" s="111">
        <f t="shared" si="14"/>
        <v>740</v>
      </c>
      <c r="I84" s="132"/>
      <c r="J84" s="203">
        <f>H84/DAY(B2)</f>
        <v>740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2168.5600000000995</v>
      </c>
      <c r="H85" s="111">
        <f t="shared" si="14"/>
        <v>2168.5600000000995</v>
      </c>
      <c r="I85" s="132"/>
      <c r="J85" s="203">
        <f>H85/DAY(B2)</f>
        <v>2168.5600000000995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v>463315</v>
      </c>
      <c r="F86" s="298">
        <v>463341.2</v>
      </c>
      <c r="G86" s="356">
        <f t="shared" ref="G86:G91" si="15">F86-E86</f>
        <v>26.200000000011642</v>
      </c>
      <c r="H86" s="356">
        <f t="shared" si="14"/>
        <v>26.200000000011642</v>
      </c>
      <c r="I86" s="303"/>
      <c r="J86" s="358">
        <f>H86/DAY(B2)</f>
        <v>26.200000000011642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v>83899</v>
      </c>
      <c r="F87" s="298">
        <v>83927</v>
      </c>
      <c r="G87" s="356">
        <f t="shared" si="15"/>
        <v>28</v>
      </c>
      <c r="H87" s="356">
        <f t="shared" si="14"/>
        <v>28</v>
      </c>
      <c r="I87" s="303"/>
      <c r="J87" s="358">
        <f>H87/DAY(B2)</f>
        <v>28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v>158212</v>
      </c>
      <c r="F88" s="298">
        <v>158212</v>
      </c>
      <c r="G88" s="356">
        <f t="shared" si="15"/>
        <v>0</v>
      </c>
      <c r="H88" s="356">
        <f t="shared" si="14"/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202</v>
      </c>
      <c r="B89" s="382"/>
      <c r="C89" s="382"/>
      <c r="D89" s="383" t="s">
        <v>182</v>
      </c>
      <c r="E89" s="298">
        <v>69089</v>
      </c>
      <c r="F89" s="298">
        <v>69161.5</v>
      </c>
      <c r="G89" s="356">
        <f t="shared" si="15"/>
        <v>72.5</v>
      </c>
      <c r="H89" s="356">
        <f>G89</f>
        <v>72.5</v>
      </c>
      <c r="I89" s="303"/>
      <c r="J89" s="358">
        <f>H89/DAY(B2)</f>
        <v>72.5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v>3611</v>
      </c>
      <c r="F90" s="298">
        <v>3616.9</v>
      </c>
      <c r="G90" s="356">
        <f t="shared" si="15"/>
        <v>5.9000000000000909</v>
      </c>
      <c r="H90" s="356">
        <f>G90</f>
        <v>5.9000000000000909</v>
      </c>
      <c r="I90" s="303"/>
      <c r="J90" s="358">
        <f>H90/DAY(B2)</f>
        <v>5.9000000000000909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/>
      <c r="E91" s="298">
        <v>28746</v>
      </c>
      <c r="F91" s="298">
        <v>28755</v>
      </c>
      <c r="G91" s="356">
        <f t="shared" si="15"/>
        <v>9</v>
      </c>
      <c r="H91" s="356">
        <f>G91</f>
        <v>9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21"/>
      <c r="C92" s="921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>
      <c r="A93" s="1245" t="s">
        <v>205</v>
      </c>
      <c r="B93" s="1246"/>
      <c r="C93" s="1247"/>
      <c r="D93" s="174" t="s">
        <v>143</v>
      </c>
      <c r="E93" s="135">
        <v>253452</v>
      </c>
      <c r="F93" s="192">
        <v>253514</v>
      </c>
      <c r="G93" s="124">
        <f t="shared" ref="G93:G94" si="16">F93-E93</f>
        <v>62</v>
      </c>
      <c r="H93" s="111">
        <f t="shared" ref="H93" si="17">G93</f>
        <v>62</v>
      </c>
      <c r="I93" s="131"/>
      <c r="J93" s="203">
        <f>H93/DAY(B2)</f>
        <v>62</v>
      </c>
      <c r="K93" s="82"/>
      <c r="L93" s="68"/>
      <c r="N93" s="73"/>
      <c r="O93" s="73"/>
    </row>
    <row r="94" spans="1:15" ht="27.75">
      <c r="A94" s="1245" t="s">
        <v>206</v>
      </c>
      <c r="B94" s="1246"/>
      <c r="C94" s="1247"/>
      <c r="D94" s="174" t="s">
        <v>143</v>
      </c>
      <c r="E94" s="135">
        <v>197659</v>
      </c>
      <c r="F94" s="192">
        <v>197822</v>
      </c>
      <c r="G94" s="124">
        <f t="shared" si="16"/>
        <v>163</v>
      </c>
      <c r="H94" s="111">
        <f>G94</f>
        <v>163</v>
      </c>
      <c r="I94" s="131"/>
      <c r="J94" s="203">
        <f>H94/DAY(B2)</f>
        <v>163</v>
      </c>
      <c r="K94" s="71"/>
      <c r="L94" s="68"/>
      <c r="N94" s="73"/>
      <c r="O94" s="73"/>
    </row>
    <row r="95" spans="1:15">
      <c r="A95" s="1277" t="s">
        <v>207</v>
      </c>
      <c r="B95" s="1278"/>
      <c r="C95" s="1279"/>
      <c r="D95" s="174"/>
      <c r="E95" s="135"/>
      <c r="F95" s="192"/>
      <c r="G95" s="124">
        <f>G93+G94</f>
        <v>225</v>
      </c>
      <c r="H95" s="111"/>
      <c r="I95" s="131"/>
      <c r="J95" s="203"/>
      <c r="K95" s="71"/>
      <c r="L95" s="68"/>
      <c r="N95" s="73"/>
      <c r="O95" s="73"/>
    </row>
    <row r="96" spans="1:15" ht="27.75">
      <c r="A96" s="1245" t="s">
        <v>208</v>
      </c>
      <c r="B96" s="1246"/>
      <c r="C96" s="1247"/>
      <c r="D96" s="174" t="s">
        <v>143</v>
      </c>
      <c r="E96" s="135">
        <v>421019</v>
      </c>
      <c r="F96" s="135">
        <v>421085</v>
      </c>
      <c r="G96" s="124">
        <f t="shared" ref="G96:G101" si="18">F96-E96</f>
        <v>66</v>
      </c>
      <c r="H96" s="111">
        <f t="shared" ref="H96:H102" si="19">G96</f>
        <v>66</v>
      </c>
      <c r="I96" s="131"/>
      <c r="J96" s="203">
        <f>H96/DAY(B2)</f>
        <v>66</v>
      </c>
      <c r="K96" s="71"/>
      <c r="L96" s="68"/>
      <c r="N96" s="73"/>
      <c r="O96" s="73"/>
    </row>
    <row r="97" spans="1:15" ht="27.75">
      <c r="A97" s="915" t="s">
        <v>209</v>
      </c>
      <c r="B97" s="916"/>
      <c r="C97" s="916"/>
      <c r="D97" s="174" t="s">
        <v>143</v>
      </c>
      <c r="E97" s="135">
        <v>104636</v>
      </c>
      <c r="F97" s="135">
        <v>104654</v>
      </c>
      <c r="G97" s="124">
        <f t="shared" si="18"/>
        <v>18</v>
      </c>
      <c r="H97" s="111">
        <f t="shared" si="19"/>
        <v>18</v>
      </c>
      <c r="I97" s="131"/>
      <c r="J97" s="203">
        <f>H97/DAY(B2)</f>
        <v>18</v>
      </c>
      <c r="K97" s="80"/>
      <c r="L97" s="68"/>
      <c r="N97" s="73"/>
      <c r="O97" s="73"/>
    </row>
    <row r="98" spans="1:15" ht="27.75">
      <c r="A98" s="915" t="s">
        <v>210</v>
      </c>
      <c r="B98" s="916"/>
      <c r="C98" s="916"/>
      <c r="D98" s="174" t="s">
        <v>143</v>
      </c>
      <c r="E98" s="135">
        <v>100370</v>
      </c>
      <c r="F98" s="135">
        <v>100394</v>
      </c>
      <c r="G98" s="124">
        <f t="shared" si="18"/>
        <v>24</v>
      </c>
      <c r="H98" s="111">
        <f t="shared" si="19"/>
        <v>24</v>
      </c>
      <c r="I98" s="131"/>
      <c r="J98" s="203">
        <f>H98/DAY(B2)</f>
        <v>24</v>
      </c>
      <c r="K98" s="85"/>
      <c r="L98" s="68"/>
      <c r="N98" s="73"/>
      <c r="O98" s="73"/>
    </row>
    <row r="99" spans="1:15" ht="27.75">
      <c r="A99" s="915" t="s">
        <v>211</v>
      </c>
      <c r="B99" s="916"/>
      <c r="C99" s="916"/>
      <c r="D99" s="174" t="s">
        <v>143</v>
      </c>
      <c r="E99" s="135">
        <v>152135</v>
      </c>
      <c r="F99" s="135">
        <v>152146</v>
      </c>
      <c r="G99" s="124">
        <f t="shared" si="18"/>
        <v>11</v>
      </c>
      <c r="H99" s="111">
        <f t="shared" si="19"/>
        <v>11</v>
      </c>
      <c r="I99" s="131"/>
      <c r="J99" s="203">
        <f>H99/DAY(B2)</f>
        <v>11</v>
      </c>
      <c r="K99" s="71"/>
      <c r="L99" s="68"/>
      <c r="N99" s="73"/>
      <c r="O99" s="73"/>
    </row>
    <row r="100" spans="1:15" ht="27.75">
      <c r="A100" s="915" t="s">
        <v>212</v>
      </c>
      <c r="B100" s="916"/>
      <c r="C100" s="916"/>
      <c r="D100" s="174" t="s">
        <v>143</v>
      </c>
      <c r="E100" s="135">
        <v>8645</v>
      </c>
      <c r="F100" s="135">
        <v>8655</v>
      </c>
      <c r="G100" s="124">
        <f t="shared" si="18"/>
        <v>10</v>
      </c>
      <c r="H100" s="111">
        <f t="shared" si="19"/>
        <v>10</v>
      </c>
      <c r="I100" s="131"/>
      <c r="J100" s="203">
        <f>H100/DAY(B2)</f>
        <v>10</v>
      </c>
      <c r="K100" s="71"/>
      <c r="L100" s="68"/>
      <c r="N100" s="73"/>
      <c r="O100" s="73"/>
    </row>
    <row r="101" spans="1:15" ht="27.75">
      <c r="A101" s="915" t="s">
        <v>213</v>
      </c>
      <c r="B101" s="916"/>
      <c r="C101" s="916"/>
      <c r="D101" s="174" t="s">
        <v>143</v>
      </c>
      <c r="E101" s="135">
        <v>6373</v>
      </c>
      <c r="F101" s="135">
        <v>6382</v>
      </c>
      <c r="G101" s="124">
        <f t="shared" si="18"/>
        <v>9</v>
      </c>
      <c r="H101" s="111">
        <f t="shared" si="19"/>
        <v>9</v>
      </c>
      <c r="I101" s="131" t="s">
        <v>214</v>
      </c>
      <c r="J101" s="203">
        <f>H101/DAY(B2)</f>
        <v>9</v>
      </c>
      <c r="K101" s="71"/>
      <c r="L101" s="68"/>
      <c r="N101" s="73"/>
      <c r="O101" s="73"/>
    </row>
    <row r="102" spans="1:15">
      <c r="A102" s="1277" t="s">
        <v>215</v>
      </c>
      <c r="B102" s="1278"/>
      <c r="C102" s="1279"/>
      <c r="D102" s="175"/>
      <c r="E102" s="175"/>
      <c r="F102" s="175"/>
      <c r="G102" s="176">
        <f>SUM(G96:G101)</f>
        <v>138</v>
      </c>
      <c r="H102" s="111">
        <f t="shared" si="19"/>
        <v>138</v>
      </c>
      <c r="I102" s="177"/>
      <c r="J102" s="203">
        <f>H102/DAY(B2)</f>
        <v>138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>
      <c r="A104" s="1280" t="s">
        <v>217</v>
      </c>
      <c r="B104" s="1281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>
      <c r="A105" s="1237" t="s">
        <v>218</v>
      </c>
      <c r="B105" s="1238"/>
      <c r="C105" s="913"/>
      <c r="D105" s="273" t="s">
        <v>143</v>
      </c>
      <c r="E105" s="183">
        <v>7961</v>
      </c>
      <c r="F105" s="185">
        <v>7961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>
      <c r="A106" s="1237" t="s">
        <v>76</v>
      </c>
      <c r="B106" s="1238"/>
      <c r="C106" s="913"/>
      <c r="D106" s="273" t="s">
        <v>143</v>
      </c>
      <c r="E106" s="185">
        <v>36765</v>
      </c>
      <c r="F106" s="185">
        <v>36772</v>
      </c>
      <c r="G106" s="183">
        <f t="shared" ref="G106:G107" si="20">F106-E106</f>
        <v>7</v>
      </c>
      <c r="H106" s="184">
        <f t="shared" ref="H106:H121" si="21">G106</f>
        <v>7</v>
      </c>
      <c r="I106" s="183"/>
      <c r="J106" s="209">
        <f>H106/DAY(B2)</f>
        <v>7</v>
      </c>
      <c r="N106" s="95"/>
      <c r="O106" s="73"/>
    </row>
    <row r="107" spans="1:15" s="93" customFormat="1" ht="27.75">
      <c r="A107" s="1237" t="s">
        <v>77</v>
      </c>
      <c r="B107" s="1282"/>
      <c r="C107" s="1238"/>
      <c r="D107" s="273" t="s">
        <v>143</v>
      </c>
      <c r="E107" s="183">
        <v>20214</v>
      </c>
      <c r="F107" s="185">
        <v>20224</v>
      </c>
      <c r="G107" s="183">
        <f t="shared" si="20"/>
        <v>10</v>
      </c>
      <c r="H107" s="184">
        <f t="shared" si="21"/>
        <v>10</v>
      </c>
      <c r="I107" s="183"/>
      <c r="J107" s="209">
        <f>G110/DAY(B2)</f>
        <v>93</v>
      </c>
      <c r="N107" s="95"/>
      <c r="O107" s="73"/>
    </row>
    <row r="108" spans="1:15" s="93" customFormat="1" ht="27.75">
      <c r="A108" s="1239" t="s">
        <v>201</v>
      </c>
      <c r="B108" s="1240"/>
      <c r="C108" s="913"/>
      <c r="D108" s="273"/>
      <c r="E108" s="183"/>
      <c r="F108" s="185"/>
      <c r="G108" s="183">
        <f>SUM(G105:G107)</f>
        <v>17</v>
      </c>
      <c r="H108" s="184">
        <f t="shared" si="21"/>
        <v>17</v>
      </c>
      <c r="I108" s="183"/>
      <c r="J108" s="209">
        <f>H108/DAY(B2)</f>
        <v>17</v>
      </c>
      <c r="N108" s="95"/>
      <c r="O108" s="73"/>
    </row>
    <row r="109" spans="1:15" s="93" customFormat="1" ht="27.75">
      <c r="A109" s="1243" t="s">
        <v>78</v>
      </c>
      <c r="B109" s="1244"/>
      <c r="C109" s="913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>
      <c r="A110" s="1237" t="s">
        <v>219</v>
      </c>
      <c r="B110" s="1238"/>
      <c r="C110" s="913"/>
      <c r="D110" s="273" t="s">
        <v>143</v>
      </c>
      <c r="E110" s="183">
        <v>69524</v>
      </c>
      <c r="F110" s="185">
        <v>69617</v>
      </c>
      <c r="G110" s="183">
        <f>F110-E110</f>
        <v>93</v>
      </c>
      <c r="H110" s="184">
        <f t="shared" si="21"/>
        <v>93</v>
      </c>
      <c r="I110" s="183"/>
      <c r="J110" s="209">
        <f>H110/DAY(B2)</f>
        <v>93</v>
      </c>
      <c r="N110" s="95"/>
      <c r="O110" s="73"/>
    </row>
    <row r="111" spans="1:15" s="93" customFormat="1" ht="27.75">
      <c r="A111" s="1237" t="s">
        <v>220</v>
      </c>
      <c r="B111" s="1238"/>
      <c r="C111" s="913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>
      <c r="A112" s="1237" t="s">
        <v>221</v>
      </c>
      <c r="B112" s="1238"/>
      <c r="C112" s="913"/>
      <c r="D112" s="273" t="s">
        <v>143</v>
      </c>
      <c r="E112" s="183">
        <v>4788</v>
      </c>
      <c r="F112" s="185">
        <v>4788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>
      <c r="A113" s="1241" t="s">
        <v>109</v>
      </c>
      <c r="B113" s="1242"/>
      <c r="C113" s="913"/>
      <c r="D113" s="273"/>
      <c r="E113" s="183"/>
      <c r="F113" s="185"/>
      <c r="G113" s="183">
        <f>SUM(G110:G112)</f>
        <v>93</v>
      </c>
      <c r="H113" s="184">
        <f t="shared" si="21"/>
        <v>93</v>
      </c>
      <c r="I113" s="183"/>
      <c r="J113" s="209">
        <f>H113/DAY(B2)</f>
        <v>93</v>
      </c>
      <c r="N113" s="95"/>
      <c r="O113" s="73"/>
    </row>
    <row r="114" spans="1:15" s="93" customFormat="1" ht="27.75">
      <c r="A114" s="1243" t="s">
        <v>222</v>
      </c>
      <c r="B114" s="1244"/>
      <c r="C114" s="913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>
      <c r="A115" s="1237" t="s">
        <v>223</v>
      </c>
      <c r="B115" s="1238"/>
      <c r="C115" s="225"/>
      <c r="D115" s="273" t="s">
        <v>143</v>
      </c>
      <c r="E115" s="185">
        <v>13038</v>
      </c>
      <c r="F115" s="185">
        <v>13051</v>
      </c>
      <c r="G115" s="185">
        <f>F115-E115</f>
        <v>13</v>
      </c>
      <c r="H115" s="184">
        <f t="shared" si="21"/>
        <v>13</v>
      </c>
      <c r="I115" s="183"/>
      <c r="J115" s="209">
        <f>H115/DAY(B2)</f>
        <v>13</v>
      </c>
      <c r="N115" s="95"/>
      <c r="O115" s="73"/>
    </row>
    <row r="116" spans="1:15" s="93" customFormat="1" ht="27.75">
      <c r="A116" s="1237" t="s">
        <v>224</v>
      </c>
      <c r="B116" s="1238"/>
      <c r="C116" s="225"/>
      <c r="D116" s="273" t="s">
        <v>143</v>
      </c>
      <c r="E116" s="185">
        <v>9126</v>
      </c>
      <c r="F116" s="185">
        <v>9133</v>
      </c>
      <c r="G116" s="185">
        <f t="shared" ref="G116:G117" si="22">F116-E116</f>
        <v>7</v>
      </c>
      <c r="H116" s="184">
        <f t="shared" si="21"/>
        <v>7</v>
      </c>
      <c r="I116" s="183"/>
      <c r="J116" s="209">
        <f>H116/DAY(B2)</f>
        <v>7</v>
      </c>
      <c r="N116" s="95"/>
      <c r="O116" s="73"/>
    </row>
    <row r="117" spans="1:15" s="93" customFormat="1" ht="27.75">
      <c r="A117" s="1237" t="s">
        <v>225</v>
      </c>
      <c r="B117" s="1238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>
      <c r="A118" s="1239" t="s">
        <v>201</v>
      </c>
      <c r="B118" s="1240"/>
      <c r="C118" s="225"/>
      <c r="D118" s="274"/>
      <c r="E118" s="185"/>
      <c r="F118" s="185"/>
      <c r="G118" s="185">
        <f>SUM(G115:G117)</f>
        <v>20</v>
      </c>
      <c r="H118" s="184">
        <f t="shared" si="21"/>
        <v>20</v>
      </c>
      <c r="I118" s="185"/>
      <c r="J118" s="209">
        <f>H118/DAY(B2)</f>
        <v>20</v>
      </c>
      <c r="N118" s="98"/>
      <c r="O118" s="73"/>
    </row>
    <row r="119" spans="1:15" s="97" customFormat="1" ht="27.75">
      <c r="A119" s="1233" t="s">
        <v>226</v>
      </c>
      <c r="B119" s="1234"/>
      <c r="C119" s="912"/>
      <c r="D119" s="275" t="s">
        <v>143</v>
      </c>
      <c r="E119" s="187"/>
      <c r="F119" s="187">
        <f>SUM(G19+G93)</f>
        <v>128</v>
      </c>
      <c r="G119" s="187">
        <f>SUM(G19+G93)</f>
        <v>128</v>
      </c>
      <c r="H119" s="184">
        <f t="shared" si="21"/>
        <v>128</v>
      </c>
      <c r="I119" s="186"/>
      <c r="J119" s="210">
        <f>H119/DAY(B2)</f>
        <v>128</v>
      </c>
      <c r="N119" s="429"/>
      <c r="O119" s="73"/>
    </row>
    <row r="120" spans="1:15" s="97" customFormat="1" ht="27.75">
      <c r="A120" s="1233" t="s">
        <v>227</v>
      </c>
      <c r="B120" s="1234"/>
      <c r="C120" s="912"/>
      <c r="D120" s="275" t="s">
        <v>143</v>
      </c>
      <c r="E120" s="187"/>
      <c r="F120" s="187">
        <f>SUM(G96,G97,G98,G100,G101)</f>
        <v>127</v>
      </c>
      <c r="G120" s="187">
        <f>SUM(G96,G97,G98,G100,G101)</f>
        <v>127</v>
      </c>
      <c r="H120" s="184">
        <f t="shared" si="21"/>
        <v>127</v>
      </c>
      <c r="I120" s="186"/>
      <c r="J120" s="210">
        <f>H120/DAY(B2)</f>
        <v>127</v>
      </c>
      <c r="N120" s="429"/>
      <c r="O120" s="73"/>
    </row>
    <row r="121" spans="1:15" s="97" customFormat="1" ht="27.75">
      <c r="A121" s="1233" t="s">
        <v>228</v>
      </c>
      <c r="B121" s="1234"/>
      <c r="C121" s="912"/>
      <c r="D121" s="275" t="s">
        <v>143</v>
      </c>
      <c r="E121" s="185"/>
      <c r="F121" s="185">
        <f>SUM(G113)</f>
        <v>93</v>
      </c>
      <c r="G121" s="185">
        <f>SUM(G113)</f>
        <v>93</v>
      </c>
      <c r="H121" s="184">
        <f t="shared" si="21"/>
        <v>93</v>
      </c>
      <c r="I121" s="186"/>
      <c r="J121" s="210">
        <f>H121/DAY(B2)</f>
        <v>93</v>
      </c>
      <c r="N121" s="429"/>
      <c r="O121" s="73"/>
    </row>
    <row r="122" spans="1:15" s="93" customFormat="1" ht="27.75">
      <c r="A122" s="1235"/>
      <c r="B122" s="1236"/>
      <c r="C122" s="913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>
      <c r="A124" s="915" t="s">
        <v>230</v>
      </c>
      <c r="B124" s="916"/>
      <c r="C124" s="916"/>
      <c r="D124" s="174" t="s">
        <v>140</v>
      </c>
      <c r="E124" s="129">
        <v>856352</v>
      </c>
      <c r="F124" s="302">
        <v>856617</v>
      </c>
      <c r="G124" s="124">
        <f>F124-E124</f>
        <v>265</v>
      </c>
      <c r="H124" s="111">
        <f>G124</f>
        <v>265</v>
      </c>
      <c r="I124" s="177"/>
      <c r="J124" s="203">
        <f>H124/DAY(B2)</f>
        <v>265</v>
      </c>
      <c r="K124" s="71"/>
      <c r="L124" s="68"/>
      <c r="N124" s="73"/>
      <c r="O124" s="73"/>
    </row>
    <row r="125" spans="1:15" ht="27.75">
      <c r="A125" s="915" t="s">
        <v>231</v>
      </c>
      <c r="B125" s="916"/>
      <c r="C125" s="916"/>
      <c r="D125" s="174" t="s">
        <v>140</v>
      </c>
      <c r="E125" s="277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226" t="s">
        <v>232</v>
      </c>
      <c r="B126" s="1227"/>
      <c r="C126" s="1228"/>
      <c r="D126" s="174" t="s">
        <v>140</v>
      </c>
      <c r="E126" s="129">
        <v>154077</v>
      </c>
      <c r="F126" s="302">
        <v>154165.79999999999</v>
      </c>
      <c r="G126" s="124">
        <f t="shared" si="23"/>
        <v>88.799999999988358</v>
      </c>
      <c r="H126" s="111">
        <f t="shared" si="24"/>
        <v>88.799999999988358</v>
      </c>
      <c r="I126" s="177"/>
      <c r="J126" s="203">
        <f>H126/DAY(B2)</f>
        <v>88.799999999988358</v>
      </c>
      <c r="K126" s="71"/>
      <c r="L126" s="68"/>
      <c r="N126" s="73"/>
      <c r="O126" s="73"/>
    </row>
    <row r="127" spans="1:15" ht="27.75">
      <c r="A127" s="260" t="s">
        <v>233</v>
      </c>
      <c r="B127" s="916"/>
      <c r="C127" s="916"/>
      <c r="D127" s="174" t="s">
        <v>140</v>
      </c>
      <c r="E127" s="277">
        <v>34629</v>
      </c>
      <c r="F127" s="302">
        <v>34673.1</v>
      </c>
      <c r="G127" s="124">
        <f t="shared" si="23"/>
        <v>44.099999999998545</v>
      </c>
      <c r="H127" s="111">
        <f t="shared" si="24"/>
        <v>44.099999999998545</v>
      </c>
      <c r="I127" s="177"/>
      <c r="J127" s="203">
        <f>H127/DAY(B2)</f>
        <v>44.099999999998545</v>
      </c>
      <c r="K127" s="71"/>
      <c r="L127" s="68"/>
      <c r="N127" s="73"/>
      <c r="O127" s="73"/>
    </row>
    <row r="128" spans="1:15" ht="27.75">
      <c r="A128" s="260" t="s">
        <v>234</v>
      </c>
      <c r="B128" s="916"/>
      <c r="C128" s="916"/>
      <c r="D128" s="174" t="s">
        <v>140</v>
      </c>
      <c r="E128" s="277">
        <v>9180</v>
      </c>
      <c r="F128" s="302">
        <v>9181.9</v>
      </c>
      <c r="G128" s="124">
        <f t="shared" si="23"/>
        <v>1.8999999999996362</v>
      </c>
      <c r="H128" s="111">
        <f t="shared" si="24"/>
        <v>1.8999999999996362</v>
      </c>
      <c r="I128" s="131"/>
      <c r="J128" s="203">
        <f>H128/DAY(B2)</f>
        <v>1.8999999999996362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916"/>
      <c r="C129" s="916"/>
      <c r="D129" s="174"/>
      <c r="E129" s="302"/>
      <c r="F129" s="302"/>
      <c r="G129" s="124">
        <f>G15-SUM(G124:G128)</f>
        <v>545.69000000000415</v>
      </c>
      <c r="H129" s="111">
        <f t="shared" si="24"/>
        <v>545.69000000000415</v>
      </c>
      <c r="I129" s="131"/>
      <c r="J129" s="203">
        <f>H129/DAY(B2)</f>
        <v>545.69000000000415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>
      <c r="A131" s="915" t="s">
        <v>237</v>
      </c>
      <c r="B131" s="916"/>
      <c r="C131" s="916"/>
      <c r="D131" s="174" t="s">
        <v>238</v>
      </c>
      <c r="E131" s="135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>
      <c r="A132" s="915" t="s">
        <v>239</v>
      </c>
      <c r="B132" s="916"/>
      <c r="C132" s="916"/>
      <c r="D132" s="174" t="s">
        <v>238</v>
      </c>
      <c r="E132" s="135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>
      <c r="A133" s="915" t="s">
        <v>240</v>
      </c>
      <c r="B133" s="916"/>
      <c r="C133" s="916"/>
      <c r="D133" s="174" t="s">
        <v>238</v>
      </c>
      <c r="E133" s="192">
        <v>40922</v>
      </c>
      <c r="F133" s="192">
        <v>40921.53</v>
      </c>
      <c r="G133" s="124">
        <f t="shared" si="25"/>
        <v>-0.47000000000116415</v>
      </c>
      <c r="H133" s="111">
        <f t="shared" si="26"/>
        <v>-0.47000000000116415</v>
      </c>
      <c r="I133" s="131"/>
      <c r="J133" s="203">
        <f>H133/DAY(B2)</f>
        <v>-0.47000000000116415</v>
      </c>
      <c r="N133" s="73"/>
      <c r="O133" s="73"/>
    </row>
    <row r="134" spans="1:15" s="426" customFormat="1" ht="27.75">
      <c r="A134" s="443" t="s">
        <v>241</v>
      </c>
      <c r="B134" s="852"/>
      <c r="C134" s="852"/>
      <c r="D134" s="175" t="s">
        <v>238</v>
      </c>
      <c r="E134" s="192">
        <v>856</v>
      </c>
      <c r="F134" s="173">
        <v>880.27</v>
      </c>
      <c r="G134" s="124">
        <f t="shared" si="25"/>
        <v>24.269999999999982</v>
      </c>
      <c r="H134" s="137">
        <f t="shared" si="26"/>
        <v>24.269999999999982</v>
      </c>
      <c r="I134" s="853"/>
      <c r="J134" s="204">
        <f>H134/DAY(B2)</f>
        <v>24.269999999999982</v>
      </c>
      <c r="N134" s="372"/>
      <c r="O134" s="73"/>
    </row>
    <row r="135" spans="1:15" ht="27.75">
      <c r="A135" s="915" t="s">
        <v>242</v>
      </c>
      <c r="B135" s="916"/>
      <c r="C135" s="916"/>
      <c r="D135" s="174" t="s">
        <v>238</v>
      </c>
      <c r="E135" s="192">
        <v>42822</v>
      </c>
      <c r="F135" s="192">
        <v>42822.14</v>
      </c>
      <c r="G135" s="124">
        <f t="shared" si="25"/>
        <v>0.13999999999941792</v>
      </c>
      <c r="H135" s="111">
        <f t="shared" si="26"/>
        <v>0.13999999999941792</v>
      </c>
      <c r="I135" s="131"/>
      <c r="J135" s="203">
        <f>H135/DAY(B2)</f>
        <v>0.13999999999941792</v>
      </c>
      <c r="N135" s="73"/>
      <c r="O135" s="73"/>
    </row>
    <row r="136" spans="1:15" ht="27.75">
      <c r="A136" s="915" t="s">
        <v>243</v>
      </c>
      <c r="B136" s="916"/>
      <c r="C136" s="916"/>
      <c r="D136" s="174" t="s">
        <v>238</v>
      </c>
      <c r="E136" s="192">
        <v>32928</v>
      </c>
      <c r="F136" s="192">
        <v>32943.19</v>
      </c>
      <c r="G136" s="124">
        <f t="shared" si="25"/>
        <v>15.190000000002328</v>
      </c>
      <c r="H136" s="111">
        <f t="shared" si="26"/>
        <v>15.190000000002328</v>
      </c>
      <c r="I136" s="131">
        <f>G133+G134+G135+G136</f>
        <v>39.130000000000564</v>
      </c>
      <c r="J136" s="203">
        <f>H136/DAY(B2)</f>
        <v>15.190000000002328</v>
      </c>
      <c r="N136" s="73"/>
      <c r="O136" s="73"/>
    </row>
    <row r="137" spans="1:15" ht="27.75">
      <c r="A137" s="915" t="s">
        <v>244</v>
      </c>
      <c r="B137" s="916"/>
      <c r="C137" s="916"/>
      <c r="D137" s="174" t="s">
        <v>238</v>
      </c>
      <c r="E137" s="192">
        <v>23356.43</v>
      </c>
      <c r="F137" s="192">
        <v>23366.54</v>
      </c>
      <c r="G137" s="124">
        <f t="shared" si="25"/>
        <v>10.110000000000582</v>
      </c>
      <c r="H137" s="111">
        <f t="shared" si="26"/>
        <v>10.110000000000582</v>
      </c>
      <c r="I137" s="131"/>
      <c r="J137" s="203">
        <f>H137/DAY(B2)</f>
        <v>10.110000000000582</v>
      </c>
      <c r="N137" s="73"/>
      <c r="O137" s="73"/>
    </row>
    <row r="138" spans="1:15" ht="27.75">
      <c r="A138" s="915" t="s">
        <v>245</v>
      </c>
      <c r="B138" s="916"/>
      <c r="C138" s="916"/>
      <c r="D138" s="174" t="s">
        <v>238</v>
      </c>
      <c r="E138" s="192">
        <v>25132.959999999999</v>
      </c>
      <c r="F138" s="192">
        <v>25132.98</v>
      </c>
      <c r="G138" s="124">
        <f t="shared" si="25"/>
        <v>2.0000000000436557E-2</v>
      </c>
      <c r="H138" s="111">
        <f t="shared" si="26"/>
        <v>2.0000000000436557E-2</v>
      </c>
      <c r="I138" s="131"/>
      <c r="J138" s="203">
        <f>H138/DAY(B2)</f>
        <v>2.0000000000436557E-2</v>
      </c>
      <c r="N138" s="73"/>
      <c r="O138" s="73"/>
    </row>
    <row r="139" spans="1:15" ht="27.75">
      <c r="A139" s="915" t="s">
        <v>246</v>
      </c>
      <c r="B139" s="916"/>
      <c r="C139" s="916"/>
      <c r="D139" s="174" t="s">
        <v>238</v>
      </c>
      <c r="E139" s="192">
        <v>70524.55</v>
      </c>
      <c r="F139" s="192">
        <v>70525.67</v>
      </c>
      <c r="G139" s="124">
        <f t="shared" si="25"/>
        <v>1.1199999999953434</v>
      </c>
      <c r="H139" s="111">
        <f t="shared" si="26"/>
        <v>1.1199999999953434</v>
      </c>
      <c r="I139" s="131">
        <f>G137+G138+G139</f>
        <v>11.249999999996362</v>
      </c>
      <c r="J139" s="203">
        <f>H139/DAY(B2)</f>
        <v>1.1199999999953434</v>
      </c>
      <c r="N139" s="73"/>
      <c r="O139" s="73"/>
    </row>
    <row r="140" spans="1:15" ht="27.75">
      <c r="A140" s="915" t="s">
        <v>247</v>
      </c>
      <c r="B140" s="916"/>
      <c r="C140" s="916"/>
      <c r="D140" s="174" t="s">
        <v>238</v>
      </c>
      <c r="E140" s="135">
        <v>2627.98</v>
      </c>
      <c r="F140" s="135">
        <v>2638.17</v>
      </c>
      <c r="G140" s="124">
        <f t="shared" si="25"/>
        <v>10.190000000000055</v>
      </c>
      <c r="H140" s="111">
        <f t="shared" si="26"/>
        <v>10.190000000000055</v>
      </c>
      <c r="I140" s="193"/>
      <c r="J140" s="203">
        <f>H140/DAY(B2)</f>
        <v>10.190000000000055</v>
      </c>
      <c r="N140" s="73"/>
      <c r="O140" s="73"/>
    </row>
    <row r="141" spans="1:15" ht="27.75">
      <c r="A141" s="915" t="s">
        <v>248</v>
      </c>
      <c r="B141" s="916"/>
      <c r="C141" s="916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9.8600000000001273</v>
      </c>
      <c r="J141" s="203">
        <f>H141/DAY(B2)</f>
        <v>-0.32999999999992724</v>
      </c>
      <c r="N141" s="73"/>
      <c r="O141" s="73"/>
    </row>
    <row r="142" spans="1:15">
      <c r="A142" s="1248" t="s">
        <v>249</v>
      </c>
      <c r="B142" s="1249"/>
      <c r="C142" s="921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6143.13</v>
      </c>
      <c r="H143" s="111">
        <f>G143</f>
        <v>6143.13</v>
      </c>
      <c r="I143" s="131"/>
      <c r="J143" s="203">
        <f>H143/DAY(B2)</f>
        <v>6143.13</v>
      </c>
      <c r="K143" s="71"/>
      <c r="L143" s="68"/>
      <c r="N143" s="73"/>
      <c r="O143" s="73"/>
    </row>
    <row r="144" spans="1:15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0.25579950540090746</v>
      </c>
      <c r="H144" s="111">
        <f t="shared" ref="H144:H154" si="27">G144</f>
        <v>0.25579950540090746</v>
      </c>
      <c r="I144" s="195"/>
      <c r="J144" s="203">
        <f>H144/DAY(B2)</f>
        <v>0.25579950540090746</v>
      </c>
      <c r="K144" s="71"/>
      <c r="L144" s="68"/>
      <c r="N144" s="73"/>
      <c r="O144" s="73"/>
    </row>
    <row r="145" spans="1:15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7992</v>
      </c>
      <c r="H145" s="111">
        <f t="shared" si="27"/>
        <v>7992</v>
      </c>
      <c r="I145" s="131"/>
      <c r="J145" s="203">
        <f>H145/DAY(B2)</f>
        <v>7992</v>
      </c>
      <c r="K145" s="71"/>
      <c r="L145" s="68"/>
      <c r="N145" s="73"/>
      <c r="O145" s="73"/>
    </row>
    <row r="146" spans="1:15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0.33278632344815301</v>
      </c>
      <c r="H146" s="111">
        <f t="shared" si="27"/>
        <v>0.33278632344815301</v>
      </c>
      <c r="I146" s="195"/>
      <c r="J146" s="203">
        <f>H146/DAY(B2)</f>
        <v>0.33278632344815301</v>
      </c>
      <c r="K146" s="71"/>
      <c r="L146" s="68"/>
      <c r="N146" s="73"/>
      <c r="O146" s="73"/>
    </row>
    <row r="147" spans="1:15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3713.96</v>
      </c>
      <c r="H147" s="111">
        <f t="shared" si="27"/>
        <v>3713.96</v>
      </c>
      <c r="I147" s="196"/>
      <c r="J147" s="203">
        <f>H147/DAY(B2)</f>
        <v>3713.96</v>
      </c>
      <c r="K147" s="71"/>
      <c r="L147" s="68"/>
      <c r="N147" s="73"/>
      <c r="O147" s="73"/>
    </row>
    <row r="148" spans="1:15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0.15464903576495276</v>
      </c>
      <c r="H148" s="111">
        <f t="shared" si="27"/>
        <v>0.15464903576495276</v>
      </c>
      <c r="I148" s="196"/>
      <c r="J148" s="203">
        <f>H148/DAY(B2)</f>
        <v>0.15464903576495276</v>
      </c>
      <c r="N148" s="73"/>
      <c r="O148" s="73"/>
    </row>
    <row r="149" spans="1:15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1668.3000000000002</v>
      </c>
      <c r="H149" s="111">
        <f t="shared" si="27"/>
        <v>1668.3000000000002</v>
      </c>
      <c r="I149" s="131"/>
      <c r="J149" s="203">
        <f>H149/DAY(B2)</f>
        <v>1668.3000000000002</v>
      </c>
      <c r="K149" s="72"/>
      <c r="N149" s="73"/>
      <c r="O149" s="73"/>
    </row>
    <row r="150" spans="1:15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6.9467895821891112E-2</v>
      </c>
      <c r="H150" s="111">
        <f t="shared" si="27"/>
        <v>6.9467895821891112E-2</v>
      </c>
      <c r="I150" s="196"/>
      <c r="J150" s="203">
        <f>H150/DAY(B2)</f>
        <v>6.9467895821891112E-2</v>
      </c>
      <c r="N150" s="73"/>
      <c r="O150" s="73"/>
    </row>
    <row r="151" spans="1:15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2545.96</v>
      </c>
      <c r="H151" s="111">
        <f t="shared" si="27"/>
        <v>2545.96</v>
      </c>
      <c r="I151" s="196"/>
      <c r="J151" s="203">
        <f>H151/DAY(B2)</f>
        <v>2545.96</v>
      </c>
      <c r="N151" s="73"/>
      <c r="O151" s="73"/>
    </row>
    <row r="152" spans="1:15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0.10601359710286032</v>
      </c>
      <c r="H152" s="111">
        <f t="shared" si="27"/>
        <v>0.10601359710286032</v>
      </c>
      <c r="I152" s="131"/>
      <c r="J152" s="203">
        <f>H152/DAY(B2)</f>
        <v>0.10601359710286032</v>
      </c>
      <c r="N152" s="73"/>
      <c r="O152" s="73"/>
    </row>
    <row r="153" spans="1:15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1523.0299999999997</v>
      </c>
      <c r="H153" s="111">
        <f t="shared" si="27"/>
        <v>1523.0299999999997</v>
      </c>
      <c r="I153" s="131"/>
      <c r="J153" s="203">
        <f>H153/DAY(B2)</f>
        <v>1523.0299999999997</v>
      </c>
      <c r="N153" s="73"/>
      <c r="O153" s="73"/>
    </row>
    <row r="154" spans="1:15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6.3418863138293341E-2</v>
      </c>
      <c r="H154" s="111">
        <f t="shared" si="27"/>
        <v>6.3418863138293341E-2</v>
      </c>
      <c r="I154" s="219"/>
      <c r="J154" s="220">
        <f>H154/DAY(B2)</f>
        <v>6.3418863138293341E-2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>
      <c r="E156" s="188"/>
    </row>
    <row r="157" spans="1:15">
      <c r="E157" s="188"/>
    </row>
    <row r="158" spans="1:15">
      <c r="E158" s="188"/>
    </row>
    <row r="159" spans="1:15">
      <c r="E159" s="188"/>
    </row>
    <row r="160" spans="1:15">
      <c r="E160" s="188"/>
    </row>
    <row r="161" spans="1:15">
      <c r="A161" s="435" t="s">
        <v>262</v>
      </c>
      <c r="B161" s="436"/>
      <c r="C161" s="436"/>
      <c r="D161" s="162" t="s">
        <v>186</v>
      </c>
      <c r="E161" s="309">
        <v>45797.1</v>
      </c>
      <c r="F161" s="309">
        <v>45875.9</v>
      </c>
      <c r="G161" s="124">
        <f t="shared" ref="G161:G176" si="28">F161-E161</f>
        <v>78.80000000000291</v>
      </c>
    </row>
    <row r="162" spans="1:15">
      <c r="A162" s="435" t="s">
        <v>263</v>
      </c>
      <c r="B162" s="436"/>
      <c r="C162" s="436"/>
      <c r="D162" s="162" t="s">
        <v>186</v>
      </c>
      <c r="E162" s="309">
        <v>136550</v>
      </c>
      <c r="F162" s="309">
        <v>137039</v>
      </c>
      <c r="G162" s="124">
        <f t="shared" si="28"/>
        <v>489</v>
      </c>
    </row>
    <row r="163" spans="1:15">
      <c r="A163" s="435" t="s">
        <v>264</v>
      </c>
      <c r="B163" s="436"/>
      <c r="C163" s="436"/>
      <c r="D163" s="162" t="s">
        <v>186</v>
      </c>
      <c r="E163" s="309">
        <v>63804.3</v>
      </c>
      <c r="F163" s="309">
        <v>64017.5</v>
      </c>
      <c r="G163" s="124">
        <f>F163-E163</f>
        <v>213.19999999999709</v>
      </c>
    </row>
    <row r="164" spans="1:15">
      <c r="A164" s="435" t="s">
        <v>265</v>
      </c>
      <c r="B164" s="436"/>
      <c r="C164" s="436"/>
      <c r="D164" s="162" t="s">
        <v>186</v>
      </c>
      <c r="E164" s="309">
        <v>7461.71</v>
      </c>
      <c r="F164" s="309">
        <v>7475.81</v>
      </c>
      <c r="G164" s="124">
        <f t="shared" si="28"/>
        <v>14.100000000000364</v>
      </c>
    </row>
    <row r="165" spans="1:15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>F165-E165</f>
        <v>0</v>
      </c>
    </row>
    <row r="166" spans="1:15">
      <c r="A166" s="437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28"/>
        <v>0</v>
      </c>
    </row>
    <row r="167" spans="1:15" ht="27.75">
      <c r="A167" s="1232" t="s">
        <v>98</v>
      </c>
      <c r="B167" s="1232"/>
      <c r="C167" s="1232"/>
      <c r="D167" s="174" t="s">
        <v>186</v>
      </c>
      <c r="E167" s="165">
        <f t="shared" ref="E167:E172" si="29">E64</f>
        <v>194217</v>
      </c>
      <c r="F167" s="165">
        <f t="shared" ref="F167:F172" si="30">F64</f>
        <v>194669</v>
      </c>
      <c r="G167" s="124">
        <f t="shared" si="28"/>
        <v>452</v>
      </c>
    </row>
    <row r="168" spans="1:15" ht="27.75">
      <c r="A168" s="1232" t="s">
        <v>99</v>
      </c>
      <c r="B168" s="1232"/>
      <c r="C168" s="1232"/>
      <c r="D168" s="174" t="s">
        <v>186</v>
      </c>
      <c r="E168" s="165">
        <f t="shared" si="29"/>
        <v>194629</v>
      </c>
      <c r="F168" s="165">
        <f t="shared" si="30"/>
        <v>194668</v>
      </c>
      <c r="G168" s="124">
        <f t="shared" si="28"/>
        <v>39</v>
      </c>
    </row>
    <row r="169" spans="1:15" ht="27.75">
      <c r="A169" s="1232" t="s">
        <v>100</v>
      </c>
      <c r="B169" s="1232"/>
      <c r="C169" s="1232"/>
      <c r="D169" s="174" t="s">
        <v>186</v>
      </c>
      <c r="E169" s="165">
        <f t="shared" si="29"/>
        <v>93317</v>
      </c>
      <c r="F169" s="165">
        <f t="shared" si="30"/>
        <v>93762.9</v>
      </c>
      <c r="G169" s="124">
        <f t="shared" si="28"/>
        <v>445.89999999999418</v>
      </c>
    </row>
    <row r="170" spans="1:15" ht="27.75">
      <c r="A170" s="1232" t="s">
        <v>101</v>
      </c>
      <c r="B170" s="1232"/>
      <c r="C170" s="1232"/>
      <c r="D170" s="174" t="s">
        <v>186</v>
      </c>
      <c r="E170" s="165">
        <f t="shared" si="29"/>
        <v>294891</v>
      </c>
      <c r="F170" s="165">
        <f t="shared" si="30"/>
        <v>295338</v>
      </c>
      <c r="G170" s="124">
        <f t="shared" si="28"/>
        <v>447</v>
      </c>
    </row>
    <row r="171" spans="1:15" ht="27.75">
      <c r="A171" s="1232" t="s">
        <v>102</v>
      </c>
      <c r="B171" s="1232"/>
      <c r="C171" s="1232"/>
      <c r="D171" s="174" t="s">
        <v>186</v>
      </c>
      <c r="E171" s="165">
        <f t="shared" si="29"/>
        <v>85321</v>
      </c>
      <c r="F171" s="165">
        <f t="shared" si="30"/>
        <v>85321</v>
      </c>
      <c r="G171" s="124">
        <f t="shared" si="28"/>
        <v>0</v>
      </c>
    </row>
    <row r="172" spans="1:15" ht="27.75">
      <c r="A172" s="1232" t="s">
        <v>103</v>
      </c>
      <c r="B172" s="1232"/>
      <c r="C172" s="1232"/>
      <c r="D172" s="174" t="s">
        <v>186</v>
      </c>
      <c r="E172" s="165">
        <f t="shared" si="29"/>
        <v>106406</v>
      </c>
      <c r="F172" s="165">
        <f t="shared" si="30"/>
        <v>106700</v>
      </c>
      <c r="G172" s="124">
        <f t="shared" si="28"/>
        <v>294</v>
      </c>
    </row>
    <row r="173" spans="1:15" ht="27.75">
      <c r="A173" s="1116"/>
      <c r="B173" s="1114"/>
      <c r="C173" s="1115"/>
      <c r="D173" s="174"/>
      <c r="E173" s="165"/>
      <c r="F173" s="165"/>
      <c r="G173" s="124"/>
    </row>
    <row r="174" spans="1:15" ht="21.95" customHeight="1">
      <c r="A174" s="1273" t="s">
        <v>337</v>
      </c>
      <c r="B174" s="1236"/>
      <c r="C174" s="435"/>
      <c r="D174" s="1106" t="s">
        <v>186</v>
      </c>
      <c r="E174" s="183">
        <v>19218</v>
      </c>
      <c r="F174" s="183">
        <v>19221</v>
      </c>
      <c r="G174" s="1108">
        <f>F174-E174</f>
        <v>3</v>
      </c>
      <c r="O174" s="68"/>
    </row>
    <row r="175" spans="1:15" ht="21.95" customHeight="1">
      <c r="A175" s="1273" t="s">
        <v>337</v>
      </c>
      <c r="B175" s="1236"/>
      <c r="C175" s="435"/>
      <c r="D175" s="1106" t="s">
        <v>186</v>
      </c>
      <c r="E175" s="1171">
        <v>70734</v>
      </c>
      <c r="F175" s="183">
        <v>70739</v>
      </c>
      <c r="G175" s="1108">
        <f t="shared" si="28"/>
        <v>5</v>
      </c>
      <c r="O175" s="68"/>
    </row>
    <row r="176" spans="1:15" ht="21.95" customHeight="1">
      <c r="A176" s="1273" t="s">
        <v>338</v>
      </c>
      <c r="B176" s="1236"/>
      <c r="C176" s="435"/>
      <c r="D176" s="1106" t="s">
        <v>186</v>
      </c>
      <c r="E176" s="183">
        <v>27964</v>
      </c>
      <c r="F176" s="693">
        <v>27968</v>
      </c>
      <c r="G176" s="1108">
        <f t="shared" si="28"/>
        <v>4</v>
      </c>
      <c r="O176" s="68"/>
    </row>
    <row r="177" spans="5:7">
      <c r="E177" s="1134"/>
      <c r="F177" s="1134"/>
      <c r="G177" s="190">
        <f>SUM(G161:G172)</f>
        <v>2472.9999999999945</v>
      </c>
    </row>
    <row r="178" spans="5:7">
      <c r="E178" s="1135"/>
      <c r="F178" s="1135"/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1"/>
  <sheetViews>
    <sheetView view="pageBreakPreview" topLeftCell="A58" zoomScale="60" workbookViewId="0">
      <selection activeCell="H89" sqref="H89"/>
    </sheetView>
  </sheetViews>
  <sheetFormatPr defaultColWidth="22.33203125" defaultRowHeight="29.2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5" s="57" customFormat="1" ht="27">
      <c r="A2" s="226" t="s">
        <v>346</v>
      </c>
      <c r="B2" s="682">
        <v>44441</v>
      </c>
      <c r="C2" s="917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17" t="s">
        <v>119</v>
      </c>
      <c r="D3" s="263">
        <v>30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17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'1'!F7</f>
        <v>322706.40999999997</v>
      </c>
      <c r="F7" s="106">
        <v>345571</v>
      </c>
      <c r="G7" s="124">
        <f>F7-E7</f>
        <v>22864.590000000026</v>
      </c>
      <c r="H7" s="111">
        <f>G7+'1'!H7</f>
        <v>46880</v>
      </c>
      <c r="I7" s="125">
        <f>'[1]1'!I7</f>
        <v>12000</v>
      </c>
      <c r="J7" s="203">
        <f>H7/DAY(B2)</f>
        <v>23440</v>
      </c>
      <c r="K7" s="200"/>
      <c r="L7" s="68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06">
        <f>'1'!F8</f>
        <v>333671.40999999997</v>
      </c>
      <c r="F8" s="126">
        <v>356470.75</v>
      </c>
      <c r="G8" s="127">
        <f>F8-E8</f>
        <v>22799.340000000026</v>
      </c>
      <c r="H8" s="111">
        <f>G8+'1'!H8</f>
        <v>46898.75</v>
      </c>
      <c r="I8" s="128">
        <v>12000</v>
      </c>
      <c r="J8" s="203">
        <f>H8/DAY(B2)</f>
        <v>23449.375</v>
      </c>
      <c r="K8" s="200"/>
      <c r="L8" s="78"/>
      <c r="M8" s="91"/>
      <c r="O8" s="73"/>
    </row>
    <row r="9" spans="1:15">
      <c r="A9" s="234" t="s">
        <v>133</v>
      </c>
      <c r="B9" s="235"/>
      <c r="C9" s="235"/>
      <c r="D9" s="174" t="s">
        <v>131</v>
      </c>
      <c r="E9" s="106">
        <f>'1'!F9</f>
        <v>105840.49</v>
      </c>
      <c r="F9" s="129">
        <v>127861.58</v>
      </c>
      <c r="G9" s="124">
        <f t="shared" ref="G9:G11" si="0">F9-E9</f>
        <v>22021.089999999997</v>
      </c>
      <c r="H9" s="111">
        <f>G9+'1'!H9</f>
        <v>45331.58</v>
      </c>
      <c r="I9" s="130">
        <f>I8-J8</f>
        <v>-11449.375</v>
      </c>
      <c r="J9" s="203">
        <f>H9/DAY(B2)</f>
        <v>22665.79</v>
      </c>
      <c r="K9" s="81"/>
      <c r="L9" s="68"/>
      <c r="O9" s="73"/>
    </row>
    <row r="10" spans="1:15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32">
        <f>G9+G10+G11+G12</f>
        <v>22021.089999999997</v>
      </c>
      <c r="H13" s="111">
        <f>G13+'1'!H13</f>
        <v>22021.089999999997</v>
      </c>
      <c r="I13" s="133">
        <f>G7-G13</f>
        <v>843.5000000000291</v>
      </c>
      <c r="J13" s="203">
        <f>H13/DAY(B2)</f>
        <v>11010.544999999998</v>
      </c>
      <c r="K13" s="81"/>
      <c r="L13" s="68"/>
      <c r="O13" s="73"/>
    </row>
    <row r="14" spans="1:15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>
      <c r="A15" s="915" t="s">
        <v>139</v>
      </c>
      <c r="B15" s="240"/>
      <c r="C15" s="240"/>
      <c r="D15" s="174" t="s">
        <v>140</v>
      </c>
      <c r="E15" s="106">
        <f>'1'!F15</f>
        <v>1757475.49</v>
      </c>
      <c r="F15" s="1138">
        <v>1758336.52</v>
      </c>
      <c r="G15" s="430">
        <f>(F15-E15)</f>
        <v>861.03000000002794</v>
      </c>
      <c r="H15" s="111">
        <f>G15+'1'!H15</f>
        <v>1806.5200000000186</v>
      </c>
      <c r="I15" s="125">
        <v>800</v>
      </c>
      <c r="J15" s="203">
        <f>H15/DAY(B2)</f>
        <v>903.26000000000931</v>
      </c>
      <c r="K15" s="81"/>
      <c r="L15" s="68"/>
      <c r="O15" s="73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-103.26000000000931</v>
      </c>
      <c r="J16" s="204"/>
      <c r="K16" s="81"/>
      <c r="L16" s="68"/>
      <c r="O16" s="73">
        <f>G15-150</f>
        <v>711.03000000002794</v>
      </c>
    </row>
    <row r="17" spans="1:15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>
      <c r="A18" s="1245" t="s">
        <v>142</v>
      </c>
      <c r="B18" s="1246"/>
      <c r="C18" s="1247"/>
      <c r="D18" s="174" t="s">
        <v>143</v>
      </c>
      <c r="E18" s="106">
        <f>'1'!F18</f>
        <v>8</v>
      </c>
      <c r="F18" s="129">
        <v>12</v>
      </c>
      <c r="G18" s="132">
        <f>F18*10</f>
        <v>120</v>
      </c>
      <c r="H18" s="111">
        <f>G18+'1'!H18</f>
        <v>200</v>
      </c>
      <c r="I18" s="125">
        <f>'[1]1'!I18</f>
        <v>65</v>
      </c>
      <c r="J18" s="203">
        <f>H18/DAY(B2)</f>
        <v>100</v>
      </c>
      <c r="K18" s="81"/>
      <c r="L18" s="68"/>
      <c r="O18" s="73"/>
    </row>
    <row r="19" spans="1:15" ht="27.75">
      <c r="A19" s="1245" t="s">
        <v>70</v>
      </c>
      <c r="B19" s="1246"/>
      <c r="C19" s="1247"/>
      <c r="D19" s="174" t="s">
        <v>143</v>
      </c>
      <c r="E19" s="106">
        <f>'1'!F19</f>
        <v>145404</v>
      </c>
      <c r="F19" s="1139">
        <v>145467</v>
      </c>
      <c r="G19" s="124">
        <f>F19-E19</f>
        <v>63</v>
      </c>
      <c r="H19" s="111">
        <f>G19+'1'!H19</f>
        <v>129</v>
      </c>
      <c r="I19" s="140"/>
      <c r="J19" s="203">
        <f>H19/DAY(B2)</f>
        <v>64.5</v>
      </c>
      <c r="K19" s="81"/>
      <c r="L19" s="68"/>
      <c r="O19" s="73"/>
    </row>
    <row r="20" spans="1:15">
      <c r="A20" s="236" t="s">
        <v>144</v>
      </c>
      <c r="B20" s="237"/>
      <c r="C20" s="237"/>
      <c r="D20" s="141"/>
      <c r="E20" s="141"/>
      <c r="F20" s="174"/>
      <c r="G20" s="684">
        <f>G18+G19</f>
        <v>183</v>
      </c>
      <c r="H20" s="111">
        <f>G20+'1'!H20</f>
        <v>329</v>
      </c>
      <c r="I20" s="143">
        <f>I18-J20</f>
        <v>-99.5</v>
      </c>
      <c r="J20" s="203">
        <f>H20/DAY(B2)</f>
        <v>164.5</v>
      </c>
      <c r="K20" s="81"/>
      <c r="L20" s="68"/>
      <c r="O20" s="73"/>
    </row>
    <row r="21" spans="1:15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>
      <c r="A22" s="915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>
      <c r="A23" s="915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22799.340000000026</v>
      </c>
      <c r="F27" s="152">
        <v>9</v>
      </c>
      <c r="G27" s="153">
        <f>E27*F27</f>
        <v>205194.06000000023</v>
      </c>
      <c r="H27" s="111">
        <f>G27+'1'!H27</f>
        <v>422088.75</v>
      </c>
      <c r="I27" s="154"/>
      <c r="J27" s="203">
        <f>H27/DAY(B2)</f>
        <v>211044.375</v>
      </c>
      <c r="K27" s="65"/>
      <c r="L27" s="94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861.03000000002794</v>
      </c>
      <c r="F28" s="152">
        <v>56.2</v>
      </c>
      <c r="G28" s="153">
        <f>E28*F28</f>
        <v>48389.88600000157</v>
      </c>
      <c r="H28" s="111">
        <f>G28+'1'!H28</f>
        <v>101526.42400000105</v>
      </c>
      <c r="I28" s="156"/>
      <c r="J28" s="203">
        <f>H28/DAY(B2)</f>
        <v>50763.212000000523</v>
      </c>
      <c r="K28" s="65"/>
      <c r="L28" s="94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G30+'1'!H30</f>
        <v>18834</v>
      </c>
      <c r="I30" s="156"/>
      <c r="J30" s="203">
        <f>H30/DAY(B2)</f>
        <v>9417</v>
      </c>
      <c r="K30" s="65"/>
      <c r="L30" s="94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120</v>
      </c>
      <c r="F31" s="152">
        <v>80</v>
      </c>
      <c r="G31" s="153">
        <f>E31*F31</f>
        <v>9600</v>
      </c>
      <c r="H31" s="111">
        <f>G31+'1'!H31</f>
        <v>16000</v>
      </c>
      <c r="I31" s="156"/>
      <c r="J31" s="203">
        <f>H31/DAY(B2)</f>
        <v>8000</v>
      </c>
      <c r="K31" s="65"/>
      <c r="L31" s="94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272381.9460000018</v>
      </c>
      <c r="H32" s="111">
        <f>G32+'1'!H32</f>
        <v>558449.17400000105</v>
      </c>
      <c r="I32" s="160"/>
      <c r="J32" s="203">
        <f>H32/DAY(B2)</f>
        <v>279224.58700000052</v>
      </c>
      <c r="K32" s="65"/>
      <c r="L32" s="94"/>
      <c r="O32" s="73"/>
    </row>
    <row r="33" spans="1:15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O33" s="73"/>
    </row>
    <row r="34" spans="1:15">
      <c r="A34" s="249" t="s">
        <v>162</v>
      </c>
      <c r="B34" s="920"/>
      <c r="C34" s="920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>
      <c r="A35" s="229" t="s">
        <v>163</v>
      </c>
      <c r="B35" s="230"/>
      <c r="C35" s="230"/>
      <c r="D35" s="174" t="s">
        <v>131</v>
      </c>
      <c r="E35" s="106">
        <f>'1'!F35</f>
        <v>1058597</v>
      </c>
      <c r="F35" s="161">
        <v>1058596.3</v>
      </c>
      <c r="G35" s="124">
        <f t="shared" ref="G35:G46" si="2">F35-E35</f>
        <v>-0.69999999995343387</v>
      </c>
      <c r="H35" s="111">
        <f>G35+'1'!H35</f>
        <v>-0.69999999995343387</v>
      </c>
      <c r="I35" s="106"/>
      <c r="J35" s="203">
        <f>H35/DAY(B2)</f>
        <v>-0.34999999997671694</v>
      </c>
      <c r="K35" s="81"/>
      <c r="L35" s="68"/>
      <c r="O35" s="73"/>
    </row>
    <row r="36" spans="1:15">
      <c r="A36" s="229" t="s">
        <v>164</v>
      </c>
      <c r="B36" s="230"/>
      <c r="C36" s="230"/>
      <c r="D36" s="174" t="s">
        <v>131</v>
      </c>
      <c r="E36" s="106">
        <f>'1'!F36</f>
        <v>2934.96</v>
      </c>
      <c r="F36" s="161">
        <v>3901.08</v>
      </c>
      <c r="G36" s="124">
        <f t="shared" si="2"/>
        <v>966.11999999999989</v>
      </c>
      <c r="H36" s="111">
        <f>G36+'1'!H36</f>
        <v>2068.08</v>
      </c>
      <c r="I36" s="106"/>
      <c r="J36" s="203">
        <f>H36/DAY(B2)</f>
        <v>1034.04</v>
      </c>
      <c r="K36" s="81"/>
      <c r="L36" s="68"/>
      <c r="O36" s="279"/>
    </row>
    <row r="37" spans="1:15">
      <c r="A37" s="229" t="s">
        <v>165</v>
      </c>
      <c r="B37" s="230"/>
      <c r="C37" s="230"/>
      <c r="D37" s="174" t="s">
        <v>131</v>
      </c>
      <c r="E37" s="106">
        <f>'1'!F37</f>
        <v>4298.03</v>
      </c>
      <c r="F37" s="161">
        <v>5846.2</v>
      </c>
      <c r="G37" s="124">
        <f t="shared" si="2"/>
        <v>1548.17</v>
      </c>
      <c r="H37" s="111">
        <f>G37+'1'!H37</f>
        <v>3071.2</v>
      </c>
      <c r="I37" s="106"/>
      <c r="J37" s="203">
        <f>H37/DAY(B2)</f>
        <v>1535.6</v>
      </c>
      <c r="K37" s="81"/>
      <c r="L37" s="68"/>
      <c r="O37" s="280"/>
    </row>
    <row r="38" spans="1:15">
      <c r="A38" s="229" t="s">
        <v>166</v>
      </c>
      <c r="B38" s="230"/>
      <c r="C38" s="230"/>
      <c r="D38" s="174" t="s">
        <v>131</v>
      </c>
      <c r="E38" s="106">
        <f>'1'!F38</f>
        <v>6491.3</v>
      </c>
      <c r="F38" s="120">
        <v>8237.3700000000008</v>
      </c>
      <c r="G38" s="124">
        <f t="shared" si="2"/>
        <v>1746.0700000000006</v>
      </c>
      <c r="H38" s="111">
        <f>G38+'1'!H38</f>
        <v>3414.3700000000008</v>
      </c>
      <c r="I38" s="106"/>
      <c r="J38" s="203">
        <f>H38/DAY(B2)</f>
        <v>1707.1850000000004</v>
      </c>
      <c r="K38" s="81"/>
      <c r="L38" s="68"/>
      <c r="O38" s="73"/>
    </row>
    <row r="39" spans="1:15">
      <c r="A39" s="229" t="s">
        <v>167</v>
      </c>
      <c r="B39" s="230"/>
      <c r="C39" s="230"/>
      <c r="D39" s="174" t="s">
        <v>131</v>
      </c>
      <c r="E39" s="106">
        <f>'1'!F39</f>
        <v>7555.96</v>
      </c>
      <c r="F39" s="161">
        <v>11525.48</v>
      </c>
      <c r="G39" s="124">
        <f t="shared" si="2"/>
        <v>3969.5199999999995</v>
      </c>
      <c r="H39" s="111">
        <f>G39+'1'!H39</f>
        <v>7683.48</v>
      </c>
      <c r="I39" s="106"/>
      <c r="J39" s="203">
        <f>H39/DAY(B2)</f>
        <v>3841.74</v>
      </c>
      <c r="K39" s="81"/>
      <c r="L39" s="68"/>
      <c r="O39" s="73"/>
    </row>
    <row r="40" spans="1:15">
      <c r="A40" s="250" t="s">
        <v>168</v>
      </c>
      <c r="B40" s="251"/>
      <c r="C40" s="251"/>
      <c r="D40" s="174" t="s">
        <v>131</v>
      </c>
      <c r="E40" s="106">
        <f>'1'!F40</f>
        <v>33754.300000000003</v>
      </c>
      <c r="F40" s="161">
        <v>33754.300000000003</v>
      </c>
      <c r="G40" s="124">
        <f t="shared" si="2"/>
        <v>0</v>
      </c>
      <c r="H40" s="111">
        <f>G40+'1'!H40</f>
        <v>157.70000000000437</v>
      </c>
      <c r="I40" s="106"/>
      <c r="J40" s="203">
        <f>H40/DAY(B2)</f>
        <v>78.850000000002183</v>
      </c>
      <c r="K40" s="82"/>
      <c r="L40" s="68"/>
      <c r="O40" s="73"/>
    </row>
    <row r="41" spans="1:15">
      <c r="A41" s="229" t="s">
        <v>169</v>
      </c>
      <c r="B41" s="230"/>
      <c r="C41" s="230"/>
      <c r="D41" s="174" t="s">
        <v>131</v>
      </c>
      <c r="E41" s="106">
        <f>'1'!F41</f>
        <v>433281.79</v>
      </c>
      <c r="F41" s="161">
        <v>433281.79</v>
      </c>
      <c r="G41" s="124">
        <f t="shared" si="2"/>
        <v>0</v>
      </c>
      <c r="H41" s="111">
        <f>G41+'1'!H41</f>
        <v>0</v>
      </c>
      <c r="I41" s="106"/>
      <c r="J41" s="203">
        <f>H41/DAY(B2)</f>
        <v>0</v>
      </c>
      <c r="K41" s="81"/>
      <c r="L41" s="68"/>
      <c r="O41" s="73"/>
    </row>
    <row r="42" spans="1:15">
      <c r="A42" s="229" t="s">
        <v>170</v>
      </c>
      <c r="B42" s="230"/>
      <c r="C42" s="230"/>
      <c r="D42" s="174" t="s">
        <v>131</v>
      </c>
      <c r="E42" s="106">
        <f>'1'!F42</f>
        <v>180722</v>
      </c>
      <c r="F42" s="161">
        <v>185940.83</v>
      </c>
      <c r="G42" s="124">
        <f t="shared" si="2"/>
        <v>5218.8299999999872</v>
      </c>
      <c r="H42" s="111">
        <f>G42+'1'!H42</f>
        <v>10828.829999999987</v>
      </c>
      <c r="I42" s="106"/>
      <c r="J42" s="203">
        <f>H42/DAY(B2)</f>
        <v>5414.4149999999936</v>
      </c>
      <c r="K42" s="81"/>
      <c r="L42" s="68"/>
      <c r="O42" s="73"/>
    </row>
    <row r="43" spans="1:15">
      <c r="A43" s="229" t="s">
        <v>171</v>
      </c>
      <c r="B43" s="230"/>
      <c r="C43" s="230"/>
      <c r="D43" s="174" t="s">
        <v>131</v>
      </c>
      <c r="E43" s="106">
        <f>'1'!F43</f>
        <v>1292630</v>
      </c>
      <c r="F43" s="161">
        <v>1295334.8999999999</v>
      </c>
      <c r="G43" s="124">
        <f t="shared" si="2"/>
        <v>2704.8999999999069</v>
      </c>
      <c r="H43" s="111">
        <f>G43+'1'!H43</f>
        <v>5589.8999999999069</v>
      </c>
      <c r="I43" s="106"/>
      <c r="J43" s="203">
        <f>H43/DAY(B2)</f>
        <v>2794.9499999999534</v>
      </c>
      <c r="K43" s="81"/>
      <c r="L43" s="68"/>
      <c r="O43" s="73"/>
    </row>
    <row r="44" spans="1:15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16152.909999999942</v>
      </c>
      <c r="H47" s="111">
        <f>G47+'1'!H47</f>
        <v>32812.859999999942</v>
      </c>
      <c r="I47" s="106"/>
      <c r="J47" s="203">
        <f>H47/DAY(B2)</f>
        <v>16406.429999999971</v>
      </c>
      <c r="K47" s="81"/>
      <c r="L47" s="68"/>
      <c r="N47" s="73"/>
      <c r="O47" s="73"/>
    </row>
    <row r="48" spans="1:15">
      <c r="A48" s="249" t="s">
        <v>176</v>
      </c>
      <c r="B48" s="920"/>
      <c r="C48" s="920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>
      <c r="A49" s="229" t="s">
        <v>163</v>
      </c>
      <c r="B49" s="252"/>
      <c r="C49" s="252"/>
      <c r="D49" s="174" t="s">
        <v>131</v>
      </c>
      <c r="E49" s="106">
        <f>'1'!F49</f>
        <v>5484.13</v>
      </c>
      <c r="F49" s="702">
        <v>8715</v>
      </c>
      <c r="G49" s="124">
        <f t="shared" ref="G49:G58" si="3">F49-E49</f>
        <v>3230.87</v>
      </c>
      <c r="H49" s="111">
        <f>G49+'1'!H49</f>
        <v>6489</v>
      </c>
      <c r="I49" s="106"/>
      <c r="J49" s="203">
        <f>H49/DAY(B2)</f>
        <v>3244.5</v>
      </c>
      <c r="K49" s="81"/>
      <c r="L49" s="68"/>
      <c r="O49" s="73"/>
    </row>
    <row r="50" spans="1:15">
      <c r="A50" s="229" t="s">
        <v>177</v>
      </c>
      <c r="B50" s="252"/>
      <c r="C50" s="252"/>
      <c r="D50" s="174" t="s">
        <v>131</v>
      </c>
      <c r="E50" s="106">
        <f>'1'!F50</f>
        <v>608742</v>
      </c>
      <c r="F50" s="161">
        <v>610166.79</v>
      </c>
      <c r="G50" s="124">
        <f t="shared" si="3"/>
        <v>1424.7900000000373</v>
      </c>
      <c r="H50" s="111">
        <f>G50+'1'!H50</f>
        <v>2868.7900000000373</v>
      </c>
      <c r="I50" s="106"/>
      <c r="J50" s="203">
        <f>H50/DAY(B2)</f>
        <v>1434.3950000000186</v>
      </c>
      <c r="K50" s="81"/>
      <c r="L50" s="68"/>
      <c r="O50" s="73"/>
    </row>
    <row r="51" spans="1:15">
      <c r="A51" s="229" t="s">
        <v>165</v>
      </c>
      <c r="B51" s="252"/>
      <c r="C51" s="252"/>
      <c r="D51" s="174" t="s">
        <v>131</v>
      </c>
      <c r="E51" s="106">
        <f>'1'!F51</f>
        <v>0</v>
      </c>
      <c r="F51" s="161">
        <v>0</v>
      </c>
      <c r="G51" s="124">
        <f t="shared" si="3"/>
        <v>0</v>
      </c>
      <c r="H51" s="111">
        <f>G51+'1'!H51</f>
        <v>0</v>
      </c>
      <c r="I51" s="106"/>
      <c r="J51" s="203">
        <f>H51/DAY(B2)</f>
        <v>0</v>
      </c>
      <c r="K51" s="81"/>
      <c r="L51" s="68"/>
      <c r="O51" s="73"/>
    </row>
    <row r="52" spans="1:15">
      <c r="A52" s="229" t="s">
        <v>178</v>
      </c>
      <c r="B52" s="252"/>
      <c r="C52" s="252"/>
      <c r="D52" s="174" t="s">
        <v>131</v>
      </c>
      <c r="E52" s="106">
        <f>'1'!F52</f>
        <v>0</v>
      </c>
      <c r="F52" s="161">
        <v>0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>
      <c r="A53" s="229" t="s">
        <v>167</v>
      </c>
      <c r="B53" s="252"/>
      <c r="C53" s="252"/>
      <c r="D53" s="174" t="s">
        <v>131</v>
      </c>
      <c r="E53" s="106">
        <f>'1'!F53</f>
        <v>0</v>
      </c>
      <c r="F53" s="161">
        <v>0</v>
      </c>
      <c r="G53" s="124">
        <f t="shared" si="3"/>
        <v>0</v>
      </c>
      <c r="H53" s="111">
        <f>G53+'1'!H53</f>
        <v>0</v>
      </c>
      <c r="I53" s="106"/>
      <c r="J53" s="203">
        <f>H53/DAY(B2)</f>
        <v>0</v>
      </c>
      <c r="K53" s="81"/>
      <c r="L53" s="68"/>
      <c r="O53" s="73"/>
    </row>
    <row r="54" spans="1:15">
      <c r="A54" s="229" t="s">
        <v>179</v>
      </c>
      <c r="B54" s="252"/>
      <c r="C54" s="252"/>
      <c r="D54" s="174" t="s">
        <v>131</v>
      </c>
      <c r="E54" s="106">
        <f>'1'!F54</f>
        <v>2620.0300000000002</v>
      </c>
      <c r="F54" s="161">
        <v>2623.88</v>
      </c>
      <c r="G54" s="124">
        <f t="shared" si="3"/>
        <v>3.8499999999999091</v>
      </c>
      <c r="H54" s="111">
        <f>G54+'1'!H54</f>
        <v>162.88000000000011</v>
      </c>
      <c r="I54" s="106"/>
      <c r="J54" s="203">
        <f>H54/DAY(B2)</f>
        <v>81.440000000000055</v>
      </c>
      <c r="K54" s="81"/>
      <c r="L54" s="68"/>
      <c r="O54" s="73"/>
    </row>
    <row r="55" spans="1:15">
      <c r="A55" s="229" t="s">
        <v>180</v>
      </c>
      <c r="B55" s="252"/>
      <c r="C55" s="252"/>
      <c r="D55" s="174" t="s">
        <v>131</v>
      </c>
      <c r="E55" s="106">
        <f>'1'!F55</f>
        <v>306268.99</v>
      </c>
      <c r="F55" s="683">
        <v>306268.99</v>
      </c>
      <c r="G55" s="124">
        <f t="shared" si="3"/>
        <v>0</v>
      </c>
      <c r="H55" s="111">
        <f>G55+'1'!H55</f>
        <v>0</v>
      </c>
      <c r="I55" s="106"/>
      <c r="J55" s="203">
        <f>H55/DAY(B2)</f>
        <v>0</v>
      </c>
      <c r="K55" s="81"/>
      <c r="L55" s="68"/>
      <c r="O55" s="73"/>
    </row>
    <row r="56" spans="1:15">
      <c r="A56" s="229" t="s">
        <v>181</v>
      </c>
      <c r="B56" s="252"/>
      <c r="C56" s="252"/>
      <c r="D56" s="174" t="s">
        <v>182</v>
      </c>
      <c r="E56" s="106">
        <f>'1'!F56</f>
        <v>663401</v>
      </c>
      <c r="F56" s="683">
        <v>664997.31000000006</v>
      </c>
      <c r="G56" s="124">
        <f t="shared" si="3"/>
        <v>1596.3100000000559</v>
      </c>
      <c r="H56" s="111">
        <f>G56+'1'!H56</f>
        <v>3978.3100000000559</v>
      </c>
      <c r="I56" s="106"/>
      <c r="J56" s="203">
        <f>H56/DAY(B2)</f>
        <v>1989.1550000000279</v>
      </c>
      <c r="K56" s="80"/>
      <c r="L56" s="68"/>
      <c r="O56" s="73"/>
    </row>
    <row r="57" spans="1:15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>
      <c r="A58" s="229" t="s">
        <v>183</v>
      </c>
      <c r="B58" s="252"/>
      <c r="C58" s="252"/>
      <c r="D58" s="174" t="s">
        <v>131</v>
      </c>
      <c r="E58" s="106">
        <f>'1'!F58</f>
        <v>66229.7</v>
      </c>
      <c r="F58" s="304">
        <v>66433.850000000006</v>
      </c>
      <c r="G58" s="124">
        <f t="shared" si="3"/>
        <v>204.15000000000873</v>
      </c>
      <c r="H58" s="111">
        <f>G58+'1'!H58</f>
        <v>419.85000000000582</v>
      </c>
      <c r="I58" s="106"/>
      <c r="J58" s="203">
        <f>H58/DAY(B2)</f>
        <v>209.92500000000291</v>
      </c>
      <c r="K58" s="81"/>
      <c r="L58" s="68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6459.9700000001012</v>
      </c>
      <c r="H59" s="111">
        <f>G59+'1'!H59</f>
        <v>13918.830000000098</v>
      </c>
      <c r="I59" s="106">
        <f>G7-G60</f>
        <v>251.70999999998457</v>
      </c>
      <c r="J59" s="203">
        <f>H59/DAY(B2)</f>
        <v>6959.4150000000491</v>
      </c>
      <c r="K59" s="81"/>
      <c r="L59" s="68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22612.880000000041</v>
      </c>
      <c r="H60" s="111">
        <f>G60+'1'!H60</f>
        <v>46731.690000000046</v>
      </c>
      <c r="I60" s="106">
        <f>G13-G60</f>
        <v>-591.79000000004453</v>
      </c>
      <c r="J60" s="203">
        <f>H60/DAY(B2)</f>
        <v>23365.845000000023</v>
      </c>
      <c r="K60" s="81"/>
      <c r="L60" s="68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>
      <c r="A64" s="1226" t="s">
        <v>98</v>
      </c>
      <c r="B64" s="1227"/>
      <c r="C64" s="1228"/>
      <c r="D64" s="174" t="s">
        <v>186</v>
      </c>
      <c r="E64" s="106">
        <f>'1'!F64</f>
        <v>194669</v>
      </c>
      <c r="F64" s="129">
        <v>195063.49</v>
      </c>
      <c r="G64" s="124">
        <f t="shared" si="4"/>
        <v>394.48999999999069</v>
      </c>
      <c r="H64" s="111">
        <f>G64+'1'!H64</f>
        <v>846.48999999999069</v>
      </c>
      <c r="I64" s="131"/>
      <c r="J64" s="203">
        <f>H64/DAY(B2)</f>
        <v>423.24499999999534</v>
      </c>
      <c r="K64" s="81"/>
      <c r="L64" s="68"/>
      <c r="O64" s="73"/>
    </row>
    <row r="65" spans="1:15" ht="27.75">
      <c r="A65" s="1226" t="s">
        <v>99</v>
      </c>
      <c r="B65" s="1227"/>
      <c r="C65" s="1228"/>
      <c r="D65" s="174" t="s">
        <v>186</v>
      </c>
      <c r="E65" s="106">
        <f>'1'!F65</f>
        <v>194668</v>
      </c>
      <c r="F65" s="302">
        <v>195435.35</v>
      </c>
      <c r="G65" s="124">
        <f t="shared" si="4"/>
        <v>767.35000000000582</v>
      </c>
      <c r="H65" s="111">
        <f>G65+'1'!H65</f>
        <v>806.35000000000582</v>
      </c>
      <c r="I65" s="140"/>
      <c r="J65" s="203">
        <f>H65/DAY(B2)</f>
        <v>403.17500000000291</v>
      </c>
      <c r="K65" s="81"/>
      <c r="L65" s="68"/>
      <c r="O65" s="73"/>
    </row>
    <row r="66" spans="1:15" ht="27.75">
      <c r="A66" s="1226" t="s">
        <v>100</v>
      </c>
      <c r="B66" s="1227"/>
      <c r="C66" s="1228"/>
      <c r="D66" s="174" t="s">
        <v>186</v>
      </c>
      <c r="E66" s="106">
        <f>'1'!F66</f>
        <v>93762.9</v>
      </c>
      <c r="F66" s="129">
        <v>94169.71</v>
      </c>
      <c r="G66" s="124">
        <f t="shared" si="4"/>
        <v>406.81000000001222</v>
      </c>
      <c r="H66" s="111">
        <f>G66+'1'!H66</f>
        <v>852.7100000000064</v>
      </c>
      <c r="I66" s="131"/>
      <c r="J66" s="203">
        <f>H66/DAY(B2)</f>
        <v>426.3550000000032</v>
      </c>
      <c r="K66" s="81"/>
      <c r="L66" s="68"/>
      <c r="O66" s="73"/>
    </row>
    <row r="67" spans="1:15" ht="27.75">
      <c r="A67" s="1226" t="s">
        <v>101</v>
      </c>
      <c r="B67" s="1227"/>
      <c r="C67" s="1228"/>
      <c r="D67" s="174" t="s">
        <v>186</v>
      </c>
      <c r="E67" s="106">
        <f>'1'!F67</f>
        <v>295338</v>
      </c>
      <c r="F67" s="129">
        <v>295735.23</v>
      </c>
      <c r="G67" s="124">
        <f t="shared" si="4"/>
        <v>397.22999999998137</v>
      </c>
      <c r="H67" s="111">
        <f>G67+'1'!H67</f>
        <v>844.22999999998137</v>
      </c>
      <c r="I67" s="140"/>
      <c r="J67" s="203">
        <f>H67/DAY(B2)</f>
        <v>422.11499999999069</v>
      </c>
      <c r="K67" s="82"/>
      <c r="L67" s="68"/>
      <c r="O67" s="73"/>
    </row>
    <row r="68" spans="1:15" ht="27.75">
      <c r="A68" s="1226" t="s">
        <v>102</v>
      </c>
      <c r="B68" s="1227"/>
      <c r="C68" s="1228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>
      <c r="A69" s="1226" t="s">
        <v>103</v>
      </c>
      <c r="B69" s="1227"/>
      <c r="C69" s="1228"/>
      <c r="D69" s="174" t="s">
        <v>186</v>
      </c>
      <c r="E69" s="106">
        <f>'1'!F69</f>
        <v>106700</v>
      </c>
      <c r="F69" s="129">
        <v>106991.94</v>
      </c>
      <c r="G69" s="124">
        <f t="shared" si="4"/>
        <v>291.94000000000233</v>
      </c>
      <c r="H69" s="111">
        <f>G69+'1'!H69</f>
        <v>585.94000000000233</v>
      </c>
      <c r="I69" s="167"/>
      <c r="J69" s="203">
        <f>H69/DAY(B2)</f>
        <v>292.97000000000116</v>
      </c>
      <c r="K69" s="84"/>
      <c r="L69" s="68"/>
      <c r="O69" s="73"/>
    </row>
    <row r="70" spans="1:15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O71" s="73"/>
    </row>
    <row r="72" spans="1:15" ht="27.75">
      <c r="A72" s="1226" t="s">
        <v>190</v>
      </c>
      <c r="B72" s="1227"/>
      <c r="C72" s="1228"/>
      <c r="D72" s="174" t="s">
        <v>186</v>
      </c>
      <c r="E72" s="106">
        <f>'1'!F72</f>
        <v>857035</v>
      </c>
      <c r="F72" s="305">
        <v>857042</v>
      </c>
      <c r="G72" s="124">
        <f t="shared" ref="G72:G84" si="5">F72-E72</f>
        <v>7</v>
      </c>
      <c r="H72" s="111">
        <f>G72+'1'!H72</f>
        <v>20</v>
      </c>
      <c r="I72" s="131"/>
      <c r="J72" s="203">
        <f>H72/DAY(B2)</f>
        <v>10</v>
      </c>
      <c r="K72" s="84"/>
      <c r="L72" s="68"/>
      <c r="O72" s="73"/>
    </row>
    <row r="73" spans="1:15" ht="27.75">
      <c r="A73" s="1226" t="s">
        <v>191</v>
      </c>
      <c r="B73" s="1227"/>
      <c r="C73" s="1228"/>
      <c r="D73" s="174" t="s">
        <v>186</v>
      </c>
      <c r="E73" s="106">
        <f>'1'!F73</f>
        <v>886052</v>
      </c>
      <c r="F73" s="306">
        <v>886052</v>
      </c>
      <c r="G73" s="303">
        <f>F73-E73</f>
        <v>0</v>
      </c>
      <c r="H73" s="111">
        <f>G73+'1'!H73</f>
        <v>1</v>
      </c>
      <c r="I73" s="131"/>
      <c r="J73" s="203">
        <f>H73/DAY(B2)</f>
        <v>0.5</v>
      </c>
      <c r="K73" s="83"/>
      <c r="L73" s="68"/>
      <c r="O73" s="73"/>
    </row>
    <row r="74" spans="1:15" ht="27.75">
      <c r="A74" s="1226" t="s">
        <v>192</v>
      </c>
      <c r="B74" s="1227"/>
      <c r="C74" s="1228"/>
      <c r="D74" s="174" t="s">
        <v>186</v>
      </c>
      <c r="E74" s="106">
        <f>'1'!F74</f>
        <v>88766.2</v>
      </c>
      <c r="F74" s="306">
        <v>88770.5</v>
      </c>
      <c r="G74" s="124">
        <f t="shared" si="5"/>
        <v>4.3000000000029104</v>
      </c>
      <c r="H74" s="111">
        <f>G74+'1'!H74</f>
        <v>8.5</v>
      </c>
      <c r="I74" s="131"/>
      <c r="J74" s="203">
        <f>H74/DAY(B2)</f>
        <v>4.25</v>
      </c>
      <c r="K74" s="84"/>
      <c r="L74" s="68"/>
      <c r="O74" s="73"/>
    </row>
    <row r="75" spans="1:15" ht="27.75">
      <c r="A75" s="1229" t="s">
        <v>193</v>
      </c>
      <c r="B75" s="1230"/>
      <c r="C75" s="1231"/>
      <c r="D75" s="174" t="s">
        <v>186</v>
      </c>
      <c r="E75" s="106">
        <f>'1'!F75</f>
        <v>26512.3</v>
      </c>
      <c r="F75" s="307">
        <v>26684.3</v>
      </c>
      <c r="G75" s="124">
        <f t="shared" si="5"/>
        <v>172</v>
      </c>
      <c r="H75" s="111">
        <f>G75+'1'!H75</f>
        <v>376.29999999999927</v>
      </c>
      <c r="I75" s="131"/>
      <c r="J75" s="203">
        <f>H75/DAY(B2)</f>
        <v>188.14999999999964</v>
      </c>
      <c r="K75" s="83"/>
      <c r="L75" s="68"/>
      <c r="O75" s="73"/>
    </row>
    <row r="76" spans="1:15" ht="27.75">
      <c r="A76" s="1229" t="s">
        <v>194</v>
      </c>
      <c r="B76" s="1230"/>
      <c r="C76" s="1231"/>
      <c r="D76" s="174" t="s">
        <v>186</v>
      </c>
      <c r="E76" s="106">
        <f>'1'!F76</f>
        <v>13352.7</v>
      </c>
      <c r="F76" s="306">
        <v>13419.78</v>
      </c>
      <c r="G76" s="124">
        <f t="shared" si="5"/>
        <v>67.079999999999927</v>
      </c>
      <c r="H76" s="111">
        <f>G76+'1'!H76</f>
        <v>142.78000000000065</v>
      </c>
      <c r="I76" s="156"/>
      <c r="J76" s="203">
        <f>H76/DAY(B2)</f>
        <v>71.390000000000327</v>
      </c>
      <c r="K76" s="83"/>
      <c r="L76" s="68"/>
      <c r="O76" s="73"/>
    </row>
    <row r="77" spans="1:15" ht="27.75">
      <c r="A77" s="1226" t="s">
        <v>195</v>
      </c>
      <c r="B77" s="1227"/>
      <c r="C77" s="1228"/>
      <c r="D77" s="174" t="s">
        <v>186</v>
      </c>
      <c r="E77" s="106">
        <f>'1'!F77</f>
        <v>708336</v>
      </c>
      <c r="F77" s="306">
        <v>708393</v>
      </c>
      <c r="G77" s="303">
        <f t="shared" si="5"/>
        <v>57</v>
      </c>
      <c r="H77" s="111">
        <f>G77+'1'!H77</f>
        <v>104</v>
      </c>
      <c r="I77" s="156"/>
      <c r="J77" s="203">
        <f>H77/DAY(B2)</f>
        <v>52</v>
      </c>
      <c r="K77" s="83"/>
      <c r="L77" s="68"/>
      <c r="O77" s="73"/>
    </row>
    <row r="78" spans="1:15" ht="27.75">
      <c r="A78" s="918" t="s">
        <v>196</v>
      </c>
      <c r="B78" s="911"/>
      <c r="C78" s="911"/>
      <c r="D78" s="174" t="s">
        <v>186</v>
      </c>
      <c r="E78" s="106">
        <f>'1'!F78</f>
        <v>682431</v>
      </c>
      <c r="F78" s="307">
        <v>682448</v>
      </c>
      <c r="G78" s="124">
        <f t="shared" si="5"/>
        <v>17</v>
      </c>
      <c r="H78" s="111">
        <f>G78+'1'!H78</f>
        <v>35</v>
      </c>
      <c r="I78" s="156"/>
      <c r="J78" s="203">
        <f>H78/DAY(B2)</f>
        <v>17.5</v>
      </c>
      <c r="K78" s="83"/>
      <c r="L78" s="68"/>
      <c r="O78" s="73"/>
    </row>
    <row r="79" spans="1:15" ht="27.75">
      <c r="A79" s="1229" t="s">
        <v>91</v>
      </c>
      <c r="B79" s="1230"/>
      <c r="C79" s="1231"/>
      <c r="D79" s="175" t="s">
        <v>186</v>
      </c>
      <c r="E79" s="106">
        <f>'1'!F79</f>
        <v>845215</v>
      </c>
      <c r="F79" s="307">
        <v>845387</v>
      </c>
      <c r="G79" s="124">
        <f t="shared" si="5"/>
        <v>172</v>
      </c>
      <c r="H79" s="111">
        <f>G79+'1'!H79</f>
        <v>338</v>
      </c>
      <c r="I79" s="156"/>
      <c r="J79" s="203">
        <f>H79/DAY(B2)</f>
        <v>169</v>
      </c>
      <c r="K79" s="83"/>
      <c r="L79" s="68"/>
      <c r="O79" s="73"/>
    </row>
    <row r="80" spans="1:15" ht="27.75">
      <c r="A80" s="1229" t="s">
        <v>197</v>
      </c>
      <c r="B80" s="1230"/>
      <c r="C80" s="1231"/>
      <c r="D80" s="175" t="s">
        <v>186</v>
      </c>
      <c r="E80" s="106">
        <f>'1'!F80</f>
        <v>564681.56000000006</v>
      </c>
      <c r="F80" s="306">
        <v>565079.64</v>
      </c>
      <c r="G80" s="124">
        <f t="shared" si="5"/>
        <v>398.07999999995809</v>
      </c>
      <c r="H80" s="111">
        <f>G80+'1'!H80</f>
        <v>781.64000000001397</v>
      </c>
      <c r="I80" s="156"/>
      <c r="J80" s="203">
        <f>H80/DAY(B2)</f>
        <v>390.82000000000698</v>
      </c>
      <c r="K80" s="83"/>
      <c r="L80" s="68"/>
      <c r="O80" s="73"/>
    </row>
    <row r="81" spans="1:15" ht="27.75">
      <c r="A81" s="1229" t="s">
        <v>198</v>
      </c>
      <c r="B81" s="1230"/>
      <c r="C81" s="1231"/>
      <c r="D81" s="175" t="s">
        <v>186</v>
      </c>
      <c r="E81" s="106">
        <f>'1'!F81</f>
        <v>654352.80000000005</v>
      </c>
      <c r="F81" s="306">
        <v>654465.64</v>
      </c>
      <c r="G81" s="124">
        <f t="shared" si="5"/>
        <v>112.8399999999674</v>
      </c>
      <c r="H81" s="111">
        <f>G81+'1'!H81</f>
        <v>287.64000000001397</v>
      </c>
      <c r="I81" s="156"/>
      <c r="J81" s="203">
        <f>H81/DAY(B2)</f>
        <v>143.82000000000698</v>
      </c>
      <c r="K81" s="83"/>
      <c r="L81" s="68"/>
      <c r="O81" s="73"/>
    </row>
    <row r="82" spans="1:15" ht="27.75">
      <c r="A82" s="1229" t="s">
        <v>92</v>
      </c>
      <c r="B82" s="1230"/>
      <c r="C82" s="1231"/>
      <c r="D82" s="136" t="s">
        <v>131</v>
      </c>
      <c r="E82" s="106">
        <f>'1'!F82</f>
        <v>109955</v>
      </c>
      <c r="F82" s="302">
        <v>109980.19</v>
      </c>
      <c r="G82" s="124">
        <f t="shared" si="5"/>
        <v>25.190000000002328</v>
      </c>
      <c r="H82" s="111">
        <f>G82+'1'!H82</f>
        <v>55.190000000002328</v>
      </c>
      <c r="I82" s="137"/>
      <c r="J82" s="203">
        <f>H82/DAY(B2)</f>
        <v>27.595000000001164</v>
      </c>
      <c r="K82" s="83"/>
      <c r="L82" s="68"/>
      <c r="O82" s="73"/>
    </row>
    <row r="83" spans="1:15" ht="27.75">
      <c r="A83" s="1229" t="s">
        <v>199</v>
      </c>
      <c r="B83" s="1230"/>
      <c r="C83" s="1231"/>
      <c r="D83" s="271" t="s">
        <v>131</v>
      </c>
      <c r="E83" s="106">
        <f>'1'!F83</f>
        <v>44634</v>
      </c>
      <c r="F83" s="162">
        <v>44907</v>
      </c>
      <c r="G83" s="124">
        <f t="shared" si="5"/>
        <v>273</v>
      </c>
      <c r="H83" s="111">
        <f>G83+'1'!H83</f>
        <v>584</v>
      </c>
      <c r="I83" s="132"/>
      <c r="J83" s="203">
        <f>H83/DAY(B2)</f>
        <v>292</v>
      </c>
      <c r="K83" s="82"/>
      <c r="L83" s="68"/>
      <c r="O83" s="73"/>
    </row>
    <row r="84" spans="1:15">
      <c r="A84" s="919" t="s">
        <v>200</v>
      </c>
      <c r="B84" s="222"/>
      <c r="C84" s="222"/>
      <c r="D84" s="129" t="s">
        <v>131</v>
      </c>
      <c r="E84" s="106">
        <f>'1'!F84</f>
        <v>571119</v>
      </c>
      <c r="F84" s="278">
        <v>571753</v>
      </c>
      <c r="G84" s="124">
        <f t="shared" si="5"/>
        <v>634</v>
      </c>
      <c r="H84" s="111">
        <f>G84+'1'!H84</f>
        <v>1374</v>
      </c>
      <c r="I84" s="132"/>
      <c r="J84" s="203">
        <f>H84/DAY(B2)</f>
        <v>687</v>
      </c>
      <c r="K84" s="71"/>
      <c r="L84" s="68"/>
      <c r="O84" s="73"/>
    </row>
    <row r="85" spans="1:15" s="70" customFormat="1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1939.4899999999307</v>
      </c>
      <c r="H85" s="111">
        <f>G85+'1'!H85</f>
        <v>4108.0500000000302</v>
      </c>
      <c r="I85" s="132"/>
      <c r="J85" s="203">
        <f>H85/DAY(B2)</f>
        <v>2054.0250000000151</v>
      </c>
      <c r="K85" s="71"/>
      <c r="L85" s="69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106">
        <f>'1'!F86</f>
        <v>463341.2</v>
      </c>
      <c r="F86" s="298">
        <v>463353.84</v>
      </c>
      <c r="G86" s="356">
        <f t="shared" ref="G86:G91" si="6">F86-E86</f>
        <v>12.64000000001397</v>
      </c>
      <c r="H86" s="111">
        <f>G86+'1'!H86</f>
        <v>38.840000000025611</v>
      </c>
      <c r="I86" s="303"/>
      <c r="J86" s="358">
        <f>H86/DAY(B2)</f>
        <v>19.420000000012806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106">
        <f>'1'!F87</f>
        <v>83927</v>
      </c>
      <c r="F87" s="298">
        <v>83968.6</v>
      </c>
      <c r="G87" s="356">
        <f t="shared" si="6"/>
        <v>41.600000000005821</v>
      </c>
      <c r="H87" s="111">
        <f>G87+'1'!H87</f>
        <v>69.600000000005821</v>
      </c>
      <c r="I87" s="303"/>
      <c r="J87" s="358">
        <f>H87/DAY(B2)</f>
        <v>34.80000000000291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106">
        <f>'1'!F88</f>
        <v>158212</v>
      </c>
      <c r="F88" s="298">
        <v>158212</v>
      </c>
      <c r="G88" s="356">
        <f t="shared" si="6"/>
        <v>0</v>
      </c>
      <c r="H88" s="111">
        <f>G88+'1'!H88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106">
        <f>'1'!F89</f>
        <v>69161.5</v>
      </c>
      <c r="F89" s="298">
        <v>69224.3</v>
      </c>
      <c r="G89" s="356">
        <f t="shared" si="6"/>
        <v>62.80000000000291</v>
      </c>
      <c r="H89" s="111">
        <f>G89+'1'!H89</f>
        <v>135.30000000000291</v>
      </c>
      <c r="I89" s="303"/>
      <c r="J89" s="358">
        <f>H89/DAY(B2)</f>
        <v>67.650000000001455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106">
        <f>'1'!F90</f>
        <v>3616.9</v>
      </c>
      <c r="F90" s="298">
        <v>3622.3</v>
      </c>
      <c r="G90" s="356">
        <f t="shared" si="6"/>
        <v>5.4000000000000909</v>
      </c>
      <c r="H90" s="111">
        <f>G90+'1'!H90</f>
        <v>11.300000000000182</v>
      </c>
      <c r="I90" s="303"/>
      <c r="J90" s="358">
        <f>H90/DAY(B2)</f>
        <v>5.6500000000000909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/>
      <c r="E91" s="106">
        <f>'1'!F91</f>
        <v>28755</v>
      </c>
      <c r="F91" s="298">
        <v>28765.43</v>
      </c>
      <c r="G91" s="356">
        <f t="shared" si="6"/>
        <v>10.430000000000291</v>
      </c>
      <c r="H91" s="111">
        <f>G91+'1'!H91</f>
        <v>19.430000000000291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21"/>
      <c r="C92" s="921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>
      <c r="A93" s="1245" t="s">
        <v>205</v>
      </c>
      <c r="B93" s="1246"/>
      <c r="C93" s="1247"/>
      <c r="D93" s="174" t="s">
        <v>143</v>
      </c>
      <c r="E93" s="106">
        <f>'1'!F93</f>
        <v>253514</v>
      </c>
      <c r="F93" s="129">
        <v>253605</v>
      </c>
      <c r="G93" s="124">
        <f t="shared" ref="G93:G94" si="7">F93-E93</f>
        <v>91</v>
      </c>
      <c r="H93" s="111">
        <f>G93+'1'!H93</f>
        <v>153</v>
      </c>
      <c r="I93" s="131"/>
      <c r="J93" s="203">
        <f>H93/DAY(B2)</f>
        <v>76.5</v>
      </c>
      <c r="K93" s="82"/>
      <c r="L93" s="68"/>
      <c r="O93" s="73"/>
    </row>
    <row r="94" spans="1:15" ht="27.75">
      <c r="A94" s="1245" t="s">
        <v>206</v>
      </c>
      <c r="B94" s="1246"/>
      <c r="C94" s="1247"/>
      <c r="D94" s="174" t="s">
        <v>143</v>
      </c>
      <c r="E94" s="106">
        <f>'1'!F94</f>
        <v>197822</v>
      </c>
      <c r="F94" s="129">
        <v>197966</v>
      </c>
      <c r="G94" s="124">
        <f t="shared" si="7"/>
        <v>144</v>
      </c>
      <c r="H94" s="111">
        <f>G94+'1'!H94</f>
        <v>307</v>
      </c>
      <c r="I94" s="131"/>
      <c r="J94" s="203">
        <f>H94/DAY(B2)</f>
        <v>153.5</v>
      </c>
      <c r="K94" s="71"/>
      <c r="L94" s="68"/>
      <c r="O94" s="73"/>
    </row>
    <row r="95" spans="1:15">
      <c r="A95" s="1277" t="s">
        <v>207</v>
      </c>
      <c r="B95" s="1278"/>
      <c r="C95" s="1279"/>
      <c r="D95" s="174"/>
      <c r="E95" s="106">
        <f>'1'!F95</f>
        <v>0</v>
      </c>
      <c r="F95" s="129"/>
      <c r="G95" s="124">
        <f>G93+G94</f>
        <v>235</v>
      </c>
      <c r="H95" s="111">
        <f>G95+'1'!H95</f>
        <v>235</v>
      </c>
      <c r="I95" s="131"/>
      <c r="J95" s="203">
        <f>H95/DAY(B2)</f>
        <v>117.5</v>
      </c>
      <c r="K95" s="71"/>
      <c r="L95" s="68"/>
      <c r="O95" s="73"/>
    </row>
    <row r="96" spans="1:15" ht="27.75">
      <c r="A96" s="1245" t="s">
        <v>208</v>
      </c>
      <c r="B96" s="1246"/>
      <c r="C96" s="1247"/>
      <c r="D96" s="174" t="s">
        <v>143</v>
      </c>
      <c r="E96" s="106">
        <f>'1'!F96</f>
        <v>421085</v>
      </c>
      <c r="F96" s="129">
        <v>421169</v>
      </c>
      <c r="G96" s="124">
        <f t="shared" ref="G96:G101" si="8">F96-E96</f>
        <v>84</v>
      </c>
      <c r="H96" s="111">
        <f>G96+'1'!H96</f>
        <v>150</v>
      </c>
      <c r="I96" s="131"/>
      <c r="J96" s="203">
        <f>H96/DAY(B2)</f>
        <v>75</v>
      </c>
      <c r="K96" s="71"/>
      <c r="L96" s="68"/>
      <c r="O96" s="73"/>
    </row>
    <row r="97" spans="1:15" ht="27.75">
      <c r="A97" s="915" t="s">
        <v>209</v>
      </c>
      <c r="B97" s="916"/>
      <c r="C97" s="916"/>
      <c r="D97" s="174" t="s">
        <v>143</v>
      </c>
      <c r="E97" s="106">
        <f>'1'!F97</f>
        <v>104654</v>
      </c>
      <c r="F97" s="129">
        <v>104675</v>
      </c>
      <c r="G97" s="124">
        <f t="shared" si="8"/>
        <v>21</v>
      </c>
      <c r="H97" s="111">
        <f>G97+'1'!H97</f>
        <v>39</v>
      </c>
      <c r="I97" s="131"/>
      <c r="J97" s="203">
        <f>H97/DAY(B2)</f>
        <v>19.5</v>
      </c>
      <c r="K97" s="80"/>
      <c r="L97" s="68"/>
      <c r="O97" s="73"/>
    </row>
    <row r="98" spans="1:15" ht="27.75">
      <c r="A98" s="915" t="s">
        <v>210</v>
      </c>
      <c r="B98" s="916"/>
      <c r="C98" s="916"/>
      <c r="D98" s="174" t="s">
        <v>143</v>
      </c>
      <c r="E98" s="106">
        <f>'1'!F98</f>
        <v>100394</v>
      </c>
      <c r="F98" s="129">
        <v>100431</v>
      </c>
      <c r="G98" s="124">
        <f t="shared" si="8"/>
        <v>37</v>
      </c>
      <c r="H98" s="111">
        <f>G98+'1'!H98</f>
        <v>61</v>
      </c>
      <c r="I98" s="131"/>
      <c r="J98" s="203">
        <f>H98/DAY(B2)</f>
        <v>30.5</v>
      </c>
      <c r="K98" s="85"/>
      <c r="L98" s="68"/>
      <c r="O98" s="73"/>
    </row>
    <row r="99" spans="1:15" ht="27.75">
      <c r="A99" s="915" t="s">
        <v>211</v>
      </c>
      <c r="B99" s="916"/>
      <c r="C99" s="916"/>
      <c r="D99" s="174" t="s">
        <v>143</v>
      </c>
      <c r="E99" s="106">
        <f>'1'!F99</f>
        <v>152146</v>
      </c>
      <c r="F99" s="129">
        <v>152175</v>
      </c>
      <c r="G99" s="124">
        <f t="shared" si="8"/>
        <v>29</v>
      </c>
      <c r="H99" s="111">
        <f>G99+'1'!H99</f>
        <v>40</v>
      </c>
      <c r="I99" s="131"/>
      <c r="J99" s="203">
        <f>H99/DAY(B2)</f>
        <v>20</v>
      </c>
      <c r="K99" s="71"/>
      <c r="L99" s="68"/>
      <c r="O99" s="73"/>
    </row>
    <row r="100" spans="1:15" ht="27.75">
      <c r="A100" s="915" t="s">
        <v>212</v>
      </c>
      <c r="B100" s="916"/>
      <c r="C100" s="916"/>
      <c r="D100" s="174" t="s">
        <v>143</v>
      </c>
      <c r="E100" s="106">
        <f>'1'!F100</f>
        <v>8655</v>
      </c>
      <c r="F100" s="129">
        <v>8664</v>
      </c>
      <c r="G100" s="124">
        <f t="shared" si="8"/>
        <v>9</v>
      </c>
      <c r="H100" s="111">
        <f>G100+'1'!H100</f>
        <v>19</v>
      </c>
      <c r="I100" s="131"/>
      <c r="J100" s="203">
        <f>H100/DAY(B2)</f>
        <v>9.5</v>
      </c>
      <c r="K100" s="71"/>
      <c r="L100" s="68"/>
      <c r="O100" s="73"/>
    </row>
    <row r="101" spans="1:15" ht="27.75">
      <c r="A101" s="915" t="s">
        <v>213</v>
      </c>
      <c r="B101" s="916"/>
      <c r="C101" s="916"/>
      <c r="D101" s="174" t="s">
        <v>143</v>
      </c>
      <c r="E101" s="106">
        <f>'1'!F101</f>
        <v>6382</v>
      </c>
      <c r="F101" s="129">
        <v>6389</v>
      </c>
      <c r="G101" s="124">
        <f t="shared" si="8"/>
        <v>7</v>
      </c>
      <c r="H101" s="111">
        <f>G101+'1'!H101</f>
        <v>16</v>
      </c>
      <c r="I101" s="131"/>
      <c r="J101" s="203">
        <f>H101/DAY(B2)</f>
        <v>8</v>
      </c>
      <c r="K101" s="71"/>
      <c r="L101" s="68"/>
      <c r="O101" s="73"/>
    </row>
    <row r="102" spans="1:15">
      <c r="A102" s="1277" t="s">
        <v>215</v>
      </c>
      <c r="B102" s="1278"/>
      <c r="C102" s="1279"/>
      <c r="D102" s="175"/>
      <c r="E102" s="175"/>
      <c r="F102" s="175"/>
      <c r="G102" s="176">
        <f>SUM(G96:G101)</f>
        <v>187</v>
      </c>
      <c r="H102" s="111">
        <f>G102+'1'!H102</f>
        <v>325</v>
      </c>
      <c r="I102" s="177"/>
      <c r="J102" s="203">
        <f>H102/DAY(B2)</f>
        <v>162.5</v>
      </c>
      <c r="K102" s="71"/>
      <c r="L102" s="68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>
      <c r="A104" s="1280" t="s">
        <v>217</v>
      </c>
      <c r="B104" s="1281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>
      <c r="A105" s="1237" t="s">
        <v>218</v>
      </c>
      <c r="B105" s="1238"/>
      <c r="C105" s="913"/>
      <c r="D105" s="273" t="s">
        <v>143</v>
      </c>
      <c r="E105" s="106">
        <f>'1'!F105</f>
        <v>7961</v>
      </c>
      <c r="F105" s="309">
        <v>7961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>
      <c r="A106" s="1237" t="s">
        <v>76</v>
      </c>
      <c r="B106" s="1238"/>
      <c r="C106" s="913"/>
      <c r="D106" s="273" t="s">
        <v>143</v>
      </c>
      <c r="E106" s="106">
        <f>'1'!F106</f>
        <v>36772</v>
      </c>
      <c r="F106" s="310">
        <v>36781</v>
      </c>
      <c r="G106" s="183">
        <f t="shared" ref="G106:G107" si="9">F106-E106</f>
        <v>9</v>
      </c>
      <c r="H106" s="111">
        <f>G106+'1'!H106</f>
        <v>16</v>
      </c>
      <c r="I106" s="183"/>
      <c r="J106" s="209">
        <f>H106/DAY(B2)</f>
        <v>8</v>
      </c>
      <c r="O106" s="73"/>
    </row>
    <row r="107" spans="1:15" s="93" customFormat="1" ht="27.75">
      <c r="A107" s="1237" t="s">
        <v>77</v>
      </c>
      <c r="B107" s="1282"/>
      <c r="C107" s="1238"/>
      <c r="D107" s="273" t="s">
        <v>143</v>
      </c>
      <c r="E107" s="106">
        <f>'1'!F107</f>
        <v>20224</v>
      </c>
      <c r="F107" s="309">
        <v>20233</v>
      </c>
      <c r="G107" s="183">
        <f t="shared" si="9"/>
        <v>9</v>
      </c>
      <c r="H107" s="111">
        <f>G107+'1'!H107</f>
        <v>19</v>
      </c>
      <c r="I107" s="183"/>
      <c r="J107" s="209">
        <f>H107/DAY(B2)</f>
        <v>9.5</v>
      </c>
      <c r="O107" s="73"/>
    </row>
    <row r="108" spans="1:15" s="93" customFormat="1" ht="27.75">
      <c r="A108" s="1239" t="s">
        <v>201</v>
      </c>
      <c r="B108" s="1240"/>
      <c r="C108" s="913"/>
      <c r="D108" s="273"/>
      <c r="E108" s="183"/>
      <c r="F108" s="309"/>
      <c r="G108" s="183">
        <f>SUM(G105:G107)</f>
        <v>18</v>
      </c>
      <c r="H108" s="111">
        <f>G108+'1'!H108</f>
        <v>35</v>
      </c>
      <c r="I108" s="183"/>
      <c r="J108" s="209">
        <f>H108/DAY(B2)</f>
        <v>17.5</v>
      </c>
      <c r="O108" s="73"/>
    </row>
    <row r="109" spans="1:15" s="93" customFormat="1" ht="27.75">
      <c r="A109" s="1243" t="s">
        <v>78</v>
      </c>
      <c r="B109" s="1244"/>
      <c r="C109" s="913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>
      <c r="A110" s="1237" t="s">
        <v>219</v>
      </c>
      <c r="B110" s="1238"/>
      <c r="C110" s="913"/>
      <c r="D110" s="273" t="s">
        <v>143</v>
      </c>
      <c r="E110" s="106">
        <f>'1'!F110</f>
        <v>69617</v>
      </c>
      <c r="F110" s="309">
        <v>69696</v>
      </c>
      <c r="G110" s="183">
        <f>F110-E110</f>
        <v>79</v>
      </c>
      <c r="H110" s="111">
        <f>G110+'1'!H110</f>
        <v>172</v>
      </c>
      <c r="I110" s="183"/>
      <c r="J110" s="209">
        <f>H110/DAY(B2)</f>
        <v>86</v>
      </c>
      <c r="O110" s="73"/>
    </row>
    <row r="111" spans="1:15" s="93" customFormat="1" ht="27.75">
      <c r="A111" s="1237" t="s">
        <v>220</v>
      </c>
      <c r="B111" s="1238"/>
      <c r="C111" s="913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>
      <c r="A112" s="1237" t="s">
        <v>221</v>
      </c>
      <c r="B112" s="1238"/>
      <c r="C112" s="913"/>
      <c r="D112" s="273" t="s">
        <v>143</v>
      </c>
      <c r="E112" s="106">
        <f>'1'!F112</f>
        <v>4788</v>
      </c>
      <c r="F112" s="309">
        <v>4788</v>
      </c>
      <c r="G112" s="183">
        <f t="shared" si="10"/>
        <v>0</v>
      </c>
      <c r="H112" s="111">
        <f>G112+'1'!H112</f>
        <v>0</v>
      </c>
      <c r="I112" s="183"/>
      <c r="J112" s="209">
        <f>H112/DAY(B2)</f>
        <v>0</v>
      </c>
      <c r="O112" s="73"/>
    </row>
    <row r="113" spans="1:15" s="93" customFormat="1" ht="27.75">
      <c r="A113" s="1241" t="s">
        <v>109</v>
      </c>
      <c r="B113" s="1242"/>
      <c r="C113" s="913"/>
      <c r="D113" s="273"/>
      <c r="E113" s="183"/>
      <c r="F113" s="309"/>
      <c r="G113" s="183">
        <f>SUM(G110:G112)</f>
        <v>79</v>
      </c>
      <c r="H113" s="111">
        <f>G113+'1'!H113</f>
        <v>172</v>
      </c>
      <c r="I113" s="183"/>
      <c r="J113" s="209">
        <f>H113/DAY(B2)</f>
        <v>86</v>
      </c>
      <c r="O113" s="73"/>
    </row>
    <row r="114" spans="1:15" s="93" customFormat="1" ht="27.75">
      <c r="A114" s="1243" t="s">
        <v>222</v>
      </c>
      <c r="B114" s="1244"/>
      <c r="C114" s="913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>
      <c r="A115" s="1237" t="s">
        <v>223</v>
      </c>
      <c r="B115" s="1238"/>
      <c r="C115" s="225"/>
      <c r="D115" s="273" t="s">
        <v>143</v>
      </c>
      <c r="E115" s="106">
        <f>'1'!F115</f>
        <v>13051</v>
      </c>
      <c r="F115" s="310">
        <v>13062</v>
      </c>
      <c r="G115" s="185">
        <f>F115-E115</f>
        <v>11</v>
      </c>
      <c r="H115" s="111">
        <f>G115+'1'!H115</f>
        <v>24</v>
      </c>
      <c r="I115" s="183"/>
      <c r="J115" s="209">
        <f>H115/DAY(B2)</f>
        <v>12</v>
      </c>
      <c r="O115" s="73"/>
    </row>
    <row r="116" spans="1:15" s="93" customFormat="1" ht="27.75">
      <c r="A116" s="1237" t="s">
        <v>224</v>
      </c>
      <c r="B116" s="1238"/>
      <c r="C116" s="225"/>
      <c r="D116" s="273" t="s">
        <v>143</v>
      </c>
      <c r="E116" s="106">
        <f>'1'!F116</f>
        <v>9133</v>
      </c>
      <c r="F116" s="310">
        <v>9146</v>
      </c>
      <c r="G116" s="185">
        <f t="shared" ref="G116:G117" si="11">F116-E116</f>
        <v>13</v>
      </c>
      <c r="H116" s="111">
        <f>G116+'1'!H116</f>
        <v>20</v>
      </c>
      <c r="I116" s="183"/>
      <c r="J116" s="209">
        <f>H116/DAY(B2)</f>
        <v>10</v>
      </c>
      <c r="O116" s="73"/>
    </row>
    <row r="117" spans="1:15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24</v>
      </c>
      <c r="H118" s="111">
        <f>G118+'1'!H118</f>
        <v>44</v>
      </c>
      <c r="I118" s="185"/>
      <c r="J118" s="209">
        <f>H118/DAY(B2)</f>
        <v>22</v>
      </c>
      <c r="O118" s="73"/>
    </row>
    <row r="119" spans="1:15" s="97" customFormat="1" ht="27.75">
      <c r="A119" s="1233" t="s">
        <v>226</v>
      </c>
      <c r="B119" s="1234"/>
      <c r="C119" s="912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G119+'1'!H119</f>
        <v>282</v>
      </c>
      <c r="I119" s="186"/>
      <c r="J119" s="210">
        <f>H119/DAY(B2)</f>
        <v>141</v>
      </c>
      <c r="O119" s="73"/>
    </row>
    <row r="120" spans="1:15" s="97" customFormat="1" ht="27.75">
      <c r="A120" s="1233" t="s">
        <v>227</v>
      </c>
      <c r="B120" s="1234"/>
      <c r="C120" s="912"/>
      <c r="D120" s="275" t="s">
        <v>143</v>
      </c>
      <c r="E120" s="187"/>
      <c r="F120" s="311">
        <f>SUM(G96,G97,G98,G100,G101)</f>
        <v>158</v>
      </c>
      <c r="G120" s="187">
        <f>SUM(G96,G97,G98,G100,G101)</f>
        <v>158</v>
      </c>
      <c r="H120" s="111">
        <f>G120+'1'!H120</f>
        <v>285</v>
      </c>
      <c r="I120" s="186"/>
      <c r="J120" s="210">
        <f>H120/DAY(B2)</f>
        <v>142.5</v>
      </c>
      <c r="O120" s="73"/>
    </row>
    <row r="121" spans="1:15" s="97" customFormat="1" ht="27.75">
      <c r="A121" s="1233" t="s">
        <v>228</v>
      </c>
      <c r="B121" s="1234"/>
      <c r="C121" s="912"/>
      <c r="D121" s="275" t="s">
        <v>143</v>
      </c>
      <c r="E121" s="185"/>
      <c r="F121" s="310">
        <f>SUM(G113)</f>
        <v>79</v>
      </c>
      <c r="G121" s="185">
        <f>SUM(G113)</f>
        <v>79</v>
      </c>
      <c r="H121" s="111">
        <f>G121+'1'!H121</f>
        <v>172</v>
      </c>
      <c r="I121" s="186"/>
      <c r="J121" s="210">
        <f>H121/DAY(B2)</f>
        <v>86</v>
      </c>
      <c r="O121" s="73"/>
    </row>
    <row r="122" spans="1:15" s="93" customFormat="1" ht="27.75">
      <c r="A122" s="1235"/>
      <c r="B122" s="1236"/>
      <c r="C122" s="913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>
      <c r="A124" s="915" t="s">
        <v>230</v>
      </c>
      <c r="B124" s="916"/>
      <c r="C124" s="916"/>
      <c r="D124" s="174" t="s">
        <v>140</v>
      </c>
      <c r="E124" s="106">
        <f>'1'!F124</f>
        <v>856617</v>
      </c>
      <c r="F124" s="129">
        <v>856830.16</v>
      </c>
      <c r="G124" s="124">
        <f t="shared" ref="G124:G128" si="12">F124-E124</f>
        <v>213.1600000000326</v>
      </c>
      <c r="H124" s="111">
        <f>G124+'1'!H124</f>
        <v>478.1600000000326</v>
      </c>
      <c r="I124" s="177"/>
      <c r="J124" s="203">
        <f>H124/DAY(B2)</f>
        <v>239.0800000000163</v>
      </c>
      <c r="K124" s="71"/>
      <c r="L124" s="68"/>
      <c r="O124" s="73"/>
    </row>
    <row r="125" spans="1:15" ht="27.75">
      <c r="A125" s="915" t="s">
        <v>231</v>
      </c>
      <c r="B125" s="916"/>
      <c r="C125" s="916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>
      <c r="A126" s="1226" t="s">
        <v>232</v>
      </c>
      <c r="B126" s="1227"/>
      <c r="C126" s="1228"/>
      <c r="D126" s="174" t="s">
        <v>140</v>
      </c>
      <c r="E126" s="106">
        <f>'1'!F126</f>
        <v>154165.79999999999</v>
      </c>
      <c r="F126" s="129">
        <v>154251.19</v>
      </c>
      <c r="G126" s="124">
        <f t="shared" si="12"/>
        <v>85.39000000001397</v>
      </c>
      <c r="H126" s="111">
        <f>G126+'1'!H126</f>
        <v>174.19000000000233</v>
      </c>
      <c r="I126" s="177"/>
      <c r="J126" s="203">
        <f>H126/DAY(B2)</f>
        <v>87.095000000001164</v>
      </c>
      <c r="K126" s="71"/>
      <c r="L126" s="68"/>
      <c r="O126" s="73"/>
    </row>
    <row r="127" spans="1:15" ht="27.75">
      <c r="A127" s="260" t="s">
        <v>233</v>
      </c>
      <c r="B127" s="916"/>
      <c r="C127" s="916"/>
      <c r="D127" s="174" t="s">
        <v>140</v>
      </c>
      <c r="E127" s="106">
        <f>'1'!F127</f>
        <v>34673.1</v>
      </c>
      <c r="F127" s="277">
        <v>34720.300000000003</v>
      </c>
      <c r="G127" s="124">
        <f t="shared" si="12"/>
        <v>47.200000000004366</v>
      </c>
      <c r="H127" s="111">
        <f>G127+'1'!H127</f>
        <v>91.30000000000291</v>
      </c>
      <c r="I127" s="177"/>
      <c r="J127" s="203">
        <f>H127/DAY(B2)</f>
        <v>45.650000000001455</v>
      </c>
      <c r="K127" s="71"/>
      <c r="L127" s="68"/>
      <c r="O127" s="73"/>
    </row>
    <row r="128" spans="1:15" ht="27.75">
      <c r="A128" s="260" t="s">
        <v>234</v>
      </c>
      <c r="B128" s="916"/>
      <c r="C128" s="916"/>
      <c r="D128" s="174" t="s">
        <v>140</v>
      </c>
      <c r="E128" s="106">
        <f>'1'!F128</f>
        <v>9181.9</v>
      </c>
      <c r="F128" s="277">
        <v>9183.2000000000007</v>
      </c>
      <c r="G128" s="124">
        <f t="shared" si="12"/>
        <v>1.3000000000010914</v>
      </c>
      <c r="H128" s="111">
        <f>G128+'1'!H128</f>
        <v>3.2000000000007276</v>
      </c>
      <c r="I128" s="131"/>
      <c r="J128" s="203">
        <f>H128/DAY(B2)</f>
        <v>1.6000000000003638</v>
      </c>
      <c r="K128" s="71"/>
      <c r="L128" s="68"/>
      <c r="O128" s="73"/>
    </row>
    <row r="129" spans="1:15" s="57" customFormat="1" ht="27.75">
      <c r="A129" s="260" t="s">
        <v>235</v>
      </c>
      <c r="B129" s="916"/>
      <c r="C129" s="916"/>
      <c r="D129" s="174"/>
      <c r="E129" s="129"/>
      <c r="F129" s="129"/>
      <c r="G129" s="124">
        <f>G15-SUM(G124:G128)</f>
        <v>513.97999999997592</v>
      </c>
      <c r="H129" s="111">
        <f>G129+'1'!H129</f>
        <v>1059.6699999999801</v>
      </c>
      <c r="I129" s="131"/>
      <c r="J129" s="203">
        <f>H129/DAY(B2)</f>
        <v>529.83499999999003</v>
      </c>
      <c r="K129" s="60"/>
      <c r="L129" s="58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915" t="s">
        <v>237</v>
      </c>
      <c r="B131" s="916"/>
      <c r="C131" s="916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>
      <c r="A132" s="915" t="s">
        <v>239</v>
      </c>
      <c r="B132" s="916"/>
      <c r="C132" s="916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>
      <c r="A133" s="915" t="s">
        <v>240</v>
      </c>
      <c r="B133" s="916"/>
      <c r="C133" s="916"/>
      <c r="D133" s="174" t="s">
        <v>238</v>
      </c>
      <c r="E133" s="106">
        <f>'1'!F133</f>
        <v>40921.53</v>
      </c>
      <c r="F133" s="302">
        <v>40921.53</v>
      </c>
      <c r="G133" s="124">
        <f t="shared" si="13"/>
        <v>0</v>
      </c>
      <c r="H133" s="111">
        <f>G133+'1'!H133</f>
        <v>-0.47000000000116415</v>
      </c>
      <c r="I133" s="131"/>
      <c r="J133" s="203">
        <f>H133/DAY(B2)</f>
        <v>-0.23500000000058208</v>
      </c>
      <c r="O133" s="73"/>
    </row>
    <row r="134" spans="1:15" ht="27.75">
      <c r="A134" s="915" t="s">
        <v>241</v>
      </c>
      <c r="B134" s="916"/>
      <c r="C134" s="916"/>
      <c r="D134" s="174" t="s">
        <v>238</v>
      </c>
      <c r="E134" s="106">
        <f>'1'!F134</f>
        <v>880.27</v>
      </c>
      <c r="F134" s="302">
        <v>904.27</v>
      </c>
      <c r="G134" s="124">
        <f t="shared" si="13"/>
        <v>24</v>
      </c>
      <c r="H134" s="111">
        <f>G134+'1'!H134</f>
        <v>48.269999999999982</v>
      </c>
      <c r="I134" s="131">
        <f>G133+G134+G135+G136</f>
        <v>32.149999999994179</v>
      </c>
      <c r="J134" s="203">
        <f>H134/DAY(B2)</f>
        <v>24.134999999999991</v>
      </c>
      <c r="O134" s="73"/>
    </row>
    <row r="135" spans="1:15" ht="27.75">
      <c r="A135" s="915" t="s">
        <v>242</v>
      </c>
      <c r="B135" s="916"/>
      <c r="C135" s="916"/>
      <c r="D135" s="174" t="s">
        <v>238</v>
      </c>
      <c r="E135" s="106">
        <f>'1'!F135</f>
        <v>42822.14</v>
      </c>
      <c r="F135" s="302">
        <v>42822.14</v>
      </c>
      <c r="G135" s="124">
        <f t="shared" si="13"/>
        <v>0</v>
      </c>
      <c r="H135" s="111">
        <f>G135+'1'!H135</f>
        <v>0.13999999999941792</v>
      </c>
      <c r="I135" s="131"/>
      <c r="J135" s="203">
        <f>H135/DAY(B2)</f>
        <v>6.9999999999708962E-2</v>
      </c>
      <c r="O135" s="73"/>
    </row>
    <row r="136" spans="1:15" ht="27.75">
      <c r="A136" s="915" t="s">
        <v>243</v>
      </c>
      <c r="B136" s="916"/>
      <c r="C136" s="916"/>
      <c r="D136" s="174" t="s">
        <v>238</v>
      </c>
      <c r="E136" s="106">
        <f>'1'!F136</f>
        <v>32943.19</v>
      </c>
      <c r="F136" s="302">
        <v>32951.339999999997</v>
      </c>
      <c r="G136" s="124">
        <f t="shared" si="13"/>
        <v>8.1499999999941792</v>
      </c>
      <c r="H136" s="111">
        <f>G136+'1'!H136</f>
        <v>23.339999999996508</v>
      </c>
      <c r="I136" s="131"/>
      <c r="J136" s="203">
        <f>H136/DAY(B2)</f>
        <v>11.669999999998254</v>
      </c>
      <c r="O136" s="73"/>
    </row>
    <row r="137" spans="1:15" ht="27.75">
      <c r="A137" s="915" t="s">
        <v>244</v>
      </c>
      <c r="B137" s="916"/>
      <c r="C137" s="916"/>
      <c r="D137" s="174" t="s">
        <v>238</v>
      </c>
      <c r="E137" s="106">
        <f>'1'!F137</f>
        <v>23366.54</v>
      </c>
      <c r="F137" s="302">
        <v>23376.959999999999</v>
      </c>
      <c r="G137" s="124">
        <f t="shared" si="13"/>
        <v>10.419999999998254</v>
      </c>
      <c r="H137" s="111">
        <f>G137+'1'!H137</f>
        <v>20.529999999998836</v>
      </c>
      <c r="I137" s="131"/>
      <c r="J137" s="203">
        <f>H137/DAY(B2)</f>
        <v>10.264999999999418</v>
      </c>
      <c r="O137" s="73"/>
    </row>
    <row r="138" spans="1:15" ht="27.75">
      <c r="A138" s="915" t="s">
        <v>245</v>
      </c>
      <c r="B138" s="916"/>
      <c r="C138" s="916"/>
      <c r="D138" s="174" t="s">
        <v>238</v>
      </c>
      <c r="E138" s="106">
        <f>'1'!F138</f>
        <v>25132.98</v>
      </c>
      <c r="F138" s="302">
        <v>25132.98</v>
      </c>
      <c r="G138" s="124">
        <f t="shared" si="13"/>
        <v>0</v>
      </c>
      <c r="H138" s="111">
        <f>G138+'1'!H138</f>
        <v>2.0000000000436557E-2</v>
      </c>
      <c r="I138" s="131"/>
      <c r="J138" s="203">
        <f>H138/DAY(B2)</f>
        <v>1.0000000000218279E-2</v>
      </c>
      <c r="O138" s="73"/>
    </row>
    <row r="139" spans="1:15" ht="27.75">
      <c r="A139" s="915" t="s">
        <v>246</v>
      </c>
      <c r="B139" s="916"/>
      <c r="C139" s="916"/>
      <c r="D139" s="174" t="s">
        <v>238</v>
      </c>
      <c r="E139" s="106">
        <f>'1'!F139</f>
        <v>70525.67</v>
      </c>
      <c r="F139" s="302">
        <v>70526</v>
      </c>
      <c r="G139" s="124">
        <f t="shared" si="13"/>
        <v>0.33000000000174623</v>
      </c>
      <c r="H139" s="111">
        <f>G139+'1'!H139</f>
        <v>1.4499999999970896</v>
      </c>
      <c r="I139" s="131">
        <f>G137+G138+G139</f>
        <v>10.75</v>
      </c>
      <c r="J139" s="203">
        <f>H139/DAY(B2)</f>
        <v>0.72499999999854481</v>
      </c>
      <c r="O139" s="73"/>
    </row>
    <row r="140" spans="1:15" ht="27.75">
      <c r="A140" s="915" t="s">
        <v>247</v>
      </c>
      <c r="B140" s="916"/>
      <c r="C140" s="916"/>
      <c r="D140" s="174" t="s">
        <v>238</v>
      </c>
      <c r="E140" s="106">
        <f>'1'!F140</f>
        <v>2638.17</v>
      </c>
      <c r="F140" s="129">
        <v>2646.38</v>
      </c>
      <c r="G140" s="124">
        <f t="shared" si="13"/>
        <v>8.2100000000000364</v>
      </c>
      <c r="H140" s="111">
        <f>G140+'1'!H140</f>
        <v>18.400000000000091</v>
      </c>
      <c r="I140" s="193"/>
      <c r="J140" s="203">
        <f>H140/DAY(B2)</f>
        <v>9.2000000000000455</v>
      </c>
      <c r="O140" s="73"/>
    </row>
    <row r="141" spans="1:15" ht="27.75">
      <c r="A141" s="915" t="s">
        <v>248</v>
      </c>
      <c r="B141" s="916"/>
      <c r="C141" s="916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8.2100000000000364</v>
      </c>
      <c r="J141" s="203">
        <f>H141/DAY(B2)</f>
        <v>-0.16499999999996362</v>
      </c>
      <c r="O141" s="73"/>
    </row>
    <row r="142" spans="1:15">
      <c r="A142" s="1248" t="s">
        <v>249</v>
      </c>
      <c r="B142" s="1249"/>
      <c r="C142" s="921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5935.0699999999533</v>
      </c>
      <c r="H143" s="111">
        <f>G143+'1'!H143</f>
        <v>12078.199999999953</v>
      </c>
      <c r="I143" s="131"/>
      <c r="J143" s="203">
        <f>H143/DAY(B2)</f>
        <v>6039.0999999999767</v>
      </c>
      <c r="K143" s="71"/>
      <c r="L143" s="68"/>
      <c r="O143" s="73"/>
    </row>
    <row r="144" spans="1:15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0.25957473980508494</v>
      </c>
      <c r="H144" s="111">
        <f>G144+'1'!H144</f>
        <v>0.5153742452059924</v>
      </c>
      <c r="I144" s="195"/>
      <c r="J144" s="203">
        <f>H144/DAY(B2)</f>
        <v>0.2576871226029962</v>
      </c>
      <c r="K144" s="71"/>
      <c r="L144" s="68"/>
      <c r="O144" s="73"/>
    </row>
    <row r="145" spans="1:15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6815.1400000000431</v>
      </c>
      <c r="H145" s="111">
        <f>G145+'1'!H145</f>
        <v>14807.140000000043</v>
      </c>
      <c r="I145" s="131"/>
      <c r="J145" s="203">
        <f>H145/DAY(B2)</f>
        <v>7403.5700000000215</v>
      </c>
      <c r="K145" s="71"/>
      <c r="L145" s="68"/>
      <c r="O145" s="73"/>
    </row>
    <row r="146" spans="1:15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0.29806526161195263</v>
      </c>
      <c r="H146" s="111">
        <f>G146+'1'!H146</f>
        <v>0.63085158506010564</v>
      </c>
      <c r="I146" s="195"/>
      <c r="J146" s="203">
        <f>H146/DAY(B2)</f>
        <v>0.31542579253005282</v>
      </c>
      <c r="K146" s="71"/>
      <c r="L146" s="68"/>
      <c r="O146" s="73"/>
    </row>
    <row r="147" spans="1:15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3969.5199999999995</v>
      </c>
      <c r="H147" s="111">
        <f>G147+'1'!H147</f>
        <v>7683.48</v>
      </c>
      <c r="I147" s="196"/>
      <c r="J147" s="203">
        <f>H147/DAY(B2)</f>
        <v>3841.74</v>
      </c>
      <c r="K147" s="71"/>
      <c r="L147" s="68"/>
      <c r="O147" s="73"/>
    </row>
    <row r="148" spans="1:15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0.17360993571282035</v>
      </c>
      <c r="H148" s="111">
        <f>G148+'1'!H148</f>
        <v>0.32825897147777311</v>
      </c>
      <c r="I148" s="196"/>
      <c r="J148" s="203">
        <f>H148/DAY(B2)</f>
        <v>0.16412948573888655</v>
      </c>
      <c r="O148" s="73"/>
    </row>
    <row r="149" spans="1:15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1746.0700000000006</v>
      </c>
      <c r="H149" s="111">
        <f>G149+'1'!H149</f>
        <v>3414.3700000000008</v>
      </c>
      <c r="I149" s="131"/>
      <c r="J149" s="203">
        <f>H149/DAY(B2)</f>
        <v>1707.1850000000004</v>
      </c>
      <c r="K149" s="72"/>
      <c r="O149" s="73"/>
    </row>
    <row r="150" spans="1:15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7.6365681606361563E-2</v>
      </c>
      <c r="H150" s="111">
        <f>G150+'1'!H150</f>
        <v>0.14583357742825268</v>
      </c>
      <c r="I150" s="196"/>
      <c r="J150" s="203">
        <f>H150/DAY(B2)</f>
        <v>7.2916788714126338E-2</v>
      </c>
      <c r="O150" s="73"/>
    </row>
    <row r="151" spans="1:15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2390.9100000000371</v>
      </c>
      <c r="H151" s="111">
        <f>G151+'1'!H151</f>
        <v>4936.8700000000372</v>
      </c>
      <c r="I151" s="196"/>
      <c r="J151" s="203">
        <f>H151/DAY(B2)</f>
        <v>2468.4350000000186</v>
      </c>
      <c r="O151" s="73"/>
    </row>
    <row r="152" spans="1:15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0.10456824285937488</v>
      </c>
      <c r="H152" s="111">
        <f>G152+'1'!H152</f>
        <v>0.2105818399622352</v>
      </c>
      <c r="I152" s="131"/>
      <c r="J152" s="203">
        <f>H152/DAY(B2)</f>
        <v>0.1052909199811176</v>
      </c>
      <c r="O152" s="73"/>
    </row>
    <row r="153" spans="1:15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1548.17</v>
      </c>
      <c r="H153" s="111">
        <f>G153+'1'!H153</f>
        <v>3071.2</v>
      </c>
      <c r="I153" s="131"/>
      <c r="J153" s="203">
        <f>H153/DAY(B2)</f>
        <v>1535.6</v>
      </c>
      <c r="O153" s="73"/>
    </row>
    <row r="154" spans="1:15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6.7710376612919732E-2</v>
      </c>
      <c r="H154" s="111">
        <f>G154+'1'!H154</f>
        <v>0.13112923975121307</v>
      </c>
      <c r="I154" s="219"/>
      <c r="J154" s="220">
        <f>H154/DAY(B2)</f>
        <v>6.5564619875606536E-2</v>
      </c>
      <c r="O154" s="73"/>
    </row>
    <row r="155" spans="1:1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>
      <c r="A158" s="1286" t="s">
        <v>266</v>
      </c>
      <c r="B158" s="1287"/>
      <c r="C158" s="1287"/>
      <c r="D158" s="1287"/>
      <c r="E158" s="1287"/>
      <c r="F158" s="1287"/>
      <c r="G158" s="1288"/>
    </row>
    <row r="159" spans="1:15">
      <c r="A159" s="435"/>
      <c r="B159" s="436"/>
      <c r="C159" s="436"/>
      <c r="D159" s="162"/>
      <c r="E159" s="106"/>
      <c r="F159" s="309"/>
      <c r="G159" s="124"/>
    </row>
    <row r="160" spans="1:15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106">
        <f>'1'!F161</f>
        <v>45875.9</v>
      </c>
      <c r="F161" s="309">
        <v>45956.68</v>
      </c>
      <c r="G161" s="124">
        <f t="shared" ref="G161:G176" si="14">F161-E161</f>
        <v>80.779999999998836</v>
      </c>
    </row>
    <row r="162" spans="1:15">
      <c r="A162" s="435" t="s">
        <v>263</v>
      </c>
      <c r="B162" s="436"/>
      <c r="C162" s="436"/>
      <c r="D162" s="162" t="s">
        <v>186</v>
      </c>
      <c r="E162" s="106">
        <f>'1'!F162</f>
        <v>137039</v>
      </c>
      <c r="F162" s="309">
        <v>137513.63</v>
      </c>
      <c r="G162" s="124">
        <f t="shared" si="14"/>
        <v>474.63000000000466</v>
      </c>
    </row>
    <row r="163" spans="1:15">
      <c r="A163" s="435" t="s">
        <v>264</v>
      </c>
      <c r="B163" s="436"/>
      <c r="C163" s="436"/>
      <c r="D163" s="162" t="s">
        <v>186</v>
      </c>
      <c r="E163" s="106">
        <f>'1'!F163</f>
        <v>64017.5</v>
      </c>
      <c r="F163" s="309">
        <v>64230</v>
      </c>
      <c r="G163" s="124">
        <f t="shared" si="14"/>
        <v>212.5</v>
      </c>
    </row>
    <row r="164" spans="1:15">
      <c r="A164" s="435" t="s">
        <v>265</v>
      </c>
      <c r="B164" s="436"/>
      <c r="C164" s="436"/>
      <c r="D164" s="162" t="s">
        <v>186</v>
      </c>
      <c r="E164" s="106">
        <f>'1'!F164</f>
        <v>7475.81</v>
      </c>
      <c r="F164" s="309">
        <v>7487.38</v>
      </c>
      <c r="G164" s="124">
        <f t="shared" si="14"/>
        <v>11.569999999999709</v>
      </c>
    </row>
    <row r="165" spans="1:15">
      <c r="A165" s="437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>
      <c r="A166" s="437" t="s">
        <v>187</v>
      </c>
      <c r="B166" s="255"/>
      <c r="C166" s="255"/>
      <c r="D166" s="162" t="s">
        <v>186</v>
      </c>
      <c r="E166" s="106">
        <f>'1'!F166</f>
        <v>2472</v>
      </c>
      <c r="F166" s="165">
        <v>2472</v>
      </c>
      <c r="G166" s="124">
        <f t="shared" si="14"/>
        <v>0</v>
      </c>
    </row>
    <row r="167" spans="1:15" ht="27.75">
      <c r="A167" s="1232" t="s">
        <v>98</v>
      </c>
      <c r="B167" s="1232"/>
      <c r="C167" s="1232"/>
      <c r="D167" s="174" t="s">
        <v>186</v>
      </c>
      <c r="E167" s="106">
        <f>'1'!F167</f>
        <v>194669</v>
      </c>
      <c r="F167" s="165">
        <f t="shared" ref="F167:F172" si="15">F64</f>
        <v>195063.49</v>
      </c>
      <c r="G167" s="124">
        <f t="shared" si="14"/>
        <v>394.48999999999069</v>
      </c>
    </row>
    <row r="168" spans="1:15" ht="27.75">
      <c r="A168" s="1232" t="s">
        <v>99</v>
      </c>
      <c r="B168" s="1232"/>
      <c r="C168" s="1232"/>
      <c r="D168" s="174" t="s">
        <v>186</v>
      </c>
      <c r="E168" s="106">
        <f>'1'!F168</f>
        <v>194668</v>
      </c>
      <c r="F168" s="165">
        <f t="shared" si="15"/>
        <v>195435.35</v>
      </c>
      <c r="G168" s="124">
        <f t="shared" si="14"/>
        <v>767.35000000000582</v>
      </c>
    </row>
    <row r="169" spans="1:15" ht="27.75">
      <c r="A169" s="1232" t="s">
        <v>100</v>
      </c>
      <c r="B169" s="1232"/>
      <c r="C169" s="1232"/>
      <c r="D169" s="174" t="s">
        <v>186</v>
      </c>
      <c r="E169" s="106">
        <f>'1'!F169</f>
        <v>93762.9</v>
      </c>
      <c r="F169" s="165">
        <f t="shared" si="15"/>
        <v>94169.71</v>
      </c>
      <c r="G169" s="124">
        <f t="shared" si="14"/>
        <v>406.81000000001222</v>
      </c>
    </row>
    <row r="170" spans="1:15" ht="27.75">
      <c r="A170" s="1232" t="s">
        <v>101</v>
      </c>
      <c r="B170" s="1232"/>
      <c r="C170" s="1232"/>
      <c r="D170" s="174" t="s">
        <v>186</v>
      </c>
      <c r="E170" s="106">
        <f>'1'!F170</f>
        <v>295338</v>
      </c>
      <c r="F170" s="165">
        <f t="shared" si="15"/>
        <v>295735.23</v>
      </c>
      <c r="G170" s="124">
        <f t="shared" si="14"/>
        <v>397.22999999998137</v>
      </c>
    </row>
    <row r="171" spans="1:15" ht="27.75">
      <c r="A171" s="1232" t="s">
        <v>102</v>
      </c>
      <c r="B171" s="1232"/>
      <c r="C171" s="1232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>
      <c r="A172" s="1232" t="s">
        <v>103</v>
      </c>
      <c r="B172" s="1232"/>
      <c r="C172" s="1232"/>
      <c r="D172" s="174" t="s">
        <v>186</v>
      </c>
      <c r="E172" s="106">
        <f>'1'!F172</f>
        <v>106700</v>
      </c>
      <c r="F172" s="165">
        <f t="shared" si="15"/>
        <v>106991.94</v>
      </c>
      <c r="G172" s="124">
        <f t="shared" si="14"/>
        <v>291.94000000000233</v>
      </c>
    </row>
    <row r="173" spans="1:15" ht="27.75">
      <c r="A173" s="1116"/>
      <c r="B173" s="1136"/>
      <c r="C173" s="1137"/>
      <c r="D173" s="174"/>
      <c r="E173" s="106"/>
      <c r="F173" s="1140"/>
      <c r="G173" s="124"/>
    </row>
    <row r="174" spans="1:15" ht="21.95" customHeight="1">
      <c r="A174" s="1273" t="s">
        <v>337</v>
      </c>
      <c r="B174" s="1236"/>
      <c r="C174" s="435"/>
      <c r="D174" s="1106" t="s">
        <v>186</v>
      </c>
      <c r="E174" s="106">
        <f>'1'!F174</f>
        <v>19221</v>
      </c>
      <c r="F174" s="1141">
        <v>19224.2</v>
      </c>
      <c r="G174" s="124">
        <f t="shared" si="14"/>
        <v>3.2000000000007276</v>
      </c>
      <c r="O174" s="68"/>
    </row>
    <row r="175" spans="1:15" ht="21.95" customHeight="1">
      <c r="A175" s="1273" t="s">
        <v>337</v>
      </c>
      <c r="B175" s="1236"/>
      <c r="C175" s="105"/>
      <c r="D175" s="1106" t="s">
        <v>186</v>
      </c>
      <c r="E175" s="106">
        <f>'1'!F175</f>
        <v>70739</v>
      </c>
      <c r="F175" s="1141">
        <v>70747.3</v>
      </c>
      <c r="G175" s="124">
        <f t="shared" si="14"/>
        <v>8.3000000000029104</v>
      </c>
      <c r="O175" s="68"/>
    </row>
    <row r="176" spans="1:15" ht="21.95" customHeight="1">
      <c r="A176" s="1273" t="s">
        <v>338</v>
      </c>
      <c r="B176" s="1236"/>
      <c r="C176" s="105"/>
      <c r="D176" s="1106" t="s">
        <v>186</v>
      </c>
      <c r="E176" s="106">
        <f>'1'!F176</f>
        <v>27968</v>
      </c>
      <c r="F176" s="1141">
        <v>27974</v>
      </c>
      <c r="G176" s="124">
        <f t="shared" si="14"/>
        <v>6</v>
      </c>
      <c r="O176" s="68"/>
    </row>
    <row r="177" ht="18.75" customHeight="1"/>
    <row r="178" ht="18.75" customHeight="1"/>
    <row r="179" ht="18.75" customHeight="1"/>
    <row r="180" ht="18.75" customHeight="1"/>
    <row r="181" ht="18.75" customHeight="1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4"/>
  <sheetViews>
    <sheetView view="pageBreakPreview" topLeftCell="A64" zoomScale="55" zoomScaleSheetLayoutView="55" workbookViewId="0">
      <selection activeCell="H87" sqref="H87"/>
    </sheetView>
  </sheetViews>
  <sheetFormatPr defaultColWidth="22.33203125" defaultRowHeight="29.2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5" s="57" customFormat="1" ht="27">
      <c r="A2" s="226" t="s">
        <v>355</v>
      </c>
      <c r="B2" s="682">
        <v>44442</v>
      </c>
      <c r="C2" s="917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17" t="s">
        <v>119</v>
      </c>
      <c r="D3" s="263">
        <v>29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917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327" t="s">
        <v>130</v>
      </c>
      <c r="B7" s="328"/>
      <c r="C7" s="328"/>
      <c r="D7" s="288" t="s">
        <v>131</v>
      </c>
      <c r="E7" s="106">
        <f>'2'!F7</f>
        <v>345571</v>
      </c>
      <c r="F7" s="106">
        <v>367216.87</v>
      </c>
      <c r="G7" s="340">
        <f>F7-E7</f>
        <v>21645.869999999995</v>
      </c>
      <c r="H7" s="330">
        <f>G7+'2'!H7</f>
        <v>68525.87</v>
      </c>
      <c r="I7" s="331">
        <f>'[1]1'!I7</f>
        <v>12000</v>
      </c>
      <c r="J7" s="332">
        <f>H7/DAY(B2)</f>
        <v>22841.956666666665</v>
      </c>
      <c r="K7" s="200"/>
      <c r="L7" s="68"/>
      <c r="O7" s="73"/>
    </row>
    <row r="8" spans="1:15" ht="27.75" thickBot="1">
      <c r="A8" s="333" t="s">
        <v>132</v>
      </c>
      <c r="B8" s="334"/>
      <c r="C8" s="335"/>
      <c r="D8" s="336" t="s">
        <v>25</v>
      </c>
      <c r="E8" s="106">
        <f>'2'!F8</f>
        <v>356470.75</v>
      </c>
      <c r="F8" s="126">
        <v>378361.31</v>
      </c>
      <c r="G8" s="340">
        <f>F8-E8</f>
        <v>21890.559999999998</v>
      </c>
      <c r="H8" s="330">
        <f>G8+'2'!H8</f>
        <v>68789.31</v>
      </c>
      <c r="I8" s="337">
        <v>12000</v>
      </c>
      <c r="J8" s="332">
        <f>H8/DAY(B2)</f>
        <v>22929.77</v>
      </c>
      <c r="K8" s="200"/>
      <c r="L8" s="78"/>
      <c r="M8" s="91"/>
      <c r="O8" s="73"/>
    </row>
    <row r="9" spans="1:15">
      <c r="A9" s="338" t="s">
        <v>133</v>
      </c>
      <c r="B9" s="339"/>
      <c r="C9" s="339"/>
      <c r="D9" s="288" t="s">
        <v>131</v>
      </c>
      <c r="E9" s="106">
        <f>'2'!F9</f>
        <v>127861.58</v>
      </c>
      <c r="F9" s="129">
        <v>148879.16</v>
      </c>
      <c r="G9" s="353">
        <f t="shared" ref="G9:G12" si="0">F9-E9</f>
        <v>21017.58</v>
      </c>
      <c r="H9" s="330">
        <f>G9+'2'!H9</f>
        <v>66349.16</v>
      </c>
      <c r="I9" s="341">
        <f>I8-J8</f>
        <v>-10929.77</v>
      </c>
      <c r="J9" s="332">
        <f>H9/DAY(B2)</f>
        <v>22116.386666666669</v>
      </c>
      <c r="K9" s="81"/>
      <c r="L9" s="68"/>
      <c r="O9" s="73"/>
    </row>
    <row r="10" spans="1:15">
      <c r="A10" s="327" t="s">
        <v>134</v>
      </c>
      <c r="B10" s="328"/>
      <c r="C10" s="328"/>
      <c r="D10" s="288" t="s">
        <v>131</v>
      </c>
      <c r="E10" s="106">
        <f>'2'!F10</f>
        <v>2607</v>
      </c>
      <c r="F10" s="129">
        <v>2606.5500000000002</v>
      </c>
      <c r="G10" s="340">
        <f t="shared" si="0"/>
        <v>-0.4499999999998181</v>
      </c>
      <c r="H10" s="330">
        <f>G10+'2'!H10</f>
        <v>-0.4499999999998181</v>
      </c>
      <c r="I10" s="342"/>
      <c r="J10" s="332">
        <f>H10/DAY(B2)</f>
        <v>-0.14999999999993938</v>
      </c>
      <c r="K10" s="81"/>
      <c r="L10" s="68"/>
      <c r="N10" s="73">
        <f>G7-G13</f>
        <v>628.73999999999432</v>
      </c>
      <c r="O10" s="73"/>
    </row>
    <row r="11" spans="1:15">
      <c r="A11" s="327" t="s">
        <v>135</v>
      </c>
      <c r="B11" s="328"/>
      <c r="C11" s="328"/>
      <c r="D11" s="288" t="s">
        <v>131</v>
      </c>
      <c r="E11" s="106">
        <f>'2'!F11</f>
        <v>37000</v>
      </c>
      <c r="F11" s="106">
        <v>37000</v>
      </c>
      <c r="G11" s="340">
        <f t="shared" si="0"/>
        <v>0</v>
      </c>
      <c r="H11" s="330">
        <f>G11+'2'!H11</f>
        <v>0</v>
      </c>
      <c r="I11" s="342"/>
      <c r="J11" s="332">
        <f>H11/DAY(B2)</f>
        <v>0</v>
      </c>
      <c r="K11" s="81"/>
      <c r="L11" s="68"/>
      <c r="O11" s="73"/>
    </row>
    <row r="12" spans="1:15">
      <c r="A12" s="327" t="s">
        <v>136</v>
      </c>
      <c r="B12" s="328"/>
      <c r="C12" s="328"/>
      <c r="D12" s="288" t="s">
        <v>131</v>
      </c>
      <c r="E12" s="106">
        <f>'2'!F12</f>
        <v>40010</v>
      </c>
      <c r="F12" s="129">
        <v>40010</v>
      </c>
      <c r="G12" s="340">
        <f t="shared" si="0"/>
        <v>0</v>
      </c>
      <c r="H12" s="330">
        <f>G12+'2'!H12</f>
        <v>0</v>
      </c>
      <c r="I12" s="342"/>
      <c r="J12" s="332">
        <f>H12/DAY(B2)</f>
        <v>0</v>
      </c>
      <c r="K12" s="81"/>
      <c r="L12" s="68"/>
      <c r="O12" s="73"/>
    </row>
    <row r="13" spans="1:15">
      <c r="A13" s="343" t="s">
        <v>137</v>
      </c>
      <c r="B13" s="344"/>
      <c r="C13" s="344"/>
      <c r="D13" s="288"/>
      <c r="E13" s="284"/>
      <c r="F13" s="106"/>
      <c r="G13" s="345">
        <f>G9+G10+G11+G12</f>
        <v>21017.13</v>
      </c>
      <c r="H13" s="330">
        <f>G13+'2'!H13</f>
        <v>43038.22</v>
      </c>
      <c r="I13" s="346">
        <f>G7-G13</f>
        <v>628.73999999999432</v>
      </c>
      <c r="J13" s="332">
        <f>H13/DAY(B2)</f>
        <v>14346.073333333334</v>
      </c>
      <c r="K13" s="81"/>
      <c r="L13" s="68"/>
      <c r="O13" s="73"/>
    </row>
    <row r="14" spans="1:15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>
      <c r="A15" s="443" t="s">
        <v>139</v>
      </c>
      <c r="B15" s="438"/>
      <c r="C15" s="438"/>
      <c r="D15" s="175" t="s">
        <v>140</v>
      </c>
      <c r="E15" s="106">
        <f>'2'!F15</f>
        <v>1758336.52</v>
      </c>
      <c r="F15" s="136">
        <v>1759202.7220000001</v>
      </c>
      <c r="G15" s="430">
        <f>F15-E15</f>
        <v>866.20200000004843</v>
      </c>
      <c r="H15" s="330">
        <f>G15+'2'!H15</f>
        <v>2672.7220000000671</v>
      </c>
      <c r="I15" s="125">
        <v>800</v>
      </c>
      <c r="J15" s="204">
        <f>H15/DAY(B2)</f>
        <v>890.90733333335572</v>
      </c>
      <c r="K15" s="81"/>
      <c r="L15" s="68"/>
      <c r="O15" s="73"/>
    </row>
    <row r="16" spans="1:15">
      <c r="A16" s="441"/>
      <c r="B16" s="442"/>
      <c r="C16" s="442"/>
      <c r="D16" s="439"/>
      <c r="E16" s="440"/>
      <c r="F16" s="136"/>
      <c r="G16" s="685"/>
      <c r="H16" s="137"/>
      <c r="I16" s="138">
        <f>I15-J15</f>
        <v>-90.907333333355723</v>
      </c>
      <c r="J16" s="204"/>
      <c r="K16" s="81"/>
      <c r="L16" s="68"/>
      <c r="O16" s="73"/>
    </row>
    <row r="17" spans="1:15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>
      <c r="A18" s="1293" t="s">
        <v>142</v>
      </c>
      <c r="B18" s="1294"/>
      <c r="C18" s="1295"/>
      <c r="D18" s="288" t="s">
        <v>143</v>
      </c>
      <c r="E18" s="129">
        <f>'2'!F18</f>
        <v>12</v>
      </c>
      <c r="F18" s="129">
        <v>18</v>
      </c>
      <c r="G18" s="345">
        <f>F18*10</f>
        <v>180</v>
      </c>
      <c r="H18" s="330">
        <f>G18+'2'!H18</f>
        <v>380</v>
      </c>
      <c r="I18" s="331">
        <f>'[1]1'!I18</f>
        <v>65</v>
      </c>
      <c r="J18" s="332">
        <f>H18/DAY(B2)</f>
        <v>126.66666666666667</v>
      </c>
      <c r="K18" s="81"/>
      <c r="L18" s="68"/>
      <c r="O18" s="73"/>
    </row>
    <row r="19" spans="1:15" ht="27.75">
      <c r="A19" s="1293" t="s">
        <v>70</v>
      </c>
      <c r="B19" s="1294"/>
      <c r="C19" s="1295"/>
      <c r="D19" s="288" t="s">
        <v>143</v>
      </c>
      <c r="E19" s="106">
        <f>'2'!F19</f>
        <v>145467</v>
      </c>
      <c r="F19" s="129">
        <v>145528</v>
      </c>
      <c r="G19" s="340">
        <f>F19-E19</f>
        <v>61</v>
      </c>
      <c r="H19" s="330">
        <f>G19+'2'!H19</f>
        <v>190</v>
      </c>
      <c r="I19" s="347"/>
      <c r="J19" s="332">
        <f>H19/DAY(B2)</f>
        <v>63.333333333333336</v>
      </c>
      <c r="K19" s="81"/>
      <c r="L19" s="68"/>
      <c r="O19" s="73"/>
    </row>
    <row r="20" spans="1:15">
      <c r="A20" s="343" t="s">
        <v>144</v>
      </c>
      <c r="B20" s="344"/>
      <c r="C20" s="344"/>
      <c r="D20" s="288"/>
      <c r="E20" s="288"/>
      <c r="F20" s="174"/>
      <c r="G20" s="684">
        <f>G18+G19</f>
        <v>241</v>
      </c>
      <c r="H20" s="330">
        <f>G20+'2'!H20</f>
        <v>570</v>
      </c>
      <c r="I20" s="349">
        <f>I18-J20</f>
        <v>-125</v>
      </c>
      <c r="J20" s="332">
        <f>H20/DAY(B2)</f>
        <v>190</v>
      </c>
      <c r="K20" s="81"/>
      <c r="L20" s="68"/>
      <c r="O20" s="73"/>
    </row>
    <row r="21" spans="1:15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>
      <c r="A22" s="915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30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>
      <c r="A23" s="915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30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30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350">
        <f>G8</f>
        <v>21890.559999999998</v>
      </c>
      <c r="F27" s="152">
        <v>9</v>
      </c>
      <c r="G27" s="153">
        <f>E27*F27</f>
        <v>197015.03999999998</v>
      </c>
      <c r="H27" s="330">
        <f>G27+'2'!H27</f>
        <v>619103.79</v>
      </c>
      <c r="I27" s="154"/>
      <c r="J27" s="203">
        <f>H27/DAY(B2)</f>
        <v>206367.93000000002</v>
      </c>
      <c r="K27" s="65"/>
      <c r="L27" s="94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350">
        <f>G15</f>
        <v>866.20200000004843</v>
      </c>
      <c r="F28" s="152">
        <v>54.5</v>
      </c>
      <c r="G28" s="153">
        <f>E28*F28</f>
        <v>47208.009000002639</v>
      </c>
      <c r="H28" s="330">
        <f>G28+'2'!H28</f>
        <v>148734.43300000369</v>
      </c>
      <c r="I28" s="156"/>
      <c r="J28" s="203">
        <f>H28/DAY(B2)</f>
        <v>49578.14433333456</v>
      </c>
      <c r="K28" s="65"/>
      <c r="L28" s="94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>E30*F30</f>
        <v>8906</v>
      </c>
      <c r="H30" s="330">
        <f>G30+'2'!H30</f>
        <v>27740</v>
      </c>
      <c r="I30" s="156"/>
      <c r="J30" s="203">
        <f>H30/DAY(B2)</f>
        <v>9246.6666666666661</v>
      </c>
      <c r="K30" s="65"/>
      <c r="L30" s="94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330">
        <f>G31+'2'!H31</f>
        <v>30400</v>
      </c>
      <c r="I31" s="156"/>
      <c r="J31" s="203">
        <f>H31/DAY(B2)</f>
        <v>10133.333333333334</v>
      </c>
      <c r="K31" s="65"/>
      <c r="L31" s="94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267529.04900000262</v>
      </c>
      <c r="H32" s="330">
        <f>G32+'2'!H32</f>
        <v>825978.22300000372</v>
      </c>
      <c r="I32" s="160"/>
      <c r="J32" s="203">
        <f>H32/DAY(B2)</f>
        <v>275326.07433333457</v>
      </c>
      <c r="K32" s="65"/>
      <c r="L32" s="94"/>
      <c r="O32" s="73"/>
    </row>
    <row r="33" spans="1:15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O33" s="73"/>
    </row>
    <row r="34" spans="1:15">
      <c r="A34" s="249" t="s">
        <v>162</v>
      </c>
      <c r="B34" s="920"/>
      <c r="C34" s="920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30">
        <f>G35+'2'!H35</f>
        <v>-0.69999999995343387</v>
      </c>
      <c r="I35" s="106"/>
      <c r="J35" s="203">
        <f>H35/DAY(B2)</f>
        <v>-0.23333333331781128</v>
      </c>
      <c r="K35" s="81"/>
      <c r="L35" s="68"/>
      <c r="O35" s="73"/>
    </row>
    <row r="36" spans="1:15">
      <c r="A36" s="229" t="s">
        <v>164</v>
      </c>
      <c r="B36" s="230"/>
      <c r="C36" s="230"/>
      <c r="D36" s="174" t="s">
        <v>131</v>
      </c>
      <c r="E36" s="106">
        <f>'2'!F36</f>
        <v>3901.08</v>
      </c>
      <c r="F36" s="161">
        <v>4565.3500000000004</v>
      </c>
      <c r="G36" s="124">
        <f t="shared" si="2"/>
        <v>664.27000000000044</v>
      </c>
      <c r="H36" s="330">
        <f>G36+'2'!H36</f>
        <v>2732.3500000000004</v>
      </c>
      <c r="I36" s="106"/>
      <c r="J36" s="203">
        <f>H36/DAY(B2)</f>
        <v>910.78333333333342</v>
      </c>
      <c r="K36" s="81"/>
      <c r="L36" s="68"/>
      <c r="O36" s="279"/>
    </row>
    <row r="37" spans="1:15">
      <c r="A37" s="229" t="s">
        <v>165</v>
      </c>
      <c r="B37" s="230"/>
      <c r="C37" s="230"/>
      <c r="D37" s="174" t="s">
        <v>131</v>
      </c>
      <c r="E37" s="106">
        <f>'2'!F37</f>
        <v>5846.2</v>
      </c>
      <c r="F37" s="161">
        <v>7333.48</v>
      </c>
      <c r="G37" s="124">
        <f t="shared" si="2"/>
        <v>1487.2799999999997</v>
      </c>
      <c r="H37" s="330">
        <f>G37+'2'!H37</f>
        <v>4558.4799999999996</v>
      </c>
      <c r="I37" s="106"/>
      <c r="J37" s="203">
        <f>H37/DAY(B2)</f>
        <v>1519.4933333333331</v>
      </c>
      <c r="K37" s="81"/>
      <c r="L37" s="68"/>
      <c r="O37" s="280"/>
    </row>
    <row r="38" spans="1:15">
      <c r="A38" s="229" t="s">
        <v>166</v>
      </c>
      <c r="B38" s="230"/>
      <c r="C38" s="230"/>
      <c r="D38" s="174" t="s">
        <v>131</v>
      </c>
      <c r="E38" s="106">
        <f>'2'!F38</f>
        <v>8237.3700000000008</v>
      </c>
      <c r="F38" s="120">
        <v>10044.870000000001</v>
      </c>
      <c r="G38" s="124">
        <f t="shared" si="2"/>
        <v>1807.5</v>
      </c>
      <c r="H38" s="330">
        <f>G38+'2'!H38</f>
        <v>5221.8700000000008</v>
      </c>
      <c r="I38" s="106"/>
      <c r="J38" s="203">
        <f>H38/DAY(B2)</f>
        <v>1740.6233333333337</v>
      </c>
      <c r="K38" s="81"/>
      <c r="L38" s="68"/>
      <c r="O38" s="73"/>
    </row>
    <row r="39" spans="1:15">
      <c r="A39" s="229" t="s">
        <v>167</v>
      </c>
      <c r="B39" s="230"/>
      <c r="C39" s="230"/>
      <c r="D39" s="174" t="s">
        <v>131</v>
      </c>
      <c r="E39" s="106">
        <f>'2'!F39</f>
        <v>11525.48</v>
      </c>
      <c r="F39" s="161">
        <v>15308.32</v>
      </c>
      <c r="G39" s="124">
        <f t="shared" si="2"/>
        <v>3782.84</v>
      </c>
      <c r="H39" s="330">
        <f>G39+'2'!H39</f>
        <v>11466.32</v>
      </c>
      <c r="I39" s="106"/>
      <c r="J39" s="203">
        <f>H39/DAY(B2)</f>
        <v>3822.1066666666666</v>
      </c>
      <c r="K39" s="81"/>
      <c r="L39" s="68"/>
      <c r="O39" s="73"/>
    </row>
    <row r="40" spans="1:15">
      <c r="A40" s="250" t="s">
        <v>168</v>
      </c>
      <c r="B40" s="251"/>
      <c r="C40" s="251"/>
      <c r="D40" s="174" t="s">
        <v>131</v>
      </c>
      <c r="E40" s="106">
        <f>'2'!F40</f>
        <v>33754.300000000003</v>
      </c>
      <c r="F40" s="161">
        <v>33754</v>
      </c>
      <c r="G40" s="124">
        <f t="shared" si="2"/>
        <v>-0.30000000000291038</v>
      </c>
      <c r="H40" s="330">
        <f>G40+'2'!H40</f>
        <v>157.40000000000146</v>
      </c>
      <c r="I40" s="106"/>
      <c r="J40" s="203">
        <f>H40/DAY(B2)</f>
        <v>52.466666666667152</v>
      </c>
      <c r="K40" s="82"/>
      <c r="L40" s="68"/>
      <c r="O40" s="73"/>
    </row>
    <row r="41" spans="1:15">
      <c r="A41" s="229" t="s">
        <v>169</v>
      </c>
      <c r="B41" s="230"/>
      <c r="C41" s="230"/>
      <c r="D41" s="174" t="s">
        <v>131</v>
      </c>
      <c r="E41" s="106">
        <f>'2'!F41</f>
        <v>433281.79</v>
      </c>
      <c r="F41" s="161">
        <v>433281.79</v>
      </c>
      <c r="G41" s="124">
        <f t="shared" si="2"/>
        <v>0</v>
      </c>
      <c r="H41" s="330">
        <f>G41+'2'!H41</f>
        <v>0</v>
      </c>
      <c r="I41" s="106"/>
      <c r="J41" s="203">
        <f>H41/DAY(B2)</f>
        <v>0</v>
      </c>
      <c r="K41" s="81"/>
      <c r="L41" s="68"/>
      <c r="O41" s="73"/>
    </row>
    <row r="42" spans="1:15">
      <c r="A42" s="229" t="s">
        <v>170</v>
      </c>
      <c r="B42" s="230"/>
      <c r="C42" s="230"/>
      <c r="D42" s="174" t="s">
        <v>131</v>
      </c>
      <c r="E42" s="106">
        <f>'2'!F42</f>
        <v>185940.83</v>
      </c>
      <c r="F42" s="161">
        <v>190882.77</v>
      </c>
      <c r="G42" s="124">
        <f>F42-E42</f>
        <v>4941.9400000000023</v>
      </c>
      <c r="H42" s="330">
        <f>G42+'2'!H42</f>
        <v>15770.76999999999</v>
      </c>
      <c r="I42" s="106"/>
      <c r="J42" s="203">
        <f>H42/DAY(B2)</f>
        <v>5256.9233333333295</v>
      </c>
      <c r="K42" s="81"/>
      <c r="L42" s="68"/>
      <c r="O42" s="73"/>
    </row>
    <row r="43" spans="1:15">
      <c r="A43" s="229" t="s">
        <v>171</v>
      </c>
      <c r="B43" s="230"/>
      <c r="C43" s="230"/>
      <c r="D43" s="174" t="s">
        <v>131</v>
      </c>
      <c r="E43" s="106">
        <f>'2'!F43</f>
        <v>1295334.8999999999</v>
      </c>
      <c r="F43" s="161">
        <v>1297943.5</v>
      </c>
      <c r="G43" s="124">
        <f t="shared" si="2"/>
        <v>2608.6000000000931</v>
      </c>
      <c r="H43" s="330">
        <f>G43+'2'!H43</f>
        <v>8198.5</v>
      </c>
      <c r="I43" s="106"/>
      <c r="J43" s="203">
        <f>H43/DAY(B2)</f>
        <v>2732.8333333333335</v>
      </c>
      <c r="K43" s="81"/>
      <c r="L43" s="68"/>
      <c r="O43" s="73"/>
    </row>
    <row r="44" spans="1:15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30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30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30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16093.130000000092</v>
      </c>
      <c r="H47" s="330">
        <f>G47+'2'!H47</f>
        <v>48905.990000000034</v>
      </c>
      <c r="I47" s="106"/>
      <c r="J47" s="203">
        <f>H47/DAY(B2)</f>
        <v>16301.996666666679</v>
      </c>
      <c r="K47" s="81"/>
      <c r="L47" s="68"/>
      <c r="N47" s="73"/>
      <c r="O47" s="73"/>
    </row>
    <row r="48" spans="1:15">
      <c r="A48" s="249" t="s">
        <v>176</v>
      </c>
      <c r="B48" s="920"/>
      <c r="C48" s="920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>
      <c r="A49" s="229" t="s">
        <v>163</v>
      </c>
      <c r="B49" s="252"/>
      <c r="C49" s="252"/>
      <c r="D49" s="174" t="s">
        <v>131</v>
      </c>
      <c r="E49" s="106">
        <f>'2'!F49</f>
        <v>8715</v>
      </c>
      <c r="F49" s="161">
        <v>11417.48</v>
      </c>
      <c r="G49" s="124">
        <f t="shared" ref="G49:G58" si="3">F49-E49</f>
        <v>2702.4799999999996</v>
      </c>
      <c r="H49" s="330">
        <f>G49+'2'!H49</f>
        <v>9191.48</v>
      </c>
      <c r="I49" s="106"/>
      <c r="J49" s="203">
        <f>H49/DAY(B2)</f>
        <v>3063.8266666666664</v>
      </c>
      <c r="K49" s="81"/>
      <c r="L49" s="68"/>
      <c r="O49" s="73"/>
    </row>
    <row r="50" spans="1:15">
      <c r="A50" s="229" t="s">
        <v>177</v>
      </c>
      <c r="B50" s="252"/>
      <c r="C50" s="252"/>
      <c r="D50" s="174" t="s">
        <v>131</v>
      </c>
      <c r="E50" s="106">
        <f>'2'!F50</f>
        <v>610166.79</v>
      </c>
      <c r="F50" s="161">
        <v>611786.51</v>
      </c>
      <c r="G50" s="124">
        <f t="shared" si="3"/>
        <v>1619.7199999999721</v>
      </c>
      <c r="H50" s="330">
        <f>G50+'2'!H50</f>
        <v>4488.5100000000093</v>
      </c>
      <c r="I50" s="106"/>
      <c r="J50" s="203">
        <f>H50/DAY(B2)</f>
        <v>1496.170000000003</v>
      </c>
      <c r="K50" s="81"/>
      <c r="L50" s="68"/>
      <c r="O50" s="73"/>
    </row>
    <row r="51" spans="1:15">
      <c r="A51" s="229" t="s">
        <v>165</v>
      </c>
      <c r="B51" s="252"/>
      <c r="C51" s="252"/>
      <c r="D51" s="174" t="s">
        <v>131</v>
      </c>
      <c r="E51" s="106">
        <f>'2'!F51</f>
        <v>0</v>
      </c>
      <c r="F51" s="161">
        <v>0</v>
      </c>
      <c r="G51" s="124">
        <f t="shared" si="3"/>
        <v>0</v>
      </c>
      <c r="H51" s="330">
        <f>G51+'2'!H51</f>
        <v>0</v>
      </c>
      <c r="I51" s="106"/>
      <c r="J51" s="203">
        <f>H51/DAY(B2)</f>
        <v>0</v>
      </c>
      <c r="K51" s="81"/>
      <c r="L51" s="68"/>
      <c r="O51" s="73"/>
    </row>
    <row r="52" spans="1:15">
      <c r="A52" s="229" t="s">
        <v>178</v>
      </c>
      <c r="B52" s="252"/>
      <c r="C52" s="252"/>
      <c r="D52" s="174" t="s">
        <v>131</v>
      </c>
      <c r="E52" s="106">
        <f>'2'!F52</f>
        <v>0</v>
      </c>
      <c r="F52" s="161">
        <v>0</v>
      </c>
      <c r="G52" s="124">
        <f>F52-E52</f>
        <v>0</v>
      </c>
      <c r="H52" s="330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>
      <c r="A53" s="229" t="s">
        <v>167</v>
      </c>
      <c r="B53" s="252"/>
      <c r="C53" s="252"/>
      <c r="D53" s="174" t="s">
        <v>131</v>
      </c>
      <c r="E53" s="106">
        <f>'2'!F53</f>
        <v>0</v>
      </c>
      <c r="F53" s="161">
        <v>0</v>
      </c>
      <c r="G53" s="124">
        <f t="shared" si="3"/>
        <v>0</v>
      </c>
      <c r="H53" s="330">
        <f>G53+'2'!H53</f>
        <v>0</v>
      </c>
      <c r="I53" s="106"/>
      <c r="J53" s="203">
        <f>H53/DAY(B2)</f>
        <v>0</v>
      </c>
      <c r="K53" s="81"/>
      <c r="L53" s="68"/>
      <c r="O53" s="73"/>
    </row>
    <row r="54" spans="1:15">
      <c r="A54" s="229" t="s">
        <v>179</v>
      </c>
      <c r="B54" s="252"/>
      <c r="C54" s="252"/>
      <c r="D54" s="174" t="s">
        <v>131</v>
      </c>
      <c r="E54" s="106">
        <f>'2'!F54</f>
        <v>2623.88</v>
      </c>
      <c r="F54" s="304">
        <v>2627.7</v>
      </c>
      <c r="G54" s="124">
        <f t="shared" si="3"/>
        <v>3.819999999999709</v>
      </c>
      <c r="H54" s="330">
        <f>G54+'2'!H54</f>
        <v>166.69999999999982</v>
      </c>
      <c r="I54" s="106"/>
      <c r="J54" s="203">
        <f>H54/DAY(B2)</f>
        <v>55.566666666666606</v>
      </c>
      <c r="K54" s="81"/>
      <c r="L54" s="68"/>
      <c r="O54" s="73"/>
    </row>
    <row r="55" spans="1:15">
      <c r="A55" s="229" t="s">
        <v>180</v>
      </c>
      <c r="B55" s="252"/>
      <c r="C55" s="252"/>
      <c r="D55" s="174" t="s">
        <v>131</v>
      </c>
      <c r="E55" s="106">
        <f>'2'!F55</f>
        <v>306268.99</v>
      </c>
      <c r="F55" s="304">
        <v>306268.99</v>
      </c>
      <c r="G55" s="124">
        <f t="shared" si="3"/>
        <v>0</v>
      </c>
      <c r="H55" s="330">
        <f>G55+'2'!H55</f>
        <v>0</v>
      </c>
      <c r="I55" s="106"/>
      <c r="J55" s="203">
        <f>H55/DAY(B2)</f>
        <v>0</v>
      </c>
      <c r="K55" s="81"/>
      <c r="L55" s="68"/>
      <c r="O55" s="73"/>
    </row>
    <row r="56" spans="1:15">
      <c r="A56" s="229" t="s">
        <v>181</v>
      </c>
      <c r="B56" s="252"/>
      <c r="C56" s="252"/>
      <c r="D56" s="174" t="s">
        <v>182</v>
      </c>
      <c r="E56" s="106">
        <f>'2'!F56</f>
        <v>664997.31000000006</v>
      </c>
      <c r="F56" s="304">
        <v>666137.35</v>
      </c>
      <c r="G56" s="124">
        <f t="shared" si="3"/>
        <v>1140.0399999999208</v>
      </c>
      <c r="H56" s="330">
        <f>G56+'2'!H56</f>
        <v>5118.3499999999767</v>
      </c>
      <c r="I56" s="106"/>
      <c r="J56" s="203">
        <f>H56/DAY(B2)</f>
        <v>1706.1166666666588</v>
      </c>
      <c r="K56" s="80"/>
      <c r="L56" s="68"/>
      <c r="O56" s="73"/>
    </row>
    <row r="57" spans="1:15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30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>
      <c r="A58" s="229" t="s">
        <v>183</v>
      </c>
      <c r="B58" s="252"/>
      <c r="C58" s="252"/>
      <c r="D58" s="174" t="s">
        <v>131</v>
      </c>
      <c r="E58" s="106">
        <f>'2'!F58</f>
        <v>66433.850000000006</v>
      </c>
      <c r="F58" s="304">
        <v>66630.64</v>
      </c>
      <c r="G58" s="124">
        <f t="shared" si="3"/>
        <v>196.7899999999936</v>
      </c>
      <c r="H58" s="330">
        <f>G58+'2'!H58</f>
        <v>616.63999999999942</v>
      </c>
      <c r="I58" s="106"/>
      <c r="J58" s="203">
        <f>H58/DAY(B2)</f>
        <v>205.54666666666648</v>
      </c>
      <c r="K58" s="81"/>
      <c r="L58" s="68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5662.8499999998858</v>
      </c>
      <c r="H59" s="330">
        <f>G59+'2'!H59</f>
        <v>19581.679999999986</v>
      </c>
      <c r="I59" s="106">
        <f>G7-G60</f>
        <v>-110.10999999998239</v>
      </c>
      <c r="J59" s="203">
        <f>H59/DAY(B2)</f>
        <v>6527.2266666666619</v>
      </c>
      <c r="K59" s="81"/>
      <c r="L59" s="68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21755.979999999978</v>
      </c>
      <c r="H60" s="330">
        <f>G60+'2'!H60</f>
        <v>68487.670000000027</v>
      </c>
      <c r="I60" s="106">
        <f>G13-G60</f>
        <v>-738.84999999997672</v>
      </c>
      <c r="J60" s="203">
        <f>H60/DAY(B2)</f>
        <v>22829.223333333342</v>
      </c>
      <c r="K60" s="81"/>
      <c r="L60" s="68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30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30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>
      <c r="A64" s="1226" t="s">
        <v>98</v>
      </c>
      <c r="B64" s="1227"/>
      <c r="C64" s="1228"/>
      <c r="D64" s="174" t="s">
        <v>186</v>
      </c>
      <c r="E64" s="106">
        <f>'2'!F64</f>
        <v>195063.49</v>
      </c>
      <c r="F64" s="129">
        <v>195478.53</v>
      </c>
      <c r="G64" s="124">
        <f t="shared" si="4"/>
        <v>415.04000000000815</v>
      </c>
      <c r="H64" s="330">
        <f>G64+'2'!H64</f>
        <v>1261.5299999999988</v>
      </c>
      <c r="I64" s="131"/>
      <c r="J64" s="203">
        <f>H64/DAY(B2)</f>
        <v>420.50999999999959</v>
      </c>
      <c r="K64" s="81"/>
      <c r="L64" s="68"/>
      <c r="O64" s="73"/>
    </row>
    <row r="65" spans="1:15" ht="27.75">
      <c r="A65" s="1226" t="s">
        <v>99</v>
      </c>
      <c r="B65" s="1227"/>
      <c r="C65" s="1228"/>
      <c r="D65" s="174" t="s">
        <v>186</v>
      </c>
      <c r="E65" s="106">
        <f>'2'!F65</f>
        <v>195435.35</v>
      </c>
      <c r="F65" s="302">
        <v>195812.61</v>
      </c>
      <c r="G65" s="124">
        <f t="shared" si="4"/>
        <v>377.25999999998021</v>
      </c>
      <c r="H65" s="330">
        <f>G65+'2'!H65</f>
        <v>1183.609999999986</v>
      </c>
      <c r="I65" s="140"/>
      <c r="J65" s="203">
        <f>H65/DAY(B2)</f>
        <v>394.53666666666203</v>
      </c>
      <c r="K65" s="81"/>
      <c r="L65" s="68"/>
      <c r="O65" s="73"/>
    </row>
    <row r="66" spans="1:15" ht="27.75">
      <c r="A66" s="1226" t="s">
        <v>100</v>
      </c>
      <c r="B66" s="1227"/>
      <c r="C66" s="1228"/>
      <c r="D66" s="174" t="s">
        <v>186</v>
      </c>
      <c r="E66" s="106">
        <f>'2'!F66</f>
        <v>94169.71</v>
      </c>
      <c r="F66" s="129">
        <v>94579.79</v>
      </c>
      <c r="G66" s="124">
        <f t="shared" si="4"/>
        <v>410.07999999998719</v>
      </c>
      <c r="H66" s="330">
        <f>G66+'2'!H66</f>
        <v>1262.7899999999936</v>
      </c>
      <c r="I66" s="131"/>
      <c r="J66" s="203">
        <f>H66/DAY(B2)</f>
        <v>420.92999999999785</v>
      </c>
      <c r="K66" s="81"/>
      <c r="L66" s="68"/>
      <c r="O66" s="73"/>
    </row>
    <row r="67" spans="1:15" ht="27.75">
      <c r="A67" s="1226" t="s">
        <v>101</v>
      </c>
      <c r="B67" s="1227"/>
      <c r="C67" s="1228"/>
      <c r="D67" s="174" t="s">
        <v>186</v>
      </c>
      <c r="E67" s="106">
        <f>'2'!F67</f>
        <v>295735.23</v>
      </c>
      <c r="F67" s="129">
        <v>296158.73</v>
      </c>
      <c r="G67" s="124">
        <f t="shared" si="4"/>
        <v>423.5</v>
      </c>
      <c r="H67" s="330">
        <f>G67+'2'!H67</f>
        <v>1267.7299999999814</v>
      </c>
      <c r="I67" s="140"/>
      <c r="J67" s="203">
        <f>H67/DAY(B2)</f>
        <v>422.57666666666046</v>
      </c>
      <c r="K67" s="82"/>
      <c r="L67" s="68"/>
      <c r="O67" s="73"/>
    </row>
    <row r="68" spans="1:15" ht="27.75">
      <c r="A68" s="1226" t="s">
        <v>102</v>
      </c>
      <c r="B68" s="1227"/>
      <c r="C68" s="1228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30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>
      <c r="A69" s="1226" t="s">
        <v>103</v>
      </c>
      <c r="B69" s="1227"/>
      <c r="C69" s="1228"/>
      <c r="D69" s="174" t="s">
        <v>186</v>
      </c>
      <c r="E69" s="106">
        <f>'2'!F69</f>
        <v>106991.94</v>
      </c>
      <c r="F69" s="129">
        <v>107281.06</v>
      </c>
      <c r="G69" s="124">
        <f t="shared" si="4"/>
        <v>289.11999999999534</v>
      </c>
      <c r="H69" s="330">
        <f>G69+'2'!H69</f>
        <v>875.05999999999767</v>
      </c>
      <c r="I69" s="167"/>
      <c r="J69" s="203">
        <f>H69/DAY(B2)</f>
        <v>291.68666666666587</v>
      </c>
      <c r="K69" s="84"/>
      <c r="L69" s="68"/>
      <c r="O69" s="73"/>
    </row>
    <row r="70" spans="1:15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O71" s="73"/>
    </row>
    <row r="72" spans="1:15" ht="27.75">
      <c r="A72" s="1226" t="s">
        <v>190</v>
      </c>
      <c r="B72" s="1227"/>
      <c r="C72" s="1228"/>
      <c r="D72" s="174" t="s">
        <v>186</v>
      </c>
      <c r="E72" s="106">
        <f>'2'!F72</f>
        <v>857042</v>
      </c>
      <c r="F72" s="305">
        <v>857047</v>
      </c>
      <c r="G72" s="124">
        <f t="shared" ref="G72:G84" si="5">F72-E72</f>
        <v>5</v>
      </c>
      <c r="H72" s="330">
        <f>G72+'2'!H72</f>
        <v>25</v>
      </c>
      <c r="I72" s="131"/>
      <c r="J72" s="203">
        <f>H72/DAY(B2)</f>
        <v>8.3333333333333339</v>
      </c>
      <c r="K72" s="84"/>
      <c r="L72" s="68"/>
      <c r="O72" s="73"/>
    </row>
    <row r="73" spans="1:15" ht="27.75">
      <c r="A73" s="1226" t="s">
        <v>191</v>
      </c>
      <c r="B73" s="1227"/>
      <c r="C73" s="1228"/>
      <c r="D73" s="174" t="s">
        <v>186</v>
      </c>
      <c r="E73" s="106">
        <f>'2'!F73</f>
        <v>886052</v>
      </c>
      <c r="F73" s="306">
        <v>886052</v>
      </c>
      <c r="G73" s="303">
        <f t="shared" si="5"/>
        <v>0</v>
      </c>
      <c r="H73" s="330">
        <f>G73+'2'!H73</f>
        <v>1</v>
      </c>
      <c r="I73" s="131"/>
      <c r="J73" s="203">
        <f>H73/DAY(B2)</f>
        <v>0.33333333333333331</v>
      </c>
      <c r="K73" s="83"/>
      <c r="L73" s="68"/>
      <c r="O73" s="73"/>
    </row>
    <row r="74" spans="1:15" ht="27.75">
      <c r="A74" s="1226" t="s">
        <v>192</v>
      </c>
      <c r="B74" s="1227"/>
      <c r="C74" s="1228"/>
      <c r="D74" s="174" t="s">
        <v>186</v>
      </c>
      <c r="E74" s="106">
        <f>'2'!F74</f>
        <v>88770.5</v>
      </c>
      <c r="F74" s="307">
        <v>88775.2</v>
      </c>
      <c r="G74" s="124">
        <f t="shared" si="5"/>
        <v>4.6999999999970896</v>
      </c>
      <c r="H74" s="330">
        <f>G74+'2'!H74</f>
        <v>13.19999999999709</v>
      </c>
      <c r="I74" s="131"/>
      <c r="J74" s="203">
        <f>H74/DAY(B2)</f>
        <v>4.3999999999990296</v>
      </c>
      <c r="K74" s="84"/>
      <c r="L74" s="68"/>
      <c r="O74" s="73"/>
    </row>
    <row r="75" spans="1:15" ht="27.75">
      <c r="A75" s="1229" t="s">
        <v>193</v>
      </c>
      <c r="B75" s="1230"/>
      <c r="C75" s="1231"/>
      <c r="D75" s="174" t="s">
        <v>186</v>
      </c>
      <c r="E75" s="106">
        <f>'2'!F75</f>
        <v>26684.3</v>
      </c>
      <c r="F75" s="307">
        <v>26867.65</v>
      </c>
      <c r="G75" s="124">
        <f t="shared" si="5"/>
        <v>183.35000000000218</v>
      </c>
      <c r="H75" s="330">
        <f>G75+'2'!H75</f>
        <v>559.65000000000146</v>
      </c>
      <c r="I75" s="131"/>
      <c r="J75" s="203">
        <f>H75/DAY(B2)</f>
        <v>186.55000000000049</v>
      </c>
      <c r="K75" s="83"/>
      <c r="L75" s="68"/>
      <c r="O75" s="73"/>
    </row>
    <row r="76" spans="1:15" ht="27.75">
      <c r="A76" s="1229" t="s">
        <v>194</v>
      </c>
      <c r="B76" s="1230"/>
      <c r="C76" s="1231"/>
      <c r="D76" s="174" t="s">
        <v>186</v>
      </c>
      <c r="E76" s="106">
        <f>'2'!F76</f>
        <v>13419.78</v>
      </c>
      <c r="F76" s="306">
        <v>13488.14</v>
      </c>
      <c r="G76" s="124">
        <f t="shared" si="5"/>
        <v>68.359999999998763</v>
      </c>
      <c r="H76" s="330">
        <f>G76+'2'!H76</f>
        <v>211.13999999999942</v>
      </c>
      <c r="I76" s="156"/>
      <c r="J76" s="203">
        <f>H76/DAY(B2)</f>
        <v>70.379999999999811</v>
      </c>
      <c r="K76" s="83"/>
      <c r="L76" s="68"/>
      <c r="O76" s="73"/>
    </row>
    <row r="77" spans="1:15" ht="27.75">
      <c r="A77" s="1226" t="s">
        <v>195</v>
      </c>
      <c r="B77" s="1227"/>
      <c r="C77" s="1228"/>
      <c r="D77" s="174" t="s">
        <v>186</v>
      </c>
      <c r="E77" s="106">
        <f>'2'!F77</f>
        <v>708393</v>
      </c>
      <c r="F77" s="306">
        <v>708444</v>
      </c>
      <c r="G77" s="303">
        <f t="shared" si="5"/>
        <v>51</v>
      </c>
      <c r="H77" s="330">
        <f>G77+'2'!H77</f>
        <v>155</v>
      </c>
      <c r="I77" s="156"/>
      <c r="J77" s="203">
        <f>H77/DAY(B2)</f>
        <v>51.666666666666664</v>
      </c>
      <c r="K77" s="83"/>
      <c r="L77" s="68"/>
      <c r="O77" s="73"/>
    </row>
    <row r="78" spans="1:15" ht="27.75">
      <c r="A78" s="918" t="s">
        <v>196</v>
      </c>
      <c r="B78" s="911"/>
      <c r="C78" s="911"/>
      <c r="D78" s="174" t="s">
        <v>186</v>
      </c>
      <c r="E78" s="106">
        <f>'2'!F78</f>
        <v>682448</v>
      </c>
      <c r="F78" s="307">
        <v>682453</v>
      </c>
      <c r="G78" s="124">
        <f t="shared" si="5"/>
        <v>5</v>
      </c>
      <c r="H78" s="330">
        <f>G78+'2'!H78</f>
        <v>40</v>
      </c>
      <c r="I78" s="156"/>
      <c r="J78" s="203">
        <f>H78/DAY(B2)</f>
        <v>13.333333333333334</v>
      </c>
      <c r="K78" s="83"/>
      <c r="L78" s="68"/>
      <c r="O78" s="73"/>
    </row>
    <row r="79" spans="1:15" ht="27.75">
      <c r="A79" s="1229" t="s">
        <v>91</v>
      </c>
      <c r="B79" s="1230"/>
      <c r="C79" s="1231"/>
      <c r="D79" s="175" t="s">
        <v>186</v>
      </c>
      <c r="E79" s="106">
        <f>'2'!F79</f>
        <v>845387</v>
      </c>
      <c r="F79" s="307">
        <v>845564</v>
      </c>
      <c r="G79" s="124">
        <f t="shared" si="5"/>
        <v>177</v>
      </c>
      <c r="H79" s="330">
        <f>G79+'2'!H79</f>
        <v>515</v>
      </c>
      <c r="I79" s="156"/>
      <c r="J79" s="203">
        <f>H79/DAY(B2)</f>
        <v>171.66666666666666</v>
      </c>
      <c r="K79" s="83"/>
      <c r="L79" s="68"/>
      <c r="O79" s="73"/>
    </row>
    <row r="80" spans="1:15" ht="27.75">
      <c r="A80" s="1229" t="s">
        <v>197</v>
      </c>
      <c r="B80" s="1230"/>
      <c r="C80" s="1231"/>
      <c r="D80" s="175" t="s">
        <v>186</v>
      </c>
      <c r="E80" s="106">
        <f>'2'!F80</f>
        <v>565079.64</v>
      </c>
      <c r="F80" s="306">
        <v>565473.80000000005</v>
      </c>
      <c r="G80" s="124">
        <f t="shared" si="5"/>
        <v>394.1600000000326</v>
      </c>
      <c r="H80" s="330">
        <f>G80+'2'!H80</f>
        <v>1175.8000000000466</v>
      </c>
      <c r="I80" s="156"/>
      <c r="J80" s="203">
        <f>H80/DAY(B2)</f>
        <v>391.93333333334886</v>
      </c>
      <c r="K80" s="83"/>
      <c r="L80" s="68"/>
      <c r="O80" s="73"/>
    </row>
    <row r="81" spans="1:15" ht="27.75">
      <c r="A81" s="1229" t="s">
        <v>198</v>
      </c>
      <c r="B81" s="1230"/>
      <c r="C81" s="1231"/>
      <c r="D81" s="175" t="s">
        <v>186</v>
      </c>
      <c r="E81" s="106">
        <f>'2'!F81</f>
        <v>654465.64</v>
      </c>
      <c r="F81" s="306">
        <v>654571.72</v>
      </c>
      <c r="G81" s="124">
        <f t="shared" si="5"/>
        <v>106.07999999995809</v>
      </c>
      <c r="H81" s="330">
        <f>G81+'2'!H81</f>
        <v>393.71999999997206</v>
      </c>
      <c r="I81" s="156"/>
      <c r="J81" s="203">
        <f>H81/DAY(B2)</f>
        <v>131.23999999999069</v>
      </c>
      <c r="K81" s="83"/>
      <c r="L81" s="68"/>
      <c r="O81" s="73"/>
    </row>
    <row r="82" spans="1:15" ht="27.75">
      <c r="A82" s="1229" t="s">
        <v>92</v>
      </c>
      <c r="B82" s="1230"/>
      <c r="C82" s="1231"/>
      <c r="D82" s="136" t="s">
        <v>131</v>
      </c>
      <c r="E82" s="106">
        <f>'2'!F82</f>
        <v>109980.19</v>
      </c>
      <c r="F82" s="302">
        <v>110000.31</v>
      </c>
      <c r="G82" s="124">
        <f t="shared" si="5"/>
        <v>20.119999999995343</v>
      </c>
      <c r="H82" s="330">
        <f>G82+'2'!H82</f>
        <v>75.309999999997672</v>
      </c>
      <c r="I82" s="137"/>
      <c r="J82" s="203">
        <f>H82/DAY(B2)</f>
        <v>25.103333333332557</v>
      </c>
      <c r="K82" s="83"/>
      <c r="L82" s="68"/>
      <c r="O82" s="73"/>
    </row>
    <row r="83" spans="1:15" ht="27.75">
      <c r="A83" s="1229" t="s">
        <v>199</v>
      </c>
      <c r="B83" s="1230"/>
      <c r="C83" s="1231"/>
      <c r="D83" s="271" t="s">
        <v>131</v>
      </c>
      <c r="E83" s="106">
        <f>'2'!F83</f>
        <v>44907</v>
      </c>
      <c r="F83" s="162">
        <v>45216</v>
      </c>
      <c r="G83" s="124">
        <f t="shared" si="5"/>
        <v>309</v>
      </c>
      <c r="H83" s="330">
        <f>G83+'2'!H83</f>
        <v>893</v>
      </c>
      <c r="I83" s="132"/>
      <c r="J83" s="203">
        <f>H83/DAY(B2)</f>
        <v>297.66666666666669</v>
      </c>
      <c r="K83" s="82"/>
      <c r="L83" s="68"/>
      <c r="O83" s="73"/>
    </row>
    <row r="84" spans="1:15">
      <c r="A84" s="919" t="s">
        <v>200</v>
      </c>
      <c r="B84" s="222"/>
      <c r="C84" s="222"/>
      <c r="D84" s="129" t="s">
        <v>131</v>
      </c>
      <c r="E84" s="106">
        <f>'2'!F84</f>
        <v>571753</v>
      </c>
      <c r="F84" s="278">
        <v>572350</v>
      </c>
      <c r="G84" s="124">
        <f t="shared" si="5"/>
        <v>597</v>
      </c>
      <c r="H84" s="330">
        <f>G84+'2'!H84</f>
        <v>1971</v>
      </c>
      <c r="I84" s="132"/>
      <c r="J84" s="203">
        <f>H84/DAY(B2)</f>
        <v>657</v>
      </c>
      <c r="K84" s="71"/>
      <c r="L84" s="68"/>
      <c r="O84" s="73"/>
    </row>
    <row r="85" spans="1:15" s="70" customFormat="1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1920.7699999999841</v>
      </c>
      <c r="H85" s="330">
        <f>G85+'2'!H85</f>
        <v>6028.8200000000143</v>
      </c>
      <c r="I85" s="132"/>
      <c r="J85" s="203">
        <f>H85/DAY(B2)</f>
        <v>2009.6066666666713</v>
      </c>
      <c r="K85" s="71"/>
      <c r="L85" s="69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106">
        <f>'2'!F86</f>
        <v>463353.84</v>
      </c>
      <c r="F86" s="298">
        <v>463630.52</v>
      </c>
      <c r="G86" s="356">
        <f t="shared" ref="G86:G91" si="6">F86-E86</f>
        <v>276.67999999999302</v>
      </c>
      <c r="H86" s="330">
        <f>G86+'2'!H86</f>
        <v>315.52000000001863</v>
      </c>
      <c r="I86" s="303"/>
      <c r="J86" s="358">
        <f>H86/DAY(B2)</f>
        <v>105.17333333333954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106">
        <f>'2'!F87</f>
        <v>83968.6</v>
      </c>
      <c r="F87" s="298">
        <v>84005.4</v>
      </c>
      <c r="G87" s="356">
        <f t="shared" si="6"/>
        <v>36.799999999988358</v>
      </c>
      <c r="H87" s="330">
        <f>G87+'2'!H87</f>
        <v>106.39999999999418</v>
      </c>
      <c r="I87" s="303"/>
      <c r="J87" s="358">
        <f>H87/DAY(B2)</f>
        <v>35.466666666664729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106">
        <f>'2'!F88</f>
        <v>158212</v>
      </c>
      <c r="F88" s="298">
        <v>158212</v>
      </c>
      <c r="G88" s="356">
        <f t="shared" si="6"/>
        <v>0</v>
      </c>
      <c r="H88" s="330">
        <f>G88+'2'!H88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106">
        <f>'2'!F89</f>
        <v>69224.3</v>
      </c>
      <c r="F89" s="298">
        <v>69289.7</v>
      </c>
      <c r="G89" s="356">
        <f t="shared" si="6"/>
        <v>65.399999999994179</v>
      </c>
      <c r="H89" s="330">
        <f>G89+'2'!H89</f>
        <v>200.69999999999709</v>
      </c>
      <c r="I89" s="303"/>
      <c r="J89" s="358">
        <f>H89/DAY(B2)</f>
        <v>66.899999999999025</v>
      </c>
      <c r="K89" s="384" t="e">
        <f t="shared" ref="K89:K90" si="7">I89/DAY(C3)</f>
        <v>#VALUE!</v>
      </c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106">
        <f>'2'!F90</f>
        <v>3622.3</v>
      </c>
      <c r="F90" s="298">
        <v>3628</v>
      </c>
      <c r="G90" s="356">
        <f t="shared" si="6"/>
        <v>5.6999999999998181</v>
      </c>
      <c r="H90" s="330">
        <f>G90+'2'!H90</f>
        <v>17</v>
      </c>
      <c r="I90" s="303"/>
      <c r="J90" s="358">
        <f>H90/DAY(B2)</f>
        <v>5.666666666666667</v>
      </c>
      <c r="K90" s="384" t="e">
        <f t="shared" si="7"/>
        <v>#VALUE!</v>
      </c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/>
      <c r="E91" s="106">
        <f>'2'!F91</f>
        <v>28765.43</v>
      </c>
      <c r="F91" s="298">
        <v>28775.09</v>
      </c>
      <c r="G91" s="356">
        <f t="shared" si="6"/>
        <v>9.6599999999998545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921"/>
      <c r="C92" s="921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>
      <c r="A93" s="1245" t="s">
        <v>205</v>
      </c>
      <c r="B93" s="1246"/>
      <c r="C93" s="1247"/>
      <c r="D93" s="174" t="s">
        <v>143</v>
      </c>
      <c r="E93" s="106">
        <f>'2'!F93</f>
        <v>253605</v>
      </c>
      <c r="F93" s="129">
        <v>253707</v>
      </c>
      <c r="G93" s="124">
        <f t="shared" ref="G93:G94" si="8">F93-E93</f>
        <v>102</v>
      </c>
      <c r="H93" s="330">
        <f>G93+'2'!H93</f>
        <v>255</v>
      </c>
      <c r="I93" s="131"/>
      <c r="J93" s="203">
        <f>H93/DAY(B2)</f>
        <v>85</v>
      </c>
      <c r="K93" s="82"/>
      <c r="L93" s="68"/>
      <c r="O93" s="73"/>
    </row>
    <row r="94" spans="1:15" ht="27.75">
      <c r="A94" s="1245" t="s">
        <v>206</v>
      </c>
      <c r="B94" s="1246"/>
      <c r="C94" s="1247"/>
      <c r="D94" s="174" t="s">
        <v>143</v>
      </c>
      <c r="E94" s="106">
        <f>'2'!F94</f>
        <v>197966</v>
      </c>
      <c r="F94" s="129">
        <v>198089</v>
      </c>
      <c r="G94" s="124">
        <f t="shared" si="8"/>
        <v>123</v>
      </c>
      <c r="H94" s="330">
        <f>G94+'2'!H94</f>
        <v>430</v>
      </c>
      <c r="I94" s="131"/>
      <c r="J94" s="203">
        <f>H94/DAY(B2)</f>
        <v>143.33333333333334</v>
      </c>
      <c r="K94" s="71"/>
      <c r="L94" s="68"/>
      <c r="O94" s="73"/>
    </row>
    <row r="95" spans="1:15">
      <c r="A95" s="1277" t="s">
        <v>207</v>
      </c>
      <c r="B95" s="1278"/>
      <c r="C95" s="1279"/>
      <c r="D95" s="174"/>
      <c r="E95" s="106">
        <f>'2'!F95</f>
        <v>0</v>
      </c>
      <c r="F95" s="129"/>
      <c r="G95" s="124">
        <f>G93+G94</f>
        <v>225</v>
      </c>
      <c r="H95" s="330">
        <f>G95+'2'!H95</f>
        <v>460</v>
      </c>
      <c r="I95" s="131"/>
      <c r="J95" s="203">
        <f>H95/DAY(B2)</f>
        <v>153.33333333333334</v>
      </c>
      <c r="K95" s="71"/>
      <c r="L95" s="68"/>
      <c r="O95" s="73"/>
    </row>
    <row r="96" spans="1:15" ht="27.75">
      <c r="A96" s="1245" t="s">
        <v>208</v>
      </c>
      <c r="B96" s="1246"/>
      <c r="C96" s="1247"/>
      <c r="D96" s="174" t="s">
        <v>143</v>
      </c>
      <c r="E96" s="106">
        <f>'2'!F96</f>
        <v>421169</v>
      </c>
      <c r="F96" s="129">
        <v>421256</v>
      </c>
      <c r="G96" s="124">
        <f t="shared" ref="G96:G101" si="9">F96-E96</f>
        <v>87</v>
      </c>
      <c r="H96" s="330">
        <f>G96+'2'!H96</f>
        <v>237</v>
      </c>
      <c r="I96" s="131"/>
      <c r="J96" s="203">
        <f>H96/DAY(B2)</f>
        <v>79</v>
      </c>
      <c r="K96" s="71"/>
      <c r="L96" s="68"/>
      <c r="O96" s="73"/>
    </row>
    <row r="97" spans="1:15" ht="27.75">
      <c r="A97" s="915" t="s">
        <v>209</v>
      </c>
      <c r="B97" s="916"/>
      <c r="C97" s="916"/>
      <c r="D97" s="174" t="s">
        <v>143</v>
      </c>
      <c r="E97" s="106">
        <f>'2'!F97</f>
        <v>104675</v>
      </c>
      <c r="F97" s="129">
        <v>104699</v>
      </c>
      <c r="G97" s="124">
        <f t="shared" si="9"/>
        <v>24</v>
      </c>
      <c r="H97" s="330">
        <f>G97+'2'!H97</f>
        <v>63</v>
      </c>
      <c r="I97" s="131"/>
      <c r="J97" s="203">
        <f>H97/DAY(B2)</f>
        <v>21</v>
      </c>
      <c r="K97" s="80"/>
      <c r="L97" s="68"/>
      <c r="O97" s="73"/>
    </row>
    <row r="98" spans="1:15" ht="27.75">
      <c r="A98" s="915" t="s">
        <v>210</v>
      </c>
      <c r="B98" s="916"/>
      <c r="C98" s="916"/>
      <c r="D98" s="174" t="s">
        <v>143</v>
      </c>
      <c r="E98" s="106">
        <f>'2'!F98</f>
        <v>100431</v>
      </c>
      <c r="F98" s="129">
        <v>100461</v>
      </c>
      <c r="G98" s="124">
        <f t="shared" si="9"/>
        <v>30</v>
      </c>
      <c r="H98" s="330">
        <f>G98+'2'!H98</f>
        <v>91</v>
      </c>
      <c r="I98" s="131"/>
      <c r="J98" s="203">
        <f>H98/DAY(B2)</f>
        <v>30.333333333333332</v>
      </c>
      <c r="K98" s="85"/>
      <c r="L98" s="68"/>
      <c r="O98" s="73"/>
    </row>
    <row r="99" spans="1:15" ht="27.75">
      <c r="A99" s="915" t="s">
        <v>211</v>
      </c>
      <c r="B99" s="916"/>
      <c r="C99" s="916"/>
      <c r="D99" s="174" t="s">
        <v>143</v>
      </c>
      <c r="E99" s="106">
        <f>'2'!F99</f>
        <v>152175</v>
      </c>
      <c r="F99" s="129">
        <v>152204</v>
      </c>
      <c r="G99" s="124">
        <f t="shared" si="9"/>
        <v>29</v>
      </c>
      <c r="H99" s="330">
        <f>G99+'2'!H99</f>
        <v>69</v>
      </c>
      <c r="I99" s="131"/>
      <c r="J99" s="203">
        <f>H99/DAY(B2)</f>
        <v>23</v>
      </c>
      <c r="K99" s="71"/>
      <c r="L99" s="68"/>
      <c r="O99" s="73"/>
    </row>
    <row r="100" spans="1:15" ht="27.75">
      <c r="A100" s="915" t="s">
        <v>212</v>
      </c>
      <c r="B100" s="916"/>
      <c r="C100" s="916"/>
      <c r="D100" s="174" t="s">
        <v>143</v>
      </c>
      <c r="E100" s="106">
        <f>'2'!F100</f>
        <v>8664</v>
      </c>
      <c r="F100" s="129">
        <v>8674</v>
      </c>
      <c r="G100" s="124">
        <f t="shared" si="9"/>
        <v>10</v>
      </c>
      <c r="H100" s="330">
        <f>G100+'2'!H100</f>
        <v>29</v>
      </c>
      <c r="I100" s="131"/>
      <c r="J100" s="203">
        <f>H100/DAY(B2)</f>
        <v>9.6666666666666661</v>
      </c>
      <c r="K100" s="71"/>
      <c r="L100" s="68"/>
      <c r="O100" s="73"/>
    </row>
    <row r="101" spans="1:15" ht="27.75">
      <c r="A101" s="915" t="s">
        <v>213</v>
      </c>
      <c r="B101" s="916"/>
      <c r="C101" s="916"/>
      <c r="D101" s="174" t="s">
        <v>143</v>
      </c>
      <c r="E101" s="106">
        <f>'2'!F101</f>
        <v>6389</v>
      </c>
      <c r="F101" s="129">
        <v>6398</v>
      </c>
      <c r="G101" s="124">
        <f t="shared" si="9"/>
        <v>9</v>
      </c>
      <c r="H101" s="330">
        <f>G101+'2'!H101</f>
        <v>25</v>
      </c>
      <c r="I101" s="131"/>
      <c r="J101" s="203">
        <f>H101/DAY(B2)</f>
        <v>8.3333333333333339</v>
      </c>
      <c r="K101" s="71"/>
      <c r="L101" s="68"/>
      <c r="O101" s="73"/>
    </row>
    <row r="102" spans="1:15">
      <c r="A102" s="1277" t="s">
        <v>215</v>
      </c>
      <c r="B102" s="1278"/>
      <c r="C102" s="1279"/>
      <c r="D102" s="175"/>
      <c r="E102" s="175"/>
      <c r="F102" s="175"/>
      <c r="G102" s="176">
        <f>SUM(G96:G101)</f>
        <v>189</v>
      </c>
      <c r="H102" s="330">
        <f>G102+'2'!H102</f>
        <v>514</v>
      </c>
      <c r="I102" s="177"/>
      <c r="J102" s="203">
        <f>H102/DAY(B2)</f>
        <v>171.33333333333334</v>
      </c>
      <c r="K102" s="71"/>
      <c r="L102" s="68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>
      <c r="A104" s="1280" t="s">
        <v>217</v>
      </c>
      <c r="B104" s="1281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>
      <c r="A105" s="1235" t="s">
        <v>218</v>
      </c>
      <c r="B105" s="1236"/>
      <c r="C105" s="913"/>
      <c r="D105" s="273" t="s">
        <v>143</v>
      </c>
      <c r="E105" s="106">
        <f>'2'!F105</f>
        <v>7961</v>
      </c>
      <c r="F105" s="309">
        <v>7961</v>
      </c>
      <c r="G105" s="183">
        <f>F105-E105</f>
        <v>0</v>
      </c>
      <c r="H105" s="330">
        <f>G105+'2'!H105</f>
        <v>0</v>
      </c>
      <c r="I105" s="183"/>
      <c r="J105" s="209">
        <f>H109/DAY(B2)</f>
        <v>0</v>
      </c>
      <c r="O105" s="73"/>
    </row>
    <row r="106" spans="1:15" s="93" customFormat="1" ht="27.75">
      <c r="A106" s="1235" t="s">
        <v>76</v>
      </c>
      <c r="B106" s="1236"/>
      <c r="C106" s="913"/>
      <c r="D106" s="273" t="s">
        <v>143</v>
      </c>
      <c r="E106" s="106">
        <f>'2'!F106</f>
        <v>36781</v>
      </c>
      <c r="F106" s="310">
        <v>36789</v>
      </c>
      <c r="G106" s="183">
        <f t="shared" ref="G106:G107" si="10">F106-E106</f>
        <v>8</v>
      </c>
      <c r="H106" s="330">
        <f>G106+'2'!H106</f>
        <v>24</v>
      </c>
      <c r="I106" s="183"/>
      <c r="J106" s="209">
        <f>H106/DAY(B2)</f>
        <v>8</v>
      </c>
      <c r="O106" s="73"/>
    </row>
    <row r="107" spans="1:15" s="93" customFormat="1" ht="27.75">
      <c r="A107" s="1235" t="s">
        <v>77</v>
      </c>
      <c r="B107" s="1291"/>
      <c r="C107" s="1236"/>
      <c r="D107" s="273" t="s">
        <v>143</v>
      </c>
      <c r="E107" s="106">
        <f>'2'!F107</f>
        <v>20233</v>
      </c>
      <c r="F107" s="310">
        <v>20241</v>
      </c>
      <c r="G107" s="183">
        <f t="shared" si="10"/>
        <v>8</v>
      </c>
      <c r="H107" s="330">
        <f>G107+'2'!H107</f>
        <v>27</v>
      </c>
      <c r="I107" s="183"/>
      <c r="J107" s="209">
        <f>H107/DAY(B2)</f>
        <v>9</v>
      </c>
      <c r="O107" s="73"/>
    </row>
    <row r="108" spans="1:15" s="93" customFormat="1" ht="27.75">
      <c r="A108" s="1241" t="s">
        <v>201</v>
      </c>
      <c r="B108" s="1242"/>
      <c r="C108" s="913"/>
      <c r="D108" s="273"/>
      <c r="E108" s="106"/>
      <c r="F108" s="310" t="s">
        <v>267</v>
      </c>
      <c r="G108" s="183">
        <f>SUM(G105:G107)</f>
        <v>16</v>
      </c>
      <c r="H108" s="330">
        <f>G108+'2'!H108</f>
        <v>51</v>
      </c>
      <c r="I108" s="183"/>
      <c r="J108" s="209">
        <f>H108/DAY(B2)</f>
        <v>17</v>
      </c>
      <c r="O108" s="73"/>
    </row>
    <row r="109" spans="1:15" s="93" customFormat="1" ht="27.75">
      <c r="A109" s="1289" t="s">
        <v>78</v>
      </c>
      <c r="B109" s="1290"/>
      <c r="C109" s="913"/>
      <c r="D109" s="273" t="s">
        <v>143</v>
      </c>
      <c r="E109" s="106"/>
      <c r="F109" s="310"/>
      <c r="G109" s="183"/>
      <c r="H109" s="330">
        <f>G109+'2'!H109</f>
        <v>0</v>
      </c>
      <c r="I109" s="183"/>
      <c r="J109" s="209"/>
      <c r="O109" s="73"/>
    </row>
    <row r="110" spans="1:15" s="93" customFormat="1" ht="27.75">
      <c r="A110" s="1235" t="s">
        <v>219</v>
      </c>
      <c r="B110" s="1236"/>
      <c r="C110" s="913"/>
      <c r="D110" s="273" t="s">
        <v>143</v>
      </c>
      <c r="E110" s="106">
        <f>'2'!F110</f>
        <v>69696</v>
      </c>
      <c r="F110" s="310">
        <v>69746</v>
      </c>
      <c r="G110" s="183">
        <f>F110-E110</f>
        <v>50</v>
      </c>
      <c r="H110" s="330">
        <f>G110+'2'!H110</f>
        <v>222</v>
      </c>
      <c r="I110" s="183"/>
      <c r="J110" s="209">
        <f>H110/DAY(B2)</f>
        <v>74</v>
      </c>
      <c r="O110" s="73"/>
    </row>
    <row r="111" spans="1:15" s="93" customFormat="1" ht="27.75">
      <c r="A111" s="1235" t="s">
        <v>220</v>
      </c>
      <c r="B111" s="1236"/>
      <c r="C111" s="913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30">
        <f>G111+'2'!H111</f>
        <v>0</v>
      </c>
      <c r="I111" s="183"/>
      <c r="J111" s="209">
        <f>H111/DAY(B2)</f>
        <v>0</v>
      </c>
      <c r="O111" s="73"/>
    </row>
    <row r="112" spans="1:15" s="93" customFormat="1" ht="27.75">
      <c r="A112" s="1235" t="s">
        <v>221</v>
      </c>
      <c r="B112" s="1236"/>
      <c r="C112" s="913"/>
      <c r="D112" s="273" t="s">
        <v>143</v>
      </c>
      <c r="E112" s="106">
        <f>'2'!F112</f>
        <v>4788</v>
      </c>
      <c r="F112" s="310">
        <v>4793</v>
      </c>
      <c r="G112" s="183">
        <f t="shared" si="11"/>
        <v>5</v>
      </c>
      <c r="H112" s="330">
        <f>G112+'2'!H112</f>
        <v>5</v>
      </c>
      <c r="I112" s="183"/>
      <c r="J112" s="209">
        <f>H112/DAY(B2)</f>
        <v>1.6666666666666667</v>
      </c>
      <c r="O112" s="73"/>
    </row>
    <row r="113" spans="1:15" s="93" customFormat="1" ht="27.75">
      <c r="A113" s="1241" t="s">
        <v>109</v>
      </c>
      <c r="B113" s="1242"/>
      <c r="C113" s="913"/>
      <c r="D113" s="273"/>
      <c r="E113" s="106"/>
      <c r="F113" s="310"/>
      <c r="G113" s="183">
        <f>SUM(G110:G112)</f>
        <v>55</v>
      </c>
      <c r="H113" s="330">
        <f>G113+'2'!H113</f>
        <v>227</v>
      </c>
      <c r="I113" s="183"/>
      <c r="J113" s="209">
        <f>H113/DAY(B2)</f>
        <v>75.666666666666671</v>
      </c>
      <c r="O113" s="73"/>
    </row>
    <row r="114" spans="1:15" s="93" customFormat="1" ht="27.75">
      <c r="A114" s="1289" t="s">
        <v>222</v>
      </c>
      <c r="B114" s="1290"/>
      <c r="C114" s="913"/>
      <c r="D114" s="273"/>
      <c r="E114" s="106"/>
      <c r="F114" s="309"/>
      <c r="G114" s="183"/>
      <c r="H114" s="330">
        <f>G114+'2'!H114</f>
        <v>0</v>
      </c>
      <c r="I114" s="183"/>
      <c r="J114" s="209">
        <f>H114/DAY(B2)</f>
        <v>0</v>
      </c>
      <c r="O114" s="73"/>
    </row>
    <row r="115" spans="1:15" s="93" customFormat="1" ht="27.75">
      <c r="A115" s="1235" t="s">
        <v>223</v>
      </c>
      <c r="B115" s="1236"/>
      <c r="C115" s="912"/>
      <c r="D115" s="273" t="s">
        <v>143</v>
      </c>
      <c r="E115" s="106">
        <f>'2'!F115</f>
        <v>13062</v>
      </c>
      <c r="F115" s="310">
        <v>13075</v>
      </c>
      <c r="G115" s="185">
        <f>F115-E115</f>
        <v>13</v>
      </c>
      <c r="H115" s="330">
        <f>G115+'2'!H115</f>
        <v>37</v>
      </c>
      <c r="I115" s="183"/>
      <c r="J115" s="209">
        <f>H115/DAY(B2)</f>
        <v>12.333333333333334</v>
      </c>
      <c r="O115" s="73"/>
    </row>
    <row r="116" spans="1:15" s="93" customFormat="1" ht="27.75">
      <c r="A116" s="1235" t="s">
        <v>224</v>
      </c>
      <c r="B116" s="1236"/>
      <c r="C116" s="912"/>
      <c r="D116" s="273" t="s">
        <v>143</v>
      </c>
      <c r="E116" s="106">
        <f>'2'!F116</f>
        <v>9146</v>
      </c>
      <c r="F116" s="310">
        <v>9146</v>
      </c>
      <c r="G116" s="185">
        <f t="shared" ref="G116:G117" si="12">F116-E116</f>
        <v>0</v>
      </c>
      <c r="H116" s="330">
        <f>G116+'2'!H116</f>
        <v>20</v>
      </c>
      <c r="I116" s="183"/>
      <c r="J116" s="209">
        <f>H116/DAY(B2)</f>
        <v>6.666666666666667</v>
      </c>
      <c r="O116" s="73"/>
    </row>
    <row r="117" spans="1:15" s="93" customFormat="1" ht="27.75">
      <c r="A117" s="1235" t="s">
        <v>225</v>
      </c>
      <c r="B117" s="1236"/>
      <c r="C117" s="912"/>
      <c r="D117" s="273" t="s">
        <v>143</v>
      </c>
      <c r="E117" s="106"/>
      <c r="F117" s="310"/>
      <c r="G117" s="185">
        <f t="shared" si="12"/>
        <v>0</v>
      </c>
      <c r="H117" s="330">
        <f>G117+'2'!H117</f>
        <v>0</v>
      </c>
      <c r="I117" s="183"/>
      <c r="J117" s="209">
        <f>H117/DAY(B2)</f>
        <v>0</v>
      </c>
      <c r="O117" s="73"/>
    </row>
    <row r="118" spans="1:15" s="96" customFormat="1" ht="27.75">
      <c r="A118" s="1241" t="s">
        <v>201</v>
      </c>
      <c r="B118" s="1242"/>
      <c r="C118" s="912"/>
      <c r="D118" s="431"/>
      <c r="E118" s="106"/>
      <c r="F118" s="310"/>
      <c r="G118" s="185">
        <f>SUM(G115:G117)</f>
        <v>13</v>
      </c>
      <c r="H118" s="330">
        <f>G118+'2'!H118</f>
        <v>57</v>
      </c>
      <c r="I118" s="185"/>
      <c r="J118" s="209">
        <f>H118/DAY(B2)</f>
        <v>19</v>
      </c>
      <c r="O118" s="73"/>
    </row>
    <row r="119" spans="1:15" s="96" customFormat="1" ht="27.75">
      <c r="A119" s="1233" t="s">
        <v>226</v>
      </c>
      <c r="B119" s="1234"/>
      <c r="C119" s="912"/>
      <c r="D119" s="275" t="s">
        <v>143</v>
      </c>
      <c r="E119" s="106"/>
      <c r="F119" s="311">
        <f>SUM(G19+G93)</f>
        <v>163</v>
      </c>
      <c r="G119" s="187">
        <f>SUM(G19+G93)</f>
        <v>163</v>
      </c>
      <c r="H119" s="330">
        <f>G119+'2'!H119</f>
        <v>445</v>
      </c>
      <c r="I119" s="186"/>
      <c r="J119" s="210">
        <f>H119/DAY(B2)</f>
        <v>148.33333333333334</v>
      </c>
      <c r="O119" s="73"/>
    </row>
    <row r="120" spans="1:15" s="96" customFormat="1" ht="27.75">
      <c r="A120" s="1233" t="s">
        <v>227</v>
      </c>
      <c r="B120" s="1234"/>
      <c r="C120" s="912"/>
      <c r="D120" s="275" t="s">
        <v>143</v>
      </c>
      <c r="E120" s="187"/>
      <c r="F120" s="311">
        <f>SUM(G96,G97,G98,G100,G101)</f>
        <v>160</v>
      </c>
      <c r="G120" s="187">
        <f>SUM(G96,G97,G98,G100,G101)</f>
        <v>160</v>
      </c>
      <c r="H120" s="330">
        <f>G120+'2'!H120</f>
        <v>445</v>
      </c>
      <c r="I120" s="186"/>
      <c r="J120" s="210">
        <f>H120/DAY(B2)</f>
        <v>148.33333333333334</v>
      </c>
      <c r="O120" s="73"/>
    </row>
    <row r="121" spans="1:15" s="96" customFormat="1" ht="27.75">
      <c r="A121" s="1233" t="s">
        <v>228</v>
      </c>
      <c r="B121" s="1234"/>
      <c r="C121" s="912"/>
      <c r="D121" s="275" t="s">
        <v>143</v>
      </c>
      <c r="E121" s="185"/>
      <c r="F121" s="310">
        <f>SUM(G113)</f>
        <v>55</v>
      </c>
      <c r="G121" s="185">
        <f>SUM(G113)</f>
        <v>55</v>
      </c>
      <c r="H121" s="330">
        <f>G121+'2'!H121</f>
        <v>227</v>
      </c>
      <c r="I121" s="186"/>
      <c r="J121" s="210">
        <f>H121/DAY(B2)</f>
        <v>75.666666666666671</v>
      </c>
      <c r="O121" s="73"/>
    </row>
    <row r="122" spans="1:15" s="93" customFormat="1" ht="27.75">
      <c r="A122" s="1235"/>
      <c r="B122" s="1236"/>
      <c r="C122" s="913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>
      <c r="A124" s="915" t="s">
        <v>230</v>
      </c>
      <c r="B124" s="916"/>
      <c r="C124" s="916"/>
      <c r="D124" s="174" t="s">
        <v>140</v>
      </c>
      <c r="E124" s="106">
        <f>'2'!F124</f>
        <v>856830.16</v>
      </c>
      <c r="F124" s="302">
        <v>857078.23</v>
      </c>
      <c r="G124" s="124">
        <f t="shared" ref="G124:G128" si="13">F124-E124</f>
        <v>248.06999999994878</v>
      </c>
      <c r="H124" s="330">
        <f>G124+'2'!H124</f>
        <v>726.22999999998137</v>
      </c>
      <c r="I124" s="177"/>
      <c r="J124" s="203">
        <f>H124/DAY(B2)</f>
        <v>242.07666666666046</v>
      </c>
      <c r="K124" s="71"/>
      <c r="L124" s="68"/>
      <c r="O124" s="73"/>
    </row>
    <row r="125" spans="1:15" ht="27.75">
      <c r="A125" s="915" t="s">
        <v>231</v>
      </c>
      <c r="B125" s="916"/>
      <c r="C125" s="916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30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>
      <c r="A126" s="1226" t="s">
        <v>232</v>
      </c>
      <c r="B126" s="1227"/>
      <c r="C126" s="1228"/>
      <c r="D126" s="174" t="s">
        <v>140</v>
      </c>
      <c r="E126" s="106">
        <f>'2'!F126</f>
        <v>154251.19</v>
      </c>
      <c r="F126" s="302">
        <v>154346.84</v>
      </c>
      <c r="G126" s="124">
        <f t="shared" si="13"/>
        <v>95.649999999994179</v>
      </c>
      <c r="H126" s="330">
        <f>G126+'2'!H126</f>
        <v>269.83999999999651</v>
      </c>
      <c r="I126" s="177"/>
      <c r="J126" s="203">
        <f>H126/DAY(B2)</f>
        <v>89.946666666665507</v>
      </c>
      <c r="K126" s="71"/>
      <c r="L126" s="68"/>
      <c r="O126" s="73"/>
    </row>
    <row r="127" spans="1:15" ht="27.75">
      <c r="A127" s="260" t="s">
        <v>233</v>
      </c>
      <c r="B127" s="916"/>
      <c r="C127" s="916"/>
      <c r="D127" s="174" t="s">
        <v>140</v>
      </c>
      <c r="E127" s="106">
        <f>'2'!F127</f>
        <v>34720.300000000003</v>
      </c>
      <c r="F127" s="302">
        <v>34769.800000000003</v>
      </c>
      <c r="G127" s="124">
        <f t="shared" si="13"/>
        <v>49.5</v>
      </c>
      <c r="H127" s="330">
        <f>G127+'2'!H127</f>
        <v>140.80000000000291</v>
      </c>
      <c r="I127" s="177"/>
      <c r="J127" s="203">
        <f>H127/DAY(B2)</f>
        <v>46.933333333334303</v>
      </c>
      <c r="K127" s="71"/>
      <c r="L127" s="68"/>
      <c r="O127" s="73"/>
    </row>
    <row r="128" spans="1:15" ht="27.75">
      <c r="A128" s="260" t="s">
        <v>234</v>
      </c>
      <c r="B128" s="916"/>
      <c r="C128" s="916"/>
      <c r="D128" s="174" t="s">
        <v>140</v>
      </c>
      <c r="E128" s="106">
        <f>'2'!F128</f>
        <v>9183.2000000000007</v>
      </c>
      <c r="F128" s="302">
        <v>9184.4</v>
      </c>
      <c r="G128" s="124">
        <f t="shared" si="13"/>
        <v>1.1999999999989086</v>
      </c>
      <c r="H128" s="330">
        <f>G128+'2'!H128</f>
        <v>4.3999999999996362</v>
      </c>
      <c r="I128" s="131"/>
      <c r="J128" s="203">
        <f>H128/DAY(B2)</f>
        <v>1.4666666666665453</v>
      </c>
      <c r="K128" s="71"/>
      <c r="L128" s="68"/>
      <c r="O128" s="73"/>
    </row>
    <row r="129" spans="1:15" s="57" customFormat="1" ht="27.75">
      <c r="A129" s="260" t="s">
        <v>235</v>
      </c>
      <c r="B129" s="916"/>
      <c r="C129" s="916"/>
      <c r="D129" s="174"/>
      <c r="E129" s="106">
        <f>'2'!F129</f>
        <v>0</v>
      </c>
      <c r="F129" s="129"/>
      <c r="G129" s="124">
        <f>G15-SUM(G124:G128)</f>
        <v>471.78200000010656</v>
      </c>
      <c r="H129" s="330">
        <f>G129+'2'!H129</f>
        <v>1531.4520000000866</v>
      </c>
      <c r="I129" s="131"/>
      <c r="J129" s="203">
        <f>H129/DAY(B2)</f>
        <v>510.48400000002886</v>
      </c>
      <c r="K129" s="60"/>
      <c r="L129" s="58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915" t="s">
        <v>237</v>
      </c>
      <c r="B131" s="916"/>
      <c r="C131" s="916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30">
        <f>G131+'2'!H131</f>
        <v>0</v>
      </c>
      <c r="I131" s="131"/>
      <c r="J131" s="203">
        <f>H131/DAY(B2)</f>
        <v>0</v>
      </c>
      <c r="O131" s="73"/>
    </row>
    <row r="132" spans="1:15" ht="27.75">
      <c r="A132" s="915" t="s">
        <v>239</v>
      </c>
      <c r="B132" s="916"/>
      <c r="C132" s="916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30">
        <f>G132+'2'!H132</f>
        <v>0</v>
      </c>
      <c r="I132" s="131"/>
      <c r="J132" s="203">
        <f>H132/DAY(B2)</f>
        <v>0</v>
      </c>
      <c r="O132" s="73"/>
    </row>
    <row r="133" spans="1:15" ht="27.75">
      <c r="A133" s="915" t="s">
        <v>240</v>
      </c>
      <c r="B133" s="916"/>
      <c r="C133" s="916"/>
      <c r="D133" s="174" t="s">
        <v>238</v>
      </c>
      <c r="E133" s="106">
        <f>'2'!F133</f>
        <v>40921.53</v>
      </c>
      <c r="F133" s="302">
        <v>40921.53</v>
      </c>
      <c r="G133" s="124">
        <f t="shared" si="14"/>
        <v>0</v>
      </c>
      <c r="H133" s="330">
        <f>G133+'2'!H133</f>
        <v>-0.47000000000116415</v>
      </c>
      <c r="I133" s="131"/>
      <c r="J133" s="203">
        <f>H133/DAY(B2)</f>
        <v>-0.15666666666705473</v>
      </c>
      <c r="O133" s="73"/>
    </row>
    <row r="134" spans="1:15" ht="27.75">
      <c r="A134" s="915" t="s">
        <v>241</v>
      </c>
      <c r="B134" s="916"/>
      <c r="C134" s="916"/>
      <c r="D134" s="174" t="s">
        <v>238</v>
      </c>
      <c r="E134" s="106">
        <f>'2'!F134</f>
        <v>904.27</v>
      </c>
      <c r="F134" s="302">
        <v>928.1</v>
      </c>
      <c r="G134" s="124">
        <f t="shared" si="14"/>
        <v>23.830000000000041</v>
      </c>
      <c r="H134" s="330">
        <f>G134+'2'!H134</f>
        <v>72.100000000000023</v>
      </c>
      <c r="I134" s="131"/>
      <c r="J134" s="203">
        <f>H134/DAY(B2)</f>
        <v>24.033333333333342</v>
      </c>
      <c r="O134" s="73"/>
    </row>
    <row r="135" spans="1:15" ht="27.75">
      <c r="A135" s="915" t="s">
        <v>242</v>
      </c>
      <c r="B135" s="916"/>
      <c r="C135" s="916"/>
      <c r="D135" s="174" t="s">
        <v>238</v>
      </c>
      <c r="E135" s="106">
        <f>'2'!F135</f>
        <v>42822.14</v>
      </c>
      <c r="F135" s="302">
        <v>42822.14</v>
      </c>
      <c r="G135" s="124">
        <f t="shared" si="14"/>
        <v>0</v>
      </c>
      <c r="H135" s="330">
        <f>G135+'2'!H135</f>
        <v>0.13999999999941792</v>
      </c>
      <c r="I135" s="131"/>
      <c r="J135" s="203">
        <f>H135/DAY(B2)</f>
        <v>4.6666666666472643E-2</v>
      </c>
      <c r="O135" s="73"/>
    </row>
    <row r="136" spans="1:15" ht="27.75">
      <c r="A136" s="915" t="s">
        <v>243</v>
      </c>
      <c r="B136" s="916"/>
      <c r="C136" s="916"/>
      <c r="D136" s="174" t="s">
        <v>238</v>
      </c>
      <c r="E136" s="106">
        <f>'2'!F136</f>
        <v>32951.339999999997</v>
      </c>
      <c r="F136" s="302">
        <v>32958.379999999997</v>
      </c>
      <c r="G136" s="124">
        <f t="shared" si="14"/>
        <v>7.0400000000008731</v>
      </c>
      <c r="H136" s="330">
        <f>G136+'2'!H136</f>
        <v>30.379999999997381</v>
      </c>
      <c r="I136" s="131">
        <f t="shared" ref="I136" si="15">G133+G134+G135+G136</f>
        <v>30.870000000000914</v>
      </c>
      <c r="J136" s="203">
        <f>H136/DAY(B2)</f>
        <v>10.126666666665793</v>
      </c>
      <c r="O136" s="73"/>
    </row>
    <row r="137" spans="1:15" ht="27.75">
      <c r="A137" s="915" t="s">
        <v>244</v>
      </c>
      <c r="B137" s="916"/>
      <c r="C137" s="916"/>
      <c r="D137" s="174" t="s">
        <v>238</v>
      </c>
      <c r="E137" s="106">
        <f>'2'!F137</f>
        <v>23376.959999999999</v>
      </c>
      <c r="F137" s="302">
        <v>23384.93</v>
      </c>
      <c r="G137" s="124">
        <f t="shared" si="14"/>
        <v>7.9700000000011642</v>
      </c>
      <c r="H137" s="330">
        <f>G137+'2'!H137</f>
        <v>28.5</v>
      </c>
      <c r="I137" s="131"/>
      <c r="J137" s="203">
        <f>H137/DAY(B2)</f>
        <v>9.5</v>
      </c>
      <c r="O137" s="73"/>
    </row>
    <row r="138" spans="1:15" ht="27.75">
      <c r="A138" s="915" t="s">
        <v>245</v>
      </c>
      <c r="B138" s="916"/>
      <c r="C138" s="916"/>
      <c r="D138" s="174" t="s">
        <v>238</v>
      </c>
      <c r="E138" s="106">
        <f>'2'!F138</f>
        <v>25132.98</v>
      </c>
      <c r="F138" s="302">
        <v>25132.98</v>
      </c>
      <c r="G138" s="124">
        <f t="shared" si="14"/>
        <v>0</v>
      </c>
      <c r="H138" s="330">
        <f>G138+'2'!H138</f>
        <v>2.0000000000436557E-2</v>
      </c>
      <c r="I138" s="131"/>
      <c r="J138" s="203">
        <f>H138/DAY(B2)</f>
        <v>6.6666666668121861E-3</v>
      </c>
      <c r="O138" s="73"/>
    </row>
    <row r="139" spans="1:15" ht="27.75">
      <c r="A139" s="915" t="s">
        <v>246</v>
      </c>
      <c r="B139" s="916"/>
      <c r="C139" s="916"/>
      <c r="D139" s="174" t="s">
        <v>238</v>
      </c>
      <c r="E139" s="106">
        <f>'2'!F139</f>
        <v>70526</v>
      </c>
      <c r="F139" s="302">
        <v>70526</v>
      </c>
      <c r="G139" s="124">
        <f t="shared" si="14"/>
        <v>0</v>
      </c>
      <c r="H139" s="330">
        <f>G139+'2'!H139</f>
        <v>1.4499999999970896</v>
      </c>
      <c r="I139" s="131">
        <f>G137+G138+G139</f>
        <v>7.9700000000011642</v>
      </c>
      <c r="J139" s="203">
        <f>H139/DAY(B2)</f>
        <v>0.48333333333236322</v>
      </c>
      <c r="O139" s="73"/>
    </row>
    <row r="140" spans="1:15" ht="27.75">
      <c r="A140" s="915" t="s">
        <v>247</v>
      </c>
      <c r="B140" s="916"/>
      <c r="C140" s="916"/>
      <c r="D140" s="174" t="s">
        <v>238</v>
      </c>
      <c r="E140" s="106">
        <f>'2'!F140</f>
        <v>2646.38</v>
      </c>
      <c r="F140" s="302">
        <v>2655.97</v>
      </c>
      <c r="G140" s="124">
        <f t="shared" si="14"/>
        <v>9.5899999999996908</v>
      </c>
      <c r="H140" s="330">
        <f>G140+'2'!H140</f>
        <v>27.989999999999782</v>
      </c>
      <c r="I140" s="193"/>
      <c r="J140" s="203">
        <f>H140/DAY(B2)</f>
        <v>9.3299999999999272</v>
      </c>
      <c r="O140" s="73"/>
    </row>
    <row r="141" spans="1:15" ht="27.75">
      <c r="A141" s="915" t="s">
        <v>248</v>
      </c>
      <c r="B141" s="916"/>
      <c r="C141" s="916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30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>
      <c r="A142" s="1248" t="s">
        <v>249</v>
      </c>
      <c r="B142" s="1249"/>
      <c r="C142" s="921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5311.0800000000927</v>
      </c>
      <c r="H143" s="330">
        <f>G143+'2'!H143</f>
        <v>17389.280000000046</v>
      </c>
      <c r="I143" s="131"/>
      <c r="J143" s="203">
        <f>H143/DAY(B2)</f>
        <v>5796.4266666666817</v>
      </c>
      <c r="K143" s="71"/>
      <c r="L143" s="68"/>
      <c r="O143" s="73"/>
    </row>
    <row r="144" spans="1:15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0.2453622792708306</v>
      </c>
      <c r="H144" s="330">
        <f>G144+'2'!H144</f>
        <v>0.76073652447682294</v>
      </c>
      <c r="I144" s="195"/>
      <c r="J144" s="203">
        <f>H144/DAY(B2)</f>
        <v>0.25357884149227433</v>
      </c>
      <c r="K144" s="71"/>
      <c r="L144" s="68"/>
      <c r="O144" s="73"/>
    </row>
    <row r="145" spans="1:15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6081.9799999999232</v>
      </c>
      <c r="H145" s="330">
        <f>G145+'2'!H145</f>
        <v>20889.119999999966</v>
      </c>
      <c r="I145" s="131"/>
      <c r="J145" s="203">
        <f>H145/DAY(B2)</f>
        <v>6963.039999999989</v>
      </c>
      <c r="K145" s="71"/>
      <c r="L145" s="68"/>
      <c r="O145" s="73"/>
    </row>
    <row r="146" spans="1:15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0.2809764634084897</v>
      </c>
      <c r="H146" s="330">
        <f>G146+'2'!H146</f>
        <v>0.91182804846859533</v>
      </c>
      <c r="I146" s="195"/>
      <c r="J146" s="203">
        <f>H146/DAY(B2)</f>
        <v>0.30394268282286513</v>
      </c>
      <c r="K146" s="71"/>
      <c r="L146" s="68"/>
      <c r="O146" s="73"/>
    </row>
    <row r="147" spans="1:15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3782.84</v>
      </c>
      <c r="H147" s="330">
        <f>G147+'2'!H147</f>
        <v>11466.32</v>
      </c>
      <c r="I147" s="196"/>
      <c r="J147" s="203">
        <f>H147/DAY(B2)</f>
        <v>3822.1066666666666</v>
      </c>
      <c r="K147" s="71"/>
      <c r="L147" s="68"/>
      <c r="O147" s="73"/>
    </row>
    <row r="148" spans="1:15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0.17476035844251125</v>
      </c>
      <c r="H148" s="330">
        <f>G148+'2'!H148</f>
        <v>0.50301932992028431</v>
      </c>
      <c r="I148" s="196"/>
      <c r="J148" s="203">
        <f>H148/DAY(B2)</f>
        <v>0.1676731099734281</v>
      </c>
      <c r="O148" s="73"/>
    </row>
    <row r="149" spans="1:15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1807.5</v>
      </c>
      <c r="H149" s="330">
        <f>G149+'2'!H149</f>
        <v>5221.8700000000008</v>
      </c>
      <c r="I149" s="131"/>
      <c r="J149" s="203">
        <f>H149/DAY(B2)</f>
        <v>1740.6233333333337</v>
      </c>
      <c r="K149" s="72"/>
      <c r="O149" s="73"/>
    </row>
    <row r="150" spans="1:15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8.3503227174514139E-2</v>
      </c>
      <c r="H150" s="330">
        <f>G150+'2'!H150</f>
        <v>0.22933680460276681</v>
      </c>
      <c r="I150" s="196"/>
      <c r="J150" s="203">
        <f>H150/DAY(B2)</f>
        <v>7.64456015342556E-2</v>
      </c>
      <c r="O150" s="73"/>
    </row>
    <row r="151" spans="1:15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2283.9899999999725</v>
      </c>
      <c r="H151" s="330">
        <f>G151+'2'!H151</f>
        <v>7220.8600000000097</v>
      </c>
      <c r="I151" s="196"/>
      <c r="J151" s="203">
        <f>H151/DAY(B2)</f>
        <v>2406.9533333333366</v>
      </c>
      <c r="O151" s="73"/>
    </row>
    <row r="152" spans="1:15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0.10551620239796197</v>
      </c>
      <c r="H152" s="330">
        <f>G152+'2'!H152</f>
        <v>0.31609804236019717</v>
      </c>
      <c r="I152" s="131"/>
      <c r="J152" s="203">
        <f>H152/DAY(B2)</f>
        <v>0.10536601412006573</v>
      </c>
      <c r="O152" s="73"/>
    </row>
    <row r="153" spans="1:15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1487.2799999999997</v>
      </c>
      <c r="H153" s="330">
        <f>G153+'2'!H153</f>
        <v>4558.4799999999996</v>
      </c>
      <c r="I153" s="131"/>
      <c r="J153" s="203">
        <f>H153/DAY(B2)</f>
        <v>1519.4933333333331</v>
      </c>
      <c r="O153" s="73"/>
    </row>
    <row r="154" spans="1:15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6.8709642994252487E-2</v>
      </c>
      <c r="H154" s="330">
        <f>G154+'2'!H154</f>
        <v>0.19983888274546557</v>
      </c>
      <c r="I154" s="219"/>
      <c r="J154" s="220">
        <f>H154/DAY(B2)</f>
        <v>6.6612960915155187E-2</v>
      </c>
      <c r="O154" s="73"/>
    </row>
    <row r="155" spans="1:15">
      <c r="O155" s="73"/>
    </row>
    <row r="158" spans="1:15" ht="27.75">
      <c r="A158" s="1286" t="s">
        <v>266</v>
      </c>
      <c r="B158" s="1287"/>
      <c r="C158" s="1287"/>
      <c r="D158" s="1287"/>
      <c r="E158" s="1287"/>
      <c r="F158" s="1287"/>
      <c r="G158" s="1288"/>
    </row>
    <row r="159" spans="1:15">
      <c r="A159" s="435"/>
      <c r="B159" s="436"/>
      <c r="C159" s="436"/>
      <c r="D159" s="162"/>
      <c r="E159" s="106"/>
      <c r="F159" s="309"/>
      <c r="G159" s="124"/>
    </row>
    <row r="160" spans="1:15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106">
        <f>'2'!F161</f>
        <v>45956.68</v>
      </c>
      <c r="F161" s="309">
        <v>46037.16</v>
      </c>
      <c r="G161" s="124">
        <f t="shared" ref="G161:G172" si="16">F161-E161</f>
        <v>80.480000000003201</v>
      </c>
    </row>
    <row r="162" spans="1:15">
      <c r="A162" s="435" t="s">
        <v>263</v>
      </c>
      <c r="B162" s="436"/>
      <c r="C162" s="436"/>
      <c r="D162" s="162" t="s">
        <v>186</v>
      </c>
      <c r="E162" s="106">
        <f>'2'!F162</f>
        <v>137513.63</v>
      </c>
      <c r="F162" s="309">
        <v>138013.45000000001</v>
      </c>
      <c r="G162" s="124">
        <f t="shared" si="16"/>
        <v>499.82000000000698</v>
      </c>
    </row>
    <row r="163" spans="1:15">
      <c r="A163" s="435" t="s">
        <v>264</v>
      </c>
      <c r="B163" s="436"/>
      <c r="C163" s="436"/>
      <c r="D163" s="162" t="s">
        <v>186</v>
      </c>
      <c r="E163" s="106">
        <f>'2'!F163</f>
        <v>64230</v>
      </c>
      <c r="F163" s="309">
        <v>64442.25</v>
      </c>
      <c r="G163" s="124">
        <f t="shared" si="16"/>
        <v>212.25</v>
      </c>
    </row>
    <row r="164" spans="1:15">
      <c r="A164" s="435" t="s">
        <v>265</v>
      </c>
      <c r="B164" s="436"/>
      <c r="C164" s="436"/>
      <c r="D164" s="162" t="s">
        <v>186</v>
      </c>
      <c r="E164" s="106">
        <f>'2'!F164</f>
        <v>7487.38</v>
      </c>
      <c r="F164" s="309">
        <v>7496.13</v>
      </c>
      <c r="G164" s="124">
        <f t="shared" si="16"/>
        <v>8.75</v>
      </c>
    </row>
    <row r="165" spans="1:15">
      <c r="A165" s="437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>
      <c r="A166" s="437" t="s">
        <v>187</v>
      </c>
      <c r="B166" s="255"/>
      <c r="C166" s="255"/>
      <c r="D166" s="162" t="s">
        <v>186</v>
      </c>
      <c r="E166" s="106">
        <f>'2'!F166</f>
        <v>2472</v>
      </c>
      <c r="F166" s="165">
        <v>2472</v>
      </c>
      <c r="G166" s="124">
        <f t="shared" si="16"/>
        <v>0</v>
      </c>
    </row>
    <row r="167" spans="1:15" ht="21.75" customHeight="1">
      <c r="A167" s="1232" t="s">
        <v>98</v>
      </c>
      <c r="B167" s="1232"/>
      <c r="C167" s="1232"/>
      <c r="D167" s="174" t="s">
        <v>186</v>
      </c>
      <c r="E167" s="106">
        <f>'2'!F167</f>
        <v>195063.49</v>
      </c>
      <c r="F167" s="165">
        <f t="shared" ref="F167:F172" si="17">F64</f>
        <v>195478.53</v>
      </c>
      <c r="G167" s="124">
        <f t="shared" si="16"/>
        <v>415.04000000000815</v>
      </c>
    </row>
    <row r="168" spans="1:15" ht="21.75" customHeight="1">
      <c r="A168" s="1232" t="s">
        <v>99</v>
      </c>
      <c r="B168" s="1232"/>
      <c r="C168" s="1232"/>
      <c r="D168" s="174" t="s">
        <v>186</v>
      </c>
      <c r="E168" s="106">
        <f>'2'!F168</f>
        <v>195435.35</v>
      </c>
      <c r="F168" s="165">
        <f t="shared" si="17"/>
        <v>195812.61</v>
      </c>
      <c r="G168" s="124">
        <f t="shared" si="16"/>
        <v>377.25999999998021</v>
      </c>
    </row>
    <row r="169" spans="1:15" ht="21.75" customHeight="1">
      <c r="A169" s="1232" t="s">
        <v>100</v>
      </c>
      <c r="B169" s="1232"/>
      <c r="C169" s="1232"/>
      <c r="D169" s="174" t="s">
        <v>186</v>
      </c>
      <c r="E169" s="106">
        <f>'2'!F169</f>
        <v>94169.71</v>
      </c>
      <c r="F169" s="165">
        <f t="shared" si="17"/>
        <v>94579.79</v>
      </c>
      <c r="G169" s="124">
        <f t="shared" si="16"/>
        <v>410.07999999998719</v>
      </c>
      <c r="J169" s="190">
        <v>25</v>
      </c>
    </row>
    <row r="170" spans="1:15" ht="27.75" customHeight="1">
      <c r="A170" s="1232" t="s">
        <v>101</v>
      </c>
      <c r="B170" s="1232"/>
      <c r="C170" s="1232"/>
      <c r="D170" s="174" t="s">
        <v>186</v>
      </c>
      <c r="E170" s="106">
        <f>'2'!F170</f>
        <v>295735.23</v>
      </c>
      <c r="F170" s="165">
        <f t="shared" si="17"/>
        <v>296158.73</v>
      </c>
      <c r="G170" s="124">
        <f t="shared" si="16"/>
        <v>423.5</v>
      </c>
      <c r="J170" s="190">
        <v>40118</v>
      </c>
    </row>
    <row r="171" spans="1:15" ht="24" customHeight="1">
      <c r="A171" s="1232" t="s">
        <v>102</v>
      </c>
      <c r="B171" s="1232"/>
      <c r="C171" s="1232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>
      <c r="A172" s="1232" t="s">
        <v>103</v>
      </c>
      <c r="B172" s="1232"/>
      <c r="C172" s="1232"/>
      <c r="D172" s="174" t="s">
        <v>186</v>
      </c>
      <c r="E172" s="106">
        <f>'2'!F172</f>
        <v>106991.94</v>
      </c>
      <c r="F172" s="165">
        <f t="shared" si="17"/>
        <v>107281.06</v>
      </c>
      <c r="G172" s="124">
        <f t="shared" si="16"/>
        <v>289.11999999999534</v>
      </c>
      <c r="J172" s="190">
        <v>70354</v>
      </c>
    </row>
    <row r="173" spans="1:15">
      <c r="J173" s="190">
        <v>19017</v>
      </c>
    </row>
    <row r="174" spans="1:15" ht="21.95" customHeight="1">
      <c r="A174" s="1292" t="s">
        <v>337</v>
      </c>
      <c r="B174" s="1292"/>
      <c r="C174" s="1117"/>
      <c r="D174" s="1118" t="s">
        <v>186</v>
      </c>
      <c r="E174" s="1119">
        <f>'2'!F174</f>
        <v>19224.2</v>
      </c>
      <c r="F174" s="1120">
        <v>19226.5</v>
      </c>
      <c r="G174" s="1121">
        <f t="shared" ref="G174:G176" si="18">F174-E174</f>
        <v>2.2999999999992724</v>
      </c>
      <c r="O174" s="68"/>
    </row>
    <row r="175" spans="1:15" ht="21.95" customHeight="1">
      <c r="A175" s="1292" t="s">
        <v>337</v>
      </c>
      <c r="B175" s="1292"/>
      <c r="C175" s="1117"/>
      <c r="D175" s="1118" t="s">
        <v>186</v>
      </c>
      <c r="E175" s="1119">
        <f>'2'!F175</f>
        <v>70747.3</v>
      </c>
      <c r="F175" s="1120">
        <v>70753.3</v>
      </c>
      <c r="G175" s="1121">
        <f t="shared" si="18"/>
        <v>6</v>
      </c>
      <c r="O175" s="68"/>
    </row>
    <row r="176" spans="1:15" ht="21.95" customHeight="1">
      <c r="A176" s="1292" t="s">
        <v>338</v>
      </c>
      <c r="B176" s="1292"/>
      <c r="C176" s="1117"/>
      <c r="D176" s="1118" t="s">
        <v>186</v>
      </c>
      <c r="E176" s="1119">
        <f>'2'!F176</f>
        <v>27974</v>
      </c>
      <c r="F176" s="1120">
        <v>27979.4</v>
      </c>
      <c r="G176" s="1121">
        <f t="shared" si="18"/>
        <v>5.4000000000014552</v>
      </c>
      <c r="O176" s="68"/>
    </row>
    <row r="180" ht="18.75" customHeight="1"/>
    <row r="188" ht="29.25" customHeight="1"/>
    <row r="189" ht="29.25" customHeight="1"/>
    <row r="190" ht="29.25" customHeight="1"/>
    <row r="191" ht="29.25" customHeight="1"/>
    <row r="192" ht="29.25" customHeight="1"/>
    <row r="193" ht="29.25" customHeight="1"/>
    <row r="194" ht="29.25" customHeight="1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3"/>
  <sheetViews>
    <sheetView view="pageBreakPreview" topLeftCell="A19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4" s="57" customFormat="1" ht="27">
      <c r="A2" s="226" t="s">
        <v>356</v>
      </c>
      <c r="B2" s="682">
        <v>44443</v>
      </c>
      <c r="C2" s="917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>
      <c r="A3" s="221"/>
      <c r="B3" s="265"/>
      <c r="C3" s="917" t="s">
        <v>119</v>
      </c>
      <c r="D3" s="263">
        <v>34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4" s="57" customFormat="1" ht="27">
      <c r="A4" s="227"/>
      <c r="B4" s="267"/>
      <c r="C4" s="917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>
      <c r="A6" s="1253" t="s">
        <v>129</v>
      </c>
      <c r="B6" s="1254"/>
      <c r="C6" s="1255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>
      <c r="A7" s="327" t="s">
        <v>130</v>
      </c>
      <c r="B7" s="328"/>
      <c r="C7" s="328"/>
      <c r="D7" s="288" t="s">
        <v>131</v>
      </c>
      <c r="E7" s="284">
        <f>'3'!F7</f>
        <v>367216.87</v>
      </c>
      <c r="F7" s="284">
        <v>388579.87</v>
      </c>
      <c r="G7" s="340">
        <f>F7-E7</f>
        <v>21363</v>
      </c>
      <c r="H7" s="330">
        <f>G7+'3'!H7</f>
        <v>89888.87</v>
      </c>
      <c r="I7" s="331">
        <f>'[1]1'!I7</f>
        <v>12000</v>
      </c>
      <c r="J7" s="332">
        <f>H7/DAY(B2)</f>
        <v>22472.217499999999</v>
      </c>
      <c r="K7" s="200"/>
      <c r="L7" s="68"/>
      <c r="N7" s="73"/>
    </row>
    <row r="8" spans="1:14" ht="27.75" thickBot="1">
      <c r="A8" s="333" t="s">
        <v>132</v>
      </c>
      <c r="B8" s="334"/>
      <c r="C8" s="335"/>
      <c r="D8" s="336" t="s">
        <v>25</v>
      </c>
      <c r="E8" s="284">
        <f>'3'!F8</f>
        <v>378361.31</v>
      </c>
      <c r="F8" s="284">
        <v>399820.99</v>
      </c>
      <c r="G8" s="695">
        <f>F8-E8</f>
        <v>21459.679999999993</v>
      </c>
      <c r="H8" s="330">
        <f>G8+'3'!H8</f>
        <v>90248.989999999991</v>
      </c>
      <c r="I8" s="337">
        <v>12000</v>
      </c>
      <c r="J8" s="332">
        <f>H8/DAY(B2)</f>
        <v>22562.247499999998</v>
      </c>
      <c r="K8" s="200"/>
      <c r="L8" s="78"/>
      <c r="M8" s="91"/>
      <c r="N8" s="354">
        <f>G7/G8</f>
        <v>0.99549480700551018</v>
      </c>
    </row>
    <row r="9" spans="1:14">
      <c r="A9" s="338" t="s">
        <v>133</v>
      </c>
      <c r="B9" s="339"/>
      <c r="C9" s="339"/>
      <c r="D9" s="288" t="s">
        <v>131</v>
      </c>
      <c r="E9" s="284">
        <f>'3'!F9</f>
        <v>148879.16</v>
      </c>
      <c r="F9" s="285">
        <v>169708.27</v>
      </c>
      <c r="G9" s="353">
        <f t="shared" ref="G9:G12" si="0">F9-E9</f>
        <v>20829.109999999986</v>
      </c>
      <c r="H9" s="330">
        <f>G9+'3'!H9</f>
        <v>87178.26999999999</v>
      </c>
      <c r="I9" s="341">
        <f>I8-J8</f>
        <v>-10562.247499999998</v>
      </c>
      <c r="J9" s="332">
        <f>H9/DAY(B2)</f>
        <v>21794.567499999997</v>
      </c>
      <c r="K9" s="81"/>
      <c r="L9" s="68"/>
      <c r="N9" s="73"/>
    </row>
    <row r="10" spans="1:14">
      <c r="A10" s="327" t="s">
        <v>134</v>
      </c>
      <c r="B10" s="328"/>
      <c r="C10" s="328"/>
      <c r="D10" s="288" t="s">
        <v>131</v>
      </c>
      <c r="E10" s="284">
        <v>2606.5500000000002</v>
      </c>
      <c r="F10" s="285">
        <v>2606.5500000000002</v>
      </c>
      <c r="G10" s="340">
        <f t="shared" si="0"/>
        <v>0</v>
      </c>
      <c r="H10" s="330">
        <f>G10+'3'!H10</f>
        <v>-0.4499999999998181</v>
      </c>
      <c r="I10" s="342"/>
      <c r="J10" s="332">
        <f>H10/DAY(B2)</f>
        <v>-0.11249999999995453</v>
      </c>
      <c r="K10" s="81"/>
      <c r="L10" s="68"/>
      <c r="N10" s="73"/>
    </row>
    <row r="11" spans="1:14">
      <c r="A11" s="327" t="s">
        <v>135</v>
      </c>
      <c r="B11" s="328"/>
      <c r="C11" s="328"/>
      <c r="D11" s="288" t="s">
        <v>131</v>
      </c>
      <c r="E11" s="284">
        <f>'3'!F11</f>
        <v>37000</v>
      </c>
      <c r="F11" s="284">
        <v>37000</v>
      </c>
      <c r="G11" s="340">
        <f t="shared" si="0"/>
        <v>0</v>
      </c>
      <c r="H11" s="330">
        <f>G11+'[1]3'!H11</f>
        <v>0</v>
      </c>
      <c r="I11" s="342"/>
      <c r="J11" s="332">
        <f>H11/DAY(B2)</f>
        <v>0</v>
      </c>
      <c r="K11" s="81"/>
      <c r="L11" s="68"/>
      <c r="N11" s="73"/>
    </row>
    <row r="12" spans="1:14">
      <c r="A12" s="327" t="s">
        <v>136</v>
      </c>
      <c r="B12" s="328"/>
      <c r="C12" s="328"/>
      <c r="D12" s="288" t="s">
        <v>131</v>
      </c>
      <c r="E12" s="284">
        <f>'3'!F12</f>
        <v>40010</v>
      </c>
      <c r="F12" s="285">
        <v>40010</v>
      </c>
      <c r="G12" s="340">
        <f t="shared" si="0"/>
        <v>0</v>
      </c>
      <c r="H12" s="330">
        <f>G12+'[1]3'!H12</f>
        <v>0</v>
      </c>
      <c r="I12" s="342"/>
      <c r="J12" s="332">
        <f>H12/DAY(B2)</f>
        <v>0</v>
      </c>
      <c r="K12" s="81"/>
      <c r="L12" s="68"/>
      <c r="N12" s="73"/>
    </row>
    <row r="13" spans="1:14">
      <c r="A13" s="343" t="s">
        <v>137</v>
      </c>
      <c r="B13" s="344"/>
      <c r="C13" s="344"/>
      <c r="D13" s="288"/>
      <c r="E13" s="284"/>
      <c r="F13" s="284"/>
      <c r="G13" s="345">
        <f>G9+G10+G11+G12</f>
        <v>20829.109999999986</v>
      </c>
      <c r="H13" s="330">
        <f>G13+'3'!H13</f>
        <v>63867.329999999987</v>
      </c>
      <c r="I13" s="346">
        <f>G7-G13</f>
        <v>533.89000000001397</v>
      </c>
      <c r="J13" s="332">
        <f>H13/DAY(B2)</f>
        <v>15966.832499999997</v>
      </c>
      <c r="K13" s="81"/>
      <c r="L13" s="68"/>
      <c r="N13" s="73"/>
    </row>
    <row r="14" spans="1:14">
      <c r="A14" s="1256" t="s">
        <v>138</v>
      </c>
      <c r="B14" s="1257"/>
      <c r="C14" s="1258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>
      <c r="A15" s="443" t="s">
        <v>139</v>
      </c>
      <c r="B15" s="438"/>
      <c r="C15" s="438"/>
      <c r="D15" s="175" t="s">
        <v>140</v>
      </c>
      <c r="E15" s="136">
        <f>'3'!F15</f>
        <v>1759202.7220000001</v>
      </c>
      <c r="F15" s="277">
        <v>1760023.96</v>
      </c>
      <c r="G15" s="424">
        <f>(F15-E15)</f>
        <v>821.23799999989569</v>
      </c>
      <c r="H15" s="330">
        <f>G15+'3'!H15</f>
        <v>3493.9599999999627</v>
      </c>
      <c r="I15" s="125">
        <v>800</v>
      </c>
      <c r="J15" s="204">
        <f>H15/DAY(B2)</f>
        <v>873.48999999999069</v>
      </c>
      <c r="K15" s="81"/>
      <c r="L15" s="68"/>
      <c r="N15" s="73"/>
    </row>
    <row r="16" spans="1:14">
      <c r="A16" s="441"/>
      <c r="B16" s="442"/>
      <c r="C16" s="442"/>
      <c r="D16" s="175"/>
      <c r="E16" s="136"/>
      <c r="F16" s="136"/>
      <c r="G16" s="124"/>
      <c r="H16" s="137"/>
      <c r="I16" s="138">
        <f>I15-J15</f>
        <v>-73.489999999990687</v>
      </c>
      <c r="J16" s="204"/>
      <c r="K16" s="81"/>
      <c r="L16" s="68"/>
      <c r="N16" s="73"/>
    </row>
    <row r="17" spans="1:14">
      <c r="A17" s="1256" t="s">
        <v>141</v>
      </c>
      <c r="B17" s="1257"/>
      <c r="C17" s="1258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>
      <c r="A18" s="1293" t="s">
        <v>142</v>
      </c>
      <c r="B18" s="1294"/>
      <c r="C18" s="1295"/>
      <c r="D18" s="288" t="s">
        <v>143</v>
      </c>
      <c r="E18" s="285">
        <f>'3'!F18</f>
        <v>18</v>
      </c>
      <c r="F18" s="285">
        <v>14</v>
      </c>
      <c r="G18" s="345">
        <f>F18*10</f>
        <v>140</v>
      </c>
      <c r="H18" s="330">
        <f>G18+'3'!H18</f>
        <v>520</v>
      </c>
      <c r="I18" s="331">
        <f>'[1]1'!I18</f>
        <v>65</v>
      </c>
      <c r="J18" s="332">
        <f>H18/DAY(B2)</f>
        <v>130</v>
      </c>
      <c r="K18" s="81"/>
      <c r="L18" s="68"/>
      <c r="N18" s="73"/>
    </row>
    <row r="19" spans="1:14" ht="27.75">
      <c r="A19" s="1293" t="s">
        <v>70</v>
      </c>
      <c r="B19" s="1294"/>
      <c r="C19" s="1295"/>
      <c r="D19" s="288" t="s">
        <v>143</v>
      </c>
      <c r="E19" s="285">
        <f>'3'!F19</f>
        <v>145528</v>
      </c>
      <c r="F19" s="285">
        <v>145591</v>
      </c>
      <c r="G19" s="340">
        <f t="shared" ref="G19" si="1">F19-E19</f>
        <v>63</v>
      </c>
      <c r="H19" s="330">
        <f>G19+'3'!H19</f>
        <v>253</v>
      </c>
      <c r="I19" s="347"/>
      <c r="J19" s="332">
        <f>H19/DAY(B2)</f>
        <v>63.25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5">
        <f>'3'!F20</f>
        <v>0</v>
      </c>
      <c r="F20" s="288"/>
      <c r="G20" s="694">
        <f>G18+G19</f>
        <v>203</v>
      </c>
      <c r="H20" s="330">
        <f>G20+'3'!H20</f>
        <v>773</v>
      </c>
      <c r="I20" s="349">
        <f>I18-J20</f>
        <v>-128.25</v>
      </c>
      <c r="J20" s="332">
        <f>H20/DAY(B2)</f>
        <v>193.25</v>
      </c>
      <c r="K20" s="81"/>
      <c r="L20" s="68"/>
      <c r="N20" s="73"/>
    </row>
    <row r="21" spans="1:14">
      <c r="A21" s="1256" t="s">
        <v>145</v>
      </c>
      <c r="B21" s="1257"/>
      <c r="C21" s="1258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>
      <c r="A22" s="915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40">
        <f t="shared" ref="G22" si="2">F22-E22</f>
        <v>0</v>
      </c>
      <c r="H22" s="330">
        <f>G22+'3'!H22</f>
        <v>0</v>
      </c>
      <c r="I22" s="131">
        <f>E7+21708.65</f>
        <v>388925.52</v>
      </c>
      <c r="J22" s="203">
        <f>H22/DAY(B2)</f>
        <v>0</v>
      </c>
      <c r="K22" s="81"/>
      <c r="L22" s="68"/>
      <c r="M22" s="67" t="s">
        <v>268</v>
      </c>
      <c r="N22" s="73"/>
    </row>
    <row r="23" spans="1:14">
      <c r="A23" s="915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40">
        <v>0</v>
      </c>
      <c r="H23" s="330">
        <f>G23+'3'!H23</f>
        <v>0</v>
      </c>
      <c r="I23" s="131">
        <f>E8+21866.6</f>
        <v>400227.91</v>
      </c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40">
        <v>0</v>
      </c>
      <c r="H24" s="330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61" t="s">
        <v>150</v>
      </c>
      <c r="B25" s="1262"/>
      <c r="C25" s="1263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21459.679999999993</v>
      </c>
      <c r="F27" s="152">
        <v>9</v>
      </c>
      <c r="G27" s="153">
        <f>E27*F27</f>
        <v>193137.11999999994</v>
      </c>
      <c r="H27" s="330">
        <f>G27+'3'!H27</f>
        <v>812240.90999999992</v>
      </c>
      <c r="I27" s="154"/>
      <c r="J27" s="203">
        <f>H27/DAY(B2)</f>
        <v>203060.22749999998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821.23799999989569</v>
      </c>
      <c r="F28" s="152">
        <v>56.2</v>
      </c>
      <c r="G28" s="153">
        <f>E28*F28</f>
        <v>46153.575599994139</v>
      </c>
      <c r="H28" s="330">
        <f>G28+'3'!H28</f>
        <v>194888.00859999782</v>
      </c>
      <c r="I28" s="156"/>
      <c r="J28" s="203">
        <f>H28/DAY(B2)</f>
        <v>48722.002149999455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330">
        <f>G30+'3'!H30</f>
        <v>36938</v>
      </c>
      <c r="I30" s="156"/>
      <c r="J30" s="203">
        <f>H30/DAY(B2)</f>
        <v>9234.5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330">
        <f>G31+'3'!H31</f>
        <v>41600</v>
      </c>
      <c r="I31" s="156"/>
      <c r="J31" s="203">
        <f>H31/DAY(B2)</f>
        <v>10400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289"/>
      <c r="G32" s="159">
        <f>G27+G28+G29+G30+G31</f>
        <v>259688.69559999407</v>
      </c>
      <c r="H32" s="330">
        <f>G32+'3'!H32</f>
        <v>1085666.9185999979</v>
      </c>
      <c r="I32" s="160"/>
      <c r="J32" s="203">
        <f>H32/DAY(B2)</f>
        <v>271416.72964999947</v>
      </c>
      <c r="K32" s="65"/>
      <c r="L32" s="94"/>
      <c r="N32" s="73"/>
    </row>
    <row r="33" spans="1:14" ht="25.5" customHeight="1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</row>
    <row r="34" spans="1:14">
      <c r="A34" s="249" t="s">
        <v>162</v>
      </c>
      <c r="B34" s="920"/>
      <c r="C34" s="920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30">
        <f>G35+'3'!H35</f>
        <v>-0.69999999995343387</v>
      </c>
      <c r="I35" s="106"/>
      <c r="J35" s="203">
        <f>H35/DAY(B2)</f>
        <v>-0.17499999998835847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'3'!F36</f>
        <v>4565.3500000000004</v>
      </c>
      <c r="F36" s="290">
        <v>5199.8900000000003</v>
      </c>
      <c r="G36" s="124">
        <f t="shared" si="3"/>
        <v>634.54</v>
      </c>
      <c r="H36" s="330">
        <f>G36+'3'!H36</f>
        <v>3366.8900000000003</v>
      </c>
      <c r="I36" s="106"/>
      <c r="J36" s="203">
        <f>H36/DAY(B2)</f>
        <v>841.72250000000008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'3'!F37</f>
        <v>7333.48</v>
      </c>
      <c r="F37" s="290">
        <v>8824.81</v>
      </c>
      <c r="G37" s="124">
        <f t="shared" si="3"/>
        <v>1491.33</v>
      </c>
      <c r="H37" s="330">
        <f>G37+'3'!H37</f>
        <v>6049.8099999999995</v>
      </c>
      <c r="I37" s="106"/>
      <c r="J37" s="203">
        <f>H37/DAY(B2)</f>
        <v>1512.4524999999999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'3'!F38</f>
        <v>10044.870000000001</v>
      </c>
      <c r="F38" s="291">
        <v>11821.6</v>
      </c>
      <c r="G38" s="124">
        <f t="shared" si="3"/>
        <v>1776.7299999999996</v>
      </c>
      <c r="H38" s="330">
        <f>G38+'3'!H38</f>
        <v>6998.6</v>
      </c>
      <c r="I38" s="106"/>
      <c r="J38" s="203">
        <f>H38/DAY(B2)</f>
        <v>1749.65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'3'!F39</f>
        <v>15308.32</v>
      </c>
      <c r="F39" s="290">
        <v>19109.349999999999</v>
      </c>
      <c r="G39" s="124">
        <f t="shared" si="3"/>
        <v>3801.0299999999988</v>
      </c>
      <c r="H39" s="330">
        <f>G39+'3'!H39</f>
        <v>15267.349999999999</v>
      </c>
      <c r="I39" s="106"/>
      <c r="J39" s="203">
        <f>H39/DAY(B2)</f>
        <v>3816.8374999999996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v>0</v>
      </c>
      <c r="F40" s="290">
        <v>0</v>
      </c>
      <c r="G40" s="124">
        <f t="shared" si="3"/>
        <v>0</v>
      </c>
      <c r="H40" s="330">
        <f>G40+'3'!H40</f>
        <v>157.40000000000146</v>
      </c>
      <c r="I40" s="106"/>
      <c r="J40" s="203">
        <f>H40/DAY(B2)</f>
        <v>39.350000000000364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'3'!F41</f>
        <v>433281.79</v>
      </c>
      <c r="F41" s="290">
        <v>435565.39</v>
      </c>
      <c r="G41" s="124">
        <f t="shared" si="3"/>
        <v>2283.6000000000349</v>
      </c>
      <c r="H41" s="330">
        <f>G41+'3'!H41</f>
        <v>2283.6000000000349</v>
      </c>
      <c r="I41" s="106"/>
      <c r="J41" s="203">
        <f>H41/DAY(B2)</f>
        <v>570.90000000000873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'3'!F42</f>
        <v>190882.77</v>
      </c>
      <c r="F42" s="290">
        <v>194881.09</v>
      </c>
      <c r="G42" s="124">
        <f t="shared" si="3"/>
        <v>3998.320000000007</v>
      </c>
      <c r="H42" s="330">
        <f>G42+'3'!H42</f>
        <v>19769.089999999997</v>
      </c>
      <c r="I42" s="106"/>
      <c r="J42" s="203">
        <f>H42/DAY(B2)</f>
        <v>4942.2724999999991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'3'!F43</f>
        <v>1297943.5</v>
      </c>
      <c r="F43" s="290">
        <v>1300599.1000000001</v>
      </c>
      <c r="G43" s="124">
        <f t="shared" si="3"/>
        <v>2655.6000000000931</v>
      </c>
      <c r="H43" s="330">
        <f>G43+'3'!H43</f>
        <v>10854.100000000093</v>
      </c>
      <c r="I43" s="106"/>
      <c r="J43" s="203">
        <f>H43/DAY(B2)</f>
        <v>2713.5250000000233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30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30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30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16641.150000000132</v>
      </c>
      <c r="H47" s="330">
        <f>G47+'3'!H47</f>
        <v>65547.140000000159</v>
      </c>
      <c r="I47" s="106"/>
      <c r="J47" s="203">
        <f>H47/DAY(B2)</f>
        <v>16386.78500000004</v>
      </c>
      <c r="K47" s="81"/>
      <c r="L47" s="68"/>
      <c r="N47" s="73"/>
    </row>
    <row r="48" spans="1:14">
      <c r="A48" s="249" t="s">
        <v>176</v>
      </c>
      <c r="B48" s="920"/>
      <c r="C48" s="920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'3'!F49</f>
        <v>11417.48</v>
      </c>
      <c r="F49" s="290">
        <v>14565.03</v>
      </c>
      <c r="G49" s="124">
        <f t="shared" ref="G49:G58" si="4">F49-E49</f>
        <v>3147.5500000000011</v>
      </c>
      <c r="H49" s="330">
        <f>G49+'3'!H49</f>
        <v>12339.03</v>
      </c>
      <c r="I49" s="106"/>
      <c r="J49" s="203">
        <f>H49/DAY(B2)</f>
        <v>3084.7575000000002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'3'!F50</f>
        <v>611786.51</v>
      </c>
      <c r="F50" s="290">
        <v>612871.87</v>
      </c>
      <c r="G50" s="124">
        <f t="shared" si="4"/>
        <v>1085.359999999986</v>
      </c>
      <c r="H50" s="330">
        <f>G50+'3'!H50</f>
        <v>5573.8699999999953</v>
      </c>
      <c r="I50" s="106"/>
      <c r="J50" s="203">
        <f>H50/DAY(B2)</f>
        <v>1393.4674999999988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'3'!F51</f>
        <v>0</v>
      </c>
      <c r="F51" s="290">
        <v>0</v>
      </c>
      <c r="G51" s="124">
        <f t="shared" si="4"/>
        <v>0</v>
      </c>
      <c r="H51" s="330">
        <f>G51+'3'!H51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'3'!F52</f>
        <v>0</v>
      </c>
      <c r="F52" s="290">
        <v>0</v>
      </c>
      <c r="G52" s="124">
        <f t="shared" si="4"/>
        <v>0</v>
      </c>
      <c r="H52" s="330">
        <f>G52+'3'!H52</f>
        <v>0</v>
      </c>
      <c r="I52" s="106"/>
      <c r="J52" s="203">
        <f>H52/DAY(B2)</f>
        <v>0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'3'!F53</f>
        <v>0</v>
      </c>
      <c r="F53" s="290">
        <v>0</v>
      </c>
      <c r="G53" s="124">
        <f t="shared" si="4"/>
        <v>0</v>
      </c>
      <c r="H53" s="330">
        <f>G53+'3'!H53</f>
        <v>0</v>
      </c>
      <c r="I53" s="106"/>
      <c r="J53" s="203">
        <f>H53/DAY(B2)</f>
        <v>0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'3'!F54</f>
        <v>2627.7</v>
      </c>
      <c r="F54" s="290">
        <v>2631.73</v>
      </c>
      <c r="G54" s="124">
        <f t="shared" si="4"/>
        <v>4.0300000000002001</v>
      </c>
      <c r="H54" s="330">
        <f>G54+'3'!H54</f>
        <v>170.73000000000002</v>
      </c>
      <c r="I54" s="106"/>
      <c r="J54" s="203">
        <f>H54/DAY(B2)</f>
        <v>42.682500000000005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'3'!F55</f>
        <v>306268.99</v>
      </c>
      <c r="F55" s="293">
        <v>306268.99</v>
      </c>
      <c r="G55" s="124">
        <f t="shared" si="4"/>
        <v>0</v>
      </c>
      <c r="H55" s="330">
        <f>G55+'3'!H55</f>
        <v>0</v>
      </c>
      <c r="I55" s="106"/>
      <c r="J55" s="203">
        <f>H55/DAY(B2)</f>
        <v>0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'3'!F56</f>
        <v>666137.35</v>
      </c>
      <c r="F56" s="293">
        <v>666147.99</v>
      </c>
      <c r="G56" s="124">
        <f t="shared" si="4"/>
        <v>10.64000000001397</v>
      </c>
      <c r="H56" s="330">
        <f>G56+'3'!H56</f>
        <v>5128.9899999999907</v>
      </c>
      <c r="I56" s="106"/>
      <c r="J56" s="203">
        <f>H56/DAY(B2)</f>
        <v>1282.2474999999977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30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'3'!F58</f>
        <v>66630.64</v>
      </c>
      <c r="F58" s="293">
        <v>66827.990000000005</v>
      </c>
      <c r="G58" s="124">
        <f t="shared" si="4"/>
        <v>197.35000000000582</v>
      </c>
      <c r="H58" s="330">
        <f>G58+'3'!H58</f>
        <v>813.99000000000524</v>
      </c>
      <c r="I58" s="106"/>
      <c r="J58" s="203">
        <f>H58/DAY(B2)</f>
        <v>203.49750000000131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4444.9300000000076</v>
      </c>
      <c r="H59" s="330">
        <f>G59+'3'!H59</f>
        <v>24026.609999999993</v>
      </c>
      <c r="I59" s="106">
        <f>G7-G60</f>
        <v>276.91999999986001</v>
      </c>
      <c r="J59" s="203">
        <f>H59/DAY(B2)</f>
        <v>6006.6524999999983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292"/>
      <c r="G60" s="132">
        <f>G47+G59</f>
        <v>21086.08000000014</v>
      </c>
      <c r="H60" s="330">
        <f>G60+'3'!H60</f>
        <v>89573.750000000175</v>
      </c>
      <c r="I60" s="106">
        <f>G13-G60</f>
        <v>-256.97000000015396</v>
      </c>
      <c r="J60" s="203">
        <f>H60/DAY(B2)</f>
        <v>22393.437500000044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30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226" t="s">
        <v>98</v>
      </c>
      <c r="B64" s="1227"/>
      <c r="C64" s="1228"/>
      <c r="D64" s="174" t="s">
        <v>186</v>
      </c>
      <c r="E64" s="165">
        <f>'3'!F64</f>
        <v>195478.53</v>
      </c>
      <c r="F64" s="285">
        <v>195864.17</v>
      </c>
      <c r="G64" s="124">
        <f t="shared" si="5"/>
        <v>385.64000000001397</v>
      </c>
      <c r="H64" s="330">
        <f>G64+'3'!H64</f>
        <v>1647.1700000000128</v>
      </c>
      <c r="I64" s="131"/>
      <c r="J64" s="203">
        <f>H64/DAY(B2)</f>
        <v>411.7925000000032</v>
      </c>
      <c r="K64" s="81"/>
      <c r="L64" s="68"/>
      <c r="N64" s="73"/>
    </row>
    <row r="65" spans="1:14" ht="27.75">
      <c r="A65" s="1226" t="s">
        <v>99</v>
      </c>
      <c r="B65" s="1227"/>
      <c r="C65" s="1228"/>
      <c r="D65" s="174" t="s">
        <v>186</v>
      </c>
      <c r="E65" s="165">
        <f>'3'!F65</f>
        <v>195812.61</v>
      </c>
      <c r="F65" s="286">
        <v>196207.53</v>
      </c>
      <c r="G65" s="124">
        <f t="shared" si="5"/>
        <v>394.92000000001281</v>
      </c>
      <c r="H65" s="330">
        <f>G65+'3'!H65</f>
        <v>1578.5299999999988</v>
      </c>
      <c r="I65" s="140"/>
      <c r="J65" s="203">
        <f>H65/DAY(B2)</f>
        <v>394.63249999999971</v>
      </c>
      <c r="K65" s="81"/>
      <c r="L65" s="68"/>
      <c r="N65" s="73"/>
    </row>
    <row r="66" spans="1:14" ht="27.75">
      <c r="A66" s="1226" t="s">
        <v>100</v>
      </c>
      <c r="B66" s="1227"/>
      <c r="C66" s="1228"/>
      <c r="D66" s="174" t="s">
        <v>186</v>
      </c>
      <c r="E66" s="165">
        <f>'3'!F66</f>
        <v>94579.79</v>
      </c>
      <c r="F66" s="285">
        <v>94990.83</v>
      </c>
      <c r="G66" s="124">
        <f t="shared" si="5"/>
        <v>411.04000000000815</v>
      </c>
      <c r="H66" s="330">
        <f>G66+'3'!H66</f>
        <v>1673.8300000000017</v>
      </c>
      <c r="I66" s="131"/>
      <c r="J66" s="203">
        <f>H66/DAY(B2)</f>
        <v>418.45750000000044</v>
      </c>
      <c r="K66" s="81"/>
      <c r="L66" s="68"/>
      <c r="N66" s="73"/>
    </row>
    <row r="67" spans="1:14" ht="27.75">
      <c r="A67" s="1226" t="s">
        <v>101</v>
      </c>
      <c r="B67" s="1227"/>
      <c r="C67" s="1228"/>
      <c r="D67" s="174" t="s">
        <v>186</v>
      </c>
      <c r="E67" s="165">
        <f>'3'!F67</f>
        <v>296158.73</v>
      </c>
      <c r="F67" s="285">
        <v>296594.51</v>
      </c>
      <c r="G67" s="124">
        <f t="shared" si="5"/>
        <v>435.78000000002794</v>
      </c>
      <c r="H67" s="330">
        <f>G67+'3'!H67</f>
        <v>1703.5100000000093</v>
      </c>
      <c r="I67" s="140"/>
      <c r="J67" s="203">
        <f>H67/DAY(B2)</f>
        <v>425.87750000000233</v>
      </c>
      <c r="K67" s="82"/>
      <c r="L67" s="68"/>
      <c r="N67" s="73"/>
    </row>
    <row r="68" spans="1:14" ht="27.75">
      <c r="A68" s="1226" t="s">
        <v>102</v>
      </c>
      <c r="B68" s="1227"/>
      <c r="C68" s="1228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30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226" t="s">
        <v>103</v>
      </c>
      <c r="B69" s="1227"/>
      <c r="C69" s="1228"/>
      <c r="D69" s="174" t="s">
        <v>186</v>
      </c>
      <c r="E69" s="165">
        <f>'3'!F69</f>
        <v>107281.06</v>
      </c>
      <c r="F69" s="285">
        <v>107570.18</v>
      </c>
      <c r="G69" s="124">
        <f t="shared" si="5"/>
        <v>289.11999999999534</v>
      </c>
      <c r="H69" s="330">
        <f>G69+'3'!H69</f>
        <v>1164.179999999993</v>
      </c>
      <c r="I69" s="167"/>
      <c r="J69" s="203">
        <f>H69/DAY(B2)</f>
        <v>291.04499999999825</v>
      </c>
      <c r="K69" s="84"/>
      <c r="L69" s="68"/>
      <c r="N69" s="73"/>
    </row>
    <row r="70" spans="1:14" ht="27.75">
      <c r="A70" s="1267" t="s">
        <v>188</v>
      </c>
      <c r="B70" s="1268"/>
      <c r="C70" s="1269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>
      <c r="A71" s="1270"/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</row>
    <row r="72" spans="1:14" ht="27.75">
      <c r="A72" s="1226" t="s">
        <v>190</v>
      </c>
      <c r="B72" s="1227"/>
      <c r="C72" s="1228"/>
      <c r="D72" s="174" t="s">
        <v>186</v>
      </c>
      <c r="E72" s="305">
        <f>'3'!F72</f>
        <v>857047</v>
      </c>
      <c r="F72" s="297">
        <v>857053</v>
      </c>
      <c r="G72" s="124">
        <f t="shared" ref="G72:G84" si="6">F72-E72</f>
        <v>6</v>
      </c>
      <c r="H72" s="330">
        <f>G72+'3'!H72</f>
        <v>31</v>
      </c>
      <c r="I72" s="131"/>
      <c r="J72" s="203">
        <f>H72/DAY(B2)</f>
        <v>7.75</v>
      </c>
      <c r="K72" s="84"/>
      <c r="L72" s="68"/>
      <c r="N72" s="73"/>
    </row>
    <row r="73" spans="1:14" ht="27.75">
      <c r="A73" s="1226" t="s">
        <v>191</v>
      </c>
      <c r="B73" s="1227"/>
      <c r="C73" s="1228"/>
      <c r="D73" s="174" t="s">
        <v>186</v>
      </c>
      <c r="E73" s="305">
        <f>'3'!F73</f>
        <v>886052</v>
      </c>
      <c r="F73" s="297">
        <v>886053</v>
      </c>
      <c r="G73" s="303">
        <f t="shared" si="6"/>
        <v>1</v>
      </c>
      <c r="H73" s="330">
        <f>G73+'3'!H73</f>
        <v>2</v>
      </c>
      <c r="I73" s="131"/>
      <c r="J73" s="203">
        <f>H73/DAY(B2)</f>
        <v>0.5</v>
      </c>
      <c r="K73" s="83"/>
      <c r="L73" s="68"/>
      <c r="N73" s="73"/>
    </row>
    <row r="74" spans="1:14" ht="27.75">
      <c r="A74" s="1226" t="s">
        <v>192</v>
      </c>
      <c r="B74" s="1227"/>
      <c r="C74" s="1228"/>
      <c r="D74" s="174" t="s">
        <v>186</v>
      </c>
      <c r="E74" s="305">
        <f>'3'!F74</f>
        <v>88775.2</v>
      </c>
      <c r="F74" s="297">
        <v>88776.4</v>
      </c>
      <c r="G74" s="124">
        <f>F74-E74</f>
        <v>1.1999999999970896</v>
      </c>
      <c r="H74" s="330">
        <f>G74+'3'!H74</f>
        <v>14.399999999994179</v>
      </c>
      <c r="I74" s="131"/>
      <c r="J74" s="203">
        <f>H74/DAY(B2)</f>
        <v>3.5999999999985448</v>
      </c>
      <c r="K74" s="84"/>
      <c r="L74" s="68"/>
      <c r="N74" s="73"/>
    </row>
    <row r="75" spans="1:14" ht="27.75">
      <c r="A75" s="1229" t="s">
        <v>193</v>
      </c>
      <c r="B75" s="1230"/>
      <c r="C75" s="1231"/>
      <c r="D75" s="174" t="s">
        <v>186</v>
      </c>
      <c r="E75" s="305">
        <f>'3'!F75</f>
        <v>26867.65</v>
      </c>
      <c r="F75" s="297">
        <v>27060.99</v>
      </c>
      <c r="G75" s="124">
        <f t="shared" si="6"/>
        <v>193.34000000000015</v>
      </c>
      <c r="H75" s="330">
        <f>G75+'3'!H75</f>
        <v>752.9900000000016</v>
      </c>
      <c r="I75" s="131"/>
      <c r="J75" s="203">
        <f>H75/DAY(B2)</f>
        <v>188.2475000000004</v>
      </c>
      <c r="K75" s="83"/>
      <c r="L75" s="68"/>
      <c r="N75" s="73"/>
    </row>
    <row r="76" spans="1:14" ht="27.75">
      <c r="A76" s="1229" t="s">
        <v>194</v>
      </c>
      <c r="B76" s="1230"/>
      <c r="C76" s="1231"/>
      <c r="D76" s="174" t="s">
        <v>186</v>
      </c>
      <c r="E76" s="305">
        <f>'3'!F76</f>
        <v>13488.14</v>
      </c>
      <c r="F76" s="297">
        <v>13559.58</v>
      </c>
      <c r="G76" s="124">
        <f t="shared" si="6"/>
        <v>71.440000000000509</v>
      </c>
      <c r="H76" s="330">
        <f>G76+'3'!H76</f>
        <v>282.57999999999993</v>
      </c>
      <c r="I76" s="156"/>
      <c r="J76" s="203">
        <f>H76/DAY(B2)</f>
        <v>70.644999999999982</v>
      </c>
      <c r="K76" s="83"/>
      <c r="L76" s="68"/>
      <c r="N76" s="73"/>
    </row>
    <row r="77" spans="1:14" ht="27.75">
      <c r="A77" s="1226" t="s">
        <v>195</v>
      </c>
      <c r="B77" s="1227"/>
      <c r="C77" s="1228"/>
      <c r="D77" s="174" t="s">
        <v>186</v>
      </c>
      <c r="E77" s="305">
        <f>'3'!F77</f>
        <v>708444</v>
      </c>
      <c r="F77" s="297">
        <v>708495</v>
      </c>
      <c r="G77" s="303">
        <f t="shared" si="6"/>
        <v>51</v>
      </c>
      <c r="H77" s="330">
        <f>G77+'3'!H77</f>
        <v>206</v>
      </c>
      <c r="I77" s="156"/>
      <c r="J77" s="203">
        <f>H77/DAY(B2)</f>
        <v>51.5</v>
      </c>
      <c r="K77" s="83"/>
      <c r="L77" s="68"/>
      <c r="N77" s="73"/>
    </row>
    <row r="78" spans="1:14" ht="27.75">
      <c r="A78" s="918" t="s">
        <v>196</v>
      </c>
      <c r="B78" s="911"/>
      <c r="C78" s="911"/>
      <c r="D78" s="174" t="s">
        <v>186</v>
      </c>
      <c r="E78" s="305">
        <f>'3'!F78</f>
        <v>682453</v>
      </c>
      <c r="F78" s="297">
        <v>682500</v>
      </c>
      <c r="G78" s="124">
        <f t="shared" si="6"/>
        <v>47</v>
      </c>
      <c r="H78" s="330">
        <f>G78+'3'!H78</f>
        <v>87</v>
      </c>
      <c r="I78" s="156"/>
      <c r="J78" s="203">
        <f>H78/DAY(B2)</f>
        <v>21.75</v>
      </c>
      <c r="K78" s="83"/>
      <c r="L78" s="68"/>
      <c r="N78" s="73"/>
    </row>
    <row r="79" spans="1:14" ht="27.75">
      <c r="A79" s="1229" t="s">
        <v>91</v>
      </c>
      <c r="B79" s="1230"/>
      <c r="C79" s="1231"/>
      <c r="D79" s="175" t="s">
        <v>186</v>
      </c>
      <c r="E79" s="305">
        <f>'3'!F79</f>
        <v>845564</v>
      </c>
      <c r="F79" s="297">
        <v>845727</v>
      </c>
      <c r="G79" s="124">
        <f t="shared" si="6"/>
        <v>163</v>
      </c>
      <c r="H79" s="330">
        <f>G79+'3'!H79</f>
        <v>678</v>
      </c>
      <c r="I79" s="156"/>
      <c r="J79" s="203">
        <f>H79/DAY(B2)</f>
        <v>169.5</v>
      </c>
      <c r="K79" s="83"/>
      <c r="L79" s="68"/>
      <c r="N79" s="73"/>
    </row>
    <row r="80" spans="1:14" ht="27.75">
      <c r="A80" s="1229" t="s">
        <v>197</v>
      </c>
      <c r="B80" s="1230"/>
      <c r="C80" s="1231"/>
      <c r="D80" s="175" t="s">
        <v>186</v>
      </c>
      <c r="E80" s="305">
        <f>'3'!F80</f>
        <v>565473.80000000005</v>
      </c>
      <c r="F80" s="297">
        <v>565884.80000000005</v>
      </c>
      <c r="G80" s="124">
        <f t="shared" si="6"/>
        <v>411</v>
      </c>
      <c r="H80" s="330">
        <f>G80+'3'!H80</f>
        <v>1586.8000000000466</v>
      </c>
      <c r="I80" s="156"/>
      <c r="J80" s="203">
        <f>H80/DAY(B2)</f>
        <v>396.70000000001164</v>
      </c>
      <c r="K80" s="83"/>
      <c r="L80" s="68"/>
      <c r="N80" s="73"/>
    </row>
    <row r="81" spans="1:15" ht="27.75">
      <c r="A81" s="1229" t="s">
        <v>198</v>
      </c>
      <c r="B81" s="1230"/>
      <c r="C81" s="1231"/>
      <c r="D81" s="175" t="s">
        <v>186</v>
      </c>
      <c r="E81" s="305">
        <f>'3'!F81</f>
        <v>654571.72</v>
      </c>
      <c r="F81" s="297">
        <v>654706.28</v>
      </c>
      <c r="G81" s="124">
        <f t="shared" si="6"/>
        <v>134.56000000005588</v>
      </c>
      <c r="H81" s="330">
        <f>G81+'3'!H81</f>
        <v>528.28000000002794</v>
      </c>
      <c r="I81" s="156"/>
      <c r="J81" s="203">
        <f>H81/DAY(B2)</f>
        <v>132.07000000000698</v>
      </c>
      <c r="K81" s="83"/>
      <c r="L81" s="68"/>
      <c r="N81" s="73"/>
    </row>
    <row r="82" spans="1:15" ht="27.75">
      <c r="A82" s="1229" t="s">
        <v>92</v>
      </c>
      <c r="B82" s="1230"/>
      <c r="C82" s="1231"/>
      <c r="D82" s="136" t="s">
        <v>131</v>
      </c>
      <c r="E82" s="305">
        <f>'3'!F82</f>
        <v>110000.31</v>
      </c>
      <c r="F82" s="305">
        <v>110019.51</v>
      </c>
      <c r="G82" s="124">
        <f t="shared" si="6"/>
        <v>19.19999999999709</v>
      </c>
      <c r="H82" s="330">
        <f>G82+'3'!H82</f>
        <v>94.509999999994761</v>
      </c>
      <c r="I82" s="137"/>
      <c r="J82" s="203">
        <f>H82/DAY(B2)</f>
        <v>23.62749999999869</v>
      </c>
      <c r="K82" s="83"/>
      <c r="L82" s="68"/>
      <c r="N82" s="73"/>
    </row>
    <row r="83" spans="1:15" ht="27.75">
      <c r="A83" s="1229" t="s">
        <v>199</v>
      </c>
      <c r="B83" s="1230"/>
      <c r="C83" s="1231"/>
      <c r="D83" s="271" t="s">
        <v>131</v>
      </c>
      <c r="E83" s="305">
        <f>'3'!F83</f>
        <v>45216</v>
      </c>
      <c r="F83" s="1015">
        <v>45513</v>
      </c>
      <c r="G83" s="124">
        <f t="shared" si="6"/>
        <v>297</v>
      </c>
      <c r="H83" s="330">
        <f>G83+'3'!H83</f>
        <v>1190</v>
      </c>
      <c r="I83" s="132"/>
      <c r="J83" s="203">
        <f>H83/DAY(B2)</f>
        <v>297.5</v>
      </c>
      <c r="K83" s="82"/>
      <c r="L83" s="68"/>
      <c r="N83" s="73"/>
    </row>
    <row r="84" spans="1:15">
      <c r="A84" s="919" t="s">
        <v>200</v>
      </c>
      <c r="B84" s="222"/>
      <c r="C84" s="222"/>
      <c r="D84" s="129" t="s">
        <v>131</v>
      </c>
      <c r="E84" s="305">
        <f>'3'!F84</f>
        <v>572350</v>
      </c>
      <c r="F84" s="298">
        <v>573010</v>
      </c>
      <c r="G84" s="124">
        <f t="shared" si="6"/>
        <v>660</v>
      </c>
      <c r="H84" s="330">
        <f>G84+'3'!H84</f>
        <v>2631</v>
      </c>
      <c r="I84" s="132"/>
      <c r="J84" s="203">
        <f>H84/DAY(B2)</f>
        <v>657.75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2055.7400000000507</v>
      </c>
      <c r="H85" s="330">
        <f>G85+'3'!H85</f>
        <v>8084.560000000065</v>
      </c>
      <c r="I85" s="132"/>
      <c r="J85" s="203">
        <f>H85/DAY(B2)</f>
        <v>2021.1400000000162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'3'!F86</f>
        <v>463630.52</v>
      </c>
      <c r="F86" s="298">
        <v>463670.04</v>
      </c>
      <c r="G86" s="356">
        <f t="shared" ref="G86:G87" si="7">F86-E86</f>
        <v>39.519999999960419</v>
      </c>
      <c r="H86" s="330">
        <f>G86+'3'!H86</f>
        <v>355.03999999997905</v>
      </c>
      <c r="I86" s="303"/>
      <c r="J86" s="358">
        <f>H86/DAY(B2)</f>
        <v>88.759999999994761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'3'!F87</f>
        <v>84005.4</v>
      </c>
      <c r="F87" s="298">
        <v>84035.6</v>
      </c>
      <c r="G87" s="356">
        <f t="shared" si="7"/>
        <v>30.200000000011642</v>
      </c>
      <c r="H87" s="330">
        <f>G87+'3'!H87</f>
        <v>136.60000000000582</v>
      </c>
      <c r="I87" s="303"/>
      <c r="J87" s="358">
        <f>H87/DAY(B2)</f>
        <v>34.150000000001455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'3'!F88</f>
        <v>158212</v>
      </c>
      <c r="F88" s="298">
        <v>158212</v>
      </c>
      <c r="G88" s="356">
        <f>F88-E88</f>
        <v>0</v>
      </c>
      <c r="H88" s="330">
        <f>G88+'3'!H88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'3'!F89</f>
        <v>69289.7</v>
      </c>
      <c r="F89" s="298">
        <v>69336.800000000003</v>
      </c>
      <c r="G89" s="356">
        <f>F89-E89</f>
        <v>47.100000000005821</v>
      </c>
      <c r="H89" s="330">
        <f>G89+'3'!H89</f>
        <v>247.80000000000291</v>
      </c>
      <c r="I89" s="303"/>
      <c r="J89" s="358">
        <f>H89/DAY(B2)</f>
        <v>61.950000000000728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'3'!F90</f>
        <v>3628</v>
      </c>
      <c r="F90" s="298">
        <v>3631.4</v>
      </c>
      <c r="G90" s="356">
        <f t="shared" ref="G90:G91" si="8">F90-E90</f>
        <v>3.4000000000000909</v>
      </c>
      <c r="H90" s="330">
        <f>G90+'3'!H90</f>
        <v>20.400000000000091</v>
      </c>
      <c r="I90" s="303"/>
      <c r="J90" s="358">
        <f>H90/DAY(B2)</f>
        <v>5.1000000000000227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/>
      <c r="E91" s="278">
        <f>'3'!F91</f>
        <v>28775.09</v>
      </c>
      <c r="F91" s="298">
        <v>28785</v>
      </c>
      <c r="G91" s="356">
        <f t="shared" si="8"/>
        <v>9.9099999999998545</v>
      </c>
      <c r="H91" s="330">
        <f>G91+'3'!H91</f>
        <v>9.9099999999998545</v>
      </c>
      <c r="I91" s="303"/>
      <c r="J91" s="358">
        <f>H91/DAY(B2)</f>
        <v>2.4774999999999636</v>
      </c>
      <c r="K91" s="384"/>
      <c r="L91" s="385"/>
      <c r="N91" s="428"/>
      <c r="O91" s="73"/>
    </row>
    <row r="92" spans="1:15" s="70" customFormat="1">
      <c r="A92" s="257" t="s">
        <v>204</v>
      </c>
      <c r="B92" s="921"/>
      <c r="C92" s="921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>
      <c r="A93" s="1245" t="s">
        <v>205</v>
      </c>
      <c r="B93" s="1246"/>
      <c r="C93" s="1247"/>
      <c r="D93" s="174" t="s">
        <v>143</v>
      </c>
      <c r="E93" s="135">
        <f>'3'!F93</f>
        <v>253707</v>
      </c>
      <c r="F93" s="285">
        <v>253790</v>
      </c>
      <c r="G93" s="124">
        <f t="shared" ref="G93:G94" si="9">F93-E93</f>
        <v>83</v>
      </c>
      <c r="H93" s="330">
        <f>G93+'3'!H93</f>
        <v>338</v>
      </c>
      <c r="I93" s="131"/>
      <c r="J93" s="203">
        <f>H93/DAY(B2)</f>
        <v>84.5</v>
      </c>
      <c r="K93" s="82"/>
      <c r="L93" s="68"/>
      <c r="N93" s="73"/>
    </row>
    <row r="94" spans="1:15" ht="27.75">
      <c r="A94" s="1245" t="s">
        <v>206</v>
      </c>
      <c r="B94" s="1246"/>
      <c r="C94" s="1247"/>
      <c r="D94" s="174" t="s">
        <v>143</v>
      </c>
      <c r="E94" s="135">
        <f>'3'!F94</f>
        <v>198089</v>
      </c>
      <c r="F94" s="285">
        <v>198281</v>
      </c>
      <c r="G94" s="124">
        <f t="shared" si="9"/>
        <v>192</v>
      </c>
      <c r="H94" s="330">
        <f>G94+'3'!H94</f>
        <v>622</v>
      </c>
      <c r="I94" s="131"/>
      <c r="J94" s="203">
        <f>H94/DAY(B2)</f>
        <v>155.5</v>
      </c>
      <c r="K94" s="71"/>
      <c r="L94" s="68"/>
      <c r="N94" s="73"/>
    </row>
    <row r="95" spans="1:15">
      <c r="A95" s="1277" t="s">
        <v>207</v>
      </c>
      <c r="B95" s="1278"/>
      <c r="C95" s="1279"/>
      <c r="D95" s="174"/>
      <c r="E95" s="135"/>
      <c r="F95" s="285"/>
      <c r="G95" s="124">
        <f>G93+G94</f>
        <v>275</v>
      </c>
      <c r="H95" s="330">
        <f>G95+'3'!H95</f>
        <v>735</v>
      </c>
      <c r="I95" s="131"/>
      <c r="J95" s="203">
        <f>H95/DAY(B2)</f>
        <v>183.75</v>
      </c>
      <c r="K95" s="71"/>
      <c r="L95" s="68"/>
      <c r="N95" s="73"/>
    </row>
    <row r="96" spans="1:15" ht="27.75">
      <c r="A96" s="1245" t="s">
        <v>208</v>
      </c>
      <c r="B96" s="1246"/>
      <c r="C96" s="1247"/>
      <c r="D96" s="174" t="s">
        <v>143</v>
      </c>
      <c r="E96" s="135">
        <f>'3'!F96</f>
        <v>421256</v>
      </c>
      <c r="F96" s="285">
        <v>421339</v>
      </c>
      <c r="G96" s="124">
        <f t="shared" ref="G96:G101" si="10">F96-E96</f>
        <v>83</v>
      </c>
      <c r="H96" s="330">
        <f>G96+'3'!H96</f>
        <v>320</v>
      </c>
      <c r="I96" s="131"/>
      <c r="J96" s="203">
        <f>H96/DAY(B2)</f>
        <v>80</v>
      </c>
      <c r="K96" s="71"/>
      <c r="L96" s="68"/>
      <c r="N96" s="73"/>
    </row>
    <row r="97" spans="1:14" ht="27.75">
      <c r="A97" s="915" t="s">
        <v>209</v>
      </c>
      <c r="B97" s="916"/>
      <c r="C97" s="916"/>
      <c r="D97" s="174" t="s">
        <v>143</v>
      </c>
      <c r="E97" s="135">
        <f>'3'!F97</f>
        <v>104699</v>
      </c>
      <c r="F97" s="285">
        <v>104720</v>
      </c>
      <c r="G97" s="124">
        <f t="shared" si="10"/>
        <v>21</v>
      </c>
      <c r="H97" s="330">
        <f>G97+'3'!H97</f>
        <v>84</v>
      </c>
      <c r="I97" s="131"/>
      <c r="J97" s="203">
        <f>H97/DAY(B2)</f>
        <v>21</v>
      </c>
      <c r="K97" s="80"/>
      <c r="L97" s="68"/>
      <c r="N97" s="73"/>
    </row>
    <row r="98" spans="1:14" ht="27.75">
      <c r="A98" s="915" t="s">
        <v>210</v>
      </c>
      <c r="B98" s="916"/>
      <c r="C98" s="916"/>
      <c r="D98" s="174" t="s">
        <v>143</v>
      </c>
      <c r="E98" s="135">
        <f>'3'!F98</f>
        <v>100461</v>
      </c>
      <c r="F98" s="285">
        <v>100490</v>
      </c>
      <c r="G98" s="124">
        <f t="shared" si="10"/>
        <v>29</v>
      </c>
      <c r="H98" s="330">
        <f>G98+'3'!H98</f>
        <v>120</v>
      </c>
      <c r="I98" s="131"/>
      <c r="J98" s="203">
        <f>H98/DAY(B2)</f>
        <v>30</v>
      </c>
      <c r="K98" s="85"/>
      <c r="L98" s="68"/>
      <c r="N98" s="73"/>
    </row>
    <row r="99" spans="1:14" ht="27.75">
      <c r="A99" s="915" t="s">
        <v>211</v>
      </c>
      <c r="B99" s="916"/>
      <c r="C99" s="916"/>
      <c r="D99" s="174" t="s">
        <v>143</v>
      </c>
      <c r="E99" s="135">
        <f>'3'!F99</f>
        <v>152204</v>
      </c>
      <c r="F99" s="285">
        <v>152236</v>
      </c>
      <c r="G99" s="124">
        <f t="shared" si="10"/>
        <v>32</v>
      </c>
      <c r="H99" s="330">
        <f>G99+'3'!H99</f>
        <v>101</v>
      </c>
      <c r="I99" s="131"/>
      <c r="J99" s="203">
        <f>H99/DAY(B2)</f>
        <v>25.25</v>
      </c>
      <c r="K99" s="71"/>
      <c r="L99" s="68"/>
      <c r="N99" s="73"/>
    </row>
    <row r="100" spans="1:14" ht="27.75">
      <c r="A100" s="915" t="s">
        <v>212</v>
      </c>
      <c r="B100" s="916"/>
      <c r="C100" s="916"/>
      <c r="D100" s="174" t="s">
        <v>143</v>
      </c>
      <c r="E100" s="135">
        <f>'3'!F100</f>
        <v>8674</v>
      </c>
      <c r="F100" s="285">
        <v>8686</v>
      </c>
      <c r="G100" s="124">
        <f t="shared" si="10"/>
        <v>12</v>
      </c>
      <c r="H100" s="330">
        <f>G100+'3'!H100</f>
        <v>41</v>
      </c>
      <c r="I100" s="131"/>
      <c r="J100" s="203">
        <f>H100/DAY(B2)</f>
        <v>10.25</v>
      </c>
      <c r="K100" s="71"/>
      <c r="L100" s="68"/>
      <c r="N100" s="73"/>
    </row>
    <row r="101" spans="1:14" ht="27.75">
      <c r="A101" s="915" t="s">
        <v>213</v>
      </c>
      <c r="B101" s="916"/>
      <c r="C101" s="916"/>
      <c r="D101" s="174" t="s">
        <v>143</v>
      </c>
      <c r="E101" s="135">
        <f>'3'!F101</f>
        <v>6398</v>
      </c>
      <c r="F101" s="285">
        <v>6406</v>
      </c>
      <c r="G101" s="124">
        <f t="shared" si="10"/>
        <v>8</v>
      </c>
      <c r="H101" s="330">
        <f>G101+'3'!H101</f>
        <v>33</v>
      </c>
      <c r="I101" s="131"/>
      <c r="J101" s="203">
        <f>H101/DAY(B2)</f>
        <v>8.25</v>
      </c>
      <c r="K101" s="71"/>
      <c r="L101" s="68"/>
      <c r="N101" s="73"/>
    </row>
    <row r="102" spans="1:14">
      <c r="A102" s="1277" t="s">
        <v>215</v>
      </c>
      <c r="B102" s="1278"/>
      <c r="C102" s="1279"/>
      <c r="D102" s="175"/>
      <c r="E102" s="175"/>
      <c r="F102" s="289"/>
      <c r="G102" s="176">
        <f>SUM(G96:G101)</f>
        <v>185</v>
      </c>
      <c r="H102" s="330">
        <f>G102+'3'!H102</f>
        <v>699</v>
      </c>
      <c r="I102" s="177"/>
      <c r="J102" s="203">
        <f>H102/DAY(B2)</f>
        <v>174.75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>
      <c r="A104" s="1280" t="s">
        <v>217</v>
      </c>
      <c r="B104" s="1281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>
      <c r="A105" s="1237" t="s">
        <v>218</v>
      </c>
      <c r="B105" s="1238"/>
      <c r="C105" s="914"/>
      <c r="D105" s="273" t="s">
        <v>143</v>
      </c>
      <c r="E105" s="183">
        <f>'3'!F105</f>
        <v>7961</v>
      </c>
      <c r="F105" s="1142">
        <v>7961</v>
      </c>
      <c r="G105" s="925">
        <f>F105-E105</f>
        <v>0</v>
      </c>
      <c r="H105" s="330">
        <f>G105+'3'!H105</f>
        <v>0</v>
      </c>
      <c r="I105" s="183"/>
      <c r="J105" s="209">
        <f>H105/DAY(B2)</f>
        <v>0</v>
      </c>
      <c r="N105" s="73"/>
    </row>
    <row r="106" spans="1:14" s="93" customFormat="1" ht="27.75">
      <c r="A106" s="1237" t="s">
        <v>76</v>
      </c>
      <c r="B106" s="1238"/>
      <c r="C106" s="914"/>
      <c r="D106" s="273" t="s">
        <v>143</v>
      </c>
      <c r="E106" s="183">
        <f>'3'!F106</f>
        <v>36789</v>
      </c>
      <c r="F106" s="185">
        <v>36798</v>
      </c>
      <c r="G106" s="183">
        <f t="shared" ref="G106:G107" si="11">F106-E106</f>
        <v>9</v>
      </c>
      <c r="H106" s="330">
        <f>G106+'3'!H106</f>
        <v>33</v>
      </c>
      <c r="I106" s="183"/>
      <c r="J106" s="209">
        <f>H106/DAY(B2)</f>
        <v>8.25</v>
      </c>
      <c r="N106" s="73"/>
    </row>
    <row r="107" spans="1:14" s="93" customFormat="1" ht="27.75">
      <c r="A107" s="1237" t="s">
        <v>77</v>
      </c>
      <c r="B107" s="1282"/>
      <c r="C107" s="1238"/>
      <c r="D107" s="273" t="s">
        <v>143</v>
      </c>
      <c r="E107" s="183">
        <f>'3'!F107</f>
        <v>20241</v>
      </c>
      <c r="F107" s="693">
        <v>20249</v>
      </c>
      <c r="G107" s="183">
        <f t="shared" si="11"/>
        <v>8</v>
      </c>
      <c r="H107" s="330">
        <f>G107+'3'!H107</f>
        <v>35</v>
      </c>
      <c r="I107" s="183"/>
      <c r="J107" s="209">
        <f>H107/DAY(B2)</f>
        <v>8.75</v>
      </c>
      <c r="N107" s="73"/>
    </row>
    <row r="108" spans="1:14" s="93" customFormat="1" ht="27.75">
      <c r="A108" s="1239" t="s">
        <v>201</v>
      </c>
      <c r="B108" s="1240"/>
      <c r="C108" s="914"/>
      <c r="D108" s="273"/>
      <c r="E108" s="183" t="str">
        <f>'3'!F108</f>
        <v>.</v>
      </c>
      <c r="F108" s="183"/>
      <c r="G108" s="183">
        <f>SUM(G105:G107)</f>
        <v>17</v>
      </c>
      <c r="H108" s="330">
        <f>G108+'3'!H108</f>
        <v>68</v>
      </c>
      <c r="I108" s="183"/>
      <c r="J108" s="209">
        <f>H108/DAY(B2)</f>
        <v>17</v>
      </c>
      <c r="N108" s="73"/>
    </row>
    <row r="109" spans="1:14" s="93" customFormat="1" ht="27.75">
      <c r="A109" s="1243" t="s">
        <v>78</v>
      </c>
      <c r="B109" s="1244"/>
      <c r="C109" s="914"/>
      <c r="D109" s="273" t="s">
        <v>143</v>
      </c>
      <c r="E109" s="183">
        <f>'3'!F109</f>
        <v>0</v>
      </c>
      <c r="F109" s="183"/>
      <c r="G109" s="183"/>
      <c r="H109" s="330">
        <f>G109+'3'!H109</f>
        <v>0</v>
      </c>
      <c r="I109" s="183"/>
      <c r="J109" s="209"/>
      <c r="N109" s="73"/>
    </row>
    <row r="110" spans="1:14" s="93" customFormat="1" ht="27.75">
      <c r="A110" s="1237" t="s">
        <v>219</v>
      </c>
      <c r="B110" s="1238"/>
      <c r="C110" s="914"/>
      <c r="D110" s="273" t="s">
        <v>143</v>
      </c>
      <c r="E110" s="183">
        <f>'3'!F110</f>
        <v>69746</v>
      </c>
      <c r="F110" s="183">
        <v>69808</v>
      </c>
      <c r="G110" s="183">
        <f>F110-E110</f>
        <v>62</v>
      </c>
      <c r="H110" s="330">
        <f>G110+'3'!H110</f>
        <v>284</v>
      </c>
      <c r="I110" s="183"/>
      <c r="J110" s="209">
        <f>H110/DAY(B2)</f>
        <v>71</v>
      </c>
      <c r="N110" s="73"/>
    </row>
    <row r="111" spans="1:14" s="93" customFormat="1" ht="27.75">
      <c r="A111" s="1237" t="s">
        <v>220</v>
      </c>
      <c r="B111" s="1238"/>
      <c r="C111" s="914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30">
        <f>G111+'3'!H111</f>
        <v>0</v>
      </c>
      <c r="I111" s="183"/>
      <c r="J111" s="209">
        <f>H111/DAY(B2)</f>
        <v>0</v>
      </c>
      <c r="N111" s="73"/>
    </row>
    <row r="112" spans="1:14" s="93" customFormat="1" ht="27.75">
      <c r="A112" s="1237" t="s">
        <v>221</v>
      </c>
      <c r="B112" s="1238"/>
      <c r="C112" s="914"/>
      <c r="D112" s="273" t="s">
        <v>143</v>
      </c>
      <c r="E112" s="183">
        <f>'3'!F112</f>
        <v>4793</v>
      </c>
      <c r="F112" s="183">
        <v>4795</v>
      </c>
      <c r="G112" s="183">
        <f t="shared" si="12"/>
        <v>2</v>
      </c>
      <c r="H112" s="330">
        <f>G112+'3'!H112</f>
        <v>7</v>
      </c>
      <c r="I112" s="183"/>
      <c r="J112" s="209">
        <f>H112/DAY(B2)</f>
        <v>1.75</v>
      </c>
      <c r="N112" s="73"/>
    </row>
    <row r="113" spans="1:14" s="93" customFormat="1" ht="27.75">
      <c r="A113" s="1239" t="s">
        <v>109</v>
      </c>
      <c r="B113" s="1240"/>
      <c r="C113" s="914"/>
      <c r="D113" s="273"/>
      <c r="E113" s="183">
        <f>'3'!F113</f>
        <v>0</v>
      </c>
      <c r="F113" s="183"/>
      <c r="G113" s="183">
        <f>SUM(G110:G112)</f>
        <v>64</v>
      </c>
      <c r="H113" s="330">
        <f>G113+'3'!H113</f>
        <v>291</v>
      </c>
      <c r="I113" s="183"/>
      <c r="J113" s="209">
        <f>H113/DAY(B2)</f>
        <v>72.75</v>
      </c>
      <c r="N113" s="73"/>
    </row>
    <row r="114" spans="1:14" s="93" customFormat="1" ht="27.75">
      <c r="A114" s="1243" t="s">
        <v>222</v>
      </c>
      <c r="B114" s="1244"/>
      <c r="C114" s="914"/>
      <c r="D114" s="273"/>
      <c r="E114" s="183">
        <f>'3'!F114</f>
        <v>0</v>
      </c>
      <c r="F114" s="183"/>
      <c r="G114" s="183"/>
      <c r="H114" s="330">
        <f>G114+'3'!H114</f>
        <v>0</v>
      </c>
      <c r="I114" s="183"/>
      <c r="J114" s="209">
        <f>H114/DAY(B2)</f>
        <v>0</v>
      </c>
      <c r="N114" s="73"/>
    </row>
    <row r="115" spans="1:14" s="93" customFormat="1" ht="27.75">
      <c r="A115" s="1237" t="s">
        <v>223</v>
      </c>
      <c r="B115" s="1238"/>
      <c r="C115" s="225"/>
      <c r="D115" s="273" t="s">
        <v>143</v>
      </c>
      <c r="E115" s="183">
        <f>'3'!F115</f>
        <v>13075</v>
      </c>
      <c r="F115" s="185">
        <v>13089</v>
      </c>
      <c r="G115" s="185">
        <f>F115-E115</f>
        <v>14</v>
      </c>
      <c r="H115" s="330">
        <f>G115+'3'!H115</f>
        <v>51</v>
      </c>
      <c r="I115" s="183"/>
      <c r="J115" s="209">
        <f>H115/DAY(B2)</f>
        <v>12.75</v>
      </c>
      <c r="N115" s="73"/>
    </row>
    <row r="116" spans="1:14" s="93" customFormat="1" ht="27.75">
      <c r="A116" s="1237" t="s">
        <v>224</v>
      </c>
      <c r="B116" s="1238"/>
      <c r="C116" s="225"/>
      <c r="D116" s="273" t="s">
        <v>143</v>
      </c>
      <c r="E116" s="183">
        <f>'3'!F116</f>
        <v>9146</v>
      </c>
      <c r="F116" s="185">
        <v>9153</v>
      </c>
      <c r="G116" s="185">
        <f t="shared" ref="G116:G117" si="13">F116-E116</f>
        <v>7</v>
      </c>
      <c r="H116" s="330">
        <f>G116+'3'!H116</f>
        <v>27</v>
      </c>
      <c r="I116" s="183"/>
      <c r="J116" s="209">
        <f>H116/DAY(B2)</f>
        <v>6.75</v>
      </c>
      <c r="N116" s="73"/>
    </row>
    <row r="117" spans="1:14" s="93" customFormat="1" ht="27.75">
      <c r="A117" s="1237" t="s">
        <v>225</v>
      </c>
      <c r="B117" s="1238"/>
      <c r="C117" s="225"/>
      <c r="D117" s="273" t="s">
        <v>143</v>
      </c>
      <c r="E117" s="185"/>
      <c r="F117" s="185"/>
      <c r="G117" s="185">
        <f t="shared" si="13"/>
        <v>0</v>
      </c>
      <c r="H117" s="330">
        <f>G117+'3'!H117</f>
        <v>0</v>
      </c>
      <c r="I117" s="183"/>
      <c r="J117" s="209">
        <f>H117/DAY(B2)</f>
        <v>0</v>
      </c>
      <c r="N117" s="73"/>
    </row>
    <row r="118" spans="1:14" s="96" customFormat="1" ht="27.75">
      <c r="A118" s="1239" t="s">
        <v>201</v>
      </c>
      <c r="B118" s="1240"/>
      <c r="C118" s="225"/>
      <c r="D118" s="274"/>
      <c r="E118" s="185"/>
      <c r="F118" s="185"/>
      <c r="G118" s="185">
        <f>SUM(G115:G117)</f>
        <v>21</v>
      </c>
      <c r="H118" s="330">
        <f>G118+'3'!H118</f>
        <v>78</v>
      </c>
      <c r="I118" s="185"/>
      <c r="J118" s="209">
        <f>H118/DAY(B2)</f>
        <v>19.5</v>
      </c>
      <c r="N118" s="73"/>
    </row>
    <row r="119" spans="1:14" s="97" customFormat="1" ht="27.75">
      <c r="A119" s="1233" t="s">
        <v>226</v>
      </c>
      <c r="B119" s="1234"/>
      <c r="C119" s="912"/>
      <c r="D119" s="275" t="s">
        <v>143</v>
      </c>
      <c r="E119" s="187"/>
      <c r="F119" s="187">
        <f>SUM(G19+G93)</f>
        <v>146</v>
      </c>
      <c r="G119" s="187">
        <f>SUM(G19+G93)</f>
        <v>146</v>
      </c>
      <c r="H119" s="330">
        <f>G119+'3'!H119</f>
        <v>591</v>
      </c>
      <c r="I119" s="186"/>
      <c r="J119" s="210">
        <f>H119/DAY(B2)</f>
        <v>147.75</v>
      </c>
      <c r="N119" s="73"/>
    </row>
    <row r="120" spans="1:14" s="97" customFormat="1" ht="27.75">
      <c r="A120" s="1233" t="s">
        <v>227</v>
      </c>
      <c r="B120" s="1234"/>
      <c r="C120" s="912"/>
      <c r="D120" s="275" t="s">
        <v>143</v>
      </c>
      <c r="E120" s="187"/>
      <c r="F120" s="187">
        <f>SUM(G96,G97,G98,G100,G101)</f>
        <v>153</v>
      </c>
      <c r="G120" s="187">
        <f>SUM(G96,G97,G98,G100,G101)</f>
        <v>153</v>
      </c>
      <c r="H120" s="330">
        <f>G120+'3'!H120</f>
        <v>598</v>
      </c>
      <c r="I120" s="186"/>
      <c r="J120" s="210">
        <f>H120/DAY(B2)</f>
        <v>149.5</v>
      </c>
      <c r="N120" s="73"/>
    </row>
    <row r="121" spans="1:14" s="97" customFormat="1" ht="27.75">
      <c r="A121" s="1233" t="s">
        <v>228</v>
      </c>
      <c r="B121" s="1234"/>
      <c r="C121" s="912"/>
      <c r="D121" s="275" t="s">
        <v>143</v>
      </c>
      <c r="E121" s="185"/>
      <c r="F121" s="185">
        <f>SUM(G113)</f>
        <v>64</v>
      </c>
      <c r="G121" s="185">
        <f>SUM(G113)</f>
        <v>64</v>
      </c>
      <c r="H121" s="330">
        <f>G121+'3'!H121</f>
        <v>291</v>
      </c>
      <c r="I121" s="186"/>
      <c r="J121" s="210">
        <f>H121/DAY(B2)</f>
        <v>72.75</v>
      </c>
      <c r="N121" s="73"/>
    </row>
    <row r="122" spans="1:14" s="93" customFormat="1" ht="27.75">
      <c r="A122" s="1235"/>
      <c r="B122" s="1236"/>
      <c r="C122" s="913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>
      <c r="A123" s="1274" t="s">
        <v>229</v>
      </c>
      <c r="B123" s="1275"/>
      <c r="C123" s="1276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>
      <c r="A124" s="915" t="s">
        <v>230</v>
      </c>
      <c r="B124" s="916"/>
      <c r="C124" s="916"/>
      <c r="D124" s="174" t="s">
        <v>140</v>
      </c>
      <c r="E124" s="129">
        <f>'3'!F124</f>
        <v>857078.23</v>
      </c>
      <c r="F124" s="285">
        <v>857320.12</v>
      </c>
      <c r="G124" s="124">
        <f t="shared" ref="G124:G128" si="14">F124-E124</f>
        <v>241.89000000001397</v>
      </c>
      <c r="H124" s="330">
        <f>G124+'3'!H124</f>
        <v>968.11999999999534</v>
      </c>
      <c r="I124" s="177"/>
      <c r="J124" s="203">
        <f>H124/DAY(B2)</f>
        <v>242.02999999999884</v>
      </c>
      <c r="K124" s="71"/>
      <c r="L124" s="68"/>
      <c r="N124" s="73"/>
    </row>
    <row r="125" spans="1:14" ht="27.75">
      <c r="A125" s="915" t="s">
        <v>231</v>
      </c>
      <c r="B125" s="916"/>
      <c r="C125" s="916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30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226" t="s">
        <v>232</v>
      </c>
      <c r="B126" s="1227"/>
      <c r="C126" s="1228"/>
      <c r="D126" s="174" t="s">
        <v>140</v>
      </c>
      <c r="E126" s="129">
        <f>'3'!F126</f>
        <v>154346.84</v>
      </c>
      <c r="F126" s="285">
        <v>154437.97</v>
      </c>
      <c r="G126" s="124">
        <f t="shared" si="14"/>
        <v>91.130000000004657</v>
      </c>
      <c r="H126" s="330">
        <f>G126+'3'!H126</f>
        <v>360.97000000000116</v>
      </c>
      <c r="I126" s="177"/>
      <c r="J126" s="203">
        <f>H126/DAY(B2)</f>
        <v>90.242500000000291</v>
      </c>
      <c r="K126" s="71"/>
      <c r="L126" s="68"/>
      <c r="N126" s="73"/>
    </row>
    <row r="127" spans="1:14" ht="27.75">
      <c r="A127" s="260" t="s">
        <v>233</v>
      </c>
      <c r="B127" s="916"/>
      <c r="C127" s="916"/>
      <c r="D127" s="174" t="s">
        <v>140</v>
      </c>
      <c r="E127" s="129">
        <f>'3'!F127</f>
        <v>34769.800000000003</v>
      </c>
      <c r="F127" s="300">
        <v>34805</v>
      </c>
      <c r="G127" s="124">
        <f t="shared" si="14"/>
        <v>35.19999999999709</v>
      </c>
      <c r="H127" s="330">
        <f>G127+'3'!H127</f>
        <v>176</v>
      </c>
      <c r="I127" s="177"/>
      <c r="J127" s="203">
        <f>H127/DAY(B2)</f>
        <v>44</v>
      </c>
      <c r="K127" s="71"/>
      <c r="L127" s="68"/>
      <c r="N127" s="73"/>
    </row>
    <row r="128" spans="1:14" ht="27.75">
      <c r="A128" s="260" t="s">
        <v>234</v>
      </c>
      <c r="B128" s="916"/>
      <c r="C128" s="916"/>
      <c r="D128" s="174" t="s">
        <v>140</v>
      </c>
      <c r="E128" s="129">
        <f>'3'!F128</f>
        <v>9184.4</v>
      </c>
      <c r="F128" s="300">
        <v>9189.1</v>
      </c>
      <c r="G128" s="124">
        <f t="shared" si="14"/>
        <v>4.7000000000007276</v>
      </c>
      <c r="H128" s="330">
        <f>G128+'3'!H128</f>
        <v>9.1000000000003638</v>
      </c>
      <c r="I128" s="131"/>
      <c r="J128" s="203">
        <f>H128/DAY(B2)</f>
        <v>2.2750000000000909</v>
      </c>
      <c r="K128" s="71"/>
      <c r="L128" s="68"/>
      <c r="N128" s="73"/>
    </row>
    <row r="129" spans="1:14" s="57" customFormat="1" ht="27.75">
      <c r="A129" s="260" t="s">
        <v>235</v>
      </c>
      <c r="B129" s="916"/>
      <c r="C129" s="916"/>
      <c r="D129" s="174"/>
      <c r="E129" s="129"/>
      <c r="F129" s="285"/>
      <c r="G129" s="124">
        <f>G15-SUM(G124:G128)</f>
        <v>448.31799999987925</v>
      </c>
      <c r="H129" s="330">
        <f>G129+'3'!H129</f>
        <v>1979.7699999999659</v>
      </c>
      <c r="I129" s="131"/>
      <c r="J129" s="203">
        <f>H129/DAY(B2)</f>
        <v>494.94249999999147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>
      <c r="A131" s="915" t="s">
        <v>237</v>
      </c>
      <c r="B131" s="916"/>
      <c r="C131" s="916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30">
        <f>G131+'3'!H131</f>
        <v>0</v>
      </c>
      <c r="I131" s="131"/>
      <c r="J131" s="203">
        <f>H131/DAY(B2)</f>
        <v>0</v>
      </c>
      <c r="N131" s="73"/>
    </row>
    <row r="132" spans="1:14" ht="27.75">
      <c r="A132" s="1122" t="s">
        <v>267</v>
      </c>
      <c r="B132" s="916"/>
      <c r="C132" s="916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30">
        <f>G132+'3'!H132</f>
        <v>0</v>
      </c>
      <c r="I132" s="131"/>
      <c r="J132" s="203">
        <f>H132/DAY(B2)</f>
        <v>0</v>
      </c>
      <c r="N132" s="73"/>
    </row>
    <row r="133" spans="1:14" ht="27.75">
      <c r="A133" s="915" t="s">
        <v>240</v>
      </c>
      <c r="B133" s="916"/>
      <c r="C133" s="916"/>
      <c r="D133" s="174" t="s">
        <v>238</v>
      </c>
      <c r="E133" s="135">
        <f>'3'!F133</f>
        <v>40921.53</v>
      </c>
      <c r="F133" s="286">
        <v>40933.07</v>
      </c>
      <c r="G133" s="124">
        <f t="shared" si="15"/>
        <v>11.540000000000873</v>
      </c>
      <c r="H133" s="330">
        <f>G133+'3'!H133</f>
        <v>11.069999999999709</v>
      </c>
      <c r="I133" s="131"/>
      <c r="J133" s="203">
        <f>H133/DAY(B2)</f>
        <v>2.7674999999999272</v>
      </c>
      <c r="N133" s="73"/>
    </row>
    <row r="134" spans="1:14" ht="27.75">
      <c r="A134" s="915" t="s">
        <v>241</v>
      </c>
      <c r="B134" s="916"/>
      <c r="C134" s="916"/>
      <c r="D134" s="174" t="s">
        <v>238</v>
      </c>
      <c r="E134" s="135">
        <f>'3'!F134</f>
        <v>928.1</v>
      </c>
      <c r="F134" s="300">
        <v>940.16</v>
      </c>
      <c r="G134" s="124">
        <f t="shared" si="15"/>
        <v>12.059999999999945</v>
      </c>
      <c r="H134" s="330">
        <f>G134+'3'!H134</f>
        <v>84.159999999999968</v>
      </c>
      <c r="I134" s="131">
        <f>G133+G134+G135+G136</f>
        <v>23.600000000000819</v>
      </c>
      <c r="J134" s="203">
        <f>H134/DAY(B2)</f>
        <v>21.039999999999992</v>
      </c>
      <c r="N134" s="73"/>
    </row>
    <row r="135" spans="1:14" ht="27.75">
      <c r="A135" s="915" t="s">
        <v>242</v>
      </c>
      <c r="B135" s="916"/>
      <c r="C135" s="916"/>
      <c r="D135" s="174" t="s">
        <v>238</v>
      </c>
      <c r="E135" s="135">
        <f>'3'!F135</f>
        <v>42822.14</v>
      </c>
      <c r="F135" s="300">
        <v>42822.14</v>
      </c>
      <c r="G135" s="124">
        <f t="shared" si="15"/>
        <v>0</v>
      </c>
      <c r="H135" s="330">
        <f>G135+'3'!H135</f>
        <v>0.13999999999941792</v>
      </c>
      <c r="I135" s="131"/>
      <c r="J135" s="203">
        <f>H135/DAY(B2)</f>
        <v>3.4999999999854481E-2</v>
      </c>
      <c r="N135" s="73"/>
    </row>
    <row r="136" spans="1:14" ht="27.75">
      <c r="A136" s="915" t="s">
        <v>243</v>
      </c>
      <c r="B136" s="916"/>
      <c r="C136" s="916"/>
      <c r="D136" s="174" t="s">
        <v>238</v>
      </c>
      <c r="E136" s="135">
        <f>'3'!F136</f>
        <v>32958.379999999997</v>
      </c>
      <c r="F136" s="300">
        <v>32958.379999999997</v>
      </c>
      <c r="G136" s="124">
        <f t="shared" si="15"/>
        <v>0</v>
      </c>
      <c r="H136" s="330">
        <f>G136+'3'!H136</f>
        <v>30.379999999997381</v>
      </c>
      <c r="I136" s="131"/>
      <c r="J136" s="203">
        <f>H136/DAY(B2)</f>
        <v>7.5949999999993452</v>
      </c>
      <c r="N136" s="73"/>
    </row>
    <row r="137" spans="1:14" ht="27.75">
      <c r="A137" s="915" t="s">
        <v>244</v>
      </c>
      <c r="B137" s="916"/>
      <c r="C137" s="916"/>
      <c r="D137" s="174" t="s">
        <v>238</v>
      </c>
      <c r="E137" s="135">
        <f>'3'!F137</f>
        <v>23384.93</v>
      </c>
      <c r="F137" s="286">
        <v>23393.62</v>
      </c>
      <c r="G137" s="124">
        <f t="shared" si="15"/>
        <v>8.6899999999986903</v>
      </c>
      <c r="H137" s="330">
        <f>G137+'3'!H137</f>
        <v>37.18999999999869</v>
      </c>
      <c r="I137" s="131">
        <f>G137+G138+G139</f>
        <v>8.6899999999986903</v>
      </c>
      <c r="J137" s="203">
        <f>H137/DAY(B2)</f>
        <v>9.2974999999996726</v>
      </c>
      <c r="N137" s="73"/>
    </row>
    <row r="138" spans="1:14" ht="27.75">
      <c r="A138" s="915" t="s">
        <v>245</v>
      </c>
      <c r="B138" s="916"/>
      <c r="C138" s="916"/>
      <c r="D138" s="174" t="s">
        <v>238</v>
      </c>
      <c r="E138" s="135">
        <f>'3'!F138</f>
        <v>25132.98</v>
      </c>
      <c r="F138" s="286">
        <v>25132.98</v>
      </c>
      <c r="G138" s="124">
        <f t="shared" si="15"/>
        <v>0</v>
      </c>
      <c r="H138" s="330">
        <f>G138+'3'!H138</f>
        <v>2.0000000000436557E-2</v>
      </c>
      <c r="I138" s="131"/>
      <c r="J138" s="203">
        <f>H138/DAY(B2)</f>
        <v>5.0000000001091394E-3</v>
      </c>
      <c r="N138" s="73"/>
    </row>
    <row r="139" spans="1:14" ht="27.75">
      <c r="A139" s="915" t="s">
        <v>246</v>
      </c>
      <c r="B139" s="916"/>
      <c r="C139" s="916"/>
      <c r="D139" s="174" t="s">
        <v>238</v>
      </c>
      <c r="E139" s="135">
        <f>'3'!F139</f>
        <v>70526</v>
      </c>
      <c r="F139" s="286">
        <v>70526</v>
      </c>
      <c r="G139" s="124">
        <f t="shared" si="15"/>
        <v>0</v>
      </c>
      <c r="H139" s="330">
        <f>G139+'3'!H139</f>
        <v>1.4499999999970896</v>
      </c>
      <c r="I139" s="131"/>
      <c r="J139" s="203">
        <f>H139/DAY(B2)</f>
        <v>0.3624999999992724</v>
      </c>
      <c r="N139" s="73"/>
    </row>
    <row r="140" spans="1:14" ht="27.75">
      <c r="A140" s="915" t="s">
        <v>247</v>
      </c>
      <c r="B140" s="916"/>
      <c r="C140" s="916"/>
      <c r="D140" s="174" t="s">
        <v>238</v>
      </c>
      <c r="E140" s="135">
        <f>'3'!F140</f>
        <v>2655.97</v>
      </c>
      <c r="F140" s="300">
        <v>2665.31</v>
      </c>
      <c r="G140" s="124">
        <f t="shared" si="15"/>
        <v>9.3400000000001455</v>
      </c>
      <c r="H140" s="330">
        <f>G140+'3'!H140</f>
        <v>37.329999999999927</v>
      </c>
      <c r="I140" s="193">
        <f>G140+G141</f>
        <v>9.3400000000001455</v>
      </c>
      <c r="J140" s="203">
        <f>H140/DAY(B2)</f>
        <v>9.3324999999999818</v>
      </c>
      <c r="N140" s="73"/>
    </row>
    <row r="141" spans="1:14" ht="27.75">
      <c r="A141" s="915" t="s">
        <v>248</v>
      </c>
      <c r="B141" s="916"/>
      <c r="C141" s="916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30">
        <f>G141+'3'!H141</f>
        <v>-0.32999999999992724</v>
      </c>
      <c r="I141" s="193"/>
      <c r="J141" s="203">
        <f>H141/DAY(B2)</f>
        <v>-8.249999999998181E-2</v>
      </c>
      <c r="N141" s="73"/>
    </row>
    <row r="142" spans="1:14">
      <c r="A142" s="1248" t="s">
        <v>249</v>
      </c>
      <c r="B142" s="1249"/>
      <c r="C142" s="921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>
      <c r="A143" s="1245" t="s">
        <v>250</v>
      </c>
      <c r="B143" s="1246"/>
      <c r="C143" s="1247"/>
      <c r="D143" s="174" t="s">
        <v>131</v>
      </c>
      <c r="E143" s="174"/>
      <c r="F143" s="288"/>
      <c r="G143" s="111">
        <f>G35+G43+G49+G57</f>
        <v>5803.1500000000942</v>
      </c>
      <c r="H143" s="330">
        <f>G143+'3'!H143</f>
        <v>23192.430000000139</v>
      </c>
      <c r="I143" s="131"/>
      <c r="J143" s="203">
        <f>H143/DAY(B2)</f>
        <v>5798.1075000000346</v>
      </c>
      <c r="K143" s="71"/>
      <c r="L143" s="68"/>
      <c r="N143" s="73"/>
    </row>
    <row r="144" spans="1:14" ht="27.75">
      <c r="A144" s="1245" t="s">
        <v>251</v>
      </c>
      <c r="B144" s="1246"/>
      <c r="C144" s="1247"/>
      <c r="D144" s="174" t="s">
        <v>24</v>
      </c>
      <c r="E144" s="162"/>
      <c r="F144" s="292"/>
      <c r="G144" s="194">
        <f>G143/G7</f>
        <v>0.27164490006085729</v>
      </c>
      <c r="H144" s="330">
        <f>G144+'3'!H144</f>
        <v>1.0323814245376801</v>
      </c>
      <c r="I144" s="195"/>
      <c r="J144" s="203">
        <f>H144/DAY(B2)</f>
        <v>0.25809535613442003</v>
      </c>
      <c r="K144" s="71"/>
      <c r="L144" s="68"/>
      <c r="N144" s="73"/>
    </row>
    <row r="145" spans="1:14" ht="27.75">
      <c r="A145" s="1245" t="s">
        <v>252</v>
      </c>
      <c r="B145" s="1246"/>
      <c r="C145" s="1247"/>
      <c r="D145" s="174" t="s">
        <v>131</v>
      </c>
      <c r="E145" s="106"/>
      <c r="F145" s="284"/>
      <c r="G145" s="111">
        <f>G41+G42+G55+G56</f>
        <v>6292.5600000000559</v>
      </c>
      <c r="H145" s="330">
        <f>G145+'3'!H145</f>
        <v>27181.680000000022</v>
      </c>
      <c r="I145" s="131"/>
      <c r="J145" s="203">
        <f>H145/DAY(B2)</f>
        <v>6795.4200000000055</v>
      </c>
      <c r="K145" s="71"/>
      <c r="L145" s="68"/>
      <c r="N145" s="73"/>
    </row>
    <row r="146" spans="1:14" ht="27.75">
      <c r="A146" s="1245" t="s">
        <v>253</v>
      </c>
      <c r="B146" s="1246"/>
      <c r="C146" s="1247"/>
      <c r="D146" s="174" t="s">
        <v>24</v>
      </c>
      <c r="E146" s="106"/>
      <c r="F146" s="284"/>
      <c r="G146" s="194">
        <f>G145/G7</f>
        <v>0.29455413565510724</v>
      </c>
      <c r="H146" s="330">
        <f>G146+'3'!H146</f>
        <v>1.2063821841237026</v>
      </c>
      <c r="I146" s="195"/>
      <c r="J146" s="203">
        <f>H146/DAY(B2)</f>
        <v>0.30159554603092564</v>
      </c>
      <c r="K146" s="71"/>
      <c r="L146" s="68"/>
      <c r="N146" s="73"/>
    </row>
    <row r="147" spans="1:14" ht="27.75">
      <c r="A147" s="1245" t="s">
        <v>254</v>
      </c>
      <c r="B147" s="1246"/>
      <c r="C147" s="1247"/>
      <c r="D147" s="174" t="s">
        <v>131</v>
      </c>
      <c r="E147" s="106"/>
      <c r="F147" s="284"/>
      <c r="G147" s="111">
        <f>G39+G53</f>
        <v>3801.0299999999988</v>
      </c>
      <c r="H147" s="330">
        <f>G147+'3'!H147</f>
        <v>15267.349999999999</v>
      </c>
      <c r="I147" s="196"/>
      <c r="J147" s="203">
        <f>H147/DAY(B2)</f>
        <v>3816.8374999999996</v>
      </c>
      <c r="K147" s="71"/>
      <c r="L147" s="68"/>
      <c r="N147" s="73"/>
    </row>
    <row r="148" spans="1:14" ht="27.75">
      <c r="A148" s="1245" t="s">
        <v>255</v>
      </c>
      <c r="B148" s="1246"/>
      <c r="C148" s="1247"/>
      <c r="D148" s="174" t="s">
        <v>24</v>
      </c>
      <c r="E148" s="106"/>
      <c r="F148" s="284"/>
      <c r="G148" s="194">
        <f>G147/G7</f>
        <v>0.17792585311051812</v>
      </c>
      <c r="H148" s="330">
        <f>G148+'3'!H148</f>
        <v>0.68094518303080243</v>
      </c>
      <c r="I148" s="196"/>
      <c r="J148" s="203">
        <f>H148/DAY(B2)</f>
        <v>0.17023629575770061</v>
      </c>
      <c r="N148" s="73"/>
    </row>
    <row r="149" spans="1:14" ht="27.75">
      <c r="A149" s="1245" t="s">
        <v>256</v>
      </c>
      <c r="B149" s="1246"/>
      <c r="C149" s="1247"/>
      <c r="D149" s="174" t="s">
        <v>182</v>
      </c>
      <c r="E149" s="106"/>
      <c r="F149" s="284"/>
      <c r="G149" s="111">
        <f>G38+G52</f>
        <v>1776.7299999999996</v>
      </c>
      <c r="H149" s="330">
        <f>G149+'3'!H149</f>
        <v>6998.6</v>
      </c>
      <c r="I149" s="131"/>
      <c r="J149" s="203">
        <f>H149/DAY(B2)</f>
        <v>1749.65</v>
      </c>
      <c r="K149" s="72"/>
      <c r="N149" s="73"/>
    </row>
    <row r="150" spans="1:14" ht="27.75">
      <c r="A150" s="1245" t="s">
        <v>257</v>
      </c>
      <c r="B150" s="1246"/>
      <c r="C150" s="1247"/>
      <c r="D150" s="174" t="s">
        <v>24</v>
      </c>
      <c r="E150" s="106"/>
      <c r="F150" s="284"/>
      <c r="G150" s="194">
        <f>G149/G7</f>
        <v>8.3168562467818175E-2</v>
      </c>
      <c r="H150" s="330">
        <f>G150+'3'!H150</f>
        <v>0.31250536707058496</v>
      </c>
      <c r="I150" s="196"/>
      <c r="J150" s="203">
        <f>H150/DAY(B2)</f>
        <v>7.812634176764624E-2</v>
      </c>
      <c r="N150" s="73"/>
    </row>
    <row r="151" spans="1:14" ht="27.75">
      <c r="A151" s="1245" t="s">
        <v>258</v>
      </c>
      <c r="B151" s="1246"/>
      <c r="C151" s="1247"/>
      <c r="D151" s="174" t="s">
        <v>182</v>
      </c>
      <c r="E151" s="106"/>
      <c r="F151" s="284"/>
      <c r="G151" s="111">
        <f>G36+G50</f>
        <v>1719.899999999986</v>
      </c>
      <c r="H151" s="330">
        <f>G151+'3'!H151</f>
        <v>8940.7599999999948</v>
      </c>
      <c r="I151" s="196"/>
      <c r="J151" s="203">
        <f>H151/DAY(B2)</f>
        <v>2235.1899999999987</v>
      </c>
      <c r="N151" s="73"/>
    </row>
    <row r="152" spans="1:14" ht="27.75">
      <c r="A152" s="1245" t="s">
        <v>259</v>
      </c>
      <c r="B152" s="1246"/>
      <c r="C152" s="1247"/>
      <c r="D152" s="174" t="s">
        <v>24</v>
      </c>
      <c r="E152" s="106"/>
      <c r="F152" s="284"/>
      <c r="G152" s="194">
        <f>G151/G7</f>
        <v>8.0508355568037537E-2</v>
      </c>
      <c r="H152" s="330">
        <f>G152+'3'!H152</f>
        <v>0.39660639792823471</v>
      </c>
      <c r="I152" s="131"/>
      <c r="J152" s="203">
        <f>H152/DAY(B2)</f>
        <v>9.9151599482058678E-2</v>
      </c>
      <c r="N152" s="73"/>
    </row>
    <row r="153" spans="1:14" ht="27.75">
      <c r="A153" s="1245" t="s">
        <v>260</v>
      </c>
      <c r="B153" s="1246"/>
      <c r="C153" s="1247"/>
      <c r="D153" s="174" t="s">
        <v>182</v>
      </c>
      <c r="E153" s="106"/>
      <c r="F153" s="284"/>
      <c r="G153" s="111">
        <f>G37+G51</f>
        <v>1491.33</v>
      </c>
      <c r="H153" s="330">
        <f>G153+'3'!H153</f>
        <v>6049.8099999999995</v>
      </c>
      <c r="I153" s="131"/>
      <c r="J153" s="203">
        <f>H153/DAY(B2)</f>
        <v>1512.4524999999999</v>
      </c>
      <c r="N153" s="73"/>
    </row>
    <row r="154" spans="1:14" ht="28.5" thickBot="1">
      <c r="A154" s="1283" t="s">
        <v>261</v>
      </c>
      <c r="B154" s="1284"/>
      <c r="C154" s="1285"/>
      <c r="D154" s="276" t="s">
        <v>24</v>
      </c>
      <c r="E154" s="216"/>
      <c r="F154" s="301"/>
      <c r="G154" s="217">
        <f>G153/G7</f>
        <v>6.980901558769835E-2</v>
      </c>
      <c r="H154" s="330">
        <f>G154+'3'!H154</f>
        <v>0.26964789833316394</v>
      </c>
      <c r="I154" s="219"/>
      <c r="J154" s="220">
        <f>H154/DAY(B2)</f>
        <v>6.7411974583290984E-2</v>
      </c>
      <c r="N154" s="73"/>
    </row>
    <row r="155" spans="1:14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>
      <c r="A158" s="1286" t="s">
        <v>266</v>
      </c>
      <c r="B158" s="1287"/>
      <c r="C158" s="1287"/>
      <c r="D158" s="1287"/>
      <c r="E158" s="1287"/>
      <c r="F158" s="1287"/>
      <c r="G158" s="1288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15">
      <c r="A161" s="435" t="s">
        <v>262</v>
      </c>
      <c r="B161" s="436"/>
      <c r="C161" s="436"/>
      <c r="D161" s="162" t="s">
        <v>186</v>
      </c>
      <c r="E161" s="309">
        <f>'3'!F161</f>
        <v>46037.16</v>
      </c>
      <c r="F161" s="309">
        <v>46116.87</v>
      </c>
      <c r="G161" s="124">
        <f t="shared" ref="G161:G174" si="16">F161-E161</f>
        <v>79.709999999999127</v>
      </c>
    </row>
    <row r="162" spans="1:15">
      <c r="A162" s="435" t="s">
        <v>263</v>
      </c>
      <c r="B162" s="436"/>
      <c r="C162" s="436"/>
      <c r="D162" s="162" t="s">
        <v>186</v>
      </c>
      <c r="E162" s="309">
        <f>'3'!F162</f>
        <v>138013.45000000001</v>
      </c>
      <c r="F162" s="309">
        <v>138546.47</v>
      </c>
      <c r="G162" s="124">
        <f t="shared" si="16"/>
        <v>533.01999999998952</v>
      </c>
    </row>
    <row r="163" spans="1:15">
      <c r="A163" s="435" t="s">
        <v>264</v>
      </c>
      <c r="B163" s="436"/>
      <c r="C163" s="436"/>
      <c r="D163" s="162" t="s">
        <v>186</v>
      </c>
      <c r="E163" s="309">
        <f>'3'!F163</f>
        <v>64442.25</v>
      </c>
      <c r="F163" s="309">
        <v>64656</v>
      </c>
      <c r="G163" s="124">
        <f t="shared" si="16"/>
        <v>213.75</v>
      </c>
    </row>
    <row r="164" spans="1:15">
      <c r="A164" s="435" t="s">
        <v>265</v>
      </c>
      <c r="B164" s="436"/>
      <c r="C164" s="436"/>
      <c r="D164" s="162" t="s">
        <v>186</v>
      </c>
      <c r="E164" s="309">
        <f>'3'!F164</f>
        <v>7496.13</v>
      </c>
      <c r="F164" s="309">
        <v>7504.6</v>
      </c>
      <c r="G164" s="124">
        <f t="shared" si="16"/>
        <v>8.4700000000002547</v>
      </c>
    </row>
    <row r="165" spans="1:15">
      <c r="A165" s="437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>
      <c r="A166" s="437" t="s">
        <v>187</v>
      </c>
      <c r="B166" s="255"/>
      <c r="C166" s="255"/>
      <c r="D166" s="162" t="s">
        <v>186</v>
      </c>
      <c r="E166" s="402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>
      <c r="A167" s="1232" t="s">
        <v>98</v>
      </c>
      <c r="B167" s="1232"/>
      <c r="C167" s="1232"/>
      <c r="D167" s="174" t="s">
        <v>186</v>
      </c>
      <c r="E167" s="402">
        <f>'3'!F64</f>
        <v>195478.53</v>
      </c>
      <c r="F167" s="165">
        <f t="shared" ref="F167:F172" si="17">F64</f>
        <v>195864.17</v>
      </c>
      <c r="G167" s="124">
        <f>F167-E167</f>
        <v>385.64000000001397</v>
      </c>
    </row>
    <row r="168" spans="1:15" ht="24.75" customHeight="1">
      <c r="A168" s="1232" t="s">
        <v>99</v>
      </c>
      <c r="B168" s="1232"/>
      <c r="C168" s="1232"/>
      <c r="D168" s="174" t="s">
        <v>186</v>
      </c>
      <c r="E168" s="402">
        <f>'3'!F65</f>
        <v>195812.61</v>
      </c>
      <c r="F168" s="165">
        <f t="shared" si="17"/>
        <v>196207.53</v>
      </c>
      <c r="G168" s="124">
        <f t="shared" si="16"/>
        <v>394.92000000001281</v>
      </c>
    </row>
    <row r="169" spans="1:15" ht="28.5" customHeight="1">
      <c r="A169" s="1232" t="s">
        <v>100</v>
      </c>
      <c r="B169" s="1232"/>
      <c r="C169" s="1232"/>
      <c r="D169" s="174" t="s">
        <v>186</v>
      </c>
      <c r="E169" s="402">
        <f>'3'!F66</f>
        <v>94579.79</v>
      </c>
      <c r="F169" s="165">
        <f t="shared" si="17"/>
        <v>94990.83</v>
      </c>
      <c r="G169" s="124">
        <f t="shared" si="16"/>
        <v>411.04000000000815</v>
      </c>
    </row>
    <row r="170" spans="1:15" ht="24.75" customHeight="1">
      <c r="A170" s="1232" t="s">
        <v>101</v>
      </c>
      <c r="B170" s="1232"/>
      <c r="C170" s="1232"/>
      <c r="D170" s="174" t="s">
        <v>186</v>
      </c>
      <c r="E170" s="402">
        <f>'3'!F67</f>
        <v>296158.73</v>
      </c>
      <c r="F170" s="165">
        <f t="shared" si="17"/>
        <v>296594.51</v>
      </c>
      <c r="G170" s="124">
        <f t="shared" si="16"/>
        <v>435.78000000002794</v>
      </c>
    </row>
    <row r="171" spans="1:15" ht="24" customHeight="1">
      <c r="A171" s="1232" t="s">
        <v>102</v>
      </c>
      <c r="B171" s="1232"/>
      <c r="C171" s="1232"/>
      <c r="D171" s="174" t="s">
        <v>186</v>
      </c>
      <c r="E171" s="402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>
      <c r="A172" s="1232" t="s">
        <v>103</v>
      </c>
      <c r="B172" s="1232"/>
      <c r="C172" s="1232"/>
      <c r="D172" s="174" t="s">
        <v>186</v>
      </c>
      <c r="E172" s="402">
        <f>'3'!F69</f>
        <v>107281.06</v>
      </c>
      <c r="F172" s="165">
        <f t="shared" si="17"/>
        <v>107570.18</v>
      </c>
      <c r="G172" s="124">
        <f t="shared" si="16"/>
        <v>289.11999999999534</v>
      </c>
    </row>
    <row r="173" spans="1:15" ht="21.95" customHeight="1">
      <c r="A173" s="1292" t="s">
        <v>337</v>
      </c>
      <c r="B173" s="1292"/>
      <c r="C173" s="1117"/>
      <c r="D173" s="1118" t="s">
        <v>186</v>
      </c>
      <c r="E173" s="1123">
        <f>'3'!F174</f>
        <v>19226.5</v>
      </c>
      <c r="F173" s="1120">
        <v>19228.7</v>
      </c>
      <c r="G173" s="1121">
        <f t="shared" si="16"/>
        <v>2.2000000000007276</v>
      </c>
      <c r="O173" s="68"/>
    </row>
    <row r="174" spans="1:15" ht="21.95" customHeight="1">
      <c r="A174" s="1292" t="s">
        <v>337</v>
      </c>
      <c r="B174" s="1292"/>
      <c r="C174" s="1117"/>
      <c r="D174" s="1118" t="s">
        <v>186</v>
      </c>
      <c r="E174" s="1123">
        <f>'3'!F175</f>
        <v>70753.3</v>
      </c>
      <c r="F174" s="1120">
        <v>70759.600000000006</v>
      </c>
      <c r="G174" s="1121">
        <f t="shared" si="16"/>
        <v>6.3000000000029104</v>
      </c>
      <c r="O174" s="68"/>
    </row>
    <row r="175" spans="1:15" ht="27.75">
      <c r="A175" s="1292" t="s">
        <v>338</v>
      </c>
      <c r="B175" s="1292"/>
      <c r="C175" s="1117"/>
      <c r="D175" s="1118" t="s">
        <v>186</v>
      </c>
      <c r="E175" s="1123">
        <f>'3'!F176</f>
        <v>27979.4</v>
      </c>
      <c r="F175" s="1120">
        <v>27984.799999999999</v>
      </c>
      <c r="G175" s="1121">
        <f>F175-E175</f>
        <v>5.3999999999978172</v>
      </c>
      <c r="O175" s="68"/>
    </row>
    <row r="179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topLeftCell="A22" zoomScale="55" zoomScaleNormal="48" zoomScaleSheetLayoutView="55" workbookViewId="0">
      <selection activeCell="H86" sqref="H86"/>
    </sheetView>
  </sheetViews>
  <sheetFormatPr defaultColWidth="22.33203125" defaultRowHeight="29.2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5" s="57" customFormat="1" ht="27">
      <c r="A2" s="226" t="s">
        <v>339</v>
      </c>
      <c r="B2" s="682">
        <v>44444</v>
      </c>
      <c r="C2" s="761" t="s">
        <v>68</v>
      </c>
      <c r="D2" s="262">
        <v>0.48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61" t="s">
        <v>119</v>
      </c>
      <c r="D3" s="263">
        <v>34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61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53" t="s">
        <v>129</v>
      </c>
      <c r="B6" s="1254"/>
      <c r="C6" s="1255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>
      <c r="A7" s="327" t="s">
        <v>130</v>
      </c>
      <c r="B7" s="328"/>
      <c r="C7" s="328"/>
      <c r="D7" s="288" t="s">
        <v>131</v>
      </c>
      <c r="E7" s="285">
        <f>'4'!F7</f>
        <v>388579.87</v>
      </c>
      <c r="F7" s="864">
        <v>409816.03</v>
      </c>
      <c r="G7" s="868">
        <f>F7-E7</f>
        <v>21236.160000000033</v>
      </c>
      <c r="H7" s="330">
        <f>G7+'4'!H7</f>
        <v>111125.03000000003</v>
      </c>
      <c r="I7" s="331">
        <f>'1'!I7</f>
        <v>12000</v>
      </c>
      <c r="J7" s="332">
        <f>H7/DAY(B2)</f>
        <v>22225.006000000005</v>
      </c>
      <c r="K7" s="200"/>
      <c r="L7" s="68"/>
      <c r="N7" s="73"/>
      <c r="O7" s="73"/>
    </row>
    <row r="8" spans="1:15" ht="27.75" thickBot="1">
      <c r="A8" s="333" t="s">
        <v>132</v>
      </c>
      <c r="B8" s="334"/>
      <c r="C8" s="335"/>
      <c r="D8" s="336" t="s">
        <v>25</v>
      </c>
      <c r="E8" s="285">
        <f>'4'!F8</f>
        <v>399820.99</v>
      </c>
      <c r="F8" s="865">
        <v>421136.15</v>
      </c>
      <c r="G8" s="868">
        <f t="shared" ref="G8:G9" si="0">F8-E8</f>
        <v>21315.160000000033</v>
      </c>
      <c r="H8" s="330">
        <f>G8+'4'!H8</f>
        <v>111564.15000000002</v>
      </c>
      <c r="I8" s="337">
        <v>12000</v>
      </c>
      <c r="J8" s="332">
        <f>H8/DAY(B2)</f>
        <v>22312.830000000005</v>
      </c>
      <c r="K8" s="200"/>
      <c r="L8" s="78"/>
      <c r="M8" s="91"/>
      <c r="N8" s="354"/>
      <c r="O8" s="73"/>
    </row>
    <row r="9" spans="1:15">
      <c r="A9" s="338" t="s">
        <v>133</v>
      </c>
      <c r="B9" s="339"/>
      <c r="C9" s="339"/>
      <c r="D9" s="288" t="s">
        <v>131</v>
      </c>
      <c r="E9" s="285">
        <f>'4'!F9</f>
        <v>169708.27</v>
      </c>
      <c r="F9" s="861">
        <v>190309.31</v>
      </c>
      <c r="G9" s="868">
        <f t="shared" si="0"/>
        <v>20601.040000000008</v>
      </c>
      <c r="H9" s="330">
        <f>G9+'4'!H9</f>
        <v>107779.31</v>
      </c>
      <c r="I9" s="341">
        <f>I8-J8</f>
        <v>-10312.830000000005</v>
      </c>
      <c r="J9" s="332">
        <f>H9/DAY(B2)</f>
        <v>21555.862000000001</v>
      </c>
      <c r="K9" s="81"/>
      <c r="L9" s="68"/>
      <c r="N9" s="73"/>
      <c r="O9" s="73"/>
    </row>
    <row r="10" spans="1:15">
      <c r="A10" s="327" t="s">
        <v>134</v>
      </c>
      <c r="B10" s="328"/>
      <c r="C10" s="328"/>
      <c r="D10" s="288" t="s">
        <v>131</v>
      </c>
      <c r="E10" s="285">
        <f>'4'!F10</f>
        <v>2606.5500000000002</v>
      </c>
      <c r="F10" s="861">
        <v>2606.5500000000002</v>
      </c>
      <c r="G10" s="868">
        <f>F10-E10</f>
        <v>0</v>
      </c>
      <c r="H10" s="330">
        <f>G10+'4'!H10</f>
        <v>-0.4499999999998181</v>
      </c>
      <c r="I10" s="342"/>
      <c r="J10" s="332">
        <f>H10/DAY(B2)</f>
        <v>-8.9999999999963623E-2</v>
      </c>
      <c r="K10" s="81"/>
      <c r="L10" s="68"/>
      <c r="N10" s="73">
        <v>108</v>
      </c>
      <c r="O10" s="73"/>
    </row>
    <row r="11" spans="1:15">
      <c r="A11" s="327" t="s">
        <v>135</v>
      </c>
      <c r="B11" s="328"/>
      <c r="C11" s="328"/>
      <c r="D11" s="288" t="s">
        <v>131</v>
      </c>
      <c r="E11" s="284">
        <f>'4'!F11</f>
        <v>37000</v>
      </c>
      <c r="F11" s="864">
        <v>37000</v>
      </c>
      <c r="G11" s="868">
        <f>F11-E11</f>
        <v>0</v>
      </c>
      <c r="H11" s="330">
        <f>G11+'4'!H11</f>
        <v>0</v>
      </c>
      <c r="I11" s="342"/>
      <c r="J11" s="332">
        <f>H11/DAY(B2)</f>
        <v>0</v>
      </c>
      <c r="K11" s="81"/>
      <c r="L11" s="68"/>
      <c r="N11" s="73">
        <v>28</v>
      </c>
      <c r="O11" s="73"/>
    </row>
    <row r="12" spans="1:15">
      <c r="A12" s="327" t="s">
        <v>136</v>
      </c>
      <c r="B12" s="328"/>
      <c r="C12" s="328"/>
      <c r="D12" s="288" t="s">
        <v>131</v>
      </c>
      <c r="E12" s="285">
        <f>'4'!F12</f>
        <v>40010</v>
      </c>
      <c r="F12" s="861">
        <v>40010</v>
      </c>
      <c r="G12" s="868">
        <f t="shared" ref="G12" si="1">F12-E12</f>
        <v>0</v>
      </c>
      <c r="H12" s="330">
        <f>G12+'4'!H12</f>
        <v>0</v>
      </c>
      <c r="I12" s="342"/>
      <c r="J12" s="332">
        <f>H12/DAY(B2)</f>
        <v>0</v>
      </c>
      <c r="K12" s="81"/>
      <c r="L12" s="68"/>
      <c r="N12" s="73">
        <v>342</v>
      </c>
      <c r="O12" s="73"/>
    </row>
    <row r="13" spans="1:15">
      <c r="A13" s="343" t="s">
        <v>137</v>
      </c>
      <c r="B13" s="344"/>
      <c r="C13" s="344"/>
      <c r="D13" s="288"/>
      <c r="E13" s="284"/>
      <c r="F13" s="864"/>
      <c r="G13" s="868">
        <f>G9+G10+G11+G12</f>
        <v>20601.040000000008</v>
      </c>
      <c r="H13" s="330">
        <f>G13+'4'!H13</f>
        <v>84468.37</v>
      </c>
      <c r="I13" s="346">
        <f>G7-G13</f>
        <v>635.12000000002445</v>
      </c>
      <c r="J13" s="332">
        <f>H13/DAY(B2)</f>
        <v>16893.673999999999</v>
      </c>
      <c r="K13" s="81"/>
      <c r="L13" s="68"/>
      <c r="N13" s="73">
        <v>349</v>
      </c>
      <c r="O13" s="73"/>
    </row>
    <row r="14" spans="1:15">
      <c r="A14" s="1256" t="s">
        <v>138</v>
      </c>
      <c r="B14" s="1257"/>
      <c r="C14" s="1258"/>
      <c r="D14" s="123"/>
      <c r="E14" s="123"/>
      <c r="F14" s="733"/>
      <c r="G14" s="871"/>
      <c r="H14" s="123"/>
      <c r="I14" s="123"/>
      <c r="J14" s="202"/>
      <c r="K14" s="82"/>
      <c r="L14" s="68"/>
      <c r="N14" s="73">
        <v>432</v>
      </c>
      <c r="O14" s="73"/>
    </row>
    <row r="15" spans="1:15" s="1128" customFormat="1">
      <c r="A15" s="443" t="s">
        <v>139</v>
      </c>
      <c r="B15" s="444"/>
      <c r="C15" s="444"/>
      <c r="D15" s="175" t="s">
        <v>140</v>
      </c>
      <c r="E15" s="136">
        <f>'4'!F15</f>
        <v>1760023.96</v>
      </c>
      <c r="F15" s="136">
        <v>1760875.1</v>
      </c>
      <c r="G15" s="124">
        <f t="shared" ref="G15" si="2">F15-E15</f>
        <v>851.14000000013039</v>
      </c>
      <c r="H15" s="137">
        <f>G15+'4'!H15</f>
        <v>4345.1000000000931</v>
      </c>
      <c r="I15" s="125">
        <v>800</v>
      </c>
      <c r="J15" s="204">
        <f>H15/DAY(B2)</f>
        <v>869.02000000001863</v>
      </c>
      <c r="K15" s="81"/>
      <c r="L15" s="1127"/>
      <c r="N15" s="1129"/>
      <c r="O15" s="1129"/>
    </row>
    <row r="16" spans="1:15">
      <c r="A16" s="441"/>
      <c r="B16" s="442"/>
      <c r="C16" s="442"/>
      <c r="D16" s="439"/>
      <c r="E16" s="867"/>
      <c r="F16" s="867"/>
      <c r="G16" s="868"/>
      <c r="H16" s="869"/>
      <c r="I16" s="731">
        <f>I15-J15</f>
        <v>-69.020000000018626</v>
      </c>
      <c r="J16" s="870"/>
      <c r="K16" s="81"/>
      <c r="L16" s="68"/>
      <c r="N16" s="73"/>
      <c r="O16" s="73"/>
    </row>
    <row r="17" spans="1:15">
      <c r="A17" s="1256" t="s">
        <v>141</v>
      </c>
      <c r="B17" s="1257"/>
      <c r="C17" s="1258"/>
      <c r="D17" s="123"/>
      <c r="E17" s="123"/>
      <c r="F17" s="733"/>
      <c r="G17" s="869"/>
      <c r="H17" s="123"/>
      <c r="I17" s="123"/>
      <c r="J17" s="202"/>
      <c r="K17" s="81"/>
      <c r="L17" s="68"/>
      <c r="N17" s="73"/>
      <c r="O17" s="73"/>
    </row>
    <row r="18" spans="1:15" ht="27.75">
      <c r="A18" s="1293" t="s">
        <v>142</v>
      </c>
      <c r="B18" s="1294"/>
      <c r="C18" s="1295"/>
      <c r="D18" s="288" t="s">
        <v>143</v>
      </c>
      <c r="E18" s="867">
        <f>'4'!F18</f>
        <v>14</v>
      </c>
      <c r="F18" s="861">
        <v>20</v>
      </c>
      <c r="G18" s="868">
        <f>F18*10</f>
        <v>200</v>
      </c>
      <c r="H18" s="330">
        <f>G18+'4'!H18</f>
        <v>720</v>
      </c>
      <c r="I18" s="331">
        <f>'1'!I18</f>
        <v>65</v>
      </c>
      <c r="J18" s="332">
        <f>H18/DAY(B2)</f>
        <v>144</v>
      </c>
      <c r="K18" s="81"/>
      <c r="L18" s="68"/>
      <c r="N18" s="73"/>
      <c r="O18" s="73"/>
    </row>
    <row r="19" spans="1:15" ht="27.75">
      <c r="A19" s="1293" t="s">
        <v>70</v>
      </c>
      <c r="B19" s="1294"/>
      <c r="C19" s="1295"/>
      <c r="D19" s="288" t="s">
        <v>143</v>
      </c>
      <c r="E19" s="285">
        <f>'4'!F19</f>
        <v>145591</v>
      </c>
      <c r="F19" s="861">
        <v>145652</v>
      </c>
      <c r="G19" s="868">
        <f t="shared" ref="G19" si="3">F19-E19</f>
        <v>61</v>
      </c>
      <c r="H19" s="330">
        <f>G19+'4'!H19</f>
        <v>314</v>
      </c>
      <c r="I19" s="347"/>
      <c r="J19" s="332">
        <f>H19/DAY(B2)</f>
        <v>62.8</v>
      </c>
      <c r="K19" s="81"/>
      <c r="L19" s="68"/>
      <c r="N19" s="73"/>
      <c r="O19" s="73"/>
    </row>
    <row r="20" spans="1:15">
      <c r="A20" s="343" t="s">
        <v>144</v>
      </c>
      <c r="B20" s="344"/>
      <c r="C20" s="344"/>
      <c r="D20" s="288"/>
      <c r="E20" s="288"/>
      <c r="F20" s="288"/>
      <c r="G20" s="872">
        <f>G18+G19</f>
        <v>261</v>
      </c>
      <c r="H20" s="330">
        <f>G20+'4'!H20</f>
        <v>1034</v>
      </c>
      <c r="I20" s="349">
        <f>I18-J20</f>
        <v>-141.80000000000001</v>
      </c>
      <c r="J20" s="332">
        <f>H20/DAY(B2)</f>
        <v>206.8</v>
      </c>
      <c r="K20" s="81"/>
      <c r="L20" s="68"/>
      <c r="N20" s="73"/>
      <c r="O20" s="73"/>
    </row>
    <row r="21" spans="1:15">
      <c r="A21" s="1256" t="s">
        <v>145</v>
      </c>
      <c r="B21" s="1257"/>
      <c r="C21" s="1258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>
      <c r="A22" s="759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9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61" t="s">
        <v>150</v>
      </c>
      <c r="B25" s="1262"/>
      <c r="C25" s="1263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350">
        <f>G8</f>
        <v>21315.160000000033</v>
      </c>
      <c r="F27" s="152">
        <v>9</v>
      </c>
      <c r="G27" s="153">
        <f>E27*F27</f>
        <v>191836.44000000029</v>
      </c>
      <c r="H27" s="111">
        <f>G27+'4'!H27</f>
        <v>1004077.3500000002</v>
      </c>
      <c r="I27" s="154"/>
      <c r="J27" s="203">
        <f>H27/DAY(B2)</f>
        <v>200815.47000000003</v>
      </c>
      <c r="K27" s="65"/>
      <c r="L27" s="94"/>
      <c r="N27" s="73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350">
        <f>G15</f>
        <v>851.14000000013039</v>
      </c>
      <c r="F28" s="152">
        <v>56.2</v>
      </c>
      <c r="G28" s="153">
        <f>E28*F28</f>
        <v>47834.068000007333</v>
      </c>
      <c r="H28" s="111">
        <f>G28+'4'!H28</f>
        <v>242722.07660000515</v>
      </c>
      <c r="I28" s="156"/>
      <c r="J28" s="203">
        <f>H28/DAY(B2)</f>
        <v>48544.415320001033</v>
      </c>
      <c r="K28" s="65"/>
      <c r="L28" s="94"/>
      <c r="N28" s="73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>E30*F30</f>
        <v>8906</v>
      </c>
      <c r="H30" s="111">
        <f>G30+'4'!H30</f>
        <v>45844</v>
      </c>
      <c r="I30" s="156"/>
      <c r="J30" s="203">
        <f>H30/DAY(B2)</f>
        <v>9168.7999999999993</v>
      </c>
      <c r="K30" s="65"/>
      <c r="L30" s="94"/>
      <c r="N30" s="73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G31+'4'!H31</f>
        <v>57600</v>
      </c>
      <c r="I31" s="156"/>
      <c r="J31" s="203">
        <f>H31/DAY(B2)</f>
        <v>11520</v>
      </c>
      <c r="K31" s="65"/>
      <c r="L31" s="94"/>
      <c r="N31" s="73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289"/>
      <c r="G32" s="159">
        <f>G27+G28+G29+G30+G31</f>
        <v>264576.5080000076</v>
      </c>
      <c r="H32" s="111">
        <f>G32+'4'!H32</f>
        <v>1350243.4266000055</v>
      </c>
      <c r="I32" s="160"/>
      <c r="J32" s="203">
        <f>H32/DAY(B2)</f>
        <v>270048.6853200011</v>
      </c>
      <c r="K32" s="65"/>
      <c r="L32" s="94"/>
      <c r="N32" s="73"/>
      <c r="O32" s="73"/>
    </row>
    <row r="33" spans="1:15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  <c r="O33" s="73"/>
    </row>
    <row r="34" spans="1:15">
      <c r="A34" s="249" t="s">
        <v>162</v>
      </c>
      <c r="B34" s="764"/>
      <c r="C34" s="764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54">
        <v>1058596.3</v>
      </c>
      <c r="G35" s="124">
        <f t="shared" ref="G35:G46" si="5">F35-E35</f>
        <v>0</v>
      </c>
      <c r="H35" s="111">
        <f>G35+'4'!H35</f>
        <v>-0.69999999995343387</v>
      </c>
      <c r="I35" s="106"/>
      <c r="J35" s="203">
        <f>H35/DAY(B2)</f>
        <v>-0.13999999999068677</v>
      </c>
      <c r="K35" s="81"/>
      <c r="L35" s="68"/>
      <c r="N35" s="73"/>
      <c r="O35" s="73"/>
    </row>
    <row r="36" spans="1:15">
      <c r="A36" s="229" t="s">
        <v>164</v>
      </c>
      <c r="B36" s="230"/>
      <c r="C36" s="230"/>
      <c r="D36" s="174" t="s">
        <v>131</v>
      </c>
      <c r="E36" s="161">
        <f>'4'!F36</f>
        <v>5199.8900000000003</v>
      </c>
      <c r="F36" s="854">
        <v>5766.69</v>
      </c>
      <c r="G36" s="124">
        <f t="shared" si="5"/>
        <v>566.79999999999927</v>
      </c>
      <c r="H36" s="111">
        <f>G36+'4'!H36</f>
        <v>3933.6899999999996</v>
      </c>
      <c r="I36" s="106"/>
      <c r="J36" s="203">
        <f>H36/DAY(B2)</f>
        <v>786.73799999999994</v>
      </c>
      <c r="K36" s="81"/>
      <c r="L36" s="68"/>
      <c r="N36" s="279"/>
      <c r="O36" s="73"/>
    </row>
    <row r="37" spans="1:15">
      <c r="A37" s="229" t="s">
        <v>165</v>
      </c>
      <c r="B37" s="230"/>
      <c r="C37" s="230"/>
      <c r="D37" s="174" t="s">
        <v>131</v>
      </c>
      <c r="E37" s="161">
        <f>'4'!F37</f>
        <v>8824.81</v>
      </c>
      <c r="F37" s="854">
        <v>10278.959999999999</v>
      </c>
      <c r="G37" s="124">
        <f t="shared" si="5"/>
        <v>1454.1499999999996</v>
      </c>
      <c r="H37" s="111">
        <f>G37+'4'!H37</f>
        <v>7503.9599999999991</v>
      </c>
      <c r="I37" s="106"/>
      <c r="J37" s="203">
        <f>H37/DAY(B2)</f>
        <v>1500.7919999999999</v>
      </c>
      <c r="K37" s="81"/>
      <c r="L37" s="68"/>
      <c r="N37" s="280"/>
      <c r="O37" s="73"/>
    </row>
    <row r="38" spans="1:15">
      <c r="A38" s="229" t="s">
        <v>166</v>
      </c>
      <c r="B38" s="230"/>
      <c r="C38" s="230"/>
      <c r="D38" s="174" t="s">
        <v>131</v>
      </c>
      <c r="E38" s="161">
        <f>'4'!F38</f>
        <v>11821.6</v>
      </c>
      <c r="F38" s="855">
        <v>13536.46</v>
      </c>
      <c r="G38" s="124">
        <f t="shared" si="5"/>
        <v>1714.8599999999988</v>
      </c>
      <c r="H38" s="111">
        <f>G38+'4'!H38</f>
        <v>8713.4599999999991</v>
      </c>
      <c r="I38" s="106"/>
      <c r="J38" s="203">
        <f>H38/DAY(B2)</f>
        <v>1742.6919999999998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'4'!F39</f>
        <v>19109.349999999999</v>
      </c>
      <c r="F39" s="854">
        <v>22874.51</v>
      </c>
      <c r="G39" s="124">
        <f t="shared" si="5"/>
        <v>3765.16</v>
      </c>
      <c r="H39" s="111">
        <f>G39+'4'!H39</f>
        <v>19032.509999999998</v>
      </c>
      <c r="I39" s="106"/>
      <c r="J39" s="203">
        <f>H39/DAY(B2)</f>
        <v>3806.5019999999995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'4'!F40</f>
        <v>0</v>
      </c>
      <c r="F40" s="854">
        <v>0</v>
      </c>
      <c r="G40" s="124">
        <f t="shared" si="5"/>
        <v>0</v>
      </c>
      <c r="H40" s="111">
        <f>G40+'4'!H40</f>
        <v>157.40000000000146</v>
      </c>
      <c r="I40" s="106"/>
      <c r="J40" s="203">
        <f>H40/DAY(B2)</f>
        <v>31.480000000000292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'4'!F41</f>
        <v>435565.39</v>
      </c>
      <c r="F41" s="854">
        <v>440785.59</v>
      </c>
      <c r="G41" s="124">
        <f t="shared" si="5"/>
        <v>5220.2000000000116</v>
      </c>
      <c r="H41" s="111">
        <f>G41+'4'!H41</f>
        <v>7503.8000000000466</v>
      </c>
      <c r="I41" s="106"/>
      <c r="J41" s="203">
        <f>H41/DAY(B2)</f>
        <v>1500.7600000000093</v>
      </c>
      <c r="K41" s="81"/>
      <c r="L41" s="68"/>
      <c r="N41" s="73"/>
      <c r="O41" s="73"/>
    </row>
    <row r="42" spans="1:15">
      <c r="A42" s="229" t="s">
        <v>170</v>
      </c>
      <c r="B42" s="230"/>
      <c r="C42" s="230"/>
      <c r="D42" s="174" t="s">
        <v>131</v>
      </c>
      <c r="E42" s="161">
        <f>'4'!F42</f>
        <v>194881.09</v>
      </c>
      <c r="F42" s="854">
        <v>196138.63</v>
      </c>
      <c r="G42" s="124">
        <f t="shared" si="5"/>
        <v>1257.5400000000081</v>
      </c>
      <c r="H42" s="111">
        <f>G42+'4'!H42</f>
        <v>21026.630000000005</v>
      </c>
      <c r="I42" s="106"/>
      <c r="J42" s="203">
        <f>H42/DAY(B2)</f>
        <v>4205.3260000000009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'4'!F43</f>
        <v>1300599.1000000001</v>
      </c>
      <c r="F43" s="854">
        <v>1303242.5</v>
      </c>
      <c r="G43" s="124">
        <f t="shared" si="5"/>
        <v>2643.3999999999069</v>
      </c>
      <c r="H43" s="111">
        <f>G43+'4'!H43</f>
        <v>13497.5</v>
      </c>
      <c r="I43" s="106"/>
      <c r="J43" s="203">
        <f>H43/DAY(B2)</f>
        <v>2699.5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'4'!F44</f>
        <v>0</v>
      </c>
      <c r="F44" s="854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54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54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856"/>
      <c r="G47" s="132">
        <f>G35+G36+G37+G38+G39+G40+G41+G42+G43+G44+G45+G46</f>
        <v>16622.109999999924</v>
      </c>
      <c r="H47" s="111">
        <f>G47+'4'!H47</f>
        <v>82169.250000000087</v>
      </c>
      <c r="I47" s="106"/>
      <c r="J47" s="203">
        <f>H47/DAY(B2)</f>
        <v>16433.850000000017</v>
      </c>
      <c r="K47" s="81"/>
      <c r="L47" s="68"/>
      <c r="N47" s="73"/>
      <c r="O47" s="73"/>
    </row>
    <row r="48" spans="1:15">
      <c r="A48" s="249" t="s">
        <v>176</v>
      </c>
      <c r="B48" s="764"/>
      <c r="C48" s="764"/>
      <c r="D48" s="123"/>
      <c r="E48" s="122"/>
      <c r="F48" s="857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'4'!F49</f>
        <v>14565.03</v>
      </c>
      <c r="F49" s="854">
        <v>17588.400000000001</v>
      </c>
      <c r="G49" s="124">
        <f t="shared" ref="G49:G58" si="6">F49-E49</f>
        <v>3023.3700000000008</v>
      </c>
      <c r="H49" s="111">
        <f>G49+'4'!H49</f>
        <v>15362.400000000001</v>
      </c>
      <c r="I49" s="106"/>
      <c r="J49" s="203">
        <f>H49/DAY(B2)</f>
        <v>3072.4800000000005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'4'!F50</f>
        <v>612871.87</v>
      </c>
      <c r="F50" s="854">
        <v>614011.47</v>
      </c>
      <c r="G50" s="124">
        <f t="shared" si="6"/>
        <v>1139.5999999999767</v>
      </c>
      <c r="H50" s="111">
        <f>G50+'4'!H50</f>
        <v>6713.4699999999721</v>
      </c>
      <c r="I50" s="106"/>
      <c r="J50" s="203">
        <f>H50/DAY(B2)</f>
        <v>1342.6939999999945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'4'!F51</f>
        <v>0</v>
      </c>
      <c r="F51" s="854">
        <v>0</v>
      </c>
      <c r="G51" s="124">
        <f t="shared" si="6"/>
        <v>0</v>
      </c>
      <c r="H51" s="111">
        <f>G51+'4'!H51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'4'!F52</f>
        <v>0</v>
      </c>
      <c r="F52" s="854">
        <v>0</v>
      </c>
      <c r="G52" s="124">
        <f t="shared" si="6"/>
        <v>0</v>
      </c>
      <c r="H52" s="111">
        <f>G52+'4'!H52</f>
        <v>0</v>
      </c>
      <c r="I52" s="106"/>
      <c r="J52" s="203">
        <f>H52/DAY(B2)</f>
        <v>0</v>
      </c>
      <c r="K52" s="81"/>
      <c r="L52" s="68"/>
      <c r="N52" s="73"/>
      <c r="O52" s="73"/>
    </row>
    <row r="53" spans="1:15">
      <c r="A53" s="229" t="s">
        <v>167</v>
      </c>
      <c r="B53" s="252"/>
      <c r="C53" s="252"/>
      <c r="D53" s="174" t="s">
        <v>131</v>
      </c>
      <c r="E53" s="161">
        <f>'4'!F53</f>
        <v>0</v>
      </c>
      <c r="F53" s="854">
        <v>0</v>
      </c>
      <c r="G53" s="124">
        <f t="shared" si="6"/>
        <v>0</v>
      </c>
      <c r="H53" s="111">
        <f>G53+'4'!H53</f>
        <v>0</v>
      </c>
      <c r="I53" s="106"/>
      <c r="J53" s="203">
        <f>H53/DAY(B2)</f>
        <v>0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'4'!F54</f>
        <v>2631.73</v>
      </c>
      <c r="F54" s="854">
        <v>2635.59</v>
      </c>
      <c r="G54" s="124">
        <f t="shared" si="6"/>
        <v>3.8600000000001273</v>
      </c>
      <c r="H54" s="111">
        <f>G54+'4'!H54</f>
        <v>174.59000000000015</v>
      </c>
      <c r="I54" s="106"/>
      <c r="J54" s="203">
        <f>H54/DAY(B2)</f>
        <v>34.918000000000028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'4'!F55</f>
        <v>306268.99</v>
      </c>
      <c r="F55" s="866">
        <v>306268.99</v>
      </c>
      <c r="G55" s="124">
        <f t="shared" si="6"/>
        <v>0</v>
      </c>
      <c r="H55" s="111">
        <f>G55+'4'!H55</f>
        <v>0</v>
      </c>
      <c r="I55" s="106"/>
      <c r="J55" s="203">
        <f>H55/DAY(B2)</f>
        <v>0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'4'!F56</f>
        <v>666147.99</v>
      </c>
      <c r="F56" s="866">
        <v>666159.43000000005</v>
      </c>
      <c r="G56" s="124">
        <f t="shared" si="6"/>
        <v>11.440000000060536</v>
      </c>
      <c r="H56" s="111">
        <f>G56+'4'!H56</f>
        <v>5140.4300000000512</v>
      </c>
      <c r="I56" s="106"/>
      <c r="J56" s="203">
        <f>H56/DAY(B2)</f>
        <v>1028.0860000000102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54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'4'!F58</f>
        <v>66827.990000000005</v>
      </c>
      <c r="F58" s="858">
        <v>67012.31</v>
      </c>
      <c r="G58" s="124">
        <f t="shared" si="6"/>
        <v>184.31999999999243</v>
      </c>
      <c r="H58" s="111">
        <f>G58+'4'!H58</f>
        <v>998.30999999999767</v>
      </c>
      <c r="I58" s="106"/>
      <c r="J58" s="203">
        <f>H58/DAY(B2)</f>
        <v>199.66199999999952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856"/>
      <c r="G59" s="132">
        <f>G49+G50+G51+G52+G53+G54+G55+G56+G57+G58</f>
        <v>4362.5900000000311</v>
      </c>
      <c r="H59" s="111">
        <f>G59+'4'!H59</f>
        <v>28389.200000000026</v>
      </c>
      <c r="I59" s="106">
        <f>G7-G60</f>
        <v>251.46000000007916</v>
      </c>
      <c r="J59" s="203">
        <f>H59/DAY(B2)</f>
        <v>5677.8400000000056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856"/>
      <c r="G60" s="132">
        <f>G47+G59</f>
        <v>20984.699999999953</v>
      </c>
      <c r="H60" s="111">
        <f>G60+'4'!H60</f>
        <v>110558.45000000013</v>
      </c>
      <c r="I60" s="106">
        <f>G13-G60</f>
        <v>-383.65999999994528</v>
      </c>
      <c r="J60" s="203">
        <f>H60/DAY(B2)</f>
        <v>22111.690000000024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859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'4'!F62</f>
        <v>0</v>
      </c>
      <c r="F62" s="860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'4'!F63</f>
        <v>0</v>
      </c>
      <c r="F63" s="860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226" t="s">
        <v>98</v>
      </c>
      <c r="B64" s="1227"/>
      <c r="C64" s="1228"/>
      <c r="D64" s="174" t="s">
        <v>186</v>
      </c>
      <c r="E64" s="135">
        <f>'4'!F64</f>
        <v>195864.17</v>
      </c>
      <c r="F64" s="861">
        <v>196277.1</v>
      </c>
      <c r="G64" s="124">
        <f t="shared" si="7"/>
        <v>412.92999999999302</v>
      </c>
      <c r="H64" s="111">
        <f>G64+'4'!H64</f>
        <v>2060.1000000000058</v>
      </c>
      <c r="I64" s="131"/>
      <c r="J64" s="203">
        <f>H64/DAY(B2)</f>
        <v>412.02000000000118</v>
      </c>
      <c r="K64" s="81"/>
      <c r="L64" s="68"/>
      <c r="N64" s="73"/>
      <c r="O64" s="73"/>
    </row>
    <row r="65" spans="1:15" ht="27.75">
      <c r="A65" s="1226" t="s">
        <v>99</v>
      </c>
      <c r="B65" s="1227"/>
      <c r="C65" s="1228"/>
      <c r="D65" s="174" t="s">
        <v>186</v>
      </c>
      <c r="E65" s="135">
        <f>'4'!F65</f>
        <v>196207.53</v>
      </c>
      <c r="F65" s="862">
        <v>196594.41</v>
      </c>
      <c r="G65" s="124">
        <f t="shared" si="7"/>
        <v>386.88000000000466</v>
      </c>
      <c r="H65" s="111">
        <f>G65+'4'!H65</f>
        <v>1965.4100000000035</v>
      </c>
      <c r="I65" s="140"/>
      <c r="J65" s="203">
        <f>H65/DAY(B2)</f>
        <v>393.08200000000068</v>
      </c>
      <c r="K65" s="81"/>
      <c r="L65" s="68"/>
      <c r="N65" s="73"/>
      <c r="O65" s="73"/>
    </row>
    <row r="66" spans="1:15" ht="27.75">
      <c r="A66" s="1226" t="s">
        <v>100</v>
      </c>
      <c r="B66" s="1227"/>
      <c r="C66" s="1228"/>
      <c r="D66" s="174" t="s">
        <v>186</v>
      </c>
      <c r="E66" s="135">
        <f>'4'!F66</f>
        <v>94990.83</v>
      </c>
      <c r="F66" s="861">
        <v>95381.97</v>
      </c>
      <c r="G66" s="124">
        <f t="shared" si="7"/>
        <v>391.13999999999942</v>
      </c>
      <c r="H66" s="111">
        <f>G66+'4'!H66</f>
        <v>2064.9700000000012</v>
      </c>
      <c r="I66" s="131"/>
      <c r="J66" s="203">
        <f>H66/DAY(B2)</f>
        <v>412.99400000000026</v>
      </c>
      <c r="K66" s="81"/>
      <c r="L66" s="68"/>
      <c r="N66" s="73"/>
      <c r="O66" s="73"/>
    </row>
    <row r="67" spans="1:15" ht="27.75">
      <c r="A67" s="1226" t="s">
        <v>101</v>
      </c>
      <c r="B67" s="1227"/>
      <c r="C67" s="1228"/>
      <c r="D67" s="174" t="s">
        <v>186</v>
      </c>
      <c r="E67" s="135">
        <f>'4'!F67</f>
        <v>296594.51</v>
      </c>
      <c r="F67" s="861">
        <v>297032.84999999998</v>
      </c>
      <c r="G67" s="124">
        <f t="shared" si="7"/>
        <v>438.3399999999674</v>
      </c>
      <c r="H67" s="111">
        <f>G67+'4'!H67</f>
        <v>2141.8499999999767</v>
      </c>
      <c r="I67" s="140"/>
      <c r="J67" s="203">
        <f>H67/DAY(B2)</f>
        <v>428.36999999999534</v>
      </c>
      <c r="K67" s="82"/>
      <c r="L67" s="68"/>
      <c r="N67" s="73"/>
      <c r="O67" s="73"/>
    </row>
    <row r="68" spans="1:15" ht="27.75">
      <c r="A68" s="1226" t="s">
        <v>102</v>
      </c>
      <c r="B68" s="1227"/>
      <c r="C68" s="1228"/>
      <c r="D68" s="174" t="s">
        <v>186</v>
      </c>
      <c r="E68" s="135">
        <f>'4'!F68</f>
        <v>85321</v>
      </c>
      <c r="F68" s="861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226" t="s">
        <v>103</v>
      </c>
      <c r="B69" s="1227"/>
      <c r="C69" s="1228"/>
      <c r="D69" s="174" t="s">
        <v>186</v>
      </c>
      <c r="E69" s="135">
        <f>'4'!F69</f>
        <v>107570.18</v>
      </c>
      <c r="F69" s="861">
        <v>107870.75</v>
      </c>
      <c r="G69" s="124">
        <f t="shared" si="7"/>
        <v>300.57000000000698</v>
      </c>
      <c r="H69" s="111">
        <f>G69+'4'!H69</f>
        <v>1464.75</v>
      </c>
      <c r="I69" s="167"/>
      <c r="J69" s="203">
        <f>H69/DAY(B2)</f>
        <v>292.95</v>
      </c>
      <c r="K69" s="84"/>
      <c r="L69" s="68"/>
      <c r="N69" s="73"/>
      <c r="O69" s="73"/>
    </row>
    <row r="70" spans="1:15" ht="27.75">
      <c r="A70" s="1267" t="s">
        <v>188</v>
      </c>
      <c r="B70" s="1268"/>
      <c r="C70" s="1269"/>
      <c r="D70" s="174" t="s">
        <v>186</v>
      </c>
      <c r="E70" s="169"/>
      <c r="F70" s="863"/>
      <c r="G70" s="169"/>
      <c r="H70" s="111"/>
      <c r="I70" s="169"/>
      <c r="J70" s="207"/>
      <c r="K70" s="84"/>
      <c r="L70" s="68"/>
      <c r="N70" s="73"/>
      <c r="O70" s="73"/>
    </row>
    <row r="71" spans="1:15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  <c r="O71" s="73"/>
    </row>
    <row r="72" spans="1:15" ht="27.75">
      <c r="A72" s="1226" t="s">
        <v>190</v>
      </c>
      <c r="B72" s="1227"/>
      <c r="C72" s="1228"/>
      <c r="D72" s="174" t="s">
        <v>186</v>
      </c>
      <c r="E72" s="170">
        <f>'4'!F72</f>
        <v>857053</v>
      </c>
      <c r="F72" s="873">
        <v>857058</v>
      </c>
      <c r="G72" s="124">
        <f t="shared" ref="G72:G84" si="8">F72-E72</f>
        <v>5</v>
      </c>
      <c r="H72" s="111">
        <f>G72+'4'!H72</f>
        <v>36</v>
      </c>
      <c r="I72" s="131"/>
      <c r="J72" s="203">
        <f>H72/DAY(B2)</f>
        <v>7.2</v>
      </c>
      <c r="K72" s="84"/>
      <c r="L72" s="68"/>
      <c r="N72" s="73"/>
      <c r="O72" s="73"/>
    </row>
    <row r="73" spans="1:15" ht="27.75">
      <c r="A73" s="1226" t="s">
        <v>191</v>
      </c>
      <c r="B73" s="1227"/>
      <c r="C73" s="1228"/>
      <c r="D73" s="174" t="s">
        <v>186</v>
      </c>
      <c r="E73" s="171">
        <f>'4'!F73</f>
        <v>886053</v>
      </c>
      <c r="F73" s="874">
        <v>886053</v>
      </c>
      <c r="G73" s="303">
        <f t="shared" si="8"/>
        <v>0</v>
      </c>
      <c r="H73" s="111">
        <f>G73+'4'!H73</f>
        <v>2</v>
      </c>
      <c r="I73" s="131"/>
      <c r="J73" s="203">
        <f>H73/DAY(B2)</f>
        <v>0.4</v>
      </c>
      <c r="K73" s="83"/>
      <c r="L73" s="68"/>
      <c r="N73" s="73"/>
      <c r="O73" s="73"/>
    </row>
    <row r="74" spans="1:15" ht="27.75">
      <c r="A74" s="1226" t="s">
        <v>192</v>
      </c>
      <c r="B74" s="1227"/>
      <c r="C74" s="1228"/>
      <c r="D74" s="174" t="s">
        <v>186</v>
      </c>
      <c r="E74" s="172">
        <f>'4'!F74</f>
        <v>88776.4</v>
      </c>
      <c r="F74" s="873">
        <v>88777.600000000006</v>
      </c>
      <c r="G74" s="124">
        <f t="shared" si="8"/>
        <v>1.2000000000116415</v>
      </c>
      <c r="H74" s="111">
        <f>G74+'4'!H74</f>
        <v>15.600000000005821</v>
      </c>
      <c r="I74" s="131"/>
      <c r="J74" s="203">
        <f>H74/DAY(B2)</f>
        <v>3.1200000000011641</v>
      </c>
      <c r="K74" s="84"/>
      <c r="L74" s="68"/>
      <c r="N74" s="73"/>
      <c r="O74" s="73"/>
    </row>
    <row r="75" spans="1:15" ht="27.75">
      <c r="A75" s="1229" t="s">
        <v>193</v>
      </c>
      <c r="B75" s="1230"/>
      <c r="C75" s="1231"/>
      <c r="D75" s="174" t="s">
        <v>186</v>
      </c>
      <c r="E75" s="172">
        <f>'4'!F75</f>
        <v>27060.99</v>
      </c>
      <c r="F75" s="875">
        <v>27243.38</v>
      </c>
      <c r="G75" s="124">
        <f t="shared" si="8"/>
        <v>182.38999999999942</v>
      </c>
      <c r="H75" s="111">
        <f>G75+'4'!H75</f>
        <v>935.38000000000102</v>
      </c>
      <c r="I75" s="131"/>
      <c r="J75" s="203">
        <f>H75/DAY(B2)</f>
        <v>187.07600000000019</v>
      </c>
      <c r="K75" s="83"/>
      <c r="L75" s="68"/>
      <c r="N75" s="73"/>
      <c r="O75" s="73"/>
    </row>
    <row r="76" spans="1:15" ht="27.75">
      <c r="A76" s="1229" t="s">
        <v>194</v>
      </c>
      <c r="B76" s="1230"/>
      <c r="C76" s="1231"/>
      <c r="D76" s="174" t="s">
        <v>186</v>
      </c>
      <c r="E76" s="171">
        <f>'4'!F76</f>
        <v>13559.58</v>
      </c>
      <c r="F76" s="874">
        <v>13623.7</v>
      </c>
      <c r="G76" s="124">
        <f t="shared" si="8"/>
        <v>64.1200000000008</v>
      </c>
      <c r="H76" s="111">
        <f>G76+'4'!H76</f>
        <v>346.70000000000073</v>
      </c>
      <c r="I76" s="156"/>
      <c r="J76" s="203">
        <f>H76/DAY(B2)</f>
        <v>69.340000000000146</v>
      </c>
      <c r="K76" s="83"/>
      <c r="L76" s="68"/>
      <c r="N76" s="73"/>
      <c r="O76" s="73"/>
    </row>
    <row r="77" spans="1:15" ht="27.75">
      <c r="A77" s="1226" t="s">
        <v>195</v>
      </c>
      <c r="B77" s="1227"/>
      <c r="C77" s="1228"/>
      <c r="D77" s="174" t="s">
        <v>186</v>
      </c>
      <c r="E77" s="171">
        <f>'4'!F77</f>
        <v>708495</v>
      </c>
      <c r="F77" s="874">
        <v>708544</v>
      </c>
      <c r="G77" s="303">
        <f t="shared" si="8"/>
        <v>49</v>
      </c>
      <c r="H77" s="111">
        <f>G77+'4'!H77</f>
        <v>255</v>
      </c>
      <c r="I77" s="156"/>
      <c r="J77" s="203">
        <f>H77/DAY(B2)</f>
        <v>51</v>
      </c>
      <c r="K77" s="83"/>
      <c r="L77" s="68"/>
      <c r="N77" s="73"/>
      <c r="O77" s="73"/>
    </row>
    <row r="78" spans="1:15" ht="27.75">
      <c r="A78" s="762" t="s">
        <v>196</v>
      </c>
      <c r="B78" s="754"/>
      <c r="C78" s="754"/>
      <c r="D78" s="174" t="s">
        <v>186</v>
      </c>
      <c r="E78" s="172">
        <f>'4'!F78</f>
        <v>682500</v>
      </c>
      <c r="F78" s="875">
        <v>682584</v>
      </c>
      <c r="G78" s="124">
        <f t="shared" si="8"/>
        <v>84</v>
      </c>
      <c r="H78" s="111">
        <f>G78+'4'!H78</f>
        <v>171</v>
      </c>
      <c r="I78" s="156"/>
      <c r="J78" s="203">
        <f>H78/DAY(B2)</f>
        <v>34.200000000000003</v>
      </c>
      <c r="K78" s="83"/>
      <c r="L78" s="68"/>
      <c r="N78" s="73"/>
      <c r="O78" s="73"/>
    </row>
    <row r="79" spans="1:15" ht="27.75">
      <c r="A79" s="1229" t="s">
        <v>91</v>
      </c>
      <c r="B79" s="1230"/>
      <c r="C79" s="1231"/>
      <c r="D79" s="175" t="s">
        <v>186</v>
      </c>
      <c r="E79" s="172">
        <f>'4'!F79</f>
        <v>845727</v>
      </c>
      <c r="F79" s="875">
        <v>845892</v>
      </c>
      <c r="G79" s="124">
        <f t="shared" si="8"/>
        <v>165</v>
      </c>
      <c r="H79" s="111">
        <f>G79+'4'!H79</f>
        <v>843</v>
      </c>
      <c r="I79" s="156"/>
      <c r="J79" s="203">
        <f>H79/DAY(B2)</f>
        <v>168.6</v>
      </c>
      <c r="K79" s="83"/>
      <c r="L79" s="68"/>
      <c r="N79" s="73"/>
      <c r="O79" s="73"/>
    </row>
    <row r="80" spans="1:15" ht="27.75">
      <c r="A80" s="1229" t="s">
        <v>197</v>
      </c>
      <c r="B80" s="1230"/>
      <c r="C80" s="1231"/>
      <c r="D80" s="175" t="s">
        <v>186</v>
      </c>
      <c r="E80" s="171">
        <f>'4'!F80</f>
        <v>565884.80000000005</v>
      </c>
      <c r="F80" s="874">
        <v>566280</v>
      </c>
      <c r="G80" s="124">
        <f t="shared" si="8"/>
        <v>395.19999999995343</v>
      </c>
      <c r="H80" s="111">
        <f>G80+'4'!H80</f>
        <v>1982</v>
      </c>
      <c r="I80" s="156"/>
      <c r="J80" s="203">
        <f>H80/DAY(B2)</f>
        <v>396.4</v>
      </c>
      <c r="K80" s="83"/>
      <c r="L80" s="68"/>
      <c r="N80" s="73"/>
      <c r="O80" s="73"/>
    </row>
    <row r="81" spans="1:15" ht="27.75">
      <c r="A81" s="1229" t="s">
        <v>198</v>
      </c>
      <c r="B81" s="1230"/>
      <c r="C81" s="1231"/>
      <c r="D81" s="175" t="s">
        <v>186</v>
      </c>
      <c r="E81" s="171">
        <f>'4'!F81</f>
        <v>654706.28</v>
      </c>
      <c r="F81" s="874">
        <v>654833</v>
      </c>
      <c r="G81" s="124">
        <f t="shared" si="8"/>
        <v>126.71999999997206</v>
      </c>
      <c r="H81" s="111">
        <f>G81+'4'!H81</f>
        <v>655</v>
      </c>
      <c r="I81" s="156"/>
      <c r="J81" s="203">
        <f>H81/DAY(B2)</f>
        <v>131</v>
      </c>
      <c r="K81" s="83"/>
      <c r="L81" s="68"/>
      <c r="N81" s="73"/>
      <c r="O81" s="73"/>
    </row>
    <row r="82" spans="1:15" ht="27.75">
      <c r="A82" s="1229" t="s">
        <v>92</v>
      </c>
      <c r="B82" s="1230"/>
      <c r="C82" s="1231"/>
      <c r="D82" s="136" t="s">
        <v>131</v>
      </c>
      <c r="E82" s="173">
        <f>'4'!F82</f>
        <v>110019.51</v>
      </c>
      <c r="F82" s="862">
        <v>110040</v>
      </c>
      <c r="G82" s="124">
        <f t="shared" si="8"/>
        <v>20.490000000005239</v>
      </c>
      <c r="H82" s="111">
        <f>G82+'4'!H82</f>
        <v>115</v>
      </c>
      <c r="I82" s="137"/>
      <c r="J82" s="203">
        <f>H82/DAY(B2)</f>
        <v>23</v>
      </c>
      <c r="K82" s="83"/>
      <c r="L82" s="68"/>
      <c r="N82" s="73"/>
      <c r="O82" s="73"/>
    </row>
    <row r="83" spans="1:15" ht="27.75">
      <c r="A83" s="1229" t="s">
        <v>199</v>
      </c>
      <c r="B83" s="1230"/>
      <c r="C83" s="1231"/>
      <c r="D83" s="271" t="s">
        <v>131</v>
      </c>
      <c r="E83" s="162">
        <f>'4'!F83</f>
        <v>45513</v>
      </c>
      <c r="F83" s="856">
        <v>45763</v>
      </c>
      <c r="G83" s="124">
        <f t="shared" si="8"/>
        <v>250</v>
      </c>
      <c r="H83" s="111">
        <f>G83+'4'!H83</f>
        <v>1440</v>
      </c>
      <c r="I83" s="132"/>
      <c r="J83" s="203">
        <f>H83/DAY(B2)</f>
        <v>288</v>
      </c>
      <c r="K83" s="82"/>
      <c r="L83" s="68"/>
      <c r="N83" s="73"/>
      <c r="O83" s="73"/>
    </row>
    <row r="84" spans="1:15">
      <c r="A84" s="763" t="s">
        <v>200</v>
      </c>
      <c r="B84" s="222"/>
      <c r="C84" s="222"/>
      <c r="D84" s="129" t="s">
        <v>131</v>
      </c>
      <c r="E84" s="278">
        <f>'4'!F84</f>
        <v>573010</v>
      </c>
      <c r="F84" s="876">
        <v>573599</v>
      </c>
      <c r="G84" s="124">
        <f t="shared" si="8"/>
        <v>589</v>
      </c>
      <c r="H84" s="111">
        <f>G84+'4'!H84</f>
        <v>3220</v>
      </c>
      <c r="I84" s="132"/>
      <c r="J84" s="203">
        <f>H84/DAY(B2)</f>
        <v>644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278">
        <f>'4'!F85</f>
        <v>0</v>
      </c>
      <c r="F85" s="736"/>
      <c r="G85" s="111">
        <f xml:space="preserve"> SUM(G71:G84)</f>
        <v>1932.1199999999426</v>
      </c>
      <c r="H85" s="111">
        <f>G85+'4'!H85</f>
        <v>10016.680000000008</v>
      </c>
      <c r="I85" s="132"/>
      <c r="J85" s="203">
        <f>H85/DAY(B2)</f>
        <v>2003.3360000000016</v>
      </c>
      <c r="K85" s="71"/>
      <c r="L85" s="69"/>
      <c r="N85" s="73"/>
      <c r="O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'4'!F86</f>
        <v>463670.04</v>
      </c>
      <c r="F86" s="876">
        <v>463682.92</v>
      </c>
      <c r="G86" s="356">
        <f t="shared" ref="G86:G91" si="9">F86-E86</f>
        <v>12.880000000004657</v>
      </c>
      <c r="H86" s="111">
        <f>G86+'4'!H86</f>
        <v>367.9199999999837</v>
      </c>
      <c r="I86" s="303"/>
      <c r="J86" s="358">
        <f>H86/DAY(B2)</f>
        <v>73.583999999996735</v>
      </c>
      <c r="K86" s="384"/>
      <c r="L86" s="385"/>
      <c r="N86" s="428">
        <f>G86-173</f>
        <v>-160.11999999999534</v>
      </c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'4'!F87</f>
        <v>84035.6</v>
      </c>
      <c r="F87" s="876">
        <v>84046.399999999994</v>
      </c>
      <c r="G87" s="356">
        <f t="shared" si="9"/>
        <v>10.799999999988358</v>
      </c>
      <c r="H87" s="111">
        <f>G87+'4'!H87</f>
        <v>147.39999999999418</v>
      </c>
      <c r="I87" s="303"/>
      <c r="J87" s="358">
        <f>H87/DAY(B2)</f>
        <v>29.479999999998835</v>
      </c>
      <c r="K87" s="384"/>
      <c r="L87" s="385"/>
      <c r="N87" s="386">
        <v>108</v>
      </c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'4'!F88</f>
        <v>158212</v>
      </c>
      <c r="F88" s="876">
        <v>158212</v>
      </c>
      <c r="G88" s="356">
        <f t="shared" si="9"/>
        <v>0</v>
      </c>
      <c r="H88" s="111">
        <f>G88+'4'!H88</f>
        <v>0</v>
      </c>
      <c r="I88" s="303"/>
      <c r="J88" s="358">
        <f>H88/DAY(B2)</f>
        <v>0</v>
      </c>
      <c r="K88" s="384"/>
      <c r="L88" s="385"/>
      <c r="N88" s="386">
        <v>28</v>
      </c>
      <c r="O88" s="73"/>
    </row>
    <row r="89" spans="1:15" s="386" customFormat="1">
      <c r="A89" s="381" t="s">
        <v>202</v>
      </c>
      <c r="B89" s="382"/>
      <c r="C89" s="382"/>
      <c r="D89" s="383" t="s">
        <v>182</v>
      </c>
      <c r="E89" s="278">
        <f>'4'!F89</f>
        <v>69336.800000000003</v>
      </c>
      <c r="F89" s="876">
        <v>69381.2</v>
      </c>
      <c r="G89" s="356">
        <f t="shared" si="9"/>
        <v>44.399999999994179</v>
      </c>
      <c r="H89" s="111">
        <f>G89+'4'!H89</f>
        <v>292.19999999999709</v>
      </c>
      <c r="I89" s="303"/>
      <c r="J89" s="358">
        <f>H89/DAY(B2)</f>
        <v>58.439999999999415</v>
      </c>
      <c r="K89" s="384"/>
      <c r="L89" s="385"/>
      <c r="N89" s="428">
        <v>342</v>
      </c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'4'!F90</f>
        <v>3631.4</v>
      </c>
      <c r="F90" s="876">
        <v>3652</v>
      </c>
      <c r="G90" s="356">
        <f t="shared" si="9"/>
        <v>20.599999999999909</v>
      </c>
      <c r="H90" s="111">
        <f>G90+'4'!H90</f>
        <v>41</v>
      </c>
      <c r="I90" s="303"/>
      <c r="J90" s="358">
        <f>H90/DAY(B2)</f>
        <v>8.1999999999999993</v>
      </c>
      <c r="K90" s="384"/>
      <c r="L90" s="385"/>
      <c r="N90" s="428">
        <v>349</v>
      </c>
      <c r="O90" s="73"/>
    </row>
    <row r="91" spans="1:15" s="386" customFormat="1">
      <c r="A91" s="381" t="s">
        <v>335</v>
      </c>
      <c r="B91" s="382"/>
      <c r="C91" s="382"/>
      <c r="D91" s="383"/>
      <c r="E91" s="278">
        <f>'4'!F91</f>
        <v>28785</v>
      </c>
      <c r="F91" s="298">
        <v>28787</v>
      </c>
      <c r="G91" s="356">
        <f t="shared" si="9"/>
        <v>2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733"/>
      <c r="G92" s="139"/>
      <c r="H92" s="123"/>
      <c r="I92" s="123"/>
      <c r="J92" s="202"/>
      <c r="K92" s="71"/>
      <c r="L92" s="69"/>
      <c r="N92" s="73"/>
      <c r="O92" s="73"/>
    </row>
    <row r="93" spans="1:15" ht="27.75">
      <c r="A93" s="1245" t="s">
        <v>205</v>
      </c>
      <c r="B93" s="1246"/>
      <c r="C93" s="1247"/>
      <c r="D93" s="174" t="s">
        <v>143</v>
      </c>
      <c r="E93" s="135">
        <f>'4'!F93</f>
        <v>253790</v>
      </c>
      <c r="F93" s="861">
        <v>253897</v>
      </c>
      <c r="G93" s="124">
        <f t="shared" ref="G93:G94" si="10">F93-E93</f>
        <v>107</v>
      </c>
      <c r="H93" s="111">
        <f>G93+'4'!H93</f>
        <v>445</v>
      </c>
      <c r="I93" s="131"/>
      <c r="J93" s="203">
        <f>H93/DAY(B2)</f>
        <v>89</v>
      </c>
      <c r="K93" s="82"/>
      <c r="L93" s="68"/>
      <c r="N93" s="73"/>
      <c r="O93" s="73"/>
    </row>
    <row r="94" spans="1:15" ht="27.75">
      <c r="A94" s="1245" t="s">
        <v>206</v>
      </c>
      <c r="B94" s="1246"/>
      <c r="C94" s="1247"/>
      <c r="D94" s="174" t="s">
        <v>143</v>
      </c>
      <c r="E94" s="135">
        <f>'4'!F94</f>
        <v>198281</v>
      </c>
      <c r="F94" s="861">
        <v>198436</v>
      </c>
      <c r="G94" s="124">
        <f t="shared" si="10"/>
        <v>155</v>
      </c>
      <c r="H94" s="111">
        <f>G94+'4'!H94</f>
        <v>777</v>
      </c>
      <c r="I94" s="131"/>
      <c r="J94" s="203">
        <f>H94/DAY(B2)</f>
        <v>155.4</v>
      </c>
      <c r="K94" s="71"/>
      <c r="L94" s="68"/>
      <c r="N94" s="73"/>
      <c r="O94" s="73"/>
    </row>
    <row r="95" spans="1:15">
      <c r="A95" s="1277" t="s">
        <v>207</v>
      </c>
      <c r="B95" s="1278"/>
      <c r="C95" s="1279"/>
      <c r="D95" s="174"/>
      <c r="E95" s="135"/>
      <c r="F95" s="861"/>
      <c r="G95" s="124">
        <f>G93+G94</f>
        <v>262</v>
      </c>
      <c r="H95" s="111">
        <f>G95+'4'!H95</f>
        <v>997</v>
      </c>
      <c r="I95" s="131"/>
      <c r="J95" s="203">
        <f>H95/DAY(B2)</f>
        <v>199.4</v>
      </c>
      <c r="K95" s="71"/>
      <c r="L95" s="68"/>
      <c r="N95" s="73"/>
      <c r="O95" s="73"/>
    </row>
    <row r="96" spans="1:15" ht="27.75">
      <c r="A96" s="1245" t="s">
        <v>208</v>
      </c>
      <c r="B96" s="1246"/>
      <c r="C96" s="1247"/>
      <c r="D96" s="174" t="s">
        <v>143</v>
      </c>
      <c r="E96" s="135">
        <f>'4'!F96</f>
        <v>421339</v>
      </c>
      <c r="F96" s="861">
        <v>421406</v>
      </c>
      <c r="G96" s="124">
        <f t="shared" ref="G96:G101" si="11">F96-E96</f>
        <v>67</v>
      </c>
      <c r="H96" s="111">
        <f>G96+'4'!H96</f>
        <v>387</v>
      </c>
      <c r="I96" s="131"/>
      <c r="J96" s="203">
        <f>H96/DAY(B2)</f>
        <v>77.400000000000006</v>
      </c>
      <c r="K96" s="71"/>
      <c r="L96" s="68"/>
      <c r="N96" s="73"/>
      <c r="O96" s="73"/>
    </row>
    <row r="97" spans="1:15" ht="27.75">
      <c r="A97" s="759" t="s">
        <v>209</v>
      </c>
      <c r="B97" s="760"/>
      <c r="C97" s="760"/>
      <c r="D97" s="174" t="s">
        <v>143</v>
      </c>
      <c r="E97" s="135">
        <f>'4'!F97</f>
        <v>104720</v>
      </c>
      <c r="F97" s="861">
        <v>104747</v>
      </c>
      <c r="G97" s="124">
        <f t="shared" si="11"/>
        <v>27</v>
      </c>
      <c r="H97" s="111">
        <f>G97+'4'!H97</f>
        <v>111</v>
      </c>
      <c r="I97" s="131"/>
      <c r="J97" s="203">
        <f>H97/DAY(B2)</f>
        <v>22.2</v>
      </c>
      <c r="K97" s="80"/>
      <c r="L97" s="68"/>
      <c r="N97" s="73"/>
      <c r="O97" s="73"/>
    </row>
    <row r="98" spans="1:15" ht="27.75">
      <c r="A98" s="759" t="s">
        <v>210</v>
      </c>
      <c r="B98" s="760"/>
      <c r="C98" s="760"/>
      <c r="D98" s="174" t="s">
        <v>143</v>
      </c>
      <c r="E98" s="135">
        <f>'4'!F98</f>
        <v>100490</v>
      </c>
      <c r="F98" s="861">
        <v>100520</v>
      </c>
      <c r="G98" s="124">
        <f t="shared" si="11"/>
        <v>30</v>
      </c>
      <c r="H98" s="111">
        <f>G98+'4'!H98</f>
        <v>150</v>
      </c>
      <c r="I98" s="131"/>
      <c r="J98" s="203">
        <f>H98/DAY(B2)</f>
        <v>30</v>
      </c>
      <c r="K98" s="85"/>
      <c r="L98" s="68"/>
      <c r="N98" s="73"/>
      <c r="O98" s="73"/>
    </row>
    <row r="99" spans="1:15" ht="27.75">
      <c r="A99" s="759" t="s">
        <v>211</v>
      </c>
      <c r="B99" s="760"/>
      <c r="C99" s="760"/>
      <c r="D99" s="174" t="s">
        <v>143</v>
      </c>
      <c r="E99" s="135">
        <f>'4'!F99</f>
        <v>152236</v>
      </c>
      <c r="F99" s="861">
        <v>152263</v>
      </c>
      <c r="G99" s="124">
        <f t="shared" si="11"/>
        <v>27</v>
      </c>
      <c r="H99" s="111">
        <f>G99+'4'!H99</f>
        <v>128</v>
      </c>
      <c r="I99" s="131"/>
      <c r="J99" s="203">
        <f>H99/DAY(B2)</f>
        <v>25.6</v>
      </c>
      <c r="K99" s="71"/>
      <c r="L99" s="68"/>
      <c r="N99" s="355"/>
      <c r="O99" s="73"/>
    </row>
    <row r="100" spans="1:15" ht="27.75">
      <c r="A100" s="759" t="s">
        <v>212</v>
      </c>
      <c r="B100" s="760"/>
      <c r="C100" s="760"/>
      <c r="D100" s="174" t="s">
        <v>143</v>
      </c>
      <c r="E100" s="135">
        <f>'4'!F100</f>
        <v>8686</v>
      </c>
      <c r="F100" s="861">
        <v>8705</v>
      </c>
      <c r="G100" s="124">
        <f t="shared" si="11"/>
        <v>19</v>
      </c>
      <c r="H100" s="111">
        <f>G100+'4'!H100</f>
        <v>60</v>
      </c>
      <c r="I100" s="131"/>
      <c r="J100" s="203">
        <f>H100/DAY(B2)</f>
        <v>12</v>
      </c>
      <c r="K100" s="71"/>
      <c r="L100" s="68"/>
      <c r="N100" s="73"/>
      <c r="O100" s="73"/>
    </row>
    <row r="101" spans="1:15" ht="27.75">
      <c r="A101" s="759" t="s">
        <v>213</v>
      </c>
      <c r="B101" s="760"/>
      <c r="C101" s="760"/>
      <c r="D101" s="174" t="s">
        <v>143</v>
      </c>
      <c r="E101" s="135">
        <f>'4'!F101</f>
        <v>6406</v>
      </c>
      <c r="F101" s="861">
        <v>6422</v>
      </c>
      <c r="G101" s="124">
        <f t="shared" si="11"/>
        <v>16</v>
      </c>
      <c r="H101" s="111">
        <f>G101+'4'!H101</f>
        <v>49</v>
      </c>
      <c r="I101" s="131"/>
      <c r="J101" s="203">
        <f>H101/DAY(B2)</f>
        <v>9.8000000000000007</v>
      </c>
      <c r="K101" s="71"/>
      <c r="L101" s="68"/>
      <c r="N101" s="73"/>
      <c r="O101" s="73"/>
    </row>
    <row r="102" spans="1:15">
      <c r="A102" s="1277" t="s">
        <v>215</v>
      </c>
      <c r="B102" s="1278"/>
      <c r="C102" s="1279"/>
      <c r="D102" s="175"/>
      <c r="E102" s="175"/>
      <c r="F102" s="871"/>
      <c r="G102" s="176">
        <f>SUM(G96:G101)</f>
        <v>186</v>
      </c>
      <c r="H102" s="111">
        <f>G102+'4'!H102</f>
        <v>885</v>
      </c>
      <c r="I102" s="177"/>
      <c r="J102" s="203">
        <f>H102/DAY(B2)</f>
        <v>177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877"/>
      <c r="G103" s="180"/>
      <c r="H103" s="181"/>
      <c r="I103" s="182"/>
      <c r="J103" s="208"/>
      <c r="N103" s="73"/>
      <c r="O103" s="73"/>
    </row>
    <row r="104" spans="1:15" s="93" customFormat="1" ht="27.75">
      <c r="A104" s="1280" t="s">
        <v>217</v>
      </c>
      <c r="B104" s="1281"/>
      <c r="C104" s="224"/>
      <c r="D104" s="273"/>
      <c r="E104" s="183"/>
      <c r="F104" s="878"/>
      <c r="G104" s="183"/>
      <c r="H104" s="184"/>
      <c r="I104" s="183"/>
      <c r="J104" s="209"/>
      <c r="N104" s="73"/>
      <c r="O104" s="73"/>
    </row>
    <row r="105" spans="1:15" s="93" customFormat="1" ht="27.75">
      <c r="A105" s="1237" t="s">
        <v>218</v>
      </c>
      <c r="B105" s="1238"/>
      <c r="C105" s="758"/>
      <c r="D105" s="273" t="s">
        <v>143</v>
      </c>
      <c r="E105" s="135">
        <f>'4'!F105</f>
        <v>7961</v>
      </c>
      <c r="F105" s="878">
        <v>7961</v>
      </c>
      <c r="G105" s="183">
        <f>F105-E105</f>
        <v>0</v>
      </c>
      <c r="H105" s="111">
        <f>G105+'4'!H105</f>
        <v>0</v>
      </c>
      <c r="I105" s="183"/>
      <c r="J105" s="209">
        <f>H105/DAY(B2)</f>
        <v>0</v>
      </c>
      <c r="N105" s="73"/>
      <c r="O105" s="73"/>
    </row>
    <row r="106" spans="1:15" s="93" customFormat="1" ht="27.75">
      <c r="A106" s="1237" t="s">
        <v>76</v>
      </c>
      <c r="B106" s="1238"/>
      <c r="C106" s="758"/>
      <c r="D106" s="273" t="s">
        <v>143</v>
      </c>
      <c r="E106" s="135">
        <f>'4'!F106</f>
        <v>36798</v>
      </c>
      <c r="F106" s="884">
        <v>36804</v>
      </c>
      <c r="G106" s="183">
        <f t="shared" ref="G106:G107" si="12">F106-E106</f>
        <v>6</v>
      </c>
      <c r="H106" s="111">
        <f>G106+'4'!H106</f>
        <v>39</v>
      </c>
      <c r="I106" s="183"/>
      <c r="J106" s="209">
        <f>H106/DAY(B2)</f>
        <v>7.8</v>
      </c>
      <c r="N106" s="73"/>
      <c r="O106" s="73"/>
    </row>
    <row r="107" spans="1:15" s="93" customFormat="1" ht="27.75">
      <c r="A107" s="1237" t="s">
        <v>77</v>
      </c>
      <c r="B107" s="1282"/>
      <c r="C107" s="1238"/>
      <c r="D107" s="273" t="s">
        <v>143</v>
      </c>
      <c r="E107" s="135">
        <f>'4'!F107</f>
        <v>20249</v>
      </c>
      <c r="F107" s="878">
        <v>20256</v>
      </c>
      <c r="G107" s="183">
        <f t="shared" si="12"/>
        <v>7</v>
      </c>
      <c r="H107" s="111">
        <f>G107+'4'!H107</f>
        <v>42</v>
      </c>
      <c r="I107" s="183"/>
      <c r="J107" s="209">
        <f>H107/DAY(B2)</f>
        <v>8.4</v>
      </c>
      <c r="N107" s="73"/>
      <c r="O107" s="73"/>
    </row>
    <row r="108" spans="1:15" s="93" customFormat="1" ht="27.75">
      <c r="A108" s="1239" t="s">
        <v>201</v>
      </c>
      <c r="B108" s="1240"/>
      <c r="C108" s="758"/>
      <c r="D108" s="273"/>
      <c r="E108" s="135"/>
      <c r="F108" s="878"/>
      <c r="G108" s="183">
        <f>SUM(G105:G107)</f>
        <v>13</v>
      </c>
      <c r="H108" s="111">
        <f>G108+'4'!H108</f>
        <v>81</v>
      </c>
      <c r="I108" s="183"/>
      <c r="J108" s="209">
        <f>H108/DAY(B2)</f>
        <v>16.2</v>
      </c>
      <c r="N108" s="73"/>
      <c r="O108" s="73"/>
    </row>
    <row r="109" spans="1:15" s="93" customFormat="1" ht="27.75">
      <c r="A109" s="1243" t="s">
        <v>78</v>
      </c>
      <c r="B109" s="1244"/>
      <c r="C109" s="758"/>
      <c r="D109" s="273" t="s">
        <v>143</v>
      </c>
      <c r="E109" s="135">
        <f>'4'!F109</f>
        <v>0</v>
      </c>
      <c r="F109" s="878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>
      <c r="A110" s="1237" t="s">
        <v>219</v>
      </c>
      <c r="B110" s="1238"/>
      <c r="C110" s="758"/>
      <c r="D110" s="273" t="s">
        <v>143</v>
      </c>
      <c r="E110" s="135">
        <f>'4'!F110</f>
        <v>69808</v>
      </c>
      <c r="F110" s="878">
        <v>69884</v>
      </c>
      <c r="G110" s="183">
        <f>F110-E110</f>
        <v>76</v>
      </c>
      <c r="H110" s="111">
        <f>G110+'4'!H110</f>
        <v>360</v>
      </c>
      <c r="I110" s="183"/>
      <c r="J110" s="209">
        <f>H110/DAY(B2)</f>
        <v>72</v>
      </c>
      <c r="N110" s="73"/>
    </row>
    <row r="111" spans="1:15" s="93" customFormat="1" ht="27.75">
      <c r="A111" s="1237" t="s">
        <v>220</v>
      </c>
      <c r="B111" s="1238"/>
      <c r="C111" s="758"/>
      <c r="D111" s="273" t="s">
        <v>143</v>
      </c>
      <c r="E111" s="135">
        <f>'4'!F111</f>
        <v>33886</v>
      </c>
      <c r="F111" s="878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>
      <c r="A112" s="1237" t="s">
        <v>221</v>
      </c>
      <c r="B112" s="1238"/>
      <c r="C112" s="758"/>
      <c r="D112" s="273" t="s">
        <v>143</v>
      </c>
      <c r="E112" s="135">
        <f>'4'!F112</f>
        <v>4795</v>
      </c>
      <c r="F112" s="878">
        <v>4795</v>
      </c>
      <c r="G112" s="183">
        <f t="shared" si="13"/>
        <v>0</v>
      </c>
      <c r="H112" s="111">
        <f>G112+'4'!H112</f>
        <v>7</v>
      </c>
      <c r="I112" s="183"/>
      <c r="J112" s="209">
        <f>H112/DAY(B2)</f>
        <v>1.4</v>
      </c>
      <c r="N112" s="73"/>
    </row>
    <row r="113" spans="1:14" s="93" customFormat="1" ht="27.75">
      <c r="A113" s="1239" t="s">
        <v>109</v>
      </c>
      <c r="B113" s="1240"/>
      <c r="C113" s="758"/>
      <c r="D113" s="273"/>
      <c r="E113" s="135"/>
      <c r="F113" s="878"/>
      <c r="G113" s="183">
        <f>SUM(G110:G112)</f>
        <v>76</v>
      </c>
      <c r="H113" s="111">
        <f>G113+'4'!H113</f>
        <v>367</v>
      </c>
      <c r="I113" s="183"/>
      <c r="J113" s="209">
        <f>H113/DAY(B2)</f>
        <v>73.400000000000006</v>
      </c>
      <c r="N113" s="73"/>
    </row>
    <row r="114" spans="1:14" s="93" customFormat="1" ht="27.75">
      <c r="A114" s="1243" t="s">
        <v>222</v>
      </c>
      <c r="B114" s="1244"/>
      <c r="C114" s="758"/>
      <c r="D114" s="273"/>
      <c r="E114" s="135"/>
      <c r="F114" s="878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>
      <c r="A115" s="1237" t="s">
        <v>223</v>
      </c>
      <c r="B115" s="1238"/>
      <c r="C115" s="225"/>
      <c r="D115" s="273" t="s">
        <v>143</v>
      </c>
      <c r="E115" s="135">
        <f>'4'!F115</f>
        <v>13089</v>
      </c>
      <c r="F115" s="879">
        <v>13111</v>
      </c>
      <c r="G115" s="185">
        <f>F115-E115</f>
        <v>22</v>
      </c>
      <c r="H115" s="111">
        <f>G115+'4'!H115</f>
        <v>73</v>
      </c>
      <c r="I115" s="183"/>
      <c r="J115" s="209">
        <f>H115/DAY(B2)</f>
        <v>14.6</v>
      </c>
      <c r="N115" s="73"/>
    </row>
    <row r="116" spans="1:14" s="93" customFormat="1" ht="27.75">
      <c r="A116" s="1237" t="s">
        <v>224</v>
      </c>
      <c r="B116" s="1238"/>
      <c r="C116" s="225"/>
      <c r="D116" s="273" t="s">
        <v>143</v>
      </c>
      <c r="E116" s="135">
        <f>'4'!F116</f>
        <v>9153</v>
      </c>
      <c r="F116" s="879">
        <v>9164</v>
      </c>
      <c r="G116" s="185">
        <f t="shared" ref="G116:G117" si="14">F116-E116</f>
        <v>11</v>
      </c>
      <c r="H116" s="111">
        <f>G116+'4'!H116</f>
        <v>38</v>
      </c>
      <c r="I116" s="183"/>
      <c r="J116" s="209">
        <f>H116/DAY(B2)</f>
        <v>7.6</v>
      </c>
      <c r="N116" s="73"/>
    </row>
    <row r="117" spans="1:14" s="93" customFormat="1" ht="27.75">
      <c r="A117" s="1237" t="s">
        <v>225</v>
      </c>
      <c r="B117" s="1238"/>
      <c r="C117" s="225"/>
      <c r="D117" s="273" t="s">
        <v>143</v>
      </c>
      <c r="E117" s="135">
        <f>'4'!F117</f>
        <v>0</v>
      </c>
      <c r="F117" s="879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>
      <c r="A118" s="1239" t="s">
        <v>201</v>
      </c>
      <c r="B118" s="1240"/>
      <c r="C118" s="225"/>
      <c r="D118" s="274"/>
      <c r="E118" s="135"/>
      <c r="F118" s="879"/>
      <c r="G118" s="185">
        <f>SUM(G115:G117)</f>
        <v>33</v>
      </c>
      <c r="H118" s="111">
        <f>G118+'4'!H118</f>
        <v>111</v>
      </c>
      <c r="I118" s="185"/>
      <c r="J118" s="209">
        <f>H118/DAY(B2)</f>
        <v>22.2</v>
      </c>
      <c r="N118" s="73"/>
    </row>
    <row r="119" spans="1:14" s="97" customFormat="1" ht="27.75">
      <c r="A119" s="1233" t="s">
        <v>226</v>
      </c>
      <c r="B119" s="1234"/>
      <c r="C119" s="756"/>
      <c r="D119" s="275" t="s">
        <v>143</v>
      </c>
      <c r="E119" s="135">
        <f>'4'!F119</f>
        <v>146</v>
      </c>
      <c r="F119" s="880">
        <f>SUM(G19+G93)</f>
        <v>168</v>
      </c>
      <c r="G119" s="187">
        <f>SUM(G19+G93)</f>
        <v>168</v>
      </c>
      <c r="H119" s="111">
        <f>G119+'4'!H119</f>
        <v>759</v>
      </c>
      <c r="I119" s="186"/>
      <c r="J119" s="210">
        <f>H119/DAY(B2)</f>
        <v>151.80000000000001</v>
      </c>
      <c r="N119" s="73"/>
    </row>
    <row r="120" spans="1:14" s="97" customFormat="1" ht="27.75">
      <c r="A120" s="1233" t="s">
        <v>227</v>
      </c>
      <c r="B120" s="1234"/>
      <c r="C120" s="756"/>
      <c r="D120" s="275" t="s">
        <v>143</v>
      </c>
      <c r="E120" s="135">
        <f>'4'!F120</f>
        <v>153</v>
      </c>
      <c r="F120" s="880">
        <f>SUM(G96,G97,G98,G100,G101)</f>
        <v>159</v>
      </c>
      <c r="G120" s="187">
        <f>SUM(G96,G97,G98,G100,G101)</f>
        <v>159</v>
      </c>
      <c r="H120" s="111">
        <f>G120+'4'!H120</f>
        <v>757</v>
      </c>
      <c r="I120" s="186"/>
      <c r="J120" s="210">
        <f>H120/DAY(B2)</f>
        <v>151.4</v>
      </c>
      <c r="N120" s="73"/>
    </row>
    <row r="121" spans="1:14" s="97" customFormat="1" ht="27.75">
      <c r="A121" s="1233" t="s">
        <v>228</v>
      </c>
      <c r="B121" s="1234"/>
      <c r="C121" s="756"/>
      <c r="D121" s="275" t="s">
        <v>143</v>
      </c>
      <c r="E121" s="135">
        <f>'4'!F121</f>
        <v>64</v>
      </c>
      <c r="F121" s="879">
        <f>SUM(G113)</f>
        <v>76</v>
      </c>
      <c r="G121" s="185">
        <f>SUM(G113)</f>
        <v>76</v>
      </c>
      <c r="H121" s="111">
        <f>G121+'4'!H121</f>
        <v>367</v>
      </c>
      <c r="I121" s="186"/>
      <c r="J121" s="210">
        <f>H121/DAY(B2)</f>
        <v>73.400000000000006</v>
      </c>
      <c r="N121" s="73"/>
    </row>
    <row r="122" spans="1:14" s="93" customFormat="1" ht="27.75">
      <c r="A122" s="1235"/>
      <c r="B122" s="1236"/>
      <c r="C122" s="757"/>
      <c r="D122" s="211"/>
      <c r="E122" s="211"/>
      <c r="F122" s="881" t="s">
        <v>214</v>
      </c>
      <c r="G122" s="211"/>
      <c r="H122" s="111">
        <f>G122+'4'!H122</f>
        <v>0</v>
      </c>
      <c r="I122" s="211"/>
      <c r="J122" s="213"/>
      <c r="N122" s="73"/>
    </row>
    <row r="123" spans="1:14">
      <c r="A123" s="1274" t="s">
        <v>229</v>
      </c>
      <c r="B123" s="1275"/>
      <c r="C123" s="1276"/>
      <c r="D123" s="123"/>
      <c r="E123" s="123"/>
      <c r="F123" s="73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129">
        <f>'4'!F124</f>
        <v>857320.12</v>
      </c>
      <c r="F124" s="861">
        <v>857575.43</v>
      </c>
      <c r="G124" s="124">
        <f t="shared" ref="G124:G128" si="15">F124-E124</f>
        <v>255.31000000005588</v>
      </c>
      <c r="H124" s="111">
        <f>G124+'4'!H124</f>
        <v>1223.4300000000512</v>
      </c>
      <c r="I124" s="177"/>
      <c r="J124" s="203">
        <f>H124/DAY(B2)</f>
        <v>244.68600000001024</v>
      </c>
      <c r="K124" s="71"/>
      <c r="L124" s="68"/>
      <c r="N124" s="73"/>
    </row>
    <row r="125" spans="1:14" ht="27.75">
      <c r="A125" s="759" t="s">
        <v>231</v>
      </c>
      <c r="B125" s="760"/>
      <c r="C125" s="760"/>
      <c r="D125" s="174" t="s">
        <v>140</v>
      </c>
      <c r="E125" s="277">
        <f>'4'!F125</f>
        <v>73583.399999999994</v>
      </c>
      <c r="F125" s="882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226" t="s">
        <v>232</v>
      </c>
      <c r="B126" s="1227"/>
      <c r="C126" s="1228"/>
      <c r="D126" s="174" t="s">
        <v>140</v>
      </c>
      <c r="E126" s="129">
        <f>'4'!F126</f>
        <v>154437.97</v>
      </c>
      <c r="F126" s="861">
        <v>154532.19</v>
      </c>
      <c r="G126" s="124">
        <f t="shared" si="15"/>
        <v>94.220000000001164</v>
      </c>
      <c r="H126" s="111">
        <f>G126+'4'!H126</f>
        <v>455.19000000000233</v>
      </c>
      <c r="I126" s="177"/>
      <c r="J126" s="203">
        <f>H126/DAY(B2)</f>
        <v>91.038000000000466</v>
      </c>
      <c r="K126" s="71"/>
      <c r="L126" s="68"/>
      <c r="N126" s="73"/>
    </row>
    <row r="127" spans="1:14" ht="27.75">
      <c r="A127" s="260" t="s">
        <v>233</v>
      </c>
      <c r="B127" s="760"/>
      <c r="C127" s="760"/>
      <c r="D127" s="174" t="s">
        <v>140</v>
      </c>
      <c r="E127" s="277">
        <f>'4'!F127</f>
        <v>34805</v>
      </c>
      <c r="F127" s="882">
        <v>34845.9</v>
      </c>
      <c r="G127" s="124">
        <f t="shared" si="15"/>
        <v>40.900000000001455</v>
      </c>
      <c r="H127" s="111">
        <f>G127+'4'!H127</f>
        <v>216.90000000000146</v>
      </c>
      <c r="I127" s="177"/>
      <c r="J127" s="203">
        <f>H127/DAY(B2)</f>
        <v>43.380000000000294</v>
      </c>
      <c r="K127" s="71"/>
      <c r="L127" s="68"/>
      <c r="N127" s="73"/>
    </row>
    <row r="128" spans="1:14" ht="27.75">
      <c r="A128" s="260" t="s">
        <v>234</v>
      </c>
      <c r="B128" s="760"/>
      <c r="C128" s="760"/>
      <c r="D128" s="174" t="s">
        <v>140</v>
      </c>
      <c r="E128" s="277">
        <f>'4'!F128</f>
        <v>9189.1</v>
      </c>
      <c r="F128" s="882">
        <v>9191.9</v>
      </c>
      <c r="G128" s="124">
        <f t="shared" si="15"/>
        <v>2.7999999999992724</v>
      </c>
      <c r="H128" s="111">
        <f>G128+'4'!H128</f>
        <v>11.899999999999636</v>
      </c>
      <c r="I128" s="131"/>
      <c r="J128" s="203">
        <f>H128/DAY(B2)</f>
        <v>2.3799999999999271</v>
      </c>
      <c r="K128" s="71"/>
      <c r="L128" s="68"/>
      <c r="N128" s="73"/>
    </row>
    <row r="129" spans="1:14" s="57" customFormat="1" ht="27.75">
      <c r="A129" s="260" t="s">
        <v>235</v>
      </c>
      <c r="B129" s="760"/>
      <c r="C129" s="760"/>
      <c r="D129" s="174"/>
      <c r="E129" s="129"/>
      <c r="F129" s="861"/>
      <c r="G129" s="124">
        <f>G15-SUM(G124:G128)</f>
        <v>457.91000000007261</v>
      </c>
      <c r="H129" s="111">
        <f>G129+'4'!H129</f>
        <v>2437.6800000000385</v>
      </c>
      <c r="I129" s="131"/>
      <c r="J129" s="203">
        <f>H129/DAY(B2)</f>
        <v>487.53600000000768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857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35">
        <f>'4'!F131</f>
        <v>0</v>
      </c>
      <c r="F131" s="861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>
      <c r="A132" s="759" t="s">
        <v>239</v>
      </c>
      <c r="B132" s="760"/>
      <c r="C132" s="760"/>
      <c r="D132" s="174" t="s">
        <v>238</v>
      </c>
      <c r="E132" s="135">
        <f>'4'!F132</f>
        <v>0</v>
      </c>
      <c r="F132" s="861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>
      <c r="A133" s="759" t="s">
        <v>240</v>
      </c>
      <c r="B133" s="760"/>
      <c r="C133" s="760"/>
      <c r="D133" s="174" t="s">
        <v>238</v>
      </c>
      <c r="E133" s="135">
        <f>'4'!F133</f>
        <v>40933.07</v>
      </c>
      <c r="F133" s="862">
        <v>40957.14</v>
      </c>
      <c r="G133" s="124">
        <f t="shared" si="16"/>
        <v>24.069999999999709</v>
      </c>
      <c r="H133" s="111">
        <f>G133+'4'!H133</f>
        <v>35.139999999999418</v>
      </c>
      <c r="I133" s="131"/>
      <c r="J133" s="203">
        <f>H133/DAY(B2)</f>
        <v>7.0279999999998832</v>
      </c>
      <c r="N133" s="73"/>
    </row>
    <row r="134" spans="1:14" ht="27.75">
      <c r="A134" s="759" t="s">
        <v>241</v>
      </c>
      <c r="B134" s="760"/>
      <c r="C134" s="760"/>
      <c r="D134" s="174" t="s">
        <v>238</v>
      </c>
      <c r="E134" s="352">
        <f>'4'!F134</f>
        <v>940.16</v>
      </c>
      <c r="F134" s="882">
        <v>955.18</v>
      </c>
      <c r="G134" s="124">
        <f t="shared" si="16"/>
        <v>15.019999999999982</v>
      </c>
      <c r="H134" s="111">
        <f>G134+'4'!H134</f>
        <v>99.17999999999995</v>
      </c>
      <c r="I134" s="131">
        <f>G131+G132+G133+G134</f>
        <v>39.089999999999691</v>
      </c>
      <c r="J134" s="203">
        <f>H134/DAY(B2)</f>
        <v>19.835999999999991</v>
      </c>
      <c r="N134" s="73"/>
    </row>
    <row r="135" spans="1:14" ht="27.75">
      <c r="A135" s="759" t="s">
        <v>242</v>
      </c>
      <c r="B135" s="760"/>
      <c r="C135" s="760"/>
      <c r="D135" s="174" t="s">
        <v>238</v>
      </c>
      <c r="E135" s="352">
        <f>'4'!F135</f>
        <v>42822.14</v>
      </c>
      <c r="F135" s="882">
        <v>42822.14</v>
      </c>
      <c r="G135" s="124">
        <f t="shared" si="16"/>
        <v>0</v>
      </c>
      <c r="H135" s="111">
        <f>G135+'4'!H135</f>
        <v>0.13999999999941792</v>
      </c>
      <c r="I135" s="131"/>
      <c r="J135" s="203">
        <f>H135/DAY(B2)</f>
        <v>2.7999999999883583E-2</v>
      </c>
      <c r="N135" s="73"/>
    </row>
    <row r="136" spans="1:14" ht="27.75">
      <c r="A136" s="759" t="s">
        <v>243</v>
      </c>
      <c r="B136" s="760"/>
      <c r="C136" s="760"/>
      <c r="D136" s="174" t="s">
        <v>238</v>
      </c>
      <c r="E136" s="352">
        <f>'4'!F136</f>
        <v>32958.379999999997</v>
      </c>
      <c r="F136" s="882">
        <v>32958.379999999997</v>
      </c>
      <c r="G136" s="124">
        <f t="shared" si="16"/>
        <v>0</v>
      </c>
      <c r="H136" s="111">
        <f>G136+'4'!H136</f>
        <v>30.379999999997381</v>
      </c>
      <c r="I136" s="131"/>
      <c r="J136" s="203">
        <f>H136/DAY(B2)</f>
        <v>6.0759999999994765</v>
      </c>
      <c r="N136" s="73"/>
    </row>
    <row r="137" spans="1:14" ht="27.75">
      <c r="A137" s="759" t="s">
        <v>244</v>
      </c>
      <c r="B137" s="760"/>
      <c r="C137" s="760"/>
      <c r="D137" s="174" t="s">
        <v>238</v>
      </c>
      <c r="E137" s="192">
        <f>'4'!F137</f>
        <v>23393.62</v>
      </c>
      <c r="F137" s="862">
        <v>23402.04</v>
      </c>
      <c r="G137" s="124">
        <f t="shared" si="16"/>
        <v>8.4200000000018917</v>
      </c>
      <c r="H137" s="111">
        <f>G137+'4'!H137</f>
        <v>45.610000000000582</v>
      </c>
      <c r="I137" s="131">
        <f>G137+G138+G139</f>
        <v>8.4200000000018917</v>
      </c>
      <c r="J137" s="203">
        <f>H137/DAY(B2)</f>
        <v>9.1220000000001171</v>
      </c>
      <c r="N137" s="73"/>
    </row>
    <row r="138" spans="1:14" ht="27.75">
      <c r="A138" s="759" t="s">
        <v>245</v>
      </c>
      <c r="B138" s="760"/>
      <c r="C138" s="760"/>
      <c r="D138" s="174" t="s">
        <v>238</v>
      </c>
      <c r="E138" s="192">
        <f>'4'!F138</f>
        <v>25132.98</v>
      </c>
      <c r="F138" s="862">
        <v>25132.98</v>
      </c>
      <c r="G138" s="124">
        <f t="shared" si="16"/>
        <v>0</v>
      </c>
      <c r="H138" s="111">
        <f>G138+'4'!H138</f>
        <v>2.0000000000436557E-2</v>
      </c>
      <c r="I138" s="131"/>
      <c r="J138" s="203">
        <f>H138/DAY(B2)</f>
        <v>4.0000000000873113E-3</v>
      </c>
      <c r="N138" s="73"/>
    </row>
    <row r="139" spans="1:14" ht="27.75">
      <c r="A139" s="759" t="s">
        <v>246</v>
      </c>
      <c r="B139" s="760"/>
      <c r="C139" s="760"/>
      <c r="D139" s="174" t="s">
        <v>238</v>
      </c>
      <c r="E139" s="192">
        <f>'4'!F139</f>
        <v>70526</v>
      </c>
      <c r="F139" s="862">
        <v>70526</v>
      </c>
      <c r="G139" s="124">
        <f t="shared" si="16"/>
        <v>0</v>
      </c>
      <c r="H139" s="111">
        <f>G139+'4'!H139</f>
        <v>1.4499999999970896</v>
      </c>
      <c r="I139" s="131"/>
      <c r="J139" s="203">
        <f>H139/DAY(B2)</f>
        <v>0.28999999999941795</v>
      </c>
      <c r="N139" s="73"/>
    </row>
    <row r="140" spans="1:14" ht="27.75">
      <c r="A140" s="759" t="s">
        <v>247</v>
      </c>
      <c r="B140" s="760"/>
      <c r="C140" s="760"/>
      <c r="D140" s="174" t="s">
        <v>238</v>
      </c>
      <c r="E140" s="352">
        <f>'4'!F140</f>
        <v>2665.31</v>
      </c>
      <c r="F140" s="882">
        <v>2675.02</v>
      </c>
      <c r="G140" s="124">
        <f t="shared" si="16"/>
        <v>9.7100000000000364</v>
      </c>
      <c r="H140" s="111">
        <f>G140+'4'!H140</f>
        <v>47.039999999999964</v>
      </c>
      <c r="I140" s="193">
        <f>G140+G141</f>
        <v>9.7100000000000364</v>
      </c>
      <c r="J140" s="203">
        <f>H140/DAY(B2)</f>
        <v>9.4079999999999924</v>
      </c>
      <c r="N140" s="73"/>
    </row>
    <row r="141" spans="1:14" ht="27.75">
      <c r="A141" s="759" t="s">
        <v>248</v>
      </c>
      <c r="B141" s="760"/>
      <c r="C141" s="760"/>
      <c r="D141" s="174" t="s">
        <v>238</v>
      </c>
      <c r="E141" s="135">
        <f>'4'!F141</f>
        <v>4753.67</v>
      </c>
      <c r="F141" s="861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>
      <c r="A142" s="1248" t="s">
        <v>249</v>
      </c>
      <c r="B142" s="1249"/>
      <c r="C142" s="765"/>
      <c r="D142" s="123"/>
      <c r="E142" s="123"/>
      <c r="F142" s="733"/>
      <c r="G142" s="134"/>
      <c r="H142" s="134"/>
      <c r="I142" s="134"/>
      <c r="J142" s="214"/>
      <c r="K142" s="71"/>
      <c r="L142" s="68"/>
      <c r="N142" s="73"/>
    </row>
    <row r="143" spans="1:14" ht="27.75">
      <c r="A143" s="1245" t="s">
        <v>250</v>
      </c>
      <c r="B143" s="1246"/>
      <c r="C143" s="1247"/>
      <c r="D143" s="174" t="s">
        <v>131</v>
      </c>
      <c r="E143" s="174"/>
      <c r="F143" s="736"/>
      <c r="G143" s="111">
        <f>G35+G43+G49+G57</f>
        <v>5666.7699999999077</v>
      </c>
      <c r="H143" s="111">
        <f>G143+'4'!H143</f>
        <v>28859.200000000048</v>
      </c>
      <c r="I143" s="131" t="s">
        <v>267</v>
      </c>
      <c r="J143" s="203">
        <f>H143/DAY(B2)</f>
        <v>5771.8400000000092</v>
      </c>
      <c r="K143" s="71"/>
      <c r="L143" s="68"/>
      <c r="N143" s="73"/>
    </row>
    <row r="144" spans="1:14" ht="27.75">
      <c r="A144" s="1245" t="s">
        <v>251</v>
      </c>
      <c r="B144" s="1246"/>
      <c r="C144" s="1247"/>
      <c r="D144" s="174" t="s">
        <v>24</v>
      </c>
      <c r="E144" s="162"/>
      <c r="F144" s="856"/>
      <c r="G144" s="194">
        <f>G143/G7</f>
        <v>0.26684532420173418</v>
      </c>
      <c r="H144" s="111">
        <f>G144+'4'!H144</f>
        <v>1.2992267487394142</v>
      </c>
      <c r="I144" s="195"/>
      <c r="J144" s="203">
        <f>H144/DAY(B2)</f>
        <v>0.25984534974788287</v>
      </c>
      <c r="K144" s="71"/>
      <c r="L144" s="68"/>
      <c r="N144" s="73"/>
    </row>
    <row r="145" spans="1:14" ht="27.75">
      <c r="A145" s="1245" t="s">
        <v>252</v>
      </c>
      <c r="B145" s="1246"/>
      <c r="C145" s="1247"/>
      <c r="D145" s="174" t="s">
        <v>131</v>
      </c>
      <c r="E145" s="106"/>
      <c r="F145" s="864"/>
      <c r="G145" s="111">
        <f>G41+G42+G55+G56</f>
        <v>6489.1800000000803</v>
      </c>
      <c r="H145" s="111">
        <f>G145+'4'!H145</f>
        <v>33670.860000000102</v>
      </c>
      <c r="I145" s="131"/>
      <c r="J145" s="203">
        <f>H145/DAY(B2)</f>
        <v>6734.1720000000205</v>
      </c>
      <c r="K145" s="71"/>
      <c r="L145" s="68"/>
      <c r="N145" s="73"/>
    </row>
    <row r="146" spans="1:14" ht="27.75">
      <c r="A146" s="1245" t="s">
        <v>253</v>
      </c>
      <c r="B146" s="1246"/>
      <c r="C146" s="1247"/>
      <c r="D146" s="174" t="s">
        <v>24</v>
      </c>
      <c r="E146" s="106"/>
      <c r="F146" s="864"/>
      <c r="G146" s="194">
        <f>G145/G7</f>
        <v>0.30557219384295797</v>
      </c>
      <c r="H146" s="111">
        <f>G146+'4'!H146</f>
        <v>1.5119543779666604</v>
      </c>
      <c r="I146" s="195"/>
      <c r="J146" s="203">
        <f>H146/DAY(B2)</f>
        <v>0.30239087559333211</v>
      </c>
      <c r="K146" s="71"/>
      <c r="L146" s="68"/>
      <c r="N146" s="73"/>
    </row>
    <row r="147" spans="1:14" ht="27.75">
      <c r="A147" s="1245" t="s">
        <v>254</v>
      </c>
      <c r="B147" s="1246"/>
      <c r="C147" s="1247"/>
      <c r="D147" s="174" t="s">
        <v>131</v>
      </c>
      <c r="E147" s="106"/>
      <c r="F147" s="864"/>
      <c r="G147" s="111">
        <f>G39+G53</f>
        <v>3765.16</v>
      </c>
      <c r="H147" s="111">
        <f>G147+'4'!H147</f>
        <v>19032.509999999998</v>
      </c>
      <c r="I147" s="196"/>
      <c r="J147" s="203">
        <f>H147/DAY(B2)</f>
        <v>3806.5019999999995</v>
      </c>
      <c r="K147" s="71"/>
      <c r="L147" s="68"/>
      <c r="N147" s="73"/>
    </row>
    <row r="148" spans="1:14" ht="27.75">
      <c r="A148" s="1245" t="s">
        <v>255</v>
      </c>
      <c r="B148" s="1246"/>
      <c r="C148" s="1247"/>
      <c r="D148" s="174" t="s">
        <v>24</v>
      </c>
      <c r="E148" s="106"/>
      <c r="F148" s="864"/>
      <c r="G148" s="194">
        <f>G147/G7</f>
        <v>0.17729947410454594</v>
      </c>
      <c r="H148" s="111">
        <f>G148+'4'!H148</f>
        <v>0.85824465713534837</v>
      </c>
      <c r="I148" s="196"/>
      <c r="J148" s="203">
        <f>H148/DAY(B2)</f>
        <v>0.17164893142706966</v>
      </c>
      <c r="N148" s="73"/>
    </row>
    <row r="149" spans="1:14" ht="27.75">
      <c r="A149" s="1245" t="s">
        <v>256</v>
      </c>
      <c r="B149" s="1246"/>
      <c r="C149" s="1247"/>
      <c r="D149" s="174" t="s">
        <v>182</v>
      </c>
      <c r="E149" s="106"/>
      <c r="F149" s="864"/>
      <c r="G149" s="111">
        <f>G38+G52</f>
        <v>1714.8599999999988</v>
      </c>
      <c r="H149" s="111">
        <f>G149+'4'!H149</f>
        <v>8713.4599999999991</v>
      </c>
      <c r="I149" s="131"/>
      <c r="J149" s="203">
        <f>H149/DAY(B2)</f>
        <v>1742.6919999999998</v>
      </c>
      <c r="K149" s="72"/>
      <c r="N149" s="73"/>
    </row>
    <row r="150" spans="1:14" ht="27.75">
      <c r="A150" s="1245" t="s">
        <v>257</v>
      </c>
      <c r="B150" s="1246"/>
      <c r="C150" s="1247"/>
      <c r="D150" s="174" t="s">
        <v>24</v>
      </c>
      <c r="E150" s="106"/>
      <c r="F150" s="864"/>
      <c r="G150" s="194">
        <f>G149/G7</f>
        <v>8.0751887346864781E-2</v>
      </c>
      <c r="H150" s="111">
        <f>G150+'4'!H150</f>
        <v>0.39325725441744974</v>
      </c>
      <c r="I150" s="196"/>
      <c r="J150" s="203">
        <f>H150/DAY(B2)</f>
        <v>7.8651450883489946E-2</v>
      </c>
      <c r="N150" s="73"/>
    </row>
    <row r="151" spans="1:14" ht="27.75">
      <c r="A151" s="1245" t="s">
        <v>258</v>
      </c>
      <c r="B151" s="1246"/>
      <c r="C151" s="1247"/>
      <c r="D151" s="174" t="s">
        <v>182</v>
      </c>
      <c r="E151" s="106"/>
      <c r="F151" s="864"/>
      <c r="G151" s="111">
        <f>G36+G50</f>
        <v>1706.399999999976</v>
      </c>
      <c r="H151" s="111">
        <f>G151+'4'!H151</f>
        <v>10647.159999999971</v>
      </c>
      <c r="I151" s="196"/>
      <c r="J151" s="203">
        <f>H151/DAY(B2)</f>
        <v>2129.4319999999943</v>
      </c>
      <c r="N151" s="73"/>
    </row>
    <row r="152" spans="1:14" ht="27.75">
      <c r="A152" s="1245" t="s">
        <v>259</v>
      </c>
      <c r="B152" s="1246"/>
      <c r="C152" s="1247"/>
      <c r="D152" s="174" t="s">
        <v>24</v>
      </c>
      <c r="E152" s="106"/>
      <c r="F152" s="864"/>
      <c r="G152" s="194">
        <f>G151/G7</f>
        <v>8.0353510239138032E-2</v>
      </c>
      <c r="H152" s="111">
        <f>G152+'4'!H152</f>
        <v>0.47695990816737277</v>
      </c>
      <c r="I152" s="131"/>
      <c r="J152" s="203">
        <f>H152/DAY(B2)</f>
        <v>9.5391981633474551E-2</v>
      </c>
      <c r="N152" s="73"/>
    </row>
    <row r="153" spans="1:14" ht="27.75">
      <c r="A153" s="1245" t="s">
        <v>260</v>
      </c>
      <c r="B153" s="1246"/>
      <c r="C153" s="1247"/>
      <c r="D153" s="174" t="s">
        <v>182</v>
      </c>
      <c r="E153" s="106"/>
      <c r="F153" s="864"/>
      <c r="G153" s="111">
        <f>G37+G51</f>
        <v>1454.1499999999996</v>
      </c>
      <c r="H153" s="111">
        <f>G153+'4'!H153</f>
        <v>7503.9599999999991</v>
      </c>
      <c r="I153" s="131"/>
      <c r="J153" s="203">
        <f>H153/DAY(B2)</f>
        <v>1500.7919999999999</v>
      </c>
      <c r="N153" s="73"/>
    </row>
    <row r="154" spans="1:14" ht="28.5" thickBot="1">
      <c r="A154" s="1283" t="s">
        <v>261</v>
      </c>
      <c r="B154" s="1284"/>
      <c r="C154" s="1285"/>
      <c r="D154" s="276" t="s">
        <v>24</v>
      </c>
      <c r="E154" s="216"/>
      <c r="F154" s="883"/>
      <c r="G154" s="217">
        <f>G153/G7</f>
        <v>6.8475185720958842E-2</v>
      </c>
      <c r="H154" s="111">
        <f>G154+'4'!H154</f>
        <v>0.33812308405412278</v>
      </c>
      <c r="I154" s="219"/>
      <c r="J154" s="220">
        <f>H154/DAY(B2)</f>
        <v>6.7624616810824559E-2</v>
      </c>
      <c r="N154" s="73"/>
    </row>
    <row r="155" spans="1:14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>
      <c r="A158" s="1286" t="s">
        <v>266</v>
      </c>
      <c r="B158" s="1287"/>
      <c r="C158" s="1287"/>
      <c r="D158" s="1287"/>
      <c r="E158" s="1287"/>
      <c r="F158" s="1287"/>
      <c r="G158" s="1288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9">
      <c r="A161" s="435" t="s">
        <v>262</v>
      </c>
      <c r="B161" s="436"/>
      <c r="C161" s="436"/>
      <c r="D161" s="162" t="s">
        <v>186</v>
      </c>
      <c r="E161" s="135">
        <f>'4'!F161</f>
        <v>46116.87</v>
      </c>
      <c r="F161" s="309">
        <v>46199.13</v>
      </c>
      <c r="G161" s="124">
        <f t="shared" ref="G161:G175" si="17">F161-E161</f>
        <v>82.259999999994761</v>
      </c>
    </row>
    <row r="162" spans="1:9">
      <c r="A162" s="435" t="s">
        <v>263</v>
      </c>
      <c r="B162" s="436"/>
      <c r="C162" s="436"/>
      <c r="D162" s="162" t="s">
        <v>186</v>
      </c>
      <c r="E162" s="135">
        <f>'4'!F162</f>
        <v>138546.47</v>
      </c>
      <c r="F162" s="309">
        <v>139050.12</v>
      </c>
      <c r="G162" s="124">
        <f t="shared" si="17"/>
        <v>503.64999999999418</v>
      </c>
    </row>
    <row r="163" spans="1:9">
      <c r="A163" s="435" t="s">
        <v>264</v>
      </c>
      <c r="B163" s="436"/>
      <c r="C163" s="436"/>
      <c r="D163" s="162" t="s">
        <v>186</v>
      </c>
      <c r="E163" s="135">
        <f>'4'!F163</f>
        <v>64656</v>
      </c>
      <c r="F163" s="309">
        <v>64865.38</v>
      </c>
      <c r="G163" s="124">
        <f t="shared" si="17"/>
        <v>209.37999999999738</v>
      </c>
    </row>
    <row r="164" spans="1:9">
      <c r="A164" s="435" t="s">
        <v>265</v>
      </c>
      <c r="B164" s="436"/>
      <c r="C164" s="436"/>
      <c r="D164" s="162" t="s">
        <v>186</v>
      </c>
      <c r="E164" s="135">
        <f>'4'!F164</f>
        <v>7504.6</v>
      </c>
      <c r="F164" s="309">
        <v>7513.73</v>
      </c>
      <c r="G164" s="124">
        <f t="shared" si="17"/>
        <v>9.1299999999991996</v>
      </c>
    </row>
    <row r="165" spans="1:9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9">
      <c r="A166" s="437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9" ht="27.75">
      <c r="A167" s="1232" t="s">
        <v>98</v>
      </c>
      <c r="B167" s="1232"/>
      <c r="C167" s="1232"/>
      <c r="D167" s="174" t="s">
        <v>186</v>
      </c>
      <c r="E167" s="165">
        <f t="shared" ref="E167" si="20">E64</f>
        <v>195864.17</v>
      </c>
      <c r="F167" s="165">
        <f t="shared" si="19"/>
        <v>196277.1</v>
      </c>
      <c r="G167" s="124">
        <f t="shared" si="17"/>
        <v>412.92999999999302</v>
      </c>
    </row>
    <row r="168" spans="1:9" ht="27.75">
      <c r="A168" s="1232" t="s">
        <v>99</v>
      </c>
      <c r="B168" s="1232"/>
      <c r="C168" s="1232"/>
      <c r="D168" s="174" t="s">
        <v>186</v>
      </c>
      <c r="E168" s="165">
        <f t="shared" ref="E168" si="21">E65</f>
        <v>196207.53</v>
      </c>
      <c r="F168" s="165">
        <f t="shared" si="19"/>
        <v>196594.41</v>
      </c>
      <c r="G168" s="124">
        <f t="shared" si="17"/>
        <v>386.88000000000466</v>
      </c>
    </row>
    <row r="169" spans="1:9" ht="27.75">
      <c r="A169" s="1232" t="s">
        <v>100</v>
      </c>
      <c r="B169" s="1232"/>
      <c r="C169" s="1232"/>
      <c r="D169" s="174" t="s">
        <v>186</v>
      </c>
      <c r="E169" s="165">
        <f t="shared" ref="E169" si="22">E66</f>
        <v>94990.83</v>
      </c>
      <c r="F169" s="165">
        <f t="shared" si="19"/>
        <v>95381.97</v>
      </c>
      <c r="G169" s="124">
        <f t="shared" si="17"/>
        <v>391.13999999999942</v>
      </c>
    </row>
    <row r="170" spans="1:9" ht="27.75">
      <c r="A170" s="1232" t="s">
        <v>101</v>
      </c>
      <c r="B170" s="1232"/>
      <c r="C170" s="1232"/>
      <c r="D170" s="174" t="s">
        <v>186</v>
      </c>
      <c r="E170" s="165">
        <f t="shared" ref="E170" si="23">E67</f>
        <v>296594.51</v>
      </c>
      <c r="F170" s="165">
        <f t="shared" si="19"/>
        <v>297032.84999999998</v>
      </c>
      <c r="G170" s="124">
        <f t="shared" si="17"/>
        <v>438.3399999999674</v>
      </c>
    </row>
    <row r="171" spans="1:9" ht="27.75">
      <c r="A171" s="1232" t="s">
        <v>102</v>
      </c>
      <c r="B171" s="1232"/>
      <c r="C171" s="1232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9" ht="27.75">
      <c r="A172" s="1232" t="s">
        <v>103</v>
      </c>
      <c r="B172" s="1232"/>
      <c r="C172" s="1232"/>
      <c r="D172" s="174" t="s">
        <v>186</v>
      </c>
      <c r="E172" s="165">
        <f t="shared" ref="E172" si="25">E69</f>
        <v>107570.18</v>
      </c>
      <c r="F172" s="165">
        <f t="shared" si="19"/>
        <v>107870.75</v>
      </c>
      <c r="G172" s="124">
        <f t="shared" si="17"/>
        <v>300.57000000000698</v>
      </c>
    </row>
    <row r="173" spans="1:9" ht="27.75">
      <c r="A173" s="1273" t="s">
        <v>337</v>
      </c>
      <c r="B173" s="1236"/>
      <c r="C173" s="1124"/>
      <c r="D173" s="174" t="s">
        <v>186</v>
      </c>
      <c r="E173" s="165">
        <f>'4'!F173</f>
        <v>19228.7</v>
      </c>
      <c r="F173" s="165">
        <v>19230.099999999999</v>
      </c>
      <c r="G173" s="124">
        <f t="shared" si="17"/>
        <v>1.3999999999978172</v>
      </c>
      <c r="I173" s="124"/>
    </row>
    <row r="174" spans="1:9">
      <c r="A174" s="1273" t="s">
        <v>337</v>
      </c>
      <c r="B174" s="1236"/>
      <c r="C174" s="436"/>
      <c r="D174" s="174" t="s">
        <v>186</v>
      </c>
      <c r="E174" s="165">
        <f>'4'!F174</f>
        <v>70759.600000000006</v>
      </c>
      <c r="F174" s="183">
        <v>70765.899999999994</v>
      </c>
      <c r="G174" s="124">
        <f t="shared" si="17"/>
        <v>6.2999999999883585</v>
      </c>
    </row>
    <row r="175" spans="1:9">
      <c r="A175" s="1125" t="s">
        <v>338</v>
      </c>
      <c r="B175" s="1126"/>
      <c r="C175" s="436"/>
      <c r="D175" s="174" t="s">
        <v>186</v>
      </c>
      <c r="E175" s="165">
        <f>'4'!F175</f>
        <v>27984.799999999999</v>
      </c>
      <c r="F175" s="183">
        <v>27990.1</v>
      </c>
      <c r="G175" s="124">
        <f t="shared" si="17"/>
        <v>5.2999999999992724</v>
      </c>
    </row>
    <row r="177" spans="1:9" ht="29.25" customHeight="1">
      <c r="A177" s="1296" t="s">
        <v>382</v>
      </c>
      <c r="B177" s="1296"/>
      <c r="C177" s="1296"/>
      <c r="D177" s="1296"/>
      <c r="E177" s="1296"/>
      <c r="F177" s="1296"/>
      <c r="G177" s="1296"/>
      <c r="I177" s="188" t="s">
        <v>214</v>
      </c>
    </row>
    <row r="178" spans="1:9">
      <c r="A178" s="435"/>
      <c r="B178" s="436"/>
      <c r="C178" s="436"/>
      <c r="D178" s="174" t="s">
        <v>186</v>
      </c>
      <c r="E178" s="193">
        <v>0</v>
      </c>
      <c r="F178" s="193"/>
      <c r="G178" s="124">
        <f t="shared" ref="G178:G184" si="26">F178-E178</f>
        <v>0</v>
      </c>
    </row>
    <row r="179" spans="1:9">
      <c r="A179" s="435" t="s">
        <v>383</v>
      </c>
      <c r="B179" s="436"/>
      <c r="C179" s="436"/>
      <c r="D179" s="174" t="s">
        <v>186</v>
      </c>
      <c r="E179" s="193">
        <v>0</v>
      </c>
      <c r="F179" s="193"/>
      <c r="G179" s="124">
        <f t="shared" si="26"/>
        <v>0</v>
      </c>
    </row>
    <row r="180" spans="1:9">
      <c r="A180" s="435" t="s">
        <v>384</v>
      </c>
      <c r="B180" s="436"/>
      <c r="C180" s="436"/>
      <c r="D180" s="174" t="s">
        <v>186</v>
      </c>
      <c r="E180" s="193">
        <v>0</v>
      </c>
      <c r="F180" s="193"/>
      <c r="G180" s="124">
        <f t="shared" si="26"/>
        <v>0</v>
      </c>
    </row>
    <row r="181" spans="1:9">
      <c r="A181" s="435" t="s">
        <v>385</v>
      </c>
      <c r="B181" s="436"/>
      <c r="C181" s="436"/>
      <c r="D181" s="174" t="s">
        <v>186</v>
      </c>
      <c r="E181" s="193">
        <v>0</v>
      </c>
      <c r="F181" s="193"/>
      <c r="G181" s="124">
        <f t="shared" si="26"/>
        <v>0</v>
      </c>
    </row>
    <row r="182" spans="1:9">
      <c r="A182" s="435" t="s">
        <v>386</v>
      </c>
      <c r="B182" s="436"/>
      <c r="C182" s="436"/>
      <c r="D182" s="174" t="s">
        <v>186</v>
      </c>
      <c r="E182" s="193">
        <v>0</v>
      </c>
      <c r="F182" s="193"/>
      <c r="G182" s="124">
        <f t="shared" si="26"/>
        <v>0</v>
      </c>
    </row>
    <row r="183" spans="1:9">
      <c r="A183" s="435" t="s">
        <v>387</v>
      </c>
      <c r="B183" s="436"/>
      <c r="C183" s="436"/>
      <c r="D183" s="174" t="s">
        <v>186</v>
      </c>
      <c r="E183" s="193">
        <v>0</v>
      </c>
      <c r="F183" s="193"/>
      <c r="G183" s="124">
        <f t="shared" si="26"/>
        <v>0</v>
      </c>
    </row>
    <row r="184" spans="1:9">
      <c r="A184" s="435" t="s">
        <v>388</v>
      </c>
      <c r="B184" s="436"/>
      <c r="C184" s="436"/>
      <c r="D184" s="174" t="s">
        <v>186</v>
      </c>
      <c r="E184" s="193">
        <v>0</v>
      </c>
      <c r="F184" s="193"/>
      <c r="G184" s="124">
        <f t="shared" si="26"/>
        <v>0</v>
      </c>
    </row>
  </sheetData>
  <mergeCells count="78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45:C145"/>
    <mergeCell ref="A146:C146"/>
    <mergeCell ref="A147:C147"/>
    <mergeCell ref="A148:C148"/>
    <mergeCell ref="A149:C149"/>
    <mergeCell ref="A154:C154"/>
    <mergeCell ref="A153:C153"/>
    <mergeCell ref="A150:C150"/>
    <mergeCell ref="A151:C151"/>
    <mergeCell ref="A152:C152"/>
    <mergeCell ref="A177:G177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</mergeCells>
  <pageMargins left="0.22" right="0.17" top="0.14000000000000001" bottom="0.2" header="0.2" footer="0.2"/>
  <pageSetup paperSize="5" scale="1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84"/>
  <sheetViews>
    <sheetView view="pageBreakPreview" topLeftCell="A157" zoomScale="60" workbookViewId="0">
      <selection activeCell="H86" sqref="H86"/>
    </sheetView>
  </sheetViews>
  <sheetFormatPr defaultColWidth="22.33203125" defaultRowHeight="29.2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7" s="57" customFormat="1" ht="27">
      <c r="A2" s="226" t="s">
        <v>339</v>
      </c>
      <c r="B2" s="682">
        <v>44414</v>
      </c>
      <c r="C2" s="761" t="s">
        <v>68</v>
      </c>
      <c r="D2" s="262">
        <v>0.7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>
      <c r="A3" s="221"/>
      <c r="B3" s="265"/>
      <c r="C3" s="761" t="s">
        <v>119</v>
      </c>
      <c r="D3" s="263">
        <v>34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7" s="57" customFormat="1" ht="27">
      <c r="A4" s="227"/>
      <c r="B4" s="267"/>
      <c r="C4" s="761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>
      <c r="A7" s="327" t="s">
        <v>130</v>
      </c>
      <c r="B7" s="328"/>
      <c r="C7" s="328"/>
      <c r="D7" s="288" t="s">
        <v>131</v>
      </c>
      <c r="E7" s="284">
        <f>'5'!F7</f>
        <v>409816.03</v>
      </c>
      <c r="F7" s="106">
        <v>431763.47</v>
      </c>
      <c r="G7" s="340">
        <f>F7-E7</f>
        <v>21947.439999999944</v>
      </c>
      <c r="H7" s="330">
        <f>G7+'5'!H7</f>
        <v>133072.46999999997</v>
      </c>
      <c r="I7" s="331">
        <f>'1'!I7</f>
        <v>12000</v>
      </c>
      <c r="J7" s="332">
        <f>H7/DAY(B2)</f>
        <v>22178.744999999995</v>
      </c>
      <c r="K7" s="200"/>
      <c r="L7" s="68"/>
      <c r="N7" s="359"/>
    </row>
    <row r="8" spans="1:17" ht="27.75" thickBot="1">
      <c r="A8" s="333" t="s">
        <v>132</v>
      </c>
      <c r="B8" s="334"/>
      <c r="C8" s="335"/>
      <c r="D8" s="336" t="s">
        <v>25</v>
      </c>
      <c r="E8" s="284">
        <f>'5'!F8</f>
        <v>421136.15</v>
      </c>
      <c r="F8" s="126">
        <v>443191.67</v>
      </c>
      <c r="G8" s="340">
        <f t="shared" ref="G8:G12" si="0">F8-E8</f>
        <v>22055.51999999996</v>
      </c>
      <c r="H8" s="330">
        <f>G8+'5'!H8</f>
        <v>133619.66999999998</v>
      </c>
      <c r="I8" s="337">
        <v>12000</v>
      </c>
      <c r="J8" s="332">
        <f>H8/DAY(B2)</f>
        <v>22269.944999999996</v>
      </c>
      <c r="K8" s="200"/>
      <c r="L8" s="78"/>
      <c r="M8" s="91"/>
      <c r="N8" s="354"/>
      <c r="O8" s="73"/>
    </row>
    <row r="9" spans="1:17">
      <c r="A9" s="338" t="s">
        <v>133</v>
      </c>
      <c r="B9" s="339"/>
      <c r="C9" s="339"/>
      <c r="D9" s="288" t="s">
        <v>131</v>
      </c>
      <c r="E9" s="284">
        <f>'5'!F9</f>
        <v>190309.31</v>
      </c>
      <c r="F9" s="129">
        <v>211584.75</v>
      </c>
      <c r="G9" s="340">
        <f t="shared" si="0"/>
        <v>21275.440000000002</v>
      </c>
      <c r="H9" s="330">
        <f>G9+'5'!H9</f>
        <v>129054.75</v>
      </c>
      <c r="I9" s="341">
        <f>I8-J8</f>
        <v>-10269.944999999996</v>
      </c>
      <c r="J9" s="332">
        <f>H9/DAY(B2)</f>
        <v>21509.125</v>
      </c>
      <c r="K9" s="81"/>
      <c r="L9" s="68"/>
      <c r="N9" s="73"/>
      <c r="O9" s="91"/>
    </row>
    <row r="10" spans="1:17">
      <c r="A10" s="327" t="s">
        <v>134</v>
      </c>
      <c r="B10" s="328"/>
      <c r="C10" s="328"/>
      <c r="D10" s="288" t="s">
        <v>131</v>
      </c>
      <c r="E10" s="284">
        <f>'5'!F10</f>
        <v>2606.5500000000002</v>
      </c>
      <c r="F10" s="129">
        <v>2606.5500000000002</v>
      </c>
      <c r="G10" s="340">
        <f t="shared" si="0"/>
        <v>0</v>
      </c>
      <c r="H10" s="330">
        <f>G10+'5'!H10</f>
        <v>-0.4499999999998181</v>
      </c>
      <c r="I10" s="342"/>
      <c r="J10" s="332">
        <f>H10/DAY(B2)</f>
        <v>-7.4999999999969688E-2</v>
      </c>
      <c r="K10" s="81"/>
      <c r="L10" s="68"/>
      <c r="N10" s="73"/>
      <c r="O10" s="91"/>
      <c r="Q10" s="91"/>
    </row>
    <row r="11" spans="1:17">
      <c r="A11" s="327" t="s">
        <v>135</v>
      </c>
      <c r="B11" s="328"/>
      <c r="C11" s="328"/>
      <c r="D11" s="288" t="s">
        <v>131</v>
      </c>
      <c r="E11" s="284">
        <f>'5'!F11</f>
        <v>37000</v>
      </c>
      <c r="F11" s="106">
        <v>37000</v>
      </c>
      <c r="G11" s="340">
        <f t="shared" si="0"/>
        <v>0</v>
      </c>
      <c r="H11" s="330">
        <f>G11+'5'!H11</f>
        <v>0</v>
      </c>
      <c r="I11" s="342"/>
      <c r="J11" s="332">
        <f>H11/DAY(B2)</f>
        <v>0</v>
      </c>
      <c r="K11" s="81"/>
      <c r="L11" s="68"/>
      <c r="N11" s="73"/>
      <c r="O11" s="91"/>
      <c r="Q11" s="91"/>
    </row>
    <row r="12" spans="1:17">
      <c r="A12" s="327" t="s">
        <v>136</v>
      </c>
      <c r="B12" s="328"/>
      <c r="C12" s="328"/>
      <c r="D12" s="288" t="s">
        <v>131</v>
      </c>
      <c r="E12" s="284">
        <f>'5'!F12</f>
        <v>40010</v>
      </c>
      <c r="F12" s="129">
        <v>40010</v>
      </c>
      <c r="G12" s="340">
        <f t="shared" si="0"/>
        <v>0</v>
      </c>
      <c r="H12" s="330">
        <f>G12+'5'!H12</f>
        <v>0</v>
      </c>
      <c r="I12" s="342"/>
      <c r="J12" s="332">
        <f>H12/DAY(B2)</f>
        <v>0</v>
      </c>
      <c r="K12" s="81"/>
      <c r="L12" s="68"/>
      <c r="N12" s="73"/>
      <c r="O12" s="91"/>
      <c r="Q12" s="91"/>
    </row>
    <row r="13" spans="1:17">
      <c r="A13" s="343" t="s">
        <v>137</v>
      </c>
      <c r="B13" s="344"/>
      <c r="C13" s="344"/>
      <c r="D13" s="288"/>
      <c r="E13" s="284"/>
      <c r="F13" s="106"/>
      <c r="G13" s="345">
        <f>G9+G10+G11+G12</f>
        <v>21275.440000000002</v>
      </c>
      <c r="H13" s="330">
        <f>G13+'5'!H13</f>
        <v>105743.81</v>
      </c>
      <c r="I13" s="346">
        <f>G7-G13</f>
        <v>671.99999999994179</v>
      </c>
      <c r="J13" s="332">
        <f>H13/DAY(B2)</f>
        <v>17623.968333333334</v>
      </c>
      <c r="K13" s="81"/>
      <c r="L13" s="68"/>
      <c r="N13" s="73"/>
      <c r="O13" s="91"/>
      <c r="Q13" s="91"/>
    </row>
    <row r="14" spans="1:17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>
      <c r="A15" s="443" t="s">
        <v>139</v>
      </c>
      <c r="B15" s="438"/>
      <c r="C15" s="438"/>
      <c r="D15" s="175" t="s">
        <v>140</v>
      </c>
      <c r="E15" s="136">
        <f>'5'!F15</f>
        <v>1760875.1</v>
      </c>
      <c r="F15" s="136">
        <v>1761795.42</v>
      </c>
      <c r="G15" s="124">
        <f>(F15-E15)</f>
        <v>920.31999999983236</v>
      </c>
      <c r="H15" s="137">
        <f>G15+'5'!H15</f>
        <v>5265.4199999999255</v>
      </c>
      <c r="I15" s="125">
        <v>800</v>
      </c>
      <c r="J15" s="204">
        <f>H15/DAY(B2)</f>
        <v>877.56999999998754</v>
      </c>
      <c r="K15" s="81"/>
      <c r="L15" s="68"/>
      <c r="N15" s="73"/>
    </row>
    <row r="16" spans="1:17">
      <c r="A16" s="441"/>
      <c r="B16" s="442"/>
      <c r="C16" s="442"/>
      <c r="D16" s="439"/>
      <c r="E16" s="440"/>
      <c r="F16" s="136"/>
      <c r="G16" s="685"/>
      <c r="H16" s="698"/>
      <c r="I16" s="138">
        <f>I15-J15</f>
        <v>-77.569999999987544</v>
      </c>
      <c r="J16" s="699"/>
      <c r="K16" s="81"/>
      <c r="L16" s="68"/>
      <c r="N16" s="73"/>
    </row>
    <row r="17" spans="1:14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93" t="s">
        <v>142</v>
      </c>
      <c r="B18" s="1294"/>
      <c r="C18" s="1295"/>
      <c r="D18" s="289" t="s">
        <v>143</v>
      </c>
      <c r="E18" s="287">
        <f>'5'!F18</f>
        <v>20</v>
      </c>
      <c r="F18" s="136">
        <v>10</v>
      </c>
      <c r="G18" s="340">
        <f>F18*10</f>
        <v>100</v>
      </c>
      <c r="H18" s="330">
        <f>G18+'5'!H18</f>
        <v>820</v>
      </c>
      <c r="I18" s="331">
        <f>'1'!I18</f>
        <v>65</v>
      </c>
      <c r="J18" s="332">
        <f>H18/DAY(B2)</f>
        <v>136.66666666666666</v>
      </c>
      <c r="K18" s="81"/>
      <c r="L18" s="68"/>
      <c r="N18" s="73"/>
    </row>
    <row r="19" spans="1:14" ht="27.75">
      <c r="A19" s="1293" t="s">
        <v>70</v>
      </c>
      <c r="B19" s="1294"/>
      <c r="C19" s="1295"/>
      <c r="D19" s="288" t="s">
        <v>143</v>
      </c>
      <c r="E19" s="285">
        <f>'5'!F19</f>
        <v>145652</v>
      </c>
      <c r="F19" s="129">
        <v>145715</v>
      </c>
      <c r="G19" s="340">
        <f t="shared" ref="G19" si="1">F19-E19</f>
        <v>63</v>
      </c>
      <c r="H19" s="330">
        <f>G19+'5'!H19</f>
        <v>377</v>
      </c>
      <c r="I19" s="347"/>
      <c r="J19" s="332">
        <f>H19/DAY(B2)</f>
        <v>62.833333333333336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163</v>
      </c>
      <c r="H20" s="330">
        <f>G20+'5'!H20</f>
        <v>1197</v>
      </c>
      <c r="I20" s="349">
        <f>I18-J20</f>
        <v>-134.5</v>
      </c>
      <c r="J20" s="332">
        <f>H20/DAY(B2)</f>
        <v>199.5</v>
      </c>
      <c r="K20" s="81"/>
      <c r="L20" s="68"/>
      <c r="N20" s="73"/>
    </row>
    <row r="21" spans="1:14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9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59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22055.51999999996</v>
      </c>
      <c r="F27" s="152">
        <v>9</v>
      </c>
      <c r="G27" s="153">
        <f>E27*F27</f>
        <v>198499.67999999964</v>
      </c>
      <c r="H27" s="111">
        <f>G27+'5'!H27</f>
        <v>1202577.0299999998</v>
      </c>
      <c r="I27" s="154"/>
      <c r="J27" s="203">
        <f>H27/DAY(B2)</f>
        <v>200429.50499999998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920.31999999983236</v>
      </c>
      <c r="F28" s="152">
        <v>54.5</v>
      </c>
      <c r="G28" s="153">
        <f t="shared" ref="G28:G31" si="3">E28*F28</f>
        <v>50157.439999990864</v>
      </c>
      <c r="H28" s="111">
        <f>G28+'5'!H28</f>
        <v>292879.51659999602</v>
      </c>
      <c r="I28" s="156"/>
      <c r="J28" s="203">
        <f>H28/DAY(B2)</f>
        <v>48813.252766666003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 t="shared" si="3"/>
        <v>9198</v>
      </c>
      <c r="H30" s="111">
        <f>G30+'5'!H30</f>
        <v>55042</v>
      </c>
      <c r="I30" s="156"/>
      <c r="J30" s="203">
        <f>H30/DAY(B2)</f>
        <v>9173.6666666666661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100</v>
      </c>
      <c r="F31" s="152">
        <v>80</v>
      </c>
      <c r="G31" s="153">
        <f t="shared" si="3"/>
        <v>8000</v>
      </c>
      <c r="H31" s="111">
        <f>G31+'5'!H31</f>
        <v>65600</v>
      </c>
      <c r="I31" s="156"/>
      <c r="J31" s="203">
        <f>H31/DAY(B2)</f>
        <v>10933.333333333334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265855.11999999051</v>
      </c>
      <c r="H32" s="111">
        <f>G32+'5'!H32</f>
        <v>1616098.546599996</v>
      </c>
      <c r="I32" s="160"/>
      <c r="J32" s="203">
        <f>H32/DAY(B2)</f>
        <v>269349.75776666601</v>
      </c>
      <c r="K32" s="65"/>
      <c r="L32" s="94"/>
      <c r="N32" s="73"/>
    </row>
    <row r="33" spans="1:15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</row>
    <row r="34" spans="1:1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-0.69999999995343387</v>
      </c>
      <c r="I35" s="106"/>
      <c r="J35" s="203">
        <f>H35/DAY(B2)</f>
        <v>-0.11666666665890564</v>
      </c>
      <c r="K35" s="81"/>
      <c r="L35" s="68"/>
      <c r="N35" s="73"/>
    </row>
    <row r="36" spans="1:15">
      <c r="A36" s="229" t="s">
        <v>164</v>
      </c>
      <c r="B36" s="230"/>
      <c r="C36" s="230"/>
      <c r="D36" s="174" t="s">
        <v>131</v>
      </c>
      <c r="E36" s="161">
        <f>'5'!F36</f>
        <v>5766.69</v>
      </c>
      <c r="F36" s="161">
        <v>6452.67</v>
      </c>
      <c r="G36" s="124">
        <f t="shared" si="4"/>
        <v>685.98000000000047</v>
      </c>
      <c r="H36" s="111">
        <f>G36+'5'!H36</f>
        <v>4619.67</v>
      </c>
      <c r="I36" s="106"/>
      <c r="J36" s="203">
        <f>H36/DAY(B2)</f>
        <v>769.94500000000005</v>
      </c>
      <c r="K36" s="81"/>
      <c r="L36" s="68"/>
      <c r="N36" s="279"/>
      <c r="O36" s="152"/>
    </row>
    <row r="37" spans="1:15">
      <c r="A37" s="229" t="s">
        <v>165</v>
      </c>
      <c r="B37" s="230"/>
      <c r="C37" s="230"/>
      <c r="D37" s="174" t="s">
        <v>131</v>
      </c>
      <c r="E37" s="161">
        <f>'5'!F37</f>
        <v>10278.959999999999</v>
      </c>
      <c r="F37" s="1181">
        <v>12107.45</v>
      </c>
      <c r="G37" s="1183">
        <f t="shared" si="4"/>
        <v>1828.4900000000016</v>
      </c>
      <c r="H37" s="111">
        <f>G37+'5'!H37</f>
        <v>9332.4500000000007</v>
      </c>
      <c r="I37" s="106"/>
      <c r="J37" s="203">
        <f>H37/DAY(B2)</f>
        <v>1555.4083333333335</v>
      </c>
      <c r="K37" s="81"/>
      <c r="L37" s="68"/>
      <c r="N37" s="280"/>
      <c r="O37" s="152"/>
    </row>
    <row r="38" spans="1:15">
      <c r="A38" s="229" t="s">
        <v>166</v>
      </c>
      <c r="B38" s="230"/>
      <c r="C38" s="230"/>
      <c r="D38" s="174" t="s">
        <v>131</v>
      </c>
      <c r="E38" s="120">
        <f>'5'!F38</f>
        <v>13536.46</v>
      </c>
      <c r="F38" s="120">
        <v>15196.08</v>
      </c>
      <c r="G38" s="124">
        <f t="shared" si="4"/>
        <v>1659.6200000000008</v>
      </c>
      <c r="H38" s="111">
        <f>G38+'5'!H38</f>
        <v>10373.08</v>
      </c>
      <c r="I38" s="106"/>
      <c r="J38" s="203">
        <f>H38/DAY(B2)</f>
        <v>1728.8466666666666</v>
      </c>
      <c r="K38" s="81"/>
      <c r="L38" s="68"/>
      <c r="N38" s="73"/>
      <c r="O38" s="152"/>
    </row>
    <row r="39" spans="1:15">
      <c r="A39" s="229" t="s">
        <v>167</v>
      </c>
      <c r="B39" s="230"/>
      <c r="C39" s="230"/>
      <c r="D39" s="174" t="s">
        <v>131</v>
      </c>
      <c r="E39" s="161">
        <f>'5'!F39</f>
        <v>22874.51</v>
      </c>
      <c r="F39" s="161">
        <v>26758.39</v>
      </c>
      <c r="G39" s="124">
        <f t="shared" si="4"/>
        <v>3883.880000000001</v>
      </c>
      <c r="H39" s="111">
        <f>G39+'5'!H39</f>
        <v>22916.39</v>
      </c>
      <c r="I39" s="106"/>
      <c r="J39" s="203">
        <f>H39/DAY(B2)</f>
        <v>3819.3983333333331</v>
      </c>
      <c r="K39" s="81"/>
      <c r="L39" s="68"/>
      <c r="N39" s="73"/>
      <c r="O39" s="152"/>
    </row>
    <row r="40" spans="1:15">
      <c r="A40" s="250" t="s">
        <v>168</v>
      </c>
      <c r="B40" s="251"/>
      <c r="C40" s="251"/>
      <c r="D40" s="174" t="s">
        <v>131</v>
      </c>
      <c r="E40" s="161">
        <f>'5'!F40</f>
        <v>0</v>
      </c>
      <c r="F40" s="161">
        <v>0</v>
      </c>
      <c r="G40" s="124">
        <f t="shared" si="4"/>
        <v>0</v>
      </c>
      <c r="H40" s="111">
        <f>G40+'5'!H40</f>
        <v>157.40000000000146</v>
      </c>
      <c r="I40" s="106"/>
      <c r="J40" s="203">
        <f>H40/DAY(B2)</f>
        <v>26.233333333333576</v>
      </c>
      <c r="K40" s="82"/>
      <c r="L40" s="68"/>
      <c r="N40" s="73"/>
      <c r="O40" s="152"/>
    </row>
    <row r="41" spans="1:15">
      <c r="A41" s="229" t="s">
        <v>169</v>
      </c>
      <c r="B41" s="230"/>
      <c r="C41" s="230"/>
      <c r="D41" s="174" t="s">
        <v>131</v>
      </c>
      <c r="E41" s="161">
        <f>'5'!F41</f>
        <v>440785.59</v>
      </c>
      <c r="F41" s="161">
        <v>446173.51</v>
      </c>
      <c r="G41" s="124">
        <f>F41-E41</f>
        <v>5387.9199999999837</v>
      </c>
      <c r="H41" s="111">
        <f>G41+'5'!H41</f>
        <v>12891.72000000003</v>
      </c>
      <c r="I41" s="106"/>
      <c r="J41" s="203">
        <f>H41/DAY(B2)</f>
        <v>2148.6200000000049</v>
      </c>
      <c r="K41" s="81"/>
      <c r="L41" s="68"/>
      <c r="N41" s="73"/>
    </row>
    <row r="42" spans="1:15">
      <c r="A42" s="229" t="s">
        <v>170</v>
      </c>
      <c r="B42" s="230"/>
      <c r="C42" s="230"/>
      <c r="D42" s="174" t="s">
        <v>131</v>
      </c>
      <c r="E42" s="161">
        <f>'5'!F42</f>
        <v>196138.63</v>
      </c>
      <c r="F42" s="161">
        <v>197821.71</v>
      </c>
      <c r="G42" s="124">
        <f t="shared" si="4"/>
        <v>1683.0799999999872</v>
      </c>
      <c r="H42" s="111">
        <f>G42+'5'!H42</f>
        <v>22709.709999999992</v>
      </c>
      <c r="I42" s="106"/>
      <c r="J42" s="203">
        <f>H42/DAY(B2)</f>
        <v>3784.9516666666655</v>
      </c>
      <c r="K42" s="81"/>
      <c r="L42" s="68"/>
      <c r="N42" s="73"/>
    </row>
    <row r="43" spans="1:15">
      <c r="A43" s="229" t="s">
        <v>171</v>
      </c>
      <c r="B43" s="230"/>
      <c r="C43" s="230"/>
      <c r="D43" s="174" t="s">
        <v>131</v>
      </c>
      <c r="E43" s="161">
        <f>'5'!F43</f>
        <v>1303242.5</v>
      </c>
      <c r="F43" s="161">
        <v>1305904.3</v>
      </c>
      <c r="G43" s="124">
        <f t="shared" si="4"/>
        <v>2661.8000000000466</v>
      </c>
      <c r="H43" s="111">
        <f>G43+'5'!H43</f>
        <v>16159.300000000047</v>
      </c>
      <c r="I43" s="106"/>
      <c r="J43" s="203">
        <f>H43/DAY(B2)</f>
        <v>2693.2166666666744</v>
      </c>
      <c r="K43" s="81"/>
      <c r="L43" s="68"/>
      <c r="N43" s="73"/>
    </row>
    <row r="44" spans="1:15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17790.770000000022</v>
      </c>
      <c r="H47" s="111">
        <f>G47+'5'!H47</f>
        <v>99960.020000000106</v>
      </c>
      <c r="I47" s="106"/>
      <c r="J47" s="203">
        <f>H47/DAY(B2)</f>
        <v>16660.003333333352</v>
      </c>
      <c r="K47" s="81"/>
      <c r="L47" s="68"/>
      <c r="N47" s="73"/>
    </row>
    <row r="48" spans="1:1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'5'!F49</f>
        <v>17588.400000000001</v>
      </c>
      <c r="F49" s="1182">
        <v>20674.18</v>
      </c>
      <c r="G49" s="1183">
        <f t="shared" ref="G49:G58" si="5">F49-E49</f>
        <v>3085.7799999999988</v>
      </c>
      <c r="H49" s="111">
        <f>G49+'5'!H49</f>
        <v>18448.18</v>
      </c>
      <c r="I49" s="106"/>
      <c r="J49" s="203">
        <f>H49/DAY(B2)</f>
        <v>3074.6966666666667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'5'!F50</f>
        <v>614011.47</v>
      </c>
      <c r="F50" s="161">
        <v>614967.82999999996</v>
      </c>
      <c r="G50" s="124">
        <f t="shared" si="5"/>
        <v>956.35999999998603</v>
      </c>
      <c r="H50" s="111">
        <f>G50+'5'!H50</f>
        <v>7669.8299999999581</v>
      </c>
      <c r="I50" s="106"/>
      <c r="J50" s="203">
        <f>H50/DAY(B2)</f>
        <v>1278.304999999993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'5'!F51</f>
        <v>0</v>
      </c>
      <c r="F51" s="161">
        <v>0</v>
      </c>
      <c r="G51" s="124">
        <f t="shared" si="5"/>
        <v>0</v>
      </c>
      <c r="H51" s="111">
        <f>G51+'5'!H51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'5'!F52</f>
        <v>0</v>
      </c>
      <c r="F52" s="161">
        <v>0</v>
      </c>
      <c r="G52" s="124">
        <f t="shared" si="5"/>
        <v>0</v>
      </c>
      <c r="H52" s="111">
        <f>G52+'5'!H52</f>
        <v>0</v>
      </c>
      <c r="I52" s="106"/>
      <c r="J52" s="203">
        <f>H52/DAY(B2)</f>
        <v>0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'5'!F53</f>
        <v>0</v>
      </c>
      <c r="F53" s="161">
        <v>0</v>
      </c>
      <c r="G53" s="124">
        <f t="shared" si="5"/>
        <v>0</v>
      </c>
      <c r="H53" s="111">
        <f>G53+'5'!H53</f>
        <v>0</v>
      </c>
      <c r="I53" s="106"/>
      <c r="J53" s="203">
        <f>H53/DAY(B2)</f>
        <v>0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'5'!F54</f>
        <v>2635.59</v>
      </c>
      <c r="F54" s="161">
        <v>2639.35</v>
      </c>
      <c r="G54" s="124">
        <f t="shared" si="5"/>
        <v>3.7599999999997635</v>
      </c>
      <c r="H54" s="111">
        <f>G54+'5'!H54</f>
        <v>178.34999999999991</v>
      </c>
      <c r="I54" s="106"/>
      <c r="J54" s="203">
        <f>H54/DAY(B2)</f>
        <v>29.724999999999984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'5'!F55</f>
        <v>306268.99</v>
      </c>
      <c r="F55" s="304">
        <v>306268.99</v>
      </c>
      <c r="G55" s="303">
        <f t="shared" si="5"/>
        <v>0</v>
      </c>
      <c r="H55" s="356">
        <f>G55+'5'!H55</f>
        <v>0</v>
      </c>
      <c r="I55" s="357"/>
      <c r="J55" s="358">
        <f>H55/DAY(B2)</f>
        <v>0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'5'!F56</f>
        <v>666159.43000000005</v>
      </c>
      <c r="F56" s="702">
        <v>666171.55000000005</v>
      </c>
      <c r="G56" s="124">
        <f t="shared" si="5"/>
        <v>12.119999999995343</v>
      </c>
      <c r="H56" s="111">
        <f>G56+'5'!H56</f>
        <v>5152.5500000000466</v>
      </c>
      <c r="I56" s="106"/>
      <c r="J56" s="203">
        <f>H56/DAY(B2)</f>
        <v>858.75833333334106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3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'5'!F58</f>
        <v>67012.31</v>
      </c>
      <c r="F58" s="304">
        <v>67214.899999999994</v>
      </c>
      <c r="G58" s="124">
        <f t="shared" si="5"/>
        <v>202.58999999999651</v>
      </c>
      <c r="H58" s="111">
        <f>G58+'5'!H58</f>
        <v>1200.8999999999942</v>
      </c>
      <c r="I58" s="106"/>
      <c r="J58" s="203">
        <f>H58/DAY(B2)</f>
        <v>200.14999999999904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4260.6099999999769</v>
      </c>
      <c r="H59" s="111">
        <f>G59+'5'!H59</f>
        <v>32649.810000000005</v>
      </c>
      <c r="I59" s="106">
        <f>G7-G60</f>
        <v>-103.94000000005326</v>
      </c>
      <c r="J59" s="203">
        <f>H59/DAY(B2)</f>
        <v>5441.6350000000011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22051.379999999997</v>
      </c>
      <c r="H60" s="111">
        <f>G60+'5'!H60</f>
        <v>132609.83000000013</v>
      </c>
      <c r="I60" s="106">
        <f>G13-G60</f>
        <v>-775.93999999999505</v>
      </c>
      <c r="J60" s="203">
        <f>H60/DAY(B2)</f>
        <v>22101.638333333354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4</v>
      </c>
      <c r="G63" s="124">
        <f t="shared" si="6"/>
        <v>4</v>
      </c>
      <c r="H63" s="111">
        <f>G63+'5'!H63</f>
        <v>4</v>
      </c>
      <c r="I63" s="166"/>
      <c r="J63" s="203">
        <f>H63/DAY(B2)</f>
        <v>0.66666666666666663</v>
      </c>
      <c r="K63" s="81"/>
      <c r="L63" s="68"/>
      <c r="N63" s="73"/>
    </row>
    <row r="64" spans="1:14" ht="27.75">
      <c r="A64" s="1226" t="s">
        <v>98</v>
      </c>
      <c r="B64" s="1227"/>
      <c r="C64" s="1228"/>
      <c r="D64" s="174" t="s">
        <v>186</v>
      </c>
      <c r="E64" s="135">
        <f>'5'!F64</f>
        <v>196277.1</v>
      </c>
      <c r="F64" s="129">
        <v>196711.79</v>
      </c>
      <c r="G64" s="124">
        <f t="shared" si="6"/>
        <v>434.69000000000233</v>
      </c>
      <c r="H64" s="111">
        <f>G64+'5'!H64</f>
        <v>2494.7900000000081</v>
      </c>
      <c r="I64" s="131"/>
      <c r="J64" s="203">
        <f>H64/DAY(B2)</f>
        <v>415.79833333333471</v>
      </c>
      <c r="K64" s="81"/>
      <c r="L64" s="68"/>
      <c r="N64" s="73"/>
    </row>
    <row r="65" spans="1:14" ht="27.75">
      <c r="A65" s="1226" t="s">
        <v>99</v>
      </c>
      <c r="B65" s="1227"/>
      <c r="C65" s="1228"/>
      <c r="D65" s="174" t="s">
        <v>186</v>
      </c>
      <c r="E65" s="135">
        <f>'5'!F65</f>
        <v>196594.41</v>
      </c>
      <c r="F65" s="302">
        <v>196984.49</v>
      </c>
      <c r="G65" s="124">
        <f t="shared" si="6"/>
        <v>390.07999999998719</v>
      </c>
      <c r="H65" s="111">
        <f>G65+'5'!H65</f>
        <v>2355.4899999999907</v>
      </c>
      <c r="I65" s="140"/>
      <c r="J65" s="203">
        <f>H65/DAY(B2)</f>
        <v>392.58166666666511</v>
      </c>
      <c r="K65" s="81"/>
      <c r="L65" s="68"/>
      <c r="N65" s="73"/>
    </row>
    <row r="66" spans="1:14" ht="27.75">
      <c r="A66" s="1226" t="s">
        <v>100</v>
      </c>
      <c r="B66" s="1227"/>
      <c r="C66" s="1228"/>
      <c r="D66" s="174" t="s">
        <v>186</v>
      </c>
      <c r="E66" s="135">
        <f>'5'!F66</f>
        <v>95381.97</v>
      </c>
      <c r="F66" s="129">
        <v>95784.54</v>
      </c>
      <c r="G66" s="124">
        <f t="shared" si="6"/>
        <v>402.56999999999243</v>
      </c>
      <c r="H66" s="111">
        <f>G66+'5'!H66</f>
        <v>2467.5399999999936</v>
      </c>
      <c r="I66" s="131"/>
      <c r="J66" s="203">
        <f>H66/DAY(B2)</f>
        <v>411.25666666666558</v>
      </c>
      <c r="K66" s="81"/>
      <c r="L66" s="68"/>
      <c r="N66" s="73"/>
    </row>
    <row r="67" spans="1:14" ht="27.75">
      <c r="A67" s="1226" t="s">
        <v>101</v>
      </c>
      <c r="B67" s="1227"/>
      <c r="C67" s="1228"/>
      <c r="D67" s="174" t="s">
        <v>186</v>
      </c>
      <c r="E67" s="135">
        <f>'5'!F67</f>
        <v>297032.84999999998</v>
      </c>
      <c r="F67" s="129">
        <v>297490.17</v>
      </c>
      <c r="G67" s="124">
        <f t="shared" si="6"/>
        <v>457.32000000000698</v>
      </c>
      <c r="H67" s="111">
        <f>G67+'5'!H67</f>
        <v>2599.1699999999837</v>
      </c>
      <c r="I67" s="140"/>
      <c r="J67" s="203">
        <f>H67/DAY(B2)</f>
        <v>433.19499999999726</v>
      </c>
      <c r="K67" s="82"/>
      <c r="L67" s="68"/>
      <c r="N67" s="73"/>
    </row>
    <row r="68" spans="1:14" ht="27.75">
      <c r="A68" s="1226" t="s">
        <v>102</v>
      </c>
      <c r="B68" s="1227"/>
      <c r="C68" s="1228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226" t="s">
        <v>103</v>
      </c>
      <c r="B69" s="1227"/>
      <c r="C69" s="1228"/>
      <c r="D69" s="174" t="s">
        <v>186</v>
      </c>
      <c r="E69" s="135">
        <f>'5'!F69</f>
        <v>107870.75</v>
      </c>
      <c r="F69" s="129">
        <v>108167.62</v>
      </c>
      <c r="G69" s="124">
        <f t="shared" si="6"/>
        <v>296.86999999999534</v>
      </c>
      <c r="H69" s="111">
        <f>G69+'5'!H69</f>
        <v>1761.6199999999953</v>
      </c>
      <c r="I69" s="167"/>
      <c r="J69" s="203">
        <f>H69/DAY(B2)</f>
        <v>293.60333333333256</v>
      </c>
      <c r="K69" s="84"/>
      <c r="L69" s="68"/>
      <c r="N69" s="73"/>
    </row>
    <row r="70" spans="1:14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</row>
    <row r="72" spans="1:14" ht="27.75">
      <c r="A72" s="1226" t="s">
        <v>190</v>
      </c>
      <c r="B72" s="1227"/>
      <c r="C72" s="1228"/>
      <c r="D72" s="174" t="s">
        <v>186</v>
      </c>
      <c r="E72" s="170">
        <f>'5'!F72</f>
        <v>857058</v>
      </c>
      <c r="F72" s="305">
        <v>857064</v>
      </c>
      <c r="G72" s="124">
        <f t="shared" ref="G72:G84" si="7">F72-E72</f>
        <v>6</v>
      </c>
      <c r="H72" s="111">
        <f>G72+'5'!H72</f>
        <v>42</v>
      </c>
      <c r="I72" s="131"/>
      <c r="J72" s="203">
        <f>H72/DAY(B2)</f>
        <v>7</v>
      </c>
      <c r="K72" s="84"/>
      <c r="L72" s="68"/>
      <c r="N72" s="73"/>
    </row>
    <row r="73" spans="1:14" ht="27.75">
      <c r="A73" s="1226" t="s">
        <v>191</v>
      </c>
      <c r="B73" s="1227"/>
      <c r="C73" s="1228"/>
      <c r="D73" s="174" t="s">
        <v>186</v>
      </c>
      <c r="E73" s="171">
        <f>'5'!F73</f>
        <v>886053</v>
      </c>
      <c r="F73" s="306">
        <v>886053</v>
      </c>
      <c r="G73" s="303">
        <f t="shared" si="7"/>
        <v>0</v>
      </c>
      <c r="H73" s="111">
        <f>G73+'5'!H73</f>
        <v>2</v>
      </c>
      <c r="I73" s="131"/>
      <c r="J73" s="203">
        <f>H73/DAY(B2)</f>
        <v>0.33333333333333331</v>
      </c>
      <c r="K73" s="83"/>
      <c r="L73" s="68"/>
      <c r="N73" s="73"/>
    </row>
    <row r="74" spans="1:14" ht="27.75">
      <c r="A74" s="1226" t="s">
        <v>192</v>
      </c>
      <c r="B74" s="1227"/>
      <c r="C74" s="1228"/>
      <c r="D74" s="174" t="s">
        <v>186</v>
      </c>
      <c r="E74" s="172">
        <f>'5'!F74</f>
        <v>88777.600000000006</v>
      </c>
      <c r="F74" s="305">
        <v>88778.7</v>
      </c>
      <c r="G74" s="124">
        <f t="shared" si="7"/>
        <v>1.0999999999912689</v>
      </c>
      <c r="H74" s="111">
        <f>G74+'5'!H74</f>
        <v>16.69999999999709</v>
      </c>
      <c r="I74" s="131"/>
      <c r="J74" s="203">
        <f>H74/DAY(B2)</f>
        <v>2.7833333333328483</v>
      </c>
      <c r="K74" s="84"/>
      <c r="L74" s="68"/>
      <c r="N74" s="73"/>
    </row>
    <row r="75" spans="1:14" ht="27.75">
      <c r="A75" s="1229" t="s">
        <v>193</v>
      </c>
      <c r="B75" s="1230"/>
      <c r="C75" s="1231"/>
      <c r="D75" s="174" t="s">
        <v>186</v>
      </c>
      <c r="E75" s="171">
        <f>'5'!F75</f>
        <v>27243.38</v>
      </c>
      <c r="F75" s="306">
        <v>27428.639999999999</v>
      </c>
      <c r="G75" s="124">
        <f t="shared" si="7"/>
        <v>185.2599999999984</v>
      </c>
      <c r="H75" s="111">
        <f>G75+'5'!H75</f>
        <v>1120.6399999999994</v>
      </c>
      <c r="I75" s="131"/>
      <c r="J75" s="203">
        <f>H75/DAY(B2)</f>
        <v>186.77333333333323</v>
      </c>
      <c r="K75" s="83"/>
      <c r="L75" s="68"/>
      <c r="N75" s="73"/>
    </row>
    <row r="76" spans="1:14" ht="27.75">
      <c r="A76" s="1229" t="s">
        <v>194</v>
      </c>
      <c r="B76" s="1230"/>
      <c r="C76" s="1231"/>
      <c r="D76" s="174" t="s">
        <v>186</v>
      </c>
      <c r="E76" s="171">
        <f>'5'!F76</f>
        <v>13623.7</v>
      </c>
      <c r="F76" s="306">
        <v>13688.67</v>
      </c>
      <c r="G76" s="124">
        <f t="shared" si="7"/>
        <v>64.969999999999345</v>
      </c>
      <c r="H76" s="111">
        <f>G76+'5'!H76</f>
        <v>411.67000000000007</v>
      </c>
      <c r="I76" s="156"/>
      <c r="J76" s="203">
        <f>H76/DAY(B2)</f>
        <v>68.611666666666679</v>
      </c>
      <c r="K76" s="83"/>
      <c r="L76" s="68"/>
      <c r="N76" s="73"/>
    </row>
    <row r="77" spans="1:14" ht="27.75">
      <c r="A77" s="1226" t="s">
        <v>195</v>
      </c>
      <c r="B77" s="1227"/>
      <c r="C77" s="1228"/>
      <c r="D77" s="174" t="s">
        <v>186</v>
      </c>
      <c r="E77" s="171">
        <f>'5'!F77</f>
        <v>708544</v>
      </c>
      <c r="F77" s="306">
        <v>708592</v>
      </c>
      <c r="G77" s="303">
        <f t="shared" si="7"/>
        <v>48</v>
      </c>
      <c r="H77" s="111">
        <f>G77+'5'!H77</f>
        <v>303</v>
      </c>
      <c r="I77" s="156"/>
      <c r="J77" s="203">
        <f>H77/DAY(B2)</f>
        <v>50.5</v>
      </c>
      <c r="K77" s="83"/>
      <c r="L77" s="68"/>
      <c r="N77" s="73"/>
    </row>
    <row r="78" spans="1:14" ht="27.75">
      <c r="A78" s="762" t="s">
        <v>196</v>
      </c>
      <c r="B78" s="754"/>
      <c r="C78" s="754"/>
      <c r="D78" s="174" t="s">
        <v>186</v>
      </c>
      <c r="E78" s="172">
        <f>'5'!F78</f>
        <v>682584</v>
      </c>
      <c r="F78" s="307">
        <v>682722</v>
      </c>
      <c r="G78" s="124">
        <f t="shared" si="7"/>
        <v>138</v>
      </c>
      <c r="H78" s="111">
        <f>G78+'5'!H78</f>
        <v>309</v>
      </c>
      <c r="I78" s="156"/>
      <c r="J78" s="203">
        <f>H78/DAY(B2)</f>
        <v>51.5</v>
      </c>
      <c r="K78" s="83"/>
      <c r="L78" s="68"/>
      <c r="N78" s="73"/>
    </row>
    <row r="79" spans="1:14" ht="27.75">
      <c r="A79" s="1229" t="s">
        <v>91</v>
      </c>
      <c r="B79" s="1230"/>
      <c r="C79" s="1231"/>
      <c r="D79" s="175" t="s">
        <v>186</v>
      </c>
      <c r="E79" s="172">
        <f>'5'!F79</f>
        <v>845892</v>
      </c>
      <c r="F79" s="307">
        <v>846064</v>
      </c>
      <c r="G79" s="124">
        <f t="shared" si="7"/>
        <v>172</v>
      </c>
      <c r="H79" s="111">
        <f>G79+'5'!H79</f>
        <v>1015</v>
      </c>
      <c r="I79" s="156"/>
      <c r="J79" s="203">
        <f>H79/DAY(B2)</f>
        <v>169.16666666666666</v>
      </c>
      <c r="K79" s="83"/>
      <c r="L79" s="68"/>
      <c r="N79" s="73"/>
    </row>
    <row r="80" spans="1:14" ht="27.75">
      <c r="A80" s="1229" t="s">
        <v>197</v>
      </c>
      <c r="B80" s="1230"/>
      <c r="C80" s="1231"/>
      <c r="D80" s="175" t="s">
        <v>186</v>
      </c>
      <c r="E80" s="171">
        <f>'5'!F80</f>
        <v>566280</v>
      </c>
      <c r="F80" s="306">
        <v>566638</v>
      </c>
      <c r="G80" s="124">
        <f t="shared" si="7"/>
        <v>358</v>
      </c>
      <c r="H80" s="111">
        <f>G80+'5'!H80</f>
        <v>2340</v>
      </c>
      <c r="I80" s="156"/>
      <c r="J80" s="203">
        <f>H80/DAY(B2)</f>
        <v>390</v>
      </c>
      <c r="K80" s="83"/>
      <c r="L80" s="68"/>
      <c r="N80" s="73"/>
    </row>
    <row r="81" spans="1:15" ht="27.75">
      <c r="A81" s="1229" t="s">
        <v>198</v>
      </c>
      <c r="B81" s="1230"/>
      <c r="C81" s="1231"/>
      <c r="D81" s="175" t="s">
        <v>186</v>
      </c>
      <c r="E81" s="171">
        <f>'5'!F81</f>
        <v>654833</v>
      </c>
      <c r="F81" s="306">
        <v>654950</v>
      </c>
      <c r="G81" s="124">
        <f t="shared" si="7"/>
        <v>117</v>
      </c>
      <c r="H81" s="111">
        <f>G81+'5'!H81</f>
        <v>772</v>
      </c>
      <c r="I81" s="156"/>
      <c r="J81" s="203">
        <f>H81/DAY(B2)</f>
        <v>128.66666666666666</v>
      </c>
      <c r="K81" s="83"/>
      <c r="L81" s="68"/>
      <c r="N81" s="73"/>
    </row>
    <row r="82" spans="1:15" ht="27.75">
      <c r="A82" s="1229" t="s">
        <v>92</v>
      </c>
      <c r="B82" s="1230"/>
      <c r="C82" s="1231"/>
      <c r="D82" s="136" t="s">
        <v>131</v>
      </c>
      <c r="E82" s="173">
        <f>'5'!F82</f>
        <v>110040</v>
      </c>
      <c r="F82" s="302">
        <v>110062</v>
      </c>
      <c r="G82" s="124">
        <f t="shared" si="7"/>
        <v>22</v>
      </c>
      <c r="H82" s="111">
        <f>G82+'5'!H82</f>
        <v>137</v>
      </c>
      <c r="I82" s="137"/>
      <c r="J82" s="203">
        <f>H82/DAY(B2)</f>
        <v>22.833333333333332</v>
      </c>
      <c r="K82" s="83"/>
      <c r="L82" s="68"/>
      <c r="N82" s="73"/>
    </row>
    <row r="83" spans="1:15" ht="27.75">
      <c r="A83" s="1229" t="s">
        <v>199</v>
      </c>
      <c r="B83" s="1230"/>
      <c r="C83" s="1231"/>
      <c r="D83" s="271" t="s">
        <v>131</v>
      </c>
      <c r="E83" s="162">
        <f>'5'!F83</f>
        <v>45763</v>
      </c>
      <c r="F83" s="162">
        <v>46035</v>
      </c>
      <c r="G83" s="124">
        <f t="shared" si="7"/>
        <v>272</v>
      </c>
      <c r="H83" s="111">
        <f>G83+'5'!H83</f>
        <v>1712</v>
      </c>
      <c r="I83" s="132"/>
      <c r="J83" s="203">
        <f>H83/DAY(B2)</f>
        <v>285.33333333333331</v>
      </c>
      <c r="K83" s="82"/>
      <c r="L83" s="68"/>
      <c r="N83" s="73"/>
    </row>
    <row r="84" spans="1:15">
      <c r="A84" s="763" t="s">
        <v>200</v>
      </c>
      <c r="B84" s="222"/>
      <c r="C84" s="222"/>
      <c r="D84" s="129" t="s">
        <v>131</v>
      </c>
      <c r="E84" s="278">
        <f>'5'!F84</f>
        <v>573599</v>
      </c>
      <c r="F84" s="278">
        <v>574200</v>
      </c>
      <c r="G84" s="124">
        <f t="shared" si="7"/>
        <v>601</v>
      </c>
      <c r="H84" s="111">
        <f>G84+'5'!H84</f>
        <v>3821</v>
      </c>
      <c r="I84" s="132"/>
      <c r="J84" s="203">
        <f>H84/DAY(B2)</f>
        <v>636.83333333333337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1985.329999999989</v>
      </c>
      <c r="H85" s="111">
        <f>G85+'5'!H85</f>
        <v>12002.009999999997</v>
      </c>
      <c r="I85" s="132"/>
      <c r="J85" s="203">
        <f>H85/DAY(B2)</f>
        <v>2000.3349999999994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'5'!F86</f>
        <v>463682.92</v>
      </c>
      <c r="F86" s="298">
        <v>463698</v>
      </c>
      <c r="G86" s="356">
        <f t="shared" ref="G86:G91" si="8">F86-E86</f>
        <v>15.080000000016298</v>
      </c>
      <c r="H86" s="111">
        <f>G86+'5'!H86</f>
        <v>383</v>
      </c>
      <c r="I86" s="303"/>
      <c r="J86" s="358">
        <f>H86/DAY(B2)</f>
        <v>63.833333333333336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'5'!F87</f>
        <v>84046.399999999994</v>
      </c>
      <c r="F87" s="298">
        <v>84082</v>
      </c>
      <c r="G87" s="356">
        <f t="shared" si="8"/>
        <v>35.600000000005821</v>
      </c>
      <c r="H87" s="111">
        <f>G87+'5'!H87</f>
        <v>183</v>
      </c>
      <c r="I87" s="303"/>
      <c r="J87" s="358">
        <f>H87/DAY(B2)</f>
        <v>30.5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'5'!F88</f>
        <v>158212</v>
      </c>
      <c r="F88" s="298">
        <v>158212</v>
      </c>
      <c r="G88" s="356">
        <f t="shared" si="8"/>
        <v>0</v>
      </c>
      <c r="H88" s="111">
        <f>G88+'5'!H88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'5'!F89</f>
        <v>69381.2</v>
      </c>
      <c r="F89" s="298">
        <v>69443.100000000006</v>
      </c>
      <c r="G89" s="356">
        <f t="shared" si="8"/>
        <v>61.900000000008731</v>
      </c>
      <c r="H89" s="111">
        <f>G89+'5'!H89</f>
        <v>354.10000000000582</v>
      </c>
      <c r="I89" s="303"/>
      <c r="J89" s="358">
        <f>H89/DAY(B2)</f>
        <v>59.016666666667639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'5'!F90</f>
        <v>3652</v>
      </c>
      <c r="F90" s="298">
        <v>3665.9</v>
      </c>
      <c r="G90" s="356">
        <f t="shared" si="8"/>
        <v>13.900000000000091</v>
      </c>
      <c r="H90" s="111">
        <f>G90+'5'!H90</f>
        <v>54.900000000000091</v>
      </c>
      <c r="I90" s="303"/>
      <c r="J90" s="358">
        <f>H90/DAY(B2)</f>
        <v>9.1500000000000146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/>
      <c r="E91" s="278">
        <f>'5'!F91</f>
        <v>28787</v>
      </c>
      <c r="F91" s="298">
        <v>28795</v>
      </c>
      <c r="G91" s="356">
        <f t="shared" si="8"/>
        <v>8</v>
      </c>
      <c r="H91" s="111">
        <f>G91+'5'!H91</f>
        <v>8</v>
      </c>
      <c r="I91" s="303"/>
      <c r="J91" s="358">
        <f>H91/DAY(B2)</f>
        <v>1.3333333333333333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45" t="s">
        <v>205</v>
      </c>
      <c r="B93" s="1246"/>
      <c r="C93" s="1247"/>
      <c r="D93" s="174" t="s">
        <v>143</v>
      </c>
      <c r="E93" s="135">
        <f>'5'!F93</f>
        <v>253897</v>
      </c>
      <c r="F93" s="129">
        <v>253967</v>
      </c>
      <c r="G93" s="124">
        <f t="shared" ref="G93:G94" si="9">F93-E93</f>
        <v>70</v>
      </c>
      <c r="H93" s="111">
        <f>G93+'5'!H93</f>
        <v>515</v>
      </c>
      <c r="I93" s="131"/>
      <c r="J93" s="203">
        <f>H93/DAY(B2)</f>
        <v>85.833333333333329</v>
      </c>
      <c r="K93" s="82"/>
      <c r="L93" s="68"/>
      <c r="N93" s="73"/>
    </row>
    <row r="94" spans="1:15" ht="27.75">
      <c r="A94" s="1245" t="s">
        <v>206</v>
      </c>
      <c r="B94" s="1246"/>
      <c r="C94" s="1247"/>
      <c r="D94" s="174" t="s">
        <v>143</v>
      </c>
      <c r="E94" s="135">
        <f>'5'!F94</f>
        <v>198436</v>
      </c>
      <c r="F94" s="129">
        <v>198599</v>
      </c>
      <c r="G94" s="124">
        <f t="shared" si="9"/>
        <v>163</v>
      </c>
      <c r="H94" s="111">
        <f>G94+'5'!H94</f>
        <v>940</v>
      </c>
      <c r="I94" s="131"/>
      <c r="J94" s="203">
        <f>H94/DAY(B2)</f>
        <v>156.66666666666666</v>
      </c>
      <c r="K94" s="71"/>
      <c r="L94" s="68"/>
      <c r="N94" s="73"/>
    </row>
    <row r="95" spans="1:15">
      <c r="A95" s="1277" t="s">
        <v>207</v>
      </c>
      <c r="B95" s="1278"/>
      <c r="C95" s="1279"/>
      <c r="D95" s="174"/>
      <c r="E95" s="135">
        <f>'5'!F95</f>
        <v>0</v>
      </c>
      <c r="F95" s="129"/>
      <c r="G95" s="124">
        <f>G93+G94</f>
        <v>233</v>
      </c>
      <c r="H95" s="111">
        <f>G95+'5'!H95</f>
        <v>1230</v>
      </c>
      <c r="I95" s="131"/>
      <c r="J95" s="203">
        <f>H95/DAY(B2)</f>
        <v>205</v>
      </c>
      <c r="K95" s="71"/>
      <c r="L95" s="68"/>
      <c r="N95" s="73"/>
    </row>
    <row r="96" spans="1:15" ht="27.75">
      <c r="A96" s="1245" t="s">
        <v>208</v>
      </c>
      <c r="B96" s="1246"/>
      <c r="C96" s="1247"/>
      <c r="D96" s="174" t="s">
        <v>143</v>
      </c>
      <c r="E96" s="135">
        <f>'5'!F96</f>
        <v>421406</v>
      </c>
      <c r="F96" s="129">
        <v>421477</v>
      </c>
      <c r="G96" s="124">
        <f t="shared" ref="G96:G101" si="10">F96-E96</f>
        <v>71</v>
      </c>
      <c r="H96" s="111">
        <f>G96+'5'!H96</f>
        <v>458</v>
      </c>
      <c r="I96" s="131"/>
      <c r="J96" s="203">
        <f>H96/DAY(B2)</f>
        <v>76.333333333333329</v>
      </c>
      <c r="K96" s="71"/>
      <c r="L96" s="68"/>
      <c r="N96" s="73"/>
    </row>
    <row r="97" spans="1:14" ht="27.75">
      <c r="A97" s="759" t="s">
        <v>209</v>
      </c>
      <c r="B97" s="760"/>
      <c r="C97" s="760"/>
      <c r="D97" s="174" t="s">
        <v>143</v>
      </c>
      <c r="E97" s="135">
        <f>'5'!F97</f>
        <v>104747</v>
      </c>
      <c r="F97" s="129">
        <v>104764</v>
      </c>
      <c r="G97" s="124">
        <f t="shared" si="10"/>
        <v>17</v>
      </c>
      <c r="H97" s="111">
        <f>G97+'5'!H97</f>
        <v>128</v>
      </c>
      <c r="I97" s="131"/>
      <c r="J97" s="203">
        <f>H97/DAY(B2)</f>
        <v>21.333333333333332</v>
      </c>
      <c r="K97" s="80"/>
      <c r="L97" s="68"/>
      <c r="N97" s="73"/>
    </row>
    <row r="98" spans="1:14" ht="27.75">
      <c r="A98" s="759" t="s">
        <v>210</v>
      </c>
      <c r="B98" s="760"/>
      <c r="C98" s="760"/>
      <c r="D98" s="174" t="s">
        <v>143</v>
      </c>
      <c r="E98" s="135">
        <f>'5'!F98</f>
        <v>100520</v>
      </c>
      <c r="F98" s="129">
        <v>100547</v>
      </c>
      <c r="G98" s="124">
        <f t="shared" si="10"/>
        <v>27</v>
      </c>
      <c r="H98" s="111">
        <f>G98+'5'!H98</f>
        <v>177</v>
      </c>
      <c r="I98" s="131"/>
      <c r="J98" s="203">
        <f>H98/DAY(B2)</f>
        <v>29.5</v>
      </c>
      <c r="K98" s="85"/>
      <c r="L98" s="68"/>
      <c r="N98" s="73"/>
    </row>
    <row r="99" spans="1:14" ht="27.75">
      <c r="A99" s="759" t="s">
        <v>211</v>
      </c>
      <c r="B99" s="760"/>
      <c r="C99" s="760"/>
      <c r="D99" s="174" t="s">
        <v>143</v>
      </c>
      <c r="E99" s="135">
        <f>'5'!F99</f>
        <v>152263</v>
      </c>
      <c r="F99" s="129">
        <v>152280</v>
      </c>
      <c r="G99" s="124">
        <f t="shared" si="10"/>
        <v>17</v>
      </c>
      <c r="H99" s="111">
        <f>G99+'5'!H99</f>
        <v>145</v>
      </c>
      <c r="I99" s="131"/>
      <c r="J99" s="203">
        <f>H99/DAY(B2)</f>
        <v>24.166666666666668</v>
      </c>
      <c r="K99" s="71"/>
      <c r="L99" s="68"/>
      <c r="N99" s="355"/>
    </row>
    <row r="100" spans="1:14" ht="27.75">
      <c r="A100" s="759" t="s">
        <v>212</v>
      </c>
      <c r="B100" s="760"/>
      <c r="C100" s="760"/>
      <c r="D100" s="174" t="s">
        <v>143</v>
      </c>
      <c r="E100" s="135">
        <f>'5'!F100</f>
        <v>8705</v>
      </c>
      <c r="F100" s="129">
        <v>8715</v>
      </c>
      <c r="G100" s="124">
        <f t="shared" si="10"/>
        <v>10</v>
      </c>
      <c r="H100" s="111">
        <f>G100+'5'!H100</f>
        <v>70</v>
      </c>
      <c r="I100" s="131"/>
      <c r="J100" s="203">
        <f>H100/DAY(B2)</f>
        <v>11.666666666666666</v>
      </c>
      <c r="K100" s="71"/>
      <c r="L100" s="68"/>
      <c r="N100" s="73"/>
    </row>
    <row r="101" spans="1:14" ht="27.75">
      <c r="A101" s="759" t="s">
        <v>213</v>
      </c>
      <c r="B101" s="760"/>
      <c r="C101" s="760"/>
      <c r="D101" s="174" t="s">
        <v>143</v>
      </c>
      <c r="E101" s="135">
        <f>'5'!F101</f>
        <v>6422</v>
      </c>
      <c r="F101" s="129">
        <v>6433</v>
      </c>
      <c r="G101" s="124">
        <f t="shared" si="10"/>
        <v>11</v>
      </c>
      <c r="H101" s="111">
        <f>G101+'5'!H101</f>
        <v>60</v>
      </c>
      <c r="I101" s="131"/>
      <c r="J101" s="203">
        <f>H101/DAY(B2)</f>
        <v>10</v>
      </c>
      <c r="K101" s="71"/>
      <c r="L101" s="68"/>
      <c r="N101" s="73"/>
    </row>
    <row r="102" spans="1:14">
      <c r="A102" s="1277" t="s">
        <v>215</v>
      </c>
      <c r="B102" s="1278"/>
      <c r="C102" s="1279"/>
      <c r="D102" s="175"/>
      <c r="E102" s="175"/>
      <c r="F102" s="175" t="s">
        <v>214</v>
      </c>
      <c r="G102" s="176">
        <f>SUM(G96:G101)</f>
        <v>153</v>
      </c>
      <c r="H102" s="111">
        <f>G102+'5'!H102</f>
        <v>1038</v>
      </c>
      <c r="I102" s="177"/>
      <c r="J102" s="203">
        <f>H102/DAY(B2)</f>
        <v>173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80" t="s">
        <v>217</v>
      </c>
      <c r="B104" s="1281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37" t="s">
        <v>218</v>
      </c>
      <c r="B105" s="1238"/>
      <c r="C105" s="758"/>
      <c r="D105" s="273" t="s">
        <v>143</v>
      </c>
      <c r="E105" s="183">
        <f>'5'!F105</f>
        <v>7961</v>
      </c>
      <c r="F105" s="309">
        <v>7961</v>
      </c>
      <c r="G105" s="183">
        <f>F105-E105</f>
        <v>0</v>
      </c>
      <c r="H105" s="111">
        <f>G105+'5'!H105</f>
        <v>0</v>
      </c>
      <c r="I105" s="183"/>
      <c r="J105" s="209">
        <f>H105/DAY(B2)</f>
        <v>0</v>
      </c>
      <c r="N105" s="73"/>
    </row>
    <row r="106" spans="1:14" s="93" customFormat="1" ht="27.75">
      <c r="A106" s="1237" t="s">
        <v>76</v>
      </c>
      <c r="B106" s="1238"/>
      <c r="C106" s="758"/>
      <c r="D106" s="273" t="s">
        <v>143</v>
      </c>
      <c r="E106" s="183">
        <f>'5'!F106</f>
        <v>36804</v>
      </c>
      <c r="F106" s="310">
        <v>36814</v>
      </c>
      <c r="G106" s="183">
        <f t="shared" ref="G106" si="11">F106-E106</f>
        <v>10</v>
      </c>
      <c r="H106" s="111">
        <f>G106+'5'!H106</f>
        <v>49</v>
      </c>
      <c r="I106" s="183"/>
      <c r="J106" s="209">
        <f>H106/DAY(B2)</f>
        <v>8.1666666666666661</v>
      </c>
      <c r="N106" s="73"/>
    </row>
    <row r="107" spans="1:14" s="93" customFormat="1" ht="27.75">
      <c r="A107" s="1237" t="s">
        <v>77</v>
      </c>
      <c r="B107" s="1282"/>
      <c r="C107" s="1238"/>
      <c r="D107" s="273" t="s">
        <v>143</v>
      </c>
      <c r="E107" s="183">
        <f>'5'!F107</f>
        <v>20256</v>
      </c>
      <c r="F107" s="309">
        <v>20264</v>
      </c>
      <c r="G107" s="183">
        <f>F107-E107</f>
        <v>8</v>
      </c>
      <c r="H107" s="111">
        <f>G107+'5'!H107</f>
        <v>50</v>
      </c>
      <c r="I107" s="183"/>
      <c r="J107" s="209">
        <f>H107/DAY(B2)</f>
        <v>8.3333333333333339</v>
      </c>
      <c r="N107" s="73"/>
    </row>
    <row r="108" spans="1:14" s="93" customFormat="1" ht="27.75">
      <c r="A108" s="1239" t="s">
        <v>201</v>
      </c>
      <c r="B108" s="1240"/>
      <c r="C108" s="758"/>
      <c r="D108" s="273"/>
      <c r="E108" s="183"/>
      <c r="F108" s="309"/>
      <c r="G108" s="183">
        <f>SUM(G105:G107)</f>
        <v>18</v>
      </c>
      <c r="H108" s="111">
        <f>G108+'5'!H108</f>
        <v>99</v>
      </c>
      <c r="I108" s="183"/>
      <c r="J108" s="209">
        <f>H108/DAY(B2)</f>
        <v>16.5</v>
      </c>
      <c r="N108" s="73"/>
    </row>
    <row r="109" spans="1:14" s="93" customFormat="1" ht="27.75">
      <c r="A109" s="1243" t="s">
        <v>78</v>
      </c>
      <c r="B109" s="1244"/>
      <c r="C109" s="758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>
      <c r="A110" s="1237" t="s">
        <v>219</v>
      </c>
      <c r="B110" s="1238"/>
      <c r="C110" s="758"/>
      <c r="D110" s="273" t="s">
        <v>143</v>
      </c>
      <c r="E110" s="183">
        <f>'5'!F110</f>
        <v>69884</v>
      </c>
      <c r="F110" s="309">
        <v>69950</v>
      </c>
      <c r="G110" s="183">
        <f>F110-E110</f>
        <v>66</v>
      </c>
      <c r="H110" s="111">
        <f>G110+'5'!H110</f>
        <v>426</v>
      </c>
      <c r="I110" s="183"/>
      <c r="J110" s="209">
        <f>H110/DAY(B2)</f>
        <v>71</v>
      </c>
      <c r="N110" s="73"/>
    </row>
    <row r="111" spans="1:14" s="93" customFormat="1" ht="27.75">
      <c r="A111" s="1237" t="s">
        <v>220</v>
      </c>
      <c r="B111" s="1238"/>
      <c r="C111" s="758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>
      <c r="A112" s="1237" t="s">
        <v>221</v>
      </c>
      <c r="B112" s="1238"/>
      <c r="C112" s="758"/>
      <c r="D112" s="273" t="s">
        <v>143</v>
      </c>
      <c r="E112" s="183">
        <f>'5'!F112</f>
        <v>4795</v>
      </c>
      <c r="F112" s="309">
        <v>4799</v>
      </c>
      <c r="G112" s="183">
        <f t="shared" ref="G112" si="12">F112-E112</f>
        <v>4</v>
      </c>
      <c r="H112" s="111">
        <f>G112+'5'!H112</f>
        <v>11</v>
      </c>
      <c r="I112" s="183"/>
      <c r="J112" s="209">
        <f>H112/DAY(B2)</f>
        <v>1.8333333333333333</v>
      </c>
      <c r="N112" s="73"/>
    </row>
    <row r="113" spans="1:14" s="93" customFormat="1" ht="27.75">
      <c r="A113" s="1239" t="s">
        <v>109</v>
      </c>
      <c r="B113" s="1240"/>
      <c r="C113" s="758"/>
      <c r="D113" s="273"/>
      <c r="E113" s="183"/>
      <c r="F113" s="309"/>
      <c r="G113" s="183">
        <f>SUM(G110:G112)</f>
        <v>70</v>
      </c>
      <c r="H113" s="111">
        <f>G113+'5'!H113</f>
        <v>437</v>
      </c>
      <c r="I113" s="183"/>
      <c r="J113" s="209">
        <f>H113/DAY(B2)</f>
        <v>72.833333333333329</v>
      </c>
      <c r="N113" s="73"/>
    </row>
    <row r="114" spans="1:14" s="93" customFormat="1" ht="27.75">
      <c r="A114" s="1243" t="s">
        <v>222</v>
      </c>
      <c r="B114" s="1244"/>
      <c r="C114" s="758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>
      <c r="A115" s="1237" t="s">
        <v>223</v>
      </c>
      <c r="B115" s="1238"/>
      <c r="C115" s="225"/>
      <c r="D115" s="273" t="s">
        <v>143</v>
      </c>
      <c r="E115" s="183">
        <f>'5'!F115</f>
        <v>13111</v>
      </c>
      <c r="F115" s="310">
        <v>13123</v>
      </c>
      <c r="G115" s="185">
        <f>F115-E115</f>
        <v>12</v>
      </c>
      <c r="H115" s="111">
        <f>G115+'5'!H115</f>
        <v>85</v>
      </c>
      <c r="I115" s="183"/>
      <c r="J115" s="209">
        <f>H115/DAY(B2)</f>
        <v>14.166666666666666</v>
      </c>
      <c r="N115" s="73"/>
    </row>
    <row r="116" spans="1:14" s="93" customFormat="1" ht="27.75">
      <c r="A116" s="1237" t="s">
        <v>224</v>
      </c>
      <c r="B116" s="1238"/>
      <c r="C116" s="225"/>
      <c r="D116" s="273" t="s">
        <v>143</v>
      </c>
      <c r="E116" s="183">
        <f>'5'!F116</f>
        <v>9164</v>
      </c>
      <c r="F116" s="310">
        <v>9173</v>
      </c>
      <c r="G116" s="185">
        <f t="shared" ref="G116:G117" si="13">F116-E116</f>
        <v>9</v>
      </c>
      <c r="H116" s="111">
        <f>G116+'5'!H116</f>
        <v>47</v>
      </c>
      <c r="I116" s="183"/>
      <c r="J116" s="209">
        <f>H116/DAY(B2)</f>
        <v>7.833333333333333</v>
      </c>
      <c r="N116" s="73"/>
    </row>
    <row r="117" spans="1:14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21</v>
      </c>
      <c r="H118" s="111">
        <f>G118+'5'!H118</f>
        <v>132</v>
      </c>
      <c r="I118" s="185"/>
      <c r="J118" s="209">
        <f>H118/DAY(B2)</f>
        <v>22</v>
      </c>
      <c r="N118" s="73"/>
    </row>
    <row r="119" spans="1:14" s="97" customFormat="1" ht="27.75">
      <c r="A119" s="1233" t="s">
        <v>226</v>
      </c>
      <c r="B119" s="1234"/>
      <c r="C119" s="756"/>
      <c r="D119" s="275" t="s">
        <v>143</v>
      </c>
      <c r="E119" s="187"/>
      <c r="F119" s="311">
        <f>SUM(G19+G93)</f>
        <v>133</v>
      </c>
      <c r="G119" s="187">
        <f>SUM(G19+G93)</f>
        <v>133</v>
      </c>
      <c r="H119" s="111">
        <f>G119+'5'!H119</f>
        <v>892</v>
      </c>
      <c r="I119" s="186"/>
      <c r="J119" s="210">
        <f>H119/DAY(B2)</f>
        <v>148.66666666666666</v>
      </c>
      <c r="N119" s="73"/>
    </row>
    <row r="120" spans="1:14" s="97" customFormat="1" ht="27.75">
      <c r="A120" s="1233" t="s">
        <v>227</v>
      </c>
      <c r="B120" s="1234"/>
      <c r="C120" s="756"/>
      <c r="D120" s="275" t="s">
        <v>143</v>
      </c>
      <c r="E120" s="187"/>
      <c r="F120" s="311">
        <f>SUM(G96,G97,G98,G100,G101)</f>
        <v>136</v>
      </c>
      <c r="G120" s="187">
        <f>SUM(G96,G97,G98,G100,G101)</f>
        <v>136</v>
      </c>
      <c r="H120" s="111">
        <f>G120+'5'!H120</f>
        <v>893</v>
      </c>
      <c r="I120" s="186"/>
      <c r="J120" s="210">
        <f>H120/DAY(B2)</f>
        <v>148.83333333333334</v>
      </c>
      <c r="N120" s="73"/>
    </row>
    <row r="121" spans="1:14" s="97" customFormat="1" ht="27.75">
      <c r="A121" s="1233" t="s">
        <v>228</v>
      </c>
      <c r="B121" s="1234"/>
      <c r="C121" s="756"/>
      <c r="D121" s="275" t="s">
        <v>143</v>
      </c>
      <c r="E121" s="185"/>
      <c r="F121" s="310">
        <f>SUM(G113)</f>
        <v>70</v>
      </c>
      <c r="G121" s="185">
        <f>SUM(G113)</f>
        <v>70</v>
      </c>
      <c r="H121" s="111">
        <f>G121+'5'!H121</f>
        <v>437</v>
      </c>
      <c r="I121" s="186"/>
      <c r="J121" s="210">
        <f>H121/DAY(B2)</f>
        <v>72.833333333333329</v>
      </c>
      <c r="N121" s="73"/>
    </row>
    <row r="122" spans="1:14" s="93" customFormat="1" ht="27.75">
      <c r="A122" s="1235"/>
      <c r="B122" s="1236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129">
        <f>'5'!F124</f>
        <v>857575.43</v>
      </c>
      <c r="F124" s="129">
        <v>857862</v>
      </c>
      <c r="G124" s="124">
        <f t="shared" ref="G124:G128" si="14">F124-E124</f>
        <v>286.56999999994878</v>
      </c>
      <c r="H124" s="111">
        <f>G124+'5'!H124</f>
        <v>1510</v>
      </c>
      <c r="I124" s="177"/>
      <c r="J124" s="203">
        <f>H124/DAY(B2)</f>
        <v>251.66666666666666</v>
      </c>
      <c r="K124" s="71"/>
      <c r="L124" s="68"/>
      <c r="N124" s="73"/>
    </row>
    <row r="125" spans="1:14" ht="27.75">
      <c r="A125" s="759" t="s">
        <v>231</v>
      </c>
      <c r="B125" s="760"/>
      <c r="C125" s="760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226" t="s">
        <v>232</v>
      </c>
      <c r="B126" s="1227"/>
      <c r="C126" s="1228"/>
      <c r="D126" s="174" t="s">
        <v>140</v>
      </c>
      <c r="E126" s="129">
        <f>'5'!F126</f>
        <v>154532.19</v>
      </c>
      <c r="F126" s="129">
        <v>154627.28</v>
      </c>
      <c r="G126" s="124">
        <f t="shared" si="14"/>
        <v>95.089999999996508</v>
      </c>
      <c r="H126" s="111">
        <f>G126+'5'!H126</f>
        <v>550.27999999999884</v>
      </c>
      <c r="I126" s="177"/>
      <c r="J126" s="203">
        <f>H126/DAY(B2)</f>
        <v>91.713333333333139</v>
      </c>
      <c r="K126" s="71"/>
      <c r="L126" s="68"/>
      <c r="N126" s="73"/>
    </row>
    <row r="127" spans="1:14" ht="27.75">
      <c r="A127" s="260" t="s">
        <v>233</v>
      </c>
      <c r="B127" s="760"/>
      <c r="C127" s="760"/>
      <c r="D127" s="174" t="s">
        <v>140</v>
      </c>
      <c r="E127" s="277">
        <f>'5'!F127</f>
        <v>34845.9</v>
      </c>
      <c r="F127" s="277">
        <v>34881.4</v>
      </c>
      <c r="G127" s="124">
        <f t="shared" si="14"/>
        <v>35.5</v>
      </c>
      <c r="H127" s="111">
        <f>G127+'5'!H127</f>
        <v>252.40000000000146</v>
      </c>
      <c r="I127" s="177"/>
      <c r="J127" s="203">
        <f>H127/DAY(B2)</f>
        <v>42.066666666666912</v>
      </c>
      <c r="K127" s="71"/>
      <c r="L127" s="68"/>
      <c r="N127" s="73"/>
    </row>
    <row r="128" spans="1:14" ht="27.75">
      <c r="A128" s="260" t="s">
        <v>234</v>
      </c>
      <c r="B128" s="760"/>
      <c r="C128" s="760"/>
      <c r="D128" s="174" t="s">
        <v>140</v>
      </c>
      <c r="E128" s="277">
        <f>'5'!F128</f>
        <v>9191.9</v>
      </c>
      <c r="F128" s="277">
        <v>9192.9</v>
      </c>
      <c r="G128" s="124">
        <f t="shared" si="14"/>
        <v>1</v>
      </c>
      <c r="H128" s="111">
        <f>G128+'5'!H128</f>
        <v>12.899999999999636</v>
      </c>
      <c r="I128" s="131"/>
      <c r="J128" s="203">
        <f>H128/DAY(B2)</f>
        <v>2.1499999999999395</v>
      </c>
      <c r="K128" s="71"/>
      <c r="L128" s="68"/>
      <c r="N128" s="73"/>
    </row>
    <row r="129" spans="1:14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502.15999999988708</v>
      </c>
      <c r="H129" s="111">
        <f>G129+'5'!H129</f>
        <v>2939.8399999999256</v>
      </c>
      <c r="I129" s="131"/>
      <c r="J129" s="203">
        <f>H129/DAY(B2)</f>
        <v>489.97333333332091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>
      <c r="A132" s="759" t="s">
        <v>239</v>
      </c>
      <c r="B132" s="760"/>
      <c r="C132" s="760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>
      <c r="A133" s="759" t="s">
        <v>240</v>
      </c>
      <c r="B133" s="760"/>
      <c r="C133" s="760"/>
      <c r="D133" s="174" t="s">
        <v>238</v>
      </c>
      <c r="E133" s="135">
        <f>'5'!F133</f>
        <v>40957.14</v>
      </c>
      <c r="F133" s="277">
        <v>40981.269999999997</v>
      </c>
      <c r="G133" s="124">
        <f t="shared" si="15"/>
        <v>24.129999999997381</v>
      </c>
      <c r="H133" s="111">
        <f>G133+'5'!H133</f>
        <v>59.269999999996799</v>
      </c>
      <c r="I133" s="131"/>
      <c r="J133" s="203">
        <f>H133/DAY(B2)</f>
        <v>9.8783333333327992</v>
      </c>
      <c r="N133" s="73"/>
    </row>
    <row r="134" spans="1:14" ht="27.75">
      <c r="A134" s="759" t="s">
        <v>241</v>
      </c>
      <c r="B134" s="760"/>
      <c r="C134" s="760"/>
      <c r="D134" s="174" t="s">
        <v>238</v>
      </c>
      <c r="E134" s="135">
        <f>'5'!F134</f>
        <v>955.18</v>
      </c>
      <c r="F134" s="277">
        <v>963.24</v>
      </c>
      <c r="G134" s="124">
        <f t="shared" si="15"/>
        <v>8.0600000000000591</v>
      </c>
      <c r="H134" s="111">
        <f>G134+'5'!H134</f>
        <v>107.24000000000001</v>
      </c>
      <c r="I134" s="131">
        <f>G133+G134+G135+G136</f>
        <v>32.18999999999744</v>
      </c>
      <c r="J134" s="203">
        <f>H134/DAY(B2)</f>
        <v>17.873333333333335</v>
      </c>
      <c r="N134" s="73"/>
    </row>
    <row r="135" spans="1:14" ht="27.75">
      <c r="A135" s="759" t="s">
        <v>242</v>
      </c>
      <c r="B135" s="760"/>
      <c r="C135" s="760"/>
      <c r="D135" s="174" t="s">
        <v>238</v>
      </c>
      <c r="E135" s="352">
        <f>'5'!F135</f>
        <v>42822.14</v>
      </c>
      <c r="F135" s="277">
        <v>42822.14</v>
      </c>
      <c r="G135" s="124">
        <f t="shared" si="15"/>
        <v>0</v>
      </c>
      <c r="H135" s="111">
        <f>G135+'5'!H135</f>
        <v>0.13999999999941792</v>
      </c>
      <c r="I135" s="131"/>
      <c r="J135" s="203">
        <f>H135/DAY(B2)</f>
        <v>2.3333333333236322E-2</v>
      </c>
      <c r="N135" s="73"/>
    </row>
    <row r="136" spans="1:14" ht="27.75">
      <c r="A136" s="759" t="s">
        <v>243</v>
      </c>
      <c r="B136" s="760"/>
      <c r="C136" s="760"/>
      <c r="D136" s="174" t="s">
        <v>238</v>
      </c>
      <c r="E136" s="173">
        <f>'5'!F136</f>
        <v>32958.379999999997</v>
      </c>
      <c r="F136" s="136">
        <v>32958.379999999997</v>
      </c>
      <c r="G136" s="124">
        <f t="shared" si="15"/>
        <v>0</v>
      </c>
      <c r="H136" s="111">
        <f>G136+'5'!H136</f>
        <v>30.379999999997381</v>
      </c>
      <c r="I136" s="131"/>
      <c r="J136" s="203">
        <f>H136/DAY(B2)</f>
        <v>5.0633333333328965</v>
      </c>
      <c r="N136" s="73"/>
    </row>
    <row r="137" spans="1:14" ht="27.75">
      <c r="A137" s="759" t="s">
        <v>244</v>
      </c>
      <c r="B137" s="760"/>
      <c r="C137" s="760"/>
      <c r="D137" s="174" t="s">
        <v>238</v>
      </c>
      <c r="E137" s="192">
        <f>'5'!F137</f>
        <v>23402.04</v>
      </c>
      <c r="F137" s="302">
        <v>23411.48</v>
      </c>
      <c r="G137" s="124">
        <f t="shared" si="15"/>
        <v>9.4399999999986903</v>
      </c>
      <c r="H137" s="111">
        <f>G137+'5'!H137</f>
        <v>55.049999999999272</v>
      </c>
      <c r="I137" s="131">
        <f>G137+G138+G139</f>
        <v>9.4399999999986903</v>
      </c>
      <c r="J137" s="203">
        <f>H137/DAY(B2)</f>
        <v>9.1749999999998781</v>
      </c>
      <c r="N137" s="73"/>
    </row>
    <row r="138" spans="1:14" ht="27.75">
      <c r="A138" s="759" t="s">
        <v>245</v>
      </c>
      <c r="B138" s="760"/>
      <c r="C138" s="760"/>
      <c r="D138" s="174" t="s">
        <v>238</v>
      </c>
      <c r="E138" s="192">
        <f>'5'!F138</f>
        <v>25132.98</v>
      </c>
      <c r="F138" s="302">
        <v>25132.98</v>
      </c>
      <c r="G138" s="124">
        <f t="shared" si="15"/>
        <v>0</v>
      </c>
      <c r="H138" s="111">
        <f>G138+'5'!H138</f>
        <v>2.0000000000436557E-2</v>
      </c>
      <c r="I138" s="131"/>
      <c r="J138" s="203">
        <f>H138/DAY(B2)</f>
        <v>3.3333333334060931E-3</v>
      </c>
      <c r="N138" s="73"/>
    </row>
    <row r="139" spans="1:14" ht="27.75">
      <c r="A139" s="759" t="s">
        <v>246</v>
      </c>
      <c r="B139" s="760"/>
      <c r="C139" s="760"/>
      <c r="D139" s="174" t="s">
        <v>238</v>
      </c>
      <c r="E139" s="192">
        <f>'5'!F139</f>
        <v>70526</v>
      </c>
      <c r="F139" s="302">
        <v>70526</v>
      </c>
      <c r="G139" s="124">
        <f t="shared" si="15"/>
        <v>0</v>
      </c>
      <c r="H139" s="111">
        <f>G139+'5'!H139</f>
        <v>1.4499999999970896</v>
      </c>
      <c r="I139" s="131"/>
      <c r="J139" s="203">
        <f>H139/DAY(B2)</f>
        <v>0.24166666666618161</v>
      </c>
      <c r="N139" s="73"/>
    </row>
    <row r="140" spans="1:14" ht="27.75">
      <c r="A140" s="759" t="s">
        <v>247</v>
      </c>
      <c r="B140" s="760"/>
      <c r="C140" s="760"/>
      <c r="D140" s="174" t="s">
        <v>238</v>
      </c>
      <c r="E140" s="352">
        <f>'5'!F140</f>
        <v>2675.02</v>
      </c>
      <c r="F140" s="277">
        <v>2680.66</v>
      </c>
      <c r="G140" s="124">
        <f t="shared" si="15"/>
        <v>5.6399999999998727</v>
      </c>
      <c r="H140" s="111">
        <f>G140+'5'!H140</f>
        <v>52.679999999999836</v>
      </c>
      <c r="I140" s="193">
        <f>G141+G1279</f>
        <v>4.7899999999999636</v>
      </c>
      <c r="J140" s="203">
        <f>H140/DAY(B2)</f>
        <v>8.7799999999999727</v>
      </c>
      <c r="N140" s="73"/>
    </row>
    <row r="141" spans="1:14" ht="27.75">
      <c r="A141" s="759" t="s">
        <v>248</v>
      </c>
      <c r="B141" s="760"/>
      <c r="C141" s="760"/>
      <c r="D141" s="174" t="s">
        <v>238</v>
      </c>
      <c r="E141" s="135">
        <f>'5'!F141</f>
        <v>4753.67</v>
      </c>
      <c r="F141" s="129">
        <v>4758.46</v>
      </c>
      <c r="G141" s="124">
        <f t="shared" si="15"/>
        <v>4.7899999999999636</v>
      </c>
      <c r="H141" s="111">
        <f>G141+'5'!H141</f>
        <v>4.4600000000000364</v>
      </c>
      <c r="I141" s="193"/>
      <c r="J141" s="203">
        <f>H141/DAY(B2)</f>
        <v>0.7433333333333394</v>
      </c>
      <c r="N141" s="73"/>
    </row>
    <row r="142" spans="1:14">
      <c r="A142" s="1248" t="s">
        <v>249</v>
      </c>
      <c r="B142" s="1249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5747.5800000000454</v>
      </c>
      <c r="H143" s="111">
        <f>G143+'5'!H143</f>
        <v>34606.780000000093</v>
      </c>
      <c r="I143" s="131"/>
      <c r="J143" s="203">
        <f>H143/DAY(B2)</f>
        <v>5767.7966666666825</v>
      </c>
      <c r="K143" s="71"/>
      <c r="L143" s="68"/>
      <c r="N143" s="73"/>
    </row>
    <row r="144" spans="1:14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0.26187928979416553</v>
      </c>
      <c r="H144" s="111">
        <f>G144+'5'!H144</f>
        <v>1.5611060385335798</v>
      </c>
      <c r="I144" s="195"/>
      <c r="J144" s="203">
        <f>H144/DAY(B2)</f>
        <v>0.26018433975559663</v>
      </c>
      <c r="K144" s="71"/>
      <c r="L144" s="68"/>
      <c r="N144" s="73"/>
    </row>
    <row r="145" spans="1:14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7083.1199999999662</v>
      </c>
      <c r="H145" s="111">
        <f>G145+'5'!H145</f>
        <v>40753.980000000069</v>
      </c>
      <c r="I145" s="131"/>
      <c r="J145" s="203">
        <f>H145/DAY(B2)</f>
        <v>6792.3300000000118</v>
      </c>
      <c r="K145" s="71"/>
      <c r="L145" s="68"/>
      <c r="N145" s="73"/>
    </row>
    <row r="146" spans="1:14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0.3227310337788819</v>
      </c>
      <c r="H146" s="111">
        <f>G146+'5'!H146</f>
        <v>1.8346854117455424</v>
      </c>
      <c r="I146" s="195"/>
      <c r="J146" s="203">
        <f>H146/DAY(B2)</f>
        <v>0.30578090195759039</v>
      </c>
      <c r="K146" s="71"/>
      <c r="L146" s="68"/>
      <c r="N146" s="73"/>
    </row>
    <row r="147" spans="1:14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3883.880000000001</v>
      </c>
      <c r="H147" s="111">
        <f>G147+'5'!H147</f>
        <v>22916.39</v>
      </c>
      <c r="I147" s="196"/>
      <c r="J147" s="203">
        <f>H147/DAY(B2)</f>
        <v>3819.3983333333331</v>
      </c>
      <c r="K147" s="71"/>
      <c r="L147" s="68"/>
      <c r="N147" s="73"/>
    </row>
    <row r="148" spans="1:14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0.17696278016935055</v>
      </c>
      <c r="H148" s="111">
        <f>G148+'5'!H148</f>
        <v>1.0352074373046989</v>
      </c>
      <c r="I148" s="196"/>
      <c r="J148" s="203">
        <f>H148/DAY(B2)</f>
        <v>0.17253457288411647</v>
      </c>
      <c r="N148" s="73"/>
    </row>
    <row r="149" spans="1:14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1659.6200000000008</v>
      </c>
      <c r="H149" s="111">
        <f>G149+'5'!H149</f>
        <v>10373.08</v>
      </c>
      <c r="I149" s="131"/>
      <c r="J149" s="203">
        <f>H149/DAY(B2)</f>
        <v>1728.8466666666666</v>
      </c>
      <c r="K149" s="72"/>
      <c r="N149" s="73"/>
    </row>
    <row r="150" spans="1:14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7.5617930838403249E-2</v>
      </c>
      <c r="H150" s="111">
        <f>G150+'5'!H150</f>
        <v>0.46887518525585298</v>
      </c>
      <c r="I150" s="196"/>
      <c r="J150" s="203">
        <f>H150/DAY(B2)</f>
        <v>7.814586420930883E-2</v>
      </c>
      <c r="N150" s="73"/>
    </row>
    <row r="151" spans="1:14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1642.3399999999865</v>
      </c>
      <c r="H151" s="111">
        <f>G151+'5'!H151</f>
        <v>12289.499999999956</v>
      </c>
      <c r="I151" s="196"/>
      <c r="J151" s="203">
        <f>H151/DAY(B2)</f>
        <v>2048.2499999999927</v>
      </c>
      <c r="N151" s="73"/>
    </row>
    <row r="152" spans="1:14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7.483059527671522E-2</v>
      </c>
      <c r="H152" s="111">
        <f>G152+'5'!H152</f>
        <v>0.55179050344408798</v>
      </c>
      <c r="I152" s="131"/>
      <c r="J152" s="203">
        <f>H152/DAY(B2)</f>
        <v>9.1965083907347991E-2</v>
      </c>
      <c r="N152" s="73"/>
    </row>
    <row r="153" spans="1:14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1828.4900000000016</v>
      </c>
      <c r="H153" s="111">
        <f>G153+'5'!H153</f>
        <v>9332.4500000000007</v>
      </c>
      <c r="I153" s="131"/>
      <c r="J153" s="203">
        <f>H153/DAY(B2)</f>
        <v>1555.4083333333335</v>
      </c>
      <c r="N153" s="73"/>
    </row>
    <row r="154" spans="1:14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8.3312222291073865E-2</v>
      </c>
      <c r="H154" s="111">
        <f>G154+'5'!H154</f>
        <v>0.42143530634519666</v>
      </c>
      <c r="I154" s="219"/>
      <c r="J154" s="220">
        <f>H154/DAY(B2)</f>
        <v>7.0239217724199443E-2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86" t="s">
        <v>266</v>
      </c>
      <c r="B158" s="1287"/>
      <c r="C158" s="1287"/>
      <c r="D158" s="1287"/>
      <c r="E158" s="1287"/>
      <c r="F158" s="1287"/>
      <c r="G158" s="1288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135">
        <f>'5'!F161</f>
        <v>46199.13</v>
      </c>
      <c r="F161" s="309">
        <v>46282.05</v>
      </c>
      <c r="G161" s="124">
        <f t="shared" ref="G161:G175" si="16">F161-E161</f>
        <v>82.92000000000553</v>
      </c>
    </row>
    <row r="162" spans="1:7">
      <c r="A162" s="435" t="s">
        <v>263</v>
      </c>
      <c r="B162" s="436"/>
      <c r="C162" s="436"/>
      <c r="D162" s="162" t="s">
        <v>186</v>
      </c>
      <c r="E162" s="135">
        <f>'5'!F162</f>
        <v>139050.12</v>
      </c>
      <c r="F162" s="309">
        <v>139534.43</v>
      </c>
      <c r="G162" s="124">
        <f t="shared" si="16"/>
        <v>484.30999999999767</v>
      </c>
    </row>
    <row r="163" spans="1:7">
      <c r="A163" s="435" t="s">
        <v>264</v>
      </c>
      <c r="B163" s="436"/>
      <c r="C163" s="436"/>
      <c r="D163" s="162" t="s">
        <v>186</v>
      </c>
      <c r="E163" s="135">
        <f>'5'!F163</f>
        <v>64865.38</v>
      </c>
      <c r="F163" s="309">
        <v>65079.39</v>
      </c>
      <c r="G163" s="124">
        <f t="shared" si="16"/>
        <v>214.01000000000204</v>
      </c>
    </row>
    <row r="164" spans="1:7">
      <c r="A164" s="435" t="s">
        <v>265</v>
      </c>
      <c r="B164" s="436"/>
      <c r="C164" s="436"/>
      <c r="D164" s="162" t="s">
        <v>186</v>
      </c>
      <c r="E164" s="135">
        <f>'5'!F164</f>
        <v>7513.73</v>
      </c>
      <c r="F164" s="309">
        <v>7521.98</v>
      </c>
      <c r="G164" s="124">
        <f t="shared" si="16"/>
        <v>8.25</v>
      </c>
    </row>
    <row r="165" spans="1:7">
      <c r="A165" s="437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>
      <c r="A166" s="437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4</v>
      </c>
      <c r="G166" s="124">
        <f t="shared" si="16"/>
        <v>4</v>
      </c>
    </row>
    <row r="167" spans="1:7" ht="27.75">
      <c r="A167" s="1232" t="s">
        <v>98</v>
      </c>
      <c r="B167" s="1232"/>
      <c r="C167" s="1232"/>
      <c r="D167" s="174" t="s">
        <v>186</v>
      </c>
      <c r="E167" s="165">
        <f t="shared" si="17"/>
        <v>196277.1</v>
      </c>
      <c r="F167" s="165">
        <f t="shared" si="17"/>
        <v>196711.79</v>
      </c>
      <c r="G167" s="124">
        <f t="shared" si="16"/>
        <v>434.69000000000233</v>
      </c>
    </row>
    <row r="168" spans="1:7" ht="27.75">
      <c r="A168" s="1232" t="s">
        <v>99</v>
      </c>
      <c r="B168" s="1232"/>
      <c r="C168" s="1232"/>
      <c r="D168" s="174" t="s">
        <v>186</v>
      </c>
      <c r="E168" s="165">
        <f t="shared" si="17"/>
        <v>196594.41</v>
      </c>
      <c r="F168" s="165">
        <f t="shared" si="17"/>
        <v>196984.49</v>
      </c>
      <c r="G168" s="124">
        <f t="shared" si="16"/>
        <v>390.07999999998719</v>
      </c>
    </row>
    <row r="169" spans="1:7" ht="27.75">
      <c r="A169" s="1232" t="s">
        <v>100</v>
      </c>
      <c r="B169" s="1232"/>
      <c r="C169" s="1232"/>
      <c r="D169" s="174" t="s">
        <v>186</v>
      </c>
      <c r="E169" s="165">
        <f t="shared" si="17"/>
        <v>95381.97</v>
      </c>
      <c r="F169" s="165">
        <f t="shared" si="17"/>
        <v>95784.54</v>
      </c>
      <c r="G169" s="124">
        <f t="shared" si="16"/>
        <v>402.56999999999243</v>
      </c>
    </row>
    <row r="170" spans="1:7" ht="27.75">
      <c r="A170" s="1232" t="s">
        <v>101</v>
      </c>
      <c r="B170" s="1232"/>
      <c r="C170" s="1232"/>
      <c r="D170" s="174" t="s">
        <v>186</v>
      </c>
      <c r="E170" s="165">
        <f t="shared" si="17"/>
        <v>297032.84999999998</v>
      </c>
      <c r="F170" s="165">
        <f t="shared" si="17"/>
        <v>297490.17</v>
      </c>
      <c r="G170" s="124">
        <f t="shared" si="16"/>
        <v>457.32000000000698</v>
      </c>
    </row>
    <row r="171" spans="1:7" ht="27.75">
      <c r="A171" s="1232" t="s">
        <v>102</v>
      </c>
      <c r="B171" s="1232"/>
      <c r="C171" s="1232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>
      <c r="A172" s="1232" t="s">
        <v>103</v>
      </c>
      <c r="B172" s="1232"/>
      <c r="C172" s="1232"/>
      <c r="D172" s="174" t="s">
        <v>186</v>
      </c>
      <c r="E172" s="165">
        <f t="shared" si="17"/>
        <v>107870.75</v>
      </c>
      <c r="F172" s="165">
        <f t="shared" si="17"/>
        <v>108167.62</v>
      </c>
      <c r="G172" s="124">
        <f t="shared" si="16"/>
        <v>296.86999999999534</v>
      </c>
    </row>
    <row r="173" spans="1:7">
      <c r="A173" s="1273" t="s">
        <v>337</v>
      </c>
      <c r="B173" s="1236"/>
      <c r="C173" s="436"/>
      <c r="D173" s="174" t="s">
        <v>186</v>
      </c>
      <c r="E173" s="135">
        <f>'5'!F173</f>
        <v>19230.099999999999</v>
      </c>
      <c r="F173" s="183">
        <v>19232.3</v>
      </c>
      <c r="G173" s="124">
        <f t="shared" si="16"/>
        <v>2.2000000000007276</v>
      </c>
    </row>
    <row r="174" spans="1:7">
      <c r="A174" s="1273" t="s">
        <v>337</v>
      </c>
      <c r="B174" s="1236"/>
      <c r="C174" s="436"/>
      <c r="D174" s="174" t="s">
        <v>186</v>
      </c>
      <c r="E174" s="135">
        <f>'5'!F174</f>
        <v>70765.899999999994</v>
      </c>
      <c r="F174" s="183">
        <v>70772.3</v>
      </c>
      <c r="G174" s="124">
        <f t="shared" si="16"/>
        <v>6.4000000000087311</v>
      </c>
    </row>
    <row r="175" spans="1:7">
      <c r="A175" s="1273" t="s">
        <v>338</v>
      </c>
      <c r="B175" s="1236"/>
      <c r="C175" s="436"/>
      <c r="D175" s="174" t="s">
        <v>186</v>
      </c>
      <c r="E175" s="135">
        <f>'5'!F175</f>
        <v>27990.1</v>
      </c>
      <c r="F175" s="183">
        <v>27995.8</v>
      </c>
      <c r="G175" s="124">
        <f t="shared" si="16"/>
        <v>5.7000000000007276</v>
      </c>
    </row>
    <row r="177" spans="1:7" ht="27.75">
      <c r="A177" s="1296" t="s">
        <v>382</v>
      </c>
      <c r="B177" s="1296"/>
      <c r="C177" s="1296"/>
      <c r="D177" s="1296"/>
      <c r="E177" s="1296"/>
      <c r="F177" s="1296"/>
      <c r="G177" s="1296"/>
    </row>
    <row r="178" spans="1:7">
      <c r="A178" s="435"/>
      <c r="B178" s="436"/>
      <c r="C178" s="436"/>
      <c r="D178" s="174" t="s">
        <v>186</v>
      </c>
      <c r="E178" s="135">
        <f>'5'!F178</f>
        <v>0</v>
      </c>
      <c r="F178" s="193"/>
      <c r="G178" s="124">
        <f t="shared" ref="G178:G184" si="18">F178-E178</f>
        <v>0</v>
      </c>
    </row>
    <row r="179" spans="1:7">
      <c r="A179" s="435" t="s">
        <v>383</v>
      </c>
      <c r="B179" s="436"/>
      <c r="C179" s="436"/>
      <c r="D179" s="174" t="s">
        <v>186</v>
      </c>
      <c r="E179" s="135">
        <f>'5'!F179</f>
        <v>0</v>
      </c>
      <c r="F179" s="193">
        <v>168.02</v>
      </c>
      <c r="G179" s="124">
        <f t="shared" si="18"/>
        <v>168.02</v>
      </c>
    </row>
    <row r="180" spans="1:7">
      <c r="A180" s="435" t="s">
        <v>384</v>
      </c>
      <c r="B180" s="436"/>
      <c r="C180" s="436"/>
      <c r="D180" s="174" t="s">
        <v>186</v>
      </c>
      <c r="E180" s="135">
        <f>'5'!F180</f>
        <v>0</v>
      </c>
      <c r="F180" s="193">
        <v>35.76</v>
      </c>
      <c r="G180" s="124">
        <f t="shared" si="18"/>
        <v>35.76</v>
      </c>
    </row>
    <row r="181" spans="1:7">
      <c r="A181" s="435" t="s">
        <v>385</v>
      </c>
      <c r="B181" s="436"/>
      <c r="C181" s="436"/>
      <c r="D181" s="174" t="s">
        <v>186</v>
      </c>
      <c r="E181" s="135">
        <f>'5'!F181</f>
        <v>0</v>
      </c>
      <c r="F181" s="193">
        <v>0</v>
      </c>
      <c r="G181" s="124">
        <f t="shared" si="18"/>
        <v>0</v>
      </c>
    </row>
    <row r="182" spans="1:7">
      <c r="A182" s="435" t="s">
        <v>386</v>
      </c>
      <c r="B182" s="436"/>
      <c r="C182" s="436"/>
      <c r="D182" s="174" t="s">
        <v>186</v>
      </c>
      <c r="E182" s="135">
        <v>143.44999999999999</v>
      </c>
      <c r="F182" s="193">
        <v>223.82</v>
      </c>
      <c r="G182" s="124">
        <f t="shared" si="18"/>
        <v>80.37</v>
      </c>
    </row>
    <row r="183" spans="1:7">
      <c r="A183" s="435" t="s">
        <v>387</v>
      </c>
      <c r="B183" s="436"/>
      <c r="C183" s="436"/>
      <c r="D183" s="174" t="s">
        <v>186</v>
      </c>
      <c r="E183" s="135">
        <f>'5'!F183</f>
        <v>0</v>
      </c>
      <c r="F183" s="193">
        <v>139.4</v>
      </c>
      <c r="G183" s="124">
        <f t="shared" si="18"/>
        <v>139.4</v>
      </c>
    </row>
    <row r="184" spans="1:7">
      <c r="A184" s="435" t="s">
        <v>388</v>
      </c>
      <c r="B184" s="436"/>
      <c r="C184" s="436"/>
      <c r="D184" s="174" t="s">
        <v>186</v>
      </c>
      <c r="E184" s="135">
        <f>'5'!F184</f>
        <v>0</v>
      </c>
      <c r="F184" s="193">
        <v>4.5999999999999996</v>
      </c>
      <c r="G184" s="124">
        <f t="shared" si="18"/>
        <v>4.5999999999999996</v>
      </c>
    </row>
  </sheetData>
  <mergeCells count="79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6:C126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77:G177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</mergeCells>
  <pageMargins left="0.22" right="0.17" top="0.14000000000000001" bottom="0.2" header="0.2" footer="0.2"/>
  <pageSetup paperSize="5" scale="1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84"/>
  <sheetViews>
    <sheetView view="pageBreakPreview" topLeftCell="A52" zoomScale="60" zoomScaleNormal="77" workbookViewId="0">
      <selection activeCell="N91" sqref="N91"/>
    </sheetView>
  </sheetViews>
  <sheetFormatPr defaultColWidth="22.33203125" defaultRowHeight="29.2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6" s="57" customFormat="1" ht="27">
      <c r="A2" s="226" t="s">
        <v>340</v>
      </c>
      <c r="B2" s="682">
        <v>44446</v>
      </c>
      <c r="C2" s="761" t="s">
        <v>68</v>
      </c>
      <c r="D2" s="262">
        <v>0.71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>
      <c r="A3" s="221"/>
      <c r="B3" s="265"/>
      <c r="C3" s="761" t="s">
        <v>119</v>
      </c>
      <c r="D3" s="263">
        <v>33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6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'6'!F7</f>
        <v>431763.47</v>
      </c>
      <c r="F7" s="106">
        <v>452149.91</v>
      </c>
      <c r="G7" s="340">
        <f t="shared" ref="G7:G12" si="0">F7-E7</f>
        <v>20386.440000000002</v>
      </c>
      <c r="H7" s="330">
        <f>G7+'6'!H7</f>
        <v>153458.90999999997</v>
      </c>
      <c r="I7" s="331">
        <f>'1'!I7</f>
        <v>12000</v>
      </c>
      <c r="J7" s="332">
        <f>H7/DAY(B2)</f>
        <v>21922.701428571425</v>
      </c>
      <c r="K7" s="200"/>
      <c r="L7" s="68"/>
      <c r="N7" s="359"/>
      <c r="P7" s="67" t="s">
        <v>214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'6'!F8</f>
        <v>443191.67</v>
      </c>
      <c r="F8" s="126">
        <v>463673.59</v>
      </c>
      <c r="G8" s="340">
        <f t="shared" si="0"/>
        <v>20481.920000000042</v>
      </c>
      <c r="H8" s="330">
        <f>G8+'6'!H8</f>
        <v>154101.59000000003</v>
      </c>
      <c r="I8" s="337">
        <v>12000</v>
      </c>
      <c r="J8" s="332">
        <f>H8/DAY(B2)</f>
        <v>22014.512857142861</v>
      </c>
      <c r="K8" s="200"/>
      <c r="L8" s="78"/>
      <c r="M8" s="91"/>
      <c r="N8" s="354"/>
    </row>
    <row r="9" spans="1:16">
      <c r="A9" s="338" t="s">
        <v>133</v>
      </c>
      <c r="B9" s="339"/>
      <c r="C9" s="339"/>
      <c r="D9" s="288" t="s">
        <v>131</v>
      </c>
      <c r="E9" s="284">
        <f>'6'!F9</f>
        <v>211584.75</v>
      </c>
      <c r="F9" s="129">
        <v>231349.21</v>
      </c>
      <c r="G9" s="340">
        <f t="shared" si="0"/>
        <v>19764.459999999992</v>
      </c>
      <c r="H9" s="330">
        <f>G9+'6'!H9</f>
        <v>148819.21</v>
      </c>
      <c r="I9" s="341">
        <f>I8-J8</f>
        <v>-10014.512857142861</v>
      </c>
      <c r="J9" s="332">
        <f>H9/DAY(B2)</f>
        <v>21259.88714285714</v>
      </c>
      <c r="K9" s="81"/>
      <c r="L9" s="68"/>
      <c r="N9" s="73"/>
    </row>
    <row r="10" spans="1:16">
      <c r="A10" s="327" t="s">
        <v>134</v>
      </c>
      <c r="B10" s="328"/>
      <c r="C10" s="328"/>
      <c r="D10" s="288" t="s">
        <v>131</v>
      </c>
      <c r="E10" s="284">
        <f>'6'!F10</f>
        <v>2606.5500000000002</v>
      </c>
      <c r="F10" s="129">
        <v>2606.5500000000002</v>
      </c>
      <c r="G10" s="340">
        <f t="shared" si="0"/>
        <v>0</v>
      </c>
      <c r="H10" s="330">
        <f>G10+'6'!H10</f>
        <v>-0.4499999999998181</v>
      </c>
      <c r="I10" s="342"/>
      <c r="J10" s="332">
        <f>H10/DAY(B2)</f>
        <v>-6.42857142856883E-2</v>
      </c>
      <c r="K10" s="81"/>
      <c r="L10" s="68"/>
      <c r="N10" s="73"/>
    </row>
    <row r="11" spans="1:16">
      <c r="A11" s="327" t="s">
        <v>135</v>
      </c>
      <c r="B11" s="328"/>
      <c r="C11" s="328"/>
      <c r="D11" s="288" t="s">
        <v>131</v>
      </c>
      <c r="E11" s="284">
        <f>'6'!F11</f>
        <v>37000</v>
      </c>
      <c r="F11" s="106">
        <v>37000</v>
      </c>
      <c r="G11" s="340">
        <f t="shared" si="0"/>
        <v>0</v>
      </c>
      <c r="H11" s="330">
        <f>G11+'6'!H11</f>
        <v>0</v>
      </c>
      <c r="I11" s="342"/>
      <c r="J11" s="332">
        <f>H11/DAY(B2)</f>
        <v>0</v>
      </c>
      <c r="K11" s="81"/>
      <c r="L11" s="68"/>
      <c r="N11" s="73"/>
    </row>
    <row r="12" spans="1:16">
      <c r="A12" s="327" t="s">
        <v>136</v>
      </c>
      <c r="B12" s="328"/>
      <c r="C12" s="328"/>
      <c r="D12" s="288" t="s">
        <v>131</v>
      </c>
      <c r="E12" s="284">
        <f>'6'!F12</f>
        <v>40010</v>
      </c>
      <c r="F12" s="129">
        <v>40010</v>
      </c>
      <c r="G12" s="340">
        <f t="shared" si="0"/>
        <v>0</v>
      </c>
      <c r="H12" s="330">
        <f>G12+'6'!H12</f>
        <v>0</v>
      </c>
      <c r="I12" s="342"/>
      <c r="J12" s="332">
        <f>H12/DAY(B2)</f>
        <v>0</v>
      </c>
      <c r="K12" s="81"/>
      <c r="L12" s="68"/>
      <c r="N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19764.459999999992</v>
      </c>
      <c r="H13" s="330">
        <f>G13+'6'!H13</f>
        <v>125508.26999999999</v>
      </c>
      <c r="I13" s="346">
        <f>G7-G13</f>
        <v>621.98000000001048</v>
      </c>
      <c r="J13" s="332">
        <f>H13/DAY(B2)</f>
        <v>17929.752857142856</v>
      </c>
      <c r="K13" s="81"/>
      <c r="L13" s="68"/>
      <c r="N13" s="73"/>
    </row>
    <row r="14" spans="1:16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>
      <c r="A15" s="443" t="s">
        <v>139</v>
      </c>
      <c r="B15" s="444"/>
      <c r="C15" s="444"/>
      <c r="D15" s="175" t="s">
        <v>140</v>
      </c>
      <c r="E15" s="136">
        <f>'6'!F15</f>
        <v>1761795.42</v>
      </c>
      <c r="F15" s="136">
        <v>1762652.18</v>
      </c>
      <c r="G15" s="315">
        <f>(F15-E15)</f>
        <v>856.76000000000931</v>
      </c>
      <c r="H15" s="137">
        <f>G15+'6'!H15</f>
        <v>6122.1799999999348</v>
      </c>
      <c r="I15" s="711">
        <v>800</v>
      </c>
      <c r="J15" s="204">
        <f>H15/DAY(B2)</f>
        <v>874.59714285713358</v>
      </c>
      <c r="K15" s="81"/>
      <c r="L15" s="68"/>
      <c r="N15" s="73"/>
    </row>
    <row r="16" spans="1:16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-74.597142857133576</v>
      </c>
      <c r="J16" s="204"/>
      <c r="K16" s="81"/>
      <c r="L16" s="68"/>
      <c r="N16" s="73"/>
    </row>
    <row r="17" spans="1:14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93" t="s">
        <v>142</v>
      </c>
      <c r="B18" s="1294"/>
      <c r="C18" s="1295"/>
      <c r="D18" s="288" t="s">
        <v>143</v>
      </c>
      <c r="E18" s="285">
        <f>'6'!F18</f>
        <v>10</v>
      </c>
      <c r="F18" s="129">
        <v>16</v>
      </c>
      <c r="G18" s="345">
        <f>F18*10</f>
        <v>160</v>
      </c>
      <c r="H18" s="330">
        <f>G18+'6'!H18</f>
        <v>980</v>
      </c>
      <c r="I18" s="331">
        <f>'1'!I18</f>
        <v>65</v>
      </c>
      <c r="J18" s="332">
        <f>H18/DAY(B2)</f>
        <v>140</v>
      </c>
      <c r="K18" s="81"/>
      <c r="L18" s="68"/>
      <c r="N18" s="73"/>
    </row>
    <row r="19" spans="1:14" ht="27.75">
      <c r="A19" s="1293" t="s">
        <v>70</v>
      </c>
      <c r="B19" s="1294"/>
      <c r="C19" s="1295"/>
      <c r="D19" s="288" t="s">
        <v>143</v>
      </c>
      <c r="E19" s="285">
        <f>'6'!F19</f>
        <v>145715</v>
      </c>
      <c r="F19" s="129">
        <v>145773</v>
      </c>
      <c r="G19" s="340">
        <f t="shared" ref="G19" si="1">F19-E19</f>
        <v>58</v>
      </c>
      <c r="H19" s="330">
        <f>G19+'6'!H19</f>
        <v>435</v>
      </c>
      <c r="I19" s="347"/>
      <c r="J19" s="332">
        <f>H19/DAY(B2)</f>
        <v>62.142857142857146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218</v>
      </c>
      <c r="H20" s="330">
        <f>G20+'6'!H20</f>
        <v>1415</v>
      </c>
      <c r="I20" s="349">
        <f>I18-J20</f>
        <v>-137.14285714285714</v>
      </c>
      <c r="J20" s="332">
        <f>H20/DAY(B2)</f>
        <v>202.14285714285714</v>
      </c>
      <c r="K20" s="81"/>
      <c r="L20" s="68"/>
      <c r="N20" s="73"/>
    </row>
    <row r="21" spans="1:14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9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59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20481.920000000042</v>
      </c>
      <c r="F27" s="152">
        <v>9</v>
      </c>
      <c r="G27" s="153">
        <f>E27*F27</f>
        <v>184337.28000000038</v>
      </c>
      <c r="H27" s="111">
        <f>G27+'6'!H27</f>
        <v>1386914.31</v>
      </c>
      <c r="I27" s="154"/>
      <c r="J27" s="203">
        <f>H27/DAY(B2)</f>
        <v>198130.61571428573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856.76000000000931</v>
      </c>
      <c r="F28" s="152">
        <v>56.2</v>
      </c>
      <c r="G28" s="153">
        <f>E28*F28</f>
        <v>48149.912000000528</v>
      </c>
      <c r="H28" s="111">
        <f>G28+'6'!H28</f>
        <v>341029.42859999655</v>
      </c>
      <c r="I28" s="156"/>
      <c r="J28" s="203">
        <f>H28/DAY(B2)</f>
        <v>48718.489799999508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58</v>
      </c>
      <c r="F30" s="152">
        <v>146</v>
      </c>
      <c r="G30" s="153">
        <f>E30*F30</f>
        <v>8468</v>
      </c>
      <c r="H30" s="111">
        <f>G30+'6'!H30</f>
        <v>63510</v>
      </c>
      <c r="I30" s="156"/>
      <c r="J30" s="203">
        <f>H30/DAY(B2)</f>
        <v>9072.8571428571431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G31+'6'!H31</f>
        <v>78400</v>
      </c>
      <c r="I31" s="156"/>
      <c r="J31" s="203">
        <f>H31/DAY(B2)</f>
        <v>11200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700">
        <f>G27+G28+G29+G30+G31</f>
        <v>253755.19200000091</v>
      </c>
      <c r="H32" s="111">
        <f>G32+'6'!H32</f>
        <v>1869853.738599997</v>
      </c>
      <c r="I32" s="160"/>
      <c r="J32" s="203">
        <f>H32/DAY(B2)</f>
        <v>267121.96265714243</v>
      </c>
      <c r="K32" s="65"/>
      <c r="L32" s="94"/>
      <c r="N32" s="73"/>
    </row>
    <row r="33" spans="1:14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</row>
    <row r="34" spans="1:14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-0.69999999995343387</v>
      </c>
      <c r="I35" s="106"/>
      <c r="J35" s="203">
        <f>H35/DAY(B2)</f>
        <v>-9.9999999993347702E-2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'6'!F36</f>
        <v>6452.67</v>
      </c>
      <c r="F36" s="161">
        <v>7043.15</v>
      </c>
      <c r="G36" s="124">
        <f t="shared" si="3"/>
        <v>590.47999999999956</v>
      </c>
      <c r="H36" s="111">
        <f>G36+'6'!H36</f>
        <v>5210.1499999999996</v>
      </c>
      <c r="I36" s="106"/>
      <c r="J36" s="203">
        <f>H36/DAY(B2)</f>
        <v>744.30714285714282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181">
        <v>13107.45</v>
      </c>
      <c r="F37" s="1181">
        <v>14788.5</v>
      </c>
      <c r="G37" s="1183">
        <f t="shared" si="3"/>
        <v>1681.0499999999993</v>
      </c>
      <c r="H37" s="111">
        <f>G37+'6'!H37</f>
        <v>11013.5</v>
      </c>
      <c r="I37" s="106"/>
      <c r="J37" s="203">
        <f>H37/DAY(B2)</f>
        <v>1573.3571428571429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'6'!F38</f>
        <v>15196.08</v>
      </c>
      <c r="F38" s="120">
        <v>16859.97</v>
      </c>
      <c r="G38" s="124">
        <f t="shared" si="3"/>
        <v>1663.8900000000012</v>
      </c>
      <c r="H38" s="111">
        <f>G38+'6'!H38</f>
        <v>12036.970000000001</v>
      </c>
      <c r="I38" s="106"/>
      <c r="J38" s="203">
        <f>H38/DAY(B2)</f>
        <v>1719.5671428571429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'6'!F39</f>
        <v>26758.39</v>
      </c>
      <c r="F39" s="161">
        <v>30550.68</v>
      </c>
      <c r="G39" s="124">
        <f t="shared" si="3"/>
        <v>3792.2900000000009</v>
      </c>
      <c r="H39" s="111">
        <f>G39+'6'!H39</f>
        <v>26708.68</v>
      </c>
      <c r="I39" s="106"/>
      <c r="J39" s="203">
        <f>H39/DAY(B2)</f>
        <v>3815.5257142857145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'6'!F40</f>
        <v>0</v>
      </c>
      <c r="F40" s="161">
        <v>0</v>
      </c>
      <c r="G40" s="124">
        <f t="shared" si="3"/>
        <v>0</v>
      </c>
      <c r="H40" s="111">
        <f>G40+'6'!H40</f>
        <v>157.40000000000146</v>
      </c>
      <c r="I40" s="106"/>
      <c r="J40" s="203">
        <f>H40/DAY(B2)</f>
        <v>22.485714285714494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'6'!F41</f>
        <v>446173.51</v>
      </c>
      <c r="F41" s="161">
        <v>452137.27</v>
      </c>
      <c r="G41" s="124">
        <f t="shared" si="3"/>
        <v>5963.7600000000093</v>
      </c>
      <c r="H41" s="111">
        <f>G41+'6'!H41</f>
        <v>18855.48000000004</v>
      </c>
      <c r="I41" s="106"/>
      <c r="J41" s="203">
        <f>H41/DAY(B2)</f>
        <v>2693.6400000000058</v>
      </c>
      <c r="K41" s="81"/>
      <c r="L41" s="68"/>
      <c r="N41" s="73"/>
    </row>
    <row r="42" spans="1:14">
      <c r="A42" s="238" t="s">
        <v>170</v>
      </c>
      <c r="B42" s="239"/>
      <c r="C42" s="239"/>
      <c r="D42" s="175" t="s">
        <v>131</v>
      </c>
      <c r="E42" s="161">
        <f>'6'!F42</f>
        <v>197821.71</v>
      </c>
      <c r="F42" s="683">
        <v>197821.71</v>
      </c>
      <c r="G42" s="124">
        <f t="shared" si="3"/>
        <v>0</v>
      </c>
      <c r="H42" s="111">
        <f>G42+'6'!H42</f>
        <v>22709.709999999992</v>
      </c>
      <c r="I42" s="106"/>
      <c r="J42" s="203">
        <f>H42/DAY(B2)</f>
        <v>3244.2442857142846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'6'!F43</f>
        <v>1305904.3</v>
      </c>
      <c r="F43" s="161">
        <v>1308370.1000000001</v>
      </c>
      <c r="G43" s="124">
        <f t="shared" si="3"/>
        <v>2465.8000000000466</v>
      </c>
      <c r="H43" s="111">
        <f>G43+'6'!H43</f>
        <v>18625.100000000093</v>
      </c>
      <c r="I43" s="106"/>
      <c r="J43" s="203">
        <f>H43/DAY(B2)</f>
        <v>2660.7285714285849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16157.270000000057</v>
      </c>
      <c r="H47" s="111">
        <f>G47+'6'!H47</f>
        <v>116117.29000000017</v>
      </c>
      <c r="I47" s="106"/>
      <c r="J47" s="203">
        <f>H47/DAY(B2)</f>
        <v>16588.184285714309</v>
      </c>
      <c r="K47" s="81"/>
      <c r="L47" s="68"/>
      <c r="N47" s="73"/>
    </row>
    <row r="48" spans="1:14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181">
        <v>30674.18</v>
      </c>
      <c r="F49" s="1181">
        <v>35199.07</v>
      </c>
      <c r="G49" s="1183">
        <f t="shared" ref="G49:G58" si="4">F49-E49</f>
        <v>4524.8899999999994</v>
      </c>
      <c r="H49" s="111">
        <f>G49+'6'!H49</f>
        <v>22973.07</v>
      </c>
      <c r="I49" s="106"/>
      <c r="J49" s="203">
        <f>H49/DAY(B2)</f>
        <v>3281.8671428571429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'6'!F50</f>
        <v>614967.82999999996</v>
      </c>
      <c r="F50" s="161">
        <v>615896.39</v>
      </c>
      <c r="G50" s="124">
        <f t="shared" si="4"/>
        <v>928.56000000005588</v>
      </c>
      <c r="H50" s="111">
        <f>G50+'6'!H50</f>
        <v>8598.390000000014</v>
      </c>
      <c r="I50" s="106"/>
      <c r="J50" s="203">
        <f>H50/DAY(B2)</f>
        <v>1228.3414285714305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'6'!F51</f>
        <v>0</v>
      </c>
      <c r="F51" s="161">
        <v>0</v>
      </c>
      <c r="G51" s="124">
        <f t="shared" si="4"/>
        <v>0</v>
      </c>
      <c r="H51" s="111">
        <f>G51+'6'!H51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'6'!F52</f>
        <v>0</v>
      </c>
      <c r="F52" s="161">
        <v>0</v>
      </c>
      <c r="G52" s="124">
        <f t="shared" si="4"/>
        <v>0</v>
      </c>
      <c r="H52" s="111">
        <f>G52+'6'!H52</f>
        <v>0</v>
      </c>
      <c r="I52" s="106"/>
      <c r="J52" s="203">
        <f>H52/DAY(B2)</f>
        <v>0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'6'!F53</f>
        <v>0</v>
      </c>
      <c r="F53" s="161">
        <v>0</v>
      </c>
      <c r="G53" s="124">
        <f t="shared" si="4"/>
        <v>0</v>
      </c>
      <c r="H53" s="111">
        <f>G53+'6'!H53</f>
        <v>0</v>
      </c>
      <c r="I53" s="106"/>
      <c r="J53" s="203">
        <f>H53/DAY(B2)</f>
        <v>0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'6'!F54</f>
        <v>2639.35</v>
      </c>
      <c r="F54" s="161">
        <v>2643.32</v>
      </c>
      <c r="G54" s="124">
        <f t="shared" si="4"/>
        <v>3.9700000000002547</v>
      </c>
      <c r="H54" s="111">
        <f>G54+'6'!H54</f>
        <v>182.32000000000016</v>
      </c>
      <c r="I54" s="106"/>
      <c r="J54" s="203">
        <f>H54/DAY(B2)</f>
        <v>26.045714285714308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'6'!F55</f>
        <v>306268.99</v>
      </c>
      <c r="F55" s="304">
        <v>306268.99</v>
      </c>
      <c r="G55" s="303">
        <f t="shared" si="4"/>
        <v>0</v>
      </c>
      <c r="H55" s="356">
        <f>G55+'6'!H55</f>
        <v>0</v>
      </c>
      <c r="I55" s="357"/>
      <c r="J55" s="358">
        <f>H55/DAY(B2)</f>
        <v>0</v>
      </c>
      <c r="K55" s="81"/>
      <c r="L55" s="68"/>
      <c r="N55" s="73"/>
    </row>
    <row r="56" spans="1:14">
      <c r="A56" s="238" t="s">
        <v>181</v>
      </c>
      <c r="B56" s="710"/>
      <c r="C56" s="710"/>
      <c r="D56" s="175" t="s">
        <v>182</v>
      </c>
      <c r="E56" s="161">
        <f>'6'!F56</f>
        <v>666171.55000000005</v>
      </c>
      <c r="F56" s="683">
        <v>666182.79</v>
      </c>
      <c r="G56" s="424">
        <f t="shared" si="4"/>
        <v>11.239999999990687</v>
      </c>
      <c r="H56" s="111">
        <f>G56+'6'!H56</f>
        <v>5163.7900000000373</v>
      </c>
      <c r="I56" s="106"/>
      <c r="J56" s="203">
        <f>H56/DAY(B2)</f>
        <v>737.68428571429104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'6'!F58</f>
        <v>67214.899999999994</v>
      </c>
      <c r="F58" s="304">
        <v>67417.64</v>
      </c>
      <c r="G58" s="124">
        <f t="shared" si="4"/>
        <v>202.74000000000524</v>
      </c>
      <c r="H58" s="111">
        <f>G58+'6'!H58</f>
        <v>1403.6399999999994</v>
      </c>
      <c r="I58" s="106"/>
      <c r="J58" s="203">
        <f>H58/DAY(B2)</f>
        <v>200.51999999999992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5671.4000000000515</v>
      </c>
      <c r="H59" s="111">
        <f>G59+'6'!H59</f>
        <v>38321.210000000057</v>
      </c>
      <c r="I59" s="106">
        <f>G7-G60</f>
        <v>-1442.2300000001051</v>
      </c>
      <c r="J59" s="203">
        <f>H59/DAY(B2)</f>
        <v>5474.4585714285795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21828.670000000107</v>
      </c>
      <c r="H60" s="111">
        <f>G60+'6'!H60</f>
        <v>154438.50000000023</v>
      </c>
      <c r="I60" s="106">
        <f>G13-G60</f>
        <v>-2064.2100000001155</v>
      </c>
      <c r="J60" s="203">
        <f>H60/DAY(B2)</f>
        <v>22062.642857142891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'6'!F63</f>
        <v>4</v>
      </c>
      <c r="F63" s="165">
        <v>12.36</v>
      </c>
      <c r="G63" s="124">
        <f t="shared" si="5"/>
        <v>8.36</v>
      </c>
      <c r="H63" s="111">
        <f>G63+'6'!H63</f>
        <v>12.36</v>
      </c>
      <c r="I63" s="166"/>
      <c r="J63" s="203">
        <f>H63/DAY(B2)</f>
        <v>1.7657142857142856</v>
      </c>
      <c r="K63" s="81"/>
      <c r="L63" s="68"/>
      <c r="N63" s="73"/>
    </row>
    <row r="64" spans="1:14" ht="27.75">
      <c r="A64" s="1226" t="s">
        <v>98</v>
      </c>
      <c r="B64" s="1227"/>
      <c r="C64" s="1228"/>
      <c r="D64" s="174" t="s">
        <v>186</v>
      </c>
      <c r="E64" s="135">
        <f>'6'!F64</f>
        <v>196711.79</v>
      </c>
      <c r="F64" s="129">
        <v>197117.87</v>
      </c>
      <c r="G64" s="124">
        <f t="shared" si="5"/>
        <v>406.07999999998719</v>
      </c>
      <c r="H64" s="111">
        <f>G64+'6'!H64</f>
        <v>2900.8699999999953</v>
      </c>
      <c r="I64" s="131"/>
      <c r="J64" s="203">
        <f>H64/DAY(B2)</f>
        <v>414.40999999999934</v>
      </c>
      <c r="K64" s="81"/>
      <c r="L64" s="68"/>
      <c r="N64" s="73"/>
    </row>
    <row r="65" spans="1:14" ht="27.75">
      <c r="A65" s="1226" t="s">
        <v>99</v>
      </c>
      <c r="B65" s="1227"/>
      <c r="C65" s="1228"/>
      <c r="D65" s="174" t="s">
        <v>186</v>
      </c>
      <c r="E65" s="135">
        <f>'6'!F65</f>
        <v>196984.49</v>
      </c>
      <c r="F65" s="302">
        <v>197360.47</v>
      </c>
      <c r="G65" s="124">
        <f t="shared" si="5"/>
        <v>375.98000000001048</v>
      </c>
      <c r="H65" s="111">
        <f>G65+'6'!H65</f>
        <v>2731.4700000000012</v>
      </c>
      <c r="I65" s="140"/>
      <c r="J65" s="203">
        <f>H65/DAY(B2)</f>
        <v>390.21000000000015</v>
      </c>
      <c r="K65" s="81"/>
      <c r="L65" s="68"/>
      <c r="N65" s="73"/>
    </row>
    <row r="66" spans="1:14" ht="27.75">
      <c r="A66" s="1226" t="s">
        <v>100</v>
      </c>
      <c r="B66" s="1227"/>
      <c r="C66" s="1228"/>
      <c r="D66" s="174" t="s">
        <v>186</v>
      </c>
      <c r="E66" s="135">
        <f>'6'!F66</f>
        <v>95784.54</v>
      </c>
      <c r="F66" s="129">
        <v>96168.15</v>
      </c>
      <c r="G66" s="124">
        <f t="shared" si="5"/>
        <v>383.61000000000058</v>
      </c>
      <c r="H66" s="111">
        <f>G66+'6'!H66</f>
        <v>2851.1499999999942</v>
      </c>
      <c r="I66" s="131"/>
      <c r="J66" s="203">
        <f>H66/DAY(B2)</f>
        <v>407.30714285714203</v>
      </c>
      <c r="K66" s="81"/>
      <c r="L66" s="68"/>
      <c r="N66" s="73"/>
    </row>
    <row r="67" spans="1:14" ht="27.75">
      <c r="A67" s="1226" t="s">
        <v>101</v>
      </c>
      <c r="B67" s="1227"/>
      <c r="C67" s="1228"/>
      <c r="D67" s="174" t="s">
        <v>186</v>
      </c>
      <c r="E67" s="135">
        <f>'6'!F67</f>
        <v>297490.17</v>
      </c>
      <c r="F67" s="129">
        <v>297951.96999999997</v>
      </c>
      <c r="G67" s="124">
        <f t="shared" si="5"/>
        <v>461.79999999998836</v>
      </c>
      <c r="H67" s="111">
        <f>G67+'6'!H67</f>
        <v>3060.9699999999721</v>
      </c>
      <c r="I67" s="140"/>
      <c r="J67" s="203">
        <f>H67/DAY(B2)</f>
        <v>437.28142857142456</v>
      </c>
      <c r="K67" s="82"/>
      <c r="L67" s="68"/>
      <c r="N67" s="73"/>
    </row>
    <row r="68" spans="1:14" ht="27.75">
      <c r="A68" s="1226" t="s">
        <v>102</v>
      </c>
      <c r="B68" s="1227"/>
      <c r="C68" s="1228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226" t="s">
        <v>103</v>
      </c>
      <c r="B69" s="1227"/>
      <c r="C69" s="1228"/>
      <c r="D69" s="174" t="s">
        <v>186</v>
      </c>
      <c r="E69" s="135">
        <f>'6'!F69</f>
        <v>108167.62</v>
      </c>
      <c r="F69" s="129">
        <v>108465.79</v>
      </c>
      <c r="G69" s="124">
        <f t="shared" si="5"/>
        <v>298.16999999999825</v>
      </c>
      <c r="H69" s="111">
        <f>G69+'6'!H69</f>
        <v>2059.7899999999936</v>
      </c>
      <c r="I69" s="167"/>
      <c r="J69" s="203">
        <f>H69/DAY(B2)</f>
        <v>294.2557142857134</v>
      </c>
      <c r="K69" s="84"/>
      <c r="L69" s="68"/>
      <c r="N69" s="73"/>
    </row>
    <row r="70" spans="1:14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</row>
    <row r="72" spans="1:14" ht="27.75">
      <c r="A72" s="1226" t="s">
        <v>190</v>
      </c>
      <c r="B72" s="1227"/>
      <c r="C72" s="1228"/>
      <c r="D72" s="174" t="s">
        <v>186</v>
      </c>
      <c r="E72" s="170">
        <f>'6'!F72</f>
        <v>857064</v>
      </c>
      <c r="F72" s="305">
        <v>857069</v>
      </c>
      <c r="G72" s="124">
        <f t="shared" ref="G72:G84" si="6">F72-E72</f>
        <v>5</v>
      </c>
      <c r="H72" s="111">
        <f>G72+'6'!H72</f>
        <v>47</v>
      </c>
      <c r="I72" s="131"/>
      <c r="J72" s="203">
        <f>H72/DAY(B2)</f>
        <v>6.7142857142857144</v>
      </c>
      <c r="K72" s="84"/>
      <c r="L72" s="68"/>
      <c r="N72" s="73"/>
    </row>
    <row r="73" spans="1:14" ht="27.75">
      <c r="A73" s="1226" t="s">
        <v>191</v>
      </c>
      <c r="B73" s="1227"/>
      <c r="C73" s="1228"/>
      <c r="D73" s="174" t="s">
        <v>186</v>
      </c>
      <c r="E73" s="170">
        <f>'6'!F73</f>
        <v>886053</v>
      </c>
      <c r="F73" s="306">
        <v>886054</v>
      </c>
      <c r="G73" s="303">
        <f t="shared" si="6"/>
        <v>1</v>
      </c>
      <c r="H73" s="111">
        <f>G73+'6'!H73</f>
        <v>3</v>
      </c>
      <c r="I73" s="131"/>
      <c r="J73" s="203">
        <f>H73/DAY(B2)</f>
        <v>0.42857142857142855</v>
      </c>
      <c r="K73" s="83"/>
      <c r="L73" s="68"/>
      <c r="N73" s="73"/>
    </row>
    <row r="74" spans="1:14" ht="27.75">
      <c r="A74" s="1226" t="s">
        <v>192</v>
      </c>
      <c r="B74" s="1227"/>
      <c r="C74" s="1228"/>
      <c r="D74" s="174" t="s">
        <v>186</v>
      </c>
      <c r="E74" s="170">
        <f>'6'!F74</f>
        <v>88778.7</v>
      </c>
      <c r="F74" s="305">
        <v>88780</v>
      </c>
      <c r="G74" s="124">
        <f t="shared" si="6"/>
        <v>1.3000000000029104</v>
      </c>
      <c r="H74" s="111">
        <f>G74+'6'!H74</f>
        <v>18</v>
      </c>
      <c r="I74" s="131"/>
      <c r="J74" s="203">
        <f>H74/DAY(B2)</f>
        <v>2.5714285714285716</v>
      </c>
      <c r="K74" s="84"/>
      <c r="L74" s="68"/>
      <c r="N74" s="73"/>
    </row>
    <row r="75" spans="1:14" ht="27.75">
      <c r="A75" s="1229" t="s">
        <v>193</v>
      </c>
      <c r="B75" s="1230"/>
      <c r="C75" s="1231"/>
      <c r="D75" s="174" t="s">
        <v>186</v>
      </c>
      <c r="E75" s="170">
        <f>'6'!F75</f>
        <v>27428.639999999999</v>
      </c>
      <c r="F75" s="306">
        <v>27600.06</v>
      </c>
      <c r="G75" s="124">
        <f t="shared" si="6"/>
        <v>171.42000000000189</v>
      </c>
      <c r="H75" s="111">
        <f>G75+'6'!H75</f>
        <v>1292.0600000000013</v>
      </c>
      <c r="I75" s="131"/>
      <c r="J75" s="203">
        <f>H75/DAY(B2)</f>
        <v>184.58000000000018</v>
      </c>
      <c r="K75" s="83"/>
      <c r="L75" s="68"/>
      <c r="N75" s="73"/>
    </row>
    <row r="76" spans="1:14" ht="27.75">
      <c r="A76" s="1229" t="s">
        <v>194</v>
      </c>
      <c r="B76" s="1230"/>
      <c r="C76" s="1231"/>
      <c r="D76" s="174" t="s">
        <v>186</v>
      </c>
      <c r="E76" s="170">
        <f>'6'!F76</f>
        <v>13688.67</v>
      </c>
      <c r="F76" s="306">
        <v>13752.78</v>
      </c>
      <c r="G76" s="124">
        <f t="shared" si="6"/>
        <v>64.110000000000582</v>
      </c>
      <c r="H76" s="111">
        <f>G76+'6'!H76</f>
        <v>475.78000000000065</v>
      </c>
      <c r="I76" s="156"/>
      <c r="J76" s="203">
        <f>H76/DAY(B2)</f>
        <v>67.968571428571522</v>
      </c>
      <c r="K76" s="83"/>
      <c r="L76" s="68"/>
      <c r="N76" s="73"/>
    </row>
    <row r="77" spans="1:14" ht="27.75">
      <c r="A77" s="1226" t="s">
        <v>195</v>
      </c>
      <c r="B77" s="1227"/>
      <c r="C77" s="1228"/>
      <c r="D77" s="174" t="s">
        <v>186</v>
      </c>
      <c r="E77" s="170">
        <f>'6'!F77</f>
        <v>708592</v>
      </c>
      <c r="F77" s="306">
        <v>708651</v>
      </c>
      <c r="G77" s="303">
        <f t="shared" si="6"/>
        <v>59</v>
      </c>
      <c r="H77" s="111">
        <f>G77+'6'!H77</f>
        <v>362</v>
      </c>
      <c r="I77" s="156"/>
      <c r="J77" s="203">
        <f>H77/DAY(B2)</f>
        <v>51.714285714285715</v>
      </c>
      <c r="K77" s="83"/>
      <c r="L77" s="68"/>
      <c r="N77" s="73"/>
    </row>
    <row r="78" spans="1:14" ht="27.75">
      <c r="A78" s="762" t="s">
        <v>196</v>
      </c>
      <c r="B78" s="754"/>
      <c r="C78" s="754"/>
      <c r="D78" s="174" t="s">
        <v>186</v>
      </c>
      <c r="E78" s="170">
        <f>'6'!F78</f>
        <v>682722</v>
      </c>
      <c r="F78" s="307">
        <v>682858</v>
      </c>
      <c r="G78" s="124">
        <f t="shared" si="6"/>
        <v>136</v>
      </c>
      <c r="H78" s="111">
        <f>G78+'6'!H78</f>
        <v>445</v>
      </c>
      <c r="I78" s="156"/>
      <c r="J78" s="203">
        <f>H78/DAY(B2)</f>
        <v>63.571428571428569</v>
      </c>
      <c r="K78" s="83"/>
      <c r="L78" s="68"/>
      <c r="N78" s="73"/>
    </row>
    <row r="79" spans="1:14" ht="27.75">
      <c r="A79" s="1229" t="s">
        <v>91</v>
      </c>
      <c r="B79" s="1230"/>
      <c r="C79" s="1231"/>
      <c r="D79" s="175" t="s">
        <v>186</v>
      </c>
      <c r="E79" s="170">
        <f>'6'!F79</f>
        <v>846064</v>
      </c>
      <c r="F79" s="305">
        <v>846240</v>
      </c>
      <c r="G79" s="124">
        <f t="shared" si="6"/>
        <v>176</v>
      </c>
      <c r="H79" s="111">
        <f>G79+'6'!H79</f>
        <v>1191</v>
      </c>
      <c r="I79" s="156"/>
      <c r="J79" s="203">
        <f>H79/DAY(B2)</f>
        <v>170.14285714285714</v>
      </c>
      <c r="K79" s="83"/>
      <c r="L79" s="68"/>
      <c r="N79" s="73"/>
    </row>
    <row r="80" spans="1:14" ht="27.75">
      <c r="A80" s="1229" t="s">
        <v>197</v>
      </c>
      <c r="B80" s="1230"/>
      <c r="C80" s="1231"/>
      <c r="D80" s="175" t="s">
        <v>186</v>
      </c>
      <c r="E80" s="170">
        <f>'6'!F80</f>
        <v>566638</v>
      </c>
      <c r="F80" s="306">
        <v>567034</v>
      </c>
      <c r="G80" s="124">
        <f t="shared" si="6"/>
        <v>396</v>
      </c>
      <c r="H80" s="111">
        <f>G80+'6'!H80</f>
        <v>2736</v>
      </c>
      <c r="I80" s="156"/>
      <c r="J80" s="203">
        <f>H80/DAY(B2)</f>
        <v>390.85714285714283</v>
      </c>
      <c r="K80" s="83"/>
      <c r="L80" s="68"/>
      <c r="N80" s="73"/>
    </row>
    <row r="81" spans="1:15" ht="27.75">
      <c r="A81" s="1229" t="s">
        <v>198</v>
      </c>
      <c r="B81" s="1230"/>
      <c r="C81" s="1231"/>
      <c r="D81" s="175" t="s">
        <v>186</v>
      </c>
      <c r="E81" s="170">
        <f>'6'!F81</f>
        <v>654950</v>
      </c>
      <c r="F81" s="306">
        <v>655076</v>
      </c>
      <c r="G81" s="124">
        <f t="shared" si="6"/>
        <v>126</v>
      </c>
      <c r="H81" s="111">
        <f>G81+'6'!H81</f>
        <v>898</v>
      </c>
      <c r="I81" s="156"/>
      <c r="J81" s="203">
        <f>H81/DAY(B2)</f>
        <v>128.28571428571428</v>
      </c>
      <c r="K81" s="83"/>
      <c r="L81" s="68"/>
      <c r="N81" s="73"/>
    </row>
    <row r="82" spans="1:15" ht="27.75">
      <c r="A82" s="1229" t="s">
        <v>92</v>
      </c>
      <c r="B82" s="1230"/>
      <c r="C82" s="1231"/>
      <c r="D82" s="136" t="s">
        <v>131</v>
      </c>
      <c r="E82" s="170">
        <f>'6'!F82</f>
        <v>110062</v>
      </c>
      <c r="F82" s="302">
        <v>110088</v>
      </c>
      <c r="G82" s="124">
        <f t="shared" si="6"/>
        <v>26</v>
      </c>
      <c r="H82" s="111">
        <f>G82+'6'!H82</f>
        <v>163</v>
      </c>
      <c r="I82" s="137"/>
      <c r="J82" s="203">
        <f>H82/DAY(B2)</f>
        <v>23.285714285714285</v>
      </c>
      <c r="K82" s="83"/>
      <c r="L82" s="68"/>
      <c r="N82" s="73"/>
    </row>
    <row r="83" spans="1:15" ht="27.75">
      <c r="A83" s="1229" t="s">
        <v>199</v>
      </c>
      <c r="B83" s="1230"/>
      <c r="C83" s="1231"/>
      <c r="D83" s="271" t="s">
        <v>131</v>
      </c>
      <c r="E83" s="170">
        <f>'6'!F83</f>
        <v>46035</v>
      </c>
      <c r="F83" s="271">
        <v>46270</v>
      </c>
      <c r="G83" s="124">
        <f t="shared" si="6"/>
        <v>235</v>
      </c>
      <c r="H83" s="111">
        <f>G83+'6'!H83</f>
        <v>1947</v>
      </c>
      <c r="I83" s="132"/>
      <c r="J83" s="203">
        <f>H83/DAY(B2)</f>
        <v>278.14285714285717</v>
      </c>
      <c r="K83" s="82"/>
      <c r="L83" s="68"/>
      <c r="N83" s="73"/>
    </row>
    <row r="84" spans="1:15">
      <c r="A84" s="763" t="s">
        <v>200</v>
      </c>
      <c r="B84" s="222"/>
      <c r="C84" s="222"/>
      <c r="D84" s="129" t="s">
        <v>131</v>
      </c>
      <c r="E84" s="170">
        <f>'6'!F84</f>
        <v>574200</v>
      </c>
      <c r="F84" s="278">
        <v>574807</v>
      </c>
      <c r="G84" s="124">
        <f t="shared" si="6"/>
        <v>607</v>
      </c>
      <c r="H84" s="111">
        <f>G84+'6'!H84</f>
        <v>4428</v>
      </c>
      <c r="I84" s="132"/>
      <c r="J84" s="203">
        <f>H84/DAY(B2)</f>
        <v>632.57142857142856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2003.8300000000054</v>
      </c>
      <c r="H85" s="111">
        <f>G85+'6'!H85</f>
        <v>14005.840000000002</v>
      </c>
      <c r="I85" s="132"/>
      <c r="J85" s="203">
        <f>H85/DAY(B2)</f>
        <v>2000.8342857142859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02" t="s">
        <v>182</v>
      </c>
      <c r="E86" s="278">
        <f>'6'!F86</f>
        <v>463698</v>
      </c>
      <c r="F86" s="298">
        <v>463711</v>
      </c>
      <c r="G86" s="356">
        <f t="shared" ref="G86:G91" si="7">F86-E86</f>
        <v>13</v>
      </c>
      <c r="H86" s="111">
        <f>G86+'6'!H86</f>
        <v>396</v>
      </c>
      <c r="I86" s="303"/>
      <c r="J86" s="358">
        <f>H86/DAY(B2)</f>
        <v>56.571428571428569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02" t="s">
        <v>182</v>
      </c>
      <c r="E87" s="278">
        <f>'6'!F87</f>
        <v>84082</v>
      </c>
      <c r="F87" s="298">
        <v>84118.2</v>
      </c>
      <c r="G87" s="356">
        <f t="shared" si="7"/>
        <v>36.19999999999709</v>
      </c>
      <c r="H87" s="111">
        <f>G87+'6'!H87</f>
        <v>219.19999999999709</v>
      </c>
      <c r="I87" s="303"/>
      <c r="J87" s="358">
        <f>H87/DAY(B2)</f>
        <v>31.314285714285298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02" t="s">
        <v>182</v>
      </c>
      <c r="E88" s="278">
        <f>'6'!F88</f>
        <v>158212</v>
      </c>
      <c r="F88" s="298">
        <v>158212</v>
      </c>
      <c r="G88" s="356">
        <f t="shared" si="7"/>
        <v>0</v>
      </c>
      <c r="H88" s="111">
        <f>G88+'6'!H88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02" t="s">
        <v>182</v>
      </c>
      <c r="E89" s="278">
        <f>'6'!F89</f>
        <v>69443.100000000006</v>
      </c>
      <c r="F89" s="298">
        <v>69515</v>
      </c>
      <c r="G89" s="356">
        <f t="shared" si="7"/>
        <v>71.899999999994179</v>
      </c>
      <c r="H89" s="111">
        <f>G89+'6'!H89</f>
        <v>426</v>
      </c>
      <c r="I89" s="303"/>
      <c r="J89" s="358">
        <f>H89/DAY(B2)</f>
        <v>60.857142857142854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02" t="s">
        <v>182</v>
      </c>
      <c r="E90" s="278">
        <f>'6'!F90</f>
        <v>3665.9</v>
      </c>
      <c r="F90" s="298">
        <v>3671.3</v>
      </c>
      <c r="G90" s="356">
        <f t="shared" si="7"/>
        <v>5.4000000000000909</v>
      </c>
      <c r="H90" s="111">
        <f>G90+'6'!H90</f>
        <v>60.300000000000182</v>
      </c>
      <c r="I90" s="303"/>
      <c r="J90" s="358">
        <f>H90/DAY(B2)</f>
        <v>8.6142857142857405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/>
      <c r="E91" s="278">
        <f>'6'!F91</f>
        <v>28795</v>
      </c>
      <c r="F91" s="298">
        <v>28804.9</v>
      </c>
      <c r="G91" s="356">
        <f t="shared" si="7"/>
        <v>9.9000000000014552</v>
      </c>
      <c r="H91" s="111">
        <f>G91+'6'!H91</f>
        <v>17.900000000001455</v>
      </c>
      <c r="I91" s="303"/>
      <c r="J91" s="358">
        <f>H91/DAY(B2)</f>
        <v>2.5571428571430652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45" t="s">
        <v>205</v>
      </c>
      <c r="B93" s="1246"/>
      <c r="C93" s="1247"/>
      <c r="D93" s="174" t="s">
        <v>143</v>
      </c>
      <c r="E93" s="135">
        <f>'6'!F93</f>
        <v>253967</v>
      </c>
      <c r="F93" s="136">
        <v>254050</v>
      </c>
      <c r="G93" s="124">
        <f t="shared" ref="G93:G94" si="8">F93-E93</f>
        <v>83</v>
      </c>
      <c r="H93" s="111">
        <f>G93+'6'!H93</f>
        <v>598</v>
      </c>
      <c r="I93" s="131"/>
      <c r="J93" s="203">
        <f>H93/DAY(B2)</f>
        <v>85.428571428571431</v>
      </c>
      <c r="K93" s="82"/>
      <c r="L93" s="68"/>
      <c r="N93" s="73"/>
    </row>
    <row r="94" spans="1:15" ht="27.75">
      <c r="A94" s="1245" t="s">
        <v>206</v>
      </c>
      <c r="B94" s="1246"/>
      <c r="C94" s="1247"/>
      <c r="D94" s="174" t="s">
        <v>143</v>
      </c>
      <c r="E94" s="135">
        <f>'6'!F94</f>
        <v>198599</v>
      </c>
      <c r="F94" s="136">
        <v>198699</v>
      </c>
      <c r="G94" s="124">
        <f t="shared" si="8"/>
        <v>100</v>
      </c>
      <c r="H94" s="111">
        <f>G94+'6'!H94</f>
        <v>1040</v>
      </c>
      <c r="I94" s="131"/>
      <c r="J94" s="203">
        <f>H94/DAY(B2)</f>
        <v>148.57142857142858</v>
      </c>
      <c r="K94" s="71"/>
      <c r="L94" s="68"/>
      <c r="N94" s="73"/>
    </row>
    <row r="95" spans="1:15">
      <c r="A95" s="1277" t="s">
        <v>207</v>
      </c>
      <c r="B95" s="1278"/>
      <c r="C95" s="1279"/>
      <c r="D95" s="174"/>
      <c r="E95" s="135">
        <f>'6'!F95</f>
        <v>0</v>
      </c>
      <c r="F95" s="129"/>
      <c r="G95" s="124">
        <f>G93+G94</f>
        <v>183</v>
      </c>
      <c r="H95" s="111">
        <f>G95+'6'!H95</f>
        <v>1413</v>
      </c>
      <c r="I95" s="131"/>
      <c r="J95" s="203">
        <f>H95/DAY(B2)</f>
        <v>201.85714285714286</v>
      </c>
      <c r="K95" s="71"/>
      <c r="L95" s="68"/>
      <c r="N95" s="73"/>
    </row>
    <row r="96" spans="1:15" ht="27.75">
      <c r="A96" s="1245" t="s">
        <v>208</v>
      </c>
      <c r="B96" s="1246"/>
      <c r="C96" s="1247"/>
      <c r="D96" s="174" t="s">
        <v>143</v>
      </c>
      <c r="E96" s="135">
        <f>'6'!F96</f>
        <v>421477</v>
      </c>
      <c r="F96" s="129">
        <v>421548</v>
      </c>
      <c r="G96" s="124">
        <f t="shared" ref="G96:G101" si="9">F96-E96</f>
        <v>71</v>
      </c>
      <c r="H96" s="111">
        <f>G96+'6'!H96</f>
        <v>529</v>
      </c>
      <c r="I96" s="131"/>
      <c r="J96" s="203">
        <f>H96/DAY(B2)</f>
        <v>75.571428571428569</v>
      </c>
      <c r="K96" s="71"/>
      <c r="L96" s="68"/>
      <c r="N96" s="73"/>
    </row>
    <row r="97" spans="1:14" ht="27.75">
      <c r="A97" s="759" t="s">
        <v>209</v>
      </c>
      <c r="B97" s="760"/>
      <c r="C97" s="760"/>
      <c r="D97" s="174" t="s">
        <v>143</v>
      </c>
      <c r="E97" s="135">
        <f>'6'!F97</f>
        <v>104764</v>
      </c>
      <c r="F97" s="129">
        <v>104778</v>
      </c>
      <c r="G97" s="124">
        <f t="shared" si="9"/>
        <v>14</v>
      </c>
      <c r="H97" s="111">
        <f>G97+'6'!H97</f>
        <v>142</v>
      </c>
      <c r="I97" s="131"/>
      <c r="J97" s="203">
        <f>H97/DAY(B2)</f>
        <v>20.285714285714285</v>
      </c>
      <c r="K97" s="80"/>
      <c r="L97" s="68"/>
      <c r="N97" s="73"/>
    </row>
    <row r="98" spans="1:14" ht="27.75">
      <c r="A98" s="759" t="s">
        <v>210</v>
      </c>
      <c r="B98" s="760"/>
      <c r="C98" s="760"/>
      <c r="D98" s="174" t="s">
        <v>143</v>
      </c>
      <c r="E98" s="135">
        <f>'6'!F98</f>
        <v>100547</v>
      </c>
      <c r="F98" s="129">
        <v>100585</v>
      </c>
      <c r="G98" s="124">
        <f t="shared" si="9"/>
        <v>38</v>
      </c>
      <c r="H98" s="111">
        <f>G98+'6'!H98</f>
        <v>215</v>
      </c>
      <c r="I98" s="131"/>
      <c r="J98" s="203">
        <f>H98/DAY(B2)</f>
        <v>30.714285714285715</v>
      </c>
      <c r="K98" s="85"/>
      <c r="L98" s="68"/>
      <c r="N98" s="73"/>
    </row>
    <row r="99" spans="1:14" ht="27.75">
      <c r="A99" s="759" t="s">
        <v>211</v>
      </c>
      <c r="B99" s="760"/>
      <c r="C99" s="760"/>
      <c r="D99" s="174" t="s">
        <v>143</v>
      </c>
      <c r="E99" s="135">
        <f>'6'!F99</f>
        <v>152280</v>
      </c>
      <c r="F99" s="129">
        <v>152311</v>
      </c>
      <c r="G99" s="124">
        <f t="shared" si="9"/>
        <v>31</v>
      </c>
      <c r="H99" s="111">
        <f>G99+'6'!H99</f>
        <v>176</v>
      </c>
      <c r="I99" s="131"/>
      <c r="J99" s="203">
        <f>H99/DAY(B2)</f>
        <v>25.142857142857142</v>
      </c>
      <c r="K99" s="71"/>
      <c r="L99" s="68"/>
      <c r="N99" s="355"/>
    </row>
    <row r="100" spans="1:14" ht="27.75">
      <c r="A100" s="759" t="s">
        <v>212</v>
      </c>
      <c r="B100" s="760"/>
      <c r="C100" s="760"/>
      <c r="D100" s="174" t="s">
        <v>143</v>
      </c>
      <c r="E100" s="135">
        <f>'6'!F100</f>
        <v>8715</v>
      </c>
      <c r="F100" s="129">
        <v>8724</v>
      </c>
      <c r="G100" s="124">
        <f t="shared" si="9"/>
        <v>9</v>
      </c>
      <c r="H100" s="111">
        <f>G100+'6'!H100</f>
        <v>79</v>
      </c>
      <c r="I100" s="131"/>
      <c r="J100" s="203">
        <f>H100/DAY(B2)</f>
        <v>11.285714285714286</v>
      </c>
      <c r="K100" s="71"/>
      <c r="L100" s="68"/>
      <c r="N100" s="73"/>
    </row>
    <row r="101" spans="1:14" ht="27.75">
      <c r="A101" s="759" t="s">
        <v>213</v>
      </c>
      <c r="B101" s="760"/>
      <c r="C101" s="760"/>
      <c r="D101" s="174" t="s">
        <v>143</v>
      </c>
      <c r="E101" s="135">
        <f>'6'!F101</f>
        <v>6433</v>
      </c>
      <c r="F101" s="129">
        <v>6442</v>
      </c>
      <c r="G101" s="124">
        <f t="shared" si="9"/>
        <v>9</v>
      </c>
      <c r="H101" s="111">
        <f>G101+'6'!H101</f>
        <v>69</v>
      </c>
      <c r="I101" s="131"/>
      <c r="J101" s="203">
        <f>H101/DAY(B2)</f>
        <v>9.8571428571428577</v>
      </c>
      <c r="K101" s="71"/>
      <c r="L101" s="68"/>
      <c r="N101" s="73"/>
    </row>
    <row r="102" spans="1:14">
      <c r="A102" s="1277" t="s">
        <v>215</v>
      </c>
      <c r="B102" s="1278"/>
      <c r="C102" s="1279"/>
      <c r="D102" s="175"/>
      <c r="E102" s="175"/>
      <c r="F102" s="175"/>
      <c r="G102" s="176">
        <f>SUM(G96:G101)</f>
        <v>172</v>
      </c>
      <c r="H102" s="111">
        <f>G102+'6'!H102</f>
        <v>1210</v>
      </c>
      <c r="I102" s="177"/>
      <c r="J102" s="203">
        <f>H102/DAY(B2)</f>
        <v>172.85714285714286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80" t="s">
        <v>217</v>
      </c>
      <c r="B104" s="1281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37" t="s">
        <v>218</v>
      </c>
      <c r="B105" s="1238"/>
      <c r="C105" s="758"/>
      <c r="D105" s="273" t="s">
        <v>143</v>
      </c>
      <c r="E105" s="135">
        <f>'6'!F105</f>
        <v>7961</v>
      </c>
      <c r="F105" s="309">
        <v>7961</v>
      </c>
      <c r="G105" s="183">
        <f>F105-E105</f>
        <v>0</v>
      </c>
      <c r="H105" s="111">
        <f>G105+'6'!H105</f>
        <v>0</v>
      </c>
      <c r="I105" s="183"/>
      <c r="J105" s="209">
        <f>H105/DAY(B2)</f>
        <v>0</v>
      </c>
      <c r="N105" s="73"/>
    </row>
    <row r="106" spans="1:14" s="93" customFormat="1" ht="27.75">
      <c r="A106" s="1237" t="s">
        <v>76</v>
      </c>
      <c r="B106" s="1238"/>
      <c r="C106" s="758"/>
      <c r="D106" s="273" t="s">
        <v>143</v>
      </c>
      <c r="E106" s="135">
        <f>'6'!F106</f>
        <v>36814</v>
      </c>
      <c r="F106" s="310">
        <v>36821</v>
      </c>
      <c r="G106" s="183">
        <f t="shared" ref="G106:G107" si="10">F106-E106</f>
        <v>7</v>
      </c>
      <c r="H106" s="111">
        <f>G106+'6'!H106</f>
        <v>56</v>
      </c>
      <c r="I106" s="183"/>
      <c r="J106" s="209">
        <f>H106/DAY(B2)</f>
        <v>8</v>
      </c>
      <c r="N106" s="73"/>
    </row>
    <row r="107" spans="1:14" s="93" customFormat="1" ht="27.75">
      <c r="A107" s="1237" t="s">
        <v>77</v>
      </c>
      <c r="B107" s="1282"/>
      <c r="C107" s="1238"/>
      <c r="D107" s="273" t="s">
        <v>143</v>
      </c>
      <c r="E107" s="135">
        <f>'6'!F107</f>
        <v>20264</v>
      </c>
      <c r="F107" s="310">
        <v>20272</v>
      </c>
      <c r="G107" s="183">
        <f t="shared" si="10"/>
        <v>8</v>
      </c>
      <c r="H107" s="111">
        <f>G107+'6'!H107</f>
        <v>58</v>
      </c>
      <c r="I107" s="183"/>
      <c r="J107" s="209">
        <f>H107/DAY(B2)</f>
        <v>8.2857142857142865</v>
      </c>
      <c r="N107" s="73"/>
    </row>
    <row r="108" spans="1:14" s="93" customFormat="1" ht="27.75">
      <c r="A108" s="1239" t="s">
        <v>201</v>
      </c>
      <c r="B108" s="1240"/>
      <c r="C108" s="758"/>
      <c r="D108" s="273"/>
      <c r="E108" s="183"/>
      <c r="F108" s="310"/>
      <c r="G108" s="183">
        <f>SUM(G105:G107)</f>
        <v>15</v>
      </c>
      <c r="H108" s="111">
        <f>G108+'6'!H108</f>
        <v>114</v>
      </c>
      <c r="I108" s="183"/>
      <c r="J108" s="209">
        <f>H108/DAY(B2)</f>
        <v>16.285714285714285</v>
      </c>
      <c r="N108" s="73"/>
    </row>
    <row r="109" spans="1:14" s="93" customFormat="1" ht="27.75">
      <c r="A109" s="1243" t="s">
        <v>78</v>
      </c>
      <c r="B109" s="1244"/>
      <c r="C109" s="758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>
      <c r="A110" s="1237" t="s">
        <v>219</v>
      </c>
      <c r="B110" s="1238"/>
      <c r="C110" s="758"/>
      <c r="D110" s="273" t="s">
        <v>143</v>
      </c>
      <c r="E110" s="183">
        <f>'6'!F110</f>
        <v>69950</v>
      </c>
      <c r="F110" s="310">
        <v>70012</v>
      </c>
      <c r="G110" s="183">
        <f>F110-E110</f>
        <v>62</v>
      </c>
      <c r="H110" s="111">
        <f>G110+'6'!H110</f>
        <v>488</v>
      </c>
      <c r="I110" s="183"/>
      <c r="J110" s="209">
        <f>H110/DAY(B2)</f>
        <v>69.714285714285708</v>
      </c>
      <c r="N110" s="73"/>
    </row>
    <row r="111" spans="1:14" s="93" customFormat="1" ht="27.75">
      <c r="A111" s="1237" t="s">
        <v>220</v>
      </c>
      <c r="B111" s="1238"/>
      <c r="C111" s="758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>
      <c r="A112" s="1237" t="s">
        <v>221</v>
      </c>
      <c r="B112" s="1238"/>
      <c r="C112" s="758"/>
      <c r="D112" s="273" t="s">
        <v>143</v>
      </c>
      <c r="E112" s="183">
        <f>'6'!F112</f>
        <v>4799</v>
      </c>
      <c r="F112" s="310">
        <v>4799</v>
      </c>
      <c r="G112" s="183">
        <f t="shared" si="11"/>
        <v>0</v>
      </c>
      <c r="H112" s="111">
        <f>G112+'6'!H112</f>
        <v>11</v>
      </c>
      <c r="I112" s="183"/>
      <c r="J112" s="209">
        <f>H112/DAY(B2)</f>
        <v>1.5714285714285714</v>
      </c>
      <c r="N112" s="73"/>
    </row>
    <row r="113" spans="1:14" s="93" customFormat="1" ht="27.75">
      <c r="A113" s="1239" t="s">
        <v>109</v>
      </c>
      <c r="B113" s="1240"/>
      <c r="C113" s="758"/>
      <c r="D113" s="273"/>
      <c r="E113" s="183"/>
      <c r="F113" s="310"/>
      <c r="G113" s="183">
        <f>SUM(G110:G112)</f>
        <v>62</v>
      </c>
      <c r="H113" s="111">
        <f>G113+'6'!H113</f>
        <v>499</v>
      </c>
      <c r="I113" s="183"/>
      <c r="J113" s="209">
        <f>H113/DAY(B2)</f>
        <v>71.285714285714292</v>
      </c>
      <c r="N113" s="73"/>
    </row>
    <row r="114" spans="1:14" s="93" customFormat="1" ht="27.75">
      <c r="A114" s="1243" t="s">
        <v>222</v>
      </c>
      <c r="B114" s="1244"/>
      <c r="C114" s="758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>
      <c r="A115" s="1237" t="s">
        <v>223</v>
      </c>
      <c r="B115" s="1238"/>
      <c r="C115" s="225"/>
      <c r="D115" s="273" t="s">
        <v>143</v>
      </c>
      <c r="E115" s="183">
        <f>'6'!F115</f>
        <v>13123</v>
      </c>
      <c r="F115" s="310">
        <v>13135</v>
      </c>
      <c r="G115" s="185">
        <f>F115-E115</f>
        <v>12</v>
      </c>
      <c r="H115" s="111">
        <f>G115+'6'!H115</f>
        <v>97</v>
      </c>
      <c r="I115" s="183"/>
      <c r="J115" s="209">
        <f>H115/DAY(B2)</f>
        <v>13.857142857142858</v>
      </c>
      <c r="N115" s="73"/>
    </row>
    <row r="116" spans="1:14" s="93" customFormat="1" ht="27.75">
      <c r="A116" s="1237" t="s">
        <v>224</v>
      </c>
      <c r="B116" s="1238"/>
      <c r="C116" s="225"/>
      <c r="D116" s="273" t="s">
        <v>143</v>
      </c>
      <c r="E116" s="183">
        <f>'6'!F116</f>
        <v>9173</v>
      </c>
      <c r="F116" s="310">
        <v>9180</v>
      </c>
      <c r="G116" s="185">
        <f t="shared" ref="G116:G117" si="12">F116-E116</f>
        <v>7</v>
      </c>
      <c r="H116" s="111">
        <f>G116+'6'!H116</f>
        <v>54</v>
      </c>
      <c r="I116" s="183"/>
      <c r="J116" s="209">
        <f>H116/DAY(B2)</f>
        <v>7.7142857142857144</v>
      </c>
      <c r="N116" s="73"/>
    </row>
    <row r="117" spans="1:14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19</v>
      </c>
      <c r="H118" s="111">
        <f>G118+'6'!H118</f>
        <v>151</v>
      </c>
      <c r="I118" s="185"/>
      <c r="J118" s="209">
        <f>H118/DAY(B2)</f>
        <v>21.571428571428573</v>
      </c>
      <c r="N118" s="73"/>
    </row>
    <row r="119" spans="1:14" s="97" customFormat="1" ht="27.75">
      <c r="A119" s="1233" t="s">
        <v>226</v>
      </c>
      <c r="B119" s="1234"/>
      <c r="C119" s="756"/>
      <c r="D119" s="275" t="s">
        <v>143</v>
      </c>
      <c r="E119" s="187"/>
      <c r="F119" s="311">
        <f>SUM(G19+G93)</f>
        <v>141</v>
      </c>
      <c r="G119" s="187">
        <f>SUM(G19+G93)</f>
        <v>141</v>
      </c>
      <c r="H119" s="111">
        <f>G119+'6'!H119</f>
        <v>1033</v>
      </c>
      <c r="I119" s="186"/>
      <c r="J119" s="210">
        <f>H119/DAY(B2)</f>
        <v>147.57142857142858</v>
      </c>
      <c r="N119" s="73"/>
    </row>
    <row r="120" spans="1:14" s="97" customFormat="1" ht="27.75">
      <c r="A120" s="1233" t="s">
        <v>227</v>
      </c>
      <c r="B120" s="1234"/>
      <c r="C120" s="756"/>
      <c r="D120" s="275" t="s">
        <v>143</v>
      </c>
      <c r="E120" s="187"/>
      <c r="F120" s="311">
        <f>SUM(G96,G97,G98,G100,G101)</f>
        <v>141</v>
      </c>
      <c r="G120" s="187">
        <f>SUM(G96,G97,G98,G100,G101)</f>
        <v>141</v>
      </c>
      <c r="H120" s="111">
        <f>G120+'6'!H120</f>
        <v>1034</v>
      </c>
      <c r="I120" s="186"/>
      <c r="J120" s="210">
        <f>H120/DAY(B2)</f>
        <v>147.71428571428572</v>
      </c>
      <c r="N120" s="73"/>
    </row>
    <row r="121" spans="1:14" s="97" customFormat="1" ht="27.75">
      <c r="A121" s="1233" t="s">
        <v>228</v>
      </c>
      <c r="B121" s="1234"/>
      <c r="C121" s="756"/>
      <c r="D121" s="275" t="s">
        <v>143</v>
      </c>
      <c r="E121" s="185"/>
      <c r="F121" s="310">
        <f>SUM(G113)</f>
        <v>62</v>
      </c>
      <c r="G121" s="185">
        <f>SUM(G113)</f>
        <v>62</v>
      </c>
      <c r="H121" s="111">
        <f>G121+'6'!H121</f>
        <v>499</v>
      </c>
      <c r="I121" s="186"/>
      <c r="J121" s="210">
        <f>H121/DAY(B2)</f>
        <v>71.285714285714292</v>
      </c>
      <c r="N121" s="73"/>
    </row>
    <row r="122" spans="1:14" s="93" customFormat="1" ht="27.75">
      <c r="A122" s="1235"/>
      <c r="B122" s="1236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703">
        <f>'6'!F124</f>
        <v>857862</v>
      </c>
      <c r="F124" s="703">
        <v>858096.16</v>
      </c>
      <c r="G124" s="704">
        <f t="shared" ref="G124:G128" si="13">F124-E124</f>
        <v>234.1600000000326</v>
      </c>
      <c r="H124" s="111">
        <f>G124+'6'!H124</f>
        <v>1744.1600000000326</v>
      </c>
      <c r="I124" s="177"/>
      <c r="J124" s="203">
        <f>H124/DAY(B2)</f>
        <v>249.16571428571893</v>
      </c>
      <c r="K124" s="71"/>
      <c r="L124" s="68"/>
      <c r="N124" s="73"/>
    </row>
    <row r="125" spans="1:14" ht="27.75">
      <c r="A125" s="759" t="s">
        <v>231</v>
      </c>
      <c r="B125" s="760"/>
      <c r="C125" s="760"/>
      <c r="D125" s="174" t="s">
        <v>140</v>
      </c>
      <c r="E125" s="703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>
      <c r="A126" s="1226" t="s">
        <v>232</v>
      </c>
      <c r="B126" s="1227"/>
      <c r="C126" s="1228"/>
      <c r="D126" s="174" t="s">
        <v>140</v>
      </c>
      <c r="E126" s="703">
        <f>'6'!F126</f>
        <v>154627.28</v>
      </c>
      <c r="F126" s="709">
        <v>154712.74</v>
      </c>
      <c r="G126" s="705">
        <f t="shared" si="13"/>
        <v>85.459999999991851</v>
      </c>
      <c r="H126" s="111">
        <f>G126+'6'!H126</f>
        <v>635.73999999999069</v>
      </c>
      <c r="I126" s="177"/>
      <c r="J126" s="203">
        <f>H126/DAY(B2)</f>
        <v>90.819999999998672</v>
      </c>
      <c r="K126" s="71"/>
      <c r="L126" s="68"/>
      <c r="N126" s="73"/>
    </row>
    <row r="127" spans="1:14" ht="27.75">
      <c r="A127" s="260" t="s">
        <v>233</v>
      </c>
      <c r="B127" s="760"/>
      <c r="C127" s="760"/>
      <c r="D127" s="174" t="s">
        <v>140</v>
      </c>
      <c r="E127" s="703">
        <f>'6'!F127</f>
        <v>34881.4</v>
      </c>
      <c r="F127" s="136">
        <v>34932.800000000003</v>
      </c>
      <c r="G127" s="124">
        <f t="shared" si="13"/>
        <v>51.400000000001455</v>
      </c>
      <c r="H127" s="111">
        <f>G127+'6'!H127</f>
        <v>303.80000000000291</v>
      </c>
      <c r="I127" s="177"/>
      <c r="J127" s="203">
        <f>H127/DAY(B2)</f>
        <v>43.400000000000418</v>
      </c>
      <c r="K127" s="71"/>
      <c r="L127" s="68"/>
      <c r="N127" s="73"/>
    </row>
    <row r="128" spans="1:14" ht="27.75">
      <c r="A128" s="260" t="s">
        <v>234</v>
      </c>
      <c r="B128" s="760"/>
      <c r="C128" s="760"/>
      <c r="D128" s="174" t="s">
        <v>140</v>
      </c>
      <c r="E128" s="703">
        <f>'6'!F128</f>
        <v>9192.9</v>
      </c>
      <c r="F128" s="136">
        <v>9194.1</v>
      </c>
      <c r="G128" s="124">
        <f t="shared" si="13"/>
        <v>1.2000000000007276</v>
      </c>
      <c r="H128" s="111">
        <f>G128+'6'!H128</f>
        <v>14.100000000000364</v>
      </c>
      <c r="I128" s="131"/>
      <c r="J128" s="203">
        <f>H128/DAY(B2)</f>
        <v>2.0142857142857662</v>
      </c>
      <c r="K128" s="71"/>
      <c r="L128" s="68"/>
      <c r="N128" s="73"/>
    </row>
    <row r="129" spans="1:14" s="57" customFormat="1" ht="27.75">
      <c r="A129" s="260" t="s">
        <v>235</v>
      </c>
      <c r="B129" s="760"/>
      <c r="C129" s="760"/>
      <c r="D129" s="174"/>
      <c r="E129" s="129"/>
      <c r="F129" s="129"/>
      <c r="G129" s="701">
        <f>G15-SUM(G124:G128)</f>
        <v>484.93999999997686</v>
      </c>
      <c r="H129" s="111">
        <f>G129+'6'!H129</f>
        <v>3424.7799999999024</v>
      </c>
      <c r="I129" s="131"/>
      <c r="J129" s="203">
        <f>H129/DAY(B2)</f>
        <v>489.25428571427176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>
      <c r="A132" s="759" t="s">
        <v>239</v>
      </c>
      <c r="B132" s="760"/>
      <c r="C132" s="760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>
      <c r="A133" s="759" t="s">
        <v>240</v>
      </c>
      <c r="B133" s="760"/>
      <c r="C133" s="760"/>
      <c r="D133" s="174" t="s">
        <v>238</v>
      </c>
      <c r="E133" s="173">
        <f>'6'!F133</f>
        <v>40981.269999999997</v>
      </c>
      <c r="F133" s="136">
        <v>41005.300000000003</v>
      </c>
      <c r="G133" s="124">
        <f t="shared" si="14"/>
        <v>24.030000000006112</v>
      </c>
      <c r="H133" s="111">
        <f>G133+'6'!H133</f>
        <v>83.30000000000291</v>
      </c>
      <c r="I133" s="131"/>
      <c r="J133" s="203">
        <f>H133/DAY(B2)</f>
        <v>11.900000000000416</v>
      </c>
      <c r="N133" s="73"/>
    </row>
    <row r="134" spans="1:14" ht="27.75">
      <c r="A134" s="759" t="s">
        <v>241</v>
      </c>
      <c r="B134" s="760"/>
      <c r="C134" s="760"/>
      <c r="D134" s="174" t="s">
        <v>238</v>
      </c>
      <c r="E134" s="352">
        <f>'6'!F134</f>
        <v>963.24</v>
      </c>
      <c r="F134" s="277">
        <v>963.24</v>
      </c>
      <c r="G134" s="424">
        <f t="shared" si="14"/>
        <v>0</v>
      </c>
      <c r="H134" s="111">
        <f>G134+'6'!H134</f>
        <v>107.24000000000001</v>
      </c>
      <c r="I134" s="131">
        <f>G133+G134+G135+G136</f>
        <v>24.030000000006112</v>
      </c>
      <c r="J134" s="203">
        <f>H134/DAY(B2)</f>
        <v>15.320000000000002</v>
      </c>
      <c r="N134" s="73"/>
    </row>
    <row r="135" spans="1:14" ht="27.75">
      <c r="A135" s="759" t="s">
        <v>242</v>
      </c>
      <c r="B135" s="760"/>
      <c r="C135" s="760"/>
      <c r="D135" s="174" t="s">
        <v>238</v>
      </c>
      <c r="E135" s="173">
        <f>'6'!F135</f>
        <v>42822.14</v>
      </c>
      <c r="F135" s="136">
        <v>42822.14</v>
      </c>
      <c r="G135" s="124">
        <f t="shared" si="14"/>
        <v>0</v>
      </c>
      <c r="H135" s="111">
        <f>G135+'6'!H135</f>
        <v>0.13999999999941792</v>
      </c>
      <c r="I135" s="131"/>
      <c r="J135" s="203">
        <f>H135/DAY(B2)</f>
        <v>1.9999999999916845E-2</v>
      </c>
      <c r="N135" s="73"/>
    </row>
    <row r="136" spans="1:14" ht="27.75">
      <c r="A136" s="759" t="s">
        <v>243</v>
      </c>
      <c r="B136" s="760"/>
      <c r="C136" s="760"/>
      <c r="D136" s="174" t="s">
        <v>238</v>
      </c>
      <c r="E136" s="352">
        <f>'6'!F136</f>
        <v>32958.379999999997</v>
      </c>
      <c r="F136" s="277">
        <v>32958.379999999997</v>
      </c>
      <c r="G136" s="424">
        <f t="shared" si="14"/>
        <v>0</v>
      </c>
      <c r="H136" s="111">
        <f>G136+'6'!H136</f>
        <v>30.379999999997381</v>
      </c>
      <c r="I136" s="131"/>
      <c r="J136" s="203">
        <f>H136/DAY(B2)</f>
        <v>4.3399999999996259</v>
      </c>
      <c r="N136" s="73"/>
    </row>
    <row r="137" spans="1:14" ht="27.75">
      <c r="A137" s="759" t="s">
        <v>244</v>
      </c>
      <c r="B137" s="760"/>
      <c r="C137" s="760"/>
      <c r="D137" s="174" t="s">
        <v>238</v>
      </c>
      <c r="E137" s="192">
        <f>'6'!F137</f>
        <v>23411.48</v>
      </c>
      <c r="F137" s="302">
        <v>23420.47</v>
      </c>
      <c r="G137" s="124">
        <f t="shared" si="14"/>
        <v>8.9900000000016007</v>
      </c>
      <c r="H137" s="111">
        <f>G137+'6'!H137</f>
        <v>64.040000000000873</v>
      </c>
      <c r="I137" s="131">
        <f>G137+G138+G139</f>
        <v>8.9900000000016007</v>
      </c>
      <c r="J137" s="203">
        <f>H137/DAY(B2)</f>
        <v>9.1485714285715538</v>
      </c>
      <c r="N137" s="73"/>
    </row>
    <row r="138" spans="1:14" ht="27.75">
      <c r="A138" s="759" t="s">
        <v>245</v>
      </c>
      <c r="B138" s="760"/>
      <c r="C138" s="760"/>
      <c r="D138" s="174" t="s">
        <v>238</v>
      </c>
      <c r="E138" s="192">
        <f>'6'!F138</f>
        <v>25132.98</v>
      </c>
      <c r="F138" s="302">
        <v>25132.98</v>
      </c>
      <c r="G138" s="124">
        <f t="shared" si="14"/>
        <v>0</v>
      </c>
      <c r="H138" s="111">
        <f>G138+'6'!H138</f>
        <v>2.0000000000436557E-2</v>
      </c>
      <c r="I138" s="131"/>
      <c r="J138" s="203">
        <f>H138/DAY(B2)</f>
        <v>2.8571428572052226E-3</v>
      </c>
      <c r="N138" s="73"/>
    </row>
    <row r="139" spans="1:14" ht="27.75">
      <c r="A139" s="759" t="s">
        <v>246</v>
      </c>
      <c r="B139" s="760"/>
      <c r="C139" s="760"/>
      <c r="D139" s="174" t="s">
        <v>238</v>
      </c>
      <c r="E139" s="707">
        <f>'6'!F139</f>
        <v>70526</v>
      </c>
      <c r="F139" s="708">
        <v>70526</v>
      </c>
      <c r="G139" s="701">
        <f t="shared" si="14"/>
        <v>0</v>
      </c>
      <c r="H139" s="111">
        <f>G139+'6'!H139</f>
        <v>1.4499999999970896</v>
      </c>
      <c r="I139" s="131"/>
      <c r="J139" s="203">
        <f>H139/DAY(B2)</f>
        <v>0.20714285714244138</v>
      </c>
      <c r="N139" s="73"/>
    </row>
    <row r="140" spans="1:14" ht="27.75">
      <c r="A140" s="759" t="s">
        <v>247</v>
      </c>
      <c r="B140" s="760"/>
      <c r="C140" s="760"/>
      <c r="D140" s="174" t="s">
        <v>238</v>
      </c>
      <c r="E140" s="173">
        <f>'6'!F140</f>
        <v>2680.66</v>
      </c>
      <c r="F140" s="136">
        <v>2689.42</v>
      </c>
      <c r="G140" s="124">
        <f t="shared" si="14"/>
        <v>8.7600000000002183</v>
      </c>
      <c r="H140" s="111">
        <f>G140+'6'!H140</f>
        <v>61.440000000000055</v>
      </c>
      <c r="I140" s="193">
        <f>G140+G141</f>
        <v>8.7600000000002183</v>
      </c>
      <c r="J140" s="203">
        <f>H140/DAY(B2)</f>
        <v>8.7771428571428647</v>
      </c>
      <c r="N140" s="73"/>
    </row>
    <row r="141" spans="1:14" ht="27.75">
      <c r="A141" s="759" t="s">
        <v>248</v>
      </c>
      <c r="B141" s="760"/>
      <c r="C141" s="760"/>
      <c r="D141" s="174" t="s">
        <v>238</v>
      </c>
      <c r="E141" s="706">
        <f>'6'!F141</f>
        <v>4758.46</v>
      </c>
      <c r="F141" s="703">
        <v>4758.46</v>
      </c>
      <c r="G141" s="704">
        <f t="shared" si="14"/>
        <v>0</v>
      </c>
      <c r="H141" s="111">
        <f>G141+'6'!H141</f>
        <v>4.4600000000000364</v>
      </c>
      <c r="I141" s="193"/>
      <c r="J141" s="203">
        <f>H141/DAY(B2)</f>
        <v>0.63714285714286234</v>
      </c>
      <c r="N141" s="73"/>
    </row>
    <row r="142" spans="1:14">
      <c r="A142" s="1248" t="s">
        <v>249</v>
      </c>
      <c r="B142" s="1249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6990.690000000046</v>
      </c>
      <c r="H143" s="111">
        <f>G143+'6'!H143</f>
        <v>41597.470000000139</v>
      </c>
      <c r="I143" s="131"/>
      <c r="J143" s="203">
        <f>H143/DAY(B2)</f>
        <v>5942.4957142857338</v>
      </c>
      <c r="K143" s="71"/>
      <c r="L143" s="68"/>
      <c r="N143" s="73"/>
    </row>
    <row r="144" spans="1:14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0.3429088158599562</v>
      </c>
      <c r="H144" s="111">
        <f>G144+'6'!H144</f>
        <v>1.904014854393536</v>
      </c>
      <c r="I144" s="195"/>
      <c r="J144" s="203">
        <f>H144/DAY(B2)</f>
        <v>0.27200212205621943</v>
      </c>
      <c r="K144" s="71"/>
      <c r="L144" s="68"/>
      <c r="N144" s="73"/>
    </row>
    <row r="145" spans="1:14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5975</v>
      </c>
      <c r="H145" s="111">
        <f>G145+'6'!H145</f>
        <v>46728.980000000069</v>
      </c>
      <c r="I145" s="131"/>
      <c r="J145" s="203">
        <f>H145/DAY(B2)</f>
        <v>6675.568571428581</v>
      </c>
      <c r="K145" s="71"/>
      <c r="L145" s="68"/>
      <c r="N145" s="73"/>
    </row>
    <row r="146" spans="1:14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0.29308697349807028</v>
      </c>
      <c r="H146" s="111">
        <f>G146+'6'!H146</f>
        <v>2.1277723852436128</v>
      </c>
      <c r="I146" s="195"/>
      <c r="J146" s="203">
        <f>H146/DAY(B2)</f>
        <v>0.30396748360623038</v>
      </c>
      <c r="K146" s="71"/>
      <c r="L146" s="68"/>
      <c r="N146" s="73"/>
    </row>
    <row r="147" spans="1:14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3792.2900000000009</v>
      </c>
      <c r="H147" s="111">
        <f>G147+'6'!H147</f>
        <v>26708.68</v>
      </c>
      <c r="I147" s="196"/>
      <c r="J147" s="203">
        <f>H147/DAY(B2)</f>
        <v>3815.5257142857145</v>
      </c>
      <c r="K147" s="71"/>
      <c r="L147" s="68"/>
      <c r="N147" s="73"/>
    </row>
    <row r="148" spans="1:14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0.18602021736016688</v>
      </c>
      <c r="H148" s="111">
        <f>G148+'6'!H148</f>
        <v>1.2212276546648657</v>
      </c>
      <c r="I148" s="196"/>
      <c r="J148" s="203">
        <f>H148/DAY(B2)</f>
        <v>0.17446109352355224</v>
      </c>
      <c r="N148" s="73"/>
    </row>
    <row r="149" spans="1:14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1663.8900000000012</v>
      </c>
      <c r="H149" s="111">
        <f>G149+'6'!H149</f>
        <v>12036.970000000001</v>
      </c>
      <c r="I149" s="131"/>
      <c r="J149" s="203">
        <f>H149/DAY(B2)</f>
        <v>1719.5671428571429</v>
      </c>
      <c r="K149" s="72"/>
      <c r="N149" s="73"/>
    </row>
    <row r="150" spans="1:14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8.1617486917774804E-2</v>
      </c>
      <c r="H150" s="111">
        <f>G150+'6'!H150</f>
        <v>0.55049267217362774</v>
      </c>
      <c r="I150" s="196"/>
      <c r="J150" s="203">
        <f>H150/DAY(B2)</f>
        <v>7.8641810310518243E-2</v>
      </c>
      <c r="N150" s="73"/>
    </row>
    <row r="151" spans="1:14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1519.0400000000554</v>
      </c>
      <c r="H151" s="111">
        <f>G151+'6'!H151</f>
        <v>13808.540000000012</v>
      </c>
      <c r="I151" s="196"/>
      <c r="J151" s="203">
        <f>H151/DAY(B2)</f>
        <v>1972.6485714285732</v>
      </c>
      <c r="N151" s="73"/>
    </row>
    <row r="152" spans="1:14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7.4512273844774046E-2</v>
      </c>
      <c r="H152" s="111">
        <f>G152+'6'!H152</f>
        <v>0.62630277728886208</v>
      </c>
      <c r="I152" s="131"/>
      <c r="J152" s="203">
        <f>H152/DAY(B2)</f>
        <v>8.9471825326980295E-2</v>
      </c>
      <c r="N152" s="73"/>
    </row>
    <row r="153" spans="1:14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1681.0499999999993</v>
      </c>
      <c r="H153" s="111">
        <f>G153+'6'!H153</f>
        <v>11013.5</v>
      </c>
      <c r="I153" s="131"/>
      <c r="J153" s="203">
        <f>H153/DAY(B2)</f>
        <v>1573.3571428571429</v>
      </c>
      <c r="N153" s="73"/>
    </row>
    <row r="154" spans="1:14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8.2459222895218537E-2</v>
      </c>
      <c r="H154" s="111">
        <f>G154+'6'!H154</f>
        <v>0.50389452924041522</v>
      </c>
      <c r="I154" s="219"/>
      <c r="J154" s="220">
        <f>H154/DAY(B2)</f>
        <v>7.1984932748630742E-2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/>
    <row r="157" spans="1:14" hidden="1"/>
    <row r="158" spans="1:14" ht="27.75">
      <c r="A158" s="1286" t="s">
        <v>266</v>
      </c>
      <c r="B158" s="1287"/>
      <c r="C158" s="1287"/>
      <c r="D158" s="1287"/>
      <c r="E158" s="1287"/>
      <c r="F158" s="1287"/>
      <c r="G158" s="1288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706">
        <f>'6'!F161</f>
        <v>46282.05</v>
      </c>
      <c r="F161" s="309">
        <v>46365.48</v>
      </c>
      <c r="G161" s="124">
        <f t="shared" ref="G161:G175" si="15">F161-E161</f>
        <v>83.430000000000291</v>
      </c>
    </row>
    <row r="162" spans="1:7">
      <c r="A162" s="435" t="s">
        <v>263</v>
      </c>
      <c r="B162" s="436"/>
      <c r="C162" s="436"/>
      <c r="D162" s="162" t="s">
        <v>186</v>
      </c>
      <c r="E162" s="706">
        <f>'6'!F162</f>
        <v>139534.43</v>
      </c>
      <c r="F162" s="309">
        <v>139989.51999999999</v>
      </c>
      <c r="G162" s="124">
        <f t="shared" si="15"/>
        <v>455.08999999999651</v>
      </c>
    </row>
    <row r="163" spans="1:7">
      <c r="A163" s="435" t="s">
        <v>264</v>
      </c>
      <c r="B163" s="436"/>
      <c r="C163" s="436"/>
      <c r="D163" s="162" t="s">
        <v>186</v>
      </c>
      <c r="E163" s="706">
        <f>'6'!F163</f>
        <v>65079.39</v>
      </c>
      <c r="F163" s="309">
        <v>65292.61</v>
      </c>
      <c r="G163" s="124">
        <f t="shared" si="15"/>
        <v>213.22000000000116</v>
      </c>
    </row>
    <row r="164" spans="1:7">
      <c r="A164" s="435" t="s">
        <v>265</v>
      </c>
      <c r="B164" s="436"/>
      <c r="C164" s="436"/>
      <c r="D164" s="162" t="s">
        <v>186</v>
      </c>
      <c r="E164" s="706">
        <f>'6'!F164</f>
        <v>7521.98</v>
      </c>
      <c r="F164" s="309">
        <v>7537.11</v>
      </c>
      <c r="G164" s="124">
        <f t="shared" si="15"/>
        <v>15.130000000000109</v>
      </c>
    </row>
    <row r="165" spans="1:7">
      <c r="A165" s="437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>
      <c r="A166" s="437" t="s">
        <v>187</v>
      </c>
      <c r="B166" s="255"/>
      <c r="C166" s="255"/>
      <c r="D166" s="162" t="s">
        <v>186</v>
      </c>
      <c r="E166" s="706">
        <f>'6'!F166</f>
        <v>4</v>
      </c>
      <c r="F166" s="165">
        <f t="shared" ref="F166:F172" si="16">F63</f>
        <v>12.36</v>
      </c>
      <c r="G166" s="124">
        <f t="shared" si="15"/>
        <v>8.36</v>
      </c>
    </row>
    <row r="167" spans="1:7" ht="27.75">
      <c r="A167" s="1232" t="s">
        <v>98</v>
      </c>
      <c r="B167" s="1232"/>
      <c r="C167" s="1232"/>
      <c r="D167" s="174" t="s">
        <v>186</v>
      </c>
      <c r="E167" s="706">
        <f>'6'!F167</f>
        <v>196711.79</v>
      </c>
      <c r="F167" s="165">
        <f t="shared" si="16"/>
        <v>197117.87</v>
      </c>
      <c r="G167" s="124">
        <f t="shared" si="15"/>
        <v>406.07999999998719</v>
      </c>
    </row>
    <row r="168" spans="1:7" ht="27.75">
      <c r="A168" s="1232" t="s">
        <v>99</v>
      </c>
      <c r="B168" s="1232"/>
      <c r="C168" s="1232"/>
      <c r="D168" s="174" t="s">
        <v>186</v>
      </c>
      <c r="E168" s="706">
        <f>'6'!F168</f>
        <v>196984.49</v>
      </c>
      <c r="F168" s="165">
        <f t="shared" si="16"/>
        <v>197360.47</v>
      </c>
      <c r="G168" s="124">
        <f t="shared" si="15"/>
        <v>375.98000000001048</v>
      </c>
    </row>
    <row r="169" spans="1:7" ht="27.75">
      <c r="A169" s="1232" t="s">
        <v>100</v>
      </c>
      <c r="B169" s="1232"/>
      <c r="C169" s="1232"/>
      <c r="D169" s="174" t="s">
        <v>186</v>
      </c>
      <c r="E169" s="706">
        <f>'6'!F169</f>
        <v>95784.54</v>
      </c>
      <c r="F169" s="165">
        <f t="shared" si="16"/>
        <v>96168.15</v>
      </c>
      <c r="G169" s="124">
        <f t="shared" si="15"/>
        <v>383.61000000000058</v>
      </c>
    </row>
    <row r="170" spans="1:7" ht="27.75">
      <c r="A170" s="1232" t="s">
        <v>101</v>
      </c>
      <c r="B170" s="1232"/>
      <c r="C170" s="1232"/>
      <c r="D170" s="174" t="s">
        <v>186</v>
      </c>
      <c r="E170" s="706">
        <f>'6'!F170</f>
        <v>297490.17</v>
      </c>
      <c r="F170" s="165">
        <f t="shared" si="16"/>
        <v>297951.96999999997</v>
      </c>
      <c r="G170" s="124">
        <f t="shared" si="15"/>
        <v>461.79999999998836</v>
      </c>
    </row>
    <row r="171" spans="1:7" ht="27.75">
      <c r="A171" s="1232" t="s">
        <v>102</v>
      </c>
      <c r="B171" s="1232"/>
      <c r="C171" s="1232"/>
      <c r="D171" s="174" t="s">
        <v>186</v>
      </c>
      <c r="E171" s="706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>
      <c r="A172" s="1232" t="s">
        <v>103</v>
      </c>
      <c r="B172" s="1232"/>
      <c r="C172" s="1232"/>
      <c r="D172" s="174" t="s">
        <v>186</v>
      </c>
      <c r="E172" s="706">
        <f>'6'!F172</f>
        <v>108167.62</v>
      </c>
      <c r="F172" s="165">
        <f t="shared" si="16"/>
        <v>108465.79</v>
      </c>
      <c r="G172" s="124">
        <f t="shared" si="15"/>
        <v>298.16999999999825</v>
      </c>
    </row>
    <row r="173" spans="1:7">
      <c r="A173" s="1273" t="s">
        <v>337</v>
      </c>
      <c r="B173" s="1236"/>
      <c r="C173" s="436"/>
      <c r="D173" s="174" t="s">
        <v>186</v>
      </c>
      <c r="E173" s="706">
        <f>'6'!F173</f>
        <v>19232.3</v>
      </c>
      <c r="F173" s="183">
        <v>19234.5</v>
      </c>
      <c r="G173" s="124">
        <f t="shared" si="15"/>
        <v>2.2000000000007276</v>
      </c>
    </row>
    <row r="174" spans="1:7">
      <c r="A174" s="1273" t="s">
        <v>337</v>
      </c>
      <c r="B174" s="1236"/>
      <c r="C174" s="436"/>
      <c r="D174" s="174" t="s">
        <v>186</v>
      </c>
      <c r="E174" s="706">
        <f>'6'!F174</f>
        <v>70772.3</v>
      </c>
      <c r="F174" s="183">
        <v>70778.5</v>
      </c>
      <c r="G174" s="124">
        <f t="shared" si="15"/>
        <v>6.1999999999970896</v>
      </c>
    </row>
    <row r="175" spans="1:7">
      <c r="A175" s="1273" t="s">
        <v>338</v>
      </c>
      <c r="B175" s="1236"/>
      <c r="C175" s="436"/>
      <c r="D175" s="174" t="s">
        <v>186</v>
      </c>
      <c r="E175" s="706">
        <f>'6'!F175</f>
        <v>27995.8</v>
      </c>
      <c r="F175" s="183">
        <v>28000.7</v>
      </c>
      <c r="G175" s="124">
        <f t="shared" si="15"/>
        <v>4.9000000000014552</v>
      </c>
    </row>
    <row r="177" spans="1:7" ht="27.75">
      <c r="A177" s="1296" t="s">
        <v>382</v>
      </c>
      <c r="B177" s="1296"/>
      <c r="C177" s="1296"/>
      <c r="D177" s="1296"/>
      <c r="E177" s="1296"/>
      <c r="F177" s="1296"/>
      <c r="G177" s="1296"/>
    </row>
    <row r="178" spans="1:7">
      <c r="A178" s="435"/>
      <c r="B178" s="436"/>
      <c r="C178" s="436"/>
      <c r="D178" s="174" t="s">
        <v>186</v>
      </c>
      <c r="E178" s="135"/>
      <c r="F178" s="193"/>
      <c r="G178" s="124"/>
    </row>
    <row r="179" spans="1:7">
      <c r="A179" s="435" t="s">
        <v>383</v>
      </c>
      <c r="B179" s="436"/>
      <c r="C179" s="436"/>
      <c r="D179" s="174" t="s">
        <v>186</v>
      </c>
      <c r="E179" s="135">
        <f>'6'!F179</f>
        <v>168.02</v>
      </c>
      <c r="F179" s="193">
        <v>500.37</v>
      </c>
      <c r="G179" s="124">
        <f t="shared" ref="G179:G184" si="17">F179-E179</f>
        <v>332.35</v>
      </c>
    </row>
    <row r="180" spans="1:7">
      <c r="A180" s="435" t="s">
        <v>384</v>
      </c>
      <c r="B180" s="436"/>
      <c r="C180" s="436"/>
      <c r="D180" s="174" t="s">
        <v>186</v>
      </c>
      <c r="E180" s="135">
        <f>'6'!F180</f>
        <v>35.76</v>
      </c>
      <c r="F180" s="193">
        <v>140.94</v>
      </c>
      <c r="G180" s="124">
        <f t="shared" si="17"/>
        <v>105.18</v>
      </c>
    </row>
    <row r="181" spans="1:7">
      <c r="A181" s="435" t="s">
        <v>385</v>
      </c>
      <c r="B181" s="436"/>
      <c r="C181" s="436"/>
      <c r="D181" s="174" t="s">
        <v>186</v>
      </c>
      <c r="E181" s="135">
        <f>'6'!F181</f>
        <v>0</v>
      </c>
      <c r="F181" s="193">
        <v>0</v>
      </c>
      <c r="G181" s="124">
        <f t="shared" si="17"/>
        <v>0</v>
      </c>
    </row>
    <row r="182" spans="1:7">
      <c r="A182" s="435" t="s">
        <v>386</v>
      </c>
      <c r="B182" s="436"/>
      <c r="C182" s="436"/>
      <c r="D182" s="174" t="s">
        <v>186</v>
      </c>
      <c r="E182" s="135">
        <f>'6'!F182</f>
        <v>223.82</v>
      </c>
      <c r="F182" s="193">
        <v>292.81</v>
      </c>
      <c r="G182" s="124">
        <f t="shared" si="17"/>
        <v>68.990000000000009</v>
      </c>
    </row>
    <row r="183" spans="1:7">
      <c r="A183" s="435" t="s">
        <v>387</v>
      </c>
      <c r="B183" s="436"/>
      <c r="C183" s="436"/>
      <c r="D183" s="174" t="s">
        <v>186</v>
      </c>
      <c r="E183" s="135">
        <f>'6'!F183</f>
        <v>139.4</v>
      </c>
      <c r="F183" s="193">
        <v>451.34</v>
      </c>
      <c r="G183" s="124">
        <f t="shared" si="17"/>
        <v>311.93999999999994</v>
      </c>
    </row>
    <row r="184" spans="1:7">
      <c r="A184" s="435" t="s">
        <v>388</v>
      </c>
      <c r="B184" s="436"/>
      <c r="C184" s="436"/>
      <c r="D184" s="174" t="s">
        <v>186</v>
      </c>
      <c r="E184" s="135">
        <f>'6'!F184</f>
        <v>4.5999999999999996</v>
      </c>
      <c r="F184" s="193">
        <v>255.86</v>
      </c>
      <c r="G184" s="124">
        <f t="shared" si="17"/>
        <v>251.26000000000002</v>
      </c>
    </row>
  </sheetData>
  <mergeCells count="79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77:G177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</mergeCells>
  <pageMargins left="0.23622047244094491" right="0.15748031496062992" top="0.15748031496062992" bottom="0.19685039370078741" header="0.19685039370078741" footer="0.19685039370078741"/>
  <pageSetup paperSize="5" scale="19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7"/>
  <sheetViews>
    <sheetView view="pageBreakPreview" topLeftCell="A160" zoomScale="55" zoomScaleSheetLayoutView="55" workbookViewId="0">
      <selection activeCell="O103" sqref="O103"/>
    </sheetView>
  </sheetViews>
  <sheetFormatPr defaultColWidth="22.33203125" defaultRowHeight="29.2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6" s="57" customFormat="1" ht="27">
      <c r="A2" s="226" t="s">
        <v>401</v>
      </c>
      <c r="B2" s="682">
        <v>44447</v>
      </c>
      <c r="C2" s="761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>
      <c r="A3" s="221"/>
      <c r="B3" s="265"/>
      <c r="C3" s="761" t="s">
        <v>119</v>
      </c>
      <c r="D3" s="263">
        <v>27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61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'7'!F7</f>
        <v>452149.91</v>
      </c>
      <c r="F7" s="106">
        <v>474372.43</v>
      </c>
      <c r="G7" s="329">
        <f>F7-E7</f>
        <v>22222.520000000019</v>
      </c>
      <c r="H7" s="330">
        <f>G7+'7'!H7</f>
        <v>175681.43</v>
      </c>
      <c r="I7" s="331">
        <f>'1'!I7</f>
        <v>12000</v>
      </c>
      <c r="J7" s="332">
        <f>H7/DAY(B2)</f>
        <v>21960.178749999999</v>
      </c>
      <c r="K7" s="200"/>
      <c r="L7" s="68"/>
      <c r="N7" s="359">
        <v>11335</v>
      </c>
      <c r="O7" s="73">
        <f>G7-N7</f>
        <v>10887.520000000019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'7'!F8</f>
        <v>463673.59</v>
      </c>
      <c r="F8" s="126">
        <v>485984.99</v>
      </c>
      <c r="G8" s="340">
        <f>F8-E8</f>
        <v>22311.399999999965</v>
      </c>
      <c r="H8" s="330">
        <f>G8+'7'!H8</f>
        <v>176412.99</v>
      </c>
      <c r="I8" s="337">
        <v>12000</v>
      </c>
      <c r="J8" s="332">
        <f>H8/DAY(B2)</f>
        <v>22051.623749999999</v>
      </c>
      <c r="K8" s="200"/>
      <c r="L8" s="78"/>
      <c r="M8" s="91"/>
      <c r="N8" s="354"/>
    </row>
    <row r="9" spans="1:16">
      <c r="A9" s="338" t="s">
        <v>133</v>
      </c>
      <c r="B9" s="339"/>
      <c r="C9" s="339"/>
      <c r="D9" s="288" t="s">
        <v>131</v>
      </c>
      <c r="E9" s="284">
        <f>'7'!F9</f>
        <v>231349.21</v>
      </c>
      <c r="F9" s="129">
        <v>252898.35</v>
      </c>
      <c r="G9" s="353">
        <f t="shared" ref="G9:G12" si="0">F9-E9</f>
        <v>21549.140000000014</v>
      </c>
      <c r="H9" s="330">
        <f>G9+'7'!H9</f>
        <v>170368.35</v>
      </c>
      <c r="I9" s="341">
        <f>I7-J7</f>
        <v>-9960.1787499999991</v>
      </c>
      <c r="J9" s="332">
        <f>H9/DAY(B2)</f>
        <v>21296.043750000001</v>
      </c>
      <c r="K9" s="81"/>
      <c r="L9" s="68"/>
      <c r="N9" s="73"/>
    </row>
    <row r="10" spans="1:16">
      <c r="A10" s="327" t="s">
        <v>134</v>
      </c>
      <c r="B10" s="328"/>
      <c r="C10" s="328"/>
      <c r="D10" s="288" t="s">
        <v>131</v>
      </c>
      <c r="E10" s="284">
        <f>'7'!F10</f>
        <v>2606.5500000000002</v>
      </c>
      <c r="F10" s="129">
        <v>2606.5500000000002</v>
      </c>
      <c r="G10" s="340">
        <f t="shared" si="0"/>
        <v>0</v>
      </c>
      <c r="H10" s="330">
        <f>G10+'7'!H10</f>
        <v>-0.4499999999998181</v>
      </c>
      <c r="I10" s="342"/>
      <c r="J10" s="332">
        <f>H10/DAY(B2)</f>
        <v>-5.6249999999977263E-2</v>
      </c>
      <c r="K10" s="81"/>
      <c r="L10" s="68"/>
      <c r="N10" s="73"/>
    </row>
    <row r="11" spans="1:16">
      <c r="A11" s="327" t="s">
        <v>135</v>
      </c>
      <c r="B11" s="328"/>
      <c r="C11" s="328"/>
      <c r="D11" s="288" t="s">
        <v>131</v>
      </c>
      <c r="E11" s="284">
        <f>'7'!F11</f>
        <v>37000</v>
      </c>
      <c r="F11" s="106">
        <v>37000</v>
      </c>
      <c r="G11" s="340">
        <f t="shared" si="0"/>
        <v>0</v>
      </c>
      <c r="H11" s="330">
        <f>G11+'7'!H11</f>
        <v>0</v>
      </c>
      <c r="I11" s="342"/>
      <c r="J11" s="332">
        <f>H11/DAY(B2)</f>
        <v>0</v>
      </c>
      <c r="K11" s="81"/>
      <c r="L11" s="68"/>
      <c r="N11" s="73"/>
    </row>
    <row r="12" spans="1:16">
      <c r="A12" s="327" t="s">
        <v>136</v>
      </c>
      <c r="B12" s="328"/>
      <c r="C12" s="328"/>
      <c r="D12" s="288" t="s">
        <v>131</v>
      </c>
      <c r="E12" s="284">
        <f>'7'!F12</f>
        <v>40010</v>
      </c>
      <c r="F12" s="129">
        <v>40010</v>
      </c>
      <c r="G12" s="340">
        <f t="shared" si="0"/>
        <v>0</v>
      </c>
      <c r="H12" s="330">
        <f>G12+'7'!H12</f>
        <v>0</v>
      </c>
      <c r="I12" s="342"/>
      <c r="J12" s="332">
        <f>H12/DAY(B2)</f>
        <v>0</v>
      </c>
      <c r="K12" s="81"/>
      <c r="L12" s="68"/>
      <c r="N12" s="73"/>
    </row>
    <row r="13" spans="1:16">
      <c r="A13" s="343" t="s">
        <v>137</v>
      </c>
      <c r="B13" s="344"/>
      <c r="C13" s="344"/>
      <c r="D13" s="288"/>
      <c r="E13" s="284"/>
      <c r="F13" s="106">
        <v>0</v>
      </c>
      <c r="G13" s="345">
        <f>G9+G10+G11+G12</f>
        <v>21549.140000000014</v>
      </c>
      <c r="H13" s="330">
        <f>G13+'7'!H13</f>
        <v>147057.41</v>
      </c>
      <c r="I13" s="346">
        <f>G7-G13</f>
        <v>673.38000000000466</v>
      </c>
      <c r="J13" s="332">
        <f>H13/DAY(B2)</f>
        <v>18382.17625</v>
      </c>
      <c r="K13" s="81"/>
      <c r="L13" s="68"/>
      <c r="N13" s="73"/>
      <c r="P13" s="67" t="s">
        <v>359</v>
      </c>
    </row>
    <row r="14" spans="1:16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360</v>
      </c>
    </row>
    <row r="15" spans="1:16">
      <c r="A15" s="316" t="s">
        <v>139</v>
      </c>
      <c r="B15" s="317"/>
      <c r="C15" s="317"/>
      <c r="D15" s="318" t="s">
        <v>140</v>
      </c>
      <c r="E15" s="319">
        <f>'7'!F15</f>
        <v>1762652.18</v>
      </c>
      <c r="F15" s="136">
        <v>1763503.51</v>
      </c>
      <c r="G15" s="315">
        <f>(F15-E15)</f>
        <v>851.33000000007451</v>
      </c>
      <c r="H15" s="1071">
        <f>G15+'7'!H15</f>
        <v>6973.5100000000093</v>
      </c>
      <c r="I15" s="1072">
        <v>800</v>
      </c>
      <c r="J15" s="1073">
        <f>H15/DAY(B2)</f>
        <v>871.68875000000116</v>
      </c>
      <c r="K15" s="81"/>
      <c r="L15" s="68"/>
      <c r="N15" s="73"/>
    </row>
    <row r="16" spans="1:16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-71.688750000001164</v>
      </c>
      <c r="J16" s="323"/>
      <c r="K16" s="81"/>
      <c r="L16" s="68"/>
      <c r="N16" s="73"/>
    </row>
    <row r="17" spans="1:14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93" t="s">
        <v>142</v>
      </c>
      <c r="B18" s="1294"/>
      <c r="C18" s="1295"/>
      <c r="D18" s="288" t="s">
        <v>143</v>
      </c>
      <c r="E18" s="285">
        <f>'7'!F18</f>
        <v>16</v>
      </c>
      <c r="F18" s="277">
        <v>16</v>
      </c>
      <c r="G18" s="345">
        <f>F18*10</f>
        <v>160</v>
      </c>
      <c r="H18" s="330">
        <f>G18+'7'!H18</f>
        <v>1140</v>
      </c>
      <c r="I18" s="331">
        <f>'1'!I18</f>
        <v>65</v>
      </c>
      <c r="J18" s="332">
        <f>H18/DAY(B2)</f>
        <v>142.5</v>
      </c>
      <c r="K18" s="81"/>
      <c r="L18" s="68"/>
      <c r="N18" s="73"/>
    </row>
    <row r="19" spans="1:14" ht="27.75">
      <c r="A19" s="1293" t="s">
        <v>70</v>
      </c>
      <c r="B19" s="1294"/>
      <c r="C19" s="1295"/>
      <c r="D19" s="288" t="s">
        <v>143</v>
      </c>
      <c r="E19" s="285">
        <f>'7'!F19</f>
        <v>145773</v>
      </c>
      <c r="F19" s="129">
        <v>145822</v>
      </c>
      <c r="G19" s="340">
        <f t="shared" ref="G19" si="1">F19-E19</f>
        <v>49</v>
      </c>
      <c r="H19" s="330">
        <f>G19+'7'!H19</f>
        <v>484</v>
      </c>
      <c r="I19" s="347"/>
      <c r="J19" s="332">
        <f>H19/DAY(B2)</f>
        <v>60.5</v>
      </c>
      <c r="K19" s="81"/>
      <c r="L19" s="68"/>
      <c r="N19" s="73"/>
    </row>
    <row r="20" spans="1:14">
      <c r="A20" s="343" t="s">
        <v>144</v>
      </c>
      <c r="B20" s="344"/>
      <c r="C20" s="344"/>
      <c r="D20" s="288"/>
      <c r="E20" s="288"/>
      <c r="F20" s="174"/>
      <c r="G20" s="348">
        <f>G18+G19</f>
        <v>209</v>
      </c>
      <c r="H20" s="330">
        <f>G20+'7'!H20</f>
        <v>1624</v>
      </c>
      <c r="I20" s="349">
        <f>I18-J20</f>
        <v>-138</v>
      </c>
      <c r="J20" s="332">
        <f>H20/DAY(B2)</f>
        <v>203</v>
      </c>
      <c r="K20" s="81"/>
      <c r="L20" s="68"/>
      <c r="N20" s="73"/>
    </row>
    <row r="21" spans="1:14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9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>
      <c r="A23" s="759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10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144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22311.399999999965</v>
      </c>
      <c r="F27" s="152">
        <v>9</v>
      </c>
      <c r="G27" s="153">
        <f>E27*F27</f>
        <v>200802.59999999969</v>
      </c>
      <c r="H27" s="111">
        <f>G27+'7'!H27</f>
        <v>1587716.9099999997</v>
      </c>
      <c r="I27" s="154"/>
      <c r="J27" s="203">
        <f>H27/DAY(B2)</f>
        <v>198464.61374999996</v>
      </c>
      <c r="K27" s="65"/>
      <c r="L27" s="94"/>
      <c r="N27" s="73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851.33000000007451</v>
      </c>
      <c r="F28" s="152">
        <v>56.2</v>
      </c>
      <c r="G28" s="153">
        <f>E28*F28</f>
        <v>47844.74600000419</v>
      </c>
      <c r="H28" s="111">
        <f>G28+'7'!H28</f>
        <v>388874.17460000073</v>
      </c>
      <c r="I28" s="156"/>
      <c r="J28" s="203">
        <f>H28/DAY(B2)</f>
        <v>48609.271825000091</v>
      </c>
      <c r="K28" s="65"/>
      <c r="L28" s="94"/>
      <c r="N28" s="73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49</v>
      </c>
      <c r="F30" s="152">
        <v>146</v>
      </c>
      <c r="G30" s="153">
        <f>E30*F30</f>
        <v>7154</v>
      </c>
      <c r="H30" s="111">
        <f>G30+'7'!H30</f>
        <v>70664</v>
      </c>
      <c r="I30" s="156"/>
      <c r="J30" s="203">
        <f>H30/DAY(B2)</f>
        <v>8833</v>
      </c>
      <c r="K30" s="65"/>
      <c r="L30" s="94"/>
      <c r="N30" s="73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G31+'7'!H31</f>
        <v>91200</v>
      </c>
      <c r="I31" s="156"/>
      <c r="J31" s="203">
        <f>H31/DAY(B2)</f>
        <v>11400</v>
      </c>
      <c r="K31" s="65"/>
      <c r="L31" s="94"/>
      <c r="N31" s="73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268601.34600000386</v>
      </c>
      <c r="H32" s="111">
        <f>G32+'7'!H32</f>
        <v>2138455.0846000006</v>
      </c>
      <c r="I32" s="160"/>
      <c r="J32" s="203">
        <f>H32/DAY(B2)</f>
        <v>267306.88557500008</v>
      </c>
      <c r="K32" s="65"/>
      <c r="L32" s="94"/>
      <c r="N32" s="73"/>
    </row>
    <row r="33" spans="1:14" ht="25.5" customHeight="1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</row>
    <row r="34" spans="1:14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-1</v>
      </c>
      <c r="I35" s="106"/>
      <c r="J35" s="203">
        <f>H35/DAY(B2)</f>
        <v>-0.125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'7'!F36</f>
        <v>7043.15</v>
      </c>
      <c r="F36" s="161">
        <v>7774.01</v>
      </c>
      <c r="G36" s="124">
        <f t="shared" si="2"/>
        <v>730.86000000000058</v>
      </c>
      <c r="H36" s="111">
        <f>G36+'7'!H36</f>
        <v>5941.01</v>
      </c>
      <c r="I36" s="106"/>
      <c r="J36" s="203">
        <f>H36/DAY(B2)</f>
        <v>742.62625000000003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'7'!F37</f>
        <v>14788.5</v>
      </c>
      <c r="F37" s="161">
        <v>16530.93</v>
      </c>
      <c r="G37" s="124">
        <f t="shared" si="2"/>
        <v>1742.4300000000003</v>
      </c>
      <c r="H37" s="111">
        <f>G37+'7'!H37</f>
        <v>12755.93</v>
      </c>
      <c r="I37" s="106"/>
      <c r="J37" s="203">
        <f>H37/DAY(B2)</f>
        <v>1594.49125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20">
        <f>'7'!F38</f>
        <v>16859.97</v>
      </c>
      <c r="F38" s="120">
        <v>18566.93</v>
      </c>
      <c r="G38" s="124">
        <f t="shared" si="2"/>
        <v>1706.9599999999991</v>
      </c>
      <c r="H38" s="111">
        <f>G38+'7'!H38</f>
        <v>13743.93</v>
      </c>
      <c r="I38" s="106"/>
      <c r="J38" s="203">
        <f>H38/DAY(B2)</f>
        <v>1717.99125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'7'!F39</f>
        <v>30550.68</v>
      </c>
      <c r="F39" s="161">
        <v>34495.089999999997</v>
      </c>
      <c r="G39" s="124">
        <f t="shared" si="2"/>
        <v>3944.4099999999962</v>
      </c>
      <c r="H39" s="111">
        <f>G39+'7'!H39</f>
        <v>30653.089999999997</v>
      </c>
      <c r="I39" s="106"/>
      <c r="J39" s="203">
        <f>H39/DAY(B2)</f>
        <v>3831.6362499999996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'7'!F40</f>
        <v>0</v>
      </c>
      <c r="F40" s="161">
        <v>0</v>
      </c>
      <c r="G40" s="124">
        <f t="shared" si="2"/>
        <v>0</v>
      </c>
      <c r="H40" s="111">
        <f>G40+'7'!H40</f>
        <v>157.40000000000146</v>
      </c>
      <c r="I40" s="106"/>
      <c r="J40" s="203">
        <f>H40/DAY(B2)</f>
        <v>19.675000000000182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'7'!F41</f>
        <v>452137.27</v>
      </c>
      <c r="F41" s="702">
        <v>457840.67</v>
      </c>
      <c r="G41" s="124">
        <f t="shared" si="2"/>
        <v>5703.3999999999651</v>
      </c>
      <c r="H41" s="111">
        <f>G41+'7'!H41</f>
        <v>24558.880000000005</v>
      </c>
      <c r="I41" s="106"/>
      <c r="J41" s="203">
        <f>H41/DAY(B2)</f>
        <v>3069.8600000000006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'7'!F42</f>
        <v>197821.71</v>
      </c>
      <c r="F42" s="161">
        <v>199169.93</v>
      </c>
      <c r="G42" s="124">
        <f t="shared" si="2"/>
        <v>1348.2200000000012</v>
      </c>
      <c r="H42" s="111">
        <f>G42+'7'!H42</f>
        <v>24057.929999999993</v>
      </c>
      <c r="I42" s="106"/>
      <c r="J42" s="203">
        <f>H42/DAY(B2)</f>
        <v>3007.2412499999991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'7'!F43</f>
        <v>1308370.1000000001</v>
      </c>
      <c r="F43" s="161">
        <v>1310958.7</v>
      </c>
      <c r="G43" s="124">
        <f t="shared" si="2"/>
        <v>2588.5999999998603</v>
      </c>
      <c r="H43" s="111">
        <f>G43+'7'!H43</f>
        <v>21213.699999999953</v>
      </c>
      <c r="I43" s="106"/>
      <c r="J43" s="203">
        <f>H43/DAY(B2)</f>
        <v>2651.7124999999942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17764.579999999776</v>
      </c>
      <c r="H47" s="111">
        <f>G47+'7'!H47</f>
        <v>133881.86999999994</v>
      </c>
      <c r="I47" s="106"/>
      <c r="J47" s="203">
        <f>H47/DAY(B2)</f>
        <v>16735.233749999992</v>
      </c>
      <c r="K47" s="81"/>
      <c r="L47" s="68"/>
      <c r="N47" s="73"/>
    </row>
    <row r="48" spans="1:14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181">
        <f>'7'!F49</f>
        <v>35199.07</v>
      </c>
      <c r="F49" s="1182">
        <v>39965.33</v>
      </c>
      <c r="G49" s="1183">
        <f t="shared" ref="G49:G58" si="3">F49-E49</f>
        <v>4766.260000000002</v>
      </c>
      <c r="H49" s="111">
        <f>G49+'7'!H49</f>
        <v>27739.33</v>
      </c>
      <c r="I49" s="106"/>
      <c r="J49" s="203">
        <f>H49/DAY(B2)</f>
        <v>3467.4162500000002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'7'!F50</f>
        <v>615896.39</v>
      </c>
      <c r="F50" s="161">
        <v>616844.67000000004</v>
      </c>
      <c r="G50" s="124">
        <f t="shared" si="3"/>
        <v>948.28000000002794</v>
      </c>
      <c r="H50" s="111">
        <f>G50+'7'!H50</f>
        <v>9546.6700000000419</v>
      </c>
      <c r="I50" s="106"/>
      <c r="J50" s="203">
        <f>H50/DAY(B2)</f>
        <v>1193.3337500000052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'7'!F51</f>
        <v>0</v>
      </c>
      <c r="F51" s="702">
        <v>0</v>
      </c>
      <c r="G51" s="124">
        <f t="shared" si="3"/>
        <v>0</v>
      </c>
      <c r="H51" s="111">
        <f>G51+'7'!H51</f>
        <v>0</v>
      </c>
      <c r="I51" s="106"/>
      <c r="J51" s="203">
        <f>H51/DAY(B2)</f>
        <v>0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'7'!F52</f>
        <v>0</v>
      </c>
      <c r="F52" s="702">
        <v>0</v>
      </c>
      <c r="G52" s="124">
        <f t="shared" si="3"/>
        <v>0</v>
      </c>
      <c r="H52" s="111">
        <f>G52+'7'!H52</f>
        <v>0</v>
      </c>
      <c r="I52" s="106"/>
      <c r="J52" s="203">
        <f>H52/DAY(B2)</f>
        <v>0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'7'!F53</f>
        <v>0</v>
      </c>
      <c r="F53" s="702">
        <v>0</v>
      </c>
      <c r="G53" s="124">
        <f t="shared" si="3"/>
        <v>0</v>
      </c>
      <c r="H53" s="111">
        <f>G53+'7'!H53</f>
        <v>0</v>
      </c>
      <c r="I53" s="106"/>
      <c r="J53" s="203">
        <f>H53/DAY(B2)</f>
        <v>0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'7'!F54</f>
        <v>2643.32</v>
      </c>
      <c r="F54" s="161">
        <v>2647.1</v>
      </c>
      <c r="G54" s="124">
        <f t="shared" si="3"/>
        <v>3.7799999999997453</v>
      </c>
      <c r="H54" s="111">
        <f>G54+'7'!H54</f>
        <v>186.09999999999991</v>
      </c>
      <c r="I54" s="106"/>
      <c r="J54" s="203">
        <f>H54/DAY(B2)</f>
        <v>23.262499999999989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'7'!F55</f>
        <v>306268.99</v>
      </c>
      <c r="F55" s="304">
        <v>306268.99</v>
      </c>
      <c r="G55" s="303">
        <f t="shared" si="3"/>
        <v>0</v>
      </c>
      <c r="H55" s="356">
        <f>G55+'7'!H55</f>
        <v>0</v>
      </c>
      <c r="I55" s="357"/>
      <c r="J55" s="358">
        <f>H55/DAY(B2)</f>
        <v>0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'7'!F56</f>
        <v>666182.79</v>
      </c>
      <c r="F56" s="304">
        <v>666192.79</v>
      </c>
      <c r="G56" s="124">
        <f t="shared" si="3"/>
        <v>10</v>
      </c>
      <c r="H56" s="111">
        <f>G56+'7'!H56</f>
        <v>5173.7900000000373</v>
      </c>
      <c r="I56" s="106"/>
      <c r="J56" s="203">
        <f>H56/DAY(B2)</f>
        <v>646.72375000000466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2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'7'!F58</f>
        <v>67417.64</v>
      </c>
      <c r="F58" s="304">
        <v>67635.31</v>
      </c>
      <c r="G58" s="124">
        <f t="shared" si="3"/>
        <v>217.66999999999825</v>
      </c>
      <c r="H58" s="111">
        <f>G58+'7'!H58</f>
        <v>1621.3099999999977</v>
      </c>
      <c r="I58" s="106"/>
      <c r="J58" s="203">
        <f>H58/DAY(B2)</f>
        <v>202.66374999999971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5945.990000000028</v>
      </c>
      <c r="H59" s="111">
        <f>G59+'7'!H59</f>
        <v>44267.200000000084</v>
      </c>
      <c r="I59" s="106">
        <f>G7-G60</f>
        <v>-1488.0499999997846</v>
      </c>
      <c r="J59" s="203">
        <f>H59/DAY(B2)</f>
        <v>5533.4000000000106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23710.569999999803</v>
      </c>
      <c r="H60" s="111">
        <f>G60+'7'!H60</f>
        <v>178149.07000000004</v>
      </c>
      <c r="I60" s="106">
        <f>G13-G60</f>
        <v>-2161.4299999997893</v>
      </c>
      <c r="J60" s="203">
        <f>H60/DAY(B2)</f>
        <v>22268.633750000005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'7'!F63</f>
        <v>12.36</v>
      </c>
      <c r="F63" s="165">
        <v>20.86</v>
      </c>
      <c r="G63" s="124">
        <f t="shared" si="4"/>
        <v>8.5</v>
      </c>
      <c r="H63" s="111">
        <f>G63+'7'!H63</f>
        <v>20.86</v>
      </c>
      <c r="I63" s="166"/>
      <c r="J63" s="203">
        <f>H63/DAY(B2)</f>
        <v>2.6074999999999999</v>
      </c>
      <c r="K63" s="81"/>
      <c r="L63" s="68"/>
      <c r="N63" s="73"/>
    </row>
    <row r="64" spans="1:14" ht="27.75">
      <c r="A64" s="1226" t="s">
        <v>98</v>
      </c>
      <c r="B64" s="1227"/>
      <c r="C64" s="1228"/>
      <c r="D64" s="174" t="s">
        <v>186</v>
      </c>
      <c r="E64" s="165">
        <f>'7'!F64</f>
        <v>197117.87</v>
      </c>
      <c r="F64" s="129">
        <v>197528.29</v>
      </c>
      <c r="G64" s="124">
        <f t="shared" si="4"/>
        <v>410.42000000001281</v>
      </c>
      <c r="H64" s="111">
        <f>G64+'7'!H64</f>
        <v>3311.2900000000081</v>
      </c>
      <c r="I64" s="131"/>
      <c r="J64" s="203">
        <f>H64/DAY(B2)</f>
        <v>413.91125000000102</v>
      </c>
      <c r="K64" s="81"/>
      <c r="L64" s="68"/>
      <c r="N64" s="73"/>
    </row>
    <row r="65" spans="1:14" ht="27.75">
      <c r="A65" s="1226" t="s">
        <v>99</v>
      </c>
      <c r="B65" s="1227"/>
      <c r="C65" s="1228"/>
      <c r="D65" s="174" t="s">
        <v>186</v>
      </c>
      <c r="E65" s="165">
        <f>'7'!F65</f>
        <v>197360.47</v>
      </c>
      <c r="F65" s="302">
        <v>197728.97</v>
      </c>
      <c r="G65" s="124">
        <f t="shared" si="4"/>
        <v>368.5</v>
      </c>
      <c r="H65" s="111">
        <f>G65+'7'!H65</f>
        <v>3099.9700000000012</v>
      </c>
      <c r="I65" s="140"/>
      <c r="J65" s="203">
        <f>H65/DAY(B2)</f>
        <v>387.49625000000015</v>
      </c>
      <c r="K65" s="81"/>
      <c r="L65" s="68"/>
      <c r="N65" s="73"/>
    </row>
    <row r="66" spans="1:14" ht="27.75">
      <c r="A66" s="1226" t="s">
        <v>100</v>
      </c>
      <c r="B66" s="1227"/>
      <c r="C66" s="1228"/>
      <c r="D66" s="174" t="s">
        <v>186</v>
      </c>
      <c r="E66" s="165">
        <f>'7'!F66</f>
        <v>96168.15</v>
      </c>
      <c r="F66" s="129">
        <v>96554.97</v>
      </c>
      <c r="G66" s="124">
        <f t="shared" si="4"/>
        <v>386.82000000000698</v>
      </c>
      <c r="H66" s="111">
        <f>G66+'7'!H66</f>
        <v>3237.9700000000012</v>
      </c>
      <c r="I66" s="131"/>
      <c r="J66" s="203">
        <f>H66/DAY(B2)</f>
        <v>404.74625000000015</v>
      </c>
      <c r="K66" s="81"/>
      <c r="L66" s="68"/>
      <c r="N66" s="73"/>
    </row>
    <row r="67" spans="1:14" ht="27.75">
      <c r="A67" s="1226" t="s">
        <v>101</v>
      </c>
      <c r="B67" s="1227"/>
      <c r="C67" s="1228"/>
      <c r="D67" s="174" t="s">
        <v>186</v>
      </c>
      <c r="E67" s="165">
        <f>'7'!F67</f>
        <v>297951.96999999997</v>
      </c>
      <c r="F67" s="129">
        <v>298486.21000000002</v>
      </c>
      <c r="G67" s="124">
        <f t="shared" si="4"/>
        <v>534.24000000004889</v>
      </c>
      <c r="H67" s="111">
        <f>G67+'7'!H67</f>
        <v>3595.210000000021</v>
      </c>
      <c r="I67" s="140"/>
      <c r="J67" s="203">
        <f>H67/DAY(B2)</f>
        <v>449.40125000000262</v>
      </c>
      <c r="K67" s="82"/>
      <c r="L67" s="68"/>
      <c r="N67" s="73"/>
    </row>
    <row r="68" spans="1:14" ht="27.75">
      <c r="A68" s="1226" t="s">
        <v>102</v>
      </c>
      <c r="B68" s="1227"/>
      <c r="C68" s="1228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226" t="s">
        <v>103</v>
      </c>
      <c r="B69" s="1227"/>
      <c r="C69" s="1228"/>
      <c r="D69" s="174" t="s">
        <v>186</v>
      </c>
      <c r="E69" s="165">
        <f>'7'!F69</f>
        <v>108465.79</v>
      </c>
      <c r="F69" s="129">
        <v>108780.14</v>
      </c>
      <c r="G69" s="124">
        <f t="shared" si="4"/>
        <v>314.35000000000582</v>
      </c>
      <c r="H69" s="111">
        <f>G69+'7'!H69</f>
        <v>2374.1399999999994</v>
      </c>
      <c r="I69" s="167"/>
      <c r="J69" s="203">
        <f>H69/DAY(B2)</f>
        <v>296.76749999999993</v>
      </c>
      <c r="K69" s="84"/>
      <c r="L69" s="68"/>
      <c r="N69" s="73"/>
    </row>
    <row r="70" spans="1:14" ht="27.75">
      <c r="A70" s="1267" t="s">
        <v>188</v>
      </c>
      <c r="B70" s="1268"/>
      <c r="C70" s="1269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</row>
    <row r="72" spans="1:14" ht="27.75">
      <c r="A72" s="1226" t="s">
        <v>190</v>
      </c>
      <c r="B72" s="1227"/>
      <c r="C72" s="1228"/>
      <c r="D72" s="174" t="s">
        <v>186</v>
      </c>
      <c r="E72" s="170">
        <f>'7'!F72</f>
        <v>857069</v>
      </c>
      <c r="F72" s="305">
        <v>857075</v>
      </c>
      <c r="G72" s="124">
        <f t="shared" ref="G72:G84" si="5">F72-E72</f>
        <v>6</v>
      </c>
      <c r="H72" s="111">
        <f>G72+'7'!H72</f>
        <v>53</v>
      </c>
      <c r="I72" s="131"/>
      <c r="J72" s="203">
        <f>H72/DAY(B2)</f>
        <v>6.625</v>
      </c>
      <c r="K72" s="84"/>
      <c r="L72" s="68"/>
      <c r="N72" s="73"/>
    </row>
    <row r="73" spans="1:14" ht="27.75">
      <c r="A73" s="1226" t="s">
        <v>191</v>
      </c>
      <c r="B73" s="1227"/>
      <c r="C73" s="1228"/>
      <c r="D73" s="174" t="s">
        <v>186</v>
      </c>
      <c r="E73" s="170">
        <f>'7'!F73</f>
        <v>886054</v>
      </c>
      <c r="F73" s="306">
        <v>886054</v>
      </c>
      <c r="G73" s="303">
        <f t="shared" si="5"/>
        <v>0</v>
      </c>
      <c r="H73" s="111">
        <f>G73+'7'!H73</f>
        <v>3</v>
      </c>
      <c r="I73" s="131"/>
      <c r="J73" s="203">
        <f>H73/DAY(B2)</f>
        <v>0.375</v>
      </c>
      <c r="K73" s="83"/>
      <c r="L73" s="68"/>
      <c r="N73" s="73"/>
    </row>
    <row r="74" spans="1:14" ht="27.75">
      <c r="A74" s="1226" t="s">
        <v>192</v>
      </c>
      <c r="B74" s="1227"/>
      <c r="C74" s="1228"/>
      <c r="D74" s="174" t="s">
        <v>186</v>
      </c>
      <c r="E74" s="170">
        <f>'7'!F74</f>
        <v>88780</v>
      </c>
      <c r="F74" s="305">
        <v>88781.3</v>
      </c>
      <c r="G74" s="124">
        <f t="shared" si="5"/>
        <v>1.3000000000029104</v>
      </c>
      <c r="H74" s="111">
        <f>G74+'7'!H74</f>
        <v>19.30000000000291</v>
      </c>
      <c r="I74" s="131"/>
      <c r="J74" s="203">
        <f>H74/DAY(B2)</f>
        <v>2.4125000000003638</v>
      </c>
      <c r="K74" s="84"/>
      <c r="L74" s="68"/>
      <c r="N74" s="73"/>
    </row>
    <row r="75" spans="1:14" ht="27.75">
      <c r="A75" s="1229" t="s">
        <v>193</v>
      </c>
      <c r="B75" s="1230"/>
      <c r="C75" s="1231"/>
      <c r="D75" s="174" t="s">
        <v>186</v>
      </c>
      <c r="E75" s="170">
        <f>'7'!F75</f>
        <v>27600.06</v>
      </c>
      <c r="F75" s="306">
        <v>27758.48</v>
      </c>
      <c r="G75" s="124">
        <f t="shared" si="5"/>
        <v>158.41999999999825</v>
      </c>
      <c r="H75" s="111">
        <f>G75+'7'!H75</f>
        <v>1450.4799999999996</v>
      </c>
      <c r="I75" s="131"/>
      <c r="J75" s="203">
        <f>H75/DAY(B2)</f>
        <v>181.30999999999995</v>
      </c>
      <c r="K75" s="83"/>
      <c r="L75" s="68"/>
      <c r="N75" s="73"/>
    </row>
    <row r="76" spans="1:14" ht="27.75">
      <c r="A76" s="1229" t="s">
        <v>194</v>
      </c>
      <c r="B76" s="1230"/>
      <c r="C76" s="1231"/>
      <c r="D76" s="174" t="s">
        <v>186</v>
      </c>
      <c r="E76" s="170">
        <f>'7'!F76</f>
        <v>13752.78</v>
      </c>
      <c r="F76" s="306">
        <v>13817.68</v>
      </c>
      <c r="G76" s="124">
        <f t="shared" si="5"/>
        <v>64.899999999999636</v>
      </c>
      <c r="H76" s="111">
        <f>G76+'7'!H76</f>
        <v>540.68000000000029</v>
      </c>
      <c r="I76" s="156"/>
      <c r="J76" s="203">
        <f>H76/DAY(B2)</f>
        <v>67.585000000000036</v>
      </c>
      <c r="K76" s="83"/>
      <c r="L76" s="68"/>
      <c r="N76" s="73"/>
    </row>
    <row r="77" spans="1:14" ht="27.75">
      <c r="A77" s="1226" t="s">
        <v>195</v>
      </c>
      <c r="B77" s="1227"/>
      <c r="C77" s="1228"/>
      <c r="D77" s="174" t="s">
        <v>186</v>
      </c>
      <c r="E77" s="170">
        <f>'7'!F77</f>
        <v>708651</v>
      </c>
      <c r="F77" s="305">
        <v>708715</v>
      </c>
      <c r="G77" s="303">
        <f t="shared" si="5"/>
        <v>64</v>
      </c>
      <c r="H77" s="111">
        <f>G77+'7'!H77</f>
        <v>426</v>
      </c>
      <c r="I77" s="156"/>
      <c r="J77" s="203">
        <f>H77/DAY(B2)</f>
        <v>53.25</v>
      </c>
      <c r="K77" s="83"/>
      <c r="L77" s="68"/>
      <c r="N77" s="73"/>
    </row>
    <row r="78" spans="1:14" ht="27.75">
      <c r="A78" s="762" t="s">
        <v>196</v>
      </c>
      <c r="B78" s="754"/>
      <c r="C78" s="754"/>
      <c r="D78" s="174" t="s">
        <v>186</v>
      </c>
      <c r="E78" s="170">
        <f>'7'!F78</f>
        <v>682858</v>
      </c>
      <c r="F78" s="307">
        <v>683050</v>
      </c>
      <c r="G78" s="124">
        <f t="shared" si="5"/>
        <v>192</v>
      </c>
      <c r="H78" s="111">
        <f>G78+'7'!H78</f>
        <v>637</v>
      </c>
      <c r="I78" s="156"/>
      <c r="J78" s="203">
        <f>H78/DAY(B2)</f>
        <v>79.625</v>
      </c>
      <c r="K78" s="83"/>
      <c r="L78" s="68"/>
      <c r="N78" s="73"/>
    </row>
    <row r="79" spans="1:14" ht="27.75">
      <c r="A79" s="1229" t="s">
        <v>91</v>
      </c>
      <c r="B79" s="1230"/>
      <c r="C79" s="1231"/>
      <c r="D79" s="175" t="s">
        <v>186</v>
      </c>
      <c r="E79" s="170">
        <f>'7'!F79</f>
        <v>846240</v>
      </c>
      <c r="F79" s="305">
        <v>846411</v>
      </c>
      <c r="G79" s="124">
        <f t="shared" si="5"/>
        <v>171</v>
      </c>
      <c r="H79" s="111">
        <f>G79+'7'!H79</f>
        <v>1362</v>
      </c>
      <c r="I79" s="156"/>
      <c r="J79" s="203">
        <f>H79/DAY(B2)</f>
        <v>170.25</v>
      </c>
      <c r="K79" s="83"/>
      <c r="L79" s="68"/>
      <c r="N79" s="73"/>
    </row>
    <row r="80" spans="1:14" ht="27.75">
      <c r="A80" s="1229" t="s">
        <v>197</v>
      </c>
      <c r="B80" s="1230"/>
      <c r="C80" s="1231"/>
      <c r="D80" s="175" t="s">
        <v>186</v>
      </c>
      <c r="E80" s="170">
        <f>'7'!F80</f>
        <v>567034</v>
      </c>
      <c r="F80" s="306">
        <v>567422</v>
      </c>
      <c r="G80" s="124">
        <f t="shared" si="5"/>
        <v>388</v>
      </c>
      <c r="H80" s="111">
        <f>G80+'7'!H80</f>
        <v>3124</v>
      </c>
      <c r="I80" s="156"/>
      <c r="J80" s="203">
        <f>H80/DAY(B2)</f>
        <v>390.5</v>
      </c>
      <c r="K80" s="83"/>
      <c r="L80" s="68"/>
      <c r="N80" s="73"/>
    </row>
    <row r="81" spans="1:15" ht="27.75">
      <c r="A81" s="1229" t="s">
        <v>198</v>
      </c>
      <c r="B81" s="1230"/>
      <c r="C81" s="1231"/>
      <c r="D81" s="175" t="s">
        <v>186</v>
      </c>
      <c r="E81" s="170">
        <f>'7'!F81</f>
        <v>655076</v>
      </c>
      <c r="F81" s="306">
        <v>655182.6</v>
      </c>
      <c r="G81" s="124">
        <f t="shared" si="5"/>
        <v>106.59999999997672</v>
      </c>
      <c r="H81" s="111">
        <f>G81+'7'!H81</f>
        <v>1004.5999999999767</v>
      </c>
      <c r="I81" s="156"/>
      <c r="J81" s="203">
        <f>H81/DAY(B2)</f>
        <v>125.57499999999709</v>
      </c>
      <c r="K81" s="83"/>
      <c r="L81" s="68"/>
      <c r="N81" s="73"/>
    </row>
    <row r="82" spans="1:15" ht="27.75">
      <c r="A82" s="1229" t="s">
        <v>92</v>
      </c>
      <c r="B82" s="1230"/>
      <c r="C82" s="1231"/>
      <c r="D82" s="136" t="s">
        <v>131</v>
      </c>
      <c r="E82" s="170">
        <f>'7'!F82</f>
        <v>110088</v>
      </c>
      <c r="F82" s="302">
        <v>110107.16</v>
      </c>
      <c r="G82" s="124">
        <f t="shared" si="5"/>
        <v>19.160000000003492</v>
      </c>
      <c r="H82" s="111">
        <f>G82+'7'!H82</f>
        <v>182.16000000000349</v>
      </c>
      <c r="I82" s="137"/>
      <c r="J82" s="203">
        <f>H82/DAY(B2)</f>
        <v>22.770000000000437</v>
      </c>
      <c r="K82" s="83"/>
      <c r="L82" s="68"/>
      <c r="N82" s="73"/>
    </row>
    <row r="83" spans="1:15" ht="27.75">
      <c r="A83" s="1229" t="s">
        <v>199</v>
      </c>
      <c r="B83" s="1230"/>
      <c r="C83" s="1231"/>
      <c r="D83" s="271" t="s">
        <v>131</v>
      </c>
      <c r="E83" s="170">
        <f>'7'!F83</f>
        <v>46270</v>
      </c>
      <c r="F83" s="271">
        <v>46580</v>
      </c>
      <c r="G83" s="124">
        <f t="shared" si="5"/>
        <v>310</v>
      </c>
      <c r="H83" s="111">
        <f>G83+'7'!H83</f>
        <v>2257</v>
      </c>
      <c r="I83" s="132"/>
      <c r="J83" s="203">
        <f>H83/DAY(B2)</f>
        <v>282.125</v>
      </c>
      <c r="K83" s="82"/>
      <c r="L83" s="68"/>
      <c r="N83" s="73"/>
    </row>
    <row r="84" spans="1:15">
      <c r="A84" s="763" t="s">
        <v>200</v>
      </c>
      <c r="B84" s="222"/>
      <c r="C84" s="222"/>
      <c r="D84" s="129" t="s">
        <v>131</v>
      </c>
      <c r="E84" s="170">
        <f>'7'!F84</f>
        <v>574807</v>
      </c>
      <c r="F84" s="278">
        <v>575444</v>
      </c>
      <c r="G84" s="124">
        <f t="shared" si="5"/>
        <v>637</v>
      </c>
      <c r="H84" s="111">
        <f>G84+'7'!H84</f>
        <v>5065</v>
      </c>
      <c r="I84" s="132"/>
      <c r="J84" s="203">
        <f>H84/DAY(B2)</f>
        <v>633.125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2118.379999999981</v>
      </c>
      <c r="H85" s="111">
        <f>G85+'7'!H85</f>
        <v>16124.219999999983</v>
      </c>
      <c r="I85" s="132"/>
      <c r="J85" s="203">
        <f>H85/DAY(B2)</f>
        <v>2015.5274999999979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'7'!F86</f>
        <v>463711</v>
      </c>
      <c r="F86" s="298">
        <v>463724.68</v>
      </c>
      <c r="G86" s="356">
        <f t="shared" ref="G86:G91" si="6">F86-E86</f>
        <v>13.679999999993015</v>
      </c>
      <c r="H86" s="356">
        <f t="shared" ref="H86:H88" si="7">G86</f>
        <v>13.679999999993015</v>
      </c>
      <c r="I86" s="303"/>
      <c r="J86" s="358">
        <f>H86/DAY(B2)</f>
        <v>1.7099999999991269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'7'!F87</f>
        <v>84118.2</v>
      </c>
      <c r="F87" s="298">
        <v>84155.3</v>
      </c>
      <c r="G87" s="356">
        <f t="shared" si="6"/>
        <v>37.100000000005821</v>
      </c>
      <c r="H87" s="356">
        <f t="shared" si="7"/>
        <v>37.100000000005821</v>
      </c>
      <c r="I87" s="303"/>
      <c r="J87" s="358">
        <f>H87/DAY(B2)</f>
        <v>4.6375000000007276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'7'!F88</f>
        <v>158212</v>
      </c>
      <c r="F88" s="298">
        <v>158212</v>
      </c>
      <c r="G88" s="356">
        <f t="shared" si="6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'7'!F89</f>
        <v>69515</v>
      </c>
      <c r="F89" s="298">
        <v>69586.3</v>
      </c>
      <c r="G89" s="356">
        <f t="shared" si="6"/>
        <v>71.30000000000291</v>
      </c>
      <c r="H89" s="356">
        <f>G89</f>
        <v>71.30000000000291</v>
      </c>
      <c r="I89" s="303"/>
      <c r="J89" s="358">
        <f>H89/DAY(B2)</f>
        <v>8.9125000000003638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'7'!F90</f>
        <v>3671.3</v>
      </c>
      <c r="F90" s="298">
        <v>3677.8</v>
      </c>
      <c r="G90" s="356">
        <f t="shared" si="6"/>
        <v>6.5</v>
      </c>
      <c r="H90" s="356">
        <f>G90</f>
        <v>6.5</v>
      </c>
      <c r="I90" s="303"/>
      <c r="J90" s="358">
        <f>H90/DAY(B2)</f>
        <v>0.8125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/>
      <c r="E91" s="278">
        <f>'7'!F91</f>
        <v>28804.9</v>
      </c>
      <c r="F91" s="298">
        <v>28814.11</v>
      </c>
      <c r="G91" s="356">
        <f t="shared" si="6"/>
        <v>9.2099999999991269</v>
      </c>
      <c r="H91" s="356">
        <f>G91</f>
        <v>9.2099999999991269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45" t="s">
        <v>205</v>
      </c>
      <c r="B93" s="1246"/>
      <c r="C93" s="1247"/>
      <c r="D93" s="174" t="s">
        <v>143</v>
      </c>
      <c r="E93" s="135">
        <f>'7'!F93</f>
        <v>254050</v>
      </c>
      <c r="F93" s="129">
        <v>254137</v>
      </c>
      <c r="G93" s="124">
        <f>F93-E93</f>
        <v>87</v>
      </c>
      <c r="H93" s="111">
        <f>G93+'7'!H93</f>
        <v>685</v>
      </c>
      <c r="I93" s="131"/>
      <c r="J93" s="203">
        <f>H93/DAY(B2)</f>
        <v>85.625</v>
      </c>
      <c r="K93" s="82"/>
      <c r="L93" s="68"/>
      <c r="N93" s="73"/>
    </row>
    <row r="94" spans="1:15" ht="27.75">
      <c r="A94" s="1245" t="s">
        <v>206</v>
      </c>
      <c r="B94" s="1246"/>
      <c r="C94" s="1247"/>
      <c r="D94" s="174" t="s">
        <v>143</v>
      </c>
      <c r="E94" s="135">
        <f>'7'!F94</f>
        <v>198699</v>
      </c>
      <c r="F94" s="136">
        <v>198894</v>
      </c>
      <c r="G94" s="124">
        <f>F94-E94</f>
        <v>195</v>
      </c>
      <c r="H94" s="111">
        <f>G94+'7'!H94</f>
        <v>1235</v>
      </c>
      <c r="I94" s="131"/>
      <c r="J94" s="203">
        <f>H94/DAY(B2)</f>
        <v>154.375</v>
      </c>
      <c r="K94" s="71"/>
      <c r="L94" s="68"/>
      <c r="N94" s="73"/>
    </row>
    <row r="95" spans="1:15">
      <c r="A95" s="1277" t="s">
        <v>207</v>
      </c>
      <c r="B95" s="1278"/>
      <c r="C95" s="1279"/>
      <c r="D95" s="174"/>
      <c r="E95" s="135">
        <f>'7'!F95</f>
        <v>0</v>
      </c>
      <c r="F95" s="129"/>
      <c r="G95" s="124">
        <f>G93+G94</f>
        <v>282</v>
      </c>
      <c r="H95" s="111">
        <f>G95+'7'!H95</f>
        <v>1695</v>
      </c>
      <c r="I95" s="131"/>
      <c r="J95" s="203">
        <f>H95/DAY(B2)</f>
        <v>211.875</v>
      </c>
      <c r="K95" s="71"/>
      <c r="L95" s="68"/>
      <c r="N95" s="73"/>
    </row>
    <row r="96" spans="1:15" ht="27.75">
      <c r="A96" s="1245" t="s">
        <v>208</v>
      </c>
      <c r="B96" s="1246"/>
      <c r="C96" s="1247"/>
      <c r="D96" s="174" t="s">
        <v>143</v>
      </c>
      <c r="E96" s="135">
        <f>'7'!F96</f>
        <v>421548</v>
      </c>
      <c r="F96" s="129">
        <v>421617</v>
      </c>
      <c r="G96" s="124">
        <f t="shared" ref="G96:G101" si="8">F96-E96</f>
        <v>69</v>
      </c>
      <c r="H96" s="111">
        <f>G96+'7'!H96</f>
        <v>598</v>
      </c>
      <c r="I96" s="131"/>
      <c r="J96" s="203">
        <f>H96/DAY(B2)</f>
        <v>74.75</v>
      </c>
      <c r="K96" s="71"/>
      <c r="L96" s="68"/>
      <c r="N96" s="73"/>
    </row>
    <row r="97" spans="1:14" ht="27.75">
      <c r="A97" s="759" t="s">
        <v>209</v>
      </c>
      <c r="B97" s="760"/>
      <c r="C97" s="760"/>
      <c r="D97" s="174" t="s">
        <v>143</v>
      </c>
      <c r="E97" s="135">
        <f>'7'!F97</f>
        <v>104778</v>
      </c>
      <c r="F97" s="129">
        <v>104798</v>
      </c>
      <c r="G97" s="124">
        <f t="shared" si="8"/>
        <v>20</v>
      </c>
      <c r="H97" s="111">
        <f>G97+'7'!H97</f>
        <v>162</v>
      </c>
      <c r="I97" s="131"/>
      <c r="J97" s="203">
        <f>H97/DAY(B2)</f>
        <v>20.25</v>
      </c>
      <c r="K97" s="80"/>
      <c r="L97" s="68"/>
      <c r="N97" s="73"/>
    </row>
    <row r="98" spans="1:14" ht="27.75">
      <c r="A98" s="759" t="s">
        <v>210</v>
      </c>
      <c r="B98" s="760"/>
      <c r="C98" s="760"/>
      <c r="D98" s="174" t="s">
        <v>143</v>
      </c>
      <c r="E98" s="135">
        <f>'7'!F98</f>
        <v>100585</v>
      </c>
      <c r="F98" s="129">
        <v>100610</v>
      </c>
      <c r="G98" s="124">
        <f t="shared" si="8"/>
        <v>25</v>
      </c>
      <c r="H98" s="111">
        <f>G98+'7'!H98</f>
        <v>240</v>
      </c>
      <c r="I98" s="131"/>
      <c r="J98" s="203">
        <f>H98/DAY(B2)</f>
        <v>30</v>
      </c>
      <c r="K98" s="85"/>
      <c r="L98" s="68"/>
      <c r="N98" s="73"/>
    </row>
    <row r="99" spans="1:14" ht="27.75">
      <c r="A99" s="759" t="s">
        <v>211</v>
      </c>
      <c r="B99" s="760"/>
      <c r="C99" s="760"/>
      <c r="D99" s="174" t="s">
        <v>143</v>
      </c>
      <c r="E99" s="135">
        <f>'7'!F99</f>
        <v>152311</v>
      </c>
      <c r="F99" s="129">
        <v>152333</v>
      </c>
      <c r="G99" s="124">
        <f t="shared" si="8"/>
        <v>22</v>
      </c>
      <c r="H99" s="111">
        <f>G99+'7'!H99</f>
        <v>198</v>
      </c>
      <c r="I99" s="131"/>
      <c r="J99" s="203">
        <f>H99/DAY(B2)</f>
        <v>24.75</v>
      </c>
      <c r="K99" s="71"/>
      <c r="L99" s="68"/>
      <c r="N99" s="355"/>
    </row>
    <row r="100" spans="1:14" ht="27.75">
      <c r="A100" s="759" t="s">
        <v>212</v>
      </c>
      <c r="B100" s="760"/>
      <c r="C100" s="760"/>
      <c r="D100" s="174" t="s">
        <v>143</v>
      </c>
      <c r="E100" s="135">
        <f>'7'!F100</f>
        <v>8724</v>
      </c>
      <c r="F100" s="129">
        <v>8736</v>
      </c>
      <c r="G100" s="124">
        <f t="shared" si="8"/>
        <v>12</v>
      </c>
      <c r="H100" s="111">
        <f>G100+'7'!H100</f>
        <v>91</v>
      </c>
      <c r="I100" s="131"/>
      <c r="J100" s="203">
        <f>H100/DAY(B2)</f>
        <v>11.375</v>
      </c>
      <c r="K100" s="71"/>
      <c r="L100" s="68"/>
      <c r="N100" s="73"/>
    </row>
    <row r="101" spans="1:14" ht="27.75">
      <c r="A101" s="759" t="s">
        <v>213</v>
      </c>
      <c r="B101" s="760"/>
      <c r="C101" s="760"/>
      <c r="D101" s="174" t="s">
        <v>143</v>
      </c>
      <c r="E101" s="135">
        <f>'7'!F101</f>
        <v>6442</v>
      </c>
      <c r="F101" s="129">
        <v>6452</v>
      </c>
      <c r="G101" s="124">
        <f t="shared" si="8"/>
        <v>10</v>
      </c>
      <c r="H101" s="111">
        <f>G101+'7'!H101</f>
        <v>79</v>
      </c>
      <c r="I101" s="131"/>
      <c r="J101" s="203">
        <f>H101/DAY(B2)</f>
        <v>9.875</v>
      </c>
      <c r="K101" s="71"/>
      <c r="L101" s="68"/>
      <c r="N101" s="73"/>
    </row>
    <row r="102" spans="1:14">
      <c r="A102" s="1277" t="s">
        <v>215</v>
      </c>
      <c r="B102" s="1278"/>
      <c r="C102" s="1279"/>
      <c r="D102" s="175"/>
      <c r="E102" s="175"/>
      <c r="F102" s="175"/>
      <c r="G102" s="176">
        <f>SUM(G96:G101)</f>
        <v>158</v>
      </c>
      <c r="H102" s="111">
        <f>G102+'7'!H102</f>
        <v>1368</v>
      </c>
      <c r="I102" s="177"/>
      <c r="J102" s="203">
        <f>H102/DAY(B2)</f>
        <v>171</v>
      </c>
      <c r="K102" s="71"/>
      <c r="L102" s="68"/>
      <c r="N102" s="73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80" t="s">
        <v>217</v>
      </c>
      <c r="B104" s="1281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37" t="s">
        <v>218</v>
      </c>
      <c r="B105" s="1238"/>
      <c r="C105" s="758"/>
      <c r="D105" s="273" t="s">
        <v>143</v>
      </c>
      <c r="E105" s="183">
        <f>'7'!F105</f>
        <v>7961</v>
      </c>
      <c r="F105" s="309">
        <v>7961</v>
      </c>
      <c r="G105" s="183">
        <f>F105-E105</f>
        <v>0</v>
      </c>
      <c r="H105" s="111">
        <f>G105+'7'!H105</f>
        <v>0</v>
      </c>
      <c r="I105" s="183"/>
      <c r="J105" s="209">
        <f>H105/DAY(B2)</f>
        <v>0</v>
      </c>
      <c r="N105" s="73"/>
    </row>
    <row r="106" spans="1:14" s="93" customFormat="1" ht="27.75">
      <c r="A106" s="1237" t="s">
        <v>76</v>
      </c>
      <c r="B106" s="1238"/>
      <c r="C106" s="758"/>
      <c r="D106" s="273" t="s">
        <v>143</v>
      </c>
      <c r="E106" s="183">
        <f>'7'!F106</f>
        <v>36821</v>
      </c>
      <c r="F106" s="454">
        <v>36827</v>
      </c>
      <c r="G106" s="183">
        <f>F106-E106</f>
        <v>6</v>
      </c>
      <c r="H106" s="111">
        <f>G106+'7'!H106</f>
        <v>62</v>
      </c>
      <c r="I106" s="183"/>
      <c r="J106" s="209">
        <f>H106/DAY(B2)</f>
        <v>7.75</v>
      </c>
      <c r="N106" s="73"/>
    </row>
    <row r="107" spans="1:14" s="93" customFormat="1" ht="27.75">
      <c r="A107" s="1237" t="s">
        <v>77</v>
      </c>
      <c r="B107" s="1282"/>
      <c r="C107" s="1238"/>
      <c r="D107" s="273" t="s">
        <v>143</v>
      </c>
      <c r="E107" s="183">
        <f>'7'!F107</f>
        <v>20272</v>
      </c>
      <c r="F107" s="310">
        <v>20279</v>
      </c>
      <c r="G107" s="183">
        <f>F107-E107</f>
        <v>7</v>
      </c>
      <c r="H107" s="111">
        <f>G107+'7'!H107</f>
        <v>65</v>
      </c>
      <c r="I107" s="183"/>
      <c r="J107" s="209">
        <f>H107/DAY(B2)</f>
        <v>8.125</v>
      </c>
      <c r="N107" s="73"/>
    </row>
    <row r="108" spans="1:14" s="93" customFormat="1" ht="27.75">
      <c r="A108" s="1239" t="s">
        <v>201</v>
      </c>
      <c r="B108" s="1240"/>
      <c r="C108" s="758"/>
      <c r="D108" s="273"/>
      <c r="E108" s="183"/>
      <c r="F108" s="310"/>
      <c r="G108" s="183">
        <f>SUM(G105:G107)</f>
        <v>13</v>
      </c>
      <c r="H108" s="111">
        <f>G108+'7'!H108</f>
        <v>127</v>
      </c>
      <c r="I108" s="183"/>
      <c r="J108" s="209">
        <f>H108/DAY(B2)</f>
        <v>15.875</v>
      </c>
      <c r="N108" s="73"/>
    </row>
    <row r="109" spans="1:14" s="93" customFormat="1" ht="27.75">
      <c r="A109" s="1243" t="s">
        <v>78</v>
      </c>
      <c r="B109" s="1244"/>
      <c r="C109" s="758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>
      <c r="A110" s="1237" t="s">
        <v>219</v>
      </c>
      <c r="B110" s="1238"/>
      <c r="C110" s="758"/>
      <c r="D110" s="273" t="s">
        <v>143</v>
      </c>
      <c r="E110" s="183">
        <f>'7'!F110</f>
        <v>70012</v>
      </c>
      <c r="F110" s="310">
        <v>70080</v>
      </c>
      <c r="G110" s="183">
        <f>F110-E110</f>
        <v>68</v>
      </c>
      <c r="H110" s="111">
        <f>G110+'7'!H110</f>
        <v>556</v>
      </c>
      <c r="I110" s="183"/>
      <c r="J110" s="209">
        <f>H110/DAY(B2)</f>
        <v>69.5</v>
      </c>
      <c r="N110" s="73"/>
    </row>
    <row r="111" spans="1:14" s="93" customFormat="1" ht="27.75">
      <c r="A111" s="1237" t="s">
        <v>220</v>
      </c>
      <c r="B111" s="1238"/>
      <c r="C111" s="758"/>
      <c r="D111" s="273" t="s">
        <v>143</v>
      </c>
      <c r="E111" s="183">
        <f>'7'!F111</f>
        <v>33886</v>
      </c>
      <c r="F111" s="454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>
      <c r="A112" s="1237" t="s">
        <v>221</v>
      </c>
      <c r="B112" s="1238"/>
      <c r="C112" s="758"/>
      <c r="D112" s="273" t="s">
        <v>143</v>
      </c>
      <c r="E112" s="183">
        <f>'7'!F112</f>
        <v>4799</v>
      </c>
      <c r="F112" s="454">
        <v>4802</v>
      </c>
      <c r="G112" s="183">
        <f>F112-E112</f>
        <v>3</v>
      </c>
      <c r="H112" s="111">
        <f>G112+'7'!H112</f>
        <v>14</v>
      </c>
      <c r="I112" s="183"/>
      <c r="J112" s="209">
        <f>H112/DAY(B2)</f>
        <v>1.75</v>
      </c>
      <c r="N112" s="73"/>
    </row>
    <row r="113" spans="1:14" s="93" customFormat="1" ht="27.75">
      <c r="A113" s="1239" t="s">
        <v>109</v>
      </c>
      <c r="B113" s="1240"/>
      <c r="C113" s="758"/>
      <c r="D113" s="273"/>
      <c r="E113" s="183"/>
      <c r="F113" s="310"/>
      <c r="G113" s="183">
        <f>SUM(G110:G112)</f>
        <v>71</v>
      </c>
      <c r="H113" s="111">
        <f>G113+'7'!H113</f>
        <v>570</v>
      </c>
      <c r="I113" s="183"/>
      <c r="J113" s="209">
        <f>H113/DAY(B2)</f>
        <v>71.25</v>
      </c>
      <c r="N113" s="73"/>
    </row>
    <row r="114" spans="1:14" s="93" customFormat="1" ht="27.75">
      <c r="A114" s="1243" t="s">
        <v>222</v>
      </c>
      <c r="B114" s="1244"/>
      <c r="C114" s="758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>
      <c r="A115" s="1237" t="s">
        <v>223</v>
      </c>
      <c r="B115" s="1238"/>
      <c r="C115" s="225"/>
      <c r="D115" s="273" t="s">
        <v>143</v>
      </c>
      <c r="E115" s="183">
        <f>'7'!F115</f>
        <v>13135</v>
      </c>
      <c r="F115" s="310">
        <v>13150</v>
      </c>
      <c r="G115" s="185">
        <f>F115-E115</f>
        <v>15</v>
      </c>
      <c r="H115" s="111">
        <f>G115+'7'!H115</f>
        <v>112</v>
      </c>
      <c r="I115" s="183"/>
      <c r="J115" s="209">
        <f>H115/DAY(B2)</f>
        <v>14</v>
      </c>
      <c r="N115" s="73"/>
    </row>
    <row r="116" spans="1:14" s="93" customFormat="1" ht="27.75">
      <c r="A116" s="1237" t="s">
        <v>224</v>
      </c>
      <c r="B116" s="1238"/>
      <c r="C116" s="225"/>
      <c r="D116" s="273" t="s">
        <v>143</v>
      </c>
      <c r="E116" s="183">
        <f>'7'!F116</f>
        <v>9180</v>
      </c>
      <c r="F116" s="310">
        <v>9186</v>
      </c>
      <c r="G116" s="185">
        <f>F116-E116</f>
        <v>6</v>
      </c>
      <c r="H116" s="111">
        <f>G116+'7'!H116</f>
        <v>60</v>
      </c>
      <c r="I116" s="183"/>
      <c r="J116" s="209">
        <f>H116/DAY(B2)</f>
        <v>7.5</v>
      </c>
      <c r="N116" s="73"/>
    </row>
    <row r="117" spans="1:14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21</v>
      </c>
      <c r="H118" s="111">
        <f>G118+'7'!H118</f>
        <v>172</v>
      </c>
      <c r="I118" s="185"/>
      <c r="J118" s="209">
        <f>H118/DAY(B2)</f>
        <v>21.5</v>
      </c>
      <c r="N118" s="73"/>
    </row>
    <row r="119" spans="1:14" s="97" customFormat="1" ht="27.75">
      <c r="A119" s="1233" t="s">
        <v>226</v>
      </c>
      <c r="B119" s="1234"/>
      <c r="C119" s="756"/>
      <c r="D119" s="275" t="s">
        <v>143</v>
      </c>
      <c r="E119" s="187"/>
      <c r="F119" s="311">
        <f>SUM(G19+G93)</f>
        <v>136</v>
      </c>
      <c r="G119" s="187">
        <f>SUM(G19+G93)</f>
        <v>136</v>
      </c>
      <c r="H119" s="111">
        <f>G119+'7'!H119</f>
        <v>1169</v>
      </c>
      <c r="I119" s="186"/>
      <c r="J119" s="210">
        <f>H119/DAY(B2)</f>
        <v>146.125</v>
      </c>
      <c r="N119" s="73"/>
    </row>
    <row r="120" spans="1:14" s="97" customFormat="1" ht="27.75">
      <c r="A120" s="1233" t="s">
        <v>227</v>
      </c>
      <c r="B120" s="1234"/>
      <c r="C120" s="756"/>
      <c r="D120" s="275" t="s">
        <v>143</v>
      </c>
      <c r="E120" s="187"/>
      <c r="F120" s="311">
        <f>SUM(G96,G97,G98,G100,G101)</f>
        <v>136</v>
      </c>
      <c r="G120" s="187">
        <f>SUM(G96,G97,G98,G100,G101)</f>
        <v>136</v>
      </c>
      <c r="H120" s="111">
        <f>G120+'7'!H120</f>
        <v>1170</v>
      </c>
      <c r="I120" s="186"/>
      <c r="J120" s="210">
        <f>H120/DAY(B2)</f>
        <v>146.25</v>
      </c>
      <c r="N120" s="73"/>
    </row>
    <row r="121" spans="1:14" s="97" customFormat="1" ht="27.75">
      <c r="A121" s="1233" t="s">
        <v>228</v>
      </c>
      <c r="B121" s="1234"/>
      <c r="C121" s="756"/>
      <c r="D121" s="275" t="s">
        <v>143</v>
      </c>
      <c r="E121" s="185"/>
      <c r="F121" s="310">
        <f>SUM(G113)</f>
        <v>71</v>
      </c>
      <c r="G121" s="185">
        <f>SUM(G113)</f>
        <v>71</v>
      </c>
      <c r="H121" s="111">
        <f>G121+'7'!H121</f>
        <v>570</v>
      </c>
      <c r="I121" s="186"/>
      <c r="J121" s="210">
        <f>H121/DAY(B2)</f>
        <v>71.25</v>
      </c>
      <c r="N121" s="73"/>
    </row>
    <row r="122" spans="1:14" s="93" customFormat="1" ht="27.75">
      <c r="A122" s="1235"/>
      <c r="B122" s="1236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129">
        <f>'7'!F124</f>
        <v>858096.16</v>
      </c>
      <c r="F124" s="129">
        <v>858318.35</v>
      </c>
      <c r="G124" s="124">
        <f>F124-E124</f>
        <v>222.18999999994412</v>
      </c>
      <c r="H124" s="111">
        <f>G124+'7'!H124</f>
        <v>1966.3499999999767</v>
      </c>
      <c r="I124" s="177"/>
      <c r="J124" s="203">
        <f>H124/DAY(B2)</f>
        <v>245.79374999999709</v>
      </c>
      <c r="K124" s="71"/>
      <c r="L124" s="68"/>
      <c r="N124" s="73"/>
    </row>
    <row r="125" spans="1:14" ht="27.75">
      <c r="A125" s="759" t="s">
        <v>231</v>
      </c>
      <c r="B125" s="760"/>
      <c r="C125" s="760"/>
      <c r="D125" s="174" t="s">
        <v>140</v>
      </c>
      <c r="E125" s="136">
        <f>'7'!F125</f>
        <v>73583</v>
      </c>
      <c r="F125" s="136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226" t="s">
        <v>232</v>
      </c>
      <c r="B126" s="1227"/>
      <c r="C126" s="1228"/>
      <c r="D126" s="174" t="s">
        <v>140</v>
      </c>
      <c r="E126" s="136">
        <f>'7'!F126</f>
        <v>154712.74</v>
      </c>
      <c r="F126" s="136">
        <v>154803.92000000001</v>
      </c>
      <c r="G126" s="124">
        <f>F126-E126</f>
        <v>91.180000000022119</v>
      </c>
      <c r="H126" s="111">
        <f>G126+'7'!H126</f>
        <v>726.92000000001281</v>
      </c>
      <c r="I126" s="177"/>
      <c r="J126" s="203">
        <f>H126/DAY(B2)</f>
        <v>90.865000000001601</v>
      </c>
      <c r="K126" s="71"/>
      <c r="L126" s="68"/>
      <c r="N126" s="73"/>
    </row>
    <row r="127" spans="1:14" ht="27.75">
      <c r="A127" s="260" t="s">
        <v>233</v>
      </c>
      <c r="B127" s="760"/>
      <c r="C127" s="760"/>
      <c r="D127" s="174" t="s">
        <v>140</v>
      </c>
      <c r="E127" s="136">
        <f>'7'!F127</f>
        <v>34932.800000000003</v>
      </c>
      <c r="F127" s="136">
        <v>34979</v>
      </c>
      <c r="G127" s="124">
        <f>F127-E127</f>
        <v>46.19999999999709</v>
      </c>
      <c r="H127" s="111">
        <f>G127+'7'!H127</f>
        <v>350</v>
      </c>
      <c r="I127" s="177"/>
      <c r="J127" s="203">
        <f>H127/DAY(B2)</f>
        <v>43.75</v>
      </c>
      <c r="K127" s="71"/>
      <c r="L127" s="68"/>
      <c r="N127" s="73"/>
    </row>
    <row r="128" spans="1:14" ht="27.75">
      <c r="A128" s="260" t="s">
        <v>234</v>
      </c>
      <c r="B128" s="760"/>
      <c r="C128" s="760"/>
      <c r="D128" s="174" t="s">
        <v>140</v>
      </c>
      <c r="E128" s="136">
        <f>'7'!F128</f>
        <v>9194.1</v>
      </c>
      <c r="F128" s="136">
        <v>9195.7000000000007</v>
      </c>
      <c r="G128" s="124">
        <f>F128-E128</f>
        <v>1.6000000000003638</v>
      </c>
      <c r="H128" s="111">
        <f>G128+'7'!H128</f>
        <v>15.700000000000728</v>
      </c>
      <c r="I128" s="131"/>
      <c r="J128" s="203">
        <f>H128/DAY(B2)</f>
        <v>1.9625000000000909</v>
      </c>
      <c r="K128" s="71"/>
      <c r="L128" s="68"/>
      <c r="N128" s="73"/>
    </row>
    <row r="129" spans="1:14" s="57" customFormat="1" ht="27.75">
      <c r="A129" s="260" t="s">
        <v>235</v>
      </c>
      <c r="B129" s="760"/>
      <c r="C129" s="760"/>
      <c r="D129" s="174"/>
      <c r="E129" s="136"/>
      <c r="F129" s="136"/>
      <c r="G129" s="124">
        <f>G15-SUM(G124:G128)</f>
        <v>489.76000000011663</v>
      </c>
      <c r="H129" s="111"/>
      <c r="I129" s="131"/>
      <c r="J129" s="203"/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73">
        <f>'7'!F131</f>
        <v>0</v>
      </c>
      <c r="F131" s="136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>
      <c r="A132" s="759" t="s">
        <v>239</v>
      </c>
      <c r="B132" s="760"/>
      <c r="C132" s="760"/>
      <c r="D132" s="174" t="s">
        <v>238</v>
      </c>
      <c r="E132" s="173">
        <f>'7'!F132</f>
        <v>0</v>
      </c>
      <c r="F132" s="136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>
      <c r="A133" s="759" t="s">
        <v>240</v>
      </c>
      <c r="B133" s="760"/>
      <c r="C133" s="760"/>
      <c r="D133" s="174" t="s">
        <v>238</v>
      </c>
      <c r="E133" s="173">
        <f>'7'!F133</f>
        <v>41005.300000000003</v>
      </c>
      <c r="F133" s="136">
        <v>41029.360000000001</v>
      </c>
      <c r="G133" s="124">
        <f t="shared" si="9"/>
        <v>24.059999999997672</v>
      </c>
      <c r="H133" s="111">
        <f>G133+'7'!H133</f>
        <v>107.36000000000058</v>
      </c>
      <c r="I133" s="131"/>
      <c r="J133" s="203">
        <f>H133/DAY(B2)</f>
        <v>13.420000000000073</v>
      </c>
      <c r="N133" s="73">
        <f>F133-24</f>
        <v>41005.360000000001</v>
      </c>
    </row>
    <row r="134" spans="1:14" ht="27.75">
      <c r="A134" s="759" t="s">
        <v>241</v>
      </c>
      <c r="B134" s="760"/>
      <c r="C134" s="760"/>
      <c r="D134" s="174" t="s">
        <v>238</v>
      </c>
      <c r="E134" s="173">
        <f>'7'!F134</f>
        <v>963.24</v>
      </c>
      <c r="F134" s="136">
        <v>969.4</v>
      </c>
      <c r="G134" s="124">
        <f t="shared" si="9"/>
        <v>6.1599999999999682</v>
      </c>
      <c r="H134" s="111">
        <f>G134+'7'!H134</f>
        <v>113.39999999999998</v>
      </c>
      <c r="I134" s="131">
        <f>G131+G132+G133+G134</f>
        <v>30.21999999999764</v>
      </c>
      <c r="J134" s="203">
        <f>H134/DAY(B2)</f>
        <v>14.174999999999997</v>
      </c>
      <c r="N134" s="73"/>
    </row>
    <row r="135" spans="1:14" ht="27.75">
      <c r="A135" s="759" t="s">
        <v>242</v>
      </c>
      <c r="B135" s="760"/>
      <c r="C135" s="760"/>
      <c r="D135" s="174" t="s">
        <v>238</v>
      </c>
      <c r="E135" s="173">
        <f>'7'!F135</f>
        <v>42822.14</v>
      </c>
      <c r="F135" s="136">
        <v>42822.14</v>
      </c>
      <c r="G135" s="124">
        <f t="shared" si="9"/>
        <v>0</v>
      </c>
      <c r="H135" s="111">
        <f>G135+'7'!H135</f>
        <v>0.13999999999941792</v>
      </c>
      <c r="I135" s="131"/>
      <c r="J135" s="203">
        <f>H135/DAY(B2)</f>
        <v>1.749999999992724E-2</v>
      </c>
      <c r="N135" s="73"/>
    </row>
    <row r="136" spans="1:14" ht="27.75">
      <c r="A136" s="759" t="s">
        <v>243</v>
      </c>
      <c r="B136" s="760"/>
      <c r="C136" s="760"/>
      <c r="D136" s="174" t="s">
        <v>238</v>
      </c>
      <c r="E136" s="173">
        <f>'7'!F136</f>
        <v>32958.379999999997</v>
      </c>
      <c r="F136" s="136">
        <v>32958.379999999997</v>
      </c>
      <c r="G136" s="124">
        <f t="shared" si="9"/>
        <v>0</v>
      </c>
      <c r="H136" s="111">
        <f>G136+'7'!H136</f>
        <v>30.379999999997381</v>
      </c>
      <c r="I136" s="131"/>
      <c r="J136" s="203">
        <f>H136/DAY(B2)</f>
        <v>3.7974999999996726</v>
      </c>
      <c r="N136" s="73"/>
    </row>
    <row r="137" spans="1:14" ht="27.75">
      <c r="A137" s="759" t="s">
        <v>244</v>
      </c>
      <c r="B137" s="760"/>
      <c r="C137" s="760"/>
      <c r="D137" s="174" t="s">
        <v>238</v>
      </c>
      <c r="E137" s="173">
        <f>'7'!F137</f>
        <v>23420.47</v>
      </c>
      <c r="F137" s="136">
        <v>23429.49</v>
      </c>
      <c r="G137" s="124">
        <f t="shared" si="9"/>
        <v>9.0200000000004366</v>
      </c>
      <c r="H137" s="111">
        <f>G137+'7'!H137</f>
        <v>73.06000000000131</v>
      </c>
      <c r="I137" s="131">
        <f>G135+G136+G137</f>
        <v>9.0200000000004366</v>
      </c>
      <c r="J137" s="203">
        <f>H137/DAY(B2)</f>
        <v>9.1325000000001637</v>
      </c>
      <c r="N137" s="73"/>
    </row>
    <row r="138" spans="1:14" ht="27.75">
      <c r="A138" s="759" t="s">
        <v>245</v>
      </c>
      <c r="B138" s="760"/>
      <c r="C138" s="760"/>
      <c r="D138" s="174" t="s">
        <v>238</v>
      </c>
      <c r="E138" s="173">
        <f>'7'!F138</f>
        <v>25132.98</v>
      </c>
      <c r="F138" s="136">
        <v>25132.98</v>
      </c>
      <c r="G138" s="124">
        <f t="shared" si="9"/>
        <v>0</v>
      </c>
      <c r="H138" s="111">
        <f>G138+'7'!H138</f>
        <v>2.0000000000436557E-2</v>
      </c>
      <c r="I138" s="131"/>
      <c r="J138" s="203">
        <f>H138/DAY(B2)</f>
        <v>2.5000000000545697E-3</v>
      </c>
      <c r="N138" s="73"/>
    </row>
    <row r="139" spans="1:14" ht="27.75">
      <c r="A139" s="759" t="s">
        <v>246</v>
      </c>
      <c r="B139" s="760"/>
      <c r="C139" s="760"/>
      <c r="D139" s="174" t="s">
        <v>238</v>
      </c>
      <c r="E139" s="173">
        <f>'7'!F139</f>
        <v>70526</v>
      </c>
      <c r="F139" s="136">
        <v>70526</v>
      </c>
      <c r="G139" s="124">
        <f t="shared" si="9"/>
        <v>0</v>
      </c>
      <c r="H139" s="111">
        <f>G139+'7'!H139</f>
        <v>1.4499999999970896</v>
      </c>
      <c r="I139" s="131">
        <f>G138+G139</f>
        <v>0</v>
      </c>
      <c r="J139" s="203">
        <f>H139/DAY(B2)</f>
        <v>0.1812499999996362</v>
      </c>
      <c r="N139" s="73"/>
    </row>
    <row r="140" spans="1:14" ht="27.75">
      <c r="A140" s="759" t="s">
        <v>247</v>
      </c>
      <c r="B140" s="760"/>
      <c r="C140" s="760"/>
      <c r="D140" s="174" t="s">
        <v>238</v>
      </c>
      <c r="E140" s="173">
        <f>'7'!F140</f>
        <v>2689.42</v>
      </c>
      <c r="F140" s="136">
        <v>2697.66</v>
      </c>
      <c r="G140" s="124">
        <f t="shared" si="9"/>
        <v>8.2399999999997817</v>
      </c>
      <c r="H140" s="111">
        <f>G140+'7'!H140</f>
        <v>69.679999999999836</v>
      </c>
      <c r="I140" s="193"/>
      <c r="J140" s="203">
        <f>H140/DAY(B2)</f>
        <v>8.7099999999999795</v>
      </c>
      <c r="N140" s="73"/>
    </row>
    <row r="141" spans="1:14" ht="27.75">
      <c r="A141" s="759" t="s">
        <v>248</v>
      </c>
      <c r="B141" s="760"/>
      <c r="C141" s="760"/>
      <c r="D141" s="174" t="s">
        <v>238</v>
      </c>
      <c r="E141" s="135">
        <f>'7'!F141</f>
        <v>4758.46</v>
      </c>
      <c r="F141" s="129">
        <v>4758.46</v>
      </c>
      <c r="G141" s="124">
        <f t="shared" si="9"/>
        <v>0</v>
      </c>
      <c r="H141" s="111">
        <f>G141+'7'!H141</f>
        <v>4.4600000000000364</v>
      </c>
      <c r="I141" s="193"/>
      <c r="J141" s="203">
        <f>H141/DAY(B2)</f>
        <v>0.55750000000000455</v>
      </c>
      <c r="N141" s="73"/>
    </row>
    <row r="142" spans="1:14">
      <c r="A142" s="1248" t="s">
        <v>249</v>
      </c>
      <c r="B142" s="1249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7354.5599999998158</v>
      </c>
      <c r="H143" s="111">
        <f>G143+'7'!H143</f>
        <v>48952.029999999955</v>
      </c>
      <c r="I143" s="131"/>
      <c r="J143" s="203">
        <f>H143/DAY(B2)</f>
        <v>6119.0037499999944</v>
      </c>
      <c r="K143" s="71"/>
      <c r="L143" s="68"/>
      <c r="N143" s="73"/>
    </row>
    <row r="144" spans="1:14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0.33095076525973693</v>
      </c>
      <c r="H144" s="111">
        <f>G144+'7'!H144</f>
        <v>2.234965619653273</v>
      </c>
      <c r="I144" s="195"/>
      <c r="J144" s="203">
        <f>H144/DAY(B2)</f>
        <v>0.27937070245665913</v>
      </c>
      <c r="K144" s="71"/>
      <c r="L144" s="68"/>
      <c r="N144" s="73"/>
    </row>
    <row r="145" spans="1:14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7061.6199999999662</v>
      </c>
      <c r="H145" s="111">
        <f>G145+'7'!H145</f>
        <v>53790.600000000035</v>
      </c>
      <c r="I145" s="131"/>
      <c r="J145" s="203">
        <f>H145/DAY(B2)</f>
        <v>6723.8250000000044</v>
      </c>
      <c r="K145" s="71"/>
      <c r="L145" s="68"/>
      <c r="N145" s="73"/>
    </row>
    <row r="146" spans="1:14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0.31776864190019677</v>
      </c>
      <c r="H146" s="111">
        <f>G146+'7'!H146</f>
        <v>2.4455410271438094</v>
      </c>
      <c r="I146" s="195"/>
      <c r="J146" s="203">
        <f>H146/DAY(B2)</f>
        <v>0.30569262839297617</v>
      </c>
      <c r="K146" s="71"/>
      <c r="L146" s="68"/>
      <c r="N146" s="73"/>
    </row>
    <row r="147" spans="1:14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3944.4099999999962</v>
      </c>
      <c r="H147" s="111">
        <f>G147+'7'!H147</f>
        <v>30653.089999999997</v>
      </c>
      <c r="I147" s="196"/>
      <c r="J147" s="203">
        <f>H147/DAY(B2)</f>
        <v>3831.6362499999996</v>
      </c>
      <c r="K147" s="71"/>
      <c r="L147" s="68"/>
      <c r="N147" s="73"/>
    </row>
    <row r="148" spans="1:14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0.17749607155264088</v>
      </c>
      <c r="H148" s="111">
        <f>G148+'7'!H148</f>
        <v>1.3987237262175065</v>
      </c>
      <c r="I148" s="196"/>
      <c r="J148" s="203">
        <f>H148/DAY(B2)</f>
        <v>0.17484046577718831</v>
      </c>
      <c r="N148" s="73"/>
    </row>
    <row r="149" spans="1:14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1706.9599999999991</v>
      </c>
      <c r="H149" s="111">
        <f>G149+'7'!H149</f>
        <v>13743.93</v>
      </c>
      <c r="I149" s="131"/>
      <c r="J149" s="203">
        <f>H149/DAY(B2)</f>
        <v>1717.99125</v>
      </c>
      <c r="K149" s="72"/>
      <c r="N149" s="73"/>
    </row>
    <row r="150" spans="1:14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7.6812170716912292E-2</v>
      </c>
      <c r="H150" s="111">
        <f>G150+'7'!H150</f>
        <v>0.62730484289054</v>
      </c>
      <c r="I150" s="196"/>
      <c r="J150" s="203">
        <f>H150/DAY(B2)</f>
        <v>7.8413105361317501E-2</v>
      </c>
      <c r="N150" s="73"/>
    </row>
    <row r="151" spans="1:14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1679.1400000000285</v>
      </c>
      <c r="H151" s="111">
        <f>G151+'7'!H151</f>
        <v>15487.68000000004</v>
      </c>
      <c r="I151" s="196"/>
      <c r="J151" s="203">
        <f>H151/DAY(B2)</f>
        <v>1935.960000000005</v>
      </c>
      <c r="N151" s="73"/>
    </row>
    <row r="152" spans="1:14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7.5560287492148825E-2</v>
      </c>
      <c r="H152" s="111">
        <f>G152+'7'!H152</f>
        <v>0.7018630647810109</v>
      </c>
      <c r="I152" s="131"/>
      <c r="J152" s="203">
        <f>H152/DAY(B2)</f>
        <v>8.7732883097626363E-2</v>
      </c>
      <c r="N152" s="73"/>
    </row>
    <row r="153" spans="1:14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1742.4300000000003</v>
      </c>
      <c r="H153" s="111">
        <f>G153+'7'!H153</f>
        <v>12755.93</v>
      </c>
      <c r="I153" s="131"/>
      <c r="J153" s="203">
        <f>H153/DAY(B2)</f>
        <v>1594.49125</v>
      </c>
      <c r="N153" s="73"/>
    </row>
    <row r="154" spans="1:14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7.8408299328788941E-2</v>
      </c>
      <c r="H154" s="111">
        <f>G154+'7'!H154</f>
        <v>0.58230282856920412</v>
      </c>
      <c r="I154" s="219"/>
      <c r="J154" s="220">
        <f>H154/DAY(B2)</f>
        <v>7.2787853571150515E-2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86" t="s">
        <v>266</v>
      </c>
      <c r="B158" s="1287"/>
      <c r="C158" s="1287"/>
      <c r="D158" s="1287"/>
      <c r="E158" s="1287"/>
      <c r="F158" s="1287"/>
      <c r="G158" s="1288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173">
        <f>'7'!F161</f>
        <v>46365.48</v>
      </c>
      <c r="F161" s="309">
        <v>46448.38</v>
      </c>
      <c r="G161" s="124">
        <f t="shared" ref="G161:G175" si="10">F161-E161</f>
        <v>82.899999999994179</v>
      </c>
    </row>
    <row r="162" spans="1:7">
      <c r="A162" s="435" t="s">
        <v>263</v>
      </c>
      <c r="B162" s="436"/>
      <c r="C162" s="436"/>
      <c r="D162" s="162" t="s">
        <v>186</v>
      </c>
      <c r="E162" s="173">
        <f>'7'!F162</f>
        <v>139989.51999999999</v>
      </c>
      <c r="F162" s="309">
        <v>140424.82999999999</v>
      </c>
      <c r="G162" s="124">
        <f t="shared" si="10"/>
        <v>435.30999999999767</v>
      </c>
    </row>
    <row r="163" spans="1:7">
      <c r="A163" s="435" t="s">
        <v>264</v>
      </c>
      <c r="B163" s="436"/>
      <c r="C163" s="436"/>
      <c r="D163" s="162" t="s">
        <v>186</v>
      </c>
      <c r="E163" s="173">
        <f>'7'!F163</f>
        <v>65292.61</v>
      </c>
      <c r="F163" s="309">
        <v>65507.15</v>
      </c>
      <c r="G163" s="124">
        <f t="shared" si="10"/>
        <v>214.54000000000087</v>
      </c>
    </row>
    <row r="164" spans="1:7">
      <c r="A164" s="435" t="s">
        <v>265</v>
      </c>
      <c r="B164" s="436"/>
      <c r="C164" s="436"/>
      <c r="D164" s="162" t="s">
        <v>186</v>
      </c>
      <c r="E164" s="173">
        <f>'7'!F164</f>
        <v>7537.11</v>
      </c>
      <c r="F164" s="309">
        <v>7547.48</v>
      </c>
      <c r="G164" s="124">
        <f t="shared" si="10"/>
        <v>10.369999999999891</v>
      </c>
    </row>
    <row r="165" spans="1:7">
      <c r="A165" s="437" t="s">
        <v>97</v>
      </c>
      <c r="B165" s="255"/>
      <c r="C165" s="255"/>
      <c r="D165" s="162" t="s">
        <v>186</v>
      </c>
      <c r="E165" s="173">
        <f>'7'!F165</f>
        <v>0</v>
      </c>
      <c r="F165" s="165">
        <f>F62</f>
        <v>0</v>
      </c>
      <c r="G165" s="124">
        <f t="shared" si="10"/>
        <v>0</v>
      </c>
    </row>
    <row r="166" spans="1:7">
      <c r="A166" s="437" t="s">
        <v>187</v>
      </c>
      <c r="B166" s="255"/>
      <c r="C166" s="255"/>
      <c r="D166" s="162" t="s">
        <v>186</v>
      </c>
      <c r="E166" s="173">
        <f>'7'!F166</f>
        <v>12.36</v>
      </c>
      <c r="F166" s="165">
        <f t="shared" ref="F166:F172" si="11">F63</f>
        <v>20.86</v>
      </c>
      <c r="G166" s="124">
        <f t="shared" si="10"/>
        <v>8.5</v>
      </c>
    </row>
    <row r="167" spans="1:7" ht="27.75">
      <c r="A167" s="1232" t="s">
        <v>98</v>
      </c>
      <c r="B167" s="1232"/>
      <c r="C167" s="1232"/>
      <c r="D167" s="174" t="s">
        <v>186</v>
      </c>
      <c r="E167" s="173">
        <f>'7'!F167</f>
        <v>197117.87</v>
      </c>
      <c r="F167" s="165">
        <f t="shared" si="11"/>
        <v>197528.29</v>
      </c>
      <c r="G167" s="124">
        <f t="shared" si="10"/>
        <v>410.42000000001281</v>
      </c>
    </row>
    <row r="168" spans="1:7" ht="27.75">
      <c r="A168" s="1232" t="s">
        <v>99</v>
      </c>
      <c r="B168" s="1232"/>
      <c r="C168" s="1232"/>
      <c r="D168" s="174" t="s">
        <v>186</v>
      </c>
      <c r="E168" s="173">
        <f>'7'!F168</f>
        <v>197360.47</v>
      </c>
      <c r="F168" s="165">
        <f t="shared" si="11"/>
        <v>197728.97</v>
      </c>
      <c r="G168" s="124">
        <f t="shared" si="10"/>
        <v>368.5</v>
      </c>
    </row>
    <row r="169" spans="1:7" ht="27.75">
      <c r="A169" s="1232" t="s">
        <v>100</v>
      </c>
      <c r="B169" s="1232"/>
      <c r="C169" s="1232"/>
      <c r="D169" s="174" t="s">
        <v>186</v>
      </c>
      <c r="E169" s="173">
        <f>'7'!F169</f>
        <v>96168.15</v>
      </c>
      <c r="F169" s="165">
        <f t="shared" si="11"/>
        <v>96554.97</v>
      </c>
      <c r="G169" s="124">
        <f t="shared" si="10"/>
        <v>386.82000000000698</v>
      </c>
    </row>
    <row r="170" spans="1:7" ht="27.75">
      <c r="A170" s="1232" t="s">
        <v>101</v>
      </c>
      <c r="B170" s="1232"/>
      <c r="C170" s="1232"/>
      <c r="D170" s="174" t="s">
        <v>186</v>
      </c>
      <c r="E170" s="173">
        <f>'7'!F170</f>
        <v>297951.96999999997</v>
      </c>
      <c r="F170" s="165">
        <f t="shared" si="11"/>
        <v>298486.21000000002</v>
      </c>
      <c r="G170" s="124">
        <f t="shared" si="10"/>
        <v>534.24000000004889</v>
      </c>
    </row>
    <row r="171" spans="1:7" ht="27.75">
      <c r="A171" s="1232" t="s">
        <v>102</v>
      </c>
      <c r="B171" s="1232"/>
      <c r="C171" s="1232"/>
      <c r="D171" s="174" t="s">
        <v>186</v>
      </c>
      <c r="E171" s="173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>
      <c r="A172" s="1232" t="s">
        <v>103</v>
      </c>
      <c r="B172" s="1232"/>
      <c r="C172" s="1232"/>
      <c r="D172" s="174" t="s">
        <v>186</v>
      </c>
      <c r="E172" s="173">
        <f>'7'!F172</f>
        <v>108465.79</v>
      </c>
      <c r="F172" s="165">
        <f t="shared" si="11"/>
        <v>108780.14</v>
      </c>
      <c r="G172" s="124">
        <f t="shared" si="10"/>
        <v>314.35000000000582</v>
      </c>
    </row>
    <row r="173" spans="1:7">
      <c r="A173" s="1273" t="s">
        <v>337</v>
      </c>
      <c r="B173" s="1236"/>
      <c r="C173" s="436"/>
      <c r="D173" s="174" t="s">
        <v>186</v>
      </c>
      <c r="E173" s="173">
        <f>'7'!F173</f>
        <v>19234.5</v>
      </c>
      <c r="F173" s="183">
        <v>19237.3</v>
      </c>
      <c r="G173" s="124">
        <f t="shared" si="10"/>
        <v>2.7999999999992724</v>
      </c>
    </row>
    <row r="174" spans="1:7">
      <c r="A174" s="1273" t="s">
        <v>337</v>
      </c>
      <c r="B174" s="1236"/>
      <c r="C174" s="436"/>
      <c r="D174" s="174" t="s">
        <v>186</v>
      </c>
      <c r="E174" s="173">
        <f>'7'!F174</f>
        <v>70778.5</v>
      </c>
      <c r="F174" s="183">
        <v>70784.800000000003</v>
      </c>
      <c r="G174" s="124">
        <f t="shared" si="10"/>
        <v>6.3000000000029104</v>
      </c>
    </row>
    <row r="175" spans="1:7">
      <c r="A175" s="1273" t="s">
        <v>338</v>
      </c>
      <c r="B175" s="1236"/>
      <c r="C175" s="436"/>
      <c r="D175" s="174" t="s">
        <v>186</v>
      </c>
      <c r="E175" s="173">
        <f>'7'!F175</f>
        <v>28000.7</v>
      </c>
      <c r="F175" s="183">
        <v>28006</v>
      </c>
      <c r="G175" s="124">
        <f t="shared" si="10"/>
        <v>5.2999999999992724</v>
      </c>
    </row>
    <row r="177" spans="1:7" ht="27.75">
      <c r="A177" s="1296" t="s">
        <v>382</v>
      </c>
      <c r="B177" s="1296"/>
      <c r="C177" s="1296"/>
      <c r="D177" s="1296"/>
      <c r="E177" s="1296"/>
      <c r="F177" s="1296"/>
      <c r="G177" s="1296"/>
    </row>
    <row r="178" spans="1:7" ht="27" customHeight="1">
      <c r="A178" s="435"/>
      <c r="B178" s="436"/>
      <c r="C178" s="436"/>
      <c r="D178" s="174" t="s">
        <v>186</v>
      </c>
      <c r="E178" s="173">
        <f>'7'!F178</f>
        <v>0</v>
      </c>
      <c r="F178" s="193"/>
      <c r="G178" s="124">
        <f t="shared" ref="G178:G184" si="12">F178-E178</f>
        <v>0</v>
      </c>
    </row>
    <row r="179" spans="1:7">
      <c r="A179" s="435" t="s">
        <v>383</v>
      </c>
      <c r="B179" s="436"/>
      <c r="C179" s="436"/>
      <c r="D179" s="174" t="s">
        <v>186</v>
      </c>
      <c r="E179" s="173">
        <f>'7'!F179</f>
        <v>500.37</v>
      </c>
      <c r="F179" s="193"/>
      <c r="G179" s="124">
        <f t="shared" si="12"/>
        <v>-500.37</v>
      </c>
    </row>
    <row r="180" spans="1:7">
      <c r="A180" s="435" t="s">
        <v>384</v>
      </c>
      <c r="B180" s="436"/>
      <c r="C180" s="436"/>
      <c r="D180" s="174" t="s">
        <v>186</v>
      </c>
      <c r="E180" s="173">
        <f>'7'!F180</f>
        <v>140.94</v>
      </c>
      <c r="F180" s="193"/>
      <c r="G180" s="124">
        <f t="shared" si="12"/>
        <v>-140.94</v>
      </c>
    </row>
    <row r="181" spans="1:7">
      <c r="A181" s="435" t="s">
        <v>385</v>
      </c>
      <c r="B181" s="436"/>
      <c r="C181" s="436"/>
      <c r="D181" s="174" t="s">
        <v>186</v>
      </c>
      <c r="E181" s="173">
        <f>'7'!F181</f>
        <v>0</v>
      </c>
      <c r="F181" s="193"/>
      <c r="G181" s="124">
        <f t="shared" si="12"/>
        <v>0</v>
      </c>
    </row>
    <row r="182" spans="1:7">
      <c r="A182" s="435" t="s">
        <v>386</v>
      </c>
      <c r="B182" s="436"/>
      <c r="C182" s="436"/>
      <c r="D182" s="174" t="s">
        <v>186</v>
      </c>
      <c r="E182" s="173">
        <f>'7'!F182</f>
        <v>292.81</v>
      </c>
      <c r="F182" s="193"/>
      <c r="G182" s="124">
        <f t="shared" si="12"/>
        <v>-292.81</v>
      </c>
    </row>
    <row r="183" spans="1:7">
      <c r="A183" s="435" t="s">
        <v>387</v>
      </c>
      <c r="B183" s="436"/>
      <c r="C183" s="436"/>
      <c r="D183" s="174" t="s">
        <v>186</v>
      </c>
      <c r="E183" s="173">
        <f>'7'!F183</f>
        <v>451.34</v>
      </c>
      <c r="F183" s="193"/>
      <c r="G183" s="124">
        <f t="shared" si="12"/>
        <v>-451.34</v>
      </c>
    </row>
    <row r="184" spans="1:7">
      <c r="A184" s="435" t="s">
        <v>388</v>
      </c>
      <c r="B184" s="436"/>
      <c r="C184" s="436"/>
      <c r="D184" s="174" t="s">
        <v>186</v>
      </c>
      <c r="E184" s="173">
        <f>'7'!F184</f>
        <v>255.86</v>
      </c>
      <c r="F184" s="193"/>
      <c r="G184" s="124">
        <f t="shared" si="12"/>
        <v>-255.86</v>
      </c>
    </row>
    <row r="186" spans="1:7" ht="20.25" customHeight="1"/>
    <row r="187" spans="1:7" ht="20.25" customHeight="1"/>
  </sheetData>
  <mergeCells count="79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7:G177"/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91"/>
  <sheetViews>
    <sheetView view="pageBreakPreview" topLeftCell="A160" zoomScale="55" zoomScaleNormal="80" zoomScaleSheetLayoutView="55" workbookViewId="0">
      <selection activeCell="F194" sqref="F194"/>
    </sheetView>
  </sheetViews>
  <sheetFormatPr defaultColWidth="22.33203125" defaultRowHeight="29.2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6" s="57" customFormat="1" ht="27">
      <c r="A2" s="226" t="s">
        <v>402</v>
      </c>
      <c r="B2" s="682">
        <v>44417</v>
      </c>
      <c r="C2" s="761" t="s">
        <v>68</v>
      </c>
      <c r="D2" s="262">
        <v>0.42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>
      <c r="A3" s="221"/>
      <c r="B3" s="265"/>
      <c r="C3" s="761" t="s">
        <v>119</v>
      </c>
      <c r="D3" s="263">
        <v>27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6" s="57" customFormat="1" ht="27">
      <c r="A4" s="227"/>
      <c r="B4" s="267"/>
      <c r="C4" s="761" t="s">
        <v>121</v>
      </c>
      <c r="D4" s="262">
        <v>0.93</v>
      </c>
      <c r="E4" s="115"/>
      <c r="F4" s="115"/>
      <c r="G4" s="115"/>
      <c r="H4" s="115"/>
      <c r="I4" s="116"/>
      <c r="J4" s="266"/>
      <c r="K4" s="64"/>
      <c r="L4" s="58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  <c r="P6" s="67" t="s">
        <v>361</v>
      </c>
    </row>
    <row r="7" spans="1:16" ht="30" thickBot="1">
      <c r="A7" s="327" t="s">
        <v>130</v>
      </c>
      <c r="B7" s="328"/>
      <c r="C7" s="328"/>
      <c r="D7" s="288" t="s">
        <v>131</v>
      </c>
      <c r="E7" s="106">
        <v>474372.43</v>
      </c>
      <c r="F7" s="106">
        <v>496250</v>
      </c>
      <c r="G7" s="329">
        <f>F7-E7</f>
        <v>21877.570000000007</v>
      </c>
      <c r="H7" s="330">
        <f>G7+'8'!H7</f>
        <v>197559</v>
      </c>
      <c r="I7" s="331">
        <f>'1'!I7</f>
        <v>12000</v>
      </c>
      <c r="J7" s="332">
        <f>H7/DAY(B2)</f>
        <v>21951</v>
      </c>
      <c r="K7" s="200"/>
      <c r="L7" s="68"/>
      <c r="N7" s="73">
        <v>11359</v>
      </c>
      <c r="P7" s="67" t="s">
        <v>362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'8'!F8</f>
        <v>485984.99</v>
      </c>
      <c r="F8" s="126">
        <v>507950</v>
      </c>
      <c r="G8" s="340">
        <f>F8-E8</f>
        <v>21965.010000000009</v>
      </c>
      <c r="H8" s="330">
        <f>G8+'8'!H8</f>
        <v>198378</v>
      </c>
      <c r="I8" s="337">
        <v>12000</v>
      </c>
      <c r="J8" s="332">
        <f>H8/DAY(B2)</f>
        <v>22042</v>
      </c>
      <c r="K8" s="200"/>
      <c r="L8" s="78"/>
      <c r="M8" s="91"/>
      <c r="N8" s="73">
        <v>11487</v>
      </c>
    </row>
    <row r="9" spans="1:16">
      <c r="A9" s="338" t="s">
        <v>133</v>
      </c>
      <c r="B9" s="339"/>
      <c r="C9" s="339"/>
      <c r="D9" s="288" t="s">
        <v>131</v>
      </c>
      <c r="E9" s="284">
        <f>'8'!F9</f>
        <v>252898.35</v>
      </c>
      <c r="F9" s="129">
        <v>274100</v>
      </c>
      <c r="G9" s="353">
        <f t="shared" ref="G9:G12" si="0">F9-E9</f>
        <v>21201.649999999994</v>
      </c>
      <c r="H9" s="330">
        <f>G9+'8'!H9</f>
        <v>191570</v>
      </c>
      <c r="I9" s="341">
        <f>I7-J7</f>
        <v>-9951</v>
      </c>
      <c r="J9" s="332">
        <f>H9/DAY(B2)</f>
        <v>21285.555555555555</v>
      </c>
      <c r="K9" s="81"/>
      <c r="L9" s="68"/>
      <c r="N9" s="73">
        <v>11077</v>
      </c>
    </row>
    <row r="10" spans="1:16">
      <c r="A10" s="327" t="s">
        <v>134</v>
      </c>
      <c r="B10" s="328"/>
      <c r="C10" s="328"/>
      <c r="D10" s="288" t="s">
        <v>131</v>
      </c>
      <c r="E10" s="284">
        <f>'8'!F10</f>
        <v>2606.5500000000002</v>
      </c>
      <c r="F10" s="129">
        <v>2606.5500000000002</v>
      </c>
      <c r="G10" s="340">
        <f t="shared" si="0"/>
        <v>0</v>
      </c>
      <c r="H10" s="330">
        <f>G10+'8'!H10</f>
        <v>-0.4499999999998181</v>
      </c>
      <c r="I10" s="342"/>
      <c r="J10" s="332">
        <f>H10/DAY(B2)</f>
        <v>-4.999999999997979E-2</v>
      </c>
      <c r="K10" s="81"/>
      <c r="L10" s="68"/>
      <c r="N10" s="73">
        <v>0</v>
      </c>
    </row>
    <row r="11" spans="1:16">
      <c r="A11" s="327" t="s">
        <v>135</v>
      </c>
      <c r="B11" s="328"/>
      <c r="C11" s="328"/>
      <c r="D11" s="288" t="s">
        <v>131</v>
      </c>
      <c r="E11" s="284">
        <f>'8'!F11</f>
        <v>37000</v>
      </c>
      <c r="F11" s="106">
        <v>37000</v>
      </c>
      <c r="G11" s="340">
        <f t="shared" si="0"/>
        <v>0</v>
      </c>
      <c r="H11" s="330">
        <f>G11+'8'!H11</f>
        <v>0</v>
      </c>
      <c r="I11" s="342"/>
      <c r="J11" s="332">
        <f>H11/DAY(B2)</f>
        <v>0</v>
      </c>
      <c r="K11" s="81"/>
      <c r="L11" s="68"/>
      <c r="N11" s="73">
        <v>0</v>
      </c>
    </row>
    <row r="12" spans="1:16">
      <c r="A12" s="327" t="s">
        <v>136</v>
      </c>
      <c r="B12" s="328"/>
      <c r="C12" s="328"/>
      <c r="D12" s="288" t="s">
        <v>131</v>
      </c>
      <c r="E12" s="284">
        <f>'8'!F12</f>
        <v>40010</v>
      </c>
      <c r="F12" s="129">
        <v>40010</v>
      </c>
      <c r="G12" s="340">
        <f t="shared" si="0"/>
        <v>0</v>
      </c>
      <c r="H12" s="330">
        <f>G12+'8'!H12</f>
        <v>0</v>
      </c>
      <c r="I12" s="342"/>
      <c r="J12" s="332">
        <f>H12/DAY(B2)</f>
        <v>0</v>
      </c>
      <c r="K12" s="81"/>
      <c r="L12" s="68"/>
      <c r="N12" s="73">
        <v>0</v>
      </c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21201.649999999994</v>
      </c>
      <c r="H13" s="330">
        <f>G13+'8'!H13</f>
        <v>168259.06</v>
      </c>
      <c r="I13" s="346">
        <f>G7-G13</f>
        <v>675.92000000001281</v>
      </c>
      <c r="J13" s="332">
        <f>H13/DAY(B2)</f>
        <v>18695.45111111111</v>
      </c>
      <c r="K13" s="81"/>
      <c r="L13" s="68"/>
      <c r="N13" s="73">
        <v>11077</v>
      </c>
    </row>
    <row r="14" spans="1:16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>
      <c r="A15" s="794" t="s">
        <v>139</v>
      </c>
      <c r="B15" s="795"/>
      <c r="C15" s="795"/>
      <c r="D15" s="796" t="s">
        <v>140</v>
      </c>
      <c r="E15" s="351">
        <f>'8'!F15</f>
        <v>1763503.51</v>
      </c>
      <c r="F15" s="351">
        <v>1764355</v>
      </c>
      <c r="G15" s="329">
        <f>(F15-E15)</f>
        <v>851.48999999999069</v>
      </c>
      <c r="H15" s="789">
        <f>G15+'8'!H15</f>
        <v>7825</v>
      </c>
      <c r="I15" s="790">
        <v>800</v>
      </c>
      <c r="J15" s="791">
        <f>H15/DAY(B2)</f>
        <v>869.44444444444446</v>
      </c>
      <c r="K15" s="783"/>
      <c r="L15" s="784"/>
      <c r="M15" s="785"/>
      <c r="N15" s="786">
        <v>330.54600000008941</v>
      </c>
    </row>
    <row r="16" spans="1:16">
      <c r="A16" s="787"/>
      <c r="B16" s="788"/>
      <c r="C16" s="788"/>
      <c r="D16" s="781"/>
      <c r="E16" s="782"/>
      <c r="F16" s="782"/>
      <c r="G16" s="792"/>
      <c r="H16" s="789"/>
      <c r="I16" s="793">
        <f>I15-J15</f>
        <v>-69.444444444444457</v>
      </c>
      <c r="J16" s="791"/>
      <c r="K16" s="783"/>
      <c r="L16" s="784"/>
      <c r="M16" s="785"/>
      <c r="N16" s="786"/>
    </row>
    <row r="17" spans="1:14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>
      <c r="A18" s="1293" t="s">
        <v>142</v>
      </c>
      <c r="B18" s="1294"/>
      <c r="C18" s="1295"/>
      <c r="D18" s="288" t="s">
        <v>143</v>
      </c>
      <c r="E18" s="285">
        <f>'8'!F18</f>
        <v>16</v>
      </c>
      <c r="F18" s="129">
        <v>14</v>
      </c>
      <c r="G18" s="345">
        <f>F18*10</f>
        <v>140</v>
      </c>
      <c r="H18" s="330">
        <f>G18+'8'!H18</f>
        <v>1280</v>
      </c>
      <c r="I18" s="331">
        <v>65</v>
      </c>
      <c r="J18" s="332">
        <f>H18/DAY(B2)</f>
        <v>142.22222222222223</v>
      </c>
      <c r="K18" s="81"/>
      <c r="L18" s="68"/>
      <c r="N18" s="73">
        <v>0</v>
      </c>
    </row>
    <row r="19" spans="1:14" ht="27.75">
      <c r="A19" s="1293" t="s">
        <v>70</v>
      </c>
      <c r="B19" s="1294"/>
      <c r="C19" s="1295"/>
      <c r="D19" s="288" t="s">
        <v>143</v>
      </c>
      <c r="E19" s="285">
        <f>'8'!F19</f>
        <v>145822</v>
      </c>
      <c r="F19" s="129">
        <v>145882</v>
      </c>
      <c r="G19" s="340">
        <f t="shared" ref="G19" si="1">F19-E19</f>
        <v>60</v>
      </c>
      <c r="H19" s="330">
        <f>G19+'8'!H19</f>
        <v>544</v>
      </c>
      <c r="I19" s="347"/>
      <c r="J19" s="332">
        <f>H19/DAY(B2)</f>
        <v>60.444444444444443</v>
      </c>
      <c r="K19" s="81"/>
      <c r="L19" s="68"/>
      <c r="N19" s="73">
        <v>55</v>
      </c>
    </row>
    <row r="20" spans="1:14">
      <c r="A20" s="343" t="s">
        <v>144</v>
      </c>
      <c r="B20" s="344"/>
      <c r="C20" s="344"/>
      <c r="D20" s="288"/>
      <c r="E20" s="288"/>
      <c r="F20" s="175"/>
      <c r="G20" s="348">
        <f>G18+G19</f>
        <v>200</v>
      </c>
      <c r="H20" s="330">
        <f>G20+'8'!H20</f>
        <v>1824</v>
      </c>
      <c r="I20" s="349">
        <f>I18-J20</f>
        <v>-137.66666666666666</v>
      </c>
      <c r="J20" s="332">
        <f>H20/DAY(B2)</f>
        <v>202.66666666666666</v>
      </c>
      <c r="K20" s="81"/>
      <c r="L20" s="68"/>
      <c r="N20" s="73">
        <v>55</v>
      </c>
    </row>
    <row r="21" spans="1:14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>
      <c r="A22" s="759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>
      <c r="A23" s="759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21965.010000000009</v>
      </c>
      <c r="F27" s="152">
        <v>9</v>
      </c>
      <c r="G27" s="153">
        <f>E27*F27</f>
        <v>197685.09000000008</v>
      </c>
      <c r="H27" s="111">
        <f>G27+'8'!H27</f>
        <v>1785401.9999999998</v>
      </c>
      <c r="I27" s="154"/>
      <c r="J27" s="203">
        <f>H27/DAY(B2)</f>
        <v>198377.99999999997</v>
      </c>
      <c r="K27" s="65"/>
      <c r="L27" s="94"/>
      <c r="N27" s="73">
        <v>114870</v>
      </c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851.48999999999069</v>
      </c>
      <c r="F28" s="152">
        <v>56.2</v>
      </c>
      <c r="G28" s="153">
        <f>E28*F28</f>
        <v>47853.737999999481</v>
      </c>
      <c r="H28" s="111">
        <f>G28+'8'!H28</f>
        <v>436727.91260000021</v>
      </c>
      <c r="I28" s="156"/>
      <c r="J28" s="203">
        <f>H28/DAY(B2)</f>
        <v>48525.323622222248</v>
      </c>
      <c r="K28" s="65"/>
      <c r="L28" s="94"/>
      <c r="N28" s="73">
        <v>11569.110000003129</v>
      </c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G30+'8'!H30</f>
        <v>79424</v>
      </c>
      <c r="I30" s="156"/>
      <c r="J30" s="203">
        <f>H30/DAY(B2)</f>
        <v>8824.8888888888887</v>
      </c>
      <c r="K30" s="65"/>
      <c r="L30" s="94"/>
      <c r="N30" s="73">
        <v>7370</v>
      </c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G31+'8'!H31</f>
        <v>102400</v>
      </c>
      <c r="I31" s="156"/>
      <c r="J31" s="203">
        <f>H31/DAY(B2)</f>
        <v>11377.777777777777</v>
      </c>
      <c r="K31" s="65"/>
      <c r="L31" s="94"/>
      <c r="N31" s="73">
        <v>0</v>
      </c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265498.82799999957</v>
      </c>
      <c r="H32" s="111">
        <f>G32+'8'!H32</f>
        <v>2403953.9126000004</v>
      </c>
      <c r="I32" s="160"/>
      <c r="J32" s="203">
        <f>H32/DAY(B2)</f>
        <v>267105.99028888892</v>
      </c>
      <c r="K32" s="65"/>
      <c r="L32" s="94"/>
      <c r="N32" s="73">
        <v>133809.11000000313</v>
      </c>
    </row>
    <row r="33" spans="1:14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</row>
    <row r="34" spans="1:14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-1</v>
      </c>
      <c r="I35" s="106"/>
      <c r="J35" s="203">
        <f>H35/DAY(B2)</f>
        <v>-0.1111111111111111</v>
      </c>
      <c r="K35" s="81"/>
      <c r="L35" s="68"/>
      <c r="N35" s="73">
        <v>1380.8400000000256</v>
      </c>
    </row>
    <row r="36" spans="1:14">
      <c r="A36" s="229" t="s">
        <v>164</v>
      </c>
      <c r="B36" s="230"/>
      <c r="C36" s="230"/>
      <c r="D36" s="174" t="s">
        <v>131</v>
      </c>
      <c r="E36" s="161">
        <f>'8'!F36</f>
        <v>7774.01</v>
      </c>
      <c r="F36" s="161">
        <v>8393</v>
      </c>
      <c r="G36" s="124">
        <f t="shared" si="3"/>
        <v>618.98999999999978</v>
      </c>
      <c r="H36" s="111">
        <f>G36+'8'!H36</f>
        <v>6560</v>
      </c>
      <c r="I36" s="106"/>
      <c r="J36" s="203">
        <f>H36/DAY(B2)</f>
        <v>728.88888888888891</v>
      </c>
      <c r="K36" s="81"/>
      <c r="L36" s="68"/>
      <c r="N36" s="279">
        <v>514.63999999999942</v>
      </c>
    </row>
    <row r="37" spans="1:14">
      <c r="A37" s="229" t="s">
        <v>165</v>
      </c>
      <c r="B37" s="230"/>
      <c r="C37" s="230"/>
      <c r="D37" s="174" t="s">
        <v>131</v>
      </c>
      <c r="E37" s="161">
        <f>'8'!F37</f>
        <v>16530.93</v>
      </c>
      <c r="F37" s="161">
        <v>18247</v>
      </c>
      <c r="G37" s="124">
        <f t="shared" si="3"/>
        <v>1716.0699999999997</v>
      </c>
      <c r="H37" s="111">
        <f>G37+'8'!H37</f>
        <v>14472</v>
      </c>
      <c r="I37" s="106"/>
      <c r="J37" s="203">
        <f>H37/DAY(B2)</f>
        <v>1608</v>
      </c>
      <c r="K37" s="81"/>
      <c r="L37" s="68"/>
      <c r="N37" s="280">
        <v>1164.4599999999919</v>
      </c>
    </row>
    <row r="38" spans="1:14">
      <c r="A38" s="229" t="s">
        <v>166</v>
      </c>
      <c r="B38" s="230"/>
      <c r="C38" s="230"/>
      <c r="D38" s="174" t="s">
        <v>131</v>
      </c>
      <c r="E38" s="161">
        <f>'8'!F38</f>
        <v>18566.93</v>
      </c>
      <c r="F38" s="120">
        <v>20193</v>
      </c>
      <c r="G38" s="124">
        <f t="shared" si="3"/>
        <v>1626.0699999999997</v>
      </c>
      <c r="H38" s="111">
        <f>G38+'8'!H38</f>
        <v>15370</v>
      </c>
      <c r="I38" s="106"/>
      <c r="J38" s="203">
        <f>H38/DAY(B2)</f>
        <v>1707.7777777777778</v>
      </c>
      <c r="K38" s="81"/>
      <c r="L38" s="68"/>
      <c r="N38" s="73">
        <v>0</v>
      </c>
    </row>
    <row r="39" spans="1:14">
      <c r="A39" s="229" t="s">
        <v>167</v>
      </c>
      <c r="B39" s="230"/>
      <c r="C39" s="230"/>
      <c r="D39" s="174" t="s">
        <v>131</v>
      </c>
      <c r="E39" s="161">
        <f>'8'!F39</f>
        <v>34495.089999999997</v>
      </c>
      <c r="F39" s="161">
        <v>38456</v>
      </c>
      <c r="G39" s="124">
        <f t="shared" si="3"/>
        <v>3960.9100000000035</v>
      </c>
      <c r="H39" s="111">
        <f>G39+'8'!H39</f>
        <v>34614</v>
      </c>
      <c r="I39" s="106"/>
      <c r="J39" s="203">
        <f>H39/DAY(B2)</f>
        <v>3846</v>
      </c>
      <c r="K39" s="81"/>
      <c r="L39" s="68"/>
      <c r="N39" s="73">
        <v>1951.1300000000047</v>
      </c>
    </row>
    <row r="40" spans="1:14">
      <c r="A40" s="250" t="s">
        <v>168</v>
      </c>
      <c r="B40" s="251"/>
      <c r="C40" s="251"/>
      <c r="D40" s="174" t="s">
        <v>131</v>
      </c>
      <c r="E40" s="161">
        <f>'8'!F40</f>
        <v>0</v>
      </c>
      <c r="F40" s="161">
        <v>0</v>
      </c>
      <c r="G40" s="124">
        <f t="shared" si="3"/>
        <v>0</v>
      </c>
      <c r="H40" s="111">
        <f>G40+'8'!H40</f>
        <v>157.40000000000146</v>
      </c>
      <c r="I40" s="106"/>
      <c r="J40" s="203">
        <f>H40/DAY(B2)</f>
        <v>17.488888888889051</v>
      </c>
      <c r="K40" s="82"/>
      <c r="L40" s="68"/>
      <c r="N40" s="73">
        <v>0</v>
      </c>
    </row>
    <row r="41" spans="1:14">
      <c r="A41" s="229" t="s">
        <v>169</v>
      </c>
      <c r="B41" s="230"/>
      <c r="C41" s="230"/>
      <c r="D41" s="174" t="s">
        <v>131</v>
      </c>
      <c r="E41" s="161">
        <f>'8'!F41</f>
        <v>457840.67</v>
      </c>
      <c r="F41" s="161">
        <v>463480</v>
      </c>
      <c r="G41" s="124">
        <f t="shared" si="3"/>
        <v>5639.3300000000163</v>
      </c>
      <c r="H41" s="111">
        <f>G41+'8'!H41</f>
        <v>30198.210000000021</v>
      </c>
      <c r="I41" s="106"/>
      <c r="J41" s="203">
        <f>H41/DAY(B2)</f>
        <v>3355.3566666666688</v>
      </c>
      <c r="K41" s="81"/>
      <c r="L41" s="68"/>
      <c r="N41" s="73">
        <v>2876.3199999999779</v>
      </c>
    </row>
    <row r="42" spans="1:14">
      <c r="A42" s="229" t="s">
        <v>170</v>
      </c>
      <c r="B42" s="230"/>
      <c r="C42" s="230"/>
      <c r="D42" s="174" t="s">
        <v>131</v>
      </c>
      <c r="E42" s="161">
        <f>'8'!F42</f>
        <v>199169.93</v>
      </c>
      <c r="F42" s="161">
        <v>200386</v>
      </c>
      <c r="G42" s="124">
        <f t="shared" si="3"/>
        <v>1216.070000000007</v>
      </c>
      <c r="H42" s="111">
        <f>G42+'8'!H42</f>
        <v>25274</v>
      </c>
      <c r="I42" s="106"/>
      <c r="J42" s="203">
        <f>H42/DAY(B2)</f>
        <v>2808.2222222222222</v>
      </c>
      <c r="K42" s="81"/>
      <c r="L42" s="68"/>
      <c r="N42" s="73">
        <v>0</v>
      </c>
    </row>
    <row r="43" spans="1:14">
      <c r="A43" s="229" t="s">
        <v>171</v>
      </c>
      <c r="B43" s="230"/>
      <c r="C43" s="230"/>
      <c r="D43" s="174" t="s">
        <v>131</v>
      </c>
      <c r="E43" s="161">
        <f>'8'!F43</f>
        <v>1310958.7</v>
      </c>
      <c r="F43" s="161">
        <v>1313548</v>
      </c>
      <c r="G43" s="124">
        <f t="shared" si="3"/>
        <v>2589.3000000000466</v>
      </c>
      <c r="H43" s="111">
        <f>G43+'8'!H43</f>
        <v>23803</v>
      </c>
      <c r="I43" s="106"/>
      <c r="J43" s="203">
        <f>H43/DAY(B2)</f>
        <v>2644.7777777777778</v>
      </c>
      <c r="K43" s="81"/>
      <c r="L43" s="68"/>
      <c r="N43" s="73">
        <v>1531.2399999999907</v>
      </c>
    </row>
    <row r="44" spans="1:1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17366.740000000071</v>
      </c>
      <c r="H47" s="111">
        <f>G47+'8'!H47</f>
        <v>151248.61000000002</v>
      </c>
      <c r="I47" s="106"/>
      <c r="J47" s="203">
        <f>H47/DAY(B2)</f>
        <v>16805.401111111114</v>
      </c>
      <c r="K47" s="81"/>
      <c r="L47" s="68"/>
      <c r="N47" s="73">
        <v>9418.6299999999901</v>
      </c>
    </row>
    <row r="48" spans="1:14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702">
        <f>'8'!F49</f>
        <v>39965.33</v>
      </c>
      <c r="F49" s="161">
        <v>44790</v>
      </c>
      <c r="G49" s="124">
        <f t="shared" ref="G49:G58" si="4">F49-E49</f>
        <v>4824.6699999999983</v>
      </c>
      <c r="H49" s="111">
        <f>G49+'8'!H49</f>
        <v>32564</v>
      </c>
      <c r="I49" s="106"/>
      <c r="J49" s="203">
        <f>H49/DAY(B2)</f>
        <v>3618.2222222222222</v>
      </c>
      <c r="K49" s="81"/>
      <c r="L49" s="68"/>
      <c r="N49" s="73">
        <v>0</v>
      </c>
    </row>
    <row r="50" spans="1:14">
      <c r="A50" s="229" t="s">
        <v>177</v>
      </c>
      <c r="B50" s="252"/>
      <c r="C50" s="252"/>
      <c r="D50" s="174" t="s">
        <v>131</v>
      </c>
      <c r="E50" s="702">
        <f>'8'!F50</f>
        <v>616844.67000000004</v>
      </c>
      <c r="F50" s="161">
        <v>617775</v>
      </c>
      <c r="G50" s="124">
        <f t="shared" si="4"/>
        <v>930.32999999995809</v>
      </c>
      <c r="H50" s="111">
        <f>G50+'8'!H50</f>
        <v>10477</v>
      </c>
      <c r="I50" s="106"/>
      <c r="J50" s="203">
        <f>H50/DAY(B2)</f>
        <v>1164.1111111111111</v>
      </c>
      <c r="K50" s="81"/>
      <c r="L50" s="68"/>
      <c r="N50" s="73">
        <v>609.48999999999069</v>
      </c>
    </row>
    <row r="51" spans="1:14">
      <c r="A51" s="229" t="s">
        <v>165</v>
      </c>
      <c r="B51" s="252"/>
      <c r="C51" s="252"/>
      <c r="D51" s="174" t="s">
        <v>131</v>
      </c>
      <c r="E51" s="702">
        <f>'8'!F51</f>
        <v>0</v>
      </c>
      <c r="F51" s="161">
        <v>0</v>
      </c>
      <c r="G51" s="124">
        <f t="shared" si="4"/>
        <v>0</v>
      </c>
      <c r="H51" s="111">
        <f>G51+'8'!H51</f>
        <v>0</v>
      </c>
      <c r="I51" s="106"/>
      <c r="J51" s="203">
        <f>H51/DAY(B2)</f>
        <v>0</v>
      </c>
      <c r="K51" s="81"/>
      <c r="L51" s="68"/>
      <c r="N51" s="73">
        <v>0</v>
      </c>
    </row>
    <row r="52" spans="1:14">
      <c r="A52" s="229" t="s">
        <v>178</v>
      </c>
      <c r="B52" s="252"/>
      <c r="C52" s="252"/>
      <c r="D52" s="174" t="s">
        <v>131</v>
      </c>
      <c r="E52" s="702">
        <f>'8'!F52</f>
        <v>0</v>
      </c>
      <c r="F52" s="161">
        <v>0</v>
      </c>
      <c r="G52" s="124">
        <f t="shared" si="4"/>
        <v>0</v>
      </c>
      <c r="H52" s="111">
        <f>G52+'8'!H52</f>
        <v>0</v>
      </c>
      <c r="I52" s="106"/>
      <c r="J52" s="203">
        <f>H52/DAY(B2)</f>
        <v>0</v>
      </c>
      <c r="K52" s="81"/>
      <c r="L52" s="68"/>
      <c r="N52" s="73">
        <v>1071.8899999999849</v>
      </c>
    </row>
    <row r="53" spans="1:14">
      <c r="A53" s="229" t="s">
        <v>167</v>
      </c>
      <c r="B53" s="252"/>
      <c r="C53" s="252"/>
      <c r="D53" s="174" t="s">
        <v>131</v>
      </c>
      <c r="E53" s="702">
        <f>'8'!F53</f>
        <v>0</v>
      </c>
      <c r="F53" s="161">
        <v>0</v>
      </c>
      <c r="G53" s="124">
        <f t="shared" si="4"/>
        <v>0</v>
      </c>
      <c r="H53" s="111">
        <f>G53+'8'!H53</f>
        <v>0</v>
      </c>
      <c r="I53" s="106"/>
      <c r="J53" s="203">
        <f>H53/DAY(B2)</f>
        <v>0</v>
      </c>
      <c r="K53" s="81"/>
      <c r="L53" s="68"/>
      <c r="N53" s="73">
        <v>85.455900000000838</v>
      </c>
    </row>
    <row r="54" spans="1:14">
      <c r="A54" s="229" t="s">
        <v>179</v>
      </c>
      <c r="B54" s="252"/>
      <c r="C54" s="252"/>
      <c r="D54" s="174" t="s">
        <v>131</v>
      </c>
      <c r="E54" s="702">
        <f>'8'!F54</f>
        <v>2647.1</v>
      </c>
      <c r="F54" s="161">
        <v>2650</v>
      </c>
      <c r="G54" s="124">
        <f t="shared" si="4"/>
        <v>2.9000000000000909</v>
      </c>
      <c r="H54" s="111">
        <f>G54+'8'!H54</f>
        <v>189</v>
      </c>
      <c r="I54" s="106"/>
      <c r="J54" s="203">
        <f>H54/DAY(B2)</f>
        <v>21</v>
      </c>
      <c r="K54" s="81"/>
      <c r="L54" s="68"/>
      <c r="N54" s="73">
        <v>0</v>
      </c>
    </row>
    <row r="55" spans="1:14">
      <c r="A55" s="229" t="s">
        <v>180</v>
      </c>
      <c r="B55" s="252"/>
      <c r="C55" s="252"/>
      <c r="D55" s="174" t="s">
        <v>131</v>
      </c>
      <c r="E55" s="702">
        <f>'8'!F55</f>
        <v>306268.99</v>
      </c>
      <c r="F55" s="304">
        <v>306269</v>
      </c>
      <c r="G55" s="303">
        <f t="shared" si="4"/>
        <v>1.0000000009313226E-2</v>
      </c>
      <c r="H55" s="356">
        <f>G55+'8'!H55</f>
        <v>1.0000000009313226E-2</v>
      </c>
      <c r="I55" s="357"/>
      <c r="J55" s="358">
        <f>H55/DAY(B2)</f>
        <v>1.111111112145914E-3</v>
      </c>
      <c r="K55" s="81"/>
      <c r="L55" s="68"/>
      <c r="N55" s="73">
        <v>0</v>
      </c>
    </row>
    <row r="56" spans="1:14">
      <c r="A56" s="229" t="s">
        <v>181</v>
      </c>
      <c r="B56" s="252"/>
      <c r="C56" s="252"/>
      <c r="D56" s="174" t="s">
        <v>182</v>
      </c>
      <c r="E56" s="702">
        <f>'8'!F56</f>
        <v>666192.79</v>
      </c>
      <c r="F56" s="304">
        <v>666203</v>
      </c>
      <c r="G56" s="124">
        <f t="shared" si="4"/>
        <v>10.209999999962747</v>
      </c>
      <c r="H56" s="111">
        <f>G56+'8'!H56</f>
        <v>5184</v>
      </c>
      <c r="I56" s="106"/>
      <c r="J56" s="203">
        <f>H56/DAY(B2)</f>
        <v>576</v>
      </c>
      <c r="K56" s="80"/>
      <c r="L56" s="68"/>
      <c r="N56" s="73">
        <v>0</v>
      </c>
    </row>
    <row r="57" spans="1:14">
      <c r="A57" s="229" t="s">
        <v>171</v>
      </c>
      <c r="B57" s="252"/>
      <c r="C57" s="252"/>
      <c r="D57" s="174" t="s">
        <v>131</v>
      </c>
      <c r="E57" s="702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>
      <c r="A58" s="229" t="s">
        <v>183</v>
      </c>
      <c r="B58" s="252"/>
      <c r="C58" s="252"/>
      <c r="D58" s="174" t="s">
        <v>131</v>
      </c>
      <c r="E58" s="702">
        <f>'8'!F58</f>
        <v>67635.31</v>
      </c>
      <c r="F58" s="304">
        <v>67871</v>
      </c>
      <c r="G58" s="124">
        <f t="shared" si="4"/>
        <v>235.69000000000233</v>
      </c>
      <c r="H58" s="111">
        <f>G58+'8'!H58</f>
        <v>1857</v>
      </c>
      <c r="I58" s="106"/>
      <c r="J58" s="203">
        <f>H58/DAY(B2)</f>
        <v>206.33333333333334</v>
      </c>
      <c r="K58" s="81"/>
      <c r="L58" s="68"/>
      <c r="N58" s="73">
        <v>-0.29700000000048021</v>
      </c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6003.8099999999304</v>
      </c>
      <c r="H59" s="111">
        <f>G59+'8'!H59</f>
        <v>50271.010000000017</v>
      </c>
      <c r="I59" s="106">
        <f>G7-G60</f>
        <v>-1492.9799999999959</v>
      </c>
      <c r="J59" s="203">
        <f>H59/DAY(B2)</f>
        <v>5585.6677777777795</v>
      </c>
      <c r="K59" s="81"/>
      <c r="L59" s="68"/>
      <c r="N59" s="73">
        <v>1766.5388999999759</v>
      </c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23370.550000000003</v>
      </c>
      <c r="H60" s="111">
        <f>G60+'8'!H60</f>
        <v>201519.62000000005</v>
      </c>
      <c r="I60" s="106">
        <f>G13-G60</f>
        <v>-2168.9000000000087</v>
      </c>
      <c r="J60" s="203">
        <f>H60/DAY(B2)</f>
        <v>22391.068888888894</v>
      </c>
      <c r="K60" s="81"/>
      <c r="L60" s="68"/>
      <c r="N60" s="73">
        <v>11185.168899999966</v>
      </c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>
      <c r="A63" s="254" t="s">
        <v>187</v>
      </c>
      <c r="B63" s="255"/>
      <c r="C63" s="255"/>
      <c r="D63" s="162" t="s">
        <v>186</v>
      </c>
      <c r="E63" s="165">
        <f>'8'!F63</f>
        <v>20.86</v>
      </c>
      <c r="F63" s="165">
        <v>30.8</v>
      </c>
      <c r="G63" s="124">
        <f t="shared" si="5"/>
        <v>9.9400000000000013</v>
      </c>
      <c r="H63" s="111">
        <f>G63+'8'!H63</f>
        <v>30.8</v>
      </c>
      <c r="I63" s="166"/>
      <c r="J63" s="203">
        <f>H63/DAY(B2)</f>
        <v>3.4222222222222225</v>
      </c>
      <c r="K63" s="81"/>
      <c r="L63" s="68"/>
      <c r="N63" s="73">
        <v>0</v>
      </c>
    </row>
    <row r="64" spans="1:14" ht="27.75">
      <c r="A64" s="1226" t="s">
        <v>98</v>
      </c>
      <c r="B64" s="1227"/>
      <c r="C64" s="1228"/>
      <c r="D64" s="174" t="s">
        <v>186</v>
      </c>
      <c r="E64" s="165">
        <f>'8'!F64</f>
        <v>197528.29</v>
      </c>
      <c r="F64" s="129">
        <v>197955</v>
      </c>
      <c r="G64" s="124">
        <f t="shared" si="5"/>
        <v>426.70999999999185</v>
      </c>
      <c r="H64" s="111">
        <f>G64+'8'!H64</f>
        <v>3738</v>
      </c>
      <c r="I64" s="131"/>
      <c r="J64" s="203">
        <f>H64/DAY(B2)</f>
        <v>415.33333333333331</v>
      </c>
      <c r="K64" s="81"/>
      <c r="L64" s="68"/>
      <c r="N64" s="73">
        <v>161.90400000000227</v>
      </c>
    </row>
    <row r="65" spans="1:14" ht="27.75">
      <c r="A65" s="1226" t="s">
        <v>99</v>
      </c>
      <c r="B65" s="1227"/>
      <c r="C65" s="1228"/>
      <c r="D65" s="174" t="s">
        <v>186</v>
      </c>
      <c r="E65" s="165">
        <f>'8'!F65</f>
        <v>197728.97</v>
      </c>
      <c r="F65" s="302">
        <v>198091</v>
      </c>
      <c r="G65" s="124">
        <f t="shared" si="5"/>
        <v>362.02999999999884</v>
      </c>
      <c r="H65" s="111">
        <f>G65+'8'!H65</f>
        <v>3462</v>
      </c>
      <c r="I65" s="140"/>
      <c r="J65" s="203">
        <f>H65/DAY(B2)</f>
        <v>384.66666666666669</v>
      </c>
      <c r="K65" s="81"/>
      <c r="L65" s="68"/>
      <c r="N65" s="73">
        <v>215.74700000000303</v>
      </c>
    </row>
    <row r="66" spans="1:14" ht="27.75">
      <c r="A66" s="1226" t="s">
        <v>100</v>
      </c>
      <c r="B66" s="1227"/>
      <c r="C66" s="1228"/>
      <c r="D66" s="174" t="s">
        <v>186</v>
      </c>
      <c r="E66" s="165">
        <f>'8'!F66</f>
        <v>96554.97</v>
      </c>
      <c r="F66" s="302">
        <v>96949</v>
      </c>
      <c r="G66" s="124">
        <f t="shared" si="5"/>
        <v>394.02999999999884</v>
      </c>
      <c r="H66" s="111">
        <f>G66+'8'!H66</f>
        <v>3632</v>
      </c>
      <c r="I66" s="131"/>
      <c r="J66" s="203">
        <f>H66/DAY(B2)</f>
        <v>403.55555555555554</v>
      </c>
      <c r="K66" s="81"/>
      <c r="L66" s="68"/>
      <c r="N66" s="73">
        <v>243.63500000000204</v>
      </c>
    </row>
    <row r="67" spans="1:14" ht="27.75">
      <c r="A67" s="1226" t="s">
        <v>101</v>
      </c>
      <c r="B67" s="1227"/>
      <c r="C67" s="1228"/>
      <c r="D67" s="174" t="s">
        <v>186</v>
      </c>
      <c r="E67" s="165">
        <f>'8'!F67</f>
        <v>298486.21000000002</v>
      </c>
      <c r="F67" s="129">
        <v>299006</v>
      </c>
      <c r="G67" s="124">
        <f t="shared" si="5"/>
        <v>519.78999999997905</v>
      </c>
      <c r="H67" s="111">
        <f>G67+'8'!H67</f>
        <v>4115</v>
      </c>
      <c r="I67" s="140"/>
      <c r="J67" s="203">
        <f>H67/DAY(B2)</f>
        <v>457.22222222222223</v>
      </c>
      <c r="K67" s="82"/>
      <c r="L67" s="68"/>
      <c r="N67" s="73">
        <v>74.99199999999837</v>
      </c>
    </row>
    <row r="68" spans="1:14" ht="27.75">
      <c r="A68" s="1226" t="s">
        <v>102</v>
      </c>
      <c r="B68" s="1227"/>
      <c r="C68" s="1228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>
      <c r="A69" s="1226" t="s">
        <v>103</v>
      </c>
      <c r="B69" s="1227"/>
      <c r="C69" s="1228"/>
      <c r="D69" s="174" t="s">
        <v>186</v>
      </c>
      <c r="E69" s="165">
        <f>'8'!F69</f>
        <v>108780.14</v>
      </c>
      <c r="F69" s="129">
        <v>109089</v>
      </c>
      <c r="G69" s="124">
        <f t="shared" si="5"/>
        <v>308.86000000000058</v>
      </c>
      <c r="H69" s="111">
        <f>G69+'8'!H69</f>
        <v>2683</v>
      </c>
      <c r="I69" s="167"/>
      <c r="J69" s="203">
        <f>H69/DAY(B2)</f>
        <v>298.11111111111109</v>
      </c>
      <c r="K69" s="84"/>
      <c r="L69" s="68"/>
      <c r="N69" s="73">
        <v>12.727999999999156</v>
      </c>
    </row>
    <row r="70" spans="1:14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</row>
    <row r="72" spans="1:14" ht="27.75">
      <c r="A72" s="1226" t="s">
        <v>190</v>
      </c>
      <c r="B72" s="1227"/>
      <c r="C72" s="1228"/>
      <c r="D72" s="174" t="s">
        <v>186</v>
      </c>
      <c r="E72" s="170">
        <f>'8'!F72</f>
        <v>857075</v>
      </c>
      <c r="F72" s="305">
        <v>857080</v>
      </c>
      <c r="G72" s="124">
        <f t="shared" ref="G72:G84" si="6">F72-E72</f>
        <v>5</v>
      </c>
      <c r="H72" s="111">
        <f>G72+'8'!H72</f>
        <v>58</v>
      </c>
      <c r="I72" s="131"/>
      <c r="J72" s="203">
        <f>H72/DAY(B2)</f>
        <v>6.4444444444444446</v>
      </c>
      <c r="K72" s="84"/>
      <c r="L72" s="68"/>
      <c r="N72" s="73">
        <v>11</v>
      </c>
    </row>
    <row r="73" spans="1:14" ht="27.75">
      <c r="A73" s="1226" t="s">
        <v>191</v>
      </c>
      <c r="B73" s="1227"/>
      <c r="C73" s="1228"/>
      <c r="D73" s="174" t="s">
        <v>186</v>
      </c>
      <c r="E73" s="170">
        <f>'8'!F73</f>
        <v>886054</v>
      </c>
      <c r="F73" s="306">
        <v>886054</v>
      </c>
      <c r="G73" s="303">
        <f t="shared" si="6"/>
        <v>0</v>
      </c>
      <c r="H73" s="111">
        <f>G73+'8'!H73</f>
        <v>3</v>
      </c>
      <c r="I73" s="131"/>
      <c r="J73" s="203">
        <f>H73/DAY(B2)</f>
        <v>0.33333333333333331</v>
      </c>
      <c r="K73" s="83"/>
      <c r="L73" s="68"/>
      <c r="N73" s="73">
        <v>2</v>
      </c>
    </row>
    <row r="74" spans="1:14" ht="27.75">
      <c r="A74" s="1226" t="s">
        <v>192</v>
      </c>
      <c r="B74" s="1227"/>
      <c r="C74" s="1228"/>
      <c r="D74" s="174" t="s">
        <v>186</v>
      </c>
      <c r="E74" s="170">
        <f>'8'!F74</f>
        <v>88781.3</v>
      </c>
      <c r="F74" s="305">
        <v>88782</v>
      </c>
      <c r="G74" s="124">
        <f t="shared" si="6"/>
        <v>0.69999999999708962</v>
      </c>
      <c r="H74" s="111">
        <f>G74+'8'!H74</f>
        <v>20</v>
      </c>
      <c r="I74" s="131"/>
      <c r="J74" s="203">
        <f>H74/DAY(B2)</f>
        <v>2.2222222222222223</v>
      </c>
      <c r="K74" s="84"/>
      <c r="L74" s="68"/>
      <c r="N74" s="73">
        <v>11</v>
      </c>
    </row>
    <row r="75" spans="1:14" ht="27.75">
      <c r="A75" s="1229" t="s">
        <v>193</v>
      </c>
      <c r="B75" s="1230"/>
      <c r="C75" s="1231"/>
      <c r="D75" s="174" t="s">
        <v>186</v>
      </c>
      <c r="E75" s="170">
        <f>'8'!F75</f>
        <v>27758.48</v>
      </c>
      <c r="F75" s="306">
        <v>27972</v>
      </c>
      <c r="G75" s="124">
        <f t="shared" si="6"/>
        <v>213.52000000000044</v>
      </c>
      <c r="H75" s="111">
        <f>G75+'8'!H75</f>
        <v>1664</v>
      </c>
      <c r="I75" s="131"/>
      <c r="J75" s="203">
        <f>H75/DAY(B2)</f>
        <v>184.88888888888889</v>
      </c>
      <c r="K75" s="83"/>
      <c r="L75" s="68"/>
      <c r="N75" s="73">
        <v>62</v>
      </c>
    </row>
    <row r="76" spans="1:14" ht="27.75">
      <c r="A76" s="1229" t="s">
        <v>194</v>
      </c>
      <c r="B76" s="1230"/>
      <c r="C76" s="1231"/>
      <c r="D76" s="174" t="s">
        <v>186</v>
      </c>
      <c r="E76" s="170">
        <f>'8'!F76</f>
        <v>13817.68</v>
      </c>
      <c r="F76" s="306">
        <v>13882</v>
      </c>
      <c r="G76" s="124">
        <f t="shared" si="6"/>
        <v>64.319999999999709</v>
      </c>
      <c r="H76" s="111">
        <f>G76+'8'!H76</f>
        <v>605</v>
      </c>
      <c r="I76" s="156"/>
      <c r="J76" s="203">
        <f>H76/DAY(B2)</f>
        <v>67.222222222222229</v>
      </c>
      <c r="K76" s="83"/>
      <c r="L76" s="68"/>
      <c r="N76" s="73">
        <v>4</v>
      </c>
    </row>
    <row r="77" spans="1:14" ht="27.75">
      <c r="A77" s="1226" t="s">
        <v>195</v>
      </c>
      <c r="B77" s="1227"/>
      <c r="C77" s="1228"/>
      <c r="D77" s="174" t="s">
        <v>186</v>
      </c>
      <c r="E77" s="170">
        <f>'8'!F77</f>
        <v>708715</v>
      </c>
      <c r="F77" s="306">
        <v>708762</v>
      </c>
      <c r="G77" s="303">
        <f t="shared" si="6"/>
        <v>47</v>
      </c>
      <c r="H77" s="111">
        <f>G77+'8'!H77</f>
        <v>473</v>
      </c>
      <c r="I77" s="156"/>
      <c r="J77" s="203">
        <f>H77/DAY(B2)</f>
        <v>52.555555555555557</v>
      </c>
      <c r="K77" s="83"/>
      <c r="L77" s="68"/>
      <c r="N77" s="73">
        <v>19</v>
      </c>
    </row>
    <row r="78" spans="1:14" ht="27.75">
      <c r="A78" s="762" t="s">
        <v>196</v>
      </c>
      <c r="B78" s="754"/>
      <c r="C78" s="754"/>
      <c r="D78" s="174" t="s">
        <v>186</v>
      </c>
      <c r="E78" s="170">
        <f>'8'!F78</f>
        <v>683050</v>
      </c>
      <c r="F78" s="307">
        <v>683236</v>
      </c>
      <c r="G78" s="124">
        <f t="shared" si="6"/>
        <v>186</v>
      </c>
      <c r="H78" s="111">
        <f>G78+'8'!H78</f>
        <v>823</v>
      </c>
      <c r="I78" s="156"/>
      <c r="J78" s="203">
        <f>H78/DAY(B2)</f>
        <v>91.444444444444443</v>
      </c>
      <c r="K78" s="83"/>
      <c r="L78" s="68"/>
      <c r="N78" s="73">
        <v>31</v>
      </c>
    </row>
    <row r="79" spans="1:14" ht="27.75">
      <c r="A79" s="1229" t="s">
        <v>91</v>
      </c>
      <c r="B79" s="1230"/>
      <c r="C79" s="1231"/>
      <c r="D79" s="175" t="s">
        <v>186</v>
      </c>
      <c r="E79" s="170">
        <f>'8'!F79</f>
        <v>846411</v>
      </c>
      <c r="F79" s="307">
        <v>846580</v>
      </c>
      <c r="G79" s="124">
        <f t="shared" si="6"/>
        <v>169</v>
      </c>
      <c r="H79" s="111">
        <f>G79+'8'!H79</f>
        <v>1531</v>
      </c>
      <c r="I79" s="156"/>
      <c r="J79" s="203">
        <f>H79/DAY(B2)</f>
        <v>170.11111111111111</v>
      </c>
      <c r="K79" s="83"/>
      <c r="L79" s="68"/>
      <c r="N79" s="73">
        <v>100</v>
      </c>
    </row>
    <row r="80" spans="1:14" ht="27.75">
      <c r="A80" s="1229" t="s">
        <v>197</v>
      </c>
      <c r="B80" s="1230"/>
      <c r="C80" s="1231"/>
      <c r="D80" s="175" t="s">
        <v>186</v>
      </c>
      <c r="E80" s="170">
        <f>'8'!F80</f>
        <v>567422</v>
      </c>
      <c r="F80" s="922">
        <v>567781</v>
      </c>
      <c r="G80" s="124">
        <f t="shared" si="6"/>
        <v>359</v>
      </c>
      <c r="H80" s="111">
        <f>G80+'8'!H80</f>
        <v>3483</v>
      </c>
      <c r="I80" s="156"/>
      <c r="J80" s="203">
        <f>H80/DAY(B2)</f>
        <v>387</v>
      </c>
      <c r="K80" s="83"/>
      <c r="L80" s="68"/>
      <c r="N80" s="73">
        <v>158.95999999996275</v>
      </c>
    </row>
    <row r="81" spans="1:15" ht="27.75">
      <c r="A81" s="1229" t="s">
        <v>198</v>
      </c>
      <c r="B81" s="1230"/>
      <c r="C81" s="1231"/>
      <c r="D81" s="175" t="s">
        <v>186</v>
      </c>
      <c r="E81" s="170">
        <f>'8'!F81</f>
        <v>655182.6</v>
      </c>
      <c r="F81" s="306">
        <v>655317</v>
      </c>
      <c r="G81" s="124">
        <f t="shared" si="6"/>
        <v>134.40000000002328</v>
      </c>
      <c r="H81" s="111">
        <f>G81+'8'!H81</f>
        <v>1139</v>
      </c>
      <c r="I81" s="156"/>
      <c r="J81" s="203">
        <f>H81/DAY(B2)</f>
        <v>126.55555555555556</v>
      </c>
      <c r="K81" s="83"/>
      <c r="L81" s="68"/>
      <c r="N81" s="73">
        <v>79.199999999953434</v>
      </c>
    </row>
    <row r="82" spans="1:15" ht="27.75">
      <c r="A82" s="1229" t="s">
        <v>92</v>
      </c>
      <c r="B82" s="1230"/>
      <c r="C82" s="1231"/>
      <c r="D82" s="136" t="s">
        <v>131</v>
      </c>
      <c r="E82" s="170">
        <f>'8'!F82</f>
        <v>110107.16</v>
      </c>
      <c r="F82" s="302">
        <v>110130</v>
      </c>
      <c r="G82" s="124">
        <f t="shared" si="6"/>
        <v>22.839999999996508</v>
      </c>
      <c r="H82" s="111">
        <f>G82+'8'!H82</f>
        <v>205</v>
      </c>
      <c r="I82" s="137"/>
      <c r="J82" s="203">
        <f>H82/DAY(B2)</f>
        <v>22.777777777777779</v>
      </c>
      <c r="K82" s="83"/>
      <c r="L82" s="68"/>
      <c r="N82" s="73">
        <v>30.149999999994179</v>
      </c>
    </row>
    <row r="83" spans="1:15" ht="27.75">
      <c r="A83" s="1229" t="s">
        <v>199</v>
      </c>
      <c r="B83" s="1230"/>
      <c r="C83" s="1231"/>
      <c r="D83" s="271" t="s">
        <v>131</v>
      </c>
      <c r="E83" s="170">
        <f>'8'!F83</f>
        <v>46580</v>
      </c>
      <c r="F83" s="162">
        <v>46827</v>
      </c>
      <c r="G83" s="124">
        <f t="shared" si="6"/>
        <v>247</v>
      </c>
      <c r="H83" s="111">
        <f>G83+'8'!H83</f>
        <v>2504</v>
      </c>
      <c r="I83" s="132"/>
      <c r="J83" s="203">
        <f>H83/DAY(B2)</f>
        <v>278.22222222222223</v>
      </c>
      <c r="K83" s="82"/>
      <c r="L83" s="68"/>
      <c r="N83" s="73">
        <v>316</v>
      </c>
    </row>
    <row r="84" spans="1:15">
      <c r="A84" s="763" t="s">
        <v>200</v>
      </c>
      <c r="B84" s="222"/>
      <c r="C84" s="222"/>
      <c r="D84" s="129" t="s">
        <v>131</v>
      </c>
      <c r="E84" s="170">
        <f>'8'!F84</f>
        <v>575444</v>
      </c>
      <c r="F84" s="278">
        <v>576192</v>
      </c>
      <c r="G84" s="124">
        <f t="shared" si="6"/>
        <v>748</v>
      </c>
      <c r="H84" s="111">
        <f>G84+'8'!H84</f>
        <v>5813</v>
      </c>
      <c r="I84" s="132"/>
      <c r="J84" s="203">
        <f>H84/DAY(B2)</f>
        <v>645.88888888888891</v>
      </c>
      <c r="K84" s="71"/>
      <c r="L84" s="68"/>
      <c r="N84" s="73">
        <v>408</v>
      </c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2196.780000000017</v>
      </c>
      <c r="H85" s="111">
        <f>G85+'8'!H85</f>
        <v>18321</v>
      </c>
      <c r="I85" s="132"/>
      <c r="J85" s="203">
        <f>H85/DAY(B2)</f>
        <v>2035.6666666666667</v>
      </c>
      <c r="K85" s="71"/>
      <c r="L85" s="69"/>
      <c r="N85" s="73">
        <v>1232.3099999999104</v>
      </c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'8'!F86</f>
        <v>463724.68</v>
      </c>
      <c r="F86" s="289">
        <v>463752</v>
      </c>
      <c r="G86" s="356">
        <f t="shared" ref="G86:G91" si="7">F86-E86</f>
        <v>27.320000000006985</v>
      </c>
      <c r="H86" s="111">
        <f>G86+'8'!H86</f>
        <v>41</v>
      </c>
      <c r="I86" s="303"/>
      <c r="J86" s="358">
        <f>H86/DAY(B2)</f>
        <v>4.5555555555555554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'8'!F87</f>
        <v>84155.3</v>
      </c>
      <c r="F87" s="298">
        <v>84184</v>
      </c>
      <c r="G87" s="356">
        <f t="shared" si="7"/>
        <v>28.69999999999709</v>
      </c>
      <c r="H87" s="111">
        <f>G87+'8'!H87</f>
        <v>65.80000000000291</v>
      </c>
      <c r="I87" s="303"/>
      <c r="J87" s="358">
        <f>H87/DAY(B2)</f>
        <v>7.3111111111114342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'8'!F88</f>
        <v>158212</v>
      </c>
      <c r="F88" s="289">
        <v>158212</v>
      </c>
      <c r="G88" s="356">
        <f t="shared" si="7"/>
        <v>0</v>
      </c>
      <c r="H88" s="111">
        <f>G88+'8'!H88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'8'!F89</f>
        <v>69586.3</v>
      </c>
      <c r="F89" s="298">
        <v>69666</v>
      </c>
      <c r="G89" s="356">
        <f t="shared" si="7"/>
        <v>79.69999999999709</v>
      </c>
      <c r="H89" s="111">
        <f>G89+'8'!H89</f>
        <v>151</v>
      </c>
      <c r="I89" s="303"/>
      <c r="J89" s="358">
        <f>H89/DAY(B2)</f>
        <v>16.777777777777779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'8'!F90</f>
        <v>3677.8</v>
      </c>
      <c r="F90" s="298">
        <v>3685</v>
      </c>
      <c r="G90" s="356">
        <f t="shared" si="7"/>
        <v>7.1999999999998181</v>
      </c>
      <c r="H90" s="111">
        <f>G90+'8'!H90</f>
        <v>13.699999999999818</v>
      </c>
      <c r="I90" s="303"/>
      <c r="J90" s="358">
        <f>H90/DAY(B2)</f>
        <v>1.5222222222222019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 t="s">
        <v>131</v>
      </c>
      <c r="E91" s="278">
        <f>'8'!F91</f>
        <v>28814.11</v>
      </c>
      <c r="F91" s="298">
        <v>28822</v>
      </c>
      <c r="G91" s="356">
        <f t="shared" si="7"/>
        <v>7.8899999999994179</v>
      </c>
      <c r="H91" s="111">
        <f>G91+'8'!H91</f>
        <v>17.099999999998545</v>
      </c>
      <c r="I91" s="303"/>
      <c r="J91" s="358">
        <f>H91/DAY(B2)</f>
        <v>1.8999999999998383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45" t="s">
        <v>205</v>
      </c>
      <c r="B93" s="1246"/>
      <c r="C93" s="1247"/>
      <c r="D93" s="174" t="s">
        <v>143</v>
      </c>
      <c r="E93" s="135">
        <f>'8'!F93</f>
        <v>254137</v>
      </c>
      <c r="F93" s="129">
        <v>254233</v>
      </c>
      <c r="G93" s="124">
        <f t="shared" ref="G93:G94" si="8">F93-E93</f>
        <v>96</v>
      </c>
      <c r="H93" s="111">
        <f>G93+'8'!H93</f>
        <v>781</v>
      </c>
      <c r="I93" s="131"/>
      <c r="J93" s="203">
        <f>H93/DAY(B2)</f>
        <v>86.777777777777771</v>
      </c>
      <c r="K93" s="82"/>
      <c r="L93" s="68"/>
      <c r="N93" s="73">
        <v>0</v>
      </c>
    </row>
    <row r="94" spans="1:15" ht="27.75">
      <c r="A94" s="1245" t="s">
        <v>206</v>
      </c>
      <c r="B94" s="1246"/>
      <c r="C94" s="1247"/>
      <c r="D94" s="174" t="s">
        <v>143</v>
      </c>
      <c r="E94" s="135">
        <f>'8'!F94</f>
        <v>198894</v>
      </c>
      <c r="F94" s="129">
        <v>199021</v>
      </c>
      <c r="G94" s="124">
        <f t="shared" si="8"/>
        <v>127</v>
      </c>
      <c r="H94" s="111">
        <f>G94+'8'!H94</f>
        <v>1362</v>
      </c>
      <c r="I94" s="131"/>
      <c r="J94" s="203">
        <f>H94/DAY(B2)</f>
        <v>151.33333333333334</v>
      </c>
      <c r="K94" s="71"/>
      <c r="L94" s="68"/>
      <c r="N94" s="73">
        <v>71</v>
      </c>
    </row>
    <row r="95" spans="1:15">
      <c r="A95" s="1277" t="s">
        <v>207</v>
      </c>
      <c r="B95" s="1278"/>
      <c r="C95" s="1279"/>
      <c r="D95" s="174"/>
      <c r="E95" s="135">
        <f>'8'!F95</f>
        <v>0</v>
      </c>
      <c r="F95" s="129"/>
      <c r="G95" s="124">
        <f>G93+G94</f>
        <v>223</v>
      </c>
      <c r="H95" s="111">
        <f>G95+'8'!H95</f>
        <v>1918</v>
      </c>
      <c r="I95" s="131"/>
      <c r="J95" s="203">
        <f>H95/DAY(B2)</f>
        <v>213.11111111111111</v>
      </c>
      <c r="K95" s="71"/>
      <c r="L95" s="68"/>
      <c r="N95" s="73">
        <v>71</v>
      </c>
    </row>
    <row r="96" spans="1:15" ht="27.75">
      <c r="A96" s="1245" t="s">
        <v>208</v>
      </c>
      <c r="B96" s="1246"/>
      <c r="C96" s="1247"/>
      <c r="D96" s="174" t="s">
        <v>143</v>
      </c>
      <c r="E96" s="135">
        <f>'8'!F96</f>
        <v>421617</v>
      </c>
      <c r="F96" s="129">
        <v>421689</v>
      </c>
      <c r="G96" s="124">
        <f t="shared" ref="G96:G101" si="9">F96-E96</f>
        <v>72</v>
      </c>
      <c r="H96" s="111">
        <f>G96+'8'!H96</f>
        <v>670</v>
      </c>
      <c r="I96" s="131"/>
      <c r="J96" s="203">
        <f>H96/DAY(B2)</f>
        <v>74.444444444444443</v>
      </c>
      <c r="K96" s="71"/>
      <c r="L96" s="68"/>
      <c r="N96" s="73">
        <v>26</v>
      </c>
    </row>
    <row r="97" spans="1:14" ht="27.75">
      <c r="A97" s="759" t="s">
        <v>209</v>
      </c>
      <c r="B97" s="760"/>
      <c r="C97" s="760"/>
      <c r="D97" s="174" t="s">
        <v>143</v>
      </c>
      <c r="E97" s="135">
        <f>'8'!F97</f>
        <v>104798</v>
      </c>
      <c r="F97" s="129">
        <v>104819</v>
      </c>
      <c r="G97" s="124">
        <f t="shared" si="9"/>
        <v>21</v>
      </c>
      <c r="H97" s="111">
        <f>G97+'8'!H97</f>
        <v>183</v>
      </c>
      <c r="I97" s="131"/>
      <c r="J97" s="203">
        <f>H97/DAY(B2)</f>
        <v>20.333333333333332</v>
      </c>
      <c r="K97" s="80"/>
      <c r="L97" s="68"/>
      <c r="N97" s="73">
        <v>11</v>
      </c>
    </row>
    <row r="98" spans="1:14" ht="27.75">
      <c r="A98" s="759" t="s">
        <v>210</v>
      </c>
      <c r="B98" s="760"/>
      <c r="C98" s="760"/>
      <c r="D98" s="174" t="s">
        <v>143</v>
      </c>
      <c r="E98" s="135">
        <f>'8'!F98</f>
        <v>100610</v>
      </c>
      <c r="F98" s="129">
        <v>100636</v>
      </c>
      <c r="G98" s="124">
        <f t="shared" si="9"/>
        <v>26</v>
      </c>
      <c r="H98" s="111">
        <f>G98+'8'!H98</f>
        <v>266</v>
      </c>
      <c r="I98" s="131"/>
      <c r="J98" s="203">
        <f>H98/DAY(B2)</f>
        <v>29.555555555555557</v>
      </c>
      <c r="K98" s="85"/>
      <c r="L98" s="68"/>
      <c r="N98" s="73">
        <v>9</v>
      </c>
    </row>
    <row r="99" spans="1:14" ht="27.75">
      <c r="A99" s="759" t="s">
        <v>211</v>
      </c>
      <c r="B99" s="760"/>
      <c r="C99" s="760"/>
      <c r="D99" s="174" t="s">
        <v>143</v>
      </c>
      <c r="E99" s="135">
        <f>'8'!F99</f>
        <v>152333</v>
      </c>
      <c r="F99" s="129">
        <v>152350</v>
      </c>
      <c r="G99" s="124">
        <f t="shared" si="9"/>
        <v>17</v>
      </c>
      <c r="H99" s="111">
        <f>G99+'8'!H99</f>
        <v>215</v>
      </c>
      <c r="I99" s="131"/>
      <c r="J99" s="203">
        <f>H99/DAY(B2)</f>
        <v>23.888888888888889</v>
      </c>
      <c r="K99" s="71"/>
      <c r="L99" s="68"/>
      <c r="N99" s="355">
        <v>24</v>
      </c>
    </row>
    <row r="100" spans="1:14" ht="27.75">
      <c r="A100" s="759" t="s">
        <v>212</v>
      </c>
      <c r="B100" s="760"/>
      <c r="C100" s="760"/>
      <c r="D100" s="174" t="s">
        <v>143</v>
      </c>
      <c r="E100" s="135">
        <f>'8'!F100</f>
        <v>8736</v>
      </c>
      <c r="F100" s="129">
        <v>8753</v>
      </c>
      <c r="G100" s="124">
        <f t="shared" si="9"/>
        <v>17</v>
      </c>
      <c r="H100" s="111">
        <f>G100+'8'!H100</f>
        <v>108</v>
      </c>
      <c r="I100" s="131"/>
      <c r="J100" s="203">
        <f>H100/DAY(B2)</f>
        <v>12</v>
      </c>
      <c r="K100" s="71"/>
      <c r="L100" s="68"/>
      <c r="N100" s="73">
        <v>3</v>
      </c>
    </row>
    <row r="101" spans="1:14" ht="27.75">
      <c r="A101" s="759" t="s">
        <v>213</v>
      </c>
      <c r="B101" s="760"/>
      <c r="C101" s="760"/>
      <c r="D101" s="174" t="s">
        <v>143</v>
      </c>
      <c r="E101" s="135">
        <f>'8'!F101</f>
        <v>6452</v>
      </c>
      <c r="F101" s="129">
        <v>6469</v>
      </c>
      <c r="G101" s="124">
        <f t="shared" si="9"/>
        <v>17</v>
      </c>
      <c r="H101" s="111">
        <f>G101+'8'!H101</f>
        <v>96</v>
      </c>
      <c r="I101" s="131"/>
      <c r="J101" s="203">
        <f>H101/DAY(B2)</f>
        <v>10.666666666666666</v>
      </c>
      <c r="K101" s="71"/>
      <c r="L101" s="68"/>
      <c r="N101" s="73">
        <v>0</v>
      </c>
    </row>
    <row r="102" spans="1:14">
      <c r="A102" s="1277" t="s">
        <v>215</v>
      </c>
      <c r="B102" s="1278"/>
      <c r="C102" s="1279"/>
      <c r="D102" s="175"/>
      <c r="E102" s="135"/>
      <c r="F102" s="175"/>
      <c r="G102" s="176">
        <f>SUM(G96:G101)</f>
        <v>170</v>
      </c>
      <c r="H102" s="111">
        <f>G102+'8'!H102</f>
        <v>1538</v>
      </c>
      <c r="I102" s="177"/>
      <c r="J102" s="203">
        <f>H102/DAY(B2)</f>
        <v>170.88888888888889</v>
      </c>
      <c r="K102" s="71"/>
      <c r="L102" s="68"/>
      <c r="N102" s="73">
        <v>73</v>
      </c>
    </row>
    <row r="103" spans="1:14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>
      <c r="A104" s="1280" t="s">
        <v>217</v>
      </c>
      <c r="B104" s="1281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>
      <c r="A105" s="1237" t="s">
        <v>218</v>
      </c>
      <c r="B105" s="1238"/>
      <c r="C105" s="758"/>
      <c r="D105" s="273" t="s">
        <v>143</v>
      </c>
      <c r="E105" s="135">
        <f>'8'!F105</f>
        <v>7961</v>
      </c>
      <c r="F105" s="309">
        <v>7961</v>
      </c>
      <c r="G105" s="183">
        <f>F105-E105</f>
        <v>0</v>
      </c>
      <c r="H105" s="111">
        <f>G105+'8'!H105</f>
        <v>0</v>
      </c>
      <c r="I105" s="183"/>
      <c r="J105" s="209">
        <f>H105/DAY(B2)</f>
        <v>0</v>
      </c>
      <c r="N105" s="73">
        <v>0</v>
      </c>
    </row>
    <row r="106" spans="1:14" s="93" customFormat="1" ht="27.75">
      <c r="A106" s="1237" t="s">
        <v>76</v>
      </c>
      <c r="B106" s="1238"/>
      <c r="C106" s="758"/>
      <c r="D106" s="273" t="s">
        <v>143</v>
      </c>
      <c r="E106" s="135">
        <f>'8'!F106</f>
        <v>36827</v>
      </c>
      <c r="F106" s="310">
        <v>36837</v>
      </c>
      <c r="G106" s="183">
        <f t="shared" ref="G106:G107" si="10">F106-E106</f>
        <v>10</v>
      </c>
      <c r="H106" s="111">
        <f>G106+'8'!H106</f>
        <v>72</v>
      </c>
      <c r="I106" s="183"/>
      <c r="J106" s="209">
        <f>H106/DAY(B2)</f>
        <v>8</v>
      </c>
      <c r="N106" s="73">
        <v>0</v>
      </c>
    </row>
    <row r="107" spans="1:14" s="93" customFormat="1" ht="27.75">
      <c r="A107" s="1237" t="s">
        <v>77</v>
      </c>
      <c r="B107" s="1282"/>
      <c r="C107" s="1238"/>
      <c r="D107" s="273" t="s">
        <v>143</v>
      </c>
      <c r="E107" s="135">
        <f>'8'!F107</f>
        <v>20279</v>
      </c>
      <c r="F107" s="434">
        <v>20288</v>
      </c>
      <c r="G107" s="183">
        <f t="shared" si="10"/>
        <v>9</v>
      </c>
      <c r="H107" s="111">
        <f>G107+'8'!H107</f>
        <v>74</v>
      </c>
      <c r="I107" s="183"/>
      <c r="J107" s="209">
        <f>H107/DAY(B2)</f>
        <v>8.2222222222222214</v>
      </c>
      <c r="N107" s="73">
        <v>4</v>
      </c>
    </row>
    <row r="108" spans="1:14" s="93" customFormat="1" ht="27.75">
      <c r="A108" s="1239" t="s">
        <v>201</v>
      </c>
      <c r="B108" s="1240"/>
      <c r="C108" s="758"/>
      <c r="D108" s="273"/>
      <c r="E108" s="135"/>
      <c r="F108" s="310"/>
      <c r="G108" s="183">
        <f>SUM(G105:G107)</f>
        <v>19</v>
      </c>
      <c r="H108" s="111">
        <f>G108+'8'!H108</f>
        <v>146</v>
      </c>
      <c r="I108" s="183"/>
      <c r="J108" s="209">
        <f>H108/DAY(B2)</f>
        <v>16.222222222222221</v>
      </c>
      <c r="N108" s="73">
        <v>4</v>
      </c>
    </row>
    <row r="109" spans="1:14" s="93" customFormat="1" ht="27.75">
      <c r="A109" s="1243" t="s">
        <v>78</v>
      </c>
      <c r="B109" s="1244"/>
      <c r="C109" s="758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>
      <c r="A110" s="1237" t="s">
        <v>219</v>
      </c>
      <c r="B110" s="1238"/>
      <c r="C110" s="758"/>
      <c r="D110" s="273" t="s">
        <v>143</v>
      </c>
      <c r="E110" s="135">
        <f>'8'!F110</f>
        <v>70080</v>
      </c>
      <c r="F110" s="310">
        <v>70152</v>
      </c>
      <c r="G110" s="183">
        <f>F110-E110</f>
        <v>72</v>
      </c>
      <c r="H110" s="111">
        <f>G110+'8'!H110</f>
        <v>628</v>
      </c>
      <c r="I110" s="183"/>
      <c r="J110" s="209">
        <f>H110/DAY(B2)</f>
        <v>69.777777777777771</v>
      </c>
      <c r="N110" s="73">
        <v>40</v>
      </c>
    </row>
    <row r="111" spans="1:14" s="93" customFormat="1" ht="27.75">
      <c r="A111" s="1237" t="s">
        <v>220</v>
      </c>
      <c r="B111" s="1238"/>
      <c r="C111" s="758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>
      <c r="A112" s="1237" t="s">
        <v>221</v>
      </c>
      <c r="B112" s="1238"/>
      <c r="C112" s="758"/>
      <c r="D112" s="273" t="s">
        <v>143</v>
      </c>
      <c r="E112" s="135">
        <f>'8'!F112</f>
        <v>4802</v>
      </c>
      <c r="F112" s="310">
        <v>4804</v>
      </c>
      <c r="G112" s="183">
        <f t="shared" si="11"/>
        <v>2</v>
      </c>
      <c r="H112" s="111">
        <f>G112+'8'!H112</f>
        <v>16</v>
      </c>
      <c r="I112" s="183"/>
      <c r="J112" s="209">
        <f>H112/DAY(B2)</f>
        <v>1.7777777777777777</v>
      </c>
      <c r="N112" s="73">
        <v>0</v>
      </c>
    </row>
    <row r="113" spans="1:14" s="93" customFormat="1" ht="27.75">
      <c r="A113" s="1239" t="s">
        <v>109</v>
      </c>
      <c r="B113" s="1240"/>
      <c r="C113" s="758"/>
      <c r="D113" s="273"/>
      <c r="E113" s="135"/>
      <c r="F113" s="310"/>
      <c r="G113" s="183">
        <f>SUM(G110:G112)</f>
        <v>74</v>
      </c>
      <c r="H113" s="111">
        <f>G113+'8'!H113</f>
        <v>644</v>
      </c>
      <c r="I113" s="183"/>
      <c r="J113" s="209">
        <f>H113/DAY(B2)</f>
        <v>71.555555555555557</v>
      </c>
      <c r="N113" s="73">
        <v>83</v>
      </c>
    </row>
    <row r="114" spans="1:14" s="93" customFormat="1" ht="27.75">
      <c r="A114" s="1243" t="s">
        <v>222</v>
      </c>
      <c r="B114" s="1244"/>
      <c r="C114" s="758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>
      <c r="A115" s="1237" t="s">
        <v>223</v>
      </c>
      <c r="B115" s="1238"/>
      <c r="C115" s="225"/>
      <c r="D115" s="273" t="s">
        <v>143</v>
      </c>
      <c r="E115" s="135">
        <f>'8'!F115</f>
        <v>13150</v>
      </c>
      <c r="F115" s="310">
        <v>13170</v>
      </c>
      <c r="G115" s="185">
        <f>F115-E115</f>
        <v>20</v>
      </c>
      <c r="H115" s="111">
        <f>G115+'8'!H115</f>
        <v>132</v>
      </c>
      <c r="I115" s="183"/>
      <c r="J115" s="209">
        <f>H115/DAY(B2)</f>
        <v>14.666666666666666</v>
      </c>
      <c r="N115" s="73">
        <v>5</v>
      </c>
    </row>
    <row r="116" spans="1:14" s="93" customFormat="1" ht="27.75">
      <c r="A116" s="1237" t="s">
        <v>224</v>
      </c>
      <c r="B116" s="1238"/>
      <c r="C116" s="225"/>
      <c r="D116" s="273" t="s">
        <v>143</v>
      </c>
      <c r="E116" s="135">
        <f>'8'!F116</f>
        <v>9186</v>
      </c>
      <c r="F116" s="310">
        <v>9194</v>
      </c>
      <c r="G116" s="185">
        <f t="shared" ref="G116:G117" si="12">F116-E116</f>
        <v>8</v>
      </c>
      <c r="H116" s="111">
        <f>G116+'8'!H116</f>
        <v>68</v>
      </c>
      <c r="I116" s="183"/>
      <c r="J116" s="209">
        <f>H116/DAY(B2)</f>
        <v>7.5555555555555554</v>
      </c>
      <c r="N116" s="73">
        <v>3</v>
      </c>
    </row>
    <row r="117" spans="1:14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28</v>
      </c>
      <c r="H118" s="111">
        <f>G118+'8'!H118</f>
        <v>200</v>
      </c>
      <c r="I118" s="185"/>
      <c r="J118" s="209">
        <f>H118/DAY(B2)</f>
        <v>22.222222222222221</v>
      </c>
      <c r="N118" s="73">
        <v>8</v>
      </c>
    </row>
    <row r="119" spans="1:14" s="97" customFormat="1" ht="27.75">
      <c r="A119" s="1233" t="s">
        <v>226</v>
      </c>
      <c r="B119" s="1234"/>
      <c r="C119" s="756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1325</v>
      </c>
      <c r="I119" s="186"/>
      <c r="J119" s="210">
        <f>H119/DAY(B2)</f>
        <v>147.22222222222223</v>
      </c>
      <c r="N119" s="73">
        <v>55</v>
      </c>
    </row>
    <row r="120" spans="1:14" s="97" customFormat="1" ht="27.75">
      <c r="A120" s="1233" t="s">
        <v>227</v>
      </c>
      <c r="B120" s="1234"/>
      <c r="C120" s="756"/>
      <c r="D120" s="275" t="s">
        <v>143</v>
      </c>
      <c r="E120" s="187"/>
      <c r="F120" s="311">
        <f>SUM(G96,G97,G98,G100,G101)</f>
        <v>153</v>
      </c>
      <c r="G120" s="187">
        <f>SUM(G96,G97,G98,G100,G101)</f>
        <v>153</v>
      </c>
      <c r="H120" s="111">
        <f>G120+'8'!H120</f>
        <v>1323</v>
      </c>
      <c r="I120" s="186"/>
      <c r="J120" s="210">
        <f>H120/DAY(B2)</f>
        <v>147</v>
      </c>
      <c r="N120" s="73">
        <v>49</v>
      </c>
    </row>
    <row r="121" spans="1:14" s="97" customFormat="1" ht="27.75">
      <c r="A121" s="1233" t="s">
        <v>228</v>
      </c>
      <c r="B121" s="1234"/>
      <c r="C121" s="756"/>
      <c r="D121" s="275" t="s">
        <v>143</v>
      </c>
      <c r="E121" s="185"/>
      <c r="F121" s="310">
        <f>SUM(G113)</f>
        <v>74</v>
      </c>
      <c r="G121" s="185">
        <f>SUM(G113)</f>
        <v>74</v>
      </c>
      <c r="H121" s="111">
        <f>G121+'8'!H121</f>
        <v>644</v>
      </c>
      <c r="I121" s="186"/>
      <c r="J121" s="210">
        <f>H121/DAY(B2)</f>
        <v>71.555555555555557</v>
      </c>
      <c r="N121" s="73">
        <v>83</v>
      </c>
    </row>
    <row r="122" spans="1:14" s="93" customFormat="1" ht="27.75">
      <c r="A122" s="1235"/>
      <c r="B122" s="1236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129">
        <f>'8'!F124</f>
        <v>858318.35</v>
      </c>
      <c r="F124" s="129">
        <v>858552</v>
      </c>
      <c r="G124" s="124">
        <f t="shared" ref="G124:G128" si="13">F124-E124</f>
        <v>233.65000000002328</v>
      </c>
      <c r="H124" s="111">
        <f>G124+'8'!H124</f>
        <v>2200</v>
      </c>
      <c r="I124" s="177"/>
      <c r="J124" s="203">
        <f>H124/DAY(B2)</f>
        <v>244.44444444444446</v>
      </c>
      <c r="K124" s="71"/>
      <c r="L124" s="68"/>
      <c r="N124" s="73">
        <v>111.45100000000093</v>
      </c>
    </row>
    <row r="125" spans="1:14" ht="27.75">
      <c r="A125" s="759" t="s">
        <v>231</v>
      </c>
      <c r="B125" s="760"/>
      <c r="C125" s="760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>
      <c r="A126" s="1226" t="s">
        <v>232</v>
      </c>
      <c r="B126" s="1227"/>
      <c r="C126" s="1228"/>
      <c r="D126" s="174" t="s">
        <v>140</v>
      </c>
      <c r="E126" s="129">
        <f>'8'!F126</f>
        <v>154803.92000000001</v>
      </c>
      <c r="F126" s="129">
        <v>154876</v>
      </c>
      <c r="G126" s="124">
        <f t="shared" si="13"/>
        <v>72.079999999987194</v>
      </c>
      <c r="H126" s="111">
        <f>G126+'8'!H126</f>
        <v>799</v>
      </c>
      <c r="I126" s="177"/>
      <c r="J126" s="203">
        <f>H126/DAY(B2)</f>
        <v>88.777777777777771</v>
      </c>
      <c r="K126" s="71"/>
      <c r="L126" s="68"/>
      <c r="N126" s="73">
        <v>43.220000000001164</v>
      </c>
    </row>
    <row r="127" spans="1:14" ht="27.75">
      <c r="A127" s="260" t="s">
        <v>233</v>
      </c>
      <c r="B127" s="760"/>
      <c r="C127" s="760"/>
      <c r="D127" s="174" t="s">
        <v>140</v>
      </c>
      <c r="E127" s="129">
        <f>'8'!F127</f>
        <v>34979</v>
      </c>
      <c r="F127" s="277">
        <v>35013</v>
      </c>
      <c r="G127" s="124">
        <f t="shared" si="13"/>
        <v>34</v>
      </c>
      <c r="H127" s="111">
        <f>G127+'8'!H127</f>
        <v>384</v>
      </c>
      <c r="I127" s="177"/>
      <c r="J127" s="203">
        <f>H127/DAY(B2)</f>
        <v>42.666666666666664</v>
      </c>
      <c r="K127" s="71"/>
      <c r="L127" s="68"/>
      <c r="N127" s="73">
        <v>0</v>
      </c>
    </row>
    <row r="128" spans="1:14" ht="27.75">
      <c r="A128" s="260" t="s">
        <v>234</v>
      </c>
      <c r="B128" s="760"/>
      <c r="C128" s="760"/>
      <c r="D128" s="174" t="s">
        <v>140</v>
      </c>
      <c r="E128" s="129">
        <f>'8'!F128</f>
        <v>9195.7000000000007</v>
      </c>
      <c r="F128" s="277">
        <v>9197</v>
      </c>
      <c r="G128" s="124">
        <f t="shared" si="13"/>
        <v>1.2999999999992724</v>
      </c>
      <c r="H128" s="111">
        <f>G128+'8'!H128</f>
        <v>17</v>
      </c>
      <c r="I128" s="131"/>
      <c r="J128" s="203">
        <f>H128/DAY(B2)</f>
        <v>1.8888888888888888</v>
      </c>
      <c r="K128" s="71"/>
      <c r="L128" s="68"/>
      <c r="N128" s="73">
        <v>0</v>
      </c>
    </row>
    <row r="129" spans="1:14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510.45999999998094</v>
      </c>
      <c r="H129" s="111"/>
      <c r="I129" s="131"/>
      <c r="J129" s="203"/>
      <c r="K129" s="60"/>
      <c r="L129" s="58"/>
      <c r="N129" s="73">
        <v>175.87500000008731</v>
      </c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>
      <c r="A132" s="759" t="s">
        <v>239</v>
      </c>
      <c r="B132" s="760"/>
      <c r="C132" s="760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>
      <c r="A133" s="759" t="s">
        <v>240</v>
      </c>
      <c r="B133" s="760"/>
      <c r="C133" s="760"/>
      <c r="D133" s="174" t="s">
        <v>238</v>
      </c>
      <c r="E133" s="135">
        <f>'8'!F133</f>
        <v>41029.360000000001</v>
      </c>
      <c r="F133" s="277">
        <v>41053</v>
      </c>
      <c r="G133" s="124">
        <f t="shared" si="14"/>
        <v>23.639999999999418</v>
      </c>
      <c r="H133" s="111">
        <f>G133+'8'!H133</f>
        <v>131</v>
      </c>
      <c r="I133" s="131"/>
      <c r="J133" s="203">
        <f>H133/DAY(B2)</f>
        <v>14.555555555555555</v>
      </c>
      <c r="N133" s="73">
        <v>22</v>
      </c>
    </row>
    <row r="134" spans="1:14" ht="27.75">
      <c r="A134" s="759" t="s">
        <v>241</v>
      </c>
      <c r="B134" s="760"/>
      <c r="C134" s="760"/>
      <c r="D134" s="174" t="s">
        <v>238</v>
      </c>
      <c r="E134" s="135">
        <f>'8'!F134</f>
        <v>969.4</v>
      </c>
      <c r="F134" s="136">
        <v>975</v>
      </c>
      <c r="G134" s="124">
        <f t="shared" si="14"/>
        <v>5.6000000000000227</v>
      </c>
      <c r="H134" s="111">
        <f>G134+'8'!H134</f>
        <v>119</v>
      </c>
      <c r="I134" s="131">
        <f>G131+G132+G133+G134</f>
        <v>29.239999999999441</v>
      </c>
      <c r="J134" s="203">
        <f>H134/DAY(B2)</f>
        <v>13.222222222222221</v>
      </c>
      <c r="N134" s="73">
        <v>0</v>
      </c>
    </row>
    <row r="135" spans="1:14" ht="27.75">
      <c r="A135" s="759" t="s">
        <v>242</v>
      </c>
      <c r="B135" s="760"/>
      <c r="C135" s="760"/>
      <c r="D135" s="174" t="s">
        <v>238</v>
      </c>
      <c r="E135" s="135">
        <f>'8'!F135</f>
        <v>42822.14</v>
      </c>
      <c r="F135" s="277">
        <v>42822.14</v>
      </c>
      <c r="G135" s="124">
        <f t="shared" si="14"/>
        <v>0</v>
      </c>
      <c r="H135" s="111">
        <f>G135+'8'!H135</f>
        <v>0.13999999999941792</v>
      </c>
      <c r="I135" s="131"/>
      <c r="J135" s="203">
        <f>H135/DAY(B2)</f>
        <v>1.5555555555490881E-2</v>
      </c>
      <c r="N135" s="73">
        <v>0</v>
      </c>
    </row>
    <row r="136" spans="1:14" ht="27.75">
      <c r="A136" s="759" t="s">
        <v>243</v>
      </c>
      <c r="B136" s="760"/>
      <c r="C136" s="760"/>
      <c r="D136" s="174" t="s">
        <v>238</v>
      </c>
      <c r="E136" s="135">
        <f>'8'!F136</f>
        <v>32958.379999999997</v>
      </c>
      <c r="F136" s="277">
        <v>32958.379999999997</v>
      </c>
      <c r="G136" s="124">
        <f t="shared" si="14"/>
        <v>0</v>
      </c>
      <c r="H136" s="111">
        <f>G136+'8'!H136</f>
        <v>30.379999999997381</v>
      </c>
      <c r="I136" s="131"/>
      <c r="J136" s="203">
        <f>H136/DAY(B2)</f>
        <v>3.3755555555552643</v>
      </c>
      <c r="N136" s="73">
        <v>0</v>
      </c>
    </row>
    <row r="137" spans="1:14" ht="27.75">
      <c r="A137" s="759" t="s">
        <v>244</v>
      </c>
      <c r="B137" s="760"/>
      <c r="C137" s="760"/>
      <c r="D137" s="174" t="s">
        <v>238</v>
      </c>
      <c r="E137" s="135">
        <f>'8'!F137</f>
        <v>23429.49</v>
      </c>
      <c r="F137" s="302">
        <v>23439</v>
      </c>
      <c r="G137" s="124">
        <f t="shared" si="14"/>
        <v>9.5099999999983993</v>
      </c>
      <c r="H137" s="111">
        <f>G137+'8'!H137</f>
        <v>82.569999999999709</v>
      </c>
      <c r="I137" s="131">
        <f>G135+G136+G137</f>
        <v>9.5099999999983993</v>
      </c>
      <c r="J137" s="203">
        <f>H137/DAY(B2)</f>
        <v>9.1744444444444113</v>
      </c>
      <c r="N137" s="73">
        <v>-0.2999999999992724</v>
      </c>
    </row>
    <row r="138" spans="1:14" ht="27.75">
      <c r="A138" s="759" t="s">
        <v>245</v>
      </c>
      <c r="B138" s="760"/>
      <c r="C138" s="760"/>
      <c r="D138" s="174" t="s">
        <v>238</v>
      </c>
      <c r="E138" s="135">
        <f>'8'!F138</f>
        <v>25132.98</v>
      </c>
      <c r="F138" s="302">
        <v>25132.98</v>
      </c>
      <c r="G138" s="124">
        <f t="shared" si="14"/>
        <v>0</v>
      </c>
      <c r="H138" s="111">
        <f>G138+'8'!H138</f>
        <v>2.0000000000436557E-2</v>
      </c>
      <c r="I138" s="131"/>
      <c r="J138" s="203">
        <f>H138/DAY(B2)</f>
        <v>2.2222222222707286E-3</v>
      </c>
      <c r="N138" s="73">
        <v>0</v>
      </c>
    </row>
    <row r="139" spans="1:14" ht="27.75">
      <c r="A139" s="759" t="s">
        <v>246</v>
      </c>
      <c r="B139" s="760"/>
      <c r="C139" s="760"/>
      <c r="D139" s="174" t="s">
        <v>238</v>
      </c>
      <c r="E139" s="135">
        <f>'8'!F139</f>
        <v>70526</v>
      </c>
      <c r="F139" s="302">
        <v>70526.05</v>
      </c>
      <c r="G139" s="124">
        <f t="shared" si="14"/>
        <v>5.0000000002910383E-2</v>
      </c>
      <c r="H139" s="111">
        <f>G139+'8'!H139</f>
        <v>1.5</v>
      </c>
      <c r="I139" s="131">
        <f>G138+G139</f>
        <v>5.0000000002910383E-2</v>
      </c>
      <c r="J139" s="203">
        <f>H139/DAY(B2)</f>
        <v>0.16666666666666666</v>
      </c>
      <c r="N139" s="73">
        <v>9.7100000000064028</v>
      </c>
    </row>
    <row r="140" spans="1:14" ht="27.75">
      <c r="A140" s="759" t="s">
        <v>247</v>
      </c>
      <c r="B140" s="760"/>
      <c r="C140" s="760"/>
      <c r="D140" s="174" t="s">
        <v>238</v>
      </c>
      <c r="E140" s="135">
        <f>'8'!F140</f>
        <v>2697.66</v>
      </c>
      <c r="F140" s="277">
        <v>2706.35</v>
      </c>
      <c r="G140" s="124">
        <f t="shared" si="14"/>
        <v>8.6900000000000546</v>
      </c>
      <c r="H140" s="111">
        <f>G140+'8'!H140</f>
        <v>78.369999999999891</v>
      </c>
      <c r="I140" s="193"/>
      <c r="J140" s="203">
        <f>H140/DAY(B2)</f>
        <v>8.7077777777777658</v>
      </c>
      <c r="N140" s="73">
        <v>0</v>
      </c>
    </row>
    <row r="141" spans="1:14" ht="27.75">
      <c r="A141" s="759" t="s">
        <v>248</v>
      </c>
      <c r="B141" s="760"/>
      <c r="C141" s="760"/>
      <c r="D141" s="174" t="s">
        <v>238</v>
      </c>
      <c r="E141" s="135">
        <f>'8'!F141</f>
        <v>4758.46</v>
      </c>
      <c r="F141" s="129">
        <v>4758.46</v>
      </c>
      <c r="G141" s="124">
        <f t="shared" si="14"/>
        <v>0</v>
      </c>
      <c r="H141" s="111">
        <f>G141+'8'!H141</f>
        <v>4.4600000000000364</v>
      </c>
      <c r="I141" s="193"/>
      <c r="J141" s="203">
        <f>H141/DAY(B2)</f>
        <v>0.49555555555555958</v>
      </c>
      <c r="N141" s="73">
        <v>3.6500000000000909</v>
      </c>
    </row>
    <row r="142" spans="1:14">
      <c r="A142" s="1248" t="s">
        <v>249</v>
      </c>
      <c r="B142" s="1249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7413.9700000000448</v>
      </c>
      <c r="H143" s="111">
        <f>G143+'8'!H143</f>
        <v>56366</v>
      </c>
      <c r="I143" s="131"/>
      <c r="J143" s="203">
        <f>H143/DAY(B2)</f>
        <v>6262.8888888888887</v>
      </c>
      <c r="K143" s="71"/>
      <c r="L143" s="68"/>
      <c r="N143" s="73">
        <v>2912.0800000000163</v>
      </c>
    </row>
    <row r="144" spans="1:14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0.33888452876622233</v>
      </c>
      <c r="H144" s="111">
        <f>G144+'8'!H144</f>
        <v>2.5738501484194956</v>
      </c>
      <c r="I144" s="195"/>
      <c r="J144" s="203">
        <f>H144/DAY(B2)</f>
        <v>0.28598334982438839</v>
      </c>
      <c r="K144" s="71"/>
      <c r="L144" s="68"/>
      <c r="N144" s="73">
        <v>0.25636763799630391</v>
      </c>
    </row>
    <row r="145" spans="1:14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6865.6199999999953</v>
      </c>
      <c r="H145" s="111">
        <f>G145+'8'!H145</f>
        <v>60656.22000000003</v>
      </c>
      <c r="I145" s="131"/>
      <c r="J145" s="203">
        <f>H145/DAY(B2)</f>
        <v>6739.5800000000036</v>
      </c>
      <c r="K145" s="71"/>
      <c r="L145" s="68"/>
      <c r="N145" s="73">
        <v>2876.3199999999779</v>
      </c>
    </row>
    <row r="146" spans="1:14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0.31382004491358012</v>
      </c>
      <c r="H146" s="111">
        <f>G146+'8'!H146</f>
        <v>2.7593610720573896</v>
      </c>
      <c r="I146" s="195"/>
      <c r="J146" s="203">
        <f>H146/DAY(B2)</f>
        <v>0.30659567467304327</v>
      </c>
      <c r="K146" s="71"/>
      <c r="L146" s="68"/>
      <c r="N146" s="73">
        <v>0.25321947354520452</v>
      </c>
    </row>
    <row r="147" spans="1:14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3960.9100000000035</v>
      </c>
      <c r="H147" s="111">
        <f>G147+'8'!H147</f>
        <v>34614</v>
      </c>
      <c r="I147" s="196"/>
      <c r="J147" s="203">
        <f>H147/DAY(B2)</f>
        <v>3846</v>
      </c>
      <c r="K147" s="71"/>
      <c r="L147" s="68"/>
      <c r="N147" s="73">
        <v>2036.5859000000055</v>
      </c>
    </row>
    <row r="148" spans="1:14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0.18104890076914401</v>
      </c>
      <c r="H148" s="111">
        <f>G148+'8'!H148</f>
        <v>1.5797726269866506</v>
      </c>
      <c r="I148" s="196"/>
      <c r="J148" s="203">
        <f>H148/DAY(B2)</f>
        <v>0.17553029188740563</v>
      </c>
      <c r="N148" s="73">
        <v>0.17929271062593585</v>
      </c>
    </row>
    <row r="149" spans="1:14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1626.0699999999997</v>
      </c>
      <c r="H149" s="111">
        <f>G149+'8'!H149</f>
        <v>15370</v>
      </c>
      <c r="I149" s="131"/>
      <c r="J149" s="203">
        <f>H149/DAY(B2)</f>
        <v>1707.7777777777778</v>
      </c>
      <c r="K149" s="72"/>
      <c r="N149" s="73">
        <v>1071.8899999999849</v>
      </c>
    </row>
    <row r="150" spans="1:14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7.4325896340407052E-2</v>
      </c>
      <c r="H150" s="111">
        <f>G150+'8'!H150</f>
        <v>0.7016307392309471</v>
      </c>
      <c r="I150" s="196"/>
      <c r="J150" s="203">
        <f>H150/DAY(B2)</f>
        <v>7.7958971025660795E-2</v>
      </c>
      <c r="N150" s="73">
        <v>9.4364820846904202E-2</v>
      </c>
    </row>
    <row r="151" spans="1:14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1549.3199999999579</v>
      </c>
      <c r="H151" s="111">
        <f>G151+'8'!H151</f>
        <v>17037</v>
      </c>
      <c r="I151" s="196"/>
      <c r="J151" s="203">
        <f>H151/DAY(B2)</f>
        <v>1893</v>
      </c>
      <c r="N151" s="73">
        <v>1124.1299999999901</v>
      </c>
    </row>
    <row r="152" spans="1:14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7.0817737070431375E-2</v>
      </c>
      <c r="H152" s="111">
        <f>G152+'8'!H152</f>
        <v>0.77268080185144228</v>
      </c>
      <c r="I152" s="131"/>
      <c r="J152" s="203">
        <f>H152/DAY(B2)</f>
        <v>8.5853422427938031E-2</v>
      </c>
      <c r="N152" s="73">
        <v>9.8963817237432E-2</v>
      </c>
    </row>
    <row r="153" spans="1:14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1716.0699999999997</v>
      </c>
      <c r="H153" s="111">
        <f>G153+'8'!H153</f>
        <v>14472</v>
      </c>
      <c r="I153" s="131"/>
      <c r="J153" s="203">
        <f>H153/DAY(B2)</f>
        <v>1608</v>
      </c>
      <c r="N153" s="73">
        <v>1164.4599999999919</v>
      </c>
    </row>
    <row r="154" spans="1:14" ht="27" customHeight="1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7.843969874167922E-2</v>
      </c>
      <c r="H154" s="111">
        <f>G154+'8'!H154</f>
        <v>0.66074252731088334</v>
      </c>
      <c r="I154" s="219"/>
      <c r="J154" s="220">
        <f>H154/DAY(B2)</f>
        <v>7.3415836367875922E-2</v>
      </c>
      <c r="N154" s="73">
        <v>0.10251430583678069</v>
      </c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>
      <c r="A158" s="1286" t="s">
        <v>266</v>
      </c>
      <c r="B158" s="1287"/>
      <c r="C158" s="1287"/>
      <c r="D158" s="1287"/>
      <c r="E158" s="1287"/>
      <c r="F158" s="1287"/>
      <c r="G158" s="1288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7">
      <c r="A161" s="435" t="s">
        <v>262</v>
      </c>
      <c r="B161" s="436"/>
      <c r="C161" s="436"/>
      <c r="D161" s="162" t="s">
        <v>186</v>
      </c>
      <c r="E161" s="706">
        <f>'8'!F161</f>
        <v>46448.38</v>
      </c>
      <c r="F161" s="309">
        <v>46530</v>
      </c>
      <c r="G161" s="124">
        <f t="shared" ref="G161:G175" si="15">F161-E161</f>
        <v>81.620000000002619</v>
      </c>
    </row>
    <row r="162" spans="1:7">
      <c r="A162" s="435" t="s">
        <v>263</v>
      </c>
      <c r="B162" s="436"/>
      <c r="C162" s="436"/>
      <c r="D162" s="162" t="s">
        <v>186</v>
      </c>
      <c r="E162" s="706">
        <f>'8'!F162</f>
        <v>140424.82999999999</v>
      </c>
      <c r="F162" s="309">
        <v>140862</v>
      </c>
      <c r="G162" s="124">
        <f t="shared" si="15"/>
        <v>437.17000000001281</v>
      </c>
    </row>
    <row r="163" spans="1:7">
      <c r="A163" s="435" t="s">
        <v>264</v>
      </c>
      <c r="B163" s="436"/>
      <c r="C163" s="436"/>
      <c r="D163" s="162" t="s">
        <v>186</v>
      </c>
      <c r="E163" s="706">
        <f>'8'!F163</f>
        <v>65507.15</v>
      </c>
      <c r="F163" s="309">
        <v>65722</v>
      </c>
      <c r="G163" s="124">
        <f t="shared" si="15"/>
        <v>214.84999999999854</v>
      </c>
    </row>
    <row r="164" spans="1:7">
      <c r="A164" s="435" t="s">
        <v>265</v>
      </c>
      <c r="B164" s="436"/>
      <c r="C164" s="436"/>
      <c r="D164" s="162" t="s">
        <v>186</v>
      </c>
      <c r="E164" s="706">
        <f>'8'!F164</f>
        <v>7547.48</v>
      </c>
      <c r="F164" s="309">
        <v>7556</v>
      </c>
      <c r="G164" s="124">
        <f t="shared" si="15"/>
        <v>8.5200000000004366</v>
      </c>
    </row>
    <row r="165" spans="1:7">
      <c r="A165" s="437" t="s">
        <v>97</v>
      </c>
      <c r="B165" s="255"/>
      <c r="C165" s="255"/>
      <c r="D165" s="162" t="s">
        <v>186</v>
      </c>
      <c r="E165" s="706">
        <f>'8'!F165</f>
        <v>0</v>
      </c>
      <c r="F165" s="165">
        <f>F62</f>
        <v>0</v>
      </c>
      <c r="G165" s="124">
        <f t="shared" si="15"/>
        <v>0</v>
      </c>
    </row>
    <row r="166" spans="1:7">
      <c r="A166" s="437" t="s">
        <v>187</v>
      </c>
      <c r="B166" s="255"/>
      <c r="C166" s="255"/>
      <c r="D166" s="162" t="s">
        <v>186</v>
      </c>
      <c r="E166" s="706">
        <f>'8'!F166</f>
        <v>20.86</v>
      </c>
      <c r="F166" s="165">
        <v>30.8</v>
      </c>
      <c r="G166" s="124">
        <f t="shared" si="15"/>
        <v>9.9400000000000013</v>
      </c>
    </row>
    <row r="167" spans="1:7" ht="27.75">
      <c r="A167" s="1232" t="s">
        <v>98</v>
      </c>
      <c r="B167" s="1232"/>
      <c r="C167" s="1232"/>
      <c r="D167" s="174" t="s">
        <v>186</v>
      </c>
      <c r="E167" s="706">
        <f>'8'!F167</f>
        <v>197528.29</v>
      </c>
      <c r="F167" s="165">
        <v>197955</v>
      </c>
      <c r="G167" s="124">
        <f t="shared" si="15"/>
        <v>426.70999999999185</v>
      </c>
    </row>
    <row r="168" spans="1:7" ht="27.75">
      <c r="A168" s="1232" t="s">
        <v>99</v>
      </c>
      <c r="B168" s="1232"/>
      <c r="C168" s="1232"/>
      <c r="D168" s="174" t="s">
        <v>186</v>
      </c>
      <c r="E168" s="706">
        <f>'8'!F168</f>
        <v>197728.97</v>
      </c>
      <c r="F168" s="165">
        <v>198091</v>
      </c>
      <c r="G168" s="124">
        <f t="shared" si="15"/>
        <v>362.02999999999884</v>
      </c>
    </row>
    <row r="169" spans="1:7" ht="27.75">
      <c r="A169" s="1232" t="s">
        <v>100</v>
      </c>
      <c r="B169" s="1232"/>
      <c r="C169" s="1232"/>
      <c r="D169" s="174" t="s">
        <v>186</v>
      </c>
      <c r="E169" s="706">
        <f>'8'!F169</f>
        <v>96554.97</v>
      </c>
      <c r="F169" s="165">
        <v>96949</v>
      </c>
      <c r="G169" s="124">
        <f t="shared" si="15"/>
        <v>394.02999999999884</v>
      </c>
    </row>
    <row r="170" spans="1:7" ht="27.75">
      <c r="A170" s="1232" t="s">
        <v>101</v>
      </c>
      <c r="B170" s="1232"/>
      <c r="C170" s="1232"/>
      <c r="D170" s="174" t="s">
        <v>186</v>
      </c>
      <c r="E170" s="706">
        <f>'8'!F170</f>
        <v>298486.21000000002</v>
      </c>
      <c r="F170" s="165">
        <v>299006</v>
      </c>
      <c r="G170" s="124">
        <f t="shared" si="15"/>
        <v>519.78999999997905</v>
      </c>
    </row>
    <row r="171" spans="1:7" ht="27.75">
      <c r="A171" s="1232" t="s">
        <v>102</v>
      </c>
      <c r="B171" s="1232"/>
      <c r="C171" s="1232"/>
      <c r="D171" s="174" t="s">
        <v>186</v>
      </c>
      <c r="E171" s="706">
        <f>'8'!F171</f>
        <v>85321</v>
      </c>
      <c r="F171" s="165">
        <f t="shared" ref="F171" si="16">F68</f>
        <v>85321</v>
      </c>
      <c r="G171" s="124">
        <f t="shared" si="15"/>
        <v>0</v>
      </c>
    </row>
    <row r="172" spans="1:7" ht="31.5" customHeight="1">
      <c r="A172" s="1232" t="s">
        <v>103</v>
      </c>
      <c r="B172" s="1232"/>
      <c r="C172" s="1232"/>
      <c r="D172" s="174" t="s">
        <v>186</v>
      </c>
      <c r="E172" s="173">
        <f>'8'!F172</f>
        <v>108780.14</v>
      </c>
      <c r="F172" s="165">
        <v>109089</v>
      </c>
      <c r="G172" s="124">
        <f t="shared" si="15"/>
        <v>308.86000000000058</v>
      </c>
    </row>
    <row r="173" spans="1:7">
      <c r="A173" s="1273" t="s">
        <v>337</v>
      </c>
      <c r="B173" s="1236"/>
      <c r="C173" s="436"/>
      <c r="D173" s="174" t="s">
        <v>186</v>
      </c>
      <c r="E173" s="183">
        <v>19237.3</v>
      </c>
      <c r="F173" s="183">
        <v>19240</v>
      </c>
      <c r="G173" s="124">
        <f t="shared" si="15"/>
        <v>2.7000000000007276</v>
      </c>
    </row>
    <row r="174" spans="1:7">
      <c r="A174" s="1273" t="s">
        <v>337</v>
      </c>
      <c r="B174" s="1236"/>
      <c r="C174" s="436"/>
      <c r="D174" s="174" t="s">
        <v>186</v>
      </c>
      <c r="E174" s="183">
        <v>70784.800000000003</v>
      </c>
      <c r="F174" s="183">
        <v>70790</v>
      </c>
      <c r="G174" s="124">
        <f t="shared" si="15"/>
        <v>5.1999999999970896</v>
      </c>
    </row>
    <row r="175" spans="1:7">
      <c r="A175" s="1273" t="s">
        <v>338</v>
      </c>
      <c r="B175" s="1236"/>
      <c r="C175" s="436"/>
      <c r="D175" s="174" t="s">
        <v>186</v>
      </c>
      <c r="E175" s="183">
        <v>28006</v>
      </c>
      <c r="F175" s="183">
        <v>28012</v>
      </c>
      <c r="G175" s="124">
        <f t="shared" si="15"/>
        <v>6</v>
      </c>
    </row>
    <row r="177" spans="1:7" ht="35.25" customHeight="1">
      <c r="A177" s="1296" t="s">
        <v>382</v>
      </c>
      <c r="B177" s="1296"/>
      <c r="C177" s="1296"/>
      <c r="D177" s="1296"/>
      <c r="E177" s="1296"/>
      <c r="F177" s="1296"/>
      <c r="G177" s="1296"/>
    </row>
    <row r="178" spans="1:7" ht="27" customHeight="1">
      <c r="A178" s="435"/>
      <c r="B178" s="436"/>
      <c r="C178" s="436"/>
      <c r="D178" s="174" t="s">
        <v>186</v>
      </c>
      <c r="E178" s="173">
        <f>'8'!F178</f>
        <v>0</v>
      </c>
      <c r="F178" s="193"/>
      <c r="G178" s="124">
        <f t="shared" ref="G178:G184" si="17">F178-E178</f>
        <v>0</v>
      </c>
    </row>
    <row r="179" spans="1:7">
      <c r="A179" s="435" t="s">
        <v>383</v>
      </c>
      <c r="B179" s="436"/>
      <c r="C179" s="436"/>
      <c r="D179" s="174" t="s">
        <v>186</v>
      </c>
      <c r="E179" s="173">
        <v>823</v>
      </c>
      <c r="F179" s="193">
        <v>1150</v>
      </c>
      <c r="G179" s="124">
        <f t="shared" si="17"/>
        <v>327</v>
      </c>
    </row>
    <row r="180" spans="1:7">
      <c r="A180" s="435" t="s">
        <v>384</v>
      </c>
      <c r="B180" s="436"/>
      <c r="C180" s="436"/>
      <c r="D180" s="174" t="s">
        <v>186</v>
      </c>
      <c r="E180" s="173">
        <v>271</v>
      </c>
      <c r="F180" s="193">
        <v>406</v>
      </c>
      <c r="G180" s="124">
        <f t="shared" si="17"/>
        <v>135</v>
      </c>
    </row>
    <row r="181" spans="1:7">
      <c r="A181" s="435" t="s">
        <v>385</v>
      </c>
      <c r="B181" s="436"/>
      <c r="C181" s="436"/>
      <c r="D181" s="174" t="s">
        <v>186</v>
      </c>
      <c r="E181" s="173">
        <v>417137</v>
      </c>
      <c r="F181" s="193">
        <v>417137</v>
      </c>
      <c r="G181" s="124">
        <f t="shared" si="17"/>
        <v>0</v>
      </c>
    </row>
    <row r="182" spans="1:7" ht="27.75" customHeight="1">
      <c r="A182" s="435" t="s">
        <v>386</v>
      </c>
      <c r="B182" s="436"/>
      <c r="C182" s="436"/>
      <c r="D182" s="174" t="s">
        <v>186</v>
      </c>
      <c r="E182" s="173">
        <v>380</v>
      </c>
      <c r="F182" s="193">
        <v>469</v>
      </c>
      <c r="G182" s="124">
        <f t="shared" si="17"/>
        <v>89</v>
      </c>
    </row>
    <row r="183" spans="1:7">
      <c r="A183" s="435" t="s">
        <v>387</v>
      </c>
      <c r="B183" s="436"/>
      <c r="C183" s="436"/>
      <c r="D183" s="174" t="s">
        <v>186</v>
      </c>
      <c r="E183" s="173">
        <v>772</v>
      </c>
      <c r="F183" s="193">
        <v>1097</v>
      </c>
      <c r="G183" s="124">
        <f t="shared" si="17"/>
        <v>325</v>
      </c>
    </row>
    <row r="184" spans="1:7">
      <c r="A184" s="435" t="s">
        <v>388</v>
      </c>
      <c r="B184" s="436"/>
      <c r="C184" s="436"/>
      <c r="D184" s="174" t="s">
        <v>186</v>
      </c>
      <c r="E184" s="173">
        <v>912</v>
      </c>
      <c r="F184" s="193">
        <v>1710</v>
      </c>
      <c r="G184" s="124">
        <f t="shared" si="17"/>
        <v>798</v>
      </c>
    </row>
    <row r="185" spans="1:7" ht="19.5" customHeight="1"/>
    <row r="186" spans="1:7" ht="19.5" customHeight="1"/>
    <row r="187" spans="1:7" ht="19.5" customHeight="1"/>
    <row r="188" spans="1:7" ht="19.5" customHeight="1"/>
    <row r="189" spans="1:7" ht="19.5" customHeight="1"/>
    <row r="190" spans="1:7" ht="19.5" customHeight="1"/>
    <row r="191" spans="1:7" ht="19.5" customHeight="1"/>
  </sheetData>
  <mergeCells count="79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67:C167"/>
    <mergeCell ref="A168:C168"/>
    <mergeCell ref="A169:C169"/>
    <mergeCell ref="A170:C170"/>
    <mergeCell ref="A177:G177"/>
    <mergeCell ref="A175:B175"/>
    <mergeCell ref="A173:B173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8" zoomScale="55" zoomScaleNormal="55" zoomScaleSheetLayoutView="55" workbookViewId="0">
      <selection activeCell="F182" sqref="F182"/>
    </sheetView>
  </sheetViews>
  <sheetFormatPr defaultColWidth="22.33203125" defaultRowHeight="29.2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6" s="57" customFormat="1" ht="27">
      <c r="A2" s="226" t="s">
        <v>403</v>
      </c>
      <c r="B2" s="682">
        <v>44449</v>
      </c>
      <c r="C2" s="761" t="s">
        <v>68</v>
      </c>
      <c r="D2" s="262">
        <v>0.45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1"/>
    </row>
    <row r="3" spans="1:16" s="57" customFormat="1" ht="27">
      <c r="A3" s="221"/>
      <c r="B3" s="265"/>
      <c r="C3" s="761" t="s">
        <v>119</v>
      </c>
      <c r="D3" s="263">
        <v>28</v>
      </c>
      <c r="E3" s="1259" t="s">
        <v>120</v>
      </c>
      <c r="F3" s="1260"/>
      <c r="G3" s="113"/>
      <c r="H3" s="114"/>
      <c r="I3" s="114"/>
      <c r="J3" s="266"/>
      <c r="K3" s="63"/>
      <c r="L3" s="58"/>
      <c r="N3" s="361"/>
    </row>
    <row r="4" spans="1:16" s="57" customFormat="1" ht="27">
      <c r="A4" s="227"/>
      <c r="B4" s="267"/>
      <c r="C4" s="761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1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53" t="s">
        <v>129</v>
      </c>
      <c r="B6" s="1254"/>
      <c r="C6" s="1255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'9'!F7</f>
        <v>496250</v>
      </c>
      <c r="F7" s="106">
        <v>517597</v>
      </c>
      <c r="G7" s="329">
        <f>F7-E7</f>
        <v>21347</v>
      </c>
      <c r="H7" s="330">
        <f>G7+'9'!H7</f>
        <v>218906</v>
      </c>
      <c r="I7" s="331">
        <v>12000</v>
      </c>
      <c r="J7" s="332">
        <f>H7/DAY(B2)</f>
        <v>21890.6</v>
      </c>
      <c r="K7" s="200"/>
      <c r="L7" s="68"/>
      <c r="N7" s="362"/>
    </row>
    <row r="8" spans="1:16" ht="27.75" thickBot="1">
      <c r="A8" s="333" t="s">
        <v>132</v>
      </c>
      <c r="B8" s="334"/>
      <c r="C8" s="335"/>
      <c r="D8" s="336" t="s">
        <v>25</v>
      </c>
      <c r="E8" s="284">
        <f>'9'!F8</f>
        <v>507950</v>
      </c>
      <c r="F8" s="126">
        <v>529367</v>
      </c>
      <c r="G8" s="340">
        <f>F8-E8</f>
        <v>21417</v>
      </c>
      <c r="H8" s="330">
        <f>G8+'9'!H8</f>
        <v>219795</v>
      </c>
      <c r="I8" s="337">
        <v>12000</v>
      </c>
      <c r="J8" s="332">
        <f>H8/DAY(B2)</f>
        <v>21979.5</v>
      </c>
      <c r="K8" s="200"/>
      <c r="L8" s="78"/>
      <c r="M8" s="91"/>
      <c r="N8" s="363"/>
    </row>
    <row r="9" spans="1:16">
      <c r="A9" s="338" t="s">
        <v>133</v>
      </c>
      <c r="B9" s="339"/>
      <c r="C9" s="339"/>
      <c r="D9" s="288" t="s">
        <v>131</v>
      </c>
      <c r="E9" s="284">
        <f>'9'!F9</f>
        <v>274100</v>
      </c>
      <c r="F9" s="129">
        <v>294805</v>
      </c>
      <c r="G9" s="353">
        <f t="shared" ref="G9:G12" si="0">F9-E9</f>
        <v>20705</v>
      </c>
      <c r="H9" s="330">
        <f>G9+'9'!H9</f>
        <v>212275</v>
      </c>
      <c r="I9" s="341">
        <f>I7-J7</f>
        <v>-9890.5999999999985</v>
      </c>
      <c r="J9" s="332">
        <f>H9/DAY(B2)</f>
        <v>21227.5</v>
      </c>
      <c r="K9" s="81"/>
      <c r="L9" s="68"/>
      <c r="N9" s="364"/>
    </row>
    <row r="10" spans="1:16">
      <c r="A10" s="327" t="s">
        <v>134</v>
      </c>
      <c r="B10" s="328"/>
      <c r="C10" s="328"/>
      <c r="D10" s="288" t="s">
        <v>131</v>
      </c>
      <c r="E10" s="284">
        <f>'9'!F10</f>
        <v>2606.5500000000002</v>
      </c>
      <c r="F10" s="129">
        <v>2606.5500000000002</v>
      </c>
      <c r="G10" s="340">
        <f t="shared" si="0"/>
        <v>0</v>
      </c>
      <c r="H10" s="330">
        <f>G10+'9'!H10</f>
        <v>-0.4499999999998181</v>
      </c>
      <c r="I10" s="342"/>
      <c r="J10" s="332">
        <f>H10/DAY(B2)</f>
        <v>-4.4999999999981811E-2</v>
      </c>
      <c r="K10" s="81"/>
      <c r="L10" s="68"/>
      <c r="N10" s="364"/>
    </row>
    <row r="11" spans="1:16">
      <c r="A11" s="327" t="s">
        <v>135</v>
      </c>
      <c r="B11" s="328"/>
      <c r="C11" s="328"/>
      <c r="D11" s="288" t="s">
        <v>131</v>
      </c>
      <c r="E11" s="284">
        <f>'9'!E11</f>
        <v>37000</v>
      </c>
      <c r="F11" s="106">
        <v>37000</v>
      </c>
      <c r="G11" s="340">
        <f t="shared" si="0"/>
        <v>0</v>
      </c>
      <c r="H11" s="330">
        <f>G11+'9'!H11</f>
        <v>0</v>
      </c>
      <c r="I11" s="342"/>
      <c r="J11" s="332">
        <f>H11/DAY(B2)</f>
        <v>0</v>
      </c>
      <c r="K11" s="81"/>
      <c r="L11" s="68"/>
      <c r="N11" s="364"/>
      <c r="P11" s="67" t="s">
        <v>365</v>
      </c>
    </row>
    <row r="12" spans="1:16">
      <c r="A12" s="327" t="s">
        <v>136</v>
      </c>
      <c r="B12" s="328"/>
      <c r="C12" s="328"/>
      <c r="D12" s="288" t="s">
        <v>131</v>
      </c>
      <c r="E12" s="284">
        <f>'9'!E12</f>
        <v>40010</v>
      </c>
      <c r="F12" s="129">
        <v>40010</v>
      </c>
      <c r="G12" s="340">
        <f t="shared" si="0"/>
        <v>0</v>
      </c>
      <c r="H12" s="330">
        <f>G12+'9'!H12</f>
        <v>0</v>
      </c>
      <c r="I12" s="342"/>
      <c r="J12" s="332">
        <f>H12/DAY(B2)</f>
        <v>0</v>
      </c>
      <c r="K12" s="81"/>
      <c r="L12" s="68"/>
      <c r="N12" s="364"/>
      <c r="P12" s="67" t="s">
        <v>363</v>
      </c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20705</v>
      </c>
      <c r="H13" s="330">
        <f>G13+'9'!H13</f>
        <v>188964.06</v>
      </c>
      <c r="I13" s="346">
        <f>G7-G13</f>
        <v>642</v>
      </c>
      <c r="J13" s="332">
        <f>H13/DAY(B2)</f>
        <v>18896.405999999999</v>
      </c>
      <c r="K13" s="81"/>
      <c r="L13" s="68"/>
      <c r="N13" s="364"/>
      <c r="P13" s="67" t="s">
        <v>364</v>
      </c>
    </row>
    <row r="14" spans="1:16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364"/>
    </row>
    <row r="15" spans="1:16">
      <c r="A15" s="443" t="s">
        <v>139</v>
      </c>
      <c r="B15" s="438"/>
      <c r="C15" s="438"/>
      <c r="D15" s="175" t="s">
        <v>140</v>
      </c>
      <c r="E15" s="136">
        <f>'9'!F15</f>
        <v>1764355</v>
      </c>
      <c r="F15" s="351">
        <v>1765151</v>
      </c>
      <c r="G15" s="315">
        <f>(F15-E15)</f>
        <v>796</v>
      </c>
      <c r="H15" s="137">
        <f>G15+'9'!H15</f>
        <v>8621</v>
      </c>
      <c r="I15" s="125">
        <v>800</v>
      </c>
      <c r="J15" s="204">
        <f>H15/DAY(B2)</f>
        <v>862.1</v>
      </c>
      <c r="K15" s="81"/>
      <c r="L15" s="68"/>
      <c r="N15" s="364"/>
    </row>
    <row r="16" spans="1:16">
      <c r="A16" s="441"/>
      <c r="B16" s="442"/>
      <c r="C16" s="442"/>
      <c r="D16" s="439"/>
      <c r="E16" s="440"/>
      <c r="F16" s="136"/>
      <c r="G16" s="320"/>
      <c r="H16" s="137"/>
      <c r="I16" s="133">
        <f>I15-J15</f>
        <v>-62.100000000000023</v>
      </c>
      <c r="J16" s="204"/>
      <c r="K16" s="81"/>
      <c r="L16" s="68"/>
      <c r="N16" s="364"/>
    </row>
    <row r="17" spans="1:14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364"/>
    </row>
    <row r="18" spans="1:14" ht="27.75">
      <c r="A18" s="1293" t="s">
        <v>142</v>
      </c>
      <c r="B18" s="1294"/>
      <c r="C18" s="1295"/>
      <c r="D18" s="288" t="s">
        <v>143</v>
      </c>
      <c r="E18" s="285">
        <f>'9'!F18</f>
        <v>14</v>
      </c>
      <c r="F18" s="129">
        <v>14</v>
      </c>
      <c r="G18" s="345">
        <f>F18*10</f>
        <v>140</v>
      </c>
      <c r="H18" s="330">
        <f>G18+'9'!H18</f>
        <v>1420</v>
      </c>
      <c r="I18" s="331">
        <v>65</v>
      </c>
      <c r="J18" s="332">
        <f>H18/DAY(B2)</f>
        <v>142</v>
      </c>
      <c r="K18" s="81"/>
      <c r="L18" s="68"/>
      <c r="N18" s="364"/>
    </row>
    <row r="19" spans="1:14" ht="27.75">
      <c r="A19" s="1293" t="s">
        <v>70</v>
      </c>
      <c r="B19" s="1294"/>
      <c r="C19" s="1295"/>
      <c r="D19" s="288" t="s">
        <v>143</v>
      </c>
      <c r="E19" s="285">
        <f>'9'!F19</f>
        <v>145882</v>
      </c>
      <c r="F19" s="129">
        <v>145939</v>
      </c>
      <c r="G19" s="340">
        <f t="shared" ref="G19" si="1">F19-E19</f>
        <v>57</v>
      </c>
      <c r="H19" s="330">
        <f>G19+'9'!H19</f>
        <v>601</v>
      </c>
      <c r="I19" s="347"/>
      <c r="J19" s="332">
        <f>H19/DAY(B2)</f>
        <v>60.1</v>
      </c>
      <c r="K19" s="81"/>
      <c r="L19" s="68"/>
      <c r="N19" s="364"/>
    </row>
    <row r="20" spans="1:14">
      <c r="A20" s="343" t="s">
        <v>144</v>
      </c>
      <c r="B20" s="344"/>
      <c r="C20" s="344"/>
      <c r="D20" s="288"/>
      <c r="E20" s="288"/>
      <c r="F20" s="175"/>
      <c r="G20" s="348">
        <f>G18+G19</f>
        <v>197</v>
      </c>
      <c r="H20" s="330">
        <f>G20+'9'!H20</f>
        <v>2021</v>
      </c>
      <c r="I20" s="349">
        <f>I18-J20</f>
        <v>-137.1</v>
      </c>
      <c r="J20" s="332">
        <f>H20/DAY(B2)</f>
        <v>202.1</v>
      </c>
      <c r="K20" s="81"/>
      <c r="L20" s="68"/>
      <c r="N20" s="364"/>
    </row>
    <row r="21" spans="1:14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364"/>
    </row>
    <row r="22" spans="1:14">
      <c r="A22" s="759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4"/>
    </row>
    <row r="23" spans="1:14">
      <c r="A23" s="759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4"/>
    </row>
    <row r="24" spans="1:1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4"/>
    </row>
    <row r="25" spans="1:14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364"/>
    </row>
    <row r="26" spans="1:14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4"/>
    </row>
    <row r="27" spans="1:14" s="93" customFormat="1" ht="27.75">
      <c r="A27" s="243" t="s">
        <v>6</v>
      </c>
      <c r="B27" s="244"/>
      <c r="C27" s="245"/>
      <c r="D27" s="270" t="s">
        <v>25</v>
      </c>
      <c r="E27" s="350">
        <f>G8</f>
        <v>21417</v>
      </c>
      <c r="F27" s="152">
        <v>9</v>
      </c>
      <c r="G27" s="153">
        <f>E27*F27</f>
        <v>192753</v>
      </c>
      <c r="H27" s="111">
        <f>G27+'9'!H27</f>
        <v>1978154.9999999998</v>
      </c>
      <c r="I27" s="154"/>
      <c r="J27" s="203">
        <f>H27/DAY(B2)</f>
        <v>197815.49999999997</v>
      </c>
      <c r="K27" s="65"/>
      <c r="L27" s="94"/>
      <c r="N27" s="364"/>
    </row>
    <row r="28" spans="1:14" s="93" customFormat="1" ht="27.75">
      <c r="A28" s="243" t="s">
        <v>153</v>
      </c>
      <c r="B28" s="244"/>
      <c r="C28" s="245"/>
      <c r="D28" s="270" t="s">
        <v>154</v>
      </c>
      <c r="E28" s="350">
        <f>G15</f>
        <v>796</v>
      </c>
      <c r="F28" s="152">
        <v>56.2</v>
      </c>
      <c r="G28" s="153">
        <f>E28*F28</f>
        <v>44735.200000000004</v>
      </c>
      <c r="H28" s="111">
        <f>G28+'9'!H28</f>
        <v>481463.11260000023</v>
      </c>
      <c r="I28" s="156"/>
      <c r="J28" s="203">
        <f>H28/DAY(B2)</f>
        <v>48146.311260000024</v>
      </c>
      <c r="K28" s="65"/>
      <c r="L28" s="94"/>
      <c r="N28" s="364"/>
    </row>
    <row r="29" spans="1:14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4"/>
    </row>
    <row r="30" spans="1:14" s="93" customFormat="1" ht="27.75">
      <c r="A30" s="243" t="s">
        <v>157</v>
      </c>
      <c r="B30" s="244"/>
      <c r="C30" s="245"/>
      <c r="D30" s="270" t="s">
        <v>158</v>
      </c>
      <c r="E30" s="350">
        <f>G19</f>
        <v>57</v>
      </c>
      <c r="F30" s="152">
        <v>146</v>
      </c>
      <c r="G30" s="153">
        <f>E30*F30</f>
        <v>8322</v>
      </c>
      <c r="H30" s="111">
        <f>G30+'9'!H30</f>
        <v>87746</v>
      </c>
      <c r="I30" s="156"/>
      <c r="J30" s="203">
        <f>H30/DAY(B2)</f>
        <v>8774.6</v>
      </c>
      <c r="K30" s="65"/>
      <c r="L30" s="94"/>
      <c r="N30" s="364"/>
    </row>
    <row r="31" spans="1:14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G31+'9'!H31</f>
        <v>113600</v>
      </c>
      <c r="I31" s="156"/>
      <c r="J31" s="203">
        <f>H31/DAY(B2)</f>
        <v>11360</v>
      </c>
      <c r="K31" s="65"/>
      <c r="L31" s="94"/>
      <c r="N31" s="364"/>
    </row>
    <row r="32" spans="1:14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257010.2</v>
      </c>
      <c r="H32" s="111">
        <f>G32+'9'!H32</f>
        <v>2660964.1126000006</v>
      </c>
      <c r="I32" s="160"/>
      <c r="J32" s="203">
        <f>H32/DAY(B2)</f>
        <v>266096.41126000008</v>
      </c>
      <c r="K32" s="65"/>
      <c r="L32" s="94"/>
      <c r="N32" s="364"/>
    </row>
    <row r="33" spans="1:14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364"/>
    </row>
    <row r="34" spans="1:14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364"/>
    </row>
    <row r="35" spans="1:1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3">
        <v>1058596</v>
      </c>
      <c r="G35" s="124">
        <f t="shared" ref="G35:G46" si="3">F35-E35</f>
        <v>0</v>
      </c>
      <c r="H35" s="111">
        <f>G35+'9'!H35</f>
        <v>-1</v>
      </c>
      <c r="I35" s="106"/>
      <c r="J35" s="203">
        <f>H35/DAY(B2)</f>
        <v>-0.1</v>
      </c>
      <c r="K35" s="81"/>
      <c r="L35" s="68"/>
      <c r="N35" s="364"/>
    </row>
    <row r="36" spans="1:14">
      <c r="A36" s="229" t="s">
        <v>164</v>
      </c>
      <c r="B36" s="230"/>
      <c r="C36" s="230"/>
      <c r="D36" s="174" t="s">
        <v>131</v>
      </c>
      <c r="E36" s="161">
        <f>'9'!F36</f>
        <v>8393</v>
      </c>
      <c r="F36" s="683">
        <v>8917</v>
      </c>
      <c r="G36" s="124">
        <f t="shared" si="3"/>
        <v>524</v>
      </c>
      <c r="H36" s="111">
        <f>G36+'9'!H36</f>
        <v>7084</v>
      </c>
      <c r="I36" s="106"/>
      <c r="J36" s="203">
        <f>H36/DAY(B2)</f>
        <v>708.4</v>
      </c>
      <c r="K36" s="81"/>
      <c r="L36" s="68"/>
      <c r="N36" s="365"/>
    </row>
    <row r="37" spans="1:14">
      <c r="A37" s="229" t="s">
        <v>165</v>
      </c>
      <c r="B37" s="230"/>
      <c r="C37" s="230"/>
      <c r="D37" s="174" t="s">
        <v>131</v>
      </c>
      <c r="E37" s="161">
        <f>'9'!F37</f>
        <v>18247</v>
      </c>
      <c r="F37" s="683">
        <v>19885</v>
      </c>
      <c r="G37" s="124">
        <f t="shared" si="3"/>
        <v>1638</v>
      </c>
      <c r="H37" s="111">
        <f>G37+'9'!H37</f>
        <v>16110</v>
      </c>
      <c r="I37" s="106"/>
      <c r="J37" s="203">
        <f>H37/DAY(B2)</f>
        <v>1611</v>
      </c>
      <c r="K37" s="81"/>
      <c r="L37" s="68"/>
      <c r="N37" s="365"/>
    </row>
    <row r="38" spans="1:14">
      <c r="A38" s="229" t="s">
        <v>166</v>
      </c>
      <c r="B38" s="230"/>
      <c r="C38" s="230"/>
      <c r="D38" s="174" t="s">
        <v>131</v>
      </c>
      <c r="E38" s="161">
        <f>'9'!F38</f>
        <v>20193</v>
      </c>
      <c r="F38" s="118">
        <v>21881</v>
      </c>
      <c r="G38" s="124">
        <f t="shared" si="3"/>
        <v>1688</v>
      </c>
      <c r="H38" s="111">
        <f>G38+'9'!H38</f>
        <v>17058</v>
      </c>
      <c r="I38" s="106"/>
      <c r="J38" s="203">
        <f>H38/DAY(B2)</f>
        <v>1705.8</v>
      </c>
      <c r="K38" s="81"/>
      <c r="L38" s="68"/>
      <c r="N38" s="364"/>
    </row>
    <row r="39" spans="1:14">
      <c r="A39" s="229" t="s">
        <v>167</v>
      </c>
      <c r="B39" s="230"/>
      <c r="C39" s="230"/>
      <c r="D39" s="174" t="s">
        <v>131</v>
      </c>
      <c r="E39" s="161">
        <f>'9'!F39</f>
        <v>38456</v>
      </c>
      <c r="F39" s="683">
        <v>42390</v>
      </c>
      <c r="G39" s="124">
        <f t="shared" si="3"/>
        <v>3934</v>
      </c>
      <c r="H39" s="111">
        <f>G39+'9'!H39</f>
        <v>38548</v>
      </c>
      <c r="I39" s="106"/>
      <c r="J39" s="203">
        <f>H39/DAY(B2)</f>
        <v>3854.8</v>
      </c>
      <c r="K39" s="81"/>
      <c r="L39" s="68"/>
      <c r="N39" s="364"/>
    </row>
    <row r="40" spans="1:14">
      <c r="A40" s="250" t="s">
        <v>168</v>
      </c>
      <c r="B40" s="251"/>
      <c r="C40" s="251"/>
      <c r="D40" s="174" t="s">
        <v>131</v>
      </c>
      <c r="E40" s="161">
        <f>'9'!F40</f>
        <v>0</v>
      </c>
      <c r="F40" s="683">
        <v>0</v>
      </c>
      <c r="G40" s="124">
        <f t="shared" si="3"/>
        <v>0</v>
      </c>
      <c r="H40" s="111">
        <f>G40+'9'!H40</f>
        <v>157.40000000000146</v>
      </c>
      <c r="I40" s="106"/>
      <c r="J40" s="203">
        <f>H40/DAY(B2)</f>
        <v>15.740000000000146</v>
      </c>
      <c r="K40" s="82"/>
      <c r="L40" s="68"/>
      <c r="N40" s="364"/>
    </row>
    <row r="41" spans="1:14">
      <c r="A41" s="229" t="s">
        <v>169</v>
      </c>
      <c r="B41" s="230"/>
      <c r="C41" s="230"/>
      <c r="D41" s="174" t="s">
        <v>131</v>
      </c>
      <c r="E41" s="161">
        <f>'9'!F41</f>
        <v>463480</v>
      </c>
      <c r="F41" s="683">
        <v>469304</v>
      </c>
      <c r="G41" s="124">
        <f>F41-E41</f>
        <v>5824</v>
      </c>
      <c r="H41" s="111">
        <f>G41+'9'!H41</f>
        <v>36022.210000000021</v>
      </c>
      <c r="I41" s="106"/>
      <c r="J41" s="203">
        <f>H41/DAY(B2)</f>
        <v>3602.2210000000023</v>
      </c>
      <c r="K41" s="81"/>
      <c r="L41" s="68"/>
      <c r="N41" s="364"/>
    </row>
    <row r="42" spans="1:14">
      <c r="A42" s="229" t="s">
        <v>170</v>
      </c>
      <c r="B42" s="230"/>
      <c r="C42" s="230"/>
      <c r="D42" s="174" t="s">
        <v>131</v>
      </c>
      <c r="E42" s="161">
        <f>'9'!F42</f>
        <v>200386</v>
      </c>
      <c r="F42" s="683">
        <v>200386</v>
      </c>
      <c r="G42" s="124">
        <f t="shared" si="3"/>
        <v>0</v>
      </c>
      <c r="H42" s="111">
        <f>G42+'9'!H42</f>
        <v>25274</v>
      </c>
      <c r="I42" s="106"/>
      <c r="J42" s="203">
        <f>H42/DAY(B2)</f>
        <v>2527.4</v>
      </c>
      <c r="K42" s="81"/>
      <c r="L42" s="68"/>
      <c r="N42" s="364"/>
    </row>
    <row r="43" spans="1:14">
      <c r="A43" s="229" t="s">
        <v>171</v>
      </c>
      <c r="B43" s="230"/>
      <c r="C43" s="230"/>
      <c r="D43" s="174" t="s">
        <v>131</v>
      </c>
      <c r="E43" s="161">
        <f>'9'!F43</f>
        <v>1313548</v>
      </c>
      <c r="F43" s="683">
        <v>1316104</v>
      </c>
      <c r="G43" s="124">
        <f t="shared" si="3"/>
        <v>2556</v>
      </c>
      <c r="H43" s="111">
        <f>G43+'9'!H43</f>
        <v>26359</v>
      </c>
      <c r="I43" s="106"/>
      <c r="J43" s="203">
        <f>H43/DAY(B2)</f>
        <v>2635.9</v>
      </c>
      <c r="K43" s="81"/>
      <c r="L43" s="68"/>
      <c r="N43" s="364"/>
    </row>
    <row r="44" spans="1:1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4"/>
    </row>
    <row r="45" spans="1:1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4"/>
    </row>
    <row r="46" spans="1:1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4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16164</v>
      </c>
      <c r="H47" s="111">
        <f>G47+'9'!H47</f>
        <v>167412.61000000002</v>
      </c>
      <c r="I47" s="106"/>
      <c r="J47" s="203">
        <f>H47/DAY(B2)</f>
        <v>16741.261000000002</v>
      </c>
      <c r="K47" s="81"/>
      <c r="L47" s="68"/>
      <c r="N47" s="364"/>
    </row>
    <row r="48" spans="1:14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364"/>
    </row>
    <row r="49" spans="1:14">
      <c r="A49" s="229" t="s">
        <v>163</v>
      </c>
      <c r="B49" s="252"/>
      <c r="C49" s="252"/>
      <c r="D49" s="174" t="s">
        <v>131</v>
      </c>
      <c r="E49" s="161">
        <f>'9'!F49</f>
        <v>44790</v>
      </c>
      <c r="F49" s="161">
        <v>49344</v>
      </c>
      <c r="G49" s="124">
        <f t="shared" ref="G49:G58" si="4">F49-E49</f>
        <v>4554</v>
      </c>
      <c r="H49" s="111">
        <f>G49+'9'!H49</f>
        <v>37118</v>
      </c>
      <c r="I49" s="106"/>
      <c r="J49" s="203">
        <f>H49/DAY(B2)</f>
        <v>3711.8</v>
      </c>
      <c r="K49" s="81"/>
      <c r="L49" s="68"/>
      <c r="N49" s="364"/>
    </row>
    <row r="50" spans="1:14">
      <c r="A50" s="229" t="s">
        <v>177</v>
      </c>
      <c r="B50" s="252"/>
      <c r="C50" s="252"/>
      <c r="D50" s="174" t="s">
        <v>131</v>
      </c>
      <c r="E50" s="161">
        <f>'9'!F50</f>
        <v>617775</v>
      </c>
      <c r="F50" s="683">
        <v>618695</v>
      </c>
      <c r="G50" s="124">
        <f t="shared" si="4"/>
        <v>920</v>
      </c>
      <c r="H50" s="111">
        <f>G50+'9'!H50</f>
        <v>11397</v>
      </c>
      <c r="I50" s="106"/>
      <c r="J50" s="203">
        <f>H50/DAY(B2)</f>
        <v>1139.7</v>
      </c>
      <c r="K50" s="81"/>
      <c r="L50" s="68"/>
      <c r="N50" s="364"/>
    </row>
    <row r="51" spans="1:14">
      <c r="A51" s="229" t="s">
        <v>165</v>
      </c>
      <c r="B51" s="252"/>
      <c r="C51" s="252"/>
      <c r="D51" s="174" t="s">
        <v>131</v>
      </c>
      <c r="E51" s="161">
        <f>'9'!F51</f>
        <v>0</v>
      </c>
      <c r="F51" s="161">
        <v>0</v>
      </c>
      <c r="G51" s="124">
        <f t="shared" si="4"/>
        <v>0</v>
      </c>
      <c r="H51" s="111">
        <f>G51+'9'!H51</f>
        <v>0</v>
      </c>
      <c r="I51" s="106"/>
      <c r="J51" s="203">
        <f>H51/DAY(B2)</f>
        <v>0</v>
      </c>
      <c r="K51" s="81"/>
      <c r="L51" s="68"/>
      <c r="N51" s="364"/>
    </row>
    <row r="52" spans="1:14">
      <c r="A52" s="229" t="s">
        <v>178</v>
      </c>
      <c r="B52" s="252"/>
      <c r="C52" s="252"/>
      <c r="D52" s="174" t="s">
        <v>131</v>
      </c>
      <c r="E52" s="161">
        <f>'9'!F52</f>
        <v>0</v>
      </c>
      <c r="F52" s="161">
        <v>0</v>
      </c>
      <c r="G52" s="124">
        <f t="shared" si="4"/>
        <v>0</v>
      </c>
      <c r="H52" s="111">
        <f>G52+'9'!H52</f>
        <v>0</v>
      </c>
      <c r="I52" s="106"/>
      <c r="J52" s="203">
        <f>H52/DAY(B2)</f>
        <v>0</v>
      </c>
      <c r="K52" s="81"/>
      <c r="L52" s="68"/>
      <c r="N52" s="364"/>
    </row>
    <row r="53" spans="1:14">
      <c r="A53" s="229" t="s">
        <v>167</v>
      </c>
      <c r="B53" s="252"/>
      <c r="C53" s="252"/>
      <c r="D53" s="174" t="s">
        <v>131</v>
      </c>
      <c r="E53" s="161">
        <f>'9'!F53</f>
        <v>0</v>
      </c>
      <c r="F53" s="161">
        <v>0</v>
      </c>
      <c r="G53" s="124">
        <f t="shared" si="4"/>
        <v>0</v>
      </c>
      <c r="H53" s="111">
        <f>G53+'9'!H53</f>
        <v>0</v>
      </c>
      <c r="I53" s="106"/>
      <c r="J53" s="203">
        <f>H53/DAY(B2)</f>
        <v>0</v>
      </c>
      <c r="K53" s="81"/>
      <c r="L53" s="68"/>
      <c r="N53" s="364"/>
    </row>
    <row r="54" spans="1:14">
      <c r="A54" s="229" t="s">
        <v>179</v>
      </c>
      <c r="B54" s="252"/>
      <c r="C54" s="252"/>
      <c r="D54" s="174" t="s">
        <v>131</v>
      </c>
      <c r="E54" s="161">
        <f>'9'!F54</f>
        <v>2650</v>
      </c>
      <c r="F54" s="161">
        <v>2654</v>
      </c>
      <c r="G54" s="124">
        <f t="shared" si="4"/>
        <v>4</v>
      </c>
      <c r="H54" s="111">
        <f>G54+'9'!H54</f>
        <v>193</v>
      </c>
      <c r="I54" s="106"/>
      <c r="J54" s="203">
        <f>H54/DAY(B2)</f>
        <v>19.3</v>
      </c>
      <c r="K54" s="81"/>
      <c r="L54" s="68"/>
      <c r="N54" s="364"/>
    </row>
    <row r="55" spans="1:14">
      <c r="A55" s="229" t="s">
        <v>180</v>
      </c>
      <c r="B55" s="252"/>
      <c r="C55" s="252"/>
      <c r="D55" s="174" t="s">
        <v>131</v>
      </c>
      <c r="E55" s="161">
        <f>'9'!F55</f>
        <v>306269</v>
      </c>
      <c r="F55" s="304">
        <v>307299</v>
      </c>
      <c r="G55" s="303">
        <f t="shared" si="4"/>
        <v>1030</v>
      </c>
      <c r="H55" s="356">
        <f>G55+'9'!H55</f>
        <v>1030.0100000000093</v>
      </c>
      <c r="I55" s="357"/>
      <c r="J55" s="358">
        <f>H55/DAY(B2)</f>
        <v>103.00100000000093</v>
      </c>
      <c r="K55" s="81"/>
      <c r="L55" s="68"/>
      <c r="N55" s="364"/>
    </row>
    <row r="56" spans="1:14">
      <c r="A56" s="229" t="s">
        <v>181</v>
      </c>
      <c r="B56" s="252"/>
      <c r="C56" s="252"/>
      <c r="D56" s="174" t="s">
        <v>182</v>
      </c>
      <c r="E56" s="161">
        <f>'9'!F56</f>
        <v>666203</v>
      </c>
      <c r="F56" s="304">
        <v>666215</v>
      </c>
      <c r="G56" s="124">
        <f t="shared" si="4"/>
        <v>12</v>
      </c>
      <c r="H56" s="111">
        <f>G56+'9'!H56</f>
        <v>5196</v>
      </c>
      <c r="I56" s="106"/>
      <c r="J56" s="203">
        <f>H56/DAY(B2)</f>
        <v>519.6</v>
      </c>
      <c r="K56" s="80"/>
      <c r="L56" s="68"/>
      <c r="N56" s="364"/>
    </row>
    <row r="57" spans="1:1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4"/>
    </row>
    <row r="58" spans="1:14">
      <c r="A58" s="229" t="s">
        <v>183</v>
      </c>
      <c r="B58" s="252"/>
      <c r="C58" s="252"/>
      <c r="D58" s="174" t="s">
        <v>131</v>
      </c>
      <c r="E58" s="161">
        <f>'9'!F58</f>
        <v>67871</v>
      </c>
      <c r="F58" s="304">
        <v>68040</v>
      </c>
      <c r="G58" s="124">
        <f t="shared" si="4"/>
        <v>169</v>
      </c>
      <c r="H58" s="111">
        <f>G58+'9'!H58</f>
        <v>2026</v>
      </c>
      <c r="I58" s="106"/>
      <c r="J58" s="203">
        <f>H58/DAY(B2)</f>
        <v>202.6</v>
      </c>
      <c r="K58" s="81"/>
      <c r="L58" s="68"/>
      <c r="N58" s="364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6689</v>
      </c>
      <c r="H59" s="111">
        <f>G59+'9'!H59</f>
        <v>56960.010000000017</v>
      </c>
      <c r="I59" s="106">
        <f>G7-G60</f>
        <v>-1506</v>
      </c>
      <c r="J59" s="203">
        <f>H59/DAY(B2)</f>
        <v>5696.001000000002</v>
      </c>
      <c r="K59" s="81"/>
      <c r="L59" s="68"/>
      <c r="N59" s="364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22853</v>
      </c>
      <c r="H60" s="111">
        <f>G60+'9'!H60</f>
        <v>224372.62000000005</v>
      </c>
      <c r="I60" s="106">
        <f>G13-G60</f>
        <v>-2148</v>
      </c>
      <c r="J60" s="203">
        <f>H60/DAY(B2)</f>
        <v>22437.262000000006</v>
      </c>
      <c r="K60" s="81"/>
      <c r="L60" s="68"/>
      <c r="N60" s="364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4"/>
    </row>
    <row r="62" spans="1:1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4"/>
    </row>
    <row r="63" spans="1:14">
      <c r="A63" s="254" t="s">
        <v>187</v>
      </c>
      <c r="B63" s="255"/>
      <c r="C63" s="255"/>
      <c r="D63" s="162" t="s">
        <v>186</v>
      </c>
      <c r="E63" s="165">
        <f>'9'!F63</f>
        <v>30.8</v>
      </c>
      <c r="F63" s="165">
        <v>41</v>
      </c>
      <c r="G63" s="124">
        <f t="shared" si="5"/>
        <v>10.199999999999999</v>
      </c>
      <c r="H63" s="111">
        <f>G63+'9'!H63</f>
        <v>41</v>
      </c>
      <c r="I63" s="166"/>
      <c r="J63" s="203">
        <f>H63/DAY(B2)</f>
        <v>4.0999999999999996</v>
      </c>
      <c r="K63" s="81"/>
      <c r="L63" s="68"/>
      <c r="N63" s="364"/>
    </row>
    <row r="64" spans="1:14" ht="27.75">
      <c r="A64" s="1226" t="s">
        <v>98</v>
      </c>
      <c r="B64" s="1227"/>
      <c r="C64" s="1228"/>
      <c r="D64" s="174" t="s">
        <v>186</v>
      </c>
      <c r="E64" s="165">
        <f>'9'!F64</f>
        <v>197955</v>
      </c>
      <c r="F64" s="129">
        <v>198353</v>
      </c>
      <c r="G64" s="124">
        <f t="shared" si="5"/>
        <v>398</v>
      </c>
      <c r="H64" s="111">
        <f>G64+'9'!H64</f>
        <v>4136</v>
      </c>
      <c r="I64" s="131"/>
      <c r="J64" s="203">
        <f>H64/DAY(B2)</f>
        <v>413.6</v>
      </c>
      <c r="K64" s="81"/>
      <c r="L64" s="68"/>
      <c r="N64" s="364"/>
    </row>
    <row r="65" spans="1:14" ht="27.75">
      <c r="A65" s="1226" t="s">
        <v>99</v>
      </c>
      <c r="B65" s="1227"/>
      <c r="C65" s="1228"/>
      <c r="D65" s="174" t="s">
        <v>186</v>
      </c>
      <c r="E65" s="165">
        <f>'9'!F65</f>
        <v>198091</v>
      </c>
      <c r="F65" s="302">
        <v>198484</v>
      </c>
      <c r="G65" s="124">
        <f t="shared" si="5"/>
        <v>393</v>
      </c>
      <c r="H65" s="111">
        <f>G65+'9'!H65</f>
        <v>3855</v>
      </c>
      <c r="I65" s="140"/>
      <c r="J65" s="203">
        <f>H65/DAY(B2)</f>
        <v>385.5</v>
      </c>
      <c r="K65" s="81"/>
      <c r="L65" s="68"/>
      <c r="N65" s="364"/>
    </row>
    <row r="66" spans="1:14" ht="27.75">
      <c r="A66" s="1226" t="s">
        <v>100</v>
      </c>
      <c r="B66" s="1227"/>
      <c r="C66" s="1228"/>
      <c r="D66" s="174" t="s">
        <v>186</v>
      </c>
      <c r="E66" s="165">
        <f>'9'!F66</f>
        <v>96949</v>
      </c>
      <c r="F66" s="129">
        <v>97357</v>
      </c>
      <c r="G66" s="124">
        <f t="shared" si="5"/>
        <v>408</v>
      </c>
      <c r="H66" s="111">
        <f>G66+'9'!H66</f>
        <v>4040</v>
      </c>
      <c r="I66" s="131"/>
      <c r="J66" s="203">
        <f>H66/DAY(B2)</f>
        <v>404</v>
      </c>
      <c r="K66" s="81"/>
      <c r="L66" s="68"/>
      <c r="N66" s="364"/>
    </row>
    <row r="67" spans="1:14" ht="27.75">
      <c r="A67" s="1226" t="s">
        <v>101</v>
      </c>
      <c r="B67" s="1227"/>
      <c r="C67" s="1228"/>
      <c r="D67" s="174" t="s">
        <v>186</v>
      </c>
      <c r="E67" s="165">
        <f>'9'!F67</f>
        <v>299006</v>
      </c>
      <c r="F67" s="129">
        <v>299522</v>
      </c>
      <c r="G67" s="124">
        <f t="shared" si="5"/>
        <v>516</v>
      </c>
      <c r="H67" s="111">
        <f>G67+'9'!H67</f>
        <v>4631</v>
      </c>
      <c r="I67" s="140"/>
      <c r="J67" s="203">
        <f>H67/DAY(B2)</f>
        <v>463.1</v>
      </c>
      <c r="K67" s="82"/>
      <c r="L67" s="68"/>
      <c r="N67" s="364"/>
    </row>
    <row r="68" spans="1:14" ht="27.75">
      <c r="A68" s="1226" t="s">
        <v>102</v>
      </c>
      <c r="B68" s="1227"/>
      <c r="C68" s="1228"/>
      <c r="D68" s="174" t="s">
        <v>186</v>
      </c>
      <c r="E68" s="165">
        <f>'9'!F68</f>
        <v>85321</v>
      </c>
      <c r="F68" s="129">
        <v>85488</v>
      </c>
      <c r="G68" s="124">
        <f t="shared" si="5"/>
        <v>167</v>
      </c>
      <c r="H68" s="111">
        <f>G68+'9'!H68</f>
        <v>167</v>
      </c>
      <c r="I68" s="167"/>
      <c r="J68" s="203">
        <f>H68/DAY(B2)</f>
        <v>16.7</v>
      </c>
      <c r="K68" s="83"/>
      <c r="L68" s="68"/>
      <c r="N68" s="364"/>
    </row>
    <row r="69" spans="1:14" ht="27.75">
      <c r="A69" s="1226" t="s">
        <v>103</v>
      </c>
      <c r="B69" s="1227"/>
      <c r="C69" s="1228"/>
      <c r="D69" s="174" t="s">
        <v>186</v>
      </c>
      <c r="E69" s="165">
        <f>'9'!F69</f>
        <v>109089</v>
      </c>
      <c r="F69" s="129">
        <v>109396</v>
      </c>
      <c r="G69" s="124">
        <f t="shared" si="5"/>
        <v>307</v>
      </c>
      <c r="H69" s="111">
        <f>G69+'9'!H69</f>
        <v>2990</v>
      </c>
      <c r="I69" s="167"/>
      <c r="J69" s="203">
        <f>H69/DAY(B2)</f>
        <v>299</v>
      </c>
      <c r="K69" s="84"/>
      <c r="L69" s="68"/>
      <c r="N69" s="364"/>
    </row>
    <row r="70" spans="1:14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4"/>
    </row>
    <row r="71" spans="1:14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364"/>
    </row>
    <row r="72" spans="1:14" ht="27.75">
      <c r="A72" s="1226" t="s">
        <v>190</v>
      </c>
      <c r="B72" s="1227"/>
      <c r="C72" s="1228"/>
      <c r="D72" s="174" t="s">
        <v>186</v>
      </c>
      <c r="E72" s="170">
        <f>'9'!F72</f>
        <v>857080</v>
      </c>
      <c r="F72" s="305">
        <v>857086</v>
      </c>
      <c r="G72" s="124">
        <f t="shared" ref="G72:G84" si="6">F72-E72</f>
        <v>6</v>
      </c>
      <c r="H72" s="111">
        <f>G72+'9'!H72</f>
        <v>64</v>
      </c>
      <c r="I72" s="131"/>
      <c r="J72" s="203">
        <f>H72/DAY(B2)</f>
        <v>6.4</v>
      </c>
      <c r="K72" s="84"/>
      <c r="L72" s="68"/>
      <c r="N72" s="364"/>
    </row>
    <row r="73" spans="1:14" ht="27.75">
      <c r="A73" s="1226" t="s">
        <v>191</v>
      </c>
      <c r="B73" s="1227"/>
      <c r="C73" s="1228"/>
      <c r="D73" s="174" t="s">
        <v>186</v>
      </c>
      <c r="E73" s="170">
        <f>'9'!F73</f>
        <v>886054</v>
      </c>
      <c r="F73" s="306">
        <v>886055</v>
      </c>
      <c r="G73" s="303">
        <f t="shared" si="6"/>
        <v>1</v>
      </c>
      <c r="H73" s="111">
        <f>G73+'9'!H73</f>
        <v>4</v>
      </c>
      <c r="I73" s="131"/>
      <c r="J73" s="203">
        <f>H73/DAY(B2)</f>
        <v>0.4</v>
      </c>
      <c r="K73" s="83"/>
      <c r="L73" s="68"/>
      <c r="N73" s="364"/>
    </row>
    <row r="74" spans="1:14" ht="27.75">
      <c r="A74" s="1226" t="s">
        <v>192</v>
      </c>
      <c r="B74" s="1227"/>
      <c r="C74" s="1228"/>
      <c r="D74" s="174" t="s">
        <v>186</v>
      </c>
      <c r="E74" s="170">
        <f>'9'!F74</f>
        <v>88782</v>
      </c>
      <c r="F74" s="305">
        <v>88783</v>
      </c>
      <c r="G74" s="124">
        <f t="shared" si="6"/>
        <v>1</v>
      </c>
      <c r="H74" s="111">
        <f>G74+'9'!H74</f>
        <v>21</v>
      </c>
      <c r="I74" s="131"/>
      <c r="J74" s="203">
        <f>H74/DAY(B2)</f>
        <v>2.1</v>
      </c>
      <c r="K74" s="84"/>
      <c r="L74" s="68"/>
      <c r="N74" s="364"/>
    </row>
    <row r="75" spans="1:14" ht="27.75">
      <c r="A75" s="1229" t="s">
        <v>193</v>
      </c>
      <c r="B75" s="1230"/>
      <c r="C75" s="1231"/>
      <c r="D75" s="174" t="s">
        <v>186</v>
      </c>
      <c r="E75" s="170">
        <f>'9'!F75</f>
        <v>27972</v>
      </c>
      <c r="F75" s="306">
        <v>28095</v>
      </c>
      <c r="G75" s="124">
        <f t="shared" si="6"/>
        <v>123</v>
      </c>
      <c r="H75" s="111">
        <f>G75+'9'!H75</f>
        <v>1787</v>
      </c>
      <c r="I75" s="131"/>
      <c r="J75" s="203">
        <f>H75/DAY(B2)</f>
        <v>178.7</v>
      </c>
      <c r="K75" s="83"/>
      <c r="L75" s="68"/>
      <c r="N75" s="364"/>
    </row>
    <row r="76" spans="1:14" ht="27.75">
      <c r="A76" s="1229" t="s">
        <v>194</v>
      </c>
      <c r="B76" s="1230"/>
      <c r="C76" s="1231"/>
      <c r="D76" s="174" t="s">
        <v>186</v>
      </c>
      <c r="E76" s="170">
        <f>'9'!F76</f>
        <v>13882</v>
      </c>
      <c r="F76" s="306">
        <v>13950</v>
      </c>
      <c r="G76" s="124">
        <f t="shared" si="6"/>
        <v>68</v>
      </c>
      <c r="H76" s="111">
        <f>G76+'9'!H76</f>
        <v>673</v>
      </c>
      <c r="I76" s="156"/>
      <c r="J76" s="203">
        <f>H76/DAY(B2)</f>
        <v>67.3</v>
      </c>
      <c r="K76" s="83"/>
      <c r="L76" s="68"/>
      <c r="N76" s="364"/>
    </row>
    <row r="77" spans="1:14" ht="27.75">
      <c r="A77" s="1226" t="s">
        <v>195</v>
      </c>
      <c r="B77" s="1227"/>
      <c r="C77" s="1228"/>
      <c r="D77" s="174" t="s">
        <v>186</v>
      </c>
      <c r="E77" s="170">
        <f>'9'!F77</f>
        <v>708762</v>
      </c>
      <c r="F77" s="306">
        <v>708817</v>
      </c>
      <c r="G77" s="303">
        <f t="shared" si="6"/>
        <v>55</v>
      </c>
      <c r="H77" s="111">
        <f>G77+'9'!H77</f>
        <v>528</v>
      </c>
      <c r="I77" s="156"/>
      <c r="J77" s="203">
        <f>H77/DAY(B2)</f>
        <v>52.8</v>
      </c>
      <c r="K77" s="83"/>
      <c r="L77" s="68"/>
      <c r="N77" s="364"/>
    </row>
    <row r="78" spans="1:14" ht="27.75">
      <c r="A78" s="762" t="s">
        <v>196</v>
      </c>
      <c r="B78" s="754"/>
      <c r="C78" s="754"/>
      <c r="D78" s="174" t="s">
        <v>186</v>
      </c>
      <c r="E78" s="170">
        <f>'9'!F78</f>
        <v>683236</v>
      </c>
      <c r="F78" s="307">
        <v>683419</v>
      </c>
      <c r="G78" s="124">
        <f t="shared" si="6"/>
        <v>183</v>
      </c>
      <c r="H78" s="111">
        <f>G78+'9'!H78</f>
        <v>1006</v>
      </c>
      <c r="I78" s="156"/>
      <c r="J78" s="203">
        <f>H78/DAY(B2)</f>
        <v>100.6</v>
      </c>
      <c r="K78" s="83"/>
      <c r="L78" s="68"/>
      <c r="N78" s="364"/>
    </row>
    <row r="79" spans="1:14" ht="27.75">
      <c r="A79" s="1229" t="s">
        <v>91</v>
      </c>
      <c r="B79" s="1230"/>
      <c r="C79" s="1231"/>
      <c r="D79" s="175" t="s">
        <v>186</v>
      </c>
      <c r="E79" s="170">
        <f>'9'!F79</f>
        <v>846580</v>
      </c>
      <c r="F79" s="307">
        <v>846748</v>
      </c>
      <c r="G79" s="124">
        <f t="shared" si="6"/>
        <v>168</v>
      </c>
      <c r="H79" s="111">
        <f>G79+'9'!H79</f>
        <v>1699</v>
      </c>
      <c r="I79" s="156"/>
      <c r="J79" s="203">
        <f>H79/DAY(B2)</f>
        <v>169.9</v>
      </c>
      <c r="K79" s="83"/>
      <c r="L79" s="68"/>
      <c r="N79" s="364"/>
    </row>
    <row r="80" spans="1:14" ht="27.75">
      <c r="A80" s="1229" t="s">
        <v>197</v>
      </c>
      <c r="B80" s="1230"/>
      <c r="C80" s="1231"/>
      <c r="D80" s="175" t="s">
        <v>186</v>
      </c>
      <c r="E80" s="170">
        <f>'9'!F80</f>
        <v>567781</v>
      </c>
      <c r="F80" s="306">
        <v>568117</v>
      </c>
      <c r="G80" s="124">
        <f>F80-E80</f>
        <v>336</v>
      </c>
      <c r="H80" s="111">
        <f>G80+'9'!H80</f>
        <v>3819</v>
      </c>
      <c r="I80" s="156"/>
      <c r="J80" s="203">
        <f>H80/DAY(B2)</f>
        <v>381.9</v>
      </c>
      <c r="K80" s="83"/>
      <c r="L80" s="68"/>
      <c r="N80" s="364"/>
    </row>
    <row r="81" spans="1:15" ht="27.75">
      <c r="A81" s="1229" t="s">
        <v>198</v>
      </c>
      <c r="B81" s="1230"/>
      <c r="C81" s="1231"/>
      <c r="D81" s="175" t="s">
        <v>186</v>
      </c>
      <c r="E81" s="170">
        <f>'9'!F81</f>
        <v>655317</v>
      </c>
      <c r="F81" s="306">
        <v>655438</v>
      </c>
      <c r="G81" s="124">
        <f t="shared" si="6"/>
        <v>121</v>
      </c>
      <c r="H81" s="111">
        <f>G81+'9'!H81</f>
        <v>1260</v>
      </c>
      <c r="I81" s="156"/>
      <c r="J81" s="203">
        <f>H81/DAY(B2)</f>
        <v>126</v>
      </c>
      <c r="K81" s="83"/>
      <c r="L81" s="68"/>
      <c r="N81" s="364"/>
    </row>
    <row r="82" spans="1:15" ht="27.75">
      <c r="A82" s="1229" t="s">
        <v>92</v>
      </c>
      <c r="B82" s="1230"/>
      <c r="C82" s="1231"/>
      <c r="D82" s="136" t="s">
        <v>131</v>
      </c>
      <c r="E82" s="170">
        <f>'9'!F82</f>
        <v>110130</v>
      </c>
      <c r="F82" s="302">
        <v>110150</v>
      </c>
      <c r="G82" s="124">
        <f t="shared" si="6"/>
        <v>20</v>
      </c>
      <c r="H82" s="111">
        <f>G82+'9'!H82</f>
        <v>225</v>
      </c>
      <c r="I82" s="137"/>
      <c r="J82" s="203">
        <f>H82/DAY(B2)</f>
        <v>22.5</v>
      </c>
      <c r="K82" s="83"/>
      <c r="L82" s="68"/>
      <c r="N82" s="364"/>
    </row>
    <row r="83" spans="1:15" ht="27.75">
      <c r="A83" s="1229" t="s">
        <v>199</v>
      </c>
      <c r="B83" s="1230"/>
      <c r="C83" s="1231"/>
      <c r="D83" s="271" t="s">
        <v>131</v>
      </c>
      <c r="E83" s="170">
        <f>'9'!F83</f>
        <v>46827</v>
      </c>
      <c r="F83" s="162">
        <v>47129</v>
      </c>
      <c r="G83" s="124">
        <f t="shared" si="6"/>
        <v>302</v>
      </c>
      <c r="H83" s="111">
        <f>G83+'9'!H83</f>
        <v>2806</v>
      </c>
      <c r="I83" s="132"/>
      <c r="J83" s="203">
        <f>H83/DAY(B2)</f>
        <v>280.60000000000002</v>
      </c>
      <c r="K83" s="82"/>
      <c r="L83" s="68"/>
      <c r="N83" s="364"/>
    </row>
    <row r="84" spans="1:15">
      <c r="A84" s="763" t="s">
        <v>200</v>
      </c>
      <c r="B84" s="222"/>
      <c r="C84" s="222"/>
      <c r="D84" s="129" t="s">
        <v>131</v>
      </c>
      <c r="E84" s="170">
        <f>'9'!F84</f>
        <v>576192</v>
      </c>
      <c r="F84" s="278">
        <v>576881</v>
      </c>
      <c r="G84" s="124">
        <f t="shared" si="6"/>
        <v>689</v>
      </c>
      <c r="H84" s="111">
        <f>G84+'9'!H84</f>
        <v>6502</v>
      </c>
      <c r="I84" s="132"/>
      <c r="J84" s="203">
        <f>H84/DAY(B2)</f>
        <v>650.20000000000005</v>
      </c>
      <c r="K84" s="71"/>
      <c r="L84" s="68"/>
      <c r="N84" s="364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2073</v>
      </c>
      <c r="H85" s="111">
        <f>G85+'9'!H85</f>
        <v>20394</v>
      </c>
      <c r="I85" s="132"/>
      <c r="J85" s="203">
        <f>H85/DAY(B2)</f>
        <v>2039.4</v>
      </c>
      <c r="K85" s="71"/>
      <c r="L85" s="69"/>
      <c r="N85" s="364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'9'!F86</f>
        <v>463752</v>
      </c>
      <c r="F86" s="298">
        <v>463790</v>
      </c>
      <c r="G86" s="356">
        <f t="shared" ref="G86:G91" si="7">F86-E86</f>
        <v>38</v>
      </c>
      <c r="H86" s="111">
        <f>G86+'9'!H86</f>
        <v>79</v>
      </c>
      <c r="I86" s="303"/>
      <c r="J86" s="358">
        <f>H86/DAY(B2)</f>
        <v>7.9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'9'!F87</f>
        <v>84184</v>
      </c>
      <c r="F87" s="298">
        <v>84200</v>
      </c>
      <c r="G87" s="356">
        <f t="shared" si="7"/>
        <v>16</v>
      </c>
      <c r="H87" s="111">
        <f>G87+'9'!H87</f>
        <v>81.80000000000291</v>
      </c>
      <c r="I87" s="303"/>
      <c r="J87" s="358">
        <f>H87/DAY(B2)</f>
        <v>8.180000000000291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'9'!F88</f>
        <v>158212</v>
      </c>
      <c r="F88" s="289">
        <v>158212</v>
      </c>
      <c r="G88" s="356">
        <f t="shared" si="7"/>
        <v>0</v>
      </c>
      <c r="H88" s="111">
        <f>G88+'9'!H88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'9'!F89</f>
        <v>69666</v>
      </c>
      <c r="F89" s="298">
        <v>69724</v>
      </c>
      <c r="G89" s="356">
        <f t="shared" si="7"/>
        <v>58</v>
      </c>
      <c r="H89" s="111">
        <f>G89+'9'!H89</f>
        <v>209</v>
      </c>
      <c r="I89" s="303"/>
      <c r="J89" s="358">
        <f>H89/DAY(B2)</f>
        <v>20.9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'9'!F90</f>
        <v>3685</v>
      </c>
      <c r="F90" s="298">
        <v>3688</v>
      </c>
      <c r="G90" s="356">
        <f t="shared" si="7"/>
        <v>3</v>
      </c>
      <c r="H90" s="111">
        <f>G90+'9'!H90</f>
        <v>16.699999999999818</v>
      </c>
      <c r="I90" s="303"/>
      <c r="J90" s="358">
        <f>H90/DAY(B2)</f>
        <v>1.6699999999999817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/>
      <c r="E91" s="278">
        <f>'9'!F91</f>
        <v>28822</v>
      </c>
      <c r="F91" s="298">
        <v>28823</v>
      </c>
      <c r="G91" s="356">
        <f t="shared" si="7"/>
        <v>1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364"/>
    </row>
    <row r="93" spans="1:15" ht="27.75">
      <c r="A93" s="1245" t="s">
        <v>205</v>
      </c>
      <c r="B93" s="1246"/>
      <c r="C93" s="1247"/>
      <c r="D93" s="174" t="s">
        <v>143</v>
      </c>
      <c r="E93" s="135">
        <f>'9'!F93</f>
        <v>254233</v>
      </c>
      <c r="F93" s="129">
        <v>254296</v>
      </c>
      <c r="G93" s="124">
        <f t="shared" ref="G93:G94" si="8">F93-E93</f>
        <v>63</v>
      </c>
      <c r="H93" s="111">
        <f>G93+'9'!H93</f>
        <v>844</v>
      </c>
      <c r="I93" s="131"/>
      <c r="J93" s="203">
        <f>H93/DAY(B2)</f>
        <v>84.4</v>
      </c>
      <c r="K93" s="82"/>
      <c r="L93" s="68"/>
      <c r="N93" s="364"/>
    </row>
    <row r="94" spans="1:15" ht="27.75">
      <c r="A94" s="1245" t="s">
        <v>206</v>
      </c>
      <c r="B94" s="1246"/>
      <c r="C94" s="1247"/>
      <c r="D94" s="174" t="s">
        <v>143</v>
      </c>
      <c r="E94" s="135">
        <f>'9'!F94</f>
        <v>199021</v>
      </c>
      <c r="F94" s="129">
        <v>199178</v>
      </c>
      <c r="G94" s="124">
        <f t="shared" si="8"/>
        <v>157</v>
      </c>
      <c r="H94" s="111">
        <f>G94+'9'!H94</f>
        <v>1519</v>
      </c>
      <c r="I94" s="131"/>
      <c r="J94" s="203">
        <f>H94/DAY(B2)</f>
        <v>151.9</v>
      </c>
      <c r="K94" s="71"/>
      <c r="L94" s="68"/>
      <c r="N94" s="364"/>
    </row>
    <row r="95" spans="1:15">
      <c r="A95" s="1277" t="s">
        <v>207</v>
      </c>
      <c r="B95" s="1278"/>
      <c r="C95" s="1279"/>
      <c r="D95" s="174"/>
      <c r="E95" s="135"/>
      <c r="F95" s="129"/>
      <c r="G95" s="124">
        <f>G93+G94</f>
        <v>220</v>
      </c>
      <c r="H95" s="111">
        <f>G95+'9'!H95</f>
        <v>2138</v>
      </c>
      <c r="I95" s="131"/>
      <c r="J95" s="203">
        <f>H95/DAY(B2)</f>
        <v>213.8</v>
      </c>
      <c r="K95" s="71"/>
      <c r="L95" s="68"/>
      <c r="N95" s="364"/>
    </row>
    <row r="96" spans="1:15" ht="27.75">
      <c r="A96" s="1245" t="s">
        <v>208</v>
      </c>
      <c r="B96" s="1246"/>
      <c r="C96" s="1247"/>
      <c r="D96" s="174" t="s">
        <v>143</v>
      </c>
      <c r="E96" s="135">
        <f>'9'!F96</f>
        <v>421689</v>
      </c>
      <c r="F96" s="129">
        <v>421745</v>
      </c>
      <c r="G96" s="124">
        <f t="shared" ref="G96:G101" si="9">F96-E96</f>
        <v>56</v>
      </c>
      <c r="H96" s="111">
        <f>G96+'9'!H96</f>
        <v>726</v>
      </c>
      <c r="I96" s="131"/>
      <c r="J96" s="203">
        <f>H96/DAY(B2)</f>
        <v>72.599999999999994</v>
      </c>
      <c r="K96" s="71"/>
      <c r="L96" s="68"/>
      <c r="N96" s="364"/>
    </row>
    <row r="97" spans="1:14" ht="27.75">
      <c r="A97" s="759" t="s">
        <v>209</v>
      </c>
      <c r="B97" s="760"/>
      <c r="C97" s="760"/>
      <c r="D97" s="174" t="s">
        <v>143</v>
      </c>
      <c r="E97" s="135">
        <f>'9'!F97</f>
        <v>104819</v>
      </c>
      <c r="F97" s="129">
        <v>104839</v>
      </c>
      <c r="G97" s="124">
        <f t="shared" si="9"/>
        <v>20</v>
      </c>
      <c r="H97" s="111">
        <f>G97+'9'!H97</f>
        <v>203</v>
      </c>
      <c r="I97" s="131"/>
      <c r="J97" s="203">
        <f>H97/DAY(B2)</f>
        <v>20.3</v>
      </c>
      <c r="K97" s="80"/>
      <c r="L97" s="68"/>
      <c r="N97" s="364"/>
    </row>
    <row r="98" spans="1:14" ht="27.75">
      <c r="A98" s="759" t="s">
        <v>210</v>
      </c>
      <c r="B98" s="760"/>
      <c r="C98" s="760"/>
      <c r="D98" s="174" t="s">
        <v>143</v>
      </c>
      <c r="E98" s="135">
        <f>'9'!F98</f>
        <v>100636</v>
      </c>
      <c r="F98" s="129">
        <v>100662</v>
      </c>
      <c r="G98" s="124">
        <f t="shared" si="9"/>
        <v>26</v>
      </c>
      <c r="H98" s="111">
        <f>G98+'9'!H98</f>
        <v>292</v>
      </c>
      <c r="I98" s="131"/>
      <c r="J98" s="203">
        <f>H98/DAY(B2)</f>
        <v>29.2</v>
      </c>
      <c r="K98" s="85"/>
      <c r="L98" s="68"/>
      <c r="N98" s="364"/>
    </row>
    <row r="99" spans="1:14" ht="27.75">
      <c r="A99" s="759" t="s">
        <v>211</v>
      </c>
      <c r="B99" s="760"/>
      <c r="C99" s="760"/>
      <c r="D99" s="174" t="s">
        <v>143</v>
      </c>
      <c r="E99" s="135">
        <f>'9'!F99</f>
        <v>152350</v>
      </c>
      <c r="F99" s="129">
        <v>152400</v>
      </c>
      <c r="G99" s="124">
        <f t="shared" si="9"/>
        <v>50</v>
      </c>
      <c r="H99" s="111">
        <f>G99+'9'!H99</f>
        <v>265</v>
      </c>
      <c r="I99" s="131"/>
      <c r="J99" s="203">
        <f>H99/DAY(B2)</f>
        <v>26.5</v>
      </c>
      <c r="K99" s="71"/>
      <c r="L99" s="68"/>
      <c r="N99" s="366"/>
    </row>
    <row r="100" spans="1:14" ht="27.75">
      <c r="A100" s="759" t="s">
        <v>212</v>
      </c>
      <c r="B100" s="760"/>
      <c r="C100" s="760"/>
      <c r="D100" s="174" t="s">
        <v>143</v>
      </c>
      <c r="E100" s="135">
        <f>'9'!F100</f>
        <v>8753</v>
      </c>
      <c r="F100" s="129">
        <v>8764</v>
      </c>
      <c r="G100" s="124">
        <f t="shared" si="9"/>
        <v>11</v>
      </c>
      <c r="H100" s="111">
        <f>G100+'9'!H100</f>
        <v>119</v>
      </c>
      <c r="I100" s="131"/>
      <c r="J100" s="203">
        <f>H100/DAY(B2)</f>
        <v>11.9</v>
      </c>
      <c r="K100" s="71"/>
      <c r="L100" s="68"/>
      <c r="N100" s="364"/>
    </row>
    <row r="101" spans="1:14" ht="27.75">
      <c r="A101" s="759" t="s">
        <v>213</v>
      </c>
      <c r="B101" s="760"/>
      <c r="C101" s="760"/>
      <c r="D101" s="174" t="s">
        <v>143</v>
      </c>
      <c r="E101" s="135">
        <f>'9'!F101</f>
        <v>6469</v>
      </c>
      <c r="F101" s="129">
        <v>6477</v>
      </c>
      <c r="G101" s="124">
        <f t="shared" si="9"/>
        <v>8</v>
      </c>
      <c r="H101" s="111">
        <f>G101+'9'!H101</f>
        <v>104</v>
      </c>
      <c r="I101" s="131"/>
      <c r="J101" s="203">
        <f>H101/DAY(B2)</f>
        <v>10.4</v>
      </c>
      <c r="K101" s="71"/>
      <c r="L101" s="68"/>
      <c r="N101" s="364"/>
    </row>
    <row r="102" spans="1:14">
      <c r="A102" s="1277" t="s">
        <v>215</v>
      </c>
      <c r="B102" s="1278"/>
      <c r="C102" s="1279"/>
      <c r="D102" s="175"/>
      <c r="E102" s="135"/>
      <c r="F102" s="175"/>
      <c r="G102" s="176">
        <f>SUM(G96:G101)</f>
        <v>171</v>
      </c>
      <c r="H102" s="111">
        <f>G102+'9'!H102</f>
        <v>1709</v>
      </c>
      <c r="I102" s="177"/>
      <c r="J102" s="203">
        <f>H102/DAY(B2)</f>
        <v>170.9</v>
      </c>
      <c r="K102" s="71"/>
      <c r="L102" s="68"/>
      <c r="N102" s="364"/>
    </row>
    <row r="103" spans="1:14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4"/>
    </row>
    <row r="104" spans="1:14" s="93" customFormat="1" ht="27.75">
      <c r="A104" s="1280" t="s">
        <v>217</v>
      </c>
      <c r="B104" s="1281"/>
      <c r="C104" s="224"/>
      <c r="D104" s="273"/>
      <c r="E104" s="135"/>
      <c r="F104" s="309"/>
      <c r="G104" s="183"/>
      <c r="H104" s="184"/>
      <c r="I104" s="183"/>
      <c r="J104" s="209"/>
      <c r="N104" s="364"/>
    </row>
    <row r="105" spans="1:14" s="93" customFormat="1" ht="27.75">
      <c r="A105" s="1237" t="s">
        <v>218</v>
      </c>
      <c r="B105" s="1238"/>
      <c r="C105" s="758"/>
      <c r="D105" s="273" t="s">
        <v>143</v>
      </c>
      <c r="E105" s="135">
        <f>'9'!F105</f>
        <v>7961</v>
      </c>
      <c r="F105" s="309">
        <v>7961</v>
      </c>
      <c r="G105" s="124">
        <f t="shared" ref="G105" si="10">F105-E105</f>
        <v>0</v>
      </c>
      <c r="H105" s="111">
        <f>G105+'9'!H105</f>
        <v>0</v>
      </c>
      <c r="I105" s="183"/>
      <c r="J105" s="209">
        <f>H105/DAY(B2)</f>
        <v>0</v>
      </c>
      <c r="N105" s="364"/>
    </row>
    <row r="106" spans="1:14" s="93" customFormat="1" ht="27.75">
      <c r="A106" s="1237" t="s">
        <v>76</v>
      </c>
      <c r="B106" s="1238"/>
      <c r="C106" s="758"/>
      <c r="D106" s="273" t="s">
        <v>143</v>
      </c>
      <c r="E106" s="135">
        <f>'9'!F106</f>
        <v>36837</v>
      </c>
      <c r="F106" s="310">
        <v>36844</v>
      </c>
      <c r="G106" s="183">
        <f t="shared" ref="G106:G107" si="11">F106-E106</f>
        <v>7</v>
      </c>
      <c r="H106" s="111">
        <f>G106+'9'!H106</f>
        <v>79</v>
      </c>
      <c r="I106" s="183"/>
      <c r="J106" s="209">
        <f>H106/DAY(B2)</f>
        <v>7.9</v>
      </c>
      <c r="N106" s="364"/>
    </row>
    <row r="107" spans="1:14" s="93" customFormat="1" ht="27.75">
      <c r="A107" s="1237" t="s">
        <v>77</v>
      </c>
      <c r="B107" s="1282"/>
      <c r="C107" s="1238"/>
      <c r="D107" s="273" t="s">
        <v>143</v>
      </c>
      <c r="E107" s="135">
        <f>'9'!F107</f>
        <v>20288</v>
      </c>
      <c r="F107" s="310">
        <v>20294</v>
      </c>
      <c r="G107" s="183">
        <f t="shared" si="11"/>
        <v>6</v>
      </c>
      <c r="H107" s="111">
        <f>G107+'9'!H107</f>
        <v>80</v>
      </c>
      <c r="I107" s="183"/>
      <c r="J107" s="209">
        <f>H107/DAY(B2)</f>
        <v>8</v>
      </c>
      <c r="N107" s="364"/>
    </row>
    <row r="108" spans="1:14" s="93" customFormat="1" ht="27.75">
      <c r="A108" s="1239" t="s">
        <v>201</v>
      </c>
      <c r="B108" s="1240"/>
      <c r="C108" s="758"/>
      <c r="D108" s="273"/>
      <c r="E108" s="135"/>
      <c r="F108" s="310"/>
      <c r="G108" s="183">
        <f>SUM(G105:G107)</f>
        <v>13</v>
      </c>
      <c r="H108" s="111">
        <f>G108+'9'!H108</f>
        <v>159</v>
      </c>
      <c r="I108" s="183"/>
      <c r="J108" s="209">
        <f>H108/DAY(B2)</f>
        <v>15.9</v>
      </c>
      <c r="N108" s="364"/>
    </row>
    <row r="109" spans="1:14" s="93" customFormat="1" ht="27.75">
      <c r="A109" s="1243" t="s">
        <v>78</v>
      </c>
      <c r="B109" s="1244"/>
      <c r="C109" s="758"/>
      <c r="D109" s="273" t="s">
        <v>143</v>
      </c>
      <c r="E109" s="135"/>
      <c r="F109" s="310"/>
      <c r="G109" s="183"/>
      <c r="H109" s="184"/>
      <c r="I109" s="183"/>
      <c r="J109" s="209"/>
      <c r="N109" s="364"/>
    </row>
    <row r="110" spans="1:14" s="93" customFormat="1" ht="27.75">
      <c r="A110" s="1237" t="s">
        <v>219</v>
      </c>
      <c r="B110" s="1238"/>
      <c r="C110" s="758"/>
      <c r="D110" s="273" t="s">
        <v>143</v>
      </c>
      <c r="E110" s="135">
        <f>'9'!F110</f>
        <v>70152</v>
      </c>
      <c r="F110" s="310">
        <v>70281</v>
      </c>
      <c r="G110" s="183">
        <f>F110-E110</f>
        <v>129</v>
      </c>
      <c r="H110" s="111">
        <f>G110+'9'!H110</f>
        <v>757</v>
      </c>
      <c r="I110" s="183"/>
      <c r="J110" s="209">
        <f>H110/DAY(B2)</f>
        <v>75.7</v>
      </c>
      <c r="N110" s="364"/>
    </row>
    <row r="111" spans="1:14" s="93" customFormat="1" ht="27.75">
      <c r="A111" s="1237" t="s">
        <v>220</v>
      </c>
      <c r="B111" s="1238"/>
      <c r="C111" s="758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4"/>
    </row>
    <row r="112" spans="1:14" s="93" customFormat="1" ht="27.75">
      <c r="A112" s="1237" t="s">
        <v>221</v>
      </c>
      <c r="B112" s="1238"/>
      <c r="C112" s="758"/>
      <c r="D112" s="273" t="s">
        <v>143</v>
      </c>
      <c r="E112" s="135">
        <f>'9'!F112</f>
        <v>4804</v>
      </c>
      <c r="F112" s="310">
        <v>4806</v>
      </c>
      <c r="G112" s="183">
        <f t="shared" si="12"/>
        <v>2</v>
      </c>
      <c r="H112" s="111">
        <f>G112+'9'!H112</f>
        <v>18</v>
      </c>
      <c r="I112" s="183"/>
      <c r="J112" s="209">
        <f>H112/DAY(B2)</f>
        <v>1.8</v>
      </c>
      <c r="N112" s="364"/>
    </row>
    <row r="113" spans="1:14" s="93" customFormat="1" ht="27.75">
      <c r="A113" s="1239" t="s">
        <v>109</v>
      </c>
      <c r="B113" s="1240"/>
      <c r="C113" s="758"/>
      <c r="D113" s="273"/>
      <c r="E113" s="135"/>
      <c r="F113" s="310"/>
      <c r="G113" s="183">
        <f>SUM(G110:G112)</f>
        <v>131</v>
      </c>
      <c r="H113" s="111">
        <f>G113+'9'!H113</f>
        <v>775</v>
      </c>
      <c r="I113" s="183"/>
      <c r="J113" s="209">
        <f>H113/DAY(B2)</f>
        <v>77.5</v>
      </c>
      <c r="N113" s="364"/>
    </row>
    <row r="114" spans="1:14" s="93" customFormat="1" ht="27.75">
      <c r="A114" s="1243" t="s">
        <v>222</v>
      </c>
      <c r="B114" s="1244"/>
      <c r="C114" s="758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4"/>
    </row>
    <row r="115" spans="1:14" s="93" customFormat="1" ht="27.75">
      <c r="A115" s="1237" t="s">
        <v>223</v>
      </c>
      <c r="B115" s="1238"/>
      <c r="C115" s="225"/>
      <c r="D115" s="273" t="s">
        <v>143</v>
      </c>
      <c r="E115" s="135">
        <f>'9'!F115</f>
        <v>13170</v>
      </c>
      <c r="F115" s="310">
        <v>13180</v>
      </c>
      <c r="G115" s="185">
        <f>F115-E115</f>
        <v>10</v>
      </c>
      <c r="H115" s="111">
        <f>G115+'9'!H115</f>
        <v>142</v>
      </c>
      <c r="I115" s="183"/>
      <c r="J115" s="209">
        <f>H115/DAY(B2)</f>
        <v>14.2</v>
      </c>
      <c r="N115" s="364"/>
    </row>
    <row r="116" spans="1:14" s="93" customFormat="1" ht="27.75">
      <c r="A116" s="1237" t="s">
        <v>224</v>
      </c>
      <c r="B116" s="1238"/>
      <c r="C116" s="225"/>
      <c r="D116" s="273" t="s">
        <v>143</v>
      </c>
      <c r="E116" s="135">
        <f>'9'!F116</f>
        <v>9194</v>
      </c>
      <c r="F116" s="310">
        <v>9206</v>
      </c>
      <c r="G116" s="185">
        <f t="shared" ref="G116:G117" si="13">F116-E116</f>
        <v>12</v>
      </c>
      <c r="H116" s="111">
        <f>G116+'9'!H116</f>
        <v>80</v>
      </c>
      <c r="I116" s="183"/>
      <c r="J116" s="209">
        <f>H116/DAY(B2)</f>
        <v>8</v>
      </c>
      <c r="N116" s="364"/>
    </row>
    <row r="117" spans="1:14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4"/>
    </row>
    <row r="118" spans="1:14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22</v>
      </c>
      <c r="H118" s="111">
        <f>G118+'9'!H118</f>
        <v>222</v>
      </c>
      <c r="I118" s="185"/>
      <c r="J118" s="209">
        <f>H118/DAY(B2)</f>
        <v>22.2</v>
      </c>
      <c r="N118" s="364"/>
    </row>
    <row r="119" spans="1:14" s="97" customFormat="1" ht="27.75">
      <c r="A119" s="1233" t="s">
        <v>226</v>
      </c>
      <c r="B119" s="1234"/>
      <c r="C119" s="756"/>
      <c r="D119" s="275" t="s">
        <v>143</v>
      </c>
      <c r="E119" s="187"/>
      <c r="F119" s="311">
        <f>SUM(G19+G93)</f>
        <v>120</v>
      </c>
      <c r="G119" s="187">
        <f>SUM(G19+G93)</f>
        <v>120</v>
      </c>
      <c r="H119" s="111">
        <f>G119+'9'!H119</f>
        <v>1445</v>
      </c>
      <c r="I119" s="186"/>
      <c r="J119" s="210">
        <f>H119/DAY(B2)</f>
        <v>144.5</v>
      </c>
      <c r="N119" s="364"/>
    </row>
    <row r="120" spans="1:14" s="97" customFormat="1" ht="27.75">
      <c r="A120" s="1233" t="s">
        <v>227</v>
      </c>
      <c r="B120" s="1234"/>
      <c r="C120" s="756"/>
      <c r="D120" s="275" t="s">
        <v>143</v>
      </c>
      <c r="E120" s="187"/>
      <c r="F120" s="311">
        <f>SUM(G96,G97,G98,G100,G101)</f>
        <v>121</v>
      </c>
      <c r="G120" s="187">
        <f>SUM(G96,G97,G98,G100,G101)</f>
        <v>121</v>
      </c>
      <c r="H120" s="111">
        <f>G120+'9'!H120</f>
        <v>1444</v>
      </c>
      <c r="I120" s="186"/>
      <c r="J120" s="210">
        <f>H120/DAY(B2)</f>
        <v>144.4</v>
      </c>
      <c r="N120" s="364"/>
    </row>
    <row r="121" spans="1:14" s="97" customFormat="1" ht="27.75">
      <c r="A121" s="1233" t="s">
        <v>228</v>
      </c>
      <c r="B121" s="1234"/>
      <c r="C121" s="756"/>
      <c r="D121" s="275" t="s">
        <v>143</v>
      </c>
      <c r="E121" s="185"/>
      <c r="F121" s="310">
        <f>SUM(G113)</f>
        <v>131</v>
      </c>
      <c r="G121" s="185">
        <f>SUM(G113)</f>
        <v>131</v>
      </c>
      <c r="H121" s="111">
        <f>G121+'9'!H121</f>
        <v>775</v>
      </c>
      <c r="I121" s="186"/>
      <c r="J121" s="210">
        <f>H121/DAY(B2)</f>
        <v>77.5</v>
      </c>
      <c r="N121" s="364"/>
    </row>
    <row r="122" spans="1:14" s="93" customFormat="1" ht="27.75">
      <c r="A122" s="1235"/>
      <c r="B122" s="1236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364"/>
    </row>
    <row r="123" spans="1:14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364"/>
    </row>
    <row r="124" spans="1:14" ht="27.75">
      <c r="A124" s="759" t="s">
        <v>230</v>
      </c>
      <c r="B124" s="760"/>
      <c r="C124" s="760"/>
      <c r="D124" s="174" t="s">
        <v>140</v>
      </c>
      <c r="E124" s="129">
        <f>'9'!F124</f>
        <v>858552</v>
      </c>
      <c r="F124" s="129">
        <v>858781</v>
      </c>
      <c r="G124" s="124">
        <f t="shared" ref="G124:G128" si="14">F124-E124</f>
        <v>229</v>
      </c>
      <c r="H124" s="111">
        <f>G124+'9'!H124</f>
        <v>2429</v>
      </c>
      <c r="I124" s="177"/>
      <c r="J124" s="203">
        <f>H124/DAY(B2)</f>
        <v>242.9</v>
      </c>
      <c r="K124" s="71"/>
      <c r="L124" s="68"/>
      <c r="N124" s="364"/>
    </row>
    <row r="125" spans="1:14" ht="27.75">
      <c r="A125" s="759" t="s">
        <v>231</v>
      </c>
      <c r="B125" s="760"/>
      <c r="C125" s="760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4"/>
    </row>
    <row r="126" spans="1:14" ht="27.75">
      <c r="A126" s="1226" t="s">
        <v>232</v>
      </c>
      <c r="B126" s="1227"/>
      <c r="C126" s="1228"/>
      <c r="D126" s="174" t="s">
        <v>140</v>
      </c>
      <c r="E126" s="129">
        <f>'9'!F126</f>
        <v>154876</v>
      </c>
      <c r="F126" s="129">
        <v>154966</v>
      </c>
      <c r="G126" s="124">
        <f t="shared" si="14"/>
        <v>90</v>
      </c>
      <c r="H126" s="111">
        <f>G126+'9'!H126</f>
        <v>889</v>
      </c>
      <c r="I126" s="177"/>
      <c r="J126" s="203">
        <f>H126/DAY(B2)</f>
        <v>88.9</v>
      </c>
      <c r="K126" s="71"/>
      <c r="L126" s="68"/>
      <c r="N126" s="364"/>
    </row>
    <row r="127" spans="1:14" ht="27.75">
      <c r="A127" s="260" t="s">
        <v>233</v>
      </c>
      <c r="B127" s="760"/>
      <c r="C127" s="760"/>
      <c r="D127" s="174" t="s">
        <v>140</v>
      </c>
      <c r="E127" s="277">
        <f>'9'!F127</f>
        <v>35013</v>
      </c>
      <c r="F127" s="277">
        <v>35049</v>
      </c>
      <c r="G127" s="124">
        <f t="shared" si="14"/>
        <v>36</v>
      </c>
      <c r="H127" s="111">
        <f>G127+'9'!H127</f>
        <v>420</v>
      </c>
      <c r="I127" s="177"/>
      <c r="J127" s="203">
        <f>H127/DAY(B2)</f>
        <v>42</v>
      </c>
      <c r="K127" s="71"/>
      <c r="L127" s="68"/>
      <c r="N127" s="364"/>
    </row>
    <row r="128" spans="1:14" ht="27.75">
      <c r="A128" s="260" t="s">
        <v>234</v>
      </c>
      <c r="B128" s="760"/>
      <c r="C128" s="760"/>
      <c r="D128" s="174" t="s">
        <v>140</v>
      </c>
      <c r="E128" s="277">
        <f>'9'!F128</f>
        <v>9197</v>
      </c>
      <c r="F128" s="277">
        <v>9199</v>
      </c>
      <c r="G128" s="124">
        <f t="shared" si="14"/>
        <v>2</v>
      </c>
      <c r="H128" s="111">
        <f>G128+'9'!H128</f>
        <v>19</v>
      </c>
      <c r="I128" s="131"/>
      <c r="J128" s="203">
        <f>H128/DAY(B2)</f>
        <v>1.9</v>
      </c>
      <c r="K128" s="71"/>
      <c r="L128" s="68"/>
      <c r="N128" s="364"/>
    </row>
    <row r="129" spans="1:14" s="57" customFormat="1" ht="27.75">
      <c r="A129" s="260" t="s">
        <v>235</v>
      </c>
      <c r="B129" s="760"/>
      <c r="C129" s="760"/>
      <c r="D129" s="174"/>
      <c r="E129" s="129"/>
      <c r="F129" s="129" t="s">
        <v>214</v>
      </c>
      <c r="G129" s="124">
        <f>G15-SUM(G124:G128)</f>
        <v>439</v>
      </c>
      <c r="H129" s="111"/>
      <c r="I129" s="131"/>
      <c r="J129" s="203"/>
      <c r="K129" s="60"/>
      <c r="L129" s="58"/>
      <c r="N129" s="364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4"/>
    </row>
    <row r="131" spans="1:14" ht="27.75">
      <c r="A131" s="759" t="s">
        <v>237</v>
      </c>
      <c r="B131" s="760"/>
      <c r="C131" s="760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4"/>
    </row>
    <row r="132" spans="1:14" ht="27.75">
      <c r="A132" s="759" t="s">
        <v>239</v>
      </c>
      <c r="B132" s="760"/>
      <c r="C132" s="760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4"/>
    </row>
    <row r="133" spans="1:14" ht="27.75">
      <c r="A133" s="759" t="s">
        <v>240</v>
      </c>
      <c r="B133" s="760"/>
      <c r="C133" s="760"/>
      <c r="D133" s="174" t="s">
        <v>238</v>
      </c>
      <c r="E133" s="135">
        <f>'9'!F133</f>
        <v>41053</v>
      </c>
      <c r="F133" s="988">
        <v>41077</v>
      </c>
      <c r="G133" s="989">
        <f t="shared" si="15"/>
        <v>24</v>
      </c>
      <c r="H133" s="111">
        <f>G133+'9'!H133</f>
        <v>155</v>
      </c>
      <c r="I133" s="131"/>
      <c r="J133" s="203">
        <f>H133/DAY(B2)</f>
        <v>15.5</v>
      </c>
      <c r="N133" s="364"/>
    </row>
    <row r="134" spans="1:14" ht="27.75">
      <c r="A134" s="759" t="s">
        <v>241</v>
      </c>
      <c r="B134" s="760"/>
      <c r="C134" s="760"/>
      <c r="D134" s="174" t="s">
        <v>238</v>
      </c>
      <c r="E134" s="135">
        <f>'9'!F134</f>
        <v>975</v>
      </c>
      <c r="F134" s="988">
        <v>975</v>
      </c>
      <c r="G134" s="989">
        <f t="shared" si="15"/>
        <v>0</v>
      </c>
      <c r="H134" s="111">
        <f>G134+'9'!H134</f>
        <v>119</v>
      </c>
      <c r="I134" s="131">
        <f>G131+G132+G133+G134</f>
        <v>24</v>
      </c>
      <c r="J134" s="203">
        <f>H134/DAY(B2)</f>
        <v>11.9</v>
      </c>
      <c r="N134" s="364">
        <v>41077</v>
      </c>
    </row>
    <row r="135" spans="1:14" ht="27.75">
      <c r="A135" s="759" t="s">
        <v>242</v>
      </c>
      <c r="B135" s="760"/>
      <c r="C135" s="760"/>
      <c r="D135" s="174" t="s">
        <v>238</v>
      </c>
      <c r="E135" s="135">
        <f>'9'!F135</f>
        <v>42822.14</v>
      </c>
      <c r="F135" s="988">
        <v>42826</v>
      </c>
      <c r="G135" s="989">
        <f t="shared" si="15"/>
        <v>3.8600000000005821</v>
      </c>
      <c r="H135" s="111">
        <f>G135+'9'!H135</f>
        <v>4</v>
      </c>
      <c r="I135" s="131"/>
      <c r="J135" s="203">
        <f>H135/DAY(B2)</f>
        <v>0.4</v>
      </c>
      <c r="N135" s="364"/>
    </row>
    <row r="136" spans="1:14" ht="27.75">
      <c r="A136" s="759" t="s">
        <v>243</v>
      </c>
      <c r="B136" s="760"/>
      <c r="C136" s="760"/>
      <c r="D136" s="174" t="s">
        <v>238</v>
      </c>
      <c r="E136" s="135">
        <f>'9'!F136</f>
        <v>32958.379999999997</v>
      </c>
      <c r="F136" s="988">
        <v>32958.379999999997</v>
      </c>
      <c r="G136" s="989">
        <f t="shared" si="15"/>
        <v>0</v>
      </c>
      <c r="H136" s="111">
        <f>G136+'9'!H136</f>
        <v>30.379999999997381</v>
      </c>
      <c r="I136" s="131"/>
      <c r="J136" s="203">
        <f>H136/DAY(B2)</f>
        <v>3.0379999999997382</v>
      </c>
      <c r="N136" s="364"/>
    </row>
    <row r="137" spans="1:14" ht="27.75">
      <c r="A137" s="759" t="s">
        <v>244</v>
      </c>
      <c r="B137" s="760"/>
      <c r="C137" s="760"/>
      <c r="D137" s="174" t="s">
        <v>238</v>
      </c>
      <c r="E137" s="135">
        <f>'9'!F137</f>
        <v>23439</v>
      </c>
      <c r="F137" s="988">
        <v>23447.39</v>
      </c>
      <c r="G137" s="989">
        <f t="shared" si="15"/>
        <v>8.3899999999994179</v>
      </c>
      <c r="H137" s="111">
        <f>G137+'9'!H137</f>
        <v>90.959999999999127</v>
      </c>
      <c r="I137" s="131">
        <f>G135+G136+G137</f>
        <v>12.25</v>
      </c>
      <c r="J137" s="203">
        <f>H137/DAY(B2)</f>
        <v>9.095999999999913</v>
      </c>
      <c r="N137" s="364"/>
    </row>
    <row r="138" spans="1:14" ht="27.75">
      <c r="A138" s="759" t="s">
        <v>245</v>
      </c>
      <c r="B138" s="760"/>
      <c r="C138" s="760"/>
      <c r="D138" s="174" t="s">
        <v>238</v>
      </c>
      <c r="E138" s="135">
        <f>'9'!F138</f>
        <v>25132.98</v>
      </c>
      <c r="F138" s="988">
        <v>25132.98</v>
      </c>
      <c r="G138" s="989">
        <f t="shared" si="15"/>
        <v>0</v>
      </c>
      <c r="H138" s="111">
        <f>G138+'9'!H138</f>
        <v>2.0000000000436557E-2</v>
      </c>
      <c r="I138" s="131"/>
      <c r="J138" s="203">
        <f>H138/DAY(B2)</f>
        <v>2.0000000000436557E-3</v>
      </c>
      <c r="N138" s="364"/>
    </row>
    <row r="139" spans="1:14" ht="27.75">
      <c r="A139" s="759" t="s">
        <v>246</v>
      </c>
      <c r="B139" s="760"/>
      <c r="C139" s="760"/>
      <c r="D139" s="174" t="s">
        <v>238</v>
      </c>
      <c r="E139" s="135">
        <f>'9'!F139</f>
        <v>70526.05</v>
      </c>
      <c r="F139" s="988">
        <v>70526.05</v>
      </c>
      <c r="G139" s="989">
        <f t="shared" si="15"/>
        <v>0</v>
      </c>
      <c r="H139" s="111">
        <f>G139+'9'!H139</f>
        <v>1.5</v>
      </c>
      <c r="I139" s="131">
        <f>G138+G139</f>
        <v>0</v>
      </c>
      <c r="J139" s="203">
        <f>H139/DAY(B2)</f>
        <v>0.15</v>
      </c>
      <c r="N139" s="364"/>
    </row>
    <row r="140" spans="1:14" ht="27.75">
      <c r="A140" s="759" t="s">
        <v>247</v>
      </c>
      <c r="B140" s="760"/>
      <c r="C140" s="760"/>
      <c r="D140" s="174" t="s">
        <v>238</v>
      </c>
      <c r="E140" s="135">
        <f>'9'!F140</f>
        <v>2706.35</v>
      </c>
      <c r="F140" s="988">
        <v>2714.94</v>
      </c>
      <c r="G140" s="989">
        <f t="shared" si="15"/>
        <v>8.5900000000001455</v>
      </c>
      <c r="H140" s="111">
        <f>G140+'9'!H140</f>
        <v>86.960000000000036</v>
      </c>
      <c r="I140" s="193"/>
      <c r="J140" s="203">
        <f>H140/DAY(B2)</f>
        <v>8.6960000000000033</v>
      </c>
      <c r="N140" s="364"/>
    </row>
    <row r="141" spans="1:14" ht="27.75">
      <c r="A141" s="759" t="s">
        <v>248</v>
      </c>
      <c r="B141" s="760"/>
      <c r="C141" s="760"/>
      <c r="D141" s="174" t="s">
        <v>238</v>
      </c>
      <c r="E141" s="135">
        <f>'9'!F141</f>
        <v>4758.46</v>
      </c>
      <c r="F141" s="988">
        <v>4758.46</v>
      </c>
      <c r="G141" s="989">
        <f t="shared" si="15"/>
        <v>0</v>
      </c>
      <c r="H141" s="111">
        <f>G141+'9'!H141</f>
        <v>4.4600000000000364</v>
      </c>
      <c r="I141" s="193"/>
      <c r="J141" s="203">
        <f>H141/DAY(B2)</f>
        <v>0.44600000000000362</v>
      </c>
      <c r="N141" s="364"/>
    </row>
    <row r="142" spans="1:14">
      <c r="A142" s="1248" t="s">
        <v>249</v>
      </c>
      <c r="B142" s="1249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364"/>
    </row>
    <row r="143" spans="1:14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7110</v>
      </c>
      <c r="H143" s="111">
        <f>G143+'9'!H143</f>
        <v>63476</v>
      </c>
      <c r="I143" s="131"/>
      <c r="J143" s="203">
        <f>H143/DAY(B2)</f>
        <v>6347.6</v>
      </c>
      <c r="K143" s="71"/>
      <c r="L143" s="68"/>
      <c r="N143" s="364"/>
    </row>
    <row r="144" spans="1:14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0.33306787839040614</v>
      </c>
      <c r="H144" s="111">
        <f>G144+'9'!H144</f>
        <v>2.9069180268099015</v>
      </c>
      <c r="I144" s="195"/>
      <c r="J144" s="203">
        <f>H144/DAY(B2)</f>
        <v>0.29069180268099015</v>
      </c>
      <c r="K144" s="71"/>
      <c r="L144" s="68"/>
      <c r="N144" s="364"/>
    </row>
    <row r="145" spans="1:14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6866</v>
      </c>
      <c r="H145" s="111">
        <f>G145+'9'!H145</f>
        <v>67522.22000000003</v>
      </c>
      <c r="I145" s="131"/>
      <c r="J145" s="203">
        <f>H145/DAY(B2)</f>
        <v>6752.2220000000034</v>
      </c>
      <c r="K145" s="71"/>
      <c r="L145" s="68"/>
      <c r="N145" s="364"/>
    </row>
    <row r="146" spans="1:14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0.32163770084789434</v>
      </c>
      <c r="H146" s="111">
        <f>G146+'9'!H146</f>
        <v>3.0809987729052839</v>
      </c>
      <c r="I146" s="195"/>
      <c r="J146" s="203">
        <f>H146/DAY(B2)</f>
        <v>0.3080998772905284</v>
      </c>
      <c r="K146" s="71"/>
      <c r="L146" s="68"/>
      <c r="N146" s="364"/>
    </row>
    <row r="147" spans="1:14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3934</v>
      </c>
      <c r="H147" s="111">
        <f>G147+'9'!H147</f>
        <v>38548</v>
      </c>
      <c r="I147" s="196"/>
      <c r="J147" s="203">
        <f>H147/DAY(B2)</f>
        <v>3854.8</v>
      </c>
      <c r="K147" s="71"/>
      <c r="L147" s="68"/>
      <c r="N147" s="364"/>
    </row>
    <row r="148" spans="1:14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0.18428819037803906</v>
      </c>
      <c r="H148" s="111">
        <f>G148+'9'!H148</f>
        <v>1.7640608173646897</v>
      </c>
      <c r="I148" s="196"/>
      <c r="J148" s="203">
        <f>H148/DAY(B2)</f>
        <v>0.17640608173646896</v>
      </c>
      <c r="N148" s="364"/>
    </row>
    <row r="149" spans="1:14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1688</v>
      </c>
      <c r="H149" s="111">
        <f>G149+'9'!H149</f>
        <v>17058</v>
      </c>
      <c r="I149" s="131"/>
      <c r="J149" s="203">
        <f>H149/DAY(B2)</f>
        <v>1705.8</v>
      </c>
      <c r="K149" s="72"/>
      <c r="N149" s="364"/>
    </row>
    <row r="150" spans="1:14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7.9074342999016251E-2</v>
      </c>
      <c r="H150" s="111">
        <f>G150+'9'!H150</f>
        <v>0.78070508222996338</v>
      </c>
      <c r="I150" s="196"/>
      <c r="J150" s="203">
        <f>H150/DAY(B2)</f>
        <v>7.807050822299634E-2</v>
      </c>
      <c r="N150" s="364"/>
    </row>
    <row r="151" spans="1:14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1444</v>
      </c>
      <c r="H151" s="111">
        <f>G151+'9'!H151</f>
        <v>18481</v>
      </c>
      <c r="I151" s="196"/>
      <c r="J151" s="203">
        <f>H151/DAY(B2)</f>
        <v>1848.1</v>
      </c>
      <c r="N151" s="364"/>
    </row>
    <row r="152" spans="1:14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6.7644165456504424E-2</v>
      </c>
      <c r="H152" s="111">
        <f>G152+'9'!H152</f>
        <v>0.8403249673079467</v>
      </c>
      <c r="I152" s="131"/>
      <c r="J152" s="203">
        <f>H152/DAY(B2)</f>
        <v>8.4032496730794673E-2</v>
      </c>
      <c r="N152" s="364"/>
    </row>
    <row r="153" spans="1:14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1638</v>
      </c>
      <c r="H153" s="111">
        <f>G153+'9'!H153</f>
        <v>16110</v>
      </c>
      <c r="I153" s="131"/>
      <c r="J153" s="203">
        <f>H153/DAY(B2)</f>
        <v>1611</v>
      </c>
      <c r="N153" s="364"/>
    </row>
    <row r="154" spans="1:14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7.6732093502599893E-2</v>
      </c>
      <c r="H154" s="218">
        <f>G154+'9'!H154</f>
        <v>0.73747462081348325</v>
      </c>
      <c r="I154" s="219"/>
      <c r="J154" s="220">
        <f>H154/DAY(B2)</f>
        <v>7.3747462081348331E-2</v>
      </c>
      <c r="N154" s="364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4"/>
    </row>
    <row r="158" spans="1:14" ht="27.75">
      <c r="A158" s="1286" t="s">
        <v>266</v>
      </c>
      <c r="B158" s="1287"/>
      <c r="C158" s="1287"/>
      <c r="D158" s="1287"/>
      <c r="E158" s="1287"/>
      <c r="F158" s="1287"/>
      <c r="G158" s="1288"/>
    </row>
    <row r="159" spans="1:14">
      <c r="A159" s="435"/>
      <c r="B159" s="436"/>
      <c r="C159" s="436"/>
      <c r="D159" s="162"/>
      <c r="E159" s="106"/>
      <c r="F159" s="309"/>
      <c r="G159" s="124"/>
    </row>
    <row r="160" spans="1:14">
      <c r="A160" s="435"/>
      <c r="B160" s="436"/>
      <c r="C160" s="436"/>
      <c r="D160" s="162"/>
      <c r="E160" s="106"/>
      <c r="F160" s="309"/>
      <c r="G160" s="124"/>
    </row>
    <row r="161" spans="1:8">
      <c r="A161" s="435" t="s">
        <v>262</v>
      </c>
      <c r="B161" s="436"/>
      <c r="C161" s="436"/>
      <c r="D161" s="162" t="s">
        <v>186</v>
      </c>
      <c r="E161" s="173">
        <f>'9'!F161</f>
        <v>46530</v>
      </c>
      <c r="F161" s="309">
        <v>46611</v>
      </c>
      <c r="G161" s="124">
        <f>F161-E161</f>
        <v>81</v>
      </c>
    </row>
    <row r="162" spans="1:8">
      <c r="A162" s="435" t="s">
        <v>263</v>
      </c>
      <c r="B162" s="436"/>
      <c r="C162" s="436"/>
      <c r="D162" s="162" t="s">
        <v>186</v>
      </c>
      <c r="E162" s="173">
        <f>'9'!F162</f>
        <v>140862</v>
      </c>
      <c r="F162" s="309">
        <v>141315</v>
      </c>
      <c r="G162" s="124">
        <f t="shared" ref="G162:G175" si="16">F162-E162</f>
        <v>453</v>
      </c>
    </row>
    <row r="163" spans="1:8">
      <c r="A163" s="435" t="s">
        <v>264</v>
      </c>
      <c r="B163" s="436"/>
      <c r="C163" s="436"/>
      <c r="D163" s="162" t="s">
        <v>186</v>
      </c>
      <c r="E163" s="173">
        <f>'9'!F163</f>
        <v>65722</v>
      </c>
      <c r="F163" s="309">
        <v>65931</v>
      </c>
      <c r="G163" s="124">
        <f t="shared" si="16"/>
        <v>209</v>
      </c>
      <c r="H163" s="165"/>
    </row>
    <row r="164" spans="1:8">
      <c r="A164" s="435" t="s">
        <v>265</v>
      </c>
      <c r="B164" s="436"/>
      <c r="C164" s="436"/>
      <c r="D164" s="162" t="s">
        <v>186</v>
      </c>
      <c r="E164" s="173">
        <f>'9'!F164</f>
        <v>7556</v>
      </c>
      <c r="F164" s="309">
        <v>7563</v>
      </c>
      <c r="G164" s="124">
        <f t="shared" si="16"/>
        <v>7</v>
      </c>
    </row>
    <row r="165" spans="1:8">
      <c r="A165" s="437" t="s">
        <v>97</v>
      </c>
      <c r="B165" s="255"/>
      <c r="C165" s="255"/>
      <c r="D165" s="162" t="s">
        <v>186</v>
      </c>
      <c r="E165" s="173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>
      <c r="A166" s="437" t="s">
        <v>187</v>
      </c>
      <c r="B166" s="255"/>
      <c r="C166" s="255"/>
      <c r="D166" s="162" t="s">
        <v>186</v>
      </c>
      <c r="E166" s="173">
        <f>'9'!F166</f>
        <v>30.8</v>
      </c>
      <c r="F166" s="165">
        <f t="shared" ref="F166:F172" si="17">F63</f>
        <v>41</v>
      </c>
      <c r="G166" s="124">
        <f t="shared" si="16"/>
        <v>10.199999999999999</v>
      </c>
    </row>
    <row r="167" spans="1:8" ht="31.5" customHeight="1">
      <c r="A167" s="1232" t="s">
        <v>98</v>
      </c>
      <c r="B167" s="1232"/>
      <c r="C167" s="1232"/>
      <c r="D167" s="174" t="s">
        <v>186</v>
      </c>
      <c r="E167" s="173">
        <f>'9'!F167</f>
        <v>197955</v>
      </c>
      <c r="F167" s="165">
        <f t="shared" si="17"/>
        <v>198353</v>
      </c>
      <c r="G167" s="124">
        <f t="shared" si="16"/>
        <v>398</v>
      </c>
    </row>
    <row r="168" spans="1:8" ht="21.75" customHeight="1">
      <c r="A168" s="1232" t="s">
        <v>99</v>
      </c>
      <c r="B168" s="1232"/>
      <c r="C168" s="1232"/>
      <c r="D168" s="174" t="s">
        <v>186</v>
      </c>
      <c r="E168" s="173">
        <f>'9'!F168</f>
        <v>198091</v>
      </c>
      <c r="F168" s="165">
        <f t="shared" si="17"/>
        <v>198484</v>
      </c>
      <c r="G168" s="124">
        <f t="shared" si="16"/>
        <v>393</v>
      </c>
    </row>
    <row r="169" spans="1:8" ht="27.75" customHeight="1">
      <c r="A169" s="1232" t="s">
        <v>100</v>
      </c>
      <c r="B169" s="1232"/>
      <c r="C169" s="1232"/>
      <c r="D169" s="174" t="s">
        <v>186</v>
      </c>
      <c r="E169" s="173">
        <f>'9'!F169</f>
        <v>96949</v>
      </c>
      <c r="F169" s="165">
        <f t="shared" si="17"/>
        <v>97357</v>
      </c>
      <c r="G169" s="124">
        <f t="shared" si="16"/>
        <v>408</v>
      </c>
    </row>
    <row r="170" spans="1:8" ht="21.75" customHeight="1">
      <c r="A170" s="1232" t="s">
        <v>101</v>
      </c>
      <c r="B170" s="1232"/>
      <c r="C170" s="1232"/>
      <c r="D170" s="174" t="s">
        <v>186</v>
      </c>
      <c r="E170" s="173">
        <f>'9'!F170</f>
        <v>299006</v>
      </c>
      <c r="F170" s="165">
        <f t="shared" si="17"/>
        <v>299522</v>
      </c>
      <c r="G170" s="124">
        <f t="shared" si="16"/>
        <v>516</v>
      </c>
    </row>
    <row r="171" spans="1:8" ht="27.75" customHeight="1">
      <c r="A171" s="1232" t="s">
        <v>102</v>
      </c>
      <c r="B171" s="1232"/>
      <c r="C171" s="1232"/>
      <c r="D171" s="174" t="s">
        <v>186</v>
      </c>
      <c r="E171" s="173">
        <f>'9'!F171</f>
        <v>85321</v>
      </c>
      <c r="F171" s="165">
        <f t="shared" si="17"/>
        <v>85488</v>
      </c>
      <c r="G171" s="124">
        <f t="shared" si="16"/>
        <v>167</v>
      </c>
    </row>
    <row r="172" spans="1:8" ht="27.75">
      <c r="A172" s="1232" t="s">
        <v>103</v>
      </c>
      <c r="B172" s="1232"/>
      <c r="C172" s="1232"/>
      <c r="D172" s="174" t="s">
        <v>186</v>
      </c>
      <c r="E172" s="173">
        <f>'9'!F172</f>
        <v>109089</v>
      </c>
      <c r="F172" s="165">
        <f t="shared" si="17"/>
        <v>109396</v>
      </c>
      <c r="G172" s="124">
        <f t="shared" si="16"/>
        <v>307</v>
      </c>
    </row>
    <row r="173" spans="1:8">
      <c r="A173" s="1273" t="s">
        <v>337</v>
      </c>
      <c r="B173" s="1236"/>
      <c r="C173" s="436"/>
      <c r="D173" s="174" t="s">
        <v>186</v>
      </c>
      <c r="E173" s="183">
        <v>19240</v>
      </c>
      <c r="F173" s="183">
        <v>19241</v>
      </c>
      <c r="G173" s="124">
        <f t="shared" si="16"/>
        <v>1</v>
      </c>
    </row>
    <row r="174" spans="1:8">
      <c r="A174" s="1273" t="s">
        <v>337</v>
      </c>
      <c r="B174" s="1236"/>
      <c r="C174" s="436"/>
      <c r="D174" s="174" t="s">
        <v>186</v>
      </c>
      <c r="E174" s="183">
        <v>70790</v>
      </c>
      <c r="F174" s="183">
        <v>70796</v>
      </c>
      <c r="G174" s="124">
        <f t="shared" si="16"/>
        <v>6</v>
      </c>
    </row>
    <row r="175" spans="1:8">
      <c r="A175" s="1273" t="s">
        <v>338</v>
      </c>
      <c r="B175" s="1236"/>
      <c r="C175" s="436"/>
      <c r="D175" s="174" t="s">
        <v>186</v>
      </c>
      <c r="E175" s="183">
        <v>28012</v>
      </c>
      <c r="F175" s="183">
        <v>28017</v>
      </c>
      <c r="G175" s="124">
        <f t="shared" si="16"/>
        <v>5</v>
      </c>
    </row>
    <row r="177" spans="1:7" ht="37.5" customHeight="1">
      <c r="A177" s="1296" t="s">
        <v>382</v>
      </c>
      <c r="B177" s="1296"/>
      <c r="C177" s="1296"/>
      <c r="D177" s="1296"/>
      <c r="E177" s="1296"/>
      <c r="F177" s="1296"/>
      <c r="G177" s="1296"/>
    </row>
    <row r="178" spans="1:7" ht="26.25" customHeight="1">
      <c r="A178" s="435"/>
      <c r="B178" s="436"/>
      <c r="C178" s="436"/>
      <c r="D178" s="174" t="s">
        <v>186</v>
      </c>
      <c r="E178" s="173">
        <f>'9'!F178</f>
        <v>0</v>
      </c>
      <c r="F178" s="193"/>
      <c r="G178" s="124">
        <f t="shared" ref="G178:G184" si="18">F178-E178</f>
        <v>0</v>
      </c>
    </row>
    <row r="179" spans="1:7" ht="21.75" customHeight="1">
      <c r="A179" s="435" t="s">
        <v>383</v>
      </c>
      <c r="B179" s="436"/>
      <c r="C179" s="436"/>
      <c r="D179" s="174" t="s">
        <v>186</v>
      </c>
      <c r="E179" s="173">
        <f>'9'!F179</f>
        <v>1150</v>
      </c>
      <c r="F179" s="193">
        <v>1440</v>
      </c>
      <c r="G179" s="124">
        <f t="shared" si="18"/>
        <v>290</v>
      </c>
    </row>
    <row r="180" spans="1:7" ht="21.75" customHeight="1">
      <c r="A180" s="435" t="s">
        <v>384</v>
      </c>
      <c r="B180" s="436"/>
      <c r="C180" s="436"/>
      <c r="D180" s="174" t="s">
        <v>186</v>
      </c>
      <c r="E180" s="173">
        <f>'9'!F180</f>
        <v>406</v>
      </c>
      <c r="F180" s="193">
        <v>599</v>
      </c>
      <c r="G180" s="124">
        <f t="shared" si="18"/>
        <v>193</v>
      </c>
    </row>
    <row r="181" spans="1:7" ht="21.75" customHeight="1">
      <c r="A181" s="435" t="s">
        <v>385</v>
      </c>
      <c r="B181" s="436"/>
      <c r="C181" s="436"/>
      <c r="D181" s="174" t="s">
        <v>186</v>
      </c>
      <c r="E181" s="173">
        <v>0</v>
      </c>
      <c r="F181" s="193">
        <v>46</v>
      </c>
      <c r="G181" s="124">
        <f t="shared" si="18"/>
        <v>46</v>
      </c>
    </row>
    <row r="182" spans="1:7" ht="21.75" customHeight="1">
      <c r="A182" s="435" t="s">
        <v>386</v>
      </c>
      <c r="B182" s="436"/>
      <c r="C182" s="436"/>
      <c r="D182" s="174" t="s">
        <v>186</v>
      </c>
      <c r="E182" s="173">
        <f>'9'!F182</f>
        <v>469</v>
      </c>
      <c r="F182" s="193">
        <v>525</v>
      </c>
      <c r="G182" s="124">
        <f t="shared" si="18"/>
        <v>56</v>
      </c>
    </row>
    <row r="183" spans="1:7" ht="21.75" customHeight="1">
      <c r="A183" s="435" t="s">
        <v>387</v>
      </c>
      <c r="B183" s="436"/>
      <c r="C183" s="436"/>
      <c r="D183" s="174" t="s">
        <v>186</v>
      </c>
      <c r="E183" s="173">
        <f>'9'!F183</f>
        <v>1097</v>
      </c>
      <c r="F183" s="193">
        <v>1400</v>
      </c>
      <c r="G183" s="124">
        <f t="shared" si="18"/>
        <v>303</v>
      </c>
    </row>
    <row r="184" spans="1:7" ht="21.75" customHeight="1">
      <c r="A184" s="435" t="s">
        <v>388</v>
      </c>
      <c r="B184" s="436"/>
      <c r="C184" s="436"/>
      <c r="D184" s="174" t="s">
        <v>186</v>
      </c>
      <c r="E184" s="173">
        <f>'9'!F184</f>
        <v>1710</v>
      </c>
      <c r="F184" s="193">
        <v>2425</v>
      </c>
      <c r="G184" s="124">
        <f t="shared" si="18"/>
        <v>715</v>
      </c>
    </row>
    <row r="185" spans="1:7" ht="21.75" customHeight="1"/>
    <row r="186" spans="1:7" ht="21.75" customHeight="1"/>
    <row r="187" spans="1:7" ht="21.75" customHeight="1"/>
    <row r="188" spans="1:7" ht="21.75" customHeight="1"/>
    <row r="189" spans="1:7" ht="21.75" customHeight="1"/>
    <row r="190" spans="1:7" ht="21.75" customHeight="1"/>
    <row r="191" spans="1:7" ht="21.75" customHeight="1"/>
    <row r="192" spans="1:7" ht="21.75" customHeight="1"/>
    <row r="193" ht="21.75" customHeight="1"/>
    <row r="194" ht="36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9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7:G177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9"/>
  <sheetViews>
    <sheetView topLeftCell="A154" zoomScale="55" zoomScaleNormal="55" workbookViewId="0">
      <selection activeCell="F182" sqref="F182"/>
    </sheetView>
  </sheetViews>
  <sheetFormatPr defaultColWidth="22.33203125" defaultRowHeight="29.2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59" customWidth="1"/>
    <col min="6" max="6" width="30" style="1060" customWidth="1"/>
    <col min="7" max="7" width="28.88671875" style="1059" customWidth="1"/>
    <col min="8" max="8" width="39.21875" style="1061" customWidth="1"/>
    <col min="9" max="9" width="18.88671875" style="1059" customWidth="1"/>
    <col min="10" max="10" width="24" style="1062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6384" width="22.33203125" style="67"/>
  </cols>
  <sheetData>
    <row r="1" spans="1:16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6" s="57" customFormat="1" ht="27">
      <c r="A2" s="226" t="s">
        <v>366</v>
      </c>
      <c r="B2" s="682">
        <v>44450</v>
      </c>
      <c r="C2" s="761" t="s">
        <v>68</v>
      </c>
      <c r="D2" s="262">
        <v>0.99</v>
      </c>
      <c r="E2" s="990"/>
      <c r="F2" s="990"/>
      <c r="G2" s="990" t="s">
        <v>117</v>
      </c>
      <c r="H2" s="990" t="s">
        <v>6</v>
      </c>
      <c r="I2" s="990" t="s">
        <v>8</v>
      </c>
      <c r="J2" s="991" t="s">
        <v>118</v>
      </c>
      <c r="N2" s="368"/>
    </row>
    <row r="3" spans="1:16" s="57" customFormat="1" ht="27">
      <c r="A3" s="221"/>
      <c r="B3" s="265"/>
      <c r="C3" s="761" t="s">
        <v>119</v>
      </c>
      <c r="D3" s="263">
        <v>28</v>
      </c>
      <c r="E3" s="1297" t="s">
        <v>120</v>
      </c>
      <c r="F3" s="1298"/>
      <c r="G3" s="992"/>
      <c r="H3" s="993"/>
      <c r="I3" s="993"/>
      <c r="J3" s="994"/>
      <c r="K3" s="63"/>
      <c r="L3" s="58"/>
      <c r="N3" s="368"/>
    </row>
    <row r="4" spans="1:16" s="57" customFormat="1" ht="27">
      <c r="A4" s="227"/>
      <c r="B4" s="267"/>
      <c r="C4" s="761" t="s">
        <v>121</v>
      </c>
      <c r="D4" s="262">
        <v>0.8</v>
      </c>
      <c r="E4" s="995"/>
      <c r="F4" s="995"/>
      <c r="G4" s="995"/>
      <c r="H4" s="995"/>
      <c r="I4" s="996"/>
      <c r="J4" s="994"/>
      <c r="K4" s="64"/>
      <c r="L4" s="58"/>
      <c r="N4" s="368"/>
    </row>
    <row r="5" spans="1:16">
      <c r="A5" s="228" t="s">
        <v>122</v>
      </c>
      <c r="B5" s="110"/>
      <c r="C5" s="110"/>
      <c r="D5" s="162" t="s">
        <v>123</v>
      </c>
      <c r="E5" s="997" t="s">
        <v>124</v>
      </c>
      <c r="F5" s="997" t="s">
        <v>111</v>
      </c>
      <c r="G5" s="998" t="s">
        <v>125</v>
      </c>
      <c r="H5" s="997" t="s">
        <v>126</v>
      </c>
      <c r="I5" s="747" t="s">
        <v>127</v>
      </c>
      <c r="J5" s="999" t="s">
        <v>128</v>
      </c>
      <c r="K5" s="79"/>
      <c r="L5" s="68"/>
    </row>
    <row r="6" spans="1:16">
      <c r="A6" s="1253" t="s">
        <v>129</v>
      </c>
      <c r="B6" s="1254"/>
      <c r="C6" s="1255"/>
      <c r="D6" s="122"/>
      <c r="E6" s="1000"/>
      <c r="F6" s="1000"/>
      <c r="G6" s="1000"/>
      <c r="H6" s="278"/>
      <c r="I6" s="278"/>
      <c r="J6" s="1001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1002">
        <f>'10'!F7</f>
        <v>517597</v>
      </c>
      <c r="F7" s="106">
        <v>538940</v>
      </c>
      <c r="G7" s="1003">
        <f>F7-E7</f>
        <v>21343</v>
      </c>
      <c r="H7" s="400">
        <f>G7+'10'!H7</f>
        <v>240249</v>
      </c>
      <c r="I7" s="1004">
        <v>12000</v>
      </c>
      <c r="J7" s="1005">
        <f>H7/DAY(B2)</f>
        <v>21840.81818181818</v>
      </c>
      <c r="K7" s="200"/>
      <c r="L7" s="68"/>
      <c r="N7" s="369"/>
      <c r="P7" s="372"/>
    </row>
    <row r="8" spans="1:16" ht="27.75" thickBot="1">
      <c r="A8" s="333" t="s">
        <v>132</v>
      </c>
      <c r="B8" s="334"/>
      <c r="C8" s="335"/>
      <c r="D8" s="336" t="s">
        <v>25</v>
      </c>
      <c r="E8" s="1002">
        <f>'10'!F8</f>
        <v>529367</v>
      </c>
      <c r="F8" s="126">
        <v>550808</v>
      </c>
      <c r="G8" s="1003">
        <f t="shared" ref="G8:G12" si="0">F8-E8</f>
        <v>21441</v>
      </c>
      <c r="H8" s="400">
        <f>G8+'10'!H8</f>
        <v>241236</v>
      </c>
      <c r="I8" s="1006">
        <v>12000</v>
      </c>
      <c r="J8" s="1005">
        <f>H8/DAY(B2)</f>
        <v>21930.545454545456</v>
      </c>
      <c r="K8" s="200"/>
      <c r="L8" s="78"/>
      <c r="M8" s="91"/>
      <c r="N8" s="369"/>
      <c r="P8" s="73"/>
    </row>
    <row r="9" spans="1:16">
      <c r="A9" s="338" t="s">
        <v>133</v>
      </c>
      <c r="B9" s="339"/>
      <c r="C9" s="339"/>
      <c r="D9" s="288" t="s">
        <v>131</v>
      </c>
      <c r="E9" s="1002">
        <f>'10'!F9</f>
        <v>294805</v>
      </c>
      <c r="F9" s="302">
        <v>315496</v>
      </c>
      <c r="G9" s="1007">
        <f t="shared" si="0"/>
        <v>20691</v>
      </c>
      <c r="H9" s="400">
        <f>G9+'10'!H9</f>
        <v>232966</v>
      </c>
      <c r="I9" s="400">
        <f>I7-J7</f>
        <v>-9840.8181818181802</v>
      </c>
      <c r="J9" s="1005">
        <f>H9/DAY(B2)</f>
        <v>21178.727272727272</v>
      </c>
      <c r="K9" s="81"/>
      <c r="L9" s="68"/>
      <c r="N9" s="369"/>
      <c r="P9" s="73"/>
    </row>
    <row r="10" spans="1:16">
      <c r="A10" s="327" t="s">
        <v>134</v>
      </c>
      <c r="B10" s="328"/>
      <c r="C10" s="328"/>
      <c r="D10" s="288" t="s">
        <v>131</v>
      </c>
      <c r="E10" s="1002">
        <f>'10'!F10</f>
        <v>2606.5500000000002</v>
      </c>
      <c r="F10" s="302">
        <v>2606.5500000000002</v>
      </c>
      <c r="G10" s="1003">
        <f t="shared" si="0"/>
        <v>0</v>
      </c>
      <c r="H10" s="400">
        <f>G10+'10'!H10</f>
        <v>-0.4499999999998181</v>
      </c>
      <c r="I10" s="1008"/>
      <c r="J10" s="1005">
        <f>H10/DAY(B2)</f>
        <v>-4.0909090909074373E-2</v>
      </c>
      <c r="K10" s="81"/>
      <c r="L10" s="68"/>
      <c r="N10" s="369"/>
      <c r="P10" s="73"/>
    </row>
    <row r="11" spans="1:16">
      <c r="A11" s="327" t="s">
        <v>135</v>
      </c>
      <c r="B11" s="328"/>
      <c r="C11" s="328"/>
      <c r="D11" s="288" t="s">
        <v>131</v>
      </c>
      <c r="E11" s="1002">
        <f>'10'!F11</f>
        <v>37000</v>
      </c>
      <c r="F11" s="357">
        <v>37000</v>
      </c>
      <c r="G11" s="1003">
        <f t="shared" si="0"/>
        <v>0</v>
      </c>
      <c r="H11" s="400">
        <f>G11+'10'!H11</f>
        <v>0</v>
      </c>
      <c r="I11" s="1008"/>
      <c r="J11" s="1005">
        <f>H11/DAY(B2)</f>
        <v>0</v>
      </c>
      <c r="K11" s="81"/>
      <c r="L11" s="68"/>
      <c r="N11" s="369"/>
      <c r="P11" s="73"/>
    </row>
    <row r="12" spans="1:16">
      <c r="A12" s="327" t="s">
        <v>136</v>
      </c>
      <c r="B12" s="328"/>
      <c r="C12" s="328"/>
      <c r="D12" s="288" t="s">
        <v>131</v>
      </c>
      <c r="E12" s="1002">
        <f>'10'!F12</f>
        <v>40010</v>
      </c>
      <c r="F12" s="302">
        <v>40010</v>
      </c>
      <c r="G12" s="1003">
        <f t="shared" si="0"/>
        <v>0</v>
      </c>
      <c r="H12" s="400">
        <f>G12+'10'!H12</f>
        <v>0</v>
      </c>
      <c r="I12" s="1008"/>
      <c r="J12" s="1005">
        <f>H12/DAY(B2)</f>
        <v>0</v>
      </c>
      <c r="K12" s="81"/>
      <c r="L12" s="68"/>
      <c r="N12" s="369"/>
      <c r="P12" s="73"/>
    </row>
    <row r="13" spans="1:16">
      <c r="A13" s="343" t="s">
        <v>137</v>
      </c>
      <c r="B13" s="344"/>
      <c r="C13" s="344"/>
      <c r="D13" s="288"/>
      <c r="E13" s="1002"/>
      <c r="F13" s="357"/>
      <c r="G13" s="1003">
        <f>G9+G10+G11+G12</f>
        <v>20691</v>
      </c>
      <c r="H13" s="400">
        <f>G13+'9'!H13</f>
        <v>188950.06</v>
      </c>
      <c r="I13" s="1002">
        <f>G7-G13</f>
        <v>652</v>
      </c>
      <c r="J13" s="1005">
        <f>H13/DAY(B2)</f>
        <v>17177.278181818183</v>
      </c>
      <c r="K13" s="81"/>
      <c r="L13" s="68"/>
      <c r="N13" s="369"/>
      <c r="P13" s="73"/>
    </row>
    <row r="14" spans="1:16">
      <c r="A14" s="1256" t="s">
        <v>138</v>
      </c>
      <c r="B14" s="1257"/>
      <c r="C14" s="1258"/>
      <c r="D14" s="123"/>
      <c r="E14" s="278"/>
      <c r="F14" s="278"/>
      <c r="G14" s="298"/>
      <c r="H14" s="278"/>
      <c r="I14" s="278"/>
      <c r="J14" s="1001"/>
      <c r="K14" s="82"/>
      <c r="L14" s="68"/>
      <c r="N14" s="369"/>
      <c r="P14" s="73"/>
    </row>
    <row r="15" spans="1:16">
      <c r="A15" s="443" t="s">
        <v>139</v>
      </c>
      <c r="B15" s="444"/>
      <c r="C15" s="444"/>
      <c r="D15" s="175" t="s">
        <v>140</v>
      </c>
      <c r="E15" s="302">
        <f>'10'!F15</f>
        <v>1765151</v>
      </c>
      <c r="F15" s="351">
        <v>1766032</v>
      </c>
      <c r="G15" s="303">
        <f>(F15-E15)</f>
        <v>881</v>
      </c>
      <c r="H15" s="356">
        <f>G15+'10'!H15</f>
        <v>9502</v>
      </c>
      <c r="I15" s="1010">
        <v>800</v>
      </c>
      <c r="J15" s="358">
        <f>H15/DAY(B2)</f>
        <v>863.81818181818187</v>
      </c>
      <c r="K15" s="81"/>
      <c r="L15" s="68"/>
      <c r="N15" s="369"/>
      <c r="P15" s="73"/>
    </row>
    <row r="16" spans="1:16">
      <c r="A16" s="238"/>
      <c r="B16" s="239"/>
      <c r="C16" s="239"/>
      <c r="D16" s="175"/>
      <c r="E16" s="302"/>
      <c r="F16" s="302"/>
      <c r="G16" s="1009"/>
      <c r="H16" s="356"/>
      <c r="I16" s="357">
        <f>I15-J15</f>
        <v>-63.81818181818187</v>
      </c>
      <c r="J16" s="358"/>
      <c r="K16" s="81"/>
      <c r="L16" s="68"/>
      <c r="N16" s="369"/>
      <c r="P16" s="73"/>
    </row>
    <row r="17" spans="1:16">
      <c r="A17" s="1256" t="s">
        <v>141</v>
      </c>
      <c r="B17" s="1257"/>
      <c r="C17" s="1258"/>
      <c r="D17" s="123"/>
      <c r="E17" s="278"/>
      <c r="F17" s="278"/>
      <c r="G17" s="400"/>
      <c r="H17" s="278"/>
      <c r="I17" s="278"/>
      <c r="J17" s="1001"/>
      <c r="K17" s="81"/>
      <c r="L17" s="68"/>
      <c r="N17" s="369"/>
      <c r="P17" s="73"/>
    </row>
    <row r="18" spans="1:16" ht="27.75">
      <c r="A18" s="1293" t="s">
        <v>142</v>
      </c>
      <c r="B18" s="1294"/>
      <c r="C18" s="1295"/>
      <c r="D18" s="288" t="s">
        <v>143</v>
      </c>
      <c r="E18" s="286">
        <f>'10'!F18</f>
        <v>14</v>
      </c>
      <c r="F18" s="302">
        <v>15</v>
      </c>
      <c r="G18" s="1003">
        <f>F18*10</f>
        <v>150</v>
      </c>
      <c r="H18" s="400">
        <f>G18+'10'!H18</f>
        <v>1570</v>
      </c>
      <c r="I18" s="1004">
        <v>65</v>
      </c>
      <c r="J18" s="1005">
        <f>H18/DAY(B2)</f>
        <v>142.72727272727272</v>
      </c>
      <c r="K18" s="81"/>
      <c r="L18" s="68"/>
      <c r="N18" s="369"/>
      <c r="P18" s="73"/>
    </row>
    <row r="19" spans="1:16" ht="27.75">
      <c r="A19" s="1293" t="s">
        <v>70</v>
      </c>
      <c r="B19" s="1294"/>
      <c r="C19" s="1295"/>
      <c r="D19" s="288" t="s">
        <v>143</v>
      </c>
      <c r="E19" s="286">
        <f>'10'!F19</f>
        <v>145939</v>
      </c>
      <c r="F19" s="302">
        <v>146000</v>
      </c>
      <c r="G19" s="1003">
        <f t="shared" ref="G19" si="1">F19-E19</f>
        <v>61</v>
      </c>
      <c r="H19" s="400">
        <f>G19+'10'!H19</f>
        <v>662</v>
      </c>
      <c r="I19" s="1011"/>
      <c r="J19" s="1005">
        <f>H19/DAY(B2)</f>
        <v>60.18181818181818</v>
      </c>
      <c r="K19" s="81"/>
      <c r="L19" s="68"/>
      <c r="N19" s="369"/>
      <c r="P19" s="73"/>
    </row>
    <row r="20" spans="1:16">
      <c r="A20" s="343" t="s">
        <v>144</v>
      </c>
      <c r="B20" s="344"/>
      <c r="C20" s="344"/>
      <c r="D20" s="288"/>
      <c r="E20" s="298"/>
      <c r="F20" s="278"/>
      <c r="G20" s="1012">
        <f>G18+G19</f>
        <v>211</v>
      </c>
      <c r="H20" s="400">
        <f>G20+'10'!H20</f>
        <v>2232</v>
      </c>
      <c r="I20" s="1013">
        <f>I18-J20</f>
        <v>-137.90909090909091</v>
      </c>
      <c r="J20" s="1005">
        <f>H20/DAY(B2)</f>
        <v>202.90909090909091</v>
      </c>
      <c r="K20" s="81"/>
      <c r="L20" s="68"/>
      <c r="N20" s="369"/>
      <c r="P20" s="73"/>
    </row>
    <row r="21" spans="1:16">
      <c r="A21" s="1256" t="s">
        <v>145</v>
      </c>
      <c r="B21" s="1257"/>
      <c r="C21" s="1258"/>
      <c r="D21" s="123"/>
      <c r="E21" s="278"/>
      <c r="F21" s="278"/>
      <c r="G21" s="298"/>
      <c r="H21" s="278"/>
      <c r="I21" s="278"/>
      <c r="J21" s="1001"/>
      <c r="K21" s="81"/>
      <c r="L21" s="68"/>
      <c r="N21" s="369"/>
      <c r="P21" s="73"/>
    </row>
    <row r="22" spans="1:16">
      <c r="A22" s="759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6">
        <f>G22+'10'!H22</f>
        <v>0</v>
      </c>
      <c r="I22" s="718"/>
      <c r="J22" s="358">
        <f>H22/DAY(B2)</f>
        <v>0</v>
      </c>
      <c r="K22" s="81"/>
      <c r="L22" s="68"/>
      <c r="N22" s="369"/>
      <c r="P22" s="73"/>
    </row>
    <row r="23" spans="1:16">
      <c r="A23" s="759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6">
        <f>G23+'10'!H23</f>
        <v>0</v>
      </c>
      <c r="I23" s="718"/>
      <c r="J23" s="358">
        <f>H23/DAY(B2)</f>
        <v>0</v>
      </c>
      <c r="K23" s="81"/>
      <c r="L23" s="68"/>
      <c r="N23" s="369"/>
      <c r="P23" s="73"/>
    </row>
    <row r="24" spans="1:16">
      <c r="A24" s="241" t="s">
        <v>149</v>
      </c>
      <c r="B24" s="242"/>
      <c r="C24" s="242"/>
      <c r="D24" s="162" t="s">
        <v>147</v>
      </c>
      <c r="E24" s="1014">
        <f>'10'!F24</f>
        <v>4970</v>
      </c>
      <c r="F24" s="302">
        <v>4970</v>
      </c>
      <c r="G24" s="303">
        <v>0</v>
      </c>
      <c r="H24" s="356">
        <f>G24+'10'!H24</f>
        <v>0</v>
      </c>
      <c r="I24" s="718"/>
      <c r="J24" s="358">
        <f>H24/DAY(B2)</f>
        <v>0</v>
      </c>
      <c r="K24" s="81"/>
      <c r="L24" s="68"/>
      <c r="N24" s="369"/>
      <c r="P24" s="73"/>
    </row>
    <row r="25" spans="1:16" s="93" customFormat="1" ht="27">
      <c r="A25" s="1261" t="s">
        <v>150</v>
      </c>
      <c r="B25" s="1262"/>
      <c r="C25" s="1263"/>
      <c r="D25" s="122"/>
      <c r="E25" s="1000"/>
      <c r="F25" s="1000"/>
      <c r="G25" s="1015"/>
      <c r="H25" s="747"/>
      <c r="I25" s="1016"/>
      <c r="J25" s="1017"/>
      <c r="K25" s="65"/>
      <c r="L25" s="94"/>
      <c r="N25" s="369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018"/>
      <c r="F26" s="357"/>
      <c r="G26" s="1019"/>
      <c r="H26" s="356"/>
      <c r="I26" s="1020"/>
      <c r="J26" s="358"/>
      <c r="K26" s="66"/>
      <c r="L26" s="94"/>
      <c r="N26" s="369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1021">
        <f>G8</f>
        <v>21441</v>
      </c>
      <c r="F27" s="1022">
        <v>9</v>
      </c>
      <c r="G27" s="1023">
        <f>E27*F27</f>
        <v>192969</v>
      </c>
      <c r="H27" s="356">
        <f>G27+'10'!H27</f>
        <v>2171124</v>
      </c>
      <c r="I27" s="1024"/>
      <c r="J27" s="358">
        <f>H27/DAY(B2)</f>
        <v>197374.90909090909</v>
      </c>
      <c r="K27" s="65"/>
      <c r="L27" s="94"/>
      <c r="N27" s="369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1021">
        <f>G15</f>
        <v>881</v>
      </c>
      <c r="F28" s="152">
        <v>56.2</v>
      </c>
      <c r="G28" s="1023">
        <f>E28*F28</f>
        <v>49512.200000000004</v>
      </c>
      <c r="H28" s="356">
        <f>G28+'10'!H28</f>
        <v>530975.31260000018</v>
      </c>
      <c r="I28" s="1025"/>
      <c r="J28" s="358">
        <f>H28/DAY(B2)</f>
        <v>48270.482963636379</v>
      </c>
      <c r="K28" s="65"/>
      <c r="L28" s="94"/>
      <c r="N28" s="369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1021">
        <f>G24</f>
        <v>0</v>
      </c>
      <c r="F29" s="1022">
        <v>69</v>
      </c>
      <c r="G29" s="1023">
        <f>E29*F29</f>
        <v>0</v>
      </c>
      <c r="H29" s="356">
        <f>G29+'10'!H29</f>
        <v>0</v>
      </c>
      <c r="I29" s="1025"/>
      <c r="J29" s="358">
        <f>H29/DAY(B2)</f>
        <v>0</v>
      </c>
      <c r="K29" s="65"/>
      <c r="L29" s="94"/>
      <c r="N29" s="369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1021">
        <f>G19</f>
        <v>61</v>
      </c>
      <c r="F30" s="1022">
        <v>146</v>
      </c>
      <c r="G30" s="1023">
        <f>E30*F30</f>
        <v>8906</v>
      </c>
      <c r="H30" s="356">
        <f>G30+'10'!H30</f>
        <v>96652</v>
      </c>
      <c r="I30" s="1025"/>
      <c r="J30" s="358">
        <f>H30/DAY(B2)</f>
        <v>8786.545454545454</v>
      </c>
      <c r="K30" s="65"/>
      <c r="L30" s="94"/>
      <c r="N30" s="369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1021">
        <f>G18</f>
        <v>150</v>
      </c>
      <c r="F31" s="1022">
        <v>80</v>
      </c>
      <c r="G31" s="1023">
        <f>E31*F31</f>
        <v>12000</v>
      </c>
      <c r="H31" s="356">
        <f>G31+'10'!H31</f>
        <v>125600</v>
      </c>
      <c r="I31" s="1025"/>
      <c r="J31" s="358">
        <f>H31/DAY(B2)</f>
        <v>11418.181818181818</v>
      </c>
      <c r="K31" s="65"/>
      <c r="L31" s="94"/>
      <c r="N31" s="369"/>
      <c r="P31" s="73"/>
    </row>
    <row r="32" spans="1:16" s="93" customFormat="1" ht="27.75">
      <c r="A32" s="246" t="s">
        <v>160</v>
      </c>
      <c r="B32" s="247"/>
      <c r="C32" s="248"/>
      <c r="D32" s="158"/>
      <c r="E32" s="1026"/>
      <c r="F32" s="278"/>
      <c r="G32" s="1027">
        <f>G27+G28+G29+G30+G31</f>
        <v>263387.2</v>
      </c>
      <c r="H32" s="356">
        <f>G32+'10'!H32</f>
        <v>2924351.3126000008</v>
      </c>
      <c r="I32" s="1028"/>
      <c r="J32" s="358">
        <f>H32/DAY(B2)</f>
        <v>265850.11932727281</v>
      </c>
      <c r="K32" s="65"/>
      <c r="L32" s="94"/>
      <c r="N32" s="369"/>
      <c r="P32" s="73"/>
    </row>
    <row r="33" spans="1:16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369"/>
      <c r="P33" s="73"/>
    </row>
    <row r="34" spans="1:16">
      <c r="A34" s="249" t="s">
        <v>162</v>
      </c>
      <c r="B34" s="764"/>
      <c r="C34" s="764"/>
      <c r="D34" s="123"/>
      <c r="E34" s="1000"/>
      <c r="F34" s="1000"/>
      <c r="G34" s="278"/>
      <c r="H34" s="278"/>
      <c r="I34" s="278"/>
      <c r="J34" s="1001"/>
      <c r="K34" s="81"/>
      <c r="L34" s="68"/>
      <c r="N34" s="369"/>
      <c r="P34" s="73"/>
    </row>
    <row r="35" spans="1:16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1058596</v>
      </c>
      <c r="G35" s="303">
        <f t="shared" ref="G35:G46" si="3">F35-E35</f>
        <v>0</v>
      </c>
      <c r="H35" s="356">
        <f>G35+'10'!H35</f>
        <v>-1</v>
      </c>
      <c r="I35" s="357"/>
      <c r="J35" s="358">
        <f>H35/DAY(B2)</f>
        <v>-9.0909090909090912E-2</v>
      </c>
      <c r="K35" s="81"/>
      <c r="L35" s="68"/>
      <c r="N35" s="369"/>
      <c r="P35" s="73"/>
    </row>
    <row r="36" spans="1:16">
      <c r="A36" s="229" t="s">
        <v>164</v>
      </c>
      <c r="B36" s="230"/>
      <c r="C36" s="230"/>
      <c r="D36" s="174" t="s">
        <v>131</v>
      </c>
      <c r="E36" s="304">
        <f>'10'!F36</f>
        <v>8917</v>
      </c>
      <c r="F36" s="304">
        <v>9470</v>
      </c>
      <c r="G36" s="303">
        <f t="shared" si="3"/>
        <v>553</v>
      </c>
      <c r="H36" s="356">
        <f>G36+'10'!H36</f>
        <v>7637</v>
      </c>
      <c r="I36" s="357"/>
      <c r="J36" s="358">
        <f>H36/DAY(B2)</f>
        <v>694.27272727272725</v>
      </c>
      <c r="K36" s="81"/>
      <c r="L36" s="68"/>
      <c r="N36" s="370"/>
      <c r="P36" s="73"/>
    </row>
    <row r="37" spans="1:16">
      <c r="A37" s="229" t="s">
        <v>165</v>
      </c>
      <c r="B37" s="230"/>
      <c r="C37" s="230"/>
      <c r="D37" s="174" t="s">
        <v>131</v>
      </c>
      <c r="E37" s="304">
        <f>'10'!F37</f>
        <v>19885</v>
      </c>
      <c r="F37" s="304">
        <v>21579</v>
      </c>
      <c r="G37" s="303">
        <f t="shared" si="3"/>
        <v>1694</v>
      </c>
      <c r="H37" s="356">
        <f>G37+'10'!H37</f>
        <v>17804</v>
      </c>
      <c r="I37" s="357"/>
      <c r="J37" s="358">
        <f>H37/DAY(B2)</f>
        <v>1618.5454545454545</v>
      </c>
      <c r="K37" s="81"/>
      <c r="L37" s="68"/>
      <c r="N37" s="370"/>
      <c r="P37" s="73"/>
    </row>
    <row r="38" spans="1:16">
      <c r="A38" s="229" t="s">
        <v>166</v>
      </c>
      <c r="B38" s="230"/>
      <c r="C38" s="230"/>
      <c r="D38" s="174" t="s">
        <v>131</v>
      </c>
      <c r="E38" s="304">
        <f>'10'!F38</f>
        <v>21881</v>
      </c>
      <c r="F38" s="997">
        <v>23499</v>
      </c>
      <c r="G38" s="303">
        <f t="shared" si="3"/>
        <v>1618</v>
      </c>
      <c r="H38" s="356">
        <f>G38+'10'!H38</f>
        <v>18676</v>
      </c>
      <c r="I38" s="357"/>
      <c r="J38" s="358">
        <f>H38/DAY(B2)</f>
        <v>1697.8181818181818</v>
      </c>
      <c r="K38" s="81"/>
      <c r="L38" s="68"/>
      <c r="N38" s="369"/>
      <c r="P38" s="73"/>
    </row>
    <row r="39" spans="1:16">
      <c r="A39" s="229" t="s">
        <v>167</v>
      </c>
      <c r="B39" s="230"/>
      <c r="C39" s="230"/>
      <c r="D39" s="174" t="s">
        <v>131</v>
      </c>
      <c r="E39" s="304">
        <f>'10'!F39</f>
        <v>42390</v>
      </c>
      <c r="F39" s="304">
        <v>46226</v>
      </c>
      <c r="G39" s="303">
        <f t="shared" si="3"/>
        <v>3836</v>
      </c>
      <c r="H39" s="356">
        <f>G39+'10'!H39</f>
        <v>42384</v>
      </c>
      <c r="I39" s="357"/>
      <c r="J39" s="358">
        <f>H39/DAY(B2)</f>
        <v>3853.090909090909</v>
      </c>
      <c r="K39" s="81"/>
      <c r="L39" s="68"/>
      <c r="N39" s="369"/>
      <c r="P39" s="73"/>
    </row>
    <row r="40" spans="1:16">
      <c r="A40" s="250" t="s">
        <v>168</v>
      </c>
      <c r="B40" s="251"/>
      <c r="C40" s="251"/>
      <c r="D40" s="174" t="s">
        <v>131</v>
      </c>
      <c r="E40" s="304">
        <f>'10'!F40</f>
        <v>0</v>
      </c>
      <c r="F40" s="304">
        <v>0</v>
      </c>
      <c r="G40" s="303">
        <f t="shared" si="3"/>
        <v>0</v>
      </c>
      <c r="H40" s="356">
        <f>G40+'10'!H40</f>
        <v>157.40000000000146</v>
      </c>
      <c r="I40" s="357"/>
      <c r="J40" s="358">
        <f>H40/DAY(B2)</f>
        <v>14.309090909091042</v>
      </c>
      <c r="K40" s="82"/>
      <c r="L40" s="68"/>
      <c r="N40" s="369"/>
      <c r="P40" s="73"/>
    </row>
    <row r="41" spans="1:16">
      <c r="A41" s="229" t="s">
        <v>169</v>
      </c>
      <c r="B41" s="230"/>
      <c r="C41" s="230"/>
      <c r="D41" s="174" t="s">
        <v>131</v>
      </c>
      <c r="E41" s="304">
        <f>'10'!F41</f>
        <v>469304</v>
      </c>
      <c r="F41" s="304">
        <v>474934</v>
      </c>
      <c r="G41" s="303">
        <f t="shared" si="3"/>
        <v>5630</v>
      </c>
      <c r="H41" s="356">
        <f>G41+'10'!H41</f>
        <v>41652.210000000021</v>
      </c>
      <c r="I41" s="357"/>
      <c r="J41" s="358">
        <f>H41/DAY(B2)</f>
        <v>3786.5645454545474</v>
      </c>
      <c r="K41" s="81"/>
      <c r="L41" s="68"/>
      <c r="N41" s="369"/>
      <c r="P41" s="372"/>
    </row>
    <row r="42" spans="1:16">
      <c r="A42" s="229" t="s">
        <v>170</v>
      </c>
      <c r="B42" s="230"/>
      <c r="C42" s="230"/>
      <c r="D42" s="174" t="s">
        <v>131</v>
      </c>
      <c r="E42" s="304">
        <f>'10'!F42</f>
        <v>200386</v>
      </c>
      <c r="F42" s="304">
        <v>200386</v>
      </c>
      <c r="G42" s="303">
        <f t="shared" si="3"/>
        <v>0</v>
      </c>
      <c r="H42" s="356">
        <f>G42+'10'!H42</f>
        <v>25274</v>
      </c>
      <c r="I42" s="357"/>
      <c r="J42" s="358">
        <f>H42/DAY(B2)</f>
        <v>2297.6363636363635</v>
      </c>
      <c r="K42" s="81"/>
      <c r="L42" s="68"/>
      <c r="N42" s="369"/>
      <c r="P42" s="73"/>
    </row>
    <row r="43" spans="1:16">
      <c r="A43" s="229" t="s">
        <v>171</v>
      </c>
      <c r="B43" s="230"/>
      <c r="C43" s="230"/>
      <c r="D43" s="174" t="s">
        <v>131</v>
      </c>
      <c r="E43" s="304">
        <f>'10'!F43</f>
        <v>1316104</v>
      </c>
      <c r="F43" s="304">
        <v>1318697</v>
      </c>
      <c r="G43" s="303">
        <f>F43-E43</f>
        <v>2593</v>
      </c>
      <c r="H43" s="356">
        <f>G43+'10'!H43</f>
        <v>28952</v>
      </c>
      <c r="I43" s="357"/>
      <c r="J43" s="358">
        <f>H43/DAY(B2)</f>
        <v>2632</v>
      </c>
      <c r="K43" s="81"/>
      <c r="L43" s="68"/>
      <c r="N43" s="369"/>
      <c r="P43" s="73"/>
    </row>
    <row r="44" spans="1:16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6">
        <f>G44+'10'!H44</f>
        <v>0</v>
      </c>
      <c r="I44" s="357"/>
      <c r="J44" s="358">
        <f>H44/DAY(B2)</f>
        <v>0</v>
      </c>
      <c r="K44" s="81"/>
      <c r="L44" s="68"/>
      <c r="N44" s="369"/>
      <c r="P44" s="73"/>
    </row>
    <row r="45" spans="1:16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6">
        <f>G45+'10'!H45</f>
        <v>614</v>
      </c>
      <c r="I45" s="357"/>
      <c r="J45" s="358">
        <f>H45/DAY(B2)</f>
        <v>55.81818181818182</v>
      </c>
      <c r="K45" s="81"/>
      <c r="L45" s="68"/>
      <c r="N45" s="369"/>
      <c r="P45" s="73"/>
    </row>
    <row r="46" spans="1:16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6">
        <f>G46+'10'!H46</f>
        <v>187.49</v>
      </c>
      <c r="I46" s="357"/>
      <c r="J46" s="358">
        <f>H46/DAY(B2)</f>
        <v>17.044545454545457</v>
      </c>
      <c r="K46" s="81"/>
      <c r="L46" s="68"/>
      <c r="N46" s="369"/>
      <c r="P46" s="73"/>
    </row>
    <row r="47" spans="1:16">
      <c r="A47" s="236" t="s">
        <v>175</v>
      </c>
      <c r="B47" s="237"/>
      <c r="C47" s="237"/>
      <c r="D47" s="121"/>
      <c r="E47" s="1000"/>
      <c r="F47" s="1000"/>
      <c r="G47" s="303">
        <f>G35+G36+G37+G38+G39+G40+G41+G42+G43+G44+G45+G46</f>
        <v>15924.49</v>
      </c>
      <c r="H47" s="356">
        <f>G47+'10'!H47</f>
        <v>183337.1</v>
      </c>
      <c r="I47" s="357"/>
      <c r="J47" s="358">
        <f>H47/DAY(B2)</f>
        <v>16667.00909090909</v>
      </c>
      <c r="K47" s="81"/>
      <c r="L47" s="68"/>
      <c r="N47" s="369"/>
      <c r="P47" s="73"/>
    </row>
    <row r="48" spans="1:16">
      <c r="A48" s="249" t="s">
        <v>176</v>
      </c>
      <c r="B48" s="764"/>
      <c r="C48" s="764"/>
      <c r="D48" s="123"/>
      <c r="E48" s="1000"/>
      <c r="F48" s="1000"/>
      <c r="G48" s="278"/>
      <c r="H48" s="278"/>
      <c r="I48" s="278"/>
      <c r="J48" s="1001"/>
      <c r="K48" s="81"/>
      <c r="L48" s="68"/>
      <c r="N48" s="369"/>
      <c r="P48" s="73"/>
    </row>
    <row r="49" spans="1:16">
      <c r="A49" s="229" t="s">
        <v>163</v>
      </c>
      <c r="B49" s="252"/>
      <c r="C49" s="252"/>
      <c r="D49" s="174" t="s">
        <v>131</v>
      </c>
      <c r="E49" s="304">
        <f>'10'!F49</f>
        <v>49344</v>
      </c>
      <c r="F49" s="304">
        <v>53854</v>
      </c>
      <c r="G49" s="303">
        <f t="shared" ref="G49:G58" si="4">F49-E49</f>
        <v>4510</v>
      </c>
      <c r="H49" s="356">
        <f>G49+'9'!H49</f>
        <v>37074</v>
      </c>
      <c r="I49" s="357"/>
      <c r="J49" s="358">
        <f>H49/DAY(B2)</f>
        <v>3370.3636363636365</v>
      </c>
      <c r="K49" s="81"/>
      <c r="L49" s="68"/>
      <c r="N49" s="369"/>
      <c r="P49" s="73"/>
    </row>
    <row r="50" spans="1:16">
      <c r="A50" s="229" t="s">
        <v>177</v>
      </c>
      <c r="B50" s="252"/>
      <c r="C50" s="252"/>
      <c r="D50" s="174" t="s">
        <v>131</v>
      </c>
      <c r="E50" s="304">
        <f>'10'!F50</f>
        <v>618695</v>
      </c>
      <c r="F50" s="304">
        <v>619692</v>
      </c>
      <c r="G50" s="303">
        <f t="shared" si="4"/>
        <v>997</v>
      </c>
      <c r="H50" s="356">
        <f>G50+'9'!H50</f>
        <v>11474</v>
      </c>
      <c r="I50" s="357"/>
      <c r="J50" s="358">
        <f>H50/DAY(B2)</f>
        <v>1043.090909090909</v>
      </c>
      <c r="K50" s="81"/>
      <c r="L50" s="68"/>
      <c r="N50" s="369"/>
      <c r="P50" s="73"/>
    </row>
    <row r="51" spans="1:16">
      <c r="A51" s="229" t="s">
        <v>165</v>
      </c>
      <c r="B51" s="252"/>
      <c r="C51" s="252"/>
      <c r="D51" s="174" t="s">
        <v>131</v>
      </c>
      <c r="E51" s="304">
        <f>'10'!F51</f>
        <v>0</v>
      </c>
      <c r="F51" s="304">
        <v>0</v>
      </c>
      <c r="G51" s="303">
        <f t="shared" si="4"/>
        <v>0</v>
      </c>
      <c r="H51" s="356">
        <f>G51+'9'!H51</f>
        <v>0</v>
      </c>
      <c r="I51" s="357"/>
      <c r="J51" s="358">
        <f>H51/DAY(B2)</f>
        <v>0</v>
      </c>
      <c r="K51" s="81"/>
      <c r="L51" s="68"/>
      <c r="N51" s="369"/>
      <c r="P51" s="73"/>
    </row>
    <row r="52" spans="1:16">
      <c r="A52" s="229" t="s">
        <v>178</v>
      </c>
      <c r="B52" s="252"/>
      <c r="C52" s="252"/>
      <c r="D52" s="174" t="s">
        <v>131</v>
      </c>
      <c r="E52" s="304">
        <f>'10'!F52</f>
        <v>0</v>
      </c>
      <c r="F52" s="304">
        <v>0</v>
      </c>
      <c r="G52" s="303">
        <f t="shared" si="4"/>
        <v>0</v>
      </c>
      <c r="H52" s="356">
        <f>G52+'9'!H52</f>
        <v>0</v>
      </c>
      <c r="I52" s="357"/>
      <c r="J52" s="358">
        <f>H52/DAY(B2)</f>
        <v>0</v>
      </c>
      <c r="K52" s="81"/>
      <c r="L52" s="68"/>
      <c r="N52" s="369"/>
      <c r="P52" s="73"/>
    </row>
    <row r="53" spans="1:16">
      <c r="A53" s="229" t="s">
        <v>167</v>
      </c>
      <c r="B53" s="252"/>
      <c r="C53" s="252"/>
      <c r="D53" s="174" t="s">
        <v>131</v>
      </c>
      <c r="E53" s="304">
        <f>'10'!F53</f>
        <v>0</v>
      </c>
      <c r="F53" s="304">
        <v>0</v>
      </c>
      <c r="G53" s="303">
        <f t="shared" si="4"/>
        <v>0</v>
      </c>
      <c r="H53" s="356">
        <f>G53+'9'!H53</f>
        <v>0</v>
      </c>
      <c r="I53" s="357"/>
      <c r="J53" s="358">
        <f>H53/DAY(B2)</f>
        <v>0</v>
      </c>
      <c r="K53" s="81"/>
      <c r="L53" s="68"/>
      <c r="N53" s="369"/>
      <c r="P53" s="73"/>
    </row>
    <row r="54" spans="1:16">
      <c r="A54" s="229" t="s">
        <v>179</v>
      </c>
      <c r="B54" s="252"/>
      <c r="C54" s="252"/>
      <c r="D54" s="174" t="s">
        <v>131</v>
      </c>
      <c r="E54" s="304">
        <f>'10'!F54</f>
        <v>2654</v>
      </c>
      <c r="F54" s="304">
        <v>2658</v>
      </c>
      <c r="G54" s="303">
        <f t="shared" si="4"/>
        <v>4</v>
      </c>
      <c r="H54" s="356">
        <f>G54+'9'!H54</f>
        <v>193</v>
      </c>
      <c r="I54" s="357"/>
      <c r="J54" s="358">
        <f>H54/DAY(B2)</f>
        <v>17.545454545454547</v>
      </c>
      <c r="K54" s="81"/>
      <c r="L54" s="68"/>
      <c r="N54" s="369"/>
      <c r="P54" s="73"/>
    </row>
    <row r="55" spans="1:16">
      <c r="A55" s="229" t="s">
        <v>180</v>
      </c>
      <c r="B55" s="252"/>
      <c r="C55" s="252"/>
      <c r="D55" s="174" t="s">
        <v>131</v>
      </c>
      <c r="E55" s="304">
        <f>'10'!F55</f>
        <v>307299</v>
      </c>
      <c r="F55" s="304">
        <v>307299</v>
      </c>
      <c r="G55" s="303">
        <f t="shared" si="4"/>
        <v>0</v>
      </c>
      <c r="H55" s="356">
        <f>G55+'9'!H55</f>
        <v>1.0000000009313226E-2</v>
      </c>
      <c r="I55" s="357"/>
      <c r="J55" s="358">
        <f>H55/DAY(B2)</f>
        <v>9.0909090993756593E-4</v>
      </c>
      <c r="K55" s="81"/>
      <c r="L55" s="68"/>
      <c r="N55" s="369"/>
      <c r="P55" s="73"/>
    </row>
    <row r="56" spans="1:16">
      <c r="A56" s="229" t="s">
        <v>181</v>
      </c>
      <c r="B56" s="252"/>
      <c r="C56" s="252"/>
      <c r="D56" s="174" t="s">
        <v>182</v>
      </c>
      <c r="E56" s="304">
        <f>'10'!F56</f>
        <v>666215</v>
      </c>
      <c r="F56" s="304">
        <v>667351</v>
      </c>
      <c r="G56" s="303">
        <f t="shared" si="4"/>
        <v>1136</v>
      </c>
      <c r="H56" s="356">
        <f>G56+'9'!H56</f>
        <v>6320</v>
      </c>
      <c r="I56" s="357"/>
      <c r="J56" s="358">
        <f>H56/DAY(B2)</f>
        <v>574.5454545454545</v>
      </c>
      <c r="K56" s="80"/>
      <c r="L56" s="68"/>
      <c r="N56" s="369"/>
      <c r="P56" s="73"/>
    </row>
    <row r="57" spans="1:16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6">
        <f>G57+'9'!H57</f>
        <v>0</v>
      </c>
      <c r="I57" s="357"/>
      <c r="J57" s="358">
        <f>H57/DAY(B2)</f>
        <v>0</v>
      </c>
      <c r="K57" s="81"/>
      <c r="L57" s="68"/>
      <c r="N57" s="369"/>
      <c r="P57" s="73"/>
    </row>
    <row r="58" spans="1:16">
      <c r="A58" s="229" t="s">
        <v>183</v>
      </c>
      <c r="B58" s="252"/>
      <c r="C58" s="252"/>
      <c r="D58" s="174" t="s">
        <v>131</v>
      </c>
      <c r="E58" s="304">
        <f>'10'!F58</f>
        <v>68040</v>
      </c>
      <c r="F58" s="304">
        <v>68226</v>
      </c>
      <c r="G58" s="303">
        <f t="shared" si="4"/>
        <v>186</v>
      </c>
      <c r="H58" s="356">
        <f>G58+'9'!H58</f>
        <v>2043</v>
      </c>
      <c r="I58" s="357"/>
      <c r="J58" s="358">
        <f>H58/DAY(B2)</f>
        <v>185.72727272727272</v>
      </c>
      <c r="K58" s="81"/>
      <c r="L58" s="68"/>
      <c r="N58" s="369"/>
      <c r="P58" s="73"/>
    </row>
    <row r="59" spans="1:16">
      <c r="A59" s="236" t="s">
        <v>175</v>
      </c>
      <c r="B59" s="237"/>
      <c r="C59" s="237"/>
      <c r="D59" s="162"/>
      <c r="E59" s="1000"/>
      <c r="F59" s="1000"/>
      <c r="G59" s="303">
        <f>G49+G50+G51+G52+G53+G54+G55+G56+G57+G58</f>
        <v>6833</v>
      </c>
      <c r="H59" s="356">
        <f>G59+'9'!H59</f>
        <v>57104.010000000017</v>
      </c>
      <c r="I59" s="357">
        <f>G7-G60</f>
        <v>-1414.489999999998</v>
      </c>
      <c r="J59" s="358">
        <f>H59/DAY(B2)</f>
        <v>5191.2736363636377</v>
      </c>
      <c r="K59" s="81"/>
      <c r="L59" s="68"/>
      <c r="N59" s="369"/>
      <c r="P59" s="73"/>
    </row>
    <row r="60" spans="1:16">
      <c r="A60" s="229"/>
      <c r="B60" s="230"/>
      <c r="C60" s="230"/>
      <c r="D60" s="162" t="s">
        <v>184</v>
      </c>
      <c r="E60" s="1000"/>
      <c r="F60" s="1000"/>
      <c r="G60" s="303">
        <f>G47+G59</f>
        <v>22757.489999999998</v>
      </c>
      <c r="H60" s="356">
        <f>G60+'10'!H60</f>
        <v>247130.11000000004</v>
      </c>
      <c r="I60" s="357">
        <f>G13-G60</f>
        <v>-2066.489999999998</v>
      </c>
      <c r="J60" s="358">
        <f>H60/DAY(B2)</f>
        <v>22466.373636363642</v>
      </c>
      <c r="K60" s="81"/>
      <c r="L60" s="68"/>
      <c r="N60" s="369"/>
      <c r="P60" s="73"/>
    </row>
    <row r="61" spans="1:16">
      <c r="A61" s="253" t="s">
        <v>185</v>
      </c>
      <c r="B61" s="104"/>
      <c r="C61" s="104"/>
      <c r="D61" s="164"/>
      <c r="E61" s="1029"/>
      <c r="F61" s="1029"/>
      <c r="G61" s="1030"/>
      <c r="H61" s="1030"/>
      <c r="I61" s="1030"/>
      <c r="J61" s="1031"/>
      <c r="K61" s="81"/>
      <c r="L61" s="68"/>
      <c r="N61" s="369"/>
      <c r="P61" s="73"/>
    </row>
    <row r="62" spans="1:16">
      <c r="A62" s="254" t="s">
        <v>97</v>
      </c>
      <c r="B62" s="255"/>
      <c r="C62" s="255"/>
      <c r="D62" s="162" t="s">
        <v>186</v>
      </c>
      <c r="E62" s="747">
        <f>'10'!F62</f>
        <v>0</v>
      </c>
      <c r="F62" s="747">
        <v>0</v>
      </c>
      <c r="G62" s="303">
        <f t="shared" ref="G62:G69" si="5">F62-E62</f>
        <v>0</v>
      </c>
      <c r="H62" s="356">
        <f>G62+'10'!H62</f>
        <v>1.9999999967694748E-3</v>
      </c>
      <c r="I62" s="1032"/>
      <c r="J62" s="358">
        <f>H62/DAY(B2)</f>
        <v>1.818181815244977E-4</v>
      </c>
      <c r="K62" s="81"/>
      <c r="L62" s="68"/>
      <c r="N62" s="369"/>
      <c r="P62" s="73"/>
    </row>
    <row r="63" spans="1:16">
      <c r="A63" s="254" t="s">
        <v>187</v>
      </c>
      <c r="B63" s="255"/>
      <c r="C63" s="255"/>
      <c r="D63" s="162" t="s">
        <v>186</v>
      </c>
      <c r="E63" s="747">
        <f>'10'!F63</f>
        <v>41</v>
      </c>
      <c r="F63" s="747">
        <v>51</v>
      </c>
      <c r="G63" s="303">
        <f t="shared" si="5"/>
        <v>10</v>
      </c>
      <c r="H63" s="356">
        <f>G63+'10'!H63</f>
        <v>51</v>
      </c>
      <c r="I63" s="1032"/>
      <c r="J63" s="358">
        <f>H63/DAY(B2)</f>
        <v>4.6363636363636367</v>
      </c>
      <c r="K63" s="81"/>
      <c r="L63" s="68"/>
      <c r="N63" s="369"/>
      <c r="P63" s="73"/>
    </row>
    <row r="64" spans="1:16" ht="27.75">
      <c r="A64" s="1226" t="s">
        <v>98</v>
      </c>
      <c r="B64" s="1227"/>
      <c r="C64" s="1228"/>
      <c r="D64" s="174" t="s">
        <v>186</v>
      </c>
      <c r="E64" s="747">
        <f>'10'!F64</f>
        <v>198353</v>
      </c>
      <c r="F64" s="302">
        <v>198744</v>
      </c>
      <c r="G64" s="303">
        <f t="shared" si="5"/>
        <v>391</v>
      </c>
      <c r="H64" s="356">
        <f>G64+'10'!H64</f>
        <v>4527</v>
      </c>
      <c r="I64" s="718"/>
      <c r="J64" s="358">
        <f>H64/DAY(B2)</f>
        <v>411.54545454545456</v>
      </c>
      <c r="K64" s="81"/>
      <c r="L64" s="68"/>
      <c r="N64" s="369"/>
      <c r="P64" s="73"/>
    </row>
    <row r="65" spans="1:16" ht="27.75">
      <c r="A65" s="1226" t="s">
        <v>99</v>
      </c>
      <c r="B65" s="1227"/>
      <c r="C65" s="1228"/>
      <c r="D65" s="174" t="s">
        <v>186</v>
      </c>
      <c r="E65" s="747">
        <f>'10'!F65</f>
        <v>198484</v>
      </c>
      <c r="F65" s="302">
        <v>198868</v>
      </c>
      <c r="G65" s="303">
        <f t="shared" si="5"/>
        <v>384</v>
      </c>
      <c r="H65" s="356">
        <f>G65+'10'!H65</f>
        <v>4239</v>
      </c>
      <c r="I65" s="383"/>
      <c r="J65" s="358">
        <f>H65/DAY(B2)</f>
        <v>385.36363636363637</v>
      </c>
      <c r="K65" s="81"/>
      <c r="L65" s="68"/>
      <c r="N65" s="369"/>
      <c r="P65" s="73"/>
    </row>
    <row r="66" spans="1:16" ht="27.75">
      <c r="A66" s="1226" t="s">
        <v>100</v>
      </c>
      <c r="B66" s="1227"/>
      <c r="C66" s="1228"/>
      <c r="D66" s="174" t="s">
        <v>186</v>
      </c>
      <c r="E66" s="747">
        <f>'10'!F66</f>
        <v>97357</v>
      </c>
      <c r="F66" s="302">
        <v>97761</v>
      </c>
      <c r="G66" s="303">
        <f t="shared" si="5"/>
        <v>404</v>
      </c>
      <c r="H66" s="356">
        <f>G66+'10'!H66</f>
        <v>4444</v>
      </c>
      <c r="I66" s="718"/>
      <c r="J66" s="358">
        <f>H66/DAY(B2)</f>
        <v>404</v>
      </c>
      <c r="K66" s="81"/>
      <c r="L66" s="68"/>
      <c r="N66" s="369"/>
      <c r="P66" s="73"/>
    </row>
    <row r="67" spans="1:16" ht="27.75">
      <c r="A67" s="1226" t="s">
        <v>101</v>
      </c>
      <c r="B67" s="1227"/>
      <c r="C67" s="1228"/>
      <c r="D67" s="174" t="s">
        <v>186</v>
      </c>
      <c r="E67" s="747">
        <f>'10'!F67</f>
        <v>299522</v>
      </c>
      <c r="F67" s="302">
        <v>300020</v>
      </c>
      <c r="G67" s="303">
        <f t="shared" si="5"/>
        <v>498</v>
      </c>
      <c r="H67" s="356">
        <f>G67+'10'!H67</f>
        <v>5129</v>
      </c>
      <c r="I67" s="383"/>
      <c r="J67" s="358">
        <f>H67/DAY(B2)</f>
        <v>466.27272727272725</v>
      </c>
      <c r="K67" s="82"/>
      <c r="L67" s="68"/>
      <c r="N67" s="369"/>
      <c r="P67" s="73"/>
    </row>
    <row r="68" spans="1:16" ht="27.75">
      <c r="A68" s="1226" t="s">
        <v>102</v>
      </c>
      <c r="B68" s="1227"/>
      <c r="C68" s="1228"/>
      <c r="D68" s="174" t="s">
        <v>186</v>
      </c>
      <c r="E68" s="747">
        <f>'10'!F68</f>
        <v>85488</v>
      </c>
      <c r="F68" s="277">
        <v>85602</v>
      </c>
      <c r="G68" s="303">
        <f t="shared" si="5"/>
        <v>114</v>
      </c>
      <c r="H68" s="356">
        <f>G68+'10'!H68</f>
        <v>281</v>
      </c>
      <c r="I68" s="1033"/>
      <c r="J68" s="358">
        <f>H68/DAY(B2)</f>
        <v>25.545454545454547</v>
      </c>
      <c r="K68" s="83"/>
      <c r="L68" s="68"/>
      <c r="N68" s="369"/>
      <c r="P68" s="73"/>
    </row>
    <row r="69" spans="1:16" ht="27.75">
      <c r="A69" s="1226" t="s">
        <v>103</v>
      </c>
      <c r="B69" s="1227"/>
      <c r="C69" s="1228"/>
      <c r="D69" s="174" t="s">
        <v>186</v>
      </c>
      <c r="E69" s="747">
        <f>'10'!F69</f>
        <v>109396</v>
      </c>
      <c r="F69" s="302">
        <v>109696</v>
      </c>
      <c r="G69" s="303">
        <f t="shared" si="5"/>
        <v>300</v>
      </c>
      <c r="H69" s="356">
        <f>G69+'10'!H69</f>
        <v>3290</v>
      </c>
      <c r="I69" s="1033"/>
      <c r="J69" s="358">
        <f>H69/DAY(B2)</f>
        <v>299.09090909090907</v>
      </c>
      <c r="K69" s="84"/>
      <c r="L69" s="68"/>
      <c r="N69" s="369"/>
      <c r="P69" s="73"/>
    </row>
    <row r="70" spans="1:16" ht="27.75">
      <c r="A70" s="1267" t="s">
        <v>188</v>
      </c>
      <c r="B70" s="1268"/>
      <c r="C70" s="1269"/>
      <c r="D70" s="174" t="s">
        <v>186</v>
      </c>
      <c r="E70" s="1034"/>
      <c r="F70" s="1034"/>
      <c r="G70" s="1034"/>
      <c r="H70" s="356">
        <f>G70+'10'!H70</f>
        <v>0</v>
      </c>
      <c r="I70" s="1034"/>
      <c r="J70" s="1035">
        <f>H70/DAY(B2)</f>
        <v>0</v>
      </c>
      <c r="K70" s="84"/>
      <c r="L70" s="68"/>
      <c r="N70" s="369"/>
      <c r="P70" s="73"/>
    </row>
    <row r="71" spans="1:16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369"/>
      <c r="P71" s="73"/>
    </row>
    <row r="72" spans="1:16" ht="27.75">
      <c r="A72" s="1226" t="s">
        <v>190</v>
      </c>
      <c r="B72" s="1227"/>
      <c r="C72" s="1228"/>
      <c r="D72" s="174" t="s">
        <v>186</v>
      </c>
      <c r="E72" s="171">
        <f>'10'!F72</f>
        <v>857086</v>
      </c>
      <c r="F72" s="306">
        <v>857091</v>
      </c>
      <c r="G72" s="303">
        <f t="shared" ref="G72:G84" si="6">F72-E72</f>
        <v>5</v>
      </c>
      <c r="H72" s="356">
        <f>G72+'10'!H72</f>
        <v>69</v>
      </c>
      <c r="I72" s="718"/>
      <c r="J72" s="358">
        <f>H72/DAY(B2)</f>
        <v>6.2727272727272725</v>
      </c>
      <c r="K72" s="84"/>
      <c r="L72" s="68"/>
      <c r="N72" s="369"/>
      <c r="P72" s="73"/>
    </row>
    <row r="73" spans="1:16" ht="27.75">
      <c r="A73" s="1226" t="s">
        <v>191</v>
      </c>
      <c r="B73" s="1227"/>
      <c r="C73" s="1228"/>
      <c r="D73" s="174" t="s">
        <v>186</v>
      </c>
      <c r="E73" s="171">
        <f>'10'!F73</f>
        <v>886055</v>
      </c>
      <c r="F73" s="306">
        <v>886055</v>
      </c>
      <c r="G73" s="303">
        <f t="shared" si="6"/>
        <v>0</v>
      </c>
      <c r="H73" s="356">
        <f>G73+'10'!H73</f>
        <v>4</v>
      </c>
      <c r="I73" s="718"/>
      <c r="J73" s="358">
        <f>H73/DAY(B2)</f>
        <v>0.36363636363636365</v>
      </c>
      <c r="K73" s="83"/>
      <c r="L73" s="68"/>
      <c r="N73" s="369"/>
      <c r="P73" s="73"/>
    </row>
    <row r="74" spans="1:16" ht="27.75">
      <c r="A74" s="1226" t="s">
        <v>192</v>
      </c>
      <c r="B74" s="1227"/>
      <c r="C74" s="1228"/>
      <c r="D74" s="174" t="s">
        <v>186</v>
      </c>
      <c r="E74" s="171">
        <f>'10'!F74</f>
        <v>88783</v>
      </c>
      <c r="F74" s="306">
        <v>88783</v>
      </c>
      <c r="G74" s="303">
        <f t="shared" si="6"/>
        <v>0</v>
      </c>
      <c r="H74" s="356">
        <f>G74+'10'!H74</f>
        <v>21</v>
      </c>
      <c r="I74" s="718"/>
      <c r="J74" s="358">
        <f>H74/DAY(B2)</f>
        <v>1.9090909090909092</v>
      </c>
      <c r="K74" s="84"/>
      <c r="L74" s="68"/>
      <c r="N74" s="369"/>
      <c r="P74" s="73"/>
    </row>
    <row r="75" spans="1:16" ht="27.75">
      <c r="A75" s="1229" t="s">
        <v>193</v>
      </c>
      <c r="B75" s="1230"/>
      <c r="C75" s="1231"/>
      <c r="D75" s="174" t="s">
        <v>186</v>
      </c>
      <c r="E75" s="171">
        <f>'10'!F75</f>
        <v>28095</v>
      </c>
      <c r="F75" s="306">
        <v>28292</v>
      </c>
      <c r="G75" s="303">
        <f t="shared" si="6"/>
        <v>197</v>
      </c>
      <c r="H75" s="356">
        <f>G75+'10'!H75</f>
        <v>1984</v>
      </c>
      <c r="I75" s="718"/>
      <c r="J75" s="358">
        <f>H75/DAY(B2)</f>
        <v>180.36363636363637</v>
      </c>
      <c r="K75" s="83"/>
      <c r="L75" s="68"/>
      <c r="N75" s="369"/>
      <c r="P75" s="73"/>
    </row>
    <row r="76" spans="1:16" ht="27.75">
      <c r="A76" s="1229" t="s">
        <v>194</v>
      </c>
      <c r="B76" s="1230"/>
      <c r="C76" s="1231"/>
      <c r="D76" s="174" t="s">
        <v>186</v>
      </c>
      <c r="E76" s="171">
        <f>'10'!F76</f>
        <v>13950</v>
      </c>
      <c r="F76" s="306">
        <v>14031</v>
      </c>
      <c r="G76" s="303">
        <f t="shared" si="6"/>
        <v>81</v>
      </c>
      <c r="H76" s="356">
        <f>G76+'10'!H76</f>
        <v>754</v>
      </c>
      <c r="I76" s="1025"/>
      <c r="J76" s="358">
        <f>H76/DAY(B2)</f>
        <v>68.545454545454547</v>
      </c>
      <c r="K76" s="83"/>
      <c r="L76" s="68"/>
      <c r="N76" s="369"/>
      <c r="P76" s="73"/>
    </row>
    <row r="77" spans="1:16" ht="27.75">
      <c r="A77" s="1226" t="s">
        <v>195</v>
      </c>
      <c r="B77" s="1227"/>
      <c r="C77" s="1228"/>
      <c r="D77" s="174" t="s">
        <v>186</v>
      </c>
      <c r="E77" s="171">
        <f>'10'!F77</f>
        <v>708817</v>
      </c>
      <c r="F77" s="306">
        <v>708866</v>
      </c>
      <c r="G77" s="303">
        <f t="shared" si="6"/>
        <v>49</v>
      </c>
      <c r="H77" s="356">
        <f>G77+'10'!H77</f>
        <v>577</v>
      </c>
      <c r="I77" s="1025"/>
      <c r="J77" s="358">
        <f>H77/DAY(B2)</f>
        <v>52.454545454545453</v>
      </c>
      <c r="K77" s="83"/>
      <c r="L77" s="68"/>
      <c r="N77" s="369"/>
      <c r="P77" s="73"/>
    </row>
    <row r="78" spans="1:16" ht="27.75">
      <c r="A78" s="762" t="s">
        <v>196</v>
      </c>
      <c r="B78" s="754"/>
      <c r="C78" s="754"/>
      <c r="D78" s="174" t="s">
        <v>186</v>
      </c>
      <c r="E78" s="171">
        <f>'10'!F78</f>
        <v>683419</v>
      </c>
      <c r="F78" s="306">
        <v>683582</v>
      </c>
      <c r="G78" s="303">
        <f t="shared" si="6"/>
        <v>163</v>
      </c>
      <c r="H78" s="356">
        <f>G78+'10'!H78</f>
        <v>1169</v>
      </c>
      <c r="I78" s="1025"/>
      <c r="J78" s="358">
        <f>H78/DAY(B2)</f>
        <v>106.27272727272727</v>
      </c>
      <c r="K78" s="83"/>
      <c r="L78" s="68"/>
      <c r="N78" s="369"/>
      <c r="P78" s="73"/>
    </row>
    <row r="79" spans="1:16" ht="27.75">
      <c r="A79" s="1229" t="s">
        <v>91</v>
      </c>
      <c r="B79" s="1230"/>
      <c r="C79" s="1231"/>
      <c r="D79" s="175" t="s">
        <v>186</v>
      </c>
      <c r="E79" s="171">
        <f>'10'!F79</f>
        <v>846748</v>
      </c>
      <c r="F79" s="306">
        <v>846919</v>
      </c>
      <c r="G79" s="303">
        <f t="shared" si="6"/>
        <v>171</v>
      </c>
      <c r="H79" s="356">
        <f>G79+'10'!H79</f>
        <v>1870</v>
      </c>
      <c r="I79" s="1025"/>
      <c r="J79" s="358">
        <f>H79/DAY(B2)</f>
        <v>170</v>
      </c>
      <c r="K79" s="83"/>
      <c r="L79" s="68"/>
      <c r="N79" s="369"/>
      <c r="P79" s="73"/>
    </row>
    <row r="80" spans="1:16" ht="27.75">
      <c r="A80" s="1229" t="s">
        <v>197</v>
      </c>
      <c r="B80" s="1230"/>
      <c r="C80" s="1231"/>
      <c r="D80" s="175" t="s">
        <v>186</v>
      </c>
      <c r="E80" s="171">
        <f>'10'!F80</f>
        <v>568117</v>
      </c>
      <c r="F80" s="306">
        <v>568531</v>
      </c>
      <c r="G80" s="303">
        <f t="shared" si="6"/>
        <v>414</v>
      </c>
      <c r="H80" s="356">
        <f>G80+'10'!H80</f>
        <v>4233</v>
      </c>
      <c r="I80" s="1025"/>
      <c r="J80" s="358">
        <f>H80/DAY(B2)</f>
        <v>384.81818181818181</v>
      </c>
      <c r="K80" s="83"/>
      <c r="L80" s="68"/>
      <c r="N80" s="369"/>
      <c r="P80" s="73"/>
    </row>
    <row r="81" spans="1:16" ht="27.75">
      <c r="A81" s="1229" t="s">
        <v>198</v>
      </c>
      <c r="B81" s="1230"/>
      <c r="C81" s="1231"/>
      <c r="D81" s="175" t="s">
        <v>186</v>
      </c>
      <c r="E81" s="171">
        <f>'10'!F81</f>
        <v>655438</v>
      </c>
      <c r="F81" s="306">
        <v>655583</v>
      </c>
      <c r="G81" s="303">
        <f t="shared" si="6"/>
        <v>145</v>
      </c>
      <c r="H81" s="356">
        <f>G81+'10'!H81</f>
        <v>1405</v>
      </c>
      <c r="I81" s="1025"/>
      <c r="J81" s="358">
        <f>H81/DAY(B2)</f>
        <v>127.72727272727273</v>
      </c>
      <c r="K81" s="83"/>
      <c r="L81" s="68"/>
      <c r="N81" s="369"/>
      <c r="P81" s="73"/>
    </row>
    <row r="82" spans="1:16" ht="27.75">
      <c r="A82" s="1229" t="s">
        <v>92</v>
      </c>
      <c r="B82" s="1230"/>
      <c r="C82" s="1231"/>
      <c r="D82" s="136" t="s">
        <v>131</v>
      </c>
      <c r="E82" s="171">
        <v>2</v>
      </c>
      <c r="F82" s="302">
        <v>24</v>
      </c>
      <c r="G82" s="303">
        <f t="shared" si="6"/>
        <v>22</v>
      </c>
      <c r="H82" s="356">
        <f>G82+'10'!H82</f>
        <v>247</v>
      </c>
      <c r="I82" s="356"/>
      <c r="J82" s="358">
        <f>H82/DAY(B2)</f>
        <v>22.454545454545453</v>
      </c>
      <c r="K82" s="83"/>
      <c r="L82" s="68"/>
      <c r="N82" s="369"/>
      <c r="P82" s="73"/>
    </row>
    <row r="83" spans="1:16" ht="27.75">
      <c r="A83" s="1229" t="s">
        <v>199</v>
      </c>
      <c r="B83" s="1230"/>
      <c r="C83" s="1231"/>
      <c r="D83" s="271" t="s">
        <v>131</v>
      </c>
      <c r="E83" s="171">
        <f>'10'!F83</f>
        <v>47129</v>
      </c>
      <c r="F83" s="1000">
        <v>47369</v>
      </c>
      <c r="G83" s="303">
        <f t="shared" si="6"/>
        <v>240</v>
      </c>
      <c r="H83" s="356">
        <f>G83+'10'!H83</f>
        <v>3046</v>
      </c>
      <c r="I83" s="303"/>
      <c r="J83" s="358">
        <f>H83/DAY(B2)</f>
        <v>276.90909090909093</v>
      </c>
      <c r="K83" s="82"/>
      <c r="L83" s="68"/>
      <c r="N83" s="369"/>
      <c r="P83" s="73"/>
    </row>
    <row r="84" spans="1:16">
      <c r="A84" s="763" t="s">
        <v>200</v>
      </c>
      <c r="B84" s="222"/>
      <c r="C84" s="222"/>
      <c r="D84" s="129" t="s">
        <v>131</v>
      </c>
      <c r="E84" s="171">
        <f>'10'!F84</f>
        <v>576881</v>
      </c>
      <c r="F84" s="278">
        <v>577593</v>
      </c>
      <c r="G84" s="303">
        <f t="shared" si="6"/>
        <v>712</v>
      </c>
      <c r="H84" s="356">
        <f>G84+'10'!H84</f>
        <v>7214</v>
      </c>
      <c r="I84" s="303"/>
      <c r="J84" s="358">
        <f>H84/DAY(B2)</f>
        <v>655.81818181818187</v>
      </c>
      <c r="K84" s="71"/>
      <c r="L84" s="68"/>
      <c r="N84" s="369"/>
      <c r="P84" s="73"/>
    </row>
    <row r="85" spans="1:16" s="70" customFormat="1">
      <c r="A85" s="256" t="s">
        <v>201</v>
      </c>
      <c r="B85" s="223"/>
      <c r="C85" s="223"/>
      <c r="D85" s="140"/>
      <c r="E85" s="278"/>
      <c r="F85" s="278"/>
      <c r="G85" s="356">
        <f xml:space="preserve"> SUM(G71:G84)</f>
        <v>2199</v>
      </c>
      <c r="H85" s="356">
        <f>G85+'10'!H85</f>
        <v>22593</v>
      </c>
      <c r="I85" s="303"/>
      <c r="J85" s="358">
        <f>H85/DAY(B2)</f>
        <v>2053.909090909091</v>
      </c>
      <c r="K85" s="71"/>
      <c r="L85" s="69"/>
      <c r="N85" s="369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'10'!F86</f>
        <v>463790</v>
      </c>
      <c r="F86" s="298">
        <v>463832</v>
      </c>
      <c r="G86" s="356">
        <f>F86-E86</f>
        <v>42</v>
      </c>
      <c r="H86" s="356">
        <f t="shared" ref="H86:H88" si="7">G86</f>
        <v>42</v>
      </c>
      <c r="I86" s="303"/>
      <c r="J86" s="358">
        <f>H86/DAY(B2)</f>
        <v>3.8181818181818183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'10'!F87</f>
        <v>84200</v>
      </c>
      <c r="F87" s="298">
        <v>84214</v>
      </c>
      <c r="G87" s="356">
        <f t="shared" ref="G87:G91" si="8">F87-E87</f>
        <v>14</v>
      </c>
      <c r="H87" s="356">
        <f t="shared" si="7"/>
        <v>14</v>
      </c>
      <c r="I87" s="303"/>
      <c r="J87" s="358">
        <f>H87/DAY(B2)</f>
        <v>1.2727272727272727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'10'!F88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'10'!F89</f>
        <v>69724</v>
      </c>
      <c r="F89" s="298">
        <v>69780</v>
      </c>
      <c r="G89" s="356">
        <f t="shared" si="8"/>
        <v>56</v>
      </c>
      <c r="H89" s="356">
        <f>G89</f>
        <v>56</v>
      </c>
      <c r="I89" s="303"/>
      <c r="J89" s="358">
        <f>H89/DAY(B2)</f>
        <v>5.0909090909090908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'10'!F90</f>
        <v>3688</v>
      </c>
      <c r="F90" s="298">
        <v>3692</v>
      </c>
      <c r="G90" s="356">
        <f t="shared" si="8"/>
        <v>4</v>
      </c>
      <c r="H90" s="356">
        <f>G90</f>
        <v>4</v>
      </c>
      <c r="I90" s="303"/>
      <c r="J90" s="358">
        <f>H90/DAY(B2)</f>
        <v>0.36363636363636365</v>
      </c>
      <c r="K90" s="384"/>
      <c r="L90" s="385"/>
      <c r="N90" s="428"/>
      <c r="O90" s="73"/>
    </row>
    <row r="91" spans="1:16" s="386" customFormat="1">
      <c r="A91" s="381" t="s">
        <v>335</v>
      </c>
      <c r="B91" s="382"/>
      <c r="C91" s="382"/>
      <c r="D91" s="383"/>
      <c r="E91" s="278">
        <f>'10'!F91</f>
        <v>28823</v>
      </c>
      <c r="F91" s="298">
        <v>28824</v>
      </c>
      <c r="G91" s="356">
        <f t="shared" si="8"/>
        <v>1</v>
      </c>
      <c r="H91" s="356">
        <f>G91</f>
        <v>1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765"/>
      <c r="C92" s="765"/>
      <c r="D92" s="123"/>
      <c r="E92" s="278"/>
      <c r="F92" s="278"/>
      <c r="G92" s="400"/>
      <c r="H92" s="278"/>
      <c r="I92" s="278"/>
      <c r="J92" s="1001"/>
      <c r="K92" s="71"/>
      <c r="L92" s="69"/>
      <c r="N92" s="369"/>
      <c r="P92" s="73"/>
    </row>
    <row r="93" spans="1:16" ht="27.75">
      <c r="A93" s="1245" t="s">
        <v>205</v>
      </c>
      <c r="B93" s="1246"/>
      <c r="C93" s="1247"/>
      <c r="D93" s="174" t="s">
        <v>143</v>
      </c>
      <c r="E93" s="192">
        <f>'10'!F93</f>
        <v>254296</v>
      </c>
      <c r="F93" s="302">
        <v>254379</v>
      </c>
      <c r="G93" s="303">
        <f t="shared" ref="G93:G94" si="9">F93-E93</f>
        <v>83</v>
      </c>
      <c r="H93" s="356">
        <f>G93+'10'!H93</f>
        <v>927</v>
      </c>
      <c r="I93" s="718"/>
      <c r="J93" s="358">
        <f>H93/DAY(B2)</f>
        <v>84.272727272727266</v>
      </c>
      <c r="K93" s="82"/>
      <c r="L93" s="68"/>
      <c r="N93" s="369"/>
      <c r="P93" s="73"/>
    </row>
    <row r="94" spans="1:16" ht="27.75">
      <c r="A94" s="1245" t="s">
        <v>206</v>
      </c>
      <c r="B94" s="1246"/>
      <c r="C94" s="1247"/>
      <c r="D94" s="174" t="s">
        <v>143</v>
      </c>
      <c r="E94" s="192">
        <f>'10'!F94</f>
        <v>199178</v>
      </c>
      <c r="F94" s="302">
        <v>199368</v>
      </c>
      <c r="G94" s="303">
        <f t="shared" si="9"/>
        <v>190</v>
      </c>
      <c r="H94" s="356">
        <f>G94+'10'!H94</f>
        <v>1709</v>
      </c>
      <c r="I94" s="718"/>
      <c r="J94" s="358">
        <f>H94/DAY(B2)</f>
        <v>155.36363636363637</v>
      </c>
      <c r="K94" s="71"/>
      <c r="L94" s="68"/>
      <c r="N94" s="369"/>
      <c r="P94" s="73"/>
    </row>
    <row r="95" spans="1:16">
      <c r="A95" s="1277" t="s">
        <v>207</v>
      </c>
      <c r="B95" s="1278"/>
      <c r="C95" s="1279"/>
      <c r="D95" s="174"/>
      <c r="E95" s="192">
        <f>'10'!F95</f>
        <v>0</v>
      </c>
      <c r="F95" s="302"/>
      <c r="G95" s="303">
        <f>G93+G94</f>
        <v>273</v>
      </c>
      <c r="H95" s="356">
        <f>G95+'10'!H95</f>
        <v>2411</v>
      </c>
      <c r="I95" s="718"/>
      <c r="J95" s="358">
        <f>H95/DAY(B2)</f>
        <v>219.18181818181819</v>
      </c>
      <c r="K95" s="71"/>
      <c r="L95" s="68"/>
      <c r="N95" s="369"/>
      <c r="P95" s="73"/>
    </row>
    <row r="96" spans="1:16" ht="27.75">
      <c r="A96" s="1245" t="s">
        <v>208</v>
      </c>
      <c r="B96" s="1246"/>
      <c r="C96" s="1247"/>
      <c r="D96" s="174" t="s">
        <v>143</v>
      </c>
      <c r="E96" s="192">
        <f>'10'!F96</f>
        <v>421745</v>
      </c>
      <c r="F96" s="302">
        <v>421809</v>
      </c>
      <c r="G96" s="303">
        <f t="shared" ref="G96:G101" si="10">F96-E96</f>
        <v>64</v>
      </c>
      <c r="H96" s="356">
        <f>G96+'10'!H96</f>
        <v>790</v>
      </c>
      <c r="I96" s="718"/>
      <c r="J96" s="358">
        <f>H96/DAY(B2)</f>
        <v>71.818181818181813</v>
      </c>
      <c r="K96" s="71"/>
      <c r="L96" s="68"/>
      <c r="N96" s="369"/>
      <c r="P96" s="73"/>
    </row>
    <row r="97" spans="1:16" ht="27.75">
      <c r="A97" s="759" t="s">
        <v>209</v>
      </c>
      <c r="B97" s="760"/>
      <c r="C97" s="760"/>
      <c r="D97" s="174" t="s">
        <v>143</v>
      </c>
      <c r="E97" s="192">
        <f>'10'!F97</f>
        <v>104839</v>
      </c>
      <c r="F97" s="302">
        <v>104868</v>
      </c>
      <c r="G97" s="303">
        <f t="shared" si="10"/>
        <v>29</v>
      </c>
      <c r="H97" s="356">
        <f>G97+'10'!H97</f>
        <v>232</v>
      </c>
      <c r="I97" s="718"/>
      <c r="J97" s="358">
        <f>H97/DAY(B2)</f>
        <v>21.09090909090909</v>
      </c>
      <c r="K97" s="80"/>
      <c r="L97" s="68"/>
      <c r="N97" s="369"/>
      <c r="P97" s="73"/>
    </row>
    <row r="98" spans="1:16" ht="27.75">
      <c r="A98" s="759" t="s">
        <v>210</v>
      </c>
      <c r="B98" s="760"/>
      <c r="C98" s="760"/>
      <c r="D98" s="174" t="s">
        <v>143</v>
      </c>
      <c r="E98" s="192">
        <f>'10'!F98</f>
        <v>100662</v>
      </c>
      <c r="F98" s="302">
        <v>100701</v>
      </c>
      <c r="G98" s="303">
        <f t="shared" si="10"/>
        <v>39</v>
      </c>
      <c r="H98" s="356">
        <f>G98+'10'!H98</f>
        <v>331</v>
      </c>
      <c r="I98" s="718"/>
      <c r="J98" s="358">
        <f>H98/DAY(B2)</f>
        <v>30.09090909090909</v>
      </c>
      <c r="K98" s="85"/>
      <c r="L98" s="68"/>
      <c r="N98" s="369"/>
      <c r="P98" s="73"/>
    </row>
    <row r="99" spans="1:16" ht="27.75">
      <c r="A99" s="759" t="s">
        <v>211</v>
      </c>
      <c r="B99" s="760"/>
      <c r="C99" s="760"/>
      <c r="D99" s="174" t="s">
        <v>143</v>
      </c>
      <c r="E99" s="192">
        <f>'10'!F99</f>
        <v>152400</v>
      </c>
      <c r="F99" s="302">
        <v>152412</v>
      </c>
      <c r="G99" s="303">
        <f t="shared" si="10"/>
        <v>12</v>
      </c>
      <c r="H99" s="356">
        <f>G99+'10'!H99</f>
        <v>277</v>
      </c>
      <c r="I99" s="718"/>
      <c r="J99" s="358">
        <f>H99/DAY(B2)</f>
        <v>25.181818181818183</v>
      </c>
      <c r="K99" s="71"/>
      <c r="L99" s="68"/>
      <c r="N99" s="371"/>
      <c r="P99" s="73"/>
    </row>
    <row r="100" spans="1:16" ht="27.75">
      <c r="A100" s="759" t="s">
        <v>212</v>
      </c>
      <c r="B100" s="760"/>
      <c r="C100" s="760"/>
      <c r="D100" s="174" t="s">
        <v>143</v>
      </c>
      <c r="E100" s="192">
        <f>'10'!F100</f>
        <v>8764</v>
      </c>
      <c r="F100" s="302">
        <v>8770</v>
      </c>
      <c r="G100" s="303">
        <f t="shared" si="10"/>
        <v>6</v>
      </c>
      <c r="H100" s="356">
        <f>G100+'10'!H100</f>
        <v>125</v>
      </c>
      <c r="I100" s="718"/>
      <c r="J100" s="358">
        <f>H100/DAY(B2)</f>
        <v>11.363636363636363</v>
      </c>
      <c r="K100" s="71"/>
      <c r="L100" s="68"/>
      <c r="N100" s="369"/>
      <c r="P100" s="73"/>
    </row>
    <row r="101" spans="1:16" ht="27.75">
      <c r="A101" s="759" t="s">
        <v>213</v>
      </c>
      <c r="B101" s="760"/>
      <c r="C101" s="760"/>
      <c r="D101" s="174" t="s">
        <v>143</v>
      </c>
      <c r="E101" s="192">
        <f>'10'!F101</f>
        <v>6477</v>
      </c>
      <c r="F101" s="302">
        <v>6489</v>
      </c>
      <c r="G101" s="303">
        <f t="shared" si="10"/>
        <v>12</v>
      </c>
      <c r="H101" s="356">
        <f>G101+'10'!H101</f>
        <v>116</v>
      </c>
      <c r="I101" s="718"/>
      <c r="J101" s="358">
        <f>H101/DAY(B2)</f>
        <v>10.545454545454545</v>
      </c>
      <c r="K101" s="71"/>
      <c r="L101" s="68"/>
      <c r="N101" s="369"/>
      <c r="P101" s="73"/>
    </row>
    <row r="102" spans="1:16">
      <c r="A102" s="1277" t="s">
        <v>215</v>
      </c>
      <c r="B102" s="1278"/>
      <c r="C102" s="1279"/>
      <c r="D102" s="175"/>
      <c r="E102" s="192"/>
      <c r="F102" s="278"/>
      <c r="G102" s="400">
        <f>SUM(G96:G101)</f>
        <v>162</v>
      </c>
      <c r="H102" s="356">
        <f>G102+'10'!H102</f>
        <v>1871</v>
      </c>
      <c r="I102" s="1036"/>
      <c r="J102" s="358">
        <f>H102/DAY(B2)</f>
        <v>170.09090909090909</v>
      </c>
      <c r="K102" s="71"/>
      <c r="L102" s="68"/>
      <c r="N102" s="369"/>
      <c r="P102" s="73"/>
    </row>
    <row r="103" spans="1:16" s="93" customFormat="1" ht="27">
      <c r="A103" s="258" t="s">
        <v>216</v>
      </c>
      <c r="B103" s="259"/>
      <c r="C103" s="259"/>
      <c r="D103" s="272"/>
      <c r="E103" s="192"/>
      <c r="F103" s="1037"/>
      <c r="G103" s="1038"/>
      <c r="H103" s="1039"/>
      <c r="I103" s="1040"/>
      <c r="J103" s="1041"/>
      <c r="N103" s="369"/>
      <c r="P103" s="73"/>
    </row>
    <row r="104" spans="1:16" s="93" customFormat="1" ht="27.75">
      <c r="A104" s="1280" t="s">
        <v>217</v>
      </c>
      <c r="B104" s="1281"/>
      <c r="C104" s="224"/>
      <c r="D104" s="273"/>
      <c r="E104" s="192"/>
      <c r="F104" s="310"/>
      <c r="G104" s="185"/>
      <c r="H104" s="187"/>
      <c r="I104" s="185"/>
      <c r="J104" s="210"/>
      <c r="N104" s="369"/>
      <c r="P104" s="73"/>
    </row>
    <row r="105" spans="1:16" s="93" customFormat="1" ht="27.75">
      <c r="A105" s="1237" t="s">
        <v>218</v>
      </c>
      <c r="B105" s="1238"/>
      <c r="C105" s="758"/>
      <c r="D105" s="273" t="s">
        <v>143</v>
      </c>
      <c r="E105" s="192">
        <f>'10'!F105</f>
        <v>7961</v>
      </c>
      <c r="F105" s="310">
        <v>7961</v>
      </c>
      <c r="G105" s="185">
        <f>F105-E105</f>
        <v>0</v>
      </c>
      <c r="H105" s="187">
        <f>SUM(G105+'1'!G76)</f>
        <v>75.700000000000728</v>
      </c>
      <c r="I105" s="185"/>
      <c r="J105" s="210">
        <f>H105/DAY(B2)</f>
        <v>6.8818181818182476</v>
      </c>
      <c r="N105" s="369"/>
      <c r="P105" s="73"/>
    </row>
    <row r="106" spans="1:16" s="93" customFormat="1" ht="27.75">
      <c r="A106" s="1237" t="s">
        <v>76</v>
      </c>
      <c r="B106" s="1238"/>
      <c r="C106" s="758"/>
      <c r="D106" s="273" t="s">
        <v>143</v>
      </c>
      <c r="E106" s="192">
        <f>'10'!F106</f>
        <v>36844</v>
      </c>
      <c r="F106" s="310">
        <v>36851</v>
      </c>
      <c r="G106" s="185">
        <f t="shared" ref="G106:G107" si="11">F106-E106</f>
        <v>7</v>
      </c>
      <c r="H106" s="187">
        <f>SUM(G106+'1'!G77)</f>
        <v>54</v>
      </c>
      <c r="I106" s="185"/>
      <c r="J106" s="210">
        <f>H106/DAY(B2)</f>
        <v>4.9090909090909092</v>
      </c>
      <c r="N106" s="369"/>
      <c r="P106" s="73"/>
    </row>
    <row r="107" spans="1:16" s="93" customFormat="1" ht="27.75">
      <c r="A107" s="1237" t="s">
        <v>77</v>
      </c>
      <c r="B107" s="1282"/>
      <c r="C107" s="1238"/>
      <c r="D107" s="273" t="s">
        <v>143</v>
      </c>
      <c r="E107" s="192">
        <f>'10'!F107</f>
        <v>20294</v>
      </c>
      <c r="F107" s="310">
        <v>20301</v>
      </c>
      <c r="G107" s="185">
        <f t="shared" si="11"/>
        <v>7</v>
      </c>
      <c r="H107" s="187">
        <f>SUM(G107+'1'!G78)</f>
        <v>25</v>
      </c>
      <c r="I107" s="185"/>
      <c r="J107" s="210">
        <f>H107/DAY(B2)</f>
        <v>2.2727272727272729</v>
      </c>
      <c r="N107" s="369"/>
      <c r="P107" s="73"/>
    </row>
    <row r="108" spans="1:16" s="93" customFormat="1" ht="27.75">
      <c r="A108" s="1239" t="s">
        <v>201</v>
      </c>
      <c r="B108" s="1240"/>
      <c r="C108" s="758"/>
      <c r="D108" s="273"/>
      <c r="E108" s="192"/>
      <c r="F108" s="310"/>
      <c r="G108" s="185">
        <f>SUM(G105:G107)</f>
        <v>14</v>
      </c>
      <c r="H108" s="187">
        <f>SUM(G108+'1'!G79)</f>
        <v>180</v>
      </c>
      <c r="I108" s="185"/>
      <c r="J108" s="210">
        <f>H108/DAY(B2)</f>
        <v>16.363636363636363</v>
      </c>
      <c r="N108" s="369"/>
      <c r="P108" s="73"/>
    </row>
    <row r="109" spans="1:16" s="93" customFormat="1" ht="27.75">
      <c r="A109" s="1243" t="s">
        <v>78</v>
      </c>
      <c r="B109" s="1244"/>
      <c r="C109" s="758"/>
      <c r="D109" s="273" t="s">
        <v>143</v>
      </c>
      <c r="E109" s="192"/>
      <c r="F109" s="310"/>
      <c r="G109" s="185"/>
      <c r="H109" s="187"/>
      <c r="I109" s="185"/>
      <c r="J109" s="210"/>
      <c r="N109" s="369"/>
      <c r="P109" s="73"/>
    </row>
    <row r="110" spans="1:16" s="93" customFormat="1" ht="27.75">
      <c r="A110" s="1237" t="s">
        <v>219</v>
      </c>
      <c r="B110" s="1238"/>
      <c r="C110" s="758"/>
      <c r="D110" s="273" t="s">
        <v>143</v>
      </c>
      <c r="E110" s="192">
        <f>'10'!F110</f>
        <v>70281</v>
      </c>
      <c r="F110" s="310">
        <v>70299</v>
      </c>
      <c r="G110" s="185">
        <f>F110-E110</f>
        <v>18</v>
      </c>
      <c r="H110" s="187">
        <f>SUM(G110+'1'!G81)</f>
        <v>192.80000000004657</v>
      </c>
      <c r="I110" s="185"/>
      <c r="J110" s="210">
        <f>H110/DAY(B2)</f>
        <v>17.527272727276962</v>
      </c>
      <c r="N110" s="369"/>
      <c r="P110" s="73"/>
    </row>
    <row r="111" spans="1:16" s="93" customFormat="1" ht="27.75">
      <c r="A111" s="1237" t="s">
        <v>220</v>
      </c>
      <c r="B111" s="1238"/>
      <c r="C111" s="758"/>
      <c r="D111" s="273" t="s">
        <v>143</v>
      </c>
      <c r="E111" s="192">
        <f>'10'!F111</f>
        <v>33886</v>
      </c>
      <c r="F111" s="310">
        <v>33886</v>
      </c>
      <c r="G111" s="185">
        <f t="shared" ref="G111:G112" si="12">F111-E111</f>
        <v>0</v>
      </c>
      <c r="H111" s="187">
        <f>SUM(G111+'1'!G82)</f>
        <v>30</v>
      </c>
      <c r="I111" s="185"/>
      <c r="J111" s="210">
        <f>H111/DAY(B2)</f>
        <v>2.7272727272727271</v>
      </c>
      <c r="N111" s="369"/>
      <c r="P111" s="73"/>
    </row>
    <row r="112" spans="1:16" s="93" customFormat="1" ht="27.75">
      <c r="A112" s="1237" t="s">
        <v>221</v>
      </c>
      <c r="B112" s="1238"/>
      <c r="C112" s="758"/>
      <c r="D112" s="273" t="s">
        <v>143</v>
      </c>
      <c r="E112" s="192">
        <f>'10'!F112</f>
        <v>4806</v>
      </c>
      <c r="F112" s="310">
        <v>4810</v>
      </c>
      <c r="G112" s="185">
        <f t="shared" si="12"/>
        <v>4</v>
      </c>
      <c r="H112" s="187">
        <f>SUM(G112+'1'!G83)</f>
        <v>315</v>
      </c>
      <c r="I112" s="185"/>
      <c r="J112" s="210">
        <f>H112/DAY(B2)</f>
        <v>28.636363636363637</v>
      </c>
      <c r="N112" s="369"/>
      <c r="P112" s="73"/>
    </row>
    <row r="113" spans="1:16" s="93" customFormat="1" ht="27.75">
      <c r="A113" s="1239" t="s">
        <v>109</v>
      </c>
      <c r="B113" s="1240"/>
      <c r="C113" s="758"/>
      <c r="D113" s="273"/>
      <c r="E113" s="192"/>
      <c r="F113" s="310"/>
      <c r="G113" s="185">
        <f>SUM(G110:G112)</f>
        <v>22</v>
      </c>
      <c r="H113" s="187">
        <f>SUM(G113+'1'!G84)</f>
        <v>762</v>
      </c>
      <c r="I113" s="185"/>
      <c r="J113" s="210">
        <f>H113/DAY(B2)</f>
        <v>69.272727272727266</v>
      </c>
      <c r="N113" s="369"/>
      <c r="P113" s="73"/>
    </row>
    <row r="114" spans="1:16" s="93" customFormat="1" ht="27.75">
      <c r="A114" s="1243" t="s">
        <v>222</v>
      </c>
      <c r="B114" s="1244"/>
      <c r="C114" s="758"/>
      <c r="D114" s="273"/>
      <c r="E114" s="192"/>
      <c r="F114" s="310"/>
      <c r="G114" s="185"/>
      <c r="H114" s="187"/>
      <c r="I114" s="185"/>
      <c r="J114" s="210">
        <f>H114/DAY(B2)</f>
        <v>0</v>
      </c>
      <c r="N114" s="369"/>
      <c r="P114" s="73"/>
    </row>
    <row r="115" spans="1:16" s="93" customFormat="1" ht="27.75">
      <c r="A115" s="1237" t="s">
        <v>223</v>
      </c>
      <c r="B115" s="1238"/>
      <c r="C115" s="225"/>
      <c r="D115" s="273" t="s">
        <v>143</v>
      </c>
      <c r="E115" s="192">
        <f>'10'!F115</f>
        <v>13180</v>
      </c>
      <c r="F115" s="310">
        <v>13180</v>
      </c>
      <c r="G115" s="185">
        <f>F115-E115</f>
        <v>0</v>
      </c>
      <c r="H115" s="187">
        <f>SUM(G115+'1'!G92)</f>
        <v>0</v>
      </c>
      <c r="I115" s="185"/>
      <c r="J115" s="210">
        <f>H115/DAY(B2)</f>
        <v>0</v>
      </c>
      <c r="N115" s="369"/>
      <c r="P115" s="73"/>
    </row>
    <row r="116" spans="1:16" s="93" customFormat="1" ht="27.75">
      <c r="A116" s="1237" t="s">
        <v>224</v>
      </c>
      <c r="B116" s="1238"/>
      <c r="C116" s="225"/>
      <c r="D116" s="273" t="s">
        <v>143</v>
      </c>
      <c r="E116" s="192">
        <f>'10'!F116</f>
        <v>9206</v>
      </c>
      <c r="F116" s="310">
        <v>9213</v>
      </c>
      <c r="G116" s="185">
        <f t="shared" ref="G116:G117" si="13">F116-E116</f>
        <v>7</v>
      </c>
      <c r="H116" s="187">
        <f>SUM(G116+'1'!G93)</f>
        <v>69</v>
      </c>
      <c r="I116" s="185"/>
      <c r="J116" s="210">
        <f>H116/DAY(B2)</f>
        <v>6.2727272727272725</v>
      </c>
      <c r="N116" s="369"/>
      <c r="P116" s="73"/>
    </row>
    <row r="117" spans="1:16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163</v>
      </c>
      <c r="I117" s="185"/>
      <c r="J117" s="210">
        <f>H117/DAY(B2)</f>
        <v>14.818181818181818</v>
      </c>
      <c r="N117" s="369"/>
      <c r="P117" s="73"/>
    </row>
    <row r="118" spans="1:16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7</v>
      </c>
      <c r="H118" s="187">
        <f>SUM(G118+'1'!G96)</f>
        <v>73</v>
      </c>
      <c r="I118" s="185"/>
      <c r="J118" s="210">
        <f>H118/DAY(B2)</f>
        <v>6.6363636363636367</v>
      </c>
      <c r="N118" s="369"/>
      <c r="P118" s="73"/>
    </row>
    <row r="119" spans="1:16" s="97" customFormat="1" ht="27.75">
      <c r="A119" s="1233" t="s">
        <v>226</v>
      </c>
      <c r="B119" s="1234"/>
      <c r="C119" s="756"/>
      <c r="D119" s="275" t="s">
        <v>143</v>
      </c>
      <c r="E119" s="187"/>
      <c r="F119" s="311">
        <f>SUM(G19+G93)</f>
        <v>144</v>
      </c>
      <c r="G119" s="187">
        <f>SUM(G19+G93)</f>
        <v>144</v>
      </c>
      <c r="H119" s="187">
        <f>SUM(G119+'1'!G97)</f>
        <v>162</v>
      </c>
      <c r="I119" s="186"/>
      <c r="J119" s="210">
        <f>H119/DAY(B2)</f>
        <v>14.727272727272727</v>
      </c>
      <c r="N119" s="369"/>
      <c r="P119" s="73"/>
    </row>
    <row r="120" spans="1:16" s="97" customFormat="1" ht="27.75">
      <c r="A120" s="1233" t="s">
        <v>227</v>
      </c>
      <c r="B120" s="1234"/>
      <c r="C120" s="756"/>
      <c r="D120" s="275" t="s">
        <v>143</v>
      </c>
      <c r="E120" s="187"/>
      <c r="F120" s="311">
        <f>SUM(G96,G97,G98,G100,G101)</f>
        <v>150</v>
      </c>
      <c r="G120" s="187">
        <v>921</v>
      </c>
      <c r="H120" s="187">
        <f>SUM(G120+'1'!G99)</f>
        <v>932</v>
      </c>
      <c r="I120" s="186"/>
      <c r="J120" s="210">
        <f>H120/DAY(B2)</f>
        <v>84.727272727272734</v>
      </c>
      <c r="N120" s="369"/>
      <c r="P120" s="73"/>
    </row>
    <row r="121" spans="1:16" s="97" customFormat="1" ht="27.75">
      <c r="A121" s="1233" t="s">
        <v>228</v>
      </c>
      <c r="B121" s="1234"/>
      <c r="C121" s="756"/>
      <c r="D121" s="275" t="s">
        <v>143</v>
      </c>
      <c r="E121" s="185"/>
      <c r="F121" s="310">
        <f>SUM(G113)</f>
        <v>22</v>
      </c>
      <c r="G121" s="185">
        <f>SUM(G113)</f>
        <v>22</v>
      </c>
      <c r="H121" s="187">
        <f>SUM(G121+'1'!G101)</f>
        <v>31</v>
      </c>
      <c r="I121" s="186"/>
      <c r="J121" s="210">
        <f>H121/DAY(B2)</f>
        <v>2.8181818181818183</v>
      </c>
      <c r="N121" s="369"/>
      <c r="P121" s="73"/>
    </row>
    <row r="122" spans="1:16" s="93" customFormat="1" ht="27.75">
      <c r="A122" s="1235"/>
      <c r="B122" s="1236"/>
      <c r="C122" s="757"/>
      <c r="D122" s="211"/>
      <c r="E122" s="1042"/>
      <c r="F122" s="1043" t="s">
        <v>214</v>
      </c>
      <c r="G122" s="1042"/>
      <c r="H122" s="1044"/>
      <c r="I122" s="1042"/>
      <c r="J122" s="1045"/>
      <c r="N122" s="369"/>
      <c r="P122" s="73"/>
    </row>
    <row r="123" spans="1:16">
      <c r="A123" s="1274" t="s">
        <v>229</v>
      </c>
      <c r="B123" s="1275"/>
      <c r="C123" s="1276"/>
      <c r="D123" s="123"/>
      <c r="E123" s="278"/>
      <c r="F123" s="278"/>
      <c r="G123" s="298"/>
      <c r="H123" s="298"/>
      <c r="I123" s="298"/>
      <c r="J123" s="1046"/>
      <c r="K123" s="71"/>
      <c r="L123" s="68"/>
      <c r="N123" s="369"/>
      <c r="P123" s="73"/>
    </row>
    <row r="124" spans="1:16" ht="27.75">
      <c r="A124" s="759" t="s">
        <v>230</v>
      </c>
      <c r="B124" s="760"/>
      <c r="C124" s="760"/>
      <c r="D124" s="174" t="s">
        <v>140</v>
      </c>
      <c r="E124" s="302">
        <f>'10'!F124</f>
        <v>858781</v>
      </c>
      <c r="F124" s="302">
        <v>859051</v>
      </c>
      <c r="G124" s="303">
        <f t="shared" ref="G124:G128" si="14">F124-E124</f>
        <v>270</v>
      </c>
      <c r="H124" s="356">
        <f>G124+'10'!H124</f>
        <v>2699</v>
      </c>
      <c r="I124" s="1036"/>
      <c r="J124" s="358">
        <f>H124/DAY(B2)</f>
        <v>245.36363636363637</v>
      </c>
      <c r="K124" s="71"/>
      <c r="L124" s="68"/>
      <c r="N124" s="369"/>
      <c r="P124" s="73"/>
    </row>
    <row r="125" spans="1:16" ht="27.75">
      <c r="A125" s="759" t="s">
        <v>231</v>
      </c>
      <c r="B125" s="760"/>
      <c r="C125" s="760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6">
        <f>G125+'10'!H125</f>
        <v>0</v>
      </c>
      <c r="I125" s="1036"/>
      <c r="J125" s="358">
        <f>H125/DAY(B2)</f>
        <v>0</v>
      </c>
      <c r="K125" s="71"/>
      <c r="L125" s="68"/>
      <c r="N125" s="369"/>
      <c r="P125" s="73"/>
    </row>
    <row r="126" spans="1:16" ht="27.75">
      <c r="A126" s="1226" t="s">
        <v>232</v>
      </c>
      <c r="B126" s="1227"/>
      <c r="C126" s="1228"/>
      <c r="D126" s="174" t="s">
        <v>140</v>
      </c>
      <c r="E126" s="302">
        <f>'10'!F126</f>
        <v>154966</v>
      </c>
      <c r="F126" s="302">
        <v>155042</v>
      </c>
      <c r="G126" s="303">
        <f t="shared" si="14"/>
        <v>76</v>
      </c>
      <c r="H126" s="356">
        <f>G126+'10'!H126</f>
        <v>965</v>
      </c>
      <c r="I126" s="1036"/>
      <c r="J126" s="358">
        <f>H126/DAY(B2)</f>
        <v>87.727272727272734</v>
      </c>
      <c r="K126" s="71"/>
      <c r="L126" s="68"/>
      <c r="N126" s="369"/>
      <c r="P126" s="73"/>
    </row>
    <row r="127" spans="1:16" ht="27.75">
      <c r="A127" s="260" t="s">
        <v>233</v>
      </c>
      <c r="B127" s="760"/>
      <c r="C127" s="760"/>
      <c r="D127" s="174" t="s">
        <v>140</v>
      </c>
      <c r="E127" s="302">
        <f>'10'!F127</f>
        <v>35049</v>
      </c>
      <c r="F127" s="302">
        <v>35096</v>
      </c>
      <c r="G127" s="303">
        <f t="shared" si="14"/>
        <v>47</v>
      </c>
      <c r="H127" s="356">
        <f>G127+'10'!H127</f>
        <v>467</v>
      </c>
      <c r="I127" s="1036"/>
      <c r="J127" s="358">
        <f>H127/DAY(B2)</f>
        <v>42.454545454545453</v>
      </c>
      <c r="K127" s="71"/>
      <c r="L127" s="68"/>
      <c r="N127" s="369"/>
      <c r="P127" s="73"/>
    </row>
    <row r="128" spans="1:16" ht="27.75">
      <c r="A128" s="260" t="s">
        <v>234</v>
      </c>
      <c r="B128" s="760"/>
      <c r="C128" s="760"/>
      <c r="D128" s="174" t="s">
        <v>140</v>
      </c>
      <c r="E128" s="302">
        <f>'10'!F128</f>
        <v>9199</v>
      </c>
      <c r="F128" s="302">
        <v>9201</v>
      </c>
      <c r="G128" s="303">
        <f t="shared" si="14"/>
        <v>2</v>
      </c>
      <c r="H128" s="356">
        <f>G128+'10'!H128</f>
        <v>21</v>
      </c>
      <c r="I128" s="718"/>
      <c r="J128" s="358">
        <f>H128/DAY(B2)</f>
        <v>1.9090909090909092</v>
      </c>
      <c r="K128" s="71"/>
      <c r="L128" s="68"/>
      <c r="N128" s="369"/>
      <c r="P128" s="73"/>
    </row>
    <row r="129" spans="1:16" s="57" customFormat="1" ht="27.75">
      <c r="A129" s="260" t="s">
        <v>235</v>
      </c>
      <c r="B129" s="760"/>
      <c r="C129" s="760"/>
      <c r="D129" s="174"/>
      <c r="E129" s="302"/>
      <c r="F129" s="302"/>
      <c r="G129" s="303">
        <f>G15-SUM(G124:G128)</f>
        <v>486</v>
      </c>
      <c r="H129" s="356"/>
      <c r="I129" s="718"/>
      <c r="J129" s="358"/>
      <c r="K129" s="60"/>
      <c r="L129" s="58"/>
      <c r="N129" s="369"/>
      <c r="P129" s="73"/>
    </row>
    <row r="130" spans="1:16">
      <c r="A130" s="261" t="s">
        <v>236</v>
      </c>
      <c r="B130" s="109"/>
      <c r="C130" s="109"/>
      <c r="D130" s="122"/>
      <c r="E130" s="1000"/>
      <c r="F130" s="1000"/>
      <c r="G130" s="1047"/>
      <c r="H130" s="1047"/>
      <c r="I130" s="1047"/>
      <c r="J130" s="1048"/>
      <c r="N130" s="369"/>
      <c r="P130" s="73"/>
    </row>
    <row r="131" spans="1:16" ht="27.75">
      <c r="A131" s="759" t="s">
        <v>237</v>
      </c>
      <c r="B131" s="760"/>
      <c r="C131" s="760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6">
        <f>G131+'10'!H131</f>
        <v>0</v>
      </c>
      <c r="I131" s="718"/>
      <c r="J131" s="358">
        <f>H131/DAY(B2)</f>
        <v>0</v>
      </c>
      <c r="N131" s="369"/>
      <c r="P131" s="73"/>
    </row>
    <row r="132" spans="1:16" ht="27.75">
      <c r="A132" s="759" t="s">
        <v>239</v>
      </c>
      <c r="B132" s="760"/>
      <c r="C132" s="760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6">
        <f>G132+'10'!H132</f>
        <v>0</v>
      </c>
      <c r="I132" s="718"/>
      <c r="J132" s="358">
        <f>H132/DAY(B2)</f>
        <v>0</v>
      </c>
      <c r="N132" s="369"/>
      <c r="P132" s="73"/>
    </row>
    <row r="133" spans="1:16" ht="27.75">
      <c r="A133" s="759" t="s">
        <v>240</v>
      </c>
      <c r="B133" s="760"/>
      <c r="C133" s="760"/>
      <c r="D133" s="174" t="s">
        <v>238</v>
      </c>
      <c r="E133" s="192">
        <f>'10'!F133</f>
        <v>41077</v>
      </c>
      <c r="F133" s="302">
        <v>41101</v>
      </c>
      <c r="G133" s="303">
        <f t="shared" si="15"/>
        <v>24</v>
      </c>
      <c r="H133" s="356">
        <f>G133+'10'!H133</f>
        <v>179</v>
      </c>
      <c r="I133" s="718"/>
      <c r="J133" s="358">
        <f>H133/DAY(B2)</f>
        <v>16.272727272727273</v>
      </c>
      <c r="N133" s="369"/>
      <c r="P133" s="73"/>
    </row>
    <row r="134" spans="1:16" ht="27.75">
      <c r="A134" s="759" t="s">
        <v>241</v>
      </c>
      <c r="B134" s="760"/>
      <c r="C134" s="760"/>
      <c r="D134" s="174" t="s">
        <v>238</v>
      </c>
      <c r="E134" s="192">
        <f>'10'!F134</f>
        <v>975</v>
      </c>
      <c r="F134" s="302">
        <v>975</v>
      </c>
      <c r="G134" s="303">
        <f t="shared" si="15"/>
        <v>0</v>
      </c>
      <c r="H134" s="356">
        <f>G134+'10'!H134</f>
        <v>119</v>
      </c>
      <c r="I134" s="718">
        <f>G131+G132+G133+G134</f>
        <v>24</v>
      </c>
      <c r="J134" s="358">
        <f>H134/DAY(B2)</f>
        <v>10.818181818181818</v>
      </c>
      <c r="N134" s="369"/>
      <c r="P134" s="73"/>
    </row>
    <row r="135" spans="1:16" ht="27.75">
      <c r="A135" s="759" t="s">
        <v>242</v>
      </c>
      <c r="B135" s="760"/>
      <c r="C135" s="760"/>
      <c r="D135" s="174" t="s">
        <v>238</v>
      </c>
      <c r="E135" s="192">
        <f>'10'!F135</f>
        <v>42826</v>
      </c>
      <c r="F135" s="302">
        <v>42826</v>
      </c>
      <c r="G135" s="303">
        <f t="shared" si="15"/>
        <v>0</v>
      </c>
      <c r="H135" s="356">
        <f>G135+'10'!H135</f>
        <v>4</v>
      </c>
      <c r="I135" s="718"/>
      <c r="J135" s="358">
        <f>H135/DAY(B2)</f>
        <v>0.36363636363636365</v>
      </c>
      <c r="N135" s="369"/>
      <c r="P135" s="73"/>
    </row>
    <row r="136" spans="1:16" ht="27.75">
      <c r="A136" s="759" t="s">
        <v>243</v>
      </c>
      <c r="B136" s="760"/>
      <c r="C136" s="760"/>
      <c r="D136" s="174" t="s">
        <v>238</v>
      </c>
      <c r="E136" s="192">
        <f>'10'!F136</f>
        <v>32958.379999999997</v>
      </c>
      <c r="F136" s="302">
        <v>32964</v>
      </c>
      <c r="G136" s="303">
        <f t="shared" si="15"/>
        <v>5.6200000000026193</v>
      </c>
      <c r="H136" s="356">
        <f>G136+'10'!H136</f>
        <v>36</v>
      </c>
      <c r="I136" s="718"/>
      <c r="J136" s="358">
        <f>H136/DAY(B2)</f>
        <v>3.2727272727272729</v>
      </c>
      <c r="N136" s="369"/>
      <c r="P136" s="73"/>
    </row>
    <row r="137" spans="1:16" ht="27.75">
      <c r="A137" s="759" t="s">
        <v>244</v>
      </c>
      <c r="B137" s="760"/>
      <c r="C137" s="760"/>
      <c r="D137" s="174" t="s">
        <v>238</v>
      </c>
      <c r="E137" s="192">
        <f>'10'!F137</f>
        <v>23447.39</v>
      </c>
      <c r="F137" s="302">
        <v>23455.82</v>
      </c>
      <c r="G137" s="303">
        <f t="shared" si="15"/>
        <v>8.430000000000291</v>
      </c>
      <c r="H137" s="356">
        <f>G137+'10'!H137</f>
        <v>99.389999999999418</v>
      </c>
      <c r="I137" s="718">
        <f>G135+G136+G137</f>
        <v>14.05000000000291</v>
      </c>
      <c r="J137" s="358">
        <f>H137/DAY(B2)</f>
        <v>9.0354545454544919</v>
      </c>
      <c r="N137" s="369"/>
      <c r="P137" s="73"/>
    </row>
    <row r="138" spans="1:16" ht="27.75">
      <c r="A138" s="759" t="s">
        <v>245</v>
      </c>
      <c r="B138" s="760"/>
      <c r="C138" s="760"/>
      <c r="D138" s="174" t="s">
        <v>238</v>
      </c>
      <c r="E138" s="192">
        <f>'10'!F138</f>
        <v>25132.98</v>
      </c>
      <c r="F138" s="302">
        <v>25132.98</v>
      </c>
      <c r="G138" s="303">
        <f t="shared" si="15"/>
        <v>0</v>
      </c>
      <c r="H138" s="356">
        <f>G138+'10'!H138</f>
        <v>2.0000000000436557E-2</v>
      </c>
      <c r="I138" s="718"/>
      <c r="J138" s="358">
        <f>H138/DAY(B2)</f>
        <v>1.8181818182215052E-3</v>
      </c>
      <c r="N138" s="369"/>
      <c r="P138" s="73"/>
    </row>
    <row r="139" spans="1:16" ht="27.75">
      <c r="A139" s="759" t="s">
        <v>246</v>
      </c>
      <c r="B139" s="760"/>
      <c r="C139" s="760"/>
      <c r="D139" s="174" t="s">
        <v>238</v>
      </c>
      <c r="E139" s="192">
        <f>'10'!F139</f>
        <v>70526.05</v>
      </c>
      <c r="F139" s="302">
        <v>70526</v>
      </c>
      <c r="G139" s="303">
        <f t="shared" si="15"/>
        <v>-5.0000000002910383E-2</v>
      </c>
      <c r="H139" s="356">
        <f>G139+'10'!H139</f>
        <v>1.4499999999970896</v>
      </c>
      <c r="I139" s="718">
        <f>G138+G139</f>
        <v>-5.0000000002910383E-2</v>
      </c>
      <c r="J139" s="358">
        <f>H139/DAY(B2)</f>
        <v>0.13181818181791724</v>
      </c>
      <c r="N139" s="369"/>
      <c r="P139" s="73"/>
    </row>
    <row r="140" spans="1:16" ht="27.75">
      <c r="A140" s="759" t="s">
        <v>247</v>
      </c>
      <c r="B140" s="760"/>
      <c r="C140" s="760"/>
      <c r="D140" s="174" t="s">
        <v>238</v>
      </c>
      <c r="E140" s="192">
        <f>'10'!F140</f>
        <v>2714.94</v>
      </c>
      <c r="F140" s="302">
        <v>2725</v>
      </c>
      <c r="G140" s="303">
        <f t="shared" si="15"/>
        <v>10.059999999999945</v>
      </c>
      <c r="H140" s="356">
        <f>G140+'10'!H140</f>
        <v>97.019999999999982</v>
      </c>
      <c r="I140" s="186"/>
      <c r="J140" s="358">
        <f>H140/DAY(B2)</f>
        <v>8.8199999999999985</v>
      </c>
      <c r="N140" s="369"/>
      <c r="P140" s="73"/>
    </row>
    <row r="141" spans="1:16" ht="27.75">
      <c r="A141" s="759" t="s">
        <v>248</v>
      </c>
      <c r="B141" s="760"/>
      <c r="C141" s="760"/>
      <c r="D141" s="174" t="s">
        <v>238</v>
      </c>
      <c r="E141" s="192">
        <f>'10'!F141</f>
        <v>4758.46</v>
      </c>
      <c r="F141" s="302">
        <v>4758.46</v>
      </c>
      <c r="G141" s="303">
        <f t="shared" si="15"/>
        <v>0</v>
      </c>
      <c r="H141" s="356">
        <f>G141+'10'!H141</f>
        <v>4.4600000000000364</v>
      </c>
      <c r="I141" s="186"/>
      <c r="J141" s="358">
        <f>H141/DAY(B2)</f>
        <v>0.40545454545454879</v>
      </c>
      <c r="N141" s="369"/>
      <c r="P141" s="73"/>
    </row>
    <row r="142" spans="1:16">
      <c r="A142" s="1248" t="s">
        <v>249</v>
      </c>
      <c r="B142" s="1249"/>
      <c r="C142" s="765"/>
      <c r="D142" s="123"/>
      <c r="E142" s="278"/>
      <c r="F142" s="278"/>
      <c r="G142" s="298"/>
      <c r="H142" s="298"/>
      <c r="I142" s="298"/>
      <c r="J142" s="1046"/>
      <c r="K142" s="71"/>
      <c r="L142" s="68"/>
      <c r="N142" s="369"/>
      <c r="P142" s="73"/>
    </row>
    <row r="143" spans="1:16" ht="27.75">
      <c r="A143" s="1245" t="s">
        <v>250</v>
      </c>
      <c r="B143" s="1246"/>
      <c r="C143" s="1247"/>
      <c r="D143" s="174" t="s">
        <v>131</v>
      </c>
      <c r="E143" s="278"/>
      <c r="F143" s="278"/>
      <c r="G143" s="356">
        <f>G35+G43+G49+G57</f>
        <v>7103</v>
      </c>
      <c r="H143" s="356">
        <f>G143+'10'!H143</f>
        <v>70579</v>
      </c>
      <c r="I143" s="718"/>
      <c r="J143" s="358">
        <f>H143/DAY(B2)</f>
        <v>6416.272727272727</v>
      </c>
      <c r="K143" s="71"/>
      <c r="L143" s="68"/>
      <c r="N143" s="369"/>
      <c r="P143" s="73"/>
    </row>
    <row r="144" spans="1:16" ht="27.75">
      <c r="A144" s="1245" t="s">
        <v>251</v>
      </c>
      <c r="B144" s="1246"/>
      <c r="C144" s="1247"/>
      <c r="D144" s="174" t="s">
        <v>24</v>
      </c>
      <c r="E144" s="1000"/>
      <c r="F144" s="1000"/>
      <c r="G144" s="1049">
        <f>G143/G7</f>
        <v>0.33280232394696152</v>
      </c>
      <c r="H144" s="356">
        <f>G144+'10'!H144</f>
        <v>3.2397203507568628</v>
      </c>
      <c r="I144" s="195"/>
      <c r="J144" s="358">
        <f>H144/DAY(B2)</f>
        <v>0.29452003188698755</v>
      </c>
      <c r="K144" s="71"/>
      <c r="L144" s="68"/>
      <c r="N144" s="369"/>
      <c r="P144" s="73"/>
    </row>
    <row r="145" spans="1:16" ht="27.75">
      <c r="A145" s="1245" t="s">
        <v>252</v>
      </c>
      <c r="B145" s="1246"/>
      <c r="C145" s="1247"/>
      <c r="D145" s="174" t="s">
        <v>131</v>
      </c>
      <c r="E145" s="357"/>
      <c r="F145" s="357"/>
      <c r="G145" s="356">
        <f>G41+G42+G55+G56</f>
        <v>6766</v>
      </c>
      <c r="H145" s="356">
        <f>G145+'10'!H145</f>
        <v>74288.22000000003</v>
      </c>
      <c r="I145" s="718"/>
      <c r="J145" s="358">
        <f>H145/DAY(B2)</f>
        <v>6753.4745454545482</v>
      </c>
      <c r="K145" s="71"/>
      <c r="L145" s="68"/>
      <c r="N145" s="369"/>
      <c r="P145" s="73"/>
    </row>
    <row r="146" spans="1:16" ht="27.75">
      <c r="A146" s="1245" t="s">
        <v>253</v>
      </c>
      <c r="B146" s="1246"/>
      <c r="C146" s="1247"/>
      <c r="D146" s="174" t="s">
        <v>24</v>
      </c>
      <c r="E146" s="357"/>
      <c r="F146" s="357"/>
      <c r="G146" s="1049">
        <f>G145/G7</f>
        <v>0.31701260366396478</v>
      </c>
      <c r="H146" s="356">
        <f>G146+'10'!H146</f>
        <v>3.3980113765692486</v>
      </c>
      <c r="I146" s="195"/>
      <c r="J146" s="358">
        <f>H146/DAY(B2)</f>
        <v>0.30891012514265898</v>
      </c>
      <c r="K146" s="71"/>
      <c r="L146" s="68"/>
      <c r="N146" s="369"/>
      <c r="P146" s="73"/>
    </row>
    <row r="147" spans="1:16" ht="27.75">
      <c r="A147" s="1245" t="s">
        <v>254</v>
      </c>
      <c r="B147" s="1246"/>
      <c r="C147" s="1247"/>
      <c r="D147" s="174" t="s">
        <v>131</v>
      </c>
      <c r="E147" s="357"/>
      <c r="F147" s="357"/>
      <c r="G147" s="356">
        <f>G39+G53</f>
        <v>3836</v>
      </c>
      <c r="H147" s="356">
        <f>G147+'10'!H147</f>
        <v>42384</v>
      </c>
      <c r="I147" s="1050"/>
      <c r="J147" s="358">
        <f>H147/DAY(B2)</f>
        <v>3853.090909090909</v>
      </c>
      <c r="K147" s="71"/>
      <c r="L147" s="68"/>
      <c r="N147" s="369"/>
      <c r="P147" s="73"/>
    </row>
    <row r="148" spans="1:16" ht="27.75">
      <c r="A148" s="1245" t="s">
        <v>255</v>
      </c>
      <c r="B148" s="1246"/>
      <c r="C148" s="1247"/>
      <c r="D148" s="174" t="s">
        <v>24</v>
      </c>
      <c r="E148" s="357"/>
      <c r="F148" s="357"/>
      <c r="G148" s="1049">
        <f>G147/G7</f>
        <v>0.1797310593637258</v>
      </c>
      <c r="H148" s="356">
        <f>G148+'10'!H148</f>
        <v>1.9437918767284155</v>
      </c>
      <c r="I148" s="1050"/>
      <c r="J148" s="358">
        <f>H148/DAY(B2)</f>
        <v>0.17670835242985594</v>
      </c>
      <c r="N148" s="369"/>
      <c r="P148" s="73"/>
    </row>
    <row r="149" spans="1:16" ht="27.75">
      <c r="A149" s="1245" t="s">
        <v>256</v>
      </c>
      <c r="B149" s="1246"/>
      <c r="C149" s="1247"/>
      <c r="D149" s="174" t="s">
        <v>182</v>
      </c>
      <c r="E149" s="357"/>
      <c r="F149" s="357"/>
      <c r="G149" s="356">
        <f>G38+G52</f>
        <v>1618</v>
      </c>
      <c r="H149" s="356">
        <f>G149+'10'!H149</f>
        <v>18676</v>
      </c>
      <c r="I149" s="718"/>
      <c r="J149" s="358">
        <f>H149/DAY(B2)</f>
        <v>1697.8181818181818</v>
      </c>
      <c r="K149" s="72"/>
      <c r="N149" s="369"/>
      <c r="P149" s="73"/>
    </row>
    <row r="150" spans="1:16" ht="27.75">
      <c r="A150" s="1245" t="s">
        <v>257</v>
      </c>
      <c r="B150" s="1246"/>
      <c r="C150" s="1247"/>
      <c r="D150" s="174" t="s">
        <v>24</v>
      </c>
      <c r="E150" s="357"/>
      <c r="F150" s="357" t="s">
        <v>214</v>
      </c>
      <c r="G150" s="1049">
        <f>G149/G7</f>
        <v>7.5809398866138786E-2</v>
      </c>
      <c r="H150" s="356">
        <f>G150+'10'!H150</f>
        <v>0.85651448109610218</v>
      </c>
      <c r="I150" s="1050"/>
      <c r="J150" s="358">
        <f>H150/DAY(B2)</f>
        <v>7.7864952826918382E-2</v>
      </c>
      <c r="N150" s="369"/>
      <c r="P150" s="73"/>
    </row>
    <row r="151" spans="1:16" ht="27.75">
      <c r="A151" s="1245" t="s">
        <v>258</v>
      </c>
      <c r="B151" s="1246"/>
      <c r="C151" s="1247"/>
      <c r="D151" s="174" t="s">
        <v>182</v>
      </c>
      <c r="E151" s="357"/>
      <c r="F151" s="357"/>
      <c r="G151" s="356">
        <f>G36+G50</f>
        <v>1550</v>
      </c>
      <c r="H151" s="356">
        <f>G151+'10'!H151</f>
        <v>20031</v>
      </c>
      <c r="I151" s="1050"/>
      <c r="J151" s="358">
        <f>H151/DAY(B2)</f>
        <v>1821</v>
      </c>
      <c r="N151" s="369"/>
      <c r="P151" s="73"/>
    </row>
    <row r="152" spans="1:16" ht="27.75">
      <c r="A152" s="1245" t="s">
        <v>259</v>
      </c>
      <c r="B152" s="1246"/>
      <c r="C152" s="1247"/>
      <c r="D152" s="174" t="s">
        <v>24</v>
      </c>
      <c r="E152" s="357"/>
      <c r="F152" s="357"/>
      <c r="G152" s="1049">
        <f>G151/G7</f>
        <v>7.2623342547907976E-2</v>
      </c>
      <c r="H152" s="356">
        <f>G152+'10'!H152</f>
        <v>0.91294830985585462</v>
      </c>
      <c r="I152" s="718"/>
      <c r="J152" s="358">
        <f>H152/DAY(B2)</f>
        <v>8.2995300895986779E-2</v>
      </c>
      <c r="N152" s="369"/>
      <c r="P152" s="73"/>
    </row>
    <row r="153" spans="1:16" ht="27.75">
      <c r="A153" s="1245" t="s">
        <v>260</v>
      </c>
      <c r="B153" s="1246"/>
      <c r="C153" s="1247"/>
      <c r="D153" s="174" t="s">
        <v>182</v>
      </c>
      <c r="E153" s="357"/>
      <c r="F153" s="357"/>
      <c r="G153" s="356">
        <f>G37+G51</f>
        <v>1694</v>
      </c>
      <c r="H153" s="356">
        <f>G153+'10'!H153</f>
        <v>17804</v>
      </c>
      <c r="I153" s="718"/>
      <c r="J153" s="358"/>
      <c r="N153" s="369"/>
      <c r="P153" s="73"/>
    </row>
    <row r="154" spans="1:16" ht="28.5" thickBot="1">
      <c r="A154" s="1283" t="s">
        <v>261</v>
      </c>
      <c r="B154" s="1284"/>
      <c r="C154" s="1285"/>
      <c r="D154" s="276" t="s">
        <v>24</v>
      </c>
      <c r="E154" s="1051"/>
      <c r="F154" s="1051"/>
      <c r="G154" s="1052">
        <f>G153/G7</f>
        <v>7.937028533945556E-2</v>
      </c>
      <c r="H154" s="356">
        <f>G154+'10'!H154</f>
        <v>0.81684490615293881</v>
      </c>
      <c r="I154" s="1053"/>
      <c r="J154" s="1054">
        <f>H154/DAY(B2)</f>
        <v>7.4258627832085353E-2</v>
      </c>
      <c r="N154" s="369"/>
      <c r="P154" s="73"/>
    </row>
    <row r="155" spans="1:16">
      <c r="A155" s="117"/>
      <c r="B155" s="107"/>
      <c r="C155" s="107"/>
      <c r="D155" s="197"/>
      <c r="E155" s="1055"/>
      <c r="F155" s="1056"/>
      <c r="G155" s="1055"/>
      <c r="H155" s="1057"/>
      <c r="I155" s="1055"/>
      <c r="J155" s="1058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35" t="s">
        <v>262</v>
      </c>
      <c r="B161" s="436"/>
      <c r="C161" s="436"/>
      <c r="D161" s="162" t="s">
        <v>186</v>
      </c>
      <c r="E161" s="302">
        <f>'10'!F161</f>
        <v>46611</v>
      </c>
      <c r="F161" s="310">
        <v>46692</v>
      </c>
      <c r="G161" s="303">
        <f t="shared" ref="G161:G175" si="16">F161-E161</f>
        <v>81</v>
      </c>
      <c r="N161" s="369"/>
    </row>
    <row r="162" spans="1:14">
      <c r="A162" s="435" t="s">
        <v>263</v>
      </c>
      <c r="B162" s="436"/>
      <c r="C162" s="436"/>
      <c r="D162" s="162" t="s">
        <v>186</v>
      </c>
      <c r="E162" s="302">
        <f>'10'!F162</f>
        <v>141315</v>
      </c>
      <c r="F162" s="310">
        <v>141762</v>
      </c>
      <c r="G162" s="303">
        <f t="shared" si="16"/>
        <v>447</v>
      </c>
      <c r="N162" s="369"/>
    </row>
    <row r="163" spans="1:14">
      <c r="A163" s="435" t="s">
        <v>264</v>
      </c>
      <c r="B163" s="436"/>
      <c r="C163" s="436"/>
      <c r="D163" s="162" t="s">
        <v>186</v>
      </c>
      <c r="E163" s="302">
        <f>'10'!F163</f>
        <v>65931</v>
      </c>
      <c r="F163" s="310">
        <v>66140</v>
      </c>
      <c r="G163" s="303">
        <f t="shared" si="16"/>
        <v>209</v>
      </c>
      <c r="N163" s="369"/>
    </row>
    <row r="164" spans="1:14">
      <c r="A164" s="435" t="s">
        <v>265</v>
      </c>
      <c r="B164" s="436"/>
      <c r="C164" s="436"/>
      <c r="D164" s="162" t="s">
        <v>186</v>
      </c>
      <c r="E164" s="302">
        <f>'10'!F164</f>
        <v>7563</v>
      </c>
      <c r="F164" s="310">
        <v>7570</v>
      </c>
      <c r="G164" s="303">
        <f t="shared" si="16"/>
        <v>7</v>
      </c>
      <c r="N164" s="369"/>
    </row>
    <row r="165" spans="1:14" ht="37.5" customHeight="1">
      <c r="A165" s="437" t="s">
        <v>97</v>
      </c>
      <c r="B165" s="255"/>
      <c r="C165" s="255"/>
      <c r="D165" s="162" t="s">
        <v>186</v>
      </c>
      <c r="E165" s="302">
        <f>'10'!F165</f>
        <v>0</v>
      </c>
      <c r="F165" s="747">
        <f>F62</f>
        <v>0</v>
      </c>
      <c r="G165" s="303">
        <f t="shared" si="16"/>
        <v>0</v>
      </c>
      <c r="N165" s="369"/>
    </row>
    <row r="166" spans="1:14">
      <c r="A166" s="437" t="s">
        <v>187</v>
      </c>
      <c r="B166" s="255"/>
      <c r="C166" s="255"/>
      <c r="D166" s="162" t="s">
        <v>186</v>
      </c>
      <c r="E166" s="302">
        <f>'10'!F166</f>
        <v>41</v>
      </c>
      <c r="F166" s="747">
        <f>F63</f>
        <v>51</v>
      </c>
      <c r="G166" s="303">
        <f t="shared" si="16"/>
        <v>10</v>
      </c>
      <c r="H166" s="1061" t="s">
        <v>272</v>
      </c>
      <c r="N166" s="369"/>
    </row>
    <row r="167" spans="1:14" ht="35.25" customHeight="1">
      <c r="A167" s="1232" t="s">
        <v>98</v>
      </c>
      <c r="B167" s="1232"/>
      <c r="C167" s="1232"/>
      <c r="D167" s="174" t="s">
        <v>186</v>
      </c>
      <c r="E167" s="302">
        <f>'10'!F167</f>
        <v>198353</v>
      </c>
      <c r="F167" s="747">
        <f t="shared" ref="F167:F172" si="17">F64</f>
        <v>198744</v>
      </c>
      <c r="G167" s="303">
        <f t="shared" si="16"/>
        <v>391</v>
      </c>
      <c r="N167" s="369"/>
    </row>
    <row r="168" spans="1:14" ht="33" customHeight="1">
      <c r="A168" s="1232" t="s">
        <v>99</v>
      </c>
      <c r="B168" s="1232"/>
      <c r="C168" s="1232"/>
      <c r="D168" s="174" t="s">
        <v>186</v>
      </c>
      <c r="E168" s="302">
        <f>'10'!F168</f>
        <v>198484</v>
      </c>
      <c r="F168" s="747">
        <f t="shared" si="17"/>
        <v>198868</v>
      </c>
      <c r="G168" s="303">
        <f t="shared" si="16"/>
        <v>384</v>
      </c>
      <c r="N168" s="369"/>
    </row>
    <row r="169" spans="1:14" ht="40.5" customHeight="1">
      <c r="A169" s="1232" t="s">
        <v>100</v>
      </c>
      <c r="B169" s="1232"/>
      <c r="C169" s="1232"/>
      <c r="D169" s="174" t="s">
        <v>186</v>
      </c>
      <c r="E169" s="302">
        <f>'10'!F169</f>
        <v>97357</v>
      </c>
      <c r="F169" s="747">
        <f t="shared" si="17"/>
        <v>97761</v>
      </c>
      <c r="G169" s="303">
        <f t="shared" si="16"/>
        <v>404</v>
      </c>
      <c r="N169" s="369"/>
    </row>
    <row r="170" spans="1:14" ht="30.75" customHeight="1">
      <c r="A170" s="1232" t="s">
        <v>101</v>
      </c>
      <c r="B170" s="1232"/>
      <c r="C170" s="1232"/>
      <c r="D170" s="174" t="s">
        <v>186</v>
      </c>
      <c r="E170" s="302">
        <f>'10'!F170</f>
        <v>299522</v>
      </c>
      <c r="F170" s="747">
        <f t="shared" si="17"/>
        <v>300020</v>
      </c>
      <c r="G170" s="303">
        <f t="shared" si="16"/>
        <v>498</v>
      </c>
      <c r="N170" s="369"/>
    </row>
    <row r="171" spans="1:14" ht="30.75" customHeight="1">
      <c r="A171" s="1232" t="s">
        <v>102</v>
      </c>
      <c r="B171" s="1232"/>
      <c r="C171" s="1232"/>
      <c r="D171" s="174" t="s">
        <v>186</v>
      </c>
      <c r="E171" s="302">
        <f>'10'!F171</f>
        <v>85488</v>
      </c>
      <c r="F171" s="747">
        <f t="shared" si="17"/>
        <v>85602</v>
      </c>
      <c r="G171" s="303">
        <f t="shared" si="16"/>
        <v>114</v>
      </c>
      <c r="N171" s="369"/>
    </row>
    <row r="172" spans="1:14" ht="28.5" customHeight="1">
      <c r="A172" s="1232" t="s">
        <v>103</v>
      </c>
      <c r="B172" s="1232"/>
      <c r="C172" s="1232"/>
      <c r="D172" s="174" t="s">
        <v>186</v>
      </c>
      <c r="E172" s="302">
        <f>'10'!F172</f>
        <v>109396</v>
      </c>
      <c r="F172" s="747">
        <f t="shared" si="17"/>
        <v>109696</v>
      </c>
      <c r="G172" s="303">
        <f t="shared" si="16"/>
        <v>300</v>
      </c>
      <c r="N172" s="369"/>
    </row>
    <row r="173" spans="1:14">
      <c r="A173" s="1273" t="s">
        <v>337</v>
      </c>
      <c r="B173" s="1236"/>
      <c r="C173" s="436"/>
      <c r="D173" s="174" t="s">
        <v>186</v>
      </c>
      <c r="E173" s="302">
        <f>'10'!F173</f>
        <v>19241</v>
      </c>
      <c r="F173" s="183">
        <v>19243</v>
      </c>
      <c r="G173" s="303">
        <f t="shared" si="16"/>
        <v>2</v>
      </c>
      <c r="N173" s="369"/>
    </row>
    <row r="174" spans="1:14">
      <c r="A174" s="1273" t="s">
        <v>337</v>
      </c>
      <c r="B174" s="1236"/>
      <c r="C174" s="436"/>
      <c r="D174" s="174" t="s">
        <v>186</v>
      </c>
      <c r="E174" s="302">
        <f>'10'!F174</f>
        <v>70796</v>
      </c>
      <c r="F174" s="183">
        <v>70802</v>
      </c>
      <c r="G174" s="303">
        <f t="shared" si="16"/>
        <v>6</v>
      </c>
      <c r="N174" s="369"/>
    </row>
    <row r="175" spans="1:14">
      <c r="A175" s="1273" t="s">
        <v>338</v>
      </c>
      <c r="B175" s="1236"/>
      <c r="C175" s="436"/>
      <c r="D175" s="174" t="s">
        <v>186</v>
      </c>
      <c r="E175" s="302">
        <f>'10'!F175</f>
        <v>28017</v>
      </c>
      <c r="F175" s="183">
        <v>28023</v>
      </c>
      <c r="G175" s="303">
        <f t="shared" si="16"/>
        <v>6</v>
      </c>
      <c r="N175" s="369"/>
    </row>
    <row r="176" spans="1:14">
      <c r="N176" s="369"/>
    </row>
    <row r="177" spans="1:14" ht="27.75">
      <c r="A177" s="1296" t="s">
        <v>382</v>
      </c>
      <c r="B177" s="1296"/>
      <c r="C177" s="1296"/>
      <c r="D177" s="1296"/>
      <c r="E177" s="1296"/>
      <c r="F177" s="1296"/>
      <c r="G177" s="1296"/>
      <c r="N177" s="369"/>
    </row>
    <row r="178" spans="1:14" ht="32.25" customHeight="1">
      <c r="A178" s="435"/>
      <c r="B178" s="436"/>
      <c r="C178" s="436"/>
      <c r="D178" s="174" t="s">
        <v>186</v>
      </c>
      <c r="E178" s="302">
        <f>'10'!F178</f>
        <v>0</v>
      </c>
      <c r="F178" s="193"/>
      <c r="G178" s="124">
        <f t="shared" ref="G178:G184" si="18">F178-E178</f>
        <v>0</v>
      </c>
      <c r="N178" s="369"/>
    </row>
    <row r="179" spans="1:14" ht="34.5" customHeight="1">
      <c r="A179" s="435" t="s">
        <v>383</v>
      </c>
      <c r="B179" s="436"/>
      <c r="C179" s="436"/>
      <c r="D179" s="174" t="s">
        <v>186</v>
      </c>
      <c r="E179" s="302">
        <f>'10'!F179</f>
        <v>1440</v>
      </c>
      <c r="F179" s="183">
        <v>1809</v>
      </c>
      <c r="G179" s="124">
        <f t="shared" si="18"/>
        <v>369</v>
      </c>
      <c r="N179" s="369"/>
    </row>
    <row r="180" spans="1:14" ht="21.75" customHeight="1">
      <c r="A180" s="435" t="s">
        <v>384</v>
      </c>
      <c r="B180" s="436"/>
      <c r="C180" s="436"/>
      <c r="D180" s="174" t="s">
        <v>186</v>
      </c>
      <c r="E180" s="302">
        <f>'10'!F180</f>
        <v>599</v>
      </c>
      <c r="F180" s="183">
        <v>765</v>
      </c>
      <c r="G180" s="124">
        <f t="shared" si="18"/>
        <v>166</v>
      </c>
      <c r="N180" s="369"/>
    </row>
    <row r="181" spans="1:14" ht="21.75" customHeight="1">
      <c r="A181" s="435" t="s">
        <v>385</v>
      </c>
      <c r="B181" s="436"/>
      <c r="C181" s="436"/>
      <c r="D181" s="174" t="s">
        <v>186</v>
      </c>
      <c r="E181" s="302">
        <f>'10'!F181</f>
        <v>46</v>
      </c>
      <c r="F181" s="183">
        <v>88</v>
      </c>
      <c r="G181" s="124">
        <f t="shared" si="18"/>
        <v>42</v>
      </c>
      <c r="N181" s="369"/>
    </row>
    <row r="182" spans="1:14" ht="21.75" customHeight="1">
      <c r="A182" s="435" t="s">
        <v>386</v>
      </c>
      <c r="B182" s="436"/>
      <c r="C182" s="436"/>
      <c r="D182" s="174" t="s">
        <v>186</v>
      </c>
      <c r="E182" s="302">
        <f>'10'!F182</f>
        <v>525</v>
      </c>
      <c r="F182" s="183">
        <v>997</v>
      </c>
      <c r="G182" s="124">
        <f t="shared" si="18"/>
        <v>472</v>
      </c>
      <c r="N182" s="369"/>
    </row>
    <row r="183" spans="1:14" ht="21.75" customHeight="1">
      <c r="A183" s="435" t="s">
        <v>387</v>
      </c>
      <c r="B183" s="436"/>
      <c r="C183" s="436"/>
      <c r="D183" s="174" t="s">
        <v>186</v>
      </c>
      <c r="E183" s="302">
        <f>'10'!F183</f>
        <v>1400</v>
      </c>
      <c r="F183" s="183">
        <v>1400</v>
      </c>
      <c r="G183" s="124">
        <f t="shared" si="18"/>
        <v>0</v>
      </c>
      <c r="N183" s="369"/>
    </row>
    <row r="184" spans="1:14" ht="21.75" customHeight="1">
      <c r="A184" s="435" t="s">
        <v>388</v>
      </c>
      <c r="B184" s="436"/>
      <c r="C184" s="436"/>
      <c r="D184" s="174" t="s">
        <v>186</v>
      </c>
      <c r="E184" s="302">
        <f>'10'!F184</f>
        <v>2425</v>
      </c>
      <c r="F184" s="183">
        <v>3274</v>
      </c>
      <c r="G184" s="124">
        <f t="shared" si="18"/>
        <v>849</v>
      </c>
      <c r="N184" s="369"/>
    </row>
    <row r="185" spans="1:14" ht="21.75" customHeight="1">
      <c r="N185" s="369"/>
    </row>
    <row r="186" spans="1:14" ht="21.75" customHeight="1">
      <c r="N186" s="369"/>
    </row>
    <row r="187" spans="1:14" ht="21.75" customHeight="1">
      <c r="N187" s="369"/>
    </row>
    <row r="188" spans="1:14" ht="21.75" customHeight="1">
      <c r="N188" s="369"/>
    </row>
    <row r="189" spans="1:14" ht="21.75" customHeight="1">
      <c r="N189" s="369"/>
    </row>
    <row r="190" spans="1:14" ht="21.75" customHeight="1">
      <c r="N190" s="369"/>
    </row>
    <row r="191" spans="1:14" ht="21.75" customHeight="1">
      <c r="N191" s="369"/>
    </row>
    <row r="192" spans="1:14" ht="21.75" customHeight="1">
      <c r="N192" s="369"/>
    </row>
    <row r="193" spans="14:14" ht="21.75" customHeight="1">
      <c r="N193" s="369"/>
    </row>
    <row r="194" spans="14:14" ht="21.75" customHeight="1">
      <c r="N194" s="369"/>
    </row>
    <row r="195" spans="14:14" ht="36.75" customHeight="1">
      <c r="N195" s="369"/>
    </row>
    <row r="196" spans="14:14">
      <c r="N196" s="369"/>
    </row>
    <row r="197" spans="14:14">
      <c r="N197" s="369"/>
    </row>
    <row r="198" spans="14:14">
      <c r="N198" s="369"/>
    </row>
    <row r="199" spans="14:14">
      <c r="N199" s="369"/>
    </row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</sheetData>
  <mergeCells count="78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7:G177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9"/>
  <sheetViews>
    <sheetView tabSelected="1" view="pageBreakPreview" zoomScale="60" zoomScaleNormal="75" workbookViewId="0">
      <selection activeCell="H179" sqref="H179"/>
    </sheetView>
  </sheetViews>
  <sheetFormatPr defaultColWidth="22.33203125" defaultRowHeight="29.2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797"/>
    <col min="16" max="17" width="22.33203125" style="92"/>
    <col min="18" max="16384" width="22.33203125" style="67"/>
  </cols>
  <sheetData>
    <row r="1" spans="1:17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7" s="57" customFormat="1" ht="27">
      <c r="A2" s="226" t="s">
        <v>277</v>
      </c>
      <c r="B2" s="682">
        <v>44451</v>
      </c>
      <c r="C2" s="761" t="s">
        <v>68</v>
      </c>
      <c r="D2" s="262">
        <v>0.74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798"/>
      <c r="P2" s="361"/>
      <c r="Q2" s="361"/>
    </row>
    <row r="3" spans="1:17" s="57" customFormat="1" ht="27">
      <c r="A3" s="221"/>
      <c r="B3" s="265"/>
      <c r="C3" s="761" t="s">
        <v>119</v>
      </c>
      <c r="D3" s="263">
        <v>28</v>
      </c>
      <c r="E3" s="1259" t="s">
        <v>120</v>
      </c>
      <c r="F3" s="1260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798"/>
      <c r="P3" s="361"/>
      <c r="Q3" s="361"/>
    </row>
    <row r="4" spans="1:17" s="57" customFormat="1" ht="27">
      <c r="A4" s="227"/>
      <c r="B4" s="267"/>
      <c r="C4" s="761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798"/>
      <c r="P4" s="361"/>
      <c r="Q4" s="361"/>
    </row>
    <row r="5" spans="1:17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O5" s="67" t="s">
        <v>365</v>
      </c>
    </row>
    <row r="6" spans="1:17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  <c r="O6" s="73" t="s">
        <v>368</v>
      </c>
    </row>
    <row r="7" spans="1:17" ht="30" thickBot="1">
      <c r="A7" s="327" t="s">
        <v>130</v>
      </c>
      <c r="B7" s="328"/>
      <c r="C7" s="328"/>
      <c r="D7" s="288" t="s">
        <v>131</v>
      </c>
      <c r="E7" s="284">
        <f>'11'!F7</f>
        <v>538940</v>
      </c>
      <c r="F7" s="106">
        <v>561235.67000000004</v>
      </c>
      <c r="G7" s="329">
        <f>F7-E7</f>
        <v>22295.670000000042</v>
      </c>
      <c r="H7" s="330">
        <f>G7+'11'!H7</f>
        <v>262544.67000000004</v>
      </c>
      <c r="I7" s="331">
        <f>'1'!I7</f>
        <v>12000</v>
      </c>
      <c r="J7" s="332">
        <f>H7/DAY(B2)</f>
        <v>21878.722500000003</v>
      </c>
      <c r="K7" s="200"/>
      <c r="L7" s="68"/>
      <c r="N7" s="369"/>
      <c r="O7" s="73" t="s">
        <v>367</v>
      </c>
      <c r="P7" s="362"/>
    </row>
    <row r="8" spans="1:17" ht="27.75" thickBot="1">
      <c r="A8" s="333" t="s">
        <v>132</v>
      </c>
      <c r="B8" s="334"/>
      <c r="C8" s="335"/>
      <c r="D8" s="336" t="s">
        <v>25</v>
      </c>
      <c r="E8" s="284">
        <f>'11'!F8</f>
        <v>550808</v>
      </c>
      <c r="F8" s="126">
        <v>573233.27</v>
      </c>
      <c r="G8" s="340">
        <f>F8-E8</f>
        <v>22425.270000000019</v>
      </c>
      <c r="H8" s="330">
        <f>G8+'11'!H8</f>
        <v>263661.27</v>
      </c>
      <c r="I8" s="337">
        <f>'1'!I8</f>
        <v>12000</v>
      </c>
      <c r="J8" s="332">
        <f>H8/DAY(B2)</f>
        <v>21971.772500000003</v>
      </c>
      <c r="K8" s="200"/>
      <c r="L8" s="78"/>
      <c r="M8" s="91"/>
      <c r="N8" s="369"/>
      <c r="O8" s="378"/>
      <c r="P8" s="364"/>
    </row>
    <row r="9" spans="1:17">
      <c r="A9" s="338" t="s">
        <v>133</v>
      </c>
      <c r="B9" s="339"/>
      <c r="C9" s="339"/>
      <c r="D9" s="288" t="s">
        <v>131</v>
      </c>
      <c r="E9" s="284">
        <f>'11'!F9</f>
        <v>315496</v>
      </c>
      <c r="F9" s="129">
        <v>337005</v>
      </c>
      <c r="G9" s="353">
        <f t="shared" ref="G9:G12" si="0">F9-E9</f>
        <v>21509</v>
      </c>
      <c r="H9" s="330">
        <f>G9+'11'!H9</f>
        <v>254475</v>
      </c>
      <c r="I9" s="341">
        <f>I7-J7</f>
        <v>-9878.7225000000035</v>
      </c>
      <c r="J9" s="332">
        <f>H9/DAY(B2)</f>
        <v>21206.25</v>
      </c>
      <c r="K9" s="81"/>
      <c r="L9" s="68"/>
      <c r="N9" s="369"/>
      <c r="O9" s="378"/>
      <c r="P9" s="364"/>
    </row>
    <row r="10" spans="1:17">
      <c r="A10" s="327" t="s">
        <v>134</v>
      </c>
      <c r="B10" s="328"/>
      <c r="C10" s="328"/>
      <c r="D10" s="288" t="s">
        <v>131</v>
      </c>
      <c r="E10" s="284">
        <f>'11'!F10</f>
        <v>2606.5500000000002</v>
      </c>
      <c r="F10" s="129">
        <v>2606.5500000000002</v>
      </c>
      <c r="G10" s="340">
        <f t="shared" si="0"/>
        <v>0</v>
      </c>
      <c r="H10" s="330">
        <f>G10+'11'!H10</f>
        <v>-0.4499999999998181</v>
      </c>
      <c r="I10" s="342"/>
      <c r="J10" s="332">
        <f>H10/DAY(B2)</f>
        <v>-3.7499999999984844E-2</v>
      </c>
      <c r="K10" s="81"/>
      <c r="L10" s="68"/>
      <c r="N10" s="369"/>
      <c r="O10" s="378"/>
      <c r="P10" s="364"/>
    </row>
    <row r="11" spans="1:17">
      <c r="A11" s="327" t="s">
        <v>135</v>
      </c>
      <c r="B11" s="328"/>
      <c r="C11" s="328"/>
      <c r="D11" s="288" t="s">
        <v>131</v>
      </c>
      <c r="E11" s="284">
        <f>'11'!F11</f>
        <v>37000</v>
      </c>
      <c r="F11" s="106">
        <v>37000</v>
      </c>
      <c r="G11" s="340">
        <f t="shared" si="0"/>
        <v>0</v>
      </c>
      <c r="H11" s="330">
        <f>G11+'11'!H11</f>
        <v>0</v>
      </c>
      <c r="I11" s="342"/>
      <c r="J11" s="332">
        <f>H11/DAY(B2)</f>
        <v>0</v>
      </c>
      <c r="K11" s="81"/>
      <c r="L11" s="68"/>
      <c r="N11" s="369"/>
      <c r="O11" s="378"/>
      <c r="P11" s="364"/>
    </row>
    <row r="12" spans="1:17">
      <c r="A12" s="327" t="s">
        <v>136</v>
      </c>
      <c r="B12" s="328"/>
      <c r="C12" s="328"/>
      <c r="D12" s="288" t="s">
        <v>131</v>
      </c>
      <c r="E12" s="284">
        <f>'11'!F12</f>
        <v>40010</v>
      </c>
      <c r="F12" s="129">
        <v>40010</v>
      </c>
      <c r="G12" s="340">
        <f t="shared" si="0"/>
        <v>0</v>
      </c>
      <c r="H12" s="330">
        <f>G12+'11'!H12</f>
        <v>0</v>
      </c>
      <c r="I12" s="342"/>
      <c r="J12" s="332">
        <f>H12/DAY(B2)</f>
        <v>0</v>
      </c>
      <c r="K12" s="81"/>
      <c r="L12" s="68"/>
      <c r="N12" s="369"/>
      <c r="O12" s="378"/>
      <c r="P12" s="364"/>
    </row>
    <row r="13" spans="1:17">
      <c r="A13" s="343" t="s">
        <v>137</v>
      </c>
      <c r="B13" s="344"/>
      <c r="C13" s="344"/>
      <c r="D13" s="288"/>
      <c r="E13" s="284"/>
      <c r="F13" s="106"/>
      <c r="G13" s="345">
        <f>G9+G10+G11+G12</f>
        <v>21509</v>
      </c>
      <c r="H13" s="330">
        <f>G13+'11'!H13</f>
        <v>210459.06</v>
      </c>
      <c r="I13" s="346">
        <f>G7-G13</f>
        <v>786.67000000004191</v>
      </c>
      <c r="J13" s="332">
        <f>H13/DAY(B2)</f>
        <v>17538.255000000001</v>
      </c>
      <c r="K13" s="81"/>
      <c r="L13" s="68"/>
      <c r="N13" s="369"/>
      <c r="O13" s="378"/>
      <c r="P13" s="364"/>
    </row>
    <row r="14" spans="1:17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8"/>
      <c r="P14" s="364"/>
    </row>
    <row r="15" spans="1:17">
      <c r="A15" s="443" t="s">
        <v>139</v>
      </c>
      <c r="B15" s="444"/>
      <c r="C15" s="444"/>
      <c r="D15" s="175" t="s">
        <v>140</v>
      </c>
      <c r="E15" s="136">
        <f>'11'!F15</f>
        <v>1766032</v>
      </c>
      <c r="F15" s="351">
        <v>1766948.831</v>
      </c>
      <c r="G15" s="315">
        <f>(F15-E15)</f>
        <v>916.83100000000559</v>
      </c>
      <c r="H15" s="137">
        <f>G15+'11'!H15</f>
        <v>10418.831000000006</v>
      </c>
      <c r="I15" s="125">
        <v>800</v>
      </c>
      <c r="J15" s="204">
        <f>H15/DAY(B2)</f>
        <v>868.23591666666709</v>
      </c>
      <c r="K15" s="81"/>
      <c r="L15" s="68"/>
      <c r="N15" s="369"/>
      <c r="O15" s="378"/>
      <c r="P15" s="364"/>
    </row>
    <row r="16" spans="1:17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-68.235916666667094</v>
      </c>
      <c r="J16" s="204"/>
      <c r="K16" s="81"/>
      <c r="L16" s="68"/>
      <c r="N16" s="369"/>
      <c r="O16" s="378"/>
      <c r="P16" s="364"/>
    </row>
    <row r="17" spans="1:17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8"/>
      <c r="P17" s="364"/>
    </row>
    <row r="18" spans="1:17" ht="27.75">
      <c r="A18" s="1293" t="s">
        <v>142</v>
      </c>
      <c r="B18" s="1294"/>
      <c r="C18" s="1295"/>
      <c r="D18" s="288" t="s">
        <v>143</v>
      </c>
      <c r="E18" s="285">
        <f>'11'!F18</f>
        <v>15</v>
      </c>
      <c r="F18" s="129">
        <v>16</v>
      </c>
      <c r="G18" s="345">
        <f>F18*10</f>
        <v>160</v>
      </c>
      <c r="H18" s="330">
        <f>G18+'11'!H18</f>
        <v>1730</v>
      </c>
      <c r="I18" s="331">
        <f>'1'!I18</f>
        <v>65</v>
      </c>
      <c r="J18" s="332">
        <f>H18/DAY(B2)</f>
        <v>144.16666666666666</v>
      </c>
      <c r="K18" s="81"/>
      <c r="L18" s="68"/>
      <c r="N18" s="369"/>
      <c r="O18" s="378"/>
      <c r="P18" s="364"/>
    </row>
    <row r="19" spans="1:17" ht="27.75">
      <c r="A19" s="1293" t="s">
        <v>70</v>
      </c>
      <c r="B19" s="1294"/>
      <c r="C19" s="1295"/>
      <c r="D19" s="288" t="s">
        <v>143</v>
      </c>
      <c r="E19" s="285">
        <f>'11'!F19</f>
        <v>146000</v>
      </c>
      <c r="F19" s="129">
        <v>146063</v>
      </c>
      <c r="G19" s="340">
        <f t="shared" ref="G19" si="1">F19-E19</f>
        <v>63</v>
      </c>
      <c r="H19" s="330">
        <f>G19+'11'!H19</f>
        <v>725</v>
      </c>
      <c r="I19" s="347"/>
      <c r="J19" s="332">
        <f>H19/DAY(B2)</f>
        <v>60.416666666666664</v>
      </c>
      <c r="K19" s="81"/>
      <c r="L19" s="68"/>
      <c r="N19" s="369"/>
      <c r="O19" s="378"/>
      <c r="P19" s="364"/>
    </row>
    <row r="20" spans="1:17">
      <c r="A20" s="343" t="s">
        <v>144</v>
      </c>
      <c r="B20" s="344"/>
      <c r="C20" s="344"/>
      <c r="D20" s="288"/>
      <c r="E20" s="288"/>
      <c r="F20" s="360"/>
      <c r="G20" s="348">
        <f>G18+G19</f>
        <v>223</v>
      </c>
      <c r="H20" s="330">
        <f>G20+'11'!H20</f>
        <v>2455</v>
      </c>
      <c r="I20" s="349">
        <f>I18-J20</f>
        <v>-139.58333333333334</v>
      </c>
      <c r="J20" s="332">
        <f>H20/DAY(B2)</f>
        <v>204.58333333333334</v>
      </c>
      <c r="K20" s="81"/>
      <c r="L20" s="68"/>
      <c r="N20" s="369"/>
      <c r="O20" s="378"/>
      <c r="P20" s="364"/>
    </row>
    <row r="21" spans="1:17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8"/>
      <c r="P21" s="364"/>
    </row>
    <row r="22" spans="1:17">
      <c r="A22" s="759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9"/>
      <c r="O22" s="378"/>
      <c r="P22" s="364"/>
    </row>
    <row r="23" spans="1:17">
      <c r="A23" s="759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9"/>
      <c r="O23" s="378"/>
      <c r="P23" s="364"/>
    </row>
    <row r="24" spans="1:17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9"/>
      <c r="O24" s="378"/>
      <c r="P24" s="364"/>
    </row>
    <row r="25" spans="1:17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8"/>
      <c r="P25" s="364"/>
      <c r="Q25" s="96"/>
    </row>
    <row r="26" spans="1:17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8"/>
      <c r="P26" s="364"/>
      <c r="Q26" s="96"/>
    </row>
    <row r="27" spans="1:17" s="93" customFormat="1" ht="27.75">
      <c r="A27" s="243" t="s">
        <v>6</v>
      </c>
      <c r="B27" s="244"/>
      <c r="C27" s="245"/>
      <c r="D27" s="270" t="s">
        <v>25</v>
      </c>
      <c r="E27" s="350">
        <f>G8</f>
        <v>22425.270000000019</v>
      </c>
      <c r="F27" s="152">
        <v>9</v>
      </c>
      <c r="G27" s="153">
        <f>E27*F27</f>
        <v>201827.43000000017</v>
      </c>
      <c r="H27" s="111">
        <f>G27+'11'!H27</f>
        <v>2372951.4300000002</v>
      </c>
      <c r="I27" s="154"/>
      <c r="J27" s="203">
        <f>H27/DAY(B2)</f>
        <v>197745.95250000001</v>
      </c>
      <c r="K27" s="65"/>
      <c r="L27" s="94"/>
      <c r="N27" s="369"/>
      <c r="O27" s="378">
        <f>G7-G60</f>
        <v>-1205.0399999998626</v>
      </c>
      <c r="P27" s="364"/>
      <c r="Q27" s="96"/>
    </row>
    <row r="28" spans="1:17" s="93" customFormat="1" ht="27.75">
      <c r="A28" s="243" t="s">
        <v>153</v>
      </c>
      <c r="B28" s="244"/>
      <c r="C28" s="245"/>
      <c r="D28" s="270" t="s">
        <v>154</v>
      </c>
      <c r="E28" s="350">
        <f>G15</f>
        <v>916.83100000000559</v>
      </c>
      <c r="F28" s="152">
        <v>56.2</v>
      </c>
      <c r="G28" s="153">
        <f>E28*F28</f>
        <v>51525.902200000317</v>
      </c>
      <c r="H28" s="111">
        <f>G28+'11'!H28</f>
        <v>582501.21480000054</v>
      </c>
      <c r="I28" s="156"/>
      <c r="J28" s="203">
        <f>H28/DAY(B2)</f>
        <v>48541.767900000043</v>
      </c>
      <c r="K28" s="65"/>
      <c r="L28" s="94"/>
      <c r="N28" s="369"/>
      <c r="O28" s="378"/>
      <c r="P28" s="364"/>
      <c r="Q28" s="96"/>
    </row>
    <row r="29" spans="1:17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9"/>
      <c r="O29" s="378"/>
      <c r="P29" s="364"/>
      <c r="Q29" s="96"/>
    </row>
    <row r="30" spans="1:17" s="93" customFormat="1" ht="27.7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111">
        <f>G30+'11'!H30</f>
        <v>105850</v>
      </c>
      <c r="I30" s="156"/>
      <c r="J30" s="203">
        <f>H30/DAY(B2)</f>
        <v>8820.8333333333339</v>
      </c>
      <c r="K30" s="65"/>
      <c r="L30" s="94"/>
      <c r="N30" s="369"/>
      <c r="O30" s="378"/>
      <c r="P30" s="364"/>
      <c r="Q30" s="96"/>
    </row>
    <row r="31" spans="1:17" s="93" customFormat="1" ht="27.7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G31+'11'!H31</f>
        <v>138400</v>
      </c>
      <c r="I31" s="156"/>
      <c r="J31" s="203">
        <f>H31/DAY(B2)</f>
        <v>11533.333333333334</v>
      </c>
      <c r="K31" s="65"/>
      <c r="L31" s="94"/>
      <c r="N31" s="369"/>
      <c r="O31" s="378"/>
      <c r="P31" s="364"/>
      <c r="Q31" s="96"/>
    </row>
    <row r="32" spans="1:17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275351.33220000047</v>
      </c>
      <c r="H32" s="111">
        <f>G32+'11'!H32</f>
        <v>3199702.6448000013</v>
      </c>
      <c r="I32" s="160"/>
      <c r="J32" s="203">
        <f>H32/DAY(B2)</f>
        <v>266641.88706666679</v>
      </c>
      <c r="K32" s="65"/>
      <c r="L32" s="94"/>
      <c r="N32" s="369"/>
      <c r="O32" s="378"/>
      <c r="P32" s="364"/>
      <c r="Q32" s="96"/>
    </row>
    <row r="33" spans="1:16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369"/>
      <c r="O33" s="378"/>
      <c r="P33" s="364"/>
    </row>
    <row r="34" spans="1:16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8"/>
      <c r="P34" s="364"/>
    </row>
    <row r="35" spans="1:16">
      <c r="A35" s="229" t="s">
        <v>163</v>
      </c>
      <c r="B35" s="230"/>
      <c r="C35" s="230"/>
      <c r="D35" s="174" t="s">
        <v>131</v>
      </c>
      <c r="E35" s="161">
        <f>'11'!F35</f>
        <v>1058596</v>
      </c>
      <c r="F35" s="161">
        <v>1058596</v>
      </c>
      <c r="G35" s="124">
        <f t="shared" ref="G35:G46" si="3">F35-E35</f>
        <v>0</v>
      </c>
      <c r="H35" s="111">
        <f>G35+'11'!H35</f>
        <v>-1</v>
      </c>
      <c r="I35" s="106"/>
      <c r="J35" s="203">
        <f>H35/DAY(B2)</f>
        <v>-8.3333333333333329E-2</v>
      </c>
      <c r="K35" s="81"/>
      <c r="L35" s="68"/>
      <c r="N35" s="369"/>
      <c r="O35" s="378"/>
      <c r="P35" s="364"/>
    </row>
    <row r="36" spans="1:16">
      <c r="A36" s="229" t="s">
        <v>164</v>
      </c>
      <c r="B36" s="230"/>
      <c r="C36" s="230"/>
      <c r="D36" s="174" t="s">
        <v>131</v>
      </c>
      <c r="E36" s="161">
        <f>'11'!F36</f>
        <v>9470</v>
      </c>
      <c r="F36" s="161">
        <v>10183.6</v>
      </c>
      <c r="G36" s="124">
        <f t="shared" si="3"/>
        <v>713.60000000000036</v>
      </c>
      <c r="H36" s="111">
        <f>G36+'11'!H36</f>
        <v>8350.6</v>
      </c>
      <c r="I36" s="106"/>
      <c r="J36" s="203">
        <f>H36/DAY(B2)</f>
        <v>695.88333333333333</v>
      </c>
      <c r="K36" s="81"/>
      <c r="L36" s="68"/>
      <c r="N36" s="370"/>
      <c r="O36" s="378"/>
      <c r="P36" s="364"/>
    </row>
    <row r="37" spans="1:16">
      <c r="A37" s="229" t="s">
        <v>165</v>
      </c>
      <c r="B37" s="230"/>
      <c r="C37" s="230"/>
      <c r="D37" s="174" t="s">
        <v>131</v>
      </c>
      <c r="E37" s="161">
        <f>'11'!F37</f>
        <v>21579</v>
      </c>
      <c r="F37" s="161">
        <v>23285.59</v>
      </c>
      <c r="G37" s="124">
        <f t="shared" si="3"/>
        <v>1706.5900000000001</v>
      </c>
      <c r="H37" s="111">
        <f>G37+'11'!H37</f>
        <v>19510.59</v>
      </c>
      <c r="I37" s="106"/>
      <c r="J37" s="203">
        <f>H37/DAY(B2)</f>
        <v>1625.8824999999999</v>
      </c>
      <c r="K37" s="81"/>
      <c r="L37" s="68"/>
      <c r="N37" s="370"/>
      <c r="O37" s="378"/>
      <c r="P37" s="364"/>
    </row>
    <row r="38" spans="1:16">
      <c r="A38" s="229" t="s">
        <v>166</v>
      </c>
      <c r="B38" s="230"/>
      <c r="C38" s="230"/>
      <c r="D38" s="174" t="s">
        <v>131</v>
      </c>
      <c r="E38" s="161">
        <f>'11'!F38</f>
        <v>23499</v>
      </c>
      <c r="F38" s="120">
        <v>25162.35</v>
      </c>
      <c r="G38" s="124">
        <f t="shared" si="3"/>
        <v>1663.3499999999985</v>
      </c>
      <c r="H38" s="111">
        <f>G38+'11'!H38</f>
        <v>20339.349999999999</v>
      </c>
      <c r="I38" s="106"/>
      <c r="J38" s="203">
        <f>H38/DAY(B2)</f>
        <v>1694.9458333333332</v>
      </c>
      <c r="K38" s="81"/>
      <c r="L38" s="68"/>
      <c r="N38" s="369"/>
      <c r="O38" s="378"/>
      <c r="P38" s="364"/>
    </row>
    <row r="39" spans="1:16">
      <c r="A39" s="229" t="s">
        <v>167</v>
      </c>
      <c r="B39" s="230"/>
      <c r="C39" s="230"/>
      <c r="D39" s="174" t="s">
        <v>131</v>
      </c>
      <c r="E39" s="161">
        <f>'11'!F39</f>
        <v>46226</v>
      </c>
      <c r="F39" s="161">
        <v>50009.25</v>
      </c>
      <c r="G39" s="124">
        <f t="shared" si="3"/>
        <v>3783.25</v>
      </c>
      <c r="H39" s="111">
        <f>G39+'11'!H39</f>
        <v>46167.25</v>
      </c>
      <c r="I39" s="106"/>
      <c r="J39" s="203">
        <f>H39/DAY(B2)</f>
        <v>3847.2708333333335</v>
      </c>
      <c r="K39" s="81"/>
      <c r="L39" s="68"/>
      <c r="N39" s="369"/>
      <c r="O39" s="378"/>
      <c r="P39" s="364"/>
    </row>
    <row r="40" spans="1:16">
      <c r="A40" s="250" t="s">
        <v>168</v>
      </c>
      <c r="B40" s="251"/>
      <c r="C40" s="251"/>
      <c r="D40" s="174" t="s">
        <v>131</v>
      </c>
      <c r="E40" s="161">
        <f>'11'!F40</f>
        <v>0</v>
      </c>
      <c r="F40" s="161">
        <v>0</v>
      </c>
      <c r="G40" s="124">
        <f t="shared" si="3"/>
        <v>0</v>
      </c>
      <c r="H40" s="111">
        <f>G40+'11'!H40</f>
        <v>157.40000000000146</v>
      </c>
      <c r="I40" s="106"/>
      <c r="J40" s="203">
        <f>H40/DAY(B2)</f>
        <v>13.116666666666788</v>
      </c>
      <c r="K40" s="82"/>
      <c r="L40" s="68"/>
      <c r="N40" s="369"/>
      <c r="O40" s="378"/>
      <c r="P40" s="364"/>
    </row>
    <row r="41" spans="1:16">
      <c r="A41" s="229" t="s">
        <v>169</v>
      </c>
      <c r="B41" s="230"/>
      <c r="C41" s="230"/>
      <c r="D41" s="174" t="s">
        <v>131</v>
      </c>
      <c r="E41" s="161">
        <f>'11'!F41</f>
        <v>474934</v>
      </c>
      <c r="F41" s="161">
        <v>477507.43</v>
      </c>
      <c r="G41" s="124">
        <f>F41-E41</f>
        <v>2573.429999999993</v>
      </c>
      <c r="H41" s="111">
        <f>G41+'11'!H41</f>
        <v>44225.640000000014</v>
      </c>
      <c r="I41" s="106"/>
      <c r="J41" s="203">
        <f>H41/DAY(B2)</f>
        <v>3685.4700000000012</v>
      </c>
      <c r="K41" s="81"/>
      <c r="L41" s="68"/>
      <c r="N41" s="369"/>
      <c r="O41" s="378"/>
      <c r="P41" s="364"/>
    </row>
    <row r="42" spans="1:16">
      <c r="A42" s="229" t="s">
        <v>170</v>
      </c>
      <c r="B42" s="230"/>
      <c r="C42" s="230"/>
      <c r="D42" s="174" t="s">
        <v>131</v>
      </c>
      <c r="E42" s="161">
        <f>'11'!F42</f>
        <v>200386</v>
      </c>
      <c r="F42" s="161">
        <v>203265.25</v>
      </c>
      <c r="G42" s="124">
        <f t="shared" si="3"/>
        <v>2879.25</v>
      </c>
      <c r="H42" s="111">
        <f>G42+'11'!H42</f>
        <v>28153.25</v>
      </c>
      <c r="I42" s="106"/>
      <c r="J42" s="203">
        <f>H42/DAY(B2)</f>
        <v>2346.1041666666665</v>
      </c>
      <c r="K42" s="81"/>
      <c r="L42" s="68"/>
      <c r="N42" s="369"/>
      <c r="O42" s="378"/>
      <c r="P42" s="364"/>
    </row>
    <row r="43" spans="1:16">
      <c r="A43" s="229" t="s">
        <v>171</v>
      </c>
      <c r="B43" s="230"/>
      <c r="C43" s="230"/>
      <c r="D43" s="174" t="s">
        <v>131</v>
      </c>
      <c r="E43" s="161">
        <f>'11'!F43</f>
        <v>1318697</v>
      </c>
      <c r="F43" s="161">
        <v>1321345</v>
      </c>
      <c r="G43" s="124">
        <f t="shared" si="3"/>
        <v>2648</v>
      </c>
      <c r="H43" s="111">
        <f>G43+'11'!H43</f>
        <v>31600</v>
      </c>
      <c r="I43" s="106"/>
      <c r="J43" s="203">
        <f>H43/DAY(B2)</f>
        <v>2633.3333333333335</v>
      </c>
      <c r="K43" s="81"/>
      <c r="L43" s="68"/>
      <c r="N43" s="369"/>
      <c r="O43" s="378"/>
      <c r="P43" s="364"/>
    </row>
    <row r="44" spans="1:16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9"/>
      <c r="O44" s="378"/>
      <c r="P44" s="364"/>
    </row>
    <row r="45" spans="1:16">
      <c r="A45" s="229" t="s">
        <v>173</v>
      </c>
      <c r="B45" s="230"/>
      <c r="C45" s="230"/>
      <c r="D45" s="174" t="s">
        <v>131</v>
      </c>
      <c r="E45" s="161">
        <f>'11'!F45</f>
        <v>614</v>
      </c>
      <c r="F45" s="161">
        <v>614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9"/>
      <c r="O45" s="378"/>
      <c r="P45" s="364"/>
    </row>
    <row r="46" spans="1:16">
      <c r="A46" s="229" t="s">
        <v>174</v>
      </c>
      <c r="B46" s="230"/>
      <c r="C46" s="230"/>
      <c r="D46" s="174" t="s">
        <v>131</v>
      </c>
      <c r="E46" s="161">
        <f>'11'!F46</f>
        <v>187.49</v>
      </c>
      <c r="F46" s="161">
        <v>187.49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9"/>
      <c r="O46" s="378"/>
      <c r="P46" s="364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15967.469999999992</v>
      </c>
      <c r="H47" s="111">
        <f>G47+'11'!H47</f>
        <v>199304.57</v>
      </c>
      <c r="I47" s="106"/>
      <c r="J47" s="203">
        <f>H47/DAY(B2)</f>
        <v>16608.714166666668</v>
      </c>
      <c r="K47" s="81"/>
      <c r="L47" s="68"/>
      <c r="N47" s="369"/>
      <c r="O47" s="378"/>
      <c r="P47" s="364"/>
    </row>
    <row r="48" spans="1:16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8"/>
      <c r="P48" s="364"/>
    </row>
    <row r="49" spans="1:16">
      <c r="A49" s="229" t="s">
        <v>163</v>
      </c>
      <c r="B49" s="252"/>
      <c r="C49" s="252"/>
      <c r="D49" s="174" t="s">
        <v>131</v>
      </c>
      <c r="E49" s="161">
        <f>'11'!F49</f>
        <v>53854</v>
      </c>
      <c r="F49" s="161">
        <v>58495.63</v>
      </c>
      <c r="G49" s="124">
        <f t="shared" ref="G49:G57" si="4">F49-E49</f>
        <v>4641.6299999999974</v>
      </c>
      <c r="H49" s="111">
        <f>G49+'11'!H49</f>
        <v>41715.629999999997</v>
      </c>
      <c r="I49" s="106"/>
      <c r="J49" s="203">
        <f>H49/DAY(B2)</f>
        <v>3476.3024999999998</v>
      </c>
      <c r="K49" s="81"/>
      <c r="L49" s="68"/>
      <c r="N49" s="369"/>
      <c r="O49" s="378"/>
      <c r="P49" s="364"/>
    </row>
    <row r="50" spans="1:16">
      <c r="A50" s="229" t="s">
        <v>177</v>
      </c>
      <c r="B50" s="252"/>
      <c r="C50" s="252"/>
      <c r="D50" s="174" t="s">
        <v>131</v>
      </c>
      <c r="E50" s="161">
        <f>'11'!F50</f>
        <v>619692</v>
      </c>
      <c r="F50" s="161">
        <v>620876.99</v>
      </c>
      <c r="G50" s="124">
        <f t="shared" si="4"/>
        <v>1184.9899999999907</v>
      </c>
      <c r="H50" s="111">
        <f>G50+'11'!H50</f>
        <v>12658.989999999991</v>
      </c>
      <c r="I50" s="106"/>
      <c r="J50" s="203">
        <f>H50/DAY(B2)</f>
        <v>1054.9158333333326</v>
      </c>
      <c r="K50" s="81"/>
      <c r="L50" s="68"/>
      <c r="N50" s="369"/>
      <c r="O50" s="378"/>
      <c r="P50" s="364"/>
    </row>
    <row r="51" spans="1:16">
      <c r="A51" s="229" t="s">
        <v>165</v>
      </c>
      <c r="B51" s="252"/>
      <c r="C51" s="252"/>
      <c r="D51" s="174" t="s">
        <v>131</v>
      </c>
      <c r="E51" s="161">
        <f>'11'!F51</f>
        <v>0</v>
      </c>
      <c r="F51" s="161">
        <v>0</v>
      </c>
      <c r="G51" s="124">
        <f t="shared" si="4"/>
        <v>0</v>
      </c>
      <c r="H51" s="111">
        <f>G51+'11'!H51</f>
        <v>0</v>
      </c>
      <c r="I51" s="106"/>
      <c r="J51" s="203">
        <f>H51/DAY(B2)</f>
        <v>0</v>
      </c>
      <c r="K51" s="81"/>
      <c r="L51" s="68"/>
      <c r="N51" s="369"/>
      <c r="O51" s="378"/>
      <c r="P51" s="364"/>
    </row>
    <row r="52" spans="1:16">
      <c r="A52" s="229" t="s">
        <v>178</v>
      </c>
      <c r="B52" s="252"/>
      <c r="C52" s="252"/>
      <c r="D52" s="174" t="s">
        <v>131</v>
      </c>
      <c r="E52" s="161">
        <f>'11'!F52</f>
        <v>0</v>
      </c>
      <c r="F52" s="161">
        <v>0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8"/>
      <c r="P52" s="364"/>
    </row>
    <row r="53" spans="1:16">
      <c r="A53" s="229" t="s">
        <v>167</v>
      </c>
      <c r="B53" s="252"/>
      <c r="C53" s="252"/>
      <c r="D53" s="174" t="s">
        <v>131</v>
      </c>
      <c r="E53" s="161">
        <f>'11'!F53</f>
        <v>0</v>
      </c>
      <c r="F53" s="161">
        <v>0</v>
      </c>
      <c r="G53" s="124">
        <f t="shared" si="4"/>
        <v>0</v>
      </c>
      <c r="H53" s="111">
        <f>G53+'11'!H53</f>
        <v>0</v>
      </c>
      <c r="I53" s="106"/>
      <c r="J53" s="203">
        <f>H53/DAY(B2)</f>
        <v>0</v>
      </c>
      <c r="K53" s="81"/>
      <c r="L53" s="68"/>
      <c r="N53" s="369"/>
      <c r="O53" s="378"/>
      <c r="P53" s="364"/>
    </row>
    <row r="54" spans="1:16">
      <c r="A54" s="229" t="s">
        <v>179</v>
      </c>
      <c r="B54" s="252"/>
      <c r="C54" s="252"/>
      <c r="D54" s="174" t="s">
        <v>131</v>
      </c>
      <c r="E54" s="161">
        <f>'11'!F54</f>
        <v>2658</v>
      </c>
      <c r="F54" s="161">
        <v>2662.34</v>
      </c>
      <c r="G54" s="124">
        <f t="shared" si="4"/>
        <v>4.3400000000001455</v>
      </c>
      <c r="H54" s="111">
        <f>G54+'11'!H54</f>
        <v>197.34000000000015</v>
      </c>
      <c r="I54" s="106"/>
      <c r="J54" s="203">
        <f>H54/DAY(B2)</f>
        <v>16.445000000000011</v>
      </c>
      <c r="K54" s="81"/>
      <c r="L54" s="68"/>
      <c r="N54" s="369"/>
      <c r="O54" s="378"/>
      <c r="P54" s="364"/>
    </row>
    <row r="55" spans="1:16">
      <c r="A55" s="229" t="s">
        <v>180</v>
      </c>
      <c r="B55" s="252"/>
      <c r="C55" s="252"/>
      <c r="D55" s="174" t="s">
        <v>131</v>
      </c>
      <c r="E55" s="161">
        <f>'11'!F55</f>
        <v>307299</v>
      </c>
      <c r="F55" s="304">
        <v>307299.46999999997</v>
      </c>
      <c r="G55" s="303">
        <f t="shared" si="4"/>
        <v>0.46999999997206032</v>
      </c>
      <c r="H55" s="356">
        <f>G55+'11'!H55</f>
        <v>0.47999999998137355</v>
      </c>
      <c r="I55" s="357"/>
      <c r="J55" s="358">
        <f>H55/DAY(B2)</f>
        <v>3.9999999998447798E-2</v>
      </c>
      <c r="K55" s="81"/>
      <c r="L55" s="68"/>
      <c r="N55" s="369"/>
      <c r="O55" s="378"/>
      <c r="P55" s="364"/>
    </row>
    <row r="56" spans="1:16">
      <c r="A56" s="229" t="s">
        <v>181</v>
      </c>
      <c r="B56" s="252"/>
      <c r="C56" s="252"/>
      <c r="D56" s="174" t="s">
        <v>182</v>
      </c>
      <c r="E56" s="161">
        <f>'11'!F56</f>
        <v>667351</v>
      </c>
      <c r="F56" s="304">
        <v>668856.82999999996</v>
      </c>
      <c r="G56" s="124">
        <f t="shared" si="4"/>
        <v>1505.8299999999581</v>
      </c>
      <c r="H56" s="111">
        <f>G56+'11'!H56</f>
        <v>7825.8299999999581</v>
      </c>
      <c r="I56" s="106"/>
      <c r="J56" s="203">
        <f>H56/DAY(B2)</f>
        <v>652.15249999999651</v>
      </c>
      <c r="K56" s="80"/>
      <c r="L56" s="68"/>
      <c r="N56" s="369"/>
      <c r="O56" s="378"/>
      <c r="P56" s="364"/>
    </row>
    <row r="57" spans="1:16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9"/>
      <c r="O57" s="378"/>
      <c r="P57" s="364"/>
    </row>
    <row r="58" spans="1:16">
      <c r="A58" s="229" t="s">
        <v>183</v>
      </c>
      <c r="B58" s="252"/>
      <c r="C58" s="252"/>
      <c r="D58" s="174" t="s">
        <v>131</v>
      </c>
      <c r="E58" s="161">
        <f>'11'!F58</f>
        <v>68226</v>
      </c>
      <c r="F58" s="304">
        <v>68421.98</v>
      </c>
      <c r="G58" s="124">
        <f>F58-E58</f>
        <v>195.97999999999593</v>
      </c>
      <c r="H58" s="111">
        <f>G58+'11'!H58</f>
        <v>2238.9799999999959</v>
      </c>
      <c r="I58" s="106"/>
      <c r="J58" s="203">
        <f>H58/DAY(B2)</f>
        <v>186.58166666666634</v>
      </c>
      <c r="K58" s="81"/>
      <c r="L58" s="68"/>
      <c r="N58" s="369"/>
      <c r="O58" s="378"/>
      <c r="P58" s="364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7533.2399999999143</v>
      </c>
      <c r="H59" s="111">
        <f>G59+'11'!H59</f>
        <v>64637.249999999927</v>
      </c>
      <c r="I59" s="106">
        <f>G7-G60</f>
        <v>-1205.0399999998626</v>
      </c>
      <c r="J59" s="203">
        <f>H59/DAY(B2)</f>
        <v>5386.4374999999936</v>
      </c>
      <c r="K59" s="81"/>
      <c r="L59" s="68"/>
      <c r="N59" s="369"/>
      <c r="O59" s="378"/>
      <c r="P59" s="364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23500.709999999905</v>
      </c>
      <c r="H60" s="111">
        <f>G60+'11'!H60</f>
        <v>270630.81999999995</v>
      </c>
      <c r="I60" s="106">
        <f>G13-G60</f>
        <v>-1991.7099999999045</v>
      </c>
      <c r="J60" s="203">
        <f>H60/DAY(B2)</f>
        <v>22552.568333333329</v>
      </c>
      <c r="K60" s="81"/>
      <c r="L60" s="68"/>
      <c r="N60" s="369"/>
      <c r="O60" s="378"/>
      <c r="P60" s="364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8"/>
      <c r="P61" s="364"/>
    </row>
    <row r="62" spans="1:16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9"/>
      <c r="O62" s="378"/>
      <c r="P62" s="364"/>
    </row>
    <row r="63" spans="1:16">
      <c r="A63" s="254" t="s">
        <v>187</v>
      </c>
      <c r="B63" s="255"/>
      <c r="C63" s="255"/>
      <c r="D63" s="162" t="s">
        <v>186</v>
      </c>
      <c r="E63" s="165">
        <f>'11'!F63</f>
        <v>51</v>
      </c>
      <c r="F63" s="165">
        <v>51</v>
      </c>
      <c r="G63" s="124">
        <f t="shared" si="5"/>
        <v>0</v>
      </c>
      <c r="H63" s="111">
        <f>G63+'11'!H63</f>
        <v>51</v>
      </c>
      <c r="I63" s="166"/>
      <c r="J63" s="203">
        <f>H63/DAY(B2)</f>
        <v>4.25</v>
      </c>
      <c r="K63" s="81"/>
      <c r="L63" s="68"/>
      <c r="N63" s="369"/>
      <c r="O63" s="378"/>
      <c r="P63" s="364"/>
    </row>
    <row r="64" spans="1:16" ht="27.75">
      <c r="A64" s="1226" t="s">
        <v>98</v>
      </c>
      <c r="B64" s="1227"/>
      <c r="C64" s="1228"/>
      <c r="D64" s="174" t="s">
        <v>186</v>
      </c>
      <c r="E64" s="165">
        <f>'11'!F64</f>
        <v>198744</v>
      </c>
      <c r="F64" s="129">
        <v>199109.25</v>
      </c>
      <c r="G64" s="124">
        <f t="shared" si="5"/>
        <v>365.25</v>
      </c>
      <c r="H64" s="111">
        <f>G64+'11'!H64</f>
        <v>4892.25</v>
      </c>
      <c r="I64" s="131"/>
      <c r="J64" s="203">
        <f>H64/DAY(B2)</f>
        <v>407.6875</v>
      </c>
      <c r="K64" s="81"/>
      <c r="L64" s="68"/>
      <c r="N64" s="369"/>
      <c r="O64" s="378"/>
      <c r="P64" s="364"/>
    </row>
    <row r="65" spans="1:16" ht="27.75">
      <c r="A65" s="1226" t="s">
        <v>99</v>
      </c>
      <c r="B65" s="1227"/>
      <c r="C65" s="1228"/>
      <c r="D65" s="174" t="s">
        <v>186</v>
      </c>
      <c r="E65" s="165">
        <f>'11'!F65</f>
        <v>198868</v>
      </c>
      <c r="F65" s="302">
        <v>199229.75</v>
      </c>
      <c r="G65" s="124">
        <f t="shared" si="5"/>
        <v>361.75</v>
      </c>
      <c r="H65" s="111">
        <f>G65+'11'!H65</f>
        <v>4600.75</v>
      </c>
      <c r="I65" s="140"/>
      <c r="J65" s="203">
        <f>H65/DAY(B2)</f>
        <v>383.39583333333331</v>
      </c>
      <c r="K65" s="81"/>
      <c r="L65" s="68"/>
      <c r="N65" s="369"/>
      <c r="O65" s="378"/>
      <c r="P65" s="364"/>
    </row>
    <row r="66" spans="1:16" ht="27.75">
      <c r="A66" s="1226" t="s">
        <v>100</v>
      </c>
      <c r="B66" s="1227"/>
      <c r="C66" s="1228"/>
      <c r="D66" s="174" t="s">
        <v>186</v>
      </c>
      <c r="E66" s="165">
        <f>'11'!F66</f>
        <v>97761</v>
      </c>
      <c r="F66" s="129">
        <v>98167.78</v>
      </c>
      <c r="G66" s="124">
        <f t="shared" si="5"/>
        <v>406.77999999999884</v>
      </c>
      <c r="H66" s="111">
        <f>G66+'11'!H66</f>
        <v>4850.7799999999988</v>
      </c>
      <c r="I66" s="131"/>
      <c r="J66" s="203">
        <f>H66/DAY(B2)</f>
        <v>404.23166666666657</v>
      </c>
      <c r="K66" s="81"/>
      <c r="L66" s="68"/>
      <c r="N66" s="369"/>
      <c r="O66" s="378"/>
      <c r="P66" s="364"/>
    </row>
    <row r="67" spans="1:16" ht="27.75">
      <c r="A67" s="1226" t="s">
        <v>101</v>
      </c>
      <c r="B67" s="1227"/>
      <c r="C67" s="1228"/>
      <c r="D67" s="174" t="s">
        <v>186</v>
      </c>
      <c r="E67" s="165">
        <f>'11'!F67</f>
        <v>300020</v>
      </c>
      <c r="F67" s="129">
        <v>300490.33</v>
      </c>
      <c r="G67" s="124">
        <f t="shared" si="5"/>
        <v>470.3300000000163</v>
      </c>
      <c r="H67" s="111">
        <f>G67+'11'!H67</f>
        <v>5599.3300000000163</v>
      </c>
      <c r="I67" s="140"/>
      <c r="J67" s="203">
        <f>H67/DAY(B2)</f>
        <v>466.61083333333471</v>
      </c>
      <c r="K67" s="82"/>
      <c r="L67" s="68"/>
      <c r="N67" s="369"/>
      <c r="O67" s="378"/>
      <c r="P67" s="364"/>
    </row>
    <row r="68" spans="1:16" ht="27.75">
      <c r="A68" s="1226" t="s">
        <v>102</v>
      </c>
      <c r="B68" s="1227"/>
      <c r="C68" s="1228"/>
      <c r="D68" s="174" t="s">
        <v>186</v>
      </c>
      <c r="E68" s="165">
        <f>'11'!F68</f>
        <v>85602</v>
      </c>
      <c r="F68" s="129">
        <v>85889.26</v>
      </c>
      <c r="G68" s="124">
        <f t="shared" si="5"/>
        <v>287.25999999999476</v>
      </c>
      <c r="H68" s="111">
        <f>G68+'11'!H68</f>
        <v>568.25999999999476</v>
      </c>
      <c r="I68" s="167"/>
      <c r="J68" s="203">
        <f>H68/DAY(B2)</f>
        <v>47.354999999999563</v>
      </c>
      <c r="K68" s="83"/>
      <c r="L68" s="68"/>
      <c r="N68" s="369"/>
      <c r="O68" s="378"/>
      <c r="P68" s="364"/>
    </row>
    <row r="69" spans="1:16" ht="27.75">
      <c r="A69" s="1226" t="s">
        <v>103</v>
      </c>
      <c r="B69" s="1227"/>
      <c r="C69" s="1228"/>
      <c r="D69" s="174" t="s">
        <v>186</v>
      </c>
      <c r="E69" s="165">
        <f>'11'!F69</f>
        <v>109696</v>
      </c>
      <c r="F69" s="129">
        <v>109999.11</v>
      </c>
      <c r="G69" s="124">
        <f t="shared" si="5"/>
        <v>303.11000000000058</v>
      </c>
      <c r="H69" s="111">
        <f>G69+'11'!H69</f>
        <v>3593.1100000000006</v>
      </c>
      <c r="I69" s="167"/>
      <c r="J69" s="203">
        <f>H69/DAY(B2)</f>
        <v>299.4258333333334</v>
      </c>
      <c r="K69" s="84"/>
      <c r="L69" s="68"/>
      <c r="N69" s="369"/>
      <c r="O69" s="378"/>
      <c r="P69" s="364"/>
    </row>
    <row r="70" spans="1:16" ht="27.75">
      <c r="A70" s="1267" t="s">
        <v>188</v>
      </c>
      <c r="B70" s="1268"/>
      <c r="C70" s="1269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9"/>
      <c r="O70" s="378"/>
      <c r="P70" s="364"/>
    </row>
    <row r="71" spans="1:16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369"/>
      <c r="O71" s="378"/>
      <c r="P71" s="364"/>
    </row>
    <row r="72" spans="1:16" ht="27.75">
      <c r="A72" s="1226" t="s">
        <v>190</v>
      </c>
      <c r="B72" s="1227"/>
      <c r="C72" s="1228"/>
      <c r="D72" s="174" t="s">
        <v>186</v>
      </c>
      <c r="E72" s="170">
        <f>'11'!F72</f>
        <v>857091</v>
      </c>
      <c r="F72" s="305">
        <v>857097</v>
      </c>
      <c r="G72" s="124">
        <f t="shared" ref="G72:G84" si="6">F72-E72</f>
        <v>6</v>
      </c>
      <c r="H72" s="111">
        <f>G72+'11'!H72</f>
        <v>75</v>
      </c>
      <c r="I72" s="131"/>
      <c r="J72" s="203">
        <f>H72/DAY(B2)</f>
        <v>6.25</v>
      </c>
      <c r="K72" s="84"/>
      <c r="L72" s="68"/>
      <c r="N72" s="369"/>
      <c r="O72" s="378"/>
      <c r="P72" s="364"/>
    </row>
    <row r="73" spans="1:16" ht="27.75">
      <c r="A73" s="1226" t="s">
        <v>191</v>
      </c>
      <c r="B73" s="1227"/>
      <c r="C73" s="1228"/>
      <c r="D73" s="174" t="s">
        <v>186</v>
      </c>
      <c r="E73" s="170">
        <f>'11'!F73</f>
        <v>886055</v>
      </c>
      <c r="F73" s="306">
        <v>886055</v>
      </c>
      <c r="G73" s="303">
        <f t="shared" si="6"/>
        <v>0</v>
      </c>
      <c r="H73" s="111">
        <f>G73+'11'!H73</f>
        <v>4</v>
      </c>
      <c r="I73" s="131"/>
      <c r="J73" s="203">
        <f>H73/DAY(B2)</f>
        <v>0.33333333333333331</v>
      </c>
      <c r="K73" s="83"/>
      <c r="L73" s="68"/>
      <c r="N73" s="369"/>
      <c r="O73" s="378"/>
      <c r="P73" s="364"/>
    </row>
    <row r="74" spans="1:16" ht="27.75">
      <c r="A74" s="1226" t="s">
        <v>192</v>
      </c>
      <c r="B74" s="1227"/>
      <c r="C74" s="1228"/>
      <c r="D74" s="174" t="s">
        <v>186</v>
      </c>
      <c r="E74" s="170">
        <f>'11'!F74</f>
        <v>88783</v>
      </c>
      <c r="F74" s="306">
        <v>88783</v>
      </c>
      <c r="G74" s="124">
        <f t="shared" si="6"/>
        <v>0</v>
      </c>
      <c r="H74" s="111">
        <f>G74+'11'!H74</f>
        <v>21</v>
      </c>
      <c r="I74" s="131"/>
      <c r="J74" s="203">
        <f>H74/DAY(B2)</f>
        <v>1.75</v>
      </c>
      <c r="K74" s="84"/>
      <c r="L74" s="68"/>
      <c r="N74" s="369"/>
      <c r="O74" s="378"/>
      <c r="P74" s="364"/>
    </row>
    <row r="75" spans="1:16" ht="27.75">
      <c r="A75" s="1229" t="s">
        <v>193</v>
      </c>
      <c r="B75" s="1230"/>
      <c r="C75" s="1231"/>
      <c r="D75" s="174" t="s">
        <v>186</v>
      </c>
      <c r="E75" s="170">
        <f>'11'!F75</f>
        <v>28292</v>
      </c>
      <c r="F75" s="306">
        <v>28430.18</v>
      </c>
      <c r="G75" s="124">
        <f t="shared" si="6"/>
        <v>138.18000000000029</v>
      </c>
      <c r="H75" s="111">
        <f>G75+'11'!H75</f>
        <v>2122.1800000000003</v>
      </c>
      <c r="I75" s="131"/>
      <c r="J75" s="203">
        <f>H75/DAY(B2)</f>
        <v>176.84833333333336</v>
      </c>
      <c r="K75" s="83"/>
      <c r="L75" s="68"/>
      <c r="N75" s="369"/>
      <c r="O75" s="378"/>
      <c r="P75" s="364"/>
    </row>
    <row r="76" spans="1:16" ht="27.75">
      <c r="A76" s="1229" t="s">
        <v>194</v>
      </c>
      <c r="B76" s="1230"/>
      <c r="C76" s="1231"/>
      <c r="D76" s="174" t="s">
        <v>186</v>
      </c>
      <c r="E76" s="170">
        <f>'11'!F76</f>
        <v>14031</v>
      </c>
      <c r="F76" s="306">
        <v>14085.92</v>
      </c>
      <c r="G76" s="124">
        <f t="shared" si="6"/>
        <v>54.920000000000073</v>
      </c>
      <c r="H76" s="111">
        <f>G76+'11'!H76</f>
        <v>808.92000000000007</v>
      </c>
      <c r="I76" s="156"/>
      <c r="J76" s="203">
        <f>H76/DAY(B2)</f>
        <v>67.410000000000011</v>
      </c>
      <c r="K76" s="83"/>
      <c r="L76" s="68"/>
      <c r="N76" s="369"/>
      <c r="O76" s="378"/>
      <c r="P76" s="364"/>
    </row>
    <row r="77" spans="1:16" ht="27.75">
      <c r="A77" s="1226" t="s">
        <v>195</v>
      </c>
      <c r="B77" s="1227"/>
      <c r="C77" s="1228"/>
      <c r="D77" s="174" t="s">
        <v>186</v>
      </c>
      <c r="E77" s="170">
        <f>'11'!F77</f>
        <v>708866</v>
      </c>
      <c r="F77" s="306">
        <v>708911</v>
      </c>
      <c r="G77" s="303">
        <f t="shared" si="6"/>
        <v>45</v>
      </c>
      <c r="H77" s="111">
        <f>G77+'11'!H77</f>
        <v>622</v>
      </c>
      <c r="I77" s="156"/>
      <c r="J77" s="203">
        <f>H77/DAY(B2)</f>
        <v>51.833333333333336</v>
      </c>
      <c r="K77" s="83"/>
      <c r="L77" s="68"/>
      <c r="N77" s="369"/>
      <c r="O77" s="378"/>
      <c r="P77" s="364"/>
    </row>
    <row r="78" spans="1:16" ht="27.75">
      <c r="A78" s="762" t="s">
        <v>196</v>
      </c>
      <c r="B78" s="754"/>
      <c r="C78" s="754"/>
      <c r="D78" s="174" t="s">
        <v>186</v>
      </c>
      <c r="E78" s="170">
        <f>'11'!F78</f>
        <v>683582</v>
      </c>
      <c r="F78" s="307">
        <v>683691</v>
      </c>
      <c r="G78" s="124">
        <f t="shared" si="6"/>
        <v>109</v>
      </c>
      <c r="H78" s="111">
        <f>G78+'11'!H78</f>
        <v>1278</v>
      </c>
      <c r="I78" s="156"/>
      <c r="J78" s="203">
        <f>H78/DAY(B2)</f>
        <v>106.5</v>
      </c>
      <c r="K78" s="83"/>
      <c r="L78" s="68"/>
      <c r="N78" s="369"/>
      <c r="O78" s="378"/>
      <c r="P78" s="364"/>
    </row>
    <row r="79" spans="1:16" ht="27.75">
      <c r="A79" s="1229" t="s">
        <v>91</v>
      </c>
      <c r="B79" s="1230"/>
      <c r="C79" s="1231"/>
      <c r="D79" s="175" t="s">
        <v>186</v>
      </c>
      <c r="E79" s="170">
        <f>'11'!F79</f>
        <v>846919</v>
      </c>
      <c r="F79" s="307">
        <v>847074</v>
      </c>
      <c r="G79" s="124">
        <f t="shared" si="6"/>
        <v>155</v>
      </c>
      <c r="H79" s="111">
        <f>G79+'11'!H79</f>
        <v>2025</v>
      </c>
      <c r="I79" s="156"/>
      <c r="J79" s="203">
        <f>H79/DAY(B2)</f>
        <v>168.75</v>
      </c>
      <c r="K79" s="83"/>
      <c r="L79" s="68"/>
      <c r="N79" s="369"/>
      <c r="O79" s="378"/>
      <c r="P79" s="364"/>
    </row>
    <row r="80" spans="1:16" ht="27.75">
      <c r="A80" s="1229" t="s">
        <v>197</v>
      </c>
      <c r="B80" s="1230"/>
      <c r="C80" s="1231"/>
      <c r="D80" s="175" t="s">
        <v>186</v>
      </c>
      <c r="E80" s="170">
        <f>'11'!F80</f>
        <v>568531</v>
      </c>
      <c r="F80" s="306">
        <v>568936.43999999994</v>
      </c>
      <c r="G80" s="124">
        <f t="shared" si="6"/>
        <v>405.43999999994412</v>
      </c>
      <c r="H80" s="111">
        <f>G80+'11'!H80</f>
        <v>4638.4399999999441</v>
      </c>
      <c r="I80" s="156"/>
      <c r="J80" s="203">
        <f>H80/DAY(B2)</f>
        <v>386.53666666666203</v>
      </c>
      <c r="K80" s="83"/>
      <c r="L80" s="68"/>
      <c r="N80" s="369"/>
      <c r="O80" s="378"/>
      <c r="P80" s="364"/>
    </row>
    <row r="81" spans="1:17" ht="27.75">
      <c r="A81" s="1229" t="s">
        <v>198</v>
      </c>
      <c r="B81" s="1230"/>
      <c r="C81" s="1231"/>
      <c r="D81" s="175" t="s">
        <v>186</v>
      </c>
      <c r="E81" s="170">
        <f>'11'!F81</f>
        <v>655583</v>
      </c>
      <c r="F81" s="306">
        <v>655746.52</v>
      </c>
      <c r="G81" s="124">
        <f t="shared" si="6"/>
        <v>163.52000000001863</v>
      </c>
      <c r="H81" s="111">
        <f>G81+'11'!H81</f>
        <v>1568.5200000000186</v>
      </c>
      <c r="I81" s="156"/>
      <c r="J81" s="203">
        <f>H81/DAY(B2)</f>
        <v>130.71000000000154</v>
      </c>
      <c r="K81" s="83"/>
      <c r="L81" s="68"/>
      <c r="N81" s="369"/>
      <c r="O81" s="378"/>
      <c r="P81" s="364"/>
    </row>
    <row r="82" spans="1:17" ht="27.75">
      <c r="A82" s="1229" t="s">
        <v>92</v>
      </c>
      <c r="B82" s="1230"/>
      <c r="C82" s="1231"/>
      <c r="D82" s="136" t="s">
        <v>131</v>
      </c>
      <c r="E82" s="170">
        <f>'11'!F82</f>
        <v>24</v>
      </c>
      <c r="F82" s="302">
        <v>52.9</v>
      </c>
      <c r="G82" s="124">
        <f t="shared" si="6"/>
        <v>28.9</v>
      </c>
      <c r="H82" s="111">
        <f>G82+'11'!H82</f>
        <v>275.89999999999998</v>
      </c>
      <c r="I82" s="137"/>
      <c r="J82" s="203">
        <f>H82/DAY(B2)</f>
        <v>22.991666666666664</v>
      </c>
      <c r="K82" s="83"/>
      <c r="L82" s="68"/>
      <c r="N82" s="369"/>
      <c r="O82" s="378"/>
      <c r="P82" s="364"/>
    </row>
    <row r="83" spans="1:17" ht="27.75">
      <c r="A83" s="1229" t="s">
        <v>199</v>
      </c>
      <c r="B83" s="1230"/>
      <c r="C83" s="1231"/>
      <c r="D83" s="271" t="s">
        <v>131</v>
      </c>
      <c r="E83" s="170">
        <f>'11'!F83</f>
        <v>47369</v>
      </c>
      <c r="F83" s="162">
        <v>47645</v>
      </c>
      <c r="G83" s="124">
        <f t="shared" si="6"/>
        <v>276</v>
      </c>
      <c r="H83" s="111">
        <f>G83+'11'!H83</f>
        <v>3322</v>
      </c>
      <c r="I83" s="132"/>
      <c r="J83" s="203">
        <f>H83/DAY(B2)</f>
        <v>276.83333333333331</v>
      </c>
      <c r="K83" s="82"/>
      <c r="L83" s="68"/>
      <c r="N83" s="369"/>
      <c r="O83" s="378"/>
      <c r="P83" s="364"/>
    </row>
    <row r="84" spans="1:17">
      <c r="A84" s="763" t="s">
        <v>200</v>
      </c>
      <c r="B84" s="222"/>
      <c r="C84" s="222"/>
      <c r="D84" s="129" t="s">
        <v>131</v>
      </c>
      <c r="E84" s="170">
        <f>'11'!F84</f>
        <v>577593</v>
      </c>
      <c r="F84" s="278">
        <v>578263</v>
      </c>
      <c r="G84" s="124">
        <f t="shared" si="6"/>
        <v>670</v>
      </c>
      <c r="H84" s="111">
        <f>G84+'11'!H84</f>
        <v>7884</v>
      </c>
      <c r="I84" s="132"/>
      <c r="J84" s="203">
        <f>H84/DAY(B2)</f>
        <v>657</v>
      </c>
      <c r="K84" s="71"/>
      <c r="L84" s="68"/>
      <c r="N84" s="369"/>
      <c r="O84" s="378"/>
      <c r="P84" s="364"/>
    </row>
    <row r="85" spans="1:17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2051.9599999999632</v>
      </c>
      <c r="H85" s="111">
        <f>G85+'11'!H85</f>
        <v>24644.959999999963</v>
      </c>
      <c r="I85" s="132"/>
      <c r="J85" s="203">
        <f>H85/DAY(B2)</f>
        <v>2053.7466666666637</v>
      </c>
      <c r="K85" s="71"/>
      <c r="L85" s="69"/>
      <c r="N85" s="369"/>
      <c r="O85" s="378"/>
      <c r="P85" s="364"/>
      <c r="Q85" s="386"/>
    </row>
    <row r="86" spans="1:17" s="386" customFormat="1">
      <c r="A86" s="381" t="s">
        <v>93</v>
      </c>
      <c r="B86" s="382"/>
      <c r="C86" s="382"/>
      <c r="D86" s="383" t="s">
        <v>182</v>
      </c>
      <c r="E86" s="278">
        <f>'11'!F86</f>
        <v>463832</v>
      </c>
      <c r="F86" s="298">
        <v>463872.04</v>
      </c>
      <c r="G86" s="356">
        <f t="shared" ref="G86:G91" si="7">F86-E86</f>
        <v>40.039999999979045</v>
      </c>
      <c r="H86" s="356">
        <f t="shared" ref="H86:H88" si="8">G86</f>
        <v>40.039999999979045</v>
      </c>
      <c r="I86" s="303"/>
      <c r="J86" s="358">
        <f>H86/DAY(B2)</f>
        <v>3.3366666666649203</v>
      </c>
      <c r="K86" s="384"/>
      <c r="L86" s="385"/>
      <c r="O86" s="364"/>
    </row>
    <row r="87" spans="1:17" s="386" customFormat="1">
      <c r="A87" s="381" t="s">
        <v>94</v>
      </c>
      <c r="B87" s="382"/>
      <c r="C87" s="382"/>
      <c r="D87" s="383" t="s">
        <v>182</v>
      </c>
      <c r="E87" s="278">
        <f>'11'!F87</f>
        <v>84214</v>
      </c>
      <c r="F87" s="298">
        <v>84220.6</v>
      </c>
      <c r="G87" s="356">
        <f t="shared" si="7"/>
        <v>6.6000000000058208</v>
      </c>
      <c r="H87" s="356">
        <f t="shared" si="8"/>
        <v>6.6000000000058208</v>
      </c>
      <c r="I87" s="303"/>
      <c r="J87" s="358">
        <f>H87/DAY(B2)</f>
        <v>0.5500000000004851</v>
      </c>
      <c r="K87" s="384"/>
      <c r="L87" s="385"/>
      <c r="O87" s="364"/>
    </row>
    <row r="88" spans="1:17" s="386" customFormat="1">
      <c r="A88" s="381" t="s">
        <v>95</v>
      </c>
      <c r="B88" s="382"/>
      <c r="C88" s="382"/>
      <c r="D88" s="383" t="s">
        <v>182</v>
      </c>
      <c r="E88" s="278">
        <f>'11'!F88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7" s="386" customFormat="1">
      <c r="A89" s="381" t="s">
        <v>203</v>
      </c>
      <c r="B89" s="382"/>
      <c r="C89" s="382"/>
      <c r="D89" s="383" t="s">
        <v>182</v>
      </c>
      <c r="E89" s="278">
        <f>'11'!F89</f>
        <v>69780</v>
      </c>
      <c r="F89" s="298">
        <v>69824.899999999994</v>
      </c>
      <c r="G89" s="356">
        <f t="shared" si="7"/>
        <v>44.899999999994179</v>
      </c>
      <c r="H89" s="356">
        <f>G89</f>
        <v>44.899999999994179</v>
      </c>
      <c r="I89" s="303"/>
      <c r="J89" s="358">
        <f>H89/DAY(B2)</f>
        <v>3.7416666666661818</v>
      </c>
      <c r="K89" s="384"/>
      <c r="L89" s="385"/>
      <c r="N89" s="428"/>
      <c r="O89" s="364"/>
    </row>
    <row r="90" spans="1:17" s="386" customFormat="1">
      <c r="A90" s="381" t="s">
        <v>203</v>
      </c>
      <c r="B90" s="382"/>
      <c r="C90" s="382"/>
      <c r="D90" s="383" t="s">
        <v>182</v>
      </c>
      <c r="E90" s="278">
        <f>'11'!F90</f>
        <v>3692</v>
      </c>
      <c r="F90" s="298">
        <v>3696.6</v>
      </c>
      <c r="G90" s="356">
        <f t="shared" si="7"/>
        <v>4.5999999999999091</v>
      </c>
      <c r="H90" s="356">
        <f>G90</f>
        <v>4.5999999999999091</v>
      </c>
      <c r="I90" s="303"/>
      <c r="J90" s="358">
        <f>H90/DAY(B2)</f>
        <v>0.38333333333332575</v>
      </c>
      <c r="K90" s="384"/>
      <c r="L90" s="385"/>
      <c r="N90" s="428"/>
      <c r="O90" s="364"/>
    </row>
    <row r="91" spans="1:17" s="386" customFormat="1">
      <c r="A91" s="381" t="s">
        <v>335</v>
      </c>
      <c r="B91" s="382"/>
      <c r="C91" s="382"/>
      <c r="D91" s="383"/>
      <c r="E91" s="278">
        <f>'11'!F91</f>
        <v>28824</v>
      </c>
      <c r="F91" s="298">
        <v>28826.639999999999</v>
      </c>
      <c r="G91" s="356">
        <f t="shared" si="7"/>
        <v>2.6399999999994179</v>
      </c>
      <c r="H91" s="356">
        <f>G91</f>
        <v>2.6399999999994179</v>
      </c>
      <c r="I91" s="303"/>
      <c r="J91" s="358">
        <f>H91/DAY(B2)</f>
        <v>0.21999999999995148</v>
      </c>
      <c r="K91" s="384"/>
      <c r="L91" s="385"/>
      <c r="N91" s="428"/>
      <c r="O91" s="73"/>
    </row>
    <row r="92" spans="1:17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8"/>
      <c r="P92" s="364"/>
      <c r="Q92" s="386"/>
    </row>
    <row r="93" spans="1:17" ht="27.75">
      <c r="A93" s="1245" t="s">
        <v>205</v>
      </c>
      <c r="B93" s="1246"/>
      <c r="C93" s="1247"/>
      <c r="D93" s="174" t="s">
        <v>143</v>
      </c>
      <c r="E93" s="135">
        <f>'11'!F93</f>
        <v>254379</v>
      </c>
      <c r="F93" s="129">
        <v>254484</v>
      </c>
      <c r="G93" s="124">
        <f t="shared" ref="G93:G94" si="9">F93-E93</f>
        <v>105</v>
      </c>
      <c r="H93" s="111">
        <f>G93+'11'!H93</f>
        <v>1032</v>
      </c>
      <c r="I93" s="131"/>
      <c r="J93" s="203">
        <f>H93/DAY(B2)</f>
        <v>86</v>
      </c>
      <c r="K93" s="82"/>
      <c r="L93" s="68"/>
      <c r="N93" s="369"/>
      <c r="O93" s="378"/>
      <c r="P93" s="364"/>
    </row>
    <row r="94" spans="1:17" ht="27.75">
      <c r="A94" s="1245" t="s">
        <v>206</v>
      </c>
      <c r="B94" s="1246"/>
      <c r="C94" s="1247"/>
      <c r="D94" s="174" t="s">
        <v>143</v>
      </c>
      <c r="E94" s="135">
        <f>'11'!F94</f>
        <v>199368</v>
      </c>
      <c r="F94" s="129">
        <v>199536</v>
      </c>
      <c r="G94" s="124">
        <f t="shared" si="9"/>
        <v>168</v>
      </c>
      <c r="H94" s="111">
        <f>G94+'11'!H94</f>
        <v>1877</v>
      </c>
      <c r="I94" s="131"/>
      <c r="J94" s="203">
        <f>H94/DAY(B2)</f>
        <v>156.41666666666666</v>
      </c>
      <c r="K94" s="71"/>
      <c r="L94" s="68"/>
      <c r="N94" s="369"/>
      <c r="O94" s="378"/>
      <c r="P94" s="364"/>
    </row>
    <row r="95" spans="1:17">
      <c r="A95" s="1277" t="s">
        <v>207</v>
      </c>
      <c r="B95" s="1278"/>
      <c r="C95" s="1279"/>
      <c r="D95" s="174"/>
      <c r="E95" s="135">
        <f>'11'!F95</f>
        <v>0</v>
      </c>
      <c r="F95" s="129"/>
      <c r="G95" s="124">
        <f>G93+G94</f>
        <v>273</v>
      </c>
      <c r="H95" s="111">
        <f>G95+'11'!H95</f>
        <v>2684</v>
      </c>
      <c r="I95" s="131"/>
      <c r="J95" s="203">
        <f>H95/DAY(B2)</f>
        <v>223.66666666666666</v>
      </c>
      <c r="K95" s="71"/>
      <c r="L95" s="68"/>
      <c r="N95" s="369"/>
      <c r="O95" s="378"/>
      <c r="P95" s="364"/>
    </row>
    <row r="96" spans="1:17" ht="27.75">
      <c r="A96" s="1245" t="s">
        <v>208</v>
      </c>
      <c r="B96" s="1246"/>
      <c r="C96" s="1247"/>
      <c r="D96" s="174" t="s">
        <v>143</v>
      </c>
      <c r="E96" s="135">
        <f>'11'!F96</f>
        <v>421809</v>
      </c>
      <c r="F96" s="129">
        <v>421879</v>
      </c>
      <c r="G96" s="124">
        <f t="shared" ref="G96:G101" si="10">F96-E96</f>
        <v>70</v>
      </c>
      <c r="H96" s="111">
        <f>G96+'11'!H96</f>
        <v>860</v>
      </c>
      <c r="I96" s="131"/>
      <c r="J96" s="203">
        <f>H96/DAY(B2)</f>
        <v>71.666666666666671</v>
      </c>
      <c r="K96" s="71"/>
      <c r="L96" s="68"/>
      <c r="N96" s="369"/>
      <c r="O96" s="378"/>
      <c r="P96" s="364"/>
    </row>
    <row r="97" spans="1:17" ht="27.75">
      <c r="A97" s="759" t="s">
        <v>209</v>
      </c>
      <c r="B97" s="760"/>
      <c r="C97" s="760"/>
      <c r="D97" s="174" t="s">
        <v>143</v>
      </c>
      <c r="E97" s="135">
        <f>'11'!F97</f>
        <v>104868</v>
      </c>
      <c r="F97" s="129">
        <v>104903</v>
      </c>
      <c r="G97" s="124">
        <f t="shared" si="10"/>
        <v>35</v>
      </c>
      <c r="H97" s="111">
        <f>G97+'11'!H97</f>
        <v>267</v>
      </c>
      <c r="I97" s="131"/>
      <c r="J97" s="203">
        <f>H97/DAY(B2)</f>
        <v>22.25</v>
      </c>
      <c r="K97" s="80"/>
      <c r="L97" s="68"/>
      <c r="N97" s="369"/>
      <c r="O97" s="378"/>
      <c r="P97" s="364"/>
    </row>
    <row r="98" spans="1:17" ht="27.75">
      <c r="A98" s="759" t="s">
        <v>210</v>
      </c>
      <c r="B98" s="760"/>
      <c r="C98" s="760"/>
      <c r="D98" s="174" t="s">
        <v>143</v>
      </c>
      <c r="E98" s="135">
        <f>'11'!F98</f>
        <v>100701</v>
      </c>
      <c r="F98" s="129">
        <v>100734</v>
      </c>
      <c r="G98" s="124">
        <f t="shared" si="10"/>
        <v>33</v>
      </c>
      <c r="H98" s="111">
        <f>G98+'11'!H98</f>
        <v>364</v>
      </c>
      <c r="I98" s="131"/>
      <c r="J98" s="203">
        <f>H98/DAY(B2)</f>
        <v>30.333333333333332</v>
      </c>
      <c r="K98" s="85"/>
      <c r="L98" s="68"/>
      <c r="N98" s="369"/>
      <c r="O98" s="378"/>
      <c r="P98" s="364"/>
    </row>
    <row r="99" spans="1:17" ht="27.75">
      <c r="A99" s="759" t="s">
        <v>211</v>
      </c>
      <c r="B99" s="760"/>
      <c r="C99" s="760"/>
      <c r="D99" s="174" t="s">
        <v>143</v>
      </c>
      <c r="E99" s="135">
        <f>'11'!F99</f>
        <v>152412</v>
      </c>
      <c r="F99" s="129">
        <v>152437</v>
      </c>
      <c r="G99" s="124">
        <f t="shared" si="10"/>
        <v>25</v>
      </c>
      <c r="H99" s="111">
        <f>G99+'11'!H99</f>
        <v>302</v>
      </c>
      <c r="I99" s="131"/>
      <c r="J99" s="203">
        <f>H99/DAY(B2)</f>
        <v>25.166666666666668</v>
      </c>
      <c r="K99" s="71"/>
      <c r="L99" s="68"/>
      <c r="N99" s="371"/>
      <c r="O99" s="378"/>
      <c r="P99" s="364"/>
    </row>
    <row r="100" spans="1:17" ht="27.75">
      <c r="A100" s="759" t="s">
        <v>212</v>
      </c>
      <c r="B100" s="760"/>
      <c r="C100" s="760"/>
      <c r="D100" s="174" t="s">
        <v>143</v>
      </c>
      <c r="E100" s="135">
        <f>'11'!F100</f>
        <v>8770</v>
      </c>
      <c r="F100" s="129">
        <v>8785</v>
      </c>
      <c r="G100" s="124">
        <f t="shared" si="10"/>
        <v>15</v>
      </c>
      <c r="H100" s="111">
        <f>G100+'11'!H100</f>
        <v>140</v>
      </c>
      <c r="I100" s="131"/>
      <c r="J100" s="203">
        <f>H100/DAY(B2)</f>
        <v>11.666666666666666</v>
      </c>
      <c r="K100" s="71"/>
      <c r="L100" s="68"/>
      <c r="N100" s="369"/>
      <c r="O100" s="378"/>
      <c r="P100" s="364"/>
    </row>
    <row r="101" spans="1:17" ht="27.75">
      <c r="A101" s="759" t="s">
        <v>213</v>
      </c>
      <c r="B101" s="760"/>
      <c r="C101" s="760"/>
      <c r="D101" s="174" t="s">
        <v>143</v>
      </c>
      <c r="E101" s="135">
        <f>'11'!F101</f>
        <v>6489</v>
      </c>
      <c r="F101" s="129">
        <v>6511</v>
      </c>
      <c r="G101" s="124">
        <f t="shared" si="10"/>
        <v>22</v>
      </c>
      <c r="H101" s="111">
        <f>G101+'11'!H101</f>
        <v>138</v>
      </c>
      <c r="I101" s="131"/>
      <c r="J101" s="203">
        <f>H101/DAY(B2)</f>
        <v>11.5</v>
      </c>
      <c r="K101" s="71"/>
      <c r="L101" s="68"/>
      <c r="N101" s="369"/>
      <c r="O101" s="378"/>
      <c r="P101" s="364"/>
    </row>
    <row r="102" spans="1:17">
      <c r="A102" s="1277" t="s">
        <v>215</v>
      </c>
      <c r="B102" s="1278"/>
      <c r="C102" s="1279"/>
      <c r="D102" s="175"/>
      <c r="E102" s="135"/>
      <c r="F102" s="175"/>
      <c r="G102" s="176">
        <f>SUM(G96:G101)</f>
        <v>200</v>
      </c>
      <c r="H102" s="111">
        <f>G102+'11'!H102</f>
        <v>2071</v>
      </c>
      <c r="I102" s="177"/>
      <c r="J102" s="203">
        <f>H102/DAY(B2)</f>
        <v>172.58333333333334</v>
      </c>
      <c r="K102" s="71"/>
      <c r="L102" s="68"/>
      <c r="N102" s="369"/>
      <c r="O102" s="378"/>
      <c r="P102" s="364"/>
    </row>
    <row r="103" spans="1:17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8"/>
      <c r="P103" s="364"/>
      <c r="Q103" s="96"/>
    </row>
    <row r="104" spans="1:17" s="93" customFormat="1" ht="27.75">
      <c r="A104" s="1280" t="s">
        <v>217</v>
      </c>
      <c r="B104" s="1281"/>
      <c r="C104" s="224"/>
      <c r="D104" s="273"/>
      <c r="E104" s="135"/>
      <c r="F104" s="309"/>
      <c r="G104" s="183"/>
      <c r="H104" s="184"/>
      <c r="I104" s="183"/>
      <c r="J104" s="209"/>
      <c r="N104" s="369"/>
      <c r="O104" s="378"/>
      <c r="P104" s="364"/>
      <c r="Q104" s="96"/>
    </row>
    <row r="105" spans="1:17" s="93" customFormat="1" ht="27.75">
      <c r="A105" s="1237" t="s">
        <v>218</v>
      </c>
      <c r="B105" s="1238"/>
      <c r="C105" s="758"/>
      <c r="D105" s="273" t="s">
        <v>143</v>
      </c>
      <c r="E105" s="135">
        <f>'11'!F105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6.308333333333394</v>
      </c>
      <c r="N105" s="369"/>
      <c r="O105" s="378"/>
      <c r="P105" s="364"/>
      <c r="Q105" s="96"/>
    </row>
    <row r="106" spans="1:17" s="93" customFormat="1" ht="27.75">
      <c r="A106" s="1237" t="s">
        <v>76</v>
      </c>
      <c r="B106" s="1238"/>
      <c r="C106" s="758"/>
      <c r="D106" s="273" t="s">
        <v>143</v>
      </c>
      <c r="E106" s="135">
        <f>'11'!F106</f>
        <v>36851</v>
      </c>
      <c r="F106" s="310">
        <v>36861</v>
      </c>
      <c r="G106" s="183">
        <f t="shared" ref="G106:G107" si="11">F106-E106</f>
        <v>10</v>
      </c>
      <c r="H106" s="184">
        <f>SUM(G106+'1'!G77)</f>
        <v>57</v>
      </c>
      <c r="I106" s="183"/>
      <c r="J106" s="209">
        <f>H106/DAY(B2)</f>
        <v>4.75</v>
      </c>
      <c r="N106" s="369"/>
      <c r="O106" s="378"/>
      <c r="P106" s="364"/>
      <c r="Q106" s="96"/>
    </row>
    <row r="107" spans="1:17" s="93" customFormat="1" ht="27.75">
      <c r="A107" s="1237" t="s">
        <v>77</v>
      </c>
      <c r="B107" s="1282"/>
      <c r="C107" s="1238"/>
      <c r="D107" s="273" t="s">
        <v>143</v>
      </c>
      <c r="E107" s="135">
        <f>'11'!F107</f>
        <v>20301</v>
      </c>
      <c r="F107" s="310">
        <v>20310</v>
      </c>
      <c r="G107" s="183">
        <f t="shared" si="11"/>
        <v>9</v>
      </c>
      <c r="H107" s="184">
        <f>SUM(G107+'1'!G78)</f>
        <v>27</v>
      </c>
      <c r="I107" s="183"/>
      <c r="J107" s="209">
        <f>H107/DAY(B2)</f>
        <v>2.25</v>
      </c>
      <c r="N107" s="369"/>
      <c r="O107" s="378"/>
      <c r="P107" s="364"/>
      <c r="Q107" s="96"/>
    </row>
    <row r="108" spans="1:17" s="93" customFormat="1" ht="27.75">
      <c r="A108" s="1239" t="s">
        <v>201</v>
      </c>
      <c r="B108" s="1240"/>
      <c r="C108" s="758"/>
      <c r="D108" s="273"/>
      <c r="E108" s="135"/>
      <c r="F108" s="310"/>
      <c r="G108" s="183">
        <f>SUM(G105:G107)</f>
        <v>19</v>
      </c>
      <c r="H108" s="184">
        <f>SUM(G108+'1'!G79)</f>
        <v>185</v>
      </c>
      <c r="I108" s="183"/>
      <c r="J108" s="209">
        <f>H108/DAY(B2)</f>
        <v>15.416666666666666</v>
      </c>
      <c r="N108" s="369"/>
      <c r="O108" s="378"/>
      <c r="P108" s="364"/>
      <c r="Q108" s="96"/>
    </row>
    <row r="109" spans="1:17" s="93" customFormat="1" ht="27.75">
      <c r="A109" s="1243" t="s">
        <v>78</v>
      </c>
      <c r="B109" s="1244"/>
      <c r="C109" s="758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8"/>
      <c r="P109" s="364"/>
      <c r="Q109" s="96"/>
    </row>
    <row r="110" spans="1:17" s="93" customFormat="1" ht="27.75">
      <c r="A110" s="1237" t="s">
        <v>219</v>
      </c>
      <c r="B110" s="1238"/>
      <c r="C110" s="758"/>
      <c r="D110" s="273" t="s">
        <v>143</v>
      </c>
      <c r="E110" s="135">
        <f>'11'!F110</f>
        <v>70299</v>
      </c>
      <c r="F110" s="310">
        <v>70356</v>
      </c>
      <c r="G110" s="183">
        <f>F110-E110</f>
        <v>57</v>
      </c>
      <c r="H110" s="184">
        <f>SUM(G110+'1'!G81)</f>
        <v>231.80000000004657</v>
      </c>
      <c r="I110" s="183"/>
      <c r="J110" s="209">
        <f>H110/DAY(B2)</f>
        <v>19.316666666670546</v>
      </c>
      <c r="N110" s="369"/>
      <c r="O110" s="378"/>
      <c r="P110" s="364"/>
      <c r="Q110" s="96"/>
    </row>
    <row r="111" spans="1:17" s="93" customFormat="1" ht="27.75">
      <c r="A111" s="1237" t="s">
        <v>220</v>
      </c>
      <c r="B111" s="1238"/>
      <c r="C111" s="758"/>
      <c r="D111" s="273" t="s">
        <v>143</v>
      </c>
      <c r="E111" s="135">
        <f>'11'!F111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2.5</v>
      </c>
      <c r="N111" s="369"/>
      <c r="O111" s="378"/>
      <c r="P111" s="364"/>
      <c r="Q111" s="96"/>
    </row>
    <row r="112" spans="1:17" s="93" customFormat="1" ht="27.75">
      <c r="A112" s="1237" t="s">
        <v>221</v>
      </c>
      <c r="B112" s="1238"/>
      <c r="C112" s="758"/>
      <c r="D112" s="273" t="s">
        <v>143</v>
      </c>
      <c r="E112" s="135">
        <f>'11'!F112</f>
        <v>4810</v>
      </c>
      <c r="F112" s="310">
        <v>4815</v>
      </c>
      <c r="G112" s="183">
        <f t="shared" si="12"/>
        <v>5</v>
      </c>
      <c r="H112" s="184">
        <f>SUM(G112+'1'!G83)</f>
        <v>316</v>
      </c>
      <c r="I112" s="183"/>
      <c r="J112" s="209">
        <f>H112/DAY(B2)</f>
        <v>26.333333333333332</v>
      </c>
      <c r="N112" s="369"/>
      <c r="O112" s="378"/>
      <c r="P112" s="364"/>
      <c r="Q112" s="96"/>
    </row>
    <row r="113" spans="1:17" s="93" customFormat="1" ht="27.75">
      <c r="A113" s="1239" t="s">
        <v>109</v>
      </c>
      <c r="B113" s="1240"/>
      <c r="C113" s="758"/>
      <c r="D113" s="273"/>
      <c r="E113" s="135"/>
      <c r="F113" s="310"/>
      <c r="G113" s="183">
        <f>SUM(G110:G112)</f>
        <v>62</v>
      </c>
      <c r="H113" s="184">
        <f>SUM(G113+'1'!G84)</f>
        <v>802</v>
      </c>
      <c r="I113" s="183"/>
      <c r="J113" s="209">
        <f>H113/DAY(B2)</f>
        <v>66.833333333333329</v>
      </c>
      <c r="N113" s="369"/>
      <c r="O113" s="378"/>
      <c r="P113" s="364"/>
      <c r="Q113" s="96"/>
    </row>
    <row r="114" spans="1:17" s="93" customFormat="1" ht="27.75">
      <c r="A114" s="1243" t="s">
        <v>222</v>
      </c>
      <c r="B114" s="1244"/>
      <c r="C114" s="758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8"/>
      <c r="P114" s="364"/>
      <c r="Q114" s="96"/>
    </row>
    <row r="115" spans="1:17" s="93" customFormat="1" ht="27.75">
      <c r="A115" s="1237" t="s">
        <v>223</v>
      </c>
      <c r="B115" s="1238"/>
      <c r="C115" s="225"/>
      <c r="D115" s="273" t="s">
        <v>143</v>
      </c>
      <c r="E115" s="135">
        <f>'11'!F115</f>
        <v>13180</v>
      </c>
      <c r="F115" s="310">
        <v>13210</v>
      </c>
      <c r="G115" s="185">
        <f>F115-E115</f>
        <v>30</v>
      </c>
      <c r="H115" s="184">
        <f>SUM(G115+'1'!G92)</f>
        <v>30</v>
      </c>
      <c r="I115" s="183"/>
      <c r="J115" s="209">
        <f>H115/DAY(B2)</f>
        <v>2.5</v>
      </c>
      <c r="N115" s="369"/>
      <c r="O115" s="378"/>
      <c r="P115" s="364"/>
      <c r="Q115" s="96"/>
    </row>
    <row r="116" spans="1:17" s="93" customFormat="1" ht="27.75">
      <c r="A116" s="1237" t="s">
        <v>224</v>
      </c>
      <c r="B116" s="1238"/>
      <c r="C116" s="225"/>
      <c r="D116" s="273" t="s">
        <v>143</v>
      </c>
      <c r="E116" s="135">
        <f>'11'!F116</f>
        <v>9213</v>
      </c>
      <c r="F116" s="310">
        <v>9228</v>
      </c>
      <c r="G116" s="185">
        <f t="shared" ref="G116:G117" si="13">F116-E116</f>
        <v>15</v>
      </c>
      <c r="H116" s="184">
        <f>SUM(G116+'1'!G93)</f>
        <v>77</v>
      </c>
      <c r="I116" s="183"/>
      <c r="J116" s="209">
        <f>H116/DAY(B2)</f>
        <v>6.416666666666667</v>
      </c>
      <c r="N116" s="369"/>
      <c r="O116" s="378"/>
      <c r="P116" s="364"/>
      <c r="Q116" s="96"/>
    </row>
    <row r="117" spans="1:17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13.583333333333334</v>
      </c>
      <c r="N117" s="369"/>
      <c r="O117" s="378"/>
      <c r="P117" s="364"/>
      <c r="Q117" s="96"/>
    </row>
    <row r="118" spans="1:17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45</v>
      </c>
      <c r="H118" s="184">
        <f>SUM(G118+'1'!G96)</f>
        <v>111</v>
      </c>
      <c r="I118" s="185"/>
      <c r="J118" s="209">
        <f>H118/DAY(B2)</f>
        <v>9.25</v>
      </c>
      <c r="N118" s="369"/>
      <c r="O118" s="378"/>
      <c r="P118" s="364"/>
    </row>
    <row r="119" spans="1:17" s="97" customFormat="1" ht="27.75">
      <c r="A119" s="1233" t="s">
        <v>226</v>
      </c>
      <c r="B119" s="1234"/>
      <c r="C119" s="756"/>
      <c r="D119" s="275" t="s">
        <v>143</v>
      </c>
      <c r="E119" s="187"/>
      <c r="F119" s="311">
        <f>SUM(G19+G93)</f>
        <v>168</v>
      </c>
      <c r="G119" s="187">
        <f>SUM(G19+G93)</f>
        <v>168</v>
      </c>
      <c r="H119" s="184">
        <f>SUM(G119+'1'!G97)</f>
        <v>186</v>
      </c>
      <c r="I119" s="186"/>
      <c r="J119" s="210">
        <f>H119/DAY(B2)</f>
        <v>15.5</v>
      </c>
      <c r="N119" s="369"/>
      <c r="O119" s="378"/>
      <c r="P119" s="364"/>
    </row>
    <row r="120" spans="1:17" s="97" customFormat="1" ht="27.75">
      <c r="A120" s="1233" t="s">
        <v>227</v>
      </c>
      <c r="B120" s="1234"/>
      <c r="C120" s="756"/>
      <c r="D120" s="275" t="s">
        <v>143</v>
      </c>
      <c r="E120" s="187"/>
      <c r="F120" s="311">
        <f>SUM(G96,G97,G98,G100,G101)</f>
        <v>175</v>
      </c>
      <c r="G120" s="187">
        <f>SUM(G96,G97,G98,G100,G101)</f>
        <v>175</v>
      </c>
      <c r="H120" s="184">
        <f>SUM(G120+'1'!G99)</f>
        <v>186</v>
      </c>
      <c r="I120" s="186"/>
      <c r="J120" s="210">
        <f>H120/DAY(B2)</f>
        <v>15.5</v>
      </c>
      <c r="N120" s="369"/>
      <c r="O120" s="378"/>
      <c r="P120" s="364"/>
    </row>
    <row r="121" spans="1:17" s="97" customFormat="1" ht="27.75">
      <c r="A121" s="1233" t="s">
        <v>228</v>
      </c>
      <c r="B121" s="1234"/>
      <c r="C121" s="756"/>
      <c r="D121" s="275" t="s">
        <v>143</v>
      </c>
      <c r="E121" s="185"/>
      <c r="F121" s="310">
        <f>SUM(G113)</f>
        <v>62</v>
      </c>
      <c r="G121" s="185">
        <f>SUM(G113)</f>
        <v>62</v>
      </c>
      <c r="H121" s="184">
        <f>SUM(G121+'1'!G101)</f>
        <v>71</v>
      </c>
      <c r="I121" s="186"/>
      <c r="J121" s="210">
        <f>H121/DAY(B2)</f>
        <v>5.916666666666667</v>
      </c>
      <c r="N121" s="369"/>
      <c r="O121" s="378"/>
      <c r="P121" s="364"/>
    </row>
    <row r="122" spans="1:17" s="93" customFormat="1" ht="27.75">
      <c r="A122" s="1235"/>
      <c r="B122" s="1236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8"/>
      <c r="P122" s="364"/>
      <c r="Q122" s="96"/>
    </row>
    <row r="123" spans="1:17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8"/>
      <c r="P123" s="364"/>
    </row>
    <row r="124" spans="1:17" ht="27.75">
      <c r="A124" s="759" t="s">
        <v>230</v>
      </c>
      <c r="B124" s="760"/>
      <c r="C124" s="760"/>
      <c r="D124" s="174" t="s">
        <v>140</v>
      </c>
      <c r="E124" s="129">
        <f>'11'!F124</f>
        <v>859051</v>
      </c>
      <c r="F124" s="129">
        <v>859333.02</v>
      </c>
      <c r="G124" s="124">
        <f t="shared" ref="G124:G128" si="14">F124-E124</f>
        <v>282.02000000001863</v>
      </c>
      <c r="H124" s="111">
        <f>G124+'11'!H124</f>
        <v>2981.0200000000186</v>
      </c>
      <c r="I124" s="177"/>
      <c r="J124" s="203">
        <f>H124/DAY(B2)</f>
        <v>248.41833333333489</v>
      </c>
      <c r="K124" s="71"/>
      <c r="L124" s="68"/>
      <c r="N124" s="369"/>
      <c r="O124" s="378"/>
      <c r="P124" s="364"/>
    </row>
    <row r="125" spans="1:17" ht="27.75">
      <c r="A125" s="759" t="s">
        <v>231</v>
      </c>
      <c r="B125" s="760"/>
      <c r="C125" s="760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9"/>
      <c r="O125" s="378"/>
      <c r="P125" s="364"/>
    </row>
    <row r="126" spans="1:17" ht="27.75">
      <c r="A126" s="1226" t="s">
        <v>232</v>
      </c>
      <c r="B126" s="1227"/>
      <c r="C126" s="1228"/>
      <c r="D126" s="174" t="s">
        <v>140</v>
      </c>
      <c r="E126" s="129">
        <f>'11'!F126</f>
        <v>155042</v>
      </c>
      <c r="F126" s="129">
        <v>155127.09</v>
      </c>
      <c r="G126" s="124">
        <f t="shared" si="14"/>
        <v>85.089999999996508</v>
      </c>
      <c r="H126" s="111">
        <f>G126+'11'!H126</f>
        <v>1050.0899999999965</v>
      </c>
      <c r="I126" s="177"/>
      <c r="J126" s="203">
        <f>H126/DAY(B2)</f>
        <v>87.507499999999709</v>
      </c>
      <c r="K126" s="71"/>
      <c r="L126" s="68"/>
      <c r="N126" s="369"/>
      <c r="O126" s="378"/>
      <c r="P126" s="364"/>
    </row>
    <row r="127" spans="1:17" ht="27.75">
      <c r="A127" s="260" t="s">
        <v>233</v>
      </c>
      <c r="B127" s="760"/>
      <c r="C127" s="760"/>
      <c r="D127" s="174" t="s">
        <v>140</v>
      </c>
      <c r="E127" s="277">
        <f>'11'!F127</f>
        <v>35096</v>
      </c>
      <c r="F127" s="277">
        <v>35139.599999999999</v>
      </c>
      <c r="G127" s="124">
        <f t="shared" si="14"/>
        <v>43.599999999998545</v>
      </c>
      <c r="H127" s="111">
        <f>G127+'11'!H127</f>
        <v>510.59999999999854</v>
      </c>
      <c r="I127" s="177"/>
      <c r="J127" s="203">
        <f>H127/DAY(B2)</f>
        <v>42.549999999999876</v>
      </c>
      <c r="K127" s="71"/>
      <c r="L127" s="68"/>
      <c r="N127" s="369"/>
      <c r="O127" s="378"/>
      <c r="P127" s="364"/>
    </row>
    <row r="128" spans="1:17" ht="27.75">
      <c r="A128" s="260" t="s">
        <v>234</v>
      </c>
      <c r="B128" s="760"/>
      <c r="C128" s="760"/>
      <c r="D128" s="174" t="s">
        <v>140</v>
      </c>
      <c r="E128" s="277">
        <f>'11'!F128</f>
        <v>9201</v>
      </c>
      <c r="F128" s="277">
        <v>9204.5</v>
      </c>
      <c r="G128" s="124">
        <f t="shared" si="14"/>
        <v>3.5</v>
      </c>
      <c r="H128" s="111">
        <f>G128+'11'!H128</f>
        <v>24.5</v>
      </c>
      <c r="I128" s="131"/>
      <c r="J128" s="203">
        <f>H128/DAY(B2)</f>
        <v>2.0416666666666665</v>
      </c>
      <c r="K128" s="71"/>
      <c r="L128" s="68"/>
      <c r="N128" s="369"/>
      <c r="O128" s="378"/>
      <c r="P128" s="364"/>
    </row>
    <row r="129" spans="1:17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503.02099999998609</v>
      </c>
      <c r="H129" s="111">
        <f>H15-SUM(H124:H128)</f>
        <v>5853.0209999999861</v>
      </c>
      <c r="I129" s="131"/>
      <c r="J129" s="203"/>
      <c r="K129" s="60"/>
      <c r="L129" s="58"/>
      <c r="N129" s="369"/>
      <c r="O129" s="378"/>
      <c r="P129" s="364"/>
      <c r="Q129" s="361"/>
    </row>
    <row r="130" spans="1:17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8"/>
      <c r="P130" s="364"/>
    </row>
    <row r="131" spans="1:17" ht="27.75">
      <c r="A131" s="759" t="s">
        <v>237</v>
      </c>
      <c r="B131" s="760"/>
      <c r="C131" s="760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9"/>
      <c r="O131" s="378"/>
      <c r="P131" s="364"/>
    </row>
    <row r="132" spans="1:17" ht="27.75">
      <c r="A132" s="759" t="s">
        <v>239</v>
      </c>
      <c r="B132" s="760"/>
      <c r="C132" s="760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9"/>
      <c r="O132" s="378"/>
      <c r="P132" s="364"/>
    </row>
    <row r="133" spans="1:17" ht="27.75">
      <c r="A133" s="759" t="s">
        <v>240</v>
      </c>
      <c r="B133" s="760"/>
      <c r="C133" s="760"/>
      <c r="D133" s="174" t="s">
        <v>238</v>
      </c>
      <c r="E133" s="192">
        <f>'11'!F133</f>
        <v>41101</v>
      </c>
      <c r="F133" s="302">
        <v>41111.480000000003</v>
      </c>
      <c r="G133" s="124">
        <f t="shared" si="15"/>
        <v>10.480000000003201</v>
      </c>
      <c r="H133" s="111">
        <f>G133+'11'!H133</f>
        <v>189.4800000000032</v>
      </c>
      <c r="I133" s="131"/>
      <c r="J133" s="203">
        <f>H133/DAY(B2)</f>
        <v>15.790000000000267</v>
      </c>
      <c r="N133" s="369"/>
      <c r="O133" s="378"/>
      <c r="P133" s="364"/>
    </row>
    <row r="134" spans="1:17" ht="27.75">
      <c r="A134" s="759" t="s">
        <v>241</v>
      </c>
      <c r="B134" s="760"/>
      <c r="C134" s="760"/>
      <c r="D134" s="174" t="s">
        <v>238</v>
      </c>
      <c r="E134" s="352">
        <f>'11'!F134</f>
        <v>975</v>
      </c>
      <c r="F134" s="277">
        <v>988.16</v>
      </c>
      <c r="G134" s="124">
        <f t="shared" si="15"/>
        <v>13.159999999999968</v>
      </c>
      <c r="H134" s="111">
        <f>G134+'11'!H134</f>
        <v>132.15999999999997</v>
      </c>
      <c r="I134" s="131">
        <f>G131+G132+G133+G134</f>
        <v>23.64000000000317</v>
      </c>
      <c r="J134" s="203">
        <f>H134/DAY(B2)</f>
        <v>11.01333333333333</v>
      </c>
      <c r="N134" s="369"/>
      <c r="O134" s="378"/>
      <c r="P134" s="364"/>
    </row>
    <row r="135" spans="1:17" ht="27.75">
      <c r="A135" s="759" t="s">
        <v>242</v>
      </c>
      <c r="B135" s="760"/>
      <c r="C135" s="760"/>
      <c r="D135" s="174" t="s">
        <v>238</v>
      </c>
      <c r="E135" s="352">
        <f>'11'!F135</f>
        <v>42826</v>
      </c>
      <c r="F135" s="277">
        <v>42826.47</v>
      </c>
      <c r="G135" s="124">
        <f t="shared" si="15"/>
        <v>0.47000000000116415</v>
      </c>
      <c r="H135" s="111">
        <f>G135+'11'!H135</f>
        <v>4.4700000000011642</v>
      </c>
      <c r="I135" s="131"/>
      <c r="J135" s="203">
        <f>H135/DAY(B2)</f>
        <v>0.37250000000009703</v>
      </c>
      <c r="N135" s="369"/>
      <c r="O135" s="378"/>
      <c r="P135" s="364"/>
    </row>
    <row r="136" spans="1:17" ht="27.75">
      <c r="A136" s="759" t="s">
        <v>243</v>
      </c>
      <c r="B136" s="760"/>
      <c r="C136" s="760"/>
      <c r="D136" s="174" t="s">
        <v>238</v>
      </c>
      <c r="E136" s="173">
        <f>'11'!F136</f>
        <v>32964</v>
      </c>
      <c r="F136" s="302">
        <v>32972.29</v>
      </c>
      <c r="G136" s="124">
        <f t="shared" si="15"/>
        <v>8.2900000000008731</v>
      </c>
      <c r="H136" s="111">
        <f>G136+'11'!H136</f>
        <v>44.290000000000873</v>
      </c>
      <c r="I136" s="131"/>
      <c r="J136" s="203">
        <f>H136/DAY(B2)</f>
        <v>3.6908333333334062</v>
      </c>
      <c r="N136" s="369"/>
      <c r="O136" s="378"/>
      <c r="P136" s="364"/>
    </row>
    <row r="137" spans="1:17" ht="27.75">
      <c r="A137" s="759" t="s">
        <v>244</v>
      </c>
      <c r="B137" s="760"/>
      <c r="C137" s="760"/>
      <c r="D137" s="174" t="s">
        <v>238</v>
      </c>
      <c r="E137" s="192">
        <f>'11'!F137</f>
        <v>23455.82</v>
      </c>
      <c r="F137" s="302">
        <v>23465.01</v>
      </c>
      <c r="G137" s="124">
        <f t="shared" si="15"/>
        <v>9.1899999999986903</v>
      </c>
      <c r="H137" s="111">
        <f>G137+'11'!H137</f>
        <v>108.57999999999811</v>
      </c>
      <c r="I137" s="131">
        <f>G135+G136+G137</f>
        <v>17.950000000000728</v>
      </c>
      <c r="J137" s="203">
        <f>H137/DAY(B2)</f>
        <v>9.0483333333331757</v>
      </c>
      <c r="N137" s="369"/>
      <c r="O137" s="378"/>
      <c r="P137" s="364"/>
    </row>
    <row r="138" spans="1:17" ht="27.75">
      <c r="A138" s="759" t="s">
        <v>245</v>
      </c>
      <c r="B138" s="760"/>
      <c r="C138" s="760"/>
      <c r="D138" s="174" t="s">
        <v>238</v>
      </c>
      <c r="E138" s="192">
        <f>'11'!F138</f>
        <v>25132.98</v>
      </c>
      <c r="F138" s="302">
        <v>25132.98</v>
      </c>
      <c r="G138" s="124">
        <f t="shared" si="15"/>
        <v>0</v>
      </c>
      <c r="H138" s="111">
        <f>G138+'11'!H138</f>
        <v>2.0000000000436557E-2</v>
      </c>
      <c r="I138" s="131"/>
      <c r="J138" s="203">
        <f>H138/DAY(B2)</f>
        <v>1.6666666667030465E-3</v>
      </c>
      <c r="N138" s="369"/>
      <c r="O138" s="378"/>
      <c r="P138" s="364"/>
    </row>
    <row r="139" spans="1:17" ht="27.75">
      <c r="A139" s="759" t="s">
        <v>246</v>
      </c>
      <c r="B139" s="760"/>
      <c r="C139" s="760"/>
      <c r="D139" s="174" t="s">
        <v>238</v>
      </c>
      <c r="E139" s="192">
        <f>'11'!F139</f>
        <v>70526</v>
      </c>
      <c r="F139" s="302">
        <v>70526.05</v>
      </c>
      <c r="G139" s="124">
        <f t="shared" si="15"/>
        <v>5.0000000002910383E-2</v>
      </c>
      <c r="H139" s="111">
        <f>G139+'11'!H139</f>
        <v>1.5</v>
      </c>
      <c r="I139" s="131">
        <f>G138+G139</f>
        <v>5.0000000002910383E-2</v>
      </c>
      <c r="J139" s="203">
        <f>H139/DAY(B2)</f>
        <v>0.125</v>
      </c>
      <c r="N139" s="369"/>
      <c r="O139" s="378"/>
      <c r="P139" s="364"/>
    </row>
    <row r="140" spans="1:17" ht="27.75">
      <c r="A140" s="759" t="s">
        <v>247</v>
      </c>
      <c r="B140" s="760"/>
      <c r="C140" s="760"/>
      <c r="D140" s="174" t="s">
        <v>238</v>
      </c>
      <c r="E140" s="352">
        <f>'11'!F140</f>
        <v>2725</v>
      </c>
      <c r="F140" s="277">
        <v>2735.28</v>
      </c>
      <c r="G140" s="124">
        <f t="shared" si="15"/>
        <v>10.2800000000002</v>
      </c>
      <c r="H140" s="111">
        <f>G140+'11'!H140</f>
        <v>107.30000000000018</v>
      </c>
      <c r="I140" s="193"/>
      <c r="J140" s="203">
        <f>H140/DAY(B2)</f>
        <v>8.9416666666666824</v>
      </c>
      <c r="N140" s="369"/>
      <c r="O140" s="378"/>
      <c r="P140" s="364"/>
    </row>
    <row r="141" spans="1:17" ht="27.75">
      <c r="A141" s="759" t="s">
        <v>248</v>
      </c>
      <c r="B141" s="760"/>
      <c r="C141" s="760"/>
      <c r="D141" s="174" t="s">
        <v>238</v>
      </c>
      <c r="E141" s="135">
        <f>'11'!F141</f>
        <v>4758.46</v>
      </c>
      <c r="F141" s="129">
        <v>4758.46</v>
      </c>
      <c r="G141" s="124">
        <f t="shared" si="15"/>
        <v>0</v>
      </c>
      <c r="H141" s="111">
        <f>G141+'11'!H141</f>
        <v>4.4600000000000364</v>
      </c>
      <c r="I141" s="193"/>
      <c r="J141" s="203">
        <f>H141/DAY(B2)</f>
        <v>0.3716666666666697</v>
      </c>
      <c r="N141" s="369"/>
      <c r="O141" s="378"/>
      <c r="P141" s="364"/>
    </row>
    <row r="142" spans="1:17">
      <c r="A142" s="1248" t="s">
        <v>249</v>
      </c>
      <c r="B142" s="1249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8"/>
      <c r="P142" s="364"/>
    </row>
    <row r="143" spans="1:17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7289.6299999999974</v>
      </c>
      <c r="H143" s="111">
        <f>G143+'11'!H143</f>
        <v>77868.63</v>
      </c>
      <c r="I143" s="131"/>
      <c r="J143" s="203">
        <f>H143/DAY(B2)</f>
        <v>6489.0525000000007</v>
      </c>
      <c r="K143" s="71"/>
      <c r="L143" s="68"/>
      <c r="N143" s="369"/>
      <c r="O143" s="378"/>
      <c r="P143" s="364"/>
    </row>
    <row r="144" spans="1:17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0.32695272221018629</v>
      </c>
      <c r="H144" s="111">
        <f>G144+'11'!H144</f>
        <v>3.5666730729670491</v>
      </c>
      <c r="I144" s="195"/>
      <c r="J144" s="203">
        <f>H144/DAY(B2)</f>
        <v>0.2972227560805874</v>
      </c>
      <c r="K144" s="71"/>
      <c r="L144" s="68"/>
      <c r="N144" s="369"/>
      <c r="O144" s="378"/>
      <c r="P144" s="364"/>
    </row>
    <row r="145" spans="1:16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6958.9799999999232</v>
      </c>
      <c r="H145" s="111">
        <f>G145+'11'!H145</f>
        <v>81247.199999999953</v>
      </c>
      <c r="I145" s="131"/>
      <c r="J145" s="203">
        <f>H145/DAY(B2)</f>
        <v>6770.5999999999958</v>
      </c>
      <c r="K145" s="71"/>
      <c r="L145" s="68"/>
      <c r="N145" s="369"/>
      <c r="O145" s="378"/>
      <c r="P145" s="364"/>
    </row>
    <row r="146" spans="1:16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0.31212248835760081</v>
      </c>
      <c r="H146" s="111">
        <f>G146+'11'!H146</f>
        <v>3.7101338649268492</v>
      </c>
      <c r="I146" s="195"/>
      <c r="J146" s="203">
        <f>H146/DAY(B2)</f>
        <v>0.30917782207723743</v>
      </c>
      <c r="K146" s="71"/>
      <c r="L146" s="68"/>
      <c r="N146" s="369"/>
      <c r="O146" s="378"/>
      <c r="P146" s="364"/>
    </row>
    <row r="147" spans="1:16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3783.25</v>
      </c>
      <c r="H147" s="111">
        <f>G147+'11'!H147</f>
        <v>46167.25</v>
      </c>
      <c r="I147" s="196"/>
      <c r="J147" s="203">
        <f>H147/DAY(B2)</f>
        <v>3847.2708333333335</v>
      </c>
      <c r="K147" s="71"/>
      <c r="L147" s="68"/>
      <c r="N147" s="369"/>
      <c r="O147" s="378"/>
      <c r="P147" s="364"/>
    </row>
    <row r="148" spans="1:16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0.16968541425308112</v>
      </c>
      <c r="H148" s="111">
        <f>G148+'11'!H148</f>
        <v>2.1134772909814967</v>
      </c>
      <c r="I148" s="196"/>
      <c r="J148" s="203">
        <f>H148/DAY(B2)</f>
        <v>0.17612310758179139</v>
      </c>
      <c r="N148" s="369"/>
      <c r="O148" s="378"/>
      <c r="P148" s="364"/>
    </row>
    <row r="149" spans="1:16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1663.3499999999985</v>
      </c>
      <c r="H149" s="111">
        <f>G149+'11'!H149</f>
        <v>20339.349999999999</v>
      </c>
      <c r="I149" s="131"/>
      <c r="J149" s="203">
        <f>H149/DAY(B2)</f>
        <v>1694.9458333333332</v>
      </c>
      <c r="K149" s="72"/>
      <c r="N149" s="369"/>
      <c r="O149" s="378"/>
      <c r="P149" s="364"/>
    </row>
    <row r="150" spans="1:16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7.46041720208451E-2</v>
      </c>
      <c r="H150" s="111">
        <f>G150+'11'!H150</f>
        <v>0.9311186531169473</v>
      </c>
      <c r="I150" s="196"/>
      <c r="J150" s="203">
        <f>H150/DAY(B2)</f>
        <v>7.7593221093078937E-2</v>
      </c>
      <c r="N150" s="369"/>
      <c r="O150" s="378"/>
      <c r="P150" s="364"/>
    </row>
    <row r="151" spans="1:16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1898.5899999999911</v>
      </c>
      <c r="H151" s="111">
        <f>G151+'11'!H151</f>
        <v>21929.589999999989</v>
      </c>
      <c r="I151" s="196"/>
      <c r="J151" s="203">
        <f>H151/DAY(B2)</f>
        <v>1827.4658333333325</v>
      </c>
      <c r="N151" s="369"/>
      <c r="O151" s="378"/>
      <c r="P151" s="364"/>
    </row>
    <row r="152" spans="1:16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8.5155099622482189E-2</v>
      </c>
      <c r="H152" s="111">
        <f>G152+'11'!H152</f>
        <v>0.99810340947833676</v>
      </c>
      <c r="I152" s="131"/>
      <c r="J152" s="203">
        <f>H152/DAY(B2)</f>
        <v>8.3175284123194734E-2</v>
      </c>
      <c r="N152" s="369"/>
      <c r="O152" s="378"/>
      <c r="P152" s="364"/>
    </row>
    <row r="153" spans="1:16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1706.5900000000001</v>
      </c>
      <c r="H153" s="111">
        <f>G153+'11'!H153</f>
        <v>19510.59</v>
      </c>
      <c r="I153" s="131"/>
      <c r="J153" s="203">
        <f>H153/DAY(B2)</f>
        <v>1625.8824999999999</v>
      </c>
      <c r="N153" s="369"/>
      <c r="O153" s="378"/>
      <c r="P153" s="364"/>
    </row>
    <row r="154" spans="1:16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7.6543562045903846E-2</v>
      </c>
      <c r="H154" s="111">
        <f>G154+'11'!H154</f>
        <v>0.89338846819884266</v>
      </c>
      <c r="I154" s="219"/>
      <c r="J154" s="220">
        <f>H154/DAY(B2)</f>
        <v>7.4449039016570226E-2</v>
      </c>
      <c r="N154" s="369"/>
      <c r="O154" s="378"/>
      <c r="P154" s="364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35" t="s">
        <v>262</v>
      </c>
      <c r="B161" s="436"/>
      <c r="C161" s="436"/>
      <c r="D161" s="162" t="s">
        <v>186</v>
      </c>
      <c r="E161" s="192">
        <f>'11'!F161</f>
        <v>46692</v>
      </c>
      <c r="F161" s="309">
        <v>46772.67</v>
      </c>
      <c r="G161" s="124">
        <f t="shared" ref="G161:G164" si="16">F161-E161</f>
        <v>80.669999999998254</v>
      </c>
      <c r="N161" s="369"/>
    </row>
    <row r="162" spans="1:14">
      <c r="A162" s="435" t="s">
        <v>263</v>
      </c>
      <c r="B162" s="436"/>
      <c r="C162" s="436"/>
      <c r="D162" s="162" t="s">
        <v>186</v>
      </c>
      <c r="E162" s="192">
        <f>'11'!F162</f>
        <v>141762</v>
      </c>
      <c r="F162" s="309">
        <v>142215.76999999999</v>
      </c>
      <c r="G162" s="124">
        <f t="shared" si="16"/>
        <v>453.76999999998952</v>
      </c>
      <c r="N162" s="369"/>
    </row>
    <row r="163" spans="1:14">
      <c r="A163" s="435" t="s">
        <v>264</v>
      </c>
      <c r="B163" s="436"/>
      <c r="C163" s="436"/>
      <c r="D163" s="162" t="s">
        <v>186</v>
      </c>
      <c r="E163" s="192">
        <f>'11'!F163</f>
        <v>66140</v>
      </c>
      <c r="F163" s="309">
        <v>66350.399999999994</v>
      </c>
      <c r="G163" s="124">
        <f t="shared" si="16"/>
        <v>210.39999999999418</v>
      </c>
      <c r="N163" s="369"/>
    </row>
    <row r="164" spans="1:14">
      <c r="A164" s="435" t="s">
        <v>265</v>
      </c>
      <c r="B164" s="436"/>
      <c r="C164" s="436"/>
      <c r="D164" s="162" t="s">
        <v>186</v>
      </c>
      <c r="E164" s="192">
        <f>'11'!F164</f>
        <v>7570</v>
      </c>
      <c r="F164" s="309">
        <v>7579.24</v>
      </c>
      <c r="G164" s="124">
        <f t="shared" si="16"/>
        <v>9.2399999999997817</v>
      </c>
      <c r="N164" s="369"/>
    </row>
    <row r="165" spans="1:14">
      <c r="A165" s="437" t="s">
        <v>97</v>
      </c>
      <c r="B165" s="255"/>
      <c r="C165" s="255"/>
      <c r="D165" s="162" t="s">
        <v>186</v>
      </c>
      <c r="E165" s="192">
        <f>'11'!F165</f>
        <v>0</v>
      </c>
      <c r="F165" s="165">
        <f>F62</f>
        <v>0</v>
      </c>
      <c r="G165" s="124">
        <f t="shared" ref="G165:G175" si="17">F165-E165</f>
        <v>0</v>
      </c>
      <c r="N165" s="369"/>
    </row>
    <row r="166" spans="1:14">
      <c r="A166" s="437" t="s">
        <v>187</v>
      </c>
      <c r="B166" s="255"/>
      <c r="C166" s="255"/>
      <c r="D166" s="162" t="s">
        <v>186</v>
      </c>
      <c r="E166" s="192">
        <f>'11'!F166</f>
        <v>51</v>
      </c>
      <c r="F166" s="165">
        <f t="shared" ref="F166:F172" si="18">F63</f>
        <v>51</v>
      </c>
      <c r="G166" s="124">
        <f t="shared" si="17"/>
        <v>0</v>
      </c>
      <c r="N166" s="369"/>
    </row>
    <row r="167" spans="1:14" ht="33" customHeight="1">
      <c r="A167" s="1232" t="s">
        <v>98</v>
      </c>
      <c r="B167" s="1232"/>
      <c r="C167" s="1232"/>
      <c r="D167" s="174" t="s">
        <v>186</v>
      </c>
      <c r="E167" s="192">
        <f>'11'!F167</f>
        <v>198744</v>
      </c>
      <c r="F167" s="165">
        <f t="shared" si="18"/>
        <v>199109.25</v>
      </c>
      <c r="G167" s="124">
        <f t="shared" si="17"/>
        <v>365.25</v>
      </c>
      <c r="N167" s="369"/>
    </row>
    <row r="168" spans="1:14" ht="33" customHeight="1">
      <c r="A168" s="1232" t="s">
        <v>99</v>
      </c>
      <c r="B168" s="1232"/>
      <c r="C168" s="1232"/>
      <c r="D168" s="174" t="s">
        <v>186</v>
      </c>
      <c r="E168" s="192">
        <f>'11'!F168</f>
        <v>198868</v>
      </c>
      <c r="F168" s="165">
        <f t="shared" si="18"/>
        <v>199229.75</v>
      </c>
      <c r="G168" s="124">
        <f t="shared" si="17"/>
        <v>361.75</v>
      </c>
      <c r="N168" s="369"/>
    </row>
    <row r="169" spans="1:14" ht="41.25" customHeight="1">
      <c r="A169" s="1232" t="s">
        <v>100</v>
      </c>
      <c r="B169" s="1232"/>
      <c r="C169" s="1232"/>
      <c r="D169" s="174" t="s">
        <v>186</v>
      </c>
      <c r="E169" s="192">
        <f>'11'!F169</f>
        <v>97761</v>
      </c>
      <c r="F169" s="165">
        <f t="shared" si="18"/>
        <v>98167.78</v>
      </c>
      <c r="G169" s="124">
        <f t="shared" si="17"/>
        <v>406.77999999999884</v>
      </c>
      <c r="N169" s="369"/>
    </row>
    <row r="170" spans="1:14" ht="26.25" customHeight="1">
      <c r="A170" s="1232" t="s">
        <v>101</v>
      </c>
      <c r="B170" s="1232"/>
      <c r="C170" s="1232"/>
      <c r="D170" s="174" t="s">
        <v>186</v>
      </c>
      <c r="E170" s="192">
        <f>'11'!F170</f>
        <v>300020</v>
      </c>
      <c r="F170" s="165">
        <f t="shared" si="18"/>
        <v>300490.33</v>
      </c>
      <c r="G170" s="124">
        <f t="shared" si="17"/>
        <v>470.3300000000163</v>
      </c>
      <c r="N170" s="369"/>
    </row>
    <row r="171" spans="1:14" ht="24" customHeight="1">
      <c r="A171" s="1232" t="s">
        <v>102</v>
      </c>
      <c r="B171" s="1232"/>
      <c r="C171" s="1232"/>
      <c r="D171" s="174" t="s">
        <v>186</v>
      </c>
      <c r="E171" s="192">
        <f>'11'!F171</f>
        <v>85602</v>
      </c>
      <c r="F171" s="165">
        <f t="shared" si="18"/>
        <v>85889.26</v>
      </c>
      <c r="G171" s="124">
        <f t="shared" si="17"/>
        <v>287.25999999999476</v>
      </c>
      <c r="N171" s="369"/>
    </row>
    <row r="172" spans="1:14" ht="27.75">
      <c r="A172" s="1232" t="s">
        <v>103</v>
      </c>
      <c r="B172" s="1232"/>
      <c r="C172" s="1232"/>
      <c r="D172" s="174" t="s">
        <v>186</v>
      </c>
      <c r="E172" s="192">
        <f>'11'!F172</f>
        <v>109696</v>
      </c>
      <c r="F172" s="165">
        <f t="shared" si="18"/>
        <v>109999.11</v>
      </c>
      <c r="G172" s="124">
        <f t="shared" si="17"/>
        <v>303.11000000000058</v>
      </c>
      <c r="N172" s="369"/>
    </row>
    <row r="173" spans="1:14">
      <c r="A173" s="1273" t="s">
        <v>337</v>
      </c>
      <c r="B173" s="1236"/>
      <c r="C173" s="436"/>
      <c r="D173" s="174" t="s">
        <v>186</v>
      </c>
      <c r="E173" s="192">
        <f>'11'!F173</f>
        <v>19243</v>
      </c>
      <c r="F173" s="183">
        <v>19246.400000000001</v>
      </c>
      <c r="G173" s="124">
        <f t="shared" si="17"/>
        <v>3.4000000000014552</v>
      </c>
      <c r="N173" s="369"/>
    </row>
    <row r="174" spans="1:14">
      <c r="A174" s="1273" t="s">
        <v>337</v>
      </c>
      <c r="B174" s="1236"/>
      <c r="C174" s="436"/>
      <c r="D174" s="174" t="s">
        <v>186</v>
      </c>
      <c r="E174" s="192">
        <f>'11'!F174</f>
        <v>70802</v>
      </c>
      <c r="F174" s="183">
        <v>70809.2</v>
      </c>
      <c r="G174" s="124">
        <f t="shared" si="17"/>
        <v>7.1999999999970896</v>
      </c>
      <c r="N174" s="369"/>
    </row>
    <row r="175" spans="1:14">
      <c r="A175" s="1273" t="s">
        <v>338</v>
      </c>
      <c r="B175" s="1236"/>
      <c r="C175" s="436"/>
      <c r="D175" s="174" t="s">
        <v>186</v>
      </c>
      <c r="E175" s="192">
        <f>'11'!F175</f>
        <v>28023</v>
      </c>
      <c r="F175" s="183">
        <v>28028.3</v>
      </c>
      <c r="G175" s="124">
        <f t="shared" si="17"/>
        <v>5.2999999999992724</v>
      </c>
      <c r="N175" s="369"/>
    </row>
    <row r="176" spans="1:14">
      <c r="N176" s="369"/>
    </row>
    <row r="177" spans="1:14" ht="27.75">
      <c r="A177" s="1296" t="s">
        <v>382</v>
      </c>
      <c r="B177" s="1296"/>
      <c r="C177" s="1296"/>
      <c r="D177" s="1296"/>
      <c r="E177" s="1296"/>
      <c r="F177" s="1296"/>
      <c r="G177" s="1296"/>
      <c r="N177" s="369"/>
    </row>
    <row r="178" spans="1:14">
      <c r="A178" s="435"/>
      <c r="B178" s="436"/>
      <c r="C178" s="436"/>
      <c r="D178" s="174" t="s">
        <v>186</v>
      </c>
      <c r="E178" s="192">
        <f>'11'!F178</f>
        <v>0</v>
      </c>
      <c r="F178" s="193"/>
      <c r="G178" s="124">
        <f t="shared" ref="G178:G184" si="19">F178-E178</f>
        <v>0</v>
      </c>
      <c r="N178" s="369"/>
    </row>
    <row r="179" spans="1:14">
      <c r="A179" s="435" t="s">
        <v>383</v>
      </c>
      <c r="B179" s="436"/>
      <c r="C179" s="436"/>
      <c r="D179" s="174" t="s">
        <v>186</v>
      </c>
      <c r="E179" s="192">
        <f>'11'!F179</f>
        <v>1809</v>
      </c>
      <c r="F179" s="193">
        <v>2111.87</v>
      </c>
      <c r="G179" s="124">
        <f t="shared" si="19"/>
        <v>302.86999999999989</v>
      </c>
      <c r="N179" s="369"/>
    </row>
    <row r="180" spans="1:14">
      <c r="A180" s="435" t="s">
        <v>384</v>
      </c>
      <c r="B180" s="436"/>
      <c r="C180" s="436"/>
      <c r="D180" s="174" t="s">
        <v>186</v>
      </c>
      <c r="E180" s="192">
        <f>'11'!F180</f>
        <v>765</v>
      </c>
      <c r="F180" s="193">
        <v>905.7</v>
      </c>
      <c r="G180" s="124">
        <f t="shared" si="19"/>
        <v>140.70000000000005</v>
      </c>
      <c r="N180" s="369"/>
    </row>
    <row r="181" spans="1:14">
      <c r="A181" s="435" t="s">
        <v>385</v>
      </c>
      <c r="B181" s="436"/>
      <c r="C181" s="436"/>
      <c r="D181" s="174" t="s">
        <v>186</v>
      </c>
      <c r="E181" s="192">
        <f>'11'!F181</f>
        <v>88</v>
      </c>
      <c r="F181" s="193">
        <v>136.15</v>
      </c>
      <c r="G181" s="124">
        <f t="shared" si="19"/>
        <v>48.150000000000006</v>
      </c>
      <c r="N181" s="369"/>
    </row>
    <row r="182" spans="1:14">
      <c r="A182" s="435" t="s">
        <v>386</v>
      </c>
      <c r="B182" s="436"/>
      <c r="C182" s="436"/>
      <c r="D182" s="174" t="s">
        <v>186</v>
      </c>
      <c r="E182" s="192">
        <f>'11'!F182</f>
        <v>997</v>
      </c>
      <c r="F182" s="193">
        <v>665.6</v>
      </c>
      <c r="G182" s="124">
        <f t="shared" si="19"/>
        <v>-331.4</v>
      </c>
      <c r="N182" s="369"/>
    </row>
    <row r="183" spans="1:14">
      <c r="A183" s="435" t="s">
        <v>387</v>
      </c>
      <c r="B183" s="436"/>
      <c r="C183" s="436"/>
      <c r="D183" s="174" t="s">
        <v>186</v>
      </c>
      <c r="E183" s="192">
        <f>'11'!F183</f>
        <v>1400</v>
      </c>
      <c r="F183" s="193">
        <v>2076.2600000000002</v>
      </c>
      <c r="G183" s="124">
        <f t="shared" si="19"/>
        <v>676.26000000000022</v>
      </c>
      <c r="N183" s="369"/>
    </row>
    <row r="184" spans="1:14">
      <c r="A184" s="435" t="s">
        <v>388</v>
      </c>
      <c r="B184" s="436"/>
      <c r="C184" s="436"/>
      <c r="D184" s="174" t="s">
        <v>186</v>
      </c>
      <c r="E184" s="192">
        <f>'11'!F184</f>
        <v>3274</v>
      </c>
      <c r="F184" s="193">
        <v>3947.1</v>
      </c>
      <c r="G184" s="124">
        <f t="shared" si="19"/>
        <v>673.09999999999991</v>
      </c>
      <c r="N184" s="369"/>
    </row>
    <row r="185" spans="1:14" ht="18" customHeight="1">
      <c r="N185" s="369"/>
    </row>
    <row r="186" spans="1:14" ht="18" customHeight="1">
      <c r="N186" s="369"/>
    </row>
    <row r="187" spans="1:14" ht="18" customHeight="1">
      <c r="N187" s="369"/>
    </row>
    <row r="188" spans="1:14" ht="18" customHeight="1">
      <c r="N188" s="369"/>
    </row>
    <row r="189" spans="1:14" ht="18" customHeight="1">
      <c r="N189" s="369"/>
    </row>
    <row r="190" spans="1:14" ht="18" customHeight="1">
      <c r="N190" s="369"/>
    </row>
    <row r="191" spans="1:14" ht="18.75" customHeight="1">
      <c r="N191" s="369"/>
    </row>
    <row r="192" spans="1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>
      <c r="N198" s="369"/>
    </row>
    <row r="199" spans="14:14" ht="18.75" customHeight="1">
      <c r="N199" s="369"/>
    </row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</sheetData>
  <mergeCells count="78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7:G177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1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54" zoomScale="50" zoomScaleSheetLayoutView="50" workbookViewId="0">
      <selection activeCell="N196" sqref="N196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6" s="57" customFormat="1" ht="27">
      <c r="A2" s="226" t="s">
        <v>341</v>
      </c>
      <c r="B2" s="682">
        <v>44421</v>
      </c>
      <c r="C2" s="761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761" t="s">
        <v>119</v>
      </c>
      <c r="D3" s="263">
        <v>28</v>
      </c>
      <c r="E3" s="1259" t="s">
        <v>120</v>
      </c>
      <c r="F3" s="1260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761" t="s">
        <v>121</v>
      </c>
      <c r="D4" s="262">
        <v>0.86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  <c r="O6" s="67" t="s">
        <v>365</v>
      </c>
    </row>
    <row r="7" spans="1:16" ht="30" thickBot="1">
      <c r="A7" s="327" t="s">
        <v>130</v>
      </c>
      <c r="B7" s="328"/>
      <c r="C7" s="328"/>
      <c r="D7" s="288" t="s">
        <v>131</v>
      </c>
      <c r="E7" s="284">
        <f>'12'!F7</f>
        <v>561235.67000000004</v>
      </c>
      <c r="F7" s="106">
        <v>899851</v>
      </c>
      <c r="G7" s="329">
        <f>F7-E7</f>
        <v>338615.32999999996</v>
      </c>
      <c r="H7" s="330">
        <f>G7+'12'!H7</f>
        <v>601160</v>
      </c>
      <c r="I7" s="331">
        <f>'1'!I7</f>
        <v>12000</v>
      </c>
      <c r="J7" s="332">
        <f>H7/DAY(B2)</f>
        <v>46243.076923076922</v>
      </c>
      <c r="K7" s="200"/>
      <c r="L7" s="68"/>
      <c r="N7" s="380">
        <f>G7/G8</f>
        <v>15.04957022222222</v>
      </c>
      <c r="O7" s="73" t="s">
        <v>369</v>
      </c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'12'!F8</f>
        <v>573233.27</v>
      </c>
      <c r="F8" s="126">
        <f>E8+22500</f>
        <v>595733.27</v>
      </c>
      <c r="G8" s="340">
        <f>F8-E8</f>
        <v>22500</v>
      </c>
      <c r="H8" s="330">
        <f>G8+'12'!H8</f>
        <v>286161.27</v>
      </c>
      <c r="I8" s="337">
        <f>'1'!I8</f>
        <v>12000</v>
      </c>
      <c r="J8" s="332">
        <f>H8/DAY(B2)</f>
        <v>22012.405384615387</v>
      </c>
      <c r="K8" s="200"/>
      <c r="L8" s="78"/>
      <c r="M8" s="91"/>
      <c r="N8" s="369"/>
      <c r="O8" s="73" t="s">
        <v>370</v>
      </c>
      <c r="P8" s="73"/>
    </row>
    <row r="9" spans="1:16">
      <c r="A9" s="338" t="s">
        <v>133</v>
      </c>
      <c r="B9" s="339"/>
      <c r="C9" s="339"/>
      <c r="D9" s="288" t="s">
        <v>131</v>
      </c>
      <c r="E9" s="284">
        <f>'12'!F9</f>
        <v>337005</v>
      </c>
      <c r="F9" s="129">
        <v>2979840</v>
      </c>
      <c r="G9" s="353">
        <f t="shared" ref="G9:G12" si="0">F9-E9</f>
        <v>2642835</v>
      </c>
      <c r="H9" s="330">
        <f>G9+'12'!H9</f>
        <v>2897310</v>
      </c>
      <c r="I9" s="341">
        <f>I7-J7</f>
        <v>-34243.076923076922</v>
      </c>
      <c r="J9" s="332">
        <f>H9/DAY(B2)</f>
        <v>222870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'12'!F10</f>
        <v>2606.5500000000002</v>
      </c>
      <c r="F10" s="129">
        <v>2606.5500000000002</v>
      </c>
      <c r="G10" s="340">
        <f t="shared" si="0"/>
        <v>0</v>
      </c>
      <c r="H10" s="330">
        <f>G10+'12'!H10</f>
        <v>-0.4499999999998181</v>
      </c>
      <c r="I10" s="342"/>
      <c r="J10" s="332">
        <f>H10/DAY(B2)</f>
        <v>-3.4615384615370622E-2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G11+'12'!H11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G12+'12'!H12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2642835</v>
      </c>
      <c r="H13" s="330">
        <f>G13+'12'!H13</f>
        <v>2853294.06</v>
      </c>
      <c r="I13" s="346">
        <f>G7-G13</f>
        <v>-2304219.67</v>
      </c>
      <c r="J13" s="332">
        <f>H13/DAY(B2)</f>
        <v>219484.15846153846</v>
      </c>
      <c r="K13" s="81"/>
      <c r="L13" s="68"/>
      <c r="N13" s="369"/>
      <c r="O13" s="376"/>
      <c r="P13" s="73"/>
    </row>
    <row r="14" spans="1:16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'12'!F15</f>
        <v>1766948.831</v>
      </c>
      <c r="F15" s="351">
        <v>1740697</v>
      </c>
      <c r="G15" s="315">
        <f>(F15-E15)</f>
        <v>-26251.831000000006</v>
      </c>
      <c r="H15" s="137">
        <f>G15+'12'!H15</f>
        <v>-15833</v>
      </c>
      <c r="I15" s="125">
        <v>800</v>
      </c>
      <c r="J15" s="204">
        <f>H15/DAY(B2)</f>
        <v>-1217.9230769230769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2017.9230769230769</v>
      </c>
      <c r="J16" s="204"/>
      <c r="K16" s="81"/>
      <c r="L16" s="68"/>
      <c r="N16" s="369"/>
      <c r="O16" s="376"/>
      <c r="P16" s="73"/>
    </row>
    <row r="17" spans="1:16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93" t="s">
        <v>142</v>
      </c>
      <c r="B18" s="1294"/>
      <c r="C18" s="1295"/>
      <c r="D18" s="288" t="s">
        <v>143</v>
      </c>
      <c r="E18" s="285">
        <f>'12'!F18</f>
        <v>16</v>
      </c>
      <c r="F18" s="129">
        <v>18</v>
      </c>
      <c r="G18" s="345">
        <f>F18*10</f>
        <v>180</v>
      </c>
      <c r="H18" s="330">
        <f>G18+'12'!H18</f>
        <v>1910</v>
      </c>
      <c r="I18" s="331">
        <f>'1'!I18</f>
        <v>65</v>
      </c>
      <c r="J18" s="332">
        <f>H18/DAY(B2)</f>
        <v>146.92307692307693</v>
      </c>
      <c r="K18" s="81"/>
      <c r="L18" s="68"/>
      <c r="N18" s="369"/>
      <c r="O18" s="376"/>
      <c r="P18" s="73"/>
    </row>
    <row r="19" spans="1:16" ht="27.75">
      <c r="A19" s="1293" t="s">
        <v>70</v>
      </c>
      <c r="B19" s="1294"/>
      <c r="C19" s="1295"/>
      <c r="D19" s="288" t="s">
        <v>143</v>
      </c>
      <c r="E19" s="285">
        <f>'12'!F19</f>
        <v>146063</v>
      </c>
      <c r="F19" s="129">
        <v>144203</v>
      </c>
      <c r="G19" s="340">
        <f t="shared" ref="G19" si="1">F19-E19</f>
        <v>-1860</v>
      </c>
      <c r="H19" s="330">
        <f>G19+'12'!H19</f>
        <v>-1135</v>
      </c>
      <c r="I19" s="347"/>
      <c r="J19" s="332">
        <f>H19/DAY(B2)</f>
        <v>-87.307692307692307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-1680</v>
      </c>
      <c r="H20" s="330">
        <f>G20+'12'!H20</f>
        <v>775</v>
      </c>
      <c r="I20" s="349">
        <f>I18-J20</f>
        <v>5.3846153846153868</v>
      </c>
      <c r="J20" s="332">
        <f>H20/DAY(B2)</f>
        <v>59.615384615384613</v>
      </c>
      <c r="K20" s="81"/>
      <c r="L20" s="68"/>
      <c r="N20" s="369"/>
      <c r="O20" s="376"/>
      <c r="P20" s="73"/>
    </row>
    <row r="21" spans="1:16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759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759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22500</v>
      </c>
      <c r="F27" s="152">
        <v>9</v>
      </c>
      <c r="G27" s="153">
        <f>E27*F27</f>
        <v>202500</v>
      </c>
      <c r="H27" s="111">
        <f>G27+'12'!H27</f>
        <v>2575451.4300000002</v>
      </c>
      <c r="I27" s="154"/>
      <c r="J27" s="203">
        <f>H27/DAY(B2)</f>
        <v>198111.64846153848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-26251.831000000006</v>
      </c>
      <c r="F28" s="152">
        <v>56.2</v>
      </c>
      <c r="G28" s="153">
        <f>E28*F28</f>
        <v>-1475352.9022000004</v>
      </c>
      <c r="H28" s="111">
        <f>G28+'12'!H28</f>
        <v>-892851.68739999982</v>
      </c>
      <c r="I28" s="156"/>
      <c r="J28" s="203">
        <f>H28/DAY(B2)</f>
        <v>-68680.899030769215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-1860</v>
      </c>
      <c r="F30" s="152">
        <v>146</v>
      </c>
      <c r="G30" s="153">
        <f>E30*F30</f>
        <v>-271560</v>
      </c>
      <c r="H30" s="111">
        <f>G30+'12'!H30</f>
        <v>-165710</v>
      </c>
      <c r="I30" s="156"/>
      <c r="J30" s="203">
        <f>H30/DAY(B2)</f>
        <v>-12746.923076923076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G31+'12'!H31</f>
        <v>152800</v>
      </c>
      <c r="I31" s="156"/>
      <c r="J31" s="203">
        <f>H31/DAY(B2)</f>
        <v>11753.846153846154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-1530012.9022000004</v>
      </c>
      <c r="H32" s="111">
        <f>G32+'12'!H32</f>
        <v>1669689.7426000009</v>
      </c>
      <c r="I32" s="160"/>
      <c r="J32" s="203">
        <f>H32/DAY(B2)</f>
        <v>128437.67250769238</v>
      </c>
      <c r="K32" s="65"/>
      <c r="L32" s="94"/>
      <c r="N32" s="369"/>
      <c r="O32" s="376"/>
      <c r="P32" s="73"/>
    </row>
    <row r="33" spans="1:16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369"/>
      <c r="O33" s="376"/>
      <c r="P33" s="73"/>
    </row>
    <row r="34" spans="1:16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'12'!F35</f>
        <v>1058596</v>
      </c>
      <c r="F35" s="161">
        <v>1058596</v>
      </c>
      <c r="G35" s="124">
        <f t="shared" ref="G35:G46" si="3">F35-E35</f>
        <v>0</v>
      </c>
      <c r="H35" s="111">
        <f>G35+'12'!H35</f>
        <v>-1</v>
      </c>
      <c r="I35" s="106"/>
      <c r="J35" s="203">
        <f>H35/DAY(B2)</f>
        <v>-7.6923076923076927E-2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'12'!F36</f>
        <v>10183.6</v>
      </c>
      <c r="F36" s="161">
        <v>56383.6</v>
      </c>
      <c r="G36" s="124">
        <f t="shared" si="3"/>
        <v>46200</v>
      </c>
      <c r="H36" s="111">
        <f>G36+'12'!H36</f>
        <v>54550.6</v>
      </c>
      <c r="I36" s="106"/>
      <c r="J36" s="203">
        <f>H36/DAY(B2)</f>
        <v>4196.2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'12'!F37</f>
        <v>23285.59</v>
      </c>
      <c r="F37" s="161">
        <v>246985</v>
      </c>
      <c r="G37" s="124">
        <f t="shared" si="3"/>
        <v>223699.41</v>
      </c>
      <c r="H37" s="111">
        <f>G37+'12'!H37</f>
        <v>243210</v>
      </c>
      <c r="I37" s="106"/>
      <c r="J37" s="203">
        <f>H37/DAY(B2)</f>
        <v>18708.461538461539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'12'!F38</f>
        <v>25162.35</v>
      </c>
      <c r="F38" s="120">
        <v>270661</v>
      </c>
      <c r="G38" s="124">
        <f t="shared" si="3"/>
        <v>245498.65</v>
      </c>
      <c r="H38" s="111">
        <f>G38+'12'!H38</f>
        <v>265838</v>
      </c>
      <c r="I38" s="106"/>
      <c r="J38" s="203">
        <f>H38/DAY(B2)</f>
        <v>20449.076923076922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'12'!F39</f>
        <v>50009.25</v>
      </c>
      <c r="F39" s="161">
        <v>569539</v>
      </c>
      <c r="G39" s="124">
        <f t="shared" si="3"/>
        <v>519529.75</v>
      </c>
      <c r="H39" s="111">
        <f>G39+'12'!H39</f>
        <v>565697</v>
      </c>
      <c r="I39" s="106"/>
      <c r="J39" s="203">
        <f>H39/DAY(B2)</f>
        <v>43515.153846153844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'12'!F40</f>
        <v>0</v>
      </c>
      <c r="F40" s="161">
        <v>26525</v>
      </c>
      <c r="G40" s="124">
        <f t="shared" si="3"/>
        <v>26525</v>
      </c>
      <c r="H40" s="111">
        <f>G40+'12'!H40</f>
        <v>26682.400000000001</v>
      </c>
      <c r="I40" s="106"/>
      <c r="J40" s="203">
        <f>H40/DAY(B2)</f>
        <v>2052.4923076923078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'12'!F41</f>
        <v>477507.43</v>
      </c>
      <c r="F41" s="161">
        <v>395856</v>
      </c>
      <c r="G41" s="124">
        <f t="shared" si="3"/>
        <v>-81651.429999999993</v>
      </c>
      <c r="H41" s="111">
        <f>G41+'12'!H41</f>
        <v>-37425.789999999979</v>
      </c>
      <c r="I41" s="106"/>
      <c r="J41" s="203">
        <f>H41/DAY(B2)</f>
        <v>-2878.9069230769214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'12'!F42</f>
        <v>203265.25</v>
      </c>
      <c r="F42" s="161">
        <v>147899</v>
      </c>
      <c r="G42" s="124">
        <f t="shared" si="3"/>
        <v>-55366.25</v>
      </c>
      <c r="H42" s="111">
        <f>G42+'12'!H42</f>
        <v>-27213</v>
      </c>
      <c r="I42" s="106"/>
      <c r="J42" s="203">
        <f>H42/DAY(B2)</f>
        <v>-2093.3076923076924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'12'!F43</f>
        <v>1321345</v>
      </c>
      <c r="F43" s="161">
        <v>1241590</v>
      </c>
      <c r="G43" s="124">
        <f t="shared" si="3"/>
        <v>-79755</v>
      </c>
      <c r="H43" s="111">
        <f>G43+'12'!H43</f>
        <v>-48155</v>
      </c>
      <c r="I43" s="106"/>
      <c r="J43" s="203">
        <f>H43/DAY(B2)</f>
        <v>-3704.2307692307691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844680.13000000012</v>
      </c>
      <c r="H47" s="111">
        <f>G47+'12'!H47</f>
        <v>1043984.7000000002</v>
      </c>
      <c r="I47" s="106"/>
      <c r="J47" s="203">
        <f>H47/DAY(B2)</f>
        <v>80306.515384615399</v>
      </c>
      <c r="K47" s="81"/>
      <c r="L47" s="68"/>
      <c r="N47" s="369"/>
      <c r="O47" s="376"/>
      <c r="P47" s="73"/>
    </row>
    <row r="48" spans="1:16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'12'!F49</f>
        <v>58495.63</v>
      </c>
      <c r="F49" s="161">
        <v>363707</v>
      </c>
      <c r="G49" s="124">
        <f t="shared" ref="G49:G58" si="4">F49-E49</f>
        <v>305211.37</v>
      </c>
      <c r="H49" s="111">
        <f>G49+'12'!H49</f>
        <v>346927</v>
      </c>
      <c r="I49" s="106"/>
      <c r="J49" s="203">
        <f>H49/DAY(B2)</f>
        <v>26686.692307692309</v>
      </c>
      <c r="K49" s="81"/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'12'!F50</f>
        <v>620876.99</v>
      </c>
      <c r="F50" s="161">
        <v>584921</v>
      </c>
      <c r="G50" s="124">
        <f t="shared" si="4"/>
        <v>-35955.989999999991</v>
      </c>
      <c r="H50" s="111">
        <f>G50+'12'!H50</f>
        <v>-23297</v>
      </c>
      <c r="I50" s="106"/>
      <c r="J50" s="203">
        <f>H50/DAY(B2)</f>
        <v>-1792.0769230769231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'12'!F51</f>
        <v>0</v>
      </c>
      <c r="F51" s="161">
        <v>144639.87</v>
      </c>
      <c r="G51" s="124">
        <f t="shared" si="4"/>
        <v>144639.87</v>
      </c>
      <c r="H51" s="111">
        <f>G51+'12'!H51</f>
        <v>144639.87</v>
      </c>
      <c r="I51" s="106"/>
      <c r="J51" s="203">
        <f>H51/DAY(B2)</f>
        <v>11126.143846153846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'12'!F52</f>
        <v>0</v>
      </c>
      <c r="F52" s="161">
        <v>539606.06999999995</v>
      </c>
      <c r="G52" s="124">
        <f t="shared" si="4"/>
        <v>539606.06999999995</v>
      </c>
      <c r="H52" s="111"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'12'!F53</f>
        <v>0</v>
      </c>
      <c r="F53" s="161">
        <v>434232</v>
      </c>
      <c r="G53" s="124">
        <f t="shared" si="4"/>
        <v>434232</v>
      </c>
      <c r="H53" s="111">
        <f>G53+'12'!H53</f>
        <v>434232</v>
      </c>
      <c r="I53" s="106"/>
      <c r="J53" s="203">
        <f>H53/DAY(B2)</f>
        <v>33402.461538461539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'12'!F54</f>
        <v>2662.34</v>
      </c>
      <c r="F54" s="161">
        <v>14967</v>
      </c>
      <c r="G54" s="124">
        <f t="shared" si="4"/>
        <v>12304.66</v>
      </c>
      <c r="H54" s="111">
        <f>G54+'12'!H54</f>
        <v>12502</v>
      </c>
      <c r="I54" s="106"/>
      <c r="J54" s="203">
        <f>H54/DAY(B2)</f>
        <v>961.69230769230774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'12'!F55</f>
        <v>307299.46999999997</v>
      </c>
      <c r="F55" s="304">
        <v>264363</v>
      </c>
      <c r="G55" s="303">
        <f t="shared" si="4"/>
        <v>-42936.469999999972</v>
      </c>
      <c r="H55" s="356">
        <f>G55+'12'!H55</f>
        <v>-42935.989999999991</v>
      </c>
      <c r="I55" s="357"/>
      <c r="J55" s="358">
        <f>H55/DAY(B2)</f>
        <v>-3302.768461538461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'12'!F56</f>
        <v>668856.82999999996</v>
      </c>
      <c r="F56" s="304">
        <v>649506</v>
      </c>
      <c r="G56" s="124">
        <f t="shared" si="4"/>
        <v>-19350.829999999958</v>
      </c>
      <c r="H56" s="111">
        <f>G56+'12'!H56</f>
        <v>-11525</v>
      </c>
      <c r="I56" s="106"/>
      <c r="J56" s="203">
        <f>H56/DAY(B2)</f>
        <v>-886.53846153846155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'12'!F58</f>
        <v>68421.98</v>
      </c>
      <c r="F58" s="304">
        <v>62363.8</v>
      </c>
      <c r="G58" s="124">
        <f t="shared" si="4"/>
        <v>-6058.179999999993</v>
      </c>
      <c r="H58" s="111">
        <f>G58+'12'!H58</f>
        <v>-3819.1999999999971</v>
      </c>
      <c r="I58" s="106"/>
      <c r="J58" s="203">
        <f>H58/DAY(B2)</f>
        <v>-293.78461538461517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1331692.8299999998</v>
      </c>
      <c r="H59" s="111">
        <f>G59+'12'!H59</f>
        <v>1396330.0799999998</v>
      </c>
      <c r="I59" s="106">
        <f>G7-G60</f>
        <v>-1837757.63</v>
      </c>
      <c r="J59" s="203">
        <f>H59/DAY(B2)</f>
        <v>107410.00615384615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2176372.96</v>
      </c>
      <c r="H60" s="111">
        <f>G60+'12'!H60</f>
        <v>2447003.7799999998</v>
      </c>
      <c r="I60" s="106">
        <f>G13-G60</f>
        <v>466462.04000000004</v>
      </c>
      <c r="J60" s="203">
        <f>H60/DAY(B2)</f>
        <v>188231.06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'12'!F63</f>
        <v>51</v>
      </c>
      <c r="F63" s="165">
        <v>0</v>
      </c>
      <c r="G63" s="124">
        <f t="shared" si="5"/>
        <v>-51</v>
      </c>
      <c r="H63" s="111">
        <f>G63+'12'!H63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226" t="s">
        <v>98</v>
      </c>
      <c r="B64" s="1227"/>
      <c r="C64" s="1228"/>
      <c r="D64" s="174" t="s">
        <v>186</v>
      </c>
      <c r="E64" s="165">
        <f>'12'!F64</f>
        <v>199109.25</v>
      </c>
      <c r="F64" s="129">
        <v>186858</v>
      </c>
      <c r="G64" s="124">
        <f t="shared" si="5"/>
        <v>-12251.25</v>
      </c>
      <c r="H64" s="111">
        <f>G64+'12'!H64</f>
        <v>-7359</v>
      </c>
      <c r="I64" s="131"/>
      <c r="J64" s="203">
        <f>H64/DAY(B2)</f>
        <v>-566.07692307692309</v>
      </c>
      <c r="K64" s="81"/>
      <c r="L64" s="68"/>
      <c r="N64" s="369"/>
      <c r="O64" s="376"/>
      <c r="P64" s="73"/>
    </row>
    <row r="65" spans="1:16" ht="27.75">
      <c r="A65" s="1226" t="s">
        <v>99</v>
      </c>
      <c r="B65" s="1227"/>
      <c r="C65" s="1228"/>
      <c r="D65" s="174" t="s">
        <v>186</v>
      </c>
      <c r="E65" s="165">
        <f>'12'!F65</f>
        <v>199229.75</v>
      </c>
      <c r="F65" s="302">
        <v>187394</v>
      </c>
      <c r="G65" s="124">
        <f t="shared" si="5"/>
        <v>-11835.75</v>
      </c>
      <c r="H65" s="111">
        <f>G65+'12'!H65</f>
        <v>-7235</v>
      </c>
      <c r="I65" s="140"/>
      <c r="J65" s="203">
        <f>H65/DAY(B2)</f>
        <v>-556.53846153846155</v>
      </c>
      <c r="K65" s="81"/>
      <c r="L65" s="68"/>
      <c r="N65" s="369"/>
      <c r="O65" s="377"/>
      <c r="P65" s="73"/>
    </row>
    <row r="66" spans="1:16" ht="27.75">
      <c r="A66" s="1226" t="s">
        <v>100</v>
      </c>
      <c r="B66" s="1227"/>
      <c r="C66" s="1228"/>
      <c r="D66" s="174" t="s">
        <v>186</v>
      </c>
      <c r="E66" s="165">
        <f>'12'!F66</f>
        <v>98167.78</v>
      </c>
      <c r="F66" s="129">
        <v>85921</v>
      </c>
      <c r="G66" s="124">
        <f t="shared" si="5"/>
        <v>-12246.779999999999</v>
      </c>
      <c r="H66" s="111">
        <f>G66+'12'!H66</f>
        <v>-7396</v>
      </c>
      <c r="I66" s="131"/>
      <c r="J66" s="203">
        <f>H66/DAY(B2)</f>
        <v>-568.92307692307691</v>
      </c>
      <c r="K66" s="81"/>
      <c r="L66" s="68"/>
      <c r="N66" s="369"/>
      <c r="O66" s="376"/>
      <c r="P66" s="73"/>
    </row>
    <row r="67" spans="1:16" ht="27.75">
      <c r="A67" s="1226" t="s">
        <v>101</v>
      </c>
      <c r="B67" s="1227"/>
      <c r="C67" s="1228"/>
      <c r="D67" s="174" t="s">
        <v>186</v>
      </c>
      <c r="E67" s="165">
        <f>'12'!F67</f>
        <v>300490.33</v>
      </c>
      <c r="F67" s="129">
        <v>286352</v>
      </c>
      <c r="G67" s="124">
        <f t="shared" si="5"/>
        <v>-14138.330000000016</v>
      </c>
      <c r="H67" s="111">
        <f>G67+'12'!H67</f>
        <v>-8539</v>
      </c>
      <c r="I67" s="140"/>
      <c r="J67" s="203">
        <f>H67/DAY(B2)</f>
        <v>-656.84615384615381</v>
      </c>
      <c r="K67" s="82"/>
      <c r="L67" s="68"/>
      <c r="N67" s="369"/>
      <c r="O67" s="376"/>
      <c r="P67" s="73"/>
    </row>
    <row r="68" spans="1:16" ht="27.75">
      <c r="A68" s="1226" t="s">
        <v>102</v>
      </c>
      <c r="B68" s="1227"/>
      <c r="C68" s="1228"/>
      <c r="D68" s="174" t="s">
        <v>186</v>
      </c>
      <c r="E68" s="165">
        <f>'12'!F68</f>
        <v>85889.26</v>
      </c>
      <c r="F68" s="129">
        <v>85321</v>
      </c>
      <c r="G68" s="124">
        <f t="shared" si="5"/>
        <v>-568.25999999999476</v>
      </c>
      <c r="H68" s="111">
        <f>G68+'12'!H68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226" t="s">
        <v>103</v>
      </c>
      <c r="B69" s="1227"/>
      <c r="C69" s="1228"/>
      <c r="D69" s="174" t="s">
        <v>186</v>
      </c>
      <c r="E69" s="165">
        <f>'12'!F69</f>
        <v>109999.11</v>
      </c>
      <c r="F69" s="129">
        <v>100722</v>
      </c>
      <c r="G69" s="124">
        <f t="shared" si="5"/>
        <v>-9277.11</v>
      </c>
      <c r="H69" s="111">
        <f>G69+'12'!H69</f>
        <v>-5684</v>
      </c>
      <c r="I69" s="167"/>
      <c r="J69" s="203">
        <f>H69/DAY(B2)</f>
        <v>-437.23076923076923</v>
      </c>
      <c r="K69" s="84"/>
      <c r="L69" s="68"/>
      <c r="N69" s="369"/>
      <c r="O69" s="376"/>
      <c r="P69" s="73"/>
    </row>
    <row r="70" spans="1:16" ht="27.75">
      <c r="A70" s="1267" t="s">
        <v>188</v>
      </c>
      <c r="B70" s="1268"/>
      <c r="C70" s="1269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9"/>
      <c r="O70" s="376"/>
      <c r="P70" s="73"/>
    </row>
    <row r="71" spans="1:16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369"/>
      <c r="O71" s="376"/>
      <c r="P71" s="73"/>
    </row>
    <row r="72" spans="1:16" ht="27.75">
      <c r="A72" s="1226" t="s">
        <v>190</v>
      </c>
      <c r="B72" s="1227"/>
      <c r="C72" s="1228"/>
      <c r="D72" s="174" t="s">
        <v>186</v>
      </c>
      <c r="E72" s="170">
        <f>'12'!F72</f>
        <v>857097</v>
      </c>
      <c r="F72" s="305">
        <v>856782</v>
      </c>
      <c r="G72" s="124">
        <f t="shared" ref="G72:G84" si="6">F72-E72</f>
        <v>-315</v>
      </c>
      <c r="H72" s="111">
        <f>G72+'12'!H72</f>
        <v>-240</v>
      </c>
      <c r="I72" s="131"/>
      <c r="J72" s="203">
        <f>H72/DAY(B2)</f>
        <v>-18.46153846153846</v>
      </c>
      <c r="K72" s="84"/>
      <c r="L72" s="68"/>
      <c r="N72" s="369"/>
      <c r="O72" s="376"/>
      <c r="P72" s="73"/>
    </row>
    <row r="73" spans="1:16" ht="27.75">
      <c r="A73" s="1226" t="s">
        <v>191</v>
      </c>
      <c r="B73" s="1227"/>
      <c r="C73" s="1228"/>
      <c r="D73" s="174" t="s">
        <v>186</v>
      </c>
      <c r="E73" s="170">
        <f>'12'!F73</f>
        <v>886055</v>
      </c>
      <c r="F73" s="306">
        <v>886029</v>
      </c>
      <c r="G73" s="303">
        <f t="shared" si="6"/>
        <v>-26</v>
      </c>
      <c r="H73" s="111">
        <f>G73+'12'!H73</f>
        <v>-22</v>
      </c>
      <c r="I73" s="131"/>
      <c r="J73" s="203">
        <f>H73/DAY(B2)</f>
        <v>-1.6923076923076923</v>
      </c>
      <c r="K73" s="83"/>
      <c r="L73" s="68"/>
      <c r="N73" s="369"/>
      <c r="O73" s="376"/>
      <c r="P73" s="73"/>
    </row>
    <row r="74" spans="1:16" ht="27.75">
      <c r="A74" s="1226" t="s">
        <v>192</v>
      </c>
      <c r="B74" s="1227"/>
      <c r="C74" s="1228"/>
      <c r="D74" s="174" t="s">
        <v>186</v>
      </c>
      <c r="E74" s="170">
        <f>'12'!F74</f>
        <v>88783</v>
      </c>
      <c r="F74" s="306">
        <v>88751</v>
      </c>
      <c r="G74" s="124">
        <f t="shared" si="6"/>
        <v>-32</v>
      </c>
      <c r="H74" s="111">
        <f>G74+'12'!H74</f>
        <v>-11</v>
      </c>
      <c r="I74" s="131"/>
      <c r="J74" s="203">
        <f>H74/DAY(B2)</f>
        <v>-0.84615384615384615</v>
      </c>
      <c r="K74" s="84"/>
      <c r="L74" s="68"/>
      <c r="N74" s="369"/>
      <c r="O74" s="376"/>
      <c r="P74" s="73"/>
    </row>
    <row r="75" spans="1:16" ht="27.75">
      <c r="A75" s="1229" t="s">
        <v>193</v>
      </c>
      <c r="B75" s="1230"/>
      <c r="C75" s="1231"/>
      <c r="D75" s="174" t="s">
        <v>186</v>
      </c>
      <c r="E75" s="170">
        <f>'12'!F75</f>
        <v>28430.18</v>
      </c>
      <c r="F75" s="306">
        <v>23134.7</v>
      </c>
      <c r="G75" s="124">
        <f t="shared" si="6"/>
        <v>-5295.48</v>
      </c>
      <c r="H75" s="111">
        <f>G75+'12'!H75</f>
        <v>-3173.2999999999993</v>
      </c>
      <c r="I75" s="131"/>
      <c r="J75" s="203">
        <f>H75/DAY(B2)</f>
        <v>-244.09999999999994</v>
      </c>
      <c r="K75" s="83"/>
      <c r="L75" s="68"/>
      <c r="N75" s="369"/>
      <c r="O75" s="376"/>
      <c r="P75" s="73"/>
    </row>
    <row r="76" spans="1:16" ht="27.75">
      <c r="A76" s="1229" t="s">
        <v>194</v>
      </c>
      <c r="B76" s="1230"/>
      <c r="C76" s="1231"/>
      <c r="D76" s="174" t="s">
        <v>186</v>
      </c>
      <c r="E76" s="170">
        <f>'12'!F76</f>
        <v>14085.92</v>
      </c>
      <c r="F76" s="306">
        <v>12113.1</v>
      </c>
      <c r="G76" s="124">
        <f t="shared" si="6"/>
        <v>-1972.8199999999997</v>
      </c>
      <c r="H76" s="111">
        <f>G76+'12'!H76</f>
        <v>-1163.8999999999996</v>
      </c>
      <c r="I76" s="156"/>
      <c r="J76" s="203">
        <f>H76/DAY(B2)</f>
        <v>-89.530769230769209</v>
      </c>
      <c r="K76" s="83"/>
      <c r="L76" s="68"/>
      <c r="N76" s="369"/>
      <c r="O76" s="376"/>
      <c r="P76" s="73"/>
    </row>
    <row r="77" spans="1:16" ht="27.75">
      <c r="A77" s="1226" t="s">
        <v>195</v>
      </c>
      <c r="B77" s="1227"/>
      <c r="C77" s="1228"/>
      <c r="D77" s="174" t="s">
        <v>186</v>
      </c>
      <c r="E77" s="170">
        <f>'12'!F77</f>
        <v>708911</v>
      </c>
      <c r="F77" s="306">
        <v>707291</v>
      </c>
      <c r="G77" s="303">
        <f t="shared" si="6"/>
        <v>-1620</v>
      </c>
      <c r="H77" s="111">
        <f>G77+'12'!H77</f>
        <v>-998</v>
      </c>
      <c r="I77" s="156"/>
      <c r="J77" s="203">
        <f>H77/DAY(B2)</f>
        <v>-76.769230769230774</v>
      </c>
      <c r="K77" s="83"/>
      <c r="L77" s="68"/>
      <c r="N77" s="369"/>
      <c r="O77" s="376"/>
      <c r="P77" s="73"/>
    </row>
    <row r="78" spans="1:16" ht="27.75">
      <c r="A78" s="762" t="s">
        <v>196</v>
      </c>
      <c r="B78" s="754"/>
      <c r="C78" s="754"/>
      <c r="D78" s="174" t="s">
        <v>186</v>
      </c>
      <c r="E78" s="170">
        <f>'12'!F78</f>
        <v>683691</v>
      </c>
      <c r="F78" s="307">
        <v>680371</v>
      </c>
      <c r="G78" s="124">
        <f t="shared" si="6"/>
        <v>-3320</v>
      </c>
      <c r="H78" s="111">
        <f>G78+'12'!H78</f>
        <v>-2042</v>
      </c>
      <c r="I78" s="156"/>
      <c r="J78" s="203">
        <f>H78/DAY(B2)</f>
        <v>-157.07692307692307</v>
      </c>
      <c r="K78" s="83"/>
      <c r="L78" s="68"/>
      <c r="N78" s="369"/>
      <c r="O78" s="376"/>
      <c r="P78" s="73"/>
    </row>
    <row r="79" spans="1:16" ht="27.75">
      <c r="A79" s="1229" t="s">
        <v>91</v>
      </c>
      <c r="B79" s="1230"/>
      <c r="C79" s="1231"/>
      <c r="D79" s="175" t="s">
        <v>186</v>
      </c>
      <c r="E79" s="170">
        <f>'12'!F79</f>
        <v>847074</v>
      </c>
      <c r="F79" s="307">
        <v>842200</v>
      </c>
      <c r="G79" s="124">
        <f t="shared" si="6"/>
        <v>-4874</v>
      </c>
      <c r="H79" s="111">
        <f>G79+'12'!H79</f>
        <v>-2849</v>
      </c>
      <c r="I79" s="156"/>
      <c r="J79" s="203">
        <f>H79/DAY(B2)</f>
        <v>-219.15384615384616</v>
      </c>
      <c r="K79" s="83"/>
      <c r="L79" s="68"/>
      <c r="N79" s="369"/>
      <c r="O79" s="376"/>
      <c r="P79" s="73"/>
    </row>
    <row r="80" spans="1:16" ht="27.75">
      <c r="A80" s="1229" t="s">
        <v>197</v>
      </c>
      <c r="B80" s="1230"/>
      <c r="C80" s="1231"/>
      <c r="D80" s="175" t="s">
        <v>186</v>
      </c>
      <c r="E80" s="170">
        <f>'12'!F80</f>
        <v>568936.43999999994</v>
      </c>
      <c r="F80" s="306">
        <v>557191</v>
      </c>
      <c r="G80" s="124">
        <f t="shared" si="6"/>
        <v>-11745.439999999944</v>
      </c>
      <c r="H80" s="111">
        <f>G80+'12'!H80</f>
        <v>-7107</v>
      </c>
      <c r="I80" s="156"/>
      <c r="J80" s="203">
        <f>H80/DAY(B2)</f>
        <v>-546.69230769230774</v>
      </c>
      <c r="K80" s="83"/>
      <c r="L80" s="68"/>
      <c r="N80" s="369"/>
      <c r="O80" s="376"/>
      <c r="P80" s="73"/>
    </row>
    <row r="81" spans="1:16" ht="27.75">
      <c r="A81" s="1229" t="s">
        <v>198</v>
      </c>
      <c r="B81" s="1230"/>
      <c r="C81" s="1231"/>
      <c r="D81" s="175" t="s">
        <v>186</v>
      </c>
      <c r="E81" s="170">
        <f>'12'!F81</f>
        <v>655746.52</v>
      </c>
      <c r="F81" s="306">
        <v>651208</v>
      </c>
      <c r="G81" s="124">
        <f t="shared" si="6"/>
        <v>-4538.5200000000186</v>
      </c>
      <c r="H81" s="111">
        <f>G81+'12'!H81</f>
        <v>-2970</v>
      </c>
      <c r="I81" s="156"/>
      <c r="J81" s="203">
        <f>H81/DAY(B2)</f>
        <v>-228.46153846153845</v>
      </c>
      <c r="K81" s="83"/>
      <c r="L81" s="68"/>
      <c r="N81" s="369"/>
      <c r="O81" s="376"/>
      <c r="P81" s="73"/>
    </row>
    <row r="82" spans="1:16" ht="27.75">
      <c r="A82" s="1229" t="s">
        <v>92</v>
      </c>
      <c r="B82" s="1230"/>
      <c r="C82" s="1231"/>
      <c r="D82" s="136" t="s">
        <v>131</v>
      </c>
      <c r="E82" s="170">
        <f>'12'!F82</f>
        <v>52.9</v>
      </c>
      <c r="F82" s="302">
        <v>109581</v>
      </c>
      <c r="G82" s="124">
        <f t="shared" si="6"/>
        <v>109528.1</v>
      </c>
      <c r="H82" s="111">
        <f>G82+'12'!H82</f>
        <v>109804</v>
      </c>
      <c r="I82" s="137"/>
      <c r="J82" s="203">
        <f>H82/DAY(B2)</f>
        <v>8446.461538461539</v>
      </c>
      <c r="K82" s="83"/>
      <c r="L82" s="68"/>
      <c r="N82" s="369"/>
      <c r="O82" s="376"/>
      <c r="P82" s="73"/>
    </row>
    <row r="83" spans="1:16" ht="27.75">
      <c r="A83" s="1229" t="s">
        <v>199</v>
      </c>
      <c r="B83" s="1230"/>
      <c r="C83" s="1231"/>
      <c r="D83" s="271" t="s">
        <v>131</v>
      </c>
      <c r="E83" s="170">
        <f>'12'!F83</f>
        <v>47645</v>
      </c>
      <c r="F83" s="162">
        <v>39063</v>
      </c>
      <c r="G83" s="124">
        <f t="shared" si="6"/>
        <v>-8582</v>
      </c>
      <c r="H83" s="111">
        <f>G83+'12'!H83</f>
        <v>-5260</v>
      </c>
      <c r="I83" s="132"/>
      <c r="J83" s="203">
        <f>H83/DAY(B2)</f>
        <v>-404.61538461538464</v>
      </c>
      <c r="K83" s="82"/>
      <c r="L83" s="68"/>
      <c r="N83" s="369"/>
      <c r="O83" s="376"/>
      <c r="P83" s="73"/>
    </row>
    <row r="84" spans="1:16">
      <c r="A84" s="763" t="s">
        <v>200</v>
      </c>
      <c r="B84" s="222"/>
      <c r="C84" s="222"/>
      <c r="D84" s="129" t="s">
        <v>131</v>
      </c>
      <c r="E84" s="170">
        <f>'12'!F84</f>
        <v>578263</v>
      </c>
      <c r="F84" s="278">
        <v>557353</v>
      </c>
      <c r="G84" s="124">
        <f t="shared" si="6"/>
        <v>-20910</v>
      </c>
      <c r="H84" s="111">
        <f>G84+'12'!H84</f>
        <v>-13026</v>
      </c>
      <c r="I84" s="132"/>
      <c r="J84" s="203">
        <f>H84/DAY(B2)</f>
        <v>-1002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46296.84000000004</v>
      </c>
      <c r="H85" s="111">
        <f>G85+'12'!H85</f>
        <v>70941.8</v>
      </c>
      <c r="I85" s="132"/>
      <c r="J85" s="203">
        <f>H85/DAY(B2)</f>
        <v>5457.0615384615385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'12'!F86</f>
        <v>463872.04</v>
      </c>
      <c r="F86" s="298">
        <v>463107</v>
      </c>
      <c r="G86" s="356">
        <f t="shared" ref="G86:G91" si="7">F86-E86</f>
        <v>-765.03999999997905</v>
      </c>
      <c r="H86" s="356">
        <f t="shared" ref="H86:H88" si="8">G86</f>
        <v>-765.03999999997905</v>
      </c>
      <c r="I86" s="303"/>
      <c r="J86" s="358">
        <f>H86/DAY(B2)</f>
        <v>-58.849230769229159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'12'!F87</f>
        <v>84220.6</v>
      </c>
      <c r="F87" s="298">
        <v>83349</v>
      </c>
      <c r="G87" s="356">
        <f t="shared" si="7"/>
        <v>-871.60000000000582</v>
      </c>
      <c r="H87" s="356">
        <f t="shared" si="8"/>
        <v>-871.60000000000582</v>
      </c>
      <c r="I87" s="303"/>
      <c r="J87" s="358">
        <f>H87/DAY(B2)</f>
        <v>-67.046153846154297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'12'!F88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'12'!F89</f>
        <v>69824.899999999994</v>
      </c>
      <c r="F89" s="298">
        <v>67845</v>
      </c>
      <c r="G89" s="356">
        <f t="shared" si="7"/>
        <v>-1979.8999999999942</v>
      </c>
      <c r="H89" s="356">
        <f>G89</f>
        <v>-1979.8999999999942</v>
      </c>
      <c r="I89" s="303"/>
      <c r="J89" s="358">
        <f>H89/DAY(B2)</f>
        <v>-152.29999999999956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'12'!F90</f>
        <v>3696.6</v>
      </c>
      <c r="F90" s="298">
        <v>3524</v>
      </c>
      <c r="G90" s="356">
        <f t="shared" si="7"/>
        <v>-172.59999999999991</v>
      </c>
      <c r="H90" s="356">
        <f>G90</f>
        <v>-172.59999999999991</v>
      </c>
      <c r="I90" s="303"/>
      <c r="J90" s="358">
        <f>H90/DAY(B2)</f>
        <v>-13.276923076923071</v>
      </c>
      <c r="K90" s="384"/>
      <c r="L90" s="385"/>
      <c r="N90" s="428"/>
      <c r="O90" s="73"/>
    </row>
    <row r="91" spans="1:16" s="386" customFormat="1">
      <c r="A91" s="381" t="s">
        <v>335</v>
      </c>
      <c r="B91" s="382"/>
      <c r="C91" s="382"/>
      <c r="D91" s="383"/>
      <c r="E91" s="278">
        <f>'12'!F91</f>
        <v>28826.639999999999</v>
      </c>
      <c r="F91" s="298">
        <v>28613</v>
      </c>
      <c r="G91" s="356">
        <f t="shared" si="7"/>
        <v>-213.63999999999942</v>
      </c>
      <c r="H91" s="356">
        <f>G91</f>
        <v>-213.63999999999942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45" t="s">
        <v>205</v>
      </c>
      <c r="B93" s="1246"/>
      <c r="C93" s="1247"/>
      <c r="D93" s="174" t="s">
        <v>143</v>
      </c>
      <c r="E93" s="135">
        <f>'12'!F93</f>
        <v>254484</v>
      </c>
      <c r="F93" s="129">
        <v>251663</v>
      </c>
      <c r="G93" s="124">
        <f t="shared" ref="G93:G94" si="9">F93-E93</f>
        <v>-2821</v>
      </c>
      <c r="H93" s="111">
        <f>G93+'12'!H93</f>
        <v>-1789</v>
      </c>
      <c r="I93" s="131"/>
      <c r="J93" s="203">
        <f>H93/DAY(B2)</f>
        <v>-137.61538461538461</v>
      </c>
      <c r="K93" s="82"/>
      <c r="L93" s="68"/>
      <c r="N93" s="369"/>
      <c r="O93" s="376"/>
      <c r="P93" s="73"/>
    </row>
    <row r="94" spans="1:16" ht="27.75">
      <c r="A94" s="1245" t="s">
        <v>206</v>
      </c>
      <c r="B94" s="1246"/>
      <c r="C94" s="1247"/>
      <c r="D94" s="174" t="s">
        <v>143</v>
      </c>
      <c r="E94" s="135">
        <f>'12'!F94</f>
        <v>199536</v>
      </c>
      <c r="F94" s="129">
        <v>194908</v>
      </c>
      <c r="G94" s="124">
        <f t="shared" si="9"/>
        <v>-4628</v>
      </c>
      <c r="H94" s="111">
        <f>G94+'12'!H94</f>
        <v>-2751</v>
      </c>
      <c r="I94" s="131"/>
      <c r="J94" s="203">
        <f>H94/DAY(B2)</f>
        <v>-211.61538461538461</v>
      </c>
      <c r="K94" s="71"/>
      <c r="L94" s="68"/>
      <c r="N94" s="369"/>
      <c r="O94" s="376"/>
      <c r="P94" s="73"/>
    </row>
    <row r="95" spans="1:16">
      <c r="A95" s="1277" t="s">
        <v>207</v>
      </c>
      <c r="B95" s="1278"/>
      <c r="C95" s="1279"/>
      <c r="D95" s="174"/>
      <c r="E95" s="135">
        <f>'12'!F95</f>
        <v>0</v>
      </c>
      <c r="F95" s="129"/>
      <c r="G95" s="124">
        <f>G93+G94</f>
        <v>-7449</v>
      </c>
      <c r="H95" s="111">
        <f>G95+'12'!H95</f>
        <v>-4765</v>
      </c>
      <c r="I95" s="131"/>
      <c r="J95" s="203">
        <f>H95/DAY(B2)</f>
        <v>-366.53846153846155</v>
      </c>
      <c r="K95" s="71"/>
      <c r="L95" s="68"/>
      <c r="N95" s="369"/>
      <c r="O95" s="376"/>
      <c r="P95" s="73"/>
    </row>
    <row r="96" spans="1:16" ht="27.75">
      <c r="A96" s="1245" t="s">
        <v>208</v>
      </c>
      <c r="B96" s="1246"/>
      <c r="C96" s="1247"/>
      <c r="D96" s="174" t="s">
        <v>143</v>
      </c>
      <c r="E96" s="135">
        <f>'12'!F96</f>
        <v>421879</v>
      </c>
      <c r="F96" s="129">
        <v>419576</v>
      </c>
      <c r="G96" s="124">
        <f t="shared" ref="G96:G101" si="10">F96-E96</f>
        <v>-2303</v>
      </c>
      <c r="H96" s="111">
        <f>G96+'12'!H96</f>
        <v>-1443</v>
      </c>
      <c r="I96" s="131"/>
      <c r="J96" s="203">
        <f>H96/DAY(B2)</f>
        <v>-111</v>
      </c>
      <c r="K96" s="71"/>
      <c r="L96" s="68"/>
      <c r="N96" s="369"/>
      <c r="O96" s="376"/>
      <c r="P96" s="73"/>
    </row>
    <row r="97" spans="1:16" ht="27.75">
      <c r="A97" s="759" t="s">
        <v>209</v>
      </c>
      <c r="B97" s="760"/>
      <c r="C97" s="760"/>
      <c r="D97" s="174" t="s">
        <v>143</v>
      </c>
      <c r="E97" s="135">
        <f>'12'!F97</f>
        <v>104903</v>
      </c>
      <c r="F97" s="129">
        <v>104184</v>
      </c>
      <c r="G97" s="124">
        <f t="shared" si="10"/>
        <v>-719</v>
      </c>
      <c r="H97" s="111">
        <f>G97+'12'!H97</f>
        <v>-452</v>
      </c>
      <c r="I97" s="131"/>
      <c r="J97" s="203">
        <f>H97/DAY(B2)</f>
        <v>-34.769230769230766</v>
      </c>
      <c r="K97" s="80"/>
      <c r="L97" s="68"/>
      <c r="N97" s="369"/>
      <c r="O97" s="376"/>
      <c r="P97" s="73"/>
    </row>
    <row r="98" spans="1:16" ht="27.75">
      <c r="A98" s="759" t="s">
        <v>210</v>
      </c>
      <c r="B98" s="760"/>
      <c r="C98" s="760"/>
      <c r="D98" s="174" t="s">
        <v>143</v>
      </c>
      <c r="E98" s="135">
        <f>'12'!F98</f>
        <v>100734</v>
      </c>
      <c r="F98" s="129">
        <v>99826</v>
      </c>
      <c r="G98" s="124">
        <f t="shared" si="10"/>
        <v>-908</v>
      </c>
      <c r="H98" s="111">
        <f>G98+'12'!H98</f>
        <v>-544</v>
      </c>
      <c r="I98" s="131"/>
      <c r="J98" s="203">
        <f>H98/DAY(B2)</f>
        <v>-41.846153846153847</v>
      </c>
      <c r="K98" s="85"/>
      <c r="L98" s="68"/>
      <c r="N98" s="369"/>
      <c r="O98" s="376"/>
      <c r="P98" s="73"/>
    </row>
    <row r="99" spans="1:16" ht="27.75">
      <c r="A99" s="759" t="s">
        <v>211</v>
      </c>
      <c r="B99" s="760"/>
      <c r="C99" s="760"/>
      <c r="D99" s="174" t="s">
        <v>143</v>
      </c>
      <c r="E99" s="135">
        <f>'12'!F99</f>
        <v>152437</v>
      </c>
      <c r="F99" s="129">
        <v>151585</v>
      </c>
      <c r="G99" s="124">
        <f t="shared" si="10"/>
        <v>-852</v>
      </c>
      <c r="H99" s="111">
        <f>G99+'12'!H99</f>
        <v>-550</v>
      </c>
      <c r="I99" s="131"/>
      <c r="J99" s="203">
        <f>H99/DAY(B2)</f>
        <v>-42.307692307692307</v>
      </c>
      <c r="K99" s="71"/>
      <c r="L99" s="68"/>
      <c r="N99" s="371"/>
      <c r="O99" s="376"/>
      <c r="P99" s="73"/>
    </row>
    <row r="100" spans="1:16" ht="27.75">
      <c r="A100" s="759" t="s">
        <v>212</v>
      </c>
      <c r="B100" s="760"/>
      <c r="C100" s="760"/>
      <c r="D100" s="174" t="s">
        <v>143</v>
      </c>
      <c r="E100" s="135">
        <f>'12'!F100</f>
        <v>8785</v>
      </c>
      <c r="F100" s="129">
        <v>8394</v>
      </c>
      <c r="G100" s="124">
        <f t="shared" si="10"/>
        <v>-391</v>
      </c>
      <c r="H100" s="111">
        <f>G100+'12'!H100</f>
        <v>-251</v>
      </c>
      <c r="I100" s="131"/>
      <c r="J100" s="203">
        <f>H100/DAY(B2)</f>
        <v>-19.307692307692307</v>
      </c>
      <c r="K100" s="71"/>
      <c r="L100" s="68"/>
      <c r="N100" s="369"/>
      <c r="O100" s="376"/>
      <c r="P100" s="73"/>
    </row>
    <row r="101" spans="1:16" ht="27.75">
      <c r="A101" s="759" t="s">
        <v>213</v>
      </c>
      <c r="B101" s="760"/>
      <c r="C101" s="760"/>
      <c r="D101" s="174" t="s">
        <v>143</v>
      </c>
      <c r="E101" s="135">
        <f>'12'!F101</f>
        <v>6511</v>
      </c>
      <c r="F101" s="277">
        <v>6155</v>
      </c>
      <c r="G101" s="124">
        <f t="shared" si="10"/>
        <v>-356</v>
      </c>
      <c r="H101" s="111">
        <f>G101+'12'!H101</f>
        <v>-218</v>
      </c>
      <c r="I101" s="131"/>
      <c r="J101" s="203">
        <f>H101/DAY(B2)</f>
        <v>-16.76923076923077</v>
      </c>
      <c r="K101" s="71"/>
      <c r="L101" s="68"/>
      <c r="N101" s="369"/>
      <c r="O101" s="376"/>
      <c r="P101" s="73"/>
    </row>
    <row r="102" spans="1:16">
      <c r="A102" s="1277" t="s">
        <v>215</v>
      </c>
      <c r="B102" s="1278"/>
      <c r="C102" s="1279"/>
      <c r="D102" s="175"/>
      <c r="E102" s="135"/>
      <c r="F102" s="175"/>
      <c r="G102" s="176">
        <f>SUM(G96:G101)</f>
        <v>-5529</v>
      </c>
      <c r="H102" s="111">
        <f>G102+'12'!H102</f>
        <v>-3458</v>
      </c>
      <c r="I102" s="177"/>
      <c r="J102" s="203">
        <f>H102/DAY(B2)</f>
        <v>-266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80" t="s">
        <v>217</v>
      </c>
      <c r="B104" s="1281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37" t="s">
        <v>218</v>
      </c>
      <c r="B105" s="1238"/>
      <c r="C105" s="758"/>
      <c r="D105" s="273" t="s">
        <v>143</v>
      </c>
      <c r="E105" s="135">
        <f>'12'!F105</f>
        <v>7961</v>
      </c>
      <c r="F105" s="310">
        <v>7937</v>
      </c>
      <c r="G105" s="183">
        <f>F105-E105</f>
        <v>-24</v>
      </c>
      <c r="H105" s="184">
        <f>SUM(G105+'1'!G76)</f>
        <v>51.700000000000728</v>
      </c>
      <c r="I105" s="183"/>
      <c r="J105" s="209">
        <f>H105/DAY(B2)</f>
        <v>3.976923076923133</v>
      </c>
      <c r="N105" s="369"/>
      <c r="O105" s="376"/>
      <c r="P105" s="73"/>
    </row>
    <row r="106" spans="1:16" s="93" customFormat="1" ht="27.75">
      <c r="A106" s="1237" t="s">
        <v>76</v>
      </c>
      <c r="B106" s="1238"/>
      <c r="C106" s="758"/>
      <c r="D106" s="273" t="s">
        <v>143</v>
      </c>
      <c r="E106" s="310">
        <v>36574</v>
      </c>
      <c r="F106" s="310">
        <v>36583</v>
      </c>
      <c r="G106" s="183">
        <f t="shared" ref="G106:G107" si="11">F106-E106</f>
        <v>9</v>
      </c>
      <c r="H106" s="184">
        <f>SUM(G106+'1'!G77)</f>
        <v>56</v>
      </c>
      <c r="I106" s="183"/>
      <c r="J106" s="209">
        <f>H106/DAY(B2)</f>
        <v>4.3076923076923075</v>
      </c>
      <c r="N106" s="369"/>
      <c r="O106" s="376"/>
      <c r="P106" s="73"/>
    </row>
    <row r="107" spans="1:16" s="93" customFormat="1" ht="27.75">
      <c r="A107" s="1237" t="s">
        <v>77</v>
      </c>
      <c r="B107" s="1282"/>
      <c r="C107" s="1238"/>
      <c r="D107" s="273" t="s">
        <v>143</v>
      </c>
      <c r="E107" s="135">
        <f>'12'!F107</f>
        <v>20310</v>
      </c>
      <c r="F107" s="310">
        <v>20063</v>
      </c>
      <c r="G107" s="183">
        <f t="shared" si="11"/>
        <v>-247</v>
      </c>
      <c r="H107" s="184">
        <f>SUM(G107+'1'!G78)</f>
        <v>-229</v>
      </c>
      <c r="I107" s="183"/>
      <c r="J107" s="209">
        <f>H107/DAY(B2)</f>
        <v>-17.615384615384617</v>
      </c>
      <c r="N107" s="369"/>
      <c r="O107" s="376"/>
      <c r="P107" s="73"/>
    </row>
    <row r="108" spans="1:16" s="93" customFormat="1" ht="27.75">
      <c r="A108" s="1239" t="s">
        <v>201</v>
      </c>
      <c r="B108" s="1240"/>
      <c r="C108" s="758"/>
      <c r="D108" s="273"/>
      <c r="E108" s="135"/>
      <c r="F108" s="310"/>
      <c r="G108" s="183">
        <f>SUM(G105:G107)</f>
        <v>-262</v>
      </c>
      <c r="H108" s="184">
        <f>SUM(G108+'1'!G79)</f>
        <v>-96</v>
      </c>
      <c r="I108" s="183"/>
      <c r="J108" s="209">
        <f>H108/DAY(B2)</f>
        <v>-7.384615384615385</v>
      </c>
      <c r="N108" s="369"/>
      <c r="O108" s="376"/>
      <c r="P108" s="73"/>
    </row>
    <row r="109" spans="1:16" s="93" customFormat="1" ht="27.75">
      <c r="A109" s="1243" t="s">
        <v>78</v>
      </c>
      <c r="B109" s="1244"/>
      <c r="C109" s="758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37" t="s">
        <v>219</v>
      </c>
      <c r="B110" s="1238"/>
      <c r="C110" s="758"/>
      <c r="D110" s="273" t="s">
        <v>143</v>
      </c>
      <c r="E110" s="135">
        <f>'12'!F110</f>
        <v>70356</v>
      </c>
      <c r="F110" s="310">
        <v>68170</v>
      </c>
      <c r="G110" s="183">
        <f>F110-E110</f>
        <v>-2186</v>
      </c>
      <c r="H110" s="184">
        <f>SUM(G110+'1'!G81)</f>
        <v>-2011.1999999999534</v>
      </c>
      <c r="I110" s="183"/>
      <c r="J110" s="209">
        <f>H110/DAY(B2)</f>
        <v>-154.70769230768872</v>
      </c>
      <c r="N110" s="369"/>
      <c r="O110" s="376"/>
      <c r="P110" s="73"/>
    </row>
    <row r="111" spans="1:16" s="93" customFormat="1" ht="27.75">
      <c r="A111" s="1237" t="s">
        <v>220</v>
      </c>
      <c r="B111" s="1238"/>
      <c r="C111" s="758"/>
      <c r="D111" s="273" t="s">
        <v>143</v>
      </c>
      <c r="E111" s="135">
        <f>'12'!F111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2.3076923076923075</v>
      </c>
      <c r="N111" s="369"/>
      <c r="O111" s="376"/>
      <c r="P111" s="73"/>
    </row>
    <row r="112" spans="1:16" s="93" customFormat="1" ht="27.75">
      <c r="A112" s="1237" t="s">
        <v>221</v>
      </c>
      <c r="B112" s="1238"/>
      <c r="C112" s="758"/>
      <c r="D112" s="273" t="s">
        <v>143</v>
      </c>
      <c r="E112" s="135">
        <f>'12'!F112</f>
        <v>4815</v>
      </c>
      <c r="F112" s="310">
        <v>4692</v>
      </c>
      <c r="G112" s="183">
        <f t="shared" si="12"/>
        <v>-123</v>
      </c>
      <c r="H112" s="184">
        <f>SUM(G112+'1'!G83)</f>
        <v>188</v>
      </c>
      <c r="I112" s="183"/>
      <c r="J112" s="209">
        <f>H112/DAY(B2)</f>
        <v>14.461538461538462</v>
      </c>
      <c r="N112" s="369"/>
      <c r="O112" s="376"/>
      <c r="P112" s="73"/>
    </row>
    <row r="113" spans="1:16" s="93" customFormat="1" ht="27.75">
      <c r="A113" s="1239" t="s">
        <v>109</v>
      </c>
      <c r="B113" s="1240"/>
      <c r="C113" s="758"/>
      <c r="D113" s="273"/>
      <c r="E113" s="135"/>
      <c r="F113" s="310"/>
      <c r="G113" s="183">
        <f>SUM(G110:G112)</f>
        <v>-2309</v>
      </c>
      <c r="H113" s="184">
        <f>SUM(G113+'1'!G84)</f>
        <v>-1569</v>
      </c>
      <c r="I113" s="183"/>
      <c r="J113" s="209">
        <f>H113/DAY(B2)</f>
        <v>-120.69230769230769</v>
      </c>
      <c r="N113" s="369"/>
      <c r="O113" s="376"/>
      <c r="P113" s="73"/>
    </row>
    <row r="114" spans="1:16" s="93" customFormat="1" ht="27.75">
      <c r="A114" s="1243" t="s">
        <v>222</v>
      </c>
      <c r="B114" s="1244"/>
      <c r="C114" s="758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37" t="s">
        <v>223</v>
      </c>
      <c r="B115" s="1238"/>
      <c r="C115" s="225"/>
      <c r="D115" s="273" t="s">
        <v>143</v>
      </c>
      <c r="E115" s="135">
        <f>'12'!F115</f>
        <v>13210</v>
      </c>
      <c r="F115" s="310">
        <v>12734</v>
      </c>
      <c r="G115" s="185">
        <f>F115-E115</f>
        <v>-476</v>
      </c>
      <c r="H115" s="184">
        <f>SUM(G115+'1'!G92)</f>
        <v>-476</v>
      </c>
      <c r="I115" s="183"/>
      <c r="J115" s="209">
        <f>H115/DAY(B2)</f>
        <v>-36.615384615384613</v>
      </c>
      <c r="N115" s="369"/>
      <c r="O115" s="376"/>
      <c r="P115" s="73"/>
    </row>
    <row r="116" spans="1:16" s="93" customFormat="1" ht="27.75">
      <c r="A116" s="1237" t="s">
        <v>224</v>
      </c>
      <c r="B116" s="1238"/>
      <c r="C116" s="225"/>
      <c r="D116" s="273" t="s">
        <v>143</v>
      </c>
      <c r="E116" s="135">
        <f>'12'!F116</f>
        <v>9228</v>
      </c>
      <c r="F116" s="310">
        <v>8954</v>
      </c>
      <c r="G116" s="185">
        <f t="shared" ref="G116:G117" si="13">F116-E116</f>
        <v>-274</v>
      </c>
      <c r="H116" s="184">
        <f>SUM(G116+'1'!G93)</f>
        <v>-212</v>
      </c>
      <c r="I116" s="183"/>
      <c r="J116" s="209">
        <f>H116/DAY(B2)</f>
        <v>-16.307692307692307</v>
      </c>
      <c r="N116" s="369"/>
      <c r="O116" s="376"/>
      <c r="P116" s="73"/>
    </row>
    <row r="117" spans="1:16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12.538461538461538</v>
      </c>
      <c r="N117" s="369"/>
      <c r="O117" s="376"/>
      <c r="P117" s="73"/>
    </row>
    <row r="118" spans="1:16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-750</v>
      </c>
      <c r="H118" s="184">
        <f>SUM(G118+'1'!G96)</f>
        <v>-684</v>
      </c>
      <c r="I118" s="185"/>
      <c r="J118" s="209">
        <f>H118/DAY(B2)</f>
        <v>-52.615384615384613</v>
      </c>
      <c r="N118" s="369"/>
      <c r="O118" s="376"/>
      <c r="P118" s="73"/>
    </row>
    <row r="119" spans="1:16" s="97" customFormat="1" ht="27.75">
      <c r="A119" s="1233" t="s">
        <v>226</v>
      </c>
      <c r="B119" s="1234"/>
      <c r="C119" s="756"/>
      <c r="D119" s="275" t="s">
        <v>143</v>
      </c>
      <c r="E119" s="187"/>
      <c r="F119" s="311">
        <f>SUM(G19+G93)</f>
        <v>-4681</v>
      </c>
      <c r="G119" s="187">
        <f>SUM(G19+G93)</f>
        <v>-4681</v>
      </c>
      <c r="H119" s="184">
        <f>SUM(G119+'1'!G97)</f>
        <v>-4663</v>
      </c>
      <c r="I119" s="186"/>
      <c r="J119" s="210">
        <f>H119/DAY(B2)</f>
        <v>-358.69230769230768</v>
      </c>
      <c r="N119" s="369"/>
      <c r="O119" s="376"/>
      <c r="P119" s="73"/>
    </row>
    <row r="120" spans="1:16" s="97" customFormat="1" ht="27.75">
      <c r="A120" s="1233" t="s">
        <v>227</v>
      </c>
      <c r="B120" s="1234"/>
      <c r="C120" s="756"/>
      <c r="D120" s="275" t="s">
        <v>143</v>
      </c>
      <c r="E120" s="187"/>
      <c r="F120" s="311">
        <f>SUM(G96,G97,G98,G100,G101)</f>
        <v>-4677</v>
      </c>
      <c r="G120" s="187">
        <f>SUM(G96,G97,G98,G100,G101)</f>
        <v>-4677</v>
      </c>
      <c r="H120" s="184">
        <f>SUM(G120+'1'!G99)</f>
        <v>-4666</v>
      </c>
      <c r="I120" s="186"/>
      <c r="J120" s="210">
        <f>H120/DAY(B2)</f>
        <v>-358.92307692307691</v>
      </c>
      <c r="N120" s="369"/>
      <c r="O120" s="376"/>
      <c r="P120" s="73"/>
    </row>
    <row r="121" spans="1:16" s="97" customFormat="1" ht="27.75">
      <c r="A121" s="1233" t="s">
        <v>228</v>
      </c>
      <c r="B121" s="1234"/>
      <c r="C121" s="756"/>
      <c r="D121" s="275" t="s">
        <v>143</v>
      </c>
      <c r="E121" s="185"/>
      <c r="F121" s="310">
        <f>SUM(G113)</f>
        <v>-2309</v>
      </c>
      <c r="G121" s="185">
        <f>SUM(G113)</f>
        <v>-2309</v>
      </c>
      <c r="H121" s="184">
        <f>SUM(G121+'1'!G101)</f>
        <v>-2300</v>
      </c>
      <c r="I121" s="186"/>
      <c r="J121" s="210">
        <f>H121/DAY(B2)</f>
        <v>-176.92307692307693</v>
      </c>
      <c r="N121" s="369"/>
      <c r="O121" s="376"/>
      <c r="P121" s="73"/>
    </row>
    <row r="122" spans="1:16" s="93" customFormat="1" ht="27.75">
      <c r="A122" s="1235"/>
      <c r="B122" s="1236"/>
      <c r="C122" s="75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759" t="s">
        <v>230</v>
      </c>
      <c r="B124" s="760"/>
      <c r="C124" s="760"/>
      <c r="D124" s="174" t="s">
        <v>140</v>
      </c>
      <c r="E124" s="129">
        <f>'12'!F124</f>
        <v>859333.02</v>
      </c>
      <c r="F124" s="129">
        <v>851448</v>
      </c>
      <c r="G124" s="124">
        <f t="shared" ref="G124:G128" si="14">F124-E124</f>
        <v>-7885.0200000000186</v>
      </c>
      <c r="H124" s="111">
        <f>G124+'12'!H124</f>
        <v>-4904</v>
      </c>
      <c r="I124" s="177"/>
      <c r="J124" s="203">
        <f>H124/DAY(B2)</f>
        <v>-377.23076923076923</v>
      </c>
      <c r="K124" s="71"/>
      <c r="L124" s="68"/>
      <c r="N124" s="369"/>
      <c r="O124" s="376"/>
      <c r="P124" s="73"/>
    </row>
    <row r="125" spans="1:16" ht="27.75">
      <c r="A125" s="759" t="s">
        <v>231</v>
      </c>
      <c r="B125" s="760"/>
      <c r="C125" s="760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9"/>
      <c r="O125" s="376"/>
      <c r="P125" s="73"/>
    </row>
    <row r="126" spans="1:16" ht="27.75">
      <c r="A126" s="1226" t="s">
        <v>232</v>
      </c>
      <c r="B126" s="1227"/>
      <c r="C126" s="1228"/>
      <c r="D126" s="174" t="s">
        <v>140</v>
      </c>
      <c r="E126" s="129">
        <f>'12'!F126</f>
        <v>155127.09</v>
      </c>
      <c r="F126" s="129">
        <v>152441</v>
      </c>
      <c r="G126" s="124">
        <f t="shared" si="14"/>
        <v>-2686.0899999999965</v>
      </c>
      <c r="H126" s="111">
        <f>G126+'12'!H126</f>
        <v>-1636</v>
      </c>
      <c r="I126" s="177"/>
      <c r="J126" s="203">
        <f>H126/DAY(B2)</f>
        <v>-125.84615384615384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760"/>
      <c r="C127" s="760"/>
      <c r="D127" s="174" t="s">
        <v>140</v>
      </c>
      <c r="E127" s="277">
        <f>'12'!F127</f>
        <v>35139.599999999999</v>
      </c>
      <c r="F127" s="277">
        <v>33857</v>
      </c>
      <c r="G127" s="124">
        <f t="shared" si="14"/>
        <v>-1282.5999999999985</v>
      </c>
      <c r="H127" s="111">
        <f>G127+'12'!H127</f>
        <v>-772</v>
      </c>
      <c r="I127" s="177"/>
      <c r="J127" s="203">
        <f>H127/DAY(B2)</f>
        <v>-59.384615384615387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760"/>
      <c r="C128" s="760"/>
      <c r="D128" s="174" t="s">
        <v>140</v>
      </c>
      <c r="E128" s="277">
        <f>'12'!F128</f>
        <v>9204.5</v>
      </c>
      <c r="F128" s="277">
        <v>9137</v>
      </c>
      <c r="G128" s="124">
        <f t="shared" si="14"/>
        <v>-67.5</v>
      </c>
      <c r="H128" s="111">
        <f>G128+'12'!H128</f>
        <v>-43</v>
      </c>
      <c r="I128" s="131"/>
      <c r="J128" s="203">
        <f>H128/DAY(B2)</f>
        <v>-3.3076923076923075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-14330.620999999992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759" t="s">
        <v>237</v>
      </c>
      <c r="B131" s="760"/>
      <c r="C131" s="760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759" t="s">
        <v>239</v>
      </c>
      <c r="B132" s="760"/>
      <c r="C132" s="760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759" t="s">
        <v>240</v>
      </c>
      <c r="B133" s="760"/>
      <c r="C133" s="760"/>
      <c r="D133" s="174" t="s">
        <v>238</v>
      </c>
      <c r="E133" s="192">
        <f>'12'!F133</f>
        <v>41111.480000000003</v>
      </c>
      <c r="F133" s="302">
        <v>40757</v>
      </c>
      <c r="G133" s="124">
        <f t="shared" si="15"/>
        <v>-354.4800000000032</v>
      </c>
      <c r="H133" s="111">
        <f>G133+'12'!H133</f>
        <v>-165</v>
      </c>
      <c r="I133" s="131"/>
      <c r="J133" s="203">
        <f>H133/DAY(B2)</f>
        <v>-12.692307692307692</v>
      </c>
      <c r="N133" s="369"/>
      <c r="O133" s="376"/>
      <c r="P133" s="73"/>
    </row>
    <row r="134" spans="1:16" ht="27.75">
      <c r="A134" s="759" t="s">
        <v>241</v>
      </c>
      <c r="B134" s="760"/>
      <c r="C134" s="760"/>
      <c r="D134" s="174" t="s">
        <v>238</v>
      </c>
      <c r="E134" s="352">
        <f>'12'!F134</f>
        <v>988.16</v>
      </c>
      <c r="F134" s="277">
        <v>724.25</v>
      </c>
      <c r="G134" s="124">
        <f t="shared" si="15"/>
        <v>-263.90999999999997</v>
      </c>
      <c r="H134" s="111">
        <f>G134+'12'!H134</f>
        <v>-131.75</v>
      </c>
      <c r="I134" s="131">
        <f>G131+G132+G133+G134</f>
        <v>-618.39000000000317</v>
      </c>
      <c r="J134" s="203">
        <f>H134/DAY(B2)</f>
        <v>-10.134615384615385</v>
      </c>
      <c r="N134" s="369"/>
      <c r="O134" s="376"/>
      <c r="P134" s="73"/>
    </row>
    <row r="135" spans="1:16" ht="27.75">
      <c r="A135" s="759" t="s">
        <v>242</v>
      </c>
      <c r="B135" s="760"/>
      <c r="C135" s="760"/>
      <c r="D135" s="174" t="s">
        <v>238</v>
      </c>
      <c r="E135" s="352">
        <f>'12'!F135</f>
        <v>42826.47</v>
      </c>
      <c r="F135" s="277">
        <v>42634</v>
      </c>
      <c r="G135" s="124">
        <f t="shared" si="15"/>
        <v>-192.47000000000116</v>
      </c>
      <c r="H135" s="111">
        <f>G135+'12'!H135</f>
        <v>-188</v>
      </c>
      <c r="I135" s="131"/>
      <c r="J135" s="203">
        <f>H135/DAY(B2)</f>
        <v>-14.461538461538462</v>
      </c>
      <c r="N135" s="369"/>
      <c r="O135" s="376"/>
      <c r="P135" s="73"/>
    </row>
    <row r="136" spans="1:16" ht="27.75">
      <c r="A136" s="759" t="s">
        <v>243</v>
      </c>
      <c r="B136" s="760"/>
      <c r="C136" s="760"/>
      <c r="D136" s="174" t="s">
        <v>238</v>
      </c>
      <c r="E136" s="192">
        <f>'12'!F136</f>
        <v>32972.29</v>
      </c>
      <c r="F136" s="302">
        <v>32874</v>
      </c>
      <c r="G136" s="124">
        <f t="shared" si="15"/>
        <v>-98.290000000000873</v>
      </c>
      <c r="H136" s="111">
        <f>G136+'12'!H136</f>
        <v>-54</v>
      </c>
      <c r="I136" s="131"/>
      <c r="J136" s="203">
        <f>H136/DAY(B2)</f>
        <v>-4.1538461538461542</v>
      </c>
      <c r="N136" s="369"/>
      <c r="O136" s="376"/>
      <c r="P136" s="73"/>
    </row>
    <row r="137" spans="1:16" ht="27.75">
      <c r="A137" s="759" t="s">
        <v>244</v>
      </c>
      <c r="B137" s="760"/>
      <c r="C137" s="760"/>
      <c r="D137" s="174" t="s">
        <v>238</v>
      </c>
      <c r="E137" s="192">
        <f>'12'!F137</f>
        <v>23465.01</v>
      </c>
      <c r="F137" s="302">
        <v>23210.83</v>
      </c>
      <c r="G137" s="124">
        <f t="shared" si="15"/>
        <v>-254.17999999999665</v>
      </c>
      <c r="H137" s="111">
        <f>G137+'12'!H137</f>
        <v>-145.59999999999854</v>
      </c>
      <c r="I137" s="131">
        <f>G135+G136+G137</f>
        <v>-544.93999999999869</v>
      </c>
      <c r="J137" s="203">
        <f>H137/DAY(B2)</f>
        <v>-11.199999999999887</v>
      </c>
      <c r="N137" s="369"/>
      <c r="O137" s="376"/>
      <c r="P137" s="73"/>
    </row>
    <row r="138" spans="1:16" ht="27.75">
      <c r="A138" s="759" t="s">
        <v>245</v>
      </c>
      <c r="B138" s="760"/>
      <c r="C138" s="760"/>
      <c r="D138" s="174" t="s">
        <v>238</v>
      </c>
      <c r="E138" s="192">
        <f>'12'!F138</f>
        <v>25132.98</v>
      </c>
      <c r="F138" s="302">
        <v>25123.08</v>
      </c>
      <c r="G138" s="124">
        <f t="shared" si="15"/>
        <v>-9.8999999999978172</v>
      </c>
      <c r="H138" s="111">
        <f>G138+'12'!H138</f>
        <v>-9.8799999999973807</v>
      </c>
      <c r="I138" s="131"/>
      <c r="J138" s="203">
        <f>H138/DAY(B2)</f>
        <v>-0.7599999999997985</v>
      </c>
      <c r="N138" s="369"/>
      <c r="O138" s="376"/>
      <c r="P138" s="73"/>
    </row>
    <row r="139" spans="1:16" ht="27.75">
      <c r="A139" s="759" t="s">
        <v>246</v>
      </c>
      <c r="B139" s="760"/>
      <c r="C139" s="760"/>
      <c r="D139" s="174" t="s">
        <v>238</v>
      </c>
      <c r="E139" s="192">
        <f>'12'!F139</f>
        <v>70526.05</v>
      </c>
      <c r="F139" s="302">
        <v>70518.2</v>
      </c>
      <c r="G139" s="124">
        <f t="shared" si="15"/>
        <v>-7.8500000000058208</v>
      </c>
      <c r="H139" s="111">
        <f>G139+'12'!H139</f>
        <v>-6.3500000000058208</v>
      </c>
      <c r="I139" s="131">
        <f>G138+G139</f>
        <v>-17.750000000003638</v>
      </c>
      <c r="J139" s="203">
        <f>H139/DAY(B2)</f>
        <v>-0.4884615384619862</v>
      </c>
      <c r="N139" s="369"/>
      <c r="O139" s="376"/>
      <c r="P139" s="73"/>
    </row>
    <row r="140" spans="1:16" ht="27.75">
      <c r="A140" s="759" t="s">
        <v>247</v>
      </c>
      <c r="B140" s="760"/>
      <c r="C140" s="760"/>
      <c r="D140" s="174" t="s">
        <v>238</v>
      </c>
      <c r="E140" s="352">
        <f>'12'!F140</f>
        <v>2735.28</v>
      </c>
      <c r="F140" s="277">
        <v>2439.92</v>
      </c>
      <c r="G140" s="124">
        <f t="shared" si="15"/>
        <v>-295.36000000000013</v>
      </c>
      <c r="H140" s="111">
        <f>G140+'12'!H140</f>
        <v>-188.05999999999995</v>
      </c>
      <c r="I140" s="193"/>
      <c r="J140" s="203">
        <f>H140/DAY(B2)</f>
        <v>-14.466153846153842</v>
      </c>
      <c r="N140" s="369"/>
      <c r="O140" s="376"/>
      <c r="P140" s="73"/>
    </row>
    <row r="141" spans="1:16" ht="27.75">
      <c r="A141" s="759" t="s">
        <v>248</v>
      </c>
      <c r="B141" s="760"/>
      <c r="C141" s="760"/>
      <c r="D141" s="174" t="s">
        <v>238</v>
      </c>
      <c r="E141" s="135">
        <f>'12'!F141</f>
        <v>4758.46</v>
      </c>
      <c r="F141" s="129">
        <v>4753.67</v>
      </c>
      <c r="G141" s="124">
        <f t="shared" si="15"/>
        <v>-4.7899999999999636</v>
      </c>
      <c r="H141" s="111">
        <f>G141+'12'!H141</f>
        <v>-0.32999999999992724</v>
      </c>
      <c r="I141" s="193"/>
      <c r="J141" s="203">
        <f>H141/DAY(B2)</f>
        <v>-2.5384615384609788E-2</v>
      </c>
      <c r="N141" s="369"/>
      <c r="O141" s="376"/>
      <c r="P141" s="73"/>
    </row>
    <row r="142" spans="1:16">
      <c r="A142" s="1248" t="s">
        <v>249</v>
      </c>
      <c r="B142" s="1249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225456.69999999998</v>
      </c>
      <c r="H143" s="111">
        <f>G143+'12'!H143</f>
        <v>303325.32999999996</v>
      </c>
      <c r="I143" s="131"/>
      <c r="J143" s="203">
        <f>H143/DAY(B2)</f>
        <v>23332.717692307688</v>
      </c>
      <c r="K143" s="71"/>
      <c r="L143" s="68"/>
      <c r="N143" s="369"/>
      <c r="O143" s="376"/>
      <c r="P143" s="73"/>
    </row>
    <row r="144" spans="1:16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0.66581953037979702</v>
      </c>
      <c r="H144" s="111">
        <f>G144+'12'!H144</f>
        <v>4.232492603346846</v>
      </c>
      <c r="I144" s="195"/>
      <c r="J144" s="203">
        <f>H144/DAY(B2)</f>
        <v>0.32557635410360353</v>
      </c>
      <c r="K144" s="71"/>
      <c r="L144" s="68"/>
      <c r="N144" s="369"/>
      <c r="O144" s="376"/>
      <c r="P144" s="73"/>
    </row>
    <row r="145" spans="1:16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-199304.97999999992</v>
      </c>
      <c r="H145" s="111">
        <f>G145+'12'!H145</f>
        <v>-118057.77999999997</v>
      </c>
      <c r="I145" s="131"/>
      <c r="J145" s="203">
        <f>H145/DAY(B2)</f>
        <v>-9081.3676923076891</v>
      </c>
      <c r="K145" s="71"/>
      <c r="L145" s="68"/>
      <c r="N145" s="369"/>
      <c r="O145" s="376"/>
      <c r="P145" s="73"/>
    </row>
    <row r="146" spans="1:16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-0.58858817762326343</v>
      </c>
      <c r="H146" s="111">
        <f>G146+'12'!H146</f>
        <v>3.1215456873035858</v>
      </c>
      <c r="I146" s="195"/>
      <c r="J146" s="203">
        <f>H146/DAY(B2)</f>
        <v>0.24011889902335276</v>
      </c>
      <c r="K146" s="71"/>
      <c r="L146" s="68"/>
      <c r="N146" s="369"/>
      <c r="O146" s="376"/>
      <c r="P146" s="73"/>
    </row>
    <row r="147" spans="1:16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953761.75</v>
      </c>
      <c r="H147" s="111">
        <f>G147+'12'!H147</f>
        <v>999929</v>
      </c>
      <c r="I147" s="196"/>
      <c r="J147" s="203">
        <f>H147/DAY(B2)</f>
        <v>76917.61538461539</v>
      </c>
      <c r="K147" s="71"/>
      <c r="L147" s="68"/>
      <c r="N147" s="369"/>
      <c r="O147" s="376"/>
      <c r="P147" s="73"/>
    </row>
    <row r="148" spans="1:16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2.8166526010502837</v>
      </c>
      <c r="H148" s="111">
        <f>G148+'12'!H148</f>
        <v>4.9301298920317809</v>
      </c>
      <c r="I148" s="196"/>
      <c r="J148" s="203">
        <f>H148/DAY(B2)</f>
        <v>0.37924076092552161</v>
      </c>
      <c r="N148" s="369"/>
      <c r="O148" s="376"/>
      <c r="P148" s="73"/>
    </row>
    <row r="149" spans="1:16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785104.72</v>
      </c>
      <c r="H149" s="111">
        <f>G149+'12'!H149</f>
        <v>805444.07</v>
      </c>
      <c r="I149" s="131"/>
      <c r="J149" s="203">
        <f>H149/DAY(B2)</f>
        <v>61957.236153846148</v>
      </c>
      <c r="K149" s="72"/>
      <c r="N149" s="369"/>
      <c r="O149" s="376"/>
      <c r="P149" s="73"/>
    </row>
    <row r="150" spans="1:16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2.3185740586523358</v>
      </c>
      <c r="H150" s="111">
        <f>G150+'12'!H150</f>
        <v>3.2496927117692831</v>
      </c>
      <c r="I150" s="196"/>
      <c r="J150" s="203">
        <f>H150/DAY(B2)</f>
        <v>0.24997636244379101</v>
      </c>
      <c r="N150" s="369"/>
      <c r="O150" s="376"/>
      <c r="P150" s="73"/>
    </row>
    <row r="151" spans="1:16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10244.010000000009</v>
      </c>
      <c r="H151" s="111">
        <f>G151+'12'!H151</f>
        <v>32173.599999999999</v>
      </c>
      <c r="I151" s="196"/>
      <c r="J151" s="203">
        <f>H151/DAY(B2)</f>
        <v>2474.8923076923074</v>
      </c>
      <c r="N151" s="369"/>
      <c r="O151" s="376"/>
      <c r="P151" s="73"/>
    </row>
    <row r="152" spans="1:16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3.0252646860376965E-2</v>
      </c>
      <c r="H152" s="111">
        <f>G152+'12'!H152</f>
        <v>1.0283560563387137</v>
      </c>
      <c r="I152" s="131"/>
      <c r="J152" s="203">
        <f>H152/DAY(B2)</f>
        <v>7.9104312026054904E-2</v>
      </c>
      <c r="N152" s="369"/>
      <c r="O152" s="376"/>
      <c r="P152" s="73"/>
    </row>
    <row r="153" spans="1:16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368339.28</v>
      </c>
      <c r="H153" s="111">
        <f>G153+'12'!H153</f>
        <v>387849.87000000005</v>
      </c>
      <c r="I153" s="131"/>
      <c r="J153" s="203">
        <f>H153/DAY(B2)</f>
        <v>29834.605384615388</v>
      </c>
      <c r="N153" s="369"/>
      <c r="O153" s="376"/>
      <c r="P153" s="73"/>
    </row>
    <row r="154" spans="1:16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1.0877808751304912</v>
      </c>
      <c r="H154" s="111">
        <f>G154+'12'!H154</f>
        <v>1.9811693433293338</v>
      </c>
      <c r="I154" s="219"/>
      <c r="J154" s="220">
        <f>H154/DAY(B2)</f>
        <v>0.15239764179456414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'12'!F161</f>
        <v>46772.67</v>
      </c>
      <c r="F161" s="454">
        <v>44361.4</v>
      </c>
      <c r="G161" s="124">
        <f t="shared" ref="G161:G164" si="16">F161-E161</f>
        <v>-2411.2699999999968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'12'!F162</f>
        <v>142215.76999999999</v>
      </c>
      <c r="F162" s="454">
        <v>128190</v>
      </c>
      <c r="G162" s="124">
        <f t="shared" si="16"/>
        <v>-14025.76999999999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'12'!F163</f>
        <v>66350.399999999994</v>
      </c>
      <c r="F163" s="454">
        <v>60099</v>
      </c>
      <c r="G163" s="124">
        <f t="shared" si="16"/>
        <v>-6251.3999999999942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'12'!F164</f>
        <v>7579.24</v>
      </c>
      <c r="F164" s="454">
        <v>7261.56</v>
      </c>
      <c r="G164" s="124">
        <f t="shared" si="16"/>
        <v>-317.67999999999938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65">
        <f t="shared" ref="E166:E172" si="18">E63</f>
        <v>51</v>
      </c>
      <c r="F166" s="165">
        <f t="shared" ref="F166:F172" si="19">F63</f>
        <v>0</v>
      </c>
      <c r="G166" s="124">
        <f t="shared" si="17"/>
        <v>-51</v>
      </c>
      <c r="N166" s="369"/>
    </row>
    <row r="167" spans="1:14" ht="21.75" customHeight="1">
      <c r="A167" s="1299" t="s">
        <v>98</v>
      </c>
      <c r="B167" s="1299"/>
      <c r="C167" s="1299"/>
      <c r="D167" s="175" t="s">
        <v>186</v>
      </c>
      <c r="E167" s="165">
        <f t="shared" si="18"/>
        <v>199109.25</v>
      </c>
      <c r="F167" s="165">
        <f t="shared" si="19"/>
        <v>186858</v>
      </c>
      <c r="G167" s="124">
        <f t="shared" si="17"/>
        <v>-12251.25</v>
      </c>
      <c r="N167" s="369"/>
    </row>
    <row r="168" spans="1:14" ht="21.75" customHeight="1">
      <c r="A168" s="1299" t="s">
        <v>99</v>
      </c>
      <c r="B168" s="1299"/>
      <c r="C168" s="1299"/>
      <c r="D168" s="175" t="s">
        <v>186</v>
      </c>
      <c r="E168" s="165">
        <f t="shared" si="18"/>
        <v>199229.75</v>
      </c>
      <c r="F168" s="165">
        <f t="shared" si="19"/>
        <v>187394</v>
      </c>
      <c r="G168" s="124">
        <f t="shared" si="17"/>
        <v>-11835.75</v>
      </c>
      <c r="N168" s="369"/>
    </row>
    <row r="169" spans="1:14" ht="21.75" customHeight="1">
      <c r="A169" s="1299" t="s">
        <v>100</v>
      </c>
      <c r="B169" s="1299"/>
      <c r="C169" s="1299"/>
      <c r="D169" s="175" t="s">
        <v>186</v>
      </c>
      <c r="E169" s="165">
        <f t="shared" si="18"/>
        <v>98167.78</v>
      </c>
      <c r="F169" s="165">
        <f t="shared" si="19"/>
        <v>85921</v>
      </c>
      <c r="G169" s="124">
        <f t="shared" si="17"/>
        <v>-12246.779999999999</v>
      </c>
      <c r="N169" s="369"/>
    </row>
    <row r="170" spans="1:14" ht="26.25" customHeight="1">
      <c r="A170" s="1299" t="s">
        <v>101</v>
      </c>
      <c r="B170" s="1299"/>
      <c r="C170" s="1299"/>
      <c r="D170" s="175" t="s">
        <v>186</v>
      </c>
      <c r="E170" s="165">
        <f t="shared" si="18"/>
        <v>300490.33</v>
      </c>
      <c r="F170" s="165">
        <f t="shared" si="19"/>
        <v>286352</v>
      </c>
      <c r="G170" s="124">
        <f t="shared" si="17"/>
        <v>-14138.330000000016</v>
      </c>
      <c r="N170" s="369"/>
    </row>
    <row r="171" spans="1:14" ht="24" customHeight="1">
      <c r="A171" s="1299" t="s">
        <v>102</v>
      </c>
      <c r="B171" s="1299"/>
      <c r="C171" s="1299"/>
      <c r="D171" s="175" t="s">
        <v>186</v>
      </c>
      <c r="E171" s="165">
        <f t="shared" si="18"/>
        <v>85889.26</v>
      </c>
      <c r="F171" s="165">
        <f t="shared" si="19"/>
        <v>85321</v>
      </c>
      <c r="G171" s="124">
        <f t="shared" si="17"/>
        <v>-568.25999999999476</v>
      </c>
      <c r="N171" s="369"/>
    </row>
    <row r="172" spans="1:14" ht="27.75">
      <c r="A172" s="1299" t="s">
        <v>103</v>
      </c>
      <c r="B172" s="1299"/>
      <c r="C172" s="1299"/>
      <c r="D172" s="175" t="s">
        <v>186</v>
      </c>
      <c r="E172" s="165">
        <f t="shared" si="18"/>
        <v>109999.11</v>
      </c>
      <c r="F172" s="165">
        <f t="shared" si="19"/>
        <v>100722</v>
      </c>
      <c r="G172" s="124">
        <f t="shared" si="17"/>
        <v>-9277.11</v>
      </c>
      <c r="N172" s="369"/>
    </row>
    <row r="173" spans="1:14">
      <c r="A173" s="1273"/>
      <c r="B173" s="1236"/>
      <c r="C173" s="436"/>
      <c r="D173" s="174"/>
      <c r="E173" s="183"/>
      <c r="F173" s="183"/>
      <c r="G173" s="124"/>
      <c r="N173" s="369"/>
    </row>
    <row r="174" spans="1:14">
      <c r="A174" s="1273" t="s">
        <v>337</v>
      </c>
      <c r="B174" s="1236"/>
      <c r="C174" s="436"/>
      <c r="D174" s="174" t="s">
        <v>186</v>
      </c>
      <c r="E174" s="183">
        <v>19168</v>
      </c>
      <c r="F174" s="183">
        <v>19171</v>
      </c>
      <c r="G174" s="124">
        <f t="shared" ref="G174:G176" si="20">F174-E174</f>
        <v>3</v>
      </c>
      <c r="N174" s="369"/>
    </row>
    <row r="175" spans="1:14">
      <c r="A175" s="1273" t="s">
        <v>337</v>
      </c>
      <c r="B175" s="1236"/>
      <c r="C175" s="436"/>
      <c r="D175" s="174" t="s">
        <v>186</v>
      </c>
      <c r="E175" s="183">
        <v>70611</v>
      </c>
      <c r="F175" s="183">
        <v>70618</v>
      </c>
      <c r="G175" s="124">
        <f t="shared" si="20"/>
        <v>7</v>
      </c>
      <c r="N175" s="369"/>
    </row>
    <row r="176" spans="1:14">
      <c r="A176" s="1273" t="s">
        <v>338</v>
      </c>
      <c r="B176" s="1236"/>
      <c r="C176" s="436"/>
      <c r="D176" s="174" t="s">
        <v>186</v>
      </c>
      <c r="E176" s="183">
        <v>27856</v>
      </c>
      <c r="F176" s="183">
        <v>27864</v>
      </c>
      <c r="G176" s="124">
        <f t="shared" si="20"/>
        <v>8</v>
      </c>
      <c r="N176" s="369"/>
    </row>
    <row r="177" spans="1:14" ht="18.75" customHeight="1">
      <c r="A177" s="1296" t="s">
        <v>382</v>
      </c>
      <c r="B177" s="1296"/>
      <c r="C177" s="1296"/>
      <c r="D177" s="1296"/>
      <c r="E177" s="1296"/>
      <c r="F177" s="1296"/>
      <c r="G177" s="1296"/>
      <c r="N177" s="369"/>
    </row>
    <row r="178" spans="1:14" ht="27.75" customHeight="1">
      <c r="A178" s="435"/>
      <c r="B178" s="436"/>
      <c r="C178" s="436"/>
      <c r="D178" s="174" t="s">
        <v>186</v>
      </c>
      <c r="E178" s="173">
        <f>'12'!F178</f>
        <v>0</v>
      </c>
      <c r="F178" s="193"/>
      <c r="G178" s="124">
        <f t="shared" ref="G178:G184" si="21">F178-E178</f>
        <v>0</v>
      </c>
      <c r="N178" s="369"/>
    </row>
    <row r="179" spans="1:14" ht="27.75" customHeight="1">
      <c r="A179" s="435" t="s">
        <v>383</v>
      </c>
      <c r="B179" s="436"/>
      <c r="C179" s="436"/>
      <c r="D179" s="174" t="s">
        <v>186</v>
      </c>
      <c r="E179" s="173">
        <f>'12'!F179</f>
        <v>2111.87</v>
      </c>
      <c r="F179" s="193"/>
      <c r="G179" s="124">
        <f t="shared" si="21"/>
        <v>-2111.87</v>
      </c>
      <c r="N179" s="369"/>
    </row>
    <row r="180" spans="1:14" ht="18" customHeight="1">
      <c r="A180" s="435" t="s">
        <v>384</v>
      </c>
      <c r="B180" s="436"/>
      <c r="C180" s="436"/>
      <c r="D180" s="174" t="s">
        <v>186</v>
      </c>
      <c r="E180" s="173">
        <f>'12'!F180</f>
        <v>905.7</v>
      </c>
      <c r="F180" s="193"/>
      <c r="G180" s="124">
        <f t="shared" si="21"/>
        <v>-905.7</v>
      </c>
      <c r="N180" s="369"/>
    </row>
    <row r="181" spans="1:14" ht="18.75" customHeight="1">
      <c r="A181" s="435" t="s">
        <v>385</v>
      </c>
      <c r="B181" s="436"/>
      <c r="C181" s="436"/>
      <c r="D181" s="174" t="s">
        <v>186</v>
      </c>
      <c r="E181" s="173">
        <f>'12'!F181</f>
        <v>136.15</v>
      </c>
      <c r="F181" s="193"/>
      <c r="G181" s="124">
        <f t="shared" si="21"/>
        <v>-136.15</v>
      </c>
      <c r="N181" s="369"/>
    </row>
    <row r="182" spans="1:14" ht="18.75" customHeight="1">
      <c r="A182" s="435" t="s">
        <v>386</v>
      </c>
      <c r="B182" s="436"/>
      <c r="C182" s="436"/>
      <c r="D182" s="174" t="s">
        <v>186</v>
      </c>
      <c r="E182" s="173">
        <f>'12'!F182</f>
        <v>665.6</v>
      </c>
      <c r="F182" s="193"/>
      <c r="G182" s="124">
        <f t="shared" si="21"/>
        <v>-665.6</v>
      </c>
      <c r="N182" s="369"/>
    </row>
    <row r="183" spans="1:14" ht="18" customHeight="1">
      <c r="A183" s="435" t="s">
        <v>387</v>
      </c>
      <c r="B183" s="436"/>
      <c r="C183" s="436"/>
      <c r="D183" s="174" t="s">
        <v>186</v>
      </c>
      <c r="E183" s="173">
        <f>'12'!F183</f>
        <v>2076.2600000000002</v>
      </c>
      <c r="F183" s="193"/>
      <c r="G183" s="124">
        <f t="shared" si="21"/>
        <v>-2076.2600000000002</v>
      </c>
      <c r="N183" s="369"/>
    </row>
    <row r="184" spans="1:14" ht="18" customHeight="1">
      <c r="A184" s="435" t="s">
        <v>388</v>
      </c>
      <c r="B184" s="436"/>
      <c r="C184" s="436"/>
      <c r="D184" s="174" t="s">
        <v>186</v>
      </c>
      <c r="E184" s="173">
        <f>'12'!F184</f>
        <v>3947.1</v>
      </c>
      <c r="F184" s="193"/>
      <c r="G184" s="124">
        <f t="shared" si="21"/>
        <v>-3947.1</v>
      </c>
      <c r="N184" s="369"/>
    </row>
    <row r="185" spans="1:14" ht="18" customHeight="1">
      <c r="N185" s="369"/>
    </row>
    <row r="186" spans="1:14" ht="18" customHeight="1">
      <c r="N186" s="369"/>
    </row>
    <row r="187" spans="1:14" ht="18" customHeight="1">
      <c r="N187" s="369"/>
    </row>
    <row r="188" spans="1:14" ht="18" customHeight="1">
      <c r="N188" s="369"/>
    </row>
    <row r="189" spans="1:14" ht="18" customHeight="1">
      <c r="N189" s="369"/>
    </row>
    <row r="190" spans="1:14" ht="18.75" customHeight="1">
      <c r="N190" s="369"/>
    </row>
    <row r="191" spans="1:14" ht="18.75" customHeight="1">
      <c r="N191" s="369"/>
    </row>
    <row r="192" spans="1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>
      <c r="N198" s="36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9"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7:G177"/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6"/>
  <sheetViews>
    <sheetView view="pageBreakPreview" topLeftCell="A151" zoomScale="50" zoomScaleSheetLayoutView="50" workbookViewId="0">
      <selection activeCell="F8" sqref="F8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50" t="s">
        <v>269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6" s="57" customFormat="1" ht="27">
      <c r="A2" s="226" t="s">
        <v>371</v>
      </c>
      <c r="B2" s="682">
        <v>44422</v>
      </c>
      <c r="C2" s="807" t="s">
        <v>68</v>
      </c>
      <c r="D2" s="262">
        <v>0.8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07" t="s">
        <v>119</v>
      </c>
      <c r="D3" s="263">
        <v>28</v>
      </c>
      <c r="E3" s="1259" t="s">
        <v>120</v>
      </c>
      <c r="F3" s="1260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07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'13'!F7</f>
        <v>899851</v>
      </c>
      <c r="F7" s="106">
        <v>920650</v>
      </c>
      <c r="G7" s="329">
        <f>F7-E7</f>
        <v>20799</v>
      </c>
      <c r="H7" s="330">
        <f>G7+'13'!H7</f>
        <v>621959</v>
      </c>
      <c r="I7" s="331">
        <f>'1'!I7</f>
        <v>12000</v>
      </c>
      <c r="J7" s="332">
        <f>H7/DAY(B2)</f>
        <v>44425.642857142855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'13'!F8</f>
        <v>595733.27</v>
      </c>
      <c r="F8" s="126">
        <f>E8+22500</f>
        <v>618233.27</v>
      </c>
      <c r="G8" s="340">
        <f>F8-E8</f>
        <v>22500</v>
      </c>
      <c r="H8" s="330">
        <f>G8+'13'!H8</f>
        <v>308661.27</v>
      </c>
      <c r="I8" s="337">
        <f>'1'!I8</f>
        <v>12000</v>
      </c>
      <c r="J8" s="332">
        <f>H8/DAY(B2)</f>
        <v>22047.233571428573</v>
      </c>
      <c r="K8" s="200"/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'13'!F9</f>
        <v>2979840</v>
      </c>
      <c r="F9" s="129">
        <v>2999980</v>
      </c>
      <c r="G9" s="353">
        <f t="shared" ref="G9:G12" si="0">F9-E9</f>
        <v>20140</v>
      </c>
      <c r="H9" s="330">
        <f>G9+'13'!H9</f>
        <v>2917450</v>
      </c>
      <c r="I9" s="341">
        <f>I7-J7</f>
        <v>-32425.642857142855</v>
      </c>
      <c r="J9" s="332">
        <f>H9/DAY(B2)</f>
        <v>208389.28571428571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'13'!F10</f>
        <v>2606.5500000000002</v>
      </c>
      <c r="F10" s="129">
        <v>2606.5500000000002</v>
      </c>
      <c r="G10" s="340">
        <f t="shared" si="0"/>
        <v>0</v>
      </c>
      <c r="H10" s="330">
        <f>G10+'13'!H10</f>
        <v>-0.4499999999998181</v>
      </c>
      <c r="I10" s="342"/>
      <c r="J10" s="332">
        <f>H10/DAY(B2)</f>
        <v>-3.214285714284415E-2</v>
      </c>
      <c r="K10" s="81"/>
      <c r="L10" s="68"/>
      <c r="N10" s="369"/>
      <c r="O10" s="67" t="s">
        <v>365</v>
      </c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G11+'13'!H11</f>
        <v>0</v>
      </c>
      <c r="I11" s="342"/>
      <c r="J11" s="332">
        <f>H11/DAY(B2)</f>
        <v>0</v>
      </c>
      <c r="K11" s="81"/>
      <c r="L11" s="68"/>
      <c r="N11" s="369"/>
      <c r="O11" s="73" t="s">
        <v>372</v>
      </c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G12+'13'!H12</f>
        <v>0</v>
      </c>
      <c r="I12" s="342"/>
      <c r="J12" s="332">
        <f>H12/DAY(B2)</f>
        <v>0</v>
      </c>
      <c r="K12" s="81"/>
      <c r="L12" s="68" t="s">
        <v>267</v>
      </c>
      <c r="N12" s="369"/>
      <c r="O12" s="73" t="s">
        <v>373</v>
      </c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20140</v>
      </c>
      <c r="H13" s="330">
        <f>G13+'13'!H13</f>
        <v>2873434.06</v>
      </c>
      <c r="I13" s="346">
        <f>G7-G13</f>
        <v>659</v>
      </c>
      <c r="J13" s="332">
        <f>H13/DAY(B2)</f>
        <v>205245.29</v>
      </c>
      <c r="K13" s="81"/>
      <c r="L13" s="68"/>
      <c r="N13" s="369"/>
      <c r="O13" s="376"/>
      <c r="P13" s="73"/>
    </row>
    <row r="14" spans="1:16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'13'!F15</f>
        <v>1740697</v>
      </c>
      <c r="F15" s="351">
        <v>1741789</v>
      </c>
      <c r="G15" s="315">
        <f>(F15-E15)</f>
        <v>1092</v>
      </c>
      <c r="H15" s="137">
        <f>G15+'13'!H15</f>
        <v>-14741</v>
      </c>
      <c r="I15" s="125">
        <v>800</v>
      </c>
      <c r="J15" s="204">
        <f>H15/DAY(B2)</f>
        <v>-1052.9285714285713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1852.9285714285713</v>
      </c>
      <c r="J16" s="204"/>
      <c r="K16" s="81"/>
      <c r="L16" s="68"/>
      <c r="N16" s="369"/>
      <c r="O16" s="376"/>
      <c r="P16" s="73"/>
    </row>
    <row r="17" spans="1:16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93" t="s">
        <v>142</v>
      </c>
      <c r="B18" s="1294"/>
      <c r="C18" s="1295"/>
      <c r="D18" s="288" t="s">
        <v>143</v>
      </c>
      <c r="E18" s="285">
        <f>'13'!F18</f>
        <v>18</v>
      </c>
      <c r="F18" s="129">
        <v>16</v>
      </c>
      <c r="G18" s="345">
        <f>F18*10</f>
        <v>160</v>
      </c>
      <c r="H18" s="330">
        <f>G18+'13'!H18</f>
        <v>2070</v>
      </c>
      <c r="I18" s="331">
        <f>'1'!I18</f>
        <v>65</v>
      </c>
      <c r="J18" s="332">
        <f>H18/DAY(B2)</f>
        <v>147.85714285714286</v>
      </c>
      <c r="K18" s="81"/>
      <c r="L18" s="68"/>
      <c r="N18" s="369"/>
      <c r="O18" s="376"/>
      <c r="P18" s="73"/>
    </row>
    <row r="19" spans="1:16" ht="27.75">
      <c r="A19" s="1293" t="s">
        <v>70</v>
      </c>
      <c r="B19" s="1294"/>
      <c r="C19" s="1295"/>
      <c r="D19" s="288" t="s">
        <v>143</v>
      </c>
      <c r="E19" s="285">
        <f>'13'!F19</f>
        <v>144203</v>
      </c>
      <c r="F19" s="129">
        <v>144266</v>
      </c>
      <c r="G19" s="340">
        <f t="shared" ref="G19" si="1">F19-E19</f>
        <v>63</v>
      </c>
      <c r="H19" s="330">
        <f>G19+'13'!H19</f>
        <v>-1072</v>
      </c>
      <c r="I19" s="347"/>
      <c r="J19" s="332">
        <f>H19/DAY(B2)</f>
        <v>-76.571428571428569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223</v>
      </c>
      <c r="H20" s="330">
        <f>G20+'13'!H20</f>
        <v>998</v>
      </c>
      <c r="I20" s="349">
        <f>I18-J20</f>
        <v>-6.2857142857142918</v>
      </c>
      <c r="J20" s="332">
        <f>H20/DAY(B2)</f>
        <v>71.285714285714292</v>
      </c>
      <c r="K20" s="81"/>
      <c r="L20" s="68"/>
      <c r="N20" s="369"/>
      <c r="O20" s="376"/>
      <c r="P20" s="73"/>
    </row>
    <row r="21" spans="1:16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00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00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22500</v>
      </c>
      <c r="F27" s="152">
        <v>9</v>
      </c>
      <c r="G27" s="153">
        <f>E27*F27</f>
        <v>202500</v>
      </c>
      <c r="H27" s="111">
        <f>G27+'13'!H27</f>
        <v>2777951.43</v>
      </c>
      <c r="I27" s="154"/>
      <c r="J27" s="203">
        <f>H27/DAY(B2)</f>
        <v>198425.10214285715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1092</v>
      </c>
      <c r="F28" s="152">
        <v>56.2</v>
      </c>
      <c r="G28" s="153">
        <f>E28*F28</f>
        <v>61370.400000000001</v>
      </c>
      <c r="H28" s="111">
        <f>G28+'13'!H28</f>
        <v>-831481.2873999998</v>
      </c>
      <c r="I28" s="156"/>
      <c r="J28" s="203">
        <f>H28/DAY(B2)</f>
        <v>-59391.520528571411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111">
        <f>G30+'13'!H30</f>
        <v>-156512</v>
      </c>
      <c r="I30" s="156"/>
      <c r="J30" s="203">
        <f>H30/DAY(B2)</f>
        <v>-11179.428571428571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G31+'13'!H31</f>
        <v>165600</v>
      </c>
      <c r="I31" s="156"/>
      <c r="J31" s="203">
        <f>H31/DAY(B2)</f>
        <v>11828.571428571429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285868.40000000002</v>
      </c>
      <c r="H32" s="111">
        <f>G32+'13'!H32</f>
        <v>1955558.1426000008</v>
      </c>
      <c r="I32" s="160"/>
      <c r="J32" s="203">
        <f>H32/DAY(B2)</f>
        <v>139682.72447142864</v>
      </c>
      <c r="K32" s="65"/>
      <c r="L32" s="94"/>
      <c r="N32" s="369"/>
      <c r="O32" s="376"/>
      <c r="P32" s="73"/>
    </row>
    <row r="33" spans="1:16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369"/>
      <c r="O33" s="376"/>
      <c r="P33" s="73"/>
    </row>
    <row r="34" spans="1:16">
      <c r="A34" s="249" t="s">
        <v>162</v>
      </c>
      <c r="B34" s="802"/>
      <c r="C34" s="802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'13'!F35</f>
        <v>1058596</v>
      </c>
      <c r="F35" s="161">
        <v>1058596</v>
      </c>
      <c r="G35" s="124">
        <f t="shared" ref="G35:G46" si="3">F35-E35</f>
        <v>0</v>
      </c>
      <c r="H35" s="111">
        <f>G35+'13'!H35</f>
        <v>-1</v>
      </c>
      <c r="I35" s="106"/>
      <c r="J35" s="203">
        <f>H35/DAY(B2)</f>
        <v>-7.1428571428571425E-2</v>
      </c>
      <c r="K35" s="81"/>
      <c r="L35" s="68"/>
      <c r="N35" s="369"/>
      <c r="O35" s="377" t="s">
        <v>267</v>
      </c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'13'!F36</f>
        <v>56383.6</v>
      </c>
      <c r="F36" s="161">
        <v>57017</v>
      </c>
      <c r="G36" s="124">
        <f t="shared" si="3"/>
        <v>633.40000000000146</v>
      </c>
      <c r="H36" s="111">
        <f>G36+'13'!H36</f>
        <v>55184</v>
      </c>
      <c r="I36" s="106"/>
      <c r="J36" s="203">
        <f>H36/DAY(B2)</f>
        <v>3941.7142857142858</v>
      </c>
      <c r="K36" s="81"/>
      <c r="L36" s="68"/>
      <c r="N36" s="370"/>
      <c r="O36" s="377" t="s">
        <v>270</v>
      </c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'13'!F37</f>
        <v>246985</v>
      </c>
      <c r="F37" s="161">
        <v>248539</v>
      </c>
      <c r="G37" s="124">
        <f t="shared" si="3"/>
        <v>1554</v>
      </c>
      <c r="H37" s="111">
        <f>G37+'13'!H37</f>
        <v>244764</v>
      </c>
      <c r="I37" s="106"/>
      <c r="J37" s="203">
        <f>H37/DAY(B2)</f>
        <v>17483.142857142859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'13'!F38</f>
        <v>270661</v>
      </c>
      <c r="F38" s="120">
        <v>272378</v>
      </c>
      <c r="G38" s="124">
        <f t="shared" si="3"/>
        <v>1717</v>
      </c>
      <c r="H38" s="111">
        <f>G38+'13'!H38</f>
        <v>267555</v>
      </c>
      <c r="I38" s="106"/>
      <c r="J38" s="203">
        <f>H38/DAY(B2)</f>
        <v>19111.071428571428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'13'!F39</f>
        <v>569539</v>
      </c>
      <c r="F39" s="161">
        <v>573213</v>
      </c>
      <c r="G39" s="124">
        <f t="shared" si="3"/>
        <v>3674</v>
      </c>
      <c r="H39" s="111">
        <f>G39+'13'!H39</f>
        <v>569371</v>
      </c>
      <c r="I39" s="106"/>
      <c r="J39" s="203">
        <f>H39/DAY(B2)</f>
        <v>40669.357142857145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'13'!F40</f>
        <v>26525</v>
      </c>
      <c r="F40" s="161">
        <v>26877</v>
      </c>
      <c r="G40" s="124">
        <f t="shared" si="3"/>
        <v>352</v>
      </c>
      <c r="H40" s="111">
        <f>G40+'13'!H40</f>
        <v>27034.400000000001</v>
      </c>
      <c r="I40" s="106"/>
      <c r="J40" s="203">
        <f>H40/DAY(B2)</f>
        <v>1931.0285714285715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 t="s">
        <v>214</v>
      </c>
      <c r="D41" s="174" t="s">
        <v>131</v>
      </c>
      <c r="E41" s="161">
        <f>'13'!F41</f>
        <v>395856</v>
      </c>
      <c r="F41" s="161">
        <v>401559</v>
      </c>
      <c r="G41" s="124">
        <f t="shared" si="3"/>
        <v>5703</v>
      </c>
      <c r="H41" s="111">
        <f>G41+'13'!H41</f>
        <v>-31722.789999999979</v>
      </c>
      <c r="I41" s="106"/>
      <c r="J41" s="203">
        <f>H41/DAY(B2)</f>
        <v>-2265.9135714285699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'13'!F42</f>
        <v>147899</v>
      </c>
      <c r="F42" s="161">
        <v>147899</v>
      </c>
      <c r="G42" s="124">
        <f t="shared" si="3"/>
        <v>0</v>
      </c>
      <c r="H42" s="111">
        <f>G42+'13'!H42</f>
        <v>-27213</v>
      </c>
      <c r="I42" s="106"/>
      <c r="J42" s="203">
        <f>H42/DAY(B2)</f>
        <v>-1943.7857142857142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'13'!F43</f>
        <v>1241590</v>
      </c>
      <c r="F43" s="161">
        <v>1244080</v>
      </c>
      <c r="G43" s="124">
        <f t="shared" si="3"/>
        <v>2490</v>
      </c>
      <c r="H43" s="111">
        <f>G43+'13'!H43</f>
        <v>-45665</v>
      </c>
      <c r="I43" s="106"/>
      <c r="J43" s="203">
        <f>H43/DAY(B2)</f>
        <v>-3261.7857142857142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16123.400000000001</v>
      </c>
      <c r="H47" s="111">
        <f>G47+'13'!H47</f>
        <v>1060108.1000000001</v>
      </c>
      <c r="I47" s="106"/>
      <c r="J47" s="203">
        <f>H47/DAY(B2)</f>
        <v>75722.007142857154</v>
      </c>
      <c r="K47" s="81"/>
      <c r="L47" s="68"/>
      <c r="N47" s="369"/>
      <c r="O47" s="376"/>
      <c r="P47" s="73"/>
    </row>
    <row r="48" spans="1:16">
      <c r="A48" s="249" t="s">
        <v>176</v>
      </c>
      <c r="B48" s="802"/>
      <c r="C48" s="802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'13'!F49</f>
        <v>363707</v>
      </c>
      <c r="F49" s="161">
        <v>366771</v>
      </c>
      <c r="G49" s="124">
        <f t="shared" ref="G49:G58" si="4">F49-E49</f>
        <v>3064</v>
      </c>
      <c r="H49" s="111">
        <f>G49+'13'!H49</f>
        <v>349991</v>
      </c>
      <c r="I49" s="106"/>
      <c r="J49" s="203">
        <f>H49/DAY(B2)</f>
        <v>24999.357142857141</v>
      </c>
      <c r="K49" s="81"/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'13'!F50</f>
        <v>584921</v>
      </c>
      <c r="F50" s="161">
        <v>585907</v>
      </c>
      <c r="G50" s="124">
        <f t="shared" si="4"/>
        <v>986</v>
      </c>
      <c r="H50" s="111">
        <f>G50+'13'!H50</f>
        <v>-22311</v>
      </c>
      <c r="I50" s="106"/>
      <c r="J50" s="203">
        <f>H50/DAY(B2)</f>
        <v>-1593.6428571428571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'13'!F51</f>
        <v>144639.87</v>
      </c>
      <c r="F51" s="161">
        <v>144639.87</v>
      </c>
      <c r="G51" s="124">
        <f t="shared" si="4"/>
        <v>0</v>
      </c>
      <c r="H51" s="111">
        <f>G51+'13'!H51</f>
        <v>144639.87</v>
      </c>
      <c r="I51" s="106"/>
      <c r="J51" s="203">
        <f>H51/DAY(B2)</f>
        <v>10331.419285714286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'13'!F52</f>
        <v>539606.06999999995</v>
      </c>
      <c r="F52" s="161">
        <v>539606.06999999995</v>
      </c>
      <c r="G52" s="124">
        <f t="shared" si="4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'13'!F53</f>
        <v>434232</v>
      </c>
      <c r="F53" s="161">
        <v>434231.59</v>
      </c>
      <c r="G53" s="124">
        <f t="shared" si="4"/>
        <v>-0.40999999997438863</v>
      </c>
      <c r="H53" s="111">
        <f>G53+'13'!H53</f>
        <v>434231.59</v>
      </c>
      <c r="I53" s="106"/>
      <c r="J53" s="203">
        <f>H53/DAY(B2)</f>
        <v>31016.542142857146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'13'!F54</f>
        <v>14967</v>
      </c>
      <c r="F54" s="161">
        <v>14967</v>
      </c>
      <c r="G54" s="124">
        <f t="shared" si="4"/>
        <v>0</v>
      </c>
      <c r="H54" s="111">
        <f>G54+'13'!H54</f>
        <v>12502</v>
      </c>
      <c r="I54" s="106"/>
      <c r="J54" s="203">
        <f>H54/DAY(B2)</f>
        <v>893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'13'!F55</f>
        <v>264363</v>
      </c>
      <c r="F55" s="304">
        <v>264669</v>
      </c>
      <c r="G55" s="303">
        <f t="shared" si="4"/>
        <v>306</v>
      </c>
      <c r="H55" s="356">
        <f>G55+'13'!H55</f>
        <v>-42629.989999999991</v>
      </c>
      <c r="I55" s="357"/>
      <c r="J55" s="358">
        <f>H55/DAY(B2)</f>
        <v>-3044.9992857142852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'13'!F56</f>
        <v>649506</v>
      </c>
      <c r="F56" s="304">
        <v>649519</v>
      </c>
      <c r="G56" s="124">
        <f t="shared" si="4"/>
        <v>13</v>
      </c>
      <c r="H56" s="111">
        <f>G56+'13'!H56</f>
        <v>-11512</v>
      </c>
      <c r="I56" s="106"/>
      <c r="J56" s="203">
        <f>H56/DAY(B2)</f>
        <v>-822.28571428571433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4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'13'!F58</f>
        <v>62363.8</v>
      </c>
      <c r="F58" s="304">
        <v>62561.7</v>
      </c>
      <c r="G58" s="124">
        <f t="shared" si="4"/>
        <v>197.89999999999418</v>
      </c>
      <c r="H58" s="111">
        <f>G58+'13'!H58</f>
        <v>-3621.3000000000029</v>
      </c>
      <c r="I58" s="106"/>
      <c r="J58" s="203">
        <f>H58/DAY(B2)</f>
        <v>-258.66428571428594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4566.4900000000198</v>
      </c>
      <c r="H59" s="111">
        <f>G59+'13'!H59</f>
        <v>1400896.5699999998</v>
      </c>
      <c r="I59" s="106">
        <f>G7-G60</f>
        <v>109.10999999997875</v>
      </c>
      <c r="J59" s="203">
        <f>H59/DAY(B2)</f>
        <v>100064.0407142857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20689.890000000021</v>
      </c>
      <c r="H60" s="111">
        <f>G60+'13'!H60</f>
        <v>2467693.67</v>
      </c>
      <c r="I60" s="106">
        <f>G13-G60</f>
        <v>-549.89000000002125</v>
      </c>
      <c r="J60" s="203">
        <f>H60/DAY(B2)</f>
        <v>176263.83357142858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'13'!F63</f>
        <v>0</v>
      </c>
      <c r="F63" s="165">
        <v>0</v>
      </c>
      <c r="G63" s="124">
        <f t="shared" si="5"/>
        <v>0</v>
      </c>
      <c r="H63" s="111">
        <f>G63+'13'!H63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226" t="s">
        <v>98</v>
      </c>
      <c r="B64" s="1227"/>
      <c r="C64" s="1228"/>
      <c r="D64" s="174" t="s">
        <v>186</v>
      </c>
      <c r="E64" s="165">
        <f>'13'!F64</f>
        <v>186858</v>
      </c>
      <c r="F64" s="129">
        <v>187217</v>
      </c>
      <c r="G64" s="124">
        <f t="shared" si="5"/>
        <v>359</v>
      </c>
      <c r="H64" s="111">
        <f>G64+'13'!H64</f>
        <v>-7000</v>
      </c>
      <c r="I64" s="131"/>
      <c r="J64" s="203">
        <f>H64/DAY(B2)</f>
        <v>-500</v>
      </c>
      <c r="K64" s="81"/>
      <c r="L64" s="68"/>
      <c r="N64" s="369"/>
      <c r="O64" s="376"/>
      <c r="P64" s="73"/>
    </row>
    <row r="65" spans="1:16" ht="27.75">
      <c r="A65" s="1226" t="s">
        <v>99</v>
      </c>
      <c r="B65" s="1227"/>
      <c r="C65" s="1228"/>
      <c r="D65" s="174" t="s">
        <v>186</v>
      </c>
      <c r="E65" s="165">
        <f>'13'!F65</f>
        <v>187394</v>
      </c>
      <c r="F65" s="302">
        <v>187420</v>
      </c>
      <c r="G65" s="124">
        <f t="shared" si="5"/>
        <v>26</v>
      </c>
      <c r="H65" s="111">
        <f>G65+'13'!H65</f>
        <v>-7209</v>
      </c>
      <c r="I65" s="140"/>
      <c r="J65" s="203">
        <f>H65/DAY(B2)</f>
        <v>-514.92857142857144</v>
      </c>
      <c r="K65" s="81"/>
      <c r="L65" s="68"/>
      <c r="N65" s="369"/>
      <c r="O65" s="377"/>
      <c r="P65" s="73"/>
    </row>
    <row r="66" spans="1:16" ht="27.75">
      <c r="A66" s="1226" t="s">
        <v>100</v>
      </c>
      <c r="B66" s="1227"/>
      <c r="C66" s="1228"/>
      <c r="D66" s="174" t="s">
        <v>186</v>
      </c>
      <c r="E66" s="165">
        <f>'13'!F66</f>
        <v>85921</v>
      </c>
      <c r="F66" s="129">
        <v>86329</v>
      </c>
      <c r="G66" s="124">
        <f t="shared" si="5"/>
        <v>408</v>
      </c>
      <c r="H66" s="111">
        <f>G66+'13'!H66</f>
        <v>-6988</v>
      </c>
      <c r="I66" s="131"/>
      <c r="J66" s="203">
        <f>H66/DAY(B2)</f>
        <v>-499.14285714285717</v>
      </c>
      <c r="K66" s="81"/>
      <c r="L66" s="68"/>
      <c r="N66" s="369"/>
      <c r="O66" s="376"/>
      <c r="P66" s="73"/>
    </row>
    <row r="67" spans="1:16" ht="27.75">
      <c r="A67" s="1226" t="s">
        <v>101</v>
      </c>
      <c r="B67" s="1227"/>
      <c r="C67" s="1228"/>
      <c r="D67" s="174" t="s">
        <v>186</v>
      </c>
      <c r="E67" s="165">
        <f>'13'!F67</f>
        <v>286352</v>
      </c>
      <c r="F67" s="129">
        <v>286818</v>
      </c>
      <c r="G67" s="124">
        <f t="shared" si="5"/>
        <v>466</v>
      </c>
      <c r="H67" s="111">
        <f>G67+'13'!H67</f>
        <v>-8073</v>
      </c>
      <c r="I67" s="140"/>
      <c r="J67" s="203">
        <f>H67/DAY(B2)</f>
        <v>-576.64285714285711</v>
      </c>
      <c r="K67" s="82"/>
      <c r="L67" s="68"/>
      <c r="N67" s="369"/>
      <c r="O67" s="376"/>
      <c r="P67" s="73"/>
    </row>
    <row r="68" spans="1:16" ht="27.75">
      <c r="A68" s="1226" t="s">
        <v>102</v>
      </c>
      <c r="B68" s="1227"/>
      <c r="C68" s="1228"/>
      <c r="D68" s="174" t="s">
        <v>186</v>
      </c>
      <c r="E68" s="165">
        <f>'13'!F68</f>
        <v>85321</v>
      </c>
      <c r="F68" s="129">
        <v>85321</v>
      </c>
      <c r="G68" s="124">
        <f t="shared" si="5"/>
        <v>0</v>
      </c>
      <c r="H68" s="111">
        <f>G68+'13'!H68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226" t="s">
        <v>103</v>
      </c>
      <c r="B69" s="1227"/>
      <c r="C69" s="1228"/>
      <c r="D69" s="174" t="s">
        <v>186</v>
      </c>
      <c r="E69" s="165">
        <f>'13'!F69</f>
        <v>100722</v>
      </c>
      <c r="F69" s="129">
        <v>101025</v>
      </c>
      <c r="G69" s="124">
        <f t="shared" si="5"/>
        <v>303</v>
      </c>
      <c r="H69" s="111">
        <f>G69+'13'!H69</f>
        <v>-5381</v>
      </c>
      <c r="I69" s="167"/>
      <c r="J69" s="203">
        <f>H69/DAY(B2)</f>
        <v>-384.35714285714283</v>
      </c>
      <c r="K69" s="84"/>
      <c r="L69" s="68"/>
      <c r="N69" s="369"/>
      <c r="O69" s="376"/>
      <c r="P69" s="73"/>
    </row>
    <row r="70" spans="1:16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369"/>
      <c r="O71" s="376"/>
      <c r="P71" s="73"/>
    </row>
    <row r="72" spans="1:16" ht="27.75">
      <c r="A72" s="1226" t="s">
        <v>190</v>
      </c>
      <c r="B72" s="1227"/>
      <c r="C72" s="1228"/>
      <c r="D72" s="174" t="s">
        <v>186</v>
      </c>
      <c r="E72" s="170">
        <f>'13'!F72</f>
        <v>856782</v>
      </c>
      <c r="F72" s="305">
        <v>856794</v>
      </c>
      <c r="G72" s="124">
        <f t="shared" ref="G72" si="6">F72-E72</f>
        <v>12</v>
      </c>
      <c r="H72" s="111">
        <f>G72+'12'!H72</f>
        <v>87</v>
      </c>
      <c r="I72" s="131"/>
      <c r="J72" s="203">
        <f>H72/DAY(B2)</f>
        <v>6.2142857142857144</v>
      </c>
      <c r="K72" s="84"/>
      <c r="L72" s="68"/>
      <c r="N72" s="369"/>
      <c r="O72" s="376"/>
      <c r="P72" s="73"/>
    </row>
    <row r="73" spans="1:16" ht="27.75">
      <c r="A73" s="1226" t="s">
        <v>191</v>
      </c>
      <c r="B73" s="1227"/>
      <c r="C73" s="1228"/>
      <c r="D73" s="174" t="s">
        <v>186</v>
      </c>
      <c r="E73" s="170">
        <f>'13'!F73</f>
        <v>886029</v>
      </c>
      <c r="F73" s="306">
        <v>886030</v>
      </c>
      <c r="G73" s="303">
        <f t="shared" ref="G73:G84" si="7">F73-E73</f>
        <v>1</v>
      </c>
      <c r="H73" s="111">
        <f>G73+'13'!H73</f>
        <v>-21</v>
      </c>
      <c r="I73" s="131"/>
      <c r="J73" s="203">
        <f>H73/DAY(B2)</f>
        <v>-1.5</v>
      </c>
      <c r="K73" s="83"/>
      <c r="L73" s="68"/>
      <c r="N73" s="369"/>
      <c r="O73" s="376"/>
      <c r="P73" s="73"/>
    </row>
    <row r="74" spans="1:16" ht="27.75">
      <c r="A74" s="1226" t="s">
        <v>192</v>
      </c>
      <c r="B74" s="1227"/>
      <c r="C74" s="1228"/>
      <c r="D74" s="174" t="s">
        <v>186</v>
      </c>
      <c r="E74" s="170">
        <v>88679</v>
      </c>
      <c r="F74" s="306">
        <v>88751</v>
      </c>
      <c r="G74" s="124">
        <f t="shared" si="7"/>
        <v>72</v>
      </c>
      <c r="H74" s="111">
        <f>G74+'13'!H74</f>
        <v>61</v>
      </c>
      <c r="I74" s="131"/>
      <c r="J74" s="203">
        <f>H74/DAY(B2)</f>
        <v>4.3571428571428568</v>
      </c>
      <c r="K74" s="84"/>
      <c r="L74" s="68"/>
      <c r="N74" s="369"/>
      <c r="O74" s="376"/>
      <c r="P74" s="73"/>
    </row>
    <row r="75" spans="1:16" ht="27.75">
      <c r="A75" s="1229" t="s">
        <v>193</v>
      </c>
      <c r="B75" s="1230"/>
      <c r="C75" s="1231"/>
      <c r="D75" s="174" t="s">
        <v>186</v>
      </c>
      <c r="E75" s="170">
        <f>'13'!F75</f>
        <v>23134.7</v>
      </c>
      <c r="F75" s="306">
        <v>23311.5</v>
      </c>
      <c r="G75" s="124">
        <f t="shared" si="7"/>
        <v>176.79999999999927</v>
      </c>
      <c r="H75" s="111">
        <f>G75+'13'!H75</f>
        <v>-2996.5</v>
      </c>
      <c r="I75" s="131"/>
      <c r="J75" s="203">
        <f>H75/DAY(B2)</f>
        <v>-214.03571428571428</v>
      </c>
      <c r="K75" s="83"/>
      <c r="L75" s="68"/>
      <c r="N75" s="369"/>
      <c r="O75" s="376"/>
      <c r="P75" s="73"/>
    </row>
    <row r="76" spans="1:16" ht="27.75">
      <c r="A76" s="1229" t="s">
        <v>194</v>
      </c>
      <c r="B76" s="1230"/>
      <c r="C76" s="1231"/>
      <c r="D76" s="174" t="s">
        <v>186</v>
      </c>
      <c r="E76" s="170">
        <f>'13'!F76</f>
        <v>12113.1</v>
      </c>
      <c r="F76" s="306">
        <v>12165</v>
      </c>
      <c r="G76" s="124">
        <f t="shared" si="7"/>
        <v>51.899999999999636</v>
      </c>
      <c r="H76" s="111">
        <f>G76+'13'!H76</f>
        <v>-1112</v>
      </c>
      <c r="I76" s="156"/>
      <c r="J76" s="203">
        <f>H76/DAY(B2)</f>
        <v>-79.428571428571431</v>
      </c>
      <c r="K76" s="83"/>
      <c r="L76" s="68"/>
      <c r="N76" s="369"/>
      <c r="O76" s="376"/>
      <c r="P76" s="73"/>
    </row>
    <row r="77" spans="1:16" ht="27.75">
      <c r="A77" s="1226" t="s">
        <v>195</v>
      </c>
      <c r="B77" s="1227"/>
      <c r="C77" s="1228"/>
      <c r="D77" s="174" t="s">
        <v>186</v>
      </c>
      <c r="E77" s="170">
        <f>'13'!F77</f>
        <v>707291</v>
      </c>
      <c r="F77" s="306">
        <v>707342</v>
      </c>
      <c r="G77" s="303">
        <f t="shared" si="7"/>
        <v>51</v>
      </c>
      <c r="H77" s="111">
        <f>G77+'13'!H77</f>
        <v>-947</v>
      </c>
      <c r="I77" s="156"/>
      <c r="J77" s="203">
        <f>H77/DAY(B2)</f>
        <v>-67.642857142857139</v>
      </c>
      <c r="K77" s="83"/>
      <c r="L77" s="68"/>
      <c r="N77" s="369"/>
      <c r="O77" s="376"/>
      <c r="P77" s="73"/>
    </row>
    <row r="78" spans="1:16" ht="27.75">
      <c r="A78" s="803" t="s">
        <v>196</v>
      </c>
      <c r="B78" s="799"/>
      <c r="C78" s="799"/>
      <c r="D78" s="174" t="s">
        <v>186</v>
      </c>
      <c r="E78" s="170">
        <f>'13'!F78</f>
        <v>680371</v>
      </c>
      <c r="F78" s="307">
        <v>680454</v>
      </c>
      <c r="G78" s="124">
        <f t="shared" si="7"/>
        <v>83</v>
      </c>
      <c r="H78" s="111">
        <f>G78+'13'!H78</f>
        <v>-1959</v>
      </c>
      <c r="I78" s="156"/>
      <c r="J78" s="203">
        <f>H78/DAY(B2)</f>
        <v>-139.92857142857142</v>
      </c>
      <c r="K78" s="83"/>
      <c r="L78" s="68"/>
      <c r="N78" s="369"/>
      <c r="O78" s="376"/>
      <c r="P78" s="73"/>
    </row>
    <row r="79" spans="1:16" ht="27.75">
      <c r="A79" s="1229" t="s">
        <v>91</v>
      </c>
      <c r="B79" s="1230"/>
      <c r="C79" s="1231"/>
      <c r="D79" s="175" t="s">
        <v>186</v>
      </c>
      <c r="E79" s="170">
        <f>'13'!F79</f>
        <v>842200</v>
      </c>
      <c r="F79" s="307">
        <v>842366</v>
      </c>
      <c r="G79" s="124">
        <f t="shared" si="7"/>
        <v>166</v>
      </c>
      <c r="H79" s="111">
        <f>G79+'13'!H79</f>
        <v>-2683</v>
      </c>
      <c r="I79" s="156"/>
      <c r="J79" s="203">
        <f>H79/DAY(B2)</f>
        <v>-191.64285714285714</v>
      </c>
      <c r="K79" s="83"/>
      <c r="L79" s="68"/>
      <c r="N79" s="369"/>
      <c r="O79" s="376"/>
      <c r="P79" s="73"/>
    </row>
    <row r="80" spans="1:16" ht="27.75">
      <c r="A80" s="1229" t="s">
        <v>197</v>
      </c>
      <c r="B80" s="1230"/>
      <c r="C80" s="1231"/>
      <c r="D80" s="175" t="s">
        <v>186</v>
      </c>
      <c r="E80" s="170">
        <f>'13'!F80</f>
        <v>557191</v>
      </c>
      <c r="F80" s="306">
        <v>557605</v>
      </c>
      <c r="G80" s="124">
        <f t="shared" si="7"/>
        <v>414</v>
      </c>
      <c r="H80" s="111">
        <f>G80+'13'!H80</f>
        <v>-6693</v>
      </c>
      <c r="I80" s="156"/>
      <c r="J80" s="203">
        <f>H80/DAY(B2)</f>
        <v>-478.07142857142856</v>
      </c>
      <c r="K80" s="83"/>
      <c r="L80" s="68"/>
      <c r="N80" s="369"/>
      <c r="O80" s="376"/>
      <c r="P80" s="73"/>
    </row>
    <row r="81" spans="1:16" ht="27.75">
      <c r="A81" s="1229" t="s">
        <v>198</v>
      </c>
      <c r="B81" s="1230"/>
      <c r="C81" s="1231"/>
      <c r="D81" s="175" t="s">
        <v>186</v>
      </c>
      <c r="E81" s="170">
        <f>'13'!F81</f>
        <v>651208</v>
      </c>
      <c r="F81" s="306">
        <v>651380</v>
      </c>
      <c r="G81" s="124">
        <f t="shared" si="7"/>
        <v>172</v>
      </c>
      <c r="H81" s="111">
        <f>G81+'13'!H81</f>
        <v>-2798</v>
      </c>
      <c r="I81" s="156"/>
      <c r="J81" s="203">
        <f>H81/DAY(B2)</f>
        <v>-199.85714285714286</v>
      </c>
      <c r="K81" s="83"/>
      <c r="L81" s="68"/>
      <c r="N81" s="369"/>
      <c r="O81" s="376"/>
      <c r="P81" s="73"/>
    </row>
    <row r="82" spans="1:16" ht="27.75">
      <c r="A82" s="1229" t="s">
        <v>92</v>
      </c>
      <c r="B82" s="1230"/>
      <c r="C82" s="1231"/>
      <c r="D82" s="136" t="s">
        <v>131</v>
      </c>
      <c r="E82" s="170">
        <f>'13'!F82</f>
        <v>109581</v>
      </c>
      <c r="F82" s="302">
        <v>109602</v>
      </c>
      <c r="G82" s="124">
        <f t="shared" si="7"/>
        <v>21</v>
      </c>
      <c r="H82" s="111">
        <f>G82+'13'!H82</f>
        <v>109825</v>
      </c>
      <c r="I82" s="137"/>
      <c r="J82" s="203">
        <f>H82/DAY(B2)</f>
        <v>7844.6428571428569</v>
      </c>
      <c r="K82" s="83"/>
      <c r="L82" s="68"/>
      <c r="N82" s="369"/>
      <c r="O82" s="376"/>
      <c r="P82" s="73"/>
    </row>
    <row r="83" spans="1:16" ht="27.75">
      <c r="A83" s="1229" t="s">
        <v>199</v>
      </c>
      <c r="B83" s="1230"/>
      <c r="C83" s="1231"/>
      <c r="D83" s="271" t="s">
        <v>131</v>
      </c>
      <c r="E83" s="170">
        <f>'13'!F83</f>
        <v>39063</v>
      </c>
      <c r="F83" s="162">
        <v>39360</v>
      </c>
      <c r="G83" s="124">
        <f t="shared" si="7"/>
        <v>297</v>
      </c>
      <c r="H83" s="111">
        <f>G83+'13'!H83</f>
        <v>-4963</v>
      </c>
      <c r="I83" s="132"/>
      <c r="J83" s="203">
        <f>H83/DAY(B2)</f>
        <v>-354.5</v>
      </c>
      <c r="K83" s="82"/>
      <c r="L83" s="68"/>
      <c r="N83" s="369"/>
      <c r="O83" s="376"/>
      <c r="P83" s="73"/>
    </row>
    <row r="84" spans="1:16">
      <c r="A84" s="806" t="s">
        <v>200</v>
      </c>
      <c r="B84" s="222"/>
      <c r="C84" s="222"/>
      <c r="D84" s="129" t="s">
        <v>131</v>
      </c>
      <c r="E84" s="170">
        <f>'13'!F84</f>
        <v>557353</v>
      </c>
      <c r="F84" s="278">
        <v>558160</v>
      </c>
      <c r="G84" s="124">
        <f t="shared" si="7"/>
        <v>807</v>
      </c>
      <c r="H84" s="111">
        <f>G84+'13'!H84</f>
        <v>-12219</v>
      </c>
      <c r="I84" s="132"/>
      <c r="J84" s="203">
        <f>H84/DAY(B2)</f>
        <v>-872.78571428571433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2324.6999999999989</v>
      </c>
      <c r="H85" s="111">
        <f>G85+'13'!H85</f>
        <v>73266.5</v>
      </c>
      <c r="I85" s="132"/>
      <c r="J85" s="203">
        <f>H85/DAY(B2)</f>
        <v>5233.3214285714284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'13'!F86</f>
        <v>463107</v>
      </c>
      <c r="F86" s="298">
        <v>463115</v>
      </c>
      <c r="G86" s="356">
        <f t="shared" ref="G86:G91" si="8">F86-E86</f>
        <v>8</v>
      </c>
      <c r="H86" s="356">
        <f t="shared" ref="H86:H88" si="9">G86</f>
        <v>8</v>
      </c>
      <c r="I86" s="303"/>
      <c r="J86" s="358">
        <f>H86/DAY(B2)</f>
        <v>0.5714285714285714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'13'!F87</f>
        <v>83349</v>
      </c>
      <c r="F87" s="298">
        <v>83373</v>
      </c>
      <c r="G87" s="356">
        <f t="shared" si="8"/>
        <v>24</v>
      </c>
      <c r="H87" s="356">
        <f t="shared" si="9"/>
        <v>24</v>
      </c>
      <c r="I87" s="303"/>
      <c r="J87" s="358">
        <f>H87/DAY(B2)</f>
        <v>1.7142857142857142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'13'!F88</f>
        <v>158212</v>
      </c>
      <c r="F88" s="298">
        <v>158212</v>
      </c>
      <c r="G88" s="356">
        <f t="shared" si="8"/>
        <v>0</v>
      </c>
      <c r="H88" s="356">
        <f t="shared" si="9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'13'!F89</f>
        <v>67845</v>
      </c>
      <c r="F89" s="298">
        <v>67891</v>
      </c>
      <c r="G89" s="356">
        <f t="shared" si="8"/>
        <v>46</v>
      </c>
      <c r="H89" s="356">
        <f>G89</f>
        <v>46</v>
      </c>
      <c r="I89" s="303"/>
      <c r="J89" s="358">
        <f>H89/DAY(B2)</f>
        <v>3.2857142857142856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'13'!F90</f>
        <v>3524</v>
      </c>
      <c r="F90" s="298">
        <v>3525</v>
      </c>
      <c r="G90" s="356">
        <f t="shared" si="8"/>
        <v>1</v>
      </c>
      <c r="H90" s="356">
        <f>G90</f>
        <v>1</v>
      </c>
      <c r="I90" s="303"/>
      <c r="J90" s="358">
        <f>H90/DAY(B2)</f>
        <v>7.1428571428571425E-2</v>
      </c>
      <c r="K90" s="384"/>
      <c r="L90" s="385"/>
      <c r="N90" s="428"/>
      <c r="O90" s="73"/>
    </row>
    <row r="91" spans="1:16" s="386" customFormat="1">
      <c r="A91" s="381" t="s">
        <v>335</v>
      </c>
      <c r="B91" s="382"/>
      <c r="C91" s="382"/>
      <c r="D91" s="383"/>
      <c r="E91" s="278">
        <f>'13'!F91</f>
        <v>28613</v>
      </c>
      <c r="F91" s="298">
        <v>28618</v>
      </c>
      <c r="G91" s="356">
        <f t="shared" si="8"/>
        <v>5</v>
      </c>
      <c r="H91" s="356">
        <f>G91</f>
        <v>5</v>
      </c>
      <c r="I91" s="303"/>
      <c r="J91" s="358">
        <f>H91/DAY(B2)</f>
        <v>0.35714285714285715</v>
      </c>
      <c r="K91" s="384"/>
      <c r="L91" s="385"/>
      <c r="N91" s="428"/>
      <c r="O91" s="73"/>
    </row>
    <row r="92" spans="1:16" s="70" customFormat="1">
      <c r="A92" s="257" t="s">
        <v>204</v>
      </c>
      <c r="B92" s="804"/>
      <c r="C92" s="804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45" t="s">
        <v>205</v>
      </c>
      <c r="B93" s="1246"/>
      <c r="C93" s="1247"/>
      <c r="D93" s="174" t="s">
        <v>143</v>
      </c>
      <c r="E93" s="135">
        <f>'13'!F93</f>
        <v>251663</v>
      </c>
      <c r="F93" s="129">
        <v>251746</v>
      </c>
      <c r="G93" s="124">
        <f t="shared" ref="G93:G94" si="10">F93-E93</f>
        <v>83</v>
      </c>
      <c r="H93" s="111">
        <f>G93+'13'!H93</f>
        <v>-1706</v>
      </c>
      <c r="I93" s="131"/>
      <c r="J93" s="203">
        <f>H93/DAY(B2)</f>
        <v>-121.85714285714286</v>
      </c>
      <c r="K93" s="82"/>
      <c r="L93" s="68"/>
      <c r="N93" s="369"/>
      <c r="O93" s="376"/>
      <c r="P93" s="73"/>
    </row>
    <row r="94" spans="1:16" ht="27.75">
      <c r="A94" s="1245" t="s">
        <v>206</v>
      </c>
      <c r="B94" s="1246"/>
      <c r="C94" s="1247"/>
      <c r="D94" s="174" t="s">
        <v>143</v>
      </c>
      <c r="E94" s="135">
        <f>'13'!F94</f>
        <v>194908</v>
      </c>
      <c r="F94" s="302">
        <v>195087</v>
      </c>
      <c r="G94" s="124">
        <f t="shared" si="10"/>
        <v>179</v>
      </c>
      <c r="H94" s="111">
        <f>G94+'13'!H94</f>
        <v>-2572</v>
      </c>
      <c r="I94" s="131"/>
      <c r="J94" s="203">
        <f>H94/DAY(B2)</f>
        <v>-183.71428571428572</v>
      </c>
      <c r="K94" s="71"/>
      <c r="L94" s="68"/>
      <c r="N94" s="369"/>
      <c r="O94" s="376"/>
      <c r="P94" s="73"/>
    </row>
    <row r="95" spans="1:16">
      <c r="A95" s="1277" t="s">
        <v>207</v>
      </c>
      <c r="B95" s="1278"/>
      <c r="C95" s="1279"/>
      <c r="D95" s="174"/>
      <c r="E95" s="135">
        <f>'13'!F95</f>
        <v>0</v>
      </c>
      <c r="F95" s="129"/>
      <c r="G95" s="124">
        <f>G93+G94</f>
        <v>262</v>
      </c>
      <c r="H95" s="111">
        <f>G95+'13'!H95</f>
        <v>-4503</v>
      </c>
      <c r="I95" s="131"/>
      <c r="J95" s="203">
        <f>H95/DAY(B2)</f>
        <v>-321.64285714285717</v>
      </c>
      <c r="K95" s="71"/>
      <c r="L95" s="68"/>
      <c r="N95" s="369"/>
      <c r="O95" s="376"/>
      <c r="P95" s="73"/>
    </row>
    <row r="96" spans="1:16" ht="27.75">
      <c r="A96" s="1245" t="s">
        <v>208</v>
      </c>
      <c r="B96" s="1246"/>
      <c r="C96" s="1247"/>
      <c r="D96" s="174" t="s">
        <v>143</v>
      </c>
      <c r="E96" s="135">
        <f>'13'!F96</f>
        <v>419576</v>
      </c>
      <c r="F96" s="129">
        <v>419645</v>
      </c>
      <c r="G96" s="124">
        <f t="shared" ref="G96:G101" si="11">F96-E96</f>
        <v>69</v>
      </c>
      <c r="H96" s="111">
        <f>G96+'13'!H96</f>
        <v>-1374</v>
      </c>
      <c r="I96" s="131"/>
      <c r="J96" s="203">
        <f>H96/DAY(B2)</f>
        <v>-98.142857142857139</v>
      </c>
      <c r="K96" s="71"/>
      <c r="L96" s="68"/>
      <c r="N96" s="369"/>
      <c r="O96" s="376"/>
      <c r="P96" s="73"/>
    </row>
    <row r="97" spans="1:16" ht="27.75">
      <c r="A97" s="800" t="s">
        <v>209</v>
      </c>
      <c r="B97" s="801"/>
      <c r="C97" s="801"/>
      <c r="D97" s="174" t="s">
        <v>143</v>
      </c>
      <c r="E97" s="135">
        <f>'13'!F97</f>
        <v>104184</v>
      </c>
      <c r="F97" s="129">
        <v>104206</v>
      </c>
      <c r="G97" s="124">
        <f t="shared" si="11"/>
        <v>22</v>
      </c>
      <c r="H97" s="111">
        <f>G97+'13'!H97</f>
        <v>-430</v>
      </c>
      <c r="I97" s="131"/>
      <c r="J97" s="203">
        <f>H97/DAY(B2)</f>
        <v>-30.714285714285715</v>
      </c>
      <c r="K97" s="80"/>
      <c r="L97" s="68"/>
      <c r="N97" s="369"/>
      <c r="O97" s="376"/>
      <c r="P97" s="73"/>
    </row>
    <row r="98" spans="1:16" ht="27.75">
      <c r="A98" s="800" t="s">
        <v>210</v>
      </c>
      <c r="B98" s="801"/>
      <c r="C98" s="801"/>
      <c r="D98" s="174" t="s">
        <v>143</v>
      </c>
      <c r="E98" s="135">
        <f>'13'!F98</f>
        <v>99826</v>
      </c>
      <c r="F98" s="129">
        <v>99862</v>
      </c>
      <c r="G98" s="124">
        <f t="shared" si="11"/>
        <v>36</v>
      </c>
      <c r="H98" s="111">
        <f>G98+'13'!H98</f>
        <v>-508</v>
      </c>
      <c r="I98" s="131"/>
      <c r="J98" s="203">
        <f>H98/DAY(B2)</f>
        <v>-36.285714285714285</v>
      </c>
      <c r="K98" s="85"/>
      <c r="L98" s="68"/>
      <c r="N98" s="369"/>
      <c r="O98" s="376"/>
      <c r="P98" s="73"/>
    </row>
    <row r="99" spans="1:16" ht="27.75">
      <c r="A99" s="800" t="s">
        <v>211</v>
      </c>
      <c r="B99" s="801"/>
      <c r="C99" s="801"/>
      <c r="D99" s="174" t="s">
        <v>143</v>
      </c>
      <c r="E99" s="135">
        <f>'13'!F99</f>
        <v>151585</v>
      </c>
      <c r="F99" s="129">
        <v>151596</v>
      </c>
      <c r="G99" s="124">
        <f t="shared" si="11"/>
        <v>11</v>
      </c>
      <c r="H99" s="111">
        <f>G99+'13'!H99</f>
        <v>-539</v>
      </c>
      <c r="I99" s="131"/>
      <c r="J99" s="203">
        <f>H99/DAY(B2)</f>
        <v>-38.5</v>
      </c>
      <c r="K99" s="71"/>
      <c r="L99" s="68"/>
      <c r="N99" s="371"/>
      <c r="O99" s="376"/>
      <c r="P99" s="73"/>
    </row>
    <row r="100" spans="1:16" ht="27.75">
      <c r="A100" s="800" t="s">
        <v>212</v>
      </c>
      <c r="B100" s="801"/>
      <c r="C100" s="801"/>
      <c r="D100" s="174" t="s">
        <v>143</v>
      </c>
      <c r="E100" s="135">
        <f>'13'!F100</f>
        <v>8394</v>
      </c>
      <c r="F100" s="129">
        <v>8405</v>
      </c>
      <c r="G100" s="124">
        <f t="shared" si="11"/>
        <v>11</v>
      </c>
      <c r="H100" s="111">
        <f>G100+'13'!H100</f>
        <v>-240</v>
      </c>
      <c r="I100" s="131"/>
      <c r="J100" s="203">
        <f>H100/DAY(B2)</f>
        <v>-17.142857142857142</v>
      </c>
      <c r="K100" s="71"/>
      <c r="L100" s="68"/>
      <c r="N100" s="369"/>
      <c r="O100" s="376"/>
      <c r="P100" s="73"/>
    </row>
    <row r="101" spans="1:16" ht="27.75">
      <c r="A101" s="800" t="s">
        <v>213</v>
      </c>
      <c r="B101" s="801"/>
      <c r="C101" s="801"/>
      <c r="D101" s="174" t="s">
        <v>143</v>
      </c>
      <c r="E101" s="135">
        <f>'13'!F101</f>
        <v>6155</v>
      </c>
      <c r="F101" s="129">
        <v>6165</v>
      </c>
      <c r="G101" s="124">
        <f t="shared" si="11"/>
        <v>10</v>
      </c>
      <c r="H101" s="111">
        <f>G101+'13'!H101</f>
        <v>-208</v>
      </c>
      <c r="I101" s="131"/>
      <c r="J101" s="203">
        <f>H101/DAY(B2)</f>
        <v>-14.857142857142858</v>
      </c>
      <c r="K101" s="71"/>
      <c r="L101" s="68"/>
      <c r="N101" s="369"/>
      <c r="O101" s="376"/>
      <c r="P101" s="73"/>
    </row>
    <row r="102" spans="1:16">
      <c r="A102" s="1277" t="s">
        <v>215</v>
      </c>
      <c r="B102" s="1278"/>
      <c r="C102" s="1279"/>
      <c r="D102" s="175"/>
      <c r="E102" s="135"/>
      <c r="F102" s="175"/>
      <c r="G102" s="176">
        <f>SUM(G96:G101)</f>
        <v>159</v>
      </c>
      <c r="H102" s="111">
        <f>G102+'13'!H102</f>
        <v>-3299</v>
      </c>
      <c r="I102" s="177"/>
      <c r="J102" s="203">
        <f>H102/DAY(B2)</f>
        <v>-235.64285714285714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706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80" t="s">
        <v>217</v>
      </c>
      <c r="B104" s="1281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37" t="s">
        <v>218</v>
      </c>
      <c r="B105" s="1238"/>
      <c r="C105" s="805"/>
      <c r="D105" s="273" t="s">
        <v>143</v>
      </c>
      <c r="E105" s="135">
        <f>'13'!F105</f>
        <v>7937</v>
      </c>
      <c r="F105" s="309">
        <v>7952</v>
      </c>
      <c r="G105" s="183">
        <f>F105-E105</f>
        <v>15</v>
      </c>
      <c r="H105" s="184">
        <f>SUM(G105+'1'!G76)</f>
        <v>90.700000000000728</v>
      </c>
      <c r="I105" s="183"/>
      <c r="J105" s="209">
        <f>H105/DAY(B2)</f>
        <v>6.4785714285714802</v>
      </c>
      <c r="N105" s="369"/>
      <c r="O105" s="376"/>
      <c r="P105" s="73"/>
    </row>
    <row r="106" spans="1:16" s="93" customFormat="1" ht="27.75">
      <c r="A106" s="1237" t="s">
        <v>76</v>
      </c>
      <c r="B106" s="1238"/>
      <c r="C106" s="805"/>
      <c r="D106" s="273" t="s">
        <v>143</v>
      </c>
      <c r="E106" s="135">
        <f>'13'!F106</f>
        <v>36583</v>
      </c>
      <c r="F106" s="310">
        <v>36591</v>
      </c>
      <c r="G106" s="183">
        <f t="shared" ref="G106:G107" si="12">F106-E106</f>
        <v>8</v>
      </c>
      <c r="H106" s="184">
        <f>SUM(G106+'1'!G77)</f>
        <v>55</v>
      </c>
      <c r="I106" s="183"/>
      <c r="J106" s="209">
        <f>H106/DAY(B2)</f>
        <v>3.9285714285714284</v>
      </c>
      <c r="N106" s="369"/>
      <c r="O106" s="376"/>
      <c r="P106" s="73"/>
    </row>
    <row r="107" spans="1:16" s="93" customFormat="1" ht="27.75">
      <c r="A107" s="1237" t="s">
        <v>77</v>
      </c>
      <c r="B107" s="1282"/>
      <c r="C107" s="1238"/>
      <c r="D107" s="273" t="s">
        <v>143</v>
      </c>
      <c r="E107" s="135">
        <f>'13'!F107</f>
        <v>20063</v>
      </c>
      <c r="F107" s="310">
        <v>20074</v>
      </c>
      <c r="G107" s="183">
        <f t="shared" si="12"/>
        <v>11</v>
      </c>
      <c r="H107" s="184">
        <f>SUM(G107+'1'!G78)</f>
        <v>29</v>
      </c>
      <c r="I107" s="183"/>
      <c r="J107" s="209">
        <f>H107/DAY(B2)</f>
        <v>2.0714285714285716</v>
      </c>
      <c r="N107" s="369"/>
      <c r="O107" s="376"/>
      <c r="P107" s="73"/>
    </row>
    <row r="108" spans="1:16" s="93" customFormat="1" ht="27.75">
      <c r="A108" s="1239" t="s">
        <v>201</v>
      </c>
      <c r="B108" s="1240"/>
      <c r="C108" s="805"/>
      <c r="D108" s="273"/>
      <c r="E108" s="135">
        <f>'13'!F108</f>
        <v>0</v>
      </c>
      <c r="F108" s="310"/>
      <c r="G108" s="183">
        <f>SUM(G105:G107)</f>
        <v>34</v>
      </c>
      <c r="H108" s="184">
        <f>SUM(G108+'1'!G79)</f>
        <v>200</v>
      </c>
      <c r="I108" s="183"/>
      <c r="J108" s="209">
        <f>H108/DAY(B2)</f>
        <v>14.285714285714286</v>
      </c>
      <c r="N108" s="369"/>
      <c r="O108" s="376"/>
      <c r="P108" s="73"/>
    </row>
    <row r="109" spans="1:16" s="93" customFormat="1" ht="27.75">
      <c r="A109" s="1243" t="s">
        <v>78</v>
      </c>
      <c r="B109" s="1244"/>
      <c r="C109" s="805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37" t="s">
        <v>219</v>
      </c>
      <c r="B110" s="1238"/>
      <c r="C110" s="805"/>
      <c r="D110" s="273" t="s">
        <v>143</v>
      </c>
      <c r="E110" s="135">
        <f>'13'!F110</f>
        <v>68170</v>
      </c>
      <c r="F110" s="310">
        <v>68241</v>
      </c>
      <c r="G110" s="183">
        <f>F110-E110</f>
        <v>71</v>
      </c>
      <c r="H110" s="184">
        <f>SUM(G110+'1'!G81)</f>
        <v>245.80000000004657</v>
      </c>
      <c r="I110" s="183"/>
      <c r="J110" s="209">
        <f>H110/DAY(B2)</f>
        <v>17.557142857146182</v>
      </c>
      <c r="N110" s="369"/>
      <c r="O110" s="376"/>
      <c r="P110" s="73"/>
    </row>
    <row r="111" spans="1:16" s="93" customFormat="1" ht="27.75">
      <c r="A111" s="1237" t="s">
        <v>220</v>
      </c>
      <c r="B111" s="1238"/>
      <c r="C111" s="805"/>
      <c r="D111" s="273" t="s">
        <v>143</v>
      </c>
      <c r="E111" s="135">
        <f>'13'!F111</f>
        <v>33886</v>
      </c>
      <c r="F111" s="310">
        <v>33886</v>
      </c>
      <c r="G111" s="183">
        <f t="shared" ref="G111:G112" si="13">F111-E111</f>
        <v>0</v>
      </c>
      <c r="H111" s="184">
        <f>SUM(G111+'1'!G82)</f>
        <v>30</v>
      </c>
      <c r="I111" s="183"/>
      <c r="J111" s="209">
        <f>H111/DAY(B2)</f>
        <v>2.1428571428571428</v>
      </c>
      <c r="N111" s="369"/>
      <c r="O111" s="376"/>
      <c r="P111" s="73"/>
    </row>
    <row r="112" spans="1:16" s="93" customFormat="1" ht="27.75">
      <c r="A112" s="1237" t="s">
        <v>221</v>
      </c>
      <c r="B112" s="1238"/>
      <c r="C112" s="805"/>
      <c r="D112" s="273" t="s">
        <v>143</v>
      </c>
      <c r="E112" s="135">
        <f>'13'!F112</f>
        <v>4692</v>
      </c>
      <c r="F112" s="310">
        <v>4692</v>
      </c>
      <c r="G112" s="183">
        <f t="shared" si="13"/>
        <v>0</v>
      </c>
      <c r="H112" s="184">
        <f>SUM(G112+'1'!G83)</f>
        <v>311</v>
      </c>
      <c r="I112" s="183"/>
      <c r="J112" s="209">
        <f>H112/DAY(B2)</f>
        <v>22.214285714285715</v>
      </c>
      <c r="N112" s="369"/>
      <c r="O112" s="376"/>
      <c r="P112" s="73"/>
    </row>
    <row r="113" spans="1:16" s="93" customFormat="1" ht="27.75">
      <c r="A113" s="1239" t="s">
        <v>109</v>
      </c>
      <c r="B113" s="1240"/>
      <c r="C113" s="805"/>
      <c r="D113" s="273"/>
      <c r="E113" s="135">
        <f>'13'!F113</f>
        <v>0</v>
      </c>
      <c r="F113" s="310"/>
      <c r="G113" s="183">
        <f>SUM(G110:G112)</f>
        <v>71</v>
      </c>
      <c r="H113" s="184">
        <f>SUM(G113+'1'!G84)</f>
        <v>811</v>
      </c>
      <c r="I113" s="183"/>
      <c r="J113" s="209">
        <f>H113/DAY(B2)</f>
        <v>57.928571428571431</v>
      </c>
      <c r="N113" s="369"/>
      <c r="O113" s="376"/>
      <c r="P113" s="73"/>
    </row>
    <row r="114" spans="1:16" s="93" customFormat="1" ht="27.75">
      <c r="A114" s="1243" t="s">
        <v>222</v>
      </c>
      <c r="B114" s="1244"/>
      <c r="C114" s="805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37" t="s">
        <v>223</v>
      </c>
      <c r="B115" s="1238"/>
      <c r="C115" s="225"/>
      <c r="D115" s="273" t="s">
        <v>143</v>
      </c>
      <c r="E115" s="135">
        <f>'13'!F115</f>
        <v>12734</v>
      </c>
      <c r="F115" s="310">
        <v>12749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1.0714285714285714</v>
      </c>
      <c r="N115" s="369"/>
      <c r="O115" s="376"/>
      <c r="P115" s="73"/>
    </row>
    <row r="116" spans="1:16" s="93" customFormat="1" ht="27.75">
      <c r="A116" s="1237" t="s">
        <v>224</v>
      </c>
      <c r="B116" s="1238"/>
      <c r="C116" s="225"/>
      <c r="D116" s="273" t="s">
        <v>143</v>
      </c>
      <c r="E116" s="135">
        <f>'13'!F116</f>
        <v>8954</v>
      </c>
      <c r="F116" s="310">
        <v>8963</v>
      </c>
      <c r="G116" s="185">
        <f t="shared" ref="G116:G117" si="14">F116-E116</f>
        <v>9</v>
      </c>
      <c r="H116" s="184">
        <f>SUM(G116+'1'!G93)</f>
        <v>71</v>
      </c>
      <c r="I116" s="183"/>
      <c r="J116" s="209">
        <f>H116/DAY(B2)</f>
        <v>5.0714285714285712</v>
      </c>
      <c r="N116" s="369"/>
      <c r="O116" s="376"/>
      <c r="P116" s="73"/>
    </row>
    <row r="117" spans="1:16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4"/>
        <v>0</v>
      </c>
      <c r="H117" s="184">
        <f>SUM(G117+'1'!G94)</f>
        <v>163</v>
      </c>
      <c r="I117" s="183"/>
      <c r="J117" s="209">
        <f>H117/DAY(B2)</f>
        <v>11.642857142857142</v>
      </c>
      <c r="N117" s="369"/>
      <c r="O117" s="376"/>
      <c r="P117" s="73"/>
    </row>
    <row r="118" spans="1:16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24</v>
      </c>
      <c r="H118" s="184">
        <f>SUM(G118+'1'!G96)</f>
        <v>90</v>
      </c>
      <c r="I118" s="185"/>
      <c r="J118" s="209">
        <f>H118/DAY(B2)</f>
        <v>6.4285714285714288</v>
      </c>
      <c r="N118" s="369"/>
      <c r="O118" s="376"/>
      <c r="P118" s="73"/>
    </row>
    <row r="119" spans="1:16" s="97" customFormat="1" ht="27.75">
      <c r="A119" s="1233" t="s">
        <v>226</v>
      </c>
      <c r="B119" s="1234"/>
      <c r="C119" s="808"/>
      <c r="D119" s="275" t="s">
        <v>143</v>
      </c>
      <c r="E119" s="187"/>
      <c r="F119" s="311"/>
      <c r="G119" s="187">
        <f>SUM(G19+G93)</f>
        <v>146</v>
      </c>
      <c r="H119" s="184">
        <f>SUM(G119+'1'!G97)</f>
        <v>164</v>
      </c>
      <c r="I119" s="186"/>
      <c r="J119" s="210">
        <f>H119/DAY(B2)</f>
        <v>11.714285714285714</v>
      </c>
      <c r="N119" s="369"/>
      <c r="O119" s="376"/>
      <c r="P119" s="73"/>
    </row>
    <row r="120" spans="1:16" s="97" customFormat="1" ht="27.75">
      <c r="A120" s="1233" t="s">
        <v>227</v>
      </c>
      <c r="B120" s="1234"/>
      <c r="C120" s="808"/>
      <c r="D120" s="275" t="s">
        <v>143</v>
      </c>
      <c r="E120" s="187"/>
      <c r="F120" s="311">
        <f>SUM(G96,G97,G98,G100,G101)</f>
        <v>148</v>
      </c>
      <c r="G120" s="187">
        <f>SUM(G96,G97,G98,G100,G101)</f>
        <v>148</v>
      </c>
      <c r="H120" s="184">
        <f>SUM(G120+'1'!G99)</f>
        <v>159</v>
      </c>
      <c r="I120" s="186"/>
      <c r="J120" s="210">
        <f>H120/DAY(B2)</f>
        <v>11.357142857142858</v>
      </c>
      <c r="N120" s="369"/>
      <c r="O120" s="376"/>
      <c r="P120" s="73"/>
    </row>
    <row r="121" spans="1:16" s="97" customFormat="1" ht="27.75">
      <c r="A121" s="1233" t="s">
        <v>228</v>
      </c>
      <c r="B121" s="1234"/>
      <c r="C121" s="808"/>
      <c r="D121" s="275" t="s">
        <v>143</v>
      </c>
      <c r="E121" s="185"/>
      <c r="F121" s="310">
        <f>SUM(G113)</f>
        <v>71</v>
      </c>
      <c r="G121" s="185">
        <f>SUM(G113)</f>
        <v>71</v>
      </c>
      <c r="H121" s="184">
        <f>SUM(G121+'1'!G101)</f>
        <v>80</v>
      </c>
      <c r="I121" s="186"/>
      <c r="J121" s="210">
        <f>H121/DAY(B2)</f>
        <v>5.7142857142857144</v>
      </c>
      <c r="N121" s="369"/>
      <c r="O121" s="376"/>
      <c r="P121" s="73"/>
    </row>
    <row r="122" spans="1:16" s="93" customFormat="1" ht="27.75">
      <c r="A122" s="1235"/>
      <c r="B122" s="1236"/>
      <c r="C122" s="809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00" t="s">
        <v>230</v>
      </c>
      <c r="B124" s="801"/>
      <c r="C124" s="801"/>
      <c r="D124" s="174" t="s">
        <v>140</v>
      </c>
      <c r="E124" s="129">
        <f>'13'!F124</f>
        <v>851448</v>
      </c>
      <c r="F124" s="129">
        <v>851719</v>
      </c>
      <c r="G124" s="124">
        <f t="shared" ref="G124:G128" si="15">F124-E124</f>
        <v>271</v>
      </c>
      <c r="H124" s="111">
        <f>G124+'13'!H124</f>
        <v>-4633</v>
      </c>
      <c r="I124" s="177"/>
      <c r="J124" s="203">
        <f>H124/DAY(B2)</f>
        <v>-330.92857142857144</v>
      </c>
      <c r="K124" s="71"/>
      <c r="L124" s="68"/>
      <c r="N124" s="369"/>
      <c r="O124" s="376"/>
      <c r="P124" s="73"/>
    </row>
    <row r="125" spans="1:16" ht="27.75">
      <c r="A125" s="800" t="s">
        <v>231</v>
      </c>
      <c r="B125" s="801"/>
      <c r="C125" s="801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226" t="s">
        <v>232</v>
      </c>
      <c r="B126" s="1227"/>
      <c r="C126" s="1228"/>
      <c r="D126" s="174" t="s">
        <v>140</v>
      </c>
      <c r="E126" s="129">
        <f>'13'!F126</f>
        <v>152441</v>
      </c>
      <c r="F126" s="129">
        <v>152551</v>
      </c>
      <c r="G126" s="124">
        <f t="shared" si="15"/>
        <v>110</v>
      </c>
      <c r="H126" s="111">
        <f>G126+'13'!H126</f>
        <v>-1526</v>
      </c>
      <c r="I126" s="177"/>
      <c r="J126" s="203">
        <f>H126/DAY(B2)</f>
        <v>-109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01"/>
      <c r="C127" s="801"/>
      <c r="D127" s="174" t="s">
        <v>140</v>
      </c>
      <c r="E127" s="277">
        <f>'13'!F127</f>
        <v>33857</v>
      </c>
      <c r="F127" s="277">
        <v>33904</v>
      </c>
      <c r="G127" s="124">
        <f t="shared" si="15"/>
        <v>47</v>
      </c>
      <c r="H127" s="111">
        <f>G127+'13'!H127</f>
        <v>-725</v>
      </c>
      <c r="I127" s="177"/>
      <c r="J127" s="203">
        <f>H127/DAY(B2)</f>
        <v>-51.785714285714285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01"/>
      <c r="C128" s="801"/>
      <c r="D128" s="174" t="s">
        <v>140</v>
      </c>
      <c r="E128" s="277">
        <f>'13'!F128</f>
        <v>9137</v>
      </c>
      <c r="F128" s="277">
        <v>9141</v>
      </c>
      <c r="G128" s="124">
        <f t="shared" si="15"/>
        <v>4</v>
      </c>
      <c r="H128" s="111">
        <f>G128+'13'!H128</f>
        <v>-39</v>
      </c>
      <c r="I128" s="131"/>
      <c r="J128" s="203">
        <f>H128/DAY(B2)</f>
        <v>-2.7857142857142856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01"/>
      <c r="C129" s="801"/>
      <c r="D129" s="174"/>
      <c r="E129" s="129"/>
      <c r="F129" s="129"/>
      <c r="G129" s="124">
        <f>G15-SUM(G124:G128)</f>
        <v>659.60000000000582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00" t="s">
        <v>237</v>
      </c>
      <c r="B131" s="801"/>
      <c r="C131" s="801"/>
      <c r="D131" s="174" t="s">
        <v>238</v>
      </c>
      <c r="E131" s="135">
        <f>'13'!F131</f>
        <v>0</v>
      </c>
      <c r="F131" s="129">
        <v>0</v>
      </c>
      <c r="G131" s="124">
        <f t="shared" ref="G131:G141" si="16">F131-E131</f>
        <v>0</v>
      </c>
      <c r="H131" s="111">
        <f>G131+'13'!H131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00" t="s">
        <v>239</v>
      </c>
      <c r="B132" s="801"/>
      <c r="C132" s="801"/>
      <c r="D132" s="174" t="s">
        <v>238</v>
      </c>
      <c r="E132" s="135">
        <f>'13'!F132</f>
        <v>0</v>
      </c>
      <c r="F132" s="129">
        <v>0</v>
      </c>
      <c r="G132" s="124">
        <f t="shared" si="16"/>
        <v>0</v>
      </c>
      <c r="H132" s="111">
        <f>G132+'13'!H132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00" t="s">
        <v>240</v>
      </c>
      <c r="B133" s="801"/>
      <c r="C133" s="801"/>
      <c r="D133" s="174" t="s">
        <v>238</v>
      </c>
      <c r="E133" s="192">
        <f>'13'!F133</f>
        <v>40757</v>
      </c>
      <c r="F133" s="302">
        <v>40781</v>
      </c>
      <c r="G133" s="124">
        <f t="shared" si="16"/>
        <v>24</v>
      </c>
      <c r="H133" s="111">
        <f>G133+'13'!H133</f>
        <v>-141</v>
      </c>
      <c r="I133" s="131"/>
      <c r="J133" s="203">
        <f>H133/DAY(B2)</f>
        <v>-10.071428571428571</v>
      </c>
      <c r="N133" s="369"/>
      <c r="O133" s="376"/>
      <c r="P133" s="73"/>
    </row>
    <row r="134" spans="1:16" ht="27.75">
      <c r="A134" s="800" t="s">
        <v>241</v>
      </c>
      <c r="B134" s="801"/>
      <c r="C134" s="801"/>
      <c r="D134" s="174" t="s">
        <v>238</v>
      </c>
      <c r="E134" s="352">
        <f>'13'!F134</f>
        <v>724.25</v>
      </c>
      <c r="F134" s="277">
        <v>724.25</v>
      </c>
      <c r="G134" s="124">
        <f t="shared" si="16"/>
        <v>0</v>
      </c>
      <c r="H134" s="111">
        <f>G134+'13'!H134</f>
        <v>-131.75</v>
      </c>
      <c r="I134" s="131">
        <f>G131+G132+G133+G134</f>
        <v>24</v>
      </c>
      <c r="J134" s="203">
        <f>H134/DAY(B2)</f>
        <v>-9.4107142857142865</v>
      </c>
      <c r="N134" s="369"/>
      <c r="O134" s="376"/>
      <c r="P134" s="73"/>
    </row>
    <row r="135" spans="1:16" ht="27.75">
      <c r="A135" s="800" t="s">
        <v>242</v>
      </c>
      <c r="B135" s="801"/>
      <c r="C135" s="801"/>
      <c r="D135" s="174" t="s">
        <v>238</v>
      </c>
      <c r="E135" s="352">
        <f>'13'!F135</f>
        <v>42634</v>
      </c>
      <c r="F135" s="277">
        <v>42635</v>
      </c>
      <c r="G135" s="124">
        <f t="shared" si="16"/>
        <v>1</v>
      </c>
      <c r="H135" s="111">
        <f>G135+'13'!H135</f>
        <v>-187</v>
      </c>
      <c r="I135" s="131"/>
      <c r="J135" s="203">
        <f>H135/DAY(B2)</f>
        <v>-13.357142857142858</v>
      </c>
      <c r="N135" s="369"/>
      <c r="O135" s="376"/>
      <c r="P135" s="73"/>
    </row>
    <row r="136" spans="1:16" ht="27.75">
      <c r="A136" s="800" t="s">
        <v>243</v>
      </c>
      <c r="B136" s="801"/>
      <c r="C136" s="801"/>
      <c r="D136" s="174" t="s">
        <v>238</v>
      </c>
      <c r="E136" s="192">
        <f>'13'!F136</f>
        <v>32874</v>
      </c>
      <c r="F136" s="302">
        <v>32874</v>
      </c>
      <c r="G136" s="124">
        <f t="shared" si="16"/>
        <v>0</v>
      </c>
      <c r="H136" s="111">
        <f>G136+'13'!H136</f>
        <v>-54</v>
      </c>
      <c r="I136" s="131"/>
      <c r="J136" s="203">
        <f>H136/DAY(B2)</f>
        <v>-3.8571428571428572</v>
      </c>
      <c r="N136" s="369"/>
      <c r="O136" s="376"/>
      <c r="P136" s="73"/>
    </row>
    <row r="137" spans="1:16" ht="27.75">
      <c r="A137" s="800" t="s">
        <v>244</v>
      </c>
      <c r="B137" s="801"/>
      <c r="C137" s="801"/>
      <c r="D137" s="174" t="s">
        <v>238</v>
      </c>
      <c r="E137" s="192">
        <f>'13'!F137</f>
        <v>23210.83</v>
      </c>
      <c r="F137" s="302">
        <v>23210.83</v>
      </c>
      <c r="G137" s="124">
        <f t="shared" si="16"/>
        <v>0</v>
      </c>
      <c r="H137" s="111">
        <f>G137+'13'!H137</f>
        <v>-145.59999999999854</v>
      </c>
      <c r="I137" s="131">
        <f>G135+G136+G137</f>
        <v>1</v>
      </c>
      <c r="J137" s="203">
        <f>H137/DAY(B2)</f>
        <v>-10.399999999999896</v>
      </c>
      <c r="N137" s="369"/>
      <c r="O137" s="376"/>
      <c r="P137" s="73"/>
    </row>
    <row r="138" spans="1:16" ht="27.75">
      <c r="A138" s="800" t="s">
        <v>245</v>
      </c>
      <c r="B138" s="801"/>
      <c r="C138" s="801"/>
      <c r="D138" s="174" t="s">
        <v>238</v>
      </c>
      <c r="E138" s="192">
        <f>'13'!F138</f>
        <v>25123.08</v>
      </c>
      <c r="F138" s="302">
        <v>25132.98</v>
      </c>
      <c r="G138" s="124">
        <f t="shared" si="16"/>
        <v>9.8999999999978172</v>
      </c>
      <c r="H138" s="111">
        <f>G138+'13'!H138</f>
        <v>2.0000000000436557E-2</v>
      </c>
      <c r="I138" s="131"/>
      <c r="J138" s="203">
        <f>H138/DAY(B2)</f>
        <v>1.4285714286026113E-3</v>
      </c>
      <c r="N138" s="369"/>
      <c r="O138" s="376"/>
      <c r="P138" s="73"/>
    </row>
    <row r="139" spans="1:16" ht="27.75">
      <c r="A139" s="800" t="s">
        <v>246</v>
      </c>
      <c r="B139" s="801"/>
      <c r="C139" s="801"/>
      <c r="D139" s="174" t="s">
        <v>238</v>
      </c>
      <c r="E139" s="192">
        <f>'13'!F139</f>
        <v>70518.2</v>
      </c>
      <c r="F139" s="302">
        <v>70523.55</v>
      </c>
      <c r="G139" s="124">
        <f t="shared" si="16"/>
        <v>5.3500000000058208</v>
      </c>
      <c r="H139" s="111">
        <f>G139+'13'!H139</f>
        <v>-1</v>
      </c>
      <c r="I139" s="131">
        <f>G138+G139</f>
        <v>15.250000000003638</v>
      </c>
      <c r="J139" s="203">
        <f>H139/DAY(B2)</f>
        <v>-7.1428571428571425E-2</v>
      </c>
      <c r="N139" s="369"/>
      <c r="O139" s="376"/>
      <c r="P139" s="73"/>
    </row>
    <row r="140" spans="1:16" ht="27.75">
      <c r="A140" s="800" t="s">
        <v>247</v>
      </c>
      <c r="B140" s="801"/>
      <c r="C140" s="801"/>
      <c r="D140" s="174" t="s">
        <v>238</v>
      </c>
      <c r="E140" s="352">
        <f>'13'!F140</f>
        <v>2439.92</v>
      </c>
      <c r="F140" s="277">
        <v>2449.81</v>
      </c>
      <c r="G140" s="124">
        <f t="shared" si="16"/>
        <v>9.8899999999998727</v>
      </c>
      <c r="H140" s="111">
        <f>G140+'13'!H140</f>
        <v>-178.17000000000007</v>
      </c>
      <c r="I140" s="193"/>
      <c r="J140" s="203">
        <f>H140/DAY(B2)</f>
        <v>-12.726428571428576</v>
      </c>
      <c r="N140" s="369"/>
      <c r="O140" s="376"/>
      <c r="P140" s="73"/>
    </row>
    <row r="141" spans="1:16" ht="27.75">
      <c r="A141" s="800" t="s">
        <v>248</v>
      </c>
      <c r="B141" s="801"/>
      <c r="C141" s="801"/>
      <c r="D141" s="174" t="s">
        <v>238</v>
      </c>
      <c r="E141" s="135">
        <f>'13'!F141</f>
        <v>4753.67</v>
      </c>
      <c r="F141" s="129">
        <v>4753.67</v>
      </c>
      <c r="G141" s="124">
        <f t="shared" si="16"/>
        <v>0</v>
      </c>
      <c r="H141" s="111">
        <f>G141+'13'!H141</f>
        <v>-0.32999999999992724</v>
      </c>
      <c r="I141" s="193"/>
      <c r="J141" s="203">
        <f>H141/DAY(B2)</f>
        <v>-2.3571428571423376E-2</v>
      </c>
      <c r="N141" s="369"/>
      <c r="O141" s="376"/>
      <c r="P141" s="73"/>
    </row>
    <row r="142" spans="1:16">
      <c r="A142" s="1248" t="s">
        <v>249</v>
      </c>
      <c r="B142" s="1249"/>
      <c r="C142" s="804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5554</v>
      </c>
      <c r="H143" s="111">
        <f>G143+'13'!H143</f>
        <v>308879.32999999996</v>
      </c>
      <c r="I143" s="131"/>
      <c r="J143" s="203">
        <f>H143/DAY(B2)</f>
        <v>22062.809285714284</v>
      </c>
      <c r="K143" s="71"/>
      <c r="L143" s="68"/>
      <c r="N143" s="369"/>
      <c r="O143" s="376"/>
      <c r="P143" s="73"/>
    </row>
    <row r="144" spans="1:16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0.2670320688494639</v>
      </c>
      <c r="H144" s="111">
        <f>G144+'13'!H144</f>
        <v>4.4995246721963102</v>
      </c>
      <c r="I144" s="195"/>
      <c r="J144" s="203">
        <f>H144/DAY(B2)</f>
        <v>0.32139461944259357</v>
      </c>
      <c r="K144" s="71"/>
      <c r="L144" s="68"/>
      <c r="N144" s="369"/>
      <c r="O144" s="376"/>
      <c r="P144" s="73"/>
    </row>
    <row r="145" spans="1:16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6022</v>
      </c>
      <c r="H145" s="111">
        <f>G145+'13'!H145</f>
        <v>-112035.77999999997</v>
      </c>
      <c r="I145" s="131"/>
      <c r="J145" s="203">
        <f>H145/DAY(B2)</f>
        <v>-8002.5557142857124</v>
      </c>
      <c r="K145" s="71"/>
      <c r="L145" s="68"/>
      <c r="N145" s="369"/>
      <c r="O145" s="376"/>
      <c r="P145" s="73"/>
    </row>
    <row r="146" spans="1:16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0.28953315063224194</v>
      </c>
      <c r="H146" s="111">
        <f>G146+'13'!H146</f>
        <v>3.4110788379358277</v>
      </c>
      <c r="I146" s="195"/>
      <c r="J146" s="203">
        <f>H146/DAY(B2)</f>
        <v>0.2436484884239877</v>
      </c>
      <c r="K146" s="71"/>
      <c r="L146" s="68"/>
      <c r="N146" s="369"/>
      <c r="O146" s="376"/>
      <c r="P146" s="73"/>
    </row>
    <row r="147" spans="1:16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3673.5900000000256</v>
      </c>
      <c r="H147" s="111">
        <f>G147+'13'!H147</f>
        <v>1003602.5900000001</v>
      </c>
      <c r="I147" s="196"/>
      <c r="J147" s="203">
        <f>H147/DAY(B2)</f>
        <v>71685.899285714288</v>
      </c>
      <c r="K147" s="71"/>
      <c r="L147" s="68"/>
      <c r="N147" s="369"/>
      <c r="O147" s="376"/>
      <c r="P147" s="73"/>
    </row>
    <row r="148" spans="1:16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0.17662339535554716</v>
      </c>
      <c r="H148" s="111">
        <f>G148+'13'!H148</f>
        <v>5.1067532873873276</v>
      </c>
      <c r="I148" s="196"/>
      <c r="J148" s="203">
        <f>H148/DAY(B2)</f>
        <v>0.36476809195623766</v>
      </c>
      <c r="N148" s="369"/>
      <c r="O148" s="376"/>
      <c r="P148" s="73"/>
    </row>
    <row r="149" spans="1:16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1717</v>
      </c>
      <c r="H149" s="111">
        <f>G149+'13'!H149</f>
        <v>807161.07</v>
      </c>
      <c r="I149" s="131"/>
      <c r="J149" s="203">
        <f>H149/DAY(B2)</f>
        <v>57654.362142857142</v>
      </c>
      <c r="K149" s="72"/>
      <c r="N149" s="369"/>
      <c r="O149" s="376"/>
      <c r="P149" s="73"/>
    </row>
    <row r="150" spans="1:16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8.2552045771431312E-2</v>
      </c>
      <c r="H150" s="111">
        <f>G150+'13'!H150</f>
        <v>3.3322447575407144</v>
      </c>
      <c r="I150" s="196"/>
      <c r="J150" s="203">
        <f>H150/DAY(B2)</f>
        <v>0.2380174826814796</v>
      </c>
      <c r="N150" s="369"/>
      <c r="O150" s="376"/>
      <c r="P150" s="73"/>
    </row>
    <row r="151" spans="1:16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1619.4000000000015</v>
      </c>
      <c r="H151" s="111">
        <f>G151+'13'!H151</f>
        <v>33793</v>
      </c>
      <c r="I151" s="196"/>
      <c r="J151" s="203">
        <f>H151/DAY(B2)</f>
        <v>2413.7857142857142</v>
      </c>
      <c r="N151" s="369"/>
      <c r="O151" s="376"/>
      <c r="P151" s="73"/>
    </row>
    <row r="152" spans="1:16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7.7859512476561449E-2</v>
      </c>
      <c r="H152" s="111">
        <f>G152+'13'!H152</f>
        <v>1.1062155688152753</v>
      </c>
      <c r="I152" s="131"/>
      <c r="J152" s="203">
        <f>H152/DAY(B2)</f>
        <v>7.901539777251966E-2</v>
      </c>
      <c r="N152" s="369"/>
      <c r="O152" s="376"/>
      <c r="P152" s="73"/>
    </row>
    <row r="153" spans="1:16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1554</v>
      </c>
      <c r="H153" s="111">
        <f>G153+'13'!H153</f>
        <v>389403.87000000005</v>
      </c>
      <c r="I153" s="131"/>
      <c r="J153" s="203">
        <f>H153/DAY(B2)</f>
        <v>27814.562142857147</v>
      </c>
      <c r="N153" s="369"/>
      <c r="O153" s="376"/>
      <c r="P153" s="73"/>
    </row>
    <row r="154" spans="1:16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7.4715130535121882E-2</v>
      </c>
      <c r="H154" s="111">
        <f>G154+'13'!H154</f>
        <v>2.0558844738644555</v>
      </c>
      <c r="I154" s="219"/>
      <c r="J154" s="220">
        <f>H154/DAY(B2)</f>
        <v>0.14684889099031825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'13'!F161</f>
        <v>44361.4</v>
      </c>
      <c r="F161" s="454">
        <v>44438</v>
      </c>
      <c r="G161" s="124">
        <f t="shared" ref="G161:G164" si="17">F161-E161</f>
        <v>76.599999999998545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'13'!F162</f>
        <v>128190</v>
      </c>
      <c r="F162" s="454">
        <v>128679</v>
      </c>
      <c r="G162" s="124">
        <f t="shared" si="17"/>
        <v>489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'13'!F163</f>
        <v>60099</v>
      </c>
      <c r="F163" s="454">
        <v>60296</v>
      </c>
      <c r="G163" s="124">
        <f t="shared" si="17"/>
        <v>197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'13'!F164</f>
        <v>7261.56</v>
      </c>
      <c r="F164" s="454">
        <v>7272.57</v>
      </c>
      <c r="G164" s="124">
        <f t="shared" si="17"/>
        <v>11.009999999999309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8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65">
        <f t="shared" ref="E166:E172" si="19">E63</f>
        <v>0</v>
      </c>
      <c r="F166" s="165">
        <f t="shared" ref="F166:F172" si="20">F63</f>
        <v>0</v>
      </c>
      <c r="G166" s="124">
        <f t="shared" si="18"/>
        <v>0</v>
      </c>
      <c r="N166" s="369"/>
    </row>
    <row r="167" spans="1:14" ht="27.75">
      <c r="A167" s="1299" t="s">
        <v>98</v>
      </c>
      <c r="B167" s="1299"/>
      <c r="C167" s="1299"/>
      <c r="D167" s="175" t="s">
        <v>186</v>
      </c>
      <c r="E167" s="165">
        <f t="shared" si="19"/>
        <v>186858</v>
      </c>
      <c r="F167" s="165">
        <f t="shared" si="20"/>
        <v>187217</v>
      </c>
      <c r="G167" s="124">
        <f t="shared" si="18"/>
        <v>359</v>
      </c>
      <c r="N167" s="369"/>
    </row>
    <row r="168" spans="1:14" ht="27.75">
      <c r="A168" s="1299" t="s">
        <v>99</v>
      </c>
      <c r="B168" s="1299"/>
      <c r="C168" s="1299"/>
      <c r="D168" s="175" t="s">
        <v>186</v>
      </c>
      <c r="E168" s="165">
        <f t="shared" si="19"/>
        <v>187394</v>
      </c>
      <c r="F168" s="165">
        <f t="shared" si="20"/>
        <v>187420</v>
      </c>
      <c r="G168" s="124">
        <f t="shared" si="18"/>
        <v>26</v>
      </c>
      <c r="N168" s="369"/>
    </row>
    <row r="169" spans="1:14" ht="27.75">
      <c r="A169" s="1299" t="s">
        <v>100</v>
      </c>
      <c r="B169" s="1299"/>
      <c r="C169" s="1299"/>
      <c r="D169" s="175" t="s">
        <v>186</v>
      </c>
      <c r="E169" s="165">
        <f t="shared" si="19"/>
        <v>85921</v>
      </c>
      <c r="F169" s="165">
        <f t="shared" si="20"/>
        <v>86329</v>
      </c>
      <c r="G169" s="124">
        <f t="shared" si="18"/>
        <v>408</v>
      </c>
      <c r="N169" s="369"/>
    </row>
    <row r="170" spans="1:14" ht="27.75">
      <c r="A170" s="1299" t="s">
        <v>101</v>
      </c>
      <c r="B170" s="1299"/>
      <c r="C170" s="1299"/>
      <c r="D170" s="175" t="s">
        <v>186</v>
      </c>
      <c r="E170" s="165">
        <f t="shared" si="19"/>
        <v>286352</v>
      </c>
      <c r="F170" s="165">
        <f t="shared" si="20"/>
        <v>286818</v>
      </c>
      <c r="G170" s="124">
        <f t="shared" si="18"/>
        <v>466</v>
      </c>
      <c r="N170" s="369"/>
    </row>
    <row r="171" spans="1:14" ht="27.75">
      <c r="A171" s="1299" t="s">
        <v>102</v>
      </c>
      <c r="B171" s="1299"/>
      <c r="C171" s="1299"/>
      <c r="D171" s="175" t="s">
        <v>186</v>
      </c>
      <c r="E171" s="165">
        <f t="shared" si="19"/>
        <v>85321</v>
      </c>
      <c r="F171" s="165">
        <f t="shared" si="20"/>
        <v>85321</v>
      </c>
      <c r="G171" s="124">
        <f t="shared" si="18"/>
        <v>0</v>
      </c>
      <c r="N171" s="369"/>
    </row>
    <row r="172" spans="1:14" ht="27.75">
      <c r="A172" s="1299" t="s">
        <v>103</v>
      </c>
      <c r="B172" s="1299"/>
      <c r="C172" s="1299"/>
      <c r="D172" s="175" t="s">
        <v>186</v>
      </c>
      <c r="E172" s="165">
        <f t="shared" si="19"/>
        <v>100722</v>
      </c>
      <c r="F172" s="165">
        <f t="shared" si="20"/>
        <v>101025</v>
      </c>
      <c r="G172" s="124">
        <f t="shared" si="18"/>
        <v>303</v>
      </c>
      <c r="N172" s="369"/>
    </row>
    <row r="173" spans="1:14">
      <c r="A173" s="1273" t="s">
        <v>337</v>
      </c>
      <c r="B173" s="1236"/>
      <c r="C173" s="436"/>
      <c r="D173" s="174" t="s">
        <v>186</v>
      </c>
      <c r="E173" s="183">
        <v>19171</v>
      </c>
      <c r="F173" s="183">
        <v>19173</v>
      </c>
      <c r="G173" s="124">
        <f t="shared" si="18"/>
        <v>2</v>
      </c>
      <c r="N173" s="369"/>
    </row>
    <row r="174" spans="1:14">
      <c r="A174" s="1273" t="s">
        <v>337</v>
      </c>
      <c r="B174" s="1236"/>
      <c r="C174" s="436"/>
      <c r="D174" s="174" t="s">
        <v>186</v>
      </c>
      <c r="E174" s="183">
        <v>70618</v>
      </c>
      <c r="F174" s="183">
        <v>70624</v>
      </c>
      <c r="G174" s="124">
        <f t="shared" si="18"/>
        <v>6</v>
      </c>
      <c r="N174" s="369"/>
    </row>
    <row r="175" spans="1:14">
      <c r="A175" s="1273" t="s">
        <v>338</v>
      </c>
      <c r="B175" s="1236"/>
      <c r="C175" s="436"/>
      <c r="D175" s="174" t="s">
        <v>186</v>
      </c>
      <c r="E175" s="183">
        <v>27864</v>
      </c>
      <c r="F175" s="183">
        <v>27869</v>
      </c>
      <c r="G175" s="124">
        <f t="shared" si="18"/>
        <v>5</v>
      </c>
      <c r="N175" s="369"/>
    </row>
    <row r="176" spans="1:14" ht="22.5" customHeight="1">
      <c r="N176" s="369"/>
    </row>
    <row r="177" spans="1:14" ht="22.5" customHeight="1">
      <c r="A177" s="1296" t="s">
        <v>382</v>
      </c>
      <c r="B177" s="1296"/>
      <c r="C177" s="1296"/>
      <c r="D177" s="1296"/>
      <c r="E177" s="1296"/>
      <c r="F177" s="1296"/>
      <c r="G177" s="1296"/>
      <c r="N177" s="369"/>
    </row>
    <row r="178" spans="1:14" ht="22.5" customHeight="1">
      <c r="A178" s="435"/>
      <c r="B178" s="436"/>
      <c r="C178" s="436"/>
      <c r="D178" s="174" t="s">
        <v>186</v>
      </c>
      <c r="E178" s="173">
        <f>'13'!F178</f>
        <v>0</v>
      </c>
      <c r="F178" s="193"/>
      <c r="G178" s="124">
        <f t="shared" ref="G178:G184" si="21">F178-E178</f>
        <v>0</v>
      </c>
      <c r="N178" s="369"/>
    </row>
    <row r="179" spans="1:14" ht="22.5" customHeight="1">
      <c r="A179" s="435" t="s">
        <v>383</v>
      </c>
      <c r="B179" s="436"/>
      <c r="C179" s="436"/>
      <c r="D179" s="174" t="s">
        <v>186</v>
      </c>
      <c r="E179" s="173">
        <f>'13'!F179</f>
        <v>0</v>
      </c>
      <c r="F179" s="193"/>
      <c r="G179" s="124">
        <f t="shared" si="21"/>
        <v>0</v>
      </c>
      <c r="N179" s="369"/>
    </row>
    <row r="180" spans="1:14" ht="22.5" customHeight="1">
      <c r="A180" s="435" t="s">
        <v>384</v>
      </c>
      <c r="B180" s="436"/>
      <c r="C180" s="436"/>
      <c r="D180" s="174" t="s">
        <v>186</v>
      </c>
      <c r="E180" s="173">
        <f>'13'!F180</f>
        <v>0</v>
      </c>
      <c r="F180" s="193"/>
      <c r="G180" s="124">
        <f t="shared" si="21"/>
        <v>0</v>
      </c>
      <c r="N180" s="369"/>
    </row>
    <row r="181" spans="1:14" ht="22.5" customHeight="1">
      <c r="A181" s="435" t="s">
        <v>385</v>
      </c>
      <c r="B181" s="436"/>
      <c r="C181" s="436"/>
      <c r="D181" s="174" t="s">
        <v>186</v>
      </c>
      <c r="E181" s="173">
        <f>'13'!F181</f>
        <v>0</v>
      </c>
      <c r="F181" s="193"/>
      <c r="G181" s="124">
        <f t="shared" si="21"/>
        <v>0</v>
      </c>
      <c r="N181" s="369"/>
    </row>
    <row r="182" spans="1:14" ht="22.5" customHeight="1">
      <c r="A182" s="435" t="s">
        <v>386</v>
      </c>
      <c r="B182" s="436"/>
      <c r="C182" s="436"/>
      <c r="D182" s="174" t="s">
        <v>186</v>
      </c>
      <c r="E182" s="173">
        <f>'13'!F182</f>
        <v>0</v>
      </c>
      <c r="F182" s="193"/>
      <c r="G182" s="124">
        <f t="shared" si="21"/>
        <v>0</v>
      </c>
      <c r="N182" s="369"/>
    </row>
    <row r="183" spans="1:14" ht="22.5" customHeight="1">
      <c r="A183" s="435" t="s">
        <v>387</v>
      </c>
      <c r="B183" s="436"/>
      <c r="C183" s="436"/>
      <c r="D183" s="174" t="s">
        <v>186</v>
      </c>
      <c r="E183" s="173">
        <f>'13'!F183</f>
        <v>0</v>
      </c>
      <c r="F183" s="193"/>
      <c r="G183" s="124">
        <f t="shared" si="21"/>
        <v>0</v>
      </c>
      <c r="N183" s="369"/>
    </row>
    <row r="184" spans="1:14" ht="22.5" customHeight="1">
      <c r="A184" s="435" t="s">
        <v>388</v>
      </c>
      <c r="B184" s="436"/>
      <c r="C184" s="436"/>
      <c r="D184" s="174" t="s">
        <v>186</v>
      </c>
      <c r="E184" s="173">
        <f>'13'!F184</f>
        <v>0</v>
      </c>
      <c r="F184" s="193"/>
      <c r="G184" s="124">
        <f t="shared" si="21"/>
        <v>0</v>
      </c>
      <c r="N184" s="369"/>
    </row>
    <row r="185" spans="1:14" ht="22.5" customHeight="1">
      <c r="N185" s="369"/>
    </row>
    <row r="186" spans="1:14" ht="22.5" customHeight="1">
      <c r="N186" s="369"/>
    </row>
    <row r="187" spans="1:14" ht="22.5" customHeight="1">
      <c r="N187" s="369"/>
    </row>
    <row r="188" spans="1:14" ht="22.5" customHeight="1">
      <c r="N188" s="369"/>
    </row>
    <row r="189" spans="1:14" ht="22.5" customHeight="1">
      <c r="N189" s="369"/>
    </row>
    <row r="190" spans="1:14" ht="22.5" customHeight="1">
      <c r="N190" s="369"/>
    </row>
    <row r="191" spans="1:14" ht="22.5" customHeight="1">
      <c r="N191" s="369"/>
    </row>
    <row r="192" spans="1:14" ht="22.5" customHeight="1">
      <c r="N192" s="369"/>
    </row>
    <row r="193" spans="14:14" ht="22.5" customHeight="1">
      <c r="N193" s="369"/>
    </row>
    <row r="194" spans="14:14" ht="22.5" customHeight="1">
      <c r="N194" s="369"/>
    </row>
    <row r="195" spans="14:14" ht="22.5" customHeight="1">
      <c r="N195" s="369"/>
    </row>
    <row r="196" spans="14:14" ht="22.5" customHeight="1">
      <c r="N196" s="369"/>
    </row>
    <row r="197" spans="14:14" ht="22.5" customHeight="1"/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7:G177"/>
    <mergeCell ref="A175:B175"/>
    <mergeCell ref="A173:B173"/>
    <mergeCell ref="A174:B174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topLeftCell="A154" zoomScale="55" zoomScaleNormal="80" zoomScaleSheetLayoutView="55" workbookViewId="0">
      <selection activeCell="F8" sqref="F8"/>
    </sheetView>
  </sheetViews>
  <sheetFormatPr defaultColWidth="22.33203125" defaultRowHeight="29.2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6" s="57" customFormat="1" ht="27">
      <c r="A2" s="226" t="s">
        <v>277</v>
      </c>
      <c r="B2" s="682">
        <v>44423</v>
      </c>
      <c r="C2" s="816" t="s">
        <v>68</v>
      </c>
      <c r="D2" s="262">
        <v>0.57999999999999996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16" t="s">
        <v>119</v>
      </c>
      <c r="D3" s="263">
        <v>28</v>
      </c>
      <c r="E3" s="1259" t="s">
        <v>120</v>
      </c>
      <c r="F3" s="1260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16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'14'!F7</f>
        <v>920650</v>
      </c>
      <c r="F7" s="106">
        <v>943406</v>
      </c>
      <c r="G7" s="329">
        <f t="shared" ref="G7:G12" si="0">F7-E7</f>
        <v>22756</v>
      </c>
      <c r="H7" s="330">
        <f>G7+'14'!H7</f>
        <v>644715</v>
      </c>
      <c r="I7" s="331">
        <f>'1'!I7</f>
        <v>12000</v>
      </c>
      <c r="J7" s="332">
        <f>H7/DAY(B2)</f>
        <v>42981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'14'!F8</f>
        <v>618233.27</v>
      </c>
      <c r="F8" s="126">
        <f>E8+22500</f>
        <v>640733.27</v>
      </c>
      <c r="G8" s="340">
        <f t="shared" si="0"/>
        <v>22500</v>
      </c>
      <c r="H8" s="330">
        <f>G8+'14'!H8</f>
        <v>331161.27</v>
      </c>
      <c r="I8" s="337">
        <f>'1'!I8</f>
        <v>12000</v>
      </c>
      <c r="J8" s="332">
        <f>H8/DAY(B2)</f>
        <v>22077.418000000001</v>
      </c>
      <c r="K8" s="200"/>
      <c r="L8" s="78"/>
      <c r="M8" s="91"/>
      <c r="N8" s="67" t="s">
        <v>365</v>
      </c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'14'!F9</f>
        <v>2999980</v>
      </c>
      <c r="F9" s="129">
        <v>3020780</v>
      </c>
      <c r="G9" s="353">
        <f t="shared" si="0"/>
        <v>20800</v>
      </c>
      <c r="H9" s="330">
        <f>G9+'14'!H9</f>
        <v>2938250</v>
      </c>
      <c r="I9" s="341">
        <f>I7-J7</f>
        <v>-30981</v>
      </c>
      <c r="J9" s="332">
        <f>H9/DAY(B2)</f>
        <v>195883.33333333334</v>
      </c>
      <c r="K9" s="81"/>
      <c r="L9" s="68"/>
      <c r="N9" s="73" t="s">
        <v>374</v>
      </c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'14'!F10</f>
        <v>2606.5500000000002</v>
      </c>
      <c r="F10" s="129">
        <v>2606.5500000000002</v>
      </c>
      <c r="G10" s="340">
        <f t="shared" si="0"/>
        <v>0</v>
      </c>
      <c r="H10" s="330">
        <f>G10+'14'!H10</f>
        <v>-0.4499999999998181</v>
      </c>
      <c r="I10" s="342"/>
      <c r="J10" s="332">
        <f>H10/DAY(B2)</f>
        <v>-2.9999999999987873E-2</v>
      </c>
      <c r="K10" s="81"/>
      <c r="L10" s="68"/>
      <c r="N10" s="73" t="s">
        <v>375</v>
      </c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G11+'14'!H11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G12+'14'!H12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20800</v>
      </c>
      <c r="H13" s="330">
        <f>G13+'14'!H13</f>
        <v>2894234.06</v>
      </c>
      <c r="I13" s="346">
        <f>G7-G13</f>
        <v>1956</v>
      </c>
      <c r="J13" s="332">
        <f>H13/DAY(B2)</f>
        <v>192948.93733333334</v>
      </c>
      <c r="K13" s="81"/>
      <c r="L13" s="68"/>
      <c r="N13" s="369"/>
      <c r="O13" s="376"/>
      <c r="P13" s="73"/>
    </row>
    <row r="14" spans="1:16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'14'!F15</f>
        <v>1741789</v>
      </c>
      <c r="F15" s="351">
        <v>1742709</v>
      </c>
      <c r="G15" s="315">
        <f>(F15-E15)</f>
        <v>920</v>
      </c>
      <c r="H15" s="137">
        <f>G15+'14'!H15</f>
        <v>-13821</v>
      </c>
      <c r="I15" s="125">
        <v>800</v>
      </c>
      <c r="J15" s="204">
        <f>H15/DAY(B2)</f>
        <v>-921.4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1721.4</v>
      </c>
      <c r="J16" s="204"/>
      <c r="K16" s="81"/>
      <c r="L16" s="68"/>
      <c r="N16" s="369"/>
      <c r="O16" s="376"/>
      <c r="P16" s="73"/>
    </row>
    <row r="17" spans="1:16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93" t="s">
        <v>142</v>
      </c>
      <c r="B18" s="1294"/>
      <c r="C18" s="1295"/>
      <c r="D18" s="288" t="s">
        <v>143</v>
      </c>
      <c r="E18" s="285">
        <f>'14'!F18</f>
        <v>16</v>
      </c>
      <c r="F18" s="129">
        <v>20</v>
      </c>
      <c r="G18" s="345">
        <f>F18*10</f>
        <v>200</v>
      </c>
      <c r="H18" s="330">
        <f>G18+'14'!H18</f>
        <v>2270</v>
      </c>
      <c r="I18" s="331">
        <f>'1'!I18</f>
        <v>65</v>
      </c>
      <c r="J18" s="332">
        <f>H18/DAY(B2)</f>
        <v>151.33333333333334</v>
      </c>
      <c r="K18" s="81"/>
      <c r="L18" s="68"/>
      <c r="N18" s="369"/>
      <c r="O18" s="376"/>
      <c r="P18" s="73"/>
    </row>
    <row r="19" spans="1:16" ht="27.75">
      <c r="A19" s="1293" t="s">
        <v>70</v>
      </c>
      <c r="B19" s="1294"/>
      <c r="C19" s="1295"/>
      <c r="D19" s="288" t="s">
        <v>143</v>
      </c>
      <c r="E19" s="285">
        <f>'14'!F19</f>
        <v>144266</v>
      </c>
      <c r="F19" s="129">
        <v>144330</v>
      </c>
      <c r="G19" s="340">
        <f t="shared" ref="G19" si="1">F19-E19</f>
        <v>64</v>
      </c>
      <c r="H19" s="330">
        <f>G19+'14'!H19</f>
        <v>-1008</v>
      </c>
      <c r="I19" s="347"/>
      <c r="J19" s="332">
        <f>H19/DAY(B2)</f>
        <v>-67.2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264</v>
      </c>
      <c r="H20" s="330">
        <f>G20+'14'!H20</f>
        <v>1262</v>
      </c>
      <c r="I20" s="349">
        <f>I18-J20</f>
        <v>-19.13333333333334</v>
      </c>
      <c r="J20" s="332">
        <f>H20/DAY(B2)</f>
        <v>84.13333333333334</v>
      </c>
      <c r="K20" s="81"/>
      <c r="L20" s="68"/>
      <c r="N20" s="369"/>
      <c r="O20" s="376"/>
      <c r="P20" s="73"/>
    </row>
    <row r="21" spans="1:16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14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14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22500</v>
      </c>
      <c r="F27" s="152">
        <v>9</v>
      </c>
      <c r="G27" s="153">
        <f>E27*F27</f>
        <v>202500</v>
      </c>
      <c r="H27" s="111">
        <f>G27+'14'!H27</f>
        <v>2980451.43</v>
      </c>
      <c r="I27" s="154"/>
      <c r="J27" s="203">
        <f>H27/DAY(B2)</f>
        <v>198696.76200000002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920</v>
      </c>
      <c r="F28" s="152">
        <v>56.2</v>
      </c>
      <c r="G28" s="153">
        <f>E28*F28</f>
        <v>51704</v>
      </c>
      <c r="H28" s="111">
        <f>G28+'14'!H28</f>
        <v>-779777.2873999998</v>
      </c>
      <c r="I28" s="156"/>
      <c r="J28" s="203">
        <f>H28/DAY(B2)</f>
        <v>-51985.15249333332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G30+'14'!H30</f>
        <v>-147168</v>
      </c>
      <c r="I30" s="156"/>
      <c r="J30" s="203">
        <f>H30/DAY(B2)</f>
        <v>-9811.2000000000007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G31+'14'!H31</f>
        <v>181600</v>
      </c>
      <c r="I31" s="156"/>
      <c r="J31" s="203">
        <f>H31/DAY(B2)</f>
        <v>12106.666666666666</v>
      </c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279548</v>
      </c>
      <c r="H32" s="111">
        <f>G32+'14'!H32</f>
        <v>2235106.1426000008</v>
      </c>
      <c r="I32" s="111"/>
      <c r="J32" s="203">
        <f>H32/DAY(B2)</f>
        <v>149007.07617333339</v>
      </c>
      <c r="K32" s="65"/>
      <c r="L32" s="94"/>
      <c r="N32" s="369"/>
      <c r="O32" s="376"/>
      <c r="P32" s="73"/>
    </row>
    <row r="33" spans="1:16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369"/>
      <c r="O33" s="376"/>
      <c r="P33" s="73"/>
    </row>
    <row r="34" spans="1:16">
      <c r="A34" s="249" t="s">
        <v>162</v>
      </c>
      <c r="B34" s="819"/>
      <c r="C34" s="81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'14'!F35</f>
        <v>1058596</v>
      </c>
      <c r="F35" s="161">
        <v>1058596</v>
      </c>
      <c r="G35" s="124">
        <f t="shared" ref="G35:G46" si="3">F35-E35</f>
        <v>0</v>
      </c>
      <c r="H35" s="111">
        <f>G35+'14'!H35</f>
        <v>-1</v>
      </c>
      <c r="I35" s="106"/>
      <c r="J35" s="203">
        <f>H35/DAY(B2)</f>
        <v>-6.6666666666666666E-2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'14'!F36</f>
        <v>57017</v>
      </c>
      <c r="F36" s="161">
        <v>57840</v>
      </c>
      <c r="G36" s="124">
        <f t="shared" si="3"/>
        <v>823</v>
      </c>
      <c r="H36" s="111">
        <f>G36+'14'!H36</f>
        <v>56007</v>
      </c>
      <c r="I36" s="106"/>
      <c r="J36" s="203">
        <f>H36/DAY(B2)</f>
        <v>3733.8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'14'!F37</f>
        <v>248539</v>
      </c>
      <c r="F37" s="161">
        <v>250093</v>
      </c>
      <c r="G37" s="124">
        <f t="shared" si="3"/>
        <v>1554</v>
      </c>
      <c r="H37" s="111">
        <f>G37+'14'!H37</f>
        <v>246318</v>
      </c>
      <c r="I37" s="106"/>
      <c r="J37" s="203">
        <f>H37/DAY(B2)</f>
        <v>16421.2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'14'!F38</f>
        <v>272378</v>
      </c>
      <c r="F38" s="120">
        <v>274220</v>
      </c>
      <c r="G38" s="124">
        <f t="shared" si="3"/>
        <v>1842</v>
      </c>
      <c r="H38" s="111">
        <f>G38+'14'!H38</f>
        <v>269397</v>
      </c>
      <c r="I38" s="106"/>
      <c r="J38" s="203">
        <f>H38/DAY(B2)</f>
        <v>17959.8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'14'!F39</f>
        <v>573213</v>
      </c>
      <c r="F39" s="161">
        <v>576884</v>
      </c>
      <c r="G39" s="124">
        <f t="shared" si="3"/>
        <v>3671</v>
      </c>
      <c r="H39" s="111">
        <f>G39+'14'!H39</f>
        <v>573042</v>
      </c>
      <c r="I39" s="106"/>
      <c r="J39" s="203">
        <f>H39/DAY(B2)</f>
        <v>38202.800000000003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'14'!F40</f>
        <v>26877</v>
      </c>
      <c r="F40" s="161">
        <v>27308</v>
      </c>
      <c r="G40" s="124">
        <f t="shared" si="3"/>
        <v>431</v>
      </c>
      <c r="H40" s="111">
        <f>G40+'14'!H40</f>
        <v>27465.4</v>
      </c>
      <c r="I40" s="106"/>
      <c r="J40" s="203">
        <f>H40/DAY(B2)</f>
        <v>1831.0266666666669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'14'!F41</f>
        <v>401559</v>
      </c>
      <c r="F41" s="161">
        <v>407117</v>
      </c>
      <c r="G41" s="124">
        <f t="shared" si="3"/>
        <v>5558</v>
      </c>
      <c r="H41" s="111">
        <f>G41+'14'!H41</f>
        <v>-26164.789999999979</v>
      </c>
      <c r="I41" s="106"/>
      <c r="J41" s="203">
        <f>H41/DAY(B2)</f>
        <v>-1744.319333333332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'14'!F42</f>
        <v>147899</v>
      </c>
      <c r="F42" s="161">
        <v>147899</v>
      </c>
      <c r="G42" s="124">
        <f t="shared" si="3"/>
        <v>0</v>
      </c>
      <c r="H42" s="111">
        <f>G42+'14'!H42</f>
        <v>-27213</v>
      </c>
      <c r="I42" s="106"/>
      <c r="J42" s="203">
        <f>H42/DAY(B2)</f>
        <v>-1814.2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'14'!F43</f>
        <v>1244080</v>
      </c>
      <c r="F43" s="161">
        <v>1246660</v>
      </c>
      <c r="G43" s="124">
        <f t="shared" si="3"/>
        <v>2580</v>
      </c>
      <c r="H43" s="111">
        <f>G43+'14'!H43</f>
        <v>-43085</v>
      </c>
      <c r="I43" s="106"/>
      <c r="J43" s="203">
        <f>H43/DAY(B2)</f>
        <v>-2872.3333333333335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16459</v>
      </c>
      <c r="H47" s="111">
        <f>G47+'14'!H47</f>
        <v>1076567.1000000001</v>
      </c>
      <c r="I47" s="106"/>
      <c r="J47" s="203">
        <f>H47/DAY(B2)</f>
        <v>71771.14</v>
      </c>
      <c r="K47" s="81"/>
      <c r="L47" s="68"/>
      <c r="N47" s="369"/>
      <c r="O47" s="376"/>
      <c r="P47" s="73"/>
    </row>
    <row r="48" spans="1:16">
      <c r="A48" s="249" t="s">
        <v>176</v>
      </c>
      <c r="B48" s="819"/>
      <c r="C48" s="81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'14'!F49</f>
        <v>366771</v>
      </c>
      <c r="F49" s="161">
        <v>369746</v>
      </c>
      <c r="G49" s="124">
        <f t="shared" ref="G49:G58" si="4">F49-E49</f>
        <v>2975</v>
      </c>
      <c r="H49" s="111">
        <f>G49+'14'!H49</f>
        <v>352966</v>
      </c>
      <c r="I49" s="106"/>
      <c r="J49" s="203">
        <f>H49/DAY(B2)</f>
        <v>23531.066666666666</v>
      </c>
      <c r="K49" s="81">
        <f>E49+242</f>
        <v>367013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'14'!F50</f>
        <v>585907</v>
      </c>
      <c r="F50" s="161">
        <v>587113</v>
      </c>
      <c r="G50" s="124">
        <f t="shared" si="4"/>
        <v>1206</v>
      </c>
      <c r="H50" s="111">
        <f>G50+'14'!H50</f>
        <v>-21105</v>
      </c>
      <c r="I50" s="106"/>
      <c r="J50" s="203">
        <f>H50/DAY(B2)</f>
        <v>-1407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'14'!F51</f>
        <v>144639.87</v>
      </c>
      <c r="F51" s="161">
        <v>144639.87</v>
      </c>
      <c r="G51" s="124">
        <f t="shared" si="4"/>
        <v>0</v>
      </c>
      <c r="H51" s="111">
        <f>G51+'14'!H51</f>
        <v>144639.87</v>
      </c>
      <c r="I51" s="106"/>
      <c r="J51" s="203">
        <f>H51/DAY(B2)</f>
        <v>9642.6579999999994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'14'!F52</f>
        <v>539606.06999999995</v>
      </c>
      <c r="F52" s="161">
        <v>539606</v>
      </c>
      <c r="G52" s="124">
        <f t="shared" si="4"/>
        <v>-6.9999999948777258E-2</v>
      </c>
      <c r="H52" s="111">
        <f>G52+'14'!H52</f>
        <v>-6.9999999948777258E-2</v>
      </c>
      <c r="I52" s="106"/>
      <c r="J52" s="203">
        <f>H52/DAY(B2)</f>
        <v>-4.6666666632518171E-3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'14'!F53</f>
        <v>434231.59</v>
      </c>
      <c r="F53" s="161">
        <v>434232</v>
      </c>
      <c r="G53" s="124">
        <f t="shared" si="4"/>
        <v>0.40999999997438863</v>
      </c>
      <c r="H53" s="111">
        <f>G53+'14'!H53</f>
        <v>434232</v>
      </c>
      <c r="I53" s="106"/>
      <c r="J53" s="203">
        <f>H53/DAY(B2)</f>
        <v>28948.799999999999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'14'!F54</f>
        <v>14967</v>
      </c>
      <c r="F54" s="161">
        <v>14967</v>
      </c>
      <c r="G54" s="124">
        <f t="shared" si="4"/>
        <v>0</v>
      </c>
      <c r="H54" s="111">
        <f>G54+'14'!H54</f>
        <v>12502</v>
      </c>
      <c r="I54" s="106"/>
      <c r="J54" s="203">
        <f>H54/DAY(B2)</f>
        <v>833.4666666666667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'14'!F55</f>
        <v>264669</v>
      </c>
      <c r="F55" s="304">
        <v>265307</v>
      </c>
      <c r="G55" s="303">
        <f t="shared" si="4"/>
        <v>638</v>
      </c>
      <c r="H55" s="356">
        <f>G55+'14'!H55</f>
        <v>-41991.989999999991</v>
      </c>
      <c r="I55" s="357"/>
      <c r="J55" s="358">
        <f>H55/DAY(B2)</f>
        <v>-2799.4659999999994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'14'!F56</f>
        <v>649519</v>
      </c>
      <c r="F56" s="304">
        <v>649532</v>
      </c>
      <c r="G56" s="124">
        <f t="shared" si="4"/>
        <v>13</v>
      </c>
      <c r="H56" s="111">
        <f>G56+'14'!H56</f>
        <v>-11499</v>
      </c>
      <c r="I56" s="106"/>
      <c r="J56" s="203">
        <f>H56/DAY(B2)</f>
        <v>-766.6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'14'!F58</f>
        <v>62561.7</v>
      </c>
      <c r="F58" s="304">
        <v>62774</v>
      </c>
      <c r="G58" s="124">
        <f t="shared" si="4"/>
        <v>212.30000000000291</v>
      </c>
      <c r="H58" s="111">
        <f>G58+'14'!H58</f>
        <v>-3409</v>
      </c>
      <c r="I58" s="106"/>
      <c r="J58" s="203">
        <f>H58/DAY(B2)</f>
        <v>-227.26666666666668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5044.6400000000285</v>
      </c>
      <c r="H59" s="111">
        <f>G59+'14'!H59</f>
        <v>1405941.21</v>
      </c>
      <c r="I59" s="106">
        <f>G7-G60</f>
        <v>1252.3599999999715</v>
      </c>
      <c r="J59" s="203">
        <f>H59/DAY(B2)</f>
        <v>93729.414000000004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21503.640000000029</v>
      </c>
      <c r="H60" s="111">
        <f>G60+'14'!H60</f>
        <v>2489197.31</v>
      </c>
      <c r="I60" s="106">
        <f>G13-G60</f>
        <v>-703.64000000002852</v>
      </c>
      <c r="J60" s="203">
        <f>H60/DAY(B2)</f>
        <v>165946.48733333332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'14'!F63</f>
        <v>0</v>
      </c>
      <c r="F63" s="165">
        <v>0</v>
      </c>
      <c r="G63" s="124">
        <f t="shared" si="5"/>
        <v>0</v>
      </c>
      <c r="H63" s="111">
        <f>G63+'14'!H63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226" t="s">
        <v>98</v>
      </c>
      <c r="B64" s="1227"/>
      <c r="C64" s="1228"/>
      <c r="D64" s="174" t="s">
        <v>186</v>
      </c>
      <c r="E64" s="165">
        <f>'14'!F64</f>
        <v>187217</v>
      </c>
      <c r="F64" s="129">
        <v>187579</v>
      </c>
      <c r="G64" s="124">
        <f t="shared" si="5"/>
        <v>362</v>
      </c>
      <c r="H64" s="111">
        <f>G64+'14'!H64</f>
        <v>-6638</v>
      </c>
      <c r="I64" s="131"/>
      <c r="J64" s="203">
        <f>H64/DAY(B2)</f>
        <v>-442.53333333333336</v>
      </c>
      <c r="K64" s="81"/>
      <c r="L64" s="68"/>
      <c r="N64" s="369"/>
      <c r="O64" s="376"/>
      <c r="P64" s="73"/>
    </row>
    <row r="65" spans="1:16" ht="27.75">
      <c r="A65" s="1226" t="s">
        <v>99</v>
      </c>
      <c r="B65" s="1227"/>
      <c r="C65" s="1228"/>
      <c r="D65" s="174" t="s">
        <v>186</v>
      </c>
      <c r="E65" s="165">
        <f>'14'!F65</f>
        <v>187420</v>
      </c>
      <c r="F65" s="302">
        <v>188197</v>
      </c>
      <c r="G65" s="124">
        <f t="shared" si="5"/>
        <v>777</v>
      </c>
      <c r="H65" s="111">
        <f>G65+'14'!H65</f>
        <v>-6432</v>
      </c>
      <c r="I65" s="140"/>
      <c r="J65" s="203">
        <f>H65/DAY(B2)</f>
        <v>-428.8</v>
      </c>
      <c r="K65" s="81"/>
      <c r="L65" s="68"/>
      <c r="N65" s="369"/>
      <c r="O65" s="377"/>
      <c r="P65" s="73"/>
    </row>
    <row r="66" spans="1:16" ht="27.75">
      <c r="A66" s="1226" t="s">
        <v>100</v>
      </c>
      <c r="B66" s="1227"/>
      <c r="C66" s="1228"/>
      <c r="D66" s="174" t="s">
        <v>186</v>
      </c>
      <c r="E66" s="165">
        <f>'14'!F66</f>
        <v>86329</v>
      </c>
      <c r="F66" s="129">
        <v>86733</v>
      </c>
      <c r="G66" s="124">
        <f t="shared" si="5"/>
        <v>404</v>
      </c>
      <c r="H66" s="111">
        <f>G66+'14'!H66</f>
        <v>-6584</v>
      </c>
      <c r="I66" s="131"/>
      <c r="J66" s="203">
        <f>H66/DAY(B2)</f>
        <v>-438.93333333333334</v>
      </c>
      <c r="K66" s="81"/>
      <c r="L66" s="68"/>
      <c r="N66" s="369"/>
      <c r="O66" s="376"/>
      <c r="P66" s="73"/>
    </row>
    <row r="67" spans="1:16" ht="27.75">
      <c r="A67" s="1226" t="s">
        <v>101</v>
      </c>
      <c r="B67" s="1227"/>
      <c r="C67" s="1228"/>
      <c r="D67" s="174" t="s">
        <v>186</v>
      </c>
      <c r="E67" s="165">
        <f>'14'!F67</f>
        <v>286818</v>
      </c>
      <c r="F67" s="129">
        <v>287262</v>
      </c>
      <c r="G67" s="124">
        <f t="shared" si="5"/>
        <v>444</v>
      </c>
      <c r="H67" s="111">
        <f>G67+'14'!H67</f>
        <v>-7629</v>
      </c>
      <c r="I67" s="140"/>
      <c r="J67" s="203">
        <f>H67/DAY(B2)</f>
        <v>-508.6</v>
      </c>
      <c r="K67" s="82"/>
      <c r="L67" s="68"/>
      <c r="N67" s="369"/>
      <c r="O67" s="376"/>
      <c r="P67" s="73"/>
    </row>
    <row r="68" spans="1:16" ht="27.75">
      <c r="A68" s="1226" t="s">
        <v>102</v>
      </c>
      <c r="B68" s="1227"/>
      <c r="C68" s="1228"/>
      <c r="D68" s="174" t="s">
        <v>186</v>
      </c>
      <c r="E68" s="165">
        <f>'14'!F68</f>
        <v>85321</v>
      </c>
      <c r="F68" s="129">
        <v>85321</v>
      </c>
      <c r="G68" s="124">
        <f t="shared" si="5"/>
        <v>0</v>
      </c>
      <c r="H68" s="111">
        <f>G68+'14'!H68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226" t="s">
        <v>103</v>
      </c>
      <c r="B69" s="1227"/>
      <c r="C69" s="1228"/>
      <c r="D69" s="174" t="s">
        <v>186</v>
      </c>
      <c r="E69" s="165">
        <f>'14'!F69</f>
        <v>101025</v>
      </c>
      <c r="F69" s="129">
        <v>101317</v>
      </c>
      <c r="G69" s="124">
        <f t="shared" si="5"/>
        <v>292</v>
      </c>
      <c r="H69" s="111">
        <f>G69+'14'!H69</f>
        <v>-5089</v>
      </c>
      <c r="I69" s="167"/>
      <c r="J69" s="203">
        <f>H69/DAY(B2)</f>
        <v>-339.26666666666665</v>
      </c>
      <c r="K69" s="84"/>
      <c r="L69" s="68"/>
      <c r="N69" s="369"/>
      <c r="O69" s="376"/>
      <c r="P69" s="73"/>
    </row>
    <row r="70" spans="1:16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369"/>
      <c r="O71" s="376"/>
      <c r="P71" s="73"/>
    </row>
    <row r="72" spans="1:16" ht="27.75">
      <c r="A72" s="1226" t="s">
        <v>190</v>
      </c>
      <c r="B72" s="1227"/>
      <c r="C72" s="1228"/>
      <c r="D72" s="174" t="s">
        <v>186</v>
      </c>
      <c r="E72" s="170">
        <f>'14'!F72</f>
        <v>856794</v>
      </c>
      <c r="F72" s="305">
        <v>856804</v>
      </c>
      <c r="G72" s="124">
        <f t="shared" ref="G72:G84" si="6">F72-E72</f>
        <v>10</v>
      </c>
      <c r="H72" s="111">
        <f>G72+'14'!H72</f>
        <v>97</v>
      </c>
      <c r="I72" s="131"/>
      <c r="J72" s="203">
        <f>H72/DAY(B2)</f>
        <v>6.4666666666666668</v>
      </c>
      <c r="K72" s="84"/>
      <c r="L72" s="68"/>
      <c r="N72" s="369"/>
      <c r="O72" s="376"/>
      <c r="P72" s="73"/>
    </row>
    <row r="73" spans="1:16" ht="27.75">
      <c r="A73" s="1226" t="s">
        <v>191</v>
      </c>
      <c r="B73" s="1227"/>
      <c r="C73" s="1228"/>
      <c r="D73" s="174" t="s">
        <v>186</v>
      </c>
      <c r="E73" s="170">
        <f>'14'!F73</f>
        <v>886030</v>
      </c>
      <c r="F73" s="306">
        <v>886031</v>
      </c>
      <c r="G73" s="303">
        <f t="shared" si="6"/>
        <v>1</v>
      </c>
      <c r="H73" s="111">
        <f>G73+'14'!H73</f>
        <v>-20</v>
      </c>
      <c r="I73" s="131"/>
      <c r="J73" s="203">
        <f>H73/DAY(B2)</f>
        <v>-1.3333333333333333</v>
      </c>
      <c r="K73" s="83"/>
      <c r="L73" s="68"/>
      <c r="N73" s="369"/>
      <c r="O73" s="376"/>
      <c r="P73" s="73"/>
    </row>
    <row r="74" spans="1:16" ht="27.75">
      <c r="A74" s="1226" t="s">
        <v>192</v>
      </c>
      <c r="B74" s="1227"/>
      <c r="C74" s="1228"/>
      <c r="D74" s="174" t="s">
        <v>186</v>
      </c>
      <c r="E74" s="170">
        <f>'14'!F74</f>
        <v>88751</v>
      </c>
      <c r="F74" s="306">
        <v>88752</v>
      </c>
      <c r="G74" s="124">
        <f t="shared" si="6"/>
        <v>1</v>
      </c>
      <c r="H74" s="111">
        <f>G74+'14'!H74</f>
        <v>62</v>
      </c>
      <c r="I74" s="131"/>
      <c r="J74" s="203">
        <f>H74/DAY(B2)</f>
        <v>4.1333333333333337</v>
      </c>
      <c r="K74" s="84"/>
      <c r="L74" s="68"/>
      <c r="N74" s="369"/>
      <c r="O74" s="376"/>
      <c r="P74" s="73"/>
    </row>
    <row r="75" spans="1:16" ht="27.75">
      <c r="A75" s="1229" t="s">
        <v>193</v>
      </c>
      <c r="B75" s="1230"/>
      <c r="C75" s="1231"/>
      <c r="D75" s="174" t="s">
        <v>186</v>
      </c>
      <c r="E75" s="170">
        <f>'14'!F75</f>
        <v>23311.5</v>
      </c>
      <c r="F75" s="306">
        <v>23490.5</v>
      </c>
      <c r="G75" s="124">
        <f t="shared" si="6"/>
        <v>179</v>
      </c>
      <c r="H75" s="111">
        <f>G75+'14'!H75</f>
        <v>-2817.5</v>
      </c>
      <c r="I75" s="131"/>
      <c r="J75" s="203">
        <f>H75/DAY(B2)</f>
        <v>-187.83333333333334</v>
      </c>
      <c r="K75" s="83"/>
      <c r="L75" s="68"/>
      <c r="N75" s="369"/>
      <c r="O75" s="376"/>
      <c r="P75" s="73"/>
    </row>
    <row r="76" spans="1:16" ht="27.75">
      <c r="A76" s="1229" t="s">
        <v>194</v>
      </c>
      <c r="B76" s="1230"/>
      <c r="C76" s="1231"/>
      <c r="D76" s="174" t="s">
        <v>186</v>
      </c>
      <c r="E76" s="170">
        <f>'14'!F76</f>
        <v>12165</v>
      </c>
      <c r="F76" s="306">
        <v>12212</v>
      </c>
      <c r="G76" s="124">
        <f t="shared" si="6"/>
        <v>47</v>
      </c>
      <c r="H76" s="111">
        <f>G76+'14'!H76</f>
        <v>-1065</v>
      </c>
      <c r="I76" s="156"/>
      <c r="J76" s="203">
        <f>H76/DAY(B2)</f>
        <v>-71</v>
      </c>
      <c r="K76" s="83"/>
      <c r="L76" s="68"/>
      <c r="N76" s="369"/>
      <c r="O76" s="376"/>
      <c r="P76" s="73"/>
    </row>
    <row r="77" spans="1:16" ht="27.75">
      <c r="A77" s="1226" t="s">
        <v>195</v>
      </c>
      <c r="B77" s="1227"/>
      <c r="C77" s="1228"/>
      <c r="D77" s="174" t="s">
        <v>186</v>
      </c>
      <c r="E77" s="170">
        <f>'14'!F77</f>
        <v>707342</v>
      </c>
      <c r="F77" s="306">
        <v>707386</v>
      </c>
      <c r="G77" s="303">
        <f t="shared" si="6"/>
        <v>44</v>
      </c>
      <c r="H77" s="111">
        <f>G77+'14'!H77</f>
        <v>-903</v>
      </c>
      <c r="I77" s="156"/>
      <c r="J77" s="203">
        <f>H77/DAY(B2)</f>
        <v>-60.2</v>
      </c>
      <c r="K77" s="83"/>
      <c r="L77" s="68"/>
      <c r="N77" s="369"/>
      <c r="O77" s="376"/>
      <c r="P77" s="73"/>
    </row>
    <row r="78" spans="1:16" ht="27.75">
      <c r="A78" s="817" t="s">
        <v>196</v>
      </c>
      <c r="B78" s="810"/>
      <c r="C78" s="810"/>
      <c r="D78" s="174" t="s">
        <v>186</v>
      </c>
      <c r="E78" s="170">
        <f>'14'!F78</f>
        <v>680454</v>
      </c>
      <c r="F78" s="307">
        <v>680529</v>
      </c>
      <c r="G78" s="124">
        <f t="shared" si="6"/>
        <v>75</v>
      </c>
      <c r="H78" s="111">
        <f>G78+'14'!H78</f>
        <v>-1884</v>
      </c>
      <c r="I78" s="156"/>
      <c r="J78" s="203">
        <f>H78/DAY(B2)</f>
        <v>-125.6</v>
      </c>
      <c r="K78" s="83"/>
      <c r="L78" s="68"/>
      <c r="N78" s="369"/>
      <c r="O78" s="376"/>
      <c r="P78" s="73"/>
    </row>
    <row r="79" spans="1:16" ht="27.75">
      <c r="A79" s="1229" t="s">
        <v>91</v>
      </c>
      <c r="B79" s="1230"/>
      <c r="C79" s="1231"/>
      <c r="D79" s="175" t="s">
        <v>186</v>
      </c>
      <c r="E79" s="170">
        <f>'14'!F79</f>
        <v>842366</v>
      </c>
      <c r="F79" s="307">
        <v>842520</v>
      </c>
      <c r="G79" s="124">
        <f t="shared" si="6"/>
        <v>154</v>
      </c>
      <c r="H79" s="111">
        <f>G79+'14'!H79</f>
        <v>-2529</v>
      </c>
      <c r="I79" s="156"/>
      <c r="J79" s="203">
        <f>H79/DAY(B2)</f>
        <v>-168.6</v>
      </c>
      <c r="K79" s="83"/>
      <c r="L79" s="68"/>
      <c r="N79" s="369"/>
      <c r="O79" s="376"/>
      <c r="P79" s="73"/>
    </row>
    <row r="80" spans="1:16" ht="27.75">
      <c r="A80" s="1229" t="s">
        <v>197</v>
      </c>
      <c r="B80" s="1230"/>
      <c r="C80" s="1231"/>
      <c r="D80" s="175" t="s">
        <v>186</v>
      </c>
      <c r="E80" s="170">
        <f>'14'!F80</f>
        <v>557605</v>
      </c>
      <c r="F80" s="306">
        <v>558029</v>
      </c>
      <c r="G80" s="124">
        <f t="shared" si="6"/>
        <v>424</v>
      </c>
      <c r="H80" s="111">
        <f>G80+'14'!H80</f>
        <v>-6269</v>
      </c>
      <c r="I80" s="156"/>
      <c r="J80" s="203">
        <f>H80/DAY(B2)</f>
        <v>-417.93333333333334</v>
      </c>
      <c r="K80" s="83"/>
      <c r="L80" s="68"/>
      <c r="N80" s="369"/>
      <c r="O80" s="376"/>
      <c r="P80" s="73"/>
    </row>
    <row r="81" spans="1:16" ht="27.75">
      <c r="A81" s="1229" t="s">
        <v>198</v>
      </c>
      <c r="B81" s="1230"/>
      <c r="C81" s="1231"/>
      <c r="D81" s="175" t="s">
        <v>186</v>
      </c>
      <c r="E81" s="170">
        <f>'14'!F81</f>
        <v>651380</v>
      </c>
      <c r="F81" s="306">
        <v>651590</v>
      </c>
      <c r="G81" s="124">
        <f t="shared" si="6"/>
        <v>210</v>
      </c>
      <c r="H81" s="111">
        <f>G81+'14'!H81</f>
        <v>-2588</v>
      </c>
      <c r="I81" s="156"/>
      <c r="J81" s="203">
        <f>H81/DAY(B2)</f>
        <v>-172.53333333333333</v>
      </c>
      <c r="K81" s="83"/>
      <c r="L81" s="68"/>
      <c r="N81" s="369"/>
      <c r="O81" s="376"/>
      <c r="P81" s="73"/>
    </row>
    <row r="82" spans="1:16" s="426" customFormat="1" ht="27.75">
      <c r="A82" s="1300" t="s">
        <v>92</v>
      </c>
      <c r="B82" s="1301"/>
      <c r="C82" s="1302"/>
      <c r="D82" s="136" t="s">
        <v>131</v>
      </c>
      <c r="E82" s="170">
        <f>'14'!F82</f>
        <v>109602</v>
      </c>
      <c r="F82" s="136">
        <v>109615</v>
      </c>
      <c r="G82" s="124">
        <f t="shared" si="6"/>
        <v>13</v>
      </c>
      <c r="H82" s="137">
        <f>G82+'14'!H82</f>
        <v>109838</v>
      </c>
      <c r="I82" s="137"/>
      <c r="J82" s="204">
        <f>H82/DAY(B2)</f>
        <v>7322.5333333333338</v>
      </c>
      <c r="K82" s="832"/>
      <c r="L82" s="833"/>
      <c r="N82" s="373"/>
      <c r="O82" s="377"/>
      <c r="P82" s="372"/>
    </row>
    <row r="83" spans="1:16" s="426" customFormat="1" ht="27.75">
      <c r="A83" s="1303" t="s">
        <v>199</v>
      </c>
      <c r="B83" s="1304"/>
      <c r="C83" s="1305"/>
      <c r="D83" s="923" t="s">
        <v>131</v>
      </c>
      <c r="E83" s="433">
        <f>'14'!F83</f>
        <v>39360</v>
      </c>
      <c r="F83" s="923">
        <v>39750</v>
      </c>
      <c r="G83" s="424">
        <f t="shared" si="6"/>
        <v>390</v>
      </c>
      <c r="H83" s="130">
        <f>G83+'14'!H83</f>
        <v>-4573</v>
      </c>
      <c r="I83" s="424"/>
      <c r="J83" s="425">
        <f>H83/DAY(B2)</f>
        <v>-304.86666666666667</v>
      </c>
      <c r="K83" s="924"/>
      <c r="L83" s="833"/>
      <c r="N83" s="373"/>
      <c r="O83" s="377"/>
      <c r="P83" s="372"/>
    </row>
    <row r="84" spans="1:16">
      <c r="A84" s="818" t="s">
        <v>200</v>
      </c>
      <c r="B84" s="222"/>
      <c r="C84" s="222"/>
      <c r="D84" s="129" t="s">
        <v>131</v>
      </c>
      <c r="E84" s="170">
        <f>'14'!F84</f>
        <v>558160</v>
      </c>
      <c r="F84" s="278">
        <v>558997</v>
      </c>
      <c r="G84" s="124">
        <f t="shared" si="6"/>
        <v>837</v>
      </c>
      <c r="H84" s="111">
        <f>G84+'14'!H84</f>
        <v>-11382</v>
      </c>
      <c r="I84" s="132"/>
      <c r="J84" s="203">
        <f>H84/DAY(B2)</f>
        <v>-758.8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2385</v>
      </c>
      <c r="H85" s="111">
        <f>G85+'14'!H85</f>
        <v>75651.5</v>
      </c>
      <c r="I85" s="132"/>
      <c r="J85" s="203">
        <f>H85/DAY(B2)</f>
        <v>5043.4333333333334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'14'!F86</f>
        <v>463115</v>
      </c>
      <c r="F86" s="298">
        <v>463123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0.53333333333333333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'14'!F87</f>
        <v>83373</v>
      </c>
      <c r="F87" s="298">
        <v>83399</v>
      </c>
      <c r="G87" s="356">
        <f t="shared" si="7"/>
        <v>26</v>
      </c>
      <c r="H87" s="356">
        <f t="shared" si="8"/>
        <v>26</v>
      </c>
      <c r="I87" s="303"/>
      <c r="J87" s="358">
        <f>H87/DAY(B2)</f>
        <v>1.7333333333333334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'14'!F88</f>
        <v>158212</v>
      </c>
      <c r="F88" s="1074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'14'!F89</f>
        <v>67891</v>
      </c>
      <c r="F89" s="298">
        <v>67937</v>
      </c>
      <c r="G89" s="356">
        <f t="shared" si="7"/>
        <v>46</v>
      </c>
      <c r="H89" s="356">
        <f>G89</f>
        <v>46</v>
      </c>
      <c r="I89" s="303"/>
      <c r="J89" s="358">
        <f>H89/DAY(B2)</f>
        <v>3.0666666666666669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'14'!F90</f>
        <v>3525</v>
      </c>
      <c r="F90" s="298">
        <v>3526</v>
      </c>
      <c r="G90" s="356">
        <f t="shared" si="7"/>
        <v>1</v>
      </c>
      <c r="H90" s="356">
        <f>G90</f>
        <v>1</v>
      </c>
      <c r="I90" s="303"/>
      <c r="J90" s="358">
        <f>H90/DAY(B2)</f>
        <v>6.6666666666666666E-2</v>
      </c>
      <c r="K90" s="384"/>
      <c r="L90" s="385"/>
      <c r="N90" s="428"/>
      <c r="O90" s="73"/>
    </row>
    <row r="91" spans="1:16" s="386" customFormat="1">
      <c r="A91" s="381" t="s">
        <v>335</v>
      </c>
      <c r="B91" s="382"/>
      <c r="C91" s="382"/>
      <c r="D91" s="383"/>
      <c r="E91" s="278">
        <f>'14'!F91</f>
        <v>28618</v>
      </c>
      <c r="F91" s="298">
        <v>28622</v>
      </c>
      <c r="G91" s="356">
        <f t="shared" si="7"/>
        <v>4</v>
      </c>
      <c r="H91" s="356">
        <f>G91</f>
        <v>4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20"/>
      <c r="C92" s="82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45" t="s">
        <v>205</v>
      </c>
      <c r="B93" s="1246"/>
      <c r="C93" s="1247"/>
      <c r="D93" s="174" t="s">
        <v>143</v>
      </c>
      <c r="E93" s="135">
        <f>'14'!F93</f>
        <v>251746</v>
      </c>
      <c r="F93" s="129">
        <v>251876</v>
      </c>
      <c r="G93" s="124">
        <f t="shared" ref="G93:G94" si="9">F93-E93</f>
        <v>130</v>
      </c>
      <c r="H93" s="111">
        <f>G93+'14'!H93</f>
        <v>-1576</v>
      </c>
      <c r="I93" s="131"/>
      <c r="J93" s="203">
        <f>H93/DAY(B2)</f>
        <v>-105.06666666666666</v>
      </c>
      <c r="K93" s="82"/>
      <c r="L93" s="68"/>
      <c r="N93" s="369"/>
      <c r="O93" s="376"/>
      <c r="P93" s="73"/>
    </row>
    <row r="94" spans="1:16" ht="27.75">
      <c r="A94" s="1245" t="s">
        <v>206</v>
      </c>
      <c r="B94" s="1246"/>
      <c r="C94" s="1247"/>
      <c r="D94" s="174" t="s">
        <v>143</v>
      </c>
      <c r="E94" s="135">
        <f>'14'!F94</f>
        <v>195087</v>
      </c>
      <c r="F94" s="129">
        <v>195255</v>
      </c>
      <c r="G94" s="124">
        <f t="shared" si="9"/>
        <v>168</v>
      </c>
      <c r="H94" s="111">
        <f>G94+'14'!H94</f>
        <v>-2404</v>
      </c>
      <c r="I94" s="131"/>
      <c r="J94" s="203">
        <f>H94/DAY(B2)</f>
        <v>-160.26666666666668</v>
      </c>
      <c r="K94" s="71"/>
      <c r="L94" s="68"/>
      <c r="N94" s="369"/>
      <c r="O94" s="376"/>
      <c r="P94" s="73"/>
    </row>
    <row r="95" spans="1:16">
      <c r="A95" s="1277" t="s">
        <v>207</v>
      </c>
      <c r="B95" s="1278"/>
      <c r="C95" s="1279"/>
      <c r="D95" s="174"/>
      <c r="E95" s="135"/>
      <c r="F95" s="129"/>
      <c r="G95" s="124">
        <f>G93+G94</f>
        <v>298</v>
      </c>
      <c r="H95" s="111">
        <f>G95+'14'!H95</f>
        <v>-4205</v>
      </c>
      <c r="I95" s="131"/>
      <c r="J95" s="203">
        <f>H95/DAY(B2)</f>
        <v>-280.33333333333331</v>
      </c>
      <c r="K95" s="71"/>
      <c r="L95" s="68"/>
      <c r="N95" s="369"/>
      <c r="O95" s="376"/>
      <c r="P95" s="73"/>
    </row>
    <row r="96" spans="1:16" ht="27.75">
      <c r="A96" s="1245" t="s">
        <v>208</v>
      </c>
      <c r="B96" s="1246"/>
      <c r="C96" s="1247"/>
      <c r="D96" s="174" t="s">
        <v>143</v>
      </c>
      <c r="E96" s="135">
        <f>'14'!F96</f>
        <v>419645</v>
      </c>
      <c r="F96" s="129">
        <v>419723</v>
      </c>
      <c r="G96" s="124">
        <f t="shared" ref="G96:G101" si="10">F96-E96</f>
        <v>78</v>
      </c>
      <c r="H96" s="111">
        <f>G96+'14'!H96</f>
        <v>-1296</v>
      </c>
      <c r="I96" s="131"/>
      <c r="J96" s="203">
        <f>H96/DAY(B2)</f>
        <v>-86.4</v>
      </c>
      <c r="K96" s="71"/>
      <c r="L96" s="68"/>
      <c r="N96" s="369"/>
      <c r="O96" s="376"/>
      <c r="P96" s="73"/>
    </row>
    <row r="97" spans="1:16" ht="27.75">
      <c r="A97" s="814" t="s">
        <v>209</v>
      </c>
      <c r="B97" s="815"/>
      <c r="C97" s="815"/>
      <c r="D97" s="174" t="s">
        <v>143</v>
      </c>
      <c r="E97" s="135">
        <f>'14'!F97</f>
        <v>104206</v>
      </c>
      <c r="F97" s="129">
        <v>104244</v>
      </c>
      <c r="G97" s="124">
        <f t="shared" si="10"/>
        <v>38</v>
      </c>
      <c r="H97" s="111">
        <f>G97+'14'!H97</f>
        <v>-392</v>
      </c>
      <c r="I97" s="131"/>
      <c r="J97" s="203">
        <f>H97/DAY(B2)</f>
        <v>-26.133333333333333</v>
      </c>
      <c r="K97" s="80"/>
      <c r="L97" s="68"/>
      <c r="N97" s="369"/>
      <c r="O97" s="376"/>
      <c r="P97" s="73"/>
    </row>
    <row r="98" spans="1:16" ht="27.75">
      <c r="A98" s="814" t="s">
        <v>210</v>
      </c>
      <c r="B98" s="815"/>
      <c r="C98" s="815"/>
      <c r="D98" s="174" t="s">
        <v>143</v>
      </c>
      <c r="E98" s="135">
        <f>'14'!F98</f>
        <v>99862</v>
      </c>
      <c r="F98" s="129">
        <v>99903</v>
      </c>
      <c r="G98" s="124">
        <f t="shared" si="10"/>
        <v>41</v>
      </c>
      <c r="H98" s="111">
        <f>G98+'14'!H98</f>
        <v>-467</v>
      </c>
      <c r="I98" s="131"/>
      <c r="J98" s="203">
        <f>H98/DAY(B2)</f>
        <v>-31.133333333333333</v>
      </c>
      <c r="K98" s="85"/>
      <c r="L98" s="68"/>
      <c r="N98" s="369"/>
      <c r="O98" s="376"/>
      <c r="P98" s="73"/>
    </row>
    <row r="99" spans="1:16" ht="27.75">
      <c r="A99" s="814" t="s">
        <v>211</v>
      </c>
      <c r="B99" s="815"/>
      <c r="C99" s="815"/>
      <c r="D99" s="174" t="s">
        <v>143</v>
      </c>
      <c r="E99" s="135">
        <f>'14'!F99</f>
        <v>151596</v>
      </c>
      <c r="F99" s="129">
        <v>151646</v>
      </c>
      <c r="G99" s="124">
        <f t="shared" si="10"/>
        <v>50</v>
      </c>
      <c r="H99" s="111">
        <f>G99+'14'!H99</f>
        <v>-489</v>
      </c>
      <c r="I99" s="131"/>
      <c r="J99" s="203">
        <f>H99/DAY(B2)</f>
        <v>-32.6</v>
      </c>
      <c r="K99" s="71"/>
      <c r="L99" s="68"/>
      <c r="N99" s="371"/>
      <c r="O99" s="376"/>
      <c r="P99" s="73"/>
    </row>
    <row r="100" spans="1:16" ht="27.75">
      <c r="A100" s="814" t="s">
        <v>212</v>
      </c>
      <c r="B100" s="815"/>
      <c r="C100" s="815"/>
      <c r="D100" s="174" t="s">
        <v>143</v>
      </c>
      <c r="E100" s="135">
        <f>'14'!F100</f>
        <v>8405</v>
      </c>
      <c r="F100" s="129">
        <v>8421</v>
      </c>
      <c r="G100" s="124">
        <f t="shared" si="10"/>
        <v>16</v>
      </c>
      <c r="H100" s="111">
        <f>G100+'14'!H100</f>
        <v>-224</v>
      </c>
      <c r="I100" s="131"/>
      <c r="J100" s="203">
        <f>H100/DAY(B2)</f>
        <v>-14.933333333333334</v>
      </c>
      <c r="K100" s="71"/>
      <c r="L100" s="68"/>
      <c r="N100" s="369"/>
      <c r="O100" s="376"/>
      <c r="P100" s="73"/>
    </row>
    <row r="101" spans="1:16" ht="27.75">
      <c r="A101" s="814" t="s">
        <v>213</v>
      </c>
      <c r="B101" s="815"/>
      <c r="C101" s="815"/>
      <c r="D101" s="174" t="s">
        <v>143</v>
      </c>
      <c r="E101" s="135">
        <f>'14'!F101</f>
        <v>6165</v>
      </c>
      <c r="F101" s="129">
        <v>6184</v>
      </c>
      <c r="G101" s="124">
        <f t="shared" si="10"/>
        <v>19</v>
      </c>
      <c r="H101" s="111">
        <f>G101+'14'!H101</f>
        <v>-189</v>
      </c>
      <c r="I101" s="131"/>
      <c r="J101" s="203">
        <f>H101/DAY(B2)</f>
        <v>-12.6</v>
      </c>
      <c r="K101" s="71"/>
      <c r="L101" s="68"/>
      <c r="N101" s="369"/>
      <c r="O101" s="376"/>
      <c r="P101" s="73"/>
    </row>
    <row r="102" spans="1:16">
      <c r="A102" s="1277" t="s">
        <v>215</v>
      </c>
      <c r="B102" s="1278"/>
      <c r="C102" s="1279"/>
      <c r="D102" s="175"/>
      <c r="E102" s="135"/>
      <c r="F102" s="175"/>
      <c r="G102" s="176">
        <f>SUM(G96:G101)</f>
        <v>242</v>
      </c>
      <c r="H102" s="111">
        <f>G102+'14'!H102</f>
        <v>-3057</v>
      </c>
      <c r="I102" s="177"/>
      <c r="J102" s="203">
        <f>H102/DAY(B2)</f>
        <v>-203.8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9"/>
      <c r="O103" s="376"/>
      <c r="P103" s="73"/>
    </row>
    <row r="104" spans="1:16" s="93" customFormat="1" ht="27.75">
      <c r="A104" s="1280" t="s">
        <v>217</v>
      </c>
      <c r="B104" s="1281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37" t="s">
        <v>218</v>
      </c>
      <c r="B105" s="1238"/>
      <c r="C105" s="813"/>
      <c r="D105" s="273" t="s">
        <v>143</v>
      </c>
      <c r="E105" s="135">
        <f>'14'!F105</f>
        <v>7952</v>
      </c>
      <c r="F105" s="309">
        <v>7952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5.0466666666667148</v>
      </c>
      <c r="N105" s="369"/>
      <c r="O105" s="376"/>
      <c r="P105" s="73"/>
    </row>
    <row r="106" spans="1:16" s="93" customFormat="1" ht="27.75">
      <c r="A106" s="1237" t="s">
        <v>76</v>
      </c>
      <c r="B106" s="1238"/>
      <c r="C106" s="813"/>
      <c r="D106" s="273" t="s">
        <v>143</v>
      </c>
      <c r="E106" s="135">
        <f>'14'!F106</f>
        <v>36591</v>
      </c>
      <c r="F106" s="310">
        <v>36602</v>
      </c>
      <c r="G106" s="183">
        <f t="shared" ref="G106:G107" si="11">F106-E106</f>
        <v>11</v>
      </c>
      <c r="H106" s="184">
        <f>SUM(G106+'1'!G77)</f>
        <v>58</v>
      </c>
      <c r="I106" s="183"/>
      <c r="J106" s="209">
        <f>H106/DAY(B2)</f>
        <v>3.8666666666666667</v>
      </c>
      <c r="N106" s="369"/>
      <c r="O106" s="376"/>
      <c r="P106" s="73"/>
    </row>
    <row r="107" spans="1:16" s="93" customFormat="1" ht="27.75">
      <c r="A107" s="1237" t="s">
        <v>77</v>
      </c>
      <c r="B107" s="1282"/>
      <c r="C107" s="1238"/>
      <c r="D107" s="273" t="s">
        <v>143</v>
      </c>
      <c r="E107" s="135">
        <f>'14'!F107</f>
        <v>20074</v>
      </c>
      <c r="F107" s="310">
        <v>20083</v>
      </c>
      <c r="G107" s="183">
        <f t="shared" si="11"/>
        <v>9</v>
      </c>
      <c r="H107" s="184">
        <f>SUM(G107+'1'!G78)</f>
        <v>27</v>
      </c>
      <c r="I107" s="183"/>
      <c r="J107" s="209">
        <f>H107/DAY(B2)</f>
        <v>1.8</v>
      </c>
      <c r="N107" s="369"/>
      <c r="O107" s="376"/>
      <c r="P107" s="73"/>
    </row>
    <row r="108" spans="1:16" s="93" customFormat="1" ht="27.75">
      <c r="A108" s="1239" t="s">
        <v>201</v>
      </c>
      <c r="B108" s="1240"/>
      <c r="C108" s="813"/>
      <c r="D108" s="273"/>
      <c r="E108" s="135">
        <f>'14'!F108</f>
        <v>0</v>
      </c>
      <c r="F108" s="310"/>
      <c r="G108" s="183">
        <f>SUM(G105:G107)</f>
        <v>20</v>
      </c>
      <c r="H108" s="184">
        <f>SUM(G108+'1'!G79)</f>
        <v>186</v>
      </c>
      <c r="I108" s="183"/>
      <c r="J108" s="209">
        <f>H108/DAY(B2)</f>
        <v>12.4</v>
      </c>
      <c r="N108" s="369"/>
      <c r="O108" s="376"/>
      <c r="P108" s="73"/>
    </row>
    <row r="109" spans="1:16" s="93" customFormat="1" ht="27.75">
      <c r="A109" s="1243" t="s">
        <v>78</v>
      </c>
      <c r="B109" s="1244"/>
      <c r="C109" s="813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37" t="s">
        <v>219</v>
      </c>
      <c r="B110" s="1238"/>
      <c r="C110" s="813"/>
      <c r="D110" s="273" t="s">
        <v>143</v>
      </c>
      <c r="E110" s="135">
        <f>'14'!F110</f>
        <v>68241</v>
      </c>
      <c r="F110" s="310">
        <v>68288</v>
      </c>
      <c r="G110" s="183">
        <f>F110-E110</f>
        <v>47</v>
      </c>
      <c r="H110" s="184">
        <f>SUM(G110+'1'!G81)</f>
        <v>221.80000000004657</v>
      </c>
      <c r="I110" s="183"/>
      <c r="J110" s="209">
        <f>H110/DAY(B2)</f>
        <v>14.78666666666977</v>
      </c>
      <c r="N110" s="369"/>
      <c r="O110" s="376"/>
      <c r="P110" s="73"/>
    </row>
    <row r="111" spans="1:16" s="93" customFormat="1" ht="27.75">
      <c r="A111" s="1237" t="s">
        <v>220</v>
      </c>
      <c r="B111" s="1238"/>
      <c r="C111" s="813"/>
      <c r="D111" s="273" t="s">
        <v>143</v>
      </c>
      <c r="E111" s="135">
        <f>'14'!F111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2</v>
      </c>
      <c r="N111" s="369"/>
      <c r="O111" s="376"/>
      <c r="P111" s="73"/>
    </row>
    <row r="112" spans="1:16" s="93" customFormat="1" ht="27.75">
      <c r="A112" s="1237" t="s">
        <v>221</v>
      </c>
      <c r="B112" s="1238"/>
      <c r="C112" s="813"/>
      <c r="D112" s="273" t="s">
        <v>143</v>
      </c>
      <c r="E112" s="135">
        <f>'14'!F112</f>
        <v>4692</v>
      </c>
      <c r="F112" s="310">
        <v>4692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20.733333333333334</v>
      </c>
      <c r="N112" s="369"/>
      <c r="O112" s="376"/>
      <c r="P112" s="73"/>
    </row>
    <row r="113" spans="1:16" s="93" customFormat="1" ht="27.75">
      <c r="A113" s="1239" t="s">
        <v>109</v>
      </c>
      <c r="B113" s="1240"/>
      <c r="C113" s="813"/>
      <c r="D113" s="273"/>
      <c r="E113" s="135">
        <f>'14'!F113</f>
        <v>0</v>
      </c>
      <c r="F113" s="310"/>
      <c r="G113" s="183">
        <f>SUM(G110:G112)</f>
        <v>47</v>
      </c>
      <c r="H113" s="184">
        <f>SUM(G113+'1'!G84)</f>
        <v>787</v>
      </c>
      <c r="I113" s="183"/>
      <c r="J113" s="209">
        <f>H113/DAY(B2)</f>
        <v>52.466666666666669</v>
      </c>
      <c r="N113" s="369"/>
      <c r="O113" s="376"/>
      <c r="P113" s="73"/>
    </row>
    <row r="114" spans="1:16" s="93" customFormat="1" ht="27.75">
      <c r="A114" s="1243" t="s">
        <v>222</v>
      </c>
      <c r="B114" s="1244"/>
      <c r="C114" s="813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37" t="s">
        <v>223</v>
      </c>
      <c r="B115" s="1238"/>
      <c r="C115" s="225"/>
      <c r="D115" s="273" t="s">
        <v>143</v>
      </c>
      <c r="E115" s="135">
        <f>'14'!F115</f>
        <v>12749</v>
      </c>
      <c r="F115" s="310">
        <v>12769</v>
      </c>
      <c r="G115" s="185">
        <f>F115-E115</f>
        <v>20</v>
      </c>
      <c r="H115" s="184">
        <f>SUM(G115+'1'!G92)</f>
        <v>20</v>
      </c>
      <c r="I115" s="183"/>
      <c r="J115" s="209">
        <f>H115/DAY(B2)</f>
        <v>1.3333333333333333</v>
      </c>
      <c r="N115" s="369"/>
      <c r="O115" s="376"/>
      <c r="P115" s="73"/>
    </row>
    <row r="116" spans="1:16" s="93" customFormat="1" ht="27.75">
      <c r="A116" s="1237" t="s">
        <v>224</v>
      </c>
      <c r="B116" s="1238"/>
      <c r="C116" s="225"/>
      <c r="D116" s="273" t="s">
        <v>143</v>
      </c>
      <c r="E116" s="135">
        <f>'14'!F116</f>
        <v>8963</v>
      </c>
      <c r="F116" s="310">
        <v>8976</v>
      </c>
      <c r="G116" s="185">
        <f t="shared" ref="G116:G117" si="13">F116-E116</f>
        <v>13</v>
      </c>
      <c r="H116" s="184">
        <f>SUM(G116+'1'!G93)</f>
        <v>75</v>
      </c>
      <c r="I116" s="183"/>
      <c r="J116" s="209">
        <f>H116/DAY(B2)</f>
        <v>5</v>
      </c>
      <c r="N116" s="369"/>
      <c r="O116" s="376"/>
      <c r="P116" s="73"/>
    </row>
    <row r="117" spans="1:16" s="93" customFormat="1" ht="27.75">
      <c r="A117" s="1237" t="s">
        <v>225</v>
      </c>
      <c r="B117" s="1238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163</v>
      </c>
      <c r="I117" s="183"/>
      <c r="J117" s="209">
        <f>H117/DAY(B2)</f>
        <v>10.866666666666667</v>
      </c>
      <c r="N117" s="369"/>
      <c r="O117" s="376"/>
      <c r="P117" s="73"/>
    </row>
    <row r="118" spans="1:16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33</v>
      </c>
      <c r="H118" s="184">
        <f>SUM(G118+'1'!G96)</f>
        <v>99</v>
      </c>
      <c r="I118" s="185"/>
      <c r="J118" s="209">
        <f>H118/DAY(B2)</f>
        <v>6.6</v>
      </c>
      <c r="N118" s="369"/>
      <c r="O118" s="376"/>
      <c r="P118" s="73"/>
    </row>
    <row r="119" spans="1:16" s="97" customFormat="1" ht="27.75">
      <c r="A119" s="1233" t="s">
        <v>226</v>
      </c>
      <c r="B119" s="1234"/>
      <c r="C119" s="811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84">
        <f>SUM(G119+'1'!G97)</f>
        <v>212</v>
      </c>
      <c r="I119" s="186"/>
      <c r="J119" s="210">
        <f>H119/DAY(B2)</f>
        <v>14.133333333333333</v>
      </c>
      <c r="N119" s="369"/>
      <c r="O119" s="376"/>
      <c r="P119" s="73"/>
    </row>
    <row r="120" spans="1:16" s="97" customFormat="1" ht="27.75">
      <c r="A120" s="1233" t="s">
        <v>227</v>
      </c>
      <c r="B120" s="1234"/>
      <c r="C120" s="811"/>
      <c r="D120" s="275" t="s">
        <v>143</v>
      </c>
      <c r="E120" s="187"/>
      <c r="F120" s="311">
        <f>SUM(G96,G97,G98,G100,G101)</f>
        <v>192</v>
      </c>
      <c r="G120" s="187">
        <f>SUM(G96,G97,G98,G100,G101)</f>
        <v>192</v>
      </c>
      <c r="H120" s="184">
        <f>SUM(G120+'1'!G99)</f>
        <v>203</v>
      </c>
      <c r="I120" s="186"/>
      <c r="J120" s="210">
        <f>H120/DAY(B2)</f>
        <v>13.533333333333333</v>
      </c>
      <c r="N120" s="369"/>
      <c r="O120" s="376"/>
      <c r="P120" s="73"/>
    </row>
    <row r="121" spans="1:16" s="97" customFormat="1" ht="27.75">
      <c r="A121" s="1233" t="s">
        <v>228</v>
      </c>
      <c r="B121" s="1234"/>
      <c r="C121" s="811"/>
      <c r="D121" s="275" t="s">
        <v>143</v>
      </c>
      <c r="E121" s="185"/>
      <c r="F121" s="310">
        <f>SUM(G113)</f>
        <v>47</v>
      </c>
      <c r="G121" s="185">
        <f>SUM(G113)</f>
        <v>47</v>
      </c>
      <c r="H121" s="184">
        <f>SUM(G121+'1'!G101)</f>
        <v>56</v>
      </c>
      <c r="I121" s="186"/>
      <c r="J121" s="210">
        <f>H121/DAY(B2)</f>
        <v>3.7333333333333334</v>
      </c>
      <c r="N121" s="369"/>
      <c r="O121" s="376"/>
      <c r="P121" s="73"/>
    </row>
    <row r="122" spans="1:16" s="93" customFormat="1" ht="27.75">
      <c r="A122" s="1235"/>
      <c r="B122" s="1236"/>
      <c r="C122" s="81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14" t="s">
        <v>230</v>
      </c>
      <c r="B124" s="815"/>
      <c r="C124" s="815"/>
      <c r="D124" s="174" t="s">
        <v>140</v>
      </c>
      <c r="E124" s="129">
        <f>'14'!F124</f>
        <v>851719</v>
      </c>
      <c r="F124" s="129">
        <v>852023</v>
      </c>
      <c r="G124" s="124">
        <f>F124-E124</f>
        <v>304</v>
      </c>
      <c r="H124" s="111">
        <f>G124+'14'!H124</f>
        <v>-4329</v>
      </c>
      <c r="I124" s="177"/>
      <c r="J124" s="203">
        <f>H124/DAY(B2)</f>
        <v>-288.60000000000002</v>
      </c>
      <c r="K124" s="71"/>
      <c r="L124" s="68"/>
      <c r="N124" s="369"/>
      <c r="O124" s="376"/>
      <c r="P124" s="73"/>
    </row>
    <row r="125" spans="1:16" ht="27.75">
      <c r="A125" s="814" t="s">
        <v>231</v>
      </c>
      <c r="B125" s="815"/>
      <c r="C125" s="815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226" t="s">
        <v>232</v>
      </c>
      <c r="B126" s="1227"/>
      <c r="C126" s="1228"/>
      <c r="D126" s="174" t="s">
        <v>140</v>
      </c>
      <c r="E126" s="129">
        <f>'14'!F126</f>
        <v>152551</v>
      </c>
      <c r="F126" s="129">
        <v>152637</v>
      </c>
      <c r="G126" s="124">
        <f t="shared" si="14"/>
        <v>86</v>
      </c>
      <c r="H126" s="111">
        <f>G126+'14'!H126</f>
        <v>-1440</v>
      </c>
      <c r="I126" s="177"/>
      <c r="J126" s="203">
        <f>H126/DAY(B2)</f>
        <v>-96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15"/>
      <c r="C127" s="815"/>
      <c r="D127" s="174" t="s">
        <v>140</v>
      </c>
      <c r="E127" s="277">
        <f>'14'!F127</f>
        <v>33904</v>
      </c>
      <c r="F127" s="277">
        <v>33961</v>
      </c>
      <c r="G127" s="124">
        <f t="shared" si="14"/>
        <v>57</v>
      </c>
      <c r="H127" s="111">
        <f>G127+'14'!H127</f>
        <v>-668</v>
      </c>
      <c r="I127" s="177"/>
      <c r="J127" s="203">
        <f>H127/DAY(B2)</f>
        <v>-44.533333333333331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15"/>
      <c r="C128" s="815"/>
      <c r="D128" s="174" t="s">
        <v>140</v>
      </c>
      <c r="E128" s="277">
        <f>'14'!F128</f>
        <v>9141</v>
      </c>
      <c r="F128" s="277">
        <v>9144</v>
      </c>
      <c r="G128" s="124">
        <f t="shared" si="14"/>
        <v>3</v>
      </c>
      <c r="H128" s="111">
        <f>G128+'14'!H128</f>
        <v>-36</v>
      </c>
      <c r="I128" s="131"/>
      <c r="J128" s="203">
        <f>H128/DAY(B2)</f>
        <v>-2.4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15"/>
      <c r="C129" s="815"/>
      <c r="D129" s="174"/>
      <c r="E129" s="129"/>
      <c r="F129" s="129"/>
      <c r="G129" s="124">
        <f>G15-SUM(G124:G128)</f>
        <v>470</v>
      </c>
      <c r="H129" s="111"/>
      <c r="I129" s="131"/>
      <c r="J129" s="203"/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14" t="s">
        <v>237</v>
      </c>
      <c r="B131" s="815"/>
      <c r="C131" s="815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14" t="s">
        <v>239</v>
      </c>
      <c r="B132" s="815"/>
      <c r="C132" s="815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14" t="s">
        <v>240</v>
      </c>
      <c r="B133" s="815"/>
      <c r="C133" s="815"/>
      <c r="D133" s="174" t="s">
        <v>238</v>
      </c>
      <c r="E133" s="135">
        <f>'14'!F133</f>
        <v>40781</v>
      </c>
      <c r="F133" s="302">
        <v>40805</v>
      </c>
      <c r="G133" s="124">
        <f t="shared" si="15"/>
        <v>24</v>
      </c>
      <c r="H133" s="111">
        <f>G133+'14'!H133</f>
        <v>-117</v>
      </c>
      <c r="I133" s="131"/>
      <c r="J133" s="203">
        <f>H133/DAY(B2)</f>
        <v>-7.8</v>
      </c>
      <c r="N133" s="369"/>
      <c r="O133" s="376"/>
      <c r="P133" s="73"/>
    </row>
    <row r="134" spans="1:16" ht="27.75">
      <c r="A134" s="814" t="s">
        <v>241</v>
      </c>
      <c r="B134" s="815"/>
      <c r="C134" s="815"/>
      <c r="D134" s="174" t="s">
        <v>238</v>
      </c>
      <c r="E134" s="135">
        <f>'14'!F134</f>
        <v>724.25</v>
      </c>
      <c r="F134" s="277">
        <v>724.25</v>
      </c>
      <c r="G134" s="124">
        <f t="shared" si="15"/>
        <v>0</v>
      </c>
      <c r="H134" s="111">
        <f>G134+'14'!H134</f>
        <v>-131.75</v>
      </c>
      <c r="I134" s="131">
        <f>G131+G132+G133+G134</f>
        <v>24</v>
      </c>
      <c r="J134" s="203">
        <f>H134/DAY(B2)</f>
        <v>-8.7833333333333332</v>
      </c>
      <c r="N134" s="369"/>
      <c r="O134" s="376"/>
      <c r="P134" s="73"/>
    </row>
    <row r="135" spans="1:16" ht="27.75">
      <c r="A135" s="814" t="s">
        <v>242</v>
      </c>
      <c r="B135" s="815"/>
      <c r="C135" s="815"/>
      <c r="D135" s="174" t="s">
        <v>238</v>
      </c>
      <c r="E135" s="135">
        <f>'14'!F135</f>
        <v>42635</v>
      </c>
      <c r="F135" s="277">
        <v>42638</v>
      </c>
      <c r="G135" s="124">
        <f t="shared" si="15"/>
        <v>3</v>
      </c>
      <c r="H135" s="111">
        <f>G135+'14'!H135</f>
        <v>-184</v>
      </c>
      <c r="I135" s="131"/>
      <c r="J135" s="203">
        <f>H135/DAY(B2)</f>
        <v>-12.266666666666667</v>
      </c>
      <c r="N135" s="369"/>
      <c r="O135" s="376"/>
      <c r="P135" s="73"/>
    </row>
    <row r="136" spans="1:16" ht="27.75">
      <c r="A136" s="814" t="s">
        <v>243</v>
      </c>
      <c r="B136" s="815"/>
      <c r="C136" s="815"/>
      <c r="D136" s="174" t="s">
        <v>238</v>
      </c>
      <c r="E136" s="135">
        <f>'14'!F136</f>
        <v>32874</v>
      </c>
      <c r="F136" s="302">
        <v>32874</v>
      </c>
      <c r="G136" s="124">
        <f t="shared" si="15"/>
        <v>0</v>
      </c>
      <c r="H136" s="111">
        <f>G136+'14'!H136</f>
        <v>-54</v>
      </c>
      <c r="I136" s="131"/>
      <c r="J136" s="203">
        <f>H136/DAY(B2)</f>
        <v>-3.6</v>
      </c>
      <c r="N136" s="369"/>
      <c r="O136" s="376"/>
      <c r="P136" s="73"/>
    </row>
    <row r="137" spans="1:16" ht="27.75">
      <c r="A137" s="814" t="s">
        <v>244</v>
      </c>
      <c r="B137" s="815"/>
      <c r="C137" s="815"/>
      <c r="D137" s="174" t="s">
        <v>238</v>
      </c>
      <c r="E137" s="135">
        <f>'14'!F137</f>
        <v>23210.83</v>
      </c>
      <c r="F137" s="302">
        <v>23219.46</v>
      </c>
      <c r="G137" s="124">
        <f t="shared" si="15"/>
        <v>8.6299999999973807</v>
      </c>
      <c r="H137" s="111">
        <f>G137+'14'!H137</f>
        <v>-136.97000000000116</v>
      </c>
      <c r="I137" s="131">
        <f>G135+G136+G137</f>
        <v>11.629999999997381</v>
      </c>
      <c r="J137" s="203">
        <f>H137/DAY(B2)</f>
        <v>-9.1313333333334104</v>
      </c>
      <c r="N137" s="369"/>
      <c r="O137" s="376"/>
      <c r="P137" s="73"/>
    </row>
    <row r="138" spans="1:16" ht="27.75">
      <c r="A138" s="814" t="s">
        <v>245</v>
      </c>
      <c r="B138" s="815"/>
      <c r="C138" s="815"/>
      <c r="D138" s="174" t="s">
        <v>238</v>
      </c>
      <c r="E138" s="135">
        <f>'14'!F138</f>
        <v>25132.98</v>
      </c>
      <c r="F138" s="302">
        <v>25132.98</v>
      </c>
      <c r="G138" s="124">
        <f t="shared" si="15"/>
        <v>0</v>
      </c>
      <c r="H138" s="111">
        <f>G138+'14'!H138</f>
        <v>2.0000000000436557E-2</v>
      </c>
      <c r="I138" s="131"/>
      <c r="J138" s="203">
        <f>H138/DAY(B2)</f>
        <v>1.3333333333624372E-3</v>
      </c>
      <c r="N138" s="369"/>
      <c r="O138" s="376"/>
      <c r="P138" s="73"/>
    </row>
    <row r="139" spans="1:16" ht="27.75">
      <c r="A139" s="814" t="s">
        <v>246</v>
      </c>
      <c r="B139" s="815"/>
      <c r="C139" s="815"/>
      <c r="D139" s="174" t="s">
        <v>238</v>
      </c>
      <c r="E139" s="135">
        <f>'14'!F139</f>
        <v>70523.55</v>
      </c>
      <c r="F139" s="302">
        <v>70523.55</v>
      </c>
      <c r="G139" s="124">
        <f t="shared" si="15"/>
        <v>0</v>
      </c>
      <c r="H139" s="111">
        <f>G139+'14'!H139</f>
        <v>-1</v>
      </c>
      <c r="I139" s="131">
        <f>G138+G139</f>
        <v>0</v>
      </c>
      <c r="J139" s="203">
        <f>H139/DAY(B2)</f>
        <v>-6.6666666666666666E-2</v>
      </c>
      <c r="N139" s="369"/>
      <c r="O139" s="376"/>
      <c r="P139" s="73"/>
    </row>
    <row r="140" spans="1:16" ht="27.75">
      <c r="A140" s="814" t="s">
        <v>247</v>
      </c>
      <c r="B140" s="815"/>
      <c r="C140" s="815"/>
      <c r="D140" s="174" t="s">
        <v>238</v>
      </c>
      <c r="E140" s="135">
        <f>'14'!F140</f>
        <v>2449.81</v>
      </c>
      <c r="F140" s="277">
        <v>2461.0300000000002</v>
      </c>
      <c r="G140" s="124">
        <f t="shared" si="15"/>
        <v>11.220000000000255</v>
      </c>
      <c r="H140" s="111">
        <f>G140+'14'!H140</f>
        <v>-166.94999999999982</v>
      </c>
      <c r="I140" s="193"/>
      <c r="J140" s="203">
        <f>H140/DAY(B2)</f>
        <v>-11.129999999999988</v>
      </c>
      <c r="N140" s="369"/>
      <c r="O140" s="376"/>
      <c r="P140" s="73"/>
    </row>
    <row r="141" spans="1:16" ht="27.75">
      <c r="A141" s="814" t="s">
        <v>248</v>
      </c>
      <c r="B141" s="815"/>
      <c r="C141" s="815"/>
      <c r="D141" s="174" t="s">
        <v>238</v>
      </c>
      <c r="E141" s="135">
        <f>'14'!F141</f>
        <v>4753.67</v>
      </c>
      <c r="F141" s="129">
        <v>4753.67</v>
      </c>
      <c r="G141" s="124">
        <f t="shared" si="15"/>
        <v>0</v>
      </c>
      <c r="H141" s="111">
        <f>G141+'14'!H141</f>
        <v>-0.32999999999992724</v>
      </c>
      <c r="I141" s="193"/>
      <c r="J141" s="203">
        <f>H141/DAY(B2)</f>
        <v>-2.1999999999995148E-2</v>
      </c>
      <c r="N141" s="369"/>
      <c r="O141" s="376"/>
      <c r="P141" s="73"/>
    </row>
    <row r="142" spans="1:16">
      <c r="A142" s="1248" t="s">
        <v>249</v>
      </c>
      <c r="B142" s="1249"/>
      <c r="C142" s="82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5555</v>
      </c>
      <c r="H143" s="111">
        <f>G143+'14'!H143</f>
        <v>314434.32999999996</v>
      </c>
      <c r="I143" s="131"/>
      <c r="J143" s="203">
        <f>H143/DAY(B2)</f>
        <v>20962.288666666664</v>
      </c>
      <c r="K143" s="71"/>
      <c r="L143" s="68"/>
      <c r="N143" s="369"/>
      <c r="O143" s="376"/>
      <c r="P143" s="73"/>
    </row>
    <row r="144" spans="1:16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0.24411144313587627</v>
      </c>
      <c r="H144" s="111">
        <f>G144+'14'!H144</f>
        <v>4.7436361153321869</v>
      </c>
      <c r="I144" s="195"/>
      <c r="J144" s="203">
        <f>H144/DAY(B2)</f>
        <v>0.31624240768881245</v>
      </c>
      <c r="K144" s="71"/>
      <c r="L144" s="68"/>
      <c r="N144" s="369"/>
      <c r="O144" s="376"/>
      <c r="P144" s="73"/>
    </row>
    <row r="145" spans="1:16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6209</v>
      </c>
      <c r="H145" s="111">
        <f>G145+'14'!H145</f>
        <v>-105826.77999999997</v>
      </c>
      <c r="I145" s="131"/>
      <c r="J145" s="203">
        <f>H145/DAY(B2)</f>
        <v>-7055.1186666666645</v>
      </c>
      <c r="K145" s="71"/>
      <c r="L145" s="68"/>
      <c r="N145" s="369"/>
      <c r="O145" s="376"/>
      <c r="P145" s="73"/>
    </row>
    <row r="146" spans="1:16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0.27285111618913693</v>
      </c>
      <c r="H146" s="111">
        <f>G146+'14'!H146</f>
        <v>3.6839299541249648</v>
      </c>
      <c r="I146" s="195"/>
      <c r="J146" s="203">
        <f>H146/DAY(B2)</f>
        <v>0.24559533027499766</v>
      </c>
      <c r="K146" s="71"/>
      <c r="L146" s="68"/>
      <c r="N146" s="369"/>
      <c r="O146" s="376"/>
      <c r="P146" s="73"/>
    </row>
    <row r="147" spans="1:16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3671.4099999999744</v>
      </c>
      <c r="H147" s="111">
        <f>G147+'14'!H147</f>
        <v>1007274</v>
      </c>
      <c r="I147" s="196"/>
      <c r="J147" s="203">
        <f>H147/DAY(B2)</f>
        <v>67151.600000000006</v>
      </c>
      <c r="K147" s="71"/>
      <c r="L147" s="68"/>
      <c r="N147" s="369"/>
      <c r="O147" s="376"/>
      <c r="P147" s="73"/>
    </row>
    <row r="148" spans="1:16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0.16133810863068968</v>
      </c>
      <c r="H148" s="111">
        <f>G148+'14'!H148</f>
        <v>5.2680913960180176</v>
      </c>
      <c r="I148" s="196"/>
      <c r="J148" s="203">
        <f>H148/DAY(B2)</f>
        <v>0.35120609306786782</v>
      </c>
      <c r="N148" s="369"/>
      <c r="O148" s="376"/>
      <c r="P148" s="73"/>
    </row>
    <row r="149" spans="1:16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1841.9300000000512</v>
      </c>
      <c r="H149" s="111">
        <f>G149+'14'!H149</f>
        <v>809003</v>
      </c>
      <c r="I149" s="131"/>
      <c r="J149" s="203">
        <f>H149/DAY(B2)</f>
        <v>53933.533333333333</v>
      </c>
      <c r="K149" s="72"/>
      <c r="N149" s="369"/>
      <c r="O149" s="376"/>
      <c r="P149" s="73"/>
    </row>
    <row r="150" spans="1:16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8.0942608542804148E-2</v>
      </c>
      <c r="H150" s="111">
        <f>G150+'14'!H150</f>
        <v>3.4131873660835184</v>
      </c>
      <c r="I150" s="196"/>
      <c r="J150" s="203">
        <f>H150/DAY(B2)</f>
        <v>0.22754582440556789</v>
      </c>
      <c r="N150" s="369"/>
      <c r="O150" s="376"/>
      <c r="P150" s="73"/>
    </row>
    <row r="151" spans="1:16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2029</v>
      </c>
      <c r="H151" s="111">
        <f>G151+'14'!H151</f>
        <v>35822</v>
      </c>
      <c r="I151" s="196"/>
      <c r="J151" s="203">
        <f>H151/DAY(B2)</f>
        <v>2388.1333333333332</v>
      </c>
      <c r="N151" s="369"/>
      <c r="O151" s="376"/>
      <c r="P151" s="73"/>
    </row>
    <row r="152" spans="1:16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8.916329759184391E-2</v>
      </c>
      <c r="H152" s="111">
        <f>G152+'14'!H152</f>
        <v>1.1953788664071192</v>
      </c>
      <c r="I152" s="131"/>
      <c r="J152" s="203">
        <f>H152/DAY(B2)</f>
        <v>7.9691924427141278E-2</v>
      </c>
      <c r="N152" s="369"/>
      <c r="O152" s="376"/>
      <c r="P152" s="73"/>
    </row>
    <row r="153" spans="1:16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1554</v>
      </c>
      <c r="H153" s="111">
        <f>G153+'14'!H153</f>
        <v>390957.87000000005</v>
      </c>
      <c r="I153" s="131"/>
      <c r="J153" s="203">
        <f>H153/DAY(B2)</f>
        <v>26063.858000000004</v>
      </c>
      <c r="N153" s="369"/>
      <c r="O153" s="376"/>
      <c r="P153" s="73"/>
    </row>
    <row r="154" spans="1:16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6.828968184215152E-2</v>
      </c>
      <c r="H154" s="111">
        <f>G154+'14'!H154</f>
        <v>2.1241741557066072</v>
      </c>
      <c r="I154" s="219"/>
      <c r="J154" s="220">
        <f>H154/DAY(B2)</f>
        <v>0.14161161038044048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A156" s="445"/>
      <c r="B156" s="446"/>
      <c r="C156" s="446"/>
      <c r="D156" s="271"/>
      <c r="E156" s="173"/>
      <c r="F156" s="454"/>
      <c r="G156" s="124"/>
      <c r="N156" s="369"/>
    </row>
    <row r="157" spans="1:16">
      <c r="A157" s="445"/>
      <c r="B157" s="446"/>
      <c r="C157" s="446"/>
      <c r="D157" s="271"/>
      <c r="E157" s="173"/>
      <c r="F157" s="454"/>
      <c r="G157" s="124"/>
      <c r="N157" s="369"/>
    </row>
    <row r="158" spans="1:16">
      <c r="A158" s="445"/>
      <c r="B158" s="446"/>
      <c r="C158" s="446"/>
      <c r="D158" s="271"/>
      <c r="E158" s="173"/>
      <c r="F158" s="454"/>
      <c r="G158" s="124"/>
      <c r="N158" s="369"/>
    </row>
    <row r="159" spans="1:16">
      <c r="A159" s="445"/>
      <c r="B159" s="446"/>
      <c r="C159" s="446"/>
      <c r="D159" s="271"/>
      <c r="E159" s="173"/>
      <c r="F159" s="454"/>
      <c r="G159" s="124"/>
      <c r="N159" s="369"/>
    </row>
    <row r="160" spans="1:16">
      <c r="A160" s="447"/>
      <c r="B160" s="448"/>
      <c r="C160" s="448"/>
      <c r="D160" s="271"/>
      <c r="E160" s="165"/>
      <c r="F160" s="165"/>
      <c r="G160" s="124"/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'14'!F161</f>
        <v>44438</v>
      </c>
      <c r="F161" s="454">
        <v>44517.4</v>
      </c>
      <c r="G161" s="124">
        <f t="shared" ref="G161:G175" si="16">F161-E161</f>
        <v>79.400000000001455</v>
      </c>
      <c r="N161" s="369"/>
    </row>
    <row r="162" spans="1:14" ht="21.75" customHeight="1">
      <c r="A162" s="445" t="s">
        <v>263</v>
      </c>
      <c r="B162" s="446"/>
      <c r="C162" s="446"/>
      <c r="D162" s="271" t="s">
        <v>186</v>
      </c>
      <c r="E162" s="173">
        <f>'14'!F162</f>
        <v>128679</v>
      </c>
      <c r="F162" s="454">
        <v>129134</v>
      </c>
      <c r="G162" s="124">
        <f t="shared" si="16"/>
        <v>455</v>
      </c>
      <c r="N162" s="369"/>
    </row>
    <row r="163" spans="1:14" ht="21.75" customHeight="1">
      <c r="A163" s="445" t="s">
        <v>264</v>
      </c>
      <c r="B163" s="446"/>
      <c r="C163" s="446"/>
      <c r="D163" s="271" t="s">
        <v>186</v>
      </c>
      <c r="E163" s="173">
        <f>'14'!F163</f>
        <v>60296</v>
      </c>
      <c r="F163" s="454">
        <v>60494</v>
      </c>
      <c r="G163" s="124">
        <f t="shared" si="16"/>
        <v>198</v>
      </c>
      <c r="N163" s="369"/>
    </row>
    <row r="164" spans="1:14" ht="21.75" customHeight="1">
      <c r="A164" s="445" t="s">
        <v>265</v>
      </c>
      <c r="B164" s="446"/>
      <c r="C164" s="446"/>
      <c r="D164" s="271" t="s">
        <v>186</v>
      </c>
      <c r="E164" s="173">
        <f>'14'!F164</f>
        <v>7272.57</v>
      </c>
      <c r="F164" s="454">
        <v>7287.09</v>
      </c>
      <c r="G164" s="124">
        <f t="shared" si="16"/>
        <v>14.520000000000437</v>
      </c>
      <c r="N164" s="369"/>
    </row>
    <row r="165" spans="1:14" ht="21.75" customHeight="1">
      <c r="A165" s="447" t="s">
        <v>97</v>
      </c>
      <c r="B165" s="448"/>
      <c r="C165" s="448"/>
      <c r="D165" s="271" t="s">
        <v>186</v>
      </c>
      <c r="E165" s="165">
        <f>E62</f>
        <v>20419</v>
      </c>
      <c r="F165" s="165">
        <f>F62</f>
        <v>20419.18</v>
      </c>
      <c r="G165" s="124">
        <f t="shared" si="16"/>
        <v>0.18000000000029104</v>
      </c>
      <c r="N165" s="369"/>
    </row>
    <row r="166" spans="1:14" ht="21.75" customHeight="1">
      <c r="A166" s="447" t="s">
        <v>187</v>
      </c>
      <c r="B166" s="448"/>
      <c r="C166" s="448"/>
      <c r="D166" s="271" t="s">
        <v>186</v>
      </c>
      <c r="E166" s="165">
        <f t="shared" ref="E166" si="17">E63</f>
        <v>0</v>
      </c>
      <c r="F166" s="165">
        <v>2415</v>
      </c>
      <c r="G166" s="124">
        <f t="shared" si="16"/>
        <v>2415</v>
      </c>
      <c r="N166" s="369"/>
    </row>
    <row r="167" spans="1:14" ht="21.75" customHeight="1">
      <c r="A167" s="1174" t="s">
        <v>98</v>
      </c>
      <c r="B167" s="1174"/>
      <c r="C167" s="1174"/>
      <c r="D167" s="175" t="s">
        <v>186</v>
      </c>
      <c r="E167" s="165">
        <f t="shared" ref="E167:F167" si="18">E64</f>
        <v>187217</v>
      </c>
      <c r="F167" s="165">
        <f t="shared" si="18"/>
        <v>187579</v>
      </c>
      <c r="G167" s="124">
        <f t="shared" si="16"/>
        <v>362</v>
      </c>
      <c r="N167" s="369"/>
    </row>
    <row r="168" spans="1:14" ht="21.75" customHeight="1">
      <c r="A168" s="1174" t="s">
        <v>99</v>
      </c>
      <c r="B168" s="1174"/>
      <c r="C168" s="1174"/>
      <c r="D168" s="175" t="s">
        <v>186</v>
      </c>
      <c r="E168" s="165">
        <f t="shared" ref="E168:F168" si="19">E65</f>
        <v>187420</v>
      </c>
      <c r="F168" s="165">
        <f t="shared" si="19"/>
        <v>188197</v>
      </c>
      <c r="G168" s="124">
        <f t="shared" si="16"/>
        <v>777</v>
      </c>
      <c r="N168" s="369"/>
    </row>
    <row r="169" spans="1:14" ht="21.75" customHeight="1">
      <c r="A169" s="1174" t="s">
        <v>100</v>
      </c>
      <c r="B169" s="1174"/>
      <c r="C169" s="1174"/>
      <c r="D169" s="175" t="s">
        <v>186</v>
      </c>
      <c r="E169" s="165">
        <f t="shared" ref="E169:F169" si="20">E66</f>
        <v>86329</v>
      </c>
      <c r="F169" s="165">
        <f t="shared" si="20"/>
        <v>86733</v>
      </c>
      <c r="G169" s="124">
        <f t="shared" si="16"/>
        <v>404</v>
      </c>
      <c r="N169" s="369"/>
    </row>
    <row r="170" spans="1:14" ht="23.25" customHeight="1">
      <c r="A170" s="1174" t="s">
        <v>101</v>
      </c>
      <c r="B170" s="1174"/>
      <c r="C170" s="1174"/>
      <c r="D170" s="175" t="s">
        <v>186</v>
      </c>
      <c r="E170" s="165">
        <f t="shared" ref="E170:F170" si="21">E67</f>
        <v>286818</v>
      </c>
      <c r="F170" s="165">
        <f t="shared" si="21"/>
        <v>287262</v>
      </c>
      <c r="G170" s="124">
        <f t="shared" si="16"/>
        <v>444</v>
      </c>
      <c r="N170" s="369"/>
    </row>
    <row r="171" spans="1:14" ht="24" customHeight="1">
      <c r="A171" s="1174" t="s">
        <v>102</v>
      </c>
      <c r="B171" s="1174"/>
      <c r="C171" s="1174"/>
      <c r="D171" s="175" t="s">
        <v>186</v>
      </c>
      <c r="E171" s="165">
        <f t="shared" ref="E171:F171" si="22">E68</f>
        <v>85321</v>
      </c>
      <c r="F171" s="165">
        <f t="shared" si="22"/>
        <v>85321</v>
      </c>
      <c r="G171" s="124">
        <f t="shared" si="16"/>
        <v>0</v>
      </c>
      <c r="N171" s="369"/>
    </row>
    <row r="172" spans="1:14" ht="27.75">
      <c r="A172" s="1174" t="s">
        <v>103</v>
      </c>
      <c r="B172" s="1174"/>
      <c r="C172" s="1174"/>
      <c r="D172" s="175" t="s">
        <v>186</v>
      </c>
      <c r="E172" s="165">
        <f t="shared" ref="E172:F172" si="23">E69</f>
        <v>101025</v>
      </c>
      <c r="F172" s="165">
        <f t="shared" si="23"/>
        <v>101317</v>
      </c>
      <c r="G172" s="124">
        <f t="shared" si="16"/>
        <v>292</v>
      </c>
      <c r="N172" s="369"/>
    </row>
    <row r="173" spans="1:14">
      <c r="A173" s="1273" t="s">
        <v>337</v>
      </c>
      <c r="B173" s="1236"/>
      <c r="C173" s="436"/>
      <c r="D173" s="174" t="s">
        <v>186</v>
      </c>
      <c r="E173" s="183">
        <v>19173</v>
      </c>
      <c r="F173" s="183">
        <v>19175</v>
      </c>
      <c r="G173" s="124">
        <f t="shared" si="16"/>
        <v>2</v>
      </c>
      <c r="N173" s="369"/>
    </row>
    <row r="174" spans="1:14">
      <c r="A174" s="1273" t="s">
        <v>337</v>
      </c>
      <c r="B174" s="1236"/>
      <c r="C174" s="436"/>
      <c r="D174" s="174" t="s">
        <v>186</v>
      </c>
      <c r="E174" s="183">
        <v>70624</v>
      </c>
      <c r="F174" s="183">
        <v>70637</v>
      </c>
      <c r="G174" s="124">
        <f t="shared" si="16"/>
        <v>13</v>
      </c>
      <c r="N174" s="369"/>
    </row>
    <row r="175" spans="1:14">
      <c r="A175" s="1273" t="s">
        <v>338</v>
      </c>
      <c r="B175" s="1236"/>
      <c r="C175" s="436"/>
      <c r="D175" s="174" t="s">
        <v>186</v>
      </c>
      <c r="E175" s="183">
        <v>27869</v>
      </c>
      <c r="F175" s="183">
        <v>27875</v>
      </c>
      <c r="G175" s="124">
        <f t="shared" si="16"/>
        <v>6</v>
      </c>
      <c r="N175" s="369"/>
    </row>
    <row r="176" spans="1:14">
      <c r="N176" s="369"/>
    </row>
    <row r="177" spans="1:14" ht="32.25" customHeight="1">
      <c r="A177" s="1296" t="s">
        <v>382</v>
      </c>
      <c r="B177" s="1296"/>
      <c r="C177" s="1296"/>
      <c r="D177" s="1296"/>
      <c r="E177" s="1296"/>
      <c r="F177" s="1296"/>
      <c r="G177" s="1296"/>
      <c r="N177" s="369"/>
    </row>
    <row r="178" spans="1:14">
      <c r="A178" s="435"/>
      <c r="B178" s="436"/>
      <c r="C178" s="436"/>
      <c r="D178" s="174" t="s">
        <v>186</v>
      </c>
      <c r="E178" s="173">
        <f>'14'!F178</f>
        <v>0</v>
      </c>
      <c r="F178" s="193"/>
      <c r="G178" s="124">
        <f t="shared" ref="G178:G184" si="24">F178-E178</f>
        <v>0</v>
      </c>
      <c r="N178" s="369"/>
    </row>
    <row r="179" spans="1:14">
      <c r="A179" s="435" t="s">
        <v>383</v>
      </c>
      <c r="B179" s="436"/>
      <c r="C179" s="436"/>
      <c r="D179" s="174" t="s">
        <v>186</v>
      </c>
      <c r="E179" s="173">
        <f>'14'!F179</f>
        <v>0</v>
      </c>
      <c r="F179" s="193"/>
      <c r="G179" s="124">
        <f t="shared" si="24"/>
        <v>0</v>
      </c>
      <c r="N179" s="369"/>
    </row>
    <row r="180" spans="1:14">
      <c r="A180" s="435" t="s">
        <v>384</v>
      </c>
      <c r="B180" s="436"/>
      <c r="C180" s="436"/>
      <c r="D180" s="174" t="s">
        <v>186</v>
      </c>
      <c r="E180" s="173">
        <f>'14'!F180</f>
        <v>0</v>
      </c>
      <c r="F180" s="193"/>
      <c r="G180" s="124">
        <f t="shared" si="24"/>
        <v>0</v>
      </c>
      <c r="N180" s="369"/>
    </row>
    <row r="181" spans="1:14" ht="27" customHeight="1">
      <c r="A181" s="435" t="s">
        <v>385</v>
      </c>
      <c r="B181" s="436"/>
      <c r="C181" s="436"/>
      <c r="D181" s="174" t="s">
        <v>186</v>
      </c>
      <c r="E181" s="173">
        <f>'14'!F181</f>
        <v>0</v>
      </c>
      <c r="F181" s="193"/>
      <c r="G181" s="124">
        <f t="shared" si="24"/>
        <v>0</v>
      </c>
      <c r="N181" s="369"/>
    </row>
    <row r="182" spans="1:14" ht="27" customHeight="1">
      <c r="A182" s="435" t="s">
        <v>386</v>
      </c>
      <c r="B182" s="436"/>
      <c r="C182" s="436"/>
      <c r="D182" s="174" t="s">
        <v>186</v>
      </c>
      <c r="E182" s="173">
        <f>'14'!F182</f>
        <v>0</v>
      </c>
      <c r="F182" s="193"/>
      <c r="G182" s="124">
        <f t="shared" si="24"/>
        <v>0</v>
      </c>
      <c r="N182" s="369"/>
    </row>
    <row r="183" spans="1:14" ht="27" customHeight="1">
      <c r="A183" s="435" t="s">
        <v>387</v>
      </c>
      <c r="B183" s="436"/>
      <c r="C183" s="436"/>
      <c r="D183" s="174" t="s">
        <v>186</v>
      </c>
      <c r="E183" s="173">
        <f>'14'!F183</f>
        <v>0</v>
      </c>
      <c r="F183" s="193"/>
      <c r="G183" s="124">
        <f t="shared" si="24"/>
        <v>0</v>
      </c>
      <c r="N183" s="369"/>
    </row>
    <row r="184" spans="1:14" ht="27" customHeight="1">
      <c r="A184" s="435" t="s">
        <v>388</v>
      </c>
      <c r="B184" s="436"/>
      <c r="C184" s="436"/>
      <c r="D184" s="174" t="s">
        <v>186</v>
      </c>
      <c r="E184" s="173">
        <f>'14'!F184</f>
        <v>0</v>
      </c>
      <c r="F184" s="193"/>
      <c r="G184" s="124">
        <f t="shared" si="24"/>
        <v>0</v>
      </c>
      <c r="N184" s="369"/>
    </row>
    <row r="185" spans="1:14" ht="27" customHeight="1">
      <c r="N185" s="369"/>
    </row>
    <row r="186" spans="1:14" ht="27" customHeight="1">
      <c r="N186" s="369"/>
    </row>
    <row r="187" spans="1:14" ht="27" customHeight="1">
      <c r="N187" s="369"/>
    </row>
    <row r="188" spans="1:14" ht="27" customHeight="1">
      <c r="N188" s="369"/>
    </row>
    <row r="189" spans="1:14" ht="27" customHeight="1">
      <c r="N189" s="369"/>
    </row>
    <row r="190" spans="1:14" ht="27" customHeight="1">
      <c r="N190" s="369"/>
    </row>
    <row r="191" spans="1:14" ht="27" customHeight="1">
      <c r="N191" s="369"/>
    </row>
    <row r="192" spans="1:14" ht="27" customHeight="1">
      <c r="N192" s="369"/>
    </row>
    <row r="193" spans="14:14" ht="27" customHeight="1">
      <c r="N193" s="369"/>
    </row>
    <row r="194" spans="14:14" ht="27" customHeight="1">
      <c r="N194" s="369"/>
    </row>
    <row r="195" spans="14:14" ht="27" customHeight="1">
      <c r="N195" s="369"/>
    </row>
    <row r="196" spans="14:14" ht="27" customHeight="1">
      <c r="N196" s="369"/>
    </row>
    <row r="197" spans="14:14" ht="27" customHeight="1">
      <c r="N197" s="369"/>
    </row>
    <row r="198" spans="14:14" ht="27" customHeight="1">
      <c r="N198" s="369"/>
    </row>
    <row r="199" spans="14:14" ht="27" customHeight="1">
      <c r="N199" s="369"/>
    </row>
    <row r="200" spans="14:14" ht="27" customHeight="1">
      <c r="N200" s="369"/>
    </row>
    <row r="201" spans="14:14" ht="27" customHeight="1">
      <c r="N201" s="369"/>
    </row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</sheetData>
  <mergeCells count="72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3:B173"/>
    <mergeCell ref="A144:C144"/>
    <mergeCell ref="A145:C145"/>
    <mergeCell ref="A146:C146"/>
    <mergeCell ref="A147:C147"/>
    <mergeCell ref="A126:C126"/>
    <mergeCell ref="A174:B174"/>
    <mergeCell ref="A175:B175"/>
    <mergeCell ref="A177:G177"/>
    <mergeCell ref="A119:B119"/>
    <mergeCell ref="A120:B120"/>
    <mergeCell ref="A121:B121"/>
    <mergeCell ref="A122:B122"/>
    <mergeCell ref="A153:C153"/>
    <mergeCell ref="A154:C154"/>
    <mergeCell ref="A151:C151"/>
    <mergeCell ref="A152:C152"/>
    <mergeCell ref="A148:C148"/>
    <mergeCell ref="A149:C149"/>
    <mergeCell ref="A150:C150"/>
    <mergeCell ref="A143:C14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41"/>
  <sheetViews>
    <sheetView view="pageBreakPreview" topLeftCell="A139" zoomScale="55" zoomScaleNormal="90" zoomScaleSheetLayoutView="55" workbookViewId="0">
      <selection activeCell="F8" sqref="F8"/>
    </sheetView>
  </sheetViews>
  <sheetFormatPr defaultColWidth="22.33203125" defaultRowHeight="29.25"/>
  <cols>
    <col min="1" max="1" width="59.6640625" style="105" customWidth="1"/>
    <col min="2" max="2" width="21.33203125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6" s="57" customFormat="1" ht="27">
      <c r="A2" s="226" t="s">
        <v>342</v>
      </c>
      <c r="B2" s="682">
        <v>44424</v>
      </c>
      <c r="C2" s="829" t="s">
        <v>68</v>
      </c>
      <c r="D2" s="262">
        <v>0.52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29" t="s">
        <v>119</v>
      </c>
      <c r="D3" s="263">
        <v>30</v>
      </c>
      <c r="E3" s="1259" t="s">
        <v>120</v>
      </c>
      <c r="F3" s="1260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29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'15'!F7</f>
        <v>943406</v>
      </c>
      <c r="F7" s="1145">
        <v>965128</v>
      </c>
      <c r="G7" s="329">
        <f>F7-E7</f>
        <v>21722</v>
      </c>
      <c r="H7" s="330">
        <f>G7+'15'!H7</f>
        <v>666437</v>
      </c>
      <c r="I7" s="331">
        <f>'1'!I7</f>
        <v>12000</v>
      </c>
      <c r="J7" s="332">
        <f>H7/DAY(B2)</f>
        <v>41652.3125</v>
      </c>
      <c r="K7" s="200">
        <f>'1'!E7-'16'!F7</f>
        <v>-666437</v>
      </c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'15'!F8</f>
        <v>640733.27</v>
      </c>
      <c r="F8" s="126">
        <f>E8+22500</f>
        <v>663233.27</v>
      </c>
      <c r="G8" s="340">
        <f>F8-E8</f>
        <v>22500</v>
      </c>
      <c r="H8" s="330">
        <f>G8+'15'!H8</f>
        <v>353661.27</v>
      </c>
      <c r="I8" s="337">
        <f>'1'!I8</f>
        <v>12000</v>
      </c>
      <c r="J8" s="332">
        <f>H8/DAY(B2)</f>
        <v>22103.829375000001</v>
      </c>
      <c r="K8" s="200">
        <f>'1'!E8-'16'!F8</f>
        <v>-353661.27</v>
      </c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'15'!F9</f>
        <v>3020780</v>
      </c>
      <c r="F9" s="1146">
        <v>3042620</v>
      </c>
      <c r="G9" s="353">
        <f t="shared" ref="G9:G12" si="0">F9-E9</f>
        <v>21840</v>
      </c>
      <c r="H9" s="330">
        <f>G9+'15'!H9</f>
        <v>2960090</v>
      </c>
      <c r="I9" s="341">
        <f>I7-J7</f>
        <v>-29652.3125</v>
      </c>
      <c r="J9" s="332">
        <f>H9/DAY(B2)</f>
        <v>185005.625</v>
      </c>
      <c r="K9" s="81">
        <f>'1'!E9-'16'!F9</f>
        <v>-2960090</v>
      </c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'15'!F10</f>
        <v>2606.5500000000002</v>
      </c>
      <c r="F10" s="129">
        <v>2606.5500000000002</v>
      </c>
      <c r="G10" s="340">
        <f t="shared" si="0"/>
        <v>0</v>
      </c>
      <c r="H10" s="330">
        <f>G10+'15'!H10</f>
        <v>-0.4499999999998181</v>
      </c>
      <c r="I10" s="342"/>
      <c r="J10" s="332">
        <f>H10/DAY(B2)</f>
        <v>-2.8124999999988631E-2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G11+'15'!H11</f>
        <v>0</v>
      </c>
      <c r="I11" s="342"/>
      <c r="J11" s="332">
        <f>H11/DAY(B2)</f>
        <v>0</v>
      </c>
      <c r="K11" s="81"/>
      <c r="L11" s="68"/>
      <c r="N11" s="369">
        <f>G8-G10</f>
        <v>22500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G12+'15'!H12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21840</v>
      </c>
      <c r="H13" s="330">
        <f>G13+'15'!H13</f>
        <v>2916074.06</v>
      </c>
      <c r="I13" s="346">
        <f>G7-G13</f>
        <v>-118</v>
      </c>
      <c r="J13" s="332">
        <f>H13/DAY(B2)</f>
        <v>182254.62875</v>
      </c>
      <c r="K13" s="81"/>
      <c r="L13" s="68"/>
      <c r="N13" s="369"/>
      <c r="O13" s="376"/>
      <c r="P13" s="73"/>
    </row>
    <row r="14" spans="1:16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'15'!F15</f>
        <v>1742709</v>
      </c>
      <c r="F15" s="351">
        <v>1743605.0970000001</v>
      </c>
      <c r="G15" s="315">
        <f>(F15-E15)</f>
        <v>896.09700000006706</v>
      </c>
      <c r="H15" s="137">
        <f>G15+'15'!H15</f>
        <v>-12924.902999999933</v>
      </c>
      <c r="I15" s="125">
        <f>'1'!I15</f>
        <v>800</v>
      </c>
      <c r="J15" s="204">
        <f>H15/DAY(B2)</f>
        <v>-807.80643749999581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 t="s">
        <v>271</v>
      </c>
      <c r="G16" s="320"/>
      <c r="H16" s="137"/>
      <c r="I16" s="133">
        <f>I15-J15</f>
        <v>1607.8064374999958</v>
      </c>
      <c r="J16" s="204"/>
      <c r="K16" s="81"/>
      <c r="L16" s="68"/>
      <c r="N16" s="369"/>
      <c r="O16" s="376"/>
      <c r="P16" s="73"/>
    </row>
    <row r="17" spans="1:16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93" t="s">
        <v>142</v>
      </c>
      <c r="B18" s="1294"/>
      <c r="C18" s="1295"/>
      <c r="D18" s="288" t="s">
        <v>143</v>
      </c>
      <c r="E18" s="285">
        <f>'15'!F18</f>
        <v>20</v>
      </c>
      <c r="F18" s="129">
        <v>15</v>
      </c>
      <c r="G18" s="345">
        <f>F18*10</f>
        <v>150</v>
      </c>
      <c r="H18" s="330">
        <f>G18+'15'!H18</f>
        <v>2420</v>
      </c>
      <c r="I18" s="331">
        <f>'1'!I18</f>
        <v>65</v>
      </c>
      <c r="J18" s="332">
        <f>H18/DAY(B2)</f>
        <v>151.25</v>
      </c>
      <c r="K18" s="81"/>
      <c r="L18" s="68"/>
      <c r="N18" s="369"/>
      <c r="O18" s="376"/>
      <c r="P18" s="73"/>
    </row>
    <row r="19" spans="1:16" ht="27.75">
      <c r="A19" s="1293" t="s">
        <v>70</v>
      </c>
      <c r="B19" s="1294"/>
      <c r="C19" s="1295"/>
      <c r="D19" s="288" t="s">
        <v>143</v>
      </c>
      <c r="E19" s="285">
        <f>'15'!F19</f>
        <v>144330</v>
      </c>
      <c r="F19" s="129">
        <v>144394</v>
      </c>
      <c r="G19" s="340">
        <f t="shared" ref="G19" si="1">F19-E19</f>
        <v>64</v>
      </c>
      <c r="H19" s="330">
        <f>G19+'15'!H19</f>
        <v>-944</v>
      </c>
      <c r="I19" s="347"/>
      <c r="J19" s="332">
        <f>H19/DAY(B2)</f>
        <v>-59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214</v>
      </c>
      <c r="H20" s="330">
        <f>G20+'15'!H20</f>
        <v>1476</v>
      </c>
      <c r="I20" s="349">
        <f>I18-J20</f>
        <v>-27.25</v>
      </c>
      <c r="J20" s="332">
        <f>H20/DAY(B2)</f>
        <v>92.25</v>
      </c>
      <c r="K20" s="81"/>
      <c r="L20" s="68"/>
      <c r="N20" s="369"/>
      <c r="O20" s="376"/>
      <c r="P20" s="73"/>
    </row>
    <row r="21" spans="1:16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22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22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22500</v>
      </c>
      <c r="F27" s="152">
        <v>9</v>
      </c>
      <c r="G27" s="153">
        <f>E27*F27</f>
        <v>202500</v>
      </c>
      <c r="H27" s="111">
        <f>G27+'15'!H27</f>
        <v>3182951.43</v>
      </c>
      <c r="I27" s="154"/>
      <c r="J27" s="203">
        <f>H27/DAY(B2)</f>
        <v>198934.46437500001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896.09700000006706</v>
      </c>
      <c r="F28" s="152">
        <v>56.2</v>
      </c>
      <c r="G28" s="153">
        <f>E28*F28</f>
        <v>50360.651400003771</v>
      </c>
      <c r="H28" s="111">
        <f>G28+'15'!H28</f>
        <v>-729416.63599999598</v>
      </c>
      <c r="I28" s="156"/>
      <c r="J28" s="203">
        <f>H28/DAY(B2)</f>
        <v>-45588.539749999749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G30+'15'!H30</f>
        <v>-137824</v>
      </c>
      <c r="I30" s="156"/>
      <c r="J30" s="203">
        <f>H30/DAY(B2)</f>
        <v>-8614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150</v>
      </c>
      <c r="F31" s="152">
        <v>80</v>
      </c>
      <c r="G31" s="153">
        <f>E31*F31</f>
        <v>12000</v>
      </c>
      <c r="H31" s="111">
        <f>G31+'15'!H31</f>
        <v>193600</v>
      </c>
      <c r="I31" s="156"/>
      <c r="J31" s="203"/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274204.65140000376</v>
      </c>
      <c r="H32" s="111">
        <f>G32+'15'!H32</f>
        <v>2509310.7940000044</v>
      </c>
      <c r="I32" s="160"/>
      <c r="J32" s="203">
        <f>H32/DAY(B2)</f>
        <v>156831.92462500028</v>
      </c>
      <c r="K32" s="65"/>
      <c r="L32" s="94"/>
      <c r="N32" s="369"/>
      <c r="O32" s="376"/>
      <c r="P32" s="73"/>
    </row>
    <row r="33" spans="1:16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369"/>
      <c r="O33" s="376"/>
      <c r="P33" s="73"/>
    </row>
    <row r="34" spans="1:16">
      <c r="A34" s="249" t="s">
        <v>162</v>
      </c>
      <c r="B34" s="824"/>
      <c r="C34" s="82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'15'!F35</f>
        <v>1058596</v>
      </c>
      <c r="F35" s="161">
        <v>1058597.3</v>
      </c>
      <c r="G35" s="124">
        <f t="shared" ref="G35:G46" si="3">F35-E35</f>
        <v>1.3000000000465661</v>
      </c>
      <c r="H35" s="111">
        <f>G35+'15'!H35</f>
        <v>0.30000000004656613</v>
      </c>
      <c r="I35" s="106"/>
      <c r="J35" s="203">
        <f>H35/DAY(B2)</f>
        <v>1.8750000002910383E-2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'15'!F36</f>
        <v>57840</v>
      </c>
      <c r="F36" s="161">
        <v>58503</v>
      </c>
      <c r="G36" s="124">
        <f t="shared" si="3"/>
        <v>663</v>
      </c>
      <c r="H36" s="111">
        <f>G36+'15'!H36</f>
        <v>56670</v>
      </c>
      <c r="I36" s="106"/>
      <c r="J36" s="203">
        <f>H36/DAY(B2)</f>
        <v>3541.875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'15'!F37</f>
        <v>250093</v>
      </c>
      <c r="F37" s="161">
        <v>251705</v>
      </c>
      <c r="G37" s="124">
        <f t="shared" si="3"/>
        <v>1612</v>
      </c>
      <c r="H37" s="111">
        <f>G37+'15'!H37</f>
        <v>247930</v>
      </c>
      <c r="I37" s="106"/>
      <c r="J37" s="203">
        <f>H37/DAY(B2)</f>
        <v>15495.625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'15'!F38</f>
        <v>274220</v>
      </c>
      <c r="F38" s="120">
        <v>275910</v>
      </c>
      <c r="G38" s="124">
        <f t="shared" si="3"/>
        <v>1690</v>
      </c>
      <c r="H38" s="111">
        <f>G38+'15'!H38</f>
        <v>271087</v>
      </c>
      <c r="I38" s="106"/>
      <c r="J38" s="203">
        <f>H38/DAY(B2)</f>
        <v>16942.9375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'15'!F39</f>
        <v>576884</v>
      </c>
      <c r="F39" s="161">
        <v>580796</v>
      </c>
      <c r="G39" s="124">
        <f t="shared" si="3"/>
        <v>3912</v>
      </c>
      <c r="H39" s="111">
        <f>G39+'15'!H39</f>
        <v>576954</v>
      </c>
      <c r="I39" s="106"/>
      <c r="J39" s="203">
        <f>H39/DAY(B2)</f>
        <v>36059.625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'15'!F40</f>
        <v>27308</v>
      </c>
      <c r="F40" s="161">
        <v>27904.799999999999</v>
      </c>
      <c r="G40" s="124">
        <f t="shared" si="3"/>
        <v>596.79999999999927</v>
      </c>
      <c r="H40" s="111">
        <f>G40+'15'!H40</f>
        <v>28062.2</v>
      </c>
      <c r="I40" s="106"/>
      <c r="J40" s="203">
        <f>H40/DAY(B2)</f>
        <v>1753.8875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'15'!F41</f>
        <v>407117</v>
      </c>
      <c r="F41" s="161">
        <v>412679</v>
      </c>
      <c r="G41" s="124">
        <f t="shared" si="3"/>
        <v>5562</v>
      </c>
      <c r="H41" s="111">
        <f>G41+'15'!H41</f>
        <v>-20602.789999999979</v>
      </c>
      <c r="I41" s="106"/>
      <c r="J41" s="203">
        <f>H41/DAY(B2)</f>
        <v>-1287.6743749999987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'15'!F42</f>
        <v>147899</v>
      </c>
      <c r="F42" s="161">
        <v>147899</v>
      </c>
      <c r="G42" s="124">
        <f>F42-E42</f>
        <v>0</v>
      </c>
      <c r="H42" s="111">
        <f>G42+'15'!H42</f>
        <v>-27213</v>
      </c>
      <c r="I42" s="106"/>
      <c r="J42" s="203">
        <f>H42/DAY(B2)</f>
        <v>-1700.8125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'15'!F43</f>
        <v>1246660</v>
      </c>
      <c r="F43" s="161">
        <v>1249400</v>
      </c>
      <c r="G43" s="124">
        <f t="shared" si="3"/>
        <v>2740</v>
      </c>
      <c r="H43" s="111">
        <f>G43+'15'!H43</f>
        <v>-40345</v>
      </c>
      <c r="I43" s="106"/>
      <c r="J43" s="203">
        <f>H43/DAY(B2)</f>
        <v>-2521.5625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16777.100000000046</v>
      </c>
      <c r="H47" s="111">
        <f>G47+'15'!H47</f>
        <v>1093344.2000000002</v>
      </c>
      <c r="I47" s="106"/>
      <c r="J47" s="203">
        <f>H47/DAY(B2)</f>
        <v>68334.012500000012</v>
      </c>
      <c r="K47" s="81"/>
      <c r="L47" s="68"/>
      <c r="N47" s="369"/>
      <c r="O47" s="376"/>
      <c r="P47" s="73"/>
    </row>
    <row r="48" spans="1:16">
      <c r="A48" s="249" t="s">
        <v>176</v>
      </c>
      <c r="B48" s="824"/>
      <c r="C48" s="82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'15'!F49</f>
        <v>369746</v>
      </c>
      <c r="F49" s="161">
        <v>372993</v>
      </c>
      <c r="G49" s="124">
        <f t="shared" ref="G49:G58" si="4">F49-E49</f>
        <v>3247</v>
      </c>
      <c r="H49" s="111">
        <f>G49+'15'!H49</f>
        <v>356213</v>
      </c>
      <c r="I49" s="106"/>
      <c r="J49" s="203">
        <f>H49/DAY(B2)</f>
        <v>22263.3125</v>
      </c>
      <c r="K49" s="81">
        <f>E49+244</f>
        <v>369990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'15'!F50</f>
        <v>587113</v>
      </c>
      <c r="F50" s="304">
        <v>588550</v>
      </c>
      <c r="G50" s="124">
        <f t="shared" si="4"/>
        <v>1437</v>
      </c>
      <c r="H50" s="111">
        <f>G50+'15'!H50</f>
        <v>-19668</v>
      </c>
      <c r="I50" s="106"/>
      <c r="J50" s="203">
        <f>H50/DAY(B2)</f>
        <v>-1229.25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'15'!F51</f>
        <v>144639.87</v>
      </c>
      <c r="F51" s="161">
        <v>144639.87</v>
      </c>
      <c r="G51" s="124">
        <f t="shared" si="4"/>
        <v>0</v>
      </c>
      <c r="H51" s="111">
        <f>G51+'15'!H51</f>
        <v>144639.87</v>
      </c>
      <c r="I51" s="106"/>
      <c r="J51" s="203">
        <f>H51/DAY(B2)</f>
        <v>9039.9918749999997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'15'!F52</f>
        <v>539606</v>
      </c>
      <c r="F52" s="161">
        <v>539606.06999999995</v>
      </c>
      <c r="G52" s="124">
        <f t="shared" si="4"/>
        <v>6.9999999948777258E-2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'15'!F53</f>
        <v>434232</v>
      </c>
      <c r="F53" s="161">
        <v>434231.59</v>
      </c>
      <c r="G53" s="124">
        <f t="shared" si="4"/>
        <v>-0.40999999997438863</v>
      </c>
      <c r="H53" s="111">
        <f>G53+'15'!H53</f>
        <v>434231.59</v>
      </c>
      <c r="I53" s="106"/>
      <c r="J53" s="203">
        <f>H53/DAY(B2)</f>
        <v>27139.474375000002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'15'!F54</f>
        <v>14967</v>
      </c>
      <c r="F54" s="161">
        <v>14967.27</v>
      </c>
      <c r="G54" s="124">
        <f t="shared" si="4"/>
        <v>0.27000000000043656</v>
      </c>
      <c r="H54" s="111">
        <f>G54+'15'!H54</f>
        <v>12502.27</v>
      </c>
      <c r="I54" s="106"/>
      <c r="J54" s="203">
        <f>H54/DAY(B2)</f>
        <v>781.39187500000003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'15'!F55</f>
        <v>265307</v>
      </c>
      <c r="F55" s="304">
        <v>266380</v>
      </c>
      <c r="G55" s="303">
        <f t="shared" si="4"/>
        <v>1073</v>
      </c>
      <c r="H55" s="356">
        <f>G55+'15'!H55</f>
        <v>-40918.989999999991</v>
      </c>
      <c r="I55" s="357"/>
      <c r="J55" s="358">
        <f>H55/DAY(B2)</f>
        <v>-2557.4368749999994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'15'!F56</f>
        <v>649532</v>
      </c>
      <c r="F56" s="304">
        <v>649544</v>
      </c>
      <c r="G56" s="124">
        <f t="shared" si="4"/>
        <v>12</v>
      </c>
      <c r="H56" s="111">
        <f>G56+'15'!H56</f>
        <v>-11487</v>
      </c>
      <c r="I56" s="106"/>
      <c r="J56" s="203">
        <f>H56/DAY(B2)</f>
        <v>-717.9375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'15'!F58</f>
        <v>62774</v>
      </c>
      <c r="F58" s="304">
        <v>62990.3</v>
      </c>
      <c r="G58" s="124">
        <f t="shared" si="4"/>
        <v>216.30000000000291</v>
      </c>
      <c r="H58" s="111">
        <f>G58+'15'!H58</f>
        <v>-3192.6999999999971</v>
      </c>
      <c r="I58" s="106"/>
      <c r="J58" s="203">
        <f>H58/DAY(B2)</f>
        <v>-199.54374999999982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5985.2299999999777</v>
      </c>
      <c r="H59" s="111">
        <f>G59+'15'!H59</f>
        <v>1411926.44</v>
      </c>
      <c r="I59" s="106">
        <f>G7-G60</f>
        <v>-1040.3300000000236</v>
      </c>
      <c r="J59" s="203">
        <f>H59/DAY(B2)</f>
        <v>88245.402499999997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22762.330000000024</v>
      </c>
      <c r="H60" s="111">
        <f>G60+'15'!H60</f>
        <v>2511959.64</v>
      </c>
      <c r="I60" s="106">
        <f>G13-G60</f>
        <v>-922.33000000002357</v>
      </c>
      <c r="J60" s="203">
        <f>H60/DAY(B2)</f>
        <v>156997.47750000001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'15'!F63</f>
        <v>0</v>
      </c>
      <c r="F63" s="165">
        <v>0</v>
      </c>
      <c r="G63" s="124">
        <f t="shared" si="5"/>
        <v>0</v>
      </c>
      <c r="H63" s="111">
        <f>G63+'15'!H63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226" t="s">
        <v>98</v>
      </c>
      <c r="B64" s="1227"/>
      <c r="C64" s="1228"/>
      <c r="D64" s="174" t="s">
        <v>186</v>
      </c>
      <c r="E64" s="846">
        <f>'15'!F64</f>
        <v>187579</v>
      </c>
      <c r="F64" s="277">
        <v>187962</v>
      </c>
      <c r="G64" s="424">
        <f t="shared" si="5"/>
        <v>383</v>
      </c>
      <c r="H64" s="111">
        <f>G64+'15'!H64</f>
        <v>-6255</v>
      </c>
      <c r="I64" s="131"/>
      <c r="J64" s="203">
        <f>H64/DAY(B2)</f>
        <v>-390.9375</v>
      </c>
      <c r="K64" s="81"/>
      <c r="L64" s="68"/>
      <c r="N64" s="369"/>
      <c r="O64" s="376"/>
      <c r="P64" s="73"/>
    </row>
    <row r="65" spans="1:16" ht="27.75">
      <c r="A65" s="1226" t="s">
        <v>99</v>
      </c>
      <c r="B65" s="1227"/>
      <c r="C65" s="1228"/>
      <c r="D65" s="174" t="s">
        <v>186</v>
      </c>
      <c r="E65" s="165">
        <f>'15'!F65</f>
        <v>188197</v>
      </c>
      <c r="F65" s="302">
        <v>188656</v>
      </c>
      <c r="G65" s="124">
        <f t="shared" si="5"/>
        <v>459</v>
      </c>
      <c r="H65" s="111">
        <f>G65+'15'!H65</f>
        <v>-5973</v>
      </c>
      <c r="I65" s="140"/>
      <c r="J65" s="203">
        <f>H65/DAY(B2)</f>
        <v>-373.3125</v>
      </c>
      <c r="K65" s="81"/>
      <c r="L65" s="68"/>
      <c r="N65" s="369"/>
      <c r="O65" s="377"/>
      <c r="P65" s="73"/>
    </row>
    <row r="66" spans="1:16" ht="27.75">
      <c r="A66" s="1226" t="s">
        <v>100</v>
      </c>
      <c r="B66" s="1227"/>
      <c r="C66" s="1228"/>
      <c r="D66" s="174" t="s">
        <v>186</v>
      </c>
      <c r="E66" s="165">
        <f>'15'!F66</f>
        <v>86733</v>
      </c>
      <c r="F66" s="129">
        <v>87172.4</v>
      </c>
      <c r="G66" s="124">
        <f t="shared" si="5"/>
        <v>439.39999999999418</v>
      </c>
      <c r="H66" s="111">
        <f>G66+'15'!H66</f>
        <v>-6144.6000000000058</v>
      </c>
      <c r="I66" s="131"/>
      <c r="J66" s="203">
        <f>H66/DAY(B2)</f>
        <v>-384.03750000000036</v>
      </c>
      <c r="K66" s="81"/>
      <c r="L66" s="68"/>
      <c r="N66" s="369"/>
      <c r="O66" s="376"/>
      <c r="P66" s="73"/>
    </row>
    <row r="67" spans="1:16" ht="27.75">
      <c r="A67" s="1226" t="s">
        <v>101</v>
      </c>
      <c r="B67" s="1227"/>
      <c r="C67" s="1228"/>
      <c r="D67" s="174" t="s">
        <v>186</v>
      </c>
      <c r="E67" s="165">
        <f>'15'!F67</f>
        <v>287262</v>
      </c>
      <c r="F67" s="129">
        <v>287730</v>
      </c>
      <c r="G67" s="124">
        <f t="shared" si="5"/>
        <v>468</v>
      </c>
      <c r="H67" s="111">
        <f>G67+'15'!H67</f>
        <v>-7161</v>
      </c>
      <c r="I67" s="140"/>
      <c r="J67" s="203">
        <f>H67/DAY(B2)</f>
        <v>-447.5625</v>
      </c>
      <c r="K67" s="82"/>
      <c r="L67" s="68"/>
      <c r="N67" s="369"/>
      <c r="O67" s="376"/>
      <c r="P67" s="73"/>
    </row>
    <row r="68" spans="1:16" ht="27.75">
      <c r="A68" s="1226" t="s">
        <v>102</v>
      </c>
      <c r="B68" s="1227"/>
      <c r="C68" s="1228"/>
      <c r="D68" s="174" t="s">
        <v>186</v>
      </c>
      <c r="E68" s="165">
        <f>'15'!F68</f>
        <v>85321</v>
      </c>
      <c r="F68" s="129">
        <v>85321</v>
      </c>
      <c r="G68" s="124">
        <f t="shared" si="5"/>
        <v>0</v>
      </c>
      <c r="H68" s="111">
        <f>G68+'15'!H68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226" t="s">
        <v>103</v>
      </c>
      <c r="B69" s="1227"/>
      <c r="C69" s="1228"/>
      <c r="D69" s="174" t="s">
        <v>186</v>
      </c>
      <c r="E69" s="165">
        <f>'15'!F69</f>
        <v>101317</v>
      </c>
      <c r="F69" s="129">
        <v>101615</v>
      </c>
      <c r="G69" s="124">
        <f t="shared" si="5"/>
        <v>298</v>
      </c>
      <c r="H69" s="111">
        <f>G69+'15'!H69</f>
        <v>-4791</v>
      </c>
      <c r="I69" s="167"/>
      <c r="J69" s="203">
        <f>H69/DAY(B2)</f>
        <v>-299.4375</v>
      </c>
      <c r="K69" s="84"/>
      <c r="L69" s="68"/>
      <c r="N69" s="369"/>
      <c r="O69" s="376"/>
      <c r="P69" s="73"/>
    </row>
    <row r="70" spans="1:16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>
      <c r="A71" s="1270"/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369"/>
      <c r="O71" s="376"/>
      <c r="P71" s="73"/>
    </row>
    <row r="72" spans="1:16" ht="27.75">
      <c r="A72" s="1226" t="s">
        <v>190</v>
      </c>
      <c r="B72" s="1227"/>
      <c r="C72" s="1228"/>
      <c r="D72" s="174" t="s">
        <v>186</v>
      </c>
      <c r="E72" s="170">
        <f>'15'!F72</f>
        <v>856804</v>
      </c>
      <c r="F72" s="305">
        <v>856820</v>
      </c>
      <c r="G72" s="124">
        <f t="shared" ref="G72:G84" si="6">F72-E72</f>
        <v>16</v>
      </c>
      <c r="H72" s="111">
        <f>G72+'15'!H72</f>
        <v>113</v>
      </c>
      <c r="I72" s="131"/>
      <c r="J72" s="203">
        <f>H72/DAY(B2)</f>
        <v>7.0625</v>
      </c>
      <c r="K72" s="84"/>
      <c r="L72" s="68"/>
      <c r="N72" s="369"/>
      <c r="O72" s="376"/>
      <c r="P72" s="73"/>
    </row>
    <row r="73" spans="1:16" ht="27.75">
      <c r="A73" s="1226" t="s">
        <v>191</v>
      </c>
      <c r="B73" s="1227"/>
      <c r="C73" s="1228"/>
      <c r="D73" s="174" t="s">
        <v>186</v>
      </c>
      <c r="E73" s="170">
        <f>'15'!F73</f>
        <v>886031</v>
      </c>
      <c r="F73" s="306">
        <v>886033</v>
      </c>
      <c r="G73" s="303">
        <f t="shared" si="6"/>
        <v>2</v>
      </c>
      <c r="H73" s="111">
        <f>G73+'15'!H73</f>
        <v>-18</v>
      </c>
      <c r="I73" s="131"/>
      <c r="J73" s="203">
        <f>H73/DAY(B2)</f>
        <v>-1.125</v>
      </c>
      <c r="K73" s="83"/>
      <c r="L73" s="68"/>
      <c r="N73" s="369"/>
      <c r="O73" s="376"/>
      <c r="P73" s="73"/>
    </row>
    <row r="74" spans="1:16" ht="27.75">
      <c r="A74" s="1226" t="s">
        <v>192</v>
      </c>
      <c r="B74" s="1227"/>
      <c r="C74" s="1228"/>
      <c r="D74" s="174" t="s">
        <v>186</v>
      </c>
      <c r="E74" s="170">
        <f>'15'!F74</f>
        <v>88752</v>
      </c>
      <c r="F74" s="306">
        <v>88753.600000000006</v>
      </c>
      <c r="G74" s="124">
        <f t="shared" si="6"/>
        <v>1.6000000000058208</v>
      </c>
      <c r="H74" s="111">
        <f>G74+'15'!H74</f>
        <v>63.600000000005821</v>
      </c>
      <c r="I74" s="131"/>
      <c r="J74" s="203">
        <f>H74/DAY(B2)</f>
        <v>3.9750000000003638</v>
      </c>
      <c r="K74" s="84"/>
      <c r="L74" s="68"/>
      <c r="N74" s="369"/>
      <c r="O74" s="376"/>
      <c r="P74" s="73"/>
    </row>
    <row r="75" spans="1:16" ht="27.75">
      <c r="A75" s="1229" t="s">
        <v>193</v>
      </c>
      <c r="B75" s="1230"/>
      <c r="C75" s="1231"/>
      <c r="D75" s="174" t="s">
        <v>186</v>
      </c>
      <c r="E75" s="170">
        <f>'15'!F75</f>
        <v>23490.5</v>
      </c>
      <c r="F75" s="306">
        <v>23651.4</v>
      </c>
      <c r="G75" s="124">
        <f t="shared" si="6"/>
        <v>160.90000000000146</v>
      </c>
      <c r="H75" s="111">
        <f>G75+'15'!H75</f>
        <v>-2656.5999999999985</v>
      </c>
      <c r="I75" s="131"/>
      <c r="J75" s="203">
        <f>H75/DAY(B2)</f>
        <v>-166.03749999999991</v>
      </c>
      <c r="K75" s="83"/>
      <c r="L75" s="68"/>
      <c r="N75" s="369"/>
      <c r="O75" s="376"/>
      <c r="P75" s="73"/>
    </row>
    <row r="76" spans="1:16" ht="27.75">
      <c r="A76" s="1229" t="s">
        <v>194</v>
      </c>
      <c r="B76" s="1230"/>
      <c r="C76" s="1231"/>
      <c r="D76" s="174" t="s">
        <v>186</v>
      </c>
      <c r="E76" s="170">
        <f>'15'!F76</f>
        <v>12212</v>
      </c>
      <c r="F76" s="306">
        <v>12263.3</v>
      </c>
      <c r="G76" s="124">
        <f t="shared" si="6"/>
        <v>51.299999999999272</v>
      </c>
      <c r="H76" s="111">
        <f>G76+'15'!H76</f>
        <v>-1013.7000000000007</v>
      </c>
      <c r="I76" s="156"/>
      <c r="J76" s="203">
        <f>H76/DAY(B2)</f>
        <v>-63.356250000000045</v>
      </c>
      <c r="K76" s="83"/>
      <c r="L76" s="68"/>
      <c r="N76" s="369"/>
      <c r="O76" s="376"/>
      <c r="P76" s="73"/>
    </row>
    <row r="77" spans="1:16" ht="27.75">
      <c r="A77" s="1226" t="s">
        <v>195</v>
      </c>
      <c r="B77" s="1227"/>
      <c r="C77" s="1228"/>
      <c r="D77" s="174" t="s">
        <v>186</v>
      </c>
      <c r="E77" s="170">
        <f>'15'!F77</f>
        <v>707386</v>
      </c>
      <c r="F77" s="306">
        <v>707434</v>
      </c>
      <c r="G77" s="303">
        <f t="shared" si="6"/>
        <v>48</v>
      </c>
      <c r="H77" s="111">
        <f>G77+'15'!H77</f>
        <v>-855</v>
      </c>
      <c r="I77" s="156"/>
      <c r="J77" s="203">
        <f>H77/DAY(B2)</f>
        <v>-53.4375</v>
      </c>
      <c r="K77" s="83"/>
      <c r="L77" s="68"/>
      <c r="N77" s="369"/>
      <c r="O77" s="376"/>
      <c r="P77" s="73"/>
    </row>
    <row r="78" spans="1:16" ht="27.75">
      <c r="A78" s="825" t="s">
        <v>196</v>
      </c>
      <c r="B78" s="821"/>
      <c r="C78" s="821"/>
      <c r="D78" s="174" t="s">
        <v>186</v>
      </c>
      <c r="E78" s="170">
        <f>'15'!F78</f>
        <v>680529</v>
      </c>
      <c r="F78" s="307">
        <v>680594</v>
      </c>
      <c r="G78" s="124">
        <f t="shared" si="6"/>
        <v>65</v>
      </c>
      <c r="H78" s="111">
        <f>G78+'15'!H78</f>
        <v>-1819</v>
      </c>
      <c r="I78" s="156"/>
      <c r="J78" s="203">
        <f>H78/DAY(B2)</f>
        <v>-113.6875</v>
      </c>
      <c r="K78" s="83"/>
      <c r="L78" s="68"/>
      <c r="N78" s="369"/>
      <c r="O78" s="376"/>
      <c r="P78" s="73"/>
    </row>
    <row r="79" spans="1:16" ht="27.75">
      <c r="A79" s="1229" t="s">
        <v>91</v>
      </c>
      <c r="B79" s="1230"/>
      <c r="C79" s="1231"/>
      <c r="D79" s="175" t="s">
        <v>186</v>
      </c>
      <c r="E79" s="170">
        <f>'15'!F79</f>
        <v>842520</v>
      </c>
      <c r="F79" s="307">
        <v>842684</v>
      </c>
      <c r="G79" s="124">
        <f t="shared" si="6"/>
        <v>164</v>
      </c>
      <c r="H79" s="111">
        <f>G79+'15'!H79</f>
        <v>-2365</v>
      </c>
      <c r="I79" s="156"/>
      <c r="J79" s="203">
        <f>H79/DAY(B2)</f>
        <v>-147.8125</v>
      </c>
      <c r="K79" s="83"/>
      <c r="L79" s="68"/>
      <c r="N79" s="369"/>
      <c r="O79" s="376"/>
      <c r="P79" s="73"/>
    </row>
    <row r="80" spans="1:16" ht="27.75">
      <c r="A80" s="1229" t="s">
        <v>197</v>
      </c>
      <c r="B80" s="1230"/>
      <c r="C80" s="1231"/>
      <c r="D80" s="175" t="s">
        <v>186</v>
      </c>
      <c r="E80" s="170">
        <f>'15'!F80</f>
        <v>558029</v>
      </c>
      <c r="F80" s="306">
        <v>558506.92000000004</v>
      </c>
      <c r="G80" s="124">
        <f t="shared" si="6"/>
        <v>477.92000000004191</v>
      </c>
      <c r="H80" s="111">
        <f>G80+'15'!H80</f>
        <v>-5791.0799999999581</v>
      </c>
      <c r="I80" s="156"/>
      <c r="J80" s="203">
        <f>H80/DAY(B2)</f>
        <v>-361.94249999999738</v>
      </c>
      <c r="K80" s="83"/>
      <c r="L80" s="68"/>
      <c r="N80" s="369"/>
      <c r="O80" s="376"/>
      <c r="P80" s="73"/>
    </row>
    <row r="81" spans="1:16" ht="27.75">
      <c r="A81" s="1229" t="s">
        <v>198</v>
      </c>
      <c r="B81" s="1230"/>
      <c r="C81" s="1231"/>
      <c r="D81" s="175" t="s">
        <v>186</v>
      </c>
      <c r="E81" s="170">
        <f>'15'!F81</f>
        <v>651590</v>
      </c>
      <c r="F81" s="306">
        <v>651758.64</v>
      </c>
      <c r="G81" s="124">
        <f t="shared" si="6"/>
        <v>168.64000000001397</v>
      </c>
      <c r="H81" s="111">
        <f>G81+'15'!H81</f>
        <v>-2419.359999999986</v>
      </c>
      <c r="I81" s="156"/>
      <c r="J81" s="203">
        <f>H81/DAY(B2)</f>
        <v>-151.20999999999913</v>
      </c>
      <c r="K81" s="83"/>
      <c r="L81" s="68"/>
      <c r="N81" s="369"/>
      <c r="O81" s="376"/>
      <c r="P81" s="73"/>
    </row>
    <row r="82" spans="1:16" s="92" customFormat="1" ht="27.75">
      <c r="A82" s="1306" t="s">
        <v>92</v>
      </c>
      <c r="B82" s="1307"/>
      <c r="C82" s="1308"/>
      <c r="D82" s="302" t="s">
        <v>131</v>
      </c>
      <c r="E82" s="171">
        <f>'15'!F82</f>
        <v>109615</v>
      </c>
      <c r="F82" s="302">
        <v>109641</v>
      </c>
      <c r="G82" s="303">
        <f t="shared" si="6"/>
        <v>26</v>
      </c>
      <c r="H82" s="356">
        <f>G82+'15'!H82</f>
        <v>109864</v>
      </c>
      <c r="I82" s="356"/>
      <c r="J82" s="358">
        <f>H82/DAY(B2)</f>
        <v>6866.5</v>
      </c>
      <c r="K82" s="926"/>
      <c r="L82" s="745"/>
      <c r="N82" s="369"/>
      <c r="O82" s="378"/>
      <c r="P82" s="364"/>
    </row>
    <row r="83" spans="1:16" ht="27.75">
      <c r="A83" s="1229" t="s">
        <v>199</v>
      </c>
      <c r="B83" s="1230"/>
      <c r="C83" s="1231"/>
      <c r="D83" s="271" t="s">
        <v>131</v>
      </c>
      <c r="E83" s="170">
        <f>'15'!F83</f>
        <v>39750</v>
      </c>
      <c r="F83" s="162">
        <v>40101</v>
      </c>
      <c r="G83" s="124">
        <f t="shared" si="6"/>
        <v>351</v>
      </c>
      <c r="H83" s="111">
        <f>G83+'15'!H83</f>
        <v>-4222</v>
      </c>
      <c r="I83" s="132"/>
      <c r="J83" s="203">
        <f>H83/DAY(B2)</f>
        <v>-263.875</v>
      </c>
      <c r="K83" s="82"/>
      <c r="L83" s="68"/>
      <c r="N83" s="369"/>
      <c r="O83" s="376"/>
      <c r="P83" s="73"/>
    </row>
    <row r="84" spans="1:16">
      <c r="A84" s="828" t="s">
        <v>200</v>
      </c>
      <c r="B84" s="222"/>
      <c r="C84" s="222"/>
      <c r="D84" s="129" t="s">
        <v>131</v>
      </c>
      <c r="E84" s="170">
        <f>'15'!F84</f>
        <v>558997</v>
      </c>
      <c r="F84" s="278">
        <v>559834</v>
      </c>
      <c r="G84" s="124">
        <f t="shared" si="6"/>
        <v>837</v>
      </c>
      <c r="H84" s="111">
        <f>G84+'15'!H84</f>
        <v>-10545</v>
      </c>
      <c r="I84" s="132"/>
      <c r="J84" s="203">
        <f>H84/DAY(B2)</f>
        <v>-659.0625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2369.3600000000624</v>
      </c>
      <c r="H85" s="111">
        <f>G85+'15'!H85</f>
        <v>78020.860000000059</v>
      </c>
      <c r="I85" s="132"/>
      <c r="J85" s="203">
        <f>H85/DAY(B2)</f>
        <v>4876.3037500000037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'15'!F86</f>
        <v>463123</v>
      </c>
      <c r="F86" s="1074">
        <v>463135.84</v>
      </c>
      <c r="G86" s="356">
        <f t="shared" ref="G86:G91" si="7">F86-E86</f>
        <v>12.840000000025611</v>
      </c>
      <c r="H86" s="356">
        <f t="shared" ref="H86:H88" si="8">G86</f>
        <v>12.840000000025611</v>
      </c>
      <c r="I86" s="303"/>
      <c r="J86" s="358">
        <f>H86/DAY(B2)</f>
        <v>0.80250000000160071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'15'!F87</f>
        <v>83399</v>
      </c>
      <c r="F87" s="298">
        <v>83435.600000000006</v>
      </c>
      <c r="G87" s="356">
        <f>F87-E87</f>
        <v>36.600000000005821</v>
      </c>
      <c r="H87" s="356">
        <f t="shared" si="8"/>
        <v>36.600000000005821</v>
      </c>
      <c r="I87" s="303"/>
      <c r="J87" s="358">
        <f>H87/DAY(B2)</f>
        <v>2.2875000000003638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'15'!F88</f>
        <v>158212</v>
      </c>
      <c r="F88" s="1074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'15'!F89</f>
        <v>67937</v>
      </c>
      <c r="F89" s="298">
        <v>67994.399999999994</v>
      </c>
      <c r="G89" s="356">
        <f t="shared" si="7"/>
        <v>57.399999999994179</v>
      </c>
      <c r="H89" s="356">
        <f>G89</f>
        <v>57.399999999994179</v>
      </c>
      <c r="I89" s="303"/>
      <c r="J89" s="358">
        <f>H89/DAY(B2)</f>
        <v>3.5874999999996362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'15'!F90</f>
        <v>3526</v>
      </c>
      <c r="F90" s="298">
        <v>3530.2</v>
      </c>
      <c r="G90" s="356">
        <f t="shared" si="7"/>
        <v>4.1999999999998181</v>
      </c>
      <c r="H90" s="356">
        <f>G90</f>
        <v>4.1999999999998181</v>
      </c>
      <c r="I90" s="303"/>
      <c r="J90" s="358">
        <f>H90/DAY(B2)</f>
        <v>0.26249999999998863</v>
      </c>
      <c r="K90" s="384"/>
      <c r="L90" s="385"/>
      <c r="N90" s="428"/>
      <c r="O90" s="73"/>
    </row>
    <row r="91" spans="1:16" s="386" customFormat="1">
      <c r="A91" s="381" t="s">
        <v>335</v>
      </c>
      <c r="B91" s="382"/>
      <c r="C91" s="382"/>
      <c r="D91" s="383"/>
      <c r="E91" s="278">
        <f>'15'!F91</f>
        <v>28622</v>
      </c>
      <c r="F91" s="298">
        <v>28631.75</v>
      </c>
      <c r="G91" s="356">
        <f t="shared" si="7"/>
        <v>9.75</v>
      </c>
      <c r="H91" s="356">
        <f>G91</f>
        <v>9.75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26"/>
      <c r="C92" s="826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45" t="s">
        <v>205</v>
      </c>
      <c r="B93" s="1246"/>
      <c r="C93" s="1247"/>
      <c r="D93" s="174" t="s">
        <v>143</v>
      </c>
      <c r="E93" s="135">
        <f>'15'!F93</f>
        <v>251876</v>
      </c>
      <c r="F93" s="129">
        <v>251960</v>
      </c>
      <c r="G93" s="124">
        <f t="shared" ref="G93:G94" si="9">F93-E93</f>
        <v>84</v>
      </c>
      <c r="H93" s="111">
        <f>G93+'15'!H93</f>
        <v>-1492</v>
      </c>
      <c r="I93" s="131"/>
      <c r="J93" s="203">
        <f>H93/DAY(B2)</f>
        <v>-93.25</v>
      </c>
      <c r="K93" s="82"/>
      <c r="L93" s="68"/>
      <c r="N93" s="369"/>
      <c r="O93" s="376"/>
      <c r="P93" s="73"/>
    </row>
    <row r="94" spans="1:16" ht="27.75">
      <c r="A94" s="1245" t="s">
        <v>206</v>
      </c>
      <c r="B94" s="1246"/>
      <c r="C94" s="1247"/>
      <c r="D94" s="174" t="s">
        <v>143</v>
      </c>
      <c r="E94" s="135">
        <f>'15'!F94</f>
        <v>195255</v>
      </c>
      <c r="F94" s="129">
        <v>195395</v>
      </c>
      <c r="G94" s="124">
        <f t="shared" si="9"/>
        <v>140</v>
      </c>
      <c r="H94" s="111">
        <f>G94+'15'!H94</f>
        <v>-2264</v>
      </c>
      <c r="I94" s="131"/>
      <c r="J94" s="203">
        <f>H94/DAY(B2)</f>
        <v>-141.5</v>
      </c>
      <c r="K94" s="71"/>
      <c r="L94" s="68"/>
      <c r="N94" s="369"/>
      <c r="O94" s="376"/>
      <c r="P94" s="73"/>
    </row>
    <row r="95" spans="1:16">
      <c r="A95" s="1277" t="s">
        <v>207</v>
      </c>
      <c r="B95" s="1278"/>
      <c r="C95" s="1279"/>
      <c r="D95" s="174"/>
      <c r="E95" s="135">
        <f>'15'!F95</f>
        <v>0</v>
      </c>
      <c r="F95" s="129">
        <v>0</v>
      </c>
      <c r="G95" s="124">
        <f>G93+G94</f>
        <v>224</v>
      </c>
      <c r="H95" s="111">
        <f>G95+'15'!H95</f>
        <v>-3981</v>
      </c>
      <c r="I95" s="131"/>
      <c r="J95" s="203">
        <f>H95/DAY(B2)</f>
        <v>-248.8125</v>
      </c>
      <c r="K95" s="71"/>
      <c r="L95" s="68"/>
      <c r="N95" s="369"/>
      <c r="O95" s="376"/>
      <c r="P95" s="73"/>
    </row>
    <row r="96" spans="1:16" ht="27.75">
      <c r="A96" s="1245" t="s">
        <v>208</v>
      </c>
      <c r="B96" s="1246"/>
      <c r="C96" s="1247"/>
      <c r="D96" s="174" t="s">
        <v>143</v>
      </c>
      <c r="E96" s="135">
        <f>'15'!F96</f>
        <v>419723</v>
      </c>
      <c r="F96" s="129">
        <v>419790</v>
      </c>
      <c r="G96" s="124">
        <f t="shared" ref="G96:G101" si="10">F96-E96</f>
        <v>67</v>
      </c>
      <c r="H96" s="111">
        <f>G96+'15'!H96</f>
        <v>-1229</v>
      </c>
      <c r="I96" s="131"/>
      <c r="J96" s="203">
        <f>H96/DAY(B2)</f>
        <v>-76.8125</v>
      </c>
      <c r="K96" s="71"/>
      <c r="L96" s="68"/>
      <c r="N96" s="369"/>
      <c r="O96" s="376"/>
      <c r="P96" s="73"/>
    </row>
    <row r="97" spans="1:16" ht="27.75">
      <c r="A97" s="822" t="s">
        <v>209</v>
      </c>
      <c r="B97" s="823"/>
      <c r="C97" s="823"/>
      <c r="D97" s="174" t="s">
        <v>143</v>
      </c>
      <c r="E97" s="135">
        <f>'15'!F97</f>
        <v>104244</v>
      </c>
      <c r="F97" s="129">
        <v>104273</v>
      </c>
      <c r="G97" s="124">
        <f t="shared" si="10"/>
        <v>29</v>
      </c>
      <c r="H97" s="111">
        <f>G97+'15'!H97</f>
        <v>-363</v>
      </c>
      <c r="I97" s="131"/>
      <c r="J97" s="203">
        <f>H97/DAY(B2)</f>
        <v>-22.6875</v>
      </c>
      <c r="K97" s="80"/>
      <c r="L97" s="68"/>
      <c r="N97" s="369"/>
      <c r="O97" s="376"/>
      <c r="P97" s="73"/>
    </row>
    <row r="98" spans="1:16" ht="27.75">
      <c r="A98" s="822" t="s">
        <v>210</v>
      </c>
      <c r="B98" s="823"/>
      <c r="C98" s="823"/>
      <c r="D98" s="174" t="s">
        <v>143</v>
      </c>
      <c r="E98" s="135">
        <f>'15'!F98</f>
        <v>99903</v>
      </c>
      <c r="F98" s="129">
        <v>99930</v>
      </c>
      <c r="G98" s="124">
        <f t="shared" si="10"/>
        <v>27</v>
      </c>
      <c r="H98" s="111">
        <f>G98+'15'!H98</f>
        <v>-440</v>
      </c>
      <c r="I98" s="131"/>
      <c r="J98" s="203">
        <f>H98/DAY(B2)</f>
        <v>-27.5</v>
      </c>
      <c r="K98" s="85"/>
      <c r="L98" s="68"/>
      <c r="N98" s="369">
        <v>96617</v>
      </c>
      <c r="O98" s="376"/>
      <c r="P98" s="73"/>
    </row>
    <row r="99" spans="1:16" ht="27.75">
      <c r="A99" s="822" t="s">
        <v>211</v>
      </c>
      <c r="B99" s="823"/>
      <c r="C99" s="823"/>
      <c r="D99" s="174" t="s">
        <v>143</v>
      </c>
      <c r="E99" s="135">
        <f>'15'!F99</f>
        <v>151646</v>
      </c>
      <c r="F99" s="129">
        <v>151665</v>
      </c>
      <c r="G99" s="124">
        <f t="shared" si="10"/>
        <v>19</v>
      </c>
      <c r="H99" s="111">
        <f>G99+'15'!H99</f>
        <v>-470</v>
      </c>
      <c r="I99" s="131"/>
      <c r="J99" s="203">
        <f>H99/DAY(B2)</f>
        <v>-29.375</v>
      </c>
      <c r="K99" s="71"/>
      <c r="L99" s="68"/>
      <c r="N99" s="371"/>
      <c r="O99" s="376"/>
      <c r="P99" s="73"/>
    </row>
    <row r="100" spans="1:16" ht="27.75">
      <c r="A100" s="822" t="s">
        <v>212</v>
      </c>
      <c r="B100" s="823"/>
      <c r="C100" s="823"/>
      <c r="D100" s="174" t="s">
        <v>143</v>
      </c>
      <c r="E100" s="135">
        <f>'15'!F100</f>
        <v>8421</v>
      </c>
      <c r="F100" s="129">
        <v>8432</v>
      </c>
      <c r="G100" s="124">
        <f t="shared" si="10"/>
        <v>11</v>
      </c>
      <c r="H100" s="111">
        <f>G100+'15'!H100</f>
        <v>-213</v>
      </c>
      <c r="I100" s="131"/>
      <c r="J100" s="203">
        <f>H100/DAY(B2)</f>
        <v>-13.3125</v>
      </c>
      <c r="K100" s="71"/>
      <c r="L100" s="68"/>
      <c r="N100" s="369"/>
      <c r="O100" s="376"/>
      <c r="P100" s="73"/>
    </row>
    <row r="101" spans="1:16" ht="27.75">
      <c r="A101" s="822" t="s">
        <v>213</v>
      </c>
      <c r="B101" s="823"/>
      <c r="C101" s="823"/>
      <c r="D101" s="174" t="s">
        <v>143</v>
      </c>
      <c r="E101" s="135">
        <f>'15'!F101</f>
        <v>6184</v>
      </c>
      <c r="F101" s="129">
        <v>6194</v>
      </c>
      <c r="G101" s="124">
        <f t="shared" si="10"/>
        <v>10</v>
      </c>
      <c r="H101" s="111">
        <f>G101+'15'!H101</f>
        <v>-179</v>
      </c>
      <c r="I101" s="131"/>
      <c r="J101" s="203">
        <f>H101/DAY(B2)</f>
        <v>-11.1875</v>
      </c>
      <c r="K101" s="71"/>
      <c r="L101" s="68"/>
      <c r="N101" s="369"/>
      <c r="O101" s="376"/>
      <c r="P101" s="73"/>
    </row>
    <row r="102" spans="1:16">
      <c r="A102" s="1277" t="s">
        <v>215</v>
      </c>
      <c r="B102" s="1278"/>
      <c r="C102" s="1279"/>
      <c r="D102" s="175"/>
      <c r="E102" s="135"/>
      <c r="F102" s="175"/>
      <c r="G102" s="176">
        <f>SUM(G96:G101)</f>
        <v>163</v>
      </c>
      <c r="H102" s="111">
        <f>G102+'15'!H102</f>
        <v>-2894</v>
      </c>
      <c r="I102" s="177"/>
      <c r="J102" s="203">
        <f>H102/DAY(B2)</f>
        <v>-180.875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80" t="s">
        <v>217</v>
      </c>
      <c r="B104" s="1281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37" t="s">
        <v>218</v>
      </c>
      <c r="B105" s="1238"/>
      <c r="C105" s="827"/>
      <c r="D105" s="273" t="s">
        <v>143</v>
      </c>
      <c r="E105" s="135">
        <v>7880</v>
      </c>
      <c r="F105" s="925">
        <v>7895</v>
      </c>
      <c r="G105" s="183">
        <f>F105-E105</f>
        <v>15</v>
      </c>
      <c r="H105" s="184">
        <f>SUM(G105+'1'!G76)</f>
        <v>90.700000000000728</v>
      </c>
      <c r="I105" s="183"/>
      <c r="J105" s="209">
        <f>H105/DAY(B2)</f>
        <v>5.6687500000000455</v>
      </c>
      <c r="N105" s="369"/>
      <c r="O105" s="376"/>
      <c r="P105" s="73"/>
    </row>
    <row r="106" spans="1:16" s="93" customFormat="1" ht="27.75">
      <c r="A106" s="1237" t="s">
        <v>76</v>
      </c>
      <c r="B106" s="1238"/>
      <c r="C106" s="827"/>
      <c r="D106" s="273" t="s">
        <v>143</v>
      </c>
      <c r="E106" s="135">
        <f>'15'!F106</f>
        <v>36602</v>
      </c>
      <c r="F106" s="310">
        <v>36611</v>
      </c>
      <c r="G106" s="183">
        <f t="shared" ref="G106:G107" si="11">F106-E106</f>
        <v>9</v>
      </c>
      <c r="H106" s="184">
        <f>SUM(G106+'1'!G77)</f>
        <v>56</v>
      </c>
      <c r="I106" s="183"/>
      <c r="J106" s="209">
        <f>H106/DAY(B2)</f>
        <v>3.5</v>
      </c>
      <c r="N106" s="369"/>
      <c r="O106" s="376"/>
      <c r="P106" s="73"/>
    </row>
    <row r="107" spans="1:16" s="93" customFormat="1" ht="27.75">
      <c r="A107" s="1237" t="s">
        <v>77</v>
      </c>
      <c r="B107" s="1282"/>
      <c r="C107" s="1238"/>
      <c r="D107" s="273" t="s">
        <v>143</v>
      </c>
      <c r="E107" s="135">
        <f>'15'!F107</f>
        <v>20083</v>
      </c>
      <c r="F107" s="310">
        <v>20091</v>
      </c>
      <c r="G107" s="183">
        <f t="shared" si="11"/>
        <v>8</v>
      </c>
      <c r="H107" s="184">
        <f>SUM(G107+'1'!G78)</f>
        <v>26</v>
      </c>
      <c r="I107" s="183"/>
      <c r="J107" s="209">
        <f>H107/DAY(B2)</f>
        <v>1.625</v>
      </c>
      <c r="N107" s="369"/>
      <c r="O107" s="376"/>
      <c r="P107" s="73"/>
    </row>
    <row r="108" spans="1:16" s="93" customFormat="1" ht="27.75">
      <c r="A108" s="1239" t="s">
        <v>201</v>
      </c>
      <c r="B108" s="1240"/>
      <c r="C108" s="827"/>
      <c r="D108" s="273"/>
      <c r="E108" s="135">
        <f>'15'!F108</f>
        <v>0</v>
      </c>
      <c r="F108" s="310"/>
      <c r="G108" s="183">
        <f>SUM(G105:G107)</f>
        <v>32</v>
      </c>
      <c r="H108" s="184">
        <f>SUM(G108+'1'!G79)</f>
        <v>198</v>
      </c>
      <c r="I108" s="183"/>
      <c r="J108" s="209">
        <f>H108/DAY(B2)</f>
        <v>12.375</v>
      </c>
      <c r="N108" s="369"/>
      <c r="O108" s="376"/>
      <c r="P108" s="73"/>
    </row>
    <row r="109" spans="1:16" s="93" customFormat="1" ht="27.75">
      <c r="A109" s="1243" t="s">
        <v>78</v>
      </c>
      <c r="B109" s="1244"/>
      <c r="C109" s="827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37" t="s">
        <v>219</v>
      </c>
      <c r="B110" s="1238"/>
      <c r="C110" s="827"/>
      <c r="D110" s="273" t="s">
        <v>143</v>
      </c>
      <c r="E110" s="135">
        <f>'15'!F110</f>
        <v>68288</v>
      </c>
      <c r="F110" s="310">
        <v>68363</v>
      </c>
      <c r="G110" s="183">
        <f>F110-E110</f>
        <v>75</v>
      </c>
      <c r="H110" s="184">
        <f>SUM(G110+'1'!G81)</f>
        <v>249.80000000004657</v>
      </c>
      <c r="I110" s="183"/>
      <c r="J110" s="209">
        <f>H110/DAY(B2)</f>
        <v>15.61250000000291</v>
      </c>
      <c r="N110" s="369"/>
      <c r="O110" s="376"/>
      <c r="P110" s="73"/>
    </row>
    <row r="111" spans="1:16" s="93" customFormat="1" ht="27.75">
      <c r="A111" s="1237" t="s">
        <v>220</v>
      </c>
      <c r="B111" s="1238"/>
      <c r="C111" s="827"/>
      <c r="D111" s="273" t="s">
        <v>143</v>
      </c>
      <c r="E111" s="135">
        <f>'15'!F111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1.875</v>
      </c>
      <c r="N111" s="369"/>
      <c r="O111" s="376"/>
      <c r="P111" s="73"/>
    </row>
    <row r="112" spans="1:16" s="93" customFormat="1" ht="27.75">
      <c r="A112" s="1237" t="s">
        <v>221</v>
      </c>
      <c r="B112" s="1238"/>
      <c r="C112" s="827"/>
      <c r="D112" s="273" t="s">
        <v>143</v>
      </c>
      <c r="E112" s="135">
        <f>'15'!F112</f>
        <v>4692</v>
      </c>
      <c r="F112" s="310">
        <v>4694</v>
      </c>
      <c r="G112" s="183">
        <f t="shared" si="12"/>
        <v>2</v>
      </c>
      <c r="H112" s="184">
        <f>SUM(G112+'1'!G83)</f>
        <v>313</v>
      </c>
      <c r="I112" s="183"/>
      <c r="J112" s="209">
        <f>H112/DAY(B2)</f>
        <v>19.5625</v>
      </c>
      <c r="N112" s="369"/>
      <c r="O112" s="376"/>
      <c r="P112" s="73"/>
    </row>
    <row r="113" spans="1:16" s="93" customFormat="1" ht="27.75">
      <c r="A113" s="1239" t="s">
        <v>109</v>
      </c>
      <c r="B113" s="1240"/>
      <c r="C113" s="827"/>
      <c r="D113" s="273"/>
      <c r="E113" s="135">
        <f>'15'!F113</f>
        <v>0</v>
      </c>
      <c r="F113" s="310"/>
      <c r="G113" s="183">
        <f>SUM(G110:G112)</f>
        <v>77</v>
      </c>
      <c r="H113" s="184">
        <f>SUM(G113+'1'!G84)</f>
        <v>817</v>
      </c>
      <c r="I113" s="183"/>
      <c r="J113" s="209">
        <f>H113/DAY(B2)</f>
        <v>51.0625</v>
      </c>
      <c r="N113" s="369"/>
      <c r="O113" s="376"/>
      <c r="P113" s="73"/>
    </row>
    <row r="114" spans="1:16" s="93" customFormat="1" ht="27.75">
      <c r="A114" s="1243" t="s">
        <v>222</v>
      </c>
      <c r="B114" s="1244"/>
      <c r="C114" s="827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37" t="s">
        <v>223</v>
      </c>
      <c r="B115" s="1238"/>
      <c r="C115" s="225"/>
      <c r="D115" s="273" t="s">
        <v>143</v>
      </c>
      <c r="E115" s="135">
        <f>'15'!F115</f>
        <v>12769</v>
      </c>
      <c r="F115" s="310">
        <v>12782</v>
      </c>
      <c r="G115" s="185">
        <f>F115-E115</f>
        <v>13</v>
      </c>
      <c r="H115" s="184">
        <f>SUM(G115+'1'!G92)</f>
        <v>13</v>
      </c>
      <c r="I115" s="183"/>
      <c r="J115" s="209">
        <f>H115/DAY(B2)</f>
        <v>0.8125</v>
      </c>
      <c r="N115" s="369"/>
      <c r="O115" s="376"/>
      <c r="P115" s="73"/>
    </row>
    <row r="116" spans="1:16" s="93" customFormat="1" ht="27.75">
      <c r="A116" s="1237" t="s">
        <v>224</v>
      </c>
      <c r="B116" s="1238"/>
      <c r="C116" s="225"/>
      <c r="D116" s="273" t="s">
        <v>143</v>
      </c>
      <c r="E116" s="135">
        <f>'15'!F116</f>
        <v>8976</v>
      </c>
      <c r="F116" s="310">
        <v>8988</v>
      </c>
      <c r="G116" s="185">
        <f t="shared" ref="G116:G117" si="13">F116-E116</f>
        <v>12</v>
      </c>
      <c r="H116" s="184">
        <f>SUM(G116+'1'!G93)</f>
        <v>74</v>
      </c>
      <c r="I116" s="183"/>
      <c r="J116" s="209">
        <f>H116/DAY(B2)</f>
        <v>4.625</v>
      </c>
      <c r="N116" s="369"/>
      <c r="O116" s="376"/>
      <c r="P116" s="73"/>
    </row>
    <row r="117" spans="1:16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10.1875</v>
      </c>
      <c r="N117" s="369"/>
      <c r="O117" s="376"/>
      <c r="P117" s="73"/>
    </row>
    <row r="118" spans="1:16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25</v>
      </c>
      <c r="H118" s="184">
        <f>SUM(G118+'1'!G96)</f>
        <v>91</v>
      </c>
      <c r="I118" s="185"/>
      <c r="J118" s="209">
        <f>H118/DAY(B2)</f>
        <v>5.6875</v>
      </c>
      <c r="N118" s="369"/>
      <c r="O118" s="376"/>
      <c r="P118" s="73"/>
    </row>
    <row r="119" spans="1:16" s="97" customFormat="1" ht="27.75">
      <c r="A119" s="1233" t="s">
        <v>226</v>
      </c>
      <c r="B119" s="1234"/>
      <c r="C119" s="830"/>
      <c r="D119" s="275" t="s">
        <v>143</v>
      </c>
      <c r="E119" s="187"/>
      <c r="F119" s="311">
        <f>SUM(G19+G93)</f>
        <v>148</v>
      </c>
      <c r="G119" s="187">
        <f>SUM(G19+G93)</f>
        <v>148</v>
      </c>
      <c r="H119" s="184">
        <f>SUM(G119+'1'!G97)</f>
        <v>166</v>
      </c>
      <c r="I119" s="186"/>
      <c r="J119" s="210">
        <f>H119/DAY(B2)</f>
        <v>10.375</v>
      </c>
      <c r="N119" s="369"/>
      <c r="O119" s="376"/>
      <c r="P119" s="73"/>
    </row>
    <row r="120" spans="1:16" s="97" customFormat="1" ht="27.75">
      <c r="A120" s="1233" t="s">
        <v>227</v>
      </c>
      <c r="B120" s="1234"/>
      <c r="C120" s="830"/>
      <c r="D120" s="275" t="s">
        <v>143</v>
      </c>
      <c r="E120" s="187"/>
      <c r="F120" s="311">
        <f>SUM(G96,G97,G98,G100,G101)</f>
        <v>144</v>
      </c>
      <c r="G120" s="187">
        <f>SUM(G96,G97,G98,G100,G101)</f>
        <v>144</v>
      </c>
      <c r="H120" s="184">
        <f>SUM(G120+'1'!G99)</f>
        <v>155</v>
      </c>
      <c r="I120" s="186"/>
      <c r="J120" s="210">
        <f>H120/DAY(B2)</f>
        <v>9.6875</v>
      </c>
      <c r="N120" s="369"/>
      <c r="O120" s="376"/>
      <c r="P120" s="73"/>
    </row>
    <row r="121" spans="1:16" s="97" customFormat="1" ht="27.75">
      <c r="A121" s="1233" t="s">
        <v>228</v>
      </c>
      <c r="B121" s="1234"/>
      <c r="C121" s="830"/>
      <c r="D121" s="275" t="s">
        <v>143</v>
      </c>
      <c r="E121" s="185"/>
      <c r="F121" s="310">
        <f>SUM(G113)</f>
        <v>77</v>
      </c>
      <c r="G121" s="185">
        <f>SUM(G113)</f>
        <v>77</v>
      </c>
      <c r="H121" s="184">
        <f>SUM(G121+'1'!G101)</f>
        <v>86</v>
      </c>
      <c r="I121" s="186"/>
      <c r="J121" s="210">
        <f>H121/DAY(B2)</f>
        <v>5.375</v>
      </c>
      <c r="N121" s="369"/>
      <c r="O121" s="376"/>
      <c r="P121" s="73"/>
    </row>
    <row r="122" spans="1:16" s="93" customFormat="1" ht="27.75">
      <c r="A122" s="1235"/>
      <c r="B122" s="1236"/>
      <c r="C122" s="831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22" t="s">
        <v>230</v>
      </c>
      <c r="B124" s="823"/>
      <c r="C124" s="823"/>
      <c r="D124" s="174" t="s">
        <v>140</v>
      </c>
      <c r="E124" s="129">
        <f>'15'!F124</f>
        <v>852023</v>
      </c>
      <c r="F124" s="129">
        <v>852273.46</v>
      </c>
      <c r="G124" s="124">
        <f t="shared" ref="G124:G128" si="14">F124-E124</f>
        <v>250.45999999996275</v>
      </c>
      <c r="H124" s="111">
        <f>G124+'15'!H124</f>
        <v>-4078.5400000000373</v>
      </c>
      <c r="I124" s="177"/>
      <c r="J124" s="203">
        <f>H124/DAY(B2)</f>
        <v>-254.90875000000233</v>
      </c>
      <c r="K124" s="71"/>
      <c r="L124" s="68"/>
      <c r="N124" s="369"/>
      <c r="O124" s="376"/>
      <c r="P124" s="73"/>
    </row>
    <row r="125" spans="1:16" ht="27.75">
      <c r="A125" s="822" t="s">
        <v>231</v>
      </c>
      <c r="B125" s="823"/>
      <c r="C125" s="823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226" t="s">
        <v>232</v>
      </c>
      <c r="B126" s="1227"/>
      <c r="C126" s="1228"/>
      <c r="D126" s="174" t="s">
        <v>140</v>
      </c>
      <c r="E126" s="129">
        <f>'15'!F126</f>
        <v>152637</v>
      </c>
      <c r="F126" s="129">
        <v>152712.5</v>
      </c>
      <c r="G126" s="124">
        <f t="shared" si="14"/>
        <v>75.5</v>
      </c>
      <c r="H126" s="111">
        <f>G126+'15'!H126</f>
        <v>-1364.5</v>
      </c>
      <c r="I126" s="177"/>
      <c r="J126" s="203">
        <f>H126/DAY(B2)</f>
        <v>-85.28125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23"/>
      <c r="C127" s="823"/>
      <c r="D127" s="174" t="s">
        <v>140</v>
      </c>
      <c r="E127" s="277">
        <f>'15'!F127</f>
        <v>33961</v>
      </c>
      <c r="F127" s="277">
        <v>34001.300000000003</v>
      </c>
      <c r="G127" s="124">
        <f t="shared" si="14"/>
        <v>40.30000000000291</v>
      </c>
      <c r="H127" s="111">
        <f>G127+'15'!H127</f>
        <v>-627.69999999999709</v>
      </c>
      <c r="I127" s="177"/>
      <c r="J127" s="203">
        <f>H127/DAY(B2)</f>
        <v>-39.231249999999818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23"/>
      <c r="C128" s="823"/>
      <c r="D128" s="174" t="s">
        <v>140</v>
      </c>
      <c r="E128" s="277">
        <f>'15'!F128</f>
        <v>9144</v>
      </c>
      <c r="F128" s="277">
        <v>9144.7000000000007</v>
      </c>
      <c r="G128" s="124">
        <f t="shared" si="14"/>
        <v>0.7000000000007276</v>
      </c>
      <c r="H128" s="111">
        <f>G128+'15'!H128</f>
        <v>-35.299999999999272</v>
      </c>
      <c r="I128" s="131"/>
      <c r="J128" s="203">
        <f>H128/DAY(B2)</f>
        <v>-2.2062499999999545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23"/>
      <c r="C129" s="823"/>
      <c r="D129" s="174"/>
      <c r="E129" s="129"/>
      <c r="F129" s="129"/>
      <c r="G129" s="124">
        <f>G15-SUM(G124:G128)</f>
        <v>529.13700000010067</v>
      </c>
      <c r="H129" s="111">
        <f>G129+'15'!H129</f>
        <v>529.13700000010067</v>
      </c>
      <c r="I129" s="131"/>
      <c r="J129" s="203">
        <f>H129/DAY(B2)</f>
        <v>33.071062500006292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22" t="s">
        <v>237</v>
      </c>
      <c r="B131" s="823"/>
      <c r="C131" s="823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22" t="s">
        <v>239</v>
      </c>
      <c r="B132" s="823"/>
      <c r="C132" s="823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22" t="s">
        <v>240</v>
      </c>
      <c r="B133" s="823"/>
      <c r="C133" s="823"/>
      <c r="D133" s="174" t="s">
        <v>238</v>
      </c>
      <c r="E133" s="192">
        <f>'15'!F133</f>
        <v>40805</v>
      </c>
      <c r="F133" s="302">
        <v>40828.54</v>
      </c>
      <c r="G133" s="124">
        <f t="shared" si="15"/>
        <v>23.540000000000873</v>
      </c>
      <c r="H133" s="111">
        <f>G133+'15'!H133</f>
        <v>-93.459999999999127</v>
      </c>
      <c r="I133" s="131"/>
      <c r="J133" s="203">
        <f>H133/DAY(B2)</f>
        <v>-5.8412499999999454</v>
      </c>
      <c r="N133" s="369"/>
      <c r="O133" s="376"/>
      <c r="P133" s="73"/>
    </row>
    <row r="134" spans="1:16" ht="27.75">
      <c r="A134" s="822" t="s">
        <v>241</v>
      </c>
      <c r="B134" s="823"/>
      <c r="C134" s="823"/>
      <c r="D134" s="174" t="s">
        <v>238</v>
      </c>
      <c r="E134" s="352">
        <f>'15'!F134</f>
        <v>724.25</v>
      </c>
      <c r="F134" s="277">
        <v>724.25</v>
      </c>
      <c r="G134" s="124">
        <f t="shared" si="15"/>
        <v>0</v>
      </c>
      <c r="H134" s="111">
        <f>G134+'15'!H134</f>
        <v>-131.75</v>
      </c>
      <c r="I134" s="131">
        <f>G131+G132+G133+G134</f>
        <v>23.540000000000873</v>
      </c>
      <c r="J134" s="203">
        <f>H134/DAY(B2)</f>
        <v>-8.234375</v>
      </c>
      <c r="N134" s="369"/>
      <c r="O134" s="376"/>
      <c r="P134" s="73"/>
    </row>
    <row r="135" spans="1:16" ht="27.75">
      <c r="A135" s="822" t="s">
        <v>242</v>
      </c>
      <c r="B135" s="823"/>
      <c r="C135" s="823"/>
      <c r="D135" s="174" t="s">
        <v>238</v>
      </c>
      <c r="E135" s="352">
        <f>'15'!F135</f>
        <v>42638</v>
      </c>
      <c r="F135" s="277">
        <v>42644.06</v>
      </c>
      <c r="G135" s="124">
        <f t="shared" si="15"/>
        <v>6.0599999999976717</v>
      </c>
      <c r="H135" s="111">
        <f>G135+'15'!H135</f>
        <v>-177.94000000000233</v>
      </c>
      <c r="I135" s="131"/>
      <c r="J135" s="203">
        <f>H135/DAY(B2)</f>
        <v>-11.121250000000146</v>
      </c>
      <c r="N135" s="369"/>
      <c r="O135" s="376"/>
      <c r="P135" s="73"/>
    </row>
    <row r="136" spans="1:16" ht="27.75">
      <c r="A136" s="822" t="s">
        <v>243</v>
      </c>
      <c r="B136" s="823"/>
      <c r="C136" s="823"/>
      <c r="D136" s="174" t="s">
        <v>238</v>
      </c>
      <c r="E136" s="192">
        <f>'15'!F136</f>
        <v>32874</v>
      </c>
      <c r="F136" s="302">
        <v>32874</v>
      </c>
      <c r="G136" s="124">
        <f t="shared" si="15"/>
        <v>0</v>
      </c>
      <c r="H136" s="111">
        <f>G136+'15'!H136</f>
        <v>-54</v>
      </c>
      <c r="I136" s="131"/>
      <c r="J136" s="203">
        <f>H136/DAY(B2)</f>
        <v>-3.375</v>
      </c>
      <c r="N136" s="369"/>
      <c r="O136" s="376"/>
      <c r="P136" s="73"/>
    </row>
    <row r="137" spans="1:16" ht="27.75">
      <c r="A137" s="822" t="s">
        <v>244</v>
      </c>
      <c r="B137" s="823"/>
      <c r="C137" s="823"/>
      <c r="D137" s="174" t="s">
        <v>238</v>
      </c>
      <c r="E137" s="192">
        <f>'15'!F137</f>
        <v>23219.46</v>
      </c>
      <c r="F137" s="302">
        <v>23229.32</v>
      </c>
      <c r="G137" s="124">
        <f t="shared" si="15"/>
        <v>9.8600000000005821</v>
      </c>
      <c r="H137" s="111">
        <f>G137+'15'!H137</f>
        <v>-127.11000000000058</v>
      </c>
      <c r="I137" s="131">
        <f>G135+G136+G137</f>
        <v>15.919999999998254</v>
      </c>
      <c r="J137" s="203">
        <f>H137/DAY(B2)</f>
        <v>-7.9443750000000364</v>
      </c>
      <c r="N137" s="369"/>
      <c r="O137" s="376"/>
      <c r="P137" s="73"/>
    </row>
    <row r="138" spans="1:16" ht="27.75">
      <c r="A138" s="822" t="s">
        <v>245</v>
      </c>
      <c r="B138" s="823"/>
      <c r="C138" s="823"/>
      <c r="D138" s="174" t="s">
        <v>238</v>
      </c>
      <c r="E138" s="192">
        <f>'15'!F138</f>
        <v>25132.98</v>
      </c>
      <c r="F138" s="302">
        <v>25132.98</v>
      </c>
      <c r="G138" s="124">
        <f t="shared" si="15"/>
        <v>0</v>
      </c>
      <c r="H138" s="111">
        <f>G138+'15'!H138</f>
        <v>2.0000000000436557E-2</v>
      </c>
      <c r="I138" s="131"/>
      <c r="J138" s="203">
        <f>H138/DAY(B2)</f>
        <v>1.2500000000272848E-3</v>
      </c>
      <c r="N138" s="369"/>
      <c r="O138" s="376"/>
      <c r="P138" s="73"/>
    </row>
    <row r="139" spans="1:16" ht="27.75">
      <c r="A139" s="822" t="s">
        <v>246</v>
      </c>
      <c r="B139" s="823"/>
      <c r="C139" s="823"/>
      <c r="D139" s="174" t="s">
        <v>238</v>
      </c>
      <c r="E139" s="192">
        <f>'15'!F139</f>
        <v>70523.55</v>
      </c>
      <c r="F139" s="302">
        <v>70523.55</v>
      </c>
      <c r="G139" s="124">
        <f t="shared" si="15"/>
        <v>0</v>
      </c>
      <c r="H139" s="111">
        <f>G139+'15'!H139</f>
        <v>-1</v>
      </c>
      <c r="I139" s="131">
        <f>G138+G139</f>
        <v>0</v>
      </c>
      <c r="J139" s="203">
        <f>H139/DAY(B2)</f>
        <v>-6.25E-2</v>
      </c>
      <c r="N139" s="369"/>
      <c r="O139" s="376"/>
      <c r="P139" s="73"/>
    </row>
    <row r="140" spans="1:16" ht="27.75">
      <c r="A140" s="822" t="s">
        <v>247</v>
      </c>
      <c r="B140" s="823"/>
      <c r="C140" s="823"/>
      <c r="D140" s="174" t="s">
        <v>238</v>
      </c>
      <c r="E140" s="352">
        <f>'15'!F140</f>
        <v>2461.0300000000002</v>
      </c>
      <c r="F140" s="277">
        <v>2470.5700000000002</v>
      </c>
      <c r="G140" s="124">
        <f t="shared" si="15"/>
        <v>9.5399999999999636</v>
      </c>
      <c r="H140" s="111">
        <f>G140+'15'!H140</f>
        <v>-157.40999999999985</v>
      </c>
      <c r="I140" s="193"/>
      <c r="J140" s="203">
        <f>H140/DAY(B2)</f>
        <v>-9.8381249999999909</v>
      </c>
      <c r="N140" s="369"/>
      <c r="O140" s="376"/>
      <c r="P140" s="73"/>
    </row>
    <row r="141" spans="1:16" ht="27.75">
      <c r="A141" s="822" t="s">
        <v>248</v>
      </c>
      <c r="B141" s="823"/>
      <c r="C141" s="823"/>
      <c r="D141" s="174" t="s">
        <v>238</v>
      </c>
      <c r="E141" s="135">
        <f>'15'!F141</f>
        <v>4753.67</v>
      </c>
      <c r="F141" s="129">
        <v>4753.67</v>
      </c>
      <c r="G141" s="124">
        <f t="shared" si="15"/>
        <v>0</v>
      </c>
      <c r="H141" s="111">
        <f>G141+'15'!H141</f>
        <v>-0.32999999999992724</v>
      </c>
      <c r="I141" s="193"/>
      <c r="J141" s="203">
        <f>H141/DAY(B2)</f>
        <v>-2.0624999999995453E-2</v>
      </c>
      <c r="N141" s="369"/>
      <c r="O141" s="376"/>
      <c r="P141" s="73"/>
    </row>
    <row r="142" spans="1:16">
      <c r="A142" s="1248" t="s">
        <v>296</v>
      </c>
      <c r="B142" s="1249"/>
      <c r="C142" s="826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5988.3000000000466</v>
      </c>
      <c r="H143" s="111">
        <f>G143+'15'!H143</f>
        <v>320422.63</v>
      </c>
      <c r="I143" s="131"/>
      <c r="J143" s="203">
        <f>H143/DAY(B2)</f>
        <v>20026.414375</v>
      </c>
      <c r="K143" s="71"/>
      <c r="L143" s="68"/>
      <c r="N143" s="369"/>
      <c r="O143" s="376"/>
      <c r="P143" s="73"/>
    </row>
    <row r="144" spans="1:16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0.27567903507964492</v>
      </c>
      <c r="H144" s="111">
        <f>G144+'15'!H144</f>
        <v>5.0193151504118321</v>
      </c>
      <c r="I144" s="195"/>
      <c r="J144" s="203">
        <f>H144/DAY(B2)</f>
        <v>0.3137071969007395</v>
      </c>
      <c r="K144" s="71"/>
      <c r="L144" s="68"/>
      <c r="N144" s="369"/>
      <c r="O144" s="376"/>
      <c r="P144" s="73"/>
    </row>
    <row r="145" spans="1:16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6647</v>
      </c>
      <c r="H145" s="111">
        <f>G145+'15'!H145</f>
        <v>-99179.77999999997</v>
      </c>
      <c r="I145" s="131"/>
      <c r="J145" s="203">
        <f>H145/DAY(B2)</f>
        <v>-6198.7362499999981</v>
      </c>
      <c r="K145" s="71"/>
      <c r="L145" s="68"/>
      <c r="N145" s="369"/>
      <c r="O145" s="376"/>
      <c r="P145" s="73"/>
    </row>
    <row r="146" spans="1:16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0.30600313046680783</v>
      </c>
      <c r="H146" s="111">
        <f>G146+'15'!H146</f>
        <v>3.9899330845917724</v>
      </c>
      <c r="I146" s="195"/>
      <c r="J146" s="203">
        <f>H146/DAY(B2)</f>
        <v>0.24937081778698578</v>
      </c>
      <c r="K146" s="71"/>
      <c r="L146" s="68"/>
      <c r="N146" s="369"/>
      <c r="O146" s="376"/>
      <c r="P146" s="73"/>
    </row>
    <row r="147" spans="1:16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3911.5900000000256</v>
      </c>
      <c r="H147" s="111">
        <f>G147+'15'!H147</f>
        <v>1011185.5900000001</v>
      </c>
      <c r="I147" s="196"/>
      <c r="J147" s="203">
        <f>H147/DAY(B2)</f>
        <v>63199.099375000005</v>
      </c>
      <c r="K147" s="71"/>
      <c r="L147" s="68"/>
      <c r="N147" s="369"/>
      <c r="O147" s="376"/>
      <c r="P147" s="73"/>
    </row>
    <row r="148" spans="1:16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0.18007503913083628</v>
      </c>
      <c r="H148" s="111">
        <f>G148+'15'!H148</f>
        <v>5.4481664351488535</v>
      </c>
      <c r="I148" s="196"/>
      <c r="J148" s="203">
        <f>H148/DAY(B2)</f>
        <v>0.34051040219680334</v>
      </c>
      <c r="N148" s="369"/>
      <c r="O148" s="376"/>
      <c r="P148" s="73"/>
    </row>
    <row r="149" spans="1:16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1690.0699999999488</v>
      </c>
      <c r="H149" s="111">
        <f>G149+'15'!H149</f>
        <v>810693.07</v>
      </c>
      <c r="I149" s="131"/>
      <c r="J149" s="203">
        <f>H149/DAY(B2)</f>
        <v>50668.316874999997</v>
      </c>
      <c r="K149" s="72"/>
      <c r="N149" s="369"/>
      <c r="O149" s="376"/>
      <c r="P149" s="73"/>
    </row>
    <row r="150" spans="1:16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7.7804529969613706E-2</v>
      </c>
      <c r="H150" s="111">
        <f>G150+'15'!H150</f>
        <v>3.4909918960531319</v>
      </c>
      <c r="I150" s="196"/>
      <c r="J150" s="203">
        <f>H150/DAY(B2)</f>
        <v>0.21818699350332074</v>
      </c>
      <c r="N150" s="369"/>
      <c r="O150" s="376"/>
      <c r="P150" s="73"/>
    </row>
    <row r="151" spans="1:16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2100</v>
      </c>
      <c r="H151" s="111">
        <f>G151+'15'!H151</f>
        <v>37922</v>
      </c>
      <c r="I151" s="196"/>
      <c r="J151" s="203">
        <f>H151/DAY(B2)</f>
        <v>2370.125</v>
      </c>
      <c r="N151" s="369"/>
      <c r="O151" s="376"/>
      <c r="P151" s="73"/>
    </row>
    <row r="152" spans="1:16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9.6676180830494424E-2</v>
      </c>
      <c r="H152" s="111">
        <f>G152+'15'!H152</f>
        <v>1.2920550472376136</v>
      </c>
      <c r="I152" s="131"/>
      <c r="J152" s="203">
        <f>H152/DAY(B2)</f>
        <v>8.0753440452350847E-2</v>
      </c>
      <c r="N152" s="369"/>
      <c r="O152" s="376"/>
      <c r="P152" s="73"/>
    </row>
    <row r="153" spans="1:16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1612</v>
      </c>
      <c r="H153" s="111">
        <f>G153+'15'!H153</f>
        <v>392569.87000000005</v>
      </c>
      <c r="I153" s="131"/>
      <c r="J153" s="203">
        <f>H153/DAY(B2)</f>
        <v>24535.616875000003</v>
      </c>
      <c r="N153" s="369"/>
      <c r="O153" s="376"/>
      <c r="P153" s="73"/>
    </row>
    <row r="154" spans="1:16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7.4210477856550966E-2</v>
      </c>
      <c r="H154" s="111">
        <f>G154+'15'!H154</f>
        <v>2.1983846335631583</v>
      </c>
      <c r="I154" s="219"/>
      <c r="J154" s="220">
        <f>H154/DAY(B2)</f>
        <v>0.13739903959769739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'15'!F161</f>
        <v>44517.4</v>
      </c>
      <c r="F161" s="454">
        <v>44598.9</v>
      </c>
      <c r="G161" s="124">
        <f t="shared" ref="G161:G164" si="16">F161-E161</f>
        <v>81.5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'15'!F162</f>
        <v>129134</v>
      </c>
      <c r="F162" s="454">
        <v>129641</v>
      </c>
      <c r="G162" s="124">
        <f t="shared" si="16"/>
        <v>507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'15'!F163</f>
        <v>60494</v>
      </c>
      <c r="F163" s="434">
        <v>60709.9</v>
      </c>
      <c r="G163" s="124">
        <f t="shared" si="16"/>
        <v>215.90000000000146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'15'!F164</f>
        <v>7287.09</v>
      </c>
      <c r="F164" s="454">
        <v>7301.75</v>
      </c>
      <c r="G164" s="124">
        <f t="shared" si="16"/>
        <v>14.659999999999854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v>0</v>
      </c>
      <c r="F166" s="165">
        <f t="shared" ref="F166:F172" si="18">F63</f>
        <v>0</v>
      </c>
      <c r="G166" s="124">
        <f t="shared" si="17"/>
        <v>0</v>
      </c>
      <c r="N166" s="369"/>
    </row>
    <row r="167" spans="1:14" ht="27.75">
      <c r="A167" s="1299" t="s">
        <v>98</v>
      </c>
      <c r="B167" s="1299"/>
      <c r="C167" s="1299"/>
      <c r="D167" s="175" t="s">
        <v>186</v>
      </c>
      <c r="E167" s="173">
        <f>'15'!F167</f>
        <v>187579</v>
      </c>
      <c r="F167" s="165">
        <f t="shared" si="18"/>
        <v>187962</v>
      </c>
      <c r="G167" s="124">
        <f t="shared" si="17"/>
        <v>383</v>
      </c>
      <c r="N167" s="369"/>
    </row>
    <row r="168" spans="1:14" ht="27.75">
      <c r="A168" s="1299" t="s">
        <v>99</v>
      </c>
      <c r="B168" s="1299"/>
      <c r="C168" s="1299"/>
      <c r="D168" s="175" t="s">
        <v>186</v>
      </c>
      <c r="E168" s="173">
        <f>'15'!F168</f>
        <v>188197</v>
      </c>
      <c r="F168" s="165">
        <f t="shared" si="18"/>
        <v>188656</v>
      </c>
      <c r="G168" s="124">
        <f t="shared" si="17"/>
        <v>459</v>
      </c>
      <c r="N168" s="369"/>
    </row>
    <row r="169" spans="1:14" ht="27.75">
      <c r="A169" s="1299" t="s">
        <v>100</v>
      </c>
      <c r="B169" s="1299"/>
      <c r="C169" s="1299"/>
      <c r="D169" s="175" t="s">
        <v>186</v>
      </c>
      <c r="E169" s="173">
        <f>'15'!F169</f>
        <v>86733</v>
      </c>
      <c r="F169" s="165">
        <f t="shared" si="18"/>
        <v>87172.4</v>
      </c>
      <c r="G169" s="124">
        <f t="shared" si="17"/>
        <v>439.39999999999418</v>
      </c>
      <c r="N169" s="369"/>
    </row>
    <row r="170" spans="1:14" ht="27.75">
      <c r="A170" s="1299" t="s">
        <v>101</v>
      </c>
      <c r="B170" s="1299"/>
      <c r="C170" s="1299"/>
      <c r="D170" s="175" t="s">
        <v>186</v>
      </c>
      <c r="E170" s="173">
        <f>'15'!F170</f>
        <v>287262</v>
      </c>
      <c r="F170" s="165">
        <f t="shared" si="18"/>
        <v>287730</v>
      </c>
      <c r="G170" s="124">
        <f t="shared" si="17"/>
        <v>468</v>
      </c>
      <c r="N170" s="369"/>
    </row>
    <row r="171" spans="1:14" ht="27.75">
      <c r="A171" s="1299" t="s">
        <v>102</v>
      </c>
      <c r="B171" s="1299"/>
      <c r="C171" s="1299"/>
      <c r="D171" s="175" t="s">
        <v>186</v>
      </c>
      <c r="E171" s="173">
        <f>'15'!F171</f>
        <v>85321</v>
      </c>
      <c r="F171" s="165">
        <f t="shared" si="18"/>
        <v>85321</v>
      </c>
      <c r="G171" s="124">
        <f t="shared" si="17"/>
        <v>0</v>
      </c>
      <c r="N171" s="369"/>
    </row>
    <row r="172" spans="1:14" ht="27.75">
      <c r="A172" s="1299" t="s">
        <v>103</v>
      </c>
      <c r="B172" s="1299"/>
      <c r="C172" s="1299"/>
      <c r="D172" s="175" t="s">
        <v>186</v>
      </c>
      <c r="E172" s="173">
        <f>'15'!F172</f>
        <v>101317</v>
      </c>
      <c r="F172" s="165">
        <f t="shared" si="18"/>
        <v>101615</v>
      </c>
      <c r="G172" s="124">
        <f t="shared" si="17"/>
        <v>298</v>
      </c>
      <c r="N172" s="369"/>
    </row>
    <row r="173" spans="1:14">
      <c r="A173" s="449"/>
      <c r="B173" s="450"/>
      <c r="C173" s="450"/>
      <c r="D173" s="451"/>
      <c r="E173" s="451"/>
      <c r="F173" s="452"/>
      <c r="G173" s="453">
        <f>SUM(G161:G172)</f>
        <v>2866.4599999999955</v>
      </c>
      <c r="N173" s="369"/>
    </row>
    <row r="174" spans="1:14">
      <c r="A174" s="1273" t="s">
        <v>337</v>
      </c>
      <c r="B174" s="1236"/>
      <c r="C174" s="436"/>
      <c r="D174" s="174" t="s">
        <v>186</v>
      </c>
      <c r="E174" s="183">
        <f>'15'!F174</f>
        <v>70637</v>
      </c>
      <c r="F174" s="183">
        <v>19178.8</v>
      </c>
      <c r="G174" s="124">
        <f t="shared" ref="G174:G176" si="19">F174-E174</f>
        <v>-51458.2</v>
      </c>
      <c r="N174" s="369"/>
    </row>
    <row r="175" spans="1:14">
      <c r="A175" s="1273" t="s">
        <v>337</v>
      </c>
      <c r="B175" s="1236"/>
      <c r="C175" s="436"/>
      <c r="D175" s="174" t="s">
        <v>186</v>
      </c>
      <c r="E175" s="183">
        <f>'15'!F175</f>
        <v>27875</v>
      </c>
      <c r="F175" s="183">
        <v>70638</v>
      </c>
      <c r="G175" s="124">
        <f t="shared" si="19"/>
        <v>42763</v>
      </c>
      <c r="N175" s="369"/>
    </row>
    <row r="176" spans="1:14">
      <c r="A176" s="1273" t="s">
        <v>338</v>
      </c>
      <c r="B176" s="1236"/>
      <c r="C176" s="436"/>
      <c r="D176" s="174" t="s">
        <v>186</v>
      </c>
      <c r="E176" s="183">
        <f>'15'!F176</f>
        <v>0</v>
      </c>
      <c r="F176" s="183">
        <v>27881</v>
      </c>
      <c r="G176" s="124">
        <f t="shared" si="19"/>
        <v>27881</v>
      </c>
      <c r="N176" s="369"/>
    </row>
    <row r="177" spans="1:14" ht="32.25" customHeight="1">
      <c r="A177" s="1296" t="s">
        <v>382</v>
      </c>
      <c r="B177" s="1296"/>
      <c r="C177" s="1296"/>
      <c r="D177" s="1296"/>
      <c r="E177" s="1296"/>
      <c r="F177" s="1296"/>
      <c r="G177" s="1296"/>
      <c r="N177" s="369"/>
    </row>
    <row r="178" spans="1:14">
      <c r="A178" s="435"/>
      <c r="B178" s="436"/>
      <c r="C178" s="436"/>
      <c r="D178" s="174" t="s">
        <v>186</v>
      </c>
      <c r="E178" s="173">
        <f>'15'!F178</f>
        <v>0</v>
      </c>
      <c r="F178" s="193"/>
      <c r="G178" s="124">
        <f t="shared" ref="G178:G184" si="20">F178-E178</f>
        <v>0</v>
      </c>
      <c r="N178" s="369"/>
    </row>
    <row r="179" spans="1:14">
      <c r="A179" s="435" t="s">
        <v>383</v>
      </c>
      <c r="B179" s="436"/>
      <c r="C179" s="436"/>
      <c r="D179" s="174" t="s">
        <v>186</v>
      </c>
      <c r="E179" s="173">
        <f>'15'!F179</f>
        <v>0</v>
      </c>
      <c r="F179" s="193"/>
      <c r="G179" s="124">
        <f t="shared" si="20"/>
        <v>0</v>
      </c>
      <c r="N179" s="369"/>
    </row>
    <row r="180" spans="1:14">
      <c r="A180" s="435" t="s">
        <v>384</v>
      </c>
      <c r="B180" s="436"/>
      <c r="C180" s="436"/>
      <c r="D180" s="174" t="s">
        <v>186</v>
      </c>
      <c r="E180" s="173">
        <f>'15'!F180</f>
        <v>0</v>
      </c>
      <c r="F180" s="193"/>
      <c r="G180" s="124">
        <f t="shared" si="20"/>
        <v>0</v>
      </c>
      <c r="N180" s="369"/>
    </row>
    <row r="181" spans="1:14" ht="23.25" customHeight="1">
      <c r="A181" s="435" t="s">
        <v>385</v>
      </c>
      <c r="B181" s="436"/>
      <c r="C181" s="436"/>
      <c r="D181" s="174" t="s">
        <v>186</v>
      </c>
      <c r="E181" s="173">
        <f>'15'!F181</f>
        <v>0</v>
      </c>
      <c r="F181" s="193"/>
      <c r="G181" s="124">
        <f t="shared" si="20"/>
        <v>0</v>
      </c>
      <c r="N181" s="369"/>
    </row>
    <row r="182" spans="1:14" ht="23.25" customHeight="1">
      <c r="A182" s="435" t="s">
        <v>386</v>
      </c>
      <c r="B182" s="436"/>
      <c r="C182" s="436"/>
      <c r="D182" s="174" t="s">
        <v>186</v>
      </c>
      <c r="E182" s="173">
        <f>'15'!F182</f>
        <v>0</v>
      </c>
      <c r="F182" s="193"/>
      <c r="G182" s="124">
        <f t="shared" si="20"/>
        <v>0</v>
      </c>
      <c r="N182" s="369"/>
    </row>
    <row r="183" spans="1:14" ht="23.25" customHeight="1">
      <c r="A183" s="435" t="s">
        <v>387</v>
      </c>
      <c r="B183" s="436"/>
      <c r="C183" s="436"/>
      <c r="D183" s="174" t="s">
        <v>186</v>
      </c>
      <c r="E183" s="173">
        <f>'15'!F183</f>
        <v>0</v>
      </c>
      <c r="F183" s="193"/>
      <c r="G183" s="124">
        <f t="shared" si="20"/>
        <v>0</v>
      </c>
      <c r="N183" s="369"/>
    </row>
    <row r="184" spans="1:14" ht="23.25" customHeight="1">
      <c r="A184" s="435" t="s">
        <v>388</v>
      </c>
      <c r="B184" s="436"/>
      <c r="C184" s="436"/>
      <c r="D184" s="174" t="s">
        <v>186</v>
      </c>
      <c r="E184" s="173">
        <f>'15'!F184</f>
        <v>0</v>
      </c>
      <c r="F184" s="193"/>
      <c r="G184" s="124">
        <f t="shared" si="20"/>
        <v>0</v>
      </c>
      <c r="N184" s="369"/>
    </row>
    <row r="185" spans="1:14" ht="23.25" customHeight="1">
      <c r="N185" s="369"/>
    </row>
    <row r="186" spans="1:14" ht="23.25" customHeight="1">
      <c r="N186" s="369"/>
    </row>
    <row r="187" spans="1:14" ht="23.25" customHeight="1">
      <c r="N187" s="369"/>
    </row>
    <row r="188" spans="1:14" ht="23.25" customHeight="1">
      <c r="N188" s="369"/>
    </row>
    <row r="189" spans="1:14" ht="23.25" customHeight="1">
      <c r="N189" s="369"/>
    </row>
    <row r="190" spans="1:14" ht="23.25" customHeight="1">
      <c r="N190" s="369"/>
    </row>
    <row r="191" spans="1:14" ht="23.25" customHeight="1">
      <c r="N191" s="369"/>
    </row>
    <row r="192" spans="1:14" ht="23.25" customHeight="1">
      <c r="N192" s="369"/>
    </row>
    <row r="193" spans="14:14" ht="23.25" customHeight="1">
      <c r="N193" s="369"/>
    </row>
    <row r="194" spans="14:14" ht="23.25" customHeight="1">
      <c r="N194" s="369"/>
    </row>
    <row r="195" spans="14:14" ht="23.25" customHeight="1">
      <c r="N195" s="369"/>
    </row>
    <row r="196" spans="14:14" ht="23.25" customHeight="1">
      <c r="N196" s="369"/>
    </row>
    <row r="197" spans="14:14" ht="23.25" customHeight="1">
      <c r="N197" s="369"/>
    </row>
    <row r="198" spans="14:14" ht="23.25" customHeight="1">
      <c r="N198" s="369"/>
    </row>
    <row r="199" spans="14:14" ht="23.25" customHeight="1">
      <c r="N199" s="369"/>
    </row>
    <row r="200" spans="14:14" ht="23.25" customHeight="1">
      <c r="N200" s="369"/>
    </row>
    <row r="201" spans="14:14" ht="23.25" customHeight="1">
      <c r="N201" s="369"/>
    </row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</sheetData>
  <mergeCells count="78"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1:J1"/>
    <mergeCell ref="A6:C6"/>
    <mergeCell ref="A14:C14"/>
    <mergeCell ref="A17:C17"/>
    <mergeCell ref="A18:C18"/>
    <mergeCell ref="E3:F3"/>
    <mergeCell ref="A147:C147"/>
    <mergeCell ref="A148:C148"/>
    <mergeCell ref="A126:C126"/>
    <mergeCell ref="A95:C95"/>
    <mergeCell ref="A96:C96"/>
    <mergeCell ref="A112:B112"/>
    <mergeCell ref="A113:B113"/>
    <mergeCell ref="A114:B114"/>
    <mergeCell ref="A115:B115"/>
    <mergeCell ref="A116:B116"/>
    <mergeCell ref="A117:B117"/>
    <mergeCell ref="A118:B118"/>
    <mergeCell ref="A71:J71"/>
    <mergeCell ref="A102:C102"/>
    <mergeCell ref="A123:C123"/>
    <mergeCell ref="A142:B142"/>
    <mergeCell ref="A81:C81"/>
    <mergeCell ref="A82:C82"/>
    <mergeCell ref="A83:C83"/>
    <mergeCell ref="A93:C9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9:C19"/>
    <mergeCell ref="A21:C21"/>
    <mergeCell ref="A33:J33"/>
    <mergeCell ref="A64:C64"/>
    <mergeCell ref="A65:C65"/>
    <mergeCell ref="A25:C25"/>
    <mergeCell ref="A175:B175"/>
    <mergeCell ref="A176:B176"/>
    <mergeCell ref="A174:B174"/>
    <mergeCell ref="A177:G177"/>
    <mergeCell ref="A119:B119"/>
    <mergeCell ref="A120:B120"/>
    <mergeCell ref="A121:B121"/>
    <mergeCell ref="A122:B122"/>
    <mergeCell ref="A153:C153"/>
    <mergeCell ref="A154:C154"/>
    <mergeCell ref="A149:C149"/>
    <mergeCell ref="A150:C150"/>
    <mergeCell ref="A143:C143"/>
    <mergeCell ref="A144:C144"/>
    <mergeCell ref="A145:C145"/>
    <mergeCell ref="A146:C14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48" zoomScale="55" zoomScaleSheetLayoutView="55" zoomScalePageLayoutView="60" workbookViewId="0">
      <selection activeCell="F8" sqref="F8"/>
    </sheetView>
  </sheetViews>
  <sheetFormatPr defaultColWidth="22.33203125" defaultRowHeight="29.2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6" s="57" customFormat="1" ht="27">
      <c r="A2" s="226" t="s">
        <v>343</v>
      </c>
      <c r="B2" s="682">
        <v>44425</v>
      </c>
      <c r="C2" s="841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841" t="s">
        <v>119</v>
      </c>
      <c r="D3" s="263">
        <v>29</v>
      </c>
      <c r="E3" s="1259" t="s">
        <v>120</v>
      </c>
      <c r="F3" s="1260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>
      <c r="A4" s="227"/>
      <c r="B4" s="267"/>
      <c r="C4" s="84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'16'!F7</f>
        <v>965128</v>
      </c>
      <c r="F7" s="106">
        <v>985919</v>
      </c>
      <c r="G7" s="329">
        <f>F7-E7</f>
        <v>20791</v>
      </c>
      <c r="H7" s="330">
        <f>G7+'16'!H7</f>
        <v>687228</v>
      </c>
      <c r="I7" s="331">
        <f>'1'!I7</f>
        <v>12000</v>
      </c>
      <c r="J7" s="332">
        <f>H7/DAY(B2)</f>
        <v>40425.176470588238</v>
      </c>
      <c r="K7" s="200"/>
      <c r="L7" s="68"/>
      <c r="N7" s="380"/>
      <c r="O7" s="376"/>
      <c r="P7" s="379"/>
    </row>
    <row r="8" spans="1:16" ht="27.75" thickBot="1">
      <c r="A8" s="333" t="s">
        <v>132</v>
      </c>
      <c r="B8" s="334"/>
      <c r="C8" s="335"/>
      <c r="D8" s="336" t="s">
        <v>25</v>
      </c>
      <c r="E8" s="284">
        <f>'16'!F8</f>
        <v>663233.27</v>
      </c>
      <c r="F8" s="126">
        <f>E8+22500</f>
        <v>685733.27</v>
      </c>
      <c r="G8" s="340">
        <f>F8-E8</f>
        <v>22500</v>
      </c>
      <c r="H8" s="330">
        <f>G8+'16'!H8</f>
        <v>376161.27</v>
      </c>
      <c r="I8" s="337">
        <f>'1'!I8</f>
        <v>12000</v>
      </c>
      <c r="J8" s="332">
        <f>H8/DAY(B2)</f>
        <v>22127.133529411767</v>
      </c>
      <c r="K8" s="200"/>
      <c r="L8" s="78"/>
      <c r="M8" s="91"/>
      <c r="N8" s="369"/>
      <c r="O8" s="376"/>
      <c r="P8" s="73"/>
    </row>
    <row r="9" spans="1:16">
      <c r="A9" s="338" t="s">
        <v>133</v>
      </c>
      <c r="B9" s="339"/>
      <c r="C9" s="339"/>
      <c r="D9" s="288" t="s">
        <v>131</v>
      </c>
      <c r="E9" s="284">
        <f>'16'!F9</f>
        <v>3042620</v>
      </c>
      <c r="F9" s="129">
        <v>3062760</v>
      </c>
      <c r="G9" s="353">
        <f t="shared" ref="G9:G12" si="0">F9-E9</f>
        <v>20140</v>
      </c>
      <c r="H9" s="330">
        <f>G9+'16'!H9</f>
        <v>2980230</v>
      </c>
      <c r="I9" s="341">
        <f>I7-J7</f>
        <v>-28425.176470588238</v>
      </c>
      <c r="J9" s="332">
        <f>H9/DAY(B2)</f>
        <v>175307.64705882352</v>
      </c>
      <c r="K9" s="81"/>
      <c r="L9" s="68"/>
      <c r="N9" s="369"/>
      <c r="O9" s="376"/>
      <c r="P9" s="73"/>
    </row>
    <row r="10" spans="1:16">
      <c r="A10" s="327" t="s">
        <v>134</v>
      </c>
      <c r="B10" s="328"/>
      <c r="C10" s="328"/>
      <c r="D10" s="288" t="s">
        <v>131</v>
      </c>
      <c r="E10" s="284">
        <f>'16'!F10</f>
        <v>2606.5500000000002</v>
      </c>
      <c r="F10" s="129">
        <v>2606.85</v>
      </c>
      <c r="G10" s="340">
        <f t="shared" si="0"/>
        <v>0.29999999999972715</v>
      </c>
      <c r="H10" s="330">
        <f>G10+'16'!H10</f>
        <v>-0.15000000000009095</v>
      </c>
      <c r="I10" s="342"/>
      <c r="J10" s="332">
        <f>H10/DAY(B2)</f>
        <v>-8.8235294117700556E-3</v>
      </c>
      <c r="K10" s="81"/>
      <c r="L10" s="68"/>
      <c r="N10" s="369"/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G11+'16'!H11</f>
        <v>0</v>
      </c>
      <c r="I11" s="342"/>
      <c r="J11" s="332">
        <f>H11/DAY(B2)</f>
        <v>0</v>
      </c>
      <c r="K11" s="81"/>
      <c r="L11" s="68"/>
      <c r="N11" s="369">
        <f>G8-866</f>
        <v>21634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G12+'16'!H12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20140.3</v>
      </c>
      <c r="H13" s="330">
        <f>G13+'16'!H13</f>
        <v>2936214.36</v>
      </c>
      <c r="I13" s="346">
        <f>G7-G13</f>
        <v>650.70000000000073</v>
      </c>
      <c r="J13" s="332">
        <f>H13/DAY(B2)</f>
        <v>172718.49176470586</v>
      </c>
      <c r="K13" s="81"/>
      <c r="L13" s="68"/>
      <c r="N13" s="369"/>
      <c r="O13" s="376"/>
      <c r="P13" s="73"/>
    </row>
    <row r="14" spans="1:16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/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'16'!F15</f>
        <v>1743605.0970000001</v>
      </c>
      <c r="F15" s="351">
        <v>1744418.6089999999</v>
      </c>
      <c r="G15" s="315">
        <f>(F15-E15)</f>
        <v>813.51199999987148</v>
      </c>
      <c r="H15" s="137">
        <f>G15+'16'!H15</f>
        <v>-12111.391000000061</v>
      </c>
      <c r="I15" s="125">
        <f>'1'!I15</f>
        <v>800</v>
      </c>
      <c r="J15" s="204">
        <f>H15/DAY(B2)</f>
        <v>-712.43476470588598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1512.434764705886</v>
      </c>
      <c r="J16" s="204"/>
      <c r="K16" s="81"/>
      <c r="L16" s="68"/>
      <c r="N16" s="369"/>
      <c r="O16" s="376"/>
      <c r="P16" s="73"/>
    </row>
    <row r="17" spans="1:16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>
      <c r="A18" s="1293" t="s">
        <v>142</v>
      </c>
      <c r="B18" s="1294"/>
      <c r="C18" s="1295"/>
      <c r="D18" s="288" t="s">
        <v>143</v>
      </c>
      <c r="E18" s="285">
        <f>'16'!F18</f>
        <v>15</v>
      </c>
      <c r="F18" s="129">
        <v>16</v>
      </c>
      <c r="G18" s="345">
        <f>F18*10</f>
        <v>160</v>
      </c>
      <c r="H18" s="330">
        <f>G18+'16'!H18</f>
        <v>2580</v>
      </c>
      <c r="I18" s="331">
        <f>'1'!I18</f>
        <v>65</v>
      </c>
      <c r="J18" s="332">
        <f>H18/DAY(B2)</f>
        <v>151.76470588235293</v>
      </c>
      <c r="K18" s="81"/>
      <c r="L18" s="68"/>
      <c r="N18" s="369"/>
      <c r="O18" s="376"/>
      <c r="P18" s="73"/>
    </row>
    <row r="19" spans="1:16" ht="27.75">
      <c r="A19" s="1293" t="s">
        <v>70</v>
      </c>
      <c r="B19" s="1294"/>
      <c r="C19" s="1295"/>
      <c r="D19" s="288" t="s">
        <v>143</v>
      </c>
      <c r="E19" s="285">
        <f>'16'!F19</f>
        <v>144394</v>
      </c>
      <c r="F19" s="129">
        <v>144460</v>
      </c>
      <c r="G19" s="340">
        <f>F19-E19</f>
        <v>66</v>
      </c>
      <c r="H19" s="330">
        <f>G19+'16'!H19</f>
        <v>-878</v>
      </c>
      <c r="I19" s="347"/>
      <c r="J19" s="332">
        <f>H19/DAY(B2)</f>
        <v>-51.647058823529413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226</v>
      </c>
      <c r="H20" s="330">
        <f>G20+'16'!H20</f>
        <v>1702</v>
      </c>
      <c r="I20" s="349">
        <f>I18-J20</f>
        <v>-35.117647058823536</v>
      </c>
      <c r="J20" s="332">
        <f>H20/DAY(B2)</f>
        <v>100.11764705882354</v>
      </c>
      <c r="K20" s="81"/>
      <c r="L20" s="68"/>
      <c r="N20" s="369"/>
      <c r="O20" s="376"/>
      <c r="P20" s="73"/>
    </row>
    <row r="21" spans="1:16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839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839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22500</v>
      </c>
      <c r="F27" s="152">
        <v>9</v>
      </c>
      <c r="G27" s="153">
        <f>E27*F27</f>
        <v>202500</v>
      </c>
      <c r="H27" s="111">
        <f>G27+'16'!H27</f>
        <v>3385451.43</v>
      </c>
      <c r="I27" s="154"/>
      <c r="J27" s="203">
        <f>H27/DAY(B2)</f>
        <v>199144.20176470588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813.51199999987148</v>
      </c>
      <c r="F28" s="152">
        <v>56.2</v>
      </c>
      <c r="G28" s="153">
        <f>E28*F28</f>
        <v>45719.374399992783</v>
      </c>
      <c r="H28" s="111">
        <f>G28+'16'!H28</f>
        <v>-683697.26160000323</v>
      </c>
      <c r="I28" s="156"/>
      <c r="J28" s="203">
        <f>H28/DAY(B2)</f>
        <v>-40217.48597647078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66</v>
      </c>
      <c r="F30" s="152">
        <v>146</v>
      </c>
      <c r="G30" s="153">
        <f>E30*F30</f>
        <v>9636</v>
      </c>
      <c r="H30" s="111">
        <f>G30+'16'!H30</f>
        <v>-128188</v>
      </c>
      <c r="I30" s="156"/>
      <c r="J30" s="203">
        <f>H30/DAY(B2)</f>
        <v>-7540.4705882352937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G31+'16'!H31</f>
        <v>206400</v>
      </c>
      <c r="I31" s="156"/>
      <c r="J31" s="203"/>
      <c r="K31" s="65">
        <f>E31*80%</f>
        <v>128</v>
      </c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270655.37439999275</v>
      </c>
      <c r="H32" s="111">
        <f>G32+'16'!H32</f>
        <v>2779966.1683999971</v>
      </c>
      <c r="I32" s="160"/>
      <c r="J32" s="203">
        <f>H32/DAY(B2)</f>
        <v>163527.42167058805</v>
      </c>
      <c r="K32" s="65"/>
      <c r="L32" s="94"/>
      <c r="N32" s="369"/>
      <c r="O32" s="376"/>
      <c r="P32" s="73"/>
    </row>
    <row r="33" spans="1:16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369"/>
      <c r="O33" s="376"/>
      <c r="P33" s="73"/>
    </row>
    <row r="34" spans="1:16">
      <c r="A34" s="249" t="s">
        <v>162</v>
      </c>
      <c r="B34" s="844"/>
      <c r="C34" s="84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'16'!F35</f>
        <v>1058597.3</v>
      </c>
      <c r="F35" s="161">
        <v>1058597.3</v>
      </c>
      <c r="G35" s="124">
        <f t="shared" ref="G35:G46" si="1">F35-E35</f>
        <v>0</v>
      </c>
      <c r="H35" s="111">
        <f>G35+'16'!H35</f>
        <v>0.30000000004656613</v>
      </c>
      <c r="I35" s="106"/>
      <c r="J35" s="203">
        <f>H35/DAY(B2)</f>
        <v>1.7647058826268595E-2</v>
      </c>
      <c r="K35" s="81"/>
      <c r="L35" s="68"/>
      <c r="N35" s="369"/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'16'!F36</f>
        <v>58503</v>
      </c>
      <c r="F36" s="161">
        <v>59135.5</v>
      </c>
      <c r="G36" s="124">
        <f t="shared" si="1"/>
        <v>632.5</v>
      </c>
      <c r="H36" s="111">
        <f>G36+'16'!H36</f>
        <v>57302.5</v>
      </c>
      <c r="I36" s="106"/>
      <c r="J36" s="203">
        <f>H36/DAY(B2)</f>
        <v>3370.7352941176468</v>
      </c>
      <c r="K36" s="81"/>
      <c r="L36" s="68"/>
      <c r="N36" s="370"/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'16'!F37</f>
        <v>251705</v>
      </c>
      <c r="F37" s="161">
        <v>253201</v>
      </c>
      <c r="G37" s="124">
        <f t="shared" si="1"/>
        <v>1496</v>
      </c>
      <c r="H37" s="111">
        <f>G37+'16'!H37</f>
        <v>249426</v>
      </c>
      <c r="I37" s="106"/>
      <c r="J37" s="203">
        <f>H37/DAY(B2)</f>
        <v>14672.117647058823</v>
      </c>
      <c r="K37" s="81"/>
      <c r="L37" s="68"/>
      <c r="N37" s="370"/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'16'!F38</f>
        <v>275910</v>
      </c>
      <c r="F38" s="120">
        <v>277625</v>
      </c>
      <c r="G38" s="124">
        <f t="shared" si="1"/>
        <v>1715</v>
      </c>
      <c r="H38" s="111">
        <f>G38+'16'!H38</f>
        <v>272802</v>
      </c>
      <c r="I38" s="106"/>
      <c r="J38" s="203">
        <f>H38/DAY(B2)</f>
        <v>16047.176470588236</v>
      </c>
      <c r="K38" s="81"/>
      <c r="L38" s="68"/>
      <c r="N38" s="369"/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'16'!F39</f>
        <v>580796</v>
      </c>
      <c r="F39" s="161">
        <v>584515</v>
      </c>
      <c r="G39" s="124">
        <f>F39-E39</f>
        <v>3719</v>
      </c>
      <c r="H39" s="111">
        <f>G39+'16'!H39</f>
        <v>580673</v>
      </c>
      <c r="I39" s="106"/>
      <c r="J39" s="203">
        <f>H39/DAY(B2)</f>
        <v>34157.23529411765</v>
      </c>
      <c r="K39" s="81"/>
      <c r="L39" s="68"/>
      <c r="N39" s="369"/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'16'!F40</f>
        <v>27904.799999999999</v>
      </c>
      <c r="F40" s="161">
        <v>28331.200000000001</v>
      </c>
      <c r="G40" s="124">
        <f t="shared" si="1"/>
        <v>426.40000000000146</v>
      </c>
      <c r="H40" s="111">
        <f>G40+'16'!H40</f>
        <v>28488.600000000002</v>
      </c>
      <c r="I40" s="106"/>
      <c r="J40" s="203">
        <f>H40/DAY(B2)</f>
        <v>1675.8000000000002</v>
      </c>
      <c r="K40" s="82"/>
      <c r="L40" s="68"/>
      <c r="N40" s="369"/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'16'!F41</f>
        <v>412679</v>
      </c>
      <c r="F41" s="161">
        <v>418473</v>
      </c>
      <c r="G41" s="124">
        <f t="shared" si="1"/>
        <v>5794</v>
      </c>
      <c r="H41" s="111">
        <f>G41+'16'!H41</f>
        <v>-14808.789999999979</v>
      </c>
      <c r="I41" s="106"/>
      <c r="J41" s="203">
        <f>H41/DAY(B2)</f>
        <v>-871.10529411764583</v>
      </c>
      <c r="K41" s="81"/>
      <c r="L41" s="68"/>
      <c r="N41" s="369"/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'16'!F42</f>
        <v>147899</v>
      </c>
      <c r="F42" s="161">
        <v>147899</v>
      </c>
      <c r="G42" s="124">
        <f>F42-E42</f>
        <v>0</v>
      </c>
      <c r="H42" s="111">
        <f>G42+'16'!H42</f>
        <v>-27213</v>
      </c>
      <c r="I42" s="106"/>
      <c r="J42" s="203">
        <f>H42/DAY(B2)</f>
        <v>-1600.7647058823529</v>
      </c>
      <c r="K42" s="81"/>
      <c r="L42" s="68"/>
      <c r="N42" s="369"/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'16'!F43</f>
        <v>1249400</v>
      </c>
      <c r="F43" s="161">
        <v>1251830</v>
      </c>
      <c r="G43" s="124">
        <f t="shared" si="1"/>
        <v>2430</v>
      </c>
      <c r="H43" s="111">
        <f>G43+'16'!H43</f>
        <v>-37915</v>
      </c>
      <c r="I43" s="106"/>
      <c r="J43" s="203">
        <f>H43/DAY(B2)</f>
        <v>-2230.294117647059</v>
      </c>
      <c r="K43" s="81"/>
      <c r="L43" s="68"/>
      <c r="N43" s="369"/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16212.900000000001</v>
      </c>
      <c r="H47" s="111">
        <f>G47+'16'!H47</f>
        <v>1109557.1000000001</v>
      </c>
      <c r="I47" s="106"/>
      <c r="J47" s="203">
        <f>H47/DAY(B2)</f>
        <v>65268.06470588236</v>
      </c>
      <c r="K47" s="81"/>
      <c r="L47" s="68"/>
      <c r="N47" s="369"/>
      <c r="O47" s="376"/>
      <c r="P47" s="73"/>
    </row>
    <row r="48" spans="1:16">
      <c r="A48" s="249" t="s">
        <v>176</v>
      </c>
      <c r="B48" s="844"/>
      <c r="C48" s="84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'16'!F49</f>
        <v>372993</v>
      </c>
      <c r="F49" s="161">
        <v>376001</v>
      </c>
      <c r="G49" s="124">
        <f t="shared" ref="G49:G58" si="2">F49-E49</f>
        <v>3008</v>
      </c>
      <c r="H49" s="111">
        <f>G49+'16'!H49</f>
        <v>359221</v>
      </c>
      <c r="I49" s="106"/>
      <c r="J49" s="203">
        <f>H49/DAY(B2)</f>
        <v>21130.647058823528</v>
      </c>
      <c r="K49" s="81">
        <f>E49+242</f>
        <v>373235</v>
      </c>
      <c r="L49" s="68"/>
      <c r="N49" s="369"/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'16'!F50</f>
        <v>588550</v>
      </c>
      <c r="F50" s="161">
        <v>590003</v>
      </c>
      <c r="G50" s="124">
        <f t="shared" si="2"/>
        <v>1453</v>
      </c>
      <c r="H50" s="111">
        <f>G50+'16'!H50</f>
        <v>-18215</v>
      </c>
      <c r="I50" s="106"/>
      <c r="J50" s="203">
        <f>H50/DAY(B2)</f>
        <v>-1071.4705882352941</v>
      </c>
      <c r="K50" s="81"/>
      <c r="L50" s="68"/>
      <c r="N50" s="369"/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'16'!F51</f>
        <v>144639.87</v>
      </c>
      <c r="F51" s="161">
        <v>144639.87</v>
      </c>
      <c r="G51" s="124">
        <f t="shared" si="2"/>
        <v>0</v>
      </c>
      <c r="H51" s="111">
        <f>G51+'16'!H51</f>
        <v>144639.87</v>
      </c>
      <c r="I51" s="106"/>
      <c r="J51" s="203">
        <f>H51/DAY(B2)</f>
        <v>8508.227647058824</v>
      </c>
      <c r="K51" s="81"/>
      <c r="L51" s="68"/>
      <c r="N51" s="369"/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'16'!F52</f>
        <v>539606.06999999995</v>
      </c>
      <c r="F52" s="161">
        <v>539606.06999999995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'16'!F53</f>
        <v>434231.59</v>
      </c>
      <c r="F53" s="161">
        <v>434231.99</v>
      </c>
      <c r="G53" s="124">
        <f t="shared" si="2"/>
        <v>0.3999999999650754</v>
      </c>
      <c r="H53" s="111">
        <f>G53+'16'!H53</f>
        <v>434231.99</v>
      </c>
      <c r="I53" s="106"/>
      <c r="J53" s="203">
        <f>H53/DAY(B2)</f>
        <v>25543.058235294116</v>
      </c>
      <c r="K53" s="81"/>
      <c r="L53" s="68"/>
      <c r="N53" s="369"/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'16'!F54</f>
        <v>14967.27</v>
      </c>
      <c r="F54" s="161">
        <v>14967.27</v>
      </c>
      <c r="G54" s="124">
        <f t="shared" si="2"/>
        <v>0</v>
      </c>
      <c r="H54" s="111">
        <f>G54+'16'!H54</f>
        <v>12502.27</v>
      </c>
      <c r="I54" s="106"/>
      <c r="J54" s="203">
        <f>H54/DAY(B2)</f>
        <v>735.4276470588236</v>
      </c>
      <c r="K54" s="81"/>
      <c r="L54" s="68"/>
      <c r="N54" s="369"/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'16'!F55</f>
        <v>266380</v>
      </c>
      <c r="F55" s="304">
        <v>266380</v>
      </c>
      <c r="G55" s="303">
        <f t="shared" si="2"/>
        <v>0</v>
      </c>
      <c r="H55" s="356">
        <f>G55+'16'!H55</f>
        <v>-40918.989999999991</v>
      </c>
      <c r="I55" s="357"/>
      <c r="J55" s="358">
        <f>H55/DAY(B2)</f>
        <v>-2406.9994117647052</v>
      </c>
      <c r="K55" s="81"/>
      <c r="L55" s="68"/>
      <c r="N55" s="369"/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'16'!F56</f>
        <v>649544</v>
      </c>
      <c r="F56" s="304">
        <v>649557</v>
      </c>
      <c r="G56" s="124">
        <f>F56-E56</f>
        <v>13</v>
      </c>
      <c r="H56" s="111">
        <f>G56+'16'!H56</f>
        <v>-11474</v>
      </c>
      <c r="I56" s="106"/>
      <c r="J56" s="203">
        <f>H56/DAY(B2)</f>
        <v>-674.94117647058829</v>
      </c>
      <c r="K56" s="80"/>
      <c r="L56" s="68"/>
      <c r="N56" s="369"/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9"/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'16'!F58</f>
        <v>62990.3</v>
      </c>
      <c r="F58" s="304">
        <v>63186.5</v>
      </c>
      <c r="G58" s="124">
        <f t="shared" si="2"/>
        <v>196.19999999999709</v>
      </c>
      <c r="H58" s="111">
        <f>G58+'16'!H58</f>
        <v>-2996.5</v>
      </c>
      <c r="I58" s="106"/>
      <c r="J58" s="203">
        <f>H58/DAY(B2)</f>
        <v>-176.26470588235293</v>
      </c>
      <c r="K58" s="81"/>
      <c r="L58" s="68"/>
      <c r="N58" s="369"/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4670.5999999999622</v>
      </c>
      <c r="H59" s="111">
        <f>G59+'16'!H59</f>
        <v>1416597.0399999998</v>
      </c>
      <c r="I59" s="106">
        <f>G7-G60</f>
        <v>-92.49999999996362</v>
      </c>
      <c r="J59" s="203">
        <f>H59/DAY(B2)</f>
        <v>83329.237647058806</v>
      </c>
      <c r="K59" s="81"/>
      <c r="L59" s="68"/>
      <c r="N59" s="369"/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20883.499999999964</v>
      </c>
      <c r="H60" s="111">
        <f>G60+'16'!H60</f>
        <v>2532843.14</v>
      </c>
      <c r="I60" s="106">
        <f>G13-G60</f>
        <v>-743.19999999996435</v>
      </c>
      <c r="J60" s="203">
        <f>H60/DAY(B2)</f>
        <v>148990.77294117649</v>
      </c>
      <c r="K60" s="81"/>
      <c r="L60" s="68"/>
      <c r="N60" s="369"/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'16'!F63</f>
        <v>0</v>
      </c>
      <c r="F63" s="165">
        <v>0</v>
      </c>
      <c r="G63" s="124">
        <f t="shared" si="3"/>
        <v>0</v>
      </c>
      <c r="H63" s="111">
        <f>G63+'16'!H63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226" t="s">
        <v>98</v>
      </c>
      <c r="B64" s="1227"/>
      <c r="C64" s="1228"/>
      <c r="D64" s="174" t="s">
        <v>186</v>
      </c>
      <c r="E64" s="846">
        <f>'16'!F64</f>
        <v>187962</v>
      </c>
      <c r="F64" s="277">
        <v>188394</v>
      </c>
      <c r="G64" s="424">
        <f t="shared" si="3"/>
        <v>432</v>
      </c>
      <c r="H64" s="111">
        <f>G64+'16'!H64</f>
        <v>-5823</v>
      </c>
      <c r="I64" s="131"/>
      <c r="J64" s="203">
        <f>H64/DAY(B2)</f>
        <v>-342.52941176470586</v>
      </c>
      <c r="K64" s="81"/>
      <c r="L64" s="68"/>
      <c r="N64" s="369"/>
      <c r="O64" s="376"/>
      <c r="P64" s="73"/>
    </row>
    <row r="65" spans="1:16" ht="27.75">
      <c r="A65" s="1226" t="s">
        <v>99</v>
      </c>
      <c r="B65" s="1227"/>
      <c r="C65" s="1228"/>
      <c r="D65" s="174" t="s">
        <v>186</v>
      </c>
      <c r="E65" s="165">
        <f>'16'!F65</f>
        <v>188656</v>
      </c>
      <c r="F65" s="302">
        <v>189079</v>
      </c>
      <c r="G65" s="124">
        <f t="shared" si="3"/>
        <v>423</v>
      </c>
      <c r="H65" s="111">
        <f>G65+'16'!H65</f>
        <v>-5550</v>
      </c>
      <c r="I65" s="140"/>
      <c r="J65" s="203">
        <f>H65/DAY(B2)</f>
        <v>-326.47058823529414</v>
      </c>
      <c r="K65" s="81"/>
      <c r="L65" s="68"/>
      <c r="N65" s="369"/>
      <c r="O65" s="377"/>
      <c r="P65" s="73"/>
    </row>
    <row r="66" spans="1:16" ht="27.75">
      <c r="A66" s="1226" t="s">
        <v>100</v>
      </c>
      <c r="B66" s="1227"/>
      <c r="C66" s="1228"/>
      <c r="D66" s="174" t="s">
        <v>186</v>
      </c>
      <c r="E66" s="165">
        <f>'16'!F66</f>
        <v>87172.4</v>
      </c>
      <c r="F66" s="129">
        <v>87590.8</v>
      </c>
      <c r="G66" s="124">
        <f t="shared" si="3"/>
        <v>418.40000000000873</v>
      </c>
      <c r="H66" s="111">
        <f>G66+'16'!H66</f>
        <v>-5726.1999999999971</v>
      </c>
      <c r="I66" s="131"/>
      <c r="J66" s="203">
        <f>H66/DAY(B2)</f>
        <v>-336.83529411764687</v>
      </c>
      <c r="K66" s="81"/>
      <c r="L66" s="68"/>
      <c r="N66" s="369"/>
      <c r="O66" s="376"/>
      <c r="P66" s="73"/>
    </row>
    <row r="67" spans="1:16" ht="27.75">
      <c r="A67" s="1226" t="s">
        <v>101</v>
      </c>
      <c r="B67" s="1227"/>
      <c r="C67" s="1228"/>
      <c r="D67" s="174" t="s">
        <v>186</v>
      </c>
      <c r="E67" s="165">
        <f>'16'!F67</f>
        <v>287730</v>
      </c>
      <c r="F67" s="129">
        <v>288152</v>
      </c>
      <c r="G67" s="124">
        <f t="shared" si="3"/>
        <v>422</v>
      </c>
      <c r="H67" s="111">
        <f>G67+'16'!H67</f>
        <v>-6739</v>
      </c>
      <c r="I67" s="140"/>
      <c r="J67" s="203">
        <f>H67/DAY(B2)</f>
        <v>-396.41176470588238</v>
      </c>
      <c r="K67" s="82"/>
      <c r="L67" s="68"/>
      <c r="N67" s="369"/>
      <c r="O67" s="376"/>
      <c r="P67" s="73"/>
    </row>
    <row r="68" spans="1:16" ht="27.75">
      <c r="A68" s="1226" t="s">
        <v>102</v>
      </c>
      <c r="B68" s="1227"/>
      <c r="C68" s="1228"/>
      <c r="D68" s="174" t="s">
        <v>186</v>
      </c>
      <c r="E68" s="165">
        <f>'16'!F68</f>
        <v>85321</v>
      </c>
      <c r="F68" s="129">
        <v>85321</v>
      </c>
      <c r="G68" s="124">
        <f t="shared" si="3"/>
        <v>0</v>
      </c>
      <c r="H68" s="111">
        <f>G68+'16'!H68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226" t="s">
        <v>103</v>
      </c>
      <c r="B69" s="1227"/>
      <c r="C69" s="1228"/>
      <c r="D69" s="174" t="s">
        <v>186</v>
      </c>
      <c r="E69" s="165">
        <f>'16'!F69</f>
        <v>101615</v>
      </c>
      <c r="F69" s="129">
        <v>101918</v>
      </c>
      <c r="G69" s="124">
        <f t="shared" si="3"/>
        <v>303</v>
      </c>
      <c r="H69" s="111">
        <f>G69+'16'!H69</f>
        <v>-4488</v>
      </c>
      <c r="I69" s="167"/>
      <c r="J69" s="203">
        <f>H69/DAY(B2)</f>
        <v>-264</v>
      </c>
      <c r="K69" s="84"/>
      <c r="L69" s="68"/>
      <c r="N69" s="369"/>
      <c r="O69" s="376"/>
      <c r="P69" s="73"/>
    </row>
    <row r="70" spans="1:16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70">
        <v>855695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369"/>
      <c r="O71" s="376"/>
      <c r="P71" s="73"/>
    </row>
    <row r="72" spans="1:16" ht="27.75">
      <c r="A72" s="1226" t="s">
        <v>190</v>
      </c>
      <c r="B72" s="1227"/>
      <c r="C72" s="1228"/>
      <c r="D72" s="174" t="s">
        <v>186</v>
      </c>
      <c r="E72" s="170">
        <f>'16'!F72</f>
        <v>856820</v>
      </c>
      <c r="F72" s="305">
        <v>856833</v>
      </c>
      <c r="G72" s="124">
        <f t="shared" ref="G72:G84" si="4">F72-E72</f>
        <v>13</v>
      </c>
      <c r="H72" s="111">
        <f>G72+'16'!H72</f>
        <v>126</v>
      </c>
      <c r="I72" s="131"/>
      <c r="J72" s="203">
        <f>H72/DAY(B2)</f>
        <v>7.4117647058823533</v>
      </c>
      <c r="K72" s="84"/>
      <c r="L72" s="68"/>
      <c r="N72" s="369"/>
      <c r="O72" s="376"/>
      <c r="P72" s="73"/>
    </row>
    <row r="73" spans="1:16" ht="27.75">
      <c r="A73" s="1226" t="s">
        <v>191</v>
      </c>
      <c r="B73" s="1227"/>
      <c r="C73" s="1228"/>
      <c r="D73" s="174" t="s">
        <v>186</v>
      </c>
      <c r="E73" s="170">
        <f>'16'!F73</f>
        <v>886033</v>
      </c>
      <c r="F73" s="306">
        <v>886034</v>
      </c>
      <c r="G73" s="303">
        <f t="shared" si="4"/>
        <v>1</v>
      </c>
      <c r="H73" s="111">
        <f>G73+'16'!H73</f>
        <v>-17</v>
      </c>
      <c r="I73" s="131"/>
      <c r="J73" s="203">
        <f>H73/DAY(B2)</f>
        <v>-1</v>
      </c>
      <c r="K73" s="83"/>
      <c r="L73" s="68"/>
      <c r="N73" s="369"/>
      <c r="O73" s="376"/>
      <c r="P73" s="73"/>
    </row>
    <row r="74" spans="1:16" ht="27.75">
      <c r="A74" s="1226" t="s">
        <v>192</v>
      </c>
      <c r="B74" s="1227"/>
      <c r="C74" s="1228"/>
      <c r="D74" s="174" t="s">
        <v>186</v>
      </c>
      <c r="E74" s="170">
        <f>'16'!F74</f>
        <v>88753.600000000006</v>
      </c>
      <c r="F74" s="306">
        <v>88755</v>
      </c>
      <c r="G74" s="124">
        <f t="shared" si="4"/>
        <v>1.3999999999941792</v>
      </c>
      <c r="H74" s="111">
        <f>G74+'16'!H74</f>
        <v>65</v>
      </c>
      <c r="I74" s="131"/>
      <c r="J74" s="203">
        <f>H74/DAY(B2)</f>
        <v>3.8235294117647061</v>
      </c>
      <c r="K74" s="84"/>
      <c r="L74" s="68"/>
      <c r="N74" s="369"/>
      <c r="O74" s="376"/>
      <c r="P74" s="73"/>
    </row>
    <row r="75" spans="1:16" ht="27.75">
      <c r="A75" s="1229" t="s">
        <v>193</v>
      </c>
      <c r="B75" s="1230"/>
      <c r="C75" s="1231"/>
      <c r="D75" s="174" t="s">
        <v>186</v>
      </c>
      <c r="E75" s="170">
        <f>'16'!F75</f>
        <v>23651.4</v>
      </c>
      <c r="F75" s="306">
        <v>23827.599999999999</v>
      </c>
      <c r="G75" s="124">
        <f t="shared" si="4"/>
        <v>176.19999999999709</v>
      </c>
      <c r="H75" s="111">
        <f>G75+'16'!H75</f>
        <v>-2480.4000000000015</v>
      </c>
      <c r="I75" s="131"/>
      <c r="J75" s="203">
        <f>H75/DAY(B2)</f>
        <v>-145.90588235294126</v>
      </c>
      <c r="K75" s="83"/>
      <c r="L75" s="68"/>
      <c r="N75" s="369"/>
      <c r="O75" s="376"/>
      <c r="P75" s="73"/>
    </row>
    <row r="76" spans="1:16" ht="27.75">
      <c r="A76" s="1229" t="s">
        <v>194</v>
      </c>
      <c r="B76" s="1230"/>
      <c r="C76" s="1231"/>
      <c r="D76" s="174" t="s">
        <v>186</v>
      </c>
      <c r="E76" s="170">
        <f>'16'!F76</f>
        <v>12263.3</v>
      </c>
      <c r="F76" s="306">
        <v>12319.6</v>
      </c>
      <c r="G76" s="124">
        <f t="shared" si="4"/>
        <v>56.300000000001091</v>
      </c>
      <c r="H76" s="111">
        <f>G76+'16'!H76</f>
        <v>-957.39999999999964</v>
      </c>
      <c r="I76" s="156"/>
      <c r="J76" s="203">
        <f>H76/DAY(B2)</f>
        <v>-56.317647058823511</v>
      </c>
      <c r="K76" s="83"/>
      <c r="L76" s="68"/>
      <c r="N76" s="369"/>
      <c r="O76" s="376"/>
      <c r="P76" s="73"/>
    </row>
    <row r="77" spans="1:16" ht="27.75">
      <c r="A77" s="1226" t="s">
        <v>195</v>
      </c>
      <c r="B77" s="1227"/>
      <c r="C77" s="1228"/>
      <c r="D77" s="174" t="s">
        <v>186</v>
      </c>
      <c r="E77" s="170">
        <f>'16'!F77</f>
        <v>707434</v>
      </c>
      <c r="F77" s="306">
        <v>707489</v>
      </c>
      <c r="G77" s="303">
        <f t="shared" si="4"/>
        <v>55</v>
      </c>
      <c r="H77" s="111">
        <f>G77+'16'!H77</f>
        <v>-800</v>
      </c>
      <c r="I77" s="156"/>
      <c r="J77" s="203">
        <f>H77/DAY(B2)</f>
        <v>-47.058823529411768</v>
      </c>
      <c r="K77" s="83"/>
      <c r="L77" s="68"/>
      <c r="N77" s="369"/>
      <c r="O77" s="376"/>
      <c r="P77" s="73"/>
    </row>
    <row r="78" spans="1:16" ht="27.75">
      <c r="A78" s="842" t="s">
        <v>196</v>
      </c>
      <c r="B78" s="835"/>
      <c r="C78" s="835"/>
      <c r="D78" s="174" t="s">
        <v>186</v>
      </c>
      <c r="E78" s="170">
        <f>'16'!F78</f>
        <v>680594</v>
      </c>
      <c r="F78" s="307">
        <v>680658</v>
      </c>
      <c r="G78" s="124">
        <f>F78-E78</f>
        <v>64</v>
      </c>
      <c r="H78" s="111">
        <f>G78+'16'!H78</f>
        <v>-1755</v>
      </c>
      <c r="I78" s="156"/>
      <c r="J78" s="203">
        <f>H78/DAY(B2)</f>
        <v>-103.23529411764706</v>
      </c>
      <c r="K78" s="83"/>
      <c r="L78" s="68"/>
      <c r="N78" s="369"/>
      <c r="O78" s="376"/>
      <c r="P78" s="73"/>
    </row>
    <row r="79" spans="1:16" ht="27.75">
      <c r="A79" s="1229" t="s">
        <v>91</v>
      </c>
      <c r="B79" s="1230"/>
      <c r="C79" s="1231"/>
      <c r="D79" s="175" t="s">
        <v>186</v>
      </c>
      <c r="E79" s="170">
        <f>'16'!F79</f>
        <v>842684</v>
      </c>
      <c r="F79" s="307">
        <v>842838</v>
      </c>
      <c r="G79" s="124">
        <f t="shared" si="4"/>
        <v>154</v>
      </c>
      <c r="H79" s="111">
        <f>G79+'16'!H79</f>
        <v>-2211</v>
      </c>
      <c r="I79" s="156"/>
      <c r="J79" s="203">
        <f>H79/DAY(B2)</f>
        <v>-130.05882352941177</v>
      </c>
      <c r="K79" s="83"/>
      <c r="L79" s="68"/>
      <c r="N79" s="369"/>
      <c r="O79" s="376"/>
      <c r="P79" s="73"/>
    </row>
    <row r="80" spans="1:16" ht="27.75">
      <c r="A80" s="1229" t="s">
        <v>197</v>
      </c>
      <c r="B80" s="1230"/>
      <c r="C80" s="1231"/>
      <c r="D80" s="175" t="s">
        <v>186</v>
      </c>
      <c r="E80" s="170">
        <f>'16'!F80</f>
        <v>558506.92000000004</v>
      </c>
      <c r="F80" s="306">
        <v>558812.36</v>
      </c>
      <c r="G80" s="124">
        <f t="shared" si="4"/>
        <v>305.43999999994412</v>
      </c>
      <c r="H80" s="111">
        <f>G80+'16'!H80</f>
        <v>-5485.640000000014</v>
      </c>
      <c r="I80" s="156"/>
      <c r="J80" s="203">
        <f>H80/DAY(B2)</f>
        <v>-322.68470588235374</v>
      </c>
      <c r="K80" s="83"/>
      <c r="L80" s="68"/>
      <c r="N80" s="369"/>
      <c r="O80" s="376"/>
      <c r="P80" s="73"/>
    </row>
    <row r="81" spans="1:16" ht="27.75">
      <c r="A81" s="1229" t="s">
        <v>198</v>
      </c>
      <c r="B81" s="1230"/>
      <c r="C81" s="1231"/>
      <c r="D81" s="175" t="s">
        <v>186</v>
      </c>
      <c r="E81" s="170">
        <f>'16'!F81</f>
        <v>651758.64</v>
      </c>
      <c r="F81" s="306">
        <v>651920.04</v>
      </c>
      <c r="G81" s="124">
        <f t="shared" si="4"/>
        <v>161.40000000002328</v>
      </c>
      <c r="H81" s="111">
        <f>G81+'16'!H81</f>
        <v>-2257.9599999999627</v>
      </c>
      <c r="I81" s="156"/>
      <c r="J81" s="203">
        <f>H81/DAY(B2)</f>
        <v>-132.82117647058604</v>
      </c>
      <c r="K81" s="83"/>
      <c r="L81" s="68"/>
      <c r="N81" s="369"/>
      <c r="O81" s="376"/>
      <c r="P81" s="73"/>
    </row>
    <row r="82" spans="1:16" s="426" customFormat="1" ht="27.75">
      <c r="A82" s="1303" t="s">
        <v>92</v>
      </c>
      <c r="B82" s="1304"/>
      <c r="C82" s="1305"/>
      <c r="D82" s="277" t="s">
        <v>131</v>
      </c>
      <c r="E82" s="170">
        <f>'16'!F82</f>
        <v>109641</v>
      </c>
      <c r="F82" s="277">
        <v>109655</v>
      </c>
      <c r="G82" s="424">
        <f t="shared" si="4"/>
        <v>14</v>
      </c>
      <c r="H82" s="130">
        <f>G82+'16'!H82</f>
        <v>109878</v>
      </c>
      <c r="I82" s="130"/>
      <c r="J82" s="425">
        <f>H82/DAY(B2)</f>
        <v>6463.411764705882</v>
      </c>
      <c r="K82" s="832"/>
      <c r="L82" s="833"/>
      <c r="N82" s="373"/>
      <c r="O82" s="377"/>
      <c r="P82" s="372"/>
    </row>
    <row r="83" spans="1:16" ht="27.75">
      <c r="A83" s="1229" t="s">
        <v>199</v>
      </c>
      <c r="B83" s="1230"/>
      <c r="C83" s="1231"/>
      <c r="D83" s="271" t="s">
        <v>131</v>
      </c>
      <c r="E83" s="170">
        <f>'16'!F83</f>
        <v>40101</v>
      </c>
      <c r="F83" s="162">
        <v>40385</v>
      </c>
      <c r="G83" s="124">
        <f t="shared" si="4"/>
        <v>284</v>
      </c>
      <c r="H83" s="111">
        <f>G83+'16'!H83</f>
        <v>-3938</v>
      </c>
      <c r="I83" s="132"/>
      <c r="J83" s="203">
        <f>H83/DAY(B2)</f>
        <v>-231.64705882352942</v>
      </c>
      <c r="K83" s="82"/>
      <c r="L83" s="68"/>
      <c r="N83" s="369"/>
      <c r="O83" s="376"/>
      <c r="P83" s="73"/>
    </row>
    <row r="84" spans="1:16">
      <c r="A84" s="843" t="s">
        <v>200</v>
      </c>
      <c r="B84" s="222"/>
      <c r="C84" s="222"/>
      <c r="D84" s="129" t="s">
        <v>131</v>
      </c>
      <c r="E84" s="170">
        <f>'16'!F84</f>
        <v>559834</v>
      </c>
      <c r="F84" s="278">
        <v>560513</v>
      </c>
      <c r="G84" s="124">
        <f t="shared" si="4"/>
        <v>679</v>
      </c>
      <c r="H84" s="111">
        <f>G84+'16'!H84</f>
        <v>-9866</v>
      </c>
      <c r="I84" s="132"/>
      <c r="J84" s="203">
        <f>H84/DAY(B2)</f>
        <v>-580.35294117647061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1964.7399999999598</v>
      </c>
      <c r="H85" s="111">
        <f>G85+'16'!H85</f>
        <v>79985.60000000002</v>
      </c>
      <c r="I85" s="132"/>
      <c r="J85" s="203">
        <f>H85/DAY(B2)</f>
        <v>4705.0352941176479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'16'!F86</f>
        <v>463135.84</v>
      </c>
      <c r="F86" s="1074">
        <v>463144.24</v>
      </c>
      <c r="G86" s="356">
        <f t="shared" ref="G86:G91" si="5">F86-E86</f>
        <v>8.3999999999650754</v>
      </c>
      <c r="H86" s="356">
        <f t="shared" ref="H86:H88" si="6">G86</f>
        <v>8.3999999999650754</v>
      </c>
      <c r="I86" s="303"/>
      <c r="J86" s="358">
        <f>H86/DAY(B2)</f>
        <v>0.49411764705676914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'16'!F87</f>
        <v>83435.600000000006</v>
      </c>
      <c r="F87" s="298">
        <v>83468.5</v>
      </c>
      <c r="G87" s="356">
        <f t="shared" si="5"/>
        <v>32.899999999994179</v>
      </c>
      <c r="H87" s="356">
        <f t="shared" si="6"/>
        <v>32.899999999994179</v>
      </c>
      <c r="I87" s="303"/>
      <c r="J87" s="358">
        <f>H87/DAY(B2)</f>
        <v>1.9352941176467164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'16'!F88</f>
        <v>158212</v>
      </c>
      <c r="F88" s="298">
        <v>158212</v>
      </c>
      <c r="G88" s="356">
        <f t="shared" si="5"/>
        <v>0</v>
      </c>
      <c r="H88" s="356">
        <f t="shared" si="6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'16'!F89</f>
        <v>67994.399999999994</v>
      </c>
      <c r="F89" s="298">
        <v>68065.600000000006</v>
      </c>
      <c r="G89" s="356">
        <f t="shared" si="5"/>
        <v>71.200000000011642</v>
      </c>
      <c r="H89" s="356">
        <f>G89</f>
        <v>71.200000000011642</v>
      </c>
      <c r="I89" s="303"/>
      <c r="J89" s="358">
        <f>H89/DAY(B2)</f>
        <v>4.1882352941183321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'16'!F90</f>
        <v>3530.2</v>
      </c>
      <c r="F90" s="298">
        <v>3536.5</v>
      </c>
      <c r="G90" s="356">
        <f t="shared" si="5"/>
        <v>6.3000000000001819</v>
      </c>
      <c r="H90" s="356">
        <f>G90</f>
        <v>6.3000000000001819</v>
      </c>
      <c r="I90" s="303"/>
      <c r="J90" s="358">
        <f>H90/DAY(B2)</f>
        <v>0.37058823529412832</v>
      </c>
      <c r="K90" s="384"/>
      <c r="L90" s="385"/>
      <c r="N90" s="428"/>
      <c r="O90" s="73"/>
    </row>
    <row r="91" spans="1:16" s="386" customFormat="1">
      <c r="A91" s="381" t="s">
        <v>335</v>
      </c>
      <c r="B91" s="382"/>
      <c r="C91" s="382"/>
      <c r="D91" s="383"/>
      <c r="E91" s="278">
        <f>'16'!F91</f>
        <v>28631.75</v>
      </c>
      <c r="F91" s="298">
        <v>28642.799999999999</v>
      </c>
      <c r="G91" s="356">
        <f t="shared" si="5"/>
        <v>11.049999999999272</v>
      </c>
      <c r="H91" s="356">
        <f>G91</f>
        <v>11.049999999999272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845"/>
      <c r="C92" s="845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45" t="s">
        <v>205</v>
      </c>
      <c r="B93" s="1246"/>
      <c r="C93" s="1247"/>
      <c r="D93" s="174" t="s">
        <v>143</v>
      </c>
      <c r="E93" s="135">
        <f>'16'!F93</f>
        <v>251960</v>
      </c>
      <c r="F93" s="129">
        <v>252039</v>
      </c>
      <c r="G93" s="124">
        <f t="shared" ref="G93:G94" si="7">F93-E93</f>
        <v>79</v>
      </c>
      <c r="H93" s="111">
        <f>G93+'16'!H93</f>
        <v>-1413</v>
      </c>
      <c r="I93" s="131"/>
      <c r="J93" s="203">
        <f>H93/DAY(B2)</f>
        <v>-83.117647058823536</v>
      </c>
      <c r="K93" s="82"/>
      <c r="L93" s="68"/>
      <c r="N93" s="369"/>
      <c r="O93" s="376"/>
      <c r="P93" s="73"/>
    </row>
    <row r="94" spans="1:16" ht="27.75">
      <c r="A94" s="1245" t="s">
        <v>206</v>
      </c>
      <c r="B94" s="1246"/>
      <c r="C94" s="1247"/>
      <c r="D94" s="174" t="s">
        <v>143</v>
      </c>
      <c r="E94" s="135">
        <f>'16'!F94</f>
        <v>195395</v>
      </c>
      <c r="F94" s="129">
        <v>195500</v>
      </c>
      <c r="G94" s="124">
        <f t="shared" si="7"/>
        <v>105</v>
      </c>
      <c r="H94" s="111">
        <f>G94+'16'!H94</f>
        <v>-2159</v>
      </c>
      <c r="I94" s="131"/>
      <c r="J94" s="203">
        <f>H94/DAY(B2)</f>
        <v>-127</v>
      </c>
      <c r="K94" s="71"/>
      <c r="L94" s="68"/>
      <c r="N94" s="369"/>
      <c r="O94" s="376"/>
      <c r="P94" s="73"/>
    </row>
    <row r="95" spans="1:16">
      <c r="A95" s="1277" t="s">
        <v>207</v>
      </c>
      <c r="B95" s="1278"/>
      <c r="C95" s="1279"/>
      <c r="D95" s="174"/>
      <c r="E95" s="135">
        <f>'16'!F95</f>
        <v>0</v>
      </c>
      <c r="F95" s="129"/>
      <c r="G95" s="124">
        <f>G93+G94</f>
        <v>184</v>
      </c>
      <c r="H95" s="111">
        <f>G95+'16'!H95</f>
        <v>-3797</v>
      </c>
      <c r="I95" s="131"/>
      <c r="J95" s="203">
        <f>H95/DAY(B2)</f>
        <v>-223.35294117647058</v>
      </c>
      <c r="K95" s="71"/>
      <c r="L95" s="68"/>
      <c r="N95" s="369"/>
      <c r="O95" s="376"/>
      <c r="P95" s="73"/>
    </row>
    <row r="96" spans="1:16" ht="27.75">
      <c r="A96" s="1245" t="s">
        <v>208</v>
      </c>
      <c r="B96" s="1246"/>
      <c r="C96" s="1247"/>
      <c r="D96" s="174" t="s">
        <v>143</v>
      </c>
      <c r="E96" s="135">
        <f>'16'!F96</f>
        <v>419790</v>
      </c>
      <c r="F96" s="129">
        <v>419870</v>
      </c>
      <c r="G96" s="124">
        <f t="shared" ref="G96:G101" si="8">F96-E96</f>
        <v>80</v>
      </c>
      <c r="H96" s="111">
        <f>G96+'16'!H96</f>
        <v>-1149</v>
      </c>
      <c r="I96" s="131"/>
      <c r="J96" s="203">
        <f>H96/DAY(B2)</f>
        <v>-67.588235294117652</v>
      </c>
      <c r="K96" s="71"/>
      <c r="L96" s="68"/>
      <c r="N96" s="369"/>
      <c r="O96" s="376"/>
      <c r="P96" s="73"/>
    </row>
    <row r="97" spans="1:16" ht="27.75">
      <c r="A97" s="839" t="s">
        <v>209</v>
      </c>
      <c r="B97" s="840"/>
      <c r="C97" s="840"/>
      <c r="D97" s="174" t="s">
        <v>143</v>
      </c>
      <c r="E97" s="135">
        <f>'16'!F97</f>
        <v>104273</v>
      </c>
      <c r="F97" s="129">
        <v>104291</v>
      </c>
      <c r="G97" s="124">
        <f t="shared" si="8"/>
        <v>18</v>
      </c>
      <c r="H97" s="111">
        <f>G97+'16'!H97</f>
        <v>-345</v>
      </c>
      <c r="I97" s="131"/>
      <c r="J97" s="203">
        <f>H97/DAY(B2)</f>
        <v>-20.294117647058822</v>
      </c>
      <c r="K97" s="80"/>
      <c r="L97" s="68"/>
      <c r="N97" s="369"/>
      <c r="O97" s="376"/>
      <c r="P97" s="73"/>
    </row>
    <row r="98" spans="1:16" ht="27.75">
      <c r="A98" s="839" t="s">
        <v>210</v>
      </c>
      <c r="B98" s="840"/>
      <c r="C98" s="840"/>
      <c r="D98" s="174" t="s">
        <v>143</v>
      </c>
      <c r="E98" s="135">
        <f>'16'!F98</f>
        <v>99930</v>
      </c>
      <c r="F98" s="129">
        <v>99954</v>
      </c>
      <c r="G98" s="124">
        <f t="shared" si="8"/>
        <v>24</v>
      </c>
      <c r="H98" s="111">
        <f>G98+'16'!H98</f>
        <v>-416</v>
      </c>
      <c r="I98" s="131"/>
      <c r="J98" s="203">
        <f>H98/DAY(B2)</f>
        <v>-24.470588235294116</v>
      </c>
      <c r="K98" s="85"/>
      <c r="L98" s="68"/>
      <c r="N98" s="369"/>
      <c r="O98" s="376"/>
      <c r="P98" s="73"/>
    </row>
    <row r="99" spans="1:16" ht="27.75">
      <c r="A99" s="839" t="s">
        <v>211</v>
      </c>
      <c r="B99" s="840"/>
      <c r="C99" s="840"/>
      <c r="D99" s="174" t="s">
        <v>143</v>
      </c>
      <c r="E99" s="135">
        <f>'16'!F99</f>
        <v>151665</v>
      </c>
      <c r="F99" s="129">
        <v>151701</v>
      </c>
      <c r="G99" s="124">
        <f t="shared" si="8"/>
        <v>36</v>
      </c>
      <c r="H99" s="111">
        <f>G99+'16'!H99</f>
        <v>-434</v>
      </c>
      <c r="I99" s="131"/>
      <c r="J99" s="203">
        <f>H99/DAY(B2)</f>
        <v>-25.529411764705884</v>
      </c>
      <c r="K99" s="71"/>
      <c r="L99" s="68"/>
      <c r="N99" s="371"/>
      <c r="O99" s="376"/>
      <c r="P99" s="73"/>
    </row>
    <row r="100" spans="1:16" ht="27.75">
      <c r="A100" s="839" t="s">
        <v>212</v>
      </c>
      <c r="B100" s="840"/>
      <c r="C100" s="840"/>
      <c r="D100" s="174" t="s">
        <v>143</v>
      </c>
      <c r="E100" s="135">
        <f>'16'!F100</f>
        <v>8432</v>
      </c>
      <c r="F100" s="129">
        <v>8444</v>
      </c>
      <c r="G100" s="124">
        <f t="shared" si="8"/>
        <v>12</v>
      </c>
      <c r="H100" s="111">
        <f>G100+'16'!H100</f>
        <v>-201</v>
      </c>
      <c r="I100" s="131"/>
      <c r="J100" s="203">
        <f>H100/DAY(B2)</f>
        <v>-11.823529411764707</v>
      </c>
      <c r="K100" s="71"/>
      <c r="L100" s="68"/>
      <c r="N100" s="369"/>
      <c r="O100" s="376"/>
      <c r="P100" s="73"/>
    </row>
    <row r="101" spans="1:16" ht="27.75">
      <c r="A101" s="839" t="s">
        <v>213</v>
      </c>
      <c r="B101" s="840"/>
      <c r="C101" s="840"/>
      <c r="D101" s="174" t="s">
        <v>143</v>
      </c>
      <c r="E101" s="135">
        <f>'16'!F101</f>
        <v>6194</v>
      </c>
      <c r="F101" s="129">
        <v>6200</v>
      </c>
      <c r="G101" s="124">
        <f t="shared" si="8"/>
        <v>6</v>
      </c>
      <c r="H101" s="111">
        <f>G101+'16'!H101</f>
        <v>-173</v>
      </c>
      <c r="I101" s="131"/>
      <c r="J101" s="203">
        <f>H101/DAY(B2)</f>
        <v>-10.176470588235293</v>
      </c>
      <c r="K101" s="71"/>
      <c r="L101" s="68"/>
      <c r="N101" s="369"/>
      <c r="O101" s="376"/>
      <c r="P101" s="73"/>
    </row>
    <row r="102" spans="1:16">
      <c r="A102" s="1277" t="s">
        <v>215</v>
      </c>
      <c r="B102" s="1278"/>
      <c r="C102" s="1279"/>
      <c r="D102" s="175"/>
      <c r="E102" s="135"/>
      <c r="F102" s="175"/>
      <c r="G102" s="176">
        <f>SUM(G96:G101)</f>
        <v>176</v>
      </c>
      <c r="H102" s="111">
        <f>G102+'16'!H102</f>
        <v>-2718</v>
      </c>
      <c r="I102" s="177"/>
      <c r="J102" s="203">
        <f>H102/DAY(B2)</f>
        <v>-159.88235294117646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80" t="s">
        <v>217</v>
      </c>
      <c r="B104" s="1281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37" t="s">
        <v>218</v>
      </c>
      <c r="B105" s="1238"/>
      <c r="C105" s="838"/>
      <c r="D105" s="273" t="s">
        <v>143</v>
      </c>
      <c r="E105" s="135">
        <f>'16'!F105</f>
        <v>7895</v>
      </c>
      <c r="F105" s="309">
        <v>7895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4.452941176470631</v>
      </c>
      <c r="N105" s="369"/>
      <c r="O105" s="376"/>
      <c r="P105" s="73"/>
    </row>
    <row r="106" spans="1:16" s="93" customFormat="1" ht="27.75">
      <c r="A106" s="1237" t="s">
        <v>76</v>
      </c>
      <c r="B106" s="1238"/>
      <c r="C106" s="838"/>
      <c r="D106" s="273" t="s">
        <v>143</v>
      </c>
      <c r="E106" s="135">
        <f>'16'!F106</f>
        <v>36611</v>
      </c>
      <c r="F106" s="310">
        <v>36620</v>
      </c>
      <c r="G106" s="183">
        <f t="shared" ref="G106:G107" si="9">F106-E106</f>
        <v>9</v>
      </c>
      <c r="H106" s="184">
        <f>SUM(G106+'1'!G77)</f>
        <v>56</v>
      </c>
      <c r="I106" s="183"/>
      <c r="J106" s="209">
        <f>H106/DAY(B2)</f>
        <v>3.2941176470588234</v>
      </c>
      <c r="N106" s="369"/>
      <c r="O106" s="376"/>
      <c r="P106" s="73"/>
    </row>
    <row r="107" spans="1:16" s="93" customFormat="1" ht="27.75">
      <c r="A107" s="1237" t="s">
        <v>77</v>
      </c>
      <c r="B107" s="1282"/>
      <c r="C107" s="1238"/>
      <c r="D107" s="273" t="s">
        <v>143</v>
      </c>
      <c r="E107" s="135">
        <f>'16'!F107</f>
        <v>20091</v>
      </c>
      <c r="F107" s="434">
        <v>20097</v>
      </c>
      <c r="G107" s="183">
        <f t="shared" si="9"/>
        <v>6</v>
      </c>
      <c r="H107" s="184">
        <f>SUM(G107+'1'!G78)</f>
        <v>24</v>
      </c>
      <c r="I107" s="183"/>
      <c r="J107" s="209">
        <f>H107/DAY(B2)</f>
        <v>1.411764705882353</v>
      </c>
      <c r="N107" s="369"/>
      <c r="O107" s="376"/>
      <c r="P107" s="73"/>
    </row>
    <row r="108" spans="1:16" s="93" customFormat="1" ht="27.75">
      <c r="A108" s="1239" t="s">
        <v>201</v>
      </c>
      <c r="B108" s="1240"/>
      <c r="C108" s="838"/>
      <c r="D108" s="273"/>
      <c r="E108" s="135">
        <f>'16'!F108</f>
        <v>0</v>
      </c>
      <c r="F108" s="310"/>
      <c r="G108" s="183">
        <f>SUM(G105:G107)</f>
        <v>15</v>
      </c>
      <c r="H108" s="184">
        <f>SUM(G108+'1'!G79)</f>
        <v>181</v>
      </c>
      <c r="I108" s="183"/>
      <c r="J108" s="209">
        <f>H108/DAY(B2)</f>
        <v>10.647058823529411</v>
      </c>
      <c r="N108" s="369"/>
      <c r="O108" s="376"/>
      <c r="P108" s="73"/>
    </row>
    <row r="109" spans="1:16" s="93" customFormat="1" ht="27.75">
      <c r="A109" s="1243" t="s">
        <v>78</v>
      </c>
      <c r="B109" s="1244"/>
      <c r="C109" s="838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37" t="s">
        <v>219</v>
      </c>
      <c r="B110" s="1238"/>
      <c r="C110" s="838"/>
      <c r="D110" s="273" t="s">
        <v>143</v>
      </c>
      <c r="E110" s="135">
        <f>'16'!F110</f>
        <v>68363</v>
      </c>
      <c r="F110" s="310">
        <v>68437</v>
      </c>
      <c r="G110" s="183">
        <f>F110-E110</f>
        <v>74</v>
      </c>
      <c r="H110" s="184">
        <f>SUM(G110+'1'!G81)</f>
        <v>248.80000000004657</v>
      </c>
      <c r="I110" s="183"/>
      <c r="J110" s="209">
        <f>H110/DAY(B2)</f>
        <v>14.635294117649797</v>
      </c>
      <c r="N110" s="369"/>
      <c r="O110" s="376"/>
      <c r="P110" s="73"/>
    </row>
    <row r="111" spans="1:16" s="93" customFormat="1" ht="27.75">
      <c r="A111" s="1237" t="s">
        <v>220</v>
      </c>
      <c r="B111" s="1238"/>
      <c r="C111" s="838"/>
      <c r="D111" s="273" t="s">
        <v>143</v>
      </c>
      <c r="E111" s="135">
        <f>'16'!F111</f>
        <v>33886</v>
      </c>
      <c r="F111" s="310">
        <v>33886</v>
      </c>
      <c r="G111" s="183">
        <f t="shared" ref="G111:G112" si="10">F111-E111</f>
        <v>0</v>
      </c>
      <c r="H111" s="184">
        <f>SUM(G111+'1'!G82)</f>
        <v>30</v>
      </c>
      <c r="I111" s="183"/>
      <c r="J111" s="209">
        <f>H111/DAY(B2)</f>
        <v>1.7647058823529411</v>
      </c>
      <c r="N111" s="369"/>
      <c r="O111" s="376"/>
      <c r="P111" s="73"/>
    </row>
    <row r="112" spans="1:16" s="93" customFormat="1" ht="27.75">
      <c r="A112" s="1237" t="s">
        <v>221</v>
      </c>
      <c r="B112" s="1238"/>
      <c r="C112" s="838"/>
      <c r="D112" s="273" t="s">
        <v>143</v>
      </c>
      <c r="E112" s="135">
        <f>'16'!F112</f>
        <v>4694</v>
      </c>
      <c r="F112" s="310">
        <v>4694</v>
      </c>
      <c r="G112" s="183">
        <f t="shared" si="10"/>
        <v>0</v>
      </c>
      <c r="H112" s="184">
        <f>SUM(G112+'1'!G83)</f>
        <v>311</v>
      </c>
      <c r="I112" s="183"/>
      <c r="J112" s="209">
        <f>H112/DAY(B2)</f>
        <v>18.294117647058822</v>
      </c>
      <c r="N112" s="369"/>
      <c r="O112" s="376"/>
      <c r="P112" s="73"/>
    </row>
    <row r="113" spans="1:16" s="93" customFormat="1" ht="27.75">
      <c r="A113" s="1239" t="s">
        <v>109</v>
      </c>
      <c r="B113" s="1240"/>
      <c r="C113" s="838"/>
      <c r="D113" s="273"/>
      <c r="E113" s="135">
        <f>'16'!F113</f>
        <v>0</v>
      </c>
      <c r="F113" s="310"/>
      <c r="G113" s="183">
        <f>SUM(G110:G112)</f>
        <v>74</v>
      </c>
      <c r="H113" s="184">
        <f>SUM(G113+'1'!G84)</f>
        <v>814</v>
      </c>
      <c r="I113" s="183"/>
      <c r="J113" s="209">
        <f>H113/DAY(B2)</f>
        <v>47.882352941176471</v>
      </c>
      <c r="N113" s="369"/>
      <c r="O113" s="376"/>
      <c r="P113" s="73"/>
    </row>
    <row r="114" spans="1:16" s="93" customFormat="1" ht="27.75">
      <c r="A114" s="1243" t="s">
        <v>222</v>
      </c>
      <c r="B114" s="1244"/>
      <c r="C114" s="838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37" t="s">
        <v>223</v>
      </c>
      <c r="B115" s="1238"/>
      <c r="C115" s="225"/>
      <c r="D115" s="273" t="s">
        <v>143</v>
      </c>
      <c r="E115" s="135">
        <f>'16'!F115</f>
        <v>12782</v>
      </c>
      <c r="F115" s="310">
        <v>12796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0.82352941176470584</v>
      </c>
      <c r="N115" s="369"/>
      <c r="O115" s="376"/>
      <c r="P115" s="73"/>
    </row>
    <row r="116" spans="1:16" s="93" customFormat="1" ht="27.75">
      <c r="A116" s="1237" t="s">
        <v>224</v>
      </c>
      <c r="B116" s="1238"/>
      <c r="C116" s="225"/>
      <c r="D116" s="273" t="s">
        <v>143</v>
      </c>
      <c r="E116" s="135">
        <f>'16'!F116</f>
        <v>8988</v>
      </c>
      <c r="F116" s="310">
        <v>8992</v>
      </c>
      <c r="G116" s="185">
        <f t="shared" ref="G116:G117" si="11">F116-E116</f>
        <v>4</v>
      </c>
      <c r="H116" s="184">
        <f>SUM(G116+'1'!G93)</f>
        <v>66</v>
      </c>
      <c r="I116" s="183"/>
      <c r="J116" s="209">
        <f>H116/DAY(B2)</f>
        <v>3.8823529411764706</v>
      </c>
      <c r="N116" s="369"/>
      <c r="O116" s="376"/>
      <c r="P116" s="73"/>
    </row>
    <row r="117" spans="1:16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163</v>
      </c>
      <c r="I117" s="183"/>
      <c r="J117" s="209">
        <f>H117/DAY(B2)</f>
        <v>9.5882352941176467</v>
      </c>
      <c r="N117" s="369"/>
      <c r="O117" s="376"/>
      <c r="P117" s="73"/>
    </row>
    <row r="118" spans="1:16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18</v>
      </c>
      <c r="H118" s="184">
        <f>SUM(G118+'1'!G96)</f>
        <v>84</v>
      </c>
      <c r="I118" s="185"/>
      <c r="J118" s="209">
        <f>H118/DAY(B2)</f>
        <v>4.9411764705882355</v>
      </c>
      <c r="N118" s="369"/>
      <c r="O118" s="376"/>
      <c r="P118" s="73"/>
    </row>
    <row r="119" spans="1:16" s="97" customFormat="1" ht="27.75">
      <c r="A119" s="1233" t="s">
        <v>226</v>
      </c>
      <c r="B119" s="1234"/>
      <c r="C119" s="836"/>
      <c r="D119" s="275" t="s">
        <v>143</v>
      </c>
      <c r="E119" s="187"/>
      <c r="F119" s="311">
        <f>SUM(G19+G93)</f>
        <v>145</v>
      </c>
      <c r="G119" s="187">
        <f>SUM(G19+G93)</f>
        <v>145</v>
      </c>
      <c r="H119" s="184">
        <f>SUM(G119+'1'!G97)</f>
        <v>163</v>
      </c>
      <c r="I119" s="186"/>
      <c r="J119" s="210">
        <f>H119/DAY(B2)</f>
        <v>9.5882352941176467</v>
      </c>
      <c r="N119" s="369"/>
      <c r="O119" s="376"/>
      <c r="P119" s="73"/>
    </row>
    <row r="120" spans="1:16" s="97" customFormat="1" ht="27.75">
      <c r="A120" s="1233" t="s">
        <v>227</v>
      </c>
      <c r="B120" s="1234"/>
      <c r="C120" s="836"/>
      <c r="D120" s="275" t="s">
        <v>143</v>
      </c>
      <c r="E120" s="187"/>
      <c r="F120" s="311">
        <f>SUM(G96,G97,G98,G100,G101)</f>
        <v>140</v>
      </c>
      <c r="G120" s="187">
        <f>SUM(G96,G97,G98,G100,G101)</f>
        <v>140</v>
      </c>
      <c r="H120" s="184">
        <f>SUM(G120+'1'!G99)</f>
        <v>151</v>
      </c>
      <c r="I120" s="186"/>
      <c r="J120" s="210">
        <f>H120/DAY(B2)</f>
        <v>8.882352941176471</v>
      </c>
      <c r="N120" s="369"/>
      <c r="O120" s="376"/>
      <c r="P120" s="73"/>
    </row>
    <row r="121" spans="1:16" s="97" customFormat="1" ht="27.75">
      <c r="A121" s="1233" t="s">
        <v>228</v>
      </c>
      <c r="B121" s="1234"/>
      <c r="C121" s="836"/>
      <c r="D121" s="275" t="s">
        <v>143</v>
      </c>
      <c r="E121" s="185"/>
      <c r="F121" s="310">
        <f>SUM(G113)</f>
        <v>74</v>
      </c>
      <c r="G121" s="185">
        <f>SUM(G113)</f>
        <v>74</v>
      </c>
      <c r="H121" s="184">
        <f>SUM(G121+'1'!G101)</f>
        <v>83</v>
      </c>
      <c r="I121" s="186"/>
      <c r="J121" s="210">
        <f>H121/DAY(B2)</f>
        <v>4.882352941176471</v>
      </c>
      <c r="N121" s="369"/>
      <c r="O121" s="376"/>
      <c r="P121" s="73"/>
    </row>
    <row r="122" spans="1:16" s="93" customFormat="1" ht="27.75">
      <c r="A122" s="1235"/>
      <c r="B122" s="1236"/>
      <c r="C122" s="83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839" t="s">
        <v>230</v>
      </c>
      <c r="B124" s="840"/>
      <c r="C124" s="840"/>
      <c r="D124" s="174" t="s">
        <v>140</v>
      </c>
      <c r="E124" s="129">
        <f>'16'!F124</f>
        <v>852273.46</v>
      </c>
      <c r="F124" s="129">
        <v>852569.55</v>
      </c>
      <c r="G124" s="124">
        <f t="shared" ref="G124:G128" si="12">F124-E124</f>
        <v>296.09000000008382</v>
      </c>
      <c r="H124" s="111">
        <f>G124+'16'!H124</f>
        <v>-3782.4499999999534</v>
      </c>
      <c r="I124" s="177"/>
      <c r="J124" s="203">
        <f>H124/DAY(B2)</f>
        <v>-222.49705882352669</v>
      </c>
      <c r="K124" s="71"/>
      <c r="L124" s="68"/>
      <c r="N124" s="369"/>
      <c r="O124" s="376"/>
      <c r="P124" s="73"/>
    </row>
    <row r="125" spans="1:16" ht="27.75">
      <c r="A125" s="839" t="s">
        <v>231</v>
      </c>
      <c r="B125" s="840"/>
      <c r="C125" s="840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226" t="s">
        <v>232</v>
      </c>
      <c r="B126" s="1227"/>
      <c r="C126" s="1228"/>
      <c r="D126" s="174" t="s">
        <v>140</v>
      </c>
      <c r="E126" s="129">
        <f>'16'!F126</f>
        <v>152712.5</v>
      </c>
      <c r="F126" s="129">
        <v>152789.28</v>
      </c>
      <c r="G126" s="124">
        <f t="shared" si="12"/>
        <v>76.779999999998836</v>
      </c>
      <c r="H126" s="111">
        <f>G126+'16'!H126</f>
        <v>-1287.7200000000012</v>
      </c>
      <c r="I126" s="177"/>
      <c r="J126" s="203">
        <f>H126/DAY(B2)</f>
        <v>-75.74823529411772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840"/>
      <c r="C127" s="840"/>
      <c r="D127" s="174" t="s">
        <v>140</v>
      </c>
      <c r="E127" s="277">
        <f>'16'!F127</f>
        <v>34001.300000000003</v>
      </c>
      <c r="F127" s="277">
        <v>34041.199999999997</v>
      </c>
      <c r="G127" s="124">
        <f t="shared" si="12"/>
        <v>39.899999999994179</v>
      </c>
      <c r="H127" s="111">
        <f>G127+'16'!H127</f>
        <v>-587.80000000000291</v>
      </c>
      <c r="I127" s="177"/>
      <c r="J127" s="203">
        <f>H127/DAY(B2)</f>
        <v>-34.576470588235466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840"/>
      <c r="C128" s="840"/>
      <c r="D128" s="174" t="s">
        <v>140</v>
      </c>
      <c r="E128" s="277">
        <f>'16'!F128</f>
        <v>9144.7000000000007</v>
      </c>
      <c r="F128" s="277">
        <v>9145.4</v>
      </c>
      <c r="G128" s="124">
        <f t="shared" si="12"/>
        <v>0.69999999999890861</v>
      </c>
      <c r="H128" s="111">
        <f>G128+'16'!H128</f>
        <v>-34.600000000000364</v>
      </c>
      <c r="I128" s="131"/>
      <c r="J128" s="203">
        <f>H128/DAY(B2)</f>
        <v>-2.03529411764708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840"/>
      <c r="C129" s="840"/>
      <c r="D129" s="174"/>
      <c r="E129" s="129"/>
      <c r="F129" s="129"/>
      <c r="G129" s="124">
        <f>G15-SUM(G124:G128)</f>
        <v>400.04199999979573</v>
      </c>
      <c r="H129" s="111">
        <f>G129+'16'!H129</f>
        <v>929.1789999998964</v>
      </c>
      <c r="I129" s="131"/>
      <c r="J129" s="203">
        <f>H129/DAY(B2)</f>
        <v>54.657588235288024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839" t="s">
        <v>237</v>
      </c>
      <c r="B131" s="840"/>
      <c r="C131" s="840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839" t="s">
        <v>239</v>
      </c>
      <c r="B132" s="840"/>
      <c r="C132" s="840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839" t="s">
        <v>240</v>
      </c>
      <c r="B133" s="840"/>
      <c r="C133" s="840"/>
      <c r="D133" s="174" t="s">
        <v>238</v>
      </c>
      <c r="E133" s="192">
        <f>'16'!F133</f>
        <v>40828.54</v>
      </c>
      <c r="F133" s="302">
        <v>40853</v>
      </c>
      <c r="G133" s="124">
        <f>F133-E133</f>
        <v>24.459999999999127</v>
      </c>
      <c r="H133" s="111">
        <f>G133+'16'!H133</f>
        <v>-69</v>
      </c>
      <c r="I133" s="131"/>
      <c r="J133" s="203">
        <f>H133/DAY(B2)</f>
        <v>-4.0588235294117645</v>
      </c>
      <c r="N133" s="369"/>
      <c r="O133" s="376"/>
      <c r="P133" s="73"/>
    </row>
    <row r="134" spans="1:16" ht="27.75">
      <c r="A134" s="839" t="s">
        <v>241</v>
      </c>
      <c r="B134" s="840"/>
      <c r="C134" s="840"/>
      <c r="D134" s="174" t="s">
        <v>238</v>
      </c>
      <c r="E134" s="352">
        <f>'16'!F134</f>
        <v>724.25</v>
      </c>
      <c r="F134" s="277">
        <v>724.25</v>
      </c>
      <c r="G134" s="124">
        <f t="shared" si="13"/>
        <v>0</v>
      </c>
      <c r="H134" s="111">
        <f>G134+'16'!H134</f>
        <v>-131.75</v>
      </c>
      <c r="I134" s="131">
        <f>G131+G132+G133+G134</f>
        <v>24.459999999999127</v>
      </c>
      <c r="J134" s="203">
        <f>H134/DAY(B2)</f>
        <v>-7.75</v>
      </c>
      <c r="N134" s="369"/>
      <c r="O134" s="376"/>
      <c r="P134" s="73"/>
    </row>
    <row r="135" spans="1:16" ht="27.75">
      <c r="A135" s="839" t="s">
        <v>242</v>
      </c>
      <c r="B135" s="840"/>
      <c r="C135" s="840"/>
      <c r="D135" s="174" t="s">
        <v>238</v>
      </c>
      <c r="E135" s="352">
        <f>'16'!F135</f>
        <v>42644.06</v>
      </c>
      <c r="F135" s="277">
        <v>42644.06</v>
      </c>
      <c r="G135" s="124">
        <f t="shared" si="13"/>
        <v>0</v>
      </c>
      <c r="H135" s="111">
        <f>G135+'16'!H135</f>
        <v>-177.94000000000233</v>
      </c>
      <c r="I135" s="131"/>
      <c r="J135" s="203">
        <f>H135/DAY(B2)</f>
        <v>-10.467058823529548</v>
      </c>
      <c r="N135" s="369"/>
      <c r="O135" s="376"/>
      <c r="P135" s="73"/>
    </row>
    <row r="136" spans="1:16" ht="27.75">
      <c r="A136" s="839" t="s">
        <v>243</v>
      </c>
      <c r="B136" s="840"/>
      <c r="C136" s="840"/>
      <c r="D136" s="174" t="s">
        <v>238</v>
      </c>
      <c r="E136" s="192">
        <f>'16'!F136</f>
        <v>32874</v>
      </c>
      <c r="F136" s="302">
        <v>32874</v>
      </c>
      <c r="G136" s="124">
        <f t="shared" si="13"/>
        <v>0</v>
      </c>
      <c r="H136" s="111">
        <f>G136+'16'!H136</f>
        <v>-54</v>
      </c>
      <c r="I136" s="131"/>
      <c r="J136" s="203">
        <f>H136/DAY(B2)</f>
        <v>-3.1764705882352939</v>
      </c>
      <c r="N136" s="369"/>
      <c r="O136" s="376"/>
      <c r="P136" s="73"/>
    </row>
    <row r="137" spans="1:16" ht="27.75">
      <c r="A137" s="839" t="s">
        <v>244</v>
      </c>
      <c r="B137" s="840"/>
      <c r="C137" s="840"/>
      <c r="D137" s="174" t="s">
        <v>238</v>
      </c>
      <c r="E137" s="192">
        <f>'16'!F137</f>
        <v>23229.32</v>
      </c>
      <c r="F137" s="302">
        <v>23236.959999999999</v>
      </c>
      <c r="G137" s="124">
        <f t="shared" si="13"/>
        <v>7.6399999999994179</v>
      </c>
      <c r="H137" s="111">
        <f>G137+'16'!H137</f>
        <v>-119.47000000000116</v>
      </c>
      <c r="I137" s="131">
        <f>G135+G136+G137</f>
        <v>7.6399999999994179</v>
      </c>
      <c r="J137" s="203">
        <f>H137/DAY(B2)</f>
        <v>-7.0276470588235975</v>
      </c>
      <c r="N137" s="369"/>
      <c r="O137" s="376"/>
      <c r="P137" s="73"/>
    </row>
    <row r="138" spans="1:16" ht="27.75">
      <c r="A138" s="839" t="s">
        <v>245</v>
      </c>
      <c r="B138" s="840"/>
      <c r="C138" s="840"/>
      <c r="D138" s="174" t="s">
        <v>238</v>
      </c>
      <c r="E138" s="192">
        <f>'16'!F138</f>
        <v>25132.98</v>
      </c>
      <c r="F138" s="302">
        <v>25132.98</v>
      </c>
      <c r="G138" s="124">
        <f t="shared" si="13"/>
        <v>0</v>
      </c>
      <c r="H138" s="111">
        <f>G138+'16'!H138</f>
        <v>2.0000000000436557E-2</v>
      </c>
      <c r="I138" s="131"/>
      <c r="J138" s="203">
        <f>H138/DAY(B2)</f>
        <v>1.176470588260974E-3</v>
      </c>
      <c r="N138" s="369"/>
      <c r="O138" s="376"/>
      <c r="P138" s="73"/>
    </row>
    <row r="139" spans="1:16" ht="27.75">
      <c r="A139" s="839" t="s">
        <v>246</v>
      </c>
      <c r="B139" s="840"/>
      <c r="C139" s="840"/>
      <c r="D139" s="174" t="s">
        <v>238</v>
      </c>
      <c r="E139" s="192">
        <f>'16'!F139</f>
        <v>70523.55</v>
      </c>
      <c r="F139" s="302">
        <v>70523.55</v>
      </c>
      <c r="G139" s="124">
        <f t="shared" si="13"/>
        <v>0</v>
      </c>
      <c r="H139" s="111">
        <f>G139+'16'!H139</f>
        <v>-1</v>
      </c>
      <c r="I139" s="131">
        <f>G138+G139</f>
        <v>0</v>
      </c>
      <c r="J139" s="203">
        <f>H139/DAY(B2)</f>
        <v>-5.8823529411764705E-2</v>
      </c>
      <c r="N139" s="369"/>
      <c r="O139" s="376"/>
      <c r="P139" s="73"/>
    </row>
    <row r="140" spans="1:16" ht="27.75">
      <c r="A140" s="839" t="s">
        <v>247</v>
      </c>
      <c r="B140" s="840"/>
      <c r="C140" s="840"/>
      <c r="D140" s="174" t="s">
        <v>238</v>
      </c>
      <c r="E140" s="352">
        <f>'16'!F140</f>
        <v>2470.5700000000002</v>
      </c>
      <c r="F140" s="277">
        <v>2481.98</v>
      </c>
      <c r="G140" s="124">
        <f t="shared" si="13"/>
        <v>11.409999999999854</v>
      </c>
      <c r="H140" s="111">
        <f>G140+'16'!H140</f>
        <v>-146</v>
      </c>
      <c r="I140" s="193"/>
      <c r="J140" s="203">
        <f>H140/DAY(B2)</f>
        <v>-8.5882352941176467</v>
      </c>
      <c r="N140" s="369"/>
      <c r="O140" s="376"/>
      <c r="P140" s="73"/>
    </row>
    <row r="141" spans="1:16" ht="27.75">
      <c r="A141" s="839" t="s">
        <v>248</v>
      </c>
      <c r="B141" s="840"/>
      <c r="C141" s="840"/>
      <c r="D141" s="174" t="s">
        <v>238</v>
      </c>
      <c r="E141" s="135">
        <f>'16'!F141</f>
        <v>4753.67</v>
      </c>
      <c r="F141" s="129">
        <v>4753.67</v>
      </c>
      <c r="G141" s="124">
        <f t="shared" si="13"/>
        <v>0</v>
      </c>
      <c r="H141" s="111">
        <f>G141+'16'!H141</f>
        <v>-0.32999999999992724</v>
      </c>
      <c r="I141" s="193"/>
      <c r="J141" s="203">
        <f>H141/DAY(B2)</f>
        <v>-1.9411764705878073E-2</v>
      </c>
      <c r="N141" s="369"/>
      <c r="O141" s="376"/>
      <c r="P141" s="73"/>
    </row>
    <row r="142" spans="1:16">
      <c r="A142" s="1248" t="s">
        <v>249</v>
      </c>
      <c r="B142" s="1249"/>
      <c r="C142" s="84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v>3349</v>
      </c>
      <c r="H143" s="111">
        <f>G143+'16'!H143</f>
        <v>323771.63</v>
      </c>
      <c r="I143" s="131"/>
      <c r="J143" s="203">
        <f>H143/DAY(B2)</f>
        <v>19045.39</v>
      </c>
      <c r="K143" s="71"/>
      <c r="L143" s="68"/>
      <c r="N143" s="369"/>
      <c r="O143" s="376"/>
      <c r="P143" s="73"/>
    </row>
    <row r="144" spans="1:16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0.16107931316434995</v>
      </c>
      <c r="H144" s="111">
        <f>G144+'16'!H144</f>
        <v>5.1803944635761816</v>
      </c>
      <c r="I144" s="195"/>
      <c r="J144" s="203">
        <f>H144/DAY(B2)</f>
        <v>0.30472908609271654</v>
      </c>
      <c r="K144" s="71"/>
      <c r="L144" s="68"/>
      <c r="N144" s="369"/>
      <c r="O144" s="376"/>
      <c r="P144" s="73"/>
    </row>
    <row r="145" spans="1:16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5807</v>
      </c>
      <c r="H145" s="111">
        <f>G145+'16'!H145</f>
        <v>-93372.77999999997</v>
      </c>
      <c r="I145" s="131"/>
      <c r="J145" s="203">
        <f>H145/DAY(B2)</f>
        <v>-5492.5164705882335</v>
      </c>
      <c r="K145" s="71"/>
      <c r="L145" s="68"/>
      <c r="N145" s="369"/>
      <c r="O145" s="376"/>
      <c r="P145" s="73"/>
    </row>
    <row r="146" spans="1:16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0.27930354480303976</v>
      </c>
      <c r="H146" s="111">
        <f>G146+'16'!H146</f>
        <v>4.2692366293948121</v>
      </c>
      <c r="I146" s="195"/>
      <c r="J146" s="203">
        <f>H146/DAY(B2)</f>
        <v>0.25113156643498896</v>
      </c>
      <c r="K146" s="71"/>
      <c r="L146" s="68"/>
      <c r="N146" s="369"/>
      <c r="O146" s="376"/>
      <c r="P146" s="73"/>
    </row>
    <row r="147" spans="1:16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3719.3999999999651</v>
      </c>
      <c r="H147" s="111">
        <f>G147+'16'!H147</f>
        <v>1014904.99</v>
      </c>
      <c r="I147" s="196"/>
      <c r="J147" s="203">
        <f>H147/DAY(B2)</f>
        <v>59700.293529411763</v>
      </c>
      <c r="K147" s="71"/>
      <c r="L147" s="68"/>
      <c r="N147" s="369"/>
      <c r="O147" s="376"/>
      <c r="P147" s="73"/>
    </row>
    <row r="148" spans="1:16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0.17889471405896615</v>
      </c>
      <c r="H148" s="111">
        <f>G148+'16'!H148</f>
        <v>5.6270611492078197</v>
      </c>
      <c r="I148" s="196"/>
      <c r="J148" s="203">
        <f>H148/DAY(B2)</f>
        <v>0.3310035970122247</v>
      </c>
      <c r="N148" s="369"/>
      <c r="O148" s="376"/>
      <c r="P148" s="73"/>
    </row>
    <row r="149" spans="1:16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1715</v>
      </c>
      <c r="H149" s="111">
        <f>G149+'16'!H149</f>
        <v>812408.07</v>
      </c>
      <c r="I149" s="131"/>
      <c r="J149" s="203">
        <f>H149/DAY(B2)</f>
        <v>47788.71</v>
      </c>
      <c r="K149" s="72"/>
      <c r="N149" s="369"/>
      <c r="O149" s="376"/>
      <c r="P149" s="73"/>
    </row>
    <row r="150" spans="1:16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8.2487614833341355E-2</v>
      </c>
      <c r="H150" s="111">
        <f>G150+'16'!H150</f>
        <v>3.5734795108864734</v>
      </c>
      <c r="I150" s="196"/>
      <c r="J150" s="203">
        <f>H150/DAY(B2)</f>
        <v>0.21020467711096902</v>
      </c>
      <c r="N150" s="369"/>
      <c r="O150" s="376"/>
      <c r="P150" s="73"/>
    </row>
    <row r="151" spans="1:16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2085.5</v>
      </c>
      <c r="H151" s="111">
        <f>G151+'16'!H151</f>
        <v>40007.5</v>
      </c>
      <c r="I151" s="196"/>
      <c r="J151" s="203">
        <f>H151/DAY(B2)</f>
        <v>2353.3823529411766</v>
      </c>
      <c r="N151" s="369"/>
      <c r="O151" s="376"/>
      <c r="P151" s="73"/>
    </row>
    <row r="152" spans="1:16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0.10030782550141888</v>
      </c>
      <c r="H152" s="111">
        <f>G152+'16'!H152</f>
        <v>1.3923628727390325</v>
      </c>
      <c r="I152" s="131"/>
      <c r="J152" s="203">
        <f>H152/DAY(B2)</f>
        <v>8.1903698396413677E-2</v>
      </c>
      <c r="N152" s="369"/>
      <c r="O152" s="376"/>
      <c r="P152" s="73"/>
    </row>
    <row r="153" spans="1:16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1496</v>
      </c>
      <c r="H153" s="111">
        <f>G153+'16'!H153</f>
        <v>394065.87000000005</v>
      </c>
      <c r="I153" s="131"/>
      <c r="J153" s="203">
        <f>H153/DAY(B2)</f>
        <v>23180.345294117651</v>
      </c>
      <c r="N153" s="369"/>
      <c r="O153" s="376"/>
      <c r="P153" s="73"/>
    </row>
    <row r="154" spans="1:16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7.1954210956663947E-2</v>
      </c>
      <c r="H154" s="111">
        <f>G154+'16'!H154</f>
        <v>2.2703388445198223</v>
      </c>
      <c r="I154" s="219"/>
      <c r="J154" s="220">
        <f>H154/DAY(B2)</f>
        <v>0.13354934379528366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'16'!F161</f>
        <v>44598.9</v>
      </c>
      <c r="F161" s="454">
        <v>44682.400000000001</v>
      </c>
      <c r="G161" s="124">
        <f t="shared" ref="G161:G164" si="14">F161-E161</f>
        <v>83.5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'16'!F162</f>
        <v>129641</v>
      </c>
      <c r="F162" s="454">
        <v>130095</v>
      </c>
      <c r="G162" s="124">
        <f t="shared" si="14"/>
        <v>454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'16'!F163</f>
        <v>60709.9</v>
      </c>
      <c r="F163" s="434">
        <v>60911.6</v>
      </c>
      <c r="G163" s="124">
        <f t="shared" si="14"/>
        <v>201.69999999999709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'16'!F164</f>
        <v>7301.75</v>
      </c>
      <c r="F164" s="454">
        <v>7315.69</v>
      </c>
      <c r="G164" s="124">
        <f t="shared" si="14"/>
        <v>13.9399999999996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f t="shared" ref="E166:E172" si="16">E63</f>
        <v>0</v>
      </c>
      <c r="F166" s="165">
        <f t="shared" ref="F166:F172" si="17">F63</f>
        <v>0</v>
      </c>
      <c r="G166" s="124">
        <f t="shared" si="15"/>
        <v>0</v>
      </c>
      <c r="N166" s="369"/>
    </row>
    <row r="167" spans="1:14" ht="27.75">
      <c r="A167" s="1299" t="s">
        <v>98</v>
      </c>
      <c r="B167" s="1299"/>
      <c r="C167" s="1299"/>
      <c r="D167" s="175" t="s">
        <v>186</v>
      </c>
      <c r="E167" s="173">
        <f t="shared" si="16"/>
        <v>187962</v>
      </c>
      <c r="F167" s="165">
        <f t="shared" si="17"/>
        <v>188394</v>
      </c>
      <c r="G167" s="124">
        <f t="shared" si="15"/>
        <v>432</v>
      </c>
      <c r="N167" s="369"/>
    </row>
    <row r="168" spans="1:14" ht="27.75">
      <c r="A168" s="1299" t="s">
        <v>99</v>
      </c>
      <c r="B168" s="1299"/>
      <c r="C168" s="1299"/>
      <c r="D168" s="175" t="s">
        <v>186</v>
      </c>
      <c r="E168" s="173">
        <f t="shared" si="16"/>
        <v>188656</v>
      </c>
      <c r="F168" s="165">
        <f>F65</f>
        <v>189079</v>
      </c>
      <c r="G168" s="124">
        <f t="shared" si="15"/>
        <v>423</v>
      </c>
      <c r="N168" s="369"/>
    </row>
    <row r="169" spans="1:14" ht="27.75">
      <c r="A169" s="1299" t="s">
        <v>100</v>
      </c>
      <c r="B169" s="1299"/>
      <c r="C169" s="1299"/>
      <c r="D169" s="175" t="s">
        <v>186</v>
      </c>
      <c r="E169" s="173">
        <f t="shared" si="16"/>
        <v>87172.4</v>
      </c>
      <c r="F169" s="165">
        <f t="shared" si="17"/>
        <v>87590.8</v>
      </c>
      <c r="G169" s="124">
        <f t="shared" si="15"/>
        <v>418.40000000000873</v>
      </c>
      <c r="N169" s="369"/>
    </row>
    <row r="170" spans="1:14" ht="27.75">
      <c r="A170" s="1299" t="s">
        <v>101</v>
      </c>
      <c r="B170" s="1299"/>
      <c r="C170" s="1299"/>
      <c r="D170" s="175" t="s">
        <v>186</v>
      </c>
      <c r="E170" s="173">
        <f t="shared" si="16"/>
        <v>287730</v>
      </c>
      <c r="F170" s="165">
        <f t="shared" si="17"/>
        <v>288152</v>
      </c>
      <c r="G170" s="124">
        <f t="shared" si="15"/>
        <v>422</v>
      </c>
      <c r="N170" s="369"/>
    </row>
    <row r="171" spans="1:14" ht="27.75">
      <c r="A171" s="1299" t="s">
        <v>102</v>
      </c>
      <c r="B171" s="1299"/>
      <c r="C171" s="1299"/>
      <c r="D171" s="175" t="s">
        <v>186</v>
      </c>
      <c r="E171" s="173">
        <f t="shared" si="16"/>
        <v>85321</v>
      </c>
      <c r="F171" s="165">
        <f t="shared" si="17"/>
        <v>85321</v>
      </c>
      <c r="G171" s="124">
        <f t="shared" si="15"/>
        <v>0</v>
      </c>
      <c r="N171" s="369"/>
    </row>
    <row r="172" spans="1:14" ht="27.75">
      <c r="A172" s="1299" t="s">
        <v>103</v>
      </c>
      <c r="B172" s="1299"/>
      <c r="C172" s="1299"/>
      <c r="D172" s="175" t="s">
        <v>186</v>
      </c>
      <c r="E172" s="173">
        <f t="shared" si="16"/>
        <v>101615</v>
      </c>
      <c r="F172" s="165">
        <f t="shared" si="17"/>
        <v>101918</v>
      </c>
      <c r="G172" s="124">
        <f t="shared" si="15"/>
        <v>303</v>
      </c>
      <c r="N172" s="369"/>
    </row>
    <row r="173" spans="1:14" ht="18.75" customHeight="1">
      <c r="N173" s="369"/>
    </row>
    <row r="174" spans="1:14">
      <c r="A174" s="1273" t="s">
        <v>337</v>
      </c>
      <c r="B174" s="1236"/>
      <c r="C174" s="436"/>
      <c r="D174" s="174" t="s">
        <v>186</v>
      </c>
      <c r="E174" s="183">
        <f>'16'!F178</f>
        <v>0</v>
      </c>
      <c r="F174" s="183">
        <v>19181.599999999999</v>
      </c>
      <c r="G174" s="124">
        <f t="shared" ref="G174:G176" si="18">F174-E174</f>
        <v>19181.599999999999</v>
      </c>
      <c r="N174" s="369"/>
    </row>
    <row r="175" spans="1:14">
      <c r="A175" s="1273" t="s">
        <v>337</v>
      </c>
      <c r="B175" s="1236"/>
      <c r="C175" s="436"/>
      <c r="D175" s="174" t="s">
        <v>186</v>
      </c>
      <c r="E175" s="183">
        <f>'16'!F179</f>
        <v>0</v>
      </c>
      <c r="F175" s="183">
        <v>70644.399999999994</v>
      </c>
      <c r="G175" s="124">
        <f t="shared" si="18"/>
        <v>70644.399999999994</v>
      </c>
      <c r="N175" s="369"/>
    </row>
    <row r="176" spans="1:14">
      <c r="A176" s="1273" t="s">
        <v>338</v>
      </c>
      <c r="B176" s="1236"/>
      <c r="C176" s="436"/>
      <c r="D176" s="174" t="s">
        <v>186</v>
      </c>
      <c r="E176" s="183">
        <f>'16'!F180</f>
        <v>0</v>
      </c>
      <c r="F176" s="183">
        <v>27886.400000000001</v>
      </c>
      <c r="G176" s="124">
        <f t="shared" si="18"/>
        <v>27886.400000000001</v>
      </c>
      <c r="N176" s="369"/>
    </row>
    <row r="177" spans="1:14" ht="18.75" customHeight="1">
      <c r="A177" s="1296" t="s">
        <v>382</v>
      </c>
      <c r="B177" s="1296"/>
      <c r="C177" s="1296"/>
      <c r="D177" s="1296"/>
      <c r="E177" s="1296"/>
      <c r="F177" s="1296"/>
      <c r="G177" s="1296"/>
      <c r="N177" s="369"/>
    </row>
    <row r="178" spans="1:14" ht="17.25" customHeight="1">
      <c r="A178" s="435"/>
      <c r="B178" s="436"/>
      <c r="C178" s="436"/>
      <c r="D178" s="174" t="s">
        <v>186</v>
      </c>
      <c r="E178" s="173">
        <f>'16'!F178</f>
        <v>0</v>
      </c>
      <c r="F178" s="193"/>
      <c r="G178" s="124">
        <f t="shared" ref="G178:G184" si="19">F178-E178</f>
        <v>0</v>
      </c>
      <c r="N178" s="369"/>
    </row>
    <row r="179" spans="1:14" ht="18.75" customHeight="1">
      <c r="A179" s="435" t="s">
        <v>383</v>
      </c>
      <c r="B179" s="436"/>
      <c r="C179" s="436"/>
      <c r="D179" s="174" t="s">
        <v>186</v>
      </c>
      <c r="E179" s="173">
        <f>'16'!F179</f>
        <v>0</v>
      </c>
      <c r="F179" s="193"/>
      <c r="G179" s="124">
        <f t="shared" si="19"/>
        <v>0</v>
      </c>
      <c r="N179" s="369"/>
    </row>
    <row r="180" spans="1:14" ht="18.75" customHeight="1">
      <c r="A180" s="435" t="s">
        <v>384</v>
      </c>
      <c r="B180" s="436"/>
      <c r="C180" s="436"/>
      <c r="D180" s="174" t="s">
        <v>186</v>
      </c>
      <c r="E180" s="173">
        <f>'16'!F180</f>
        <v>0</v>
      </c>
      <c r="F180" s="193"/>
      <c r="G180" s="124">
        <f t="shared" si="19"/>
        <v>0</v>
      </c>
      <c r="N180" s="369"/>
    </row>
    <row r="181" spans="1:14" ht="17.25" customHeight="1">
      <c r="A181" s="435" t="s">
        <v>385</v>
      </c>
      <c r="B181" s="436"/>
      <c r="C181" s="436"/>
      <c r="D181" s="174" t="s">
        <v>186</v>
      </c>
      <c r="E181" s="173">
        <f>'16'!F181</f>
        <v>0</v>
      </c>
      <c r="F181" s="193"/>
      <c r="G181" s="124">
        <f t="shared" si="19"/>
        <v>0</v>
      </c>
      <c r="N181" s="369"/>
    </row>
    <row r="182" spans="1:14" ht="18.75" customHeight="1">
      <c r="A182" s="435" t="s">
        <v>386</v>
      </c>
      <c r="B182" s="436"/>
      <c r="C182" s="436"/>
      <c r="D182" s="174" t="s">
        <v>186</v>
      </c>
      <c r="E182" s="173">
        <f>'16'!F182</f>
        <v>0</v>
      </c>
      <c r="F182" s="193"/>
      <c r="G182" s="124">
        <f t="shared" si="19"/>
        <v>0</v>
      </c>
      <c r="N182" s="369"/>
    </row>
    <row r="183" spans="1:14" ht="18.75" customHeight="1">
      <c r="A183" s="435" t="s">
        <v>387</v>
      </c>
      <c r="B183" s="436"/>
      <c r="C183" s="436"/>
      <c r="D183" s="174" t="s">
        <v>186</v>
      </c>
      <c r="E183" s="173">
        <f>'16'!F183</f>
        <v>0</v>
      </c>
      <c r="F183" s="193"/>
      <c r="G183" s="124">
        <f t="shared" si="19"/>
        <v>0</v>
      </c>
      <c r="N183" s="369"/>
    </row>
    <row r="184" spans="1:14" ht="17.25" customHeight="1">
      <c r="A184" s="435" t="s">
        <v>388</v>
      </c>
      <c r="B184" s="436"/>
      <c r="C184" s="436"/>
      <c r="D184" s="174" t="s">
        <v>186</v>
      </c>
      <c r="E184" s="173">
        <f>'16'!F184</f>
        <v>0</v>
      </c>
      <c r="F184" s="193"/>
      <c r="G184" s="124">
        <f t="shared" si="19"/>
        <v>0</v>
      </c>
      <c r="N184" s="369"/>
    </row>
    <row r="185" spans="1:14" ht="17.25" customHeight="1">
      <c r="N185" s="369"/>
    </row>
    <row r="186" spans="1:14" ht="17.25" customHeight="1">
      <c r="N186" s="369"/>
    </row>
    <row r="187" spans="1:14" ht="17.25" customHeight="1">
      <c r="N187" s="369"/>
    </row>
    <row r="188" spans="1:14" ht="17.25" customHeight="1">
      <c r="N188" s="369"/>
    </row>
    <row r="189" spans="1:14" ht="17.25" customHeight="1">
      <c r="N189" s="369"/>
    </row>
    <row r="190" spans="1:14" ht="17.25" customHeight="1">
      <c r="N190" s="369"/>
    </row>
    <row r="191" spans="1:14" ht="18.75" customHeight="1">
      <c r="N191" s="369"/>
    </row>
    <row r="192" spans="1:14" ht="18.75" customHeight="1">
      <c r="N192" s="369"/>
    </row>
    <row r="193" spans="14:14" ht="18.75" customHeight="1">
      <c r="N193" s="369"/>
    </row>
    <row r="194" spans="14:14" ht="18.75" customHeight="1">
      <c r="N194" s="369"/>
    </row>
    <row r="195" spans="14:14" ht="18.75" customHeight="1">
      <c r="N195" s="369"/>
    </row>
    <row r="196" spans="14:14" ht="18.75" customHeight="1">
      <c r="N196" s="369"/>
    </row>
    <row r="197" spans="14:14" ht="18.75" customHeight="1">
      <c r="N197" s="369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8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7:G177"/>
    <mergeCell ref="A174:B174"/>
    <mergeCell ref="A175:B175"/>
    <mergeCell ref="A176:B176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P238"/>
  <sheetViews>
    <sheetView view="pageBreakPreview" topLeftCell="A10" zoomScale="55" zoomScaleNormal="68" zoomScaleSheetLayoutView="55" workbookViewId="0">
      <selection activeCell="F28" sqref="F28"/>
    </sheetView>
  </sheetViews>
  <sheetFormatPr defaultColWidth="22.33203125" defaultRowHeight="29.2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6" s="57" customFormat="1" ht="27">
      <c r="A2" s="226" t="s">
        <v>344</v>
      </c>
      <c r="B2" s="682">
        <v>44426</v>
      </c>
      <c r="C2" s="934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>
      <c r="A3" s="221"/>
      <c r="B3" s="265"/>
      <c r="C3" s="934" t="s">
        <v>119</v>
      </c>
      <c r="D3" s="263">
        <v>29</v>
      </c>
      <c r="E3" s="1259" t="s">
        <v>120</v>
      </c>
      <c r="F3" s="1260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375"/>
    </row>
    <row r="4" spans="1:16" s="57" customFormat="1" ht="27">
      <c r="A4" s="227"/>
      <c r="B4" s="267"/>
      <c r="C4" s="934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>
      <c r="A7" s="327" t="s">
        <v>130</v>
      </c>
      <c r="B7" s="328"/>
      <c r="C7" s="328"/>
      <c r="D7" s="288" t="s">
        <v>131</v>
      </c>
      <c r="E7" s="284">
        <f>'17'!F7</f>
        <v>985919</v>
      </c>
      <c r="F7" s="106">
        <f>1000000+6975</f>
        <v>1006975</v>
      </c>
      <c r="G7" s="353">
        <f>F7-E7</f>
        <v>21056</v>
      </c>
      <c r="H7" s="330">
        <f>G7+'17'!H7</f>
        <v>708284</v>
      </c>
      <c r="I7" s="331">
        <f>'1'!I7</f>
        <v>12000</v>
      </c>
      <c r="J7" s="332">
        <f>H7/DAY(B2)</f>
        <v>39349.111111111109</v>
      </c>
      <c r="K7" s="200"/>
      <c r="L7" s="68"/>
      <c r="N7" s="1130">
        <f>G7-'17'!G7</f>
        <v>265</v>
      </c>
      <c r="O7" s="376"/>
      <c r="P7" s="379">
        <f>E7-1000000</f>
        <v>-14081</v>
      </c>
    </row>
    <row r="8" spans="1:16" ht="27.75" thickBot="1">
      <c r="A8" s="333" t="s">
        <v>132</v>
      </c>
      <c r="B8" s="334"/>
      <c r="C8" s="335"/>
      <c r="D8" s="336" t="s">
        <v>25</v>
      </c>
      <c r="E8" s="284">
        <f>'17'!F8</f>
        <v>685733.27</v>
      </c>
      <c r="F8" s="126">
        <f>1000000+17221</f>
        <v>1017221</v>
      </c>
      <c r="G8" s="353">
        <f>F8-E8</f>
        <v>331487.73</v>
      </c>
      <c r="H8" s="330">
        <f>G8+'17'!H8</f>
        <v>707649</v>
      </c>
      <c r="I8" s="337">
        <f>'1'!I8</f>
        <v>12000</v>
      </c>
      <c r="J8" s="332">
        <f>H8/DAY(B2)</f>
        <v>39313.833333333336</v>
      </c>
      <c r="K8" s="200"/>
      <c r="L8" s="78"/>
      <c r="M8" s="91"/>
      <c r="N8" s="1130">
        <f>G8-'17'!G8</f>
        <v>308987.73</v>
      </c>
      <c r="O8" s="376">
        <f>E8-999999.99</f>
        <v>-314266.71999999997</v>
      </c>
      <c r="P8" s="73">
        <v>-7286.18</v>
      </c>
    </row>
    <row r="9" spans="1:16">
      <c r="A9" s="338" t="s">
        <v>133</v>
      </c>
      <c r="B9" s="339"/>
      <c r="C9" s="339"/>
      <c r="D9" s="288" t="s">
        <v>131</v>
      </c>
      <c r="E9" s="284">
        <f>'17'!F9</f>
        <v>3062760</v>
      </c>
      <c r="F9" s="129">
        <v>3083630</v>
      </c>
      <c r="G9" s="353">
        <f t="shared" ref="G9:G12" si="0">F9-E9</f>
        <v>20870</v>
      </c>
      <c r="H9" s="330">
        <f>G9+'17'!H9</f>
        <v>3001100</v>
      </c>
      <c r="I9" s="341">
        <f>I7-J7</f>
        <v>-27349.111111111109</v>
      </c>
      <c r="J9" s="332">
        <f>H9/DAY(B2)</f>
        <v>166727.77777777778</v>
      </c>
      <c r="K9" s="81"/>
      <c r="L9" s="68"/>
      <c r="N9" s="1130">
        <f>G9-'17'!G9</f>
        <v>730</v>
      </c>
      <c r="O9" s="376"/>
      <c r="P9" s="73">
        <f>SUM(P7:P8)</f>
        <v>-21367.18</v>
      </c>
    </row>
    <row r="10" spans="1:16">
      <c r="A10" s="327" t="s">
        <v>134</v>
      </c>
      <c r="B10" s="328"/>
      <c r="C10" s="328"/>
      <c r="D10" s="288" t="s">
        <v>131</v>
      </c>
      <c r="E10" s="284">
        <f>'17'!F10</f>
        <v>2606.85</v>
      </c>
      <c r="F10" s="129">
        <v>2606.85</v>
      </c>
      <c r="G10" s="340">
        <f t="shared" si="0"/>
        <v>0</v>
      </c>
      <c r="H10" s="330">
        <f>G10+'17'!H10</f>
        <v>-0.15000000000009095</v>
      </c>
      <c r="I10" s="342"/>
      <c r="J10" s="332">
        <f>H10/DAY(B2)</f>
        <v>-8.3333333333383865E-3</v>
      </c>
      <c r="K10" s="81"/>
      <c r="L10" s="68"/>
      <c r="N10" s="1130">
        <f>G10-'17'!G10</f>
        <v>-0.29999999999972715</v>
      </c>
      <c r="O10" s="376"/>
      <c r="P10" s="73"/>
    </row>
    <row r="11" spans="1:16">
      <c r="A11" s="327" t="s">
        <v>135</v>
      </c>
      <c r="B11" s="328"/>
      <c r="C11" s="328"/>
      <c r="D11" s="288" t="s">
        <v>131</v>
      </c>
      <c r="E11" s="284">
        <f>'17'!F11</f>
        <v>37000</v>
      </c>
      <c r="F11" s="106">
        <v>37000</v>
      </c>
      <c r="G11" s="340">
        <f t="shared" si="0"/>
        <v>0</v>
      </c>
      <c r="H11" s="330">
        <f>G11+'17'!H11</f>
        <v>0</v>
      </c>
      <c r="I11" s="342"/>
      <c r="J11" s="332">
        <f>H11/DAY(B2)</f>
        <v>0</v>
      </c>
      <c r="K11" s="81"/>
      <c r="L11" s="68"/>
      <c r="N11" s="1130">
        <f>G11-'17'!G11</f>
        <v>0</v>
      </c>
      <c r="O11" s="376"/>
      <c r="P11" s="73"/>
    </row>
    <row r="12" spans="1:16">
      <c r="A12" s="327" t="s">
        <v>136</v>
      </c>
      <c r="B12" s="328"/>
      <c r="C12" s="328"/>
      <c r="D12" s="288" t="s">
        <v>131</v>
      </c>
      <c r="E12" s="284">
        <f>'17'!F12</f>
        <v>40010</v>
      </c>
      <c r="F12" s="129">
        <v>40010</v>
      </c>
      <c r="G12" s="340">
        <f t="shared" si="0"/>
        <v>0</v>
      </c>
      <c r="H12" s="330">
        <f>G12+'17'!H12</f>
        <v>0</v>
      </c>
      <c r="I12" s="342"/>
      <c r="J12" s="332">
        <f>H12/DAY(B2)</f>
        <v>0</v>
      </c>
      <c r="K12" s="81"/>
      <c r="L12" s="68"/>
      <c r="N12" s="1130">
        <f>G12-'17'!G12</f>
        <v>0</v>
      </c>
      <c r="O12" s="376">
        <v>4540</v>
      </c>
      <c r="P12" s="73"/>
    </row>
    <row r="13" spans="1:16">
      <c r="A13" s="343" t="s">
        <v>137</v>
      </c>
      <c r="B13" s="344"/>
      <c r="C13" s="344"/>
      <c r="D13" s="288"/>
      <c r="E13" s="284"/>
      <c r="F13" s="106"/>
      <c r="G13" s="345">
        <f>G9+G10+G11+G12</f>
        <v>20870</v>
      </c>
      <c r="H13" s="330">
        <f>G13+'17'!H13</f>
        <v>2957084.36</v>
      </c>
      <c r="I13" s="346">
        <f>G7-G13</f>
        <v>186</v>
      </c>
      <c r="J13" s="332">
        <f>H13/DAY(B2)</f>
        <v>164282.46444444443</v>
      </c>
      <c r="K13" s="81"/>
      <c r="L13" s="68"/>
      <c r="N13" s="1130">
        <f>G13-'17'!G13</f>
        <v>729.70000000000073</v>
      </c>
      <c r="O13" s="376">
        <v>17021.2</v>
      </c>
      <c r="P13" s="73"/>
    </row>
    <row r="14" spans="1:16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834"/>
      <c r="K14" s="82"/>
      <c r="L14" s="68"/>
      <c r="N14" s="369"/>
      <c r="O14" s="376">
        <f>SUM(O12:O13)</f>
        <v>21561.200000000001</v>
      </c>
      <c r="P14" s="73"/>
    </row>
    <row r="15" spans="1:16">
      <c r="A15" s="443" t="s">
        <v>139</v>
      </c>
      <c r="B15" s="444"/>
      <c r="C15" s="444"/>
      <c r="D15" s="175" t="s">
        <v>140</v>
      </c>
      <c r="E15" s="136">
        <f>'17'!F15</f>
        <v>1744418.6089999999</v>
      </c>
      <c r="F15" s="351">
        <v>1745383.152</v>
      </c>
      <c r="G15" s="315">
        <f>(F15-E15)</f>
        <v>964.54300000006333</v>
      </c>
      <c r="H15" s="137">
        <f>G15+'17'!H15</f>
        <v>-11146.847999999998</v>
      </c>
      <c r="I15" s="125">
        <f>'1'!I15</f>
        <v>800</v>
      </c>
      <c r="J15" s="204">
        <f>H15/DAY(B2)</f>
        <v>-619.26933333333318</v>
      </c>
      <c r="K15" s="81"/>
      <c r="L15" s="68"/>
      <c r="N15" s="369"/>
      <c r="O15" s="376"/>
      <c r="P15" s="73"/>
    </row>
    <row r="16" spans="1:16">
      <c r="A16" s="238"/>
      <c r="B16" s="239"/>
      <c r="C16" s="239"/>
      <c r="D16" s="175"/>
      <c r="E16" s="136"/>
      <c r="F16" s="136"/>
      <c r="G16" s="320"/>
      <c r="H16" s="137"/>
      <c r="I16" s="133">
        <f>I15-J15</f>
        <v>1419.2693333333332</v>
      </c>
      <c r="J16" s="204"/>
      <c r="K16" s="81"/>
      <c r="L16" s="68"/>
      <c r="N16" s="369"/>
      <c r="O16" s="376"/>
      <c r="P16" s="73"/>
    </row>
    <row r="17" spans="1:16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>
        <f>F7-E7</f>
        <v>21056</v>
      </c>
      <c r="P17" s="73"/>
    </row>
    <row r="18" spans="1:16" ht="27.75">
      <c r="A18" s="1293" t="s">
        <v>142</v>
      </c>
      <c r="B18" s="1294"/>
      <c r="C18" s="1295"/>
      <c r="D18" s="288" t="s">
        <v>143</v>
      </c>
      <c r="E18" s="285">
        <f>'17'!F18</f>
        <v>16</v>
      </c>
      <c r="F18" s="129">
        <v>14</v>
      </c>
      <c r="G18" s="345">
        <f>F18*10</f>
        <v>140</v>
      </c>
      <c r="H18" s="330">
        <f>G18+'17'!H18</f>
        <v>2720</v>
      </c>
      <c r="I18" s="331">
        <f>'1'!I18</f>
        <v>65</v>
      </c>
      <c r="J18" s="332">
        <f>H18/DAY(B2)</f>
        <v>151.11111111111111</v>
      </c>
      <c r="K18" s="81"/>
      <c r="L18" s="68"/>
      <c r="N18" s="369"/>
      <c r="O18" s="376"/>
      <c r="P18" s="73"/>
    </row>
    <row r="19" spans="1:16" ht="27.75">
      <c r="A19" s="1293" t="s">
        <v>70</v>
      </c>
      <c r="B19" s="1294"/>
      <c r="C19" s="1295"/>
      <c r="D19" s="288" t="s">
        <v>143</v>
      </c>
      <c r="E19" s="285">
        <f>'17'!F19</f>
        <v>144460</v>
      </c>
      <c r="F19" s="129">
        <f>E19+60</f>
        <v>144520</v>
      </c>
      <c r="G19" s="340">
        <f t="shared" ref="G19" si="1">F19-E19</f>
        <v>60</v>
      </c>
      <c r="H19" s="330">
        <f>G19+'17'!H19</f>
        <v>-818</v>
      </c>
      <c r="I19" s="347"/>
      <c r="J19" s="332">
        <f>H19/DAY(B2)</f>
        <v>-45.444444444444443</v>
      </c>
      <c r="K19" s="81"/>
      <c r="L19" s="68"/>
      <c r="N19" s="369"/>
      <c r="O19" s="376"/>
      <c r="P19" s="73"/>
    </row>
    <row r="20" spans="1:16">
      <c r="A20" s="343" t="s">
        <v>144</v>
      </c>
      <c r="B20" s="344"/>
      <c r="C20" s="344"/>
      <c r="D20" s="288"/>
      <c r="E20" s="288"/>
      <c r="F20" s="360"/>
      <c r="G20" s="348">
        <f>G18+G19</f>
        <v>200</v>
      </c>
      <c r="H20" s="330">
        <f>G20+'17'!H20</f>
        <v>1902</v>
      </c>
      <c r="I20" s="349">
        <f>I18-J20</f>
        <v>-40.666666666666671</v>
      </c>
      <c r="J20" s="332">
        <f>H20/DAY(B2)</f>
        <v>105.66666666666667</v>
      </c>
      <c r="K20" s="81"/>
      <c r="L20" s="68"/>
      <c r="N20" s="369">
        <f>G9-G7</f>
        <v>-186</v>
      </c>
      <c r="O20" s="376"/>
      <c r="P20" s="73"/>
    </row>
    <row r="21" spans="1:16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>
      <c r="A22" s="932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>
      <c r="A23" s="932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331487.73</v>
      </c>
      <c r="F27" s="152">
        <v>9</v>
      </c>
      <c r="G27" s="153">
        <f>E27*F27</f>
        <v>2983389.57</v>
      </c>
      <c r="H27" s="111">
        <f>G27+'17'!H27</f>
        <v>6368841</v>
      </c>
      <c r="I27" s="154"/>
      <c r="J27" s="203">
        <f>H27/DAY(B2)</f>
        <v>353824.5</v>
      </c>
      <c r="K27" s="65"/>
      <c r="L27" s="94"/>
      <c r="N27" s="369"/>
      <c r="O27" s="376"/>
      <c r="P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964.54300000006333</v>
      </c>
      <c r="F28" s="152">
        <v>56.2</v>
      </c>
      <c r="G28" s="153">
        <f>E28*F28</f>
        <v>54207.316600003564</v>
      </c>
      <c r="H28" s="111">
        <f>G28+'17'!H28</f>
        <v>-629489.94499999972</v>
      </c>
      <c r="I28" s="156"/>
      <c r="J28" s="203">
        <f>H28/DAY(B2)</f>
        <v>-34971.663611111093</v>
      </c>
      <c r="K28" s="65"/>
      <c r="L28" s="94"/>
      <c r="N28" s="369"/>
      <c r="O28" s="376"/>
      <c r="P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G30+'17'!H30</f>
        <v>-119428</v>
      </c>
      <c r="I30" s="156"/>
      <c r="J30" s="203">
        <f>H30/DAY(B2)</f>
        <v>-6634.8888888888887</v>
      </c>
      <c r="K30" s="65"/>
      <c r="L30" s="94"/>
      <c r="N30" s="369"/>
      <c r="O30" s="376"/>
      <c r="P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G31+'17'!H31</f>
        <v>217600</v>
      </c>
      <c r="I31" s="156"/>
      <c r="J31" s="203"/>
      <c r="K31" s="65"/>
      <c r="L31" s="94"/>
      <c r="N31" s="369"/>
      <c r="O31" s="376"/>
      <c r="P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3057556.8866000036</v>
      </c>
      <c r="H32" s="111">
        <f>G32+'17'!H32</f>
        <v>5837523.0550000006</v>
      </c>
      <c r="I32" s="160"/>
      <c r="J32" s="203">
        <f>H32/DAY(B2)</f>
        <v>324306.83638888894</v>
      </c>
      <c r="K32" s="65"/>
      <c r="L32" s="94"/>
      <c r="N32" s="369"/>
      <c r="O32" s="376"/>
      <c r="P32" s="73"/>
    </row>
    <row r="33" spans="1:16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369"/>
      <c r="O33" s="376"/>
      <c r="P33" s="73"/>
    </row>
    <row r="34" spans="1:16">
      <c r="A34" s="249" t="s">
        <v>162</v>
      </c>
      <c r="B34" s="937"/>
      <c r="C34" s="937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>
      <c r="A35" s="229" t="s">
        <v>163</v>
      </c>
      <c r="B35" s="230"/>
      <c r="C35" s="230"/>
      <c r="D35" s="174" t="s">
        <v>131</v>
      </c>
      <c r="E35" s="161">
        <f>'17'!F35</f>
        <v>1058597.3</v>
      </c>
      <c r="F35" s="161">
        <v>1058597.3</v>
      </c>
      <c r="G35" s="124">
        <f>F35-E35</f>
        <v>0</v>
      </c>
      <c r="H35" s="111">
        <f>G35+'17'!H35</f>
        <v>0.30000000004656613</v>
      </c>
      <c r="I35" s="106"/>
      <c r="J35" s="203">
        <f>H35/DAY(B2)</f>
        <v>1.6666666669253673E-2</v>
      </c>
      <c r="K35" s="81"/>
      <c r="L35" s="68"/>
      <c r="N35" s="1130">
        <f>G35-'17'!G35</f>
        <v>0</v>
      </c>
      <c r="O35" s="377"/>
      <c r="P35" s="73"/>
    </row>
    <row r="36" spans="1:16">
      <c r="A36" s="229" t="s">
        <v>164</v>
      </c>
      <c r="B36" s="230"/>
      <c r="C36" s="230"/>
      <c r="D36" s="174" t="s">
        <v>131</v>
      </c>
      <c r="E36" s="161">
        <f>'17'!F36</f>
        <v>59135.5</v>
      </c>
      <c r="F36" s="161">
        <v>59846.7</v>
      </c>
      <c r="G36" s="124">
        <f t="shared" ref="G36:G46" si="3">F36-E36</f>
        <v>711.19999999999709</v>
      </c>
      <c r="H36" s="111">
        <f>G36+'17'!H36</f>
        <v>58013.7</v>
      </c>
      <c r="I36" s="106"/>
      <c r="J36" s="203">
        <f>H36/DAY(B2)</f>
        <v>3222.9833333333331</v>
      </c>
      <c r="K36" s="81"/>
      <c r="L36" s="68"/>
      <c r="N36" s="1130">
        <f>G36-'17'!G36</f>
        <v>78.69999999999709</v>
      </c>
      <c r="O36" s="377"/>
      <c r="P36" s="73"/>
    </row>
    <row r="37" spans="1:16">
      <c r="A37" s="229" t="s">
        <v>165</v>
      </c>
      <c r="B37" s="230"/>
      <c r="C37" s="230"/>
      <c r="D37" s="174" t="s">
        <v>131</v>
      </c>
      <c r="E37" s="161">
        <f>'17'!F37</f>
        <v>253201</v>
      </c>
      <c r="F37" s="161">
        <v>254736</v>
      </c>
      <c r="G37" s="124">
        <f>F37-E37</f>
        <v>1535</v>
      </c>
      <c r="H37" s="111">
        <f>G37+'17'!H37</f>
        <v>250961</v>
      </c>
      <c r="I37" s="106"/>
      <c r="J37" s="203">
        <f>H37/DAY(B2)</f>
        <v>13942.277777777777</v>
      </c>
      <c r="K37" s="81"/>
      <c r="L37" s="68"/>
      <c r="N37" s="1130">
        <f>G37-'17'!G37</f>
        <v>39</v>
      </c>
      <c r="O37" s="377"/>
      <c r="P37" s="73"/>
    </row>
    <row r="38" spans="1:16">
      <c r="A38" s="229" t="s">
        <v>166</v>
      </c>
      <c r="B38" s="230"/>
      <c r="C38" s="230"/>
      <c r="D38" s="174" t="s">
        <v>131</v>
      </c>
      <c r="E38" s="161">
        <f>'17'!F38</f>
        <v>277625</v>
      </c>
      <c r="F38" s="120">
        <v>279349</v>
      </c>
      <c r="G38" s="124">
        <f t="shared" si="3"/>
        <v>1724</v>
      </c>
      <c r="H38" s="111">
        <f>G38+'17'!H38</f>
        <v>274526</v>
      </c>
      <c r="I38" s="106"/>
      <c r="J38" s="203">
        <f>H38/DAY(B2)</f>
        <v>15251.444444444445</v>
      </c>
      <c r="K38" s="81"/>
      <c r="L38" s="68"/>
      <c r="N38" s="1130">
        <f>G38-'17'!G38</f>
        <v>9</v>
      </c>
      <c r="O38" s="376"/>
      <c r="P38" s="73"/>
    </row>
    <row r="39" spans="1:16">
      <c r="A39" s="229" t="s">
        <v>167</v>
      </c>
      <c r="B39" s="230"/>
      <c r="C39" s="230"/>
      <c r="D39" s="174" t="s">
        <v>131</v>
      </c>
      <c r="E39" s="161">
        <f>'17'!F39</f>
        <v>584515</v>
      </c>
      <c r="F39" s="161">
        <v>588286</v>
      </c>
      <c r="G39" s="124">
        <f>F39-E39</f>
        <v>3771</v>
      </c>
      <c r="H39" s="111">
        <f>G39+'17'!H39</f>
        <v>584444</v>
      </c>
      <c r="I39" s="106"/>
      <c r="J39" s="203">
        <f>H39/DAY(B2)</f>
        <v>32469.111111111109</v>
      </c>
      <c r="K39" s="81"/>
      <c r="L39" s="68"/>
      <c r="N39" s="1130">
        <f>G39-'17'!G39</f>
        <v>52</v>
      </c>
      <c r="O39" s="377"/>
      <c r="P39" s="73"/>
    </row>
    <row r="40" spans="1:16">
      <c r="A40" s="250" t="s">
        <v>168</v>
      </c>
      <c r="B40" s="251"/>
      <c r="C40" s="251"/>
      <c r="D40" s="174" t="s">
        <v>131</v>
      </c>
      <c r="E40" s="161">
        <f>'17'!F40</f>
        <v>28331.200000000001</v>
      </c>
      <c r="F40" s="161">
        <v>28806.1</v>
      </c>
      <c r="G40" s="124">
        <f t="shared" si="3"/>
        <v>474.89999999999782</v>
      </c>
      <c r="H40" s="111">
        <f>G40+'17'!H40</f>
        <v>28963.5</v>
      </c>
      <c r="I40" s="106"/>
      <c r="J40" s="203">
        <f>H40/DAY(B2)</f>
        <v>1609.0833333333333</v>
      </c>
      <c r="K40" s="82"/>
      <c r="L40" s="68"/>
      <c r="N40" s="1130">
        <f>G40-'17'!G40</f>
        <v>48.499999999996362</v>
      </c>
      <c r="O40" s="376"/>
      <c r="P40" s="73"/>
    </row>
    <row r="41" spans="1:16">
      <c r="A41" s="229" t="s">
        <v>169</v>
      </c>
      <c r="B41" s="230"/>
      <c r="C41" s="230"/>
      <c r="D41" s="174" t="s">
        <v>131</v>
      </c>
      <c r="E41" s="161">
        <f>'17'!F41</f>
        <v>418473</v>
      </c>
      <c r="F41" s="161">
        <v>423670</v>
      </c>
      <c r="G41" s="124">
        <f t="shared" si="3"/>
        <v>5197</v>
      </c>
      <c r="H41" s="111">
        <f>G41+'17'!H41</f>
        <v>-9611.789999999979</v>
      </c>
      <c r="I41" s="106"/>
      <c r="J41" s="203">
        <f>H41/DAY(B2)</f>
        <v>-533.98833333333221</v>
      </c>
      <c r="K41" s="81"/>
      <c r="L41" s="68"/>
      <c r="N41" s="1130">
        <f>G41-'17'!G41</f>
        <v>-597</v>
      </c>
      <c r="O41" s="378"/>
      <c r="P41" s="372"/>
    </row>
    <row r="42" spans="1:16">
      <c r="A42" s="229" t="s">
        <v>170</v>
      </c>
      <c r="B42" s="230"/>
      <c r="C42" s="230"/>
      <c r="D42" s="174" t="s">
        <v>131</v>
      </c>
      <c r="E42" s="161">
        <f>'17'!F42</f>
        <v>147899</v>
      </c>
      <c r="F42" s="161">
        <v>147899</v>
      </c>
      <c r="G42" s="124">
        <f t="shared" si="3"/>
        <v>0</v>
      </c>
      <c r="H42" s="111">
        <f>G42+'17'!H42</f>
        <v>-27213</v>
      </c>
      <c r="I42" s="106"/>
      <c r="J42" s="203">
        <f>H42/DAY(B2)</f>
        <v>-1511.8333333333333</v>
      </c>
      <c r="K42" s="81"/>
      <c r="L42" s="68"/>
      <c r="N42" s="1130">
        <f>G42-'17'!G42</f>
        <v>0</v>
      </c>
      <c r="O42" s="376"/>
      <c r="P42" s="73"/>
    </row>
    <row r="43" spans="1:16">
      <c r="A43" s="229" t="s">
        <v>171</v>
      </c>
      <c r="B43" s="230"/>
      <c r="C43" s="230"/>
      <c r="D43" s="174" t="s">
        <v>131</v>
      </c>
      <c r="E43" s="161">
        <f>'17'!F43</f>
        <v>1251830</v>
      </c>
      <c r="F43" s="161">
        <v>1254400</v>
      </c>
      <c r="G43" s="124">
        <f t="shared" si="3"/>
        <v>2570</v>
      </c>
      <c r="H43" s="111">
        <f>G43+'17'!H43</f>
        <v>-35345</v>
      </c>
      <c r="I43" s="106"/>
      <c r="J43" s="203">
        <f>H43/DAY(B2)</f>
        <v>-1963.6111111111111</v>
      </c>
      <c r="K43" s="81"/>
      <c r="L43" s="68"/>
      <c r="N43" s="1130">
        <f>G43-'17'!G43</f>
        <v>140</v>
      </c>
      <c r="O43" s="377"/>
      <c r="P43" s="73"/>
    </row>
    <row r="44" spans="1:16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30">
        <f>G44-'17'!G44</f>
        <v>0</v>
      </c>
      <c r="O44" s="376"/>
      <c r="P44" s="73"/>
    </row>
    <row r="45" spans="1:16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30">
        <f>G45-'17'!G45</f>
        <v>0</v>
      </c>
      <c r="O45" s="376"/>
      <c r="P45" s="73"/>
    </row>
    <row r="46" spans="1:16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30">
        <f>G46-'17'!G46</f>
        <v>-5.0000000000011369E-2</v>
      </c>
      <c r="O46" s="376"/>
      <c r="P46" s="73"/>
    </row>
    <row r="47" spans="1:16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15983.049999999996</v>
      </c>
      <c r="H47" s="111">
        <f>G47+'17'!H47</f>
        <v>1125540.1500000001</v>
      </c>
      <c r="I47" s="106"/>
      <c r="J47" s="203">
        <f>H47/DAY(B2)</f>
        <v>62530.008333333339</v>
      </c>
      <c r="K47" s="81"/>
      <c r="L47" s="68"/>
      <c r="N47" s="1130">
        <f>G47-'17'!G47</f>
        <v>-229.85000000000582</v>
      </c>
      <c r="O47" s="376"/>
      <c r="P47" s="73"/>
    </row>
    <row r="48" spans="1:16">
      <c r="A48" s="249" t="s">
        <v>176</v>
      </c>
      <c r="B48" s="937"/>
      <c r="C48" s="937"/>
      <c r="D48" s="123"/>
      <c r="E48" s="122"/>
      <c r="F48" s="122"/>
      <c r="G48" s="123"/>
      <c r="H48" s="123"/>
      <c r="I48" s="123"/>
      <c r="J48" s="202"/>
      <c r="K48" s="81"/>
      <c r="L48" s="68"/>
      <c r="N48" s="1130">
        <f>G48-'17'!G48</f>
        <v>0</v>
      </c>
      <c r="O48" s="376"/>
      <c r="P48" s="73"/>
    </row>
    <row r="49" spans="1:16">
      <c r="A49" s="229" t="s">
        <v>163</v>
      </c>
      <c r="B49" s="252"/>
      <c r="C49" s="252"/>
      <c r="D49" s="174" t="s">
        <v>131</v>
      </c>
      <c r="E49" s="161">
        <f>'17'!F49</f>
        <v>376001</v>
      </c>
      <c r="F49" s="161">
        <v>378983</v>
      </c>
      <c r="G49" s="124">
        <f t="shared" ref="G49:G58" si="4">F49-E49</f>
        <v>2982</v>
      </c>
      <c r="H49" s="111">
        <f>G49+'17'!H49</f>
        <v>362203</v>
      </c>
      <c r="I49" s="106"/>
      <c r="J49" s="203">
        <f>H49/DAY(B2)</f>
        <v>20122.388888888891</v>
      </c>
      <c r="K49" s="81">
        <f>E49+247</f>
        <v>376248</v>
      </c>
      <c r="L49" s="68"/>
      <c r="N49" s="1130">
        <f>G49-'17'!G49</f>
        <v>-26</v>
      </c>
      <c r="O49" s="376"/>
      <c r="P49" s="73"/>
    </row>
    <row r="50" spans="1:16">
      <c r="A50" s="229" t="s">
        <v>177</v>
      </c>
      <c r="B50" s="252"/>
      <c r="C50" s="252"/>
      <c r="D50" s="174" t="s">
        <v>131</v>
      </c>
      <c r="E50" s="161">
        <f>'17'!F50</f>
        <v>590003</v>
      </c>
      <c r="F50" s="161">
        <v>591654</v>
      </c>
      <c r="G50" s="124">
        <f t="shared" si="4"/>
        <v>1651</v>
      </c>
      <c r="H50" s="111">
        <f>G50+'17'!H50</f>
        <v>-16564</v>
      </c>
      <c r="I50" s="106"/>
      <c r="J50" s="203">
        <f>H50/DAY(B2)</f>
        <v>-920.22222222222217</v>
      </c>
      <c r="K50" s="81"/>
      <c r="L50" s="68"/>
      <c r="N50" s="1130">
        <f>G50-'17'!G50</f>
        <v>198</v>
      </c>
      <c r="O50" s="377"/>
      <c r="P50" s="73"/>
    </row>
    <row r="51" spans="1:16">
      <c r="A51" s="229" t="s">
        <v>165</v>
      </c>
      <c r="B51" s="252"/>
      <c r="C51" s="252"/>
      <c r="D51" s="174" t="s">
        <v>131</v>
      </c>
      <c r="E51" s="161">
        <f>'17'!F51</f>
        <v>144639.87</v>
      </c>
      <c r="F51" s="161">
        <v>144639.87</v>
      </c>
      <c r="G51" s="124">
        <f t="shared" si="4"/>
        <v>0</v>
      </c>
      <c r="H51" s="111">
        <f>G51+'17'!H51</f>
        <v>144639.87</v>
      </c>
      <c r="I51" s="106"/>
      <c r="J51" s="203">
        <f>H51/DAY(B2)</f>
        <v>8035.5483333333332</v>
      </c>
      <c r="K51" s="81"/>
      <c r="L51" s="68"/>
      <c r="N51" s="1130">
        <f>G51-'17'!G51</f>
        <v>0</v>
      </c>
      <c r="O51" s="376"/>
      <c r="P51" s="73"/>
    </row>
    <row r="52" spans="1:16">
      <c r="A52" s="229" t="s">
        <v>178</v>
      </c>
      <c r="B52" s="252"/>
      <c r="C52" s="252"/>
      <c r="D52" s="174" t="s">
        <v>131</v>
      </c>
      <c r="E52" s="161">
        <f>'17'!F52</f>
        <v>539606.06999999995</v>
      </c>
      <c r="F52" s="161">
        <v>539606.06999999995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30">
        <f>G52-'17'!G52</f>
        <v>0</v>
      </c>
      <c r="O52" s="376"/>
      <c r="P52" s="73"/>
    </row>
    <row r="53" spans="1:16">
      <c r="A53" s="229" t="s">
        <v>167</v>
      </c>
      <c r="B53" s="252"/>
      <c r="C53" s="252"/>
      <c r="D53" s="174" t="s">
        <v>131</v>
      </c>
      <c r="E53" s="161">
        <f>'17'!F53</f>
        <v>434231.99</v>
      </c>
      <c r="F53" s="161">
        <v>434231.59</v>
      </c>
      <c r="G53" s="124">
        <f t="shared" si="4"/>
        <v>-0.3999999999650754</v>
      </c>
      <c r="H53" s="111">
        <f>G53+'17'!H53</f>
        <v>434231.59</v>
      </c>
      <c r="I53" s="106"/>
      <c r="J53" s="203">
        <f>H53/DAY(B2)</f>
        <v>24123.977222222224</v>
      </c>
      <c r="K53" s="81"/>
      <c r="L53" s="68"/>
      <c r="N53" s="1130">
        <f>G53-'17'!G53</f>
        <v>-0.79999999993015081</v>
      </c>
      <c r="O53" s="376"/>
      <c r="P53" s="73"/>
    </row>
    <row r="54" spans="1:16">
      <c r="A54" s="229" t="s">
        <v>179</v>
      </c>
      <c r="B54" s="252"/>
      <c r="C54" s="252"/>
      <c r="D54" s="174" t="s">
        <v>131</v>
      </c>
      <c r="E54" s="161">
        <f>'17'!F54</f>
        <v>14967.27</v>
      </c>
      <c r="F54" s="161">
        <v>14967.35</v>
      </c>
      <c r="G54" s="124">
        <f t="shared" si="4"/>
        <v>7.999999999992724E-2</v>
      </c>
      <c r="H54" s="111">
        <f>G54+'17'!H54</f>
        <v>12502.35</v>
      </c>
      <c r="I54" s="106"/>
      <c r="J54" s="203">
        <f>H54/DAY(B2)</f>
        <v>694.57500000000005</v>
      </c>
      <c r="K54" s="81"/>
      <c r="L54" s="68"/>
      <c r="N54" s="1130">
        <f>G54-'17'!G54</f>
        <v>7.999999999992724E-2</v>
      </c>
      <c r="O54" s="376"/>
      <c r="P54" s="73"/>
    </row>
    <row r="55" spans="1:16">
      <c r="A55" s="229" t="s">
        <v>180</v>
      </c>
      <c r="B55" s="252"/>
      <c r="C55" s="252"/>
      <c r="D55" s="174" t="s">
        <v>131</v>
      </c>
      <c r="E55" s="161">
        <f>'17'!F55</f>
        <v>266380</v>
      </c>
      <c r="F55" s="304">
        <v>267148</v>
      </c>
      <c r="G55" s="303">
        <f t="shared" si="4"/>
        <v>768</v>
      </c>
      <c r="H55" s="356">
        <f>G55+'17'!H55</f>
        <v>-40150.989999999991</v>
      </c>
      <c r="I55" s="357"/>
      <c r="J55" s="358">
        <f>H55/DAY(B2)</f>
        <v>-2230.610555555555</v>
      </c>
      <c r="K55" s="81"/>
      <c r="L55" s="68"/>
      <c r="N55" s="1130">
        <f>G55-'17'!G55</f>
        <v>768</v>
      </c>
      <c r="O55" s="376"/>
      <c r="P55" s="73"/>
    </row>
    <row r="56" spans="1:16">
      <c r="A56" s="229" t="s">
        <v>181</v>
      </c>
      <c r="B56" s="252"/>
      <c r="C56" s="252"/>
      <c r="D56" s="174" t="s">
        <v>182</v>
      </c>
      <c r="E56" s="161">
        <f>'17'!F56</f>
        <v>649557</v>
      </c>
      <c r="F56" s="304">
        <v>649570</v>
      </c>
      <c r="G56" s="124">
        <f t="shared" si="4"/>
        <v>13</v>
      </c>
      <c r="H56" s="111">
        <f>G56+'17'!H56</f>
        <v>-11461</v>
      </c>
      <c r="I56" s="106"/>
      <c r="J56" s="203">
        <f>H56/DAY(B2)</f>
        <v>-636.72222222222217</v>
      </c>
      <c r="K56" s="80"/>
      <c r="L56" s="68"/>
      <c r="N56" s="1130">
        <f>G56-'17'!G56</f>
        <v>0</v>
      </c>
      <c r="O56" s="378"/>
      <c r="P56" s="73"/>
    </row>
    <row r="57" spans="1:16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30">
        <f>G57-'17'!G57</f>
        <v>0</v>
      </c>
      <c r="O57" s="376"/>
      <c r="P57" s="73"/>
    </row>
    <row r="58" spans="1:16">
      <c r="A58" s="229" t="s">
        <v>183</v>
      </c>
      <c r="B58" s="252"/>
      <c r="C58" s="252"/>
      <c r="D58" s="174" t="s">
        <v>131</v>
      </c>
      <c r="E58" s="161">
        <f>'17'!F58</f>
        <v>63186.5</v>
      </c>
      <c r="F58" s="304">
        <v>63393.8</v>
      </c>
      <c r="G58" s="124">
        <f t="shared" si="4"/>
        <v>207.30000000000291</v>
      </c>
      <c r="H58" s="111">
        <f>G58+'17'!H58</f>
        <v>-2789.1999999999971</v>
      </c>
      <c r="I58" s="106"/>
      <c r="J58" s="203">
        <f>H58/DAY(B2)</f>
        <v>-154.95555555555541</v>
      </c>
      <c r="K58" s="81"/>
      <c r="L58" s="68"/>
      <c r="N58" s="1130">
        <f>G58-'17'!G58</f>
        <v>11.100000000005821</v>
      </c>
      <c r="O58" s="376"/>
      <c r="P58" s="73"/>
    </row>
    <row r="59" spans="1:16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5620.9800000000378</v>
      </c>
      <c r="H59" s="111">
        <f>G59+'17'!H59</f>
        <v>1422218.0199999998</v>
      </c>
      <c r="I59" s="106">
        <f>G7-G60</f>
        <v>-548.03000000003522</v>
      </c>
      <c r="J59" s="203">
        <f>H59/DAY(B2)</f>
        <v>79012.112222222204</v>
      </c>
      <c r="K59" s="81"/>
      <c r="L59" s="68"/>
      <c r="N59" s="1130">
        <f>G59-'17'!G59</f>
        <v>950.3800000000756</v>
      </c>
      <c r="O59" s="376"/>
      <c r="P59" s="73"/>
    </row>
    <row r="60" spans="1:16">
      <c r="A60" s="229"/>
      <c r="B60" s="230"/>
      <c r="C60" s="230"/>
      <c r="D60" s="162" t="s">
        <v>184</v>
      </c>
      <c r="E60" s="162"/>
      <c r="F60" s="162"/>
      <c r="G60" s="132">
        <f>G47+G59</f>
        <v>21604.030000000035</v>
      </c>
      <c r="H60" s="111">
        <f>G60+'17'!H60</f>
        <v>2554447.1700000004</v>
      </c>
      <c r="I60" s="106">
        <f>G13-G60</f>
        <v>-734.03000000003522</v>
      </c>
      <c r="J60" s="203">
        <f>H60/DAY(B2)</f>
        <v>141913.73166666669</v>
      </c>
      <c r="K60" s="81"/>
      <c r="L60" s="68"/>
      <c r="N60" s="1130">
        <f>G60-'17'!G60</f>
        <v>720.5300000000716</v>
      </c>
      <c r="O60" s="376"/>
      <c r="P60" s="73"/>
    </row>
    <row r="61" spans="1:16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>
      <c r="A62" s="254" t="s">
        <v>97</v>
      </c>
      <c r="B62" s="255"/>
      <c r="C62" s="255"/>
      <c r="D62" s="162" t="s">
        <v>186</v>
      </c>
      <c r="E62" s="165">
        <f>'17'!F62</f>
        <v>20419</v>
      </c>
      <c r="F62" s="165">
        <v>20419.18</v>
      </c>
      <c r="G62" s="124">
        <f t="shared" ref="G62:G69" si="5">F62-E62</f>
        <v>0.18000000000029104</v>
      </c>
      <c r="H62" s="111">
        <f>G62+'17'!H62</f>
        <v>0.18199999999706051</v>
      </c>
      <c r="I62" s="166"/>
      <c r="J62" s="203">
        <f>H62/DAY(B2)</f>
        <v>1.0111111110947806E-2</v>
      </c>
      <c r="K62" s="81"/>
      <c r="L62" s="68"/>
      <c r="N62" s="369"/>
      <c r="O62" s="376"/>
      <c r="P62" s="73"/>
    </row>
    <row r="63" spans="1:16">
      <c r="A63" s="254" t="s">
        <v>187</v>
      </c>
      <c r="B63" s="255"/>
      <c r="C63" s="255"/>
      <c r="D63" s="162" t="s">
        <v>186</v>
      </c>
      <c r="E63" s="165">
        <f>'17'!F63</f>
        <v>0</v>
      </c>
      <c r="F63" s="165">
        <v>0</v>
      </c>
      <c r="G63" s="124">
        <f t="shared" si="5"/>
        <v>0</v>
      </c>
      <c r="H63" s="111">
        <f>G63+'17'!H63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>
      <c r="A64" s="1226" t="s">
        <v>98</v>
      </c>
      <c r="B64" s="1227"/>
      <c r="C64" s="1228"/>
      <c r="D64" s="174" t="s">
        <v>186</v>
      </c>
      <c r="E64" s="165">
        <f>'17'!F64</f>
        <v>188394</v>
      </c>
      <c r="F64" s="277">
        <v>188827</v>
      </c>
      <c r="G64" s="424">
        <f t="shared" si="5"/>
        <v>433</v>
      </c>
      <c r="H64" s="111">
        <f>G64+'17'!H64</f>
        <v>-5390</v>
      </c>
      <c r="I64" s="131"/>
      <c r="J64" s="203">
        <f>H64/DAY(B2)</f>
        <v>-299.44444444444446</v>
      </c>
      <c r="K64" s="81"/>
      <c r="L64" s="68"/>
      <c r="N64" s="369"/>
      <c r="O64" s="376"/>
      <c r="P64" s="73"/>
    </row>
    <row r="65" spans="1:16" ht="27.75">
      <c r="A65" s="1226" t="s">
        <v>99</v>
      </c>
      <c r="B65" s="1227"/>
      <c r="C65" s="1228"/>
      <c r="D65" s="174" t="s">
        <v>186</v>
      </c>
      <c r="E65" s="165">
        <f>'17'!F65</f>
        <v>189079</v>
      </c>
      <c r="F65" s="302">
        <v>189491</v>
      </c>
      <c r="G65" s="124">
        <f t="shared" si="5"/>
        <v>412</v>
      </c>
      <c r="H65" s="111">
        <f>G65+'17'!H65</f>
        <v>-5138</v>
      </c>
      <c r="I65" s="140"/>
      <c r="J65" s="203">
        <f>H65/DAY(B2)</f>
        <v>-285.44444444444446</v>
      </c>
      <c r="K65" s="81"/>
      <c r="L65" s="68"/>
      <c r="N65" s="369"/>
      <c r="O65" s="377"/>
      <c r="P65" s="73"/>
    </row>
    <row r="66" spans="1:16" ht="27.75">
      <c r="A66" s="1226" t="s">
        <v>100</v>
      </c>
      <c r="B66" s="1227"/>
      <c r="C66" s="1228"/>
      <c r="D66" s="174" t="s">
        <v>186</v>
      </c>
      <c r="E66" s="165">
        <f>'17'!F66</f>
        <v>87590.8</v>
      </c>
      <c r="F66" s="129">
        <v>88014.3</v>
      </c>
      <c r="G66" s="124">
        <f t="shared" si="5"/>
        <v>423.5</v>
      </c>
      <c r="H66" s="111">
        <f>G66+'17'!H66</f>
        <v>-5302.6999999999971</v>
      </c>
      <c r="I66" s="131"/>
      <c r="J66" s="203">
        <f>H66/DAY(B2)</f>
        <v>-294.59444444444426</v>
      </c>
      <c r="K66" s="81"/>
      <c r="L66" s="68"/>
      <c r="N66" s="369"/>
      <c r="O66" s="376"/>
      <c r="P66" s="73"/>
    </row>
    <row r="67" spans="1:16" ht="27.75">
      <c r="A67" s="1226" t="s">
        <v>101</v>
      </c>
      <c r="B67" s="1227"/>
      <c r="C67" s="1228"/>
      <c r="D67" s="174" t="s">
        <v>186</v>
      </c>
      <c r="E67" s="165">
        <f>'17'!F67</f>
        <v>288152</v>
      </c>
      <c r="F67" s="129">
        <v>288591</v>
      </c>
      <c r="G67" s="124">
        <f t="shared" si="5"/>
        <v>439</v>
      </c>
      <c r="H67" s="111">
        <f>G67+'17'!H67</f>
        <v>-6300</v>
      </c>
      <c r="I67" s="140"/>
      <c r="J67" s="203">
        <f>H67/DAY(B2)</f>
        <v>-350</v>
      </c>
      <c r="K67" s="82"/>
      <c r="L67" s="68"/>
      <c r="N67" s="369"/>
      <c r="O67" s="376"/>
      <c r="P67" s="73"/>
    </row>
    <row r="68" spans="1:16" ht="27.75">
      <c r="A68" s="1226" t="s">
        <v>102</v>
      </c>
      <c r="B68" s="1227"/>
      <c r="C68" s="1228"/>
      <c r="D68" s="174" t="s">
        <v>186</v>
      </c>
      <c r="E68" s="165">
        <f>'17'!F68</f>
        <v>85321</v>
      </c>
      <c r="F68" s="129">
        <v>85321</v>
      </c>
      <c r="G68" s="124">
        <f t="shared" si="5"/>
        <v>0</v>
      </c>
      <c r="H68" s="111">
        <f>G68+'17'!H68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>
      <c r="A69" s="1226" t="s">
        <v>103</v>
      </c>
      <c r="B69" s="1227"/>
      <c r="C69" s="1228"/>
      <c r="D69" s="174" t="s">
        <v>186</v>
      </c>
      <c r="E69" s="165">
        <f>'17'!F69</f>
        <v>101918</v>
      </c>
      <c r="F69" s="129">
        <v>102225</v>
      </c>
      <c r="G69" s="124">
        <f t="shared" si="5"/>
        <v>307</v>
      </c>
      <c r="H69" s="111">
        <f>G69+'17'!H69</f>
        <v>-4181</v>
      </c>
      <c r="I69" s="167"/>
      <c r="J69" s="203">
        <f>H69/DAY(B2)</f>
        <v>-232.27777777777777</v>
      </c>
      <c r="K69" s="84"/>
      <c r="L69" s="68"/>
      <c r="N69" s="369"/>
      <c r="O69" s="376"/>
      <c r="P69" s="73"/>
    </row>
    <row r="70" spans="1:16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369"/>
      <c r="O71" s="376"/>
      <c r="P71" s="73"/>
    </row>
    <row r="72" spans="1:16" ht="27.75">
      <c r="A72" s="1226" t="s">
        <v>190</v>
      </c>
      <c r="B72" s="1227"/>
      <c r="C72" s="1228"/>
      <c r="D72" s="174" t="s">
        <v>186</v>
      </c>
      <c r="E72" s="170">
        <f>'17'!F72</f>
        <v>856833</v>
      </c>
      <c r="F72" s="305">
        <v>856847</v>
      </c>
      <c r="G72" s="124">
        <f t="shared" ref="G72:G84" si="6">F72-E72</f>
        <v>14</v>
      </c>
      <c r="H72" s="111">
        <f>G72+'17'!H72</f>
        <v>140</v>
      </c>
      <c r="I72" s="131"/>
      <c r="J72" s="203">
        <f>H72/DAY(B2)</f>
        <v>7.7777777777777777</v>
      </c>
      <c r="K72" s="84"/>
      <c r="L72" s="68"/>
      <c r="N72" s="369"/>
      <c r="O72" s="376"/>
      <c r="P72" s="73"/>
    </row>
    <row r="73" spans="1:16" ht="27.75">
      <c r="A73" s="1226" t="s">
        <v>191</v>
      </c>
      <c r="B73" s="1227"/>
      <c r="C73" s="1228"/>
      <c r="D73" s="174" t="s">
        <v>186</v>
      </c>
      <c r="E73" s="170">
        <f>'17'!F73</f>
        <v>886034</v>
      </c>
      <c r="F73" s="306">
        <v>886036</v>
      </c>
      <c r="G73" s="303">
        <f t="shared" si="6"/>
        <v>2</v>
      </c>
      <c r="H73" s="111">
        <f>G73+'17'!H73</f>
        <v>-15</v>
      </c>
      <c r="I73" s="131"/>
      <c r="J73" s="203">
        <f>H73/DAY(B2)</f>
        <v>-0.83333333333333337</v>
      </c>
      <c r="K73" s="83"/>
      <c r="L73" s="68"/>
      <c r="N73" s="369"/>
      <c r="O73" s="376"/>
      <c r="P73" s="73"/>
    </row>
    <row r="74" spans="1:16" ht="27.75">
      <c r="A74" s="1226" t="s">
        <v>192</v>
      </c>
      <c r="B74" s="1227"/>
      <c r="C74" s="1228"/>
      <c r="D74" s="174" t="s">
        <v>186</v>
      </c>
      <c r="E74" s="170">
        <f>'17'!F74</f>
        <v>88755</v>
      </c>
      <c r="F74" s="306">
        <v>88757</v>
      </c>
      <c r="G74" s="124">
        <f t="shared" si="6"/>
        <v>2</v>
      </c>
      <c r="H74" s="111">
        <f>G74+'17'!H74</f>
        <v>67</v>
      </c>
      <c r="I74" s="131"/>
      <c r="J74" s="203">
        <f>H74/DAY(B2)</f>
        <v>3.7222222222222223</v>
      </c>
      <c r="K74" s="84"/>
      <c r="L74" s="68"/>
      <c r="N74" s="369"/>
      <c r="O74" s="376"/>
      <c r="P74" s="73"/>
    </row>
    <row r="75" spans="1:16" ht="27.75">
      <c r="A75" s="1229" t="s">
        <v>193</v>
      </c>
      <c r="B75" s="1230"/>
      <c r="C75" s="1231"/>
      <c r="D75" s="174" t="s">
        <v>186</v>
      </c>
      <c r="E75" s="170">
        <f>'17'!F75</f>
        <v>23827.599999999999</v>
      </c>
      <c r="F75" s="306">
        <v>23997.9</v>
      </c>
      <c r="G75" s="124">
        <f t="shared" si="6"/>
        <v>170.30000000000291</v>
      </c>
      <c r="H75" s="111">
        <f>G75+'17'!H75</f>
        <v>-2310.0999999999985</v>
      </c>
      <c r="I75" s="131"/>
      <c r="J75" s="203">
        <f>H75/DAY(B2)</f>
        <v>-128.33888888888882</v>
      </c>
      <c r="K75" s="83"/>
      <c r="L75" s="68"/>
      <c r="N75" s="369"/>
      <c r="O75" s="376"/>
      <c r="P75" s="73"/>
    </row>
    <row r="76" spans="1:16" ht="27.75">
      <c r="A76" s="1229" t="s">
        <v>194</v>
      </c>
      <c r="B76" s="1230"/>
      <c r="C76" s="1231"/>
      <c r="D76" s="174" t="s">
        <v>186</v>
      </c>
      <c r="E76" s="170">
        <f>'17'!F76</f>
        <v>12319.6</v>
      </c>
      <c r="F76" s="306">
        <v>12386.8</v>
      </c>
      <c r="G76" s="124">
        <f t="shared" si="6"/>
        <v>67.199999999998909</v>
      </c>
      <c r="H76" s="111">
        <f>G76+'17'!H76</f>
        <v>-890.20000000000073</v>
      </c>
      <c r="I76" s="156"/>
      <c r="J76" s="203">
        <f>H76/DAY(B2)</f>
        <v>-49.455555555555598</v>
      </c>
      <c r="K76" s="83"/>
      <c r="L76" s="68"/>
      <c r="N76" s="369"/>
      <c r="O76" s="376"/>
      <c r="P76" s="73"/>
    </row>
    <row r="77" spans="1:16" ht="27.75">
      <c r="A77" s="1226" t="s">
        <v>195</v>
      </c>
      <c r="B77" s="1227"/>
      <c r="C77" s="1228"/>
      <c r="D77" s="174" t="s">
        <v>186</v>
      </c>
      <c r="E77" s="170">
        <f>'17'!F77</f>
        <v>707489</v>
      </c>
      <c r="F77" s="306">
        <v>707546</v>
      </c>
      <c r="G77" s="303">
        <f t="shared" si="6"/>
        <v>57</v>
      </c>
      <c r="H77" s="111">
        <f>G77+'17'!H77</f>
        <v>-743</v>
      </c>
      <c r="I77" s="156"/>
      <c r="J77" s="203">
        <f>H77/DAY(B2)</f>
        <v>-41.277777777777779</v>
      </c>
      <c r="K77" s="83"/>
      <c r="L77" s="68"/>
      <c r="N77" s="369"/>
      <c r="O77" s="376"/>
      <c r="P77" s="73"/>
    </row>
    <row r="78" spans="1:16" ht="27.75">
      <c r="A78" s="935" t="s">
        <v>196</v>
      </c>
      <c r="B78" s="928"/>
      <c r="C78" s="928"/>
      <c r="D78" s="174" t="s">
        <v>186</v>
      </c>
      <c r="E78" s="170">
        <f>'17'!F78</f>
        <v>680658</v>
      </c>
      <c r="F78" s="307">
        <v>680734</v>
      </c>
      <c r="G78" s="124">
        <f t="shared" si="6"/>
        <v>76</v>
      </c>
      <c r="H78" s="111">
        <f>G78+'17'!H78</f>
        <v>-1679</v>
      </c>
      <c r="I78" s="156"/>
      <c r="J78" s="203">
        <f>H78/DAY(B2)</f>
        <v>-93.277777777777771</v>
      </c>
      <c r="K78" s="83"/>
      <c r="L78" s="68"/>
      <c r="N78" s="369"/>
      <c r="O78" s="376"/>
      <c r="P78" s="73"/>
    </row>
    <row r="79" spans="1:16" ht="27.75">
      <c r="A79" s="1229" t="s">
        <v>91</v>
      </c>
      <c r="B79" s="1230"/>
      <c r="C79" s="1231"/>
      <c r="D79" s="175" t="s">
        <v>186</v>
      </c>
      <c r="E79" s="170">
        <f>'17'!F79</f>
        <v>842838</v>
      </c>
      <c r="F79" s="307">
        <v>842979</v>
      </c>
      <c r="G79" s="124">
        <f t="shared" si="6"/>
        <v>141</v>
      </c>
      <c r="H79" s="111">
        <f>G79+'17'!H79</f>
        <v>-2070</v>
      </c>
      <c r="I79" s="156"/>
      <c r="J79" s="203">
        <f>H79/DAY(B2)</f>
        <v>-115</v>
      </c>
      <c r="K79" s="83"/>
      <c r="L79" s="68"/>
      <c r="N79" s="369"/>
      <c r="O79" s="376"/>
      <c r="P79" s="73"/>
    </row>
    <row r="80" spans="1:16" ht="27.75">
      <c r="A80" s="1229" t="s">
        <v>197</v>
      </c>
      <c r="B80" s="1230"/>
      <c r="C80" s="1231"/>
      <c r="D80" s="175" t="s">
        <v>186</v>
      </c>
      <c r="E80" s="170">
        <f>'17'!F80</f>
        <v>558812.36</v>
      </c>
      <c r="F80" s="306">
        <v>559192.80000000005</v>
      </c>
      <c r="G80" s="124">
        <f t="shared" si="6"/>
        <v>380.44000000006054</v>
      </c>
      <c r="H80" s="111">
        <f>G80+'17'!H80</f>
        <v>-5105.1999999999534</v>
      </c>
      <c r="I80" s="156"/>
      <c r="J80" s="203">
        <f>H80/DAY(B2)</f>
        <v>-283.62222222221965</v>
      </c>
      <c r="K80" s="83"/>
      <c r="L80" s="68"/>
      <c r="N80" s="369"/>
      <c r="O80" s="376"/>
      <c r="P80" s="73"/>
    </row>
    <row r="81" spans="1:16" ht="27.75">
      <c r="A81" s="1229" t="s">
        <v>198</v>
      </c>
      <c r="B81" s="1230"/>
      <c r="C81" s="1231"/>
      <c r="D81" s="175" t="s">
        <v>186</v>
      </c>
      <c r="E81" s="170">
        <f>'17'!F81</f>
        <v>651920.04</v>
      </c>
      <c r="F81" s="306">
        <v>652103.96</v>
      </c>
      <c r="G81" s="124">
        <f t="shared" si="6"/>
        <v>183.91999999992549</v>
      </c>
      <c r="H81" s="111">
        <f>G81+'17'!H81</f>
        <v>-2074.0400000000373</v>
      </c>
      <c r="I81" s="156"/>
      <c r="J81" s="203">
        <f>H81/DAY(B2)</f>
        <v>-115.22444444444652</v>
      </c>
      <c r="K81" s="83"/>
      <c r="L81" s="68"/>
      <c r="N81" s="369"/>
      <c r="O81" s="376"/>
      <c r="P81" s="73"/>
    </row>
    <row r="82" spans="1:16" s="426" customFormat="1" ht="27.75">
      <c r="A82" s="1303" t="s">
        <v>92</v>
      </c>
      <c r="B82" s="1304"/>
      <c r="C82" s="1305"/>
      <c r="D82" s="277" t="s">
        <v>131</v>
      </c>
      <c r="E82" s="170">
        <f>'17'!F82</f>
        <v>109655</v>
      </c>
      <c r="F82" s="277">
        <v>109678</v>
      </c>
      <c r="G82" s="424">
        <f t="shared" si="6"/>
        <v>23</v>
      </c>
      <c r="H82" s="130">
        <f>G82+'17'!H82</f>
        <v>109901</v>
      </c>
      <c r="I82" s="130"/>
      <c r="J82" s="425">
        <f>H82/DAY(B2)</f>
        <v>6105.6111111111113</v>
      </c>
      <c r="K82" s="832"/>
      <c r="L82" s="833"/>
      <c r="N82" s="373"/>
      <c r="O82" s="377"/>
      <c r="P82" s="372"/>
    </row>
    <row r="83" spans="1:16" ht="27.75">
      <c r="A83" s="1229" t="s">
        <v>199</v>
      </c>
      <c r="B83" s="1230"/>
      <c r="C83" s="1231"/>
      <c r="D83" s="271" t="s">
        <v>131</v>
      </c>
      <c r="E83" s="170">
        <f>'17'!F83</f>
        <v>40385</v>
      </c>
      <c r="F83" s="162">
        <v>40617</v>
      </c>
      <c r="G83" s="124">
        <f t="shared" si="6"/>
        <v>232</v>
      </c>
      <c r="H83" s="111">
        <f>G83+'17'!H83</f>
        <v>-3706</v>
      </c>
      <c r="I83" s="132"/>
      <c r="J83" s="203">
        <f>H83/DAY(B2)</f>
        <v>-205.88888888888889</v>
      </c>
      <c r="K83" s="82"/>
      <c r="L83" s="68"/>
      <c r="N83" s="369"/>
      <c r="O83" s="376"/>
      <c r="P83" s="73"/>
    </row>
    <row r="84" spans="1:16">
      <c r="A84" s="936" t="s">
        <v>200</v>
      </c>
      <c r="B84" s="222"/>
      <c r="C84" s="222"/>
      <c r="D84" s="129" t="s">
        <v>131</v>
      </c>
      <c r="E84" s="170">
        <f>'17'!F84</f>
        <v>560513</v>
      </c>
      <c r="F84" s="278">
        <v>561218</v>
      </c>
      <c r="G84" s="124">
        <f t="shared" si="6"/>
        <v>705</v>
      </c>
      <c r="H84" s="111">
        <f>G84+'17'!H84</f>
        <v>-9161</v>
      </c>
      <c r="I84" s="132"/>
      <c r="J84" s="203">
        <f>H84/DAY(B2)</f>
        <v>-508.94444444444446</v>
      </c>
      <c r="K84" s="71"/>
      <c r="L84" s="68"/>
      <c r="N84" s="369"/>
      <c r="O84" s="376"/>
      <c r="P84" s="73"/>
    </row>
    <row r="85" spans="1:16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2053.8599999999878</v>
      </c>
      <c r="H85" s="111">
        <f>G85+'17'!H85</f>
        <v>82039.460000000006</v>
      </c>
      <c r="I85" s="132"/>
      <c r="J85" s="203">
        <f>H85/DAY(B2)</f>
        <v>4557.7477777777785</v>
      </c>
      <c r="K85" s="71"/>
      <c r="L85" s="69"/>
      <c r="N85" s="369"/>
      <c r="O85" s="376"/>
      <c r="P85" s="73"/>
    </row>
    <row r="86" spans="1:16" s="386" customFormat="1">
      <c r="A86" s="381" t="s">
        <v>93</v>
      </c>
      <c r="B86" s="382"/>
      <c r="C86" s="382"/>
      <c r="D86" s="383" t="s">
        <v>182</v>
      </c>
      <c r="E86" s="278">
        <f>'17'!F86</f>
        <v>463144.24</v>
      </c>
      <c r="F86" s="298">
        <v>463154.92</v>
      </c>
      <c r="G86" s="356">
        <f t="shared" ref="G86:G91" si="7">F86-E86</f>
        <v>10.679999999993015</v>
      </c>
      <c r="H86" s="356">
        <f t="shared" ref="H86:H88" si="8">G86</f>
        <v>10.679999999993015</v>
      </c>
      <c r="I86" s="303"/>
      <c r="J86" s="358">
        <f>H86/DAY(B2)</f>
        <v>0.59333333333294525</v>
      </c>
      <c r="K86" s="384"/>
      <c r="L86" s="385"/>
      <c r="O86" s="364"/>
    </row>
    <row r="87" spans="1:16" s="386" customFormat="1">
      <c r="A87" s="381" t="s">
        <v>94</v>
      </c>
      <c r="B87" s="382"/>
      <c r="C87" s="382"/>
      <c r="D87" s="383" t="s">
        <v>182</v>
      </c>
      <c r="E87" s="278">
        <f>'17'!F87</f>
        <v>83468.5</v>
      </c>
      <c r="F87" s="298">
        <v>83501.8</v>
      </c>
      <c r="G87" s="356">
        <f t="shared" si="7"/>
        <v>33.30000000000291</v>
      </c>
      <c r="H87" s="356">
        <f t="shared" si="8"/>
        <v>33.30000000000291</v>
      </c>
      <c r="I87" s="303"/>
      <c r="J87" s="358">
        <f>H87/DAY(B2)</f>
        <v>1.8500000000001617</v>
      </c>
      <c r="K87" s="384"/>
      <c r="L87" s="385"/>
      <c r="O87" s="364"/>
    </row>
    <row r="88" spans="1:16" s="386" customFormat="1">
      <c r="A88" s="381" t="s">
        <v>95</v>
      </c>
      <c r="B88" s="382"/>
      <c r="C88" s="382"/>
      <c r="D88" s="383" t="s">
        <v>182</v>
      </c>
      <c r="E88" s="278">
        <f>'17'!F88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>
      <c r="A89" s="381" t="s">
        <v>203</v>
      </c>
      <c r="B89" s="382"/>
      <c r="C89" s="382"/>
      <c r="D89" s="383" t="s">
        <v>182</v>
      </c>
      <c r="E89" s="278">
        <f>'17'!F89</f>
        <v>68065.600000000006</v>
      </c>
      <c r="F89" s="298">
        <v>68155.3</v>
      </c>
      <c r="G89" s="356">
        <f t="shared" si="7"/>
        <v>89.69999999999709</v>
      </c>
      <c r="H89" s="356">
        <f>G89</f>
        <v>89.69999999999709</v>
      </c>
      <c r="I89" s="303"/>
      <c r="J89" s="358">
        <f>H89/DAY(B2)</f>
        <v>4.9833333333331717</v>
      </c>
      <c r="K89" s="384"/>
      <c r="L89" s="385"/>
      <c r="N89" s="428"/>
      <c r="O89" s="73"/>
    </row>
    <row r="90" spans="1:16" s="386" customFormat="1">
      <c r="A90" s="381" t="s">
        <v>203</v>
      </c>
      <c r="B90" s="382"/>
      <c r="C90" s="382"/>
      <c r="D90" s="383" t="s">
        <v>182</v>
      </c>
      <c r="E90" s="278">
        <f>'17'!F90</f>
        <v>3536.5</v>
      </c>
      <c r="F90" s="298">
        <v>3543.2</v>
      </c>
      <c r="G90" s="356">
        <f t="shared" si="7"/>
        <v>6.6999999999998181</v>
      </c>
      <c r="H90" s="356">
        <f>G90</f>
        <v>6.6999999999998181</v>
      </c>
      <c r="I90" s="303"/>
      <c r="J90" s="358">
        <f>H90/DAY(B2)</f>
        <v>0.37222222222221213</v>
      </c>
      <c r="K90" s="384"/>
      <c r="L90" s="385"/>
      <c r="N90" s="428"/>
      <c r="O90" s="73"/>
    </row>
    <row r="91" spans="1:16" s="386" customFormat="1">
      <c r="A91" s="381" t="s">
        <v>335</v>
      </c>
      <c r="B91" s="382"/>
      <c r="C91" s="382"/>
      <c r="D91" s="383" t="s">
        <v>131</v>
      </c>
      <c r="E91" s="278">
        <f>'17'!F91</f>
        <v>28642.799999999999</v>
      </c>
      <c r="F91" s="298">
        <v>28653.09</v>
      </c>
      <c r="G91" s="356">
        <f t="shared" si="7"/>
        <v>10.290000000000873</v>
      </c>
      <c r="H91" s="356">
        <f>G91</f>
        <v>10.290000000000873</v>
      </c>
      <c r="I91" s="303"/>
      <c r="J91" s="358"/>
      <c r="K91" s="384"/>
      <c r="L91" s="385"/>
      <c r="N91" s="428"/>
      <c r="O91" s="73"/>
    </row>
    <row r="92" spans="1:16" s="70" customFormat="1">
      <c r="A92" s="257" t="s">
        <v>204</v>
      </c>
      <c r="B92" s="938"/>
      <c r="C92" s="938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>
      <c r="A93" s="1245" t="s">
        <v>205</v>
      </c>
      <c r="B93" s="1246"/>
      <c r="C93" s="1247"/>
      <c r="D93" s="174" t="s">
        <v>143</v>
      </c>
      <c r="E93" s="135">
        <f>'17'!F93</f>
        <v>252039</v>
      </c>
      <c r="F93" s="129">
        <v>252142</v>
      </c>
      <c r="G93" s="124">
        <f t="shared" ref="G93:G94" si="9">F93-E93</f>
        <v>103</v>
      </c>
      <c r="H93" s="111">
        <f>G93+'17'!H93</f>
        <v>-1310</v>
      </c>
      <c r="I93" s="131"/>
      <c r="J93" s="203">
        <f>H93/DAY(B2)</f>
        <v>-72.777777777777771</v>
      </c>
      <c r="K93" s="82"/>
      <c r="L93" s="68"/>
      <c r="N93" s="369"/>
      <c r="O93" s="376"/>
      <c r="P93" s="73"/>
    </row>
    <row r="94" spans="1:16" ht="27.75">
      <c r="A94" s="1245" t="s">
        <v>206</v>
      </c>
      <c r="B94" s="1246"/>
      <c r="C94" s="1247"/>
      <c r="D94" s="174" t="s">
        <v>143</v>
      </c>
      <c r="E94" s="135">
        <f>'17'!F94</f>
        <v>195500</v>
      </c>
      <c r="F94" s="129">
        <v>195555</v>
      </c>
      <c r="G94" s="124">
        <f t="shared" si="9"/>
        <v>55</v>
      </c>
      <c r="H94" s="111">
        <f>G94+'17'!H94</f>
        <v>-2104</v>
      </c>
      <c r="I94" s="131"/>
      <c r="J94" s="203">
        <f>H94/DAY(B2)</f>
        <v>-116.88888888888889</v>
      </c>
      <c r="K94" s="71"/>
      <c r="L94" s="68"/>
      <c r="N94" s="369"/>
      <c r="O94" s="376"/>
      <c r="P94" s="73"/>
    </row>
    <row r="95" spans="1:16">
      <c r="A95" s="1277" t="s">
        <v>207</v>
      </c>
      <c r="B95" s="1278"/>
      <c r="C95" s="1279"/>
      <c r="D95" s="174"/>
      <c r="E95" s="135">
        <f>'17'!F95</f>
        <v>0</v>
      </c>
      <c r="F95" s="129"/>
      <c r="G95" s="124">
        <f>G93+G94</f>
        <v>158</v>
      </c>
      <c r="H95" s="111">
        <f>G95+'17'!H95</f>
        <v>-3639</v>
      </c>
      <c r="I95" s="131"/>
      <c r="J95" s="203">
        <f>H95/DAY(B2)</f>
        <v>-202.16666666666666</v>
      </c>
      <c r="K95" s="71"/>
      <c r="L95" s="68"/>
      <c r="N95" s="369"/>
      <c r="O95" s="376"/>
      <c r="P95" s="73"/>
    </row>
    <row r="96" spans="1:16" ht="27.75">
      <c r="A96" s="1245" t="s">
        <v>208</v>
      </c>
      <c r="B96" s="1246"/>
      <c r="C96" s="1247"/>
      <c r="D96" s="174" t="s">
        <v>143</v>
      </c>
      <c r="E96" s="135">
        <f>'17'!F96</f>
        <v>419870</v>
      </c>
      <c r="F96" s="129">
        <v>419980</v>
      </c>
      <c r="G96" s="124">
        <f t="shared" ref="G96:G101" si="10">F96-E96</f>
        <v>110</v>
      </c>
      <c r="H96" s="111">
        <f>G96+'17'!H96</f>
        <v>-1039</v>
      </c>
      <c r="I96" s="131"/>
      <c r="J96" s="203">
        <f>H96/DAY(B2)</f>
        <v>-57.722222222222221</v>
      </c>
      <c r="K96" s="71"/>
      <c r="L96" s="68"/>
      <c r="N96" s="369"/>
      <c r="O96" s="376"/>
      <c r="P96" s="73"/>
    </row>
    <row r="97" spans="1:16" ht="27.75">
      <c r="A97" s="932" t="s">
        <v>209</v>
      </c>
      <c r="B97" s="933"/>
      <c r="C97" s="933"/>
      <c r="D97" s="174" t="s">
        <v>143</v>
      </c>
      <c r="E97" s="135">
        <f>'17'!F97</f>
        <v>104291</v>
      </c>
      <c r="F97" s="129">
        <v>104311</v>
      </c>
      <c r="G97" s="124">
        <f t="shared" si="10"/>
        <v>20</v>
      </c>
      <c r="H97" s="111">
        <f>G97+'17'!H97</f>
        <v>-325</v>
      </c>
      <c r="I97" s="131"/>
      <c r="J97" s="203">
        <f>H97/DAY(B2)</f>
        <v>-18.055555555555557</v>
      </c>
      <c r="K97" s="80"/>
      <c r="L97" s="68"/>
      <c r="N97" s="369"/>
      <c r="O97" s="376"/>
      <c r="P97" s="73"/>
    </row>
    <row r="98" spans="1:16" ht="27.75">
      <c r="A98" s="932" t="s">
        <v>210</v>
      </c>
      <c r="B98" s="933"/>
      <c r="C98" s="933"/>
      <c r="D98" s="174" t="s">
        <v>143</v>
      </c>
      <c r="E98" s="135">
        <f>'17'!F98</f>
        <v>99954</v>
      </c>
      <c r="F98" s="129">
        <v>99978</v>
      </c>
      <c r="G98" s="124">
        <f t="shared" si="10"/>
        <v>24</v>
      </c>
      <c r="H98" s="111">
        <f>G98+'17'!H98</f>
        <v>-392</v>
      </c>
      <c r="I98" s="131"/>
      <c r="J98" s="203">
        <f>H98/DAY(B2)</f>
        <v>-21.777777777777779</v>
      </c>
      <c r="K98" s="85"/>
      <c r="L98" s="68"/>
      <c r="N98" s="369"/>
      <c r="O98" s="376"/>
      <c r="P98" s="73"/>
    </row>
    <row r="99" spans="1:16" ht="27.75">
      <c r="A99" s="932" t="s">
        <v>211</v>
      </c>
      <c r="B99" s="933"/>
      <c r="C99" s="933"/>
      <c r="D99" s="174" t="s">
        <v>143</v>
      </c>
      <c r="E99" s="135">
        <f>'17'!F99</f>
        <v>151701</v>
      </c>
      <c r="F99" s="129">
        <v>151747</v>
      </c>
      <c r="G99" s="124">
        <f t="shared" si="10"/>
        <v>46</v>
      </c>
      <c r="H99" s="111">
        <f>G99+'17'!H99</f>
        <v>-388</v>
      </c>
      <c r="I99" s="131"/>
      <c r="J99" s="203">
        <f>H99/DAY(B2)</f>
        <v>-21.555555555555557</v>
      </c>
      <c r="K99" s="71"/>
      <c r="L99" s="68"/>
      <c r="N99" s="371"/>
      <c r="O99" s="376"/>
      <c r="P99" s="73"/>
    </row>
    <row r="100" spans="1:16" ht="27.75">
      <c r="A100" s="932" t="s">
        <v>212</v>
      </c>
      <c r="B100" s="933"/>
      <c r="C100" s="933"/>
      <c r="D100" s="174" t="s">
        <v>143</v>
      </c>
      <c r="E100" s="135">
        <f>'17'!F100</f>
        <v>8444</v>
      </c>
      <c r="F100" s="129">
        <v>8458</v>
      </c>
      <c r="G100" s="124">
        <f t="shared" si="10"/>
        <v>14</v>
      </c>
      <c r="H100" s="111">
        <f>G100+'17'!H100</f>
        <v>-187</v>
      </c>
      <c r="I100" s="131"/>
      <c r="J100" s="203">
        <f>H100/DAY(B2)</f>
        <v>-10.388888888888889</v>
      </c>
      <c r="K100" s="71"/>
      <c r="L100" s="68"/>
      <c r="N100" s="369"/>
      <c r="O100" s="376"/>
      <c r="P100" s="73"/>
    </row>
    <row r="101" spans="1:16" ht="27.75">
      <c r="A101" s="932" t="s">
        <v>213</v>
      </c>
      <c r="B101" s="933"/>
      <c r="C101" s="933"/>
      <c r="D101" s="174" t="s">
        <v>143</v>
      </c>
      <c r="E101" s="135">
        <f>'17'!F101</f>
        <v>6200</v>
      </c>
      <c r="F101" s="129">
        <v>6209</v>
      </c>
      <c r="G101" s="124">
        <f t="shared" si="10"/>
        <v>9</v>
      </c>
      <c r="H101" s="111">
        <f>G101+'17'!H101</f>
        <v>-164</v>
      </c>
      <c r="I101" s="131"/>
      <c r="J101" s="203">
        <f>H101/DAY(B2)</f>
        <v>-9.1111111111111107</v>
      </c>
      <c r="K101" s="71"/>
      <c r="L101" s="68"/>
      <c r="N101" s="369"/>
      <c r="O101" s="376"/>
      <c r="P101" s="73"/>
    </row>
    <row r="102" spans="1:16">
      <c r="A102" s="1277" t="s">
        <v>215</v>
      </c>
      <c r="B102" s="1278"/>
      <c r="C102" s="1279"/>
      <c r="D102" s="175"/>
      <c r="E102" s="135"/>
      <c r="F102" s="175"/>
      <c r="G102" s="176">
        <f>SUM(G96:G101)</f>
        <v>223</v>
      </c>
      <c r="H102" s="111">
        <f>G102+'17'!H102</f>
        <v>-2495</v>
      </c>
      <c r="I102" s="177"/>
      <c r="J102" s="203">
        <f>H102/DAY(B2)</f>
        <v>-138.61111111111111</v>
      </c>
      <c r="K102" s="71"/>
      <c r="L102" s="68"/>
      <c r="N102" s="369"/>
      <c r="O102" s="376"/>
      <c r="P102" s="73"/>
    </row>
    <row r="103" spans="1:16" s="93" customFormat="1" ht="27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>
      <c r="A104" s="1280" t="s">
        <v>217</v>
      </c>
      <c r="B104" s="1281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>
      <c r="A105" s="1237" t="s">
        <v>218</v>
      </c>
      <c r="B105" s="1238"/>
      <c r="C105" s="931"/>
      <c r="D105" s="273" t="s">
        <v>143</v>
      </c>
      <c r="E105" s="135">
        <f>'17'!F105</f>
        <v>7895</v>
      </c>
      <c r="F105" s="309">
        <v>7911</v>
      </c>
      <c r="G105" s="183">
        <f>F105-E105</f>
        <v>16</v>
      </c>
      <c r="H105" s="184">
        <f>SUM(G105+'1'!G76)</f>
        <v>91.700000000000728</v>
      </c>
      <c r="I105" s="183"/>
      <c r="J105" s="209">
        <f>H105/DAY(B2)</f>
        <v>5.094444444444485</v>
      </c>
      <c r="N105" s="369"/>
      <c r="O105" s="376"/>
      <c r="P105" s="73"/>
    </row>
    <row r="106" spans="1:16" s="93" customFormat="1" ht="27.75">
      <c r="A106" s="1237" t="s">
        <v>76</v>
      </c>
      <c r="B106" s="1238"/>
      <c r="C106" s="931"/>
      <c r="D106" s="273" t="s">
        <v>143</v>
      </c>
      <c r="E106" s="135">
        <f>'17'!F106</f>
        <v>36620</v>
      </c>
      <c r="F106" s="310">
        <v>36640</v>
      </c>
      <c r="G106" s="183">
        <f t="shared" ref="G106" si="11">F106-E106</f>
        <v>20</v>
      </c>
      <c r="H106" s="184">
        <f>SUM(G106+'1'!G77)</f>
        <v>67</v>
      </c>
      <c r="I106" s="183"/>
      <c r="J106" s="209">
        <f>H106/DAY(B2)</f>
        <v>3.7222222222222223</v>
      </c>
      <c r="N106" s="369"/>
      <c r="O106" s="376"/>
      <c r="P106" s="73"/>
    </row>
    <row r="107" spans="1:16" s="93" customFormat="1" ht="27.75">
      <c r="A107" s="1237" t="s">
        <v>77</v>
      </c>
      <c r="B107" s="1282"/>
      <c r="C107" s="1238"/>
      <c r="D107" s="273" t="s">
        <v>143</v>
      </c>
      <c r="E107" s="135">
        <f>'17'!F107</f>
        <v>20097</v>
      </c>
      <c r="F107" s="310">
        <v>20107</v>
      </c>
      <c r="G107" s="183">
        <f>F107-E107</f>
        <v>10</v>
      </c>
      <c r="H107" s="184">
        <f>SUM(G107+'1'!G78)</f>
        <v>28</v>
      </c>
      <c r="I107" s="183"/>
      <c r="J107" s="209">
        <f>H107/DAY(B2)</f>
        <v>1.5555555555555556</v>
      </c>
      <c r="N107" s="369"/>
      <c r="O107" s="376"/>
      <c r="P107" s="73"/>
    </row>
    <row r="108" spans="1:16" s="93" customFormat="1" ht="27.75">
      <c r="A108" s="1239" t="s">
        <v>201</v>
      </c>
      <c r="B108" s="1240"/>
      <c r="C108" s="931"/>
      <c r="D108" s="273"/>
      <c r="E108" s="135">
        <f>'17'!F108</f>
        <v>0</v>
      </c>
      <c r="F108" s="310"/>
      <c r="G108" s="183">
        <f>SUM(G105:G107)</f>
        <v>46</v>
      </c>
      <c r="H108" s="184">
        <f>SUM(G108+'1'!G79)</f>
        <v>212</v>
      </c>
      <c r="I108" s="183"/>
      <c r="J108" s="209">
        <f>H108/DAY(B2)</f>
        <v>11.777777777777779</v>
      </c>
      <c r="N108" s="369"/>
      <c r="O108" s="376"/>
      <c r="P108" s="73"/>
    </row>
    <row r="109" spans="1:16" s="93" customFormat="1" ht="27.75">
      <c r="A109" s="1243" t="s">
        <v>78</v>
      </c>
      <c r="B109" s="1244"/>
      <c r="C109" s="931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>
      <c r="A110" s="1237" t="s">
        <v>219</v>
      </c>
      <c r="B110" s="1238"/>
      <c r="C110" s="931"/>
      <c r="D110" s="273" t="s">
        <v>143</v>
      </c>
      <c r="E110" s="135">
        <f>'17'!F110</f>
        <v>68437</v>
      </c>
      <c r="F110" s="310">
        <v>68486</v>
      </c>
      <c r="G110" s="183">
        <f>F110-E110</f>
        <v>49</v>
      </c>
      <c r="H110" s="184">
        <f>SUM(G110+'1'!G81)</f>
        <v>223.80000000004657</v>
      </c>
      <c r="I110" s="183"/>
      <c r="J110" s="209">
        <f>H110/DAY(B2)</f>
        <v>12.43333333333592</v>
      </c>
      <c r="N110" s="369"/>
      <c r="O110" s="376"/>
      <c r="P110" s="73"/>
    </row>
    <row r="111" spans="1:16" s="93" customFormat="1" ht="27.75">
      <c r="A111" s="1237" t="s">
        <v>220</v>
      </c>
      <c r="B111" s="1238"/>
      <c r="C111" s="931"/>
      <c r="D111" s="273" t="s">
        <v>143</v>
      </c>
      <c r="E111" s="135">
        <f>'17'!F111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1.6666666666666667</v>
      </c>
      <c r="N111" s="369"/>
      <c r="O111" s="376"/>
      <c r="P111" s="73"/>
    </row>
    <row r="112" spans="1:16" s="93" customFormat="1" ht="27.75">
      <c r="A112" s="1237" t="s">
        <v>221</v>
      </c>
      <c r="B112" s="1238"/>
      <c r="C112" s="931"/>
      <c r="D112" s="273" t="s">
        <v>143</v>
      </c>
      <c r="E112" s="135">
        <f>'17'!F112</f>
        <v>4694</v>
      </c>
      <c r="F112" s="310">
        <v>4694</v>
      </c>
      <c r="G112" s="183">
        <f t="shared" si="12"/>
        <v>0</v>
      </c>
      <c r="H112" s="184">
        <f>SUM(G112+'1'!G83)</f>
        <v>311</v>
      </c>
      <c r="I112" s="183"/>
      <c r="J112" s="209">
        <f>H112/DAY(B2)</f>
        <v>17.277777777777779</v>
      </c>
      <c r="N112" s="369"/>
      <c r="O112" s="376"/>
      <c r="P112" s="73"/>
    </row>
    <row r="113" spans="1:16" s="93" customFormat="1" ht="27.75">
      <c r="A113" s="1239" t="s">
        <v>109</v>
      </c>
      <c r="B113" s="1240"/>
      <c r="C113" s="931"/>
      <c r="D113" s="273"/>
      <c r="E113" s="135">
        <f>'17'!F113</f>
        <v>0</v>
      </c>
      <c r="F113" s="310"/>
      <c r="G113" s="183">
        <f>SUM(G110:G112)</f>
        <v>49</v>
      </c>
      <c r="H113" s="184">
        <f>SUM(G113+'1'!G84)</f>
        <v>789</v>
      </c>
      <c r="I113" s="183"/>
      <c r="J113" s="209">
        <f>H113/DAY(B2)</f>
        <v>43.833333333333336</v>
      </c>
      <c r="N113" s="369"/>
      <c r="O113" s="376"/>
      <c r="P113" s="73"/>
    </row>
    <row r="114" spans="1:16" s="93" customFormat="1" ht="27.75">
      <c r="A114" s="1243" t="s">
        <v>222</v>
      </c>
      <c r="B114" s="1244"/>
      <c r="C114" s="931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>
      <c r="A115" s="1237" t="s">
        <v>223</v>
      </c>
      <c r="B115" s="1238"/>
      <c r="C115" s="225"/>
      <c r="D115" s="273" t="s">
        <v>143</v>
      </c>
      <c r="E115" s="135">
        <f>'17'!F115</f>
        <v>12796</v>
      </c>
      <c r="F115" s="310">
        <v>12814</v>
      </c>
      <c r="G115" s="185">
        <f>F115-E115</f>
        <v>18</v>
      </c>
      <c r="H115" s="184">
        <f>SUM(G115+'1'!G92)</f>
        <v>18</v>
      </c>
      <c r="I115" s="183"/>
      <c r="J115" s="209">
        <f>H115/DAY(B2)</f>
        <v>1</v>
      </c>
      <c r="N115" s="369"/>
      <c r="O115" s="376"/>
      <c r="P115" s="73"/>
    </row>
    <row r="116" spans="1:16" s="93" customFormat="1" ht="27.75">
      <c r="A116" s="1237" t="s">
        <v>224</v>
      </c>
      <c r="B116" s="1238"/>
      <c r="C116" s="225"/>
      <c r="D116" s="273" t="s">
        <v>143</v>
      </c>
      <c r="E116" s="135">
        <f>'17'!F116</f>
        <v>8992</v>
      </c>
      <c r="F116" s="310">
        <v>8998</v>
      </c>
      <c r="G116" s="185">
        <f t="shared" ref="G116:G117" si="13">F116-E116</f>
        <v>6</v>
      </c>
      <c r="H116" s="184">
        <f>SUM(G116+'1'!G93)</f>
        <v>68</v>
      </c>
      <c r="I116" s="183"/>
      <c r="J116" s="209">
        <f>H116/DAY(B2)</f>
        <v>3.7777777777777777</v>
      </c>
      <c r="N116" s="369"/>
      <c r="O116" s="376"/>
      <c r="P116" s="73"/>
    </row>
    <row r="117" spans="1:16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9.0555555555555554</v>
      </c>
      <c r="N117" s="369"/>
      <c r="O117" s="376"/>
      <c r="P117" s="73"/>
    </row>
    <row r="118" spans="1:16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24</v>
      </c>
      <c r="H118" s="184">
        <f>SUM(G118+'1'!G96)</f>
        <v>90</v>
      </c>
      <c r="I118" s="185"/>
      <c r="J118" s="209">
        <f>H118/DAY(B2)</f>
        <v>5</v>
      </c>
      <c r="N118" s="369"/>
      <c r="O118" s="376"/>
      <c r="P118" s="73"/>
    </row>
    <row r="119" spans="1:16" s="97" customFormat="1" ht="27.75">
      <c r="A119" s="1233" t="s">
        <v>226</v>
      </c>
      <c r="B119" s="1234"/>
      <c r="C119" s="929"/>
      <c r="D119" s="275" t="s">
        <v>143</v>
      </c>
      <c r="E119" s="187"/>
      <c r="F119" s="311">
        <f>SUM(G19+G93)</f>
        <v>163</v>
      </c>
      <c r="G119" s="187">
        <f>SUM(G19+G93)</f>
        <v>163</v>
      </c>
      <c r="H119" s="184">
        <f>SUM(G119+'1'!G97)</f>
        <v>181</v>
      </c>
      <c r="I119" s="186"/>
      <c r="J119" s="210">
        <f>H119/DAY(B2)</f>
        <v>10.055555555555555</v>
      </c>
      <c r="N119" s="369"/>
      <c r="O119" s="376"/>
      <c r="P119" s="73"/>
    </row>
    <row r="120" spans="1:16" s="97" customFormat="1" ht="27.75">
      <c r="A120" s="1233" t="s">
        <v>227</v>
      </c>
      <c r="B120" s="1234"/>
      <c r="C120" s="929"/>
      <c r="D120" s="275" t="s">
        <v>143</v>
      </c>
      <c r="E120" s="187"/>
      <c r="F120" s="311">
        <f>SUM(G96,G97,G98,G100,G101)</f>
        <v>177</v>
      </c>
      <c r="G120" s="187">
        <f>SUM(G96,G97,G98,G100,G101)</f>
        <v>177</v>
      </c>
      <c r="H120" s="184">
        <f>SUM(G120+'1'!G99)</f>
        <v>188</v>
      </c>
      <c r="I120" s="186"/>
      <c r="J120" s="210">
        <f>H120/DAY(B2)</f>
        <v>10.444444444444445</v>
      </c>
      <c r="N120" s="369"/>
      <c r="O120" s="376"/>
      <c r="P120" s="73"/>
    </row>
    <row r="121" spans="1:16" s="97" customFormat="1" ht="27.75">
      <c r="A121" s="1233" t="s">
        <v>228</v>
      </c>
      <c r="B121" s="1234"/>
      <c r="C121" s="929"/>
      <c r="D121" s="275" t="s">
        <v>143</v>
      </c>
      <c r="E121" s="185"/>
      <c r="F121" s="310">
        <f>SUM(G113)</f>
        <v>49</v>
      </c>
      <c r="G121" s="185">
        <f>SUM(G113)</f>
        <v>49</v>
      </c>
      <c r="H121" s="184">
        <f>SUM(G121+'1'!G101)</f>
        <v>58</v>
      </c>
      <c r="I121" s="186"/>
      <c r="J121" s="210">
        <f>H121/DAY(B2)</f>
        <v>3.2222222222222223</v>
      </c>
      <c r="N121" s="369"/>
      <c r="O121" s="376"/>
      <c r="P121" s="73"/>
    </row>
    <row r="122" spans="1:16" s="93" customFormat="1" ht="27.75">
      <c r="A122" s="1235"/>
      <c r="B122" s="1236"/>
      <c r="C122" s="930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>
      <c r="A124" s="932" t="s">
        <v>230</v>
      </c>
      <c r="B124" s="933"/>
      <c r="C124" s="933"/>
      <c r="D124" s="174" t="s">
        <v>140</v>
      </c>
      <c r="E124" s="129">
        <f>'17'!F124</f>
        <v>852569.55</v>
      </c>
      <c r="F124" s="129">
        <v>852863</v>
      </c>
      <c r="G124" s="124">
        <f t="shared" ref="G124:G128" si="14">F124-E124</f>
        <v>293.44999999995343</v>
      </c>
      <c r="H124" s="111">
        <f>G124+'17'!H124</f>
        <v>-3489</v>
      </c>
      <c r="I124" s="177"/>
      <c r="J124" s="203">
        <f>H124/DAY(B2)</f>
        <v>-193.83333333333334</v>
      </c>
      <c r="K124" s="71"/>
      <c r="L124" s="68"/>
      <c r="N124" s="369"/>
      <c r="O124" s="376"/>
      <c r="P124" s="73"/>
    </row>
    <row r="125" spans="1:16" ht="27.75">
      <c r="A125" s="932" t="s">
        <v>231</v>
      </c>
      <c r="B125" s="933"/>
      <c r="C125" s="933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>
      <c r="A126" s="1226" t="s">
        <v>232</v>
      </c>
      <c r="B126" s="1227"/>
      <c r="C126" s="1228"/>
      <c r="D126" s="174" t="s">
        <v>140</v>
      </c>
      <c r="E126" s="129">
        <f>'17'!F126</f>
        <v>152789.28</v>
      </c>
      <c r="F126" s="129">
        <v>152888.82999999999</v>
      </c>
      <c r="G126" s="124">
        <f t="shared" si="14"/>
        <v>99.549999999988358</v>
      </c>
      <c r="H126" s="111">
        <f>G126+'17'!H126</f>
        <v>-1188.1700000000128</v>
      </c>
      <c r="I126" s="177"/>
      <c r="J126" s="203">
        <f>H126/DAY(B2)</f>
        <v>-66.009444444445151</v>
      </c>
      <c r="K126" s="71"/>
      <c r="L126" s="68"/>
      <c r="N126" s="369"/>
      <c r="O126" s="376"/>
      <c r="P126" s="73"/>
    </row>
    <row r="127" spans="1:16" ht="27.75">
      <c r="A127" s="260" t="s">
        <v>233</v>
      </c>
      <c r="B127" s="933"/>
      <c r="C127" s="933"/>
      <c r="D127" s="174" t="s">
        <v>140</v>
      </c>
      <c r="E127" s="129">
        <f>'17'!F127</f>
        <v>34041.199999999997</v>
      </c>
      <c r="F127" s="277">
        <v>34086.800000000003</v>
      </c>
      <c r="G127" s="124">
        <f t="shared" si="14"/>
        <v>45.600000000005821</v>
      </c>
      <c r="H127" s="111">
        <f>G127+'17'!H127</f>
        <v>-542.19999999999709</v>
      </c>
      <c r="I127" s="177"/>
      <c r="J127" s="203">
        <f>H127/DAY(B2)</f>
        <v>-30.12222222222206</v>
      </c>
      <c r="K127" s="71"/>
      <c r="L127" s="68"/>
      <c r="N127" s="369"/>
      <c r="O127" s="376"/>
      <c r="P127" s="73"/>
    </row>
    <row r="128" spans="1:16" ht="27.75">
      <c r="A128" s="260" t="s">
        <v>234</v>
      </c>
      <c r="B128" s="933"/>
      <c r="C128" s="933"/>
      <c r="D128" s="174" t="s">
        <v>140</v>
      </c>
      <c r="E128" s="129">
        <f>'17'!F128</f>
        <v>9145.4</v>
      </c>
      <c r="F128" s="277">
        <v>9145.4</v>
      </c>
      <c r="G128" s="124">
        <f t="shared" si="14"/>
        <v>0</v>
      </c>
      <c r="H128" s="111">
        <f>G128+'17'!H128</f>
        <v>-34.600000000000364</v>
      </c>
      <c r="I128" s="131"/>
      <c r="J128" s="203">
        <f>H128/DAY(B2)</f>
        <v>-1.9222222222222425</v>
      </c>
      <c r="K128" s="71"/>
      <c r="L128" s="68"/>
      <c r="N128" s="369"/>
      <c r="O128" s="376"/>
      <c r="P128" s="73"/>
    </row>
    <row r="129" spans="1:16" s="57" customFormat="1" ht="27.75">
      <c r="A129" s="260" t="s">
        <v>235</v>
      </c>
      <c r="B129" s="933"/>
      <c r="C129" s="933"/>
      <c r="D129" s="174"/>
      <c r="E129" s="129"/>
      <c r="F129" s="129"/>
      <c r="G129" s="124">
        <f>G15-SUM(G124:G128)</f>
        <v>525.94300000011572</v>
      </c>
      <c r="H129" s="111">
        <f>G129+'17'!H129</f>
        <v>1455.1220000000121</v>
      </c>
      <c r="I129" s="131"/>
      <c r="J129" s="203">
        <f>H129/DAY(B2)</f>
        <v>80.840111111111781</v>
      </c>
      <c r="K129" s="60"/>
      <c r="L129" s="58"/>
      <c r="N129" s="369"/>
      <c r="O129" s="376"/>
      <c r="P129" s="73"/>
    </row>
    <row r="130" spans="1:16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>
      <c r="A131" s="932" t="s">
        <v>237</v>
      </c>
      <c r="B131" s="933"/>
      <c r="C131" s="933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>
      <c r="A132" s="932" t="s">
        <v>239</v>
      </c>
      <c r="B132" s="933"/>
      <c r="C132" s="933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>
      <c r="A133" s="932" t="s">
        <v>240</v>
      </c>
      <c r="B133" s="933"/>
      <c r="C133" s="933"/>
      <c r="D133" s="174" t="s">
        <v>238</v>
      </c>
      <c r="E133" s="135">
        <f>'17'!F133</f>
        <v>40853</v>
      </c>
      <c r="F133" s="302">
        <v>40877.129999999997</v>
      </c>
      <c r="G133" s="124">
        <f t="shared" si="15"/>
        <v>24.129999999997381</v>
      </c>
      <c r="H133" s="111">
        <f>G133+'17'!H133</f>
        <v>-44.870000000002619</v>
      </c>
      <c r="I133" s="131"/>
      <c r="J133" s="203">
        <f>H133/DAY(B2)</f>
        <v>-2.4927777777779232</v>
      </c>
      <c r="N133" s="369"/>
      <c r="O133" s="376"/>
      <c r="P133" s="73"/>
    </row>
    <row r="134" spans="1:16" ht="27.75">
      <c r="A134" s="932" t="s">
        <v>241</v>
      </c>
      <c r="B134" s="933"/>
      <c r="C134" s="933"/>
      <c r="D134" s="174" t="s">
        <v>238</v>
      </c>
      <c r="E134" s="135">
        <f>'17'!F134</f>
        <v>724.25</v>
      </c>
      <c r="F134" s="277">
        <v>724.25</v>
      </c>
      <c r="G134" s="124">
        <f t="shared" si="15"/>
        <v>0</v>
      </c>
      <c r="H134" s="111">
        <f>G134+'17'!H134</f>
        <v>-131.75</v>
      </c>
      <c r="I134" s="131">
        <f>G131+G132+G133+G134</f>
        <v>24.129999999997381</v>
      </c>
      <c r="J134" s="203">
        <f>H134/DAY(B2)</f>
        <v>-7.3194444444444446</v>
      </c>
      <c r="N134" s="369"/>
      <c r="O134" s="376"/>
      <c r="P134" s="73"/>
    </row>
    <row r="135" spans="1:16" ht="27.75">
      <c r="A135" s="932" t="s">
        <v>242</v>
      </c>
      <c r="B135" s="933"/>
      <c r="C135" s="933"/>
      <c r="D135" s="174" t="s">
        <v>238</v>
      </c>
      <c r="E135" s="135">
        <f>'17'!F135</f>
        <v>42644.06</v>
      </c>
      <c r="F135" s="277">
        <v>42648.04</v>
      </c>
      <c r="G135" s="124">
        <f t="shared" si="15"/>
        <v>3.9800000000032014</v>
      </c>
      <c r="H135" s="111">
        <f>G135+'17'!H135</f>
        <v>-173.95999999999913</v>
      </c>
      <c r="I135" s="131"/>
      <c r="J135" s="203">
        <f>H135/DAY(B2)</f>
        <v>-9.6644444444443955</v>
      </c>
      <c r="N135" s="369"/>
      <c r="O135" s="376"/>
      <c r="P135" s="73"/>
    </row>
    <row r="136" spans="1:16" ht="27.75">
      <c r="A136" s="932" t="s">
        <v>243</v>
      </c>
      <c r="B136" s="933"/>
      <c r="C136" s="933"/>
      <c r="D136" s="174" t="s">
        <v>238</v>
      </c>
      <c r="E136" s="135">
        <f>'17'!F136</f>
        <v>32874</v>
      </c>
      <c r="F136" s="302">
        <v>32874</v>
      </c>
      <c r="G136" s="124">
        <f t="shared" si="15"/>
        <v>0</v>
      </c>
      <c r="H136" s="111">
        <f>G136+'17'!H136</f>
        <v>-54</v>
      </c>
      <c r="I136" s="131"/>
      <c r="J136" s="203">
        <f>H136/DAY(B2)</f>
        <v>-3</v>
      </c>
      <c r="N136" s="369"/>
      <c r="O136" s="376"/>
      <c r="P136" s="73"/>
    </row>
    <row r="137" spans="1:16" ht="27.75">
      <c r="A137" s="932" t="s">
        <v>244</v>
      </c>
      <c r="B137" s="933"/>
      <c r="C137" s="933"/>
      <c r="D137" s="174" t="s">
        <v>238</v>
      </c>
      <c r="E137" s="135">
        <f>'17'!F137</f>
        <v>23236.959999999999</v>
      </c>
      <c r="F137" s="302">
        <v>23246.25</v>
      </c>
      <c r="G137" s="124">
        <f t="shared" si="15"/>
        <v>9.2900000000008731</v>
      </c>
      <c r="H137" s="111">
        <f>G137+'17'!H137</f>
        <v>-110.18000000000029</v>
      </c>
      <c r="I137" s="131">
        <f>G135+G136+G137</f>
        <v>13.270000000004075</v>
      </c>
      <c r="J137" s="203">
        <f>H137/DAY(B2)</f>
        <v>-6.1211111111111274</v>
      </c>
      <c r="N137" s="369"/>
      <c r="O137" s="376"/>
      <c r="P137" s="73"/>
    </row>
    <row r="138" spans="1:16" ht="27.75">
      <c r="A138" s="932" t="s">
        <v>245</v>
      </c>
      <c r="B138" s="933"/>
      <c r="C138" s="933"/>
      <c r="D138" s="174" t="s">
        <v>238</v>
      </c>
      <c r="E138" s="135">
        <f>'17'!F138</f>
        <v>25132.98</v>
      </c>
      <c r="F138" s="302">
        <v>25132.9</v>
      </c>
      <c r="G138" s="124">
        <f t="shared" si="15"/>
        <v>-7.9999999998108251E-2</v>
      </c>
      <c r="H138" s="111">
        <f>G138+'17'!H138</f>
        <v>-5.9999999997671694E-2</v>
      </c>
      <c r="I138" s="131"/>
      <c r="J138" s="203">
        <f>H138/DAY(B2)</f>
        <v>-3.333333333203983E-3</v>
      </c>
      <c r="N138" s="369"/>
      <c r="O138" s="376"/>
      <c r="P138" s="73"/>
    </row>
    <row r="139" spans="1:16" ht="27.75">
      <c r="A139" s="932" t="s">
        <v>246</v>
      </c>
      <c r="B139" s="933"/>
      <c r="C139" s="933"/>
      <c r="D139" s="174" t="s">
        <v>238</v>
      </c>
      <c r="E139" s="135">
        <f>'17'!F139</f>
        <v>70523.55</v>
      </c>
      <c r="F139" s="302">
        <v>70523.600000000006</v>
      </c>
      <c r="G139" s="124">
        <f t="shared" si="15"/>
        <v>5.0000000002910383E-2</v>
      </c>
      <c r="H139" s="111">
        <f>G139+'17'!H139</f>
        <v>-0.94999999999708962</v>
      </c>
      <c r="I139" s="131">
        <f>G138+G139</f>
        <v>-2.9999999995197868E-2</v>
      </c>
      <c r="J139" s="203">
        <f>H139/DAY(B2)</f>
        <v>-5.2777777777616088E-2</v>
      </c>
      <c r="N139" s="369"/>
      <c r="O139" s="376"/>
      <c r="P139" s="73"/>
    </row>
    <row r="140" spans="1:16" ht="27.75">
      <c r="A140" s="932" t="s">
        <v>247</v>
      </c>
      <c r="B140" s="933"/>
      <c r="C140" s="933"/>
      <c r="D140" s="174" t="s">
        <v>238</v>
      </c>
      <c r="E140" s="135">
        <f>'17'!F140</f>
        <v>2481.98</v>
      </c>
      <c r="F140" s="277">
        <v>2493.2800000000002</v>
      </c>
      <c r="G140" s="124">
        <f t="shared" si="15"/>
        <v>11.300000000000182</v>
      </c>
      <c r="H140" s="111">
        <f>G140+'17'!H140</f>
        <v>-134.69999999999982</v>
      </c>
      <c r="I140" s="193"/>
      <c r="J140" s="203">
        <f>H140/DAY(B2)</f>
        <v>-7.4833333333333236</v>
      </c>
      <c r="N140" s="369"/>
      <c r="O140" s="376"/>
      <c r="P140" s="73"/>
    </row>
    <row r="141" spans="1:16" ht="27.75">
      <c r="A141" s="932" t="s">
        <v>248</v>
      </c>
      <c r="B141" s="933"/>
      <c r="C141" s="933"/>
      <c r="D141" s="174" t="s">
        <v>238</v>
      </c>
      <c r="E141" s="135">
        <f>'17'!F141</f>
        <v>4753.67</v>
      </c>
      <c r="F141" s="129">
        <v>4753.67</v>
      </c>
      <c r="G141" s="124">
        <f t="shared" si="15"/>
        <v>0</v>
      </c>
      <c r="H141" s="111">
        <f>G141+'17'!H141</f>
        <v>-0.32999999999992724</v>
      </c>
      <c r="I141" s="193"/>
      <c r="J141" s="203">
        <f>H141/DAY(B2)</f>
        <v>-1.8333333333329292E-2</v>
      </c>
      <c r="N141" s="369"/>
      <c r="O141" s="376"/>
      <c r="P141" s="73"/>
    </row>
    <row r="142" spans="1:16">
      <c r="A142" s="1248" t="s">
        <v>249</v>
      </c>
      <c r="B142" s="1249"/>
      <c r="C142" s="938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5552</v>
      </c>
      <c r="H143" s="111">
        <f>G143+'17'!H143</f>
        <v>329323.63</v>
      </c>
      <c r="I143" s="131"/>
      <c r="J143" s="203">
        <f>H143/DAY(B2)</f>
        <v>18295.757222222222</v>
      </c>
      <c r="K143" s="71"/>
      <c r="L143" s="68"/>
      <c r="N143" s="369"/>
      <c r="O143" s="376"/>
      <c r="P143" s="73"/>
    </row>
    <row r="144" spans="1:16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0.26367781155015196</v>
      </c>
      <c r="H144" s="111">
        <f>G144+'17'!H144</f>
        <v>5.4440722751263335</v>
      </c>
      <c r="I144" s="195"/>
      <c r="J144" s="203">
        <f>H144/DAY(B2)</f>
        <v>0.30244845972924073</v>
      </c>
      <c r="K144" s="71"/>
      <c r="L144" s="68"/>
      <c r="N144" s="369"/>
      <c r="O144" s="376"/>
      <c r="P144" s="73"/>
    </row>
    <row r="145" spans="1:16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5978</v>
      </c>
      <c r="H145" s="111">
        <f>G145+'17'!H145</f>
        <v>-87394.77999999997</v>
      </c>
      <c r="I145" s="131"/>
      <c r="J145" s="203">
        <f>H145/DAY(B2)</f>
        <v>-4855.2655555555539</v>
      </c>
      <c r="K145" s="71"/>
      <c r="L145" s="68"/>
      <c r="N145" s="369"/>
      <c r="O145" s="376"/>
      <c r="P145" s="73"/>
    </row>
    <row r="146" spans="1:16" ht="27.75">
      <c r="A146" s="1245" t="s">
        <v>253</v>
      </c>
      <c r="B146" s="1246"/>
      <c r="C146" s="1247"/>
      <c r="D146" s="174" t="s">
        <v>24</v>
      </c>
      <c r="E146" s="106"/>
      <c r="F146" s="106" t="s">
        <v>272</v>
      </c>
      <c r="G146" s="194">
        <f>G145/G7</f>
        <v>0.28390957446808512</v>
      </c>
      <c r="H146" s="111">
        <f>G146+'17'!H146</f>
        <v>4.5531462038628971</v>
      </c>
      <c r="I146" s="195"/>
      <c r="J146" s="203">
        <f>H146/DAY(B2)</f>
        <v>0.25295256688127205</v>
      </c>
      <c r="K146" s="71"/>
      <c r="L146" s="68"/>
      <c r="N146" s="369"/>
      <c r="O146" s="376"/>
      <c r="P146" s="73"/>
    </row>
    <row r="147" spans="1:16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3770.6000000000349</v>
      </c>
      <c r="H147" s="111">
        <f>G147+'17'!H147</f>
        <v>1018675.5900000001</v>
      </c>
      <c r="I147" s="196"/>
      <c r="J147" s="203">
        <f>H147/DAY(B2)</f>
        <v>56593.08833333334</v>
      </c>
      <c r="K147" s="71"/>
      <c r="L147" s="68"/>
      <c r="N147" s="369"/>
      <c r="O147" s="376"/>
      <c r="P147" s="73"/>
    </row>
    <row r="148" spans="1:16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0.17907484802431778</v>
      </c>
      <c r="H148" s="111">
        <f>G148+'17'!H148</f>
        <v>5.8061359972321371</v>
      </c>
      <c r="I148" s="196"/>
      <c r="J148" s="203">
        <f>H148/DAY(B2)</f>
        <v>0.32256311095734097</v>
      </c>
      <c r="N148" s="369"/>
      <c r="O148" s="376"/>
      <c r="P148" s="73"/>
    </row>
    <row r="149" spans="1:16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1724</v>
      </c>
      <c r="H149" s="111">
        <f>G149+'17'!H149</f>
        <v>814132.07</v>
      </c>
      <c r="I149" s="131"/>
      <c r="J149" s="203">
        <f>H149/DAY(B2)</f>
        <v>45229.559444444443</v>
      </c>
      <c r="K149" s="72"/>
      <c r="N149" s="369"/>
      <c r="O149" s="376"/>
      <c r="P149" s="73"/>
    </row>
    <row r="150" spans="1:16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8.1876899696048638E-2</v>
      </c>
      <c r="H150" s="111">
        <f>G150+'17'!H150</f>
        <v>3.655356410582522</v>
      </c>
      <c r="I150" s="196"/>
      <c r="J150" s="203">
        <f>H150/DAY(B2)</f>
        <v>0.20307535614347344</v>
      </c>
      <c r="N150" s="369"/>
      <c r="O150" s="376"/>
      <c r="P150" s="73"/>
    </row>
    <row r="151" spans="1:16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2362.1999999999971</v>
      </c>
      <c r="H151" s="111">
        <f>G151+'17'!H151</f>
        <v>42369.7</v>
      </c>
      <c r="I151" s="196"/>
      <c r="J151" s="203">
        <f>H151/DAY(B2)</f>
        <v>2353.8722222222223</v>
      </c>
      <c r="N151" s="369"/>
      <c r="O151" s="376"/>
      <c r="P151" s="73"/>
    </row>
    <row r="152" spans="1:16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0.11218655015197554</v>
      </c>
      <c r="H152" s="111">
        <f>G152+'17'!H152</f>
        <v>1.5045494228910079</v>
      </c>
      <c r="I152" s="131"/>
      <c r="J152" s="203">
        <f>H152/DAY(B2)</f>
        <v>8.3586079049500439E-2</v>
      </c>
      <c r="N152" s="369"/>
      <c r="O152" s="376"/>
      <c r="P152" s="73"/>
    </row>
    <row r="153" spans="1:16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1535</v>
      </c>
      <c r="H153" s="111">
        <f>G153+'17'!H153</f>
        <v>395600.87000000005</v>
      </c>
      <c r="I153" s="131"/>
      <c r="J153" s="203">
        <f>H153/DAY(B2)</f>
        <v>21977.826111111113</v>
      </c>
      <c r="N153" s="369"/>
      <c r="O153" s="376"/>
      <c r="P153" s="73"/>
    </row>
    <row r="154" spans="1:16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7.2900835866261393E-2</v>
      </c>
      <c r="H154" s="111">
        <f>G154+'17'!H154</f>
        <v>2.3432396803860835</v>
      </c>
      <c r="I154" s="219"/>
      <c r="J154" s="220">
        <f>H154/DAY(B2)</f>
        <v>0.1301799822436713</v>
      </c>
      <c r="N154" s="369"/>
      <c r="O154" s="376"/>
      <c r="P154" s="73"/>
    </row>
    <row r="155" spans="1:16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>
      <c r="N156" s="369"/>
    </row>
    <row r="157" spans="1:16">
      <c r="N157" s="369"/>
    </row>
    <row r="158" spans="1:16">
      <c r="N158" s="369"/>
    </row>
    <row r="159" spans="1:16">
      <c r="N159" s="369"/>
    </row>
    <row r="160" spans="1:16">
      <c r="N160" s="369"/>
    </row>
    <row r="161" spans="1:14">
      <c r="A161" s="445" t="s">
        <v>262</v>
      </c>
      <c r="B161" s="446"/>
      <c r="C161" s="446"/>
      <c r="D161" s="271" t="s">
        <v>186</v>
      </c>
      <c r="E161" s="173">
        <f>'17'!F161</f>
        <v>44682.400000000001</v>
      </c>
      <c r="F161" s="454">
        <v>44760.6</v>
      </c>
      <c r="G161" s="124">
        <f t="shared" ref="G161:G166" si="16">F161-E161</f>
        <v>78.19999999999709</v>
      </c>
      <c r="N161" s="369"/>
    </row>
    <row r="162" spans="1:14">
      <c r="A162" s="445" t="s">
        <v>263</v>
      </c>
      <c r="B162" s="446"/>
      <c r="C162" s="446"/>
      <c r="D162" s="271" t="s">
        <v>186</v>
      </c>
      <c r="E162" s="173">
        <f>'17'!F162</f>
        <v>130095</v>
      </c>
      <c r="F162" s="454">
        <v>130539</v>
      </c>
      <c r="G162" s="124">
        <f t="shared" si="16"/>
        <v>444</v>
      </c>
      <c r="N162" s="369"/>
    </row>
    <row r="163" spans="1:14">
      <c r="A163" s="445" t="s">
        <v>264</v>
      </c>
      <c r="B163" s="446"/>
      <c r="C163" s="446"/>
      <c r="D163" s="271" t="s">
        <v>186</v>
      </c>
      <c r="E163" s="173">
        <f>'17'!F163</f>
        <v>60911.6</v>
      </c>
      <c r="F163" s="434">
        <v>61114.8</v>
      </c>
      <c r="G163" s="124">
        <f t="shared" si="16"/>
        <v>203.20000000000437</v>
      </c>
      <c r="N163" s="369"/>
    </row>
    <row r="164" spans="1:14">
      <c r="A164" s="445" t="s">
        <v>265</v>
      </c>
      <c r="B164" s="446"/>
      <c r="C164" s="446"/>
      <c r="D164" s="271" t="s">
        <v>186</v>
      </c>
      <c r="E164" s="173">
        <f>'17'!F164</f>
        <v>7315.69</v>
      </c>
      <c r="F164" s="454">
        <v>7329.13</v>
      </c>
      <c r="G164" s="124">
        <f t="shared" si="16"/>
        <v>13.440000000000509</v>
      </c>
      <c r="N164" s="369"/>
    </row>
    <row r="165" spans="1:14">
      <c r="A165" s="447" t="s">
        <v>97</v>
      </c>
      <c r="B165" s="448"/>
      <c r="C165" s="448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9"/>
    </row>
    <row r="166" spans="1:14">
      <c r="A166" s="447" t="s">
        <v>187</v>
      </c>
      <c r="B166" s="448"/>
      <c r="C166" s="448"/>
      <c r="D166" s="271" t="s">
        <v>186</v>
      </c>
      <c r="E166" s="173">
        <f>'17'!F166</f>
        <v>0</v>
      </c>
      <c r="F166" s="165">
        <f>F63</f>
        <v>0</v>
      </c>
      <c r="G166" s="124">
        <f t="shared" si="16"/>
        <v>0</v>
      </c>
      <c r="N166" s="369"/>
    </row>
    <row r="167" spans="1:14" ht="27.75">
      <c r="A167" s="1299" t="s">
        <v>98</v>
      </c>
      <c r="B167" s="1299"/>
      <c r="C167" s="1299"/>
      <c r="D167" s="175" t="s">
        <v>186</v>
      </c>
      <c r="E167" s="173">
        <f>'17'!F167</f>
        <v>188394</v>
      </c>
      <c r="F167" s="165">
        <f t="shared" ref="F167:F172" si="17">F64</f>
        <v>188827</v>
      </c>
      <c r="G167" s="124">
        <f>F64-E64</f>
        <v>433</v>
      </c>
      <c r="N167" s="369"/>
    </row>
    <row r="168" spans="1:14" ht="27.75">
      <c r="A168" s="1299" t="s">
        <v>99</v>
      </c>
      <c r="B168" s="1299"/>
      <c r="C168" s="1299"/>
      <c r="D168" s="175" t="s">
        <v>186</v>
      </c>
      <c r="E168" s="173">
        <f>'17'!F168</f>
        <v>189079</v>
      </c>
      <c r="F168" s="165">
        <f t="shared" si="17"/>
        <v>189491</v>
      </c>
      <c r="G168" s="124">
        <f t="shared" ref="G168:G172" si="18">F65-E65</f>
        <v>412</v>
      </c>
      <c r="N168" s="369"/>
    </row>
    <row r="169" spans="1:14" ht="27.75">
      <c r="A169" s="1299" t="s">
        <v>100</v>
      </c>
      <c r="B169" s="1299"/>
      <c r="C169" s="1299"/>
      <c r="D169" s="175" t="s">
        <v>186</v>
      </c>
      <c r="E169" s="173">
        <f>'17'!F169</f>
        <v>87590.8</v>
      </c>
      <c r="F169" s="165">
        <f t="shared" si="17"/>
        <v>88014.3</v>
      </c>
      <c r="G169" s="124">
        <f t="shared" si="18"/>
        <v>423.5</v>
      </c>
      <c r="N169" s="369"/>
    </row>
    <row r="170" spans="1:14" ht="27.75">
      <c r="A170" s="1299" t="s">
        <v>101</v>
      </c>
      <c r="B170" s="1299"/>
      <c r="C170" s="1299"/>
      <c r="D170" s="175" t="s">
        <v>186</v>
      </c>
      <c r="E170" s="173">
        <f>'17'!F170</f>
        <v>288152</v>
      </c>
      <c r="F170" s="165">
        <f t="shared" si="17"/>
        <v>288591</v>
      </c>
      <c r="G170" s="124">
        <f t="shared" si="18"/>
        <v>439</v>
      </c>
      <c r="N170" s="369"/>
    </row>
    <row r="171" spans="1:14" ht="27.75">
      <c r="A171" s="1299" t="s">
        <v>102</v>
      </c>
      <c r="B171" s="1299"/>
      <c r="C171" s="1299"/>
      <c r="D171" s="175" t="s">
        <v>186</v>
      </c>
      <c r="E171" s="173">
        <f>'17'!F171</f>
        <v>85321</v>
      </c>
      <c r="F171" s="165">
        <f t="shared" si="17"/>
        <v>85321</v>
      </c>
      <c r="G171" s="124">
        <f t="shared" si="18"/>
        <v>0</v>
      </c>
      <c r="N171" s="369"/>
    </row>
    <row r="172" spans="1:14" ht="27.75">
      <c r="A172" s="1299" t="s">
        <v>103</v>
      </c>
      <c r="B172" s="1299"/>
      <c r="C172" s="1299"/>
      <c r="D172" s="175" t="s">
        <v>186</v>
      </c>
      <c r="E172" s="173">
        <f>'17'!F172</f>
        <v>101918</v>
      </c>
      <c r="F172" s="165">
        <f t="shared" si="17"/>
        <v>102225</v>
      </c>
      <c r="G172" s="124">
        <f t="shared" si="18"/>
        <v>307</v>
      </c>
      <c r="N172" s="369"/>
    </row>
    <row r="173" spans="1:14">
      <c r="A173" s="449"/>
      <c r="B173" s="450"/>
      <c r="C173" s="450"/>
      <c r="D173" s="451"/>
      <c r="E173" s="451"/>
      <c r="F173" s="452"/>
      <c r="G173" s="453">
        <f>SUM(G161:G172)</f>
        <v>2753.340000000002</v>
      </c>
      <c r="N173" s="369"/>
    </row>
    <row r="174" spans="1:14">
      <c r="A174" s="1173" t="s">
        <v>337</v>
      </c>
      <c r="B174" s="1172"/>
      <c r="C174" s="436"/>
      <c r="D174" s="174" t="s">
        <v>186</v>
      </c>
      <c r="E174" s="183">
        <f>'17'!F173</f>
        <v>0</v>
      </c>
      <c r="F174" s="183">
        <v>19184.099999999999</v>
      </c>
      <c r="G174" s="124">
        <f>F174-E174</f>
        <v>19184.099999999999</v>
      </c>
      <c r="N174" s="369"/>
    </row>
    <row r="175" spans="1:14">
      <c r="A175" s="1173" t="s">
        <v>337</v>
      </c>
      <c r="B175" s="1172"/>
      <c r="C175" s="436"/>
      <c r="D175" s="174" t="s">
        <v>186</v>
      </c>
      <c r="E175" s="183">
        <f>'17'!F174</f>
        <v>19181.599999999999</v>
      </c>
      <c r="F175" s="183">
        <v>70650.7</v>
      </c>
      <c r="G175" s="124">
        <f t="shared" ref="G175:G176" si="19">F175-E175</f>
        <v>51469.1</v>
      </c>
      <c r="N175" s="369"/>
    </row>
    <row r="176" spans="1:14">
      <c r="A176" s="1273" t="s">
        <v>338</v>
      </c>
      <c r="B176" s="1236"/>
      <c r="C176" s="436"/>
      <c r="D176" s="174" t="s">
        <v>186</v>
      </c>
      <c r="E176" s="183">
        <f>'17'!F175</f>
        <v>70644.399999999994</v>
      </c>
      <c r="F176" s="183">
        <v>27891.9</v>
      </c>
      <c r="G176" s="124">
        <f t="shared" si="19"/>
        <v>-42752.499999999993</v>
      </c>
      <c r="N176" s="369"/>
    </row>
    <row r="177" spans="1:14" ht="27.75">
      <c r="A177" s="1296" t="s">
        <v>382</v>
      </c>
      <c r="B177" s="1296"/>
      <c r="C177" s="1296"/>
      <c r="D177" s="1296"/>
      <c r="E177" s="1296"/>
      <c r="F177" s="1296"/>
      <c r="G177" s="1296"/>
      <c r="N177" s="369"/>
    </row>
    <row r="178" spans="1:14" ht="18.75" customHeight="1">
      <c r="A178" s="435"/>
      <c r="B178" s="436"/>
      <c r="C178" s="436"/>
      <c r="D178" s="174" t="s">
        <v>186</v>
      </c>
      <c r="E178" s="173">
        <f>'17'!F178</f>
        <v>0</v>
      </c>
      <c r="F178" s="193"/>
      <c r="G178" s="124">
        <f t="shared" ref="G178:G184" si="20">F178-E178</f>
        <v>0</v>
      </c>
      <c r="N178" s="369"/>
    </row>
    <row r="179" spans="1:14" ht="23.25" customHeight="1">
      <c r="A179" s="435" t="s">
        <v>383</v>
      </c>
      <c r="B179" s="436"/>
      <c r="C179" s="436"/>
      <c r="D179" s="174" t="s">
        <v>186</v>
      </c>
      <c r="E179" s="173">
        <f>'17'!F179</f>
        <v>0</v>
      </c>
      <c r="F179" s="193"/>
      <c r="G179" s="124">
        <f t="shared" si="20"/>
        <v>0</v>
      </c>
      <c r="N179" s="369"/>
    </row>
    <row r="180" spans="1:14" ht="23.25" customHeight="1">
      <c r="A180" s="435" t="s">
        <v>384</v>
      </c>
      <c r="B180" s="436"/>
      <c r="C180" s="436"/>
      <c r="D180" s="174" t="s">
        <v>186</v>
      </c>
      <c r="E180" s="173">
        <f>'17'!F180</f>
        <v>0</v>
      </c>
      <c r="F180" s="193"/>
      <c r="G180" s="124">
        <f t="shared" si="20"/>
        <v>0</v>
      </c>
      <c r="N180" s="369"/>
    </row>
    <row r="181" spans="1:14" ht="23.25" customHeight="1">
      <c r="A181" s="435" t="s">
        <v>385</v>
      </c>
      <c r="B181" s="436"/>
      <c r="C181" s="436"/>
      <c r="D181" s="174" t="s">
        <v>186</v>
      </c>
      <c r="E181" s="173">
        <f>'17'!F181</f>
        <v>0</v>
      </c>
      <c r="F181" s="193"/>
      <c r="G181" s="124">
        <f t="shared" si="20"/>
        <v>0</v>
      </c>
      <c r="N181" s="369"/>
    </row>
    <row r="182" spans="1:14" ht="23.25" customHeight="1">
      <c r="A182" s="435" t="s">
        <v>386</v>
      </c>
      <c r="B182" s="436"/>
      <c r="C182" s="436"/>
      <c r="D182" s="174" t="s">
        <v>186</v>
      </c>
      <c r="E182" s="173">
        <f>'17'!F182</f>
        <v>0</v>
      </c>
      <c r="F182" s="193"/>
      <c r="G182" s="124">
        <f t="shared" si="20"/>
        <v>0</v>
      </c>
      <c r="N182" s="369"/>
    </row>
    <row r="183" spans="1:14" ht="23.25" customHeight="1">
      <c r="A183" s="435" t="s">
        <v>387</v>
      </c>
      <c r="B183" s="436"/>
      <c r="C183" s="436"/>
      <c r="D183" s="174" t="s">
        <v>186</v>
      </c>
      <c r="E183" s="173">
        <f>'17'!F183</f>
        <v>0</v>
      </c>
      <c r="F183" s="193"/>
      <c r="G183" s="124">
        <f t="shared" si="20"/>
        <v>0</v>
      </c>
      <c r="N183" s="369"/>
    </row>
    <row r="184" spans="1:14" ht="23.25" customHeight="1">
      <c r="A184" s="435" t="s">
        <v>388</v>
      </c>
      <c r="B184" s="436"/>
      <c r="C184" s="436"/>
      <c r="D184" s="174" t="s">
        <v>186</v>
      </c>
      <c r="E184" s="173">
        <f>'17'!F184</f>
        <v>0</v>
      </c>
      <c r="F184" s="193"/>
      <c r="G184" s="124">
        <f t="shared" si="20"/>
        <v>0</v>
      </c>
      <c r="N184" s="369"/>
    </row>
    <row r="185" spans="1:14" ht="23.25" customHeight="1">
      <c r="N185" s="369"/>
    </row>
    <row r="186" spans="1:14" ht="23.25" customHeight="1">
      <c r="N186" s="369"/>
    </row>
    <row r="187" spans="1:14" ht="23.25" customHeight="1">
      <c r="N187" s="369"/>
    </row>
    <row r="188" spans="1:14" ht="23.25" customHeight="1">
      <c r="N188" s="369"/>
    </row>
    <row r="189" spans="1:14" ht="23.25" customHeight="1">
      <c r="N189" s="369"/>
    </row>
    <row r="190" spans="1:14" ht="23.25" customHeight="1">
      <c r="N190" s="369"/>
    </row>
    <row r="191" spans="1:14" ht="23.25" customHeight="1">
      <c r="N191" s="369"/>
    </row>
    <row r="192" spans="1:14" ht="23.25" customHeight="1">
      <c r="N192" s="369"/>
    </row>
    <row r="193" spans="14:14" ht="23.25" customHeight="1">
      <c r="N193" s="369"/>
    </row>
    <row r="194" spans="14:14" ht="23.25" customHeight="1">
      <c r="N194" s="369"/>
    </row>
    <row r="195" spans="14:14" ht="23.25" customHeight="1">
      <c r="N195" s="369"/>
    </row>
    <row r="196" spans="14:14" ht="23.25" customHeight="1">
      <c r="N196" s="369"/>
    </row>
    <row r="197" spans="14:14" ht="23.25" customHeight="1">
      <c r="N197" s="369"/>
    </row>
    <row r="198" spans="14:14" ht="23.25" customHeight="1">
      <c r="N198" s="36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7:G177"/>
    <mergeCell ref="A119:B119"/>
    <mergeCell ref="A120:B120"/>
    <mergeCell ref="A121:B121"/>
    <mergeCell ref="A122:B122"/>
    <mergeCell ref="A176:B17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topLeftCell="A160" zoomScale="55" zoomScaleNormal="40" zoomScaleSheetLayoutView="55" zoomScalePageLayoutView="60" workbookViewId="0">
      <selection activeCell="F8" sqref="F8"/>
    </sheetView>
  </sheetViews>
  <sheetFormatPr defaultColWidth="22.33203125" defaultRowHeight="29.2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5" s="57" customFormat="1" ht="27">
      <c r="A2" s="226" t="s">
        <v>376</v>
      </c>
      <c r="B2" s="682">
        <v>44427</v>
      </c>
      <c r="C2" s="761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61" t="s">
        <v>119</v>
      </c>
      <c r="D3" s="263">
        <v>27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61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v>6975.61</v>
      </c>
      <c r="F7" s="106">
        <v>29068.7</v>
      </c>
      <c r="G7" s="124">
        <f>F7-E7</f>
        <v>22093.09</v>
      </c>
      <c r="H7" s="111">
        <f>G7+'18 '!H7</f>
        <v>730377.09</v>
      </c>
      <c r="I7" s="125">
        <f>'1'!I7</f>
        <v>12000</v>
      </c>
      <c r="J7" s="203">
        <f>H7/DAY(B2)</f>
        <v>38440.899473684207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v>17221</v>
      </c>
      <c r="F8" s="126">
        <f>E8+22500</f>
        <v>39721</v>
      </c>
      <c r="G8" s="127">
        <f>F8-E8</f>
        <v>22500</v>
      </c>
      <c r="H8" s="111">
        <f>G8+'18 '!H8</f>
        <v>730149</v>
      </c>
      <c r="I8" s="128">
        <f>'1'!I8</f>
        <v>12000</v>
      </c>
      <c r="J8" s="203">
        <f>H8/DAY(B2)</f>
        <v>38428.894736842107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'18 '!F9</f>
        <v>3083630</v>
      </c>
      <c r="F9" s="129">
        <v>3105410</v>
      </c>
      <c r="G9" s="124">
        <f t="shared" ref="G9:G12" si="0">F9-E9</f>
        <v>21780</v>
      </c>
      <c r="H9" s="111">
        <f>G9+'18 '!H9</f>
        <v>3022880</v>
      </c>
      <c r="I9" s="130">
        <f>I8-J8</f>
        <v>-26428.894736842107</v>
      </c>
      <c r="J9" s="203">
        <f>H9/DAY(B2)</f>
        <v>159098.94736842104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'18 '!F10</f>
        <v>2606.85</v>
      </c>
      <c r="F10" s="129">
        <v>2606.85</v>
      </c>
      <c r="G10" s="124">
        <v>0</v>
      </c>
      <c r="H10" s="111">
        <f>G10+'18 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 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 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132">
        <f>G9+G10+G11+G12</f>
        <v>21780</v>
      </c>
      <c r="H13" s="111">
        <f>G13+'18 '!H13</f>
        <v>2978864.36</v>
      </c>
      <c r="I13" s="133">
        <f>G7-G13</f>
        <v>313.09000000000015</v>
      </c>
      <c r="J13" s="203">
        <f>H13/DAY(B2)</f>
        <v>156782.33473684211</v>
      </c>
      <c r="K13" s="81"/>
      <c r="L13" s="68"/>
      <c r="N13" s="73"/>
      <c r="O13" s="73"/>
    </row>
    <row r="14" spans="1:15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>
      <c r="A15" s="759" t="s">
        <v>139</v>
      </c>
      <c r="B15" s="240"/>
      <c r="C15" s="240"/>
      <c r="D15" s="174" t="s">
        <v>140</v>
      </c>
      <c r="E15" s="135">
        <f>'18 '!F15</f>
        <v>1745383.152</v>
      </c>
      <c r="F15" s="351">
        <v>1746221</v>
      </c>
      <c r="G15" s="430">
        <f>(F15-E15)</f>
        <v>837.84799999999814</v>
      </c>
      <c r="H15" s="111">
        <f>G15+'18 '!H15</f>
        <v>-10309</v>
      </c>
      <c r="I15" s="125">
        <v>800</v>
      </c>
      <c r="J15" s="203">
        <f>H15/DAY(B2)</f>
        <v>-542.57894736842104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124"/>
      <c r="H16" s="137"/>
      <c r="I16" s="138">
        <f>I15-J15</f>
        <v>1342.578947368421</v>
      </c>
      <c r="J16" s="204"/>
      <c r="K16" s="81"/>
      <c r="L16" s="68"/>
      <c r="N16" s="73">
        <f>G9-G7</f>
        <v>-313.09000000000015</v>
      </c>
      <c r="O16" s="73"/>
    </row>
    <row r="17" spans="1:15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>
      <c r="A18" s="1245" t="s">
        <v>142</v>
      </c>
      <c r="B18" s="1246"/>
      <c r="C18" s="1247"/>
      <c r="D18" s="174" t="s">
        <v>143</v>
      </c>
      <c r="E18" s="135">
        <f>'18 '!F18</f>
        <v>14</v>
      </c>
      <c r="F18" s="135">
        <v>15</v>
      </c>
      <c r="G18" s="132">
        <f>F18*10</f>
        <v>150</v>
      </c>
      <c r="H18" s="111">
        <f>G18+'18 '!H18</f>
        <v>2870</v>
      </c>
      <c r="I18" s="125">
        <f>'1'!I18</f>
        <v>65</v>
      </c>
      <c r="J18" s="203">
        <f>H18/DAY(B2)</f>
        <v>151.05263157894737</v>
      </c>
      <c r="K18" s="81"/>
      <c r="L18" s="68"/>
      <c r="N18" s="73"/>
      <c r="O18" s="73"/>
    </row>
    <row r="19" spans="1:15" ht="27.75">
      <c r="A19" s="1245" t="s">
        <v>70</v>
      </c>
      <c r="B19" s="1246"/>
      <c r="C19" s="1247"/>
      <c r="D19" s="174" t="s">
        <v>143</v>
      </c>
      <c r="E19" s="135">
        <f>'18 '!F19</f>
        <v>144520</v>
      </c>
      <c r="F19" s="135">
        <f>E19+60</f>
        <v>144580</v>
      </c>
      <c r="G19" s="124">
        <f t="shared" ref="G19" si="1">F19-E19</f>
        <v>60</v>
      </c>
      <c r="H19" s="111">
        <f>G19+'18 '!H19</f>
        <v>-758</v>
      </c>
      <c r="I19" s="140"/>
      <c r="J19" s="203">
        <f>H19/DAY(B2)</f>
        <v>-39.89473684210526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142">
        <f>G18+G19</f>
        <v>210</v>
      </c>
      <c r="H20" s="111">
        <f>G20+'18 '!H20</f>
        <v>2112</v>
      </c>
      <c r="I20" s="143">
        <f>I18-J20</f>
        <v>-46.15789473684211</v>
      </c>
      <c r="J20" s="203">
        <f>H20/DAY(B2)</f>
        <v>111.15789473684211</v>
      </c>
      <c r="K20" s="81"/>
      <c r="L20" s="68"/>
      <c r="N20" s="73"/>
      <c r="O20" s="73"/>
    </row>
    <row r="21" spans="1:15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>
      <c r="A22" s="759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9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 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v>21718</v>
      </c>
      <c r="F27" s="152">
        <v>9</v>
      </c>
      <c r="G27" s="153">
        <f>E27*F27</f>
        <v>195462</v>
      </c>
      <c r="H27" s="111">
        <f>G27+'18 '!H27</f>
        <v>6564303</v>
      </c>
      <c r="I27" s="154"/>
      <c r="J27" s="203">
        <f>H27/DAY(B2)</f>
        <v>345489.63157894736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837.84799999999814</v>
      </c>
      <c r="F28" s="152">
        <v>56.2</v>
      </c>
      <c r="G28" s="153">
        <f>E28*F28</f>
        <v>47087.057599999898</v>
      </c>
      <c r="H28" s="111">
        <f>G28+'18 '!H28</f>
        <v>-582402.88739999977</v>
      </c>
      <c r="I28" s="156"/>
      <c r="J28" s="203">
        <f>H28/DAY(B2)</f>
        <v>-30652.78354736841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 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153">
        <f>E30*F30</f>
        <v>8760</v>
      </c>
      <c r="H30" s="111">
        <f>G30+'18 '!H30</f>
        <v>-110668</v>
      </c>
      <c r="I30" s="156"/>
      <c r="J30" s="203">
        <f>H30/DAY(B2)</f>
        <v>-5824.6315789473683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150</v>
      </c>
      <c r="F31" s="152">
        <v>80</v>
      </c>
      <c r="G31" s="153">
        <f>E31*F31</f>
        <v>12000</v>
      </c>
      <c r="H31" s="111">
        <f>G31+'18 '!H31</f>
        <v>229600</v>
      </c>
      <c r="I31" s="156"/>
      <c r="J31" s="203">
        <f>H31/DAY(B2)</f>
        <v>12084.21052631579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263309.05759999988</v>
      </c>
      <c r="H32" s="111">
        <f>G32+'18 '!H32</f>
        <v>6100832.1126000006</v>
      </c>
      <c r="I32" s="160"/>
      <c r="J32" s="203">
        <f>H32/DAY(B2)</f>
        <v>321096.42697894742</v>
      </c>
      <c r="K32" s="65"/>
      <c r="L32" s="94"/>
      <c r="N32" s="95"/>
      <c r="O32" s="73"/>
    </row>
    <row r="33" spans="1:15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  <c r="O33" s="73"/>
    </row>
    <row r="34" spans="1:1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'18 '!F35</f>
        <v>1058597.3</v>
      </c>
      <c r="F35" s="161">
        <v>1058597</v>
      </c>
      <c r="G35" s="124">
        <f t="shared" ref="G35:G44" si="3">F35-E35</f>
        <v>-0.30000000004656613</v>
      </c>
      <c r="H35" s="111">
        <f>G35+'18 '!H35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'18 '!F36</f>
        <v>59846.7</v>
      </c>
      <c r="F36" s="161">
        <v>60809</v>
      </c>
      <c r="G36" s="124">
        <f t="shared" si="3"/>
        <v>962.30000000000291</v>
      </c>
      <c r="H36" s="111">
        <f>G36+'18 '!H36</f>
        <v>58976</v>
      </c>
      <c r="I36" s="106"/>
      <c r="J36" s="203">
        <f>H36/DAY(B2)</f>
        <v>3104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'18 '!F37</f>
        <v>254736</v>
      </c>
      <c r="F37" s="120">
        <v>256307</v>
      </c>
      <c r="G37" s="124">
        <f t="shared" si="3"/>
        <v>1571</v>
      </c>
      <c r="H37" s="111">
        <f>G37+'18 '!H37</f>
        <v>252532</v>
      </c>
      <c r="I37" s="106"/>
      <c r="J37" s="203">
        <f>H37/DAY(B2)</f>
        <v>13291.157894736842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61">
        <f>'18 '!F38</f>
        <v>279349</v>
      </c>
      <c r="F38" s="161">
        <v>281180</v>
      </c>
      <c r="G38" s="124">
        <f t="shared" si="3"/>
        <v>1831</v>
      </c>
      <c r="H38" s="111">
        <f>G38+'18 '!H38</f>
        <v>276357</v>
      </c>
      <c r="I38" s="106"/>
      <c r="J38" s="203">
        <f>H38/DAY(B2)</f>
        <v>14545.105263157895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'18 '!F39</f>
        <v>588286</v>
      </c>
      <c r="F39" s="161">
        <v>592113</v>
      </c>
      <c r="G39" s="124">
        <f t="shared" si="3"/>
        <v>3827</v>
      </c>
      <c r="H39" s="111">
        <f>G39+'18 '!H39</f>
        <v>588271</v>
      </c>
      <c r="I39" s="106"/>
      <c r="J39" s="203">
        <f>H39/DAY(B2)</f>
        <v>30961.63157894737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'18 '!F40</f>
        <v>28806.1</v>
      </c>
      <c r="F40" s="161">
        <v>29175.3</v>
      </c>
      <c r="G40" s="124">
        <f t="shared" si="3"/>
        <v>369.20000000000073</v>
      </c>
      <c r="H40" s="111">
        <f>G40+'18 '!H40</f>
        <v>29332.7</v>
      </c>
      <c r="I40" s="106"/>
      <c r="J40" s="203">
        <f>H40/DAY(B2)</f>
        <v>1543.8263157894737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'18 '!F41</f>
        <v>423670</v>
      </c>
      <c r="F41" s="161">
        <v>428819</v>
      </c>
      <c r="G41" s="124">
        <f t="shared" si="3"/>
        <v>5149</v>
      </c>
      <c r="H41" s="111">
        <f>G41+'18 '!H41</f>
        <v>-4462.789999999979</v>
      </c>
      <c r="I41" s="106"/>
      <c r="J41" s="203">
        <f>H41/DAY(B2)</f>
        <v>-234.88368421052522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'18 '!F42</f>
        <v>147899</v>
      </c>
      <c r="F42" s="161">
        <v>147899</v>
      </c>
      <c r="G42" s="124">
        <f t="shared" si="3"/>
        <v>0</v>
      </c>
      <c r="H42" s="111">
        <f>G42+'18 '!H42</f>
        <v>-27213</v>
      </c>
      <c r="I42" s="106"/>
      <c r="J42" s="203">
        <f>H42/DAY(B2)</f>
        <v>-1432.2631578947369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'18 '!F43</f>
        <v>1254400</v>
      </c>
      <c r="F43" s="161">
        <v>1257000</v>
      </c>
      <c r="G43" s="124">
        <f t="shared" si="3"/>
        <v>2600</v>
      </c>
      <c r="H43" s="111">
        <f>G43+'18 '!H43</f>
        <v>-32745</v>
      </c>
      <c r="I43" s="106"/>
      <c r="J43" s="203">
        <f>H43/DAY(B2)</f>
        <v>-1723.421052631579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'18 '!F44</f>
        <v>0</v>
      </c>
      <c r="F44" s="1105">
        <v>0</v>
      </c>
      <c r="G44" s="124">
        <f t="shared" si="3"/>
        <v>0</v>
      </c>
      <c r="H44" s="111">
        <f>G44+'18 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'18 '!F45</f>
        <v>614</v>
      </c>
      <c r="F45" s="161">
        <v>614</v>
      </c>
      <c r="G45" s="124">
        <f t="shared" ref="G45:G46" si="4">F45-E45</f>
        <v>0</v>
      </c>
      <c r="H45" s="111">
        <f>G45+'18 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'18 '!F46</f>
        <v>187.44</v>
      </c>
      <c r="F46" s="161">
        <v>187</v>
      </c>
      <c r="G46" s="124">
        <f t="shared" si="4"/>
        <v>-0.43999999999999773</v>
      </c>
      <c r="H46" s="111">
        <f>G46+'18 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>
        <f>'18 '!F47</f>
        <v>0</v>
      </c>
      <c r="F47" s="162">
        <v>0</v>
      </c>
      <c r="G47" s="132">
        <f>G35+G36+G37+G38+G39+G40+G41+G42+G43+G44+G45+G46</f>
        <v>16308.759999999957</v>
      </c>
      <c r="H47" s="111">
        <f>G47+'18 '!H47</f>
        <v>1141848.9100000001</v>
      </c>
      <c r="I47" s="106"/>
      <c r="J47" s="203">
        <f>H47/DAY(B2)</f>
        <v>60097.311052631587</v>
      </c>
      <c r="K47" s="81"/>
      <c r="L47" s="68"/>
      <c r="N47" s="73"/>
      <c r="O47" s="73"/>
    </row>
    <row r="48" spans="1:1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'18 '!F49</f>
        <v>378983</v>
      </c>
      <c r="F49" s="161">
        <v>382149</v>
      </c>
      <c r="G49" s="124">
        <f t="shared" ref="G49:G58" si="5">F49-E49</f>
        <v>3166</v>
      </c>
      <c r="H49" s="111">
        <f>G49+'18 '!H49</f>
        <v>365369</v>
      </c>
      <c r="I49" s="106"/>
      <c r="J49" s="203">
        <f>H49/DAY(B2)</f>
        <v>19229.947368421053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'18 '!F50</f>
        <v>591654</v>
      </c>
      <c r="F50" s="161">
        <v>593467</v>
      </c>
      <c r="G50" s="124">
        <f t="shared" si="5"/>
        <v>1813</v>
      </c>
      <c r="H50" s="111">
        <f>G50+'18 '!H50</f>
        <v>-14751</v>
      </c>
      <c r="I50" s="106"/>
      <c r="J50" s="203">
        <f>H50/DAY(B2)</f>
        <v>-776.36842105263156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'18 '!F51</f>
        <v>144639.87</v>
      </c>
      <c r="F51" s="161">
        <v>144640</v>
      </c>
      <c r="G51" s="124">
        <f t="shared" si="5"/>
        <v>0.13000000000465661</v>
      </c>
      <c r="H51" s="111">
        <f>G51+'18 '!H51</f>
        <v>144640</v>
      </c>
      <c r="I51" s="106"/>
      <c r="J51" s="203">
        <f>H51/DAY(B2)</f>
        <v>7612.6315789473683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'18 '!F52</f>
        <v>539606.06999999995</v>
      </c>
      <c r="F52" s="161">
        <v>539606</v>
      </c>
      <c r="G52" s="124">
        <f t="shared" si="5"/>
        <v>-6.9999999948777258E-2</v>
      </c>
      <c r="H52" s="111">
        <f>G52+'18 '!H52</f>
        <v>-6.9999999948777258E-2</v>
      </c>
      <c r="I52" s="106"/>
      <c r="J52" s="203">
        <f>H52/DAY(B2)</f>
        <v>-3.6842105236198556E-3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'18 '!F53</f>
        <v>434231.59</v>
      </c>
      <c r="F53" s="161">
        <v>434231.59</v>
      </c>
      <c r="G53" s="124">
        <f t="shared" si="5"/>
        <v>0</v>
      </c>
      <c r="H53" s="111">
        <f>G53+'18 '!H53</f>
        <v>434231.59</v>
      </c>
      <c r="I53" s="106"/>
      <c r="J53" s="203">
        <f>H53/DAY(B2)</f>
        <v>22854.294210526317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'18 '!F54</f>
        <v>14967.35</v>
      </c>
      <c r="F54" s="161">
        <v>14967</v>
      </c>
      <c r="G54" s="124">
        <f t="shared" si="5"/>
        <v>-0.3500000000003638</v>
      </c>
      <c r="H54" s="111">
        <f>G54+'18 '!H54</f>
        <v>12502</v>
      </c>
      <c r="I54" s="106"/>
      <c r="J54" s="203">
        <f>H54/DAY(B2)</f>
        <v>658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'18 '!F55</f>
        <v>267148</v>
      </c>
      <c r="F55" s="161">
        <v>268104</v>
      </c>
      <c r="G55" s="124">
        <f t="shared" si="5"/>
        <v>956</v>
      </c>
      <c r="H55" s="111">
        <f>G55+'18 '!H55</f>
        <v>-39194.989999999991</v>
      </c>
      <c r="I55" s="106"/>
      <c r="J55" s="203">
        <f>H55/DAY(B2)</f>
        <v>-2062.8942105263154</v>
      </c>
      <c r="K55" s="81"/>
      <c r="L55" s="68"/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'18 '!F56</f>
        <v>649570</v>
      </c>
      <c r="F56" s="161">
        <v>649583</v>
      </c>
      <c r="G56" s="124">
        <f t="shared" si="5"/>
        <v>13</v>
      </c>
      <c r="H56" s="111">
        <f>G56+'18 '!H56</f>
        <v>-11448</v>
      </c>
      <c r="I56" s="106"/>
      <c r="J56" s="203">
        <f>H56/DAY(B2)</f>
        <v>-602.52631578947364</v>
      </c>
      <c r="K56" s="80"/>
      <c r="L56" s="68"/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'18 '!F57</f>
        <v>7711.33</v>
      </c>
      <c r="F57" s="161">
        <v>7711</v>
      </c>
      <c r="G57" s="124">
        <f t="shared" si="5"/>
        <v>-0.32999999999992724</v>
      </c>
      <c r="H57" s="111">
        <f>G57+'18 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'18 '!F58</f>
        <v>63393.8</v>
      </c>
      <c r="F58" s="161">
        <v>63553.2</v>
      </c>
      <c r="G58" s="124">
        <f t="shared" si="5"/>
        <v>159.39999999999418</v>
      </c>
      <c r="H58" s="111">
        <f>G58+'18 '!H58</f>
        <v>-2629.8000000000029</v>
      </c>
      <c r="I58" s="106"/>
      <c r="J58" s="203">
        <f>H58/DAY(B2)</f>
        <v>-138.41052631578964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6106.7800000000498</v>
      </c>
      <c r="H59" s="111">
        <f>G59+'18 '!H59</f>
        <v>1428324.7999999998</v>
      </c>
      <c r="I59" s="106">
        <f>G7-G60</f>
        <v>-322.450000000008</v>
      </c>
      <c r="J59" s="203">
        <f>H59/DAY(B2)</f>
        <v>75174.989473684196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132">
        <f>G47+G59</f>
        <v>22415.540000000008</v>
      </c>
      <c r="H60" s="111">
        <f>G60+'18 '!H60</f>
        <v>2576862.7100000004</v>
      </c>
      <c r="I60" s="106">
        <f>G13-G60</f>
        <v>-635.54000000000815</v>
      </c>
      <c r="J60" s="203">
        <f>H60/DAY(B2)</f>
        <v>135624.35315789477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'18 '!F62</f>
        <v>20419.18</v>
      </c>
      <c r="F62" s="165">
        <v>20419.2</v>
      </c>
      <c r="G62" s="124">
        <f t="shared" ref="G62:G69" si="6">F62-E62</f>
        <v>2.0000000000436557E-2</v>
      </c>
      <c r="H62" s="111">
        <f>G62+'18 '!H62</f>
        <v>0.20199999999749707</v>
      </c>
      <c r="I62" s="166"/>
      <c r="J62" s="203">
        <f>H62/DAY(B2)</f>
        <v>1.0631578947236688E-2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'18 '!F63</f>
        <v>0</v>
      </c>
      <c r="F63" s="165">
        <v>0</v>
      </c>
      <c r="G63" s="124">
        <f t="shared" si="6"/>
        <v>0</v>
      </c>
      <c r="H63" s="111">
        <f>G63+'18 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226" t="s">
        <v>98</v>
      </c>
      <c r="B64" s="1227"/>
      <c r="C64" s="1228"/>
      <c r="D64" s="174" t="s">
        <v>186</v>
      </c>
      <c r="E64" s="165">
        <f>'18 '!F64</f>
        <v>188827</v>
      </c>
      <c r="F64" s="135">
        <v>189278</v>
      </c>
      <c r="G64" s="124">
        <f t="shared" si="6"/>
        <v>451</v>
      </c>
      <c r="H64" s="111">
        <f>G64+'18 '!H64</f>
        <v>-4939</v>
      </c>
      <c r="I64" s="131"/>
      <c r="J64" s="203">
        <f>H64/DAY(B2)</f>
        <v>-259.94736842105266</v>
      </c>
      <c r="K64" s="81"/>
      <c r="L64" s="68"/>
      <c r="N64" s="73"/>
      <c r="O64" s="73"/>
    </row>
    <row r="65" spans="1:15" ht="27.75">
      <c r="A65" s="1226" t="s">
        <v>99</v>
      </c>
      <c r="B65" s="1227"/>
      <c r="C65" s="1228"/>
      <c r="D65" s="174" t="s">
        <v>186</v>
      </c>
      <c r="E65" s="165">
        <f>'18 '!F65</f>
        <v>189491</v>
      </c>
      <c r="F65" s="135">
        <v>189895</v>
      </c>
      <c r="G65" s="124">
        <f t="shared" si="6"/>
        <v>404</v>
      </c>
      <c r="H65" s="111">
        <f>G65+'18 '!H65</f>
        <v>-4734</v>
      </c>
      <c r="I65" s="140"/>
      <c r="J65" s="203">
        <f>H65/DAY(B2)</f>
        <v>-249.15789473684211</v>
      </c>
      <c r="K65" s="81"/>
      <c r="L65" s="68"/>
      <c r="N65" s="73"/>
      <c r="O65" s="73"/>
    </row>
    <row r="66" spans="1:15" ht="27.75">
      <c r="A66" s="1226" t="s">
        <v>100</v>
      </c>
      <c r="B66" s="1227"/>
      <c r="C66" s="1228"/>
      <c r="D66" s="174" t="s">
        <v>186</v>
      </c>
      <c r="E66" s="165">
        <f>'18 '!F66</f>
        <v>88014.3</v>
      </c>
      <c r="F66" s="135">
        <v>88426.5</v>
      </c>
      <c r="G66" s="124">
        <f t="shared" si="6"/>
        <v>412.19999999999709</v>
      </c>
      <c r="H66" s="111">
        <f>G66+'18 '!H66</f>
        <v>-4890.5</v>
      </c>
      <c r="I66" s="131"/>
      <c r="J66" s="203">
        <f>H66/DAY(B2)</f>
        <v>-257.39473684210526</v>
      </c>
      <c r="K66" s="81"/>
      <c r="L66" s="68"/>
      <c r="N66" s="73"/>
      <c r="O66" s="73"/>
    </row>
    <row r="67" spans="1:15" ht="27.75">
      <c r="A67" s="1226" t="s">
        <v>101</v>
      </c>
      <c r="B67" s="1227"/>
      <c r="C67" s="1228"/>
      <c r="D67" s="174" t="s">
        <v>186</v>
      </c>
      <c r="E67" s="165">
        <f>'18 '!F67</f>
        <v>288591</v>
      </c>
      <c r="F67" s="135">
        <v>289039</v>
      </c>
      <c r="G67" s="124">
        <f t="shared" si="6"/>
        <v>448</v>
      </c>
      <c r="H67" s="111">
        <f>G67+'18 '!H67</f>
        <v>-5852</v>
      </c>
      <c r="I67" s="140"/>
      <c r="J67" s="203">
        <f>H67/DAY(B2)</f>
        <v>-308</v>
      </c>
      <c r="K67" s="82"/>
      <c r="L67" s="68"/>
      <c r="N67" s="73"/>
      <c r="O67" s="73"/>
    </row>
    <row r="68" spans="1:15" ht="27.75">
      <c r="A68" s="1226" t="s">
        <v>102</v>
      </c>
      <c r="B68" s="1227"/>
      <c r="C68" s="1228"/>
      <c r="D68" s="174" t="s">
        <v>186</v>
      </c>
      <c r="E68" s="165">
        <f>'18 '!F68</f>
        <v>85321</v>
      </c>
      <c r="F68" s="135">
        <v>85321</v>
      </c>
      <c r="G68" s="124">
        <f t="shared" si="6"/>
        <v>0</v>
      </c>
      <c r="H68" s="111">
        <f>G68+'18 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226" t="s">
        <v>103</v>
      </c>
      <c r="B69" s="1227"/>
      <c r="C69" s="1228"/>
      <c r="D69" s="174" t="s">
        <v>186</v>
      </c>
      <c r="E69" s="165">
        <f>'18 '!F69</f>
        <v>102225</v>
      </c>
      <c r="F69" s="135">
        <v>102534</v>
      </c>
      <c r="G69" s="124">
        <f t="shared" si="6"/>
        <v>309</v>
      </c>
      <c r="H69" s="111">
        <f>G69+'18 '!H69</f>
        <v>-3872</v>
      </c>
      <c r="I69" s="167"/>
      <c r="J69" s="203">
        <f>H69/DAY(B2)</f>
        <v>-203.78947368421052</v>
      </c>
      <c r="K69" s="84"/>
      <c r="L69" s="68"/>
      <c r="N69" s="73"/>
      <c r="O69" s="73"/>
    </row>
    <row r="70" spans="1:15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  <c r="O71" s="73"/>
    </row>
    <row r="72" spans="1:15" ht="27.75">
      <c r="A72" s="1226" t="s">
        <v>190</v>
      </c>
      <c r="B72" s="1227"/>
      <c r="C72" s="1228"/>
      <c r="D72" s="174" t="s">
        <v>186</v>
      </c>
      <c r="E72" s="170">
        <f>'18 '!F72</f>
        <v>856847</v>
      </c>
      <c r="F72" s="170">
        <v>856862</v>
      </c>
      <c r="G72" s="124">
        <f t="shared" ref="G72:G84" si="7">F72-E72</f>
        <v>15</v>
      </c>
      <c r="H72" s="111">
        <f>G72+'18 '!H72</f>
        <v>155</v>
      </c>
      <c r="I72" s="131"/>
      <c r="J72" s="203">
        <f>H72/DAY(B2)</f>
        <v>8.1578947368421044</v>
      </c>
      <c r="K72" s="84"/>
      <c r="L72" s="68"/>
      <c r="N72" s="73"/>
      <c r="O72" s="73"/>
    </row>
    <row r="73" spans="1:15" ht="27.75">
      <c r="A73" s="1226" t="s">
        <v>191</v>
      </c>
      <c r="B73" s="1227"/>
      <c r="C73" s="1228"/>
      <c r="D73" s="174" t="s">
        <v>186</v>
      </c>
      <c r="E73" s="170">
        <f>'18 '!F73</f>
        <v>886036</v>
      </c>
      <c r="F73" s="171">
        <v>886037</v>
      </c>
      <c r="G73" s="124">
        <f t="shared" si="7"/>
        <v>1</v>
      </c>
      <c r="H73" s="111">
        <f>G73+'18 '!H73</f>
        <v>-14</v>
      </c>
      <c r="I73" s="131"/>
      <c r="J73" s="203">
        <f>H73/DAY(B2)</f>
        <v>-0.73684210526315785</v>
      </c>
      <c r="K73" s="83"/>
      <c r="L73" s="68"/>
      <c r="N73" s="73"/>
      <c r="O73" s="73"/>
    </row>
    <row r="74" spans="1:15" ht="27.75">
      <c r="A74" s="1309" t="s">
        <v>192</v>
      </c>
      <c r="B74" s="1310"/>
      <c r="C74" s="1311"/>
      <c r="D74" s="174" t="s">
        <v>186</v>
      </c>
      <c r="E74" s="170">
        <f>'18 '!F74</f>
        <v>88757</v>
      </c>
      <c r="F74" s="172">
        <v>88757.2</v>
      </c>
      <c r="G74" s="124">
        <f t="shared" si="7"/>
        <v>0.19999999999708962</v>
      </c>
      <c r="H74" s="111">
        <f>G74+'18 '!H74</f>
        <v>67.19999999999709</v>
      </c>
      <c r="I74" s="131"/>
      <c r="J74" s="203">
        <f>H74/DAY(B2)</f>
        <v>3.5368421052630046</v>
      </c>
      <c r="K74" s="84"/>
      <c r="L74" s="68"/>
      <c r="N74" s="73"/>
      <c r="O74" s="73"/>
    </row>
    <row r="75" spans="1:15" ht="27.75">
      <c r="A75" s="1229" t="s">
        <v>193</v>
      </c>
      <c r="B75" s="1230"/>
      <c r="C75" s="1231"/>
      <c r="D75" s="174" t="s">
        <v>186</v>
      </c>
      <c r="E75" s="170">
        <f>'18 '!F75</f>
        <v>23997.9</v>
      </c>
      <c r="F75" s="172">
        <v>24157</v>
      </c>
      <c r="G75" s="124">
        <f t="shared" si="7"/>
        <v>159.09999999999854</v>
      </c>
      <c r="H75" s="111">
        <f>G75+'18 '!H75</f>
        <v>-2151</v>
      </c>
      <c r="I75" s="131"/>
      <c r="J75" s="203">
        <f>H75/DAY(B2)</f>
        <v>-113.21052631578948</v>
      </c>
      <c r="K75" s="83"/>
      <c r="L75" s="68"/>
      <c r="N75" s="73"/>
      <c r="O75" s="73"/>
    </row>
    <row r="76" spans="1:15" ht="27.75">
      <c r="A76" s="1229" t="s">
        <v>194</v>
      </c>
      <c r="B76" s="1230"/>
      <c r="C76" s="1231"/>
      <c r="D76" s="174" t="s">
        <v>186</v>
      </c>
      <c r="E76" s="170">
        <f>'18 '!F76</f>
        <v>12386.8</v>
      </c>
      <c r="F76" s="171">
        <v>12452.8</v>
      </c>
      <c r="G76" s="124">
        <f t="shared" si="7"/>
        <v>66</v>
      </c>
      <c r="H76" s="111">
        <f>G76+'18 '!H76</f>
        <v>-824.20000000000073</v>
      </c>
      <c r="I76" s="156"/>
      <c r="J76" s="203">
        <f>H76/DAY(B2)</f>
        <v>-43.378947368421088</v>
      </c>
      <c r="K76" s="83"/>
      <c r="L76" s="68"/>
      <c r="N76" s="73"/>
      <c r="O76" s="73"/>
    </row>
    <row r="77" spans="1:15" ht="27.75">
      <c r="A77" s="1226" t="s">
        <v>195</v>
      </c>
      <c r="B77" s="1227"/>
      <c r="C77" s="1228"/>
      <c r="D77" s="174" t="s">
        <v>186</v>
      </c>
      <c r="E77" s="170">
        <f>'18 '!F77</f>
        <v>707546</v>
      </c>
      <c r="F77" s="172">
        <v>707607</v>
      </c>
      <c r="G77" s="124">
        <f t="shared" si="7"/>
        <v>61</v>
      </c>
      <c r="H77" s="111">
        <f>G77+'18 '!H77</f>
        <v>-682</v>
      </c>
      <c r="I77" s="156"/>
      <c r="J77" s="203">
        <f>H77/DAY(B2)</f>
        <v>-35.89473684210526</v>
      </c>
      <c r="K77" s="83"/>
      <c r="L77" s="68"/>
      <c r="N77" s="73"/>
      <c r="O77" s="73"/>
    </row>
    <row r="78" spans="1:15" ht="27.75">
      <c r="A78" s="762" t="s">
        <v>196</v>
      </c>
      <c r="B78" s="754"/>
      <c r="C78" s="754"/>
      <c r="D78" s="174" t="s">
        <v>186</v>
      </c>
      <c r="E78" s="170">
        <f>'18 '!F78</f>
        <v>680734</v>
      </c>
      <c r="F78" s="172">
        <v>680818</v>
      </c>
      <c r="G78" s="124">
        <f t="shared" si="7"/>
        <v>84</v>
      </c>
      <c r="H78" s="111">
        <f>G78+'18 '!H78</f>
        <v>-1595</v>
      </c>
      <c r="I78" s="156"/>
      <c r="J78" s="203">
        <f>H78/DAY(B2)</f>
        <v>-83.94736842105263</v>
      </c>
      <c r="K78" s="83"/>
      <c r="L78" s="68"/>
      <c r="N78" s="73"/>
      <c r="O78" s="73"/>
    </row>
    <row r="79" spans="1:15" ht="27.75">
      <c r="A79" s="1229" t="s">
        <v>91</v>
      </c>
      <c r="B79" s="1230"/>
      <c r="C79" s="1231"/>
      <c r="D79" s="175" t="s">
        <v>186</v>
      </c>
      <c r="E79" s="170">
        <f>'18 '!F79</f>
        <v>842979</v>
      </c>
      <c r="F79" s="172">
        <v>843192</v>
      </c>
      <c r="G79" s="124">
        <f t="shared" si="7"/>
        <v>213</v>
      </c>
      <c r="H79" s="111">
        <f>G79+'18 '!H79</f>
        <v>-1857</v>
      </c>
      <c r="I79" s="156"/>
      <c r="J79" s="203">
        <f>H79/DAY(B2)</f>
        <v>-97.736842105263165</v>
      </c>
      <c r="K79" s="83"/>
      <c r="L79" s="68"/>
      <c r="N79" s="73"/>
      <c r="O79" s="73"/>
    </row>
    <row r="80" spans="1:15" ht="27.75">
      <c r="A80" s="1229" t="s">
        <v>197</v>
      </c>
      <c r="B80" s="1230"/>
      <c r="C80" s="1231"/>
      <c r="D80" s="175" t="s">
        <v>186</v>
      </c>
      <c r="E80" s="170">
        <f>'18 '!F80</f>
        <v>559192.80000000005</v>
      </c>
      <c r="F80" s="171">
        <v>559614.64</v>
      </c>
      <c r="G80" s="124">
        <f t="shared" si="7"/>
        <v>421.8399999999674</v>
      </c>
      <c r="H80" s="111">
        <f>G80+'18 '!H80</f>
        <v>-4683.359999999986</v>
      </c>
      <c r="I80" s="156"/>
      <c r="J80" s="203">
        <f>H80/DAY(B2)</f>
        <v>-246.49263157894663</v>
      </c>
      <c r="K80" s="83"/>
      <c r="L80" s="68"/>
      <c r="N80" s="73"/>
      <c r="O80" s="73"/>
    </row>
    <row r="81" spans="1:15" ht="27.75">
      <c r="A81" s="1229" t="s">
        <v>198</v>
      </c>
      <c r="B81" s="1230"/>
      <c r="C81" s="1231"/>
      <c r="D81" s="175" t="s">
        <v>186</v>
      </c>
      <c r="E81" s="170">
        <f>'18 '!F81</f>
        <v>652103.96</v>
      </c>
      <c r="F81" s="171">
        <v>652299.64</v>
      </c>
      <c r="G81" s="124">
        <f t="shared" si="7"/>
        <v>195.68000000005122</v>
      </c>
      <c r="H81" s="111">
        <f>G81+'18 '!H81</f>
        <v>-1878.359999999986</v>
      </c>
      <c r="I81" s="156"/>
      <c r="J81" s="203">
        <f>H81/DAY(B2)</f>
        <v>-98.861052631578218</v>
      </c>
      <c r="K81" s="83"/>
      <c r="L81" s="68"/>
      <c r="N81" s="73"/>
      <c r="O81" s="73"/>
    </row>
    <row r="82" spans="1:15" ht="27.75">
      <c r="A82" s="1229" t="s">
        <v>92</v>
      </c>
      <c r="B82" s="1230"/>
      <c r="C82" s="1231"/>
      <c r="D82" s="136" t="s">
        <v>131</v>
      </c>
      <c r="E82" s="170">
        <f>'18 '!F82</f>
        <v>109678</v>
      </c>
      <c r="F82" s="173">
        <v>109691</v>
      </c>
      <c r="G82" s="124">
        <f t="shared" si="7"/>
        <v>13</v>
      </c>
      <c r="H82" s="111">
        <f>G82+'18 '!H82</f>
        <v>109914</v>
      </c>
      <c r="I82" s="137"/>
      <c r="J82" s="203">
        <f>H82/DAY(B2)</f>
        <v>5784.9473684210525</v>
      </c>
      <c r="K82" s="83"/>
      <c r="L82" s="68"/>
      <c r="N82" s="73"/>
      <c r="O82" s="73"/>
    </row>
    <row r="83" spans="1:15" ht="27.75">
      <c r="A83" s="1229" t="s">
        <v>199</v>
      </c>
      <c r="B83" s="1230"/>
      <c r="C83" s="1231"/>
      <c r="D83" s="271" t="s">
        <v>131</v>
      </c>
      <c r="E83" s="170">
        <f>'18 '!F83</f>
        <v>40617</v>
      </c>
      <c r="F83" s="162">
        <v>40948</v>
      </c>
      <c r="G83" s="124">
        <f t="shared" si="7"/>
        <v>331</v>
      </c>
      <c r="H83" s="111">
        <f>G83+'18 '!H83</f>
        <v>-3375</v>
      </c>
      <c r="I83" s="132"/>
      <c r="J83" s="203">
        <f>H83/DAY(B2)</f>
        <v>-177.63157894736841</v>
      </c>
      <c r="K83" s="82"/>
      <c r="L83" s="68"/>
      <c r="N83" s="73"/>
      <c r="O83" s="372"/>
    </row>
    <row r="84" spans="1:15">
      <c r="A84" s="763" t="s">
        <v>200</v>
      </c>
      <c r="B84" s="222"/>
      <c r="C84" s="222"/>
      <c r="D84" s="129" t="s">
        <v>131</v>
      </c>
      <c r="E84" s="170">
        <f>'18 '!F84</f>
        <v>561218</v>
      </c>
      <c r="F84" s="278">
        <v>561996</v>
      </c>
      <c r="G84" s="124">
        <f t="shared" si="7"/>
        <v>778</v>
      </c>
      <c r="H84" s="111">
        <f>G84+'18 '!H84</f>
        <v>-8383</v>
      </c>
      <c r="I84" s="132"/>
      <c r="J84" s="203">
        <f>H84/DAY(B2)</f>
        <v>-441.21052631578948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2338.8200000000143</v>
      </c>
      <c r="H85" s="111">
        <f>G85+'18 '!H85</f>
        <v>84378.280000000028</v>
      </c>
      <c r="I85" s="132"/>
      <c r="J85" s="203">
        <f>H85/DAY(B2)</f>
        <v>4440.9621052631592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'18 '!F86</f>
        <v>463154.92</v>
      </c>
      <c r="F86" s="298">
        <v>463163.32</v>
      </c>
      <c r="G86" s="356">
        <f t="shared" ref="G86:G91" si="8">F86-E86</f>
        <v>8.4000000000232831</v>
      </c>
      <c r="H86" s="111">
        <f>G86+'18 '!H86</f>
        <v>19.080000000016298</v>
      </c>
      <c r="I86" s="303"/>
      <c r="J86" s="358">
        <f>H86/DAY(B2)</f>
        <v>1.0042105263166472</v>
      </c>
      <c r="K86" s="384">
        <v>424609</v>
      </c>
      <c r="L86" s="385">
        <f>K86-F86</f>
        <v>-38554.320000000007</v>
      </c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'18 '!F87</f>
        <v>83501.8</v>
      </c>
      <c r="F87" s="298">
        <v>83536.600000000006</v>
      </c>
      <c r="G87" s="356">
        <f t="shared" si="8"/>
        <v>34.80000000000291</v>
      </c>
      <c r="H87" s="111">
        <f>G87+'18 '!H87</f>
        <v>68.100000000005821</v>
      </c>
      <c r="I87" s="303"/>
      <c r="J87" s="358">
        <f>H87/DAY(B2)</f>
        <v>3.5842105263160957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'18 '!F88</f>
        <v>158212</v>
      </c>
      <c r="F88" s="298">
        <v>158212</v>
      </c>
      <c r="G88" s="356">
        <f t="shared" si="8"/>
        <v>0</v>
      </c>
      <c r="H88" s="111">
        <f>G88+'18 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'18 '!F89</f>
        <v>68155.3</v>
      </c>
      <c r="F89" s="298">
        <v>68252.800000000003</v>
      </c>
      <c r="G89" s="356">
        <f t="shared" si="8"/>
        <v>97.5</v>
      </c>
      <c r="H89" s="111">
        <f>G89+'18 '!H89</f>
        <v>187.19999999999709</v>
      </c>
      <c r="I89" s="303"/>
      <c r="J89" s="358">
        <f>H89/DAY(B2)</f>
        <v>9.8526315789472161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'18 '!F90</f>
        <v>3543.2</v>
      </c>
      <c r="F90" s="298">
        <v>3550</v>
      </c>
      <c r="G90" s="356">
        <f t="shared" si="8"/>
        <v>6.8000000000001819</v>
      </c>
      <c r="H90" s="356">
        <f>G90</f>
        <v>6.8000000000001819</v>
      </c>
      <c r="I90" s="303"/>
      <c r="J90" s="358">
        <f>H90/DAY(B2)</f>
        <v>0.35789473684211481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 t="s">
        <v>131</v>
      </c>
      <c r="E91" s="298">
        <f>'18 '!F91</f>
        <v>28653.09</v>
      </c>
      <c r="F91" s="298">
        <v>28662</v>
      </c>
      <c r="G91" s="356">
        <f t="shared" si="8"/>
        <v>8.9099999999998545</v>
      </c>
      <c r="H91" s="356"/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>
      <c r="A93" s="1245" t="s">
        <v>205</v>
      </c>
      <c r="B93" s="1246"/>
      <c r="C93" s="1247"/>
      <c r="D93" s="174" t="s">
        <v>143</v>
      </c>
      <c r="E93" s="298">
        <f>'18 '!F93</f>
        <v>252142</v>
      </c>
      <c r="F93" s="135">
        <v>252232</v>
      </c>
      <c r="G93" s="124">
        <f t="shared" ref="G93:G94" si="9">F93-E93</f>
        <v>90</v>
      </c>
      <c r="H93" s="111">
        <f>G93+'18 '!H93</f>
        <v>-1220</v>
      </c>
      <c r="I93" s="131"/>
      <c r="J93" s="203">
        <f>H93/DAY(B2)</f>
        <v>-64.21052631578948</v>
      </c>
      <c r="K93" s="82"/>
      <c r="L93" s="68"/>
      <c r="N93" s="73"/>
      <c r="O93" s="73"/>
    </row>
    <row r="94" spans="1:15" ht="27.75">
      <c r="A94" s="1245" t="s">
        <v>206</v>
      </c>
      <c r="B94" s="1246"/>
      <c r="C94" s="1247"/>
      <c r="D94" s="174" t="s">
        <v>143</v>
      </c>
      <c r="E94" s="135">
        <f>'18 '!F94</f>
        <v>195555</v>
      </c>
      <c r="F94" s="135">
        <v>195743</v>
      </c>
      <c r="G94" s="124">
        <f t="shared" si="9"/>
        <v>188</v>
      </c>
      <c r="H94" s="111">
        <f>G94+'18 '!H94</f>
        <v>-1916</v>
      </c>
      <c r="I94" s="131"/>
      <c r="J94" s="203">
        <f>H94/DAY(B2)</f>
        <v>-100.84210526315789</v>
      </c>
      <c r="K94" s="71"/>
      <c r="L94" s="68"/>
      <c r="N94" s="73"/>
      <c r="O94" s="73"/>
    </row>
    <row r="95" spans="1:15">
      <c r="A95" s="1277" t="s">
        <v>207</v>
      </c>
      <c r="B95" s="1278"/>
      <c r="C95" s="1279"/>
      <c r="D95" s="174"/>
      <c r="E95" s="135">
        <f>'18 '!F95</f>
        <v>0</v>
      </c>
      <c r="F95" s="135"/>
      <c r="G95" s="124">
        <f>G93+G94</f>
        <v>278</v>
      </c>
      <c r="H95" s="111">
        <f>G95+'18 '!H95</f>
        <v>-3361</v>
      </c>
      <c r="I95" s="131"/>
      <c r="J95" s="203">
        <f>H95/DAY(B2)</f>
        <v>-176.89473684210526</v>
      </c>
      <c r="K95" s="71"/>
      <c r="L95" s="68"/>
      <c r="N95" s="73"/>
      <c r="O95" s="73"/>
    </row>
    <row r="96" spans="1:15" ht="27.75">
      <c r="A96" s="1245" t="s">
        <v>208</v>
      </c>
      <c r="B96" s="1246"/>
      <c r="C96" s="1247"/>
      <c r="D96" s="174" t="s">
        <v>143</v>
      </c>
      <c r="E96" s="135">
        <f>'18 '!F96</f>
        <v>419980</v>
      </c>
      <c r="F96" s="135">
        <v>420054</v>
      </c>
      <c r="G96" s="124">
        <f t="shared" ref="G96:G101" si="10">F96-E96</f>
        <v>74</v>
      </c>
      <c r="H96" s="111">
        <f>G96+'18 '!H96</f>
        <v>-965</v>
      </c>
      <c r="I96" s="131"/>
      <c r="J96" s="203">
        <f>H96/DAY(B2)</f>
        <v>-50.789473684210527</v>
      </c>
      <c r="K96" s="71"/>
      <c r="L96" s="68"/>
      <c r="N96" s="73"/>
      <c r="O96" s="73"/>
    </row>
    <row r="97" spans="1:15" ht="27.75">
      <c r="A97" s="759" t="s">
        <v>209</v>
      </c>
      <c r="B97" s="760"/>
      <c r="C97" s="760"/>
      <c r="D97" s="174" t="s">
        <v>143</v>
      </c>
      <c r="E97" s="135">
        <f>'18 '!F97</f>
        <v>104311</v>
      </c>
      <c r="F97" s="135">
        <v>104337</v>
      </c>
      <c r="G97" s="124">
        <f t="shared" si="10"/>
        <v>26</v>
      </c>
      <c r="H97" s="111">
        <f>G97+'18 '!H97</f>
        <v>-299</v>
      </c>
      <c r="I97" s="131"/>
      <c r="J97" s="203">
        <f>H97/DAY(B2)</f>
        <v>-15.736842105263158</v>
      </c>
      <c r="K97" s="80"/>
      <c r="L97" s="68"/>
      <c r="N97" s="73"/>
      <c r="O97" s="73"/>
    </row>
    <row r="98" spans="1:15" ht="27.75">
      <c r="A98" s="759" t="s">
        <v>210</v>
      </c>
      <c r="B98" s="760"/>
      <c r="C98" s="760"/>
      <c r="D98" s="174" t="s">
        <v>143</v>
      </c>
      <c r="E98" s="135">
        <f>'18 '!F98</f>
        <v>99978</v>
      </c>
      <c r="F98" s="135">
        <v>100007</v>
      </c>
      <c r="G98" s="124">
        <f t="shared" si="10"/>
        <v>29</v>
      </c>
      <c r="H98" s="111">
        <f>G98+'18 '!H98</f>
        <v>-363</v>
      </c>
      <c r="I98" s="131"/>
      <c r="J98" s="203">
        <f>H98/DAY(B2)</f>
        <v>-19.105263157894736</v>
      </c>
      <c r="K98" s="85"/>
      <c r="L98" s="68"/>
      <c r="N98" s="73"/>
      <c r="O98" s="73"/>
    </row>
    <row r="99" spans="1:15" ht="27.75">
      <c r="A99" s="759" t="s">
        <v>211</v>
      </c>
      <c r="B99" s="760"/>
      <c r="C99" s="760"/>
      <c r="D99" s="174" t="s">
        <v>143</v>
      </c>
      <c r="E99" s="135">
        <f>'18 '!F99</f>
        <v>151747</v>
      </c>
      <c r="F99" s="135">
        <v>151771</v>
      </c>
      <c r="G99" s="124">
        <f t="shared" si="10"/>
        <v>24</v>
      </c>
      <c r="H99" s="111">
        <f>G99+'18 '!H99</f>
        <v>-364</v>
      </c>
      <c r="I99" s="131"/>
      <c r="J99" s="203">
        <f>H99/DAY(B2)</f>
        <v>-19.157894736842106</v>
      </c>
      <c r="K99" s="71"/>
      <c r="L99" s="68"/>
      <c r="N99" s="73"/>
      <c r="O99" s="73"/>
    </row>
    <row r="100" spans="1:15" ht="27.75">
      <c r="A100" s="759" t="s">
        <v>212</v>
      </c>
      <c r="B100" s="760"/>
      <c r="C100" s="760"/>
      <c r="D100" s="174" t="s">
        <v>143</v>
      </c>
      <c r="E100" s="135">
        <f>'18 '!F100</f>
        <v>8458</v>
      </c>
      <c r="F100" s="135">
        <v>8470</v>
      </c>
      <c r="G100" s="124">
        <f t="shared" si="10"/>
        <v>12</v>
      </c>
      <c r="H100" s="111">
        <f>G100+'18 '!H100</f>
        <v>-175</v>
      </c>
      <c r="I100" s="131"/>
      <c r="J100" s="203">
        <f>H100/DAY(B2)</f>
        <v>-9.2105263157894743</v>
      </c>
      <c r="K100" s="71"/>
      <c r="L100" s="68"/>
      <c r="N100" s="73"/>
      <c r="O100" s="73"/>
    </row>
    <row r="101" spans="1:15" ht="27.75">
      <c r="A101" s="759" t="s">
        <v>213</v>
      </c>
      <c r="B101" s="760"/>
      <c r="C101" s="760"/>
      <c r="D101" s="174" t="s">
        <v>143</v>
      </c>
      <c r="E101" s="135">
        <f>'18 '!F101</f>
        <v>6209</v>
      </c>
      <c r="F101" s="135">
        <v>6220</v>
      </c>
      <c r="G101" s="124">
        <f t="shared" si="10"/>
        <v>11</v>
      </c>
      <c r="H101" s="111">
        <f>G101+'18 '!H101</f>
        <v>-153</v>
      </c>
      <c r="I101" s="131"/>
      <c r="J101" s="203">
        <f>H101/DAY(B2)</f>
        <v>-8.0526315789473681</v>
      </c>
      <c r="K101" s="71"/>
      <c r="L101" s="68"/>
      <c r="N101" s="73"/>
      <c r="O101" s="73"/>
    </row>
    <row r="102" spans="1:15">
      <c r="A102" s="1277" t="s">
        <v>215</v>
      </c>
      <c r="B102" s="1278"/>
      <c r="C102" s="1279"/>
      <c r="D102" s="175"/>
      <c r="E102" s="175"/>
      <c r="F102" s="175"/>
      <c r="G102" s="176">
        <f>SUM(G96:G101)</f>
        <v>176</v>
      </c>
      <c r="H102" s="111">
        <f>G102+'18 '!H102</f>
        <v>-2319</v>
      </c>
      <c r="I102" s="177"/>
      <c r="J102" s="203">
        <f>H102/DAY(B2)</f>
        <v>-122.05263157894737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>
      <c r="A104" s="1280" t="s">
        <v>217</v>
      </c>
      <c r="B104" s="1281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>
      <c r="A105" s="1237" t="s">
        <v>218</v>
      </c>
      <c r="B105" s="1238"/>
      <c r="C105" s="757"/>
      <c r="D105" s="273" t="s">
        <v>143</v>
      </c>
      <c r="E105" s="183">
        <f>'18 '!F105</f>
        <v>7911</v>
      </c>
      <c r="F105" s="183">
        <v>7911</v>
      </c>
      <c r="G105" s="183">
        <f>F105-E105</f>
        <v>0</v>
      </c>
      <c r="H105" s="111">
        <f>G105+'18 '!H105</f>
        <v>91.700000000000728</v>
      </c>
      <c r="I105" s="183"/>
      <c r="J105" s="209">
        <f>H105/DAY(B2)</f>
        <v>4.8263157894737221</v>
      </c>
      <c r="N105" s="95"/>
      <c r="O105" s="73"/>
    </row>
    <row r="106" spans="1:15" s="93" customFormat="1" ht="27.75">
      <c r="A106" s="1237" t="s">
        <v>76</v>
      </c>
      <c r="B106" s="1238"/>
      <c r="C106" s="757"/>
      <c r="D106" s="273" t="s">
        <v>143</v>
      </c>
      <c r="E106" s="185">
        <f>'18 '!F106</f>
        <v>36640</v>
      </c>
      <c r="F106" s="185">
        <v>36648</v>
      </c>
      <c r="G106" s="183">
        <f t="shared" ref="G106" si="11">F106-E106</f>
        <v>8</v>
      </c>
      <c r="H106" s="111">
        <f>G106+'18 '!H106</f>
        <v>75</v>
      </c>
      <c r="I106" s="183"/>
      <c r="J106" s="209">
        <f>H106/DAY(B2)</f>
        <v>3.9473684210526314</v>
      </c>
      <c r="N106" s="95"/>
      <c r="O106" s="73"/>
    </row>
    <row r="107" spans="1:15" s="93" customFormat="1" ht="27.75">
      <c r="A107" s="1237" t="s">
        <v>77</v>
      </c>
      <c r="B107" s="1282"/>
      <c r="C107" s="1238"/>
      <c r="D107" s="273" t="s">
        <v>143</v>
      </c>
      <c r="E107" s="183">
        <f>'18 '!F107</f>
        <v>20107</v>
      </c>
      <c r="F107" s="183">
        <v>20113</v>
      </c>
      <c r="G107" s="183">
        <f>F107-E107</f>
        <v>6</v>
      </c>
      <c r="H107" s="111">
        <f>G107+'18 '!H107</f>
        <v>34</v>
      </c>
      <c r="I107" s="183"/>
      <c r="J107" s="209">
        <f>H107/DAY(B2)</f>
        <v>1.7894736842105263</v>
      </c>
      <c r="N107" s="95"/>
      <c r="O107" s="73"/>
    </row>
    <row r="108" spans="1:15" s="93" customFormat="1" ht="27.75">
      <c r="A108" s="1239" t="s">
        <v>201</v>
      </c>
      <c r="B108" s="1240"/>
      <c r="C108" s="757"/>
      <c r="D108" s="273"/>
      <c r="E108" s="183">
        <f>'18 '!F108</f>
        <v>0</v>
      </c>
      <c r="F108" s="183"/>
      <c r="G108" s="183">
        <f>SUM(G105:G107)</f>
        <v>14</v>
      </c>
      <c r="H108" s="111">
        <f>G108+'18 '!H108</f>
        <v>226</v>
      </c>
      <c r="I108" s="183"/>
      <c r="J108" s="209">
        <f>H108/DAY(B2)</f>
        <v>11.894736842105264</v>
      </c>
      <c r="N108" s="95"/>
      <c r="O108" s="73"/>
    </row>
    <row r="109" spans="1:15" s="93" customFormat="1" ht="27.75">
      <c r="A109" s="1243" t="s">
        <v>78</v>
      </c>
      <c r="B109" s="1244"/>
      <c r="C109" s="757"/>
      <c r="D109" s="273" t="s">
        <v>143</v>
      </c>
      <c r="E109" s="183">
        <f>'18 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>
      <c r="A110" s="1237" t="s">
        <v>219</v>
      </c>
      <c r="B110" s="1238"/>
      <c r="C110" s="757"/>
      <c r="D110" s="273" t="s">
        <v>143</v>
      </c>
      <c r="E110" s="183">
        <f>'18 '!F110</f>
        <v>68486</v>
      </c>
      <c r="F110" s="183">
        <v>68556</v>
      </c>
      <c r="G110" s="183">
        <f>F110-E110</f>
        <v>70</v>
      </c>
      <c r="H110" s="111">
        <f>G110+'18 '!H110</f>
        <v>293.80000000004657</v>
      </c>
      <c r="I110" s="183"/>
      <c r="J110" s="209">
        <f>H110/DAY(B2)</f>
        <v>15.463157894739293</v>
      </c>
      <c r="N110" s="95"/>
      <c r="O110" s="73"/>
    </row>
    <row r="111" spans="1:15" s="93" customFormat="1" ht="27.75">
      <c r="A111" s="1237" t="s">
        <v>220</v>
      </c>
      <c r="B111" s="1238"/>
      <c r="C111" s="757"/>
      <c r="D111" s="273" t="s">
        <v>143</v>
      </c>
      <c r="E111" s="183">
        <f>'18 '!F111</f>
        <v>33886</v>
      </c>
      <c r="F111" s="183">
        <v>33886</v>
      </c>
      <c r="G111" s="183">
        <f t="shared" ref="G111:G112" si="12">F111-E111</f>
        <v>0</v>
      </c>
      <c r="H111" s="111">
        <f>G111+'18 '!H111</f>
        <v>30</v>
      </c>
      <c r="I111" s="183"/>
      <c r="J111" s="209">
        <f>H111/DAY(B2)</f>
        <v>1.5789473684210527</v>
      </c>
      <c r="N111" s="95"/>
      <c r="O111" s="73"/>
    </row>
    <row r="112" spans="1:15" s="93" customFormat="1" ht="27.75">
      <c r="A112" s="1237" t="s">
        <v>221</v>
      </c>
      <c r="B112" s="1238"/>
      <c r="C112" s="757"/>
      <c r="D112" s="273" t="s">
        <v>143</v>
      </c>
      <c r="E112" s="183">
        <v>4622</v>
      </c>
      <c r="F112" s="183">
        <v>4622</v>
      </c>
      <c r="G112" s="183">
        <f t="shared" si="12"/>
        <v>0</v>
      </c>
      <c r="H112" s="111">
        <f>G112+'18 '!H112</f>
        <v>311</v>
      </c>
      <c r="I112" s="183"/>
      <c r="J112" s="209">
        <f>H112/DAY(B2)</f>
        <v>16.368421052631579</v>
      </c>
      <c r="N112" s="95"/>
      <c r="O112" s="73"/>
    </row>
    <row r="113" spans="1:15" s="93" customFormat="1" ht="27.75">
      <c r="A113" s="1241" t="s">
        <v>109</v>
      </c>
      <c r="B113" s="1242"/>
      <c r="C113" s="757"/>
      <c r="D113" s="273"/>
      <c r="E113" s="183">
        <f>'18 '!F113</f>
        <v>0</v>
      </c>
      <c r="F113" s="183"/>
      <c r="G113" s="183">
        <f>SUM(G110:G112)</f>
        <v>70</v>
      </c>
      <c r="H113" s="111">
        <f>G113+'18 '!H113</f>
        <v>859</v>
      </c>
      <c r="I113" s="183"/>
      <c r="J113" s="209">
        <f>H113/DAY(B2)</f>
        <v>45.210526315789473</v>
      </c>
      <c r="N113" s="95"/>
      <c r="O113" s="73"/>
    </row>
    <row r="114" spans="1:15" s="93" customFormat="1" ht="27.75">
      <c r="A114" s="1243" t="s">
        <v>222</v>
      </c>
      <c r="B114" s="1244"/>
      <c r="C114" s="757"/>
      <c r="D114" s="273"/>
      <c r="E114" s="183">
        <f>'18 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37" t="s">
        <v>223</v>
      </c>
      <c r="B115" s="1238"/>
      <c r="C115" s="225"/>
      <c r="D115" s="273" t="s">
        <v>143</v>
      </c>
      <c r="E115" s="185">
        <f>'18 '!F115</f>
        <v>12814</v>
      </c>
      <c r="F115" s="185">
        <v>12829</v>
      </c>
      <c r="G115" s="185">
        <f>F115-E115</f>
        <v>15</v>
      </c>
      <c r="H115" s="111">
        <f>G115+'18 '!H115</f>
        <v>33</v>
      </c>
      <c r="I115" s="183"/>
      <c r="J115" s="209">
        <f>H115/DAY(B2)</f>
        <v>1.736842105263158</v>
      </c>
      <c r="N115" s="95"/>
      <c r="O115" s="73"/>
    </row>
    <row r="116" spans="1:15" s="93" customFormat="1" ht="27.75">
      <c r="A116" s="1237" t="s">
        <v>224</v>
      </c>
      <c r="B116" s="1238"/>
      <c r="C116" s="225"/>
      <c r="D116" s="273" t="s">
        <v>143</v>
      </c>
      <c r="E116" s="185">
        <f>'18 '!F116</f>
        <v>8998</v>
      </c>
      <c r="F116" s="185">
        <v>9006</v>
      </c>
      <c r="G116" s="185">
        <f t="shared" ref="G116:G117" si="13">F116-E116</f>
        <v>8</v>
      </c>
      <c r="H116" s="111">
        <f>G116+'18 '!H116</f>
        <v>76</v>
      </c>
      <c r="I116" s="183"/>
      <c r="J116" s="209">
        <f>H116/DAY(B2)</f>
        <v>4</v>
      </c>
      <c r="N116" s="95"/>
      <c r="O116" s="73"/>
    </row>
    <row r="117" spans="1:15" s="93" customFormat="1" ht="27.75">
      <c r="A117" s="1237" t="s">
        <v>225</v>
      </c>
      <c r="B117" s="1238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 '!H117</f>
        <v>163</v>
      </c>
      <c r="I117" s="183"/>
      <c r="J117" s="209">
        <f>H117/DAY(B2)</f>
        <v>8.5789473684210531</v>
      </c>
      <c r="N117" s="95"/>
      <c r="O117" s="73"/>
    </row>
    <row r="118" spans="1:15" s="96" customFormat="1" ht="27.75">
      <c r="A118" s="1239" t="s">
        <v>201</v>
      </c>
      <c r="B118" s="1240"/>
      <c r="C118" s="225"/>
      <c r="D118" s="274"/>
      <c r="E118" s="185"/>
      <c r="F118" s="185"/>
      <c r="G118" s="185">
        <f>SUM(G115:G117)</f>
        <v>23</v>
      </c>
      <c r="H118" s="111">
        <f>G118+'18 '!H118</f>
        <v>113</v>
      </c>
      <c r="I118" s="185"/>
      <c r="J118" s="209">
        <f>H118/DAY(B2)</f>
        <v>5.9473684210526319</v>
      </c>
      <c r="N118" s="98"/>
      <c r="O118" s="73"/>
    </row>
    <row r="119" spans="1:15" s="97" customFormat="1" ht="27.75">
      <c r="A119" s="1233" t="s">
        <v>226</v>
      </c>
      <c r="B119" s="1234"/>
      <c r="C119" s="756"/>
      <c r="D119" s="275" t="s">
        <v>143</v>
      </c>
      <c r="E119" s="187"/>
      <c r="F119" s="187">
        <f>SUM(G19+G93)</f>
        <v>150</v>
      </c>
      <c r="G119" s="187">
        <f>SUM(G19+G93)</f>
        <v>150</v>
      </c>
      <c r="H119" s="111">
        <f>G119+'18 '!H119</f>
        <v>331</v>
      </c>
      <c r="I119" s="186"/>
      <c r="J119" s="210">
        <f>H119/DAY(B2)</f>
        <v>17.421052631578949</v>
      </c>
      <c r="N119" s="429"/>
      <c r="O119" s="73"/>
    </row>
    <row r="120" spans="1:15" s="97" customFormat="1" ht="27.75">
      <c r="A120" s="1233" t="s">
        <v>227</v>
      </c>
      <c r="B120" s="1234"/>
      <c r="C120" s="756"/>
      <c r="D120" s="275" t="s">
        <v>143</v>
      </c>
      <c r="E120" s="187"/>
      <c r="F120" s="187">
        <f>SUM(G96,G97,G98,G100,G101)</f>
        <v>152</v>
      </c>
      <c r="G120" s="187">
        <f>SUM(G96,G97,G98,G100,G101)</f>
        <v>152</v>
      </c>
      <c r="H120" s="111">
        <f>G120+'18 '!H120</f>
        <v>340</v>
      </c>
      <c r="I120" s="186"/>
      <c r="J120" s="210">
        <f>H120/DAY(B2)</f>
        <v>17.894736842105264</v>
      </c>
      <c r="N120" s="429"/>
      <c r="O120" s="73"/>
    </row>
    <row r="121" spans="1:15" s="97" customFormat="1" ht="27.75">
      <c r="A121" s="1233" t="s">
        <v>228</v>
      </c>
      <c r="B121" s="1234"/>
      <c r="C121" s="756"/>
      <c r="D121" s="275" t="s">
        <v>143</v>
      </c>
      <c r="E121" s="185"/>
      <c r="F121" s="185">
        <f>SUM(G113)</f>
        <v>70</v>
      </c>
      <c r="G121" s="185">
        <f>SUM(G113)</f>
        <v>70</v>
      </c>
      <c r="H121" s="111">
        <f>G121+'18 '!H121</f>
        <v>128</v>
      </c>
      <c r="I121" s="186"/>
      <c r="J121" s="210">
        <f>H121/DAY(B2)</f>
        <v>6.7368421052631575</v>
      </c>
      <c r="N121" s="429"/>
      <c r="O121" s="73"/>
    </row>
    <row r="122" spans="1:15" s="93" customFormat="1" ht="27.75">
      <c r="A122" s="1235"/>
      <c r="B122" s="1236"/>
      <c r="C122" s="757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>
      <c r="A124" s="759" t="s">
        <v>230</v>
      </c>
      <c r="B124" s="760"/>
      <c r="C124" s="760"/>
      <c r="D124" s="174" t="s">
        <v>140</v>
      </c>
      <c r="E124" s="129">
        <f>'18 '!F124</f>
        <v>852863</v>
      </c>
      <c r="F124" s="129">
        <v>853151</v>
      </c>
      <c r="G124" s="124">
        <f t="shared" ref="G124:G128" si="14">F124-E124</f>
        <v>288</v>
      </c>
      <c r="H124" s="111">
        <f>G124+'18 '!H124</f>
        <v>-3201</v>
      </c>
      <c r="I124" s="177"/>
      <c r="J124" s="203">
        <f>H124/DAY(B2)</f>
        <v>-168.47368421052633</v>
      </c>
      <c r="K124" s="71"/>
      <c r="L124" s="68"/>
      <c r="N124" s="73"/>
      <c r="O124" s="73"/>
    </row>
    <row r="125" spans="1:15" ht="27.75">
      <c r="A125" s="759" t="s">
        <v>231</v>
      </c>
      <c r="B125" s="760"/>
      <c r="C125" s="760"/>
      <c r="D125" s="174" t="s">
        <v>140</v>
      </c>
      <c r="E125" s="277">
        <f>'18 '!F125</f>
        <v>73583.399999999994</v>
      </c>
      <c r="F125" s="277">
        <v>73583.399999999994</v>
      </c>
      <c r="G125" s="124">
        <f t="shared" si="14"/>
        <v>0</v>
      </c>
      <c r="H125" s="111">
        <f>G125+'18 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226" t="s">
        <v>232</v>
      </c>
      <c r="B126" s="1227"/>
      <c r="C126" s="1228"/>
      <c r="D126" s="174" t="s">
        <v>140</v>
      </c>
      <c r="E126" s="129">
        <f>'18 '!F126</f>
        <v>152888.82999999999</v>
      </c>
      <c r="F126" s="129">
        <v>152984.92000000001</v>
      </c>
      <c r="G126" s="124">
        <f t="shared" si="14"/>
        <v>96.090000000025611</v>
      </c>
      <c r="H126" s="111">
        <f>G126+'18 '!H126</f>
        <v>-1092.0799999999872</v>
      </c>
      <c r="I126" s="177"/>
      <c r="J126" s="203">
        <f>H126/DAY(B2)</f>
        <v>-57.477894736841428</v>
      </c>
      <c r="K126" s="71"/>
      <c r="L126" s="68"/>
      <c r="N126" s="73"/>
      <c r="O126" s="73"/>
    </row>
    <row r="127" spans="1:15" ht="27.75">
      <c r="A127" s="260" t="s">
        <v>233</v>
      </c>
      <c r="B127" s="760"/>
      <c r="C127" s="760"/>
      <c r="D127" s="174" t="s">
        <v>140</v>
      </c>
      <c r="E127" s="277">
        <f>'18 '!F127</f>
        <v>34086.800000000003</v>
      </c>
      <c r="F127" s="277">
        <v>34128.800000000003</v>
      </c>
      <c r="G127" s="124">
        <f t="shared" si="14"/>
        <v>42</v>
      </c>
      <c r="H127" s="111">
        <f>G127+'18 '!H127</f>
        <v>-500.19999999999709</v>
      </c>
      <c r="I127" s="177"/>
      <c r="J127" s="203">
        <f>H127/DAY(B2)</f>
        <v>-26.326315789473529</v>
      </c>
      <c r="K127" s="71"/>
      <c r="L127" s="68"/>
      <c r="N127" s="73"/>
      <c r="O127" s="73"/>
    </row>
    <row r="128" spans="1:15" ht="27.75">
      <c r="A128" s="260" t="s">
        <v>234</v>
      </c>
      <c r="B128" s="760"/>
      <c r="C128" s="760"/>
      <c r="D128" s="174" t="s">
        <v>140</v>
      </c>
      <c r="E128" s="277">
        <f>'18 '!F128</f>
        <v>9145.4</v>
      </c>
      <c r="F128" s="277">
        <v>9145.16</v>
      </c>
      <c r="G128" s="124">
        <f t="shared" si="14"/>
        <v>-0.23999999999978172</v>
      </c>
      <c r="H128" s="111">
        <f>G128+'18 '!H128</f>
        <v>-34.840000000000146</v>
      </c>
      <c r="I128" s="131"/>
      <c r="J128" s="203">
        <f>H128/DAY(B2)</f>
        <v>-1.8336842105263234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411.99799999997231</v>
      </c>
      <c r="H129" s="111">
        <f>G129+'18 '!H129</f>
        <v>1867.1199999999844</v>
      </c>
      <c r="I129" s="131"/>
      <c r="J129" s="203">
        <f>H129/DAY(B2)</f>
        <v>98.2694736842097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>
      <c r="A131" s="759" t="s">
        <v>237</v>
      </c>
      <c r="B131" s="760"/>
      <c r="C131" s="760"/>
      <c r="D131" s="174" t="s">
        <v>238</v>
      </c>
      <c r="E131" s="135">
        <f>'18 '!F131</f>
        <v>0</v>
      </c>
      <c r="F131" s="135">
        <v>0</v>
      </c>
      <c r="G131" s="124">
        <f t="shared" ref="G131:G141" si="15">F131-E131</f>
        <v>0</v>
      </c>
      <c r="H131" s="111">
        <f>G131+'18 '!H131</f>
        <v>0</v>
      </c>
      <c r="I131" s="131"/>
      <c r="J131" s="203">
        <f>H131/DAY(B2)</f>
        <v>0</v>
      </c>
      <c r="N131" s="73"/>
      <c r="O131" s="73"/>
    </row>
    <row r="132" spans="1:15" ht="27.75">
      <c r="A132" s="759" t="s">
        <v>239</v>
      </c>
      <c r="B132" s="760"/>
      <c r="C132" s="760"/>
      <c r="D132" s="174" t="s">
        <v>238</v>
      </c>
      <c r="E132" s="135">
        <f>'18 '!F132</f>
        <v>0</v>
      </c>
      <c r="F132" s="135">
        <v>0</v>
      </c>
      <c r="G132" s="124">
        <f t="shared" si="15"/>
        <v>0</v>
      </c>
      <c r="H132" s="111">
        <f>G132+'18 '!H132</f>
        <v>0</v>
      </c>
      <c r="I132" s="131"/>
      <c r="J132" s="203">
        <f>H132/DAY(B2)</f>
        <v>0</v>
      </c>
      <c r="N132" s="73"/>
      <c r="O132" s="73"/>
    </row>
    <row r="133" spans="1:15" ht="27.75">
      <c r="A133" s="759" t="s">
        <v>240</v>
      </c>
      <c r="B133" s="760"/>
      <c r="C133" s="760"/>
      <c r="D133" s="174" t="s">
        <v>238</v>
      </c>
      <c r="E133" s="135">
        <f>'18 '!F133</f>
        <v>40877.129999999997</v>
      </c>
      <c r="F133" s="192">
        <v>40901</v>
      </c>
      <c r="G133" s="124">
        <f t="shared" si="15"/>
        <v>23.870000000002619</v>
      </c>
      <c r="H133" s="111">
        <f>G133+'18 '!H133</f>
        <v>-21</v>
      </c>
      <c r="I133" s="131"/>
      <c r="J133" s="203">
        <f>H133/DAY(B2)</f>
        <v>-1.1052631578947369</v>
      </c>
      <c r="N133" s="73"/>
      <c r="O133" s="73"/>
    </row>
    <row r="134" spans="1:15" s="92" customFormat="1" ht="27.75">
      <c r="A134" s="716" t="s">
        <v>241</v>
      </c>
      <c r="B134" s="717"/>
      <c r="C134" s="717"/>
      <c r="D134" s="278" t="s">
        <v>238</v>
      </c>
      <c r="E134" s="135">
        <f>'18 '!F134</f>
        <v>724.25</v>
      </c>
      <c r="F134" s="192">
        <v>724.25</v>
      </c>
      <c r="G134" s="303">
        <f t="shared" si="15"/>
        <v>0</v>
      </c>
      <c r="H134" s="356">
        <f>G134+'18 '!H134</f>
        <v>-131.75</v>
      </c>
      <c r="I134" s="718">
        <f>G131+G132+G133+G134</f>
        <v>23.870000000002619</v>
      </c>
      <c r="J134" s="358">
        <f>H134/DAY(B2)</f>
        <v>-6.9342105263157894</v>
      </c>
      <c r="N134" s="364"/>
      <c r="O134" s="364"/>
    </row>
    <row r="135" spans="1:15" ht="27.75">
      <c r="A135" s="759" t="s">
        <v>242</v>
      </c>
      <c r="B135" s="760"/>
      <c r="C135" s="760"/>
      <c r="D135" s="174" t="s">
        <v>238</v>
      </c>
      <c r="E135" s="135">
        <f>'18 '!F135</f>
        <v>42648.04</v>
      </c>
      <c r="F135" s="352">
        <v>42653.19</v>
      </c>
      <c r="G135" s="124">
        <f t="shared" si="15"/>
        <v>5.1500000000014552</v>
      </c>
      <c r="H135" s="111">
        <f>G135+'18 '!H135</f>
        <v>-168.80999999999767</v>
      </c>
      <c r="I135" s="131"/>
      <c r="J135" s="203">
        <f>H135/DAY(B2)</f>
        <v>-8.8847368421051414</v>
      </c>
      <c r="N135" s="73"/>
      <c r="O135" s="73"/>
    </row>
    <row r="136" spans="1:15" ht="27.75">
      <c r="A136" s="759" t="s">
        <v>243</v>
      </c>
      <c r="B136" s="760"/>
      <c r="C136" s="760"/>
      <c r="D136" s="174" t="s">
        <v>238</v>
      </c>
      <c r="E136" s="135">
        <f>'18 '!F136</f>
        <v>32874</v>
      </c>
      <c r="F136" s="192">
        <v>32874</v>
      </c>
      <c r="G136" s="124">
        <f t="shared" si="15"/>
        <v>0</v>
      </c>
      <c r="H136" s="111">
        <f>G136+'18 '!H136</f>
        <v>-54</v>
      </c>
      <c r="I136" s="131"/>
      <c r="J136" s="203">
        <f>H136/DAY(B2)</f>
        <v>-2.8421052631578947</v>
      </c>
      <c r="N136" s="73"/>
      <c r="O136" s="73"/>
    </row>
    <row r="137" spans="1:15" ht="27.75">
      <c r="A137" s="759" t="s">
        <v>244</v>
      </c>
      <c r="B137" s="760"/>
      <c r="C137" s="760"/>
      <c r="D137" s="174" t="s">
        <v>238</v>
      </c>
      <c r="E137" s="135">
        <f>'18 '!F137</f>
        <v>23246.25</v>
      </c>
      <c r="F137" s="192">
        <v>23253.17</v>
      </c>
      <c r="G137" s="124">
        <f t="shared" si="15"/>
        <v>6.9199999999982538</v>
      </c>
      <c r="H137" s="111">
        <f>G137+'18 '!H137</f>
        <v>-103.26000000000204</v>
      </c>
      <c r="I137" s="131">
        <f>G135+G136+G137</f>
        <v>12.069999999999709</v>
      </c>
      <c r="J137" s="203">
        <f>H137/DAY(B2)</f>
        <v>-5.4347368421053703</v>
      </c>
      <c r="N137" s="73"/>
      <c r="O137" s="73"/>
    </row>
    <row r="138" spans="1:15" ht="27.75">
      <c r="A138" s="759" t="s">
        <v>245</v>
      </c>
      <c r="B138" s="760"/>
      <c r="C138" s="760"/>
      <c r="D138" s="174" t="s">
        <v>238</v>
      </c>
      <c r="E138" s="135">
        <f>'18 '!F138</f>
        <v>25132.9</v>
      </c>
      <c r="F138" s="192">
        <v>25132.98</v>
      </c>
      <c r="G138" s="124">
        <f t="shared" si="15"/>
        <v>7.9999999998108251E-2</v>
      </c>
      <c r="H138" s="111">
        <f>G138+'18 '!H138</f>
        <v>2.0000000000436557E-2</v>
      </c>
      <c r="I138" s="131"/>
      <c r="J138" s="203">
        <f>H138/DAY(B2)</f>
        <v>1.052631578970345E-3</v>
      </c>
      <c r="N138" s="73"/>
      <c r="O138" s="73"/>
    </row>
    <row r="139" spans="1:15" ht="27.75">
      <c r="A139" s="759" t="s">
        <v>246</v>
      </c>
      <c r="B139" s="760"/>
      <c r="C139" s="760"/>
      <c r="D139" s="174" t="s">
        <v>238</v>
      </c>
      <c r="E139" s="135">
        <f>'18 '!F139</f>
        <v>70523.600000000006</v>
      </c>
      <c r="F139" s="192">
        <v>70523.600000000006</v>
      </c>
      <c r="G139" s="124">
        <f t="shared" si="15"/>
        <v>0</v>
      </c>
      <c r="H139" s="111">
        <f>G139+'18 '!H139</f>
        <v>-0.94999999999708962</v>
      </c>
      <c r="I139" s="131">
        <f>G138+G139</f>
        <v>7.9999999998108251E-2</v>
      </c>
      <c r="J139" s="203">
        <f>H139/DAY(B2)</f>
        <v>-4.999999999984682E-2</v>
      </c>
      <c r="N139" s="73"/>
      <c r="O139" s="73"/>
    </row>
    <row r="140" spans="1:15" ht="27.75">
      <c r="A140" s="759" t="s">
        <v>247</v>
      </c>
      <c r="B140" s="760"/>
      <c r="C140" s="760"/>
      <c r="D140" s="174" t="s">
        <v>238</v>
      </c>
      <c r="E140" s="135">
        <f>'18 '!F140</f>
        <v>2493.2800000000002</v>
      </c>
      <c r="F140" s="135">
        <v>2504.4299999999998</v>
      </c>
      <c r="G140" s="124">
        <f t="shared" si="15"/>
        <v>11.149999999999636</v>
      </c>
      <c r="H140" s="111">
        <f>G140+'18 '!H140</f>
        <v>-123.55000000000018</v>
      </c>
      <c r="I140" s="193"/>
      <c r="J140" s="203">
        <f>H140/DAY(B2)</f>
        <v>-6.5026315789473781</v>
      </c>
      <c r="N140" s="73"/>
      <c r="O140" s="73"/>
    </row>
    <row r="141" spans="1:15" ht="27.75">
      <c r="A141" s="759" t="s">
        <v>248</v>
      </c>
      <c r="B141" s="760"/>
      <c r="C141" s="760"/>
      <c r="D141" s="174" t="s">
        <v>238</v>
      </c>
      <c r="E141" s="135">
        <f>'18 '!F141</f>
        <v>4753.67</v>
      </c>
      <c r="F141" s="135">
        <v>4753.67</v>
      </c>
      <c r="G141" s="124">
        <f t="shared" si="15"/>
        <v>0</v>
      </c>
      <c r="H141" s="111">
        <f>G141+'18 '!H141</f>
        <v>-0.32999999999992724</v>
      </c>
      <c r="I141" s="193"/>
      <c r="J141" s="203">
        <f>H141/DAY(B2)</f>
        <v>-1.7368421052627748E-2</v>
      </c>
      <c r="N141" s="73"/>
      <c r="O141" s="73"/>
    </row>
    <row r="142" spans="1:15">
      <c r="A142" s="1248" t="s">
        <v>249</v>
      </c>
      <c r="B142" s="1249"/>
      <c r="C142" s="765"/>
      <c r="D142" s="123"/>
      <c r="E142" s="123"/>
      <c r="F142" s="123" t="s">
        <v>272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5765.3699999999535</v>
      </c>
      <c r="H143" s="111">
        <f>G143+'18 '!H143</f>
        <v>335088.99999999994</v>
      </c>
      <c r="I143" s="131"/>
      <c r="J143" s="203">
        <f>H143/DAY(B2)</f>
        <v>17636.263157894733</v>
      </c>
      <c r="K143" s="71"/>
      <c r="L143" s="68"/>
      <c r="N143" s="73"/>
      <c r="O143" s="73"/>
    </row>
    <row r="144" spans="1:15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0.26095806426353008</v>
      </c>
      <c r="H144" s="111">
        <f>G144+'18 '!H144</f>
        <v>5.7050303393898636</v>
      </c>
      <c r="I144" s="195"/>
      <c r="J144" s="203">
        <f>H144/DAY(B2)</f>
        <v>0.30026475470472969</v>
      </c>
      <c r="K144" s="71"/>
      <c r="L144" s="68"/>
      <c r="N144" s="73"/>
      <c r="O144" s="73"/>
    </row>
    <row r="145" spans="1:15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6118</v>
      </c>
      <c r="H145" s="111">
        <f>G145+'18 '!H145</f>
        <v>-81276.77999999997</v>
      </c>
      <c r="I145" s="131"/>
      <c r="J145" s="203">
        <f>H145/DAY(B2)</f>
        <v>-4277.7252631578931</v>
      </c>
      <c r="K145" s="71"/>
      <c r="L145" s="68"/>
      <c r="N145" s="73"/>
      <c r="O145" s="73"/>
    </row>
    <row r="146" spans="1:15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0.27691916341263262</v>
      </c>
      <c r="H146" s="111">
        <f>G146+'18 '!H146</f>
        <v>4.8300653672755294</v>
      </c>
      <c r="I146" s="195"/>
      <c r="J146" s="203">
        <f>H146/DAY(B2)</f>
        <v>0.25421396669871205</v>
      </c>
      <c r="K146" s="71"/>
      <c r="L146" s="68"/>
      <c r="N146" s="73"/>
      <c r="O146" s="73"/>
    </row>
    <row r="147" spans="1:15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3827</v>
      </c>
      <c r="H147" s="111">
        <f>G147+'18 '!H147</f>
        <v>1022502.5900000001</v>
      </c>
      <c r="I147" s="196"/>
      <c r="J147" s="203">
        <f>H147/DAY(B2)</f>
        <v>53815.925789473687</v>
      </c>
      <c r="K147" s="71"/>
      <c r="L147" s="68"/>
      <c r="N147" s="73"/>
      <c r="O147" s="73"/>
    </row>
    <row r="148" spans="1:15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0.17322158195164189</v>
      </c>
      <c r="H148" s="111">
        <f>G148+'18 '!H148</f>
        <v>5.9793575791837794</v>
      </c>
      <c r="I148" s="196"/>
      <c r="J148" s="203">
        <f>H148/DAY(B2)</f>
        <v>0.31470303048335679</v>
      </c>
      <c r="N148" s="73"/>
      <c r="O148" s="73"/>
    </row>
    <row r="149" spans="1:15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1830.9300000000512</v>
      </c>
      <c r="H149" s="111">
        <f>G149+'18 '!H149</f>
        <v>815963</v>
      </c>
      <c r="I149" s="131"/>
      <c r="J149" s="203">
        <f>H149/DAY(B2)</f>
        <v>42945.42105263158</v>
      </c>
      <c r="K149" s="72"/>
      <c r="N149" s="73"/>
      <c r="O149" s="73"/>
    </row>
    <row r="150" spans="1:15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8.2873423319239234E-2</v>
      </c>
      <c r="H150" s="111">
        <f>G150+'18 '!H150</f>
        <v>3.7382298339017614</v>
      </c>
      <c r="I150" s="196"/>
      <c r="J150" s="203">
        <f>H150/DAY(B2)</f>
        <v>0.19674893862640849</v>
      </c>
      <c r="N150" s="73"/>
      <c r="O150" s="73"/>
    </row>
    <row r="151" spans="1:15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2775.3000000000029</v>
      </c>
      <c r="H151" s="111">
        <f>G151+'18 '!H151</f>
        <v>45145</v>
      </c>
      <c r="I151" s="196"/>
      <c r="J151" s="203">
        <f>H151/DAY(B2)</f>
        <v>2376.0526315789475</v>
      </c>
      <c r="N151" s="73"/>
      <c r="O151" s="73"/>
    </row>
    <row r="152" spans="1:15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0.12561846260527626</v>
      </c>
      <c r="H152" s="111">
        <f>G152+'18 '!H152</f>
        <v>1.6301678854962842</v>
      </c>
      <c r="I152" s="131"/>
      <c r="J152" s="203">
        <f>H152/DAY(B2)</f>
        <v>8.5798309762962321E-2</v>
      </c>
      <c r="N152" s="73"/>
      <c r="O152" s="73"/>
    </row>
    <row r="153" spans="1:15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1571.1300000000047</v>
      </c>
      <c r="H153" s="111">
        <f>G153+'18 '!H153</f>
        <v>397172.00000000006</v>
      </c>
      <c r="I153" s="131"/>
      <c r="J153" s="203">
        <f>H153/DAY(B2)</f>
        <v>20903.789473684214</v>
      </c>
      <c r="N153" s="73"/>
      <c r="O153" s="73"/>
    </row>
    <row r="154" spans="1:15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7.1114090423748083E-2</v>
      </c>
      <c r="H154" s="111">
        <f>G154+'18 '!H154</f>
        <v>2.4143537708098317</v>
      </c>
      <c r="I154" s="219"/>
      <c r="J154" s="220">
        <f>H154/DAY(B2)</f>
        <v>0.1270712510952543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>
      <c r="A161" s="435" t="s">
        <v>262</v>
      </c>
      <c r="B161" s="436"/>
      <c r="C161" s="436"/>
      <c r="D161" s="162" t="s">
        <v>186</v>
      </c>
      <c r="E161" s="309">
        <f>'18 '!F161</f>
        <v>44760.6</v>
      </c>
      <c r="F161" s="309">
        <v>44838.2</v>
      </c>
      <c r="G161" s="124">
        <f t="shared" ref="G161:G164" si="16">F161-E161</f>
        <v>77.599999999998545</v>
      </c>
    </row>
    <row r="162" spans="1:7">
      <c r="A162" s="435" t="s">
        <v>263</v>
      </c>
      <c r="B162" s="436"/>
      <c r="C162" s="436"/>
      <c r="D162" s="162" t="s">
        <v>186</v>
      </c>
      <c r="E162" s="309">
        <f>'18 '!F162</f>
        <v>130539</v>
      </c>
      <c r="F162" s="309">
        <v>130988</v>
      </c>
      <c r="G162" s="124">
        <f t="shared" si="16"/>
        <v>449</v>
      </c>
    </row>
    <row r="163" spans="1:7">
      <c r="A163" s="435" t="s">
        <v>264</v>
      </c>
      <c r="B163" s="436"/>
      <c r="C163" s="436"/>
      <c r="D163" s="162" t="s">
        <v>186</v>
      </c>
      <c r="E163" s="309">
        <f>'18 '!F163</f>
        <v>61114.8</v>
      </c>
      <c r="F163" s="309">
        <v>61320</v>
      </c>
      <c r="G163" s="124">
        <f t="shared" si="16"/>
        <v>205.19999999999709</v>
      </c>
    </row>
    <row r="164" spans="1:7">
      <c r="A164" s="435" t="s">
        <v>265</v>
      </c>
      <c r="B164" s="436"/>
      <c r="C164" s="436"/>
      <c r="D164" s="162" t="s">
        <v>186</v>
      </c>
      <c r="E164" s="309">
        <f>'18 '!F164</f>
        <v>7329.13</v>
      </c>
      <c r="F164" s="309">
        <v>7339.87</v>
      </c>
      <c r="G164" s="124">
        <f t="shared" si="16"/>
        <v>10.739999999999782</v>
      </c>
    </row>
    <row r="165" spans="1:7">
      <c r="A165" s="437" t="s">
        <v>97</v>
      </c>
      <c r="B165" s="255"/>
      <c r="C165" s="255"/>
      <c r="D165" s="162" t="s">
        <v>186</v>
      </c>
      <c r="E165" s="309">
        <f>'18 '!F165</f>
        <v>20419</v>
      </c>
      <c r="F165" s="165">
        <v>20419</v>
      </c>
      <c r="G165" s="124">
        <f t="shared" ref="G165:G166" si="17">F165-E165</f>
        <v>0</v>
      </c>
    </row>
    <row r="166" spans="1:7">
      <c r="A166" s="437" t="s">
        <v>187</v>
      </c>
      <c r="B166" s="255"/>
      <c r="C166" s="255"/>
      <c r="D166" s="162" t="s">
        <v>186</v>
      </c>
      <c r="E166" s="309">
        <f>'18 '!F166</f>
        <v>0</v>
      </c>
      <c r="F166" s="165">
        <v>2431</v>
      </c>
      <c r="G166" s="124">
        <f t="shared" si="17"/>
        <v>2431</v>
      </c>
    </row>
    <row r="167" spans="1:7" ht="27.75">
      <c r="A167" s="1232" t="s">
        <v>98</v>
      </c>
      <c r="B167" s="1232"/>
      <c r="C167" s="1232"/>
      <c r="D167" s="174" t="s">
        <v>186</v>
      </c>
      <c r="E167" s="309">
        <f>'18 '!F167</f>
        <v>188827</v>
      </c>
      <c r="F167" s="165">
        <v>106166</v>
      </c>
      <c r="G167" s="124">
        <f>F64-E64</f>
        <v>451</v>
      </c>
    </row>
    <row r="168" spans="1:7" ht="27.75">
      <c r="A168" s="1232" t="s">
        <v>99</v>
      </c>
      <c r="B168" s="1232"/>
      <c r="C168" s="1232"/>
      <c r="D168" s="174" t="s">
        <v>186</v>
      </c>
      <c r="E168" s="309">
        <f>'18 '!F168</f>
        <v>189491</v>
      </c>
      <c r="F168" s="165">
        <v>116811.03</v>
      </c>
      <c r="G168" s="124">
        <f t="shared" ref="G168:G172" si="18">F65-E65</f>
        <v>404</v>
      </c>
    </row>
    <row r="169" spans="1:7" ht="27.75">
      <c r="A169" s="1232" t="s">
        <v>100</v>
      </c>
      <c r="B169" s="1232"/>
      <c r="C169" s="1232"/>
      <c r="D169" s="174" t="s">
        <v>186</v>
      </c>
      <c r="E169" s="309">
        <f>'18 '!F169</f>
        <v>88014.3</v>
      </c>
      <c r="F169" s="165">
        <v>9380.09</v>
      </c>
      <c r="G169" s="124">
        <f t="shared" si="18"/>
        <v>412.19999999999709</v>
      </c>
    </row>
    <row r="170" spans="1:7" ht="27.75">
      <c r="A170" s="1232" t="s">
        <v>101</v>
      </c>
      <c r="B170" s="1232"/>
      <c r="C170" s="1232"/>
      <c r="D170" s="174" t="s">
        <v>186</v>
      </c>
      <c r="E170" s="309">
        <f>'18 '!F170</f>
        <v>288591</v>
      </c>
      <c r="F170" s="165">
        <v>180787.83</v>
      </c>
      <c r="G170" s="124">
        <f t="shared" si="18"/>
        <v>448</v>
      </c>
    </row>
    <row r="171" spans="1:7" ht="27.75">
      <c r="A171" s="1232" t="s">
        <v>102</v>
      </c>
      <c r="B171" s="1232"/>
      <c r="C171" s="1232"/>
      <c r="D171" s="174" t="s">
        <v>186</v>
      </c>
      <c r="E171" s="309">
        <f>'18 '!F171</f>
        <v>85321</v>
      </c>
      <c r="F171" s="165">
        <v>59451.31</v>
      </c>
      <c r="G171" s="124">
        <f t="shared" si="18"/>
        <v>0</v>
      </c>
    </row>
    <row r="172" spans="1:7" ht="27.75">
      <c r="A172" s="1232" t="s">
        <v>103</v>
      </c>
      <c r="B172" s="1232"/>
      <c r="C172" s="1232"/>
      <c r="D172" s="174" t="s">
        <v>186</v>
      </c>
      <c r="E172" s="309">
        <f>'18 '!F172</f>
        <v>102225</v>
      </c>
      <c r="F172" s="165">
        <v>52064.98</v>
      </c>
      <c r="G172" s="124">
        <f t="shared" si="18"/>
        <v>309</v>
      </c>
    </row>
    <row r="173" spans="1:7">
      <c r="G173" s="188">
        <f>SUM(G161:G172)</f>
        <v>5197.7399999999925</v>
      </c>
    </row>
    <row r="174" spans="1:7" ht="27.75">
      <c r="A174" s="1232" t="s">
        <v>337</v>
      </c>
      <c r="B174" s="1232"/>
      <c r="C174" s="1232"/>
      <c r="D174" s="174" t="s">
        <v>186</v>
      </c>
      <c r="E174" s="183">
        <f>'18 '!F175</f>
        <v>70650.7</v>
      </c>
      <c r="F174" s="165">
        <v>19186.400000000001</v>
      </c>
      <c r="G174" s="124">
        <f t="shared" ref="G174" si="19">F174-E174</f>
        <v>-51464.299999999996</v>
      </c>
    </row>
    <row r="175" spans="1:7">
      <c r="A175" s="1273" t="s">
        <v>337</v>
      </c>
      <c r="B175" s="1236"/>
      <c r="C175" s="436"/>
      <c r="D175" s="174" t="s">
        <v>186</v>
      </c>
      <c r="E175" s="183">
        <f>'18 '!F176</f>
        <v>27891.9</v>
      </c>
      <c r="F175" s="1105">
        <v>70657.100000000006</v>
      </c>
      <c r="G175" s="1105">
        <v>7</v>
      </c>
    </row>
    <row r="176" spans="1:7">
      <c r="A176" s="1273" t="s">
        <v>338</v>
      </c>
      <c r="B176" s="1236"/>
      <c r="C176" s="436"/>
      <c r="D176" s="174" t="s">
        <v>186</v>
      </c>
      <c r="E176" s="183">
        <f>'18 '!F177</f>
        <v>0</v>
      </c>
      <c r="F176" s="1105">
        <v>27897.4</v>
      </c>
      <c r="G176" s="1105">
        <v>4</v>
      </c>
    </row>
    <row r="177" spans="1:7" ht="30.75" customHeight="1">
      <c r="A177" s="1296" t="s">
        <v>382</v>
      </c>
      <c r="B177" s="1296"/>
      <c r="C177" s="1296"/>
      <c r="D177" s="1296"/>
      <c r="E177" s="1296"/>
      <c r="F177" s="1296"/>
      <c r="G177" s="1296"/>
    </row>
    <row r="178" spans="1:7">
      <c r="A178" s="435"/>
      <c r="B178" s="436"/>
      <c r="C178" s="436"/>
      <c r="D178" s="174" t="s">
        <v>186</v>
      </c>
      <c r="E178" s="309">
        <f>'18 '!F178</f>
        <v>0</v>
      </c>
      <c r="F178" s="193"/>
      <c r="G178" s="124">
        <f t="shared" ref="G178:G184" si="20">F178-E178</f>
        <v>0</v>
      </c>
    </row>
    <row r="179" spans="1:7">
      <c r="A179" s="435" t="s">
        <v>383</v>
      </c>
      <c r="B179" s="436"/>
      <c r="C179" s="436"/>
      <c r="D179" s="174" t="s">
        <v>186</v>
      </c>
      <c r="E179" s="309">
        <f>'18 '!F179</f>
        <v>0</v>
      </c>
      <c r="F179" s="193"/>
      <c r="G179" s="124">
        <f t="shared" si="20"/>
        <v>0</v>
      </c>
    </row>
    <row r="180" spans="1:7">
      <c r="A180" s="435" t="s">
        <v>384</v>
      </c>
      <c r="B180" s="436"/>
      <c r="C180" s="436"/>
      <c r="D180" s="174" t="s">
        <v>186</v>
      </c>
      <c r="E180" s="309">
        <f>'18 '!F180</f>
        <v>0</v>
      </c>
      <c r="F180" s="193"/>
      <c r="G180" s="124">
        <f t="shared" si="20"/>
        <v>0</v>
      </c>
    </row>
    <row r="181" spans="1:7">
      <c r="A181" s="435" t="s">
        <v>385</v>
      </c>
      <c r="B181" s="436"/>
      <c r="C181" s="436"/>
      <c r="D181" s="174" t="s">
        <v>186</v>
      </c>
      <c r="E181" s="309">
        <f>'18 '!F181</f>
        <v>0</v>
      </c>
      <c r="F181" s="193"/>
      <c r="G181" s="124">
        <f t="shared" si="20"/>
        <v>0</v>
      </c>
    </row>
    <row r="182" spans="1:7">
      <c r="A182" s="435" t="s">
        <v>386</v>
      </c>
      <c r="B182" s="436"/>
      <c r="C182" s="436"/>
      <c r="D182" s="174" t="s">
        <v>186</v>
      </c>
      <c r="E182" s="309">
        <f>'18 '!F182</f>
        <v>0</v>
      </c>
      <c r="F182" s="193"/>
      <c r="G182" s="124">
        <f t="shared" si="20"/>
        <v>0</v>
      </c>
    </row>
    <row r="183" spans="1:7">
      <c r="A183" s="435" t="s">
        <v>387</v>
      </c>
      <c r="B183" s="436"/>
      <c r="C183" s="436"/>
      <c r="D183" s="174" t="s">
        <v>186</v>
      </c>
      <c r="E183" s="309">
        <f>'18 '!F183</f>
        <v>0</v>
      </c>
      <c r="F183" s="193"/>
      <c r="G183" s="124">
        <f t="shared" si="20"/>
        <v>0</v>
      </c>
    </row>
    <row r="184" spans="1:7">
      <c r="A184" s="435" t="s">
        <v>388</v>
      </c>
      <c r="B184" s="436"/>
      <c r="C184" s="436"/>
      <c r="D184" s="174" t="s">
        <v>186</v>
      </c>
      <c r="E184" s="309">
        <f>'18 '!F184</f>
        <v>0</v>
      </c>
      <c r="F184" s="193"/>
      <c r="G184" s="124">
        <f t="shared" si="20"/>
        <v>0</v>
      </c>
    </row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7:G177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A13" zoomScale="60" zoomScalePageLayoutView="78" workbookViewId="0">
      <selection activeCell="F8" sqref="F8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5" s="57" customFormat="1" ht="27">
      <c r="A2" s="226" t="s">
        <v>345</v>
      </c>
      <c r="B2" s="682">
        <v>44428</v>
      </c>
      <c r="C2" s="761" t="s">
        <v>68</v>
      </c>
      <c r="D2" s="262">
        <v>0.73799999999999999</v>
      </c>
      <c r="E2" s="112"/>
      <c r="F2" s="112"/>
      <c r="G2" s="939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61" t="s">
        <v>119</v>
      </c>
      <c r="D3" s="263">
        <v>27</v>
      </c>
      <c r="E3" s="1259" t="s">
        <v>120</v>
      </c>
      <c r="F3" s="1260"/>
      <c r="G3" s="940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761" t="s">
        <v>121</v>
      </c>
      <c r="D4" s="262">
        <v>0.84</v>
      </c>
      <c r="E4" s="115"/>
      <c r="F4" s="115"/>
      <c r="G4" s="940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41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53" t="s">
        <v>129</v>
      </c>
      <c r="B6" s="1254"/>
      <c r="C6" s="1255"/>
      <c r="D6" s="122"/>
      <c r="E6" s="122"/>
      <c r="F6" s="122"/>
      <c r="G6" s="94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'19'!F7</f>
        <v>29068.7</v>
      </c>
      <c r="F7" s="106">
        <v>50251.9</v>
      </c>
      <c r="G7" s="943">
        <f>F7-E7</f>
        <v>21183.200000000001</v>
      </c>
      <c r="H7" s="111">
        <f>G7+'19'!H7</f>
        <v>751560.28999999992</v>
      </c>
      <c r="I7" s="125">
        <f>'1'!I7</f>
        <v>12000</v>
      </c>
      <c r="J7" s="203">
        <f>H7/DAY(B2)</f>
        <v>37578.014499999997</v>
      </c>
      <c r="K7" s="200">
        <v>11998</v>
      </c>
      <c r="L7" s="68">
        <f>G7-K7</f>
        <v>9185.2000000000007</v>
      </c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f>'19'!F8</f>
        <v>39721</v>
      </c>
      <c r="F8" s="126">
        <f>E8+22500</f>
        <v>62221</v>
      </c>
      <c r="G8" s="944">
        <f>F8-E8</f>
        <v>22500</v>
      </c>
      <c r="H8" s="111">
        <f>G8+'19'!H8</f>
        <v>752649</v>
      </c>
      <c r="I8" s="128">
        <f>'1'!I8</f>
        <v>12000</v>
      </c>
      <c r="J8" s="203">
        <f>H8/DAY(B2)</f>
        <v>37632.449999999997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'19'!F9</f>
        <v>3105410</v>
      </c>
      <c r="F9" s="129">
        <v>3125040</v>
      </c>
      <c r="G9" s="943">
        <f t="shared" ref="G9:G12" si="0">F9-E9</f>
        <v>19630</v>
      </c>
      <c r="H9" s="111">
        <f>G9+'19'!H9</f>
        <v>3042510</v>
      </c>
      <c r="I9" s="130">
        <f>I8-J8</f>
        <v>-25632.449999999997</v>
      </c>
      <c r="J9" s="203">
        <f>H9/DAY(B2)</f>
        <v>152125.5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'19'!F10</f>
        <v>2606.85</v>
      </c>
      <c r="F10" s="129">
        <v>2606.85</v>
      </c>
      <c r="G10" s="943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43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43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45">
        <f>G9+G10+G11+G12</f>
        <v>19630</v>
      </c>
      <c r="H13" s="111">
        <f>G13+'19'!H13</f>
        <v>2998494.36</v>
      </c>
      <c r="I13" s="133">
        <f>G7-G13</f>
        <v>1553.2000000000007</v>
      </c>
      <c r="J13" s="203">
        <f>H13/DAY(B2)</f>
        <v>149924.71799999999</v>
      </c>
      <c r="K13" s="81"/>
      <c r="L13" s="68"/>
      <c r="N13" s="73"/>
      <c r="O13" s="73"/>
    </row>
    <row r="14" spans="1:15">
      <c r="A14" s="1256" t="s">
        <v>138</v>
      </c>
      <c r="B14" s="1257"/>
      <c r="C14" s="1258"/>
      <c r="D14" s="123"/>
      <c r="E14" s="123"/>
      <c r="F14" s="123"/>
      <c r="G14" s="946"/>
      <c r="H14" s="123"/>
      <c r="I14" s="123"/>
      <c r="J14" s="202"/>
      <c r="K14" s="82"/>
      <c r="L14" s="68"/>
      <c r="N14" s="73"/>
      <c r="O14" s="73"/>
    </row>
    <row r="15" spans="1:15">
      <c r="A15" s="759" t="s">
        <v>139</v>
      </c>
      <c r="B15" s="240"/>
      <c r="C15" s="240"/>
      <c r="D15" s="174" t="s">
        <v>140</v>
      </c>
      <c r="E15" s="135">
        <f>'19'!F15</f>
        <v>1746221</v>
      </c>
      <c r="F15" s="351">
        <v>1747121.52</v>
      </c>
      <c r="G15" s="947">
        <f>(F15-E15)</f>
        <v>900.52000000001863</v>
      </c>
      <c r="H15" s="111">
        <f>G15+'19'!H15</f>
        <v>-9408.4799999999814</v>
      </c>
      <c r="I15" s="125">
        <v>800</v>
      </c>
      <c r="J15" s="203">
        <f>H15/DAY(B2)</f>
        <v>-470.42399999999907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43"/>
      <c r="H16" s="137"/>
      <c r="I16" s="138">
        <f>I15-J15</f>
        <v>1270.4239999999991</v>
      </c>
      <c r="J16" s="204"/>
      <c r="K16" s="81"/>
      <c r="L16" s="68"/>
      <c r="N16" s="73"/>
      <c r="O16" s="73"/>
    </row>
    <row r="17" spans="1:15">
      <c r="A17" s="1256" t="s">
        <v>141</v>
      </c>
      <c r="B17" s="1257"/>
      <c r="C17" s="1258"/>
      <c r="D17" s="123"/>
      <c r="E17" s="123"/>
      <c r="F17" s="123"/>
      <c r="G17" s="946"/>
      <c r="H17" s="123"/>
      <c r="I17" s="123"/>
      <c r="J17" s="202"/>
      <c r="K17" s="81"/>
      <c r="L17" s="68"/>
      <c r="N17" s="73"/>
      <c r="O17" s="73"/>
    </row>
    <row r="18" spans="1:15" ht="27.75">
      <c r="A18" s="1245" t="s">
        <v>142</v>
      </c>
      <c r="B18" s="1246"/>
      <c r="C18" s="1247"/>
      <c r="D18" s="174" t="s">
        <v>143</v>
      </c>
      <c r="E18" s="135">
        <f>'19'!F18</f>
        <v>15</v>
      </c>
      <c r="F18" s="135">
        <v>22</v>
      </c>
      <c r="G18" s="945">
        <f>F18*10</f>
        <v>220</v>
      </c>
      <c r="H18" s="111">
        <f>G18+'19'!H18</f>
        <v>3090</v>
      </c>
      <c r="I18" s="125">
        <f>'1'!I18</f>
        <v>65</v>
      </c>
      <c r="J18" s="203">
        <f>H18/DAY(B2)</f>
        <v>154.5</v>
      </c>
      <c r="K18" s="81"/>
      <c r="L18" s="68"/>
      <c r="N18" s="73"/>
      <c r="O18" s="73"/>
    </row>
    <row r="19" spans="1:15" ht="27.75">
      <c r="A19" s="1245" t="s">
        <v>70</v>
      </c>
      <c r="B19" s="1246"/>
      <c r="C19" s="1247"/>
      <c r="D19" s="174" t="s">
        <v>143</v>
      </c>
      <c r="E19" s="135">
        <f>'19'!F19</f>
        <v>144580</v>
      </c>
      <c r="F19" s="135">
        <v>144659</v>
      </c>
      <c r="G19" s="943">
        <f t="shared" ref="G19" si="1">F19-E19</f>
        <v>79</v>
      </c>
      <c r="H19" s="111">
        <f>G19+'19'!H19</f>
        <v>-679</v>
      </c>
      <c r="I19" s="140"/>
      <c r="J19" s="203">
        <f>H19/DAY(B2)</f>
        <v>-33.950000000000003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48">
        <f>G18+G19</f>
        <v>299</v>
      </c>
      <c r="H20" s="111">
        <f>G20+'19'!H20</f>
        <v>2411</v>
      </c>
      <c r="I20" s="143">
        <f>I18-J20</f>
        <v>-55.55</v>
      </c>
      <c r="J20" s="203">
        <f>H20/DAY(B2)</f>
        <v>120.55</v>
      </c>
      <c r="K20" s="81"/>
      <c r="L20" s="68"/>
      <c r="N20" s="73"/>
      <c r="O20" s="73"/>
    </row>
    <row r="21" spans="1:15">
      <c r="A21" s="1256" t="s">
        <v>145</v>
      </c>
      <c r="B21" s="1257"/>
      <c r="C21" s="1258"/>
      <c r="D21" s="123"/>
      <c r="E21" s="123"/>
      <c r="F21" s="123"/>
      <c r="G21" s="946"/>
      <c r="H21" s="123"/>
      <c r="I21" s="123"/>
      <c r="J21" s="202"/>
      <c r="K21" s="81"/>
      <c r="L21" s="68"/>
      <c r="N21" s="73"/>
      <c r="O21" s="73"/>
    </row>
    <row r="22" spans="1:15">
      <c r="A22" s="759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45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9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45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45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61" t="s">
        <v>150</v>
      </c>
      <c r="B25" s="1262"/>
      <c r="C25" s="1263"/>
      <c r="D25" s="122"/>
      <c r="E25" s="122"/>
      <c r="F25" s="122"/>
      <c r="G25" s="949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50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22500</v>
      </c>
      <c r="F27" s="152">
        <v>9</v>
      </c>
      <c r="G27" s="951">
        <f>E27*F27</f>
        <v>202500</v>
      </c>
      <c r="H27" s="111">
        <f>G27+'19'!H27</f>
        <v>6766803</v>
      </c>
      <c r="I27" s="154"/>
      <c r="J27" s="203">
        <f>H27/DAY(B2)</f>
        <v>338340.15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900.52000000001863</v>
      </c>
      <c r="F28" s="152">
        <v>54.5</v>
      </c>
      <c r="G28" s="951">
        <f>E28*F28</f>
        <v>49078.340000001015</v>
      </c>
      <c r="H28" s="111">
        <f>G28+'19'!H28</f>
        <v>-533324.54739999876</v>
      </c>
      <c r="I28" s="156"/>
      <c r="J28" s="203">
        <f>H28/DAY(B2)</f>
        <v>-26666.227369999939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51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79</v>
      </c>
      <c r="F30" s="152">
        <v>146</v>
      </c>
      <c r="G30" s="951">
        <f>E30*F30</f>
        <v>11534</v>
      </c>
      <c r="H30" s="111">
        <f>G30+'19'!H30</f>
        <v>-99134</v>
      </c>
      <c r="I30" s="156"/>
      <c r="J30" s="203">
        <f>H30/DAY(B2)</f>
        <v>-4956.7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220</v>
      </c>
      <c r="F31" s="152">
        <v>56.2</v>
      </c>
      <c r="G31" s="951">
        <f>E31*F31</f>
        <v>12364</v>
      </c>
      <c r="H31" s="111">
        <f>G31+'19'!H31</f>
        <v>241964</v>
      </c>
      <c r="I31" s="156"/>
      <c r="J31" s="203">
        <f>H31/DAY(B2)</f>
        <v>12098.2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52">
        <f>G27+G28+G29+G30+G31</f>
        <v>275476.34000000102</v>
      </c>
      <c r="H32" s="111">
        <f>G32+'19'!H32</f>
        <v>6376308.4526000014</v>
      </c>
      <c r="I32" s="160"/>
      <c r="J32" s="203">
        <f>H32/DAY(B2)</f>
        <v>318815.42263000004</v>
      </c>
      <c r="K32" s="65"/>
      <c r="L32" s="94"/>
      <c r="N32" s="95"/>
      <c r="O32" s="73"/>
    </row>
    <row r="33" spans="1:15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  <c r="O33" s="73"/>
    </row>
    <row r="34" spans="1:15">
      <c r="A34" s="249" t="s">
        <v>162</v>
      </c>
      <c r="B34" s="764"/>
      <c r="C34" s="764"/>
      <c r="D34" s="123"/>
      <c r="E34" s="122"/>
      <c r="F34" s="122"/>
      <c r="G34" s="953"/>
      <c r="H34" s="123"/>
      <c r="I34" s="123"/>
      <c r="J34" s="202" t="s">
        <v>299</v>
      </c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35">
        <f>'19'!F35</f>
        <v>1058597</v>
      </c>
      <c r="F35" s="161">
        <v>1058597</v>
      </c>
      <c r="G35" s="943">
        <f t="shared" ref="G35:G46" si="2">F35-E35</f>
        <v>0</v>
      </c>
      <c r="H35" s="111">
        <f>G35+'19'!H35</f>
        <v>0</v>
      </c>
      <c r="I35" s="106"/>
      <c r="J35" s="203">
        <f>H35/DAY(B2)</f>
        <v>0</v>
      </c>
      <c r="K35" s="81">
        <v>1457.2799999999697</v>
      </c>
      <c r="L35" s="68">
        <f>G35-K35</f>
        <v>-1457.2799999999697</v>
      </c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35">
        <f>'19'!F36</f>
        <v>60809</v>
      </c>
      <c r="F36" s="161">
        <v>61611.6</v>
      </c>
      <c r="G36" s="943">
        <f t="shared" si="2"/>
        <v>802.59999999999854</v>
      </c>
      <c r="H36" s="111">
        <f>G36+'19'!H36</f>
        <v>59778.6</v>
      </c>
      <c r="I36" s="106"/>
      <c r="J36" s="203">
        <f>H36/DAY(B2)</f>
        <v>2988.93</v>
      </c>
      <c r="K36" s="81">
        <v>483.92999999999302</v>
      </c>
      <c r="L36" s="68">
        <f t="shared" ref="L36:L60" si="3">G36-K36</f>
        <v>318.67000000000553</v>
      </c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35">
        <f>'19'!F37</f>
        <v>256307</v>
      </c>
      <c r="F37" s="161">
        <v>257767</v>
      </c>
      <c r="G37" s="943">
        <f>F37-E37</f>
        <v>1460</v>
      </c>
      <c r="H37" s="111">
        <f>G37+'19'!H37</f>
        <v>253992</v>
      </c>
      <c r="I37" s="106"/>
      <c r="J37" s="203">
        <f>H37/DAY(B2)</f>
        <v>12699.6</v>
      </c>
      <c r="K37" s="81">
        <v>1173.9200000000128</v>
      </c>
      <c r="L37" s="68">
        <f>G37-K37</f>
        <v>286.07999999998719</v>
      </c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35">
        <f>'19'!F38</f>
        <v>281180</v>
      </c>
      <c r="F38" s="120">
        <v>282894</v>
      </c>
      <c r="G38" s="943">
        <f t="shared" si="2"/>
        <v>1714</v>
      </c>
      <c r="H38" s="111">
        <f>G38+'19'!H38</f>
        <v>278071</v>
      </c>
      <c r="I38" s="106"/>
      <c r="J38" s="203">
        <f>H38/DAY(B2)</f>
        <v>13903.55</v>
      </c>
      <c r="K38" s="81">
        <v>0</v>
      </c>
      <c r="L38" s="68">
        <f t="shared" si="3"/>
        <v>1714</v>
      </c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35">
        <f>'19'!F39</f>
        <v>592113</v>
      </c>
      <c r="F39" s="161">
        <v>595534</v>
      </c>
      <c r="G39" s="943">
        <f t="shared" si="2"/>
        <v>3421</v>
      </c>
      <c r="H39" s="111">
        <f>G39+'19'!H39</f>
        <v>591692</v>
      </c>
      <c r="I39" s="106"/>
      <c r="J39" s="203">
        <f>H39/DAY(B2)</f>
        <v>29584.6</v>
      </c>
      <c r="K39" s="81">
        <v>1987.0400000000373</v>
      </c>
      <c r="L39" s="68">
        <f t="shared" si="3"/>
        <v>1433.9599999999627</v>
      </c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35">
        <f>'19'!F40</f>
        <v>29175.3</v>
      </c>
      <c r="F40" s="161">
        <v>29765.4</v>
      </c>
      <c r="G40" s="943">
        <f t="shared" si="2"/>
        <v>590.10000000000218</v>
      </c>
      <c r="H40" s="111">
        <f>G40+'19'!H40</f>
        <v>29922.800000000003</v>
      </c>
      <c r="I40" s="106"/>
      <c r="J40" s="203">
        <f>H40/DAY(B2)</f>
        <v>1496.14</v>
      </c>
      <c r="K40" s="82">
        <v>0</v>
      </c>
      <c r="L40" s="68">
        <f t="shared" si="3"/>
        <v>590.10000000000218</v>
      </c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35">
        <f>'19'!F41</f>
        <v>428819</v>
      </c>
      <c r="F41" s="161">
        <v>432384</v>
      </c>
      <c r="G41" s="943">
        <f t="shared" si="2"/>
        <v>3565</v>
      </c>
      <c r="H41" s="111">
        <f>G41+'19'!H41</f>
        <v>-897.78999999997905</v>
      </c>
      <c r="I41" s="106"/>
      <c r="J41" s="203">
        <f>H41/DAY(B2)</f>
        <v>-44.889499999998954</v>
      </c>
      <c r="K41" s="81">
        <v>0</v>
      </c>
      <c r="L41" s="68">
        <f t="shared" si="3"/>
        <v>3565</v>
      </c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35">
        <f>'19'!F42</f>
        <v>147899</v>
      </c>
      <c r="F42" s="161">
        <v>147899.14000000001</v>
      </c>
      <c r="G42" s="943">
        <f t="shared" si="2"/>
        <v>0.14000000001396984</v>
      </c>
      <c r="H42" s="111">
        <f>G42+'19'!H42</f>
        <v>-27212.859999999986</v>
      </c>
      <c r="I42" s="106"/>
      <c r="J42" s="203">
        <f>H42/DAY(B2)</f>
        <v>-1360.6429999999993</v>
      </c>
      <c r="K42" s="81">
        <v>3246.4500000000007</v>
      </c>
      <c r="L42" s="68">
        <f t="shared" si="3"/>
        <v>-3246.3099999999868</v>
      </c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35">
        <f>'19'!F43</f>
        <v>1257000</v>
      </c>
      <c r="F43" s="161">
        <v>1259360</v>
      </c>
      <c r="G43" s="943">
        <f t="shared" si="2"/>
        <v>2360</v>
      </c>
      <c r="H43" s="111">
        <f>G43+'19'!H43</f>
        <v>-30385</v>
      </c>
      <c r="I43" s="106"/>
      <c r="J43" s="203">
        <f>H43/DAY(B2)</f>
        <v>-1519.25</v>
      </c>
      <c r="K43" s="81">
        <v>1559.2000000000116</v>
      </c>
      <c r="L43" s="68">
        <f t="shared" si="3"/>
        <v>800.79999999998836</v>
      </c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43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43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43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45">
        <f>G35+G36+G37+G38+G39+G40+G41+G42+G43+G44+G45+G46</f>
        <v>13912.840000000015</v>
      </c>
      <c r="H47" s="111">
        <f>G47+'19'!H47</f>
        <v>1155761.7500000002</v>
      </c>
      <c r="I47" s="106"/>
      <c r="J47" s="203">
        <f>H47/DAY(B2)</f>
        <v>57788.087500000009</v>
      </c>
      <c r="K47" s="81">
        <v>9907.8200000000252</v>
      </c>
      <c r="L47" s="68">
        <f t="shared" si="3"/>
        <v>4005.0199999999895</v>
      </c>
      <c r="N47" s="73"/>
      <c r="O47" s="73"/>
    </row>
    <row r="48" spans="1:15">
      <c r="A48" s="249" t="s">
        <v>176</v>
      </c>
      <c r="B48" s="764"/>
      <c r="C48" s="764"/>
      <c r="D48" s="123"/>
      <c r="E48" s="122"/>
      <c r="F48" s="122"/>
      <c r="G48" s="953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'19'!F49</f>
        <v>382149</v>
      </c>
      <c r="F49" s="161">
        <v>384926</v>
      </c>
      <c r="G49" s="943">
        <f t="shared" ref="G49:G58" si="4">F49-E49</f>
        <v>2777</v>
      </c>
      <c r="H49" s="111">
        <f>G49+'19'!H49</f>
        <v>368146</v>
      </c>
      <c r="I49" s="106"/>
      <c r="J49" s="203">
        <f>H49/DAY(B2)</f>
        <v>18407.3</v>
      </c>
      <c r="K49" s="81">
        <v>0</v>
      </c>
      <c r="L49" s="68">
        <f t="shared" si="3"/>
        <v>2777</v>
      </c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'19'!F50</f>
        <v>593467</v>
      </c>
      <c r="F50" s="161">
        <v>594769</v>
      </c>
      <c r="G50" s="943">
        <f t="shared" si="4"/>
        <v>1302</v>
      </c>
      <c r="H50" s="111">
        <f>G50+'19'!H50</f>
        <v>-13449</v>
      </c>
      <c r="I50" s="106"/>
      <c r="J50" s="203">
        <f>H50/DAY(B2)</f>
        <v>-672.45</v>
      </c>
      <c r="K50" s="81">
        <v>631.67000000001281</v>
      </c>
      <c r="L50" s="68">
        <f t="shared" si="3"/>
        <v>670.32999999998719</v>
      </c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'19'!F51</f>
        <v>144640</v>
      </c>
      <c r="F51" s="161">
        <v>144640</v>
      </c>
      <c r="G51" s="943">
        <f t="shared" si="4"/>
        <v>0</v>
      </c>
      <c r="H51" s="111">
        <f>G51+'19'!H51</f>
        <v>144640</v>
      </c>
      <c r="I51" s="106"/>
      <c r="J51" s="203">
        <f>H51/DAY(B2)</f>
        <v>7232</v>
      </c>
      <c r="K51" s="81">
        <v>0</v>
      </c>
      <c r="L51" s="68">
        <f t="shared" si="3"/>
        <v>0</v>
      </c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'19'!F52</f>
        <v>539606</v>
      </c>
      <c r="F52" s="161">
        <v>539606</v>
      </c>
      <c r="G52" s="943">
        <f t="shared" si="4"/>
        <v>0</v>
      </c>
      <c r="H52" s="111">
        <f>G52+'19'!H52</f>
        <v>-6.9999999948777258E-2</v>
      </c>
      <c r="I52" s="106"/>
      <c r="J52" s="203">
        <f>H52/DAY(B2)</f>
        <v>-3.499999997438863E-3</v>
      </c>
      <c r="K52" s="81">
        <v>1057.5200000000186</v>
      </c>
      <c r="L52" s="68">
        <f t="shared" si="3"/>
        <v>-1057.5200000000186</v>
      </c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'19'!F53</f>
        <v>434231.59</v>
      </c>
      <c r="F53" s="161">
        <v>434231.59</v>
      </c>
      <c r="G53" s="943">
        <f t="shared" si="4"/>
        <v>0</v>
      </c>
      <c r="H53" s="111">
        <f>G53+'19'!H53</f>
        <v>434231.59</v>
      </c>
      <c r="I53" s="106"/>
      <c r="J53" s="203">
        <f>H53/DAY(B2)</f>
        <v>21711.5795</v>
      </c>
      <c r="K53" s="81">
        <v>106.48999999999978</v>
      </c>
      <c r="L53" s="68">
        <f t="shared" si="3"/>
        <v>-106.48999999999978</v>
      </c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'19'!F54</f>
        <v>14967</v>
      </c>
      <c r="F54" s="161">
        <v>14967</v>
      </c>
      <c r="G54" s="943">
        <f t="shared" si="4"/>
        <v>0</v>
      </c>
      <c r="H54" s="111">
        <f>G54+'19'!H54</f>
        <v>12502</v>
      </c>
      <c r="I54" s="106"/>
      <c r="J54" s="203">
        <f>H54/DAY(B2)</f>
        <v>625.1</v>
      </c>
      <c r="K54" s="81">
        <v>0</v>
      </c>
      <c r="L54" s="68">
        <f t="shared" si="3"/>
        <v>0</v>
      </c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'19'!F55</f>
        <v>268104</v>
      </c>
      <c r="F55" s="161">
        <v>270369</v>
      </c>
      <c r="G55" s="943">
        <f t="shared" si="4"/>
        <v>2265</v>
      </c>
      <c r="H55" s="111">
        <f>G55+'19'!H55</f>
        <v>-36929.989999999991</v>
      </c>
      <c r="I55" s="106"/>
      <c r="J55" s="203">
        <f>H55/DAY(B2)</f>
        <v>-1846.4994999999994</v>
      </c>
      <c r="K55" s="81">
        <v>0</v>
      </c>
      <c r="L55" s="68">
        <f t="shared" si="3"/>
        <v>2265</v>
      </c>
      <c r="N55" s="73"/>
      <c r="O55" s="73"/>
    </row>
    <row r="56" spans="1:15">
      <c r="A56" s="229" t="s">
        <v>181</v>
      </c>
      <c r="B56" s="252"/>
      <c r="C56" s="252"/>
      <c r="D56" s="174" t="s">
        <v>182</v>
      </c>
      <c r="E56" s="161">
        <f>'19'!F56</f>
        <v>649583</v>
      </c>
      <c r="F56" s="161">
        <v>649595</v>
      </c>
      <c r="G56" s="943">
        <f t="shared" si="4"/>
        <v>12</v>
      </c>
      <c r="H56" s="111">
        <f>G56+'19'!H56</f>
        <v>-11436</v>
      </c>
      <c r="I56" s="106"/>
      <c r="J56" s="203">
        <f>H56/DAY(B2)</f>
        <v>-571.79999999999995</v>
      </c>
      <c r="K56" s="80">
        <v>0</v>
      </c>
      <c r="L56" s="68">
        <f t="shared" si="3"/>
        <v>12</v>
      </c>
      <c r="N56" s="73"/>
      <c r="O56" s="73"/>
    </row>
    <row r="57" spans="1:15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43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'19'!F58</f>
        <v>63553.2</v>
      </c>
      <c r="F58" s="161">
        <v>63768.9</v>
      </c>
      <c r="G58" s="943">
        <f t="shared" si="4"/>
        <v>215.70000000000437</v>
      </c>
      <c r="H58" s="111">
        <f>G58+'19'!H58</f>
        <v>-2414.0999999999985</v>
      </c>
      <c r="I58" s="106"/>
      <c r="J58" s="203">
        <f>H58/DAY(B2)</f>
        <v>-120.70499999999993</v>
      </c>
      <c r="K58" s="81">
        <v>0</v>
      </c>
      <c r="L58" s="68">
        <f t="shared" si="3"/>
        <v>215.70000000000437</v>
      </c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45">
        <f>G49+G50+G51+G52+G53+G54+G55+G56+G57+G58</f>
        <v>6571.7000000000044</v>
      </c>
      <c r="H59" s="111">
        <f>G59+'19'!H59</f>
        <v>1434896.4999999998</v>
      </c>
      <c r="I59" s="106">
        <f>G7-G60</f>
        <v>698.65999999998166</v>
      </c>
      <c r="J59" s="203">
        <f>H59/DAY(B2)</f>
        <v>71744.824999999983</v>
      </c>
      <c r="K59" s="81">
        <v>1795.6800000000312</v>
      </c>
      <c r="L59" s="68">
        <f t="shared" si="3"/>
        <v>4776.0199999999732</v>
      </c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45">
        <f>G47+G59</f>
        <v>20484.540000000019</v>
      </c>
      <c r="H60" s="111">
        <f>G60+'19'!H60</f>
        <v>2597347.2500000005</v>
      </c>
      <c r="I60" s="106">
        <f>G13-G60</f>
        <v>-854.54000000001906</v>
      </c>
      <c r="J60" s="203">
        <f>H60/DAY(B2)</f>
        <v>129867.36250000002</v>
      </c>
      <c r="K60" s="81">
        <v>11703.500000000056</v>
      </c>
      <c r="L60" s="68">
        <f t="shared" si="3"/>
        <v>8781.0399999999627</v>
      </c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5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'19'!F62</f>
        <v>20419.2</v>
      </c>
      <c r="F62" s="165">
        <v>20419.2</v>
      </c>
      <c r="G62" s="943">
        <f t="shared" ref="G62:G69" si="5">F62-E62</f>
        <v>0</v>
      </c>
      <c r="H62" s="111">
        <f>G62+'19'!H62</f>
        <v>0.20199999999749707</v>
      </c>
      <c r="I62" s="166"/>
      <c r="J62" s="203">
        <f>H62/DAY(B2)</f>
        <v>1.0099999999874853E-2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'19'!F63</f>
        <v>0</v>
      </c>
      <c r="F63" s="165">
        <v>0</v>
      </c>
      <c r="G63" s="943">
        <f t="shared" si="5"/>
        <v>0</v>
      </c>
      <c r="H63" s="111">
        <f>G63+'19'!H63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226" t="s">
        <v>98</v>
      </c>
      <c r="B64" s="1227"/>
      <c r="C64" s="1228"/>
      <c r="D64" s="174" t="s">
        <v>186</v>
      </c>
      <c r="E64" s="135">
        <f>'19'!F64</f>
        <v>189278</v>
      </c>
      <c r="F64" s="135">
        <v>189658</v>
      </c>
      <c r="G64" s="943">
        <f t="shared" si="5"/>
        <v>380</v>
      </c>
      <c r="H64" s="111">
        <f>G64+'19'!H64</f>
        <v>-4559</v>
      </c>
      <c r="I64" s="131"/>
      <c r="J64" s="203">
        <f>H64/DAY(B2)</f>
        <v>-227.95</v>
      </c>
      <c r="K64" s="81"/>
      <c r="L64" s="68"/>
      <c r="N64" s="73"/>
      <c r="O64" s="73"/>
    </row>
    <row r="65" spans="1:15" ht="27.75">
      <c r="A65" s="1226" t="s">
        <v>99</v>
      </c>
      <c r="B65" s="1227"/>
      <c r="C65" s="1228"/>
      <c r="D65" s="174" t="s">
        <v>186</v>
      </c>
      <c r="E65" s="135">
        <f>'19'!F65</f>
        <v>189895</v>
      </c>
      <c r="F65" s="135">
        <v>190255</v>
      </c>
      <c r="G65" s="943">
        <f t="shared" si="5"/>
        <v>360</v>
      </c>
      <c r="H65" s="111">
        <f>G65+'19'!H65</f>
        <v>-4374</v>
      </c>
      <c r="I65" s="140"/>
      <c r="J65" s="203">
        <f>H65/DAY(B2)</f>
        <v>-218.7</v>
      </c>
      <c r="K65" s="81"/>
      <c r="L65" s="68"/>
      <c r="N65" s="73"/>
      <c r="O65" s="73"/>
    </row>
    <row r="66" spans="1:15" ht="27.75">
      <c r="A66" s="1226" t="s">
        <v>100</v>
      </c>
      <c r="B66" s="1227"/>
      <c r="C66" s="1228"/>
      <c r="D66" s="174" t="s">
        <v>186</v>
      </c>
      <c r="E66" s="135">
        <f>'19'!F66</f>
        <v>88426.5</v>
      </c>
      <c r="F66" s="135">
        <v>88796.6</v>
      </c>
      <c r="G66" s="943">
        <f t="shared" si="5"/>
        <v>370.10000000000582</v>
      </c>
      <c r="H66" s="111">
        <f>G66+'19'!H66</f>
        <v>-4520.3999999999942</v>
      </c>
      <c r="I66" s="131"/>
      <c r="J66" s="203">
        <f>H66/DAY(B2)</f>
        <v>-226.0199999999997</v>
      </c>
      <c r="K66" s="81"/>
      <c r="L66" s="68"/>
      <c r="N66" s="73"/>
      <c r="O66" s="73"/>
    </row>
    <row r="67" spans="1:15" ht="27.75">
      <c r="A67" s="1226" t="s">
        <v>101</v>
      </c>
      <c r="B67" s="1227"/>
      <c r="C67" s="1228"/>
      <c r="D67" s="174" t="s">
        <v>186</v>
      </c>
      <c r="E67" s="135">
        <f>'19'!F67</f>
        <v>289039</v>
      </c>
      <c r="F67" s="135">
        <v>289456</v>
      </c>
      <c r="G67" s="943">
        <f t="shared" si="5"/>
        <v>417</v>
      </c>
      <c r="H67" s="111">
        <f>G67+'19'!H67</f>
        <v>-5435</v>
      </c>
      <c r="I67" s="140"/>
      <c r="J67" s="203">
        <f>H67/DAY(B2)</f>
        <v>-271.75</v>
      </c>
      <c r="K67" s="82"/>
      <c r="L67" s="68"/>
      <c r="N67" s="73"/>
      <c r="O67" s="73"/>
    </row>
    <row r="68" spans="1:15" ht="27.75">
      <c r="A68" s="1226" t="s">
        <v>102</v>
      </c>
      <c r="B68" s="1227"/>
      <c r="C68" s="1228"/>
      <c r="D68" s="174" t="s">
        <v>186</v>
      </c>
      <c r="E68" s="135">
        <f>'19'!F68</f>
        <v>85321</v>
      </c>
      <c r="F68" s="135">
        <v>85321</v>
      </c>
      <c r="G68" s="943">
        <f t="shared" si="5"/>
        <v>0</v>
      </c>
      <c r="H68" s="111">
        <f>G68+'19'!H68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226" t="s">
        <v>103</v>
      </c>
      <c r="B69" s="1227"/>
      <c r="C69" s="1228"/>
      <c r="D69" s="174" t="s">
        <v>186</v>
      </c>
      <c r="E69" s="135">
        <f>'19'!F69</f>
        <v>102534</v>
      </c>
      <c r="F69" s="135">
        <v>102806</v>
      </c>
      <c r="G69" s="943">
        <f t="shared" si="5"/>
        <v>272</v>
      </c>
      <c r="H69" s="111">
        <f>G69+'19'!H69</f>
        <v>-3600</v>
      </c>
      <c r="I69" s="167"/>
      <c r="J69" s="203">
        <f>H69/DAY(B2)</f>
        <v>-180</v>
      </c>
      <c r="K69" s="84"/>
      <c r="L69" s="68"/>
      <c r="N69" s="73"/>
      <c r="O69" s="73"/>
    </row>
    <row r="70" spans="1:15" ht="27.75">
      <c r="A70" s="1267" t="s">
        <v>188</v>
      </c>
      <c r="B70" s="1268"/>
      <c r="C70" s="1269"/>
      <c r="D70" s="174" t="s">
        <v>186</v>
      </c>
      <c r="E70" s="169"/>
      <c r="F70" s="169"/>
      <c r="G70" s="955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  <c r="O71" s="73"/>
    </row>
    <row r="72" spans="1:15" ht="27.75">
      <c r="A72" s="1226" t="s">
        <v>190</v>
      </c>
      <c r="B72" s="1227"/>
      <c r="C72" s="1228"/>
      <c r="D72" s="174" t="s">
        <v>186</v>
      </c>
      <c r="E72" s="170">
        <f>'19'!F72</f>
        <v>856862</v>
      </c>
      <c r="F72" s="170">
        <v>856873</v>
      </c>
      <c r="G72" s="943">
        <f t="shared" ref="G72:G84" si="6">F72-E72</f>
        <v>11</v>
      </c>
      <c r="H72" s="111">
        <f>G72+'19'!H72</f>
        <v>166</v>
      </c>
      <c r="I72" s="131"/>
      <c r="J72" s="203">
        <f>H72/DAY(B2)</f>
        <v>8.3000000000000007</v>
      </c>
      <c r="K72" s="84"/>
      <c r="L72" s="68"/>
      <c r="N72" s="73"/>
      <c r="O72" s="73"/>
    </row>
    <row r="73" spans="1:15" ht="27.75">
      <c r="A73" s="1226" t="s">
        <v>191</v>
      </c>
      <c r="B73" s="1227"/>
      <c r="C73" s="1228"/>
      <c r="D73" s="174" t="s">
        <v>186</v>
      </c>
      <c r="E73" s="170">
        <f>'19'!F73</f>
        <v>886037</v>
      </c>
      <c r="F73" s="171">
        <v>886038</v>
      </c>
      <c r="G73" s="943">
        <f t="shared" si="6"/>
        <v>1</v>
      </c>
      <c r="H73" s="111">
        <f>G73+'19'!H73</f>
        <v>-13</v>
      </c>
      <c r="I73" s="131"/>
      <c r="J73" s="203">
        <f>H73/DAY(B2)</f>
        <v>-0.65</v>
      </c>
      <c r="K73" s="83"/>
      <c r="L73" s="68"/>
      <c r="N73" s="73"/>
      <c r="O73" s="73"/>
    </row>
    <row r="74" spans="1:15" ht="27.75">
      <c r="A74" s="1309" t="s">
        <v>192</v>
      </c>
      <c r="B74" s="1310"/>
      <c r="C74" s="1311"/>
      <c r="D74" s="174" t="s">
        <v>186</v>
      </c>
      <c r="E74" s="170">
        <f>'19'!F74</f>
        <v>88757.2</v>
      </c>
      <c r="F74" s="172">
        <v>88758.5</v>
      </c>
      <c r="G74" s="943">
        <f t="shared" si="6"/>
        <v>1.3000000000029104</v>
      </c>
      <c r="H74" s="111">
        <f>G74+'19'!H74</f>
        <v>68.5</v>
      </c>
      <c r="I74" s="131"/>
      <c r="J74" s="203">
        <f>H74/DAY(B2)</f>
        <v>3.4249999999999998</v>
      </c>
      <c r="K74" s="84"/>
      <c r="L74" s="68"/>
      <c r="N74" s="73"/>
      <c r="O74" s="73"/>
    </row>
    <row r="75" spans="1:15" ht="27.75">
      <c r="A75" s="1229" t="s">
        <v>193</v>
      </c>
      <c r="B75" s="1230"/>
      <c r="C75" s="1231"/>
      <c r="D75" s="174" t="s">
        <v>186</v>
      </c>
      <c r="E75" s="170">
        <f>'19'!F75</f>
        <v>24157</v>
      </c>
      <c r="F75" s="172">
        <v>24332.3</v>
      </c>
      <c r="G75" s="943">
        <f t="shared" si="6"/>
        <v>175.29999999999927</v>
      </c>
      <c r="H75" s="111">
        <f>G75+'19'!H75</f>
        <v>-1975.7000000000007</v>
      </c>
      <c r="I75" s="131"/>
      <c r="J75" s="203">
        <f>H75/DAY(B2)</f>
        <v>-98.785000000000039</v>
      </c>
      <c r="K75" s="83"/>
      <c r="L75" s="68"/>
      <c r="N75" s="73"/>
      <c r="O75" s="73"/>
    </row>
    <row r="76" spans="1:15" ht="27.75">
      <c r="A76" s="1229" t="s">
        <v>194</v>
      </c>
      <c r="B76" s="1230"/>
      <c r="C76" s="1231"/>
      <c r="D76" s="174" t="s">
        <v>186</v>
      </c>
      <c r="E76" s="170">
        <f>'19'!F76</f>
        <v>12452.8</v>
      </c>
      <c r="F76" s="305">
        <v>12514.6</v>
      </c>
      <c r="G76" s="943">
        <f>F76-E76</f>
        <v>61.800000000001091</v>
      </c>
      <c r="H76" s="111">
        <f>G76+'19'!H76</f>
        <v>-762.39999999999964</v>
      </c>
      <c r="I76" s="156"/>
      <c r="J76" s="203">
        <f>H76/DAY(B2)</f>
        <v>-38.119999999999983</v>
      </c>
      <c r="K76" s="83"/>
      <c r="L76" s="68"/>
      <c r="N76" s="73"/>
      <c r="O76" s="73"/>
    </row>
    <row r="77" spans="1:15" ht="27.75">
      <c r="A77" s="1226" t="s">
        <v>195</v>
      </c>
      <c r="B77" s="1227"/>
      <c r="C77" s="1228"/>
      <c r="D77" s="174" t="s">
        <v>186</v>
      </c>
      <c r="E77" s="170">
        <f>'19'!F77</f>
        <v>707607</v>
      </c>
      <c r="F77" s="172">
        <v>707668</v>
      </c>
      <c r="G77" s="943">
        <f t="shared" si="6"/>
        <v>61</v>
      </c>
      <c r="H77" s="111">
        <f>G77+'19'!H77</f>
        <v>-621</v>
      </c>
      <c r="I77" s="156"/>
      <c r="J77" s="203">
        <f>H77/DAY(B2)</f>
        <v>-31.05</v>
      </c>
      <c r="K77" s="83"/>
      <c r="L77" s="68"/>
      <c r="N77" s="73"/>
      <c r="O77" s="73"/>
    </row>
    <row r="78" spans="1:15" ht="27.75">
      <c r="A78" s="762" t="s">
        <v>196</v>
      </c>
      <c r="B78" s="754"/>
      <c r="C78" s="754"/>
      <c r="D78" s="174" t="s">
        <v>186</v>
      </c>
      <c r="E78" s="172">
        <f>'19'!F78</f>
        <v>680818</v>
      </c>
      <c r="F78" s="172">
        <v>680909</v>
      </c>
      <c r="G78" s="943">
        <f t="shared" si="6"/>
        <v>91</v>
      </c>
      <c r="H78" s="111">
        <f>G78+'19'!H78</f>
        <v>-1504</v>
      </c>
      <c r="I78" s="156"/>
      <c r="J78" s="203">
        <f>H78/DAY(B2)</f>
        <v>-75.2</v>
      </c>
      <c r="K78" s="83"/>
      <c r="L78" s="68"/>
      <c r="N78" s="73"/>
      <c r="O78" s="73"/>
    </row>
    <row r="79" spans="1:15" ht="27.75">
      <c r="A79" s="1229" t="s">
        <v>91</v>
      </c>
      <c r="B79" s="1230"/>
      <c r="C79" s="1231"/>
      <c r="D79" s="175" t="s">
        <v>186</v>
      </c>
      <c r="E79" s="172">
        <f>'19'!F79</f>
        <v>843192</v>
      </c>
      <c r="F79" s="172">
        <v>843347</v>
      </c>
      <c r="G79" s="943">
        <f t="shared" si="6"/>
        <v>155</v>
      </c>
      <c r="H79" s="111">
        <f>G79+'19'!H79</f>
        <v>-1702</v>
      </c>
      <c r="I79" s="156"/>
      <c r="J79" s="203">
        <f>H79/DAY(B2)</f>
        <v>-85.1</v>
      </c>
      <c r="K79" s="83"/>
      <c r="L79" s="68"/>
      <c r="N79" s="73"/>
      <c r="O79" s="73"/>
    </row>
    <row r="80" spans="1:15" ht="27.75">
      <c r="A80" s="1229" t="s">
        <v>197</v>
      </c>
      <c r="B80" s="1230"/>
      <c r="C80" s="1231"/>
      <c r="D80" s="175" t="s">
        <v>186</v>
      </c>
      <c r="E80" s="171">
        <f>'19'!F80</f>
        <v>559614.64</v>
      </c>
      <c r="F80" s="171">
        <v>560026.64</v>
      </c>
      <c r="G80" s="943">
        <f t="shared" si="6"/>
        <v>412</v>
      </c>
      <c r="H80" s="111">
        <f>G80+'19'!H80</f>
        <v>-4271.359999999986</v>
      </c>
      <c r="I80" s="156"/>
      <c r="J80" s="203">
        <f>H80/DAY(B2)</f>
        <v>-213.5679999999993</v>
      </c>
      <c r="K80" s="83"/>
      <c r="L80" s="68"/>
      <c r="N80" s="73"/>
      <c r="O80" s="73"/>
    </row>
    <row r="81" spans="1:15" ht="27.75">
      <c r="A81" s="1229" t="s">
        <v>198</v>
      </c>
      <c r="B81" s="1230"/>
      <c r="C81" s="1231"/>
      <c r="D81" s="175" t="s">
        <v>186</v>
      </c>
      <c r="E81" s="171">
        <f>'19'!F81</f>
        <v>652299.64</v>
      </c>
      <c r="F81" s="171">
        <v>652487.16</v>
      </c>
      <c r="G81" s="943">
        <f t="shared" si="6"/>
        <v>187.52000000001863</v>
      </c>
      <c r="H81" s="111">
        <f>G81+'19'!H81</f>
        <v>-1690.8399999999674</v>
      </c>
      <c r="I81" s="156"/>
      <c r="J81" s="203">
        <f>H81/DAY(B2)</f>
        <v>-84.541999999998367</v>
      </c>
      <c r="K81" s="83"/>
      <c r="L81" s="68"/>
      <c r="N81" s="73"/>
      <c r="O81" s="73"/>
    </row>
    <row r="82" spans="1:15" ht="27.75">
      <c r="A82" s="1229" t="s">
        <v>92</v>
      </c>
      <c r="B82" s="1230"/>
      <c r="C82" s="1231"/>
      <c r="D82" s="136" t="s">
        <v>131</v>
      </c>
      <c r="E82" s="173">
        <f>'19'!F82</f>
        <v>109691</v>
      </c>
      <c r="F82" s="173">
        <v>109717</v>
      </c>
      <c r="G82" s="943">
        <f t="shared" si="6"/>
        <v>26</v>
      </c>
      <c r="H82" s="111">
        <f>G82+'19'!H82</f>
        <v>109940</v>
      </c>
      <c r="I82" s="137"/>
      <c r="J82" s="203">
        <f>H82/DAY(B2)</f>
        <v>5497</v>
      </c>
      <c r="K82" s="83"/>
      <c r="L82" s="68"/>
      <c r="N82" s="73"/>
      <c r="O82" s="73"/>
    </row>
    <row r="83" spans="1:15" ht="27.75">
      <c r="A83" s="1229" t="s">
        <v>199</v>
      </c>
      <c r="B83" s="1230"/>
      <c r="C83" s="1231"/>
      <c r="D83" s="271" t="s">
        <v>131</v>
      </c>
      <c r="E83" s="173">
        <f>'19'!F83</f>
        <v>40948</v>
      </c>
      <c r="F83" s="162">
        <v>41195</v>
      </c>
      <c r="G83" s="943">
        <f t="shared" si="6"/>
        <v>247</v>
      </c>
      <c r="H83" s="111">
        <f>G83+'19'!H83</f>
        <v>-3128</v>
      </c>
      <c r="I83" s="132"/>
      <c r="J83" s="203">
        <f>H83/DAY(B2)</f>
        <v>-156.4</v>
      </c>
      <c r="K83" s="82"/>
      <c r="L83" s="68"/>
      <c r="N83" s="73"/>
      <c r="O83" s="372"/>
    </row>
    <row r="84" spans="1:15">
      <c r="A84" s="763" t="s">
        <v>200</v>
      </c>
      <c r="B84" s="222"/>
      <c r="C84" s="222"/>
      <c r="D84" s="129" t="s">
        <v>131</v>
      </c>
      <c r="E84" s="173">
        <f>'19'!F84</f>
        <v>561996</v>
      </c>
      <c r="F84" s="278">
        <v>562669</v>
      </c>
      <c r="G84" s="943">
        <f t="shared" si="6"/>
        <v>673</v>
      </c>
      <c r="H84" s="111">
        <f>G84+'19'!H84</f>
        <v>-7710</v>
      </c>
      <c r="I84" s="132"/>
      <c r="J84" s="203">
        <f>H84/DAY(B2)</f>
        <v>-385.5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56">
        <f xml:space="preserve"> SUM(G72:G84)</f>
        <v>2102.9200000000219</v>
      </c>
      <c r="H85" s="111">
        <f>G85+'19'!H85</f>
        <v>86481.200000000055</v>
      </c>
      <c r="I85" s="132"/>
      <c r="J85" s="203">
        <f>H85/DAY(B2)</f>
        <v>4324.0600000000031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'19'!F86</f>
        <v>463163.32</v>
      </c>
      <c r="F86" s="298">
        <v>463171.84000000003</v>
      </c>
      <c r="G86" s="957">
        <f>F86-E86</f>
        <v>8.5200000000186265</v>
      </c>
      <c r="H86" s="111">
        <f>G86+'19'!H86</f>
        <v>27.600000000034925</v>
      </c>
      <c r="I86" s="303"/>
      <c r="J86" s="358">
        <f>H86/DAY(B2)</f>
        <v>1.3800000000017463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'19'!F87</f>
        <v>83536.600000000006</v>
      </c>
      <c r="F87" s="298">
        <v>83572.3</v>
      </c>
      <c r="G87" s="957">
        <f t="shared" ref="G87:G91" si="7">F87-E87</f>
        <v>35.69999999999709</v>
      </c>
      <c r="H87" s="111">
        <f>G87+'19'!H87</f>
        <v>103.80000000000291</v>
      </c>
      <c r="I87" s="303"/>
      <c r="J87" s="358">
        <f>H87/DAY(B2)</f>
        <v>5.1900000000001452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'19'!F88</f>
        <v>158212</v>
      </c>
      <c r="F88" s="298">
        <v>158212</v>
      </c>
      <c r="G88" s="957">
        <f t="shared" si="7"/>
        <v>0</v>
      </c>
      <c r="H88" s="111">
        <f>G88+'19'!H88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'19'!F89</f>
        <v>68252.800000000003</v>
      </c>
      <c r="F89" s="298">
        <v>68326.899999999994</v>
      </c>
      <c r="G89" s="957">
        <f t="shared" si="7"/>
        <v>74.099999999991269</v>
      </c>
      <c r="H89" s="111">
        <f>G89+'19'!H89</f>
        <v>261.29999999998836</v>
      </c>
      <c r="I89" s="303"/>
      <c r="J89" s="358">
        <f>H89/DAY(B2)</f>
        <v>13.064999999999419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'19'!F90</f>
        <v>3550</v>
      </c>
      <c r="F90" s="298">
        <v>3557.4</v>
      </c>
      <c r="G90" s="957">
        <f t="shared" si="7"/>
        <v>7.4000000000000909</v>
      </c>
      <c r="H90" s="111">
        <f>G90+'19'!H90</f>
        <v>14.200000000000273</v>
      </c>
      <c r="I90" s="303"/>
      <c r="J90" s="358">
        <f>H90/DAY(B2)</f>
        <v>0.71000000000001362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/>
      <c r="E91" s="298">
        <f>'19'!F91</f>
        <v>28662</v>
      </c>
      <c r="F91" s="298">
        <v>28670.65</v>
      </c>
      <c r="G91" s="356">
        <f t="shared" si="7"/>
        <v>8.6500000000014552</v>
      </c>
      <c r="H91" s="111">
        <f>G91+'19'!H91</f>
        <v>8.6500000000014552</v>
      </c>
      <c r="I91" s="303"/>
      <c r="J91" s="358">
        <f>H91/DAY(B2)</f>
        <v>0.43250000000007277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946"/>
      <c r="H92" s="123"/>
      <c r="I92" s="123"/>
      <c r="J92" s="202"/>
      <c r="K92" s="71"/>
      <c r="L92" s="69"/>
      <c r="N92" s="427"/>
      <c r="O92" s="73"/>
    </row>
    <row r="93" spans="1:15" ht="27.75">
      <c r="A93" s="1245" t="s">
        <v>205</v>
      </c>
      <c r="B93" s="1246"/>
      <c r="C93" s="1247"/>
      <c r="D93" s="174" t="s">
        <v>143</v>
      </c>
      <c r="E93" s="135">
        <f>'19'!F93</f>
        <v>252232</v>
      </c>
      <c r="F93" s="135">
        <v>252355</v>
      </c>
      <c r="G93" s="943">
        <f t="shared" ref="G93:G94" si="8">F93-E93</f>
        <v>123</v>
      </c>
      <c r="H93" s="111">
        <f>G93+'19'!H93</f>
        <v>-1097</v>
      </c>
      <c r="I93" s="131"/>
      <c r="J93" s="203">
        <f>H93/DAY(B2)</f>
        <v>-54.85</v>
      </c>
      <c r="K93" s="82"/>
      <c r="L93" s="68"/>
      <c r="N93" s="73"/>
      <c r="O93" s="73"/>
    </row>
    <row r="94" spans="1:15" ht="27.75">
      <c r="A94" s="1245" t="s">
        <v>206</v>
      </c>
      <c r="B94" s="1246"/>
      <c r="C94" s="1247"/>
      <c r="D94" s="174" t="s">
        <v>143</v>
      </c>
      <c r="E94" s="135">
        <f>'19'!F94</f>
        <v>195743</v>
      </c>
      <c r="F94" s="135">
        <v>195877</v>
      </c>
      <c r="G94" s="943">
        <f t="shared" si="8"/>
        <v>134</v>
      </c>
      <c r="H94" s="111">
        <f>G94+'19'!H94</f>
        <v>-1782</v>
      </c>
      <c r="I94" s="131"/>
      <c r="J94" s="203">
        <f>H94/DAY(B2)</f>
        <v>-89.1</v>
      </c>
      <c r="K94" s="71"/>
      <c r="L94" s="68"/>
      <c r="N94" s="73"/>
      <c r="O94" s="73"/>
    </row>
    <row r="95" spans="1:15">
      <c r="A95" s="1277" t="s">
        <v>207</v>
      </c>
      <c r="B95" s="1278"/>
      <c r="C95" s="1279"/>
      <c r="D95" s="174"/>
      <c r="E95" s="135">
        <f>'19'!F95</f>
        <v>0</v>
      </c>
      <c r="F95" s="135"/>
      <c r="G95" s="943">
        <f>G93+G94</f>
        <v>257</v>
      </c>
      <c r="H95" s="111">
        <f>G95+'19'!H95</f>
        <v>-3104</v>
      </c>
      <c r="I95" s="131"/>
      <c r="J95" s="203">
        <f>H95/DAY(B2)</f>
        <v>-155.19999999999999</v>
      </c>
      <c r="K95" s="71"/>
      <c r="L95" s="68"/>
      <c r="N95" s="73"/>
      <c r="O95" s="73"/>
    </row>
    <row r="96" spans="1:15" ht="27.75">
      <c r="A96" s="1245" t="s">
        <v>208</v>
      </c>
      <c r="B96" s="1246"/>
      <c r="C96" s="1247"/>
      <c r="D96" s="174" t="s">
        <v>143</v>
      </c>
      <c r="E96" s="135">
        <f>'19'!F96</f>
        <v>420054</v>
      </c>
      <c r="F96" s="135">
        <v>420165</v>
      </c>
      <c r="G96" s="943">
        <f t="shared" ref="G96:G101" si="9">F96-E96</f>
        <v>111</v>
      </c>
      <c r="H96" s="111">
        <f>G96+'19'!H96</f>
        <v>-854</v>
      </c>
      <c r="I96" s="131"/>
      <c r="J96" s="203">
        <f>H96/DAY(B2)</f>
        <v>-42.7</v>
      </c>
      <c r="K96" s="71"/>
      <c r="L96" s="68"/>
      <c r="N96" s="73"/>
      <c r="O96" s="73"/>
    </row>
    <row r="97" spans="1:15" ht="27.75">
      <c r="A97" s="759" t="s">
        <v>209</v>
      </c>
      <c r="B97" s="760"/>
      <c r="C97" s="760"/>
      <c r="D97" s="174" t="s">
        <v>143</v>
      </c>
      <c r="E97" s="135">
        <f>'19'!F97</f>
        <v>104337</v>
      </c>
      <c r="F97" s="135">
        <v>104363</v>
      </c>
      <c r="G97" s="943">
        <f t="shared" si="9"/>
        <v>26</v>
      </c>
      <c r="H97" s="111">
        <f>G97+'19'!H97</f>
        <v>-273</v>
      </c>
      <c r="I97" s="131"/>
      <c r="J97" s="203">
        <f>H97/DAY(B2)</f>
        <v>-13.65</v>
      </c>
      <c r="K97" s="80"/>
      <c r="L97" s="68"/>
      <c r="N97" s="73"/>
      <c r="O97" s="73"/>
    </row>
    <row r="98" spans="1:15" ht="27.75">
      <c r="A98" s="759" t="s">
        <v>210</v>
      </c>
      <c r="B98" s="760"/>
      <c r="C98" s="760"/>
      <c r="D98" s="174" t="s">
        <v>143</v>
      </c>
      <c r="E98" s="135">
        <f>'19'!F98</f>
        <v>100007</v>
      </c>
      <c r="F98" s="135">
        <v>100039</v>
      </c>
      <c r="G98" s="943">
        <f t="shared" si="9"/>
        <v>32</v>
      </c>
      <c r="H98" s="111">
        <f>G98+'19'!H98</f>
        <v>-331</v>
      </c>
      <c r="I98" s="131"/>
      <c r="J98" s="203">
        <f>H98/DAY(B2)</f>
        <v>-16.55</v>
      </c>
      <c r="K98" s="85"/>
      <c r="L98" s="68"/>
      <c r="N98" s="73"/>
      <c r="O98" s="73"/>
    </row>
    <row r="99" spans="1:15" ht="27.75">
      <c r="A99" s="759" t="s">
        <v>211</v>
      </c>
      <c r="B99" s="760"/>
      <c r="C99" s="760"/>
      <c r="D99" s="174" t="s">
        <v>143</v>
      </c>
      <c r="E99" s="135">
        <f>'19'!F99</f>
        <v>151771</v>
      </c>
      <c r="F99" s="135">
        <v>151800</v>
      </c>
      <c r="G99" s="943">
        <f t="shared" si="9"/>
        <v>29</v>
      </c>
      <c r="H99" s="111">
        <f>G99+'19'!H99</f>
        <v>-335</v>
      </c>
      <c r="I99" s="131"/>
      <c r="J99" s="203">
        <f>H99/DAY(B2)</f>
        <v>-16.75</v>
      </c>
      <c r="K99" s="71"/>
      <c r="L99" s="68"/>
      <c r="N99" s="73"/>
      <c r="O99" s="73"/>
    </row>
    <row r="100" spans="1:15" ht="27.75">
      <c r="A100" s="759" t="s">
        <v>212</v>
      </c>
      <c r="B100" s="760"/>
      <c r="C100" s="760"/>
      <c r="D100" s="174" t="s">
        <v>143</v>
      </c>
      <c r="E100" s="135">
        <f>'19'!F100</f>
        <v>8470</v>
      </c>
      <c r="F100" s="135">
        <v>8487</v>
      </c>
      <c r="G100" s="943">
        <f t="shared" si="9"/>
        <v>17</v>
      </c>
      <c r="H100" s="111">
        <f>G100+'19'!H100</f>
        <v>-158</v>
      </c>
      <c r="I100" s="131"/>
      <c r="J100" s="203">
        <f>H100/DAY(B2)</f>
        <v>-7.9</v>
      </c>
      <c r="K100" s="71"/>
      <c r="L100" s="68"/>
      <c r="N100" s="73"/>
      <c r="O100" s="73"/>
    </row>
    <row r="101" spans="1:15" ht="27.75">
      <c r="A101" s="759" t="s">
        <v>213</v>
      </c>
      <c r="B101" s="760"/>
      <c r="C101" s="760"/>
      <c r="D101" s="174" t="s">
        <v>143</v>
      </c>
      <c r="E101" s="135">
        <f>'19'!F101</f>
        <v>6220</v>
      </c>
      <c r="F101" s="135">
        <v>6233</v>
      </c>
      <c r="G101" s="943">
        <f t="shared" si="9"/>
        <v>13</v>
      </c>
      <c r="H101" s="111">
        <f>G101+'19'!H101</f>
        <v>-140</v>
      </c>
      <c r="I101" s="131"/>
      <c r="J101" s="203">
        <f>H101/DAY(B2)</f>
        <v>-7</v>
      </c>
      <c r="K101" s="71"/>
      <c r="L101" s="68"/>
      <c r="N101" s="73"/>
      <c r="O101" s="73"/>
    </row>
    <row r="102" spans="1:15">
      <c r="A102" s="1277" t="s">
        <v>215</v>
      </c>
      <c r="B102" s="1278"/>
      <c r="C102" s="1279"/>
      <c r="D102" s="175"/>
      <c r="E102" s="175"/>
      <c r="F102" s="175"/>
      <c r="G102" s="958">
        <f>SUM(G96:G101)</f>
        <v>228</v>
      </c>
      <c r="H102" s="111">
        <f>G102+'19'!H102</f>
        <v>-2091</v>
      </c>
      <c r="I102" s="177"/>
      <c r="J102" s="203">
        <f>H102/DAY(B2)</f>
        <v>-104.55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59"/>
      <c r="H103" s="181"/>
      <c r="I103" s="182"/>
      <c r="J103" s="208"/>
      <c r="N103" s="95"/>
      <c r="O103" s="73"/>
    </row>
    <row r="104" spans="1:15" s="93" customFormat="1" ht="27.75">
      <c r="A104" s="1280" t="s">
        <v>217</v>
      </c>
      <c r="B104" s="1281"/>
      <c r="C104" s="224"/>
      <c r="D104" s="273"/>
      <c r="E104" s="183"/>
      <c r="F104" s="183"/>
      <c r="G104" s="960"/>
      <c r="H104" s="184"/>
      <c r="I104" s="183"/>
      <c r="J104" s="209"/>
      <c r="N104" s="95"/>
      <c r="O104" s="73"/>
    </row>
    <row r="105" spans="1:15" s="93" customFormat="1" ht="27.75">
      <c r="A105" s="1237" t="s">
        <v>218</v>
      </c>
      <c r="B105" s="1238"/>
      <c r="C105" s="757"/>
      <c r="D105" s="273" t="s">
        <v>143</v>
      </c>
      <c r="E105" s="135">
        <f>'19'!F105</f>
        <v>7911</v>
      </c>
      <c r="F105" s="183">
        <v>7911</v>
      </c>
      <c r="G105" s="960">
        <f>F105-E105</f>
        <v>0</v>
      </c>
      <c r="H105" s="111">
        <f>G105+'19'!H105</f>
        <v>91.700000000000728</v>
      </c>
      <c r="I105" s="183"/>
      <c r="J105" s="209">
        <f>H105/DAY(B2)</f>
        <v>4.5850000000000364</v>
      </c>
      <c r="N105" s="95"/>
      <c r="O105" s="73"/>
    </row>
    <row r="106" spans="1:15" s="93" customFormat="1" ht="27.75">
      <c r="A106" s="1237" t="s">
        <v>76</v>
      </c>
      <c r="B106" s="1238"/>
      <c r="C106" s="757"/>
      <c r="D106" s="273" t="s">
        <v>143</v>
      </c>
      <c r="E106" s="185">
        <f>'19'!F106</f>
        <v>36648</v>
      </c>
      <c r="F106" s="185">
        <v>36657</v>
      </c>
      <c r="G106" s="960">
        <f t="shared" ref="G106:G107" si="10">F106-E106</f>
        <v>9</v>
      </c>
      <c r="H106" s="111">
        <f>G106+'19'!H106</f>
        <v>84</v>
      </c>
      <c r="I106" s="183"/>
      <c r="J106" s="209">
        <f>H106/DAY(B2)</f>
        <v>4.2</v>
      </c>
      <c r="N106" s="95"/>
      <c r="O106" s="73"/>
    </row>
    <row r="107" spans="1:15" s="93" customFormat="1" ht="27.75">
      <c r="A107" s="1237" t="s">
        <v>77</v>
      </c>
      <c r="B107" s="1282"/>
      <c r="C107" s="1238"/>
      <c r="D107" s="273" t="s">
        <v>143</v>
      </c>
      <c r="E107" s="183">
        <f>'19'!F107</f>
        <v>20113</v>
      </c>
      <c r="F107" s="183">
        <v>20122</v>
      </c>
      <c r="G107" s="960">
        <f t="shared" si="10"/>
        <v>9</v>
      </c>
      <c r="H107" s="111">
        <f>G107+'19'!H107</f>
        <v>43</v>
      </c>
      <c r="I107" s="183"/>
      <c r="J107" s="209">
        <f>H107/DAY(B2)</f>
        <v>2.15</v>
      </c>
      <c r="N107" s="95"/>
      <c r="O107" s="73"/>
    </row>
    <row r="108" spans="1:15" s="93" customFormat="1" ht="27.75">
      <c r="A108" s="1239" t="s">
        <v>201</v>
      </c>
      <c r="B108" s="1240"/>
      <c r="C108" s="757"/>
      <c r="D108" s="273"/>
      <c r="E108" s="183">
        <f>'19'!F108</f>
        <v>0</v>
      </c>
      <c r="F108" s="183"/>
      <c r="G108" s="960">
        <f>SUM(G105:G107)</f>
        <v>18</v>
      </c>
      <c r="H108" s="111">
        <f>G108+'19'!H108</f>
        <v>244</v>
      </c>
      <c r="I108" s="183"/>
      <c r="J108" s="209">
        <f>H108/DAY(B2)</f>
        <v>12.2</v>
      </c>
      <c r="N108" s="95"/>
      <c r="O108" s="73"/>
    </row>
    <row r="109" spans="1:15" s="93" customFormat="1" ht="27.75">
      <c r="A109" s="1243" t="s">
        <v>78</v>
      </c>
      <c r="B109" s="1244"/>
      <c r="C109" s="757"/>
      <c r="D109" s="273" t="s">
        <v>143</v>
      </c>
      <c r="E109" s="183">
        <f>'19'!F109</f>
        <v>0</v>
      </c>
      <c r="F109" s="183"/>
      <c r="G109" s="960"/>
      <c r="H109" s="111"/>
      <c r="I109" s="183"/>
      <c r="J109" s="209"/>
      <c r="N109" s="95"/>
      <c r="O109" s="73"/>
    </row>
    <row r="110" spans="1:15" s="93" customFormat="1" ht="27.75">
      <c r="A110" s="1237" t="s">
        <v>219</v>
      </c>
      <c r="B110" s="1238"/>
      <c r="C110" s="757"/>
      <c r="D110" s="273" t="s">
        <v>143</v>
      </c>
      <c r="E110" s="183">
        <f>'19'!F110</f>
        <v>68556</v>
      </c>
      <c r="F110" s="183">
        <v>68617</v>
      </c>
      <c r="G110" s="960">
        <f>F110-E110</f>
        <v>61</v>
      </c>
      <c r="H110" s="111">
        <f>G110+'19'!H110</f>
        <v>354.80000000004657</v>
      </c>
      <c r="I110" s="183"/>
      <c r="J110" s="209">
        <f>H110/DAY(B2)</f>
        <v>17.740000000002329</v>
      </c>
      <c r="N110" s="95"/>
      <c r="O110" s="73"/>
    </row>
    <row r="111" spans="1:15" s="93" customFormat="1" ht="27.75">
      <c r="A111" s="1237" t="s">
        <v>220</v>
      </c>
      <c r="B111" s="1238"/>
      <c r="C111" s="757"/>
      <c r="D111" s="273" t="s">
        <v>143</v>
      </c>
      <c r="E111" s="183">
        <f>'19'!F111</f>
        <v>33886</v>
      </c>
      <c r="F111" s="183">
        <v>33886</v>
      </c>
      <c r="G111" s="960">
        <f t="shared" ref="G111:G112" si="11">F111-E111</f>
        <v>0</v>
      </c>
      <c r="H111" s="111">
        <f>G111+'19'!H111</f>
        <v>30</v>
      </c>
      <c r="I111" s="183"/>
      <c r="J111" s="209">
        <f>H111/DAY(B2)</f>
        <v>1.5</v>
      </c>
      <c r="N111" s="95"/>
      <c r="O111" s="73"/>
    </row>
    <row r="112" spans="1:15" s="93" customFormat="1" ht="27.75">
      <c r="A112" s="1237" t="s">
        <v>221</v>
      </c>
      <c r="B112" s="1238"/>
      <c r="C112" s="757"/>
      <c r="D112" s="273" t="s">
        <v>143</v>
      </c>
      <c r="E112" s="183">
        <f>'19'!F112</f>
        <v>4622</v>
      </c>
      <c r="F112" s="183">
        <v>4696</v>
      </c>
      <c r="G112" s="960">
        <f t="shared" si="11"/>
        <v>74</v>
      </c>
      <c r="H112" s="111">
        <f>G112+'19'!H112</f>
        <v>385</v>
      </c>
      <c r="I112" s="183"/>
      <c r="J112" s="209">
        <f>H112/DAY(B2)</f>
        <v>19.25</v>
      </c>
      <c r="N112" s="95"/>
      <c r="O112" s="73"/>
    </row>
    <row r="113" spans="1:15" s="93" customFormat="1" ht="27.75">
      <c r="A113" s="1241" t="s">
        <v>109</v>
      </c>
      <c r="B113" s="1242"/>
      <c r="C113" s="757"/>
      <c r="D113" s="273"/>
      <c r="E113" s="183">
        <f>'19'!F113</f>
        <v>0</v>
      </c>
      <c r="F113" s="183"/>
      <c r="G113" s="960">
        <f>SUM(G110:G112)</f>
        <v>135</v>
      </c>
      <c r="H113" s="111">
        <f>G113+'19'!H113</f>
        <v>994</v>
      </c>
      <c r="I113" s="183"/>
      <c r="J113" s="209">
        <f>H113/DAY(B2)</f>
        <v>49.7</v>
      </c>
      <c r="N113" s="95"/>
      <c r="O113" s="73"/>
    </row>
    <row r="114" spans="1:15" s="93" customFormat="1" ht="27.75">
      <c r="A114" s="1243" t="s">
        <v>222</v>
      </c>
      <c r="B114" s="1244"/>
      <c r="C114" s="757"/>
      <c r="D114" s="273"/>
      <c r="E114" s="183">
        <f>'19'!F114</f>
        <v>0</v>
      </c>
      <c r="F114" s="183"/>
      <c r="G114" s="960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37" t="s">
        <v>223</v>
      </c>
      <c r="B115" s="1238"/>
      <c r="C115" s="225"/>
      <c r="D115" s="273" t="s">
        <v>143</v>
      </c>
      <c r="E115" s="185">
        <f>'19'!F115</f>
        <v>12829</v>
      </c>
      <c r="F115" s="185">
        <v>12850</v>
      </c>
      <c r="G115" s="961">
        <f>F115-E115</f>
        <v>21</v>
      </c>
      <c r="H115" s="111">
        <f>G115+'19'!H115</f>
        <v>54</v>
      </c>
      <c r="I115" s="183"/>
      <c r="J115" s="209">
        <f>H115/DAY(B2)</f>
        <v>2.7</v>
      </c>
      <c r="N115" s="95"/>
      <c r="O115" s="73"/>
    </row>
    <row r="116" spans="1:15" s="93" customFormat="1" ht="27.75">
      <c r="A116" s="1237" t="s">
        <v>224</v>
      </c>
      <c r="B116" s="1238"/>
      <c r="C116" s="225"/>
      <c r="D116" s="273" t="s">
        <v>143</v>
      </c>
      <c r="E116" s="185">
        <f>'19'!F116</f>
        <v>9006</v>
      </c>
      <c r="F116" s="185">
        <v>9017</v>
      </c>
      <c r="G116" s="961">
        <f t="shared" ref="G116:G117" si="12">F116-E116</f>
        <v>11</v>
      </c>
      <c r="H116" s="111">
        <f>G116+'19'!H116</f>
        <v>87</v>
      </c>
      <c r="I116" s="183"/>
      <c r="J116" s="209">
        <f>H116/DAY(B2)</f>
        <v>4.3499999999999996</v>
      </c>
      <c r="N116" s="95"/>
      <c r="O116" s="73"/>
    </row>
    <row r="117" spans="1:15" s="93" customFormat="1" ht="27.75">
      <c r="A117" s="1237" t="s">
        <v>225</v>
      </c>
      <c r="B117" s="1238"/>
      <c r="C117" s="225"/>
      <c r="D117" s="273" t="s">
        <v>143</v>
      </c>
      <c r="E117" s="185"/>
      <c r="F117" s="185"/>
      <c r="G117" s="961">
        <f t="shared" si="12"/>
        <v>0</v>
      </c>
      <c r="H117" s="111">
        <f>G117+'19'!H117</f>
        <v>163</v>
      </c>
      <c r="I117" s="183"/>
      <c r="J117" s="209">
        <f>H117/DAY(B2)</f>
        <v>8.15</v>
      </c>
      <c r="N117" s="95"/>
      <c r="O117" s="73"/>
    </row>
    <row r="118" spans="1:15" s="96" customFormat="1" ht="27.75">
      <c r="A118" s="1239" t="s">
        <v>201</v>
      </c>
      <c r="B118" s="1240"/>
      <c r="C118" s="225"/>
      <c r="D118" s="274"/>
      <c r="E118" s="185"/>
      <c r="F118" s="185"/>
      <c r="G118" s="961">
        <f>SUM(G115:G117)</f>
        <v>32</v>
      </c>
      <c r="H118" s="111">
        <f>G118+'19'!H118</f>
        <v>145</v>
      </c>
      <c r="I118" s="185"/>
      <c r="J118" s="209">
        <f>H118/DAY(B2)</f>
        <v>7.25</v>
      </c>
      <c r="N118" s="98"/>
      <c r="O118" s="73"/>
    </row>
    <row r="119" spans="1:15" s="97" customFormat="1" ht="27.75">
      <c r="A119" s="1233" t="s">
        <v>226</v>
      </c>
      <c r="B119" s="1234"/>
      <c r="C119" s="756"/>
      <c r="D119" s="275" t="s">
        <v>143</v>
      </c>
      <c r="E119" s="187"/>
      <c r="F119" s="187">
        <f>SUM(G19+G93)</f>
        <v>202</v>
      </c>
      <c r="G119" s="961">
        <f>SUM(G19+G93)</f>
        <v>202</v>
      </c>
      <c r="H119" s="111">
        <f>G119+'19'!H119</f>
        <v>533</v>
      </c>
      <c r="I119" s="186"/>
      <c r="J119" s="210">
        <f>H119/DAY(B2)</f>
        <v>26.65</v>
      </c>
      <c r="N119" s="429"/>
      <c r="O119" s="73"/>
    </row>
    <row r="120" spans="1:15" s="97" customFormat="1" ht="27.75">
      <c r="A120" s="1233" t="s">
        <v>227</v>
      </c>
      <c r="B120" s="1234"/>
      <c r="C120" s="756"/>
      <c r="D120" s="275" t="s">
        <v>143</v>
      </c>
      <c r="E120" s="187"/>
      <c r="F120" s="187">
        <f>SUM(G96,G97,G98,G100,G101)</f>
        <v>199</v>
      </c>
      <c r="G120" s="961">
        <f>SUM(G96,G97,G98,G100,G101)</f>
        <v>199</v>
      </c>
      <c r="H120" s="111">
        <f>G120+'19'!H120</f>
        <v>539</v>
      </c>
      <c r="I120" s="186"/>
      <c r="J120" s="210">
        <f>H120/DAY(B2)</f>
        <v>26.95</v>
      </c>
      <c r="N120" s="429"/>
      <c r="O120" s="73"/>
    </row>
    <row r="121" spans="1:15" s="97" customFormat="1" ht="27.75">
      <c r="A121" s="1233" t="s">
        <v>228</v>
      </c>
      <c r="B121" s="1234"/>
      <c r="C121" s="756"/>
      <c r="D121" s="275" t="s">
        <v>143</v>
      </c>
      <c r="E121" s="185"/>
      <c r="F121" s="185">
        <f>SUM(G113)</f>
        <v>135</v>
      </c>
      <c r="G121" s="961">
        <f>SUM(G113)</f>
        <v>135</v>
      </c>
      <c r="H121" s="111">
        <f>G121+'19'!H121</f>
        <v>263</v>
      </c>
      <c r="I121" s="186"/>
      <c r="J121" s="210">
        <f>H121/DAY(B2)</f>
        <v>13.15</v>
      </c>
      <c r="N121" s="429"/>
      <c r="O121" s="73"/>
    </row>
    <row r="122" spans="1:15" s="93" customFormat="1" ht="27.75">
      <c r="A122" s="1235"/>
      <c r="B122" s="1236"/>
      <c r="C122" s="757"/>
      <c r="D122" s="211"/>
      <c r="E122" s="211"/>
      <c r="F122" s="211" t="s">
        <v>214</v>
      </c>
      <c r="G122" s="962"/>
      <c r="H122" s="212"/>
      <c r="I122" s="211"/>
      <c r="J122" s="213"/>
      <c r="N122" s="95"/>
      <c r="O122" s="73"/>
    </row>
    <row r="123" spans="1:15">
      <c r="A123" s="1274" t="s">
        <v>229</v>
      </c>
      <c r="B123" s="1275"/>
      <c r="C123" s="1276"/>
      <c r="D123" s="123"/>
      <c r="E123" s="123"/>
      <c r="F123" s="123"/>
      <c r="G123" s="946"/>
      <c r="H123" s="134"/>
      <c r="I123" s="134"/>
      <c r="J123" s="214"/>
      <c r="K123" s="71"/>
      <c r="L123" s="68"/>
      <c r="N123" s="73"/>
      <c r="O123" s="73"/>
    </row>
    <row r="124" spans="1:15" ht="27.75">
      <c r="A124" s="759" t="s">
        <v>230</v>
      </c>
      <c r="B124" s="760"/>
      <c r="C124" s="760"/>
      <c r="D124" s="174" t="s">
        <v>140</v>
      </c>
      <c r="E124" s="129">
        <f>'19'!F124</f>
        <v>853151</v>
      </c>
      <c r="F124" s="129">
        <v>853436.7</v>
      </c>
      <c r="G124" s="943">
        <f t="shared" ref="G124:G128" si="13">F124-E124</f>
        <v>285.69999999995343</v>
      </c>
      <c r="H124" s="111">
        <f>G124+'19'!H124</f>
        <v>-2915.3000000000466</v>
      </c>
      <c r="I124" s="177"/>
      <c r="J124" s="203">
        <f>H124/DAY(B2)</f>
        <v>-145.76500000000232</v>
      </c>
      <c r="K124" s="71"/>
      <c r="L124" s="68"/>
      <c r="N124" s="73"/>
      <c r="O124" s="73"/>
    </row>
    <row r="125" spans="1:15" ht="27.75">
      <c r="A125" s="759" t="s">
        <v>231</v>
      </c>
      <c r="B125" s="760"/>
      <c r="C125" s="760"/>
      <c r="D125" s="174" t="s">
        <v>140</v>
      </c>
      <c r="E125" s="277">
        <f>'19'!F125</f>
        <v>73583.399999999994</v>
      </c>
      <c r="F125" s="277">
        <v>73583.399999999994</v>
      </c>
      <c r="G125" s="943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226" t="s">
        <v>232</v>
      </c>
      <c r="B126" s="1227"/>
      <c r="C126" s="1228"/>
      <c r="D126" s="174" t="s">
        <v>140</v>
      </c>
      <c r="E126" s="129">
        <f>'19'!F126</f>
        <v>152984.92000000001</v>
      </c>
      <c r="F126" s="129">
        <v>153071.5</v>
      </c>
      <c r="G126" s="943">
        <f t="shared" si="13"/>
        <v>86.579999999987194</v>
      </c>
      <c r="H126" s="111">
        <f>G126+'19'!H126</f>
        <v>-1005.5</v>
      </c>
      <c r="I126" s="177"/>
      <c r="J126" s="203">
        <f>H126/DAY(B2)</f>
        <v>-50.274999999999999</v>
      </c>
      <c r="K126" s="71"/>
      <c r="L126" s="68"/>
      <c r="N126" s="73"/>
      <c r="O126" s="73"/>
    </row>
    <row r="127" spans="1:15" ht="27.75">
      <c r="A127" s="260" t="s">
        <v>233</v>
      </c>
      <c r="B127" s="760"/>
      <c r="C127" s="760"/>
      <c r="D127" s="174" t="s">
        <v>140</v>
      </c>
      <c r="E127" s="277">
        <f>'19'!F127</f>
        <v>34128.800000000003</v>
      </c>
      <c r="F127" s="277">
        <v>34168.5</v>
      </c>
      <c r="G127" s="943">
        <f t="shared" si="13"/>
        <v>39.69999999999709</v>
      </c>
      <c r="H127" s="111">
        <f>G127+'19'!H127</f>
        <v>-460.5</v>
      </c>
      <c r="I127" s="177"/>
      <c r="J127" s="203">
        <f>H127/DAY(B2)</f>
        <v>-23.024999999999999</v>
      </c>
      <c r="K127" s="71"/>
      <c r="L127" s="68"/>
      <c r="N127" s="73"/>
      <c r="O127" s="73"/>
    </row>
    <row r="128" spans="1:15" ht="27.75">
      <c r="A128" s="260" t="s">
        <v>234</v>
      </c>
      <c r="B128" s="760"/>
      <c r="C128" s="760"/>
      <c r="D128" s="174" t="s">
        <v>140</v>
      </c>
      <c r="E128" s="277">
        <f>'19'!F128</f>
        <v>9145.16</v>
      </c>
      <c r="F128" s="277">
        <v>9145.4500000000007</v>
      </c>
      <c r="G128" s="943">
        <f t="shared" si="13"/>
        <v>0.29000000000087311</v>
      </c>
      <c r="H128" s="111">
        <f>G128+'19'!H128</f>
        <v>-34.549999999999272</v>
      </c>
      <c r="I128" s="131"/>
      <c r="J128" s="203">
        <f>H128/DAY(B2)</f>
        <v>-1.7274999999999636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60"/>
      <c r="C129" s="760"/>
      <c r="D129" s="174"/>
      <c r="E129" s="129"/>
      <c r="F129" s="129"/>
      <c r="G129" s="943">
        <f>G15-SUM(G124:G128)</f>
        <v>488.25000000008004</v>
      </c>
      <c r="H129" s="111">
        <f>G129+'19'!H129</f>
        <v>2355.3700000000645</v>
      </c>
      <c r="I129" s="131"/>
      <c r="J129" s="203">
        <f>H129/DAY(B2)</f>
        <v>117.76850000000323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63"/>
      <c r="H130" s="191"/>
      <c r="I130" s="191"/>
      <c r="J130" s="215"/>
      <c r="N130" s="73"/>
      <c r="O130" s="73"/>
    </row>
    <row r="131" spans="1:15" ht="27.75">
      <c r="A131" s="759" t="s">
        <v>237</v>
      </c>
      <c r="B131" s="760"/>
      <c r="C131" s="760"/>
      <c r="D131" s="174" t="s">
        <v>238</v>
      </c>
      <c r="E131" s="135">
        <f>'19'!F131</f>
        <v>0</v>
      </c>
      <c r="F131" s="135">
        <v>0</v>
      </c>
      <c r="G131" s="943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>
      <c r="A132" s="759" t="s">
        <v>239</v>
      </c>
      <c r="B132" s="760"/>
      <c r="C132" s="760"/>
      <c r="D132" s="174" t="s">
        <v>238</v>
      </c>
      <c r="E132" s="135">
        <f>'19'!F132</f>
        <v>0</v>
      </c>
      <c r="F132" s="135">
        <v>0</v>
      </c>
      <c r="G132" s="943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>
      <c r="A133" s="759" t="s">
        <v>240</v>
      </c>
      <c r="B133" s="760"/>
      <c r="C133" s="760"/>
      <c r="D133" s="174" t="s">
        <v>238</v>
      </c>
      <c r="E133" s="135">
        <f>'19'!F133</f>
        <v>40901</v>
      </c>
      <c r="F133" s="286">
        <v>40917.19</v>
      </c>
      <c r="G133" s="1076">
        <f t="shared" si="14"/>
        <v>16.190000000002328</v>
      </c>
      <c r="H133" s="111">
        <f>G133+'19'!H133</f>
        <v>-4.8099999999976717</v>
      </c>
      <c r="I133" s="131"/>
      <c r="J133" s="203">
        <f>H133/DAY(B2)</f>
        <v>-0.24049999999988358</v>
      </c>
      <c r="N133" s="73">
        <f>G133-24</f>
        <v>-7.8099999999976717</v>
      </c>
      <c r="O133" s="73"/>
    </row>
    <row r="134" spans="1:15" s="92" customFormat="1" ht="27.75">
      <c r="A134" s="716" t="s">
        <v>241</v>
      </c>
      <c r="B134" s="717"/>
      <c r="C134" s="717"/>
      <c r="D134" s="278" t="s">
        <v>238</v>
      </c>
      <c r="E134" s="135">
        <f>'19'!F134</f>
        <v>724.25</v>
      </c>
      <c r="F134" s="286">
        <v>724.25</v>
      </c>
      <c r="G134" s="1077">
        <f t="shared" si="14"/>
        <v>0</v>
      </c>
      <c r="H134" s="356">
        <f>G134+'19'!H134</f>
        <v>-131.75</v>
      </c>
      <c r="I134" s="718">
        <f>G131+G132+G133+G134</f>
        <v>16.190000000002328</v>
      </c>
      <c r="J134" s="358">
        <f>H134/DAY(B2)</f>
        <v>-6.5875000000000004</v>
      </c>
      <c r="N134" s="364"/>
      <c r="O134" s="364"/>
    </row>
    <row r="135" spans="1:15" ht="27.75">
      <c r="A135" s="759" t="s">
        <v>242</v>
      </c>
      <c r="B135" s="760"/>
      <c r="C135" s="760"/>
      <c r="D135" s="174" t="s">
        <v>238</v>
      </c>
      <c r="E135" s="135">
        <f>'19'!F135</f>
        <v>42653.19</v>
      </c>
      <c r="F135" s="286">
        <v>42665</v>
      </c>
      <c r="G135" s="1076">
        <f t="shared" si="14"/>
        <v>11.809999999997672</v>
      </c>
      <c r="H135" s="111">
        <f>G135+'19'!H135</f>
        <v>-157</v>
      </c>
      <c r="I135" s="131"/>
      <c r="J135" s="203">
        <f>H135/DAY(B2)</f>
        <v>-7.85</v>
      </c>
      <c r="N135" s="73"/>
      <c r="O135" s="73"/>
    </row>
    <row r="136" spans="1:15" ht="27.75">
      <c r="A136" s="759" t="s">
        <v>243</v>
      </c>
      <c r="B136" s="760"/>
      <c r="C136" s="760"/>
      <c r="D136" s="174" t="s">
        <v>238</v>
      </c>
      <c r="E136" s="135">
        <f>'19'!F136</f>
        <v>32874</v>
      </c>
      <c r="F136" s="192">
        <v>32874.050000000003</v>
      </c>
      <c r="G136" s="943">
        <f t="shared" si="14"/>
        <v>5.0000000002910383E-2</v>
      </c>
      <c r="H136" s="111">
        <f>G136+'19'!H136</f>
        <v>-53.94999999999709</v>
      </c>
      <c r="I136" s="131"/>
      <c r="J136" s="203">
        <f>H136/DAY(B2)</f>
        <v>-2.6974999999998546</v>
      </c>
      <c r="N136" s="73"/>
      <c r="O136" s="73"/>
    </row>
    <row r="137" spans="1:15" ht="27.75">
      <c r="A137" s="759" t="s">
        <v>244</v>
      </c>
      <c r="B137" s="760"/>
      <c r="C137" s="760"/>
      <c r="D137" s="174" t="s">
        <v>238</v>
      </c>
      <c r="E137" s="135">
        <f>'19'!F137</f>
        <v>23253.17</v>
      </c>
      <c r="F137" s="192">
        <v>23263.41</v>
      </c>
      <c r="G137" s="943">
        <f t="shared" si="14"/>
        <v>10.240000000001601</v>
      </c>
      <c r="H137" s="111">
        <f>G137+'19'!H137</f>
        <v>-93.020000000000437</v>
      </c>
      <c r="I137" s="131">
        <f>G135+G136+G137</f>
        <v>22.100000000002183</v>
      </c>
      <c r="J137" s="203">
        <f>H137/DAY(B2)</f>
        <v>-4.651000000000022</v>
      </c>
      <c r="N137" s="73"/>
      <c r="O137" s="73"/>
    </row>
    <row r="138" spans="1:15" ht="27.75">
      <c r="A138" s="759" t="s">
        <v>245</v>
      </c>
      <c r="B138" s="760"/>
      <c r="C138" s="760"/>
      <c r="D138" s="174" t="s">
        <v>238</v>
      </c>
      <c r="E138" s="135">
        <f>'19'!F138</f>
        <v>25132.98</v>
      </c>
      <c r="F138" s="192">
        <v>25132.98</v>
      </c>
      <c r="G138" s="943">
        <f t="shared" si="14"/>
        <v>0</v>
      </c>
      <c r="H138" s="111">
        <f>G138+'19'!H138</f>
        <v>2.0000000000436557E-2</v>
      </c>
      <c r="I138" s="131"/>
      <c r="J138" s="203">
        <f>H138/DAY(B2)</f>
        <v>1.0000000000218278E-3</v>
      </c>
      <c r="N138" s="73"/>
      <c r="O138" s="73"/>
    </row>
    <row r="139" spans="1:15" ht="27.75">
      <c r="A139" s="759" t="s">
        <v>246</v>
      </c>
      <c r="B139" s="760"/>
      <c r="C139" s="760"/>
      <c r="D139" s="174" t="s">
        <v>238</v>
      </c>
      <c r="E139" s="135">
        <f>'19'!F139</f>
        <v>70523.600000000006</v>
      </c>
      <c r="F139" s="192">
        <v>70523.600000000006</v>
      </c>
      <c r="G139" s="943">
        <f t="shared" si="14"/>
        <v>0</v>
      </c>
      <c r="H139" s="111">
        <f>G139+'19'!H139</f>
        <v>-0.94999999999708962</v>
      </c>
      <c r="I139" s="131">
        <f>G138+G139</f>
        <v>0</v>
      </c>
      <c r="J139" s="203">
        <f>H139/DAY(B2)</f>
        <v>-4.7499999999854478E-2</v>
      </c>
      <c r="N139" s="73"/>
      <c r="O139" s="73"/>
    </row>
    <row r="140" spans="1:15" ht="27.75">
      <c r="A140" s="759" t="s">
        <v>247</v>
      </c>
      <c r="B140" s="760"/>
      <c r="C140" s="760"/>
      <c r="D140" s="174" t="s">
        <v>238</v>
      </c>
      <c r="E140" s="135">
        <f>'19'!F140</f>
        <v>2504.4299999999998</v>
      </c>
      <c r="F140" s="135">
        <v>2515.38</v>
      </c>
      <c r="G140" s="943">
        <f t="shared" si="14"/>
        <v>10.950000000000273</v>
      </c>
      <c r="H140" s="111">
        <f>G140+'19'!H140</f>
        <v>-112.59999999999991</v>
      </c>
      <c r="I140" s="193"/>
      <c r="J140" s="203">
        <f>H140/DAY(B2)</f>
        <v>-5.6299999999999955</v>
      </c>
      <c r="N140" s="73"/>
      <c r="O140" s="73"/>
    </row>
    <row r="141" spans="1:15" ht="27.75">
      <c r="A141" s="759" t="s">
        <v>248</v>
      </c>
      <c r="B141" s="760"/>
      <c r="C141" s="760"/>
      <c r="D141" s="174" t="s">
        <v>238</v>
      </c>
      <c r="E141" s="135">
        <f>'19'!F141</f>
        <v>4753.67</v>
      </c>
      <c r="F141" s="135">
        <v>4753.67</v>
      </c>
      <c r="G141" s="943">
        <f t="shared" si="14"/>
        <v>0</v>
      </c>
      <c r="H141" s="111">
        <f>G141+'19'!H141</f>
        <v>-0.32999999999992724</v>
      </c>
      <c r="I141" s="193"/>
      <c r="J141" s="203">
        <f>H141/DAY(B2)</f>
        <v>-1.6499999999996361E-2</v>
      </c>
      <c r="N141" s="73"/>
      <c r="O141" s="73"/>
    </row>
    <row r="142" spans="1:15">
      <c r="A142" s="1248" t="s">
        <v>249</v>
      </c>
      <c r="B142" s="1249"/>
      <c r="C142" s="765"/>
      <c r="D142" s="123"/>
      <c r="E142" s="123"/>
      <c r="F142" s="123"/>
      <c r="G142" s="946"/>
      <c r="H142" s="134"/>
      <c r="I142" s="134"/>
      <c r="J142" s="214"/>
      <c r="K142" s="71"/>
      <c r="L142" s="68"/>
      <c r="N142" s="73"/>
      <c r="O142" s="73"/>
    </row>
    <row r="143" spans="1:15" ht="27.75">
      <c r="A143" s="1245" t="s">
        <v>250</v>
      </c>
      <c r="B143" s="1246"/>
      <c r="C143" s="1247"/>
      <c r="D143" s="174" t="s">
        <v>131</v>
      </c>
      <c r="E143" s="174"/>
      <c r="F143" s="174"/>
      <c r="G143" s="956">
        <f>G35+G43+G49+G57</f>
        <v>5137</v>
      </c>
      <c r="H143" s="111">
        <f>G143+'19'!H143</f>
        <v>340225.99999999994</v>
      </c>
      <c r="I143" s="131"/>
      <c r="J143" s="203">
        <f>H143/DAY(B2)</f>
        <v>17011.299999999996</v>
      </c>
      <c r="K143" s="71"/>
      <c r="L143" s="68"/>
      <c r="N143" s="73"/>
      <c r="O143" s="73"/>
    </row>
    <row r="144" spans="1:15" ht="27.75">
      <c r="A144" s="1245" t="s">
        <v>251</v>
      </c>
      <c r="B144" s="1246"/>
      <c r="C144" s="1247"/>
      <c r="D144" s="174" t="s">
        <v>24</v>
      </c>
      <c r="E144" s="162"/>
      <c r="F144" s="162"/>
      <c r="G144" s="965">
        <f>G143/G7</f>
        <v>0.2425034933343404</v>
      </c>
      <c r="H144" s="111">
        <f>G144+'19'!H144</f>
        <v>5.9475338327242042</v>
      </c>
      <c r="I144" s="195"/>
      <c r="J144" s="203">
        <f>H144/DAY(B2)</f>
        <v>0.29737669163621022</v>
      </c>
      <c r="K144" s="71"/>
      <c r="L144" s="68"/>
      <c r="N144" s="73"/>
      <c r="O144" s="73"/>
    </row>
    <row r="145" spans="1:15" ht="27.75">
      <c r="A145" s="1245" t="s">
        <v>252</v>
      </c>
      <c r="B145" s="1246"/>
      <c r="C145" s="1247"/>
      <c r="D145" s="174" t="s">
        <v>131</v>
      </c>
      <c r="E145" s="106"/>
      <c r="F145" s="106"/>
      <c r="G145" s="956">
        <f>G41+G42+G55+G56</f>
        <v>5842.140000000014</v>
      </c>
      <c r="H145" s="111">
        <f>G145+'19'!H145</f>
        <v>-75434.639999999956</v>
      </c>
      <c r="I145" s="131"/>
      <c r="J145" s="203">
        <f>H145/DAY(B2)</f>
        <v>-3771.7319999999977</v>
      </c>
      <c r="K145" s="71"/>
      <c r="L145" s="68"/>
      <c r="N145" s="73"/>
      <c r="O145" s="73"/>
    </row>
    <row r="146" spans="1:15" ht="27.75">
      <c r="A146" s="1245" t="s">
        <v>253</v>
      </c>
      <c r="B146" s="1246"/>
      <c r="C146" s="1247"/>
      <c r="D146" s="174" t="s">
        <v>24</v>
      </c>
      <c r="E146" s="106"/>
      <c r="F146" s="106"/>
      <c r="G146" s="965">
        <f>G145/G7</f>
        <v>0.27579119302088512</v>
      </c>
      <c r="H146" s="111">
        <f>G146+'19'!H146</f>
        <v>5.1058565602964148</v>
      </c>
      <c r="I146" s="195"/>
      <c r="J146" s="203">
        <f>H146/DAY(B2)</f>
        <v>0.25529282801482073</v>
      </c>
      <c r="K146" s="71"/>
      <c r="L146" s="68"/>
      <c r="N146" s="73"/>
      <c r="O146" s="73"/>
    </row>
    <row r="147" spans="1:15" ht="27.75">
      <c r="A147" s="1245" t="s">
        <v>254</v>
      </c>
      <c r="B147" s="1246"/>
      <c r="C147" s="1247"/>
      <c r="D147" s="174" t="s">
        <v>131</v>
      </c>
      <c r="E147" s="106"/>
      <c r="F147" s="106"/>
      <c r="G147" s="956">
        <f>G39+G53</f>
        <v>3421</v>
      </c>
      <c r="H147" s="111">
        <f>G147+'19'!H147</f>
        <v>1025923.5900000001</v>
      </c>
      <c r="I147" s="196"/>
      <c r="J147" s="203">
        <f>H147/DAY(B2)</f>
        <v>51296.179500000006</v>
      </c>
      <c r="K147" s="71"/>
      <c r="L147" s="68"/>
      <c r="N147" s="73"/>
      <c r="O147" s="73"/>
    </row>
    <row r="148" spans="1:15" ht="27.75">
      <c r="A148" s="1245" t="s">
        <v>255</v>
      </c>
      <c r="B148" s="1246"/>
      <c r="C148" s="1247"/>
      <c r="D148" s="174" t="s">
        <v>24</v>
      </c>
      <c r="E148" s="106"/>
      <c r="F148" s="106"/>
      <c r="G148" s="965">
        <f>G147/G7</f>
        <v>0.16149590241323311</v>
      </c>
      <c r="H148" s="111">
        <f>G148+'19'!H148</f>
        <v>6.1408534815970128</v>
      </c>
      <c r="I148" s="196"/>
      <c r="J148" s="203">
        <f>H148/DAY(B2)</f>
        <v>0.30704267407985064</v>
      </c>
      <c r="N148" s="73"/>
      <c r="O148" s="73"/>
    </row>
    <row r="149" spans="1:15" ht="27.75">
      <c r="A149" s="1245" t="s">
        <v>256</v>
      </c>
      <c r="B149" s="1246"/>
      <c r="C149" s="1247"/>
      <c r="D149" s="174" t="s">
        <v>182</v>
      </c>
      <c r="E149" s="106"/>
      <c r="F149" s="106"/>
      <c r="G149" s="956">
        <f>G38+G52</f>
        <v>1714</v>
      </c>
      <c r="H149" s="111">
        <f>G149+'19'!H149</f>
        <v>817677</v>
      </c>
      <c r="I149" s="131"/>
      <c r="J149" s="203">
        <f>H149/DAY(B2)</f>
        <v>40883.85</v>
      </c>
      <c r="K149" s="72"/>
      <c r="N149" s="73"/>
      <c r="O149" s="73"/>
    </row>
    <row r="150" spans="1:15" ht="27.75">
      <c r="A150" s="1245" t="s">
        <v>257</v>
      </c>
      <c r="B150" s="1246"/>
      <c r="C150" s="1247"/>
      <c r="D150" s="174" t="s">
        <v>24</v>
      </c>
      <c r="E150" s="106"/>
      <c r="F150" s="106"/>
      <c r="G150" s="965">
        <f>G149/G7</f>
        <v>8.0913176479474297E-2</v>
      </c>
      <c r="H150" s="111">
        <f>G150+'19'!H150</f>
        <v>3.8191430103812358</v>
      </c>
      <c r="I150" s="196"/>
      <c r="J150" s="203">
        <f>H150/DAY(B2)</f>
        <v>0.19095715051906179</v>
      </c>
      <c r="N150" s="73"/>
      <c r="O150" s="73"/>
    </row>
    <row r="151" spans="1:15" ht="27.75">
      <c r="A151" s="1245" t="s">
        <v>258</v>
      </c>
      <c r="B151" s="1246"/>
      <c r="C151" s="1247"/>
      <c r="D151" s="174" t="s">
        <v>182</v>
      </c>
      <c r="E151" s="106"/>
      <c r="F151" s="106"/>
      <c r="G151" s="956">
        <f>G36+G50</f>
        <v>2104.5999999999985</v>
      </c>
      <c r="H151" s="111">
        <f>G151+'19'!H151</f>
        <v>47249.599999999999</v>
      </c>
      <c r="I151" s="196"/>
      <c r="J151" s="203">
        <f>H151/DAY(B2)</f>
        <v>2362.48</v>
      </c>
      <c r="N151" s="73"/>
      <c r="O151" s="73"/>
    </row>
    <row r="152" spans="1:15" ht="27.75">
      <c r="A152" s="1245" t="s">
        <v>259</v>
      </c>
      <c r="B152" s="1246"/>
      <c r="C152" s="1247"/>
      <c r="D152" s="174" t="s">
        <v>24</v>
      </c>
      <c r="E152" s="106"/>
      <c r="F152" s="106"/>
      <c r="G152" s="965">
        <f>G151/G7</f>
        <v>9.9352316930397602E-2</v>
      </c>
      <c r="H152" s="111">
        <f>G152+'19'!H152</f>
        <v>1.7295202024266818</v>
      </c>
      <c r="I152" s="131"/>
      <c r="J152" s="203">
        <f>H152/DAY(B2)</f>
        <v>8.6476010121334088E-2</v>
      </c>
      <c r="N152" s="73"/>
      <c r="O152" s="73"/>
    </row>
    <row r="153" spans="1:15" ht="27.75">
      <c r="A153" s="1245" t="s">
        <v>260</v>
      </c>
      <c r="B153" s="1246"/>
      <c r="C153" s="1247"/>
      <c r="D153" s="174" t="s">
        <v>182</v>
      </c>
      <c r="E153" s="106"/>
      <c r="F153" s="106"/>
      <c r="G153" s="956">
        <f>G37+G51</f>
        <v>1460</v>
      </c>
      <c r="H153" s="111">
        <f>G153+'19'!H153</f>
        <v>398632.00000000006</v>
      </c>
      <c r="I153" s="131"/>
      <c r="J153" s="203">
        <f>H153/DAY(B2)</f>
        <v>19931.600000000002</v>
      </c>
      <c r="L153" s="67" t="s">
        <v>273</v>
      </c>
      <c r="M153" s="67">
        <v>0.5</v>
      </c>
      <c r="N153" s="73">
        <v>50</v>
      </c>
      <c r="O153" s="73"/>
    </row>
    <row r="154" spans="1:15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966">
        <f>G153/G7</f>
        <v>6.8922542392084285E-2</v>
      </c>
      <c r="H154" s="111">
        <f>G154+'19'!H154</f>
        <v>2.483276313201916</v>
      </c>
      <c r="I154" s="219"/>
      <c r="J154" s="220">
        <f>H154/DAY(B2)</f>
        <v>0.12416381566009579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67"/>
      <c r="H155" s="198"/>
      <c r="I155" s="197"/>
      <c r="J155" s="199"/>
      <c r="O155" s="73"/>
    </row>
    <row r="161" spans="1:12">
      <c r="A161" s="435" t="s">
        <v>262</v>
      </c>
      <c r="B161" s="436"/>
      <c r="C161" s="436"/>
      <c r="D161" s="162" t="s">
        <v>186</v>
      </c>
      <c r="E161" s="309">
        <f>'19'!F161</f>
        <v>44838.2</v>
      </c>
      <c r="F161" s="309">
        <v>44909.7</v>
      </c>
      <c r="G161" s="943">
        <f t="shared" ref="G161:G164" si="15">F161-E161</f>
        <v>71.5</v>
      </c>
      <c r="K161" s="67">
        <v>70.399999999999636</v>
      </c>
      <c r="L161" s="67">
        <f t="shared" ref="L161:L172" si="16">G161-K161</f>
        <v>1.1000000000003638</v>
      </c>
    </row>
    <row r="162" spans="1:12">
      <c r="A162" s="435" t="s">
        <v>263</v>
      </c>
      <c r="B162" s="436"/>
      <c r="C162" s="436"/>
      <c r="D162" s="162" t="s">
        <v>186</v>
      </c>
      <c r="E162" s="309">
        <f>'19'!F162</f>
        <v>130988</v>
      </c>
      <c r="F162" s="309">
        <v>131397</v>
      </c>
      <c r="G162" s="943">
        <f t="shared" si="15"/>
        <v>409</v>
      </c>
      <c r="K162" s="67">
        <v>124.25999999999999</v>
      </c>
      <c r="L162" s="67">
        <f t="shared" si="16"/>
        <v>284.74</v>
      </c>
    </row>
    <row r="163" spans="1:12">
      <c r="A163" s="435" t="s">
        <v>264</v>
      </c>
      <c r="B163" s="436"/>
      <c r="C163" s="436"/>
      <c r="D163" s="162" t="s">
        <v>186</v>
      </c>
      <c r="E163" s="309">
        <f>'19'!F163</f>
        <v>61320</v>
      </c>
      <c r="F163" s="309">
        <v>61506.6</v>
      </c>
      <c r="G163" s="943">
        <f t="shared" si="15"/>
        <v>186.59999999999854</v>
      </c>
      <c r="K163" s="67">
        <v>138.98000000000002</v>
      </c>
      <c r="L163" s="67">
        <f t="shared" si="16"/>
        <v>47.619999999998527</v>
      </c>
    </row>
    <row r="164" spans="1:12">
      <c r="A164" s="435" t="s">
        <v>265</v>
      </c>
      <c r="B164" s="436"/>
      <c r="C164" s="436"/>
      <c r="D164" s="162" t="s">
        <v>186</v>
      </c>
      <c r="E164" s="309">
        <f>'19'!F164</f>
        <v>7339.87</v>
      </c>
      <c r="F164" s="309">
        <v>7350.98</v>
      </c>
      <c r="G164" s="943">
        <f t="shared" si="15"/>
        <v>11.109999999999673</v>
      </c>
      <c r="K164" s="67">
        <v>45.830000000000041</v>
      </c>
      <c r="L164" s="67">
        <f t="shared" si="16"/>
        <v>-34.720000000000368</v>
      </c>
    </row>
    <row r="165" spans="1:12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43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943">
        <f t="shared" si="17"/>
        <v>0</v>
      </c>
      <c r="K166" s="67">
        <v>0</v>
      </c>
      <c r="L166" s="67">
        <f t="shared" si="16"/>
        <v>0</v>
      </c>
    </row>
    <row r="167" spans="1:12" ht="27.75">
      <c r="A167" s="1232" t="s">
        <v>98</v>
      </c>
      <c r="B167" s="1232"/>
      <c r="C167" s="1232"/>
      <c r="D167" s="174" t="s">
        <v>186</v>
      </c>
      <c r="E167" s="165">
        <f t="shared" si="18"/>
        <v>189278</v>
      </c>
      <c r="F167" s="165">
        <f t="shared" si="19"/>
        <v>189658</v>
      </c>
      <c r="G167" s="943">
        <f t="shared" si="17"/>
        <v>380</v>
      </c>
      <c r="K167" s="67">
        <v>193.55000000000291</v>
      </c>
      <c r="L167" s="67">
        <f t="shared" si="16"/>
        <v>186.44999999999709</v>
      </c>
    </row>
    <row r="168" spans="1:12" ht="27.75">
      <c r="A168" s="1232" t="s">
        <v>99</v>
      </c>
      <c r="B168" s="1232"/>
      <c r="C168" s="1232"/>
      <c r="D168" s="174" t="s">
        <v>186</v>
      </c>
      <c r="E168" s="165">
        <f t="shared" si="18"/>
        <v>189895</v>
      </c>
      <c r="F168" s="165">
        <f t="shared" si="19"/>
        <v>190255</v>
      </c>
      <c r="G168" s="943">
        <f t="shared" si="17"/>
        <v>360</v>
      </c>
      <c r="K168" s="67">
        <v>168.39999999999418</v>
      </c>
      <c r="L168" s="67">
        <f t="shared" si="16"/>
        <v>191.60000000000582</v>
      </c>
    </row>
    <row r="169" spans="1:12" ht="27.75">
      <c r="A169" s="1232" t="s">
        <v>100</v>
      </c>
      <c r="B169" s="1232"/>
      <c r="C169" s="1232"/>
      <c r="D169" s="174" t="s">
        <v>186</v>
      </c>
      <c r="E169" s="165">
        <f t="shared" si="18"/>
        <v>88426.5</v>
      </c>
      <c r="F169" s="165">
        <f t="shared" si="19"/>
        <v>88796.6</v>
      </c>
      <c r="G169" s="943">
        <f t="shared" si="17"/>
        <v>370.10000000000582</v>
      </c>
      <c r="K169" s="67">
        <v>221.18999999999505</v>
      </c>
      <c r="L169" s="67">
        <f t="shared" si="16"/>
        <v>148.91000000001077</v>
      </c>
    </row>
    <row r="170" spans="1:12" ht="27.75">
      <c r="A170" s="1232" t="s">
        <v>101</v>
      </c>
      <c r="B170" s="1232"/>
      <c r="C170" s="1232"/>
      <c r="D170" s="174" t="s">
        <v>186</v>
      </c>
      <c r="E170" s="165">
        <f t="shared" si="18"/>
        <v>289039</v>
      </c>
      <c r="F170" s="165">
        <f t="shared" si="19"/>
        <v>289456</v>
      </c>
      <c r="G170" s="943">
        <f t="shared" si="17"/>
        <v>417</v>
      </c>
      <c r="K170" s="67">
        <v>337.19000000000233</v>
      </c>
      <c r="L170" s="67">
        <f t="shared" si="16"/>
        <v>79.809999999997672</v>
      </c>
    </row>
    <row r="171" spans="1:12" ht="27.75">
      <c r="A171" s="1232" t="s">
        <v>102</v>
      </c>
      <c r="B171" s="1232"/>
      <c r="C171" s="1232"/>
      <c r="D171" s="174" t="s">
        <v>186</v>
      </c>
      <c r="E171" s="165">
        <f t="shared" si="18"/>
        <v>85321</v>
      </c>
      <c r="F171" s="165">
        <f t="shared" si="19"/>
        <v>85321</v>
      </c>
      <c r="G171" s="943">
        <f t="shared" si="17"/>
        <v>0</v>
      </c>
      <c r="K171" s="67">
        <v>115.09000000000015</v>
      </c>
      <c r="L171" s="67">
        <f t="shared" si="16"/>
        <v>-115.09000000000015</v>
      </c>
    </row>
    <row r="172" spans="1:12" ht="27.75">
      <c r="A172" s="1232" t="s">
        <v>103</v>
      </c>
      <c r="B172" s="1232"/>
      <c r="C172" s="1232"/>
      <c r="D172" s="174" t="s">
        <v>186</v>
      </c>
      <c r="E172" s="165">
        <f t="shared" si="18"/>
        <v>102534</v>
      </c>
      <c r="F172" s="165">
        <f t="shared" si="19"/>
        <v>102806</v>
      </c>
      <c r="G172" s="943">
        <f t="shared" si="17"/>
        <v>272</v>
      </c>
      <c r="K172" s="67">
        <v>11.799999999999272</v>
      </c>
      <c r="L172" s="67">
        <f t="shared" si="16"/>
        <v>260.20000000000073</v>
      </c>
    </row>
    <row r="173" spans="1:12" ht="24.75" customHeight="1">
      <c r="G173" s="1075">
        <f>SUM(G161:G172)</f>
        <v>2477.310000000004</v>
      </c>
      <c r="L173" s="67">
        <f>SUM(L161:L172)</f>
        <v>1050.8000000000106</v>
      </c>
    </row>
    <row r="174" spans="1:12" ht="24.75" customHeight="1">
      <c r="A174" s="1232" t="s">
        <v>337</v>
      </c>
      <c r="B174" s="1232"/>
      <c r="C174" s="1232"/>
      <c r="D174" s="174" t="s">
        <v>186</v>
      </c>
      <c r="E174" s="309">
        <f>'19'!F174</f>
        <v>19186.400000000001</v>
      </c>
      <c r="F174" s="165">
        <v>19189.400000000001</v>
      </c>
      <c r="G174" s="124">
        <f t="shared" ref="G174:G176" si="20">F174-E174</f>
        <v>3</v>
      </c>
    </row>
    <row r="175" spans="1:12" ht="24.75" customHeight="1">
      <c r="A175" s="1273" t="s">
        <v>337</v>
      </c>
      <c r="B175" s="1236"/>
      <c r="C175" s="436"/>
      <c r="D175" s="174" t="s">
        <v>186</v>
      </c>
      <c r="E175" s="309">
        <f>'19'!F175</f>
        <v>70657.100000000006</v>
      </c>
      <c r="F175" s="1105">
        <v>70663.899999999994</v>
      </c>
      <c r="G175" s="124">
        <f t="shared" si="20"/>
        <v>6.7999999999883585</v>
      </c>
    </row>
    <row r="176" spans="1:12" ht="24.75" customHeight="1">
      <c r="A176" s="1273" t="s">
        <v>338</v>
      </c>
      <c r="B176" s="1236"/>
      <c r="C176" s="436"/>
      <c r="D176" s="174" t="s">
        <v>186</v>
      </c>
      <c r="E176" s="309">
        <f>'19'!F176</f>
        <v>27897.4</v>
      </c>
      <c r="F176" s="1105">
        <v>27903</v>
      </c>
      <c r="G176" s="124">
        <f t="shared" si="20"/>
        <v>5.5999999999985448</v>
      </c>
    </row>
    <row r="177" spans="1:15" ht="24.75" customHeight="1">
      <c r="A177" s="1296" t="s">
        <v>382</v>
      </c>
      <c r="B177" s="1296"/>
      <c r="C177" s="1296"/>
      <c r="D177" s="1296"/>
      <c r="E177" s="1296"/>
      <c r="F177" s="1296"/>
      <c r="G177" s="1296"/>
    </row>
    <row r="178" spans="1:15">
      <c r="A178" s="435"/>
      <c r="B178" s="436"/>
      <c r="C178" s="436"/>
      <c r="D178" s="174" t="s">
        <v>186</v>
      </c>
      <c r="E178" s="309">
        <f>'19'!F178</f>
        <v>0</v>
      </c>
      <c r="F178" s="193"/>
      <c r="G178" s="124">
        <f t="shared" ref="G178:G184" si="21">F178-E178</f>
        <v>0</v>
      </c>
      <c r="N178" s="369"/>
      <c r="O178" s="374"/>
    </row>
    <row r="179" spans="1:15">
      <c r="A179" s="435" t="s">
        <v>383</v>
      </c>
      <c r="B179" s="436"/>
      <c r="C179" s="436"/>
      <c r="D179" s="174" t="s">
        <v>186</v>
      </c>
      <c r="E179" s="309">
        <f>'19'!F179</f>
        <v>0</v>
      </c>
      <c r="F179" s="193"/>
      <c r="G179" s="124">
        <f t="shared" si="21"/>
        <v>0</v>
      </c>
      <c r="N179" s="369"/>
      <c r="O179" s="374"/>
    </row>
    <row r="180" spans="1:15">
      <c r="A180" s="435" t="s">
        <v>384</v>
      </c>
      <c r="B180" s="436"/>
      <c r="C180" s="436"/>
      <c r="D180" s="174" t="s">
        <v>186</v>
      </c>
      <c r="E180" s="309">
        <f>'19'!F180</f>
        <v>0</v>
      </c>
      <c r="F180" s="193"/>
      <c r="G180" s="124">
        <f t="shared" si="21"/>
        <v>0</v>
      </c>
      <c r="N180" s="369"/>
      <c r="O180" s="374"/>
    </row>
    <row r="181" spans="1:15">
      <c r="A181" s="435" t="s">
        <v>385</v>
      </c>
      <c r="B181" s="436"/>
      <c r="C181" s="436"/>
      <c r="D181" s="174" t="s">
        <v>186</v>
      </c>
      <c r="E181" s="309">
        <f>'19'!F181</f>
        <v>0</v>
      </c>
      <c r="F181" s="193"/>
      <c r="G181" s="124">
        <f t="shared" si="21"/>
        <v>0</v>
      </c>
    </row>
    <row r="182" spans="1:15">
      <c r="A182" s="435" t="s">
        <v>386</v>
      </c>
      <c r="B182" s="436"/>
      <c r="C182" s="436"/>
      <c r="D182" s="174" t="s">
        <v>186</v>
      </c>
      <c r="E182" s="309">
        <f>'19'!F182</f>
        <v>0</v>
      </c>
      <c r="F182" s="193"/>
      <c r="G182" s="124">
        <f t="shared" si="21"/>
        <v>0</v>
      </c>
    </row>
    <row r="183" spans="1:15">
      <c r="A183" s="435" t="s">
        <v>387</v>
      </c>
      <c r="B183" s="436"/>
      <c r="C183" s="436"/>
      <c r="D183" s="174" t="s">
        <v>186</v>
      </c>
      <c r="E183" s="309">
        <f>'19'!F183</f>
        <v>0</v>
      </c>
      <c r="F183" s="193"/>
      <c r="G183" s="124">
        <f t="shared" si="21"/>
        <v>0</v>
      </c>
    </row>
    <row r="184" spans="1:15">
      <c r="A184" s="435" t="s">
        <v>388</v>
      </c>
      <c r="B184" s="436"/>
      <c r="C184" s="436"/>
      <c r="D184" s="174" t="s">
        <v>186</v>
      </c>
      <c r="E184" s="309">
        <f>'19'!F184</f>
        <v>0</v>
      </c>
      <c r="F184" s="193"/>
      <c r="G184" s="124">
        <f t="shared" si="21"/>
        <v>0</v>
      </c>
    </row>
    <row r="305" spans="6:6">
      <c r="F305" s="188" t="s">
        <v>267</v>
      </c>
    </row>
    <row r="306" spans="6:6">
      <c r="F306" s="188">
        <v>0</v>
      </c>
    </row>
    <row r="307" spans="6:6">
      <c r="F307" s="188">
        <v>0</v>
      </c>
    </row>
    <row r="308" spans="6:6">
      <c r="F308" s="188">
        <v>0</v>
      </c>
    </row>
    <row r="309" spans="6:6">
      <c r="F309" s="188">
        <v>0</v>
      </c>
    </row>
    <row r="310" spans="6:6">
      <c r="F310" s="188">
        <v>0</v>
      </c>
    </row>
    <row r="311" spans="6:6">
      <c r="F311" s="188">
        <v>0</v>
      </c>
    </row>
    <row r="312" spans="6:6">
      <c r="F312" s="188">
        <v>0</v>
      </c>
    </row>
    <row r="313" spans="6:6">
      <c r="F313" s="188">
        <v>0</v>
      </c>
    </row>
    <row r="314" spans="6:6">
      <c r="F314" s="188">
        <v>0</v>
      </c>
    </row>
    <row r="315" spans="6:6">
      <c r="F315" s="188">
        <v>0</v>
      </c>
    </row>
    <row r="316" spans="6:6">
      <c r="F316" s="188">
        <v>0</v>
      </c>
    </row>
    <row r="317" spans="6:6">
      <c r="F317" s="188">
        <v>0</v>
      </c>
    </row>
    <row r="318" spans="6:6">
      <c r="F318" s="188">
        <v>0</v>
      </c>
    </row>
    <row r="319" spans="6:6">
      <c r="F319" s="188">
        <v>0</v>
      </c>
    </row>
    <row r="320" spans="6:6">
      <c r="F320" s="188">
        <v>0</v>
      </c>
    </row>
    <row r="321" spans="6:6">
      <c r="F321" s="188">
        <v>0</v>
      </c>
    </row>
    <row r="322" spans="6:6">
      <c r="F322" s="188">
        <v>0</v>
      </c>
    </row>
    <row r="323" spans="6:6">
      <c r="F323" s="188">
        <v>0</v>
      </c>
    </row>
    <row r="324" spans="6:6">
      <c r="F324" s="188">
        <v>0</v>
      </c>
    </row>
    <row r="325" spans="6:6">
      <c r="F325" s="188">
        <v>0</v>
      </c>
    </row>
    <row r="326" spans="6:6">
      <c r="F326" s="188">
        <v>0</v>
      </c>
    </row>
    <row r="327" spans="6:6">
      <c r="F327" s="188">
        <v>0</v>
      </c>
    </row>
    <row r="328" spans="6:6">
      <c r="F328" s="188">
        <v>0</v>
      </c>
    </row>
    <row r="329" spans="6:6">
      <c r="F329" s="188">
        <v>0</v>
      </c>
    </row>
    <row r="330" spans="6:6">
      <c r="F330" s="188">
        <v>0</v>
      </c>
    </row>
    <row r="331" spans="6:6">
      <c r="F331" s="188">
        <v>0</v>
      </c>
    </row>
    <row r="332" spans="6:6">
      <c r="F332" s="188">
        <v>0</v>
      </c>
    </row>
    <row r="333" spans="6:6">
      <c r="F333" s="188">
        <v>0</v>
      </c>
    </row>
    <row r="334" spans="6:6">
      <c r="F334" s="188">
        <v>0</v>
      </c>
    </row>
    <row r="335" spans="6:6">
      <c r="F335" s="188">
        <v>0</v>
      </c>
    </row>
    <row r="336" spans="6:6">
      <c r="F336" s="188">
        <v>0</v>
      </c>
    </row>
    <row r="337" spans="6:6">
      <c r="F337" s="188">
        <v>0</v>
      </c>
    </row>
    <row r="338" spans="6:6">
      <c r="F338" s="188">
        <v>0</v>
      </c>
    </row>
    <row r="339" spans="6:6">
      <c r="F339" s="188">
        <v>0</v>
      </c>
    </row>
    <row r="340" spans="6:6">
      <c r="F340" s="188">
        <v>0</v>
      </c>
    </row>
    <row r="341" spans="6:6">
      <c r="F341" s="188">
        <v>0</v>
      </c>
    </row>
    <row r="342" spans="6:6">
      <c r="F342" s="188">
        <v>0</v>
      </c>
    </row>
    <row r="343" spans="6:6">
      <c r="F343" s="188">
        <v>0</v>
      </c>
    </row>
    <row r="344" spans="6:6">
      <c r="F344" s="188">
        <v>0</v>
      </c>
    </row>
    <row r="345" spans="6:6">
      <c r="F345" s="188">
        <v>0</v>
      </c>
    </row>
    <row r="346" spans="6:6">
      <c r="F346" s="188">
        <v>0</v>
      </c>
    </row>
    <row r="347" spans="6:6">
      <c r="F347" s="188">
        <v>0</v>
      </c>
    </row>
    <row r="348" spans="6:6">
      <c r="F348" s="188">
        <v>0</v>
      </c>
    </row>
    <row r="349" spans="6:6">
      <c r="F349" s="188">
        <v>0</v>
      </c>
    </row>
    <row r="350" spans="6:6">
      <c r="F350" s="188">
        <v>0</v>
      </c>
    </row>
    <row r="351" spans="6:6">
      <c r="F351" s="188">
        <v>0</v>
      </c>
    </row>
    <row r="352" spans="6:6">
      <c r="F352" s="188">
        <v>0</v>
      </c>
    </row>
    <row r="353" spans="6:6">
      <c r="F353" s="188">
        <v>0</v>
      </c>
    </row>
    <row r="354" spans="6:6">
      <c r="F354" s="188">
        <v>0</v>
      </c>
    </row>
    <row r="355" spans="6:6">
      <c r="F355" s="188">
        <v>0</v>
      </c>
    </row>
    <row r="356" spans="6:6">
      <c r="F356" s="188">
        <v>0</v>
      </c>
    </row>
    <row r="357" spans="6:6">
      <c r="F357" s="188">
        <v>0</v>
      </c>
    </row>
    <row r="358" spans="6:6">
      <c r="F358" s="188">
        <v>0</v>
      </c>
    </row>
    <row r="359" spans="6:6">
      <c r="F359" s="188">
        <v>0</v>
      </c>
    </row>
    <row r="360" spans="6:6">
      <c r="F360" s="188">
        <v>0</v>
      </c>
    </row>
    <row r="361" spans="6:6">
      <c r="F361" s="188">
        <v>0</v>
      </c>
    </row>
    <row r="362" spans="6:6">
      <c r="F362" s="188">
        <v>0</v>
      </c>
    </row>
    <row r="363" spans="6:6">
      <c r="F363" s="188">
        <v>0</v>
      </c>
    </row>
    <row r="364" spans="6:6">
      <c r="F364" s="188">
        <v>0</v>
      </c>
    </row>
    <row r="365" spans="6:6">
      <c r="F365" s="188">
        <v>0</v>
      </c>
    </row>
    <row r="366" spans="6:6">
      <c r="F366" s="188">
        <v>0</v>
      </c>
    </row>
    <row r="367" spans="6:6">
      <c r="F367" s="188">
        <v>0</v>
      </c>
    </row>
    <row r="368" spans="6:6">
      <c r="F368" s="188">
        <v>0</v>
      </c>
    </row>
    <row r="369" spans="6:6">
      <c r="F369" s="188">
        <v>0</v>
      </c>
    </row>
    <row r="370" spans="6:6">
      <c r="F370" s="188">
        <v>0</v>
      </c>
    </row>
    <row r="371" spans="6:6">
      <c r="F371" s="188">
        <v>0</v>
      </c>
    </row>
    <row r="372" spans="6:6">
      <c r="F372" s="188">
        <v>0</v>
      </c>
    </row>
    <row r="373" spans="6:6">
      <c r="F373" s="188">
        <v>0</v>
      </c>
    </row>
    <row r="374" spans="6:6">
      <c r="F374" s="188">
        <v>0</v>
      </c>
    </row>
    <row r="375" spans="6:6">
      <c r="F375" s="188">
        <v>0</v>
      </c>
    </row>
    <row r="376" spans="6:6">
      <c r="F376" s="188">
        <v>0</v>
      </c>
    </row>
    <row r="377" spans="6:6">
      <c r="F377" s="188">
        <v>0</v>
      </c>
    </row>
    <row r="378" spans="6:6">
      <c r="F378" s="188">
        <v>0</v>
      </c>
    </row>
    <row r="379" spans="6:6">
      <c r="F379" s="188">
        <v>0</v>
      </c>
    </row>
    <row r="380" spans="6:6">
      <c r="F380" s="188">
        <v>0</v>
      </c>
    </row>
    <row r="381" spans="6:6">
      <c r="F381" s="188">
        <v>0</v>
      </c>
    </row>
    <row r="382" spans="6:6">
      <c r="F382" s="188">
        <v>0</v>
      </c>
    </row>
    <row r="383" spans="6:6">
      <c r="F383" s="188">
        <v>0</v>
      </c>
    </row>
    <row r="384" spans="6:6">
      <c r="F384" s="188">
        <v>0</v>
      </c>
    </row>
    <row r="385" spans="6:6">
      <c r="F385" s="188">
        <v>0</v>
      </c>
    </row>
    <row r="386" spans="6:6">
      <c r="F386" s="188">
        <v>0</v>
      </c>
    </row>
    <row r="387" spans="6:6">
      <c r="F387" s="188">
        <v>0</v>
      </c>
    </row>
    <row r="388" spans="6:6">
      <c r="F388" s="188">
        <v>0</v>
      </c>
    </row>
    <row r="389" spans="6:6">
      <c r="F389" s="188">
        <v>0</v>
      </c>
    </row>
    <row r="390" spans="6:6">
      <c r="F390" s="188">
        <v>0</v>
      </c>
    </row>
    <row r="391" spans="6:6">
      <c r="F391" s="188">
        <v>0</v>
      </c>
    </row>
    <row r="392" spans="6:6">
      <c r="F392" s="188">
        <v>0</v>
      </c>
    </row>
    <row r="393" spans="6:6">
      <c r="F393" s="188">
        <v>0</v>
      </c>
    </row>
    <row r="394" spans="6:6">
      <c r="F394" s="188">
        <v>0</v>
      </c>
    </row>
    <row r="395" spans="6:6">
      <c r="F395" s="188">
        <v>0</v>
      </c>
    </row>
    <row r="396" spans="6:6">
      <c r="F396" s="188">
        <v>0</v>
      </c>
    </row>
    <row r="397" spans="6:6">
      <c r="F397" s="188">
        <v>0</v>
      </c>
    </row>
    <row r="398" spans="6:6">
      <c r="F398" s="188">
        <v>0</v>
      </c>
    </row>
    <row r="399" spans="6:6">
      <c r="F399" s="188">
        <v>0</v>
      </c>
    </row>
    <row r="400" spans="6:6">
      <c r="F400" s="188">
        <v>0</v>
      </c>
    </row>
    <row r="401" spans="6:6">
      <c r="F401" s="188">
        <v>0</v>
      </c>
    </row>
    <row r="402" spans="6:6">
      <c r="F402" s="188">
        <v>0</v>
      </c>
    </row>
    <row r="403" spans="6:6">
      <c r="F403" s="188">
        <v>0</v>
      </c>
    </row>
    <row r="404" spans="6:6">
      <c r="F404" s="188">
        <v>0</v>
      </c>
    </row>
    <row r="405" spans="6:6">
      <c r="F405" s="188">
        <v>0</v>
      </c>
    </row>
    <row r="406" spans="6:6">
      <c r="F406" s="188">
        <v>0</v>
      </c>
    </row>
    <row r="407" spans="6:6">
      <c r="F407" s="188">
        <v>0</v>
      </c>
    </row>
    <row r="408" spans="6:6">
      <c r="F408" s="188">
        <v>0</v>
      </c>
    </row>
    <row r="409" spans="6:6">
      <c r="F409" s="188">
        <v>0</v>
      </c>
    </row>
    <row r="410" spans="6:6">
      <c r="F410" s="188">
        <v>0</v>
      </c>
    </row>
    <row r="411" spans="6:6">
      <c r="F411" s="188">
        <v>0</v>
      </c>
    </row>
    <row r="412" spans="6:6">
      <c r="F412" s="188">
        <v>0</v>
      </c>
    </row>
    <row r="413" spans="6:6">
      <c r="F413" s="188">
        <v>0</v>
      </c>
    </row>
    <row r="414" spans="6:6">
      <c r="F414" s="188">
        <v>0</v>
      </c>
    </row>
    <row r="415" spans="6:6">
      <c r="F415" s="188">
        <v>0</v>
      </c>
    </row>
    <row r="416" spans="6:6">
      <c r="F416" s="188">
        <v>0</v>
      </c>
    </row>
    <row r="417" spans="6:6">
      <c r="F417" s="188">
        <v>0</v>
      </c>
    </row>
    <row r="418" spans="6:6">
      <c r="F418" s="188">
        <v>0</v>
      </c>
    </row>
    <row r="419" spans="6:6">
      <c r="F419" s="188">
        <v>0</v>
      </c>
    </row>
    <row r="420" spans="6:6">
      <c r="F420" s="188">
        <v>0</v>
      </c>
    </row>
    <row r="421" spans="6:6">
      <c r="F421" s="188">
        <v>0</v>
      </c>
    </row>
    <row r="422" spans="6:6">
      <c r="F422" s="188">
        <v>0</v>
      </c>
    </row>
    <row r="423" spans="6:6">
      <c r="F423" s="188">
        <v>0</v>
      </c>
    </row>
    <row r="424" spans="6:6">
      <c r="F424" s="188">
        <v>0</v>
      </c>
    </row>
    <row r="425" spans="6:6">
      <c r="F425" s="188">
        <v>0</v>
      </c>
    </row>
    <row r="426" spans="6:6">
      <c r="F426" s="188">
        <v>0</v>
      </c>
    </row>
    <row r="427" spans="6:6">
      <c r="F427" s="188">
        <v>0</v>
      </c>
    </row>
    <row r="428" spans="6:6">
      <c r="F428" s="188">
        <v>0</v>
      </c>
    </row>
    <row r="429" spans="6:6">
      <c r="F429" s="188">
        <v>0</v>
      </c>
    </row>
    <row r="430" spans="6:6">
      <c r="F430" s="188">
        <v>0</v>
      </c>
    </row>
    <row r="431" spans="6:6">
      <c r="F431" s="188">
        <v>0</v>
      </c>
    </row>
    <row r="432" spans="6:6">
      <c r="F432" s="188">
        <v>0</v>
      </c>
    </row>
    <row r="433" spans="6:6">
      <c r="F433" s="188">
        <v>0</v>
      </c>
    </row>
    <row r="434" spans="6:6">
      <c r="F434" s="188">
        <v>0</v>
      </c>
    </row>
    <row r="435" spans="6:6">
      <c r="F435" s="188">
        <v>0</v>
      </c>
    </row>
    <row r="436" spans="6:6">
      <c r="F436" s="188">
        <v>0</v>
      </c>
    </row>
    <row r="437" spans="6:6">
      <c r="F437" s="188">
        <v>0</v>
      </c>
    </row>
    <row r="438" spans="6:6">
      <c r="F438" s="188">
        <v>0</v>
      </c>
    </row>
    <row r="439" spans="6:6">
      <c r="F439" s="188">
        <v>0</v>
      </c>
    </row>
    <row r="440" spans="6:6">
      <c r="F440" s="188">
        <v>0</v>
      </c>
    </row>
    <row r="441" spans="6:6">
      <c r="F441" s="188">
        <v>0</v>
      </c>
    </row>
    <row r="442" spans="6:6">
      <c r="F442" s="188">
        <v>0</v>
      </c>
    </row>
    <row r="443" spans="6:6">
      <c r="F443" s="188">
        <v>0</v>
      </c>
    </row>
    <row r="444" spans="6:6">
      <c r="F444" s="188">
        <v>0</v>
      </c>
    </row>
    <row r="445" spans="6:6">
      <c r="F445" s="188">
        <v>0</v>
      </c>
    </row>
    <row r="446" spans="6:6">
      <c r="F446" s="188">
        <v>0</v>
      </c>
    </row>
    <row r="447" spans="6:6">
      <c r="F447" s="188">
        <v>0</v>
      </c>
    </row>
    <row r="448" spans="6:6">
      <c r="F448" s="188">
        <v>0</v>
      </c>
    </row>
    <row r="449" spans="6:6">
      <c r="F449" s="188">
        <v>0</v>
      </c>
    </row>
    <row r="450" spans="6:6">
      <c r="F450" s="188">
        <v>0</v>
      </c>
    </row>
    <row r="451" spans="6:6">
      <c r="F451" s="188">
        <v>0</v>
      </c>
    </row>
    <row r="452" spans="6:6">
      <c r="F452" s="188">
        <v>0</v>
      </c>
    </row>
    <row r="453" spans="6:6">
      <c r="F453" s="188">
        <v>0</v>
      </c>
    </row>
    <row r="454" spans="6:6">
      <c r="F454" s="188">
        <v>0</v>
      </c>
    </row>
    <row r="455" spans="6:6">
      <c r="F455" s="188">
        <v>0</v>
      </c>
    </row>
    <row r="456" spans="6:6">
      <c r="F456" s="188">
        <v>0</v>
      </c>
    </row>
    <row r="457" spans="6:6">
      <c r="F457" s="188">
        <v>0</v>
      </c>
    </row>
    <row r="458" spans="6:6">
      <c r="F458" s="188">
        <v>0</v>
      </c>
    </row>
    <row r="459" spans="6:6">
      <c r="F459" s="188">
        <v>0</v>
      </c>
    </row>
    <row r="460" spans="6:6">
      <c r="F460" s="188">
        <v>0</v>
      </c>
    </row>
    <row r="461" spans="6:6">
      <c r="F461" s="188">
        <v>0</v>
      </c>
    </row>
    <row r="462" spans="6:6">
      <c r="F462" s="188">
        <v>0</v>
      </c>
    </row>
    <row r="463" spans="6:6">
      <c r="F463" s="188">
        <v>0</v>
      </c>
    </row>
    <row r="464" spans="6:6">
      <c r="F464" s="188">
        <v>0</v>
      </c>
    </row>
    <row r="465" spans="6:6">
      <c r="F465" s="188">
        <v>0</v>
      </c>
    </row>
    <row r="466" spans="6:6">
      <c r="F466" s="188">
        <v>0</v>
      </c>
    </row>
    <row r="467" spans="6:6">
      <c r="F467" s="188">
        <v>0</v>
      </c>
    </row>
    <row r="468" spans="6:6">
      <c r="F468" s="188">
        <v>0</v>
      </c>
    </row>
    <row r="469" spans="6:6">
      <c r="F469" s="188">
        <v>0</v>
      </c>
    </row>
    <row r="470" spans="6:6">
      <c r="F470" s="188">
        <v>0</v>
      </c>
    </row>
    <row r="471" spans="6:6">
      <c r="F471" s="188">
        <v>0</v>
      </c>
    </row>
    <row r="472" spans="6:6">
      <c r="F472" s="188">
        <v>0</v>
      </c>
    </row>
    <row r="473" spans="6:6">
      <c r="F473" s="188">
        <v>0</v>
      </c>
    </row>
    <row r="474" spans="6:6">
      <c r="F474" s="188">
        <v>0</v>
      </c>
    </row>
    <row r="475" spans="6:6">
      <c r="F475" s="188">
        <v>0</v>
      </c>
    </row>
    <row r="476" spans="6:6">
      <c r="F476" s="188">
        <v>0</v>
      </c>
    </row>
    <row r="477" spans="6:6">
      <c r="F477" s="188">
        <v>0</v>
      </c>
    </row>
    <row r="478" spans="6:6">
      <c r="F478" s="188">
        <v>0</v>
      </c>
    </row>
    <row r="479" spans="6:6">
      <c r="F479" s="188">
        <v>0</v>
      </c>
    </row>
    <row r="480" spans="6:6">
      <c r="F480" s="188">
        <v>0</v>
      </c>
    </row>
    <row r="481" spans="6:6">
      <c r="F481" s="188">
        <v>0</v>
      </c>
    </row>
    <row r="482" spans="6:6">
      <c r="F482" s="188">
        <v>0</v>
      </c>
    </row>
    <row r="483" spans="6:6">
      <c r="F483" s="188">
        <v>0</v>
      </c>
    </row>
    <row r="484" spans="6:6">
      <c r="F484" s="188">
        <v>0</v>
      </c>
    </row>
    <row r="485" spans="6:6">
      <c r="F485" s="188">
        <v>0</v>
      </c>
    </row>
    <row r="486" spans="6:6">
      <c r="F486" s="188">
        <v>0</v>
      </c>
    </row>
    <row r="487" spans="6:6">
      <c r="F487" s="188">
        <v>0</v>
      </c>
    </row>
    <row r="488" spans="6:6">
      <c r="F488" s="188">
        <v>0</v>
      </c>
    </row>
    <row r="489" spans="6:6">
      <c r="F489" s="188">
        <v>0</v>
      </c>
    </row>
    <row r="490" spans="6:6">
      <c r="F490" s="188">
        <v>0</v>
      </c>
    </row>
    <row r="491" spans="6:6">
      <c r="F491" s="188">
        <v>0</v>
      </c>
    </row>
    <row r="492" spans="6:6">
      <c r="F492" s="188">
        <v>0</v>
      </c>
    </row>
    <row r="493" spans="6:6">
      <c r="F493" s="188">
        <v>0</v>
      </c>
    </row>
    <row r="494" spans="6:6">
      <c r="F494" s="188">
        <v>0</v>
      </c>
    </row>
    <row r="495" spans="6:6">
      <c r="F495" s="188">
        <v>0</v>
      </c>
    </row>
    <row r="496" spans="6:6">
      <c r="F496" s="188">
        <v>0</v>
      </c>
    </row>
    <row r="497" spans="6:6">
      <c r="F497" s="188">
        <v>0</v>
      </c>
    </row>
    <row r="498" spans="6:6">
      <c r="F498" s="188">
        <v>0</v>
      </c>
    </row>
    <row r="499" spans="6:6">
      <c r="F499" s="188">
        <v>0</v>
      </c>
    </row>
    <row r="500" spans="6:6">
      <c r="F500" s="188">
        <v>0</v>
      </c>
    </row>
    <row r="501" spans="6:6">
      <c r="F501" s="188">
        <v>0</v>
      </c>
    </row>
    <row r="502" spans="6:6">
      <c r="F502" s="188">
        <v>0</v>
      </c>
    </row>
    <row r="503" spans="6:6">
      <c r="F503" s="188">
        <v>0</v>
      </c>
    </row>
    <row r="504" spans="6:6">
      <c r="F504" s="188">
        <v>0</v>
      </c>
    </row>
    <row r="505" spans="6:6">
      <c r="F505" s="188">
        <v>0</v>
      </c>
    </row>
    <row r="506" spans="6:6">
      <c r="F506" s="188">
        <v>0</v>
      </c>
    </row>
    <row r="507" spans="6:6">
      <c r="F507" s="188">
        <v>0</v>
      </c>
    </row>
    <row r="508" spans="6:6">
      <c r="F508" s="188">
        <v>0</v>
      </c>
    </row>
    <row r="509" spans="6:6">
      <c r="F509" s="188">
        <v>0</v>
      </c>
    </row>
    <row r="510" spans="6:6">
      <c r="F510" s="188">
        <v>0</v>
      </c>
    </row>
    <row r="511" spans="6:6">
      <c r="F511" s="188">
        <v>0</v>
      </c>
    </row>
    <row r="512" spans="6:6">
      <c r="F512" s="188">
        <v>0</v>
      </c>
    </row>
    <row r="513" spans="6:6">
      <c r="F513" s="188">
        <v>0</v>
      </c>
    </row>
    <row r="514" spans="6:6">
      <c r="F514" s="188">
        <v>0</v>
      </c>
    </row>
    <row r="515" spans="6:6">
      <c r="F515" s="188">
        <v>0</v>
      </c>
    </row>
    <row r="516" spans="6:6">
      <c r="F516" s="188">
        <v>0</v>
      </c>
    </row>
    <row r="517" spans="6:6">
      <c r="F517" s="188">
        <v>0</v>
      </c>
    </row>
    <row r="518" spans="6:6">
      <c r="F518" s="188">
        <v>0</v>
      </c>
    </row>
    <row r="519" spans="6:6">
      <c r="F519" s="188">
        <v>0</v>
      </c>
    </row>
    <row r="520" spans="6:6">
      <c r="F520" s="188">
        <v>0</v>
      </c>
    </row>
    <row r="521" spans="6:6">
      <c r="F521" s="188">
        <v>0</v>
      </c>
    </row>
    <row r="522" spans="6:6">
      <c r="F522" s="188">
        <v>0</v>
      </c>
    </row>
    <row r="523" spans="6:6">
      <c r="F523" s="188">
        <v>0</v>
      </c>
    </row>
    <row r="524" spans="6:6">
      <c r="F524" s="188">
        <v>0</v>
      </c>
    </row>
    <row r="525" spans="6:6">
      <c r="F525" s="188">
        <v>0</v>
      </c>
    </row>
    <row r="526" spans="6:6">
      <c r="F526" s="188">
        <v>0</v>
      </c>
    </row>
    <row r="527" spans="6:6">
      <c r="F527" s="188">
        <v>0</v>
      </c>
    </row>
    <row r="528" spans="6:6">
      <c r="F528" s="188">
        <v>0</v>
      </c>
    </row>
    <row r="529" spans="6:6">
      <c r="F529" s="188">
        <v>0</v>
      </c>
    </row>
    <row r="530" spans="6:6">
      <c r="F530" s="188">
        <v>0</v>
      </c>
    </row>
    <row r="531" spans="6:6">
      <c r="F531" s="188">
        <v>0</v>
      </c>
    </row>
    <row r="532" spans="6:6">
      <c r="F532" s="188">
        <v>0</v>
      </c>
    </row>
    <row r="533" spans="6:6">
      <c r="F533" s="188">
        <v>0</v>
      </c>
    </row>
    <row r="534" spans="6:6">
      <c r="F534" s="188">
        <v>0</v>
      </c>
    </row>
    <row r="535" spans="6:6">
      <c r="F535" s="188">
        <v>0</v>
      </c>
    </row>
    <row r="536" spans="6:6">
      <c r="F536" s="188">
        <v>0</v>
      </c>
    </row>
    <row r="537" spans="6:6">
      <c r="F537" s="188">
        <v>0</v>
      </c>
    </row>
    <row r="538" spans="6:6">
      <c r="F538" s="188">
        <v>0</v>
      </c>
    </row>
    <row r="539" spans="6:6">
      <c r="F539" s="188">
        <v>0</v>
      </c>
    </row>
    <row r="540" spans="6:6">
      <c r="F540" s="188">
        <v>0</v>
      </c>
    </row>
    <row r="541" spans="6:6">
      <c r="F541" s="188">
        <v>0</v>
      </c>
    </row>
    <row r="542" spans="6:6">
      <c r="F542" s="188">
        <v>0</v>
      </c>
    </row>
    <row r="543" spans="6:6">
      <c r="F543" s="188">
        <v>0</v>
      </c>
    </row>
    <row r="544" spans="6:6">
      <c r="F544" s="188">
        <v>0</v>
      </c>
    </row>
    <row r="545" spans="6:6">
      <c r="F545" s="188">
        <v>0</v>
      </c>
    </row>
    <row r="546" spans="6:6">
      <c r="F546" s="188">
        <v>0</v>
      </c>
    </row>
    <row r="547" spans="6:6">
      <c r="F547" s="188">
        <v>0</v>
      </c>
    </row>
    <row r="548" spans="6:6">
      <c r="F548" s="188">
        <v>0</v>
      </c>
    </row>
    <row r="549" spans="6:6">
      <c r="F549" s="188">
        <v>0</v>
      </c>
    </row>
    <row r="550" spans="6:6">
      <c r="F550" s="188">
        <v>0</v>
      </c>
    </row>
    <row r="551" spans="6:6">
      <c r="F551" s="188">
        <v>0</v>
      </c>
    </row>
    <row r="552" spans="6:6">
      <c r="F552" s="188">
        <v>0</v>
      </c>
    </row>
    <row r="553" spans="6:6">
      <c r="F553" s="188">
        <v>0</v>
      </c>
    </row>
    <row r="554" spans="6:6">
      <c r="F554" s="188">
        <v>0</v>
      </c>
    </row>
    <row r="555" spans="6:6">
      <c r="F555" s="188">
        <v>0</v>
      </c>
    </row>
    <row r="556" spans="6:6">
      <c r="F556" s="188">
        <v>0</v>
      </c>
    </row>
    <row r="557" spans="6:6">
      <c r="F557" s="188">
        <v>0</v>
      </c>
    </row>
    <row r="558" spans="6:6">
      <c r="F558" s="188">
        <v>0</v>
      </c>
    </row>
    <row r="559" spans="6:6">
      <c r="F559" s="188">
        <v>0</v>
      </c>
    </row>
    <row r="560" spans="6:6">
      <c r="F560" s="188">
        <v>0</v>
      </c>
    </row>
    <row r="561" spans="6:6">
      <c r="F561" s="188">
        <v>0</v>
      </c>
    </row>
    <row r="562" spans="6:6">
      <c r="F562" s="188">
        <v>0</v>
      </c>
    </row>
    <row r="563" spans="6:6">
      <c r="F563" s="188">
        <v>0</v>
      </c>
    </row>
    <row r="564" spans="6:6">
      <c r="F564" s="188">
        <v>0</v>
      </c>
    </row>
    <row r="565" spans="6:6">
      <c r="F565" s="188">
        <v>0</v>
      </c>
    </row>
    <row r="566" spans="6:6">
      <c r="F566" s="188">
        <v>0</v>
      </c>
    </row>
    <row r="567" spans="6:6">
      <c r="F567" s="188">
        <v>0</v>
      </c>
    </row>
    <row r="568" spans="6:6">
      <c r="F568" s="188">
        <v>0</v>
      </c>
    </row>
    <row r="569" spans="6:6">
      <c r="F569" s="188">
        <v>0</v>
      </c>
    </row>
    <row r="570" spans="6:6">
      <c r="F570" s="188">
        <v>0</v>
      </c>
    </row>
    <row r="571" spans="6:6">
      <c r="F571" s="188">
        <v>0</v>
      </c>
    </row>
    <row r="572" spans="6:6">
      <c r="F572" s="188">
        <v>0</v>
      </c>
    </row>
    <row r="573" spans="6:6">
      <c r="F573" s="188">
        <v>0</v>
      </c>
    </row>
    <row r="574" spans="6:6">
      <c r="F574" s="188">
        <v>0</v>
      </c>
    </row>
    <row r="575" spans="6:6">
      <c r="F575" s="188">
        <v>0</v>
      </c>
    </row>
    <row r="576" spans="6:6">
      <c r="F576" s="188">
        <v>0</v>
      </c>
    </row>
    <row r="577" spans="6:6">
      <c r="F577" s="188">
        <v>0</v>
      </c>
    </row>
    <row r="578" spans="6:6">
      <c r="F578" s="188">
        <v>0</v>
      </c>
    </row>
    <row r="579" spans="6:6">
      <c r="F579" s="188">
        <v>0</v>
      </c>
    </row>
    <row r="580" spans="6:6">
      <c r="F580" s="188">
        <v>0</v>
      </c>
    </row>
    <row r="581" spans="6:6">
      <c r="F581" s="188">
        <v>0</v>
      </c>
    </row>
    <row r="582" spans="6:6">
      <c r="F582" s="188">
        <v>0</v>
      </c>
    </row>
    <row r="583" spans="6:6">
      <c r="F583" s="188">
        <v>0</v>
      </c>
    </row>
    <row r="584" spans="6:6">
      <c r="F584" s="188">
        <v>0</v>
      </c>
    </row>
    <row r="585" spans="6:6">
      <c r="F585" s="188">
        <v>0</v>
      </c>
    </row>
    <row r="586" spans="6:6">
      <c r="F586" s="188">
        <v>0</v>
      </c>
    </row>
    <row r="587" spans="6:6">
      <c r="F587" s="188">
        <v>0</v>
      </c>
    </row>
    <row r="588" spans="6:6">
      <c r="F588" s="188">
        <v>0</v>
      </c>
    </row>
    <row r="589" spans="6:6">
      <c r="F589" s="188">
        <v>0</v>
      </c>
    </row>
    <row r="590" spans="6:6">
      <c r="F590" s="188">
        <v>0</v>
      </c>
    </row>
    <row r="591" spans="6:6">
      <c r="F591" s="188">
        <v>0</v>
      </c>
    </row>
    <row r="592" spans="6:6">
      <c r="F592" s="188">
        <v>0</v>
      </c>
    </row>
    <row r="593" spans="6:6">
      <c r="F593" s="188">
        <v>0</v>
      </c>
    </row>
    <row r="594" spans="6:6">
      <c r="F594" s="188">
        <v>0</v>
      </c>
    </row>
    <row r="595" spans="6:6">
      <c r="F595" s="188">
        <v>0</v>
      </c>
    </row>
    <row r="596" spans="6:6">
      <c r="F596" s="188">
        <v>0</v>
      </c>
    </row>
    <row r="597" spans="6:6">
      <c r="F597" s="188">
        <v>0</v>
      </c>
    </row>
    <row r="598" spans="6:6">
      <c r="F598" s="188">
        <v>0</v>
      </c>
    </row>
    <row r="599" spans="6:6">
      <c r="F599" s="188">
        <v>0</v>
      </c>
    </row>
    <row r="600" spans="6:6">
      <c r="F600" s="188">
        <v>0</v>
      </c>
    </row>
    <row r="601" spans="6:6">
      <c r="F601" s="188">
        <v>0</v>
      </c>
    </row>
    <row r="602" spans="6:6">
      <c r="F602" s="188">
        <v>0</v>
      </c>
    </row>
    <row r="603" spans="6:6">
      <c r="F603" s="188">
        <v>0</v>
      </c>
    </row>
    <row r="604" spans="6:6">
      <c r="F604" s="188">
        <v>0</v>
      </c>
    </row>
    <row r="605" spans="6:6">
      <c r="F605" s="188">
        <v>0</v>
      </c>
    </row>
    <row r="606" spans="6:6">
      <c r="F606" s="188">
        <v>0</v>
      </c>
    </row>
    <row r="607" spans="6:6">
      <c r="F607" s="188">
        <v>0</v>
      </c>
    </row>
    <row r="608" spans="6:6">
      <c r="F608" s="188">
        <v>0</v>
      </c>
    </row>
    <row r="609" spans="6:6">
      <c r="F609" s="188">
        <v>0</v>
      </c>
    </row>
    <row r="610" spans="6:6">
      <c r="F610" s="188">
        <v>0</v>
      </c>
    </row>
    <row r="611" spans="6:6">
      <c r="F611" s="188">
        <v>0</v>
      </c>
    </row>
    <row r="612" spans="6:6">
      <c r="F612" s="188">
        <v>0</v>
      </c>
    </row>
    <row r="613" spans="6:6">
      <c r="F613" s="188">
        <v>0</v>
      </c>
    </row>
    <row r="614" spans="6:6">
      <c r="F614" s="188">
        <v>0</v>
      </c>
    </row>
    <row r="615" spans="6:6">
      <c r="F615" s="188">
        <v>0</v>
      </c>
    </row>
    <row r="616" spans="6:6">
      <c r="F616" s="188">
        <v>0</v>
      </c>
    </row>
    <row r="617" spans="6:6">
      <c r="F617" s="188">
        <v>0</v>
      </c>
    </row>
    <row r="618" spans="6:6">
      <c r="F618" s="188">
        <v>0</v>
      </c>
    </row>
    <row r="619" spans="6:6">
      <c r="F619" s="188">
        <v>0</v>
      </c>
    </row>
    <row r="620" spans="6:6">
      <c r="F620" s="188">
        <v>0</v>
      </c>
    </row>
    <row r="621" spans="6:6">
      <c r="F621" s="188">
        <v>0</v>
      </c>
    </row>
    <row r="622" spans="6:6">
      <c r="F622" s="188">
        <v>0</v>
      </c>
    </row>
    <row r="623" spans="6:6">
      <c r="F623" s="188">
        <v>0</v>
      </c>
    </row>
    <row r="624" spans="6:6">
      <c r="F624" s="188">
        <v>0</v>
      </c>
    </row>
    <row r="625" spans="6:6">
      <c r="F625" s="188">
        <v>0</v>
      </c>
    </row>
    <row r="626" spans="6:6">
      <c r="F626" s="188">
        <v>0</v>
      </c>
    </row>
    <row r="627" spans="6:6">
      <c r="F627" s="188">
        <v>0</v>
      </c>
    </row>
    <row r="628" spans="6:6">
      <c r="F628" s="188">
        <v>0</v>
      </c>
    </row>
    <row r="629" spans="6:6">
      <c r="F629" s="188">
        <v>0</v>
      </c>
    </row>
    <row r="630" spans="6:6">
      <c r="F630" s="188">
        <v>0</v>
      </c>
    </row>
    <row r="631" spans="6:6">
      <c r="F631" s="188">
        <v>0</v>
      </c>
    </row>
    <row r="632" spans="6:6">
      <c r="F632" s="188">
        <v>0</v>
      </c>
    </row>
    <row r="633" spans="6:6">
      <c r="F633" s="188">
        <v>0</v>
      </c>
    </row>
    <row r="634" spans="6:6">
      <c r="F634" s="188">
        <v>0</v>
      </c>
    </row>
    <row r="635" spans="6:6">
      <c r="F635" s="188">
        <v>0</v>
      </c>
    </row>
    <row r="636" spans="6:6">
      <c r="F636" s="188">
        <v>0</v>
      </c>
    </row>
    <row r="637" spans="6:6">
      <c r="F637" s="188">
        <v>0</v>
      </c>
    </row>
    <row r="638" spans="6:6">
      <c r="F638" s="188">
        <v>0</v>
      </c>
    </row>
    <row r="639" spans="6:6">
      <c r="F639" s="188">
        <v>0</v>
      </c>
    </row>
    <row r="640" spans="6:6">
      <c r="F640" s="188">
        <v>0</v>
      </c>
    </row>
    <row r="641" spans="6:6">
      <c r="F641" s="188">
        <v>0</v>
      </c>
    </row>
    <row r="642" spans="6:6">
      <c r="F642" s="188">
        <v>0</v>
      </c>
    </row>
    <row r="643" spans="6:6">
      <c r="F643" s="188">
        <v>0</v>
      </c>
    </row>
    <row r="644" spans="6:6">
      <c r="F644" s="188">
        <v>0</v>
      </c>
    </row>
    <row r="645" spans="6:6">
      <c r="F645" s="188">
        <v>0</v>
      </c>
    </row>
    <row r="646" spans="6:6">
      <c r="F646" s="188">
        <v>0</v>
      </c>
    </row>
    <row r="647" spans="6:6">
      <c r="F647" s="188">
        <v>0</v>
      </c>
    </row>
    <row r="648" spans="6:6">
      <c r="F648" s="188">
        <v>0</v>
      </c>
    </row>
    <row r="649" spans="6:6">
      <c r="F649" s="188">
        <v>0</v>
      </c>
    </row>
    <row r="650" spans="6:6">
      <c r="F650" s="188">
        <v>0</v>
      </c>
    </row>
    <row r="651" spans="6:6">
      <c r="F651" s="188">
        <v>0</v>
      </c>
    </row>
    <row r="652" spans="6:6">
      <c r="F652" s="188">
        <v>0</v>
      </c>
    </row>
    <row r="653" spans="6:6">
      <c r="F653" s="188">
        <v>0</v>
      </c>
    </row>
    <row r="654" spans="6:6">
      <c r="F654" s="188">
        <v>0</v>
      </c>
    </row>
    <row r="655" spans="6:6">
      <c r="F655" s="188">
        <v>0</v>
      </c>
    </row>
    <row r="656" spans="6:6">
      <c r="F656" s="188">
        <v>0</v>
      </c>
    </row>
    <row r="657" spans="6:6">
      <c r="F657" s="188">
        <v>0</v>
      </c>
    </row>
    <row r="658" spans="6:6">
      <c r="F658" s="188">
        <v>0</v>
      </c>
    </row>
    <row r="659" spans="6:6">
      <c r="F659" s="188">
        <v>0</v>
      </c>
    </row>
    <row r="660" spans="6:6">
      <c r="F660" s="188">
        <v>0</v>
      </c>
    </row>
    <row r="661" spans="6:6">
      <c r="F661" s="188">
        <v>0</v>
      </c>
    </row>
    <row r="662" spans="6:6">
      <c r="F662" s="188">
        <v>0</v>
      </c>
    </row>
    <row r="663" spans="6:6">
      <c r="F663" s="188">
        <v>0</v>
      </c>
    </row>
    <row r="664" spans="6:6">
      <c r="F664" s="188">
        <v>0</v>
      </c>
    </row>
    <row r="665" spans="6:6">
      <c r="F665" s="188">
        <v>0</v>
      </c>
    </row>
    <row r="666" spans="6:6">
      <c r="F666" s="188">
        <v>0</v>
      </c>
    </row>
    <row r="667" spans="6:6">
      <c r="F667" s="188">
        <v>0</v>
      </c>
    </row>
    <row r="668" spans="6:6">
      <c r="F668" s="188">
        <v>0</v>
      </c>
    </row>
    <row r="669" spans="6:6">
      <c r="F669" s="188">
        <v>0</v>
      </c>
    </row>
    <row r="670" spans="6:6">
      <c r="F670" s="188">
        <v>0</v>
      </c>
    </row>
    <row r="671" spans="6:6">
      <c r="F671" s="188">
        <v>0</v>
      </c>
    </row>
    <row r="672" spans="6:6">
      <c r="F672" s="188">
        <v>0</v>
      </c>
    </row>
    <row r="673" spans="6:6">
      <c r="F673" s="188">
        <v>0</v>
      </c>
    </row>
    <row r="674" spans="6:6">
      <c r="F674" s="188">
        <v>0</v>
      </c>
    </row>
    <row r="675" spans="6:6">
      <c r="F675" s="188">
        <v>0</v>
      </c>
    </row>
    <row r="676" spans="6:6">
      <c r="F676" s="188">
        <v>0</v>
      </c>
    </row>
    <row r="677" spans="6:6">
      <c r="F677" s="188">
        <v>0</v>
      </c>
    </row>
    <row r="678" spans="6:6">
      <c r="F678" s="188">
        <v>0</v>
      </c>
    </row>
    <row r="679" spans="6:6">
      <c r="F679" s="188">
        <v>0</v>
      </c>
    </row>
    <row r="680" spans="6:6">
      <c r="F680" s="188">
        <v>0</v>
      </c>
    </row>
    <row r="681" spans="6:6">
      <c r="F681" s="188">
        <v>0</v>
      </c>
    </row>
    <row r="682" spans="6:6">
      <c r="F682" s="188">
        <v>0</v>
      </c>
    </row>
    <row r="683" spans="6:6">
      <c r="F683" s="188">
        <v>0</v>
      </c>
    </row>
    <row r="684" spans="6:6">
      <c r="F684" s="188">
        <v>0</v>
      </c>
    </row>
    <row r="685" spans="6:6">
      <c r="F685" s="188">
        <v>0</v>
      </c>
    </row>
    <row r="686" spans="6:6">
      <c r="F686" s="188">
        <v>0</v>
      </c>
    </row>
    <row r="687" spans="6:6">
      <c r="F687" s="188">
        <v>0</v>
      </c>
    </row>
    <row r="688" spans="6:6">
      <c r="F688" s="188">
        <v>0</v>
      </c>
    </row>
    <row r="689" spans="6:6">
      <c r="F689" s="188">
        <v>0</v>
      </c>
    </row>
    <row r="690" spans="6:6">
      <c r="F690" s="188">
        <v>0</v>
      </c>
    </row>
    <row r="691" spans="6:6">
      <c r="F691" s="188">
        <v>0</v>
      </c>
    </row>
    <row r="692" spans="6:6">
      <c r="F692" s="188">
        <v>0</v>
      </c>
    </row>
    <row r="693" spans="6:6">
      <c r="F693" s="188">
        <v>0</v>
      </c>
    </row>
    <row r="694" spans="6:6">
      <c r="F694" s="188">
        <v>0</v>
      </c>
    </row>
    <row r="695" spans="6:6">
      <c r="F695" s="188">
        <v>0</v>
      </c>
    </row>
    <row r="696" spans="6:6">
      <c r="F696" s="188">
        <v>0</v>
      </c>
    </row>
    <row r="697" spans="6:6">
      <c r="F697" s="188">
        <v>0</v>
      </c>
    </row>
    <row r="698" spans="6:6">
      <c r="F698" s="188">
        <v>0</v>
      </c>
    </row>
    <row r="699" spans="6:6">
      <c r="F699" s="188">
        <v>0</v>
      </c>
    </row>
    <row r="700" spans="6:6">
      <c r="F700" s="188">
        <v>0</v>
      </c>
    </row>
    <row r="701" spans="6:6">
      <c r="F701" s="188">
        <v>0</v>
      </c>
    </row>
    <row r="702" spans="6:6">
      <c r="F702" s="188">
        <v>0</v>
      </c>
    </row>
    <row r="703" spans="6:6">
      <c r="F703" s="188">
        <v>0</v>
      </c>
    </row>
    <row r="704" spans="6:6">
      <c r="F704" s="188">
        <v>0</v>
      </c>
    </row>
    <row r="705" spans="6:6">
      <c r="F705" s="188">
        <v>0</v>
      </c>
    </row>
    <row r="706" spans="6:6">
      <c r="F706" s="188">
        <v>0</v>
      </c>
    </row>
    <row r="707" spans="6:6">
      <c r="F707" s="188">
        <v>0</v>
      </c>
    </row>
    <row r="708" spans="6:6">
      <c r="F708" s="188">
        <v>0</v>
      </c>
    </row>
    <row r="709" spans="6:6">
      <c r="F709" s="188">
        <v>0</v>
      </c>
    </row>
    <row r="710" spans="6:6">
      <c r="F710" s="188">
        <v>0</v>
      </c>
    </row>
    <row r="711" spans="6:6">
      <c r="F711" s="188">
        <v>0</v>
      </c>
    </row>
    <row r="712" spans="6:6">
      <c r="F712" s="188">
        <v>0</v>
      </c>
    </row>
    <row r="713" spans="6:6">
      <c r="F713" s="188">
        <v>0</v>
      </c>
    </row>
    <row r="714" spans="6:6">
      <c r="F714" s="188">
        <v>0</v>
      </c>
    </row>
    <row r="715" spans="6:6">
      <c r="F715" s="188">
        <v>0</v>
      </c>
    </row>
    <row r="716" spans="6:6">
      <c r="F716" s="188">
        <v>0</v>
      </c>
    </row>
    <row r="717" spans="6:6">
      <c r="F717" s="188">
        <v>0</v>
      </c>
    </row>
    <row r="718" spans="6:6">
      <c r="F718" s="188">
        <v>0</v>
      </c>
    </row>
    <row r="719" spans="6:6">
      <c r="F719" s="188">
        <v>0</v>
      </c>
    </row>
    <row r="720" spans="6:6">
      <c r="F720" s="188">
        <v>0</v>
      </c>
    </row>
    <row r="721" spans="6:6">
      <c r="F721" s="188">
        <v>0</v>
      </c>
    </row>
    <row r="722" spans="6:6">
      <c r="F722" s="188">
        <v>0</v>
      </c>
    </row>
    <row r="723" spans="6:6">
      <c r="F723" s="188">
        <v>0</v>
      </c>
    </row>
    <row r="724" spans="6:6">
      <c r="F724" s="188">
        <v>0</v>
      </c>
    </row>
    <row r="725" spans="6:6">
      <c r="F725" s="188">
        <v>0</v>
      </c>
    </row>
    <row r="726" spans="6:6">
      <c r="F726" s="188">
        <v>0</v>
      </c>
    </row>
    <row r="727" spans="6:6">
      <c r="F727" s="188">
        <v>0</v>
      </c>
    </row>
    <row r="728" spans="6:6">
      <c r="F728" s="188">
        <v>0</v>
      </c>
    </row>
    <row r="729" spans="6:6">
      <c r="F729" s="188">
        <v>0</v>
      </c>
    </row>
    <row r="730" spans="6:6">
      <c r="F730" s="188">
        <v>0</v>
      </c>
    </row>
    <row r="731" spans="6:6">
      <c r="F731" s="188">
        <v>0</v>
      </c>
    </row>
    <row r="732" spans="6:6">
      <c r="F732" s="188">
        <v>0</v>
      </c>
    </row>
    <row r="733" spans="6:6">
      <c r="F733" s="188">
        <v>0</v>
      </c>
    </row>
    <row r="734" spans="6:6">
      <c r="F734" s="188">
        <v>0</v>
      </c>
    </row>
    <row r="735" spans="6:6">
      <c r="F735" s="188">
        <v>0</v>
      </c>
    </row>
    <row r="736" spans="6:6">
      <c r="F736" s="188">
        <v>0</v>
      </c>
    </row>
    <row r="737" spans="6:6">
      <c r="F737" s="188">
        <v>0</v>
      </c>
    </row>
    <row r="738" spans="6:6">
      <c r="F738" s="188">
        <v>0</v>
      </c>
    </row>
    <row r="739" spans="6:6">
      <c r="F739" s="188">
        <v>0</v>
      </c>
    </row>
    <row r="740" spans="6:6">
      <c r="F740" s="188">
        <v>0</v>
      </c>
    </row>
    <row r="741" spans="6:6">
      <c r="F741" s="188">
        <v>0</v>
      </c>
    </row>
    <row r="742" spans="6:6">
      <c r="F742" s="188">
        <v>0</v>
      </c>
    </row>
    <row r="743" spans="6:6">
      <c r="F743" s="188">
        <v>0</v>
      </c>
    </row>
    <row r="744" spans="6:6">
      <c r="F744" s="188">
        <v>0</v>
      </c>
    </row>
    <row r="745" spans="6:6">
      <c r="F745" s="188">
        <v>0</v>
      </c>
    </row>
    <row r="746" spans="6:6">
      <c r="F746" s="188">
        <v>0</v>
      </c>
    </row>
    <row r="747" spans="6:6">
      <c r="F747" s="188">
        <v>0</v>
      </c>
    </row>
    <row r="748" spans="6:6">
      <c r="F748" s="188">
        <v>0</v>
      </c>
    </row>
    <row r="749" spans="6:6">
      <c r="F749" s="188">
        <v>0</v>
      </c>
    </row>
    <row r="750" spans="6:6">
      <c r="F750" s="188">
        <v>0</v>
      </c>
    </row>
    <row r="751" spans="6:6">
      <c r="F751" s="188">
        <v>0</v>
      </c>
    </row>
    <row r="752" spans="6:6">
      <c r="F752" s="188">
        <v>0</v>
      </c>
    </row>
    <row r="753" spans="6:6">
      <c r="F753" s="188">
        <v>0</v>
      </c>
    </row>
    <row r="754" spans="6:6">
      <c r="F754" s="188">
        <v>0</v>
      </c>
    </row>
    <row r="755" spans="6:6">
      <c r="F755" s="188">
        <v>0</v>
      </c>
    </row>
    <row r="756" spans="6:6">
      <c r="F756" s="188">
        <v>0</v>
      </c>
    </row>
    <row r="757" spans="6:6">
      <c r="F757" s="188">
        <v>0</v>
      </c>
    </row>
    <row r="758" spans="6:6">
      <c r="F758" s="188">
        <v>0</v>
      </c>
    </row>
    <row r="759" spans="6:6">
      <c r="F759" s="188">
        <v>0</v>
      </c>
    </row>
    <row r="760" spans="6:6">
      <c r="F760" s="188">
        <v>0</v>
      </c>
    </row>
    <row r="761" spans="6:6">
      <c r="F761" s="188">
        <v>0</v>
      </c>
    </row>
    <row r="762" spans="6:6">
      <c r="F762" s="188">
        <v>0</v>
      </c>
    </row>
    <row r="763" spans="6:6">
      <c r="F763" s="188">
        <v>0</v>
      </c>
    </row>
    <row r="764" spans="6:6">
      <c r="F764" s="188">
        <v>0</v>
      </c>
    </row>
    <row r="765" spans="6:6">
      <c r="F765" s="188">
        <v>0</v>
      </c>
    </row>
    <row r="766" spans="6:6">
      <c r="F766" s="188">
        <v>0</v>
      </c>
    </row>
    <row r="767" spans="6:6">
      <c r="F767" s="188">
        <v>0</v>
      </c>
    </row>
    <row r="768" spans="6:6">
      <c r="F768" s="188">
        <v>0</v>
      </c>
    </row>
    <row r="769" spans="6:6">
      <c r="F769" s="188">
        <v>0</v>
      </c>
    </row>
    <row r="770" spans="6:6">
      <c r="F770" s="188">
        <v>0</v>
      </c>
    </row>
    <row r="771" spans="6:6">
      <c r="F771" s="188">
        <v>0</v>
      </c>
    </row>
    <row r="772" spans="6:6">
      <c r="F772" s="188">
        <v>0</v>
      </c>
    </row>
    <row r="773" spans="6:6">
      <c r="F773" s="188">
        <v>0</v>
      </c>
    </row>
    <row r="774" spans="6:6">
      <c r="F774" s="188">
        <v>0</v>
      </c>
    </row>
    <row r="775" spans="6:6">
      <c r="F775" s="188">
        <v>0</v>
      </c>
    </row>
    <row r="776" spans="6:6">
      <c r="F776" s="188">
        <v>0</v>
      </c>
    </row>
    <row r="777" spans="6:6">
      <c r="F777" s="188">
        <v>0</v>
      </c>
    </row>
    <row r="778" spans="6:6">
      <c r="F778" s="188">
        <v>0</v>
      </c>
    </row>
    <row r="779" spans="6:6">
      <c r="F779" s="188">
        <v>0</v>
      </c>
    </row>
    <row r="780" spans="6:6">
      <c r="F780" s="188">
        <v>0</v>
      </c>
    </row>
    <row r="781" spans="6:6">
      <c r="F781" s="188">
        <v>0</v>
      </c>
    </row>
    <row r="782" spans="6:6">
      <c r="F782" s="188">
        <v>0</v>
      </c>
    </row>
    <row r="783" spans="6:6">
      <c r="F783" s="188">
        <v>0</v>
      </c>
    </row>
    <row r="784" spans="6:6">
      <c r="F784" s="188">
        <v>0</v>
      </c>
    </row>
    <row r="785" spans="6:6">
      <c r="F785" s="188">
        <v>0</v>
      </c>
    </row>
    <row r="786" spans="6:6">
      <c r="F786" s="188">
        <v>0</v>
      </c>
    </row>
    <row r="787" spans="6:6">
      <c r="F787" s="188">
        <v>0</v>
      </c>
    </row>
    <row r="788" spans="6:6">
      <c r="F788" s="188">
        <v>0</v>
      </c>
    </row>
    <row r="789" spans="6:6">
      <c r="F789" s="188">
        <v>0</v>
      </c>
    </row>
    <row r="790" spans="6:6">
      <c r="F790" s="188">
        <v>0</v>
      </c>
    </row>
    <row r="791" spans="6:6">
      <c r="F791" s="188">
        <v>0</v>
      </c>
    </row>
    <row r="792" spans="6:6">
      <c r="F792" s="188">
        <v>0</v>
      </c>
    </row>
    <row r="793" spans="6:6">
      <c r="F793" s="188">
        <v>0</v>
      </c>
    </row>
    <row r="794" spans="6:6">
      <c r="F794" s="188">
        <v>0</v>
      </c>
    </row>
    <row r="795" spans="6:6">
      <c r="F795" s="188">
        <v>0</v>
      </c>
    </row>
    <row r="796" spans="6:6">
      <c r="F796" s="188">
        <v>0</v>
      </c>
    </row>
    <row r="797" spans="6:6">
      <c r="F797" s="188">
        <v>0</v>
      </c>
    </row>
    <row r="798" spans="6:6">
      <c r="F798" s="188">
        <v>0</v>
      </c>
    </row>
    <row r="799" spans="6:6">
      <c r="F799" s="188">
        <v>0</v>
      </c>
    </row>
    <row r="800" spans="6:6">
      <c r="F800" s="188">
        <v>0</v>
      </c>
    </row>
    <row r="801" spans="6:6">
      <c r="F801" s="188">
        <v>0</v>
      </c>
    </row>
    <row r="802" spans="6:6">
      <c r="F802" s="188">
        <v>0</v>
      </c>
    </row>
    <row r="803" spans="6:6">
      <c r="F803" s="188">
        <v>0</v>
      </c>
    </row>
    <row r="804" spans="6:6">
      <c r="F804" s="188">
        <v>0</v>
      </c>
    </row>
    <row r="805" spans="6:6">
      <c r="F805" s="188">
        <v>0</v>
      </c>
    </row>
    <row r="806" spans="6:6">
      <c r="F806" s="188">
        <v>0</v>
      </c>
    </row>
    <row r="807" spans="6:6">
      <c r="F807" s="188">
        <v>0</v>
      </c>
    </row>
    <row r="808" spans="6:6">
      <c r="F808" s="188">
        <v>0</v>
      </c>
    </row>
    <row r="809" spans="6:6">
      <c r="F809" s="188">
        <v>0</v>
      </c>
    </row>
    <row r="810" spans="6:6">
      <c r="F810" s="188">
        <v>0</v>
      </c>
    </row>
    <row r="811" spans="6:6">
      <c r="F811" s="188">
        <v>0</v>
      </c>
    </row>
    <row r="812" spans="6:6">
      <c r="F812" s="188">
        <v>0</v>
      </c>
    </row>
    <row r="813" spans="6:6">
      <c r="F813" s="188">
        <v>0</v>
      </c>
    </row>
    <row r="814" spans="6:6">
      <c r="F814" s="188">
        <v>0</v>
      </c>
    </row>
    <row r="815" spans="6:6">
      <c r="F815" s="188">
        <v>0</v>
      </c>
    </row>
    <row r="816" spans="6:6">
      <c r="F816" s="188">
        <v>0</v>
      </c>
    </row>
    <row r="817" spans="6:6">
      <c r="F817" s="188">
        <v>0</v>
      </c>
    </row>
    <row r="818" spans="6:6">
      <c r="F818" s="188">
        <v>0</v>
      </c>
    </row>
    <row r="819" spans="6:6">
      <c r="F819" s="188">
        <v>0</v>
      </c>
    </row>
    <row r="820" spans="6:6">
      <c r="F820" s="188">
        <v>0</v>
      </c>
    </row>
    <row r="821" spans="6:6">
      <c r="F821" s="188">
        <v>0</v>
      </c>
    </row>
    <row r="822" spans="6:6">
      <c r="F822" s="188">
        <v>0</v>
      </c>
    </row>
    <row r="823" spans="6:6">
      <c r="F823" s="188">
        <v>0</v>
      </c>
    </row>
    <row r="824" spans="6:6">
      <c r="F824" s="188">
        <v>0</v>
      </c>
    </row>
    <row r="825" spans="6:6">
      <c r="F825" s="188">
        <v>0</v>
      </c>
    </row>
    <row r="826" spans="6:6">
      <c r="F826" s="188">
        <v>0</v>
      </c>
    </row>
    <row r="827" spans="6:6">
      <c r="F827" s="188">
        <v>0</v>
      </c>
    </row>
    <row r="828" spans="6:6">
      <c r="F828" s="188">
        <v>0</v>
      </c>
    </row>
    <row r="829" spans="6:6">
      <c r="F829" s="188">
        <v>0</v>
      </c>
    </row>
    <row r="830" spans="6:6">
      <c r="F830" s="188">
        <v>0</v>
      </c>
    </row>
    <row r="831" spans="6:6">
      <c r="F831" s="188">
        <v>0</v>
      </c>
    </row>
    <row r="832" spans="6:6">
      <c r="F832" s="188">
        <v>0</v>
      </c>
    </row>
    <row r="833" spans="6:6">
      <c r="F833" s="188">
        <v>0</v>
      </c>
    </row>
    <row r="834" spans="6:6">
      <c r="F834" s="188">
        <v>0</v>
      </c>
    </row>
    <row r="835" spans="6:6">
      <c r="F835" s="188">
        <v>0</v>
      </c>
    </row>
    <row r="836" spans="6:6">
      <c r="F836" s="188">
        <v>0</v>
      </c>
    </row>
    <row r="837" spans="6:6">
      <c r="F837" s="188">
        <v>0</v>
      </c>
    </row>
    <row r="838" spans="6:6">
      <c r="F838" s="188">
        <v>0</v>
      </c>
    </row>
    <row r="839" spans="6:6">
      <c r="F839" s="188">
        <v>0</v>
      </c>
    </row>
    <row r="840" spans="6:6">
      <c r="F840" s="188">
        <v>0</v>
      </c>
    </row>
    <row r="841" spans="6:6">
      <c r="F841" s="188">
        <v>0</v>
      </c>
    </row>
    <row r="842" spans="6:6">
      <c r="F842" s="188">
        <v>0</v>
      </c>
    </row>
    <row r="843" spans="6:6">
      <c r="F843" s="188">
        <v>0</v>
      </c>
    </row>
    <row r="844" spans="6:6">
      <c r="F844" s="188">
        <v>0</v>
      </c>
    </row>
    <row r="845" spans="6:6">
      <c r="F845" s="188">
        <v>0</v>
      </c>
    </row>
    <row r="846" spans="6:6">
      <c r="F846" s="188">
        <v>0</v>
      </c>
    </row>
    <row r="847" spans="6:6">
      <c r="F847" s="188">
        <v>0</v>
      </c>
    </row>
    <row r="848" spans="6:6">
      <c r="F848" s="188">
        <v>0</v>
      </c>
    </row>
    <row r="849" spans="6:6">
      <c r="F849" s="188">
        <v>0</v>
      </c>
    </row>
    <row r="850" spans="6:6">
      <c r="F850" s="188">
        <v>0</v>
      </c>
    </row>
    <row r="851" spans="6:6">
      <c r="F851" s="188">
        <v>0</v>
      </c>
    </row>
    <row r="852" spans="6:6">
      <c r="F852" s="188">
        <v>0</v>
      </c>
    </row>
    <row r="853" spans="6:6">
      <c r="F853" s="188">
        <v>0</v>
      </c>
    </row>
    <row r="854" spans="6:6">
      <c r="F854" s="188">
        <v>0</v>
      </c>
    </row>
    <row r="855" spans="6:6">
      <c r="F855" s="188">
        <v>0</v>
      </c>
    </row>
    <row r="856" spans="6:6">
      <c r="F856" s="188">
        <v>0</v>
      </c>
    </row>
    <row r="857" spans="6:6">
      <c r="F857" s="188">
        <v>0</v>
      </c>
    </row>
    <row r="858" spans="6:6">
      <c r="F858" s="188">
        <v>0</v>
      </c>
    </row>
    <row r="859" spans="6:6">
      <c r="F859" s="188">
        <v>0</v>
      </c>
    </row>
    <row r="860" spans="6:6">
      <c r="F860" s="188">
        <v>0</v>
      </c>
    </row>
    <row r="861" spans="6:6">
      <c r="F861" s="188">
        <v>0</v>
      </c>
    </row>
    <row r="862" spans="6:6">
      <c r="F862" s="188">
        <v>0</v>
      </c>
    </row>
    <row r="863" spans="6:6">
      <c r="F863" s="188">
        <v>0</v>
      </c>
    </row>
    <row r="864" spans="6:6">
      <c r="F864" s="188">
        <v>0</v>
      </c>
    </row>
    <row r="865" spans="6:6">
      <c r="F865" s="188">
        <v>0</v>
      </c>
    </row>
    <row r="866" spans="6:6">
      <c r="F866" s="188">
        <v>0</v>
      </c>
    </row>
    <row r="867" spans="6:6">
      <c r="F867" s="188">
        <v>0</v>
      </c>
    </row>
    <row r="868" spans="6:6">
      <c r="F868" s="188">
        <v>0</v>
      </c>
    </row>
    <row r="869" spans="6:6">
      <c r="F869" s="188">
        <v>0</v>
      </c>
    </row>
    <row r="870" spans="6:6">
      <c r="F870" s="188">
        <v>0</v>
      </c>
    </row>
    <row r="871" spans="6:6">
      <c r="F871" s="188">
        <v>0</v>
      </c>
    </row>
    <row r="872" spans="6:6">
      <c r="F872" s="188">
        <v>0</v>
      </c>
    </row>
    <row r="873" spans="6:6">
      <c r="F873" s="188">
        <v>0</v>
      </c>
    </row>
    <row r="874" spans="6:6">
      <c r="F874" s="188">
        <v>0</v>
      </c>
    </row>
    <row r="875" spans="6:6">
      <c r="F875" s="188">
        <v>0</v>
      </c>
    </row>
    <row r="876" spans="6:6">
      <c r="F876" s="188">
        <v>0</v>
      </c>
    </row>
    <row r="877" spans="6:6">
      <c r="F877" s="188">
        <v>0</v>
      </c>
    </row>
    <row r="878" spans="6:6">
      <c r="F878" s="188">
        <v>0</v>
      </c>
    </row>
    <row r="879" spans="6:6">
      <c r="F879" s="188">
        <v>0</v>
      </c>
    </row>
    <row r="880" spans="6:6">
      <c r="F880" s="188">
        <v>0</v>
      </c>
    </row>
    <row r="881" spans="6:6">
      <c r="F881" s="188">
        <v>0</v>
      </c>
    </row>
    <row r="882" spans="6:6">
      <c r="F882" s="188">
        <v>0</v>
      </c>
    </row>
    <row r="883" spans="6:6">
      <c r="F883" s="188">
        <v>0</v>
      </c>
    </row>
    <row r="884" spans="6:6">
      <c r="F884" s="188">
        <v>0</v>
      </c>
    </row>
    <row r="885" spans="6:6">
      <c r="F885" s="188">
        <v>0</v>
      </c>
    </row>
    <row r="886" spans="6:6">
      <c r="F886" s="188">
        <v>0</v>
      </c>
    </row>
    <row r="887" spans="6:6">
      <c r="F887" s="188">
        <v>0</v>
      </c>
    </row>
    <row r="888" spans="6:6">
      <c r="F888" s="188">
        <v>0</v>
      </c>
    </row>
    <row r="889" spans="6:6">
      <c r="F889" s="188">
        <v>0</v>
      </c>
    </row>
    <row r="890" spans="6:6">
      <c r="F890" s="188">
        <v>0</v>
      </c>
    </row>
    <row r="891" spans="6:6">
      <c r="F891" s="188">
        <v>0</v>
      </c>
    </row>
    <row r="892" spans="6:6">
      <c r="F892" s="188">
        <v>0</v>
      </c>
    </row>
    <row r="893" spans="6:6">
      <c r="F893" s="188">
        <v>0</v>
      </c>
    </row>
    <row r="894" spans="6:6">
      <c r="F894" s="188">
        <v>0</v>
      </c>
    </row>
    <row r="895" spans="6:6">
      <c r="F895" s="188">
        <v>0</v>
      </c>
    </row>
    <row r="896" spans="6:6">
      <c r="F896" s="188">
        <v>0</v>
      </c>
    </row>
    <row r="897" spans="6:6">
      <c r="F897" s="188">
        <v>0</v>
      </c>
    </row>
    <row r="898" spans="6:6">
      <c r="F898" s="188">
        <v>0</v>
      </c>
    </row>
    <row r="899" spans="6:6">
      <c r="F899" s="188">
        <v>0</v>
      </c>
    </row>
    <row r="900" spans="6:6">
      <c r="F900" s="188">
        <v>0</v>
      </c>
    </row>
    <row r="901" spans="6:6">
      <c r="F901" s="188">
        <v>0</v>
      </c>
    </row>
    <row r="902" spans="6:6">
      <c r="F902" s="188">
        <v>0</v>
      </c>
    </row>
    <row r="903" spans="6:6">
      <c r="F903" s="188">
        <v>0</v>
      </c>
    </row>
    <row r="904" spans="6:6">
      <c r="F904" s="188">
        <v>0</v>
      </c>
    </row>
    <row r="905" spans="6:6">
      <c r="F905" s="188">
        <v>0</v>
      </c>
    </row>
    <row r="906" spans="6:6">
      <c r="F906" s="188">
        <v>0</v>
      </c>
    </row>
    <row r="907" spans="6:6">
      <c r="F907" s="188">
        <v>0</v>
      </c>
    </row>
    <row r="908" spans="6:6">
      <c r="F908" s="188">
        <v>0</v>
      </c>
    </row>
    <row r="909" spans="6:6">
      <c r="F909" s="188">
        <v>0</v>
      </c>
    </row>
    <row r="910" spans="6:6">
      <c r="F910" s="188">
        <v>0</v>
      </c>
    </row>
    <row r="911" spans="6:6">
      <c r="F911" s="188">
        <v>0</v>
      </c>
    </row>
    <row r="912" spans="6:6">
      <c r="F912" s="188">
        <v>0</v>
      </c>
    </row>
    <row r="913" spans="6:6">
      <c r="F913" s="188">
        <v>0</v>
      </c>
    </row>
    <row r="914" spans="6:6">
      <c r="F914" s="188">
        <v>0</v>
      </c>
    </row>
    <row r="915" spans="6:6">
      <c r="F915" s="188">
        <v>0</v>
      </c>
    </row>
    <row r="916" spans="6:6">
      <c r="F916" s="188">
        <v>0</v>
      </c>
    </row>
    <row r="917" spans="6:6">
      <c r="F917" s="188">
        <v>0</v>
      </c>
    </row>
    <row r="918" spans="6:6">
      <c r="F918" s="188">
        <v>0</v>
      </c>
    </row>
    <row r="919" spans="6:6">
      <c r="F919" s="188">
        <v>0</v>
      </c>
    </row>
    <row r="920" spans="6:6">
      <c r="F920" s="188">
        <v>0</v>
      </c>
    </row>
    <row r="921" spans="6:6">
      <c r="F921" s="188">
        <v>0</v>
      </c>
    </row>
    <row r="922" spans="6:6">
      <c r="F922" s="188">
        <v>0</v>
      </c>
    </row>
    <row r="923" spans="6:6">
      <c r="F923" s="188">
        <v>0</v>
      </c>
    </row>
    <row r="924" spans="6:6">
      <c r="F924" s="188">
        <v>0</v>
      </c>
    </row>
    <row r="925" spans="6:6">
      <c r="F925" s="188">
        <v>0</v>
      </c>
    </row>
    <row r="926" spans="6:6">
      <c r="F926" s="188">
        <v>0</v>
      </c>
    </row>
    <row r="927" spans="6:6">
      <c r="F927" s="188">
        <v>0</v>
      </c>
    </row>
    <row r="928" spans="6:6">
      <c r="F928" s="188">
        <v>0</v>
      </c>
    </row>
    <row r="929" spans="6:6">
      <c r="F929" s="188">
        <v>0</v>
      </c>
    </row>
    <row r="930" spans="6:6">
      <c r="F930" s="188">
        <v>0</v>
      </c>
    </row>
    <row r="931" spans="6:6">
      <c r="F931" s="188">
        <v>0</v>
      </c>
    </row>
    <row r="932" spans="6:6">
      <c r="F932" s="188">
        <v>0</v>
      </c>
    </row>
    <row r="933" spans="6:6">
      <c r="F933" s="188">
        <v>0</v>
      </c>
    </row>
    <row r="934" spans="6:6">
      <c r="F934" s="188">
        <v>0</v>
      </c>
    </row>
    <row r="935" spans="6:6">
      <c r="F935" s="188">
        <v>0</v>
      </c>
    </row>
    <row r="936" spans="6:6">
      <c r="F936" s="188">
        <v>0</v>
      </c>
    </row>
    <row r="937" spans="6:6">
      <c r="F937" s="188">
        <v>0</v>
      </c>
    </row>
    <row r="938" spans="6:6">
      <c r="F938" s="188">
        <v>0</v>
      </c>
    </row>
    <row r="939" spans="6:6">
      <c r="F939" s="188">
        <v>0</v>
      </c>
    </row>
    <row r="940" spans="6:6">
      <c r="F940" s="188">
        <v>0</v>
      </c>
    </row>
    <row r="941" spans="6:6">
      <c r="F941" s="188">
        <v>0</v>
      </c>
    </row>
    <row r="942" spans="6:6">
      <c r="F942" s="188">
        <v>0</v>
      </c>
    </row>
    <row r="943" spans="6:6">
      <c r="F943" s="188">
        <v>0</v>
      </c>
    </row>
    <row r="944" spans="6:6">
      <c r="F944" s="188">
        <v>0</v>
      </c>
    </row>
    <row r="945" spans="6:6">
      <c r="F945" s="188">
        <v>0</v>
      </c>
    </row>
    <row r="946" spans="6:6">
      <c r="F946" s="188">
        <v>0</v>
      </c>
    </row>
    <row r="947" spans="6:6">
      <c r="F947" s="188">
        <v>0</v>
      </c>
    </row>
    <row r="948" spans="6:6">
      <c r="F948" s="188">
        <v>0</v>
      </c>
    </row>
    <row r="949" spans="6:6">
      <c r="F949" s="188">
        <v>0</v>
      </c>
    </row>
    <row r="950" spans="6:6">
      <c r="F950" s="188">
        <v>0</v>
      </c>
    </row>
    <row r="951" spans="6:6">
      <c r="F951" s="188">
        <v>0</v>
      </c>
    </row>
    <row r="952" spans="6:6">
      <c r="F952" s="188">
        <v>0</v>
      </c>
    </row>
    <row r="953" spans="6:6">
      <c r="F953" s="188">
        <v>0</v>
      </c>
    </row>
    <row r="954" spans="6:6">
      <c r="F954" s="188">
        <v>0</v>
      </c>
    </row>
    <row r="955" spans="6:6">
      <c r="F955" s="188">
        <v>0</v>
      </c>
    </row>
    <row r="956" spans="6:6">
      <c r="F956" s="188">
        <v>0</v>
      </c>
    </row>
    <row r="957" spans="6:6">
      <c r="F957" s="188">
        <v>0</v>
      </c>
    </row>
    <row r="958" spans="6:6">
      <c r="F958" s="188">
        <v>0</v>
      </c>
    </row>
    <row r="959" spans="6:6">
      <c r="F959" s="188">
        <v>0</v>
      </c>
    </row>
    <row r="960" spans="6:6">
      <c r="F960" s="188">
        <v>0</v>
      </c>
    </row>
    <row r="961" spans="6:6">
      <c r="F961" s="188">
        <v>0</v>
      </c>
    </row>
    <row r="962" spans="6:6">
      <c r="F962" s="188">
        <v>0</v>
      </c>
    </row>
    <row r="963" spans="6:6">
      <c r="F963" s="188">
        <v>0</v>
      </c>
    </row>
    <row r="964" spans="6:6">
      <c r="F964" s="188">
        <v>0</v>
      </c>
    </row>
    <row r="965" spans="6:6">
      <c r="F965" s="188">
        <v>0</v>
      </c>
    </row>
    <row r="966" spans="6:6">
      <c r="F966" s="188">
        <v>0</v>
      </c>
    </row>
    <row r="967" spans="6:6">
      <c r="F967" s="188">
        <v>0</v>
      </c>
    </row>
    <row r="968" spans="6:6">
      <c r="F968" s="188">
        <v>0</v>
      </c>
    </row>
    <row r="969" spans="6:6">
      <c r="F969" s="188">
        <v>0</v>
      </c>
    </row>
    <row r="970" spans="6:6">
      <c r="F970" s="188">
        <v>0</v>
      </c>
    </row>
    <row r="971" spans="6:6">
      <c r="F971" s="188">
        <v>0</v>
      </c>
    </row>
    <row r="972" spans="6:6">
      <c r="F972" s="188">
        <v>0</v>
      </c>
    </row>
    <row r="973" spans="6:6">
      <c r="F973" s="188">
        <v>0</v>
      </c>
    </row>
    <row r="974" spans="6:6">
      <c r="F974" s="188">
        <v>0</v>
      </c>
    </row>
    <row r="975" spans="6:6">
      <c r="F975" s="188">
        <v>0</v>
      </c>
    </row>
    <row r="976" spans="6:6">
      <c r="F976" s="188">
        <v>0</v>
      </c>
    </row>
    <row r="977" spans="6:6">
      <c r="F977" s="188">
        <v>0</v>
      </c>
    </row>
    <row r="978" spans="6:6">
      <c r="F978" s="188">
        <v>0</v>
      </c>
    </row>
    <row r="979" spans="6:6">
      <c r="F979" s="188">
        <v>0</v>
      </c>
    </row>
    <row r="980" spans="6:6">
      <c r="F980" s="188">
        <v>0</v>
      </c>
    </row>
    <row r="981" spans="6:6">
      <c r="F981" s="188">
        <v>0</v>
      </c>
    </row>
    <row r="982" spans="6:6">
      <c r="F982" s="188">
        <v>0</v>
      </c>
    </row>
    <row r="983" spans="6:6">
      <c r="F983" s="188">
        <v>0</v>
      </c>
    </row>
    <row r="984" spans="6:6">
      <c r="F984" s="188">
        <v>0</v>
      </c>
    </row>
    <row r="985" spans="6:6">
      <c r="F985" s="188">
        <v>0</v>
      </c>
    </row>
    <row r="986" spans="6:6">
      <c r="F986" s="188">
        <v>0</v>
      </c>
    </row>
    <row r="987" spans="6:6">
      <c r="F987" s="188">
        <v>0</v>
      </c>
    </row>
    <row r="988" spans="6:6">
      <c r="F988" s="188">
        <v>0</v>
      </c>
    </row>
    <row r="989" spans="6:6">
      <c r="F989" s="188">
        <v>0</v>
      </c>
    </row>
    <row r="990" spans="6:6">
      <c r="F990" s="188">
        <v>0</v>
      </c>
    </row>
    <row r="991" spans="6:6">
      <c r="F991" s="188">
        <v>0</v>
      </c>
    </row>
    <row r="992" spans="6:6">
      <c r="F992" s="188">
        <v>0</v>
      </c>
    </row>
    <row r="993" spans="6:6">
      <c r="F993" s="188">
        <v>0</v>
      </c>
    </row>
    <row r="994" spans="6:6">
      <c r="F994" s="188">
        <v>0</v>
      </c>
    </row>
    <row r="995" spans="6:6">
      <c r="F995" s="188">
        <v>0</v>
      </c>
    </row>
    <row r="996" spans="6:6">
      <c r="F996" s="188">
        <v>0</v>
      </c>
    </row>
    <row r="997" spans="6:6">
      <c r="F997" s="188">
        <v>0</v>
      </c>
    </row>
    <row r="998" spans="6:6">
      <c r="F998" s="188">
        <v>0</v>
      </c>
    </row>
    <row r="999" spans="6:6">
      <c r="F999" s="188">
        <v>0</v>
      </c>
    </row>
    <row r="1000" spans="6:6">
      <c r="F1000" s="188">
        <v>0</v>
      </c>
    </row>
    <row r="1001" spans="6:6">
      <c r="F1001" s="188">
        <v>0</v>
      </c>
    </row>
    <row r="1002" spans="6:6">
      <c r="F1002" s="188">
        <v>0</v>
      </c>
    </row>
    <row r="1003" spans="6:6">
      <c r="F1003" s="188">
        <v>0</v>
      </c>
    </row>
    <row r="1004" spans="6:6">
      <c r="F1004" s="188">
        <v>0</v>
      </c>
    </row>
    <row r="1005" spans="6:6">
      <c r="F1005" s="188">
        <v>0</v>
      </c>
    </row>
    <row r="1006" spans="6:6">
      <c r="F1006" s="188">
        <v>0</v>
      </c>
    </row>
    <row r="1007" spans="6:6">
      <c r="F1007" s="188">
        <v>0</v>
      </c>
    </row>
    <row r="1008" spans="6:6">
      <c r="F1008" s="188">
        <v>0</v>
      </c>
    </row>
    <row r="1009" spans="6:6">
      <c r="F1009" s="188">
        <v>0</v>
      </c>
    </row>
    <row r="1010" spans="6:6">
      <c r="F1010" s="188">
        <v>0</v>
      </c>
    </row>
    <row r="1011" spans="6:6">
      <c r="F1011" s="188">
        <v>0</v>
      </c>
    </row>
    <row r="1012" spans="6:6">
      <c r="F1012" s="188">
        <v>0</v>
      </c>
    </row>
    <row r="1013" spans="6:6">
      <c r="F1013" s="188">
        <v>0</v>
      </c>
    </row>
    <row r="1014" spans="6:6">
      <c r="F1014" s="188">
        <v>0</v>
      </c>
    </row>
    <row r="1015" spans="6:6">
      <c r="F1015" s="188">
        <v>0</v>
      </c>
    </row>
    <row r="1016" spans="6:6">
      <c r="F1016" s="188">
        <v>0</v>
      </c>
    </row>
    <row r="1017" spans="6:6">
      <c r="F1017" s="188">
        <v>0</v>
      </c>
    </row>
    <row r="1018" spans="6:6">
      <c r="F1018" s="188">
        <v>0</v>
      </c>
    </row>
    <row r="1019" spans="6:6">
      <c r="F1019" s="188">
        <v>0</v>
      </c>
    </row>
    <row r="1020" spans="6:6">
      <c r="F1020" s="188">
        <v>0</v>
      </c>
    </row>
    <row r="1021" spans="6:6">
      <c r="F1021" s="188">
        <v>0</v>
      </c>
    </row>
    <row r="1022" spans="6:6">
      <c r="F1022" s="188">
        <v>0</v>
      </c>
    </row>
    <row r="1023" spans="6:6">
      <c r="F1023" s="188">
        <v>0</v>
      </c>
    </row>
    <row r="1024" spans="6:6">
      <c r="F1024" s="188">
        <v>0</v>
      </c>
    </row>
    <row r="1025" spans="6:6">
      <c r="F1025" s="188">
        <v>0</v>
      </c>
    </row>
    <row r="1026" spans="6:6">
      <c r="F1026" s="188">
        <v>0</v>
      </c>
    </row>
    <row r="1027" spans="6:6">
      <c r="F1027" s="188">
        <v>0</v>
      </c>
    </row>
    <row r="1028" spans="6:6">
      <c r="F1028" s="188">
        <v>0</v>
      </c>
    </row>
    <row r="1029" spans="6:6">
      <c r="F1029" s="188">
        <v>0</v>
      </c>
    </row>
    <row r="1030" spans="6:6">
      <c r="F1030" s="188">
        <v>0</v>
      </c>
    </row>
    <row r="1031" spans="6:6">
      <c r="F1031" s="188">
        <v>0</v>
      </c>
    </row>
    <row r="1032" spans="6:6">
      <c r="F1032" s="188">
        <v>0</v>
      </c>
    </row>
    <row r="1033" spans="6:6">
      <c r="F1033" s="188">
        <v>0</v>
      </c>
    </row>
    <row r="1034" spans="6:6">
      <c r="F1034" s="188">
        <v>0</v>
      </c>
    </row>
    <row r="1035" spans="6:6">
      <c r="F1035" s="188">
        <v>0</v>
      </c>
    </row>
    <row r="1036" spans="6:6">
      <c r="F1036" s="188">
        <v>0</v>
      </c>
    </row>
    <row r="1037" spans="6:6">
      <c r="F1037" s="188">
        <v>0</v>
      </c>
    </row>
    <row r="1038" spans="6:6">
      <c r="F1038" s="188">
        <v>0</v>
      </c>
    </row>
    <row r="1039" spans="6:6">
      <c r="F1039" s="188">
        <v>0</v>
      </c>
    </row>
    <row r="1040" spans="6:6">
      <c r="F1040" s="188">
        <v>0</v>
      </c>
    </row>
    <row r="1041" spans="6:6">
      <c r="F1041" s="188">
        <v>0</v>
      </c>
    </row>
    <row r="1042" spans="6:6">
      <c r="F1042" s="188">
        <v>0</v>
      </c>
    </row>
    <row r="1043" spans="6:6">
      <c r="F1043" s="188">
        <v>0</v>
      </c>
    </row>
    <row r="1044" spans="6:6">
      <c r="F1044" s="188">
        <v>0</v>
      </c>
    </row>
    <row r="1045" spans="6:6">
      <c r="F1045" s="188">
        <v>0</v>
      </c>
    </row>
    <row r="1046" spans="6:6">
      <c r="F1046" s="188">
        <v>0</v>
      </c>
    </row>
    <row r="1047" spans="6:6">
      <c r="F1047" s="188">
        <v>0</v>
      </c>
    </row>
    <row r="1048" spans="6:6">
      <c r="F1048" s="188">
        <v>0</v>
      </c>
    </row>
    <row r="1049" spans="6:6">
      <c r="F1049" s="188">
        <v>0</v>
      </c>
    </row>
    <row r="1050" spans="6:6">
      <c r="F1050" s="188">
        <v>0</v>
      </c>
    </row>
    <row r="1051" spans="6:6">
      <c r="F1051" s="188">
        <v>0</v>
      </c>
    </row>
    <row r="1052" spans="6:6">
      <c r="F1052" s="188">
        <v>0</v>
      </c>
    </row>
    <row r="1053" spans="6:6">
      <c r="F1053" s="188">
        <v>0</v>
      </c>
    </row>
    <row r="1054" spans="6:6">
      <c r="F1054" s="188">
        <v>0</v>
      </c>
    </row>
    <row r="1055" spans="6:6">
      <c r="F1055" s="188">
        <v>0</v>
      </c>
    </row>
    <row r="1056" spans="6:6">
      <c r="F1056" s="188">
        <v>0</v>
      </c>
    </row>
    <row r="1057" spans="6:6">
      <c r="F1057" s="188">
        <v>0</v>
      </c>
    </row>
    <row r="1058" spans="6:6">
      <c r="F1058" s="188">
        <v>0</v>
      </c>
    </row>
    <row r="1059" spans="6:6">
      <c r="F1059" s="188">
        <v>0</v>
      </c>
    </row>
    <row r="1060" spans="6:6">
      <c r="F1060" s="188">
        <v>0</v>
      </c>
    </row>
    <row r="1061" spans="6:6">
      <c r="F1061" s="188">
        <v>0</v>
      </c>
    </row>
    <row r="1062" spans="6:6">
      <c r="F1062" s="188">
        <v>0</v>
      </c>
    </row>
    <row r="1063" spans="6:6">
      <c r="F1063" s="188">
        <v>0</v>
      </c>
    </row>
    <row r="1064" spans="6:6">
      <c r="F1064" s="188">
        <v>0</v>
      </c>
    </row>
    <row r="1065" spans="6:6">
      <c r="F1065" s="188">
        <v>0</v>
      </c>
    </row>
    <row r="1066" spans="6:6">
      <c r="F1066" s="188">
        <v>0</v>
      </c>
    </row>
    <row r="1067" spans="6:6">
      <c r="F1067" s="188">
        <v>0</v>
      </c>
    </row>
    <row r="1068" spans="6:6">
      <c r="F1068" s="188">
        <v>0</v>
      </c>
    </row>
    <row r="1069" spans="6:6">
      <c r="F1069" s="188">
        <v>0</v>
      </c>
    </row>
    <row r="1070" spans="6:6">
      <c r="F1070" s="188">
        <v>0</v>
      </c>
    </row>
    <row r="1071" spans="6:6">
      <c r="F1071" s="188">
        <v>0</v>
      </c>
    </row>
    <row r="1072" spans="6:6">
      <c r="F1072" s="188">
        <v>0</v>
      </c>
    </row>
    <row r="1073" spans="6:6">
      <c r="F1073" s="188">
        <v>0</v>
      </c>
    </row>
    <row r="1074" spans="6:6">
      <c r="F1074" s="188">
        <v>0</v>
      </c>
    </row>
    <row r="1075" spans="6:6">
      <c r="F1075" s="188">
        <v>0</v>
      </c>
    </row>
    <row r="1076" spans="6:6">
      <c r="F1076" s="188">
        <v>0</v>
      </c>
    </row>
    <row r="1077" spans="6:6">
      <c r="F1077" s="188">
        <v>0</v>
      </c>
    </row>
    <row r="1078" spans="6:6">
      <c r="F1078" s="188">
        <v>0</v>
      </c>
    </row>
    <row r="1079" spans="6:6">
      <c r="F1079" s="188">
        <v>0</v>
      </c>
    </row>
    <row r="1080" spans="6:6">
      <c r="F1080" s="188">
        <v>0</v>
      </c>
    </row>
    <row r="1081" spans="6:6">
      <c r="F1081" s="188">
        <v>0</v>
      </c>
    </row>
    <row r="1082" spans="6:6">
      <c r="F1082" s="188">
        <v>0</v>
      </c>
    </row>
    <row r="1083" spans="6:6">
      <c r="F1083" s="188">
        <v>0</v>
      </c>
    </row>
    <row r="1084" spans="6:6">
      <c r="F1084" s="188">
        <v>0</v>
      </c>
    </row>
    <row r="1085" spans="6:6">
      <c r="F1085" s="188">
        <v>0</v>
      </c>
    </row>
    <row r="1086" spans="6:6">
      <c r="F1086" s="188">
        <v>0</v>
      </c>
    </row>
    <row r="1087" spans="6:6">
      <c r="F1087" s="188">
        <v>0</v>
      </c>
    </row>
    <row r="1088" spans="6:6">
      <c r="F1088" s="188">
        <v>0</v>
      </c>
    </row>
    <row r="1089" spans="6:6">
      <c r="F1089" s="188">
        <v>0</v>
      </c>
    </row>
    <row r="1090" spans="6:6">
      <c r="F1090" s="188">
        <v>0</v>
      </c>
    </row>
    <row r="1091" spans="6:6">
      <c r="F1091" s="188">
        <v>0</v>
      </c>
    </row>
    <row r="1092" spans="6:6">
      <c r="F1092" s="188">
        <v>0</v>
      </c>
    </row>
    <row r="1093" spans="6:6">
      <c r="F1093" s="188">
        <v>0</v>
      </c>
    </row>
    <row r="1094" spans="6:6">
      <c r="F1094" s="188">
        <v>0</v>
      </c>
    </row>
    <row r="1095" spans="6:6">
      <c r="F1095" s="188">
        <v>0</v>
      </c>
    </row>
    <row r="1096" spans="6:6">
      <c r="F1096" s="188">
        <v>0</v>
      </c>
    </row>
    <row r="1097" spans="6:6">
      <c r="F1097" s="188">
        <v>0</v>
      </c>
    </row>
    <row r="1098" spans="6:6">
      <c r="F1098" s="188">
        <v>0</v>
      </c>
    </row>
    <row r="1099" spans="6:6">
      <c r="F1099" s="188">
        <v>0</v>
      </c>
    </row>
    <row r="1100" spans="6:6">
      <c r="F1100" s="188">
        <v>0</v>
      </c>
    </row>
    <row r="1101" spans="6:6">
      <c r="F1101" s="188">
        <v>0</v>
      </c>
    </row>
    <row r="1102" spans="6:6">
      <c r="F1102" s="188">
        <v>0</v>
      </c>
    </row>
    <row r="1103" spans="6:6">
      <c r="F1103" s="188">
        <v>0</v>
      </c>
    </row>
    <row r="1104" spans="6:6">
      <c r="F1104" s="188">
        <v>0</v>
      </c>
    </row>
    <row r="1105" spans="6:6">
      <c r="F1105" s="188">
        <v>0</v>
      </c>
    </row>
    <row r="1106" spans="6:6">
      <c r="F1106" s="188">
        <v>0</v>
      </c>
    </row>
    <row r="1107" spans="6:6">
      <c r="F1107" s="188">
        <v>0</v>
      </c>
    </row>
    <row r="1108" spans="6:6">
      <c r="F1108" s="188">
        <v>0</v>
      </c>
    </row>
    <row r="1109" spans="6:6">
      <c r="F1109" s="188">
        <v>0</v>
      </c>
    </row>
    <row r="1110" spans="6:6">
      <c r="F1110" s="188">
        <v>0</v>
      </c>
    </row>
    <row r="1111" spans="6:6">
      <c r="F1111" s="188">
        <v>0</v>
      </c>
    </row>
    <row r="1112" spans="6:6">
      <c r="F1112" s="188">
        <v>0</v>
      </c>
    </row>
    <row r="1113" spans="6:6">
      <c r="F1113" s="188">
        <v>0</v>
      </c>
    </row>
    <row r="1114" spans="6:6">
      <c r="F1114" s="188">
        <v>0</v>
      </c>
    </row>
    <row r="1115" spans="6:6">
      <c r="F1115" s="188">
        <v>0</v>
      </c>
    </row>
    <row r="1116" spans="6:6">
      <c r="F1116" s="188">
        <v>0</v>
      </c>
    </row>
    <row r="1117" spans="6:6">
      <c r="F1117" s="188">
        <v>0</v>
      </c>
    </row>
    <row r="1118" spans="6:6">
      <c r="F1118" s="188">
        <v>0</v>
      </c>
    </row>
    <row r="1119" spans="6:6">
      <c r="F1119" s="188">
        <v>0</v>
      </c>
    </row>
    <row r="1120" spans="6:6">
      <c r="F1120" s="188">
        <v>0</v>
      </c>
    </row>
    <row r="1121" spans="6:6">
      <c r="F1121" s="188">
        <v>0</v>
      </c>
    </row>
    <row r="1122" spans="6:6">
      <c r="F1122" s="188">
        <v>0</v>
      </c>
    </row>
    <row r="1123" spans="6:6">
      <c r="F1123" s="188">
        <v>0</v>
      </c>
    </row>
    <row r="1124" spans="6:6">
      <c r="F1124" s="188">
        <v>0</v>
      </c>
    </row>
    <row r="1125" spans="6:6">
      <c r="F1125" s="188">
        <v>0</v>
      </c>
    </row>
    <row r="1126" spans="6:6">
      <c r="F1126" s="188">
        <v>0</v>
      </c>
    </row>
    <row r="1127" spans="6:6">
      <c r="F1127" s="188">
        <v>0</v>
      </c>
    </row>
    <row r="1128" spans="6:6">
      <c r="F1128" s="188">
        <v>0</v>
      </c>
    </row>
    <row r="1129" spans="6:6">
      <c r="F1129" s="188">
        <v>0</v>
      </c>
    </row>
    <row r="1130" spans="6:6">
      <c r="F1130" s="188">
        <v>0</v>
      </c>
    </row>
    <row r="1131" spans="6:6">
      <c r="F1131" s="188">
        <v>0</v>
      </c>
    </row>
    <row r="1132" spans="6:6">
      <c r="F1132" s="188">
        <v>0</v>
      </c>
    </row>
    <row r="1133" spans="6:6">
      <c r="F1133" s="188">
        <v>0</v>
      </c>
    </row>
    <row r="1134" spans="6:6">
      <c r="F1134" s="188">
        <v>0</v>
      </c>
    </row>
    <row r="1135" spans="6:6">
      <c r="F1135" s="188">
        <v>0</v>
      </c>
    </row>
    <row r="1136" spans="6:6">
      <c r="F1136" s="188">
        <v>0</v>
      </c>
    </row>
    <row r="1137" spans="6:6">
      <c r="F1137" s="188">
        <v>0</v>
      </c>
    </row>
    <row r="1138" spans="6:6">
      <c r="F1138" s="188">
        <v>0</v>
      </c>
    </row>
    <row r="1139" spans="6:6">
      <c r="F1139" s="188">
        <v>0</v>
      </c>
    </row>
    <row r="1140" spans="6:6">
      <c r="F1140" s="188">
        <v>0</v>
      </c>
    </row>
    <row r="1141" spans="6:6">
      <c r="F1141" s="188">
        <v>0</v>
      </c>
    </row>
    <row r="1142" spans="6:6">
      <c r="F1142" s="188">
        <v>0</v>
      </c>
    </row>
    <row r="1143" spans="6:6">
      <c r="F1143" s="188">
        <v>0</v>
      </c>
    </row>
    <row r="1144" spans="6:6">
      <c r="F1144" s="188">
        <v>0</v>
      </c>
    </row>
    <row r="1145" spans="6:6">
      <c r="F1145" s="188">
        <v>0</v>
      </c>
    </row>
    <row r="1146" spans="6:6">
      <c r="F1146" s="188">
        <v>0</v>
      </c>
    </row>
    <row r="1147" spans="6:6">
      <c r="F1147" s="188">
        <v>0</v>
      </c>
    </row>
    <row r="1148" spans="6:6">
      <c r="F1148" s="188">
        <v>0</v>
      </c>
    </row>
    <row r="1149" spans="6:6">
      <c r="F1149" s="188">
        <v>0</v>
      </c>
    </row>
    <row r="1150" spans="6:6">
      <c r="F1150" s="188">
        <v>0</v>
      </c>
    </row>
    <row r="1151" spans="6:6">
      <c r="F1151" s="188">
        <v>0</v>
      </c>
    </row>
    <row r="1152" spans="6:6">
      <c r="F1152" s="188">
        <v>0</v>
      </c>
    </row>
    <row r="1153" spans="6:6">
      <c r="F1153" s="188">
        <v>0</v>
      </c>
    </row>
    <row r="1154" spans="6:6">
      <c r="F1154" s="188">
        <v>0</v>
      </c>
    </row>
    <row r="1155" spans="6:6">
      <c r="F1155" s="188">
        <v>0</v>
      </c>
    </row>
    <row r="1156" spans="6:6">
      <c r="F1156" s="188">
        <v>0</v>
      </c>
    </row>
    <row r="1157" spans="6:6">
      <c r="F1157" s="188">
        <v>0</v>
      </c>
    </row>
    <row r="1158" spans="6:6">
      <c r="F1158" s="188">
        <v>0</v>
      </c>
    </row>
    <row r="1159" spans="6:6">
      <c r="F1159" s="188">
        <v>0</v>
      </c>
    </row>
    <row r="1160" spans="6:6">
      <c r="F1160" s="188">
        <v>0</v>
      </c>
    </row>
    <row r="1161" spans="6:6">
      <c r="F1161" s="188">
        <v>0</v>
      </c>
    </row>
    <row r="1162" spans="6:6">
      <c r="F1162" s="188">
        <v>0</v>
      </c>
    </row>
    <row r="1163" spans="6:6">
      <c r="F1163" s="188">
        <v>0</v>
      </c>
    </row>
    <row r="1164" spans="6:6">
      <c r="F1164" s="188">
        <v>0</v>
      </c>
    </row>
    <row r="1165" spans="6:6">
      <c r="F1165" s="188">
        <v>0</v>
      </c>
    </row>
    <row r="1166" spans="6:6">
      <c r="F1166" s="188">
        <v>0</v>
      </c>
    </row>
    <row r="1167" spans="6:6">
      <c r="F1167" s="188">
        <v>0</v>
      </c>
    </row>
    <row r="1168" spans="6:6">
      <c r="F1168" s="188">
        <v>0</v>
      </c>
    </row>
    <row r="1169" spans="6:6">
      <c r="F1169" s="188">
        <v>0</v>
      </c>
    </row>
    <row r="1170" spans="6:6">
      <c r="F1170" s="188">
        <v>0</v>
      </c>
    </row>
    <row r="1171" spans="6:6">
      <c r="F1171" s="188">
        <v>0</v>
      </c>
    </row>
    <row r="1172" spans="6:6">
      <c r="F1172" s="188">
        <v>0</v>
      </c>
    </row>
    <row r="1173" spans="6:6">
      <c r="F1173" s="188">
        <v>0</v>
      </c>
    </row>
    <row r="1174" spans="6:6">
      <c r="F1174" s="188">
        <v>0</v>
      </c>
    </row>
    <row r="1175" spans="6:6">
      <c r="F1175" s="188">
        <v>0</v>
      </c>
    </row>
    <row r="1176" spans="6:6">
      <c r="F1176" s="188">
        <v>0</v>
      </c>
    </row>
    <row r="1177" spans="6:6">
      <c r="F1177" s="188">
        <v>0</v>
      </c>
    </row>
    <row r="1178" spans="6:6">
      <c r="F1178" s="188">
        <v>0</v>
      </c>
    </row>
    <row r="1179" spans="6:6">
      <c r="F1179" s="188">
        <v>0</v>
      </c>
    </row>
    <row r="1180" spans="6:6">
      <c r="F1180" s="188">
        <v>0</v>
      </c>
    </row>
    <row r="1181" spans="6:6">
      <c r="F1181" s="188">
        <v>0</v>
      </c>
    </row>
    <row r="1182" spans="6:6">
      <c r="F1182" s="188">
        <v>0</v>
      </c>
    </row>
    <row r="1183" spans="6:6">
      <c r="F1183" s="188">
        <v>0</v>
      </c>
    </row>
    <row r="1184" spans="6:6">
      <c r="F1184" s="188">
        <v>0</v>
      </c>
    </row>
    <row r="1185" spans="6:6">
      <c r="F1185" s="188">
        <v>0</v>
      </c>
    </row>
    <row r="1186" spans="6:6">
      <c r="F1186" s="188">
        <v>0</v>
      </c>
    </row>
    <row r="1187" spans="6:6">
      <c r="F1187" s="188">
        <v>0</v>
      </c>
    </row>
    <row r="1188" spans="6:6">
      <c r="F1188" s="188">
        <v>0</v>
      </c>
    </row>
    <row r="1189" spans="6:6">
      <c r="F1189" s="188">
        <v>0</v>
      </c>
    </row>
    <row r="1190" spans="6:6">
      <c r="F1190" s="188">
        <v>0</v>
      </c>
    </row>
    <row r="1191" spans="6:6">
      <c r="F1191" s="188">
        <v>0</v>
      </c>
    </row>
    <row r="1192" spans="6:6">
      <c r="F1192" s="188">
        <v>0</v>
      </c>
    </row>
    <row r="1193" spans="6:6">
      <c r="F1193" s="188">
        <v>0</v>
      </c>
    </row>
    <row r="1194" spans="6:6">
      <c r="F1194" s="188">
        <v>0</v>
      </c>
    </row>
    <row r="1195" spans="6:6">
      <c r="F1195" s="188">
        <v>0</v>
      </c>
    </row>
    <row r="1196" spans="6:6">
      <c r="F1196" s="188">
        <v>0</v>
      </c>
    </row>
    <row r="1197" spans="6:6">
      <c r="F1197" s="188">
        <v>0</v>
      </c>
    </row>
    <row r="1198" spans="6:6">
      <c r="F1198" s="188">
        <v>0</v>
      </c>
    </row>
    <row r="1199" spans="6:6">
      <c r="F1199" s="188">
        <v>0</v>
      </c>
    </row>
    <row r="1200" spans="6:6">
      <c r="F1200" s="188">
        <v>0</v>
      </c>
    </row>
    <row r="1201" spans="6:6">
      <c r="F1201" s="188">
        <v>0</v>
      </c>
    </row>
    <row r="1202" spans="6:6">
      <c r="F1202" s="188">
        <v>0</v>
      </c>
    </row>
    <row r="1203" spans="6:6">
      <c r="F1203" s="188">
        <v>0</v>
      </c>
    </row>
    <row r="1204" spans="6:6">
      <c r="F1204" s="188">
        <v>0</v>
      </c>
    </row>
    <row r="1205" spans="6:6">
      <c r="F1205" s="188">
        <v>0</v>
      </c>
    </row>
    <row r="1206" spans="6:6">
      <c r="F1206" s="188">
        <v>0</v>
      </c>
    </row>
    <row r="1207" spans="6:6">
      <c r="F1207" s="188">
        <v>0</v>
      </c>
    </row>
    <row r="1208" spans="6:6">
      <c r="F1208" s="188">
        <v>0</v>
      </c>
    </row>
    <row r="1209" spans="6:6">
      <c r="F1209" s="188">
        <v>0</v>
      </c>
    </row>
    <row r="1210" spans="6:6">
      <c r="F1210" s="188">
        <v>0</v>
      </c>
    </row>
    <row r="1211" spans="6:6">
      <c r="F1211" s="188">
        <v>0</v>
      </c>
    </row>
    <row r="1212" spans="6:6">
      <c r="F1212" s="188">
        <v>0</v>
      </c>
    </row>
    <row r="1213" spans="6:6">
      <c r="F1213" s="188">
        <v>0</v>
      </c>
    </row>
    <row r="1214" spans="6:6">
      <c r="F1214" s="188">
        <v>0</v>
      </c>
    </row>
    <row r="1215" spans="6:6">
      <c r="F1215" s="188">
        <v>0</v>
      </c>
    </row>
    <row r="1216" spans="6:6">
      <c r="F1216" s="188">
        <v>0</v>
      </c>
    </row>
    <row r="1217" spans="6:6">
      <c r="F1217" s="188">
        <v>0</v>
      </c>
    </row>
    <row r="1218" spans="6:6">
      <c r="F1218" s="188">
        <v>0</v>
      </c>
    </row>
    <row r="1219" spans="6:6">
      <c r="F1219" s="188">
        <v>0</v>
      </c>
    </row>
    <row r="1220" spans="6:6">
      <c r="F1220" s="188">
        <v>0</v>
      </c>
    </row>
    <row r="1221" spans="6:6">
      <c r="F1221" s="188">
        <v>0</v>
      </c>
    </row>
    <row r="1222" spans="6:6">
      <c r="F1222" s="188">
        <v>0</v>
      </c>
    </row>
    <row r="1223" spans="6:6">
      <c r="F1223" s="188">
        <v>0</v>
      </c>
    </row>
    <row r="1224" spans="6:6">
      <c r="F1224" s="188">
        <v>0</v>
      </c>
    </row>
    <row r="1225" spans="6:6">
      <c r="F1225" s="188">
        <v>0</v>
      </c>
    </row>
    <row r="1226" spans="6:6">
      <c r="F1226" s="188">
        <v>0</v>
      </c>
    </row>
    <row r="1227" spans="6:6">
      <c r="F1227" s="188">
        <v>0</v>
      </c>
    </row>
    <row r="1228" spans="6:6">
      <c r="F1228" s="188">
        <v>0</v>
      </c>
    </row>
    <row r="1229" spans="6:6">
      <c r="F1229" s="188">
        <v>0</v>
      </c>
    </row>
    <row r="1230" spans="6:6">
      <c r="F1230" s="188">
        <v>0</v>
      </c>
    </row>
    <row r="1231" spans="6:6">
      <c r="F1231" s="188">
        <v>0</v>
      </c>
    </row>
    <row r="1232" spans="6:6">
      <c r="F1232" s="188">
        <v>0</v>
      </c>
    </row>
    <row r="1233" spans="6:6">
      <c r="F1233" s="188">
        <v>0</v>
      </c>
    </row>
    <row r="1234" spans="6:6">
      <c r="F1234" s="188">
        <v>0</v>
      </c>
    </row>
    <row r="1235" spans="6:6">
      <c r="F1235" s="188">
        <v>0</v>
      </c>
    </row>
    <row r="1236" spans="6:6">
      <c r="F1236" s="188">
        <v>0</v>
      </c>
    </row>
    <row r="1237" spans="6:6">
      <c r="F1237" s="188">
        <v>0</v>
      </c>
    </row>
    <row r="1238" spans="6:6">
      <c r="F1238" s="188">
        <v>0</v>
      </c>
    </row>
    <row r="1239" spans="6:6">
      <c r="F1239" s="188">
        <v>0</v>
      </c>
    </row>
    <row r="1240" spans="6:6">
      <c r="F1240" s="188">
        <v>0</v>
      </c>
    </row>
    <row r="1241" spans="6:6">
      <c r="F1241" s="188">
        <v>0</v>
      </c>
    </row>
    <row r="1242" spans="6:6">
      <c r="F1242" s="188">
        <v>0</v>
      </c>
    </row>
    <row r="1243" spans="6:6">
      <c r="F1243" s="188">
        <v>0</v>
      </c>
    </row>
    <row r="1244" spans="6:6">
      <c r="F1244" s="188">
        <v>0</v>
      </c>
    </row>
    <row r="1245" spans="6:6">
      <c r="F1245" s="188">
        <v>0</v>
      </c>
    </row>
    <row r="1246" spans="6:6">
      <c r="F1246" s="188">
        <v>0</v>
      </c>
    </row>
    <row r="1247" spans="6:6">
      <c r="F1247" s="188">
        <v>0</v>
      </c>
    </row>
    <row r="1248" spans="6:6">
      <c r="F1248" s="188">
        <v>0</v>
      </c>
    </row>
    <row r="1249" spans="6:6">
      <c r="F1249" s="188">
        <v>0</v>
      </c>
    </row>
    <row r="1250" spans="6:6">
      <c r="F1250" s="188">
        <v>0</v>
      </c>
    </row>
    <row r="1251" spans="6:6">
      <c r="F1251" s="188">
        <v>0</v>
      </c>
    </row>
    <row r="1252" spans="6:6">
      <c r="F1252" s="188">
        <v>0</v>
      </c>
    </row>
    <row r="1253" spans="6:6">
      <c r="F1253" s="188">
        <v>0</v>
      </c>
    </row>
    <row r="1254" spans="6:6">
      <c r="F1254" s="188">
        <v>0</v>
      </c>
    </row>
    <row r="1255" spans="6:6">
      <c r="F1255" s="188">
        <v>0</v>
      </c>
    </row>
    <row r="1256" spans="6:6">
      <c r="F1256" s="188">
        <v>0</v>
      </c>
    </row>
    <row r="1257" spans="6:6">
      <c r="F1257" s="188">
        <v>0</v>
      </c>
    </row>
    <row r="1258" spans="6:6">
      <c r="F1258" s="188">
        <v>0</v>
      </c>
    </row>
    <row r="1259" spans="6:6">
      <c r="F1259" s="188">
        <v>0</v>
      </c>
    </row>
    <row r="1260" spans="6:6">
      <c r="F1260" s="188">
        <v>0</v>
      </c>
    </row>
    <row r="1261" spans="6:6">
      <c r="F1261" s="188">
        <v>0</v>
      </c>
    </row>
    <row r="1262" spans="6:6">
      <c r="F1262" s="188">
        <v>0</v>
      </c>
    </row>
    <row r="1263" spans="6:6">
      <c r="F1263" s="188">
        <v>0</v>
      </c>
    </row>
    <row r="1264" spans="6:6">
      <c r="F1264" s="188">
        <v>0</v>
      </c>
    </row>
    <row r="1265" spans="6:6">
      <c r="F1265" s="188">
        <v>0</v>
      </c>
    </row>
    <row r="1266" spans="6:6">
      <c r="F1266" s="188">
        <v>0</v>
      </c>
    </row>
    <row r="1267" spans="6:6">
      <c r="F1267" s="188">
        <v>0</v>
      </c>
    </row>
    <row r="1268" spans="6:6">
      <c r="F1268" s="188">
        <v>0</v>
      </c>
    </row>
    <row r="1269" spans="6:6">
      <c r="F1269" s="188">
        <v>0</v>
      </c>
    </row>
    <row r="1270" spans="6:6">
      <c r="F1270" s="188">
        <v>0</v>
      </c>
    </row>
    <row r="1271" spans="6:6">
      <c r="F1271" s="188">
        <v>0</v>
      </c>
    </row>
    <row r="1272" spans="6:6">
      <c r="F1272" s="188">
        <v>0</v>
      </c>
    </row>
    <row r="1273" spans="6:6">
      <c r="F1273" s="188">
        <v>0</v>
      </c>
    </row>
    <row r="1274" spans="6:6">
      <c r="F1274" s="188">
        <v>0</v>
      </c>
    </row>
    <row r="1275" spans="6:6">
      <c r="F1275" s="188">
        <v>0</v>
      </c>
    </row>
    <row r="1276" spans="6:6">
      <c r="F1276" s="188">
        <v>0</v>
      </c>
    </row>
    <row r="1277" spans="6:6">
      <c r="F1277" s="188">
        <v>0</v>
      </c>
    </row>
    <row r="1278" spans="6:6">
      <c r="F1278" s="188">
        <v>0</v>
      </c>
    </row>
    <row r="1279" spans="6:6">
      <c r="F1279" s="188">
        <v>0</v>
      </c>
    </row>
    <row r="1280" spans="6:6">
      <c r="F1280" s="188">
        <v>0</v>
      </c>
    </row>
    <row r="1281" spans="6:6">
      <c r="F1281" s="188">
        <v>0</v>
      </c>
    </row>
    <row r="1282" spans="6:6">
      <c r="F1282" s="188">
        <v>0</v>
      </c>
    </row>
    <row r="1283" spans="6:6">
      <c r="F1283" s="188">
        <v>0</v>
      </c>
    </row>
    <row r="1284" spans="6:6">
      <c r="F1284" s="188">
        <v>0</v>
      </c>
    </row>
    <row r="1285" spans="6:6">
      <c r="F1285" s="188">
        <v>0</v>
      </c>
    </row>
    <row r="1286" spans="6:6">
      <c r="F1286" s="188">
        <v>0</v>
      </c>
    </row>
    <row r="1287" spans="6:6">
      <c r="F1287" s="188">
        <v>0</v>
      </c>
    </row>
    <row r="1288" spans="6:6">
      <c r="F1288" s="188">
        <v>0</v>
      </c>
    </row>
    <row r="1289" spans="6:6">
      <c r="F1289" s="188">
        <v>0</v>
      </c>
    </row>
    <row r="1290" spans="6:6">
      <c r="F1290" s="188">
        <v>0</v>
      </c>
    </row>
    <row r="1291" spans="6:6">
      <c r="F1291" s="188">
        <v>0</v>
      </c>
    </row>
    <row r="1292" spans="6:6">
      <c r="F1292" s="188">
        <v>0</v>
      </c>
    </row>
    <row r="1293" spans="6:6">
      <c r="F1293" s="188">
        <v>0</v>
      </c>
    </row>
    <row r="1294" spans="6:6">
      <c r="F1294" s="188">
        <v>0</v>
      </c>
    </row>
    <row r="1295" spans="6:6">
      <c r="F1295" s="188">
        <v>0</v>
      </c>
    </row>
    <row r="1296" spans="6:6">
      <c r="F1296" s="188">
        <v>0</v>
      </c>
    </row>
    <row r="1297" spans="6:6">
      <c r="F1297" s="188">
        <v>0</v>
      </c>
    </row>
    <row r="1298" spans="6:6">
      <c r="F1298" s="188">
        <v>0</v>
      </c>
    </row>
    <row r="1299" spans="6:6">
      <c r="F1299" s="188">
        <v>0</v>
      </c>
    </row>
    <row r="1300" spans="6:6">
      <c r="F1300" s="188">
        <v>0</v>
      </c>
    </row>
    <row r="1301" spans="6:6">
      <c r="F1301" s="188">
        <v>0</v>
      </c>
    </row>
    <row r="1302" spans="6:6">
      <c r="F1302" s="188">
        <v>0</v>
      </c>
    </row>
    <row r="1303" spans="6:6">
      <c r="F1303" s="188">
        <v>0</v>
      </c>
    </row>
    <row r="1304" spans="6:6">
      <c r="F1304" s="188">
        <v>0</v>
      </c>
    </row>
    <row r="1305" spans="6:6">
      <c r="F1305" s="188">
        <v>0</v>
      </c>
    </row>
    <row r="1306" spans="6:6">
      <c r="F1306" s="188">
        <v>0</v>
      </c>
    </row>
    <row r="1307" spans="6:6">
      <c r="F1307" s="188">
        <v>0</v>
      </c>
    </row>
    <row r="1308" spans="6:6">
      <c r="F1308" s="188">
        <v>0</v>
      </c>
    </row>
    <row r="1309" spans="6:6">
      <c r="F1309" s="188">
        <v>0</v>
      </c>
    </row>
    <row r="1310" spans="6:6">
      <c r="F1310" s="188">
        <v>0</v>
      </c>
    </row>
    <row r="1311" spans="6:6">
      <c r="F1311" s="188">
        <v>0</v>
      </c>
    </row>
    <row r="1312" spans="6:6">
      <c r="F1312" s="188">
        <v>0</v>
      </c>
    </row>
    <row r="1313" spans="6:6">
      <c r="F1313" s="188">
        <v>0</v>
      </c>
    </row>
    <row r="1314" spans="6:6">
      <c r="F1314" s="188">
        <v>0</v>
      </c>
    </row>
    <row r="1315" spans="6:6">
      <c r="F1315" s="188">
        <v>0</v>
      </c>
    </row>
    <row r="1316" spans="6:6">
      <c r="F1316" s="188">
        <v>0</v>
      </c>
    </row>
    <row r="1317" spans="6:6">
      <c r="F1317" s="188">
        <v>0</v>
      </c>
    </row>
    <row r="1318" spans="6:6">
      <c r="F1318" s="188">
        <v>0</v>
      </c>
    </row>
    <row r="1319" spans="6:6">
      <c r="F1319" s="188">
        <v>0</v>
      </c>
    </row>
    <row r="1320" spans="6:6">
      <c r="F1320" s="188">
        <v>0</v>
      </c>
    </row>
    <row r="1321" spans="6:6">
      <c r="F1321" s="188">
        <v>0</v>
      </c>
    </row>
    <row r="1322" spans="6:6">
      <c r="F1322" s="188">
        <v>0</v>
      </c>
    </row>
    <row r="1323" spans="6:6">
      <c r="F1323" s="188">
        <v>0</v>
      </c>
    </row>
    <row r="1324" spans="6:6">
      <c r="F1324" s="188">
        <v>0</v>
      </c>
    </row>
    <row r="1325" spans="6:6">
      <c r="F1325" s="188">
        <v>0</v>
      </c>
    </row>
    <row r="1326" spans="6:6">
      <c r="F1326" s="188">
        <v>0</v>
      </c>
    </row>
    <row r="1327" spans="6:6">
      <c r="F1327" s="188">
        <v>0</v>
      </c>
    </row>
    <row r="1328" spans="6:6">
      <c r="F1328" s="188">
        <v>0</v>
      </c>
    </row>
    <row r="1329" spans="6:6">
      <c r="F1329" s="188">
        <v>0</v>
      </c>
    </row>
    <row r="1330" spans="6:6">
      <c r="F1330" s="188">
        <v>0</v>
      </c>
    </row>
    <row r="1331" spans="6:6">
      <c r="F1331" s="188">
        <v>0</v>
      </c>
    </row>
    <row r="1332" spans="6:6">
      <c r="F1332" s="188">
        <v>0</v>
      </c>
    </row>
    <row r="1333" spans="6:6">
      <c r="F1333" s="188">
        <v>0</v>
      </c>
    </row>
    <row r="1334" spans="6:6">
      <c r="F1334" s="188">
        <v>0</v>
      </c>
    </row>
    <row r="1335" spans="6:6">
      <c r="F1335" s="188">
        <v>0</v>
      </c>
    </row>
    <row r="1336" spans="6:6">
      <c r="F1336" s="188">
        <v>0</v>
      </c>
    </row>
    <row r="1337" spans="6:6">
      <c r="F1337" s="188">
        <v>0</v>
      </c>
    </row>
    <row r="1338" spans="6:6">
      <c r="F1338" s="188">
        <v>0</v>
      </c>
    </row>
    <row r="1339" spans="6:6">
      <c r="F1339" s="188">
        <v>0</v>
      </c>
    </row>
    <row r="1340" spans="6:6">
      <c r="F1340" s="188">
        <v>0</v>
      </c>
    </row>
    <row r="1341" spans="6:6">
      <c r="F1341" s="188">
        <v>0</v>
      </c>
    </row>
    <row r="1342" spans="6:6">
      <c r="F1342" s="188">
        <v>0</v>
      </c>
    </row>
    <row r="1343" spans="6:6">
      <c r="F1343" s="188">
        <v>0</v>
      </c>
    </row>
    <row r="1344" spans="6:6">
      <c r="F1344" s="188">
        <v>0</v>
      </c>
    </row>
    <row r="1345" spans="6:6">
      <c r="F1345" s="188">
        <v>0</v>
      </c>
    </row>
    <row r="1346" spans="6:6">
      <c r="F1346" s="188">
        <v>0</v>
      </c>
    </row>
    <row r="1347" spans="6:6">
      <c r="F1347" s="188">
        <v>0</v>
      </c>
    </row>
    <row r="1348" spans="6:6">
      <c r="F1348" s="188">
        <v>0</v>
      </c>
    </row>
    <row r="1349" spans="6:6">
      <c r="F1349" s="188">
        <v>0</v>
      </c>
    </row>
    <row r="1350" spans="6:6">
      <c r="F1350" s="188">
        <v>0</v>
      </c>
    </row>
    <row r="1351" spans="6:6">
      <c r="F1351" s="188">
        <v>0</v>
      </c>
    </row>
    <row r="1352" spans="6:6">
      <c r="F1352" s="188">
        <v>0</v>
      </c>
    </row>
    <row r="1353" spans="6:6">
      <c r="F1353" s="188">
        <v>0</v>
      </c>
    </row>
    <row r="1354" spans="6:6">
      <c r="F1354" s="188">
        <v>0</v>
      </c>
    </row>
    <row r="1355" spans="6:6">
      <c r="F1355" s="188">
        <v>0</v>
      </c>
    </row>
    <row r="1356" spans="6:6">
      <c r="F1356" s="188">
        <v>0</v>
      </c>
    </row>
    <row r="1357" spans="6:6">
      <c r="F1357" s="188">
        <v>0</v>
      </c>
    </row>
    <row r="1358" spans="6:6">
      <c r="F1358" s="188">
        <v>0</v>
      </c>
    </row>
    <row r="1359" spans="6:6">
      <c r="F1359" s="188">
        <v>0</v>
      </c>
    </row>
    <row r="1360" spans="6:6">
      <c r="F1360" s="188">
        <v>0</v>
      </c>
    </row>
    <row r="1361" spans="6:6">
      <c r="F1361" s="188">
        <v>0</v>
      </c>
    </row>
    <row r="1362" spans="6:6">
      <c r="F1362" s="188">
        <v>0</v>
      </c>
    </row>
    <row r="1363" spans="6:6">
      <c r="F1363" s="188">
        <v>0</v>
      </c>
    </row>
    <row r="1364" spans="6:6">
      <c r="F1364" s="188">
        <v>0</v>
      </c>
    </row>
    <row r="1365" spans="6:6">
      <c r="F1365" s="188">
        <v>0</v>
      </c>
    </row>
    <row r="1366" spans="6:6">
      <c r="F1366" s="188">
        <v>0</v>
      </c>
    </row>
    <row r="1367" spans="6:6">
      <c r="F1367" s="188">
        <v>0</v>
      </c>
    </row>
    <row r="1368" spans="6:6">
      <c r="F1368" s="188">
        <v>0</v>
      </c>
    </row>
    <row r="1369" spans="6:6">
      <c r="F1369" s="188">
        <v>0</v>
      </c>
    </row>
    <row r="1370" spans="6:6">
      <c r="F1370" s="188">
        <v>0</v>
      </c>
    </row>
    <row r="1371" spans="6:6">
      <c r="F1371" s="188">
        <v>0</v>
      </c>
    </row>
    <row r="1372" spans="6:6">
      <c r="F1372" s="188">
        <v>0</v>
      </c>
    </row>
    <row r="1373" spans="6:6">
      <c r="F1373" s="188">
        <v>0</v>
      </c>
    </row>
    <row r="1374" spans="6:6">
      <c r="F1374" s="188">
        <v>0</v>
      </c>
    </row>
    <row r="1375" spans="6:6">
      <c r="F1375" s="188">
        <v>0</v>
      </c>
    </row>
    <row r="1376" spans="6:6">
      <c r="F1376" s="188">
        <v>0</v>
      </c>
    </row>
    <row r="1377" spans="6:6">
      <c r="F1377" s="188">
        <v>0</v>
      </c>
    </row>
    <row r="1378" spans="6:6">
      <c r="F1378" s="188">
        <v>0</v>
      </c>
    </row>
    <row r="1379" spans="6:6">
      <c r="F1379" s="188">
        <v>0</v>
      </c>
    </row>
    <row r="1380" spans="6:6">
      <c r="F1380" s="188">
        <v>0</v>
      </c>
    </row>
    <row r="1381" spans="6:6">
      <c r="F1381" s="188">
        <v>0</v>
      </c>
    </row>
    <row r="1382" spans="6:6">
      <c r="F1382" s="188">
        <v>0</v>
      </c>
    </row>
    <row r="1383" spans="6:6">
      <c r="F1383" s="188">
        <v>0</v>
      </c>
    </row>
    <row r="1384" spans="6:6">
      <c r="F1384" s="188">
        <v>0</v>
      </c>
    </row>
    <row r="1385" spans="6:6">
      <c r="F1385" s="188">
        <v>0</v>
      </c>
    </row>
    <row r="1386" spans="6:6">
      <c r="F1386" s="188">
        <v>0</v>
      </c>
    </row>
    <row r="1387" spans="6:6">
      <c r="F1387" s="188">
        <v>0</v>
      </c>
    </row>
    <row r="1388" spans="6:6">
      <c r="F1388" s="188">
        <v>0</v>
      </c>
    </row>
    <row r="1389" spans="6:6">
      <c r="F1389" s="188">
        <v>0</v>
      </c>
    </row>
    <row r="1390" spans="6:6">
      <c r="F1390" s="188">
        <v>0</v>
      </c>
    </row>
    <row r="1391" spans="6:6">
      <c r="F1391" s="188">
        <v>0</v>
      </c>
    </row>
    <row r="1392" spans="6:6">
      <c r="F1392" s="188">
        <v>0</v>
      </c>
    </row>
    <row r="1393" spans="6:6">
      <c r="F1393" s="188">
        <v>0</v>
      </c>
    </row>
    <row r="1394" spans="6:6">
      <c r="F1394" s="188">
        <v>0</v>
      </c>
    </row>
    <row r="1395" spans="6:6">
      <c r="F1395" s="188">
        <v>0</v>
      </c>
    </row>
    <row r="1396" spans="6:6">
      <c r="F1396" s="188">
        <v>0</v>
      </c>
    </row>
    <row r="1397" spans="6:6">
      <c r="F1397" s="188">
        <v>0</v>
      </c>
    </row>
    <row r="1398" spans="6:6">
      <c r="F1398" s="188">
        <v>0</v>
      </c>
    </row>
    <row r="1399" spans="6:6">
      <c r="F1399" s="188">
        <v>0</v>
      </c>
    </row>
    <row r="1400" spans="6:6">
      <c r="F1400" s="188">
        <v>0</v>
      </c>
    </row>
    <row r="1401" spans="6:6">
      <c r="F1401" s="188">
        <v>0</v>
      </c>
    </row>
    <row r="1402" spans="6:6">
      <c r="F1402" s="188">
        <v>0</v>
      </c>
    </row>
    <row r="1403" spans="6:6">
      <c r="F1403" s="188">
        <v>0</v>
      </c>
    </row>
    <row r="1404" spans="6:6">
      <c r="F1404" s="188">
        <v>0</v>
      </c>
    </row>
    <row r="1405" spans="6:6">
      <c r="F1405" s="188">
        <v>0</v>
      </c>
    </row>
    <row r="1406" spans="6:6">
      <c r="F1406" s="188">
        <v>0</v>
      </c>
    </row>
    <row r="1407" spans="6:6">
      <c r="F1407" s="188">
        <v>0</v>
      </c>
    </row>
    <row r="1408" spans="6:6">
      <c r="F1408" s="188">
        <v>0</v>
      </c>
    </row>
    <row r="1409" spans="6:6">
      <c r="F1409" s="188">
        <v>0</v>
      </c>
    </row>
    <row r="1410" spans="6:6">
      <c r="F1410" s="188">
        <v>0</v>
      </c>
    </row>
    <row r="1411" spans="6:6">
      <c r="F1411" s="188">
        <v>0</v>
      </c>
    </row>
    <row r="1412" spans="6:6">
      <c r="F1412" s="188">
        <v>0</v>
      </c>
    </row>
    <row r="1413" spans="6:6">
      <c r="F1413" s="188">
        <v>0</v>
      </c>
    </row>
    <row r="1414" spans="6:6">
      <c r="F1414" s="188">
        <v>0</v>
      </c>
    </row>
    <row r="1415" spans="6:6">
      <c r="F1415" s="188">
        <v>0</v>
      </c>
    </row>
    <row r="1416" spans="6:6">
      <c r="F1416" s="188">
        <v>0</v>
      </c>
    </row>
    <row r="1417" spans="6:6">
      <c r="F1417" s="188">
        <v>0</v>
      </c>
    </row>
    <row r="1418" spans="6:6">
      <c r="F1418" s="188">
        <v>0</v>
      </c>
    </row>
    <row r="1419" spans="6:6">
      <c r="F1419" s="188">
        <v>0</v>
      </c>
    </row>
    <row r="1420" spans="6:6">
      <c r="F1420" s="188">
        <v>0</v>
      </c>
    </row>
    <row r="1421" spans="6:6">
      <c r="F1421" s="188">
        <v>0</v>
      </c>
    </row>
    <row r="1422" spans="6:6">
      <c r="F1422" s="188">
        <v>0</v>
      </c>
    </row>
    <row r="1423" spans="6:6">
      <c r="F1423" s="188">
        <v>0</v>
      </c>
    </row>
    <row r="1424" spans="6:6">
      <c r="F1424" s="188">
        <v>0</v>
      </c>
    </row>
    <row r="1425" spans="6:6">
      <c r="F1425" s="188">
        <v>0</v>
      </c>
    </row>
    <row r="1426" spans="6:6">
      <c r="F1426" s="188">
        <v>0</v>
      </c>
    </row>
    <row r="1427" spans="6:6">
      <c r="F1427" s="188">
        <v>0</v>
      </c>
    </row>
    <row r="1428" spans="6:6">
      <c r="F1428" s="188">
        <v>0</v>
      </c>
    </row>
    <row r="1429" spans="6:6">
      <c r="F1429" s="188">
        <v>0</v>
      </c>
    </row>
    <row r="1430" spans="6:6">
      <c r="F1430" s="188">
        <v>0</v>
      </c>
    </row>
    <row r="1431" spans="6:6">
      <c r="F1431" s="188">
        <v>0</v>
      </c>
    </row>
    <row r="1432" spans="6:6">
      <c r="F1432" s="188">
        <v>0</v>
      </c>
    </row>
    <row r="1433" spans="6:6">
      <c r="F1433" s="188">
        <v>0</v>
      </c>
    </row>
    <row r="1434" spans="6:6">
      <c r="F1434" s="188">
        <v>0</v>
      </c>
    </row>
    <row r="1435" spans="6:6">
      <c r="F1435" s="188">
        <v>0</v>
      </c>
    </row>
    <row r="1436" spans="6:6">
      <c r="F1436" s="188">
        <v>0</v>
      </c>
    </row>
    <row r="1437" spans="6:6">
      <c r="F1437" s="188">
        <v>0</v>
      </c>
    </row>
    <row r="1438" spans="6:6">
      <c r="F1438" s="188">
        <v>0</v>
      </c>
    </row>
    <row r="1439" spans="6:6">
      <c r="F1439" s="188">
        <v>0</v>
      </c>
    </row>
    <row r="1440" spans="6:6">
      <c r="F1440" s="188">
        <v>0</v>
      </c>
    </row>
    <row r="1441" spans="6:6">
      <c r="F1441" s="188">
        <v>0</v>
      </c>
    </row>
    <row r="1442" spans="6:6">
      <c r="F1442" s="188">
        <v>0</v>
      </c>
    </row>
    <row r="1443" spans="6:6">
      <c r="F1443" s="188">
        <v>0</v>
      </c>
    </row>
    <row r="1444" spans="6:6">
      <c r="F1444" s="188">
        <v>0</v>
      </c>
    </row>
    <row r="1445" spans="6:6">
      <c r="F1445" s="188">
        <v>0</v>
      </c>
    </row>
    <row r="1446" spans="6:6">
      <c r="F1446" s="188">
        <v>0</v>
      </c>
    </row>
    <row r="1447" spans="6:6">
      <c r="F1447" s="188">
        <v>0</v>
      </c>
    </row>
    <row r="1448" spans="6:6">
      <c r="F1448" s="188">
        <v>0</v>
      </c>
    </row>
    <row r="1449" spans="6:6">
      <c r="F1449" s="188">
        <v>0</v>
      </c>
    </row>
    <row r="1450" spans="6:6">
      <c r="F1450" s="188">
        <v>0</v>
      </c>
    </row>
    <row r="1451" spans="6:6">
      <c r="F1451" s="188">
        <v>0</v>
      </c>
    </row>
    <row r="1452" spans="6:6">
      <c r="F1452" s="188">
        <v>0</v>
      </c>
    </row>
    <row r="1453" spans="6:6">
      <c r="F1453" s="188">
        <v>0</v>
      </c>
    </row>
    <row r="1454" spans="6:6">
      <c r="F1454" s="188">
        <v>0</v>
      </c>
    </row>
    <row r="1455" spans="6:6">
      <c r="F1455" s="188">
        <v>0</v>
      </c>
    </row>
    <row r="1456" spans="6:6">
      <c r="F1456" s="188">
        <v>0</v>
      </c>
    </row>
    <row r="1457" spans="6:6">
      <c r="F1457" s="188">
        <v>0</v>
      </c>
    </row>
    <row r="1458" spans="6:6">
      <c r="F1458" s="188">
        <v>0</v>
      </c>
    </row>
    <row r="1459" spans="6:6">
      <c r="F1459" s="188">
        <v>0</v>
      </c>
    </row>
    <row r="1460" spans="6:6">
      <c r="F1460" s="188">
        <v>0</v>
      </c>
    </row>
    <row r="1461" spans="6:6">
      <c r="F1461" s="188">
        <v>0</v>
      </c>
    </row>
    <row r="1462" spans="6:6">
      <c r="F1462" s="188">
        <v>0</v>
      </c>
    </row>
    <row r="1463" spans="6:6">
      <c r="F1463" s="188">
        <v>0</v>
      </c>
    </row>
    <row r="1464" spans="6:6">
      <c r="F1464" s="188">
        <v>0</v>
      </c>
    </row>
    <row r="1465" spans="6:6">
      <c r="F1465" s="188">
        <v>0</v>
      </c>
    </row>
    <row r="1466" spans="6:6">
      <c r="F1466" s="188">
        <v>0</v>
      </c>
    </row>
    <row r="1467" spans="6:6">
      <c r="F1467" s="188">
        <v>0</v>
      </c>
    </row>
    <row r="1468" spans="6:6">
      <c r="F1468" s="188">
        <v>0</v>
      </c>
    </row>
    <row r="1469" spans="6:6">
      <c r="F1469" s="188">
        <v>0</v>
      </c>
    </row>
    <row r="1470" spans="6:6">
      <c r="F1470" s="188">
        <v>0</v>
      </c>
    </row>
    <row r="1471" spans="6:6">
      <c r="F1471" s="188">
        <v>0</v>
      </c>
    </row>
    <row r="1472" spans="6:6">
      <c r="F1472" s="188">
        <v>0</v>
      </c>
    </row>
    <row r="1473" spans="6:6">
      <c r="F1473" s="188">
        <v>0</v>
      </c>
    </row>
    <row r="1474" spans="6:6">
      <c r="F1474" s="188">
        <v>0</v>
      </c>
    </row>
    <row r="1475" spans="6:6">
      <c r="F1475" s="188">
        <v>0</v>
      </c>
    </row>
    <row r="1476" spans="6:6">
      <c r="F1476" s="188">
        <v>0</v>
      </c>
    </row>
    <row r="1477" spans="6:6">
      <c r="F1477" s="188">
        <v>0</v>
      </c>
    </row>
    <row r="1478" spans="6:6">
      <c r="F1478" s="188">
        <v>0</v>
      </c>
    </row>
    <row r="1479" spans="6:6">
      <c r="F1479" s="188">
        <v>0</v>
      </c>
    </row>
    <row r="1480" spans="6:6">
      <c r="F1480" s="188">
        <v>0</v>
      </c>
    </row>
    <row r="1481" spans="6:6">
      <c r="F1481" s="188">
        <v>0</v>
      </c>
    </row>
    <row r="1482" spans="6:6">
      <c r="F1482" s="188">
        <v>0</v>
      </c>
    </row>
    <row r="1483" spans="6:6">
      <c r="F1483" s="188">
        <v>0</v>
      </c>
    </row>
    <row r="1484" spans="6:6">
      <c r="F1484" s="188">
        <v>0</v>
      </c>
    </row>
    <row r="1485" spans="6:6">
      <c r="F1485" s="188">
        <v>0</v>
      </c>
    </row>
    <row r="1486" spans="6:6">
      <c r="F1486" s="188">
        <v>0</v>
      </c>
    </row>
    <row r="1487" spans="6:6">
      <c r="F1487" s="188">
        <v>0</v>
      </c>
    </row>
    <row r="1488" spans="6:6">
      <c r="F1488" s="188">
        <v>0</v>
      </c>
    </row>
    <row r="1489" spans="6:6">
      <c r="F1489" s="188">
        <v>0</v>
      </c>
    </row>
    <row r="1490" spans="6:6">
      <c r="F1490" s="188">
        <v>0</v>
      </c>
    </row>
    <row r="1491" spans="6:6">
      <c r="F1491" s="188">
        <v>0</v>
      </c>
    </row>
    <row r="1492" spans="6:6">
      <c r="F1492" s="188">
        <v>0</v>
      </c>
    </row>
    <row r="1493" spans="6:6">
      <c r="F1493" s="188">
        <v>0</v>
      </c>
    </row>
    <row r="1494" spans="6:6">
      <c r="F1494" s="188">
        <v>0</v>
      </c>
    </row>
    <row r="1495" spans="6:6">
      <c r="F1495" s="188">
        <v>0</v>
      </c>
    </row>
    <row r="1496" spans="6:6">
      <c r="F1496" s="188">
        <v>0</v>
      </c>
    </row>
    <row r="1497" spans="6:6">
      <c r="F1497" s="188">
        <v>0</v>
      </c>
    </row>
    <row r="1498" spans="6:6">
      <c r="F1498" s="188">
        <v>0</v>
      </c>
    </row>
    <row r="1499" spans="6:6">
      <c r="F1499" s="188">
        <v>0</v>
      </c>
    </row>
    <row r="1500" spans="6:6">
      <c r="F1500" s="188">
        <v>0</v>
      </c>
    </row>
    <row r="1501" spans="6:6">
      <c r="F1501" s="188">
        <v>0</v>
      </c>
    </row>
    <row r="1502" spans="6:6">
      <c r="F1502" s="188">
        <v>0</v>
      </c>
    </row>
    <row r="1503" spans="6:6">
      <c r="F1503" s="188">
        <v>0</v>
      </c>
    </row>
    <row r="1504" spans="6:6">
      <c r="F1504" s="188">
        <v>0</v>
      </c>
    </row>
    <row r="1505" spans="6:6">
      <c r="F1505" s="188">
        <v>0</v>
      </c>
    </row>
    <row r="1506" spans="6:6">
      <c r="F1506" s="188">
        <v>0</v>
      </c>
    </row>
    <row r="1507" spans="6:6">
      <c r="F1507" s="188">
        <v>0</v>
      </c>
    </row>
    <row r="1508" spans="6:6">
      <c r="F1508" s="188">
        <v>0</v>
      </c>
    </row>
    <row r="1509" spans="6:6">
      <c r="F1509" s="188">
        <v>0</v>
      </c>
    </row>
    <row r="1510" spans="6:6">
      <c r="F1510" s="188">
        <v>0</v>
      </c>
    </row>
    <row r="1511" spans="6:6">
      <c r="F1511" s="188">
        <v>0</v>
      </c>
    </row>
    <row r="1512" spans="6:6">
      <c r="F1512" s="188">
        <v>0</v>
      </c>
    </row>
    <row r="1513" spans="6:6">
      <c r="F1513" s="188">
        <v>0</v>
      </c>
    </row>
    <row r="1514" spans="6:6">
      <c r="F1514" s="188">
        <v>0</v>
      </c>
    </row>
    <row r="1515" spans="6:6">
      <c r="F1515" s="188">
        <v>0</v>
      </c>
    </row>
    <row r="1516" spans="6:6">
      <c r="F1516" s="188">
        <v>0</v>
      </c>
    </row>
    <row r="1517" spans="6:6">
      <c r="F1517" s="188">
        <v>0</v>
      </c>
    </row>
    <row r="1518" spans="6:6">
      <c r="F1518" s="188">
        <v>0</v>
      </c>
    </row>
    <row r="1519" spans="6:6">
      <c r="F1519" s="188">
        <v>0</v>
      </c>
    </row>
    <row r="1520" spans="6:6">
      <c r="F1520" s="188">
        <v>0</v>
      </c>
    </row>
    <row r="1521" spans="6:6">
      <c r="F1521" s="188">
        <v>0</v>
      </c>
    </row>
    <row r="1522" spans="6:6">
      <c r="F1522" s="188">
        <v>0</v>
      </c>
    </row>
    <row r="1523" spans="6:6">
      <c r="F1523" s="188">
        <v>0</v>
      </c>
    </row>
    <row r="1524" spans="6:6">
      <c r="F1524" s="188">
        <v>0</v>
      </c>
    </row>
    <row r="1525" spans="6:6">
      <c r="F1525" s="188">
        <v>0</v>
      </c>
    </row>
    <row r="1526" spans="6:6">
      <c r="F1526" s="188">
        <v>0</v>
      </c>
    </row>
    <row r="1527" spans="6:6">
      <c r="F1527" s="188">
        <v>0</v>
      </c>
    </row>
    <row r="1528" spans="6:6">
      <c r="F1528" s="188">
        <v>0</v>
      </c>
    </row>
    <row r="1529" spans="6:6">
      <c r="F1529" s="188">
        <v>0</v>
      </c>
    </row>
    <row r="1530" spans="6:6">
      <c r="F1530" s="188">
        <v>0</v>
      </c>
    </row>
    <row r="1531" spans="6:6">
      <c r="F1531" s="188">
        <v>0</v>
      </c>
    </row>
    <row r="1532" spans="6:6">
      <c r="F1532" s="188">
        <v>0</v>
      </c>
    </row>
    <row r="1533" spans="6:6">
      <c r="F1533" s="188">
        <v>0</v>
      </c>
    </row>
    <row r="1534" spans="6:6">
      <c r="F1534" s="188">
        <v>0</v>
      </c>
    </row>
    <row r="1535" spans="6:6">
      <c r="F1535" s="188">
        <v>0</v>
      </c>
    </row>
    <row r="1536" spans="6:6">
      <c r="F1536" s="188">
        <v>0</v>
      </c>
    </row>
    <row r="1537" spans="6:6">
      <c r="F1537" s="188">
        <v>0</v>
      </c>
    </row>
    <row r="1538" spans="6:6">
      <c r="F1538" s="188">
        <v>0</v>
      </c>
    </row>
    <row r="1539" spans="6:6">
      <c r="F1539" s="188">
        <v>0</v>
      </c>
    </row>
    <row r="1540" spans="6:6">
      <c r="F1540" s="188">
        <v>0</v>
      </c>
    </row>
    <row r="1541" spans="6:6">
      <c r="F1541" s="188">
        <v>0</v>
      </c>
    </row>
    <row r="1542" spans="6:6">
      <c r="F1542" s="188">
        <v>0</v>
      </c>
    </row>
    <row r="1543" spans="6:6">
      <c r="F1543" s="188">
        <v>0</v>
      </c>
    </row>
    <row r="1544" spans="6:6">
      <c r="F1544" s="188">
        <v>0</v>
      </c>
    </row>
    <row r="1545" spans="6:6">
      <c r="F1545" s="188">
        <v>0</v>
      </c>
    </row>
    <row r="1546" spans="6:6">
      <c r="F1546" s="188">
        <v>0</v>
      </c>
    </row>
    <row r="1547" spans="6:6">
      <c r="F1547" s="188">
        <v>0</v>
      </c>
    </row>
    <row r="1548" spans="6:6">
      <c r="F1548" s="188">
        <v>0</v>
      </c>
    </row>
    <row r="1549" spans="6:6">
      <c r="F1549" s="188">
        <v>0</v>
      </c>
    </row>
    <row r="1550" spans="6:6">
      <c r="F1550" s="188">
        <v>0</v>
      </c>
    </row>
    <row r="1551" spans="6:6">
      <c r="F1551" s="188">
        <v>0</v>
      </c>
    </row>
    <row r="1552" spans="6:6">
      <c r="F1552" s="188">
        <v>0</v>
      </c>
    </row>
    <row r="1553" spans="6:6">
      <c r="F1553" s="188">
        <v>0</v>
      </c>
    </row>
    <row r="1554" spans="6:6">
      <c r="F1554" s="188">
        <v>0</v>
      </c>
    </row>
    <row r="1555" spans="6:6">
      <c r="F1555" s="188">
        <v>0</v>
      </c>
    </row>
    <row r="1556" spans="6:6">
      <c r="F1556" s="188">
        <v>0</v>
      </c>
    </row>
    <row r="1557" spans="6:6">
      <c r="F1557" s="188">
        <v>0</v>
      </c>
    </row>
    <row r="1558" spans="6:6">
      <c r="F1558" s="188">
        <v>0</v>
      </c>
    </row>
    <row r="1559" spans="6:6">
      <c r="F1559" s="188">
        <v>0</v>
      </c>
    </row>
    <row r="1560" spans="6:6">
      <c r="F1560" s="188">
        <v>0</v>
      </c>
    </row>
    <row r="1561" spans="6:6">
      <c r="F1561" s="188">
        <v>0</v>
      </c>
    </row>
    <row r="1562" spans="6:6">
      <c r="F1562" s="188">
        <v>0</v>
      </c>
    </row>
    <row r="1563" spans="6:6">
      <c r="F1563" s="188">
        <v>0</v>
      </c>
    </row>
    <row r="1564" spans="6:6">
      <c r="F1564" s="188">
        <v>0</v>
      </c>
    </row>
    <row r="1565" spans="6:6">
      <c r="F1565" s="188">
        <v>0</v>
      </c>
    </row>
    <row r="1566" spans="6:6">
      <c r="F1566" s="188">
        <v>0</v>
      </c>
    </row>
    <row r="1567" spans="6:6">
      <c r="F1567" s="188">
        <v>0</v>
      </c>
    </row>
    <row r="1568" spans="6:6">
      <c r="F1568" s="188">
        <v>0</v>
      </c>
    </row>
    <row r="1569" spans="6:6">
      <c r="F1569" s="188">
        <v>0</v>
      </c>
    </row>
    <row r="1570" spans="6:6">
      <c r="F1570" s="188">
        <v>0</v>
      </c>
    </row>
    <row r="1571" spans="6:6">
      <c r="F1571" s="188">
        <v>0</v>
      </c>
    </row>
    <row r="1572" spans="6:6">
      <c r="F1572" s="188">
        <v>0</v>
      </c>
    </row>
    <row r="1573" spans="6:6">
      <c r="F1573" s="188">
        <v>0</v>
      </c>
    </row>
    <row r="1574" spans="6:6">
      <c r="F1574" s="188">
        <v>0</v>
      </c>
    </row>
    <row r="1575" spans="6:6">
      <c r="F1575" s="188">
        <v>0</v>
      </c>
    </row>
    <row r="1576" spans="6:6">
      <c r="F1576" s="188">
        <v>0</v>
      </c>
    </row>
    <row r="1577" spans="6:6">
      <c r="F1577" s="188">
        <v>0</v>
      </c>
    </row>
    <row r="1578" spans="6:6">
      <c r="F1578" s="188">
        <v>0</v>
      </c>
    </row>
    <row r="1579" spans="6:6">
      <c r="F1579" s="188">
        <v>0</v>
      </c>
    </row>
    <row r="1580" spans="6:6">
      <c r="F1580" s="188">
        <v>0</v>
      </c>
    </row>
    <row r="1581" spans="6:6">
      <c r="F1581" s="188">
        <v>0</v>
      </c>
    </row>
    <row r="1582" spans="6:6">
      <c r="F1582" s="188">
        <v>0</v>
      </c>
    </row>
    <row r="1583" spans="6:6">
      <c r="F1583" s="188">
        <v>0</v>
      </c>
    </row>
    <row r="1584" spans="6:6">
      <c r="F1584" s="188">
        <v>0</v>
      </c>
    </row>
    <row r="1585" spans="6:6">
      <c r="F1585" s="188">
        <v>0</v>
      </c>
    </row>
    <row r="1586" spans="6:6">
      <c r="F1586" s="188">
        <v>0</v>
      </c>
    </row>
    <row r="1587" spans="6:6">
      <c r="F1587" s="188">
        <v>0</v>
      </c>
    </row>
    <row r="1588" spans="6:6">
      <c r="F1588" s="188">
        <v>0</v>
      </c>
    </row>
    <row r="1589" spans="6:6">
      <c r="F1589" s="188">
        <v>0</v>
      </c>
    </row>
    <row r="1590" spans="6:6">
      <c r="F1590" s="188">
        <v>0</v>
      </c>
    </row>
    <row r="1591" spans="6:6">
      <c r="F1591" s="188">
        <v>0</v>
      </c>
    </row>
    <row r="1592" spans="6:6">
      <c r="F1592" s="188">
        <v>0</v>
      </c>
    </row>
    <row r="1593" spans="6:6">
      <c r="F1593" s="188">
        <v>0</v>
      </c>
    </row>
    <row r="1594" spans="6:6">
      <c r="F1594" s="188">
        <v>0</v>
      </c>
    </row>
    <row r="1595" spans="6:6">
      <c r="F1595" s="188">
        <v>0</v>
      </c>
    </row>
    <row r="1596" spans="6:6">
      <c r="F1596" s="188">
        <v>0</v>
      </c>
    </row>
    <row r="1597" spans="6:6">
      <c r="F1597" s="188">
        <v>0</v>
      </c>
    </row>
    <row r="1598" spans="6:6">
      <c r="F1598" s="188">
        <v>0</v>
      </c>
    </row>
    <row r="1599" spans="6:6">
      <c r="F1599" s="188">
        <v>0</v>
      </c>
    </row>
    <row r="1600" spans="6:6">
      <c r="F1600" s="188">
        <v>0</v>
      </c>
    </row>
    <row r="1601" spans="6:6">
      <c r="F1601" s="188">
        <v>0</v>
      </c>
    </row>
    <row r="1602" spans="6:6">
      <c r="F1602" s="188">
        <v>0</v>
      </c>
    </row>
    <row r="1603" spans="6:6">
      <c r="F1603" s="188">
        <v>0</v>
      </c>
    </row>
    <row r="1604" spans="6:6">
      <c r="F1604" s="188">
        <v>0</v>
      </c>
    </row>
    <row r="1605" spans="6:6">
      <c r="F1605" s="188">
        <v>0</v>
      </c>
    </row>
    <row r="1606" spans="6:6">
      <c r="F1606" s="188">
        <v>0</v>
      </c>
    </row>
    <row r="1607" spans="6:6">
      <c r="F1607" s="188">
        <v>0</v>
      </c>
    </row>
    <row r="1608" spans="6:6">
      <c r="F1608" s="188">
        <v>0</v>
      </c>
    </row>
    <row r="1609" spans="6:6">
      <c r="F1609" s="188">
        <v>0</v>
      </c>
    </row>
    <row r="1610" spans="6:6">
      <c r="F1610" s="188">
        <v>0</v>
      </c>
    </row>
    <row r="1611" spans="6:6">
      <c r="F1611" s="188">
        <v>0</v>
      </c>
    </row>
    <row r="1612" spans="6:6">
      <c r="F1612" s="188">
        <v>0</v>
      </c>
    </row>
    <row r="1613" spans="6:6">
      <c r="F1613" s="188">
        <v>0</v>
      </c>
    </row>
    <row r="1614" spans="6:6">
      <c r="F1614" s="188">
        <v>0</v>
      </c>
    </row>
    <row r="1615" spans="6:6">
      <c r="F1615" s="188">
        <v>0</v>
      </c>
    </row>
    <row r="1616" spans="6:6">
      <c r="F1616" s="188">
        <v>0</v>
      </c>
    </row>
    <row r="1617" spans="6:6">
      <c r="F1617" s="188">
        <v>0</v>
      </c>
    </row>
    <row r="1618" spans="6:6">
      <c r="F1618" s="188">
        <v>0</v>
      </c>
    </row>
    <row r="1619" spans="6:6">
      <c r="F1619" s="188">
        <v>0</v>
      </c>
    </row>
    <row r="1620" spans="6:6">
      <c r="F1620" s="188">
        <v>0</v>
      </c>
    </row>
    <row r="1621" spans="6:6">
      <c r="F1621" s="188">
        <v>0</v>
      </c>
    </row>
    <row r="1622" spans="6:6">
      <c r="F1622" s="188">
        <v>0</v>
      </c>
    </row>
    <row r="1623" spans="6:6">
      <c r="F1623" s="188">
        <v>0</v>
      </c>
    </row>
    <row r="1624" spans="6:6">
      <c r="F1624" s="188">
        <v>0</v>
      </c>
    </row>
    <row r="1625" spans="6:6">
      <c r="F1625" s="188">
        <v>0</v>
      </c>
    </row>
    <row r="1626" spans="6:6">
      <c r="F1626" s="188">
        <v>0</v>
      </c>
    </row>
    <row r="1627" spans="6:6">
      <c r="F1627" s="188">
        <v>0</v>
      </c>
    </row>
    <row r="1628" spans="6:6">
      <c r="F1628" s="188">
        <v>0</v>
      </c>
    </row>
    <row r="1629" spans="6:6">
      <c r="F1629" s="188">
        <v>0</v>
      </c>
    </row>
    <row r="1630" spans="6:6">
      <c r="F1630" s="188">
        <v>0</v>
      </c>
    </row>
    <row r="1631" spans="6:6">
      <c r="F1631" s="188">
        <v>0</v>
      </c>
    </row>
    <row r="1632" spans="6:6">
      <c r="F1632" s="188">
        <v>0</v>
      </c>
    </row>
    <row r="1633" spans="6:6">
      <c r="F1633" s="188">
        <v>0</v>
      </c>
    </row>
    <row r="1634" spans="6:6">
      <c r="F1634" s="188">
        <v>0</v>
      </c>
    </row>
    <row r="1635" spans="6:6">
      <c r="F1635" s="188">
        <v>0</v>
      </c>
    </row>
    <row r="1636" spans="6:6">
      <c r="F1636" s="188">
        <v>0</v>
      </c>
    </row>
    <row r="1637" spans="6:6">
      <c r="F1637" s="188">
        <v>0</v>
      </c>
    </row>
    <row r="1638" spans="6:6">
      <c r="F1638" s="188">
        <v>0</v>
      </c>
    </row>
    <row r="1639" spans="6:6">
      <c r="F1639" s="188">
        <v>0</v>
      </c>
    </row>
    <row r="1640" spans="6:6">
      <c r="F1640" s="188">
        <v>0</v>
      </c>
    </row>
    <row r="1641" spans="6:6">
      <c r="F1641" s="188">
        <v>0</v>
      </c>
    </row>
    <row r="1642" spans="6:6">
      <c r="F1642" s="188">
        <v>0</v>
      </c>
    </row>
    <row r="1643" spans="6:6">
      <c r="F1643" s="188">
        <v>0</v>
      </c>
    </row>
    <row r="1644" spans="6:6">
      <c r="F1644" s="188">
        <v>0</v>
      </c>
    </row>
    <row r="1645" spans="6:6">
      <c r="F1645" s="188">
        <v>0</v>
      </c>
    </row>
    <row r="1646" spans="6:6">
      <c r="F1646" s="188">
        <v>0</v>
      </c>
    </row>
    <row r="1647" spans="6:6">
      <c r="F1647" s="188">
        <v>0</v>
      </c>
    </row>
    <row r="1648" spans="6:6">
      <c r="F1648" s="188">
        <v>0</v>
      </c>
    </row>
    <row r="1649" spans="6:6">
      <c r="F1649" s="188">
        <v>0</v>
      </c>
    </row>
    <row r="1650" spans="6:6">
      <c r="F1650" s="188">
        <v>0</v>
      </c>
    </row>
    <row r="1651" spans="6:6">
      <c r="F1651" s="188">
        <v>0</v>
      </c>
    </row>
    <row r="1652" spans="6:6">
      <c r="F1652" s="188">
        <v>0</v>
      </c>
    </row>
    <row r="1653" spans="6:6">
      <c r="F1653" s="188">
        <v>0</v>
      </c>
    </row>
    <row r="1654" spans="6:6">
      <c r="F1654" s="188">
        <v>0</v>
      </c>
    </row>
    <row r="1655" spans="6:6">
      <c r="F1655" s="188">
        <v>0</v>
      </c>
    </row>
    <row r="1656" spans="6:6">
      <c r="F1656" s="188">
        <v>0</v>
      </c>
    </row>
    <row r="1657" spans="6:6">
      <c r="F1657" s="188">
        <v>0</v>
      </c>
    </row>
    <row r="1658" spans="6:6">
      <c r="F1658" s="188">
        <v>0</v>
      </c>
    </row>
    <row r="1659" spans="6:6">
      <c r="F1659" s="188">
        <v>0</v>
      </c>
    </row>
    <row r="1660" spans="6:6">
      <c r="F1660" s="188">
        <v>0</v>
      </c>
    </row>
    <row r="1661" spans="6:6">
      <c r="F1661" s="188">
        <v>0</v>
      </c>
    </row>
    <row r="1662" spans="6:6">
      <c r="F1662" s="188">
        <v>0</v>
      </c>
    </row>
    <row r="1663" spans="6:6">
      <c r="F1663" s="188">
        <v>0</v>
      </c>
    </row>
    <row r="1664" spans="6:6">
      <c r="F1664" s="188">
        <v>0</v>
      </c>
    </row>
    <row r="1665" spans="6:6">
      <c r="F1665" s="188">
        <v>0</v>
      </c>
    </row>
    <row r="1666" spans="6:6">
      <c r="F1666" s="188">
        <v>0</v>
      </c>
    </row>
    <row r="1667" spans="6:6">
      <c r="F1667" s="188">
        <v>0</v>
      </c>
    </row>
    <row r="1668" spans="6:6">
      <c r="F1668" s="188">
        <v>0</v>
      </c>
    </row>
    <row r="1669" spans="6:6">
      <c r="F1669" s="188">
        <v>0</v>
      </c>
    </row>
    <row r="1670" spans="6:6">
      <c r="F1670" s="188">
        <v>0</v>
      </c>
    </row>
    <row r="1671" spans="6:6">
      <c r="F1671" s="188">
        <v>0</v>
      </c>
    </row>
    <row r="1672" spans="6:6">
      <c r="F1672" s="188">
        <v>0</v>
      </c>
    </row>
    <row r="1673" spans="6:6">
      <c r="F1673" s="188">
        <v>0</v>
      </c>
    </row>
    <row r="1674" spans="6:6">
      <c r="F1674" s="188">
        <v>0</v>
      </c>
    </row>
    <row r="1675" spans="6:6">
      <c r="F1675" s="188">
        <v>0</v>
      </c>
    </row>
    <row r="1676" spans="6:6">
      <c r="F1676" s="188">
        <v>0</v>
      </c>
    </row>
    <row r="1677" spans="6:6">
      <c r="F1677" s="188">
        <v>0</v>
      </c>
    </row>
    <row r="1678" spans="6:6">
      <c r="F1678" s="188">
        <v>0</v>
      </c>
    </row>
    <row r="1679" spans="6:6">
      <c r="F1679" s="188">
        <v>0</v>
      </c>
    </row>
    <row r="1680" spans="6:6">
      <c r="F1680" s="188">
        <v>0</v>
      </c>
    </row>
    <row r="1681" spans="6:6">
      <c r="F1681" s="188">
        <v>0</v>
      </c>
    </row>
    <row r="1682" spans="6:6">
      <c r="F1682" s="188">
        <v>0</v>
      </c>
    </row>
    <row r="1683" spans="6:6">
      <c r="F1683" s="188">
        <v>0</v>
      </c>
    </row>
    <row r="1684" spans="6:6">
      <c r="F1684" s="188">
        <v>0</v>
      </c>
    </row>
    <row r="1685" spans="6:6">
      <c r="F1685" s="188">
        <v>0</v>
      </c>
    </row>
    <row r="1686" spans="6:6">
      <c r="F1686" s="188">
        <v>0</v>
      </c>
    </row>
    <row r="1687" spans="6:6">
      <c r="F1687" s="188">
        <v>0</v>
      </c>
    </row>
    <row r="1688" spans="6:6">
      <c r="F1688" s="188">
        <v>0</v>
      </c>
    </row>
    <row r="1689" spans="6:6">
      <c r="F1689" s="188">
        <v>0</v>
      </c>
    </row>
    <row r="1690" spans="6:6">
      <c r="F1690" s="188">
        <v>0</v>
      </c>
    </row>
    <row r="1691" spans="6:6">
      <c r="F1691" s="188">
        <v>0</v>
      </c>
    </row>
    <row r="1692" spans="6:6">
      <c r="F1692" s="188">
        <v>0</v>
      </c>
    </row>
    <row r="1693" spans="6:6">
      <c r="F1693" s="188">
        <v>0</v>
      </c>
    </row>
  </sheetData>
  <mergeCells count="78"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4:C174"/>
    <mergeCell ref="A172:C172"/>
    <mergeCell ref="A175:B175"/>
    <mergeCell ref="A176:B176"/>
    <mergeCell ref="A177:G177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3"/>
  <sheetViews>
    <sheetView view="pageBreakPreview" topLeftCell="A151" zoomScale="50" zoomScaleNormal="60" zoomScaleSheetLayoutView="50" zoomScalePageLayoutView="20" workbookViewId="0">
      <selection activeCell="F8" sqref="F8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50" t="s">
        <v>214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5" s="57" customFormat="1" ht="27">
      <c r="A2" s="226" t="s">
        <v>346</v>
      </c>
      <c r="B2" s="682">
        <v>44429</v>
      </c>
      <c r="C2" s="761" t="s">
        <v>68</v>
      </c>
      <c r="D2" s="262">
        <v>0.66</v>
      </c>
      <c r="E2" s="112"/>
      <c r="F2" s="112"/>
      <c r="G2" s="939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61" t="s">
        <v>119</v>
      </c>
      <c r="D3" s="263">
        <v>28</v>
      </c>
      <c r="E3" s="1259" t="s">
        <v>120</v>
      </c>
      <c r="F3" s="1260"/>
      <c r="G3" s="940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761" t="s">
        <v>121</v>
      </c>
      <c r="D4" s="262">
        <v>0.84</v>
      </c>
      <c r="E4" s="115"/>
      <c r="F4" s="115"/>
      <c r="G4" s="940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41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53" t="s">
        <v>129</v>
      </c>
      <c r="B6" s="1254"/>
      <c r="C6" s="1255"/>
      <c r="D6" s="122"/>
      <c r="E6" s="122"/>
      <c r="F6" s="122"/>
      <c r="G6" s="94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'20'!F7</f>
        <v>50251.9</v>
      </c>
      <c r="F7" s="106">
        <v>71639.100000000006</v>
      </c>
      <c r="G7" s="943">
        <f>F7-E7</f>
        <v>21387.200000000004</v>
      </c>
      <c r="H7" s="111">
        <f>G7+'20'!H7</f>
        <v>772947.48999999987</v>
      </c>
      <c r="I7" s="125">
        <f>'1'!I7</f>
        <v>12000</v>
      </c>
      <c r="J7" s="203">
        <f>H7/DAY(B2)</f>
        <v>36807.023333333331</v>
      </c>
      <c r="K7" s="200">
        <v>12199</v>
      </c>
      <c r="L7" s="68">
        <f>G7-K7</f>
        <v>9188.2000000000044</v>
      </c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26">
        <v>61702.42</v>
      </c>
      <c r="F8" s="126">
        <f>E8+22500</f>
        <v>84202.42</v>
      </c>
      <c r="G8" s="944">
        <f>F8-E8</f>
        <v>22500</v>
      </c>
      <c r="H8" s="111">
        <f>G8+'20'!H8</f>
        <v>775149</v>
      </c>
      <c r="I8" s="128">
        <f>'1'!I8</f>
        <v>12000</v>
      </c>
      <c r="J8" s="203">
        <f>H8/DAY(B2)</f>
        <v>36911.857142857145</v>
      </c>
      <c r="K8" s="200">
        <v>12262</v>
      </c>
      <c r="L8" s="78">
        <f>G8-K8</f>
        <v>10238</v>
      </c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'20'!F9</f>
        <v>3125040</v>
      </c>
      <c r="F9" s="129">
        <v>3145740</v>
      </c>
      <c r="G9" s="943">
        <f t="shared" ref="G9:G12" si="0">F9-E9</f>
        <v>20700</v>
      </c>
      <c r="H9" s="111">
        <f>G9+'20'!H9</f>
        <v>3063210</v>
      </c>
      <c r="I9" s="130">
        <f>I8-J8</f>
        <v>-24911.857142857145</v>
      </c>
      <c r="J9" s="203">
        <f>H9/DAY(B2)</f>
        <v>145867.14285714287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'20'!F10</f>
        <v>2606.85</v>
      </c>
      <c r="F10" s="129">
        <v>2606.85</v>
      </c>
      <c r="G10" s="943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43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43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45">
        <f>G9+G10+G11+G12</f>
        <v>20700</v>
      </c>
      <c r="H13" s="111">
        <f>G13+'20'!H13</f>
        <v>3019194.36</v>
      </c>
      <c r="I13" s="133">
        <f>G7-G13</f>
        <v>687.20000000000437</v>
      </c>
      <c r="J13" s="203">
        <f>H13/DAY(B2)</f>
        <v>143771.16</v>
      </c>
      <c r="K13" s="81"/>
      <c r="L13" s="68"/>
      <c r="N13" s="73"/>
      <c r="O13" s="73"/>
    </row>
    <row r="14" spans="1:15">
      <c r="A14" s="1256" t="s">
        <v>138</v>
      </c>
      <c r="B14" s="1257"/>
      <c r="C14" s="1258"/>
      <c r="D14" s="123"/>
      <c r="E14" s="123"/>
      <c r="F14" s="123"/>
      <c r="G14" s="946"/>
      <c r="H14" s="123"/>
      <c r="I14" s="123"/>
      <c r="J14" s="202"/>
      <c r="K14" s="82"/>
      <c r="L14" s="68"/>
      <c r="N14" s="73"/>
      <c r="O14" s="73"/>
    </row>
    <row r="15" spans="1:15">
      <c r="A15" s="759" t="s">
        <v>139</v>
      </c>
      <c r="B15" s="240"/>
      <c r="C15" s="240"/>
      <c r="D15" s="174" t="s">
        <v>140</v>
      </c>
      <c r="E15" s="135">
        <f>'20'!F15</f>
        <v>1747121.52</v>
      </c>
      <c r="F15" s="351">
        <v>1748012.46</v>
      </c>
      <c r="G15" s="947">
        <f>(F15-E15)</f>
        <v>890.93999999994412</v>
      </c>
      <c r="H15" s="111">
        <f>G15+'20'!H15</f>
        <v>-8517.5400000000373</v>
      </c>
      <c r="I15" s="125">
        <v>800</v>
      </c>
      <c r="J15" s="203">
        <f>H15/DAY(B2)</f>
        <v>-405.5971428571446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43"/>
      <c r="H16" s="137"/>
      <c r="I16" s="138">
        <f>I15-J15</f>
        <v>1205.5971428571447</v>
      </c>
      <c r="J16" s="204"/>
      <c r="K16" s="81"/>
      <c r="L16" s="68"/>
      <c r="N16" s="73"/>
      <c r="O16" s="73"/>
    </row>
    <row r="17" spans="1:15">
      <c r="A17" s="1256" t="s">
        <v>141</v>
      </c>
      <c r="B17" s="1257"/>
      <c r="C17" s="1258"/>
      <c r="D17" s="123"/>
      <c r="E17" s="123"/>
      <c r="F17" s="123"/>
      <c r="G17" s="946"/>
      <c r="H17" s="123"/>
      <c r="I17" s="123"/>
      <c r="J17" s="202"/>
      <c r="K17" s="81"/>
      <c r="L17" s="68"/>
      <c r="N17" s="73"/>
      <c r="O17" s="73"/>
    </row>
    <row r="18" spans="1:15" ht="27.75">
      <c r="A18" s="1245" t="s">
        <v>142</v>
      </c>
      <c r="B18" s="1246"/>
      <c r="C18" s="1247"/>
      <c r="D18" s="174" t="s">
        <v>143</v>
      </c>
      <c r="E18" s="135">
        <f>'20'!F18</f>
        <v>22</v>
      </c>
      <c r="F18" s="135">
        <v>19</v>
      </c>
      <c r="G18" s="945">
        <f>F18*10</f>
        <v>190</v>
      </c>
      <c r="H18" s="111">
        <f>G18+'20'!H18</f>
        <v>3280</v>
      </c>
      <c r="I18" s="125">
        <f>'1'!I18</f>
        <v>65</v>
      </c>
      <c r="J18" s="203">
        <f>H18/DAY(B2)</f>
        <v>156.1904761904762</v>
      </c>
      <c r="K18" s="81"/>
      <c r="L18" s="68"/>
      <c r="N18" s="73"/>
      <c r="O18" s="73"/>
    </row>
    <row r="19" spans="1:15" ht="27.75">
      <c r="A19" s="1245" t="s">
        <v>70</v>
      </c>
      <c r="B19" s="1246"/>
      <c r="C19" s="1247"/>
      <c r="D19" s="174" t="s">
        <v>143</v>
      </c>
      <c r="E19" s="135">
        <f>'20'!F19</f>
        <v>144659</v>
      </c>
      <c r="F19" s="135">
        <v>144722</v>
      </c>
      <c r="G19" s="943">
        <f t="shared" ref="G19" si="1">F19-E19</f>
        <v>63</v>
      </c>
      <c r="H19" s="111">
        <f>G19+'20'!H19</f>
        <v>-616</v>
      </c>
      <c r="I19" s="140"/>
      <c r="J19" s="203">
        <f>H19/DAY(B2)</f>
        <v>-29.333333333333332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48">
        <f>G18+G19</f>
        <v>253</v>
      </c>
      <c r="H20" s="111">
        <f>G20+'20'!H20</f>
        <v>2664</v>
      </c>
      <c r="I20" s="143">
        <f>I18-J20</f>
        <v>-61.857142857142861</v>
      </c>
      <c r="J20" s="203">
        <f>H20/DAY(B2)</f>
        <v>126.85714285714286</v>
      </c>
      <c r="K20" s="81"/>
      <c r="L20" s="68"/>
      <c r="N20" s="73"/>
      <c r="O20" s="73"/>
    </row>
    <row r="21" spans="1:15">
      <c r="A21" s="1256" t="s">
        <v>145</v>
      </c>
      <c r="B21" s="1257"/>
      <c r="C21" s="1258"/>
      <c r="D21" s="123"/>
      <c r="E21" s="123"/>
      <c r="F21" s="123"/>
      <c r="G21" s="946"/>
      <c r="H21" s="123"/>
      <c r="I21" s="123"/>
      <c r="J21" s="202"/>
      <c r="K21" s="81"/>
      <c r="L21" s="68"/>
      <c r="N21" s="73"/>
      <c r="O21" s="73"/>
    </row>
    <row r="22" spans="1:15">
      <c r="A22" s="759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45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759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45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45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61" t="s">
        <v>150</v>
      </c>
      <c r="B25" s="1262"/>
      <c r="C25" s="1263"/>
      <c r="D25" s="122"/>
      <c r="E25" s="122"/>
      <c r="F25" s="122"/>
      <c r="G25" s="949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50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22500</v>
      </c>
      <c r="F27" s="152">
        <v>9</v>
      </c>
      <c r="G27" s="951">
        <f>E27*F27</f>
        <v>202500</v>
      </c>
      <c r="H27" s="111">
        <f>G27+'20'!H27</f>
        <v>6969303</v>
      </c>
      <c r="I27" s="154"/>
      <c r="J27" s="203">
        <f>H27/DAY(B2)</f>
        <v>331871.57142857142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890.93999999994412</v>
      </c>
      <c r="F28" s="152">
        <v>56.2</v>
      </c>
      <c r="G28" s="951">
        <f t="shared" ref="G28:G30" si="3">E28*F28</f>
        <v>50070.827999996865</v>
      </c>
      <c r="H28" s="111">
        <f>G28+'20'!H28</f>
        <v>-483253.71940000192</v>
      </c>
      <c r="I28" s="156"/>
      <c r="J28" s="203">
        <f>H28/DAY(B2)</f>
        <v>-23012.081876190568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51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951">
        <f t="shared" si="3"/>
        <v>9198</v>
      </c>
      <c r="H30" s="111">
        <f>G30+'20'!H30</f>
        <v>-89936</v>
      </c>
      <c r="I30" s="156"/>
      <c r="J30" s="203">
        <f>H30/DAY(B2)</f>
        <v>-4282.666666666667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190</v>
      </c>
      <c r="F31" s="152">
        <v>80</v>
      </c>
      <c r="G31" s="951">
        <f>E31*F31</f>
        <v>15200</v>
      </c>
      <c r="H31" s="111">
        <f>G31+'20'!H31</f>
        <v>257164</v>
      </c>
      <c r="I31" s="156"/>
      <c r="J31" s="203">
        <f>H31/DAY(B2)</f>
        <v>12245.904761904761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52">
        <f>G27+G28+G29+G30+G31</f>
        <v>276968.82799999684</v>
      </c>
      <c r="H32" s="111">
        <f>G32+'20'!H32</f>
        <v>6653277.2805999983</v>
      </c>
      <c r="I32" s="160"/>
      <c r="J32" s="203">
        <f>H32/DAY(B2)</f>
        <v>316822.72764761897</v>
      </c>
      <c r="K32" s="65"/>
      <c r="L32" s="94"/>
      <c r="N32" s="95"/>
      <c r="O32" s="73"/>
    </row>
    <row r="33" spans="1:15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  <c r="O33" s="73"/>
    </row>
    <row r="34" spans="1:15">
      <c r="A34" s="249" t="s">
        <v>162</v>
      </c>
      <c r="B34" s="764"/>
      <c r="C34" s="764"/>
      <c r="D34" s="123"/>
      <c r="E34" s="122"/>
      <c r="F34" s="122"/>
      <c r="G34" s="95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'20'!F35</f>
        <v>1058597</v>
      </c>
      <c r="F35" s="161">
        <v>1058597</v>
      </c>
      <c r="G35" s="943">
        <f t="shared" ref="G35:G46" si="4">F35-E35</f>
        <v>0</v>
      </c>
      <c r="H35" s="111">
        <f>G35+'20'!H35</f>
        <v>0</v>
      </c>
      <c r="I35" s="106"/>
      <c r="J35" s="203">
        <f>H35/DAY(B2)</f>
        <v>0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'20'!F36</f>
        <v>61611.6</v>
      </c>
      <c r="F36" s="161">
        <v>62286.400000000001</v>
      </c>
      <c r="G36" s="943">
        <f t="shared" si="4"/>
        <v>674.80000000000291</v>
      </c>
      <c r="H36" s="111">
        <f>G36+'20'!H36</f>
        <v>60453.4</v>
      </c>
      <c r="I36" s="106"/>
      <c r="J36" s="203">
        <f>H36/DAY(B2)</f>
        <v>2878.7333333333336</v>
      </c>
      <c r="K36" s="81">
        <v>485.22000000000116</v>
      </c>
      <c r="L36" s="68">
        <f t="shared" si="5"/>
        <v>189.58000000000175</v>
      </c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'20'!F37</f>
        <v>257767</v>
      </c>
      <c r="F37" s="161">
        <v>259329</v>
      </c>
      <c r="G37" s="943">
        <f t="shared" si="4"/>
        <v>1562</v>
      </c>
      <c r="H37" s="111">
        <f>G37+'20'!H37</f>
        <v>255554</v>
      </c>
      <c r="I37" s="106"/>
      <c r="J37" s="203">
        <f>H37/DAY(B2)</f>
        <v>12169.238095238095</v>
      </c>
      <c r="K37" s="81">
        <v>1194.8999999999942</v>
      </c>
      <c r="L37" s="68">
        <f t="shared" si="5"/>
        <v>367.10000000000582</v>
      </c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f>'20'!F38</f>
        <v>282894</v>
      </c>
      <c r="F38" s="120">
        <v>284777</v>
      </c>
      <c r="G38" s="943">
        <f t="shared" si="4"/>
        <v>1883</v>
      </c>
      <c r="H38" s="111">
        <f>G38+'20'!H38</f>
        <v>279954</v>
      </c>
      <c r="I38" s="106"/>
      <c r="J38" s="203">
        <f>H38/DAY(B2)</f>
        <v>13331.142857142857</v>
      </c>
      <c r="K38" s="81">
        <v>0</v>
      </c>
      <c r="L38" s="68">
        <f t="shared" si="5"/>
        <v>1883</v>
      </c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'20'!F39</f>
        <v>595534</v>
      </c>
      <c r="F39" s="161">
        <v>599254</v>
      </c>
      <c r="G39" s="943">
        <f t="shared" si="4"/>
        <v>3720</v>
      </c>
      <c r="H39" s="111">
        <f>G39+'20'!H39</f>
        <v>595412</v>
      </c>
      <c r="I39" s="106"/>
      <c r="J39" s="203">
        <f>H39/DAY(B2)</f>
        <v>28352.952380952382</v>
      </c>
      <c r="K39" s="81">
        <v>2147.359999999986</v>
      </c>
      <c r="L39" s="68">
        <f t="shared" si="5"/>
        <v>1572.640000000014</v>
      </c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'20'!F40</f>
        <v>29765.4</v>
      </c>
      <c r="F40" s="161">
        <v>30067.7</v>
      </c>
      <c r="G40" s="943">
        <f t="shared" si="4"/>
        <v>302.29999999999927</v>
      </c>
      <c r="H40" s="111">
        <f>G40+'20'!H40</f>
        <v>30225.100000000002</v>
      </c>
      <c r="I40" s="106"/>
      <c r="J40" s="203">
        <f>H40/DAY(B2)</f>
        <v>1439.2904761904763</v>
      </c>
      <c r="K40" s="82">
        <v>0</v>
      </c>
      <c r="L40" s="68">
        <f t="shared" si="5"/>
        <v>302.29999999999927</v>
      </c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'20'!F41</f>
        <v>432384</v>
      </c>
      <c r="F41" s="161">
        <v>433282</v>
      </c>
      <c r="G41" s="943">
        <f t="shared" si="4"/>
        <v>898</v>
      </c>
      <c r="H41" s="111">
        <f>G41+'20'!H41</f>
        <v>0.21000000002095476</v>
      </c>
      <c r="I41" s="106"/>
      <c r="J41" s="203">
        <f>H41/DAY(B2)</f>
        <v>1.0000000000997846E-2</v>
      </c>
      <c r="K41" s="81">
        <v>0</v>
      </c>
      <c r="L41" s="68">
        <f t="shared" si="5"/>
        <v>898</v>
      </c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'20'!F42</f>
        <v>147899.14000000001</v>
      </c>
      <c r="F42" s="161">
        <v>147899.14000000001</v>
      </c>
      <c r="G42" s="943">
        <f t="shared" si="4"/>
        <v>0</v>
      </c>
      <c r="H42" s="111">
        <f>G42+'20'!H42</f>
        <v>-27212.859999999986</v>
      </c>
      <c r="I42" s="106"/>
      <c r="J42" s="203">
        <f>H42/DAY(B2)</f>
        <v>-1295.8504761904755</v>
      </c>
      <c r="K42" s="81">
        <v>3228.5699999999997</v>
      </c>
      <c r="L42" s="68">
        <f t="shared" si="5"/>
        <v>-3228.5699999999997</v>
      </c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'20'!F43</f>
        <v>1259360</v>
      </c>
      <c r="F43" s="161">
        <v>1261960</v>
      </c>
      <c r="G43" s="943">
        <f t="shared" si="4"/>
        <v>2600</v>
      </c>
      <c r="H43" s="111">
        <f>G43+'20'!H43</f>
        <v>-27785</v>
      </c>
      <c r="I43" s="106"/>
      <c r="J43" s="203">
        <f>H43/DAY(B2)</f>
        <v>-1323.0952380952381</v>
      </c>
      <c r="K43" s="81">
        <v>1595.679999999993</v>
      </c>
      <c r="L43" s="68">
        <f t="shared" si="5"/>
        <v>1004.320000000007</v>
      </c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43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43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43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45">
        <f>G35+G36+G37+G38+G39+G40+G41+G42+G43+G44+G45+G46</f>
        <v>11640.100000000002</v>
      </c>
      <c r="H47" s="111">
        <f>G47+'20'!H47</f>
        <v>1167401.8500000003</v>
      </c>
      <c r="I47" s="106"/>
      <c r="J47" s="203">
        <f>H47/DAY(B2)</f>
        <v>55590.564285714303</v>
      </c>
      <c r="K47" s="81">
        <v>10172.060000000001</v>
      </c>
      <c r="L47" s="68">
        <f t="shared" si="5"/>
        <v>1468.0400000000009</v>
      </c>
      <c r="N47" s="73"/>
      <c r="O47" s="73"/>
    </row>
    <row r="48" spans="1:15">
      <c r="A48" s="249" t="s">
        <v>176</v>
      </c>
      <c r="B48" s="764"/>
      <c r="C48" s="764"/>
      <c r="D48" s="123"/>
      <c r="E48" s="122"/>
      <c r="F48" s="122"/>
      <c r="G48" s="953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'20'!F49</f>
        <v>384926</v>
      </c>
      <c r="F49" s="161">
        <v>387982</v>
      </c>
      <c r="G49" s="943">
        <f t="shared" ref="G49:G58" si="6">F49-E49</f>
        <v>3056</v>
      </c>
      <c r="H49" s="111">
        <f>G49+'20'!H49</f>
        <v>371202</v>
      </c>
      <c r="I49" s="106"/>
      <c r="J49" s="203">
        <f>H49/DAY(B2)</f>
        <v>17676.285714285714</v>
      </c>
      <c r="K49" s="81">
        <v>0</v>
      </c>
      <c r="L49" s="68">
        <f t="shared" si="5"/>
        <v>3056</v>
      </c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'20'!F50</f>
        <v>594769</v>
      </c>
      <c r="F50" s="161">
        <v>595771</v>
      </c>
      <c r="G50" s="943">
        <f>F50-E50</f>
        <v>1002</v>
      </c>
      <c r="H50" s="111">
        <f>G50+'20'!H50</f>
        <v>-12447</v>
      </c>
      <c r="I50" s="106"/>
      <c r="J50" s="203">
        <f>H50/DAY(B2)</f>
        <v>-592.71428571428567</v>
      </c>
      <c r="K50" s="81">
        <v>700.86999999999534</v>
      </c>
      <c r="L50" s="68">
        <f t="shared" si="5"/>
        <v>301.13000000000466</v>
      </c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'20'!F51</f>
        <v>144640</v>
      </c>
      <c r="F51" s="161">
        <v>144640</v>
      </c>
      <c r="G51" s="943">
        <f t="shared" si="6"/>
        <v>0</v>
      </c>
      <c r="H51" s="111">
        <f>G51+'20'!H51</f>
        <v>144640</v>
      </c>
      <c r="I51" s="106"/>
      <c r="J51" s="203">
        <f>H51/DAY(B2)</f>
        <v>6887.6190476190477</v>
      </c>
      <c r="K51" s="81">
        <v>0</v>
      </c>
      <c r="L51" s="68">
        <f t="shared" si="5"/>
        <v>0</v>
      </c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'20'!F52</f>
        <v>539606</v>
      </c>
      <c r="F52" s="161">
        <v>539606.06999999995</v>
      </c>
      <c r="G52" s="943">
        <f t="shared" si="6"/>
        <v>6.9999999948777258E-2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-985.9100000000326</v>
      </c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'20'!F53</f>
        <v>434231.59</v>
      </c>
      <c r="F53" s="161">
        <v>434231.59</v>
      </c>
      <c r="G53" s="943">
        <f t="shared" si="6"/>
        <v>0</v>
      </c>
      <c r="H53" s="111">
        <f>G53+'20'!H53</f>
        <v>434231.59</v>
      </c>
      <c r="I53" s="106"/>
      <c r="J53" s="203">
        <f>H53/DAY(B2)</f>
        <v>20677.694761904764</v>
      </c>
      <c r="K53" s="81">
        <v>107.60000000000036</v>
      </c>
      <c r="L53" s="68">
        <f t="shared" si="5"/>
        <v>-107.60000000000036</v>
      </c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'20'!F54</f>
        <v>14967</v>
      </c>
      <c r="F54" s="161">
        <v>14967</v>
      </c>
      <c r="G54" s="943">
        <f t="shared" si="6"/>
        <v>0</v>
      </c>
      <c r="H54" s="111">
        <f>G54+'20'!H54</f>
        <v>12502</v>
      </c>
      <c r="I54" s="106"/>
      <c r="J54" s="203">
        <f>H54/DAY(B2)</f>
        <v>595.33333333333337</v>
      </c>
      <c r="K54" s="81">
        <v>0</v>
      </c>
      <c r="L54" s="68">
        <f t="shared" si="5"/>
        <v>0</v>
      </c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'20'!F55</f>
        <v>270369</v>
      </c>
      <c r="F55" s="161">
        <v>275755</v>
      </c>
      <c r="G55" s="943">
        <f t="shared" si="6"/>
        <v>5386</v>
      </c>
      <c r="H55" s="111">
        <f>G55+'20'!H55</f>
        <v>-31543.989999999991</v>
      </c>
      <c r="I55" s="106"/>
      <c r="J55" s="203">
        <f>H55/DAY(B2)</f>
        <v>-1502.0947619047615</v>
      </c>
      <c r="K55" s="81">
        <v>0</v>
      </c>
      <c r="L55" s="68">
        <f t="shared" si="5"/>
        <v>5386</v>
      </c>
      <c r="N55" s="73"/>
      <c r="O55" s="73"/>
    </row>
    <row r="56" spans="1:15" s="92" customFormat="1">
      <c r="A56" s="742" t="s">
        <v>181</v>
      </c>
      <c r="B56" s="743"/>
      <c r="C56" s="743"/>
      <c r="D56" s="278" t="s">
        <v>182</v>
      </c>
      <c r="E56" s="304">
        <f>'20'!F56</f>
        <v>649595</v>
      </c>
      <c r="F56" s="304">
        <v>649607</v>
      </c>
      <c r="G56" s="964">
        <f t="shared" si="6"/>
        <v>12</v>
      </c>
      <c r="H56" s="356">
        <f>G56+'20'!H56</f>
        <v>-11424</v>
      </c>
      <c r="I56" s="357"/>
      <c r="J56" s="358">
        <f>H56/DAY(B2)</f>
        <v>-544</v>
      </c>
      <c r="K56" s="969">
        <v>0</v>
      </c>
      <c r="L56" s="745">
        <f t="shared" si="5"/>
        <v>12</v>
      </c>
      <c r="N56" s="364"/>
      <c r="O56" s="364"/>
    </row>
    <row r="57" spans="1:15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43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'20'!F58</f>
        <v>63768.9</v>
      </c>
      <c r="F58" s="161">
        <v>63971.3</v>
      </c>
      <c r="G58" s="943">
        <f t="shared" si="6"/>
        <v>202.40000000000146</v>
      </c>
      <c r="H58" s="111">
        <f>G58+'20'!H58</f>
        <v>-2211.6999999999971</v>
      </c>
      <c r="I58" s="106"/>
      <c r="J58" s="203">
        <f>H58/DAY(B2)</f>
        <v>-105.31904761904748</v>
      </c>
      <c r="K58" s="81">
        <v>0</v>
      </c>
      <c r="L58" s="68">
        <f t="shared" si="5"/>
        <v>202.40000000000146</v>
      </c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45">
        <f>G49+G50+G51+G52+G53+G54+G55+G56+G57+G58</f>
        <v>9658.4699999999502</v>
      </c>
      <c r="H59" s="111">
        <f>G59+'20'!H59</f>
        <v>1444554.9699999997</v>
      </c>
      <c r="I59" s="106">
        <f>G7-G60</f>
        <v>88.63000000005195</v>
      </c>
      <c r="J59" s="203">
        <f>H59/DAY(B2)</f>
        <v>68788.331904761886</v>
      </c>
      <c r="K59" s="81">
        <v>1794.4499999999771</v>
      </c>
      <c r="L59" s="68">
        <f t="shared" si="5"/>
        <v>7864.0199999999732</v>
      </c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45">
        <f>G47+G59</f>
        <v>21298.569999999952</v>
      </c>
      <c r="H60" s="111">
        <f>G60+'20'!H60</f>
        <v>2618645.8200000003</v>
      </c>
      <c r="I60" s="106">
        <f>G13-G60</f>
        <v>-598.56999999995242</v>
      </c>
      <c r="J60" s="203">
        <f>H60/DAY(B2)</f>
        <v>124697.42000000001</v>
      </c>
      <c r="K60" s="81">
        <v>11966.509999999978</v>
      </c>
      <c r="L60" s="68">
        <f t="shared" si="5"/>
        <v>9332.059999999974</v>
      </c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5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'20'!F62</f>
        <v>20419.2</v>
      </c>
      <c r="F62" s="165">
        <v>20419.2</v>
      </c>
      <c r="G62" s="943">
        <f t="shared" ref="G62:G69" si="7">F62-E62</f>
        <v>0</v>
      </c>
      <c r="H62" s="111">
        <f>G62+'20'!H62</f>
        <v>0.20199999999749707</v>
      </c>
      <c r="I62" s="166"/>
      <c r="J62" s="203">
        <f>H62/DAY(B2)</f>
        <v>9.6190476189284314E-3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'20'!F63</f>
        <v>0</v>
      </c>
      <c r="F63" s="165">
        <v>0</v>
      </c>
      <c r="G63" s="943">
        <f t="shared" si="7"/>
        <v>0</v>
      </c>
      <c r="H63" s="111">
        <f>G63+'20'!H63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226" t="s">
        <v>98</v>
      </c>
      <c r="B64" s="1227"/>
      <c r="C64" s="1228"/>
      <c r="D64" s="174" t="s">
        <v>186</v>
      </c>
      <c r="E64" s="135">
        <f>'20'!F64</f>
        <v>189658</v>
      </c>
      <c r="F64" s="135">
        <v>190015</v>
      </c>
      <c r="G64" s="943">
        <f t="shared" si="7"/>
        <v>357</v>
      </c>
      <c r="H64" s="111">
        <f>G64+'20'!H64</f>
        <v>-4202</v>
      </c>
      <c r="I64" s="131"/>
      <c r="J64" s="203">
        <f>H64/DAY(B2)</f>
        <v>-200.0952380952381</v>
      </c>
      <c r="K64" s="81"/>
      <c r="L64" s="68"/>
      <c r="N64" s="73"/>
      <c r="O64" s="73"/>
    </row>
    <row r="65" spans="1:15" ht="27.75">
      <c r="A65" s="1226" t="s">
        <v>99</v>
      </c>
      <c r="B65" s="1227"/>
      <c r="C65" s="1228"/>
      <c r="D65" s="174" t="s">
        <v>186</v>
      </c>
      <c r="E65" s="135">
        <f>'20'!F65</f>
        <v>190255</v>
      </c>
      <c r="F65" s="135">
        <v>190649</v>
      </c>
      <c r="G65" s="943">
        <f t="shared" si="7"/>
        <v>394</v>
      </c>
      <c r="H65" s="111">
        <f>G65+'20'!H65</f>
        <v>-3980</v>
      </c>
      <c r="I65" s="140"/>
      <c r="J65" s="203">
        <f>H65/DAY(B2)</f>
        <v>-189.52380952380952</v>
      </c>
      <c r="K65" s="81"/>
      <c r="L65" s="68"/>
      <c r="N65" s="73"/>
      <c r="O65" s="73"/>
    </row>
    <row r="66" spans="1:15" ht="27.75">
      <c r="A66" s="1226" t="s">
        <v>100</v>
      </c>
      <c r="B66" s="1227"/>
      <c r="C66" s="1228"/>
      <c r="D66" s="174" t="s">
        <v>186</v>
      </c>
      <c r="E66" s="135">
        <f>'20'!F66</f>
        <v>88796.6</v>
      </c>
      <c r="F66" s="135">
        <v>89207.3</v>
      </c>
      <c r="G66" s="943">
        <f t="shared" si="7"/>
        <v>410.69999999999709</v>
      </c>
      <c r="H66" s="111">
        <f>G66+'20'!H66</f>
        <v>-4109.6999999999971</v>
      </c>
      <c r="I66" s="131"/>
      <c r="J66" s="203">
        <f>H66/DAY(B2)</f>
        <v>-195.69999999999987</v>
      </c>
      <c r="K66" s="81"/>
      <c r="L66" s="68"/>
      <c r="N66" s="73"/>
      <c r="O66" s="73"/>
    </row>
    <row r="67" spans="1:15" ht="27.75">
      <c r="A67" s="1226" t="s">
        <v>101</v>
      </c>
      <c r="B67" s="1227"/>
      <c r="C67" s="1228"/>
      <c r="D67" s="174" t="s">
        <v>186</v>
      </c>
      <c r="E67" s="135">
        <f>'20'!F67</f>
        <v>289456</v>
      </c>
      <c r="F67" s="135">
        <v>289912</v>
      </c>
      <c r="G67" s="943">
        <f t="shared" si="7"/>
        <v>456</v>
      </c>
      <c r="H67" s="111">
        <f>G67+'20'!H67</f>
        <v>-4979</v>
      </c>
      <c r="I67" s="140"/>
      <c r="J67" s="203">
        <f>H67/DAY(B2)</f>
        <v>-237.0952380952381</v>
      </c>
      <c r="K67" s="82"/>
      <c r="L67" s="68"/>
      <c r="N67" s="73"/>
      <c r="O67" s="73"/>
    </row>
    <row r="68" spans="1:15" ht="27.75">
      <c r="A68" s="1226" t="s">
        <v>102</v>
      </c>
      <c r="B68" s="1227"/>
      <c r="C68" s="1228"/>
      <c r="D68" s="174" t="s">
        <v>186</v>
      </c>
      <c r="E68" s="135">
        <f>'20'!F68</f>
        <v>85321</v>
      </c>
      <c r="F68" s="135">
        <v>85321</v>
      </c>
      <c r="G68" s="943">
        <f t="shared" si="7"/>
        <v>0</v>
      </c>
      <c r="H68" s="111">
        <f>G68+'20'!H68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226" t="s">
        <v>103</v>
      </c>
      <c r="B69" s="1227"/>
      <c r="C69" s="1228"/>
      <c r="D69" s="174" t="s">
        <v>186</v>
      </c>
      <c r="E69" s="135">
        <f>'20'!F69</f>
        <v>102806</v>
      </c>
      <c r="F69" s="135">
        <v>103127</v>
      </c>
      <c r="G69" s="943">
        <f t="shared" si="7"/>
        <v>321</v>
      </c>
      <c r="H69" s="111">
        <f>G69+'20'!H69</f>
        <v>-3279</v>
      </c>
      <c r="I69" s="167"/>
      <c r="J69" s="203">
        <f>H69/DAY(B2)</f>
        <v>-156.14285714285714</v>
      </c>
      <c r="K69" s="84"/>
      <c r="L69" s="68"/>
      <c r="N69" s="73"/>
      <c r="O69" s="73"/>
    </row>
    <row r="70" spans="1:15" ht="27.75">
      <c r="A70" s="1267" t="s">
        <v>188</v>
      </c>
      <c r="B70" s="1268"/>
      <c r="C70" s="1269"/>
      <c r="D70" s="174" t="s">
        <v>186</v>
      </c>
      <c r="E70" s="169"/>
      <c r="F70" s="169"/>
      <c r="G70" s="955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  <c r="O71" s="73"/>
    </row>
    <row r="72" spans="1:15" ht="27.75">
      <c r="A72" s="1226" t="s">
        <v>190</v>
      </c>
      <c r="B72" s="1227"/>
      <c r="C72" s="1228"/>
      <c r="D72" s="174" t="s">
        <v>186</v>
      </c>
      <c r="E72" s="170">
        <f>'20'!F72</f>
        <v>856873</v>
      </c>
      <c r="F72" s="170">
        <v>856902</v>
      </c>
      <c r="G72" s="943">
        <f t="shared" ref="G72:G84" si="8">F72-E72</f>
        <v>29</v>
      </c>
      <c r="H72" s="111">
        <f>G72+'20'!H72</f>
        <v>195</v>
      </c>
      <c r="I72" s="131"/>
      <c r="J72" s="203">
        <f>H72/DAY(B2)</f>
        <v>9.2857142857142865</v>
      </c>
      <c r="K72" s="84"/>
      <c r="L72" s="68"/>
      <c r="N72" s="73"/>
      <c r="O72" s="73"/>
    </row>
    <row r="73" spans="1:15" ht="27.75">
      <c r="A73" s="1226" t="s">
        <v>191</v>
      </c>
      <c r="B73" s="1227"/>
      <c r="C73" s="1228"/>
      <c r="D73" s="174" t="s">
        <v>186</v>
      </c>
      <c r="E73" s="171">
        <f>'20'!F73</f>
        <v>886038</v>
      </c>
      <c r="F73" s="171">
        <v>886039</v>
      </c>
      <c r="G73" s="943">
        <f t="shared" si="8"/>
        <v>1</v>
      </c>
      <c r="H73" s="111">
        <f>G73+'20'!H73</f>
        <v>-12</v>
      </c>
      <c r="I73" s="131"/>
      <c r="J73" s="203">
        <f>H73/DAY(B2)</f>
        <v>-0.5714285714285714</v>
      </c>
      <c r="K73" s="83"/>
      <c r="L73" s="68"/>
      <c r="N73" s="73"/>
      <c r="O73" s="73"/>
    </row>
    <row r="74" spans="1:15" ht="27.75">
      <c r="A74" s="1309" t="s">
        <v>192</v>
      </c>
      <c r="B74" s="1310"/>
      <c r="C74" s="1311"/>
      <c r="D74" s="174" t="s">
        <v>186</v>
      </c>
      <c r="E74" s="172">
        <f>'20'!F74</f>
        <v>88758.5</v>
      </c>
      <c r="F74" s="172">
        <v>88759.6</v>
      </c>
      <c r="G74" s="943">
        <f t="shared" si="8"/>
        <v>1.1000000000058208</v>
      </c>
      <c r="H74" s="111">
        <f>G74+'20'!H74</f>
        <v>69.600000000005821</v>
      </c>
      <c r="I74" s="131"/>
      <c r="J74" s="203">
        <f>H74/DAY(B2)</f>
        <v>3.3142857142859916</v>
      </c>
      <c r="K74" s="84"/>
      <c r="L74" s="68"/>
      <c r="N74" s="73"/>
      <c r="O74" s="73"/>
    </row>
    <row r="75" spans="1:15" ht="27.75">
      <c r="A75" s="1229" t="s">
        <v>193</v>
      </c>
      <c r="B75" s="1230"/>
      <c r="C75" s="1231"/>
      <c r="D75" s="174" t="s">
        <v>186</v>
      </c>
      <c r="E75" s="172">
        <f>'20'!F75</f>
        <v>24332.3</v>
      </c>
      <c r="F75" s="172">
        <v>24531.7</v>
      </c>
      <c r="G75" s="943">
        <f t="shared" si="8"/>
        <v>199.40000000000146</v>
      </c>
      <c r="H75" s="111">
        <f>G75+'20'!H75</f>
        <v>-1776.2999999999993</v>
      </c>
      <c r="I75" s="131"/>
      <c r="J75" s="203">
        <f>H75/DAY(B2)</f>
        <v>-84.585714285714246</v>
      </c>
      <c r="K75" s="83"/>
      <c r="L75" s="68"/>
      <c r="N75" s="73"/>
      <c r="O75" s="73"/>
    </row>
    <row r="76" spans="1:15" ht="27.75">
      <c r="A76" s="1229" t="s">
        <v>194</v>
      </c>
      <c r="B76" s="1230"/>
      <c r="C76" s="1231"/>
      <c r="D76" s="174" t="s">
        <v>186</v>
      </c>
      <c r="E76" s="171">
        <f>'20'!F76</f>
        <v>12514.6</v>
      </c>
      <c r="F76" s="297">
        <v>12582.6</v>
      </c>
      <c r="G76" s="943">
        <f t="shared" si="8"/>
        <v>68</v>
      </c>
      <c r="H76" s="111">
        <f>G76+'20'!H76</f>
        <v>-694.39999999999964</v>
      </c>
      <c r="I76" s="156"/>
      <c r="J76" s="203">
        <f>H76/DAY(B2)</f>
        <v>-33.066666666666649</v>
      </c>
      <c r="K76" s="83"/>
      <c r="L76" s="68"/>
      <c r="N76" s="73"/>
      <c r="O76" s="73"/>
    </row>
    <row r="77" spans="1:15" ht="27.75">
      <c r="A77" s="1226" t="s">
        <v>195</v>
      </c>
      <c r="B77" s="1227"/>
      <c r="C77" s="1228"/>
      <c r="D77" s="174" t="s">
        <v>186</v>
      </c>
      <c r="E77" s="172">
        <f>'20'!F77</f>
        <v>707668</v>
      </c>
      <c r="F77" s="172">
        <v>707740</v>
      </c>
      <c r="G77" s="943">
        <f t="shared" si="8"/>
        <v>72</v>
      </c>
      <c r="H77" s="111">
        <f>G77+'20'!H77</f>
        <v>-549</v>
      </c>
      <c r="I77" s="156"/>
      <c r="J77" s="203">
        <f>H77/DAY(B2)</f>
        <v>-26.142857142857142</v>
      </c>
      <c r="K77" s="83"/>
      <c r="L77" s="68"/>
      <c r="N77" s="73"/>
      <c r="O77" s="73"/>
    </row>
    <row r="78" spans="1:15" ht="27.75">
      <c r="A78" s="762" t="s">
        <v>196</v>
      </c>
      <c r="B78" s="754"/>
      <c r="C78" s="754"/>
      <c r="D78" s="174" t="s">
        <v>186</v>
      </c>
      <c r="E78" s="172">
        <f>'20'!F78</f>
        <v>680909</v>
      </c>
      <c r="F78" s="172">
        <v>681019</v>
      </c>
      <c r="G78" s="943">
        <f t="shared" si="8"/>
        <v>110</v>
      </c>
      <c r="H78" s="111">
        <f>G78+'20'!H78</f>
        <v>-1394</v>
      </c>
      <c r="I78" s="156"/>
      <c r="J78" s="203">
        <f>H78/DAY(B2)</f>
        <v>-66.38095238095238</v>
      </c>
      <c r="K78" s="83"/>
      <c r="L78" s="68"/>
      <c r="N78" s="73"/>
      <c r="O78" s="73"/>
    </row>
    <row r="79" spans="1:15" ht="27.75">
      <c r="A79" s="1229" t="s">
        <v>91</v>
      </c>
      <c r="B79" s="1230"/>
      <c r="C79" s="1231"/>
      <c r="D79" s="175" t="s">
        <v>186</v>
      </c>
      <c r="E79" s="172">
        <f>'20'!F79</f>
        <v>843347</v>
      </c>
      <c r="F79" s="172">
        <v>843513</v>
      </c>
      <c r="G79" s="943">
        <f t="shared" si="8"/>
        <v>166</v>
      </c>
      <c r="H79" s="111">
        <f>G79+'20'!H79</f>
        <v>-1536</v>
      </c>
      <c r="I79" s="156"/>
      <c r="J79" s="203">
        <f>H79/DAY(B2)</f>
        <v>-73.142857142857139</v>
      </c>
      <c r="K79" s="83"/>
      <c r="L79" s="68"/>
      <c r="N79" s="73"/>
      <c r="O79" s="73"/>
    </row>
    <row r="80" spans="1:15" ht="27.75">
      <c r="A80" s="1229" t="s">
        <v>197</v>
      </c>
      <c r="B80" s="1230"/>
      <c r="C80" s="1231"/>
      <c r="D80" s="175" t="s">
        <v>186</v>
      </c>
      <c r="E80" s="171">
        <f>'20'!F80</f>
        <v>560026.64</v>
      </c>
      <c r="F80" s="171">
        <v>560406.52</v>
      </c>
      <c r="G80" s="943">
        <f t="shared" si="8"/>
        <v>379.88000000000466</v>
      </c>
      <c r="H80" s="111">
        <f>G80+'20'!H80</f>
        <v>-3891.4799999999814</v>
      </c>
      <c r="I80" s="156"/>
      <c r="J80" s="203">
        <f>H80/DAY(B2)</f>
        <v>-185.30857142857053</v>
      </c>
      <c r="K80" s="83"/>
      <c r="L80" s="68"/>
      <c r="N80" s="73"/>
      <c r="O80" s="73"/>
    </row>
    <row r="81" spans="1:15" ht="27.75">
      <c r="A81" s="1229" t="s">
        <v>198</v>
      </c>
      <c r="B81" s="1230"/>
      <c r="C81" s="1231"/>
      <c r="D81" s="175" t="s">
        <v>186</v>
      </c>
      <c r="E81" s="171">
        <f>'20'!F81</f>
        <v>652487.16</v>
      </c>
      <c r="F81" s="171">
        <v>652659.56000000006</v>
      </c>
      <c r="G81" s="943">
        <f t="shared" si="8"/>
        <v>172.40000000002328</v>
      </c>
      <c r="H81" s="111">
        <f>G81+'20'!H81</f>
        <v>-1518.4399999999441</v>
      </c>
      <c r="I81" s="156"/>
      <c r="J81" s="203">
        <f>H81/DAY(B2)</f>
        <v>-72.306666666664</v>
      </c>
      <c r="K81" s="83"/>
      <c r="L81" s="68"/>
      <c r="N81" s="73"/>
      <c r="O81" s="73"/>
    </row>
    <row r="82" spans="1:15" ht="27.75">
      <c r="A82" s="1229" t="s">
        <v>92</v>
      </c>
      <c r="B82" s="1230"/>
      <c r="C82" s="1231"/>
      <c r="D82" s="136" t="s">
        <v>131</v>
      </c>
      <c r="E82" s="173">
        <f>'20'!F82</f>
        <v>109717</v>
      </c>
      <c r="F82" s="173">
        <v>109734</v>
      </c>
      <c r="G82" s="943">
        <f t="shared" si="8"/>
        <v>17</v>
      </c>
      <c r="H82" s="111">
        <f>G82+'20'!H82</f>
        <v>109957</v>
      </c>
      <c r="I82" s="137"/>
      <c r="J82" s="203">
        <f>H82/DAY(B2)</f>
        <v>5236.0476190476193</v>
      </c>
      <c r="K82" s="83"/>
      <c r="L82" s="68"/>
      <c r="N82" s="73"/>
      <c r="O82" s="73"/>
    </row>
    <row r="83" spans="1:15" ht="27.75">
      <c r="A83" s="1229" t="s">
        <v>199</v>
      </c>
      <c r="B83" s="1230"/>
      <c r="C83" s="1231"/>
      <c r="D83" s="271" t="s">
        <v>131</v>
      </c>
      <c r="E83" s="162">
        <f>'20'!F83</f>
        <v>41195</v>
      </c>
      <c r="F83" s="162">
        <v>41501</v>
      </c>
      <c r="G83" s="943">
        <f t="shared" si="8"/>
        <v>306</v>
      </c>
      <c r="H83" s="111">
        <f>G83+'20'!H83</f>
        <v>-2822</v>
      </c>
      <c r="I83" s="132"/>
      <c r="J83" s="203">
        <f>H83/DAY(B2)</f>
        <v>-134.38095238095238</v>
      </c>
      <c r="K83" s="82"/>
      <c r="L83" s="68"/>
      <c r="N83" s="73"/>
      <c r="O83" s="372"/>
    </row>
    <row r="84" spans="1:15">
      <c r="A84" s="763" t="s">
        <v>200</v>
      </c>
      <c r="B84" s="222"/>
      <c r="C84" s="222"/>
      <c r="D84" s="129" t="s">
        <v>131</v>
      </c>
      <c r="E84" s="278">
        <f>'20'!F84</f>
        <v>562669</v>
      </c>
      <c r="F84" s="278">
        <v>563330</v>
      </c>
      <c r="G84" s="943">
        <f t="shared" si="8"/>
        <v>661</v>
      </c>
      <c r="H84" s="111">
        <f>G84+'20'!H84</f>
        <v>-7049</v>
      </c>
      <c r="I84" s="132"/>
      <c r="J84" s="203">
        <f>H84/DAY(B2)</f>
        <v>-335.66666666666669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56">
        <f xml:space="preserve"> SUM(G72:G84)</f>
        <v>2182.7800000000352</v>
      </c>
      <c r="H85" s="111">
        <f>G85+'20'!H85</f>
        <v>88663.980000000098</v>
      </c>
      <c r="I85" s="132"/>
      <c r="J85" s="203">
        <f>H85/DAY(B2)</f>
        <v>4222.09428571429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'20'!F86</f>
        <v>463171.84000000003</v>
      </c>
      <c r="F86" s="298">
        <v>463181.04</v>
      </c>
      <c r="G86" s="957">
        <f t="shared" ref="G86:G91" si="9">F86-E86</f>
        <v>9.1999999999534339</v>
      </c>
      <c r="H86" s="111">
        <f>G86+'20'!H86</f>
        <v>36.799999999988358</v>
      </c>
      <c r="I86" s="303"/>
      <c r="J86" s="358">
        <f>H86/DAY(B2)</f>
        <v>1.7523809523803979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'20'!F87</f>
        <v>83572.3</v>
      </c>
      <c r="F87" s="298">
        <v>83600.899999999994</v>
      </c>
      <c r="G87" s="957">
        <f t="shared" si="9"/>
        <v>28.599999999991269</v>
      </c>
      <c r="H87" s="111">
        <f>G87+'20'!H87</f>
        <v>132.39999999999418</v>
      </c>
      <c r="I87" s="303"/>
      <c r="J87" s="358">
        <f>H87/DAY(B2)</f>
        <v>6.3047619047616275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'20'!F88</f>
        <v>158212</v>
      </c>
      <c r="F88" s="298">
        <v>158212</v>
      </c>
      <c r="G88" s="957">
        <f t="shared" si="9"/>
        <v>0</v>
      </c>
      <c r="H88" s="111">
        <f>G88+'20'!H88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'20'!F89</f>
        <v>68326.899999999994</v>
      </c>
      <c r="F89" s="298">
        <v>68370.899999999994</v>
      </c>
      <c r="G89" s="957">
        <f t="shared" si="9"/>
        <v>44</v>
      </c>
      <c r="H89" s="111">
        <f>G89+'20'!H89</f>
        <v>305.29999999998836</v>
      </c>
      <c r="I89" s="303"/>
      <c r="J89" s="358">
        <f>H89/DAY(B2)</f>
        <v>14.538095238094684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'20'!F90</f>
        <v>3557.4</v>
      </c>
      <c r="F90" s="298">
        <v>3560.8</v>
      </c>
      <c r="G90" s="957">
        <f t="shared" si="9"/>
        <v>3.4000000000000909</v>
      </c>
      <c r="H90" s="111">
        <f>G90+'20'!H90</f>
        <v>17.600000000000364</v>
      </c>
      <c r="I90" s="303"/>
      <c r="J90" s="358">
        <f>H90/DAY(B2)</f>
        <v>0.83809523809525543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/>
      <c r="E91" s="298">
        <f>'20'!F91</f>
        <v>28670.65</v>
      </c>
      <c r="F91" s="298">
        <v>28677.200000000001</v>
      </c>
      <c r="G91" s="356">
        <f t="shared" si="9"/>
        <v>6.5499999999992724</v>
      </c>
      <c r="H91" s="111">
        <f>G91+'20'!H91</f>
        <v>15.200000000000728</v>
      </c>
      <c r="I91" s="303"/>
      <c r="J91" s="358">
        <f>H91/DAY(B2)</f>
        <v>0.72380952380955843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946"/>
      <c r="H92" s="123"/>
      <c r="I92" s="123"/>
      <c r="J92" s="202"/>
      <c r="K92" s="71"/>
      <c r="L92" s="69"/>
      <c r="N92" s="427"/>
      <c r="O92" s="73"/>
    </row>
    <row r="93" spans="1:15" ht="27.75">
      <c r="A93" s="1245" t="s">
        <v>205</v>
      </c>
      <c r="B93" s="1246"/>
      <c r="C93" s="1247"/>
      <c r="D93" s="174" t="s">
        <v>143</v>
      </c>
      <c r="E93" s="135">
        <f>'20'!F93</f>
        <v>252355</v>
      </c>
      <c r="F93" s="135">
        <v>252484</v>
      </c>
      <c r="G93" s="943">
        <f t="shared" ref="G93:G94" si="10">F93-E93</f>
        <v>129</v>
      </c>
      <c r="H93" s="111">
        <f>G93+'20'!H93</f>
        <v>-968</v>
      </c>
      <c r="I93" s="131"/>
      <c r="J93" s="203">
        <f>H93/DAY(B2)</f>
        <v>-46.095238095238095</v>
      </c>
      <c r="K93" s="82"/>
      <c r="L93" s="68"/>
      <c r="N93" s="73"/>
      <c r="O93" s="73"/>
    </row>
    <row r="94" spans="1:15" ht="27.75">
      <c r="A94" s="1245" t="s">
        <v>206</v>
      </c>
      <c r="B94" s="1246"/>
      <c r="C94" s="1247"/>
      <c r="D94" s="174" t="s">
        <v>143</v>
      </c>
      <c r="E94" s="135">
        <f>'20'!F94</f>
        <v>195877</v>
      </c>
      <c r="F94" s="135">
        <v>196021</v>
      </c>
      <c r="G94" s="943">
        <f t="shared" si="10"/>
        <v>144</v>
      </c>
      <c r="H94" s="111">
        <f>G94+'20'!H94</f>
        <v>-1638</v>
      </c>
      <c r="I94" s="131"/>
      <c r="J94" s="203">
        <f>H94/DAY(B2)</f>
        <v>-78</v>
      </c>
      <c r="K94" s="71"/>
      <c r="L94" s="68"/>
      <c r="N94" s="73"/>
      <c r="O94" s="73"/>
    </row>
    <row r="95" spans="1:15">
      <c r="A95" s="1277" t="s">
        <v>207</v>
      </c>
      <c r="B95" s="1278"/>
      <c r="C95" s="1279"/>
      <c r="D95" s="174"/>
      <c r="E95" s="135">
        <v>0</v>
      </c>
      <c r="F95" s="135">
        <v>0</v>
      </c>
      <c r="G95" s="943">
        <f>G93+G94</f>
        <v>273</v>
      </c>
      <c r="H95" s="111">
        <f>G95+'20'!H95</f>
        <v>-2831</v>
      </c>
      <c r="I95" s="131"/>
      <c r="J95" s="203">
        <f>H95/DAY(B2)</f>
        <v>-134.8095238095238</v>
      </c>
      <c r="K95" s="71"/>
      <c r="L95" s="68"/>
      <c r="N95" s="73"/>
      <c r="O95" s="73"/>
    </row>
    <row r="96" spans="1:15" ht="27.75">
      <c r="A96" s="1245" t="s">
        <v>208</v>
      </c>
      <c r="B96" s="1246"/>
      <c r="C96" s="1247"/>
      <c r="D96" s="174" t="s">
        <v>143</v>
      </c>
      <c r="E96" s="135">
        <f>'20'!F96</f>
        <v>420165</v>
      </c>
      <c r="F96" s="135">
        <v>420243</v>
      </c>
      <c r="G96" s="943">
        <f t="shared" ref="G96:G101" si="11">F96-E96</f>
        <v>78</v>
      </c>
      <c r="H96" s="111">
        <f>G96+'20'!H96</f>
        <v>-776</v>
      </c>
      <c r="I96" s="131"/>
      <c r="J96" s="203">
        <f>H96/DAY(B2)</f>
        <v>-36.952380952380949</v>
      </c>
      <c r="K96" s="71"/>
      <c r="L96" s="68"/>
      <c r="N96" s="73"/>
      <c r="O96" s="73"/>
    </row>
    <row r="97" spans="1:15" ht="27.75">
      <c r="A97" s="759" t="s">
        <v>209</v>
      </c>
      <c r="B97" s="760"/>
      <c r="C97" s="760"/>
      <c r="D97" s="174" t="s">
        <v>143</v>
      </c>
      <c r="E97" s="135">
        <f>'20'!F97</f>
        <v>104363</v>
      </c>
      <c r="F97" s="135">
        <v>104391</v>
      </c>
      <c r="G97" s="943">
        <f t="shared" si="11"/>
        <v>28</v>
      </c>
      <c r="H97" s="111">
        <f>G97+'20'!H97</f>
        <v>-245</v>
      </c>
      <c r="I97" s="131"/>
      <c r="J97" s="203">
        <f>H97/DAY(B2)</f>
        <v>-11.666666666666666</v>
      </c>
      <c r="K97" s="80"/>
      <c r="L97" s="68"/>
      <c r="N97" s="73"/>
      <c r="O97" s="73"/>
    </row>
    <row r="98" spans="1:15" ht="27.75">
      <c r="A98" s="759" t="s">
        <v>210</v>
      </c>
      <c r="B98" s="760"/>
      <c r="C98" s="760"/>
      <c r="D98" s="174" t="s">
        <v>143</v>
      </c>
      <c r="E98" s="135">
        <f>'20'!F98</f>
        <v>100039</v>
      </c>
      <c r="F98" s="135">
        <v>100072</v>
      </c>
      <c r="G98" s="943">
        <f t="shared" si="11"/>
        <v>33</v>
      </c>
      <c r="H98" s="111">
        <f>G98+'20'!H98</f>
        <v>-298</v>
      </c>
      <c r="I98" s="131"/>
      <c r="J98" s="203">
        <f>H98/DAY(B2)</f>
        <v>-14.19047619047619</v>
      </c>
      <c r="K98" s="85"/>
      <c r="L98" s="68"/>
      <c r="N98" s="73"/>
      <c r="O98" s="73"/>
    </row>
    <row r="99" spans="1:15" ht="27.75">
      <c r="A99" s="759" t="s">
        <v>211</v>
      </c>
      <c r="B99" s="760"/>
      <c r="C99" s="760"/>
      <c r="D99" s="174" t="s">
        <v>143</v>
      </c>
      <c r="E99" s="135">
        <f>'20'!F99</f>
        <v>151800</v>
      </c>
      <c r="F99" s="135">
        <v>151813</v>
      </c>
      <c r="G99" s="943">
        <f t="shared" si="11"/>
        <v>13</v>
      </c>
      <c r="H99" s="111">
        <f>G99+'20'!H99</f>
        <v>-322</v>
      </c>
      <c r="I99" s="131"/>
      <c r="J99" s="203">
        <f>H99/DAY(B2)</f>
        <v>-15.333333333333334</v>
      </c>
      <c r="K99" s="71"/>
      <c r="L99" s="68"/>
      <c r="N99" s="73"/>
      <c r="O99" s="73"/>
    </row>
    <row r="100" spans="1:15" ht="27.75">
      <c r="A100" s="759" t="s">
        <v>212</v>
      </c>
      <c r="B100" s="760"/>
      <c r="C100" s="760"/>
      <c r="D100" s="174" t="s">
        <v>143</v>
      </c>
      <c r="E100" s="135">
        <f>'20'!F100</f>
        <v>8487</v>
      </c>
      <c r="F100" s="135">
        <v>8502</v>
      </c>
      <c r="G100" s="943">
        <f t="shared" si="11"/>
        <v>15</v>
      </c>
      <c r="H100" s="111">
        <f>G100+'20'!H100</f>
        <v>-143</v>
      </c>
      <c r="I100" s="131"/>
      <c r="J100" s="203">
        <f>H100/DAY(B2)</f>
        <v>-6.8095238095238093</v>
      </c>
      <c r="K100" s="71"/>
      <c r="L100" s="68"/>
      <c r="N100" s="73"/>
      <c r="O100" s="73"/>
    </row>
    <row r="101" spans="1:15" ht="27.75">
      <c r="A101" s="759" t="s">
        <v>213</v>
      </c>
      <c r="B101" s="760"/>
      <c r="C101" s="760"/>
      <c r="D101" s="174" t="s">
        <v>143</v>
      </c>
      <c r="E101" s="135">
        <f>'20'!F101</f>
        <v>6233</v>
      </c>
      <c r="F101" s="135">
        <v>6259</v>
      </c>
      <c r="G101" s="943">
        <f t="shared" si="11"/>
        <v>26</v>
      </c>
      <c r="H101" s="111">
        <f>G101+'20'!H101</f>
        <v>-114</v>
      </c>
      <c r="I101" s="131"/>
      <c r="J101" s="203">
        <f>H101/DAY(B2)</f>
        <v>-5.4285714285714288</v>
      </c>
      <c r="K101" s="71"/>
      <c r="L101" s="68"/>
      <c r="N101" s="73"/>
      <c r="O101" s="73"/>
    </row>
    <row r="102" spans="1:15">
      <c r="A102" s="1277" t="s">
        <v>215</v>
      </c>
      <c r="B102" s="1278"/>
      <c r="C102" s="1279"/>
      <c r="D102" s="175"/>
      <c r="E102" s="175"/>
      <c r="F102" s="175"/>
      <c r="G102" s="958">
        <f>SUM(G96:G101)</f>
        <v>193</v>
      </c>
      <c r="H102" s="111">
        <f>G102+'20'!H102</f>
        <v>-1898</v>
      </c>
      <c r="I102" s="177"/>
      <c r="J102" s="203">
        <f>H102/DAY(B2)</f>
        <v>-90.38095238095238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59"/>
      <c r="H103" s="181"/>
      <c r="I103" s="182"/>
      <c r="J103" s="208"/>
      <c r="N103" s="95"/>
      <c r="O103" s="73"/>
    </row>
    <row r="104" spans="1:15" s="93" customFormat="1" ht="27.75">
      <c r="A104" s="1280" t="s">
        <v>217</v>
      </c>
      <c r="B104" s="1281"/>
      <c r="C104" s="224"/>
      <c r="D104" s="273"/>
      <c r="E104" s="183"/>
      <c r="F104" s="183"/>
      <c r="G104" s="960"/>
      <c r="H104" s="184"/>
      <c r="I104" s="183"/>
      <c r="J104" s="209"/>
      <c r="N104" s="95"/>
      <c r="O104" s="73"/>
    </row>
    <row r="105" spans="1:15" s="93" customFormat="1" ht="27.75">
      <c r="A105" s="1237" t="s">
        <v>218</v>
      </c>
      <c r="B105" s="1238"/>
      <c r="C105" s="757"/>
      <c r="D105" s="273" t="s">
        <v>143</v>
      </c>
      <c r="E105" s="183">
        <f>'20'!F105</f>
        <v>7911</v>
      </c>
      <c r="F105" s="183">
        <v>7929</v>
      </c>
      <c r="G105" s="960">
        <f>F105-E105</f>
        <v>18</v>
      </c>
      <c r="H105" s="111">
        <f>G105+'20'!H105</f>
        <v>109.70000000000073</v>
      </c>
      <c r="I105" s="183"/>
      <c r="J105" s="209">
        <f>H105/DAY(B2)</f>
        <v>5.2238095238095585</v>
      </c>
      <c r="N105" s="95"/>
      <c r="O105" s="73"/>
    </row>
    <row r="106" spans="1:15" s="93" customFormat="1" ht="27.75">
      <c r="A106" s="1237" t="s">
        <v>76</v>
      </c>
      <c r="B106" s="1238"/>
      <c r="C106" s="757"/>
      <c r="D106" s="273" t="s">
        <v>143</v>
      </c>
      <c r="E106" s="185">
        <f>'20'!F106</f>
        <v>36657</v>
      </c>
      <c r="F106" s="185">
        <v>36668</v>
      </c>
      <c r="G106" s="960">
        <f t="shared" ref="G106:G107" si="12">F106-E106</f>
        <v>11</v>
      </c>
      <c r="H106" s="111">
        <f>G106+'20'!H106</f>
        <v>95</v>
      </c>
      <c r="I106" s="183"/>
      <c r="J106" s="209">
        <f>H106/DAY(B2)</f>
        <v>4.5238095238095237</v>
      </c>
      <c r="N106" s="95"/>
      <c r="O106" s="73"/>
    </row>
    <row r="107" spans="1:15" s="93" customFormat="1" ht="27.75">
      <c r="A107" s="1237" t="s">
        <v>77</v>
      </c>
      <c r="B107" s="1282"/>
      <c r="C107" s="1238"/>
      <c r="D107" s="273" t="s">
        <v>143</v>
      </c>
      <c r="E107" s="183">
        <f>'20'!F107</f>
        <v>20122</v>
      </c>
      <c r="F107" s="183">
        <v>20130</v>
      </c>
      <c r="G107" s="960">
        <f t="shared" si="12"/>
        <v>8</v>
      </c>
      <c r="H107" s="111">
        <f>G107+'20'!H107</f>
        <v>51</v>
      </c>
      <c r="I107" s="183"/>
      <c r="J107" s="209">
        <f>H107/DAY(B2)</f>
        <v>2.4285714285714284</v>
      </c>
      <c r="N107" s="95"/>
      <c r="O107" s="73"/>
    </row>
    <row r="108" spans="1:15" s="93" customFormat="1" ht="27.75">
      <c r="A108" s="1239" t="s">
        <v>201</v>
      </c>
      <c r="B108" s="1240"/>
      <c r="C108" s="757"/>
      <c r="D108" s="273"/>
      <c r="E108" s="183">
        <f>'20'!F108</f>
        <v>0</v>
      </c>
      <c r="F108" s="183"/>
      <c r="G108" s="960">
        <f>SUM(G105:G107)</f>
        <v>37</v>
      </c>
      <c r="H108" s="111">
        <f>G108+'20'!H108</f>
        <v>281</v>
      </c>
      <c r="I108" s="183"/>
      <c r="J108" s="209">
        <f>H108/DAY(B2)</f>
        <v>13.380952380952381</v>
      </c>
      <c r="N108" s="95"/>
      <c r="O108" s="73"/>
    </row>
    <row r="109" spans="1:15" s="93" customFormat="1" ht="27.75">
      <c r="A109" s="1243" t="s">
        <v>78</v>
      </c>
      <c r="B109" s="1244"/>
      <c r="C109" s="757"/>
      <c r="D109" s="273" t="s">
        <v>143</v>
      </c>
      <c r="E109" s="183">
        <f>'20'!F109</f>
        <v>0</v>
      </c>
      <c r="F109" s="183"/>
      <c r="G109" s="960"/>
      <c r="H109" s="111"/>
      <c r="I109" s="183"/>
      <c r="J109" s="209"/>
      <c r="N109" s="95"/>
      <c r="O109" s="73"/>
    </row>
    <row r="110" spans="1:15" s="93" customFormat="1" ht="27.75">
      <c r="A110" s="1237" t="s">
        <v>219</v>
      </c>
      <c r="B110" s="1238"/>
      <c r="C110" s="757"/>
      <c r="D110" s="273" t="s">
        <v>143</v>
      </c>
      <c r="E110" s="183">
        <f>'20'!F110</f>
        <v>68617</v>
      </c>
      <c r="F110" s="183">
        <v>68702</v>
      </c>
      <c r="G110" s="960">
        <f>F110-E110</f>
        <v>85</v>
      </c>
      <c r="H110" s="111">
        <f>G110+'20'!H110</f>
        <v>439.80000000004657</v>
      </c>
      <c r="I110" s="183"/>
      <c r="J110" s="209">
        <f>H110/DAY(B2)</f>
        <v>20.94285714285936</v>
      </c>
      <c r="N110" s="95"/>
      <c r="O110" s="73"/>
    </row>
    <row r="111" spans="1:15" s="93" customFormat="1" ht="27.75">
      <c r="A111" s="1237" t="s">
        <v>220</v>
      </c>
      <c r="B111" s="1238"/>
      <c r="C111" s="757"/>
      <c r="D111" s="273" t="s">
        <v>143</v>
      </c>
      <c r="E111" s="183">
        <f>'20'!F111</f>
        <v>33886</v>
      </c>
      <c r="F111" s="183">
        <v>33886</v>
      </c>
      <c r="G111" s="960">
        <f t="shared" ref="G111:G112" si="13">F111-E111</f>
        <v>0</v>
      </c>
      <c r="H111" s="111">
        <f>G111+'20'!H111</f>
        <v>30</v>
      </c>
      <c r="I111" s="183"/>
      <c r="J111" s="209">
        <f>H111/DAY(B2)</f>
        <v>1.4285714285714286</v>
      </c>
      <c r="N111" s="95"/>
      <c r="O111" s="73"/>
    </row>
    <row r="112" spans="1:15" s="93" customFormat="1" ht="27.75">
      <c r="A112" s="1237" t="s">
        <v>221</v>
      </c>
      <c r="B112" s="1238"/>
      <c r="C112" s="757"/>
      <c r="D112" s="273" t="s">
        <v>143</v>
      </c>
      <c r="E112" s="183">
        <f>'20'!F112</f>
        <v>4696</v>
      </c>
      <c r="F112" s="183">
        <v>4696</v>
      </c>
      <c r="G112" s="960">
        <f t="shared" si="13"/>
        <v>0</v>
      </c>
      <c r="H112" s="111">
        <f>G112+'20'!H112</f>
        <v>385</v>
      </c>
      <c r="I112" s="183"/>
      <c r="J112" s="209">
        <f>H112/DAY(B2)</f>
        <v>18.333333333333332</v>
      </c>
      <c r="N112" s="95"/>
      <c r="O112" s="73"/>
    </row>
    <row r="113" spans="1:15" s="93" customFormat="1" ht="27.75">
      <c r="A113" s="1241" t="s">
        <v>109</v>
      </c>
      <c r="B113" s="1242"/>
      <c r="C113" s="757"/>
      <c r="D113" s="273"/>
      <c r="E113" s="183">
        <f>'20'!F113</f>
        <v>0</v>
      </c>
      <c r="F113" s="183"/>
      <c r="G113" s="960">
        <f>SUM(G110:G112)</f>
        <v>85</v>
      </c>
      <c r="H113" s="111">
        <f>G113+'20'!H113</f>
        <v>1079</v>
      </c>
      <c r="I113" s="183"/>
      <c r="J113" s="209">
        <f>H113/DAY(B2)</f>
        <v>51.38095238095238</v>
      </c>
      <c r="N113" s="95"/>
      <c r="O113" s="73"/>
    </row>
    <row r="114" spans="1:15" s="93" customFormat="1" ht="27.75">
      <c r="A114" s="1243" t="s">
        <v>222</v>
      </c>
      <c r="B114" s="1244"/>
      <c r="C114" s="757"/>
      <c r="D114" s="273"/>
      <c r="E114" s="183">
        <f>'20'!F114</f>
        <v>0</v>
      </c>
      <c r="F114" s="183"/>
      <c r="G114" s="960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37" t="s">
        <v>223</v>
      </c>
      <c r="B115" s="1238"/>
      <c r="C115" s="225"/>
      <c r="D115" s="273" t="s">
        <v>143</v>
      </c>
      <c r="E115" s="185">
        <f>'20'!F115</f>
        <v>12850</v>
      </c>
      <c r="F115" s="185">
        <v>12868</v>
      </c>
      <c r="G115" s="961">
        <f>F115-E115</f>
        <v>18</v>
      </c>
      <c r="H115" s="111">
        <f>G115+'20'!H115</f>
        <v>72</v>
      </c>
      <c r="I115" s="183"/>
      <c r="J115" s="209">
        <f>H115/DAY(B2)</f>
        <v>3.4285714285714284</v>
      </c>
      <c r="N115" s="95"/>
      <c r="O115" s="73"/>
    </row>
    <row r="116" spans="1:15" s="93" customFormat="1" ht="27.75">
      <c r="A116" s="1237" t="s">
        <v>224</v>
      </c>
      <c r="B116" s="1238"/>
      <c r="C116" s="225"/>
      <c r="D116" s="273" t="s">
        <v>143</v>
      </c>
      <c r="E116" s="185">
        <f>'20'!F116</f>
        <v>9017</v>
      </c>
      <c r="F116" s="185">
        <v>9042</v>
      </c>
      <c r="G116" s="961">
        <f t="shared" ref="G116:G117" si="14">F116-E116</f>
        <v>25</v>
      </c>
      <c r="H116" s="111">
        <f>G116+'20'!H116</f>
        <v>112</v>
      </c>
      <c r="I116" s="183"/>
      <c r="J116" s="209">
        <f>H116/DAY(B2)</f>
        <v>5.333333333333333</v>
      </c>
      <c r="N116" s="95"/>
      <c r="O116" s="73"/>
    </row>
    <row r="117" spans="1:15" s="93" customFormat="1" ht="27.75">
      <c r="A117" s="1237" t="s">
        <v>225</v>
      </c>
      <c r="B117" s="1238"/>
      <c r="C117" s="225"/>
      <c r="D117" s="273" t="s">
        <v>143</v>
      </c>
      <c r="E117" s="185"/>
      <c r="F117" s="185"/>
      <c r="G117" s="961">
        <f t="shared" si="14"/>
        <v>0</v>
      </c>
      <c r="H117" s="111">
        <f>G117+'20'!H117</f>
        <v>163</v>
      </c>
      <c r="I117" s="183"/>
      <c r="J117" s="209">
        <f>H117/DAY(B2)</f>
        <v>7.7619047619047619</v>
      </c>
      <c r="N117" s="95"/>
      <c r="O117" s="73"/>
    </row>
    <row r="118" spans="1:15" s="96" customFormat="1" ht="27.75">
      <c r="A118" s="1239" t="s">
        <v>201</v>
      </c>
      <c r="B118" s="1240"/>
      <c r="C118" s="225"/>
      <c r="D118" s="274"/>
      <c r="E118" s="185"/>
      <c r="F118" s="185"/>
      <c r="G118" s="961">
        <f>SUM(G115:G117)</f>
        <v>43</v>
      </c>
      <c r="H118" s="111">
        <f>G118+'20'!H118</f>
        <v>188</v>
      </c>
      <c r="I118" s="185"/>
      <c r="J118" s="209">
        <f>H118/DAY(B2)</f>
        <v>8.9523809523809526</v>
      </c>
      <c r="N118" s="98"/>
      <c r="O118" s="73"/>
    </row>
    <row r="119" spans="1:15" s="97" customFormat="1" ht="27.75">
      <c r="A119" s="1233" t="s">
        <v>226</v>
      </c>
      <c r="B119" s="1234"/>
      <c r="C119" s="756"/>
      <c r="D119" s="275" t="s">
        <v>143</v>
      </c>
      <c r="E119" s="187"/>
      <c r="F119" s="187">
        <f>SUM(G19+G93)</f>
        <v>192</v>
      </c>
      <c r="G119" s="961">
        <f>SUM(G19+G93)</f>
        <v>192</v>
      </c>
      <c r="H119" s="111">
        <f>G119+'20'!H119</f>
        <v>725</v>
      </c>
      <c r="I119" s="186"/>
      <c r="J119" s="210">
        <f>H119/DAY(B2)</f>
        <v>34.523809523809526</v>
      </c>
      <c r="N119" s="429"/>
      <c r="O119" s="73"/>
    </row>
    <row r="120" spans="1:15" s="97" customFormat="1" ht="27.75">
      <c r="A120" s="1233" t="s">
        <v>227</v>
      </c>
      <c r="B120" s="1234"/>
      <c r="C120" s="756"/>
      <c r="D120" s="275" t="s">
        <v>143</v>
      </c>
      <c r="E120" s="187"/>
      <c r="F120" s="187">
        <f>SUM(G96,G97,G98,G100,G101)</f>
        <v>180</v>
      </c>
      <c r="G120" s="961">
        <f>SUM(G96,G97,G98,G100,G101)</f>
        <v>180</v>
      </c>
      <c r="H120" s="111">
        <f>G120+'20'!H120</f>
        <v>719</v>
      </c>
      <c r="I120" s="186"/>
      <c r="J120" s="210">
        <f>H120/DAY(B2)</f>
        <v>34.238095238095241</v>
      </c>
      <c r="N120" s="429"/>
      <c r="O120" s="73"/>
    </row>
    <row r="121" spans="1:15" s="97" customFormat="1" ht="27.75">
      <c r="A121" s="1233" t="s">
        <v>228</v>
      </c>
      <c r="B121" s="1234"/>
      <c r="C121" s="756"/>
      <c r="D121" s="275" t="s">
        <v>143</v>
      </c>
      <c r="E121" s="185"/>
      <c r="F121" s="185">
        <f>SUM(G113)</f>
        <v>85</v>
      </c>
      <c r="G121" s="961">
        <f>SUM(G113)</f>
        <v>85</v>
      </c>
      <c r="H121" s="111">
        <f>G121+'20'!H121</f>
        <v>348</v>
      </c>
      <c r="I121" s="186"/>
      <c r="J121" s="210">
        <f>H121/DAY(B2)</f>
        <v>16.571428571428573</v>
      </c>
      <c r="N121" s="429"/>
      <c r="O121" s="73"/>
    </row>
    <row r="122" spans="1:15" s="93" customFormat="1" ht="27.75">
      <c r="A122" s="1235"/>
      <c r="B122" s="1236"/>
      <c r="C122" s="757"/>
      <c r="D122" s="211"/>
      <c r="E122" s="211"/>
      <c r="F122" s="211" t="s">
        <v>214</v>
      </c>
      <c r="G122" s="962"/>
      <c r="H122" s="212">
        <v>0</v>
      </c>
      <c r="I122" s="211"/>
      <c r="J122" s="213"/>
      <c r="N122" s="95"/>
      <c r="O122" s="73"/>
    </row>
    <row r="123" spans="1:15">
      <c r="A123" s="1274" t="s">
        <v>229</v>
      </c>
      <c r="B123" s="1275"/>
      <c r="C123" s="1276"/>
      <c r="D123" s="123"/>
      <c r="E123" s="123"/>
      <c r="F123" s="123"/>
      <c r="G123" s="946"/>
      <c r="H123" s="134">
        <v>0</v>
      </c>
      <c r="I123" s="134"/>
      <c r="J123" s="214"/>
      <c r="K123" s="71"/>
      <c r="L123" s="68"/>
      <c r="N123" s="73"/>
      <c r="O123" s="73"/>
    </row>
    <row r="124" spans="1:15" ht="27.75">
      <c r="A124" s="759" t="s">
        <v>230</v>
      </c>
      <c r="B124" s="760"/>
      <c r="C124" s="760"/>
      <c r="D124" s="174" t="s">
        <v>140</v>
      </c>
      <c r="E124" s="129">
        <f>'20'!F124</f>
        <v>853436.7</v>
      </c>
      <c r="F124" s="129">
        <v>853716</v>
      </c>
      <c r="G124" s="943">
        <f t="shared" ref="G124:G128" si="15">F124-E124</f>
        <v>279.30000000004657</v>
      </c>
      <c r="H124" s="111">
        <f>G124+'20'!H124</f>
        <v>-2636</v>
      </c>
      <c r="I124" s="177"/>
      <c r="J124" s="203">
        <f>H124/DAY(B2)</f>
        <v>-125.52380952380952</v>
      </c>
      <c r="K124" s="71"/>
      <c r="L124" s="68"/>
      <c r="N124" s="73"/>
      <c r="O124" s="73"/>
    </row>
    <row r="125" spans="1:15" ht="27.75">
      <c r="A125" s="759" t="s">
        <v>231</v>
      </c>
      <c r="B125" s="760"/>
      <c r="C125" s="760"/>
      <c r="D125" s="174" t="s">
        <v>140</v>
      </c>
      <c r="E125" s="277">
        <f>'20'!F125</f>
        <v>73583.399999999994</v>
      </c>
      <c r="F125" s="277">
        <v>73583.399999999994</v>
      </c>
      <c r="G125" s="943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226" t="s">
        <v>232</v>
      </c>
      <c r="B126" s="1227"/>
      <c r="C126" s="1228"/>
      <c r="D126" s="174" t="s">
        <v>140</v>
      </c>
      <c r="E126" s="129">
        <f>'20'!F126</f>
        <v>153071.5</v>
      </c>
      <c r="F126" s="129">
        <v>153172.62</v>
      </c>
      <c r="G126" s="943">
        <f t="shared" si="15"/>
        <v>101.11999999999534</v>
      </c>
      <c r="H126" s="111">
        <f>G126+'20'!H126</f>
        <v>-904.38000000000466</v>
      </c>
      <c r="I126" s="177"/>
      <c r="J126" s="203">
        <f>H126/DAY(B2)</f>
        <v>-43.065714285714506</v>
      </c>
      <c r="K126" s="71"/>
      <c r="L126" s="68"/>
      <c r="N126" s="73"/>
      <c r="O126" s="73"/>
    </row>
    <row r="127" spans="1:15" ht="27.75">
      <c r="A127" s="260" t="s">
        <v>233</v>
      </c>
      <c r="B127" s="760"/>
      <c r="C127" s="760"/>
      <c r="D127" s="174" t="s">
        <v>140</v>
      </c>
      <c r="E127" s="277">
        <f>'20'!F127</f>
        <v>34168.5</v>
      </c>
      <c r="F127" s="277">
        <v>34218.800000000003</v>
      </c>
      <c r="G127" s="943">
        <f t="shared" si="15"/>
        <v>50.30000000000291</v>
      </c>
      <c r="H127" s="111">
        <f>G127+'20'!H127</f>
        <v>-410.19999999999709</v>
      </c>
      <c r="I127" s="177"/>
      <c r="J127" s="203">
        <f>H127/DAY(B2)</f>
        <v>-19.533333333333196</v>
      </c>
      <c r="K127" s="71"/>
      <c r="L127" s="68"/>
      <c r="N127" s="73"/>
      <c r="O127" s="73"/>
    </row>
    <row r="128" spans="1:15" ht="27.75">
      <c r="A128" s="260" t="s">
        <v>234</v>
      </c>
      <c r="B128" s="760"/>
      <c r="C128" s="760"/>
      <c r="D128" s="174" t="s">
        <v>140</v>
      </c>
      <c r="E128" s="277">
        <f>'20'!F128</f>
        <v>9145.4500000000007</v>
      </c>
      <c r="F128" s="277">
        <v>9158.2000000000007</v>
      </c>
      <c r="G128" s="943">
        <f t="shared" si="15"/>
        <v>12.75</v>
      </c>
      <c r="H128" s="111">
        <f>G128+'20'!H128</f>
        <v>-21.799999999999272</v>
      </c>
      <c r="I128" s="131"/>
      <c r="J128" s="203">
        <f>H128/DAY(B2)</f>
        <v>-1.0380952380952035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760"/>
      <c r="C129" s="760"/>
      <c r="D129" s="174"/>
      <c r="E129" s="129"/>
      <c r="F129" s="129"/>
      <c r="G129" s="943">
        <f>G15-SUM(G124:G128)</f>
        <v>447.4699999998993</v>
      </c>
      <c r="H129" s="111">
        <f>G129+'20'!H129</f>
        <v>2802.8399999999638</v>
      </c>
      <c r="I129" s="131"/>
      <c r="J129" s="203">
        <f>H129/DAY(B2)</f>
        <v>133.4685714285697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63"/>
      <c r="H130" s="191"/>
      <c r="I130" s="191"/>
      <c r="J130" s="215"/>
      <c r="N130" s="73"/>
      <c r="O130" s="73"/>
    </row>
    <row r="131" spans="1:15" ht="27.75">
      <c r="A131" s="759" t="s">
        <v>237</v>
      </c>
      <c r="B131" s="760"/>
      <c r="C131" s="760"/>
      <c r="D131" s="174" t="s">
        <v>238</v>
      </c>
      <c r="E131" s="135">
        <f>'20'!F131</f>
        <v>0</v>
      </c>
      <c r="F131" s="135">
        <v>0</v>
      </c>
      <c r="G131" s="943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>
      <c r="A132" s="759" t="s">
        <v>239</v>
      </c>
      <c r="B132" s="760"/>
      <c r="C132" s="760"/>
      <c r="D132" s="174" t="s">
        <v>238</v>
      </c>
      <c r="E132" s="135">
        <f>'20'!F132</f>
        <v>0</v>
      </c>
      <c r="F132" s="135">
        <v>0</v>
      </c>
      <c r="G132" s="943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>
      <c r="A133" s="759" t="s">
        <v>240</v>
      </c>
      <c r="B133" s="760"/>
      <c r="C133" s="760"/>
      <c r="D133" s="174" t="s">
        <v>238</v>
      </c>
      <c r="E133" s="192">
        <f>'20'!F133</f>
        <v>40917.19</v>
      </c>
      <c r="F133" s="192">
        <v>40921.53</v>
      </c>
      <c r="G133" s="943">
        <f t="shared" si="16"/>
        <v>4.3399999999965075</v>
      </c>
      <c r="H133" s="111">
        <f>G133+'20'!H133</f>
        <v>-0.47000000000116415</v>
      </c>
      <c r="I133" s="131"/>
      <c r="J133" s="203">
        <f>H133/DAY(B2)</f>
        <v>-2.2380952381007818E-2</v>
      </c>
      <c r="N133" s="73"/>
      <c r="O133" s="73"/>
    </row>
    <row r="134" spans="1:15" s="92" customFormat="1" ht="27.75">
      <c r="A134" s="716" t="s">
        <v>241</v>
      </c>
      <c r="B134" s="717"/>
      <c r="C134" s="717"/>
      <c r="D134" s="278" t="s">
        <v>238</v>
      </c>
      <c r="E134" s="192">
        <f>'20'!F134</f>
        <v>724.25</v>
      </c>
      <c r="F134" s="192">
        <v>724.25</v>
      </c>
      <c r="G134" s="964">
        <f t="shared" si="16"/>
        <v>0</v>
      </c>
      <c r="H134" s="356">
        <f>G134+'20'!H134</f>
        <v>-131.75</v>
      </c>
      <c r="I134" s="718">
        <f>G131+G132+G133+G134</f>
        <v>4.3399999999965075</v>
      </c>
      <c r="J134" s="358">
        <f>H134/DAY(B2)</f>
        <v>-6.2738095238095237</v>
      </c>
      <c r="N134" s="364"/>
      <c r="O134" s="364"/>
    </row>
    <row r="135" spans="1:15" ht="27.75">
      <c r="A135" s="759" t="s">
        <v>242</v>
      </c>
      <c r="B135" s="760"/>
      <c r="C135" s="760"/>
      <c r="D135" s="174" t="s">
        <v>238</v>
      </c>
      <c r="E135" s="192">
        <f>'20'!F135</f>
        <v>42665</v>
      </c>
      <c r="F135" s="192">
        <v>42689</v>
      </c>
      <c r="G135" s="943">
        <f t="shared" si="16"/>
        <v>24</v>
      </c>
      <c r="H135" s="111">
        <f>G135+'20'!H135</f>
        <v>-133</v>
      </c>
      <c r="I135" s="131"/>
      <c r="J135" s="203">
        <f>H135/DAY(B2)</f>
        <v>-6.333333333333333</v>
      </c>
      <c r="N135" s="73"/>
      <c r="O135" s="73"/>
    </row>
    <row r="136" spans="1:15" ht="27.75">
      <c r="A136" s="759" t="s">
        <v>243</v>
      </c>
      <c r="B136" s="760"/>
      <c r="C136" s="760"/>
      <c r="D136" s="174" t="s">
        <v>238</v>
      </c>
      <c r="E136" s="192">
        <f>'20'!F136</f>
        <v>32874.050000000003</v>
      </c>
      <c r="F136" s="192">
        <v>32874.050000000003</v>
      </c>
      <c r="G136" s="943">
        <f t="shared" si="16"/>
        <v>0</v>
      </c>
      <c r="H136" s="111">
        <f>G136+'20'!H136</f>
        <v>-53.94999999999709</v>
      </c>
      <c r="I136" s="131"/>
      <c r="J136" s="203">
        <f>H136/DAY(B2)</f>
        <v>-2.5690476190474802</v>
      </c>
      <c r="N136" s="73"/>
      <c r="O136" s="73"/>
    </row>
    <row r="137" spans="1:15" ht="27.75">
      <c r="A137" s="759" t="s">
        <v>244</v>
      </c>
      <c r="B137" s="760"/>
      <c r="C137" s="760"/>
      <c r="D137" s="174" t="s">
        <v>238</v>
      </c>
      <c r="E137" s="192">
        <f>'20'!F137</f>
        <v>23263.41</v>
      </c>
      <c r="F137" s="192">
        <v>23271.27</v>
      </c>
      <c r="G137" s="943">
        <f t="shared" si="16"/>
        <v>7.8600000000005821</v>
      </c>
      <c r="H137" s="111">
        <f>G137+'20'!H137</f>
        <v>-85.159999999999854</v>
      </c>
      <c r="I137" s="131">
        <f>G135+G136+G137</f>
        <v>31.860000000000582</v>
      </c>
      <c r="J137" s="203">
        <f>H137/DAY(B2)</f>
        <v>-4.0552380952380886</v>
      </c>
      <c r="N137" s="73"/>
      <c r="O137" s="73"/>
    </row>
    <row r="138" spans="1:15" ht="27.75">
      <c r="A138" s="759" t="s">
        <v>245</v>
      </c>
      <c r="B138" s="760"/>
      <c r="C138" s="760"/>
      <c r="D138" s="174" t="s">
        <v>238</v>
      </c>
      <c r="E138" s="192">
        <f>'20'!F138</f>
        <v>25132.98</v>
      </c>
      <c r="F138" s="192">
        <v>25132.98</v>
      </c>
      <c r="G138" s="943">
        <f t="shared" si="16"/>
        <v>0</v>
      </c>
      <c r="H138" s="111">
        <f>G138+'20'!H138</f>
        <v>2.0000000000436557E-2</v>
      </c>
      <c r="I138" s="131"/>
      <c r="J138" s="203">
        <f>H138/DAY(B2)</f>
        <v>9.5238095240174087E-4</v>
      </c>
      <c r="N138" s="73"/>
      <c r="O138" s="73"/>
    </row>
    <row r="139" spans="1:15" ht="27.75">
      <c r="A139" s="759" t="s">
        <v>246</v>
      </c>
      <c r="B139" s="760"/>
      <c r="C139" s="760"/>
      <c r="D139" s="174" t="s">
        <v>238</v>
      </c>
      <c r="E139" s="192">
        <f>'20'!F139</f>
        <v>70523.600000000006</v>
      </c>
      <c r="F139" s="192">
        <v>70523.600000000006</v>
      </c>
      <c r="G139" s="943">
        <f t="shared" si="16"/>
        <v>0</v>
      </c>
      <c r="H139" s="111">
        <f>G139+'20'!H139</f>
        <v>-0.94999999999708962</v>
      </c>
      <c r="I139" s="131">
        <f>G138+G139</f>
        <v>0</v>
      </c>
      <c r="J139" s="203">
        <f>H139/DAY(B2)</f>
        <v>-4.5238095237956646E-2</v>
      </c>
      <c r="N139" s="73"/>
      <c r="O139" s="73"/>
    </row>
    <row r="140" spans="1:15" ht="27.75">
      <c r="A140" s="759" t="s">
        <v>247</v>
      </c>
      <c r="B140" s="760"/>
      <c r="C140" s="760"/>
      <c r="D140" s="174" t="s">
        <v>238</v>
      </c>
      <c r="E140" s="135">
        <f>'20'!F140</f>
        <v>2515.38</v>
      </c>
      <c r="F140" s="135">
        <v>2526.15</v>
      </c>
      <c r="G140" s="943">
        <f t="shared" si="16"/>
        <v>10.769999999999982</v>
      </c>
      <c r="H140" s="111">
        <f>G140+'20'!H140</f>
        <v>-101.82999999999993</v>
      </c>
      <c r="I140" s="193"/>
      <c r="J140" s="203">
        <f>H140/DAY(B2)</f>
        <v>-4.8490476190476155</v>
      </c>
      <c r="N140" s="73"/>
      <c r="O140" s="73"/>
    </row>
    <row r="141" spans="1:15" ht="27.75">
      <c r="A141" s="759" t="s">
        <v>248</v>
      </c>
      <c r="B141" s="760"/>
      <c r="C141" s="760"/>
      <c r="D141" s="174" t="s">
        <v>238</v>
      </c>
      <c r="E141" s="135">
        <f>'20'!F141</f>
        <v>4753.67</v>
      </c>
      <c r="F141" s="135">
        <v>4753.67</v>
      </c>
      <c r="G141" s="943">
        <f t="shared" si="16"/>
        <v>0</v>
      </c>
      <c r="H141" s="111">
        <f>G141+'20'!H141</f>
        <v>-0.32999999999992724</v>
      </c>
      <c r="I141" s="193"/>
      <c r="J141" s="203">
        <f>H141/DAY(B2)</f>
        <v>-1.5714285714282249E-2</v>
      </c>
      <c r="N141" s="73"/>
      <c r="O141" s="73"/>
    </row>
    <row r="142" spans="1:15">
      <c r="A142" s="1248" t="s">
        <v>249</v>
      </c>
      <c r="B142" s="1249"/>
      <c r="C142" s="765"/>
      <c r="D142" s="123"/>
      <c r="E142" s="123"/>
      <c r="F142" s="123"/>
      <c r="G142" s="946"/>
      <c r="H142" s="134"/>
      <c r="I142" s="134"/>
      <c r="J142" s="214"/>
      <c r="K142" s="71"/>
      <c r="L142" s="68"/>
      <c r="N142" s="73"/>
      <c r="O142" s="73"/>
    </row>
    <row r="143" spans="1:15" ht="27.75">
      <c r="A143" s="1245" t="s">
        <v>250</v>
      </c>
      <c r="B143" s="1246"/>
      <c r="C143" s="1247"/>
      <c r="D143" s="174" t="s">
        <v>131</v>
      </c>
      <c r="E143" s="174"/>
      <c r="F143" s="174"/>
      <c r="G143" s="956">
        <f>G35+G43+G49+G57</f>
        <v>5656</v>
      </c>
      <c r="H143" s="111">
        <f>G143+'20'!H143</f>
        <v>345881.99999999994</v>
      </c>
      <c r="I143" s="131"/>
      <c r="J143" s="203">
        <f>H143/DAY(B2)</f>
        <v>16470.571428571428</v>
      </c>
      <c r="K143" s="71"/>
      <c r="L143" s="68"/>
      <c r="N143" s="73"/>
      <c r="O143" s="73"/>
    </row>
    <row r="144" spans="1:15" ht="27.75">
      <c r="A144" s="1245" t="s">
        <v>251</v>
      </c>
      <c r="B144" s="1246"/>
      <c r="C144" s="1247"/>
      <c r="D144" s="174" t="s">
        <v>24</v>
      </c>
      <c r="E144" s="162"/>
      <c r="F144" s="162"/>
      <c r="G144" s="965">
        <f>G143/G7</f>
        <v>0.26445724545522548</v>
      </c>
      <c r="H144" s="111">
        <f>G144+'20'!H144</f>
        <v>6.2119910781794294</v>
      </c>
      <c r="I144" s="195"/>
      <c r="J144" s="203">
        <f>H144/DAY(B2)</f>
        <v>0.29580909896092522</v>
      </c>
      <c r="K144" s="71"/>
      <c r="L144" s="68"/>
      <c r="N144" s="73"/>
      <c r="O144" s="73"/>
    </row>
    <row r="145" spans="1:15" ht="27.75">
      <c r="A145" s="1245" t="s">
        <v>252</v>
      </c>
      <c r="B145" s="1246"/>
      <c r="C145" s="1247"/>
      <c r="D145" s="174" t="s">
        <v>131</v>
      </c>
      <c r="E145" s="106"/>
      <c r="F145" s="106"/>
      <c r="G145" s="956">
        <f>G41+G42+G55+G56</f>
        <v>6296</v>
      </c>
      <c r="H145" s="111">
        <f>G145+'20'!H145</f>
        <v>-69138.639999999956</v>
      </c>
      <c r="I145" s="131"/>
      <c r="J145" s="203">
        <f>H145/DAY(B2)</f>
        <v>-3292.3161904761882</v>
      </c>
      <c r="K145" s="71"/>
      <c r="L145" s="68"/>
      <c r="N145" s="73"/>
      <c r="O145" s="73"/>
    </row>
    <row r="146" spans="1:15" ht="27.75">
      <c r="A146" s="1245" t="s">
        <v>253</v>
      </c>
      <c r="B146" s="1246"/>
      <c r="C146" s="1247"/>
      <c r="D146" s="174" t="s">
        <v>24</v>
      </c>
      <c r="E146" s="106"/>
      <c r="F146" s="106"/>
      <c r="G146" s="965">
        <f>G145/G7</f>
        <v>0.29438168624223826</v>
      </c>
      <c r="H146" s="111">
        <f>G146+'20'!H146</f>
        <v>5.4002382465386534</v>
      </c>
      <c r="I146" s="195"/>
      <c r="J146" s="203">
        <f>H146/DAY(B2)</f>
        <v>0.25715420221612634</v>
      </c>
      <c r="K146" s="71"/>
      <c r="L146" s="68"/>
      <c r="N146" s="73"/>
      <c r="O146" s="73"/>
    </row>
    <row r="147" spans="1:15" ht="27.75">
      <c r="A147" s="1245" t="s">
        <v>254</v>
      </c>
      <c r="B147" s="1246"/>
      <c r="C147" s="1247"/>
      <c r="D147" s="174" t="s">
        <v>131</v>
      </c>
      <c r="E147" s="106"/>
      <c r="F147" s="106"/>
      <c r="G147" s="956">
        <f>G39+G53</f>
        <v>3720</v>
      </c>
      <c r="H147" s="111">
        <f>G147+'20'!H147</f>
        <v>1029643.5900000001</v>
      </c>
      <c r="I147" s="196"/>
      <c r="J147" s="203">
        <f>H147/DAY(B2)</f>
        <v>49030.647142857146</v>
      </c>
      <c r="K147" s="71"/>
      <c r="L147" s="68"/>
      <c r="N147" s="73"/>
      <c r="O147" s="73"/>
    </row>
    <row r="148" spans="1:15" ht="27.75">
      <c r="A148" s="1245" t="s">
        <v>255</v>
      </c>
      <c r="B148" s="1246"/>
      <c r="C148" s="1247"/>
      <c r="D148" s="174" t="s">
        <v>24</v>
      </c>
      <c r="E148" s="106"/>
      <c r="F148" s="106"/>
      <c r="G148" s="965">
        <f>G147/G7</f>
        <v>0.17393581207451181</v>
      </c>
      <c r="H148" s="111">
        <f>G148+'20'!H148</f>
        <v>6.3147892936715246</v>
      </c>
      <c r="I148" s="196"/>
      <c r="J148" s="203">
        <f>H148/DAY(B2)</f>
        <v>0.30070425207959639</v>
      </c>
      <c r="N148" s="73"/>
      <c r="O148" s="73"/>
    </row>
    <row r="149" spans="1:15" ht="27.75">
      <c r="A149" s="1245" t="s">
        <v>256</v>
      </c>
      <c r="B149" s="1246"/>
      <c r="C149" s="1247"/>
      <c r="D149" s="174" t="s">
        <v>182</v>
      </c>
      <c r="E149" s="106"/>
      <c r="F149" s="106"/>
      <c r="G149" s="956">
        <f>G38+G52</f>
        <v>1883.0699999999488</v>
      </c>
      <c r="H149" s="111">
        <f>G149+'20'!H149</f>
        <v>819560.07</v>
      </c>
      <c r="I149" s="131"/>
      <c r="J149" s="203">
        <f>H149/DAY(B2)</f>
        <v>39026.67</v>
      </c>
      <c r="K149" s="72"/>
      <c r="N149" s="73"/>
      <c r="O149" s="73"/>
    </row>
    <row r="150" spans="1:15" ht="27.75">
      <c r="A150" s="1245" t="s">
        <v>257</v>
      </c>
      <c r="B150" s="1246"/>
      <c r="C150" s="1247"/>
      <c r="D150" s="174" t="s">
        <v>24</v>
      </c>
      <c r="E150" s="106"/>
      <c r="F150" s="106"/>
      <c r="G150" s="965">
        <f>G149/G7</f>
        <v>8.8046588613747867E-2</v>
      </c>
      <c r="H150" s="111">
        <f>G150+'20'!H150</f>
        <v>3.9071895989949836</v>
      </c>
      <c r="I150" s="196"/>
      <c r="J150" s="203">
        <f>H150/DAY(B2)</f>
        <v>0.1860566475711897</v>
      </c>
      <c r="N150" s="73"/>
      <c r="O150" s="73"/>
    </row>
    <row r="151" spans="1:15" ht="27.75">
      <c r="A151" s="1245" t="s">
        <v>258</v>
      </c>
      <c r="B151" s="1246"/>
      <c r="C151" s="1247"/>
      <c r="D151" s="174" t="s">
        <v>182</v>
      </c>
      <c r="E151" s="106"/>
      <c r="F151" s="106"/>
      <c r="G151" s="956">
        <f>G36+G50</f>
        <v>1676.8000000000029</v>
      </c>
      <c r="H151" s="111">
        <f>G151+'20'!H151</f>
        <v>48926.400000000001</v>
      </c>
      <c r="I151" s="196"/>
      <c r="J151" s="203">
        <f>H151/DAY(B2)</f>
        <v>2329.8285714285716</v>
      </c>
      <c r="N151" s="73"/>
      <c r="O151" s="73"/>
    </row>
    <row r="152" spans="1:15" ht="27.75">
      <c r="A152" s="1245" t="s">
        <v>259</v>
      </c>
      <c r="B152" s="1246"/>
      <c r="C152" s="1247"/>
      <c r="D152" s="174" t="s">
        <v>24</v>
      </c>
      <c r="E152" s="106"/>
      <c r="F152" s="106"/>
      <c r="G152" s="965">
        <f>G151/G7</f>
        <v>7.8402034861973641E-2</v>
      </c>
      <c r="H152" s="111">
        <f>G152+'20'!H152</f>
        <v>1.8079222372886554</v>
      </c>
      <c r="I152" s="131"/>
      <c r="J152" s="203">
        <f>H152/DAY(B2)</f>
        <v>8.6091535108983597E-2</v>
      </c>
      <c r="N152" s="73"/>
      <c r="O152" s="73"/>
    </row>
    <row r="153" spans="1:15" ht="27.75">
      <c r="A153" s="1245" t="s">
        <v>260</v>
      </c>
      <c r="B153" s="1246"/>
      <c r="C153" s="1247"/>
      <c r="D153" s="174" t="s">
        <v>182</v>
      </c>
      <c r="E153" s="106"/>
      <c r="F153" s="106"/>
      <c r="G153" s="956">
        <f>G37+G51</f>
        <v>1562</v>
      </c>
      <c r="H153" s="111">
        <f>G153+'20'!H153</f>
        <v>400194.00000000006</v>
      </c>
      <c r="I153" s="131"/>
      <c r="J153" s="203">
        <f>H153/DAY(B2)</f>
        <v>19056.857142857145</v>
      </c>
      <c r="N153" s="73"/>
      <c r="O153" s="73"/>
    </row>
    <row r="154" spans="1:15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966">
        <f>G153/G7</f>
        <v>7.3034338295803081E-2</v>
      </c>
      <c r="H154" s="111">
        <f>G154+'20'!H154</f>
        <v>2.5563106514977192</v>
      </c>
      <c r="I154" s="219"/>
      <c r="J154" s="220">
        <f>H154/DAY(B2)</f>
        <v>0.12172907864274854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67"/>
      <c r="H155" s="198"/>
      <c r="I155" s="197"/>
      <c r="J155" s="199"/>
      <c r="O155" s="73"/>
    </row>
    <row r="161" spans="1:12">
      <c r="A161" s="435" t="s">
        <v>262</v>
      </c>
      <c r="B161" s="436"/>
      <c r="C161" s="436"/>
      <c r="D161" s="162" t="s">
        <v>186</v>
      </c>
      <c r="E161" s="309">
        <f>'20'!F161</f>
        <v>44909.7</v>
      </c>
      <c r="F161" s="309">
        <v>44987.4</v>
      </c>
      <c r="G161" s="943">
        <f t="shared" ref="G161:G164" si="17">F161-E161</f>
        <v>77.700000000004366</v>
      </c>
      <c r="K161" s="67">
        <v>68.829999999999927</v>
      </c>
      <c r="L161" s="67">
        <f t="shared" ref="L161:L172" si="18">G161-K161</f>
        <v>8.8700000000044383</v>
      </c>
    </row>
    <row r="162" spans="1:12">
      <c r="A162" s="435" t="s">
        <v>263</v>
      </c>
      <c r="B162" s="436"/>
      <c r="C162" s="436"/>
      <c r="D162" s="162" t="s">
        <v>186</v>
      </c>
      <c r="E162" s="309">
        <f>'20'!F162</f>
        <v>131397</v>
      </c>
      <c r="F162" s="309">
        <v>131844</v>
      </c>
      <c r="G162" s="943">
        <f t="shared" si="17"/>
        <v>447</v>
      </c>
      <c r="K162" s="67">
        <v>122.46000000000004</v>
      </c>
      <c r="L162" s="67">
        <f t="shared" si="18"/>
        <v>324.53999999999996</v>
      </c>
    </row>
    <row r="163" spans="1:12">
      <c r="A163" s="435" t="s">
        <v>264</v>
      </c>
      <c r="B163" s="436"/>
      <c r="C163" s="436"/>
      <c r="D163" s="162" t="s">
        <v>186</v>
      </c>
      <c r="E163" s="309">
        <f>'20'!F163</f>
        <v>61506.6</v>
      </c>
      <c r="F163" s="309">
        <v>61706.7</v>
      </c>
      <c r="G163" s="943">
        <f t="shared" si="17"/>
        <v>200.09999999999854</v>
      </c>
      <c r="K163" s="67">
        <v>139.42000000000007</v>
      </c>
      <c r="L163" s="67">
        <f t="shared" si="18"/>
        <v>60.679999999998472</v>
      </c>
    </row>
    <row r="164" spans="1:12">
      <c r="A164" s="435" t="s">
        <v>265</v>
      </c>
      <c r="B164" s="436"/>
      <c r="C164" s="436"/>
      <c r="D164" s="162" t="s">
        <v>186</v>
      </c>
      <c r="E164" s="309">
        <f>'20'!F164</f>
        <v>7350.98</v>
      </c>
      <c r="F164" s="309">
        <v>7359.25</v>
      </c>
      <c r="G164" s="943">
        <f t="shared" si="17"/>
        <v>8.2700000000004366</v>
      </c>
      <c r="K164" s="67">
        <v>49.659999999999968</v>
      </c>
      <c r="L164" s="67">
        <f t="shared" si="18"/>
        <v>-41.389999999999532</v>
      </c>
    </row>
    <row r="165" spans="1:12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43">
        <f t="shared" ref="G165:G172" si="19">F165-E165</f>
        <v>0</v>
      </c>
      <c r="K165" s="67">
        <v>0</v>
      </c>
      <c r="L165" s="67">
        <f t="shared" si="18"/>
        <v>0</v>
      </c>
    </row>
    <row r="166" spans="1:12">
      <c r="A166" s="437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943">
        <f t="shared" si="19"/>
        <v>0</v>
      </c>
      <c r="K166" s="67">
        <v>0</v>
      </c>
      <c r="L166" s="67">
        <f t="shared" si="18"/>
        <v>0</v>
      </c>
    </row>
    <row r="167" spans="1:12" ht="27.75">
      <c r="A167" s="1232" t="s">
        <v>98</v>
      </c>
      <c r="B167" s="1232"/>
      <c r="C167" s="1232"/>
      <c r="D167" s="174" t="s">
        <v>186</v>
      </c>
      <c r="E167" s="165">
        <f t="shared" si="20"/>
        <v>189658</v>
      </c>
      <c r="F167" s="165">
        <f t="shared" si="21"/>
        <v>190015</v>
      </c>
      <c r="G167" s="943">
        <f t="shared" si="19"/>
        <v>357</v>
      </c>
      <c r="K167" s="67">
        <v>201.76000000000204</v>
      </c>
      <c r="L167" s="67">
        <f t="shared" si="18"/>
        <v>155.23999999999796</v>
      </c>
    </row>
    <row r="168" spans="1:12" ht="27.75">
      <c r="A168" s="1232" t="s">
        <v>99</v>
      </c>
      <c r="B168" s="1232"/>
      <c r="C168" s="1232"/>
      <c r="D168" s="174" t="s">
        <v>186</v>
      </c>
      <c r="E168" s="165">
        <f t="shared" si="20"/>
        <v>190255</v>
      </c>
      <c r="F168" s="165">
        <f t="shared" si="21"/>
        <v>190649</v>
      </c>
      <c r="G168" s="943">
        <f t="shared" si="19"/>
        <v>394</v>
      </c>
      <c r="K168" s="67">
        <v>191.63000000000466</v>
      </c>
      <c r="L168" s="67">
        <f t="shared" si="18"/>
        <v>202.36999999999534</v>
      </c>
    </row>
    <row r="169" spans="1:12" ht="27.75">
      <c r="A169" s="1232" t="s">
        <v>100</v>
      </c>
      <c r="B169" s="1232"/>
      <c r="C169" s="1232"/>
      <c r="D169" s="174" t="s">
        <v>186</v>
      </c>
      <c r="E169" s="165">
        <f t="shared" si="20"/>
        <v>88796.6</v>
      </c>
      <c r="F169" s="165">
        <f t="shared" si="21"/>
        <v>89207.3</v>
      </c>
      <c r="G169" s="943">
        <f t="shared" si="19"/>
        <v>410.69999999999709</v>
      </c>
      <c r="K169" s="67">
        <v>231.68000000000029</v>
      </c>
      <c r="L169" s="67">
        <f t="shared" si="18"/>
        <v>179.0199999999968</v>
      </c>
    </row>
    <row r="170" spans="1:12" ht="27.75">
      <c r="A170" s="1232" t="s">
        <v>101</v>
      </c>
      <c r="B170" s="1232"/>
      <c r="C170" s="1232"/>
      <c r="D170" s="174" t="s">
        <v>186</v>
      </c>
      <c r="E170" s="165">
        <f t="shared" si="20"/>
        <v>289456</v>
      </c>
      <c r="F170" s="165">
        <f t="shared" si="21"/>
        <v>289912</v>
      </c>
      <c r="G170" s="943">
        <f t="shared" si="19"/>
        <v>456</v>
      </c>
      <c r="K170" s="67">
        <v>344.30000000000291</v>
      </c>
      <c r="L170" s="67">
        <f t="shared" si="18"/>
        <v>111.69999999999709</v>
      </c>
    </row>
    <row r="171" spans="1:12" ht="27.75">
      <c r="A171" s="1232" t="s">
        <v>102</v>
      </c>
      <c r="B171" s="1232"/>
      <c r="C171" s="1232"/>
      <c r="D171" s="174" t="s">
        <v>186</v>
      </c>
      <c r="E171" s="165">
        <f t="shared" si="20"/>
        <v>85321</v>
      </c>
      <c r="F171" s="165">
        <f t="shared" si="21"/>
        <v>85321</v>
      </c>
      <c r="G171" s="943">
        <f t="shared" si="19"/>
        <v>0</v>
      </c>
      <c r="K171" s="67">
        <v>140.90999999999985</v>
      </c>
      <c r="L171" s="67">
        <f t="shared" si="18"/>
        <v>-140.90999999999985</v>
      </c>
    </row>
    <row r="172" spans="1:12" ht="27.75">
      <c r="A172" s="1232" t="s">
        <v>103</v>
      </c>
      <c r="B172" s="1232"/>
      <c r="C172" s="1232"/>
      <c r="D172" s="174" t="s">
        <v>186</v>
      </c>
      <c r="E172" s="165">
        <f t="shared" si="20"/>
        <v>102806</v>
      </c>
      <c r="F172" s="165">
        <f t="shared" si="21"/>
        <v>103127</v>
      </c>
      <c r="G172" s="943">
        <f t="shared" si="19"/>
        <v>321</v>
      </c>
      <c r="K172" s="67">
        <v>57.709999999999127</v>
      </c>
      <c r="L172" s="67">
        <f t="shared" si="18"/>
        <v>263.29000000000087</v>
      </c>
    </row>
    <row r="173" spans="1:12">
      <c r="G173" s="968">
        <f>SUM(G161:G172)</f>
        <v>2671.7700000000004</v>
      </c>
    </row>
    <row r="174" spans="1:12" ht="27.75">
      <c r="A174" s="1232" t="s">
        <v>337</v>
      </c>
      <c r="B174" s="1232"/>
      <c r="C174" s="1232"/>
      <c r="D174" s="174" t="s">
        <v>186</v>
      </c>
      <c r="E174" s="309">
        <f>'20'!F174</f>
        <v>19189.400000000001</v>
      </c>
      <c r="F174" s="165">
        <v>19191.400000000001</v>
      </c>
      <c r="G174" s="943">
        <f t="shared" ref="G174:G176" si="22">F174-E174</f>
        <v>2</v>
      </c>
    </row>
    <row r="175" spans="1:12">
      <c r="A175" s="1273" t="s">
        <v>337</v>
      </c>
      <c r="B175" s="1236"/>
      <c r="C175" s="436"/>
      <c r="D175" s="174" t="s">
        <v>186</v>
      </c>
      <c r="E175" s="309">
        <f>'20'!F175</f>
        <v>70663.899999999994</v>
      </c>
      <c r="F175" s="1105">
        <v>70670.3</v>
      </c>
      <c r="G175" s="943">
        <f t="shared" si="22"/>
        <v>6.4000000000087311</v>
      </c>
    </row>
    <row r="176" spans="1:12">
      <c r="A176" s="1273" t="s">
        <v>338</v>
      </c>
      <c r="B176" s="1236"/>
      <c r="C176" s="436"/>
      <c r="D176" s="174" t="s">
        <v>186</v>
      </c>
      <c r="E176" s="309">
        <f>'20'!F176</f>
        <v>27903</v>
      </c>
      <c r="F176" s="1105">
        <v>27908.400000000001</v>
      </c>
      <c r="G176" s="943">
        <f t="shared" si="22"/>
        <v>5.4000000000014552</v>
      </c>
    </row>
    <row r="177" spans="1:15" ht="32.25" customHeight="1">
      <c r="A177" s="1296" t="s">
        <v>382</v>
      </c>
      <c r="B177" s="1296"/>
      <c r="C177" s="1296"/>
      <c r="D177" s="1296"/>
      <c r="E177" s="1296"/>
      <c r="F177" s="1296"/>
      <c r="G177" s="1296"/>
    </row>
    <row r="178" spans="1:15">
      <c r="A178" s="435"/>
      <c r="B178" s="436"/>
      <c r="C178" s="436"/>
      <c r="D178" s="174" t="s">
        <v>186</v>
      </c>
      <c r="E178" s="309">
        <f>'20'!F178</f>
        <v>0</v>
      </c>
      <c r="F178" s="193"/>
      <c r="G178" s="124">
        <f t="shared" ref="G178:G184" si="23">F178-E178</f>
        <v>0</v>
      </c>
      <c r="N178" s="369"/>
      <c r="O178" s="374"/>
    </row>
    <row r="179" spans="1:15">
      <c r="A179" s="435" t="s">
        <v>383</v>
      </c>
      <c r="B179" s="436"/>
      <c r="C179" s="436"/>
      <c r="D179" s="174" t="s">
        <v>186</v>
      </c>
      <c r="E179" s="309">
        <f>'20'!F179</f>
        <v>0</v>
      </c>
      <c r="F179" s="193"/>
      <c r="G179" s="124">
        <f t="shared" si="23"/>
        <v>0</v>
      </c>
      <c r="N179" s="369"/>
      <c r="O179" s="374"/>
    </row>
    <row r="180" spans="1:15">
      <c r="A180" s="435" t="s">
        <v>384</v>
      </c>
      <c r="B180" s="436"/>
      <c r="C180" s="436"/>
      <c r="D180" s="174" t="s">
        <v>186</v>
      </c>
      <c r="E180" s="309">
        <f>'20'!F180</f>
        <v>0</v>
      </c>
      <c r="F180" s="193"/>
      <c r="G180" s="124">
        <f t="shared" si="23"/>
        <v>0</v>
      </c>
      <c r="N180" s="369"/>
      <c r="O180" s="374"/>
    </row>
    <row r="181" spans="1:15" ht="21" customHeight="1">
      <c r="A181" s="435" t="s">
        <v>385</v>
      </c>
      <c r="B181" s="436"/>
      <c r="C181" s="436"/>
      <c r="D181" s="174" t="s">
        <v>186</v>
      </c>
      <c r="E181" s="309">
        <f>'20'!F181</f>
        <v>0</v>
      </c>
      <c r="F181" s="193"/>
      <c r="G181" s="124">
        <f t="shared" si="23"/>
        <v>0</v>
      </c>
    </row>
    <row r="182" spans="1:15">
      <c r="A182" s="435" t="s">
        <v>386</v>
      </c>
      <c r="B182" s="436"/>
      <c r="C182" s="436"/>
      <c r="D182" s="174" t="s">
        <v>186</v>
      </c>
      <c r="E182" s="309">
        <f>'20'!F182</f>
        <v>0</v>
      </c>
      <c r="F182" s="193"/>
      <c r="G182" s="124">
        <f t="shared" si="23"/>
        <v>0</v>
      </c>
    </row>
    <row r="183" spans="1:15">
      <c r="A183" s="435" t="s">
        <v>387</v>
      </c>
      <c r="B183" s="436"/>
      <c r="C183" s="436"/>
      <c r="D183" s="174" t="s">
        <v>186</v>
      </c>
      <c r="E183" s="309">
        <f>'20'!F183</f>
        <v>0</v>
      </c>
      <c r="F183" s="193"/>
      <c r="G183" s="124">
        <f t="shared" si="23"/>
        <v>0</v>
      </c>
    </row>
    <row r="184" spans="1:15">
      <c r="A184" s="435" t="s">
        <v>388</v>
      </c>
      <c r="B184" s="436"/>
      <c r="C184" s="436"/>
      <c r="D184" s="174" t="s">
        <v>186</v>
      </c>
      <c r="E184" s="309">
        <f>'20'!F184</f>
        <v>0</v>
      </c>
      <c r="F184" s="193"/>
      <c r="G184" s="124">
        <f t="shared" si="23"/>
        <v>0</v>
      </c>
    </row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4:C174"/>
    <mergeCell ref="A172:C172"/>
    <mergeCell ref="A175:B175"/>
    <mergeCell ref="A176:B176"/>
    <mergeCell ref="A177:G177"/>
  </mergeCells>
  <pageMargins left="0.22" right="0.17" top="0.14000000000000001" bottom="0.2" header="0.2" footer="0.2"/>
  <pageSetup paperSize="5" scale="1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topLeftCell="A148" zoomScale="50" zoomScaleNormal="71" zoomScaleSheetLayoutView="50" workbookViewId="0">
      <selection activeCell="F8" sqref="F8"/>
    </sheetView>
  </sheetViews>
  <sheetFormatPr defaultColWidth="22.33203125" defaultRowHeight="29.2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5" s="57" customFormat="1" ht="27">
      <c r="A2" s="226" t="s">
        <v>347</v>
      </c>
      <c r="B2" s="682">
        <v>44430</v>
      </c>
      <c r="C2" s="975" t="s">
        <v>68</v>
      </c>
      <c r="D2" s="262">
        <v>0.8</v>
      </c>
      <c r="E2" s="112"/>
      <c r="F2" s="112"/>
      <c r="G2" s="939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975" t="s">
        <v>119</v>
      </c>
      <c r="D3" s="263">
        <v>27</v>
      </c>
      <c r="E3" s="1259" t="s">
        <v>120</v>
      </c>
      <c r="F3" s="1260"/>
      <c r="G3" s="940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>
      <c r="A4" s="227"/>
      <c r="B4" s="267"/>
      <c r="C4" s="975" t="s">
        <v>121</v>
      </c>
      <c r="D4" s="262">
        <v>0.84</v>
      </c>
      <c r="E4" s="115"/>
      <c r="F4" s="115"/>
      <c r="G4" s="940"/>
      <c r="H4" s="115"/>
      <c r="I4" s="116"/>
      <c r="J4" s="266"/>
      <c r="K4" s="64"/>
      <c r="L4" s="58"/>
    </row>
    <row r="5" spans="1:15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41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>
      <c r="A6" s="1253" t="s">
        <v>129</v>
      </c>
      <c r="B6" s="1254"/>
      <c r="C6" s="1255"/>
      <c r="D6" s="122"/>
      <c r="E6" s="122"/>
      <c r="F6" s="122"/>
      <c r="G6" s="942"/>
      <c r="H6" s="123"/>
      <c r="I6" s="123"/>
      <c r="J6" s="202"/>
      <c r="K6" s="80"/>
      <c r="L6" s="68"/>
    </row>
    <row r="7" spans="1:15" ht="30" thickBot="1">
      <c r="A7" s="229" t="s">
        <v>130</v>
      </c>
      <c r="B7" s="230"/>
      <c r="C7" s="230"/>
      <c r="D7" s="174" t="s">
        <v>131</v>
      </c>
      <c r="E7" s="106">
        <f>'21'!F7</f>
        <v>71639.100000000006</v>
      </c>
      <c r="F7" s="106">
        <v>95413.5</v>
      </c>
      <c r="G7" s="943">
        <f>F7-E7</f>
        <v>23774.399999999994</v>
      </c>
      <c r="H7" s="111">
        <f>G7+'21'!H7</f>
        <v>796721.8899999999</v>
      </c>
      <c r="I7" s="125">
        <f>'1'!I7</f>
        <v>12000</v>
      </c>
      <c r="J7" s="203">
        <f>H7/DAY(B2)</f>
        <v>36214.631363636356</v>
      </c>
      <c r="K7" s="200"/>
      <c r="L7" s="68"/>
      <c r="N7" s="73"/>
      <c r="O7" s="73"/>
    </row>
    <row r="8" spans="1:15" ht="27.75" thickBot="1">
      <c r="A8" s="231" t="s">
        <v>132</v>
      </c>
      <c r="B8" s="232"/>
      <c r="C8" s="233"/>
      <c r="D8" s="268" t="s">
        <v>25</v>
      </c>
      <c r="E8" s="1167">
        <v>82202.740000000005</v>
      </c>
      <c r="F8" s="126">
        <f>E8+22500</f>
        <v>104702.74</v>
      </c>
      <c r="G8" s="944">
        <f>F8-E8</f>
        <v>22500</v>
      </c>
      <c r="H8" s="111">
        <f>G8+'21'!H8</f>
        <v>797649</v>
      </c>
      <c r="I8" s="128">
        <f>'1'!I8</f>
        <v>12000</v>
      </c>
      <c r="J8" s="203">
        <f>H8/DAY(B2)</f>
        <v>36256.772727272728</v>
      </c>
      <c r="K8" s="200"/>
      <c r="L8" s="78"/>
      <c r="M8" s="91"/>
      <c r="N8" s="73"/>
      <c r="O8" s="73"/>
    </row>
    <row r="9" spans="1:15">
      <c r="A9" s="234" t="s">
        <v>133</v>
      </c>
      <c r="B9" s="235"/>
      <c r="C9" s="235"/>
      <c r="D9" s="174" t="s">
        <v>131</v>
      </c>
      <c r="E9" s="129">
        <f>'21'!F9</f>
        <v>3145740</v>
      </c>
      <c r="F9" s="129">
        <v>3168920</v>
      </c>
      <c r="G9" s="943">
        <f t="shared" ref="G9:G12" si="0">F9-E9</f>
        <v>23180</v>
      </c>
      <c r="H9" s="111">
        <f>G9+'21'!H9</f>
        <v>3086390</v>
      </c>
      <c r="I9" s="130">
        <f>I8-J8</f>
        <v>-24256.772727272728</v>
      </c>
      <c r="J9" s="203">
        <f>H9/DAY(B2)</f>
        <v>140290.45454545456</v>
      </c>
      <c r="K9" s="81"/>
      <c r="L9" s="68"/>
      <c r="N9" s="73"/>
      <c r="O9" s="73"/>
    </row>
    <row r="10" spans="1:15">
      <c r="A10" s="229" t="s">
        <v>134</v>
      </c>
      <c r="B10" s="230"/>
      <c r="C10" s="230"/>
      <c r="D10" s="174" t="s">
        <v>131</v>
      </c>
      <c r="E10" s="129">
        <f>'21'!F10</f>
        <v>2606.85</v>
      </c>
      <c r="F10" s="129">
        <v>2606.85</v>
      </c>
      <c r="G10" s="943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43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43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>
      <c r="A13" s="236" t="s">
        <v>137</v>
      </c>
      <c r="B13" s="237"/>
      <c r="C13" s="237"/>
      <c r="D13" s="174"/>
      <c r="E13" s="106"/>
      <c r="F13" s="106"/>
      <c r="G13" s="945">
        <f>G9+G10+G11+G12</f>
        <v>23180</v>
      </c>
      <c r="H13" s="111">
        <f>G13+'21'!H13</f>
        <v>3042374.36</v>
      </c>
      <c r="I13" s="133">
        <f>G7-G13</f>
        <v>594.39999999999418</v>
      </c>
      <c r="J13" s="203">
        <f>H13/DAY(B2)</f>
        <v>138289.74363636362</v>
      </c>
      <c r="K13" s="81"/>
      <c r="L13" s="68"/>
      <c r="N13" s="73"/>
      <c r="O13" s="73"/>
    </row>
    <row r="14" spans="1:15">
      <c r="A14" s="1256" t="s">
        <v>138</v>
      </c>
      <c r="B14" s="1257"/>
      <c r="C14" s="1258"/>
      <c r="D14" s="123"/>
      <c r="E14" s="123"/>
      <c r="F14" s="123"/>
      <c r="G14" s="946"/>
      <c r="H14" s="123"/>
      <c r="I14" s="123"/>
      <c r="J14" s="202"/>
      <c r="K14" s="82"/>
      <c r="L14" s="68"/>
      <c r="N14" s="73"/>
      <c r="O14" s="73"/>
    </row>
    <row r="15" spans="1:15">
      <c r="A15" s="973" t="s">
        <v>139</v>
      </c>
      <c r="B15" s="240"/>
      <c r="C15" s="240"/>
      <c r="D15" s="174" t="s">
        <v>140</v>
      </c>
      <c r="E15" s="135">
        <f>'21'!F15</f>
        <v>1748012.46</v>
      </c>
      <c r="F15" s="351">
        <v>1748895.28</v>
      </c>
      <c r="G15" s="947">
        <f>(F15-E15)</f>
        <v>882.82000000006519</v>
      </c>
      <c r="H15" s="111">
        <f>G15+'21'!H15</f>
        <v>-7634.7199999999721</v>
      </c>
      <c r="I15" s="125">
        <v>800</v>
      </c>
      <c r="J15" s="203">
        <f>H15/DAY(B2)</f>
        <v>-347.03272727272599</v>
      </c>
      <c r="K15" s="81"/>
      <c r="L15" s="68"/>
      <c r="N15" s="73"/>
      <c r="O15" s="372"/>
    </row>
    <row r="16" spans="1:15">
      <c r="A16" s="238"/>
      <c r="B16" s="239"/>
      <c r="C16" s="239"/>
      <c r="D16" s="175"/>
      <c r="E16" s="136"/>
      <c r="F16" s="136"/>
      <c r="G16" s="943"/>
      <c r="H16" s="137"/>
      <c r="I16" s="138">
        <f>I15-J15</f>
        <v>1147.0327272727259</v>
      </c>
      <c r="J16" s="204"/>
      <c r="K16" s="81"/>
      <c r="L16" s="68"/>
      <c r="N16" s="73"/>
      <c r="O16" s="73"/>
    </row>
    <row r="17" spans="1:15">
      <c r="A17" s="1256" t="s">
        <v>141</v>
      </c>
      <c r="B17" s="1257"/>
      <c r="C17" s="1258"/>
      <c r="D17" s="123"/>
      <c r="E17" s="123"/>
      <c r="F17" s="123"/>
      <c r="G17" s="946"/>
      <c r="H17" s="123"/>
      <c r="I17" s="123"/>
      <c r="J17" s="202"/>
      <c r="K17" s="81"/>
      <c r="L17" s="68"/>
      <c r="N17" s="73"/>
      <c r="O17" s="73"/>
    </row>
    <row r="18" spans="1:15" ht="27.75">
      <c r="A18" s="1245" t="s">
        <v>142</v>
      </c>
      <c r="B18" s="1246"/>
      <c r="C18" s="1247"/>
      <c r="D18" s="174" t="s">
        <v>143</v>
      </c>
      <c r="E18" s="135">
        <f>'21'!F18</f>
        <v>19</v>
      </c>
      <c r="F18" s="135">
        <v>20</v>
      </c>
      <c r="G18" s="945">
        <f>F18*10</f>
        <v>200</v>
      </c>
      <c r="H18" s="111">
        <f>G18+'21'!H18</f>
        <v>3480</v>
      </c>
      <c r="I18" s="125">
        <f>'1'!I18</f>
        <v>65</v>
      </c>
      <c r="J18" s="203">
        <f>H18/DAY(B2)</f>
        <v>158.18181818181819</v>
      </c>
      <c r="K18" s="81"/>
      <c r="L18" s="68"/>
      <c r="N18" s="73"/>
      <c r="O18" s="73"/>
    </row>
    <row r="19" spans="1:15" ht="27.75">
      <c r="A19" s="1245" t="s">
        <v>70</v>
      </c>
      <c r="B19" s="1246"/>
      <c r="C19" s="1247"/>
      <c r="D19" s="174" t="s">
        <v>143</v>
      </c>
      <c r="E19" s="135">
        <f>'21'!F19</f>
        <v>144722</v>
      </c>
      <c r="F19" s="135">
        <v>144787</v>
      </c>
      <c r="G19" s="943">
        <f t="shared" ref="G19" si="1">F19-E19</f>
        <v>65</v>
      </c>
      <c r="H19" s="111">
        <f>G19+'21'!H19</f>
        <v>-551</v>
      </c>
      <c r="I19" s="140"/>
      <c r="J19" s="203">
        <f>H19/DAY(B2)</f>
        <v>-25.045454545454547</v>
      </c>
      <c r="K19" s="81"/>
      <c r="L19" s="68"/>
      <c r="N19" s="73"/>
      <c r="O19" s="73"/>
    </row>
    <row r="20" spans="1:15">
      <c r="A20" s="236" t="s">
        <v>144</v>
      </c>
      <c r="B20" s="237"/>
      <c r="C20" s="237"/>
      <c r="D20" s="141"/>
      <c r="E20" s="141"/>
      <c r="F20" s="141"/>
      <c r="G20" s="948">
        <f>G18+G19</f>
        <v>265</v>
      </c>
      <c r="H20" s="111">
        <f>G20+'21'!H20</f>
        <v>2929</v>
      </c>
      <c r="I20" s="143">
        <f>I18-J20</f>
        <v>-68.136363636363626</v>
      </c>
      <c r="J20" s="203">
        <f>H20/DAY(B2)</f>
        <v>133.13636363636363</v>
      </c>
      <c r="K20" s="81"/>
      <c r="L20" s="68"/>
      <c r="N20" s="73"/>
      <c r="O20" s="73"/>
    </row>
    <row r="21" spans="1:15">
      <c r="A21" s="1256" t="s">
        <v>145</v>
      </c>
      <c r="B21" s="1257"/>
      <c r="C21" s="1258"/>
      <c r="D21" s="123"/>
      <c r="E21" s="123"/>
      <c r="F21" s="123"/>
      <c r="G21" s="946"/>
      <c r="H21" s="123"/>
      <c r="I21" s="123"/>
      <c r="J21" s="202"/>
      <c r="K21" s="81"/>
      <c r="L21" s="68"/>
      <c r="N21" s="73"/>
      <c r="O21" s="73"/>
    </row>
    <row r="22" spans="1:15">
      <c r="A22" s="973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45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>
      <c r="A23" s="973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45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45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>
      <c r="A25" s="1261" t="s">
        <v>150</v>
      </c>
      <c r="B25" s="1262"/>
      <c r="C25" s="1263"/>
      <c r="D25" s="122"/>
      <c r="E25" s="122"/>
      <c r="F25" s="122"/>
      <c r="G25" s="949"/>
      <c r="H25" s="146"/>
      <c r="I25" s="147"/>
      <c r="J25" s="205"/>
      <c r="K25" s="65"/>
      <c r="L25" s="94"/>
      <c r="N25" s="95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950"/>
      <c r="H26" s="111"/>
      <c r="I26" s="150"/>
      <c r="J26" s="203"/>
      <c r="K26" s="66"/>
      <c r="L26" s="94"/>
      <c r="N26" s="95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2">
        <f>G8</f>
        <v>22500</v>
      </c>
      <c r="F27" s="152">
        <v>9</v>
      </c>
      <c r="G27" s="951">
        <f>E27*F27</f>
        <v>202500</v>
      </c>
      <c r="H27" s="111">
        <f>G27+'21'!H27</f>
        <v>7171803</v>
      </c>
      <c r="I27" s="154"/>
      <c r="J27" s="203">
        <f>H27/DAY(B2)</f>
        <v>325991.04545454547</v>
      </c>
      <c r="K27" s="65"/>
      <c r="L27" s="94"/>
      <c r="N27" s="95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2">
        <f>G15</f>
        <v>882.82000000006519</v>
      </c>
      <c r="F28" s="152">
        <v>56.2</v>
      </c>
      <c r="G28" s="951">
        <f>E28*F28</f>
        <v>49614.484000003664</v>
      </c>
      <c r="H28" s="111">
        <f>G28+'21'!H28</f>
        <v>-433639.23539999826</v>
      </c>
      <c r="I28" s="156"/>
      <c r="J28" s="203">
        <f>H28/DAY(B2)</f>
        <v>-19710.874336363559</v>
      </c>
      <c r="K28" s="65"/>
      <c r="L28" s="94"/>
      <c r="N28" s="95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51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2">
        <f>G19</f>
        <v>65</v>
      </c>
      <c r="F30" s="152">
        <v>146</v>
      </c>
      <c r="G30" s="951">
        <f>E30*F30</f>
        <v>9490</v>
      </c>
      <c r="H30" s="111">
        <f>G30+'21'!H30</f>
        <v>-80446</v>
      </c>
      <c r="I30" s="156"/>
      <c r="J30" s="203">
        <f>H30/DAY(B2)</f>
        <v>-3656.6363636363635</v>
      </c>
      <c r="K30" s="65"/>
      <c r="L30" s="94"/>
      <c r="N30" s="95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951">
        <f>E31*F31</f>
        <v>16000</v>
      </c>
      <c r="H31" s="111">
        <f>G31+'21'!H31</f>
        <v>273164</v>
      </c>
      <c r="I31" s="156"/>
      <c r="J31" s="203">
        <f>H31/DAY(B2)</f>
        <v>12416.545454545454</v>
      </c>
      <c r="K31" s="65"/>
      <c r="L31" s="94"/>
      <c r="N31" s="95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952">
        <f>G27+G28+G29+G30+G31</f>
        <v>277604.48400000366</v>
      </c>
      <c r="H32" s="111">
        <f>G32+'21'!H32</f>
        <v>6930881.7646000022</v>
      </c>
      <c r="I32" s="160"/>
      <c r="J32" s="203">
        <f>H32/DAY(B2)</f>
        <v>315040.08020909101</v>
      </c>
      <c r="K32" s="65"/>
      <c r="L32" s="94"/>
      <c r="N32" s="95"/>
      <c r="O32" s="73"/>
    </row>
    <row r="33" spans="1:15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  <c r="O33" s="73"/>
    </row>
    <row r="34" spans="1:15">
      <c r="A34" s="249" t="s">
        <v>162</v>
      </c>
      <c r="B34" s="978"/>
      <c r="C34" s="978"/>
      <c r="D34" s="123"/>
      <c r="E34" s="122"/>
      <c r="F34" s="122"/>
      <c r="G34" s="953"/>
      <c r="H34" s="123"/>
      <c r="I34" s="123"/>
      <c r="J34" s="202"/>
      <c r="K34" s="81"/>
      <c r="L34" s="68"/>
      <c r="N34" s="73"/>
      <c r="O34" s="73"/>
    </row>
    <row r="35" spans="1:15">
      <c r="A35" s="229" t="s">
        <v>163</v>
      </c>
      <c r="B35" s="230"/>
      <c r="C35" s="230"/>
      <c r="D35" s="174" t="s">
        <v>131</v>
      </c>
      <c r="E35" s="161">
        <f>'21'!F35</f>
        <v>1058597</v>
      </c>
      <c r="F35" s="161">
        <v>1058597</v>
      </c>
      <c r="G35" s="943">
        <f t="shared" ref="G35:G46" si="2">F35-E35</f>
        <v>0</v>
      </c>
      <c r="H35" s="111">
        <f>G35+'21'!H35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>
      <c r="A36" s="229" t="s">
        <v>164</v>
      </c>
      <c r="B36" s="230"/>
      <c r="C36" s="230"/>
      <c r="D36" s="174" t="s">
        <v>131</v>
      </c>
      <c r="E36" s="161">
        <f>'21'!F36</f>
        <v>62286.400000000001</v>
      </c>
      <c r="F36" s="161">
        <v>63151.8</v>
      </c>
      <c r="G36" s="943">
        <f t="shared" si="2"/>
        <v>865.40000000000146</v>
      </c>
      <c r="H36" s="111">
        <f>G36+'21'!H36</f>
        <v>61318.8</v>
      </c>
      <c r="I36" s="106"/>
      <c r="J36" s="203">
        <f>H36/DAY(B2)</f>
        <v>2787.2181818181821</v>
      </c>
      <c r="K36" s="81"/>
      <c r="L36" s="68"/>
      <c r="N36" s="73"/>
      <c r="O36" s="279"/>
    </row>
    <row r="37" spans="1:15">
      <c r="A37" s="229" t="s">
        <v>165</v>
      </c>
      <c r="B37" s="230"/>
      <c r="C37" s="230"/>
      <c r="D37" s="174" t="s">
        <v>131</v>
      </c>
      <c r="E37" s="161">
        <f>'21'!F37</f>
        <v>259329</v>
      </c>
      <c r="F37" s="161">
        <v>260981</v>
      </c>
      <c r="G37" s="943">
        <f t="shared" si="2"/>
        <v>1652</v>
      </c>
      <c r="H37" s="111">
        <f>G37+'21'!H37</f>
        <v>257206</v>
      </c>
      <c r="I37" s="106"/>
      <c r="J37" s="203">
        <f>H37/DAY(B2)</f>
        <v>11691.181818181818</v>
      </c>
      <c r="K37" s="81"/>
      <c r="L37" s="68"/>
      <c r="N37" s="73"/>
      <c r="O37" s="73"/>
    </row>
    <row r="38" spans="1:15">
      <c r="A38" s="229" t="s">
        <v>166</v>
      </c>
      <c r="B38" s="230"/>
      <c r="C38" s="230"/>
      <c r="D38" s="174" t="s">
        <v>131</v>
      </c>
      <c r="E38" s="120">
        <f>'21'!F38</f>
        <v>284777</v>
      </c>
      <c r="F38" s="120">
        <v>286578</v>
      </c>
      <c r="G38" s="943">
        <f t="shared" si="2"/>
        <v>1801</v>
      </c>
      <c r="H38" s="111">
        <f>G38+'21'!H38</f>
        <v>281755</v>
      </c>
      <c r="I38" s="106"/>
      <c r="J38" s="203">
        <f>H38/DAY(B2)</f>
        <v>12807.045454545454</v>
      </c>
      <c r="K38" s="81"/>
      <c r="L38" s="68"/>
      <c r="N38" s="73"/>
      <c r="O38" s="73"/>
    </row>
    <row r="39" spans="1:15">
      <c r="A39" s="229" t="s">
        <v>167</v>
      </c>
      <c r="B39" s="230"/>
      <c r="C39" s="230"/>
      <c r="D39" s="174" t="s">
        <v>131</v>
      </c>
      <c r="E39" s="161">
        <f>'21'!F39</f>
        <v>599254</v>
      </c>
      <c r="F39" s="161">
        <v>603351</v>
      </c>
      <c r="G39" s="943">
        <f t="shared" si="2"/>
        <v>4097</v>
      </c>
      <c r="H39" s="111">
        <f>G39+'21'!H39</f>
        <v>599509</v>
      </c>
      <c r="I39" s="106"/>
      <c r="J39" s="203">
        <f>H39/DAY(B2)</f>
        <v>27250.409090909092</v>
      </c>
      <c r="K39" s="81"/>
      <c r="L39" s="68"/>
      <c r="N39" s="73"/>
      <c r="O39" s="73"/>
    </row>
    <row r="40" spans="1:15">
      <c r="A40" s="250" t="s">
        <v>168</v>
      </c>
      <c r="B40" s="251"/>
      <c r="C40" s="251"/>
      <c r="D40" s="174" t="s">
        <v>131</v>
      </c>
      <c r="E40" s="161">
        <f>'21'!F40</f>
        <v>30067.7</v>
      </c>
      <c r="F40" s="161">
        <v>30604.799999999999</v>
      </c>
      <c r="G40" s="943">
        <f t="shared" si="2"/>
        <v>537.09999999999854</v>
      </c>
      <c r="H40" s="111">
        <f>G40+'21'!H40</f>
        <v>30762.2</v>
      </c>
      <c r="I40" s="106"/>
      <c r="J40" s="203">
        <f>H40/DAY(B2)</f>
        <v>1398.2818181818182</v>
      </c>
      <c r="K40" s="82"/>
      <c r="L40" s="68"/>
      <c r="N40" s="73"/>
      <c r="O40" s="73"/>
    </row>
    <row r="41" spans="1:15">
      <c r="A41" s="229" t="s">
        <v>169</v>
      </c>
      <c r="B41" s="230"/>
      <c r="C41" s="230"/>
      <c r="D41" s="174" t="s">
        <v>131</v>
      </c>
      <c r="E41" s="161">
        <f>'21'!F41</f>
        <v>433282</v>
      </c>
      <c r="F41" s="161">
        <v>433282</v>
      </c>
      <c r="G41" s="943">
        <f t="shared" si="2"/>
        <v>0</v>
      </c>
      <c r="H41" s="111">
        <f>G41+'21'!H41</f>
        <v>0.21000000002095476</v>
      </c>
      <c r="I41" s="106"/>
      <c r="J41" s="203">
        <f>H41/DAY(B2)</f>
        <v>9.5454545464070343E-3</v>
      </c>
      <c r="K41" s="81"/>
      <c r="L41" s="68"/>
      <c r="N41" s="73"/>
      <c r="O41" s="372"/>
    </row>
    <row r="42" spans="1:15">
      <c r="A42" s="229" t="s">
        <v>170</v>
      </c>
      <c r="B42" s="230"/>
      <c r="C42" s="230"/>
      <c r="D42" s="174" t="s">
        <v>131</v>
      </c>
      <c r="E42" s="161">
        <f>'21'!F42</f>
        <v>147899.14000000001</v>
      </c>
      <c r="F42" s="161">
        <v>148997</v>
      </c>
      <c r="G42" s="943">
        <f t="shared" si="2"/>
        <v>1097.859999999986</v>
      </c>
      <c r="H42" s="111">
        <f>G42+'21'!H42</f>
        <v>-26115</v>
      </c>
      <c r="I42" s="106"/>
      <c r="J42" s="203">
        <f>H42/DAY(B2)</f>
        <v>-1187.0454545454545</v>
      </c>
      <c r="K42" s="81"/>
      <c r="L42" s="68"/>
      <c r="N42" s="73"/>
      <c r="O42" s="73"/>
    </row>
    <row r="43" spans="1:15">
      <c r="A43" s="229" t="s">
        <v>171</v>
      </c>
      <c r="B43" s="230"/>
      <c r="C43" s="230"/>
      <c r="D43" s="174" t="s">
        <v>131</v>
      </c>
      <c r="E43" s="161">
        <f>'21'!F43</f>
        <v>1261960</v>
      </c>
      <c r="F43" s="161">
        <v>1264780</v>
      </c>
      <c r="G43" s="943">
        <f>F43-E43</f>
        <v>2820</v>
      </c>
      <c r="H43" s="111">
        <f>G43+'21'!H43</f>
        <v>-24965</v>
      </c>
      <c r="I43" s="106"/>
      <c r="J43" s="203">
        <f>H43/DAY(B2)</f>
        <v>-1134.7727272727273</v>
      </c>
      <c r="K43" s="81"/>
      <c r="L43" s="68"/>
      <c r="N43" s="73"/>
      <c r="O43" s="73"/>
    </row>
    <row r="44" spans="1:15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43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43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43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>
      <c r="A47" s="236" t="s">
        <v>175</v>
      </c>
      <c r="B47" s="237"/>
      <c r="C47" s="237"/>
      <c r="D47" s="121"/>
      <c r="E47" s="162"/>
      <c r="F47" s="162"/>
      <c r="G47" s="945">
        <f>G35+G36+G37+G38+G39+G40+G41+G42+G43+G44+G45+G46</f>
        <v>12870.359999999986</v>
      </c>
      <c r="H47" s="111">
        <f>G47+'21'!H47</f>
        <v>1180272.2100000004</v>
      </c>
      <c r="I47" s="106"/>
      <c r="J47" s="203">
        <f>H47/DAY(B2)</f>
        <v>53648.736818181838</v>
      </c>
      <c r="K47" s="81"/>
      <c r="L47" s="68"/>
      <c r="N47" s="73"/>
      <c r="O47" s="73"/>
    </row>
    <row r="48" spans="1:15">
      <c r="A48" s="249" t="s">
        <v>176</v>
      </c>
      <c r="B48" s="978"/>
      <c r="C48" s="978"/>
      <c r="D48" s="123"/>
      <c r="E48" s="122"/>
      <c r="F48" s="122"/>
      <c r="G48" s="953"/>
      <c r="H48" s="123"/>
      <c r="I48" s="123"/>
      <c r="J48" s="202"/>
      <c r="K48" s="81"/>
      <c r="L48" s="68"/>
      <c r="N48" s="73"/>
      <c r="O48" s="73"/>
    </row>
    <row r="49" spans="1:15">
      <c r="A49" s="229" t="s">
        <v>163</v>
      </c>
      <c r="B49" s="252"/>
      <c r="C49" s="252"/>
      <c r="D49" s="174" t="s">
        <v>131</v>
      </c>
      <c r="E49" s="161">
        <f>'21'!F49</f>
        <v>387982</v>
      </c>
      <c r="F49" s="161">
        <v>391342</v>
      </c>
      <c r="G49" s="943">
        <f t="shared" ref="G49:G58" si="3">F49-E49</f>
        <v>3360</v>
      </c>
      <c r="H49" s="111">
        <f>G49+'21'!H49</f>
        <v>374562</v>
      </c>
      <c r="I49" s="106"/>
      <c r="J49" s="203">
        <f>H49/DAY(B2)</f>
        <v>17025.545454545456</v>
      </c>
      <c r="K49" s="81"/>
      <c r="L49" s="68"/>
      <c r="N49" s="73"/>
      <c r="O49" s="73"/>
    </row>
    <row r="50" spans="1:15">
      <c r="A50" s="229" t="s">
        <v>177</v>
      </c>
      <c r="B50" s="252"/>
      <c r="C50" s="252"/>
      <c r="D50" s="174" t="s">
        <v>131</v>
      </c>
      <c r="E50" s="161">
        <f>'21'!F50</f>
        <v>595771</v>
      </c>
      <c r="F50" s="161">
        <v>597202</v>
      </c>
      <c r="G50" s="943">
        <f t="shared" si="3"/>
        <v>1431</v>
      </c>
      <c r="H50" s="111">
        <f>G50+'21'!H50</f>
        <v>-11016</v>
      </c>
      <c r="I50" s="106"/>
      <c r="J50" s="203">
        <f>H50/DAY(B2)</f>
        <v>-500.72727272727275</v>
      </c>
      <c r="K50" s="81"/>
      <c r="L50" s="68"/>
      <c r="N50" s="73"/>
      <c r="O50" s="73"/>
    </row>
    <row r="51" spans="1:15">
      <c r="A51" s="229" t="s">
        <v>165</v>
      </c>
      <c r="B51" s="252"/>
      <c r="C51" s="252"/>
      <c r="D51" s="174" t="s">
        <v>131</v>
      </c>
      <c r="E51" s="161">
        <f>'21'!F51</f>
        <v>144640</v>
      </c>
      <c r="F51" s="161">
        <v>144640</v>
      </c>
      <c r="G51" s="943">
        <f t="shared" si="3"/>
        <v>0</v>
      </c>
      <c r="H51" s="111">
        <f>G51+'21'!H51</f>
        <v>144640</v>
      </c>
      <c r="I51" s="106"/>
      <c r="J51" s="203">
        <f>H51/DAY(B2)</f>
        <v>6574.545454545455</v>
      </c>
      <c r="K51" s="81"/>
      <c r="L51" s="68"/>
      <c r="N51" s="73"/>
      <c r="O51" s="73"/>
    </row>
    <row r="52" spans="1:15">
      <c r="A52" s="229" t="s">
        <v>178</v>
      </c>
      <c r="B52" s="252"/>
      <c r="C52" s="252"/>
      <c r="D52" s="174" t="s">
        <v>131</v>
      </c>
      <c r="E52" s="161">
        <f>'21'!F52</f>
        <v>539606.06999999995</v>
      </c>
      <c r="F52" s="161">
        <v>539606.06999999995</v>
      </c>
      <c r="G52" s="943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>
      <c r="A53" s="229" t="s">
        <v>167</v>
      </c>
      <c r="B53" s="252"/>
      <c r="C53" s="252"/>
      <c r="D53" s="174" t="s">
        <v>131</v>
      </c>
      <c r="E53" s="161">
        <f>'21'!F53</f>
        <v>434231.59</v>
      </c>
      <c r="F53" s="161">
        <v>434231.59</v>
      </c>
      <c r="G53" s="943">
        <f t="shared" si="3"/>
        <v>0</v>
      </c>
      <c r="H53" s="111">
        <f>G53+'21'!H53</f>
        <v>434231.59</v>
      </c>
      <c r="I53" s="106"/>
      <c r="J53" s="203">
        <f>H53/DAY(B2)</f>
        <v>19737.799545454545</v>
      </c>
      <c r="K53" s="81"/>
      <c r="L53" s="68"/>
      <c r="N53" s="73"/>
      <c r="O53" s="73"/>
    </row>
    <row r="54" spans="1:15">
      <c r="A54" s="229" t="s">
        <v>179</v>
      </c>
      <c r="B54" s="252"/>
      <c r="C54" s="252"/>
      <c r="D54" s="174" t="s">
        <v>131</v>
      </c>
      <c r="E54" s="161">
        <f>'21'!F54</f>
        <v>14967</v>
      </c>
      <c r="F54" s="161">
        <v>14967.39</v>
      </c>
      <c r="G54" s="943">
        <f t="shared" si="3"/>
        <v>0.38999999999941792</v>
      </c>
      <c r="H54" s="111">
        <f>G54+'21'!H54</f>
        <v>12502.39</v>
      </c>
      <c r="I54" s="106"/>
      <c r="J54" s="203">
        <f>H54/DAY(B2)</f>
        <v>568.29045454545451</v>
      </c>
      <c r="K54" s="81"/>
      <c r="L54" s="68"/>
      <c r="N54" s="73"/>
      <c r="O54" s="73"/>
    </row>
    <row r="55" spans="1:15">
      <c r="A55" s="229" t="s">
        <v>180</v>
      </c>
      <c r="B55" s="252"/>
      <c r="C55" s="252"/>
      <c r="D55" s="174" t="s">
        <v>131</v>
      </c>
      <c r="E55" s="161">
        <f>'21'!F55</f>
        <v>275755</v>
      </c>
      <c r="F55" s="161">
        <v>281892</v>
      </c>
      <c r="G55" s="943">
        <f t="shared" si="3"/>
        <v>6137</v>
      </c>
      <c r="H55" s="111">
        <f>G55+'21'!H55</f>
        <v>-25406.989999999991</v>
      </c>
      <c r="I55" s="106"/>
      <c r="J55" s="203">
        <f>H55/DAY(B2)</f>
        <v>-1154.8631818181814</v>
      </c>
      <c r="K55" s="81"/>
      <c r="L55" s="68"/>
      <c r="N55" s="73"/>
      <c r="O55" s="73"/>
    </row>
    <row r="56" spans="1:15" s="92" customFormat="1">
      <c r="A56" s="742" t="s">
        <v>181</v>
      </c>
      <c r="B56" s="743"/>
      <c r="C56" s="743"/>
      <c r="D56" s="278" t="s">
        <v>182</v>
      </c>
      <c r="E56" s="304">
        <f>'21'!F56</f>
        <v>649607</v>
      </c>
      <c r="F56" s="304">
        <v>649621</v>
      </c>
      <c r="G56" s="964">
        <f t="shared" si="3"/>
        <v>14</v>
      </c>
      <c r="H56" s="356">
        <f>G56+'21'!H56</f>
        <v>-11410</v>
      </c>
      <c r="I56" s="357"/>
      <c r="J56" s="358">
        <f>H56/DAY(B2)</f>
        <v>-518.63636363636363</v>
      </c>
      <c r="K56" s="969"/>
      <c r="L56" s="745"/>
      <c r="N56" s="364"/>
      <c r="O56" s="364"/>
    </row>
    <row r="57" spans="1:15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43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>
      <c r="A58" s="229" t="s">
        <v>183</v>
      </c>
      <c r="B58" s="252"/>
      <c r="C58" s="252"/>
      <c r="D58" s="174" t="s">
        <v>131</v>
      </c>
      <c r="E58" s="161">
        <f>'21'!F58</f>
        <v>63971.3</v>
      </c>
      <c r="F58" s="161">
        <v>64158.3</v>
      </c>
      <c r="G58" s="943">
        <f t="shared" si="3"/>
        <v>187</v>
      </c>
      <c r="H58" s="111">
        <f>G58+'21'!H58</f>
        <v>-2024.6999999999971</v>
      </c>
      <c r="I58" s="106"/>
      <c r="J58" s="203">
        <f>H58/DAY(B2)</f>
        <v>-92.031818181818053</v>
      </c>
      <c r="K58" s="81"/>
      <c r="L58" s="68"/>
      <c r="N58" s="73"/>
      <c r="O58" s="73"/>
    </row>
    <row r="59" spans="1:15">
      <c r="A59" s="236" t="s">
        <v>175</v>
      </c>
      <c r="B59" s="237"/>
      <c r="C59" s="237"/>
      <c r="D59" s="162"/>
      <c r="E59" s="162"/>
      <c r="F59" s="162"/>
      <c r="G59" s="945">
        <f>G49+G50+G51+G52+G53+G54+G55+G56+G57+G58</f>
        <v>11129.39</v>
      </c>
      <c r="H59" s="111">
        <f>G59+'21'!H59</f>
        <v>1455684.3599999996</v>
      </c>
      <c r="I59" s="106">
        <f>G7-G60</f>
        <v>-225.34999999999127</v>
      </c>
      <c r="J59" s="203">
        <f>H59/DAY(B2)</f>
        <v>66167.470909090887</v>
      </c>
      <c r="K59" s="81"/>
      <c r="L59" s="68"/>
      <c r="N59" s="73"/>
      <c r="O59" s="73"/>
    </row>
    <row r="60" spans="1:15">
      <c r="A60" s="229"/>
      <c r="B60" s="230"/>
      <c r="C60" s="230"/>
      <c r="D60" s="162" t="s">
        <v>184</v>
      </c>
      <c r="E60" s="162"/>
      <c r="F60" s="162"/>
      <c r="G60" s="945">
        <f>G47+G59</f>
        <v>23999.749999999985</v>
      </c>
      <c r="H60" s="111">
        <f>G60+'21'!H60</f>
        <v>2642645.5700000003</v>
      </c>
      <c r="I60" s="106">
        <f>G13-G60</f>
        <v>-819.74999999998545</v>
      </c>
      <c r="J60" s="203">
        <f>H47/DAY(B2)</f>
        <v>53648.736818181838</v>
      </c>
      <c r="K60" s="81"/>
      <c r="L60" s="68"/>
      <c r="N60" s="73"/>
      <c r="O60" s="73"/>
    </row>
    <row r="61" spans="1:15">
      <c r="A61" s="253" t="s">
        <v>185</v>
      </c>
      <c r="B61" s="104"/>
      <c r="C61" s="104"/>
      <c r="D61" s="164"/>
      <c r="E61" s="163"/>
      <c r="F61" s="163"/>
      <c r="G61" s="954"/>
      <c r="H61" s="164"/>
      <c r="I61" s="164"/>
      <c r="J61" s="206"/>
      <c r="K61" s="81"/>
      <c r="L61" s="68"/>
      <c r="N61" s="73"/>
      <c r="O61" s="73"/>
    </row>
    <row r="62" spans="1:15">
      <c r="A62" s="254" t="s">
        <v>97</v>
      </c>
      <c r="B62" s="255"/>
      <c r="C62" s="255"/>
      <c r="D62" s="162" t="s">
        <v>186</v>
      </c>
      <c r="E62" s="165">
        <f>'21'!F62</f>
        <v>20419.2</v>
      </c>
      <c r="F62" s="165">
        <v>20419.2</v>
      </c>
      <c r="G62" s="943">
        <f t="shared" ref="G62:G69" si="4">F62-E62</f>
        <v>0</v>
      </c>
      <c r="H62" s="111">
        <f>G62+'21'!H62</f>
        <v>0.20199999999749707</v>
      </c>
      <c r="I62" s="166"/>
      <c r="J62" s="203">
        <f>H62/DAY(B2)</f>
        <v>9.1818181817044115E-3</v>
      </c>
      <c r="K62" s="81"/>
      <c r="L62" s="68"/>
      <c r="N62" s="73"/>
      <c r="O62" s="73"/>
    </row>
    <row r="63" spans="1:15">
      <c r="A63" s="254" t="s">
        <v>187</v>
      </c>
      <c r="B63" s="255"/>
      <c r="C63" s="255"/>
      <c r="D63" s="162" t="s">
        <v>186</v>
      </c>
      <c r="E63" s="165">
        <f>'21'!F63</f>
        <v>0</v>
      </c>
      <c r="F63" s="165">
        <v>0</v>
      </c>
      <c r="G63" s="943">
        <f t="shared" si="4"/>
        <v>0</v>
      </c>
      <c r="H63" s="111">
        <f>G63+'21'!H63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>
      <c r="A64" s="1226" t="s">
        <v>98</v>
      </c>
      <c r="B64" s="1227"/>
      <c r="C64" s="1228"/>
      <c r="D64" s="174" t="s">
        <v>186</v>
      </c>
      <c r="E64" s="135">
        <f>'21'!F64</f>
        <v>190015</v>
      </c>
      <c r="F64" s="135">
        <v>190383</v>
      </c>
      <c r="G64" s="943">
        <f t="shared" si="4"/>
        <v>368</v>
      </c>
      <c r="H64" s="111">
        <f>G64+'21'!H64</f>
        <v>-3834</v>
      </c>
      <c r="I64" s="131"/>
      <c r="J64" s="203">
        <f>H64/DAY(B2)</f>
        <v>-174.27272727272728</v>
      </c>
      <c r="K64" s="81"/>
      <c r="L64" s="68"/>
      <c r="N64" s="73"/>
      <c r="O64" s="73"/>
    </row>
    <row r="65" spans="1:15" ht="27.75">
      <c r="A65" s="1226" t="s">
        <v>99</v>
      </c>
      <c r="B65" s="1227"/>
      <c r="C65" s="1228"/>
      <c r="D65" s="174" t="s">
        <v>186</v>
      </c>
      <c r="E65" s="135">
        <f>'21'!F65</f>
        <v>190649</v>
      </c>
      <c r="F65" s="135">
        <v>191043</v>
      </c>
      <c r="G65" s="943">
        <f t="shared" si="4"/>
        <v>394</v>
      </c>
      <c r="H65" s="111">
        <f>G65+'21'!H65</f>
        <v>-3586</v>
      </c>
      <c r="I65" s="140"/>
      <c r="J65" s="203">
        <f>H65/DAY(B2)</f>
        <v>-163</v>
      </c>
      <c r="K65" s="81"/>
      <c r="L65" s="68"/>
      <c r="N65" s="73"/>
      <c r="O65" s="73"/>
    </row>
    <row r="66" spans="1:15" ht="27.75">
      <c r="A66" s="1226" t="s">
        <v>100</v>
      </c>
      <c r="B66" s="1227"/>
      <c r="C66" s="1228"/>
      <c r="D66" s="174" t="s">
        <v>186</v>
      </c>
      <c r="E66" s="135">
        <f>'21'!F66</f>
        <v>89207.3</v>
      </c>
      <c r="F66" s="135">
        <v>89602.5</v>
      </c>
      <c r="G66" s="943">
        <f t="shared" si="4"/>
        <v>395.19999999999709</v>
      </c>
      <c r="H66" s="111">
        <f>G66+'21'!H66</f>
        <v>-3714.5</v>
      </c>
      <c r="I66" s="131"/>
      <c r="J66" s="203">
        <f>H66/DAY(B2)</f>
        <v>-168.84090909090909</v>
      </c>
      <c r="K66" s="81"/>
      <c r="L66" s="68"/>
      <c r="N66" s="73"/>
      <c r="O66" s="73"/>
    </row>
    <row r="67" spans="1:15" ht="27.75">
      <c r="A67" s="1226" t="s">
        <v>101</v>
      </c>
      <c r="B67" s="1227"/>
      <c r="C67" s="1228"/>
      <c r="D67" s="174" t="s">
        <v>186</v>
      </c>
      <c r="E67" s="135">
        <f>'21'!F67</f>
        <v>289912</v>
      </c>
      <c r="F67" s="135">
        <v>290390</v>
      </c>
      <c r="G67" s="943">
        <f t="shared" si="4"/>
        <v>478</v>
      </c>
      <c r="H67" s="111">
        <f>G67+'21'!H67</f>
        <v>-4501</v>
      </c>
      <c r="I67" s="140"/>
      <c r="J67" s="203">
        <f>H67/DAY(B2)</f>
        <v>-204.59090909090909</v>
      </c>
      <c r="K67" s="82"/>
      <c r="L67" s="68"/>
      <c r="N67" s="73"/>
      <c r="O67" s="73"/>
    </row>
    <row r="68" spans="1:15" ht="27.75">
      <c r="A68" s="1226" t="s">
        <v>102</v>
      </c>
      <c r="B68" s="1227"/>
      <c r="C68" s="1228"/>
      <c r="D68" s="174" t="s">
        <v>186</v>
      </c>
      <c r="E68" s="135">
        <f>'21'!F68</f>
        <v>85321</v>
      </c>
      <c r="F68" s="135">
        <v>85321</v>
      </c>
      <c r="G68" s="943">
        <f t="shared" si="4"/>
        <v>0</v>
      </c>
      <c r="H68" s="111">
        <f>G68+'21'!H68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>
      <c r="A69" s="1226" t="s">
        <v>103</v>
      </c>
      <c r="B69" s="1227"/>
      <c r="C69" s="1228"/>
      <c r="D69" s="174" t="s">
        <v>186</v>
      </c>
      <c r="E69" s="135">
        <f>'21'!F69</f>
        <v>103127</v>
      </c>
      <c r="F69" s="135">
        <v>103452</v>
      </c>
      <c r="G69" s="943">
        <f t="shared" si="4"/>
        <v>325</v>
      </c>
      <c r="H69" s="111">
        <f>G69+'21'!H69</f>
        <v>-2954</v>
      </c>
      <c r="I69" s="167"/>
      <c r="J69" s="203">
        <f>H69/DAY(B2)</f>
        <v>-134.27272727272728</v>
      </c>
      <c r="K69" s="84"/>
      <c r="L69" s="68"/>
      <c r="N69" s="73"/>
      <c r="O69" s="73"/>
    </row>
    <row r="70" spans="1:15" ht="27.75">
      <c r="A70" s="1267" t="s">
        <v>188</v>
      </c>
      <c r="B70" s="1268"/>
      <c r="C70" s="1269"/>
      <c r="D70" s="174" t="s">
        <v>186</v>
      </c>
      <c r="E70" s="169"/>
      <c r="F70" s="169"/>
      <c r="G70" s="955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  <c r="O71" s="73"/>
    </row>
    <row r="72" spans="1:15" ht="27.75">
      <c r="A72" s="1226" t="s">
        <v>190</v>
      </c>
      <c r="B72" s="1227"/>
      <c r="C72" s="1228"/>
      <c r="D72" s="174" t="s">
        <v>186</v>
      </c>
      <c r="E72" s="170">
        <f>'21'!F72</f>
        <v>856902</v>
      </c>
      <c r="F72" s="170">
        <v>856918</v>
      </c>
      <c r="G72" s="943">
        <f t="shared" ref="G72:G84" si="5">F72-E72</f>
        <v>16</v>
      </c>
      <c r="H72" s="111">
        <f>G72+'21'!H72</f>
        <v>211</v>
      </c>
      <c r="I72" s="131"/>
      <c r="J72" s="203">
        <f>H72/DAY(B2)</f>
        <v>9.5909090909090917</v>
      </c>
      <c r="K72" s="84"/>
      <c r="L72" s="68"/>
      <c r="N72" s="73"/>
      <c r="O72" s="73"/>
    </row>
    <row r="73" spans="1:15" ht="27.75">
      <c r="A73" s="1226" t="s">
        <v>191</v>
      </c>
      <c r="B73" s="1227"/>
      <c r="C73" s="1228"/>
      <c r="D73" s="174" t="s">
        <v>186</v>
      </c>
      <c r="E73" s="171">
        <f>'21'!F73</f>
        <v>886039</v>
      </c>
      <c r="F73" s="171">
        <v>886040</v>
      </c>
      <c r="G73" s="943">
        <f t="shared" si="5"/>
        <v>1</v>
      </c>
      <c r="H73" s="111">
        <f>G73+'21'!H73</f>
        <v>-11</v>
      </c>
      <c r="I73" s="131"/>
      <c r="J73" s="203">
        <f>H73/DAY(B2)</f>
        <v>-0.5</v>
      </c>
      <c r="K73" s="83"/>
      <c r="L73" s="68"/>
      <c r="N73" s="73"/>
      <c r="O73" s="73"/>
    </row>
    <row r="74" spans="1:15" ht="27.75">
      <c r="A74" s="1309" t="s">
        <v>192</v>
      </c>
      <c r="B74" s="1310"/>
      <c r="C74" s="1311"/>
      <c r="D74" s="174" t="s">
        <v>186</v>
      </c>
      <c r="E74" s="172">
        <f>'21'!F74</f>
        <v>88759.6</v>
      </c>
      <c r="F74" s="172">
        <v>88760.8</v>
      </c>
      <c r="G74" s="943">
        <f t="shared" si="5"/>
        <v>1.1999999999970896</v>
      </c>
      <c r="H74" s="111">
        <f>G74+'21'!H74</f>
        <v>70.80000000000291</v>
      </c>
      <c r="I74" s="131"/>
      <c r="J74" s="203">
        <f>H74/DAY(B2)</f>
        <v>3.2181818181819506</v>
      </c>
      <c r="K74" s="84"/>
      <c r="L74" s="68"/>
      <c r="N74" s="73"/>
      <c r="O74" s="73"/>
    </row>
    <row r="75" spans="1:15" ht="27.75">
      <c r="A75" s="1229" t="s">
        <v>193</v>
      </c>
      <c r="B75" s="1230"/>
      <c r="C75" s="1231"/>
      <c r="D75" s="174" t="s">
        <v>186</v>
      </c>
      <c r="E75" s="172">
        <f>'21'!F75</f>
        <v>24531.7</v>
      </c>
      <c r="F75" s="172">
        <v>24723.5</v>
      </c>
      <c r="G75" s="943">
        <f t="shared" si="5"/>
        <v>191.79999999999927</v>
      </c>
      <c r="H75" s="111">
        <f>G75+'21'!H75</f>
        <v>-1584.5</v>
      </c>
      <c r="I75" s="131"/>
      <c r="J75" s="203">
        <f>H75/DAY(B2)</f>
        <v>-72.022727272727266</v>
      </c>
      <c r="K75" s="83"/>
      <c r="L75" s="68"/>
      <c r="N75" s="73"/>
      <c r="O75" s="73"/>
    </row>
    <row r="76" spans="1:15" ht="27.75">
      <c r="A76" s="1229" t="s">
        <v>194</v>
      </c>
      <c r="B76" s="1230"/>
      <c r="C76" s="1231"/>
      <c r="D76" s="174" t="s">
        <v>186</v>
      </c>
      <c r="E76" s="171">
        <f>'21'!F76</f>
        <v>12582.6</v>
      </c>
      <c r="F76" s="297">
        <v>12647.8</v>
      </c>
      <c r="G76" s="943">
        <f t="shared" si="5"/>
        <v>65.199999999998909</v>
      </c>
      <c r="H76" s="111">
        <f>G76+'21'!H76</f>
        <v>-629.20000000000073</v>
      </c>
      <c r="I76" s="156"/>
      <c r="J76" s="203">
        <f>H76/DAY(B2)</f>
        <v>-28.600000000000033</v>
      </c>
      <c r="K76" s="83"/>
      <c r="L76" s="68"/>
      <c r="N76" s="73"/>
      <c r="O76" s="73"/>
    </row>
    <row r="77" spans="1:15" ht="27.75">
      <c r="A77" s="1226" t="s">
        <v>195</v>
      </c>
      <c r="B77" s="1227"/>
      <c r="C77" s="1228"/>
      <c r="D77" s="174" t="s">
        <v>186</v>
      </c>
      <c r="E77" s="172">
        <f>'21'!F77</f>
        <v>707740</v>
      </c>
      <c r="F77" s="172">
        <v>707807</v>
      </c>
      <c r="G77" s="943">
        <f t="shared" si="5"/>
        <v>67</v>
      </c>
      <c r="H77" s="111">
        <f>G77+'21'!H77</f>
        <v>-482</v>
      </c>
      <c r="I77" s="156"/>
      <c r="J77" s="203">
        <f>H77/DAY(B2)</f>
        <v>-21.90909090909091</v>
      </c>
      <c r="K77" s="83"/>
      <c r="L77" s="68"/>
      <c r="N77" s="73"/>
      <c r="O77" s="73"/>
    </row>
    <row r="78" spans="1:15" ht="27.75">
      <c r="A78" s="976" t="s">
        <v>196</v>
      </c>
      <c r="B78" s="970"/>
      <c r="C78" s="970"/>
      <c r="D78" s="174" t="s">
        <v>186</v>
      </c>
      <c r="E78" s="172">
        <f>'21'!F78</f>
        <v>681019</v>
      </c>
      <c r="F78" s="172">
        <v>681165</v>
      </c>
      <c r="G78" s="943">
        <f t="shared" si="5"/>
        <v>146</v>
      </c>
      <c r="H78" s="111">
        <f>G78+'21'!H78</f>
        <v>-1248</v>
      </c>
      <c r="I78" s="156"/>
      <c r="J78" s="203">
        <f>H78/DAY(B2)</f>
        <v>-56.727272727272727</v>
      </c>
      <c r="K78" s="83"/>
      <c r="L78" s="68"/>
      <c r="N78" s="73"/>
      <c r="O78" s="73"/>
    </row>
    <row r="79" spans="1:15" ht="27.75">
      <c r="A79" s="1229" t="s">
        <v>91</v>
      </c>
      <c r="B79" s="1230"/>
      <c r="C79" s="1231"/>
      <c r="D79" s="175" t="s">
        <v>186</v>
      </c>
      <c r="E79" s="172">
        <f>'21'!F79</f>
        <v>843513</v>
      </c>
      <c r="F79" s="172">
        <v>843664</v>
      </c>
      <c r="G79" s="943">
        <f t="shared" si="5"/>
        <v>151</v>
      </c>
      <c r="H79" s="111">
        <f>G79+'21'!H79</f>
        <v>-1385</v>
      </c>
      <c r="I79" s="156"/>
      <c r="J79" s="203">
        <f>H79/DAY(B2)</f>
        <v>-62.954545454545453</v>
      </c>
      <c r="K79" s="83"/>
      <c r="L79" s="68"/>
      <c r="N79" s="73"/>
      <c r="O79" s="73"/>
    </row>
    <row r="80" spans="1:15" ht="27.75">
      <c r="A80" s="1229" t="s">
        <v>197</v>
      </c>
      <c r="B80" s="1230"/>
      <c r="C80" s="1231"/>
      <c r="D80" s="175" t="s">
        <v>186</v>
      </c>
      <c r="E80" s="171">
        <f>'21'!F80</f>
        <v>560406.52</v>
      </c>
      <c r="F80" s="171">
        <v>560803</v>
      </c>
      <c r="G80" s="943">
        <f t="shared" si="5"/>
        <v>396.47999999998137</v>
      </c>
      <c r="H80" s="111">
        <f>G80+'21'!H80</f>
        <v>-3495</v>
      </c>
      <c r="I80" s="156"/>
      <c r="J80" s="203">
        <f>H80/DAY(B2)</f>
        <v>-158.86363636363637</v>
      </c>
      <c r="K80" s="83"/>
      <c r="L80" s="68"/>
      <c r="N80" s="73"/>
      <c r="O80" s="73"/>
    </row>
    <row r="81" spans="1:15" ht="27.75">
      <c r="A81" s="1229" t="s">
        <v>198</v>
      </c>
      <c r="B81" s="1230"/>
      <c r="C81" s="1231"/>
      <c r="D81" s="175" t="s">
        <v>186</v>
      </c>
      <c r="E81" s="171">
        <f>'21'!F81</f>
        <v>652659.56000000006</v>
      </c>
      <c r="F81" s="171">
        <v>652840</v>
      </c>
      <c r="G81" s="943">
        <f t="shared" si="5"/>
        <v>180.43999999994412</v>
      </c>
      <c r="H81" s="111">
        <f>G81+'21'!H81</f>
        <v>-1338</v>
      </c>
      <c r="I81" s="156"/>
      <c r="J81" s="203">
        <f>H81/DAY(B2)</f>
        <v>-60.81818181818182</v>
      </c>
      <c r="K81" s="83"/>
      <c r="L81" s="68"/>
      <c r="N81" s="73"/>
      <c r="O81" s="73"/>
    </row>
    <row r="82" spans="1:15" ht="27.75">
      <c r="A82" s="1229" t="s">
        <v>92</v>
      </c>
      <c r="B82" s="1230"/>
      <c r="C82" s="1231"/>
      <c r="D82" s="136" t="s">
        <v>131</v>
      </c>
      <c r="E82" s="173">
        <f>'21'!F82</f>
        <v>109734</v>
      </c>
      <c r="F82" s="173">
        <v>109758</v>
      </c>
      <c r="G82" s="943">
        <f t="shared" si="5"/>
        <v>24</v>
      </c>
      <c r="H82" s="111">
        <f>G82+'21'!H82</f>
        <v>109981</v>
      </c>
      <c r="I82" s="137"/>
      <c r="J82" s="203">
        <f>H82/DAY(B2)</f>
        <v>4999.136363636364</v>
      </c>
      <c r="K82" s="83"/>
      <c r="L82" s="68"/>
      <c r="N82" s="73"/>
      <c r="O82" s="73"/>
    </row>
    <row r="83" spans="1:15" ht="27.75">
      <c r="A83" s="1229" t="s">
        <v>199</v>
      </c>
      <c r="B83" s="1230"/>
      <c r="C83" s="1231"/>
      <c r="D83" s="271" t="s">
        <v>131</v>
      </c>
      <c r="E83" s="162">
        <f>'21'!F83</f>
        <v>41501</v>
      </c>
      <c r="F83" s="162">
        <v>41740</v>
      </c>
      <c r="G83" s="943">
        <f t="shared" si="5"/>
        <v>239</v>
      </c>
      <c r="H83" s="111">
        <f>G83+'21'!H83</f>
        <v>-2583</v>
      </c>
      <c r="I83" s="132"/>
      <c r="J83" s="203">
        <f>H83/DAY(B2)</f>
        <v>-117.40909090909091</v>
      </c>
      <c r="K83" s="82"/>
      <c r="L83" s="68"/>
      <c r="N83" s="73"/>
      <c r="O83" s="372"/>
    </row>
    <row r="84" spans="1:15">
      <c r="A84" s="977" t="s">
        <v>200</v>
      </c>
      <c r="B84" s="222"/>
      <c r="C84" s="222"/>
      <c r="D84" s="129" t="s">
        <v>131</v>
      </c>
      <c r="E84" s="278">
        <f>'21'!F84</f>
        <v>563330</v>
      </c>
      <c r="F84" s="278">
        <v>564113</v>
      </c>
      <c r="G84" s="943">
        <f t="shared" si="5"/>
        <v>783</v>
      </c>
      <c r="H84" s="111">
        <f>G84+'21'!H84</f>
        <v>-6266</v>
      </c>
      <c r="I84" s="132"/>
      <c r="J84" s="203">
        <f>H84/DAY(B2)</f>
        <v>-284.81818181818181</v>
      </c>
      <c r="K84" s="71"/>
      <c r="L84" s="68"/>
      <c r="N84" s="73"/>
      <c r="O84" s="73"/>
    </row>
    <row r="85" spans="1:15" s="70" customFormat="1">
      <c r="A85" s="256" t="s">
        <v>201</v>
      </c>
      <c r="B85" s="223"/>
      <c r="C85" s="223"/>
      <c r="D85" s="140"/>
      <c r="E85" s="174"/>
      <c r="F85" s="174"/>
      <c r="G85" s="956">
        <f xml:space="preserve"> SUM(G72:G84)</f>
        <v>2262.1199999999208</v>
      </c>
      <c r="H85" s="111">
        <f>G85+'21'!H85</f>
        <v>90926.10000000002</v>
      </c>
      <c r="I85" s="132"/>
      <c r="J85" s="203">
        <f>H85/DAY(B2)</f>
        <v>4133.0045454545461</v>
      </c>
      <c r="K85" s="71"/>
      <c r="L85" s="69"/>
      <c r="N85" s="427"/>
      <c r="O85" s="372"/>
    </row>
    <row r="86" spans="1:15" s="386" customFormat="1">
      <c r="A86" s="381" t="s">
        <v>93</v>
      </c>
      <c r="B86" s="382"/>
      <c r="C86" s="382"/>
      <c r="D86" s="383" t="s">
        <v>182</v>
      </c>
      <c r="E86" s="298">
        <f>'21'!F86</f>
        <v>463181.04</v>
      </c>
      <c r="F86" s="298">
        <v>463189.1</v>
      </c>
      <c r="G86" s="957">
        <f t="shared" ref="G86:G88" si="6">F86-E86</f>
        <v>8.0599999999976717</v>
      </c>
      <c r="H86" s="111">
        <f>G86+'21'!H86</f>
        <v>44.85999999998603</v>
      </c>
      <c r="I86" s="303"/>
      <c r="J86" s="358">
        <f>H86/DAY(B2)</f>
        <v>2.039090909090274</v>
      </c>
      <c r="K86" s="384"/>
      <c r="L86" s="385"/>
      <c r="N86" s="428"/>
      <c r="O86" s="73"/>
    </row>
    <row r="87" spans="1:15" s="386" customFormat="1">
      <c r="A87" s="381" t="s">
        <v>94</v>
      </c>
      <c r="B87" s="382"/>
      <c r="C87" s="382"/>
      <c r="D87" s="383" t="s">
        <v>182</v>
      </c>
      <c r="E87" s="298">
        <f>'21'!F87</f>
        <v>83600.899999999994</v>
      </c>
      <c r="F87" s="298">
        <v>83614.399999999994</v>
      </c>
      <c r="G87" s="957">
        <f t="shared" si="6"/>
        <v>13.5</v>
      </c>
      <c r="H87" s="111">
        <f>G87+'21'!H87</f>
        <v>145.89999999999418</v>
      </c>
      <c r="I87" s="303"/>
      <c r="J87" s="358">
        <f>H87/DAY(B2)</f>
        <v>6.6318181818179172</v>
      </c>
      <c r="K87" s="384"/>
      <c r="L87" s="385"/>
      <c r="N87" s="428"/>
      <c r="O87" s="73"/>
    </row>
    <row r="88" spans="1:15" s="386" customFormat="1">
      <c r="A88" s="381" t="s">
        <v>95</v>
      </c>
      <c r="B88" s="382"/>
      <c r="C88" s="382"/>
      <c r="D88" s="383" t="s">
        <v>182</v>
      </c>
      <c r="E88" s="298">
        <f>'21'!F88</f>
        <v>158212</v>
      </c>
      <c r="F88" s="298">
        <v>158212</v>
      </c>
      <c r="G88" s="957">
        <f t="shared" si="6"/>
        <v>0</v>
      </c>
      <c r="H88" s="111">
        <f>G88+'21'!H88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>
      <c r="A89" s="381" t="s">
        <v>203</v>
      </c>
      <c r="B89" s="382"/>
      <c r="C89" s="382"/>
      <c r="D89" s="383" t="s">
        <v>182</v>
      </c>
      <c r="E89" s="298">
        <f>'21'!F89</f>
        <v>68370.899999999994</v>
      </c>
      <c r="F89" s="298">
        <v>68415.8</v>
      </c>
      <c r="G89" s="957">
        <f t="shared" ref="G89:G91" si="7">F89-E89</f>
        <v>44.900000000008731</v>
      </c>
      <c r="H89" s="111">
        <f>G89+'21'!H89</f>
        <v>350.19999999999709</v>
      </c>
      <c r="I89" s="303"/>
      <c r="J89" s="358">
        <f>H89/DAY(B2)</f>
        <v>15.918181818181687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98">
        <f>'21'!F90</f>
        <v>3560.8</v>
      </c>
      <c r="F90" s="298">
        <v>3564.2</v>
      </c>
      <c r="G90" s="957">
        <f t="shared" si="7"/>
        <v>3.3999999999996362</v>
      </c>
      <c r="H90" s="111">
        <f>G90+'21'!H90</f>
        <v>21</v>
      </c>
      <c r="I90" s="303"/>
      <c r="J90" s="358">
        <f>H90/DAY(B2)</f>
        <v>0.95454545454545459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/>
      <c r="E91" s="298">
        <f>'21'!F91</f>
        <v>28677.200000000001</v>
      </c>
      <c r="F91" s="298">
        <v>28678.53</v>
      </c>
      <c r="G91" s="356">
        <f t="shared" si="7"/>
        <v>1.3299999999981083</v>
      </c>
      <c r="H91" s="111">
        <f>G91+'21'!H91</f>
        <v>16.529999999998836</v>
      </c>
      <c r="I91" s="303"/>
      <c r="J91" s="358">
        <f>H91/DAY(B2)</f>
        <v>0.7513636363635835</v>
      </c>
      <c r="K91" s="384"/>
      <c r="L91" s="385"/>
      <c r="N91" s="428"/>
      <c r="O91" s="73"/>
    </row>
    <row r="92" spans="1:15" s="70" customFormat="1">
      <c r="A92" s="257" t="s">
        <v>204</v>
      </c>
      <c r="B92" s="979"/>
      <c r="C92" s="979"/>
      <c r="D92" s="123"/>
      <c r="E92" s="123"/>
      <c r="F92" s="123"/>
      <c r="G92" s="946"/>
      <c r="H92" s="123"/>
      <c r="I92" s="123"/>
      <c r="J92" s="202"/>
      <c r="K92" s="71"/>
      <c r="L92" s="69"/>
      <c r="N92" s="427"/>
      <c r="O92" s="73"/>
    </row>
    <row r="93" spans="1:15" ht="27.75">
      <c r="A93" s="1245" t="s">
        <v>205</v>
      </c>
      <c r="B93" s="1246"/>
      <c r="C93" s="1247"/>
      <c r="D93" s="174" t="s">
        <v>143</v>
      </c>
      <c r="E93" s="135">
        <f>'21'!F93</f>
        <v>252484</v>
      </c>
      <c r="F93" s="135">
        <v>252590</v>
      </c>
      <c r="G93" s="943">
        <f t="shared" ref="G93:G94" si="8">F93-E93</f>
        <v>106</v>
      </c>
      <c r="H93" s="111">
        <f>G93+'21'!H93</f>
        <v>-862</v>
      </c>
      <c r="I93" s="131"/>
      <c r="J93" s="203">
        <f>H93/DAY(B2)</f>
        <v>-39.18181818181818</v>
      </c>
      <c r="K93" s="82"/>
      <c r="L93" s="68"/>
      <c r="N93" s="73"/>
      <c r="O93" s="73"/>
    </row>
    <row r="94" spans="1:15" ht="27.75">
      <c r="A94" s="1245" t="s">
        <v>206</v>
      </c>
      <c r="B94" s="1246"/>
      <c r="C94" s="1247"/>
      <c r="D94" s="174" t="s">
        <v>143</v>
      </c>
      <c r="E94" s="135">
        <f>'21'!F94</f>
        <v>196021</v>
      </c>
      <c r="F94" s="135">
        <v>196178</v>
      </c>
      <c r="G94" s="943">
        <f t="shared" si="8"/>
        <v>157</v>
      </c>
      <c r="H94" s="111">
        <f>G94+'21'!H94</f>
        <v>-1481</v>
      </c>
      <c r="I94" s="131"/>
      <c r="J94" s="203">
        <f>H94/DAY(B2)</f>
        <v>-67.318181818181813</v>
      </c>
      <c r="K94" s="71"/>
      <c r="L94" s="68"/>
      <c r="N94" s="73"/>
      <c r="O94" s="73"/>
    </row>
    <row r="95" spans="1:15">
      <c r="A95" s="1277" t="s">
        <v>207</v>
      </c>
      <c r="B95" s="1278"/>
      <c r="C95" s="1279"/>
      <c r="D95" s="174"/>
      <c r="E95" s="135">
        <f>'21'!F95</f>
        <v>0</v>
      </c>
      <c r="F95" s="135"/>
      <c r="G95" s="943">
        <f>G93+G94</f>
        <v>263</v>
      </c>
      <c r="H95" s="111">
        <f>G95+'21'!H95</f>
        <v>-2568</v>
      </c>
      <c r="I95" s="131"/>
      <c r="J95" s="203">
        <f>H95/DAY(B2)</f>
        <v>-116.72727272727273</v>
      </c>
      <c r="K95" s="71"/>
      <c r="L95" s="68"/>
      <c r="N95" s="73"/>
      <c r="O95" s="73"/>
    </row>
    <row r="96" spans="1:15" ht="27.75">
      <c r="A96" s="1245" t="s">
        <v>208</v>
      </c>
      <c r="B96" s="1246"/>
      <c r="C96" s="1247"/>
      <c r="D96" s="174" t="s">
        <v>143</v>
      </c>
      <c r="E96" s="135">
        <f>'21'!F96</f>
        <v>420243</v>
      </c>
      <c r="F96" s="135">
        <v>420325</v>
      </c>
      <c r="G96" s="943">
        <f t="shared" ref="G96:G101" si="9">F96-E96</f>
        <v>82</v>
      </c>
      <c r="H96" s="111">
        <f>G96+'21'!H96</f>
        <v>-694</v>
      </c>
      <c r="I96" s="131"/>
      <c r="J96" s="203">
        <f>H96/DAY(B2)</f>
        <v>-31.545454545454547</v>
      </c>
      <c r="K96" s="71"/>
      <c r="L96" s="68"/>
      <c r="N96" s="73"/>
      <c r="O96" s="73"/>
    </row>
    <row r="97" spans="1:15" ht="27.75">
      <c r="A97" s="973" t="s">
        <v>209</v>
      </c>
      <c r="B97" s="974"/>
      <c r="C97" s="974"/>
      <c r="D97" s="174" t="s">
        <v>143</v>
      </c>
      <c r="E97" s="135">
        <f>'21'!F97</f>
        <v>104391</v>
      </c>
      <c r="F97" s="135">
        <v>104419</v>
      </c>
      <c r="G97" s="943">
        <f t="shared" si="9"/>
        <v>28</v>
      </c>
      <c r="H97" s="111">
        <f>G97+'21'!H97</f>
        <v>-217</v>
      </c>
      <c r="I97" s="131"/>
      <c r="J97" s="203">
        <f>H97/DAY(B2)</f>
        <v>-9.8636363636363633</v>
      </c>
      <c r="K97" s="80"/>
      <c r="L97" s="68"/>
      <c r="N97" s="73"/>
      <c r="O97" s="73"/>
    </row>
    <row r="98" spans="1:15" ht="27.75">
      <c r="A98" s="973" t="s">
        <v>210</v>
      </c>
      <c r="B98" s="974"/>
      <c r="C98" s="974"/>
      <c r="D98" s="174" t="s">
        <v>143</v>
      </c>
      <c r="E98" s="135">
        <f>'21'!F98</f>
        <v>100072</v>
      </c>
      <c r="F98" s="135">
        <v>100105</v>
      </c>
      <c r="G98" s="943">
        <f t="shared" si="9"/>
        <v>33</v>
      </c>
      <c r="H98" s="111">
        <f>G98+'21'!H98</f>
        <v>-265</v>
      </c>
      <c r="I98" s="131"/>
      <c r="J98" s="203">
        <f>H98/DAY(B2)</f>
        <v>-12.045454545454545</v>
      </c>
      <c r="K98" s="85"/>
      <c r="L98" s="68"/>
      <c r="N98" s="73"/>
      <c r="O98" s="73"/>
    </row>
    <row r="99" spans="1:15" ht="27.75">
      <c r="A99" s="973" t="s">
        <v>211</v>
      </c>
      <c r="B99" s="974"/>
      <c r="C99" s="974"/>
      <c r="D99" s="174" t="s">
        <v>143</v>
      </c>
      <c r="E99" s="135">
        <f>'21'!F99</f>
        <v>151813</v>
      </c>
      <c r="F99" s="135">
        <v>151854</v>
      </c>
      <c r="G99" s="943">
        <f t="shared" si="9"/>
        <v>41</v>
      </c>
      <c r="H99" s="111">
        <f>G99+'21'!H99</f>
        <v>-281</v>
      </c>
      <c r="I99" s="131"/>
      <c r="J99" s="203">
        <f>H99/DAY(B2)</f>
        <v>-12.772727272727273</v>
      </c>
      <c r="K99" s="71"/>
      <c r="L99" s="68"/>
      <c r="N99" s="73"/>
      <c r="O99" s="73"/>
    </row>
    <row r="100" spans="1:15" ht="27.75">
      <c r="A100" s="973" t="s">
        <v>212</v>
      </c>
      <c r="B100" s="974"/>
      <c r="C100" s="974"/>
      <c r="D100" s="174" t="s">
        <v>143</v>
      </c>
      <c r="E100" s="135">
        <f>'21'!F100</f>
        <v>8502</v>
      </c>
      <c r="F100" s="135">
        <v>8513</v>
      </c>
      <c r="G100" s="943">
        <f t="shared" si="9"/>
        <v>11</v>
      </c>
      <c r="H100" s="111">
        <f>G100+'21'!H100</f>
        <v>-132</v>
      </c>
      <c r="I100" s="131"/>
      <c r="J100" s="203">
        <f>H100/DAY(B2)</f>
        <v>-6</v>
      </c>
      <c r="K100" s="71"/>
      <c r="L100" s="68"/>
      <c r="N100" s="73"/>
      <c r="O100" s="73"/>
    </row>
    <row r="101" spans="1:15" ht="27.75">
      <c r="A101" s="973" t="s">
        <v>213</v>
      </c>
      <c r="B101" s="974"/>
      <c r="C101" s="974"/>
      <c r="D101" s="174" t="s">
        <v>143</v>
      </c>
      <c r="E101" s="135">
        <f>'21'!F101</f>
        <v>6259</v>
      </c>
      <c r="F101" s="135">
        <v>6277</v>
      </c>
      <c r="G101" s="943">
        <f t="shared" si="9"/>
        <v>18</v>
      </c>
      <c r="H101" s="111">
        <f>G101+'21'!H101</f>
        <v>-96</v>
      </c>
      <c r="I101" s="131"/>
      <c r="J101" s="203">
        <f>H101/DAY(B2)</f>
        <v>-4.3636363636363633</v>
      </c>
      <c r="K101" s="71"/>
      <c r="L101" s="68"/>
      <c r="N101" s="73"/>
      <c r="O101" s="73"/>
    </row>
    <row r="102" spans="1:15">
      <c r="A102" s="1277" t="s">
        <v>215</v>
      </c>
      <c r="B102" s="1278"/>
      <c r="C102" s="1279"/>
      <c r="D102" s="175"/>
      <c r="E102" s="175"/>
      <c r="F102" s="175"/>
      <c r="G102" s="958">
        <f>SUM(G96:G101)</f>
        <v>213</v>
      </c>
      <c r="H102" s="111">
        <f>G102+'21'!H102</f>
        <v>-1685</v>
      </c>
      <c r="I102" s="177"/>
      <c r="J102" s="203">
        <f>H102/DAY(B2)</f>
        <v>-76.590909090909093</v>
      </c>
      <c r="K102" s="71"/>
      <c r="L102" s="68"/>
      <c r="N102" s="73"/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959"/>
      <c r="H103" s="181"/>
      <c r="I103" s="182"/>
      <c r="J103" s="208"/>
      <c r="N103" s="95"/>
      <c r="O103" s="73"/>
    </row>
    <row r="104" spans="1:15" s="93" customFormat="1" ht="27.75">
      <c r="A104" s="1280" t="s">
        <v>217</v>
      </c>
      <c r="B104" s="1281"/>
      <c r="C104" s="224"/>
      <c r="D104" s="273"/>
      <c r="E104" s="183"/>
      <c r="F104" s="183"/>
      <c r="G104" s="960"/>
      <c r="H104" s="184"/>
      <c r="I104" s="183"/>
      <c r="J104" s="209"/>
      <c r="N104" s="95"/>
      <c r="O104" s="73"/>
    </row>
    <row r="105" spans="1:15" s="93" customFormat="1" ht="27.75">
      <c r="A105" s="1237" t="s">
        <v>218</v>
      </c>
      <c r="B105" s="1238"/>
      <c r="C105" s="972"/>
      <c r="D105" s="273" t="s">
        <v>143</v>
      </c>
      <c r="E105" s="183">
        <f>'21'!F105</f>
        <v>7929</v>
      </c>
      <c r="F105" s="183">
        <v>7929</v>
      </c>
      <c r="G105" s="960">
        <f>F105-E105</f>
        <v>0</v>
      </c>
      <c r="H105" s="111">
        <f>SUM(G105+'1'!G76)</f>
        <v>75.700000000000728</v>
      </c>
      <c r="I105" s="183"/>
      <c r="J105" s="209">
        <f>H105/DAY(B2)</f>
        <v>3.4409090909091238</v>
      </c>
      <c r="N105" s="95"/>
      <c r="O105" s="73"/>
    </row>
    <row r="106" spans="1:15" s="93" customFormat="1" ht="27.75">
      <c r="A106" s="1237" t="s">
        <v>76</v>
      </c>
      <c r="B106" s="1238"/>
      <c r="C106" s="972"/>
      <c r="D106" s="273" t="s">
        <v>143</v>
      </c>
      <c r="E106" s="185">
        <f>'21'!F106</f>
        <v>36668</v>
      </c>
      <c r="F106" s="185">
        <v>36675</v>
      </c>
      <c r="G106" s="960">
        <f t="shared" ref="G106:G107" si="10">F106-E106</f>
        <v>7</v>
      </c>
      <c r="H106" s="111">
        <f>SUM(G106+'1'!G77)</f>
        <v>54</v>
      </c>
      <c r="I106" s="183"/>
      <c r="J106" s="209">
        <f>H106/DAY(B2)</f>
        <v>2.4545454545454546</v>
      </c>
      <c r="N106" s="95"/>
      <c r="O106" s="73"/>
    </row>
    <row r="107" spans="1:15" s="93" customFormat="1" ht="27.75">
      <c r="A107" s="1237" t="s">
        <v>77</v>
      </c>
      <c r="B107" s="1282"/>
      <c r="C107" s="1238"/>
      <c r="D107" s="273" t="s">
        <v>143</v>
      </c>
      <c r="E107" s="183">
        <f>'21'!F107</f>
        <v>20130</v>
      </c>
      <c r="F107" s="183">
        <v>20139</v>
      </c>
      <c r="G107" s="960">
        <f t="shared" si="10"/>
        <v>9</v>
      </c>
      <c r="H107" s="111">
        <f>SUM(G107+'1'!G78)</f>
        <v>27</v>
      </c>
      <c r="I107" s="183"/>
      <c r="J107" s="209">
        <f>H107/DAY(B2)</f>
        <v>1.2272727272727273</v>
      </c>
      <c r="N107" s="95"/>
      <c r="O107" s="73"/>
    </row>
    <row r="108" spans="1:15" s="93" customFormat="1" ht="27.75">
      <c r="A108" s="1239" t="s">
        <v>201</v>
      </c>
      <c r="B108" s="1240"/>
      <c r="C108" s="972"/>
      <c r="D108" s="273"/>
      <c r="E108" s="183">
        <f>'21'!F108</f>
        <v>0</v>
      </c>
      <c r="F108" s="183"/>
      <c r="G108" s="960">
        <f>SUM(G105:G107)</f>
        <v>16</v>
      </c>
      <c r="H108" s="111">
        <f>SUM(G108+'1'!G79)</f>
        <v>182</v>
      </c>
      <c r="I108" s="183"/>
      <c r="J108" s="209">
        <f>H108/DAY(B2)</f>
        <v>8.2727272727272734</v>
      </c>
      <c r="N108" s="95"/>
      <c r="O108" s="73"/>
    </row>
    <row r="109" spans="1:15" s="93" customFormat="1" ht="27.75">
      <c r="A109" s="1243" t="s">
        <v>78</v>
      </c>
      <c r="B109" s="1244"/>
      <c r="C109" s="972"/>
      <c r="D109" s="273" t="s">
        <v>143</v>
      </c>
      <c r="E109" s="183">
        <f>'21'!F109</f>
        <v>0</v>
      </c>
      <c r="F109" s="183"/>
      <c r="G109" s="960"/>
      <c r="H109" s="111"/>
      <c r="I109" s="183"/>
      <c r="J109" s="209"/>
      <c r="N109" s="95"/>
      <c r="O109" s="73"/>
    </row>
    <row r="110" spans="1:15" s="93" customFormat="1" ht="27.75">
      <c r="A110" s="1237" t="s">
        <v>219</v>
      </c>
      <c r="B110" s="1238"/>
      <c r="C110" s="972"/>
      <c r="D110" s="273" t="s">
        <v>143</v>
      </c>
      <c r="E110" s="183">
        <f>'21'!F110</f>
        <v>68702</v>
      </c>
      <c r="F110" s="183">
        <v>68785</v>
      </c>
      <c r="G110" s="960">
        <f>F110-E110</f>
        <v>83</v>
      </c>
      <c r="H110" s="111">
        <f>SUM(G110+'1'!G81)</f>
        <v>257.80000000004657</v>
      </c>
      <c r="I110" s="183"/>
      <c r="J110" s="209">
        <f>H110/DAY(B2)</f>
        <v>11.718181818183934</v>
      </c>
      <c r="N110" s="95"/>
      <c r="O110" s="73"/>
    </row>
    <row r="111" spans="1:15" s="93" customFormat="1" ht="27.75">
      <c r="A111" s="1237" t="s">
        <v>220</v>
      </c>
      <c r="B111" s="1238"/>
      <c r="C111" s="972"/>
      <c r="D111" s="273" t="s">
        <v>143</v>
      </c>
      <c r="E111" s="183">
        <f>'21'!F111</f>
        <v>33886</v>
      </c>
      <c r="F111" s="183">
        <v>33886</v>
      </c>
      <c r="G111" s="960">
        <f t="shared" ref="G111:G112" si="11">F111-E111</f>
        <v>0</v>
      </c>
      <c r="H111" s="111">
        <f>SUM(G111+'1'!G82)</f>
        <v>30</v>
      </c>
      <c r="I111" s="183"/>
      <c r="J111" s="209">
        <f>H111/DAY(B2)</f>
        <v>1.3636363636363635</v>
      </c>
      <c r="N111" s="95"/>
      <c r="O111" s="73"/>
    </row>
    <row r="112" spans="1:15" s="93" customFormat="1" ht="27.75">
      <c r="A112" s="1237" t="s">
        <v>221</v>
      </c>
      <c r="B112" s="1238"/>
      <c r="C112" s="972"/>
      <c r="D112" s="273" t="s">
        <v>143</v>
      </c>
      <c r="E112" s="183">
        <f>'21'!F112</f>
        <v>4696</v>
      </c>
      <c r="F112" s="183">
        <v>4698</v>
      </c>
      <c r="G112" s="960">
        <f t="shared" si="11"/>
        <v>2</v>
      </c>
      <c r="H112" s="111">
        <f>SUM(G112+'1'!G83)</f>
        <v>313</v>
      </c>
      <c r="I112" s="183"/>
      <c r="J112" s="209">
        <f>H112/DAY(B2)</f>
        <v>14.227272727272727</v>
      </c>
      <c r="N112" s="95"/>
      <c r="O112" s="73"/>
    </row>
    <row r="113" spans="1:15" s="93" customFormat="1" ht="27.75">
      <c r="A113" s="1241" t="s">
        <v>109</v>
      </c>
      <c r="B113" s="1242"/>
      <c r="C113" s="972"/>
      <c r="D113" s="273"/>
      <c r="E113" s="183">
        <f>'21'!F113</f>
        <v>0</v>
      </c>
      <c r="F113" s="183"/>
      <c r="G113" s="960">
        <f>SUM(G110:G112)</f>
        <v>85</v>
      </c>
      <c r="H113" s="111">
        <f>SUM(G113+'1'!G84)</f>
        <v>825</v>
      </c>
      <c r="I113" s="183"/>
      <c r="J113" s="209">
        <f>H113/DAY(B2)</f>
        <v>37.5</v>
      </c>
      <c r="N113" s="95"/>
      <c r="O113" s="73"/>
    </row>
    <row r="114" spans="1:15" s="93" customFormat="1" ht="27.75">
      <c r="A114" s="1243" t="s">
        <v>222</v>
      </c>
      <c r="B114" s="1244"/>
      <c r="C114" s="972"/>
      <c r="D114" s="273"/>
      <c r="E114" s="183">
        <f>'21'!F114</f>
        <v>0</v>
      </c>
      <c r="F114" s="183"/>
      <c r="G114" s="960"/>
      <c r="H114" s="111"/>
      <c r="I114" s="183"/>
      <c r="J114" s="209">
        <f>H114/DAY(B2)</f>
        <v>0</v>
      </c>
      <c r="N114" s="95"/>
      <c r="O114" s="73"/>
    </row>
    <row r="115" spans="1:15" s="93" customFormat="1" ht="27.75">
      <c r="A115" s="1237" t="s">
        <v>223</v>
      </c>
      <c r="B115" s="1238"/>
      <c r="C115" s="225"/>
      <c r="D115" s="273" t="s">
        <v>143</v>
      </c>
      <c r="E115" s="185">
        <f>'21'!F115</f>
        <v>12868</v>
      </c>
      <c r="F115" s="185">
        <v>12881</v>
      </c>
      <c r="G115" s="961">
        <f>F115-E115</f>
        <v>13</v>
      </c>
      <c r="H115" s="111">
        <f>SUM(G115+'1'!G92)</f>
        <v>13</v>
      </c>
      <c r="I115" s="183"/>
      <c r="J115" s="209">
        <f>H115/DAY(B2)</f>
        <v>0.59090909090909094</v>
      </c>
      <c r="N115" s="95"/>
      <c r="O115" s="73"/>
    </row>
    <row r="116" spans="1:15" s="93" customFormat="1" ht="27.75">
      <c r="A116" s="1237" t="s">
        <v>224</v>
      </c>
      <c r="B116" s="1238"/>
      <c r="C116" s="225"/>
      <c r="D116" s="273" t="s">
        <v>143</v>
      </c>
      <c r="E116" s="185">
        <f>'21'!F116</f>
        <v>9042</v>
      </c>
      <c r="F116" s="185">
        <v>9051</v>
      </c>
      <c r="G116" s="961">
        <f t="shared" ref="G116:G117" si="12">F116-E116</f>
        <v>9</v>
      </c>
      <c r="H116" s="111">
        <f>SUM(G116+'1'!G93)</f>
        <v>71</v>
      </c>
      <c r="I116" s="183"/>
      <c r="J116" s="209">
        <f>H116/DAY(B2)</f>
        <v>3.2272727272727271</v>
      </c>
      <c r="N116" s="95"/>
      <c r="O116" s="73"/>
    </row>
    <row r="117" spans="1:15" s="93" customFormat="1" ht="27.75">
      <c r="A117" s="1237" t="s">
        <v>225</v>
      </c>
      <c r="B117" s="1238"/>
      <c r="C117" s="225"/>
      <c r="D117" s="273" t="s">
        <v>143</v>
      </c>
      <c r="E117" s="185"/>
      <c r="F117" s="185"/>
      <c r="G117" s="961">
        <f t="shared" si="12"/>
        <v>0</v>
      </c>
      <c r="H117" s="111">
        <f>SUM(G117+'1'!G94)</f>
        <v>163</v>
      </c>
      <c r="I117" s="183"/>
      <c r="J117" s="209">
        <f>H117/DAY(B2)</f>
        <v>7.4090909090909092</v>
      </c>
      <c r="N117" s="95"/>
      <c r="O117" s="73"/>
    </row>
    <row r="118" spans="1:15" s="96" customFormat="1" ht="27.75">
      <c r="A118" s="1239" t="s">
        <v>201</v>
      </c>
      <c r="B118" s="1240"/>
      <c r="C118" s="225"/>
      <c r="D118" s="274"/>
      <c r="E118" s="185"/>
      <c r="F118" s="185"/>
      <c r="G118" s="961">
        <f>SUM(G115:G117)</f>
        <v>22</v>
      </c>
      <c r="H118" s="111">
        <f>SUM(G118+'1'!G96)</f>
        <v>88</v>
      </c>
      <c r="I118" s="185"/>
      <c r="J118" s="209">
        <f>H118/DAY(B2)</f>
        <v>4</v>
      </c>
      <c r="N118" s="98"/>
      <c r="O118" s="73"/>
    </row>
    <row r="119" spans="1:15" s="97" customFormat="1" ht="27.75">
      <c r="A119" s="1233" t="s">
        <v>226</v>
      </c>
      <c r="B119" s="1234"/>
      <c r="C119" s="971"/>
      <c r="D119" s="275" t="s">
        <v>143</v>
      </c>
      <c r="E119" s="187"/>
      <c r="F119" s="187">
        <f>SUM(G19+G93)</f>
        <v>171</v>
      </c>
      <c r="G119" s="961">
        <f>SUM(G19+G93)</f>
        <v>171</v>
      </c>
      <c r="H119" s="111">
        <f>SUM(G119+'1'!G97)</f>
        <v>189</v>
      </c>
      <c r="I119" s="186"/>
      <c r="J119" s="210">
        <f>H119/DAY(B2)</f>
        <v>8.5909090909090917</v>
      </c>
      <c r="N119" s="429"/>
      <c r="O119" s="73"/>
    </row>
    <row r="120" spans="1:15" s="97" customFormat="1" ht="27.75">
      <c r="A120" s="1233" t="s">
        <v>227</v>
      </c>
      <c r="B120" s="1234"/>
      <c r="C120" s="971"/>
      <c r="D120" s="275" t="s">
        <v>143</v>
      </c>
      <c r="E120" s="187"/>
      <c r="F120" s="187">
        <f>SUM(G96,G97,G98,G100,G101)</f>
        <v>172</v>
      </c>
      <c r="G120" s="961">
        <f>SUM(G96,G97,G98,G100,G101)</f>
        <v>172</v>
      </c>
      <c r="H120" s="111">
        <f>SUM(G120+'1'!G99)</f>
        <v>183</v>
      </c>
      <c r="I120" s="186"/>
      <c r="J120" s="210">
        <f>H120/DAY(B2)</f>
        <v>8.3181818181818183</v>
      </c>
      <c r="N120" s="429"/>
      <c r="O120" s="73"/>
    </row>
    <row r="121" spans="1:15" s="97" customFormat="1" ht="27.75">
      <c r="A121" s="1233" t="s">
        <v>228</v>
      </c>
      <c r="B121" s="1234"/>
      <c r="C121" s="971"/>
      <c r="D121" s="275" t="s">
        <v>143</v>
      </c>
      <c r="E121" s="185"/>
      <c r="F121" s="185">
        <f>SUM(G113)</f>
        <v>85</v>
      </c>
      <c r="G121" s="961">
        <f>SUM(G113)</f>
        <v>85</v>
      </c>
      <c r="H121" s="111">
        <f>SUM(G121+'1'!G101)</f>
        <v>94</v>
      </c>
      <c r="I121" s="186"/>
      <c r="J121" s="210">
        <f>H121/DAY(B2)</f>
        <v>4.2727272727272725</v>
      </c>
      <c r="N121" s="429"/>
      <c r="O121" s="73"/>
    </row>
    <row r="122" spans="1:15" s="93" customFormat="1" ht="27.75">
      <c r="A122" s="1235"/>
      <c r="B122" s="1236"/>
      <c r="C122" s="972"/>
      <c r="D122" s="211"/>
      <c r="E122" s="211"/>
      <c r="F122" s="211" t="s">
        <v>214</v>
      </c>
      <c r="G122" s="962"/>
      <c r="H122" s="212"/>
      <c r="I122" s="211"/>
      <c r="J122" s="213"/>
      <c r="N122" s="95"/>
      <c r="O122" s="73"/>
    </row>
    <row r="123" spans="1:15">
      <c r="A123" s="1274" t="s">
        <v>229</v>
      </c>
      <c r="B123" s="1275"/>
      <c r="C123" s="1276"/>
      <c r="D123" s="123"/>
      <c r="E123" s="123"/>
      <c r="F123" s="123"/>
      <c r="G123" s="946"/>
      <c r="H123" s="134"/>
      <c r="I123" s="134"/>
      <c r="J123" s="214"/>
      <c r="K123" s="71"/>
      <c r="L123" s="68"/>
      <c r="N123" s="73"/>
      <c r="O123" s="73"/>
    </row>
    <row r="124" spans="1:15" ht="27.75">
      <c r="A124" s="973" t="s">
        <v>230</v>
      </c>
      <c r="B124" s="974"/>
      <c r="C124" s="974"/>
      <c r="D124" s="174" t="s">
        <v>140</v>
      </c>
      <c r="E124" s="129">
        <f>'21'!F124</f>
        <v>853716</v>
      </c>
      <c r="F124" s="129">
        <v>853988.02</v>
      </c>
      <c r="G124" s="943">
        <f t="shared" ref="G124:G128" si="13">F124-E124</f>
        <v>272.02000000001863</v>
      </c>
      <c r="H124" s="111">
        <f>G124+'21'!H124</f>
        <v>-2363.9799999999814</v>
      </c>
      <c r="I124" s="177"/>
      <c r="J124" s="203">
        <f>H124/DAY(B2)</f>
        <v>-107.45363636363551</v>
      </c>
      <c r="K124" s="71"/>
      <c r="L124" s="68"/>
      <c r="N124" s="73"/>
      <c r="O124" s="73"/>
    </row>
    <row r="125" spans="1:15" ht="27.75">
      <c r="A125" s="973" t="s">
        <v>231</v>
      </c>
      <c r="B125" s="974"/>
      <c r="C125" s="974"/>
      <c r="D125" s="174" t="s">
        <v>140</v>
      </c>
      <c r="E125" s="277">
        <f>'21'!F125</f>
        <v>73583.399999999994</v>
      </c>
      <c r="F125" s="277">
        <v>73583.399999999994</v>
      </c>
      <c r="G125" s="943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>
      <c r="A126" s="1226" t="s">
        <v>232</v>
      </c>
      <c r="B126" s="1227"/>
      <c r="C126" s="1228"/>
      <c r="D126" s="174" t="s">
        <v>140</v>
      </c>
      <c r="E126" s="129">
        <f>'21'!F126</f>
        <v>153172.62</v>
      </c>
      <c r="F126" s="129">
        <v>153270.23000000001</v>
      </c>
      <c r="G126" s="943">
        <f t="shared" si="13"/>
        <v>97.610000000015134</v>
      </c>
      <c r="H126" s="111">
        <f>G126+'21'!H126</f>
        <v>-806.76999999998952</v>
      </c>
      <c r="I126" s="177"/>
      <c r="J126" s="203">
        <f>H126/DAY(B2)</f>
        <v>-36.671363636363161</v>
      </c>
      <c r="K126" s="71"/>
      <c r="L126" s="68"/>
      <c r="N126" s="73"/>
      <c r="O126" s="73"/>
    </row>
    <row r="127" spans="1:15" ht="27.75">
      <c r="A127" s="260" t="s">
        <v>233</v>
      </c>
      <c r="B127" s="974"/>
      <c r="C127" s="974"/>
      <c r="D127" s="174" t="s">
        <v>140</v>
      </c>
      <c r="E127" s="277">
        <f>'21'!F127</f>
        <v>34218.800000000003</v>
      </c>
      <c r="F127" s="277">
        <v>34256.300000000003</v>
      </c>
      <c r="G127" s="943">
        <f t="shared" si="13"/>
        <v>37.5</v>
      </c>
      <c r="H127" s="111">
        <f>G127+'21'!H127</f>
        <v>-372.69999999999709</v>
      </c>
      <c r="I127" s="177"/>
      <c r="J127" s="203">
        <f>H127/DAY(B2)</f>
        <v>-16.94090909090896</v>
      </c>
      <c r="K127" s="71"/>
      <c r="L127" s="68"/>
      <c r="N127" s="73"/>
      <c r="O127" s="73"/>
    </row>
    <row r="128" spans="1:15" ht="27.75">
      <c r="A128" s="260" t="s">
        <v>234</v>
      </c>
      <c r="B128" s="974"/>
      <c r="C128" s="974"/>
      <c r="D128" s="174" t="s">
        <v>140</v>
      </c>
      <c r="E128" s="277">
        <f>'21'!F128</f>
        <v>9158.2000000000007</v>
      </c>
      <c r="F128" s="277">
        <v>9159.9</v>
      </c>
      <c r="G128" s="943">
        <f t="shared" si="13"/>
        <v>1.6999999999989086</v>
      </c>
      <c r="H128" s="111">
        <f>G128+'21'!H128</f>
        <v>-20.100000000000364</v>
      </c>
      <c r="I128" s="131"/>
      <c r="J128" s="203">
        <f>H128/DAY(B2)</f>
        <v>-0.91363636363638012</v>
      </c>
      <c r="K128" s="71"/>
      <c r="L128" s="68"/>
      <c r="N128" s="73"/>
      <c r="O128" s="73"/>
    </row>
    <row r="129" spans="1:15" s="57" customFormat="1" ht="27.75">
      <c r="A129" s="260" t="s">
        <v>235</v>
      </c>
      <c r="B129" s="974"/>
      <c r="C129" s="974"/>
      <c r="D129" s="174"/>
      <c r="E129" s="129"/>
      <c r="F129" s="129"/>
      <c r="G129" s="943">
        <f>G15-SUM(G124:G128)</f>
        <v>473.99000000003252</v>
      </c>
      <c r="H129" s="111">
        <f>G129+'21'!H129</f>
        <v>3276.8299999999963</v>
      </c>
      <c r="I129" s="131"/>
      <c r="J129" s="203">
        <f>H129/DAY(B2)</f>
        <v>148.946818181818</v>
      </c>
      <c r="K129" s="60"/>
      <c r="L129" s="58"/>
      <c r="N129" s="61"/>
      <c r="O129" s="73"/>
    </row>
    <row r="130" spans="1:15">
      <c r="A130" s="261" t="s">
        <v>236</v>
      </c>
      <c r="B130" s="109"/>
      <c r="C130" s="109"/>
      <c r="D130" s="122"/>
      <c r="E130" s="122"/>
      <c r="F130" s="122"/>
      <c r="G130" s="963"/>
      <c r="H130" s="191"/>
      <c r="I130" s="191"/>
      <c r="J130" s="215"/>
      <c r="N130" s="73"/>
      <c r="O130" s="73"/>
    </row>
    <row r="131" spans="1:15" ht="27.75">
      <c r="A131" s="973" t="s">
        <v>237</v>
      </c>
      <c r="B131" s="974"/>
      <c r="C131" s="974"/>
      <c r="D131" s="174" t="s">
        <v>238</v>
      </c>
      <c r="E131" s="135">
        <f>'21'!F131</f>
        <v>0</v>
      </c>
      <c r="F131" s="135">
        <v>0</v>
      </c>
      <c r="G131" s="943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>
      <c r="A132" s="973" t="s">
        <v>239</v>
      </c>
      <c r="B132" s="974"/>
      <c r="C132" s="974"/>
      <c r="D132" s="174" t="s">
        <v>238</v>
      </c>
      <c r="E132" s="135">
        <f>'21'!F132</f>
        <v>0</v>
      </c>
      <c r="F132" s="135">
        <v>0</v>
      </c>
      <c r="G132" s="943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>
      <c r="A133" s="973" t="s">
        <v>240</v>
      </c>
      <c r="B133" s="974"/>
      <c r="C133" s="974"/>
      <c r="D133" s="174" t="s">
        <v>238</v>
      </c>
      <c r="E133" s="192">
        <f>'21'!F133</f>
        <v>40921.53</v>
      </c>
      <c r="F133" s="192">
        <v>40921.53</v>
      </c>
      <c r="G133" s="943">
        <f t="shared" si="14"/>
        <v>0</v>
      </c>
      <c r="H133" s="111">
        <f>G133+'21'!H133</f>
        <v>-0.47000000000116415</v>
      </c>
      <c r="I133" s="131"/>
      <c r="J133" s="203">
        <f>H133/DAY(B2)</f>
        <v>-2.1363636363689278E-2</v>
      </c>
      <c r="N133" s="73"/>
      <c r="O133" s="73"/>
    </row>
    <row r="134" spans="1:15" s="92" customFormat="1" ht="27.75">
      <c r="A134" s="716" t="s">
        <v>241</v>
      </c>
      <c r="B134" s="717"/>
      <c r="C134" s="717"/>
      <c r="D134" s="278" t="s">
        <v>238</v>
      </c>
      <c r="E134" s="192">
        <f>'21'!F134</f>
        <v>724.25</v>
      </c>
      <c r="F134" s="192">
        <v>730.27</v>
      </c>
      <c r="G134" s="964">
        <f t="shared" si="14"/>
        <v>6.0199999999999818</v>
      </c>
      <c r="H134" s="356">
        <f>G134+'21'!H134</f>
        <v>-125.73000000000002</v>
      </c>
      <c r="I134" s="718">
        <f>G131+G132+G133+G134</f>
        <v>6.0199999999999818</v>
      </c>
      <c r="J134" s="358">
        <f>H134/DAY(B2)</f>
        <v>-5.7150000000000007</v>
      </c>
      <c r="N134" s="364"/>
      <c r="O134" s="364"/>
    </row>
    <row r="135" spans="1:15" ht="27.75">
      <c r="A135" s="973" t="s">
        <v>242</v>
      </c>
      <c r="B135" s="974"/>
      <c r="C135" s="974"/>
      <c r="D135" s="174" t="s">
        <v>238</v>
      </c>
      <c r="E135" s="192">
        <f>'21'!F135</f>
        <v>42689</v>
      </c>
      <c r="F135" s="192">
        <v>42713.18</v>
      </c>
      <c r="G135" s="943">
        <f t="shared" si="14"/>
        <v>24.180000000000291</v>
      </c>
      <c r="H135" s="111">
        <f>G135+'21'!H135</f>
        <v>-108.81999999999971</v>
      </c>
      <c r="I135" s="131"/>
      <c r="J135" s="203">
        <f>H135/DAY(B2)</f>
        <v>-4.946363636363623</v>
      </c>
      <c r="N135" s="73"/>
      <c r="O135" s="73"/>
    </row>
    <row r="136" spans="1:15" ht="27.75">
      <c r="A136" s="973" t="s">
        <v>243</v>
      </c>
      <c r="B136" s="974"/>
      <c r="C136" s="974"/>
      <c r="D136" s="174" t="s">
        <v>238</v>
      </c>
      <c r="E136" s="192">
        <f>'21'!F136</f>
        <v>32874.050000000003</v>
      </c>
      <c r="F136" s="192">
        <v>32874.050000000003</v>
      </c>
      <c r="G136" s="943">
        <f t="shared" si="14"/>
        <v>0</v>
      </c>
      <c r="H136" s="111">
        <f>G136+'21'!H136</f>
        <v>-53.94999999999709</v>
      </c>
      <c r="I136" s="131"/>
      <c r="J136" s="203">
        <f>H136/DAY(B2)</f>
        <v>-2.4522727272725948</v>
      </c>
      <c r="N136" s="73"/>
      <c r="O136" s="73"/>
    </row>
    <row r="137" spans="1:15" ht="27.75">
      <c r="A137" s="973" t="s">
        <v>244</v>
      </c>
      <c r="B137" s="974"/>
      <c r="C137" s="974"/>
      <c r="D137" s="174" t="s">
        <v>238</v>
      </c>
      <c r="E137" s="192">
        <f>'21'!F137</f>
        <v>23271.27</v>
      </c>
      <c r="F137" s="192">
        <v>23279.78</v>
      </c>
      <c r="G137" s="943">
        <f t="shared" si="14"/>
        <v>8.5099999999983993</v>
      </c>
      <c r="H137" s="111">
        <f>G137+'21'!H137</f>
        <v>-76.650000000001455</v>
      </c>
      <c r="I137" s="131">
        <f>G135+G136+G137</f>
        <v>32.68999999999869</v>
      </c>
      <c r="J137" s="203">
        <f>H137/DAY(B2)</f>
        <v>-3.4840909090909751</v>
      </c>
      <c r="N137" s="73"/>
      <c r="O137" s="73"/>
    </row>
    <row r="138" spans="1:15" ht="27.75">
      <c r="A138" s="973" t="s">
        <v>245</v>
      </c>
      <c r="B138" s="974"/>
      <c r="C138" s="974"/>
      <c r="D138" s="174" t="s">
        <v>238</v>
      </c>
      <c r="E138" s="192">
        <f>'21'!F138</f>
        <v>25132.98</v>
      </c>
      <c r="F138" s="192">
        <v>25132.98</v>
      </c>
      <c r="G138" s="943">
        <f t="shared" si="14"/>
        <v>0</v>
      </c>
      <c r="H138" s="111">
        <f>G138+'21'!H138</f>
        <v>2.0000000000436557E-2</v>
      </c>
      <c r="I138" s="131"/>
      <c r="J138" s="203">
        <f>H138/DAY(B2)</f>
        <v>9.0909090911075259E-4</v>
      </c>
      <c r="N138" s="73"/>
      <c r="O138" s="73"/>
    </row>
    <row r="139" spans="1:15" ht="27.75">
      <c r="A139" s="973" t="s">
        <v>246</v>
      </c>
      <c r="B139" s="974"/>
      <c r="C139" s="974"/>
      <c r="D139" s="174" t="s">
        <v>238</v>
      </c>
      <c r="E139" s="192">
        <f>'21'!F139</f>
        <v>70523.600000000006</v>
      </c>
      <c r="F139" s="192">
        <v>70524.55</v>
      </c>
      <c r="G139" s="943">
        <f t="shared" si="14"/>
        <v>0.94999999999708962</v>
      </c>
      <c r="H139" s="111">
        <f>G139+'21'!H139</f>
        <v>0</v>
      </c>
      <c r="I139" s="131">
        <f>G138+G139</f>
        <v>0.94999999999708962</v>
      </c>
      <c r="J139" s="203">
        <f>H139/DAY(B2)</f>
        <v>0</v>
      </c>
      <c r="N139" s="73"/>
      <c r="O139" s="73"/>
    </row>
    <row r="140" spans="1:15" ht="27.75">
      <c r="A140" s="973" t="s">
        <v>247</v>
      </c>
      <c r="B140" s="974"/>
      <c r="C140" s="974"/>
      <c r="D140" s="174" t="s">
        <v>238</v>
      </c>
      <c r="E140" s="135">
        <f>'21'!F140</f>
        <v>2526.15</v>
      </c>
      <c r="F140" s="135">
        <v>2536.65</v>
      </c>
      <c r="G140" s="943">
        <f t="shared" si="14"/>
        <v>10.5</v>
      </c>
      <c r="H140" s="111">
        <f>G140+'21'!H140</f>
        <v>-91.329999999999927</v>
      </c>
      <c r="I140" s="193"/>
      <c r="J140" s="203">
        <f>H140/DAY(B2)</f>
        <v>-4.1513636363636328</v>
      </c>
      <c r="N140" s="73"/>
      <c r="O140" s="73"/>
    </row>
    <row r="141" spans="1:15" ht="27.75">
      <c r="A141" s="973" t="s">
        <v>248</v>
      </c>
      <c r="B141" s="974"/>
      <c r="C141" s="974"/>
      <c r="D141" s="174" t="s">
        <v>238</v>
      </c>
      <c r="E141" s="135">
        <f>'21'!F141</f>
        <v>4753.67</v>
      </c>
      <c r="F141" s="135">
        <v>4753.67</v>
      </c>
      <c r="G141" s="943">
        <f t="shared" si="14"/>
        <v>0</v>
      </c>
      <c r="H141" s="111">
        <f>G141+'21'!H141</f>
        <v>-0.32999999999992724</v>
      </c>
      <c r="I141" s="193"/>
      <c r="J141" s="203">
        <f>H141/DAY(B2)</f>
        <v>-1.4999999999996693E-2</v>
      </c>
      <c r="N141" s="73"/>
      <c r="O141" s="73"/>
    </row>
    <row r="142" spans="1:15">
      <c r="A142" s="1248" t="s">
        <v>249</v>
      </c>
      <c r="B142" s="1249"/>
      <c r="C142" s="979"/>
      <c r="D142" s="123"/>
      <c r="E142" s="123"/>
      <c r="F142" s="123"/>
      <c r="G142" s="946"/>
      <c r="H142" s="134"/>
      <c r="I142" s="134"/>
      <c r="J142" s="214"/>
      <c r="K142" s="71"/>
      <c r="L142" s="68"/>
      <c r="N142" s="73"/>
      <c r="O142" s="73"/>
    </row>
    <row r="143" spans="1:15" ht="27.75">
      <c r="A143" s="1245" t="s">
        <v>250</v>
      </c>
      <c r="B143" s="1246"/>
      <c r="C143" s="1247"/>
      <c r="D143" s="174" t="s">
        <v>131</v>
      </c>
      <c r="E143" s="174"/>
      <c r="F143" s="174"/>
      <c r="G143" s="956">
        <f>G35+G43+G49+G57</f>
        <v>6180</v>
      </c>
      <c r="H143" s="111">
        <f>G143+'21'!H143</f>
        <v>352061.99999999994</v>
      </c>
      <c r="I143" s="131"/>
      <c r="J143" s="203">
        <f>H143/DAY(B2)</f>
        <v>16002.818181818178</v>
      </c>
      <c r="K143" s="71"/>
      <c r="L143" s="68"/>
      <c r="N143" s="73"/>
      <c r="O143" s="73"/>
    </row>
    <row r="144" spans="1:15" ht="27.75">
      <c r="A144" s="1245" t="s">
        <v>251</v>
      </c>
      <c r="B144" s="1246"/>
      <c r="C144" s="1247"/>
      <c r="D144" s="174" t="s">
        <v>24</v>
      </c>
      <c r="E144" s="162"/>
      <c r="F144" s="162"/>
      <c r="G144" s="965">
        <f>G143/G7</f>
        <v>0.25994346860488599</v>
      </c>
      <c r="H144" s="111">
        <f>G144+'21'!H144</f>
        <v>6.4719345467843157</v>
      </c>
      <c r="I144" s="195"/>
      <c r="J144" s="203">
        <f>H144/DAY(B2)</f>
        <v>0.29417884303565073</v>
      </c>
      <c r="K144" s="71"/>
      <c r="L144" s="68"/>
      <c r="N144" s="73"/>
      <c r="O144" s="73"/>
    </row>
    <row r="145" spans="1:15" ht="27.75">
      <c r="A145" s="1245" t="s">
        <v>252</v>
      </c>
      <c r="B145" s="1246"/>
      <c r="C145" s="1247"/>
      <c r="D145" s="174" t="s">
        <v>131</v>
      </c>
      <c r="E145" s="106"/>
      <c r="F145" s="106"/>
      <c r="G145" s="956">
        <f>G41+G42+G55+G56</f>
        <v>7248.859999999986</v>
      </c>
      <c r="H145" s="111">
        <f>G145+'21'!H145</f>
        <v>-61889.77999999997</v>
      </c>
      <c r="I145" s="131"/>
      <c r="J145" s="203">
        <f>H145/DAY(B2)</f>
        <v>-2813.1718181818169</v>
      </c>
      <c r="K145" s="71"/>
      <c r="L145" s="68"/>
      <c r="N145" s="73"/>
      <c r="O145" s="73"/>
    </row>
    <row r="146" spans="1:15" ht="27.75">
      <c r="A146" s="1245" t="s">
        <v>253</v>
      </c>
      <c r="B146" s="1246"/>
      <c r="C146" s="1247"/>
      <c r="D146" s="174" t="s">
        <v>24</v>
      </c>
      <c r="E146" s="106"/>
      <c r="F146" s="106"/>
      <c r="G146" s="965">
        <f>G145/G7</f>
        <v>0.30490191129954858</v>
      </c>
      <c r="H146" s="111">
        <f>G146+'21'!H146</f>
        <v>5.7051401578382022</v>
      </c>
      <c r="I146" s="195"/>
      <c r="J146" s="203">
        <f>H146/DAY(B2)</f>
        <v>0.25932455262900916</v>
      </c>
      <c r="K146" s="71"/>
      <c r="L146" s="68"/>
      <c r="N146" s="73"/>
      <c r="O146" s="73"/>
    </row>
    <row r="147" spans="1:15" ht="27.75">
      <c r="A147" s="1245" t="s">
        <v>254</v>
      </c>
      <c r="B147" s="1246"/>
      <c r="C147" s="1247"/>
      <c r="D147" s="174" t="s">
        <v>131</v>
      </c>
      <c r="E147" s="106"/>
      <c r="F147" s="106"/>
      <c r="G147" s="956">
        <f>G39+G53</f>
        <v>4097</v>
      </c>
      <c r="H147" s="111">
        <f>G147+'21'!H147</f>
        <v>1033740.5900000001</v>
      </c>
      <c r="I147" s="196"/>
      <c r="J147" s="203">
        <f>H147/DAY(B2)</f>
        <v>46988.208636363641</v>
      </c>
      <c r="K147" s="71"/>
      <c r="L147" s="68"/>
      <c r="N147" s="73"/>
      <c r="O147" s="73"/>
    </row>
    <row r="148" spans="1:15" ht="27.75">
      <c r="A148" s="1245" t="s">
        <v>255</v>
      </c>
      <c r="B148" s="1246"/>
      <c r="C148" s="1247"/>
      <c r="D148" s="174" t="s">
        <v>24</v>
      </c>
      <c r="E148" s="106"/>
      <c r="F148" s="106"/>
      <c r="G148" s="965">
        <f>G147/G7</f>
        <v>0.17232821858806116</v>
      </c>
      <c r="H148" s="111">
        <f>G148+'21'!H148</f>
        <v>6.4871175122595854</v>
      </c>
      <c r="I148" s="196"/>
      <c r="J148" s="203">
        <f>H148/DAY(B2)</f>
        <v>0.29486897782998117</v>
      </c>
      <c r="N148" s="73"/>
      <c r="O148" s="73"/>
    </row>
    <row r="149" spans="1:15" ht="27.75">
      <c r="A149" s="1245" t="s">
        <v>256</v>
      </c>
      <c r="B149" s="1246"/>
      <c r="C149" s="1247"/>
      <c r="D149" s="174" t="s">
        <v>182</v>
      </c>
      <c r="E149" s="106"/>
      <c r="F149" s="106"/>
      <c r="G149" s="956">
        <f>G38+G52</f>
        <v>1801</v>
      </c>
      <c r="H149" s="111">
        <f>G149+'21'!H149</f>
        <v>821361.07</v>
      </c>
      <c r="I149" s="131"/>
      <c r="J149" s="203">
        <f>H149/DAY(B2)</f>
        <v>37334.594090909086</v>
      </c>
      <c r="K149" s="72"/>
      <c r="N149" s="73"/>
      <c r="O149" s="73"/>
    </row>
    <row r="150" spans="1:15" ht="27.75">
      <c r="A150" s="1245" t="s">
        <v>257</v>
      </c>
      <c r="B150" s="1246"/>
      <c r="C150" s="1247"/>
      <c r="D150" s="174" t="s">
        <v>24</v>
      </c>
      <c r="E150" s="106"/>
      <c r="F150" s="106"/>
      <c r="G150" s="965">
        <f>G149/G7</f>
        <v>7.5753751934854313E-2</v>
      </c>
      <c r="H150" s="111">
        <f>G150+'21'!H150</f>
        <v>3.9829433509298378</v>
      </c>
      <c r="I150" s="196"/>
      <c r="J150" s="203">
        <f>H150/DAY(B2)</f>
        <v>0.18104287958771989</v>
      </c>
      <c r="N150" s="73"/>
      <c r="O150" s="73"/>
    </row>
    <row r="151" spans="1:15" ht="27.75">
      <c r="A151" s="1245" t="s">
        <v>258</v>
      </c>
      <c r="B151" s="1246"/>
      <c r="C151" s="1247"/>
      <c r="D151" s="174" t="s">
        <v>182</v>
      </c>
      <c r="E151" s="106"/>
      <c r="F151" s="106"/>
      <c r="G151" s="956">
        <f>G36+G50</f>
        <v>2296.4000000000015</v>
      </c>
      <c r="H151" s="111">
        <f>G151+'21'!H151</f>
        <v>51222.8</v>
      </c>
      <c r="I151" s="196"/>
      <c r="J151" s="203">
        <f>H151/DAY(B2)</f>
        <v>2328.3090909090911</v>
      </c>
      <c r="N151" s="73"/>
      <c r="O151" s="73"/>
    </row>
    <row r="152" spans="1:15" ht="27.75">
      <c r="A152" s="1245" t="s">
        <v>259</v>
      </c>
      <c r="B152" s="1246"/>
      <c r="C152" s="1247"/>
      <c r="D152" s="174" t="s">
        <v>24</v>
      </c>
      <c r="E152" s="106"/>
      <c r="F152" s="106"/>
      <c r="G152" s="965">
        <f>G151/G7</f>
        <v>9.6591291473181323E-2</v>
      </c>
      <c r="H152" s="111">
        <f>G152+'21'!H152</f>
        <v>1.9045135287618367</v>
      </c>
      <c r="I152" s="131"/>
      <c r="J152" s="203">
        <f>H152/DAY(B2)</f>
        <v>8.656879676190167E-2</v>
      </c>
      <c r="N152" s="73"/>
      <c r="O152" s="73"/>
    </row>
    <row r="153" spans="1:15" ht="27.75">
      <c r="A153" s="1245" t="s">
        <v>260</v>
      </c>
      <c r="B153" s="1246"/>
      <c r="C153" s="1247"/>
      <c r="D153" s="174" t="s">
        <v>182</v>
      </c>
      <c r="E153" s="106"/>
      <c r="F153" s="106"/>
      <c r="G153" s="956">
        <f>G37+G51</f>
        <v>1652</v>
      </c>
      <c r="H153" s="111">
        <f>G153+'21'!H153</f>
        <v>401846.00000000006</v>
      </c>
      <c r="I153" s="131"/>
      <c r="J153" s="203">
        <f>H153/DAY(B2)</f>
        <v>18265.727272727276</v>
      </c>
      <c r="N153" s="73"/>
      <c r="O153" s="73"/>
    </row>
    <row r="154" spans="1:15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966">
        <f>G153/G7</f>
        <v>6.9486506494380526E-2</v>
      </c>
      <c r="H154" s="111">
        <f>G154+'21'!H154</f>
        <v>2.6257971579920998</v>
      </c>
      <c r="I154" s="219"/>
      <c r="J154" s="220">
        <f>H154/DAY(B2)</f>
        <v>0.11935441627236817</v>
      </c>
      <c r="N154" s="73"/>
      <c r="O154" s="73"/>
    </row>
    <row r="155" spans="1:15">
      <c r="A155" s="117"/>
      <c r="B155" s="107"/>
      <c r="C155" s="107"/>
      <c r="D155" s="197"/>
      <c r="E155" s="197"/>
      <c r="F155" s="197"/>
      <c r="G155" s="967"/>
      <c r="H155" s="198"/>
      <c r="I155" s="197"/>
      <c r="J155" s="199"/>
      <c r="O155" s="73"/>
    </row>
    <row r="161" spans="1:8">
      <c r="A161" s="435" t="s">
        <v>262</v>
      </c>
      <c r="B161" s="436"/>
      <c r="C161" s="436"/>
      <c r="D161" s="162" t="s">
        <v>186</v>
      </c>
      <c r="E161" s="309">
        <f>'21'!F161</f>
        <v>44987.4</v>
      </c>
      <c r="F161" s="309">
        <v>45072.79</v>
      </c>
      <c r="G161" s="943">
        <f t="shared" ref="G161:G164" si="15">F161-E161</f>
        <v>85.389999999999418</v>
      </c>
      <c r="H161" s="189">
        <v>68.809999999999491</v>
      </c>
    </row>
    <row r="162" spans="1:8">
      <c r="A162" s="435" t="s">
        <v>263</v>
      </c>
      <c r="B162" s="436"/>
      <c r="C162" s="436"/>
      <c r="D162" s="162" t="s">
        <v>186</v>
      </c>
      <c r="E162" s="309">
        <f>'21'!F162</f>
        <v>131844</v>
      </c>
      <c r="F162" s="309">
        <v>132320.35</v>
      </c>
      <c r="G162" s="943">
        <f t="shared" si="15"/>
        <v>476.35000000000582</v>
      </c>
      <c r="H162" s="189">
        <v>128.56999999999994</v>
      </c>
    </row>
    <row r="163" spans="1:8">
      <c r="A163" s="435" t="s">
        <v>264</v>
      </c>
      <c r="B163" s="436"/>
      <c r="C163" s="436"/>
      <c r="D163" s="162" t="s">
        <v>186</v>
      </c>
      <c r="E163" s="309">
        <f>'21'!F163</f>
        <v>61706.7</v>
      </c>
      <c r="F163" s="309">
        <v>61923.7</v>
      </c>
      <c r="G163" s="943">
        <f t="shared" si="15"/>
        <v>217</v>
      </c>
      <c r="H163" s="189">
        <v>141.49</v>
      </c>
    </row>
    <row r="164" spans="1:8">
      <c r="A164" s="435" t="s">
        <v>265</v>
      </c>
      <c r="B164" s="436"/>
      <c r="C164" s="436"/>
      <c r="D164" s="162" t="s">
        <v>186</v>
      </c>
      <c r="E164" s="309">
        <f>'21'!F164</f>
        <v>7359.25</v>
      </c>
      <c r="F164" s="309">
        <v>7367.38</v>
      </c>
      <c r="G164" s="943">
        <f t="shared" si="15"/>
        <v>8.1300000000001091</v>
      </c>
      <c r="H164" s="189">
        <v>45.430000000000007</v>
      </c>
    </row>
    <row r="165" spans="1:8">
      <c r="A165" s="437" t="s">
        <v>97</v>
      </c>
      <c r="B165" s="255"/>
      <c r="C165" s="255"/>
      <c r="D165" s="162" t="s">
        <v>186</v>
      </c>
      <c r="E165" s="165">
        <f>E62</f>
        <v>20419.2</v>
      </c>
      <c r="F165" s="165">
        <v>20419</v>
      </c>
      <c r="G165" s="943">
        <v>0</v>
      </c>
      <c r="H165" s="189">
        <v>0</v>
      </c>
    </row>
    <row r="166" spans="1:8">
      <c r="A166" s="437" t="s">
        <v>187</v>
      </c>
      <c r="B166" s="255"/>
      <c r="C166" s="255"/>
      <c r="D166" s="162" t="s">
        <v>186</v>
      </c>
      <c r="E166" s="165">
        <f t="shared" ref="E166:E172" si="16">E63</f>
        <v>0</v>
      </c>
      <c r="F166" s="165">
        <f t="shared" ref="F166:F172" si="17">F63</f>
        <v>0</v>
      </c>
      <c r="G166" s="943">
        <f t="shared" ref="G166:G172" si="18">F166-E166</f>
        <v>0</v>
      </c>
      <c r="H166" s="189">
        <v>0</v>
      </c>
    </row>
    <row r="167" spans="1:8" ht="27.75">
      <c r="A167" s="1232" t="s">
        <v>98</v>
      </c>
      <c r="B167" s="1232"/>
      <c r="C167" s="1232"/>
      <c r="D167" s="174" t="s">
        <v>186</v>
      </c>
      <c r="E167" s="165">
        <f t="shared" si="16"/>
        <v>190015</v>
      </c>
      <c r="F167" s="165">
        <f t="shared" si="17"/>
        <v>190383</v>
      </c>
      <c r="G167" s="943">
        <f t="shared" si="18"/>
        <v>368</v>
      </c>
      <c r="H167" s="189">
        <v>178.5199999999968</v>
      </c>
    </row>
    <row r="168" spans="1:8" ht="27.75">
      <c r="A168" s="1232" t="s">
        <v>99</v>
      </c>
      <c r="B168" s="1232"/>
      <c r="C168" s="1232"/>
      <c r="D168" s="174" t="s">
        <v>186</v>
      </c>
      <c r="E168" s="165">
        <f t="shared" si="16"/>
        <v>190649</v>
      </c>
      <c r="F168" s="165">
        <f t="shared" si="17"/>
        <v>191043</v>
      </c>
      <c r="G168" s="943">
        <f t="shared" si="18"/>
        <v>394</v>
      </c>
      <c r="H168" s="189">
        <v>198.38999999999942</v>
      </c>
    </row>
    <row r="169" spans="1:8" ht="27.75">
      <c r="A169" s="1232" t="s">
        <v>100</v>
      </c>
      <c r="B169" s="1232"/>
      <c r="C169" s="1232"/>
      <c r="D169" s="174" t="s">
        <v>186</v>
      </c>
      <c r="E169" s="165">
        <f t="shared" si="16"/>
        <v>89207.3</v>
      </c>
      <c r="F169" s="165">
        <f t="shared" si="17"/>
        <v>89602.5</v>
      </c>
      <c r="G169" s="943">
        <f t="shared" si="18"/>
        <v>395.19999999999709</v>
      </c>
      <c r="H169" s="189">
        <v>226.35000000000582</v>
      </c>
    </row>
    <row r="170" spans="1:8" ht="27.75">
      <c r="A170" s="1232" t="s">
        <v>101</v>
      </c>
      <c r="B170" s="1232"/>
      <c r="C170" s="1232"/>
      <c r="D170" s="174" t="s">
        <v>186</v>
      </c>
      <c r="E170" s="165">
        <f t="shared" si="16"/>
        <v>289912</v>
      </c>
      <c r="F170" s="165">
        <f t="shared" si="17"/>
        <v>290390</v>
      </c>
      <c r="G170" s="943">
        <f t="shared" si="18"/>
        <v>478</v>
      </c>
      <c r="H170" s="189">
        <v>312.47000000000116</v>
      </c>
    </row>
    <row r="171" spans="1:8" ht="27.75">
      <c r="A171" s="1232" t="s">
        <v>102</v>
      </c>
      <c r="B171" s="1232"/>
      <c r="C171" s="1232"/>
      <c r="D171" s="174" t="s">
        <v>186</v>
      </c>
      <c r="E171" s="165">
        <f t="shared" si="16"/>
        <v>85321</v>
      </c>
      <c r="F171" s="165">
        <f t="shared" si="17"/>
        <v>85321</v>
      </c>
      <c r="G171" s="943">
        <f t="shared" si="18"/>
        <v>0</v>
      </c>
      <c r="H171" s="189">
        <v>142.1200000000008</v>
      </c>
    </row>
    <row r="172" spans="1:8" ht="27.75">
      <c r="A172" s="1232" t="s">
        <v>103</v>
      </c>
      <c r="B172" s="1232"/>
      <c r="C172" s="1232"/>
      <c r="D172" s="174" t="s">
        <v>186</v>
      </c>
      <c r="E172" s="165">
        <f t="shared" si="16"/>
        <v>103127</v>
      </c>
      <c r="F172" s="165">
        <f t="shared" si="17"/>
        <v>103452</v>
      </c>
      <c r="G172" s="943">
        <f t="shared" si="18"/>
        <v>325</v>
      </c>
      <c r="H172" s="189">
        <v>12.869999999998981</v>
      </c>
    </row>
    <row r="173" spans="1:8" ht="27.75" customHeight="1">
      <c r="G173" s="968">
        <f>SUM(G161:G172)</f>
        <v>2747.0700000000024</v>
      </c>
    </row>
    <row r="174" spans="1:8" ht="27.75">
      <c r="A174" s="1232" t="s">
        <v>337</v>
      </c>
      <c r="B174" s="1232"/>
      <c r="C174" s="1232"/>
      <c r="D174" s="174" t="s">
        <v>186</v>
      </c>
      <c r="E174" s="309">
        <f>'21'!F174</f>
        <v>19191.400000000001</v>
      </c>
      <c r="F174" s="165">
        <v>19194</v>
      </c>
      <c r="G174" s="943">
        <f t="shared" ref="G174:G176" si="19">F174-E174</f>
        <v>2.5999999999985448</v>
      </c>
    </row>
    <row r="175" spans="1:8">
      <c r="A175" s="1273" t="s">
        <v>337</v>
      </c>
      <c r="B175" s="1236"/>
      <c r="C175" s="436"/>
      <c r="D175" s="174" t="s">
        <v>186</v>
      </c>
      <c r="E175" s="309">
        <f>'21'!F175</f>
        <v>70670.3</v>
      </c>
      <c r="F175" s="165">
        <v>70676.3</v>
      </c>
      <c r="G175" s="943">
        <f t="shared" si="19"/>
        <v>6</v>
      </c>
    </row>
    <row r="176" spans="1:8">
      <c r="A176" s="1273" t="s">
        <v>338</v>
      </c>
      <c r="B176" s="1236"/>
      <c r="C176" s="436"/>
      <c r="D176" s="174" t="s">
        <v>186</v>
      </c>
      <c r="E176" s="309">
        <f>'21'!F176</f>
        <v>27908.400000000001</v>
      </c>
      <c r="F176" s="165">
        <v>27915.8</v>
      </c>
      <c r="G176" s="943">
        <f t="shared" si="19"/>
        <v>7.3999999999978172</v>
      </c>
    </row>
    <row r="177" spans="1:15" ht="27.75">
      <c r="A177" s="1296" t="s">
        <v>382</v>
      </c>
      <c r="B177" s="1296"/>
      <c r="C177" s="1296"/>
      <c r="D177" s="1296"/>
      <c r="E177" s="1296"/>
      <c r="F177" s="1296"/>
      <c r="G177" s="1296"/>
    </row>
    <row r="178" spans="1:15">
      <c r="A178" s="435"/>
      <c r="B178" s="436"/>
      <c r="C178" s="436"/>
      <c r="D178" s="174" t="s">
        <v>186</v>
      </c>
      <c r="E178" s="309">
        <f>'21'!F178</f>
        <v>0</v>
      </c>
      <c r="F178" s="193"/>
      <c r="G178" s="124">
        <f t="shared" ref="G178:G184" si="20">F178-E178</f>
        <v>0</v>
      </c>
      <c r="N178" s="369"/>
      <c r="O178" s="374"/>
    </row>
    <row r="179" spans="1:15">
      <c r="A179" s="435" t="s">
        <v>383</v>
      </c>
      <c r="B179" s="436"/>
      <c r="C179" s="436"/>
      <c r="D179" s="174" t="s">
        <v>186</v>
      </c>
      <c r="E179" s="309">
        <f>'21'!F179</f>
        <v>0</v>
      </c>
      <c r="F179" s="193"/>
      <c r="G179" s="124">
        <f t="shared" si="20"/>
        <v>0</v>
      </c>
      <c r="N179" s="369"/>
      <c r="O179" s="374"/>
    </row>
    <row r="180" spans="1:15">
      <c r="A180" s="435" t="s">
        <v>384</v>
      </c>
      <c r="B180" s="436"/>
      <c r="C180" s="436"/>
      <c r="D180" s="174" t="s">
        <v>186</v>
      </c>
      <c r="E180" s="309">
        <f>'21'!F180</f>
        <v>0</v>
      </c>
      <c r="F180" s="193"/>
      <c r="G180" s="124">
        <f t="shared" si="20"/>
        <v>0</v>
      </c>
      <c r="N180" s="369"/>
      <c r="O180" s="374"/>
    </row>
    <row r="181" spans="1:15">
      <c r="A181" s="435" t="s">
        <v>385</v>
      </c>
      <c r="B181" s="436"/>
      <c r="C181" s="436"/>
      <c r="D181" s="174" t="s">
        <v>186</v>
      </c>
      <c r="E181" s="309">
        <f>'21'!F181</f>
        <v>0</v>
      </c>
      <c r="F181" s="193"/>
      <c r="G181" s="124">
        <f t="shared" si="20"/>
        <v>0</v>
      </c>
    </row>
    <row r="182" spans="1:15">
      <c r="A182" s="435" t="s">
        <v>386</v>
      </c>
      <c r="B182" s="436"/>
      <c r="C182" s="436"/>
      <c r="D182" s="174" t="s">
        <v>186</v>
      </c>
      <c r="E182" s="309">
        <f>'21'!F182</f>
        <v>0</v>
      </c>
      <c r="F182" s="193"/>
      <c r="G182" s="124">
        <f t="shared" si="20"/>
        <v>0</v>
      </c>
    </row>
    <row r="183" spans="1:15">
      <c r="A183" s="435" t="s">
        <v>387</v>
      </c>
      <c r="B183" s="436"/>
      <c r="C183" s="436"/>
      <c r="D183" s="174" t="s">
        <v>186</v>
      </c>
      <c r="E183" s="309">
        <f>'21'!F183</f>
        <v>0</v>
      </c>
      <c r="F183" s="193"/>
      <c r="G183" s="124">
        <f t="shared" si="20"/>
        <v>0</v>
      </c>
    </row>
    <row r="184" spans="1:15">
      <c r="A184" s="435" t="s">
        <v>388</v>
      </c>
      <c r="B184" s="436"/>
      <c r="C184" s="436"/>
      <c r="D184" s="174" t="s">
        <v>186</v>
      </c>
      <c r="E184" s="309">
        <f>'21'!F184</f>
        <v>0</v>
      </c>
      <c r="F184" s="193"/>
      <c r="G184" s="124">
        <f t="shared" si="20"/>
        <v>0</v>
      </c>
    </row>
  </sheetData>
  <mergeCells count="78">
    <mergeCell ref="A80:C80"/>
    <mergeCell ref="A81:C81"/>
    <mergeCell ref="A82:C82"/>
    <mergeCell ref="A69:C69"/>
    <mergeCell ref="A72:C72"/>
    <mergeCell ref="A73:C73"/>
    <mergeCell ref="A71:J71"/>
    <mergeCell ref="A70:C70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67:C167"/>
    <mergeCell ref="A168:C168"/>
    <mergeCell ref="A169:C169"/>
    <mergeCell ref="A170:C170"/>
    <mergeCell ref="A171:C171"/>
    <mergeCell ref="A174:C174"/>
    <mergeCell ref="A172:C172"/>
    <mergeCell ref="A175:B175"/>
    <mergeCell ref="A176:B176"/>
    <mergeCell ref="A177:G177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topLeftCell="A154" zoomScale="70" zoomScaleNormal="80" zoomScaleSheetLayoutView="70" workbookViewId="0">
      <selection activeCell="F8" sqref="F8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5.88671875" style="654" customWidth="1"/>
    <col min="4" max="4" width="13.6640625" style="654" customWidth="1"/>
    <col min="5" max="5" width="32.109375" style="654" customWidth="1"/>
    <col min="6" max="6" width="30" style="654" customWidth="1"/>
    <col min="7" max="7" width="20.33203125" style="654" customWidth="1"/>
    <col min="8" max="8" width="39.21875" style="655" customWidth="1"/>
    <col min="9" max="9" width="15.109375" style="654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2.5">
      <c r="A1" s="1355" t="s">
        <v>116</v>
      </c>
      <c r="B1" s="1356"/>
      <c r="C1" s="1356"/>
      <c r="D1" s="1356"/>
      <c r="E1" s="1356"/>
      <c r="F1" s="1356"/>
      <c r="G1" s="1356"/>
      <c r="H1" s="1356"/>
      <c r="I1" s="1356"/>
      <c r="J1" s="1357"/>
      <c r="K1" s="456">
        <v>10002.799999999999</v>
      </c>
    </row>
    <row r="2" spans="1:15">
      <c r="A2" s="457" t="s">
        <v>377</v>
      </c>
      <c r="B2" s="723">
        <v>44431</v>
      </c>
      <c r="C2" s="458" t="s">
        <v>68</v>
      </c>
      <c r="D2" s="459">
        <v>0.72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64">
        <v>28</v>
      </c>
      <c r="E3" s="1364" t="s">
        <v>120</v>
      </c>
      <c r="F3" s="1365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459">
        <v>0.78</v>
      </c>
      <c r="E4" s="472"/>
      <c r="F4" s="472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58" t="s">
        <v>129</v>
      </c>
      <c r="B6" s="1359"/>
      <c r="C6" s="1360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1" thickBot="1">
      <c r="A7" s="487" t="s">
        <v>130</v>
      </c>
      <c r="B7" s="488"/>
      <c r="C7" s="488"/>
      <c r="D7" s="489" t="s">
        <v>131</v>
      </c>
      <c r="E7" s="490">
        <f>'22'!F7</f>
        <v>95413.5</v>
      </c>
      <c r="F7" s="490">
        <v>117717</v>
      </c>
      <c r="G7" s="491">
        <f>F7-E7</f>
        <v>22303.5</v>
      </c>
      <c r="H7" s="492">
        <f>G7+'22'!H7</f>
        <v>819025.3899999999</v>
      </c>
      <c r="I7" s="493">
        <f>'1'!I7</f>
        <v>12000</v>
      </c>
      <c r="J7" s="494">
        <f>H7/DAY(B2)</f>
        <v>35609.799565217385</v>
      </c>
      <c r="K7" s="495"/>
      <c r="L7" s="469"/>
      <c r="O7" s="496"/>
    </row>
    <row r="8" spans="1:15" ht="21" thickBot="1">
      <c r="A8" s="497" t="s">
        <v>132</v>
      </c>
      <c r="B8" s="498"/>
      <c r="C8" s="499"/>
      <c r="D8" s="500" t="s">
        <v>25</v>
      </c>
      <c r="E8" s="490">
        <f>'22'!F8</f>
        <v>104702.74</v>
      </c>
      <c r="F8" s="1131">
        <f>E8+22500</f>
        <v>127202.74</v>
      </c>
      <c r="G8" s="501">
        <f>F8-E8</f>
        <v>22500</v>
      </c>
      <c r="H8" s="492">
        <f>G8+'22'!H8</f>
        <v>820149</v>
      </c>
      <c r="I8" s="502">
        <f>'1'!I8</f>
        <v>12000</v>
      </c>
      <c r="J8" s="494">
        <f>H8/DAY(B2)</f>
        <v>35658.65217391304</v>
      </c>
      <c r="K8" s="495"/>
      <c r="L8" s="503"/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'22'!F9</f>
        <v>3168920</v>
      </c>
      <c r="F9" s="507">
        <v>3188790</v>
      </c>
      <c r="G9" s="491">
        <f t="shared" ref="G9:G12" si="0">F9-E9</f>
        <v>19870</v>
      </c>
      <c r="H9" s="492">
        <f>G9+'22'!H9</f>
        <v>3106260</v>
      </c>
      <c r="I9" s="508">
        <f>I8-J8</f>
        <v>-23658.65217391304</v>
      </c>
      <c r="J9" s="494">
        <f>H9/DAY(B2)</f>
        <v>135054.78260869565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'22'!F10</f>
        <v>2606.85</v>
      </c>
      <c r="F10" s="507">
        <v>2606.85</v>
      </c>
      <c r="G10" s="491">
        <f t="shared" si="0"/>
        <v>0</v>
      </c>
      <c r="H10" s="492">
        <f>G10+'22'!H10</f>
        <v>-0.15000000000009095</v>
      </c>
      <c r="I10" s="510"/>
      <c r="J10" s="494">
        <f>H10/DAY(B2)</f>
        <v>-6.5217391304387366E-3</v>
      </c>
      <c r="K10" s="509"/>
      <c r="L10" s="469"/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'22'!F11</f>
        <v>37000</v>
      </c>
      <c r="F11" s="490">
        <v>37000</v>
      </c>
      <c r="G11" s="491">
        <f t="shared" si="0"/>
        <v>0</v>
      </c>
      <c r="H11" s="492">
        <f>G11+'22'!H11</f>
        <v>0</v>
      </c>
      <c r="I11" s="510"/>
      <c r="J11" s="494">
        <f>H11/DAY(B2)</f>
        <v>0</v>
      </c>
      <c r="K11" s="509"/>
      <c r="L11" s="469"/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'22'!F12</f>
        <v>40010</v>
      </c>
      <c r="F12" s="507">
        <v>40010</v>
      </c>
      <c r="G12" s="491">
        <f t="shared" si="0"/>
        <v>0</v>
      </c>
      <c r="H12" s="492">
        <f>G12+'22'!H12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490"/>
      <c r="G13" s="513">
        <f>G9+G10+G11+G12</f>
        <v>19870</v>
      </c>
      <c r="H13" s="492">
        <f>G13+'22'!H13</f>
        <v>3062244.36</v>
      </c>
      <c r="I13" s="514">
        <f>G7-G13</f>
        <v>2433.5</v>
      </c>
      <c r="J13" s="494">
        <f>H13/DAY(B2)</f>
        <v>133141.05913043479</v>
      </c>
      <c r="K13" s="509"/>
      <c r="L13" s="469"/>
      <c r="O13" s="496"/>
    </row>
    <row r="14" spans="1:15">
      <c r="A14" s="1361" t="s">
        <v>138</v>
      </c>
      <c r="B14" s="1362"/>
      <c r="C14" s="1363"/>
      <c r="D14" s="484"/>
      <c r="E14" s="484"/>
      <c r="F14" s="484"/>
      <c r="G14" s="515"/>
      <c r="H14" s="484"/>
      <c r="I14" s="484"/>
      <c r="J14" s="485"/>
      <c r="K14" s="516"/>
      <c r="L14" s="469"/>
      <c r="O14" s="496"/>
    </row>
    <row r="15" spans="1:15">
      <c r="A15" s="517" t="s">
        <v>139</v>
      </c>
      <c r="B15" s="518"/>
      <c r="C15" s="518"/>
      <c r="D15" s="489" t="s">
        <v>140</v>
      </c>
      <c r="E15" s="490">
        <f>'22'!F15</f>
        <v>1748895.28</v>
      </c>
      <c r="F15" s="1132">
        <v>1749724</v>
      </c>
      <c r="G15" s="666">
        <f>(F15-E15)</f>
        <v>828.71999999997206</v>
      </c>
      <c r="H15" s="492">
        <f>G15+'22'!H15</f>
        <v>-6806</v>
      </c>
      <c r="I15" s="493">
        <f>'1'!I15</f>
        <v>800</v>
      </c>
      <c r="J15" s="494">
        <f>H15/DAY(B2)</f>
        <v>-295.91304347826087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523"/>
      <c r="G16" s="491"/>
      <c r="H16" s="524"/>
      <c r="I16" s="525">
        <f>I15-J15</f>
        <v>1095.913043478261</v>
      </c>
      <c r="J16" s="526"/>
      <c r="K16" s="509"/>
      <c r="L16" s="469"/>
      <c r="O16" s="496"/>
    </row>
    <row r="17" spans="1:15">
      <c r="A17" s="1361" t="s">
        <v>141</v>
      </c>
      <c r="B17" s="1362"/>
      <c r="C17" s="1363"/>
      <c r="D17" s="484"/>
      <c r="E17" s="484"/>
      <c r="F17" s="484"/>
      <c r="G17" s="527"/>
      <c r="H17" s="484"/>
      <c r="I17" s="484"/>
      <c r="J17" s="485"/>
      <c r="K17" s="509"/>
      <c r="L17" s="469"/>
      <c r="O17" s="496"/>
    </row>
    <row r="18" spans="1:15">
      <c r="A18" s="1337" t="s">
        <v>142</v>
      </c>
      <c r="B18" s="1338"/>
      <c r="C18" s="1339"/>
      <c r="D18" s="489" t="s">
        <v>143</v>
      </c>
      <c r="E18" s="490">
        <f>'22'!F18</f>
        <v>20</v>
      </c>
      <c r="F18" s="887">
        <v>16</v>
      </c>
      <c r="G18" s="513">
        <f>F18*10</f>
        <v>160</v>
      </c>
      <c r="H18" s="492">
        <f>G18+'22'!H18</f>
        <v>3640</v>
      </c>
      <c r="I18" s="493">
        <f>'1'!I18</f>
        <v>65</v>
      </c>
      <c r="J18" s="494">
        <f>H18/DAY(B2)</f>
        <v>158.2608695652174</v>
      </c>
      <c r="K18" s="509"/>
      <c r="L18" s="469"/>
      <c r="O18" s="496"/>
    </row>
    <row r="19" spans="1:15">
      <c r="A19" s="1337" t="s">
        <v>70</v>
      </c>
      <c r="B19" s="1338"/>
      <c r="C19" s="1339"/>
      <c r="D19" s="489" t="s">
        <v>143</v>
      </c>
      <c r="E19" s="490">
        <f>'22'!F19</f>
        <v>144787</v>
      </c>
      <c r="F19" s="519">
        <v>144853</v>
      </c>
      <c r="G19" s="491">
        <f t="shared" ref="G19" si="1">F19-E19</f>
        <v>66</v>
      </c>
      <c r="H19" s="492">
        <f>G19+'22'!H19</f>
        <v>-485</v>
      </c>
      <c r="I19" s="493">
        <f>'1'!I19</f>
        <v>0</v>
      </c>
      <c r="J19" s="494">
        <f>H19/DAY(B2)</f>
        <v>-21.086956521739129</v>
      </c>
      <c r="K19" s="509"/>
      <c r="L19" s="469"/>
      <c r="N19" s="657">
        <v>126171</v>
      </c>
      <c r="O19" s="496"/>
    </row>
    <row r="20" spans="1:15">
      <c r="A20" s="511" t="s">
        <v>144</v>
      </c>
      <c r="B20" s="512"/>
      <c r="C20" s="512"/>
      <c r="D20" s="529"/>
      <c r="E20" s="529"/>
      <c r="F20" s="529"/>
      <c r="G20" s="530">
        <f>G18+G19</f>
        <v>226</v>
      </c>
      <c r="H20" s="492">
        <f>G20+'22'!H20</f>
        <v>3155</v>
      </c>
      <c r="I20" s="531">
        <f>I18-J20</f>
        <v>-72.173913043478251</v>
      </c>
      <c r="J20" s="494">
        <f>H20/DAY(B2)</f>
        <v>137.17391304347825</v>
      </c>
      <c r="K20" s="509"/>
      <c r="L20" s="469"/>
      <c r="N20" s="657">
        <f>N19-F19</f>
        <v>-18682</v>
      </c>
      <c r="O20" s="496"/>
    </row>
    <row r="21" spans="1:15">
      <c r="A21" s="1361" t="s">
        <v>145</v>
      </c>
      <c r="B21" s="1362"/>
      <c r="C21" s="1363"/>
      <c r="D21" s="484"/>
      <c r="E21" s="484"/>
      <c r="F21" s="484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519">
        <v>2970</v>
      </c>
      <c r="F22" s="519">
        <v>2970</v>
      </c>
      <c r="G22" s="513">
        <f t="shared" ref="G22" si="2">(F22-E22)</f>
        <v>0</v>
      </c>
      <c r="H22" s="492">
        <f>G22+'22'!H22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v>2000</v>
      </c>
      <c r="F23" s="519">
        <v>2000</v>
      </c>
      <c r="G23" s="513">
        <v>0</v>
      </c>
      <c r="H23" s="492">
        <f>G23+'22'!H23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v>4970</v>
      </c>
      <c r="F24" s="534">
        <v>4970</v>
      </c>
      <c r="G24" s="513">
        <v>0</v>
      </c>
      <c r="H24" s="492">
        <f>G24+'22'!H24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58" t="s">
        <v>150</v>
      </c>
      <c r="B25" s="1359"/>
      <c r="C25" s="1360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>
      <c r="A27" s="541" t="s">
        <v>6</v>
      </c>
      <c r="B27" s="542"/>
      <c r="C27" s="543"/>
      <c r="D27" s="548" t="s">
        <v>25</v>
      </c>
      <c r="E27" s="549">
        <f>G8</f>
        <v>22500</v>
      </c>
      <c r="F27" s="550">
        <v>9</v>
      </c>
      <c r="G27" s="551">
        <f>E27*F27</f>
        <v>202500</v>
      </c>
      <c r="H27" s="492">
        <f>G27+'22'!H27</f>
        <v>7374303</v>
      </c>
      <c r="I27" s="552"/>
      <c r="J27" s="494">
        <f>H27/DAY(B2)</f>
        <v>320621.86956521741</v>
      </c>
      <c r="K27" s="509"/>
      <c r="L27" s="539"/>
      <c r="N27" s="658"/>
      <c r="O27" s="496"/>
    </row>
    <row r="28" spans="1:15" s="540" customFormat="1">
      <c r="A28" s="541" t="s">
        <v>153</v>
      </c>
      <c r="B28" s="542"/>
      <c r="C28" s="543"/>
      <c r="D28" s="548" t="s">
        <v>154</v>
      </c>
      <c r="E28" s="549">
        <f>G15</f>
        <v>828.71999999997206</v>
      </c>
      <c r="F28" s="550">
        <v>56.2</v>
      </c>
      <c r="G28" s="551">
        <f>E28*F28</f>
        <v>46574.063999998434</v>
      </c>
      <c r="H28" s="492">
        <f>G28+'22'!H28</f>
        <v>-387065.17139999982</v>
      </c>
      <c r="I28" s="553"/>
      <c r="J28" s="494">
        <f>H28/DAY(B2)</f>
        <v>-16828.920495652164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550">
        <v>69</v>
      </c>
      <c r="G29" s="551">
        <f>E29*F29</f>
        <v>0</v>
      </c>
      <c r="H29" s="492">
        <f>G29+'22'!H29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66</v>
      </c>
      <c r="F30" s="550">
        <v>146</v>
      </c>
      <c r="G30" s="551">
        <f>E30*F30</f>
        <v>9636</v>
      </c>
      <c r="H30" s="492">
        <f>G30+'22'!H30</f>
        <v>-70810</v>
      </c>
      <c r="I30" s="553"/>
      <c r="J30" s="494">
        <f>H30/DAY(B2)</f>
        <v>-3078.695652173913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160</v>
      </c>
      <c r="F31" s="550">
        <v>80</v>
      </c>
      <c r="G31" s="551">
        <f>E31*F31</f>
        <v>12800</v>
      </c>
      <c r="H31" s="492">
        <f>G31+'22'!H31</f>
        <v>285964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557"/>
      <c r="G32" s="558">
        <f>G27+G28+G29+G30+G31</f>
        <v>271510.06399999844</v>
      </c>
      <c r="H32" s="492">
        <f>G32+'22'!H32</f>
        <v>7202391.8286000006</v>
      </c>
      <c r="I32" s="559"/>
      <c r="J32" s="494">
        <f>H32/DAY(B2)</f>
        <v>313147.47080869565</v>
      </c>
      <c r="K32" s="509"/>
      <c r="L32" s="539"/>
      <c r="N32" s="658"/>
      <c r="O32" s="496"/>
    </row>
    <row r="33" spans="1:15" ht="18.75">
      <c r="A33" s="1366" t="s">
        <v>161</v>
      </c>
      <c r="B33" s="1367"/>
      <c r="C33" s="1367"/>
      <c r="D33" s="1367"/>
      <c r="E33" s="1367"/>
      <c r="F33" s="1367"/>
      <c r="G33" s="1367"/>
      <c r="H33" s="1367"/>
      <c r="I33" s="1367"/>
      <c r="J33" s="1368"/>
      <c r="K33" s="509"/>
      <c r="L33" s="469"/>
      <c r="O33" s="496"/>
    </row>
    <row r="34" spans="1:15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'22'!F35</f>
        <v>1058597</v>
      </c>
      <c r="F35" s="562">
        <v>1058597</v>
      </c>
      <c r="G35" s="491">
        <f t="shared" ref="G35:G46" si="3">F35-E35</f>
        <v>0</v>
      </c>
      <c r="H35" s="492">
        <f>G35+'22'!H35</f>
        <v>0</v>
      </c>
      <c r="I35" s="490"/>
      <c r="J35" s="494">
        <f>H35/DAY(B2)</f>
        <v>0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'22'!F36</f>
        <v>63151.8</v>
      </c>
      <c r="F36" s="562">
        <v>63814</v>
      </c>
      <c r="G36" s="491">
        <f t="shared" si="3"/>
        <v>662.19999999999709</v>
      </c>
      <c r="H36" s="492">
        <f>G36+'22'!H36</f>
        <v>61981</v>
      </c>
      <c r="I36" s="490"/>
      <c r="J36" s="494">
        <f>H36/DAY(B2)</f>
        <v>2694.8260869565215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'22'!F37</f>
        <v>260981</v>
      </c>
      <c r="F37" s="562">
        <v>262570</v>
      </c>
      <c r="G37" s="491">
        <f t="shared" si="3"/>
        <v>1589</v>
      </c>
      <c r="H37" s="492">
        <f>G37+'22'!H37</f>
        <v>258795</v>
      </c>
      <c r="I37" s="490"/>
      <c r="J37" s="494">
        <f>H37/DAY(B2)</f>
        <v>11251.95652173913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'22'!F38</f>
        <v>286578</v>
      </c>
      <c r="F38" s="479">
        <v>288122</v>
      </c>
      <c r="G38" s="491">
        <f t="shared" si="3"/>
        <v>1544</v>
      </c>
      <c r="H38" s="492">
        <f>G38+'22'!H38</f>
        <v>283299</v>
      </c>
      <c r="I38" s="490"/>
      <c r="J38" s="494">
        <f>H38/DAY(B2)</f>
        <v>12317.347826086956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'22'!F39</f>
        <v>603351</v>
      </c>
      <c r="F39" s="562">
        <v>606850</v>
      </c>
      <c r="G39" s="491">
        <f t="shared" si="3"/>
        <v>3499</v>
      </c>
      <c r="H39" s="492">
        <f>G39+'22'!H39</f>
        <v>603008</v>
      </c>
      <c r="I39" s="490"/>
      <c r="J39" s="494">
        <f>H39/DAY(B2)</f>
        <v>26217.739130434784</v>
      </c>
      <c r="K39" s="509"/>
      <c r="L39" s="469"/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'22'!F40</f>
        <v>30604.799999999999</v>
      </c>
      <c r="F40" s="562">
        <v>31144</v>
      </c>
      <c r="G40" s="491">
        <f t="shared" si="3"/>
        <v>539.20000000000073</v>
      </c>
      <c r="H40" s="492">
        <f>G40+'22'!H40</f>
        <v>31301.4</v>
      </c>
      <c r="I40" s="490"/>
      <c r="J40" s="494">
        <f>H40/DAY(B2)</f>
        <v>1360.9304347826087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'22'!F41</f>
        <v>433282</v>
      </c>
      <c r="F41" s="1065">
        <v>433282</v>
      </c>
      <c r="G41" s="491">
        <f t="shared" si="3"/>
        <v>0</v>
      </c>
      <c r="H41" s="492">
        <f>G41+'22'!H41</f>
        <v>0.21000000002095476</v>
      </c>
      <c r="I41" s="490"/>
      <c r="J41" s="494">
        <f>H41/DAY(B2)</f>
        <v>9.1304347835197714E-3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'22'!F42</f>
        <v>148997</v>
      </c>
      <c r="F42" s="1065">
        <v>150427</v>
      </c>
      <c r="G42" s="491">
        <f t="shared" si="3"/>
        <v>1430</v>
      </c>
      <c r="H42" s="492">
        <f>G42+'22'!H42</f>
        <v>-24685</v>
      </c>
      <c r="I42" s="490"/>
      <c r="J42" s="494">
        <f>H42/DAY(B2)</f>
        <v>-1073.2608695652175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'22'!F43</f>
        <v>1264780</v>
      </c>
      <c r="F43" s="562">
        <v>1267250</v>
      </c>
      <c r="G43" s="491">
        <f t="shared" si="3"/>
        <v>2470</v>
      </c>
      <c r="H43" s="492">
        <f>G43+'22'!H43</f>
        <v>-22495</v>
      </c>
      <c r="I43" s="490"/>
      <c r="J43" s="494">
        <f>H43/DAY(B2)</f>
        <v>-978.04347826086962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'22'!F44</f>
        <v>0</v>
      </c>
      <c r="F44" s="562">
        <v>0</v>
      </c>
      <c r="G44" s="491">
        <f t="shared" si="3"/>
        <v>0</v>
      </c>
      <c r="H44" s="492">
        <f>G44+'22'!H44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'22'!F45</f>
        <v>614</v>
      </c>
      <c r="F45" s="562">
        <v>614</v>
      </c>
      <c r="G45" s="491">
        <f t="shared" si="3"/>
        <v>0</v>
      </c>
      <c r="H45" s="492">
        <f>G45+'22'!H45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'22'!F46</f>
        <v>187</v>
      </c>
      <c r="F46" s="562">
        <v>187</v>
      </c>
      <c r="G46" s="491">
        <f t="shared" si="3"/>
        <v>0</v>
      </c>
      <c r="H46" s="492">
        <f>G46+'22'!H46</f>
        <v>-0.49000000000000909</v>
      </c>
      <c r="I46" s="490"/>
      <c r="J46" s="494">
        <f>H46/DAY(B2)</f>
        <v>-2.1304347826087353E-2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11733.399999999998</v>
      </c>
      <c r="H47" s="492">
        <f>G47+'22'!H47</f>
        <v>1192005.6100000003</v>
      </c>
      <c r="I47" s="490"/>
      <c r="J47" s="494">
        <f>H47/DAY(B2)</f>
        <v>51826.33086956523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490">
        <f>'22'!F49</f>
        <v>391342</v>
      </c>
      <c r="F49" s="562">
        <v>394459</v>
      </c>
      <c r="G49" s="491">
        <f t="shared" ref="G49:G58" si="4">F49-E49</f>
        <v>3117</v>
      </c>
      <c r="H49" s="492">
        <f>G49+'22'!H49</f>
        <v>377679</v>
      </c>
      <c r="I49" s="490"/>
      <c r="J49" s="494">
        <f>H49/DAY(B2)</f>
        <v>16420.82608695652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'22'!F50</f>
        <v>597202</v>
      </c>
      <c r="F50" s="1065">
        <v>598187</v>
      </c>
      <c r="G50" s="491">
        <f t="shared" si="4"/>
        <v>985</v>
      </c>
      <c r="H50" s="492">
        <f>G50+'22'!H50</f>
        <v>-10031</v>
      </c>
      <c r="I50" s="490"/>
      <c r="J50" s="494">
        <f>H50/DAY(B2)</f>
        <v>-436.13043478260869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'22'!F51</f>
        <v>144640</v>
      </c>
      <c r="F51" s="562">
        <v>144640</v>
      </c>
      <c r="G51" s="491">
        <f t="shared" si="4"/>
        <v>0</v>
      </c>
      <c r="H51" s="492">
        <f>G51+'22'!H51</f>
        <v>144640</v>
      </c>
      <c r="I51" s="490"/>
      <c r="J51" s="494">
        <f>H51/DAY(B2)</f>
        <v>6288.695652173913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'22'!F52</f>
        <v>539606.06999999995</v>
      </c>
      <c r="F52" s="562">
        <v>539606.06999999995</v>
      </c>
      <c r="G52" s="491">
        <f t="shared" si="4"/>
        <v>0</v>
      </c>
      <c r="H52" s="492">
        <f>G52+'22'!H52</f>
        <v>0</v>
      </c>
      <c r="I52" s="490"/>
      <c r="J52" s="494">
        <f>H52/DAY(B2)</f>
        <v>0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'22'!F53</f>
        <v>434231.59</v>
      </c>
      <c r="F53" s="562">
        <v>434231.59</v>
      </c>
      <c r="G53" s="491">
        <f t="shared" si="4"/>
        <v>0</v>
      </c>
      <c r="H53" s="492">
        <f>G53+'22'!H53</f>
        <v>434231.59</v>
      </c>
      <c r="I53" s="490"/>
      <c r="J53" s="494">
        <f>H53/DAY(B2)</f>
        <v>18879.63434782609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'22'!F54</f>
        <v>14967.39</v>
      </c>
      <c r="F54" s="562">
        <v>14967.39</v>
      </c>
      <c r="G54" s="491">
        <f t="shared" si="4"/>
        <v>0</v>
      </c>
      <c r="H54" s="492">
        <f>G54+'22'!H54</f>
        <v>12502.39</v>
      </c>
      <c r="I54" s="490"/>
      <c r="J54" s="494">
        <f>H54/DAY(B2)</f>
        <v>543.58217391304345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'22'!F55</f>
        <v>281892</v>
      </c>
      <c r="F55" s="562">
        <v>287735</v>
      </c>
      <c r="G55" s="491">
        <f t="shared" si="4"/>
        <v>5843</v>
      </c>
      <c r="H55" s="492">
        <f>G55+'22'!H55</f>
        <v>-19563.989999999991</v>
      </c>
      <c r="I55" s="490"/>
      <c r="J55" s="494">
        <f>H55/DAY(B2)</f>
        <v>-850.60826086956479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'22'!F56</f>
        <v>649621</v>
      </c>
      <c r="F56" s="562">
        <v>649634</v>
      </c>
      <c r="G56" s="491">
        <f t="shared" si="4"/>
        <v>13</v>
      </c>
      <c r="H56" s="492">
        <f>G56+'22'!H56</f>
        <v>-11397</v>
      </c>
      <c r="I56" s="490"/>
      <c r="J56" s="494">
        <f>H56/DAY(B2)</f>
        <v>-495.52173913043481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'22'!F57</f>
        <v>7711</v>
      </c>
      <c r="F57" s="562">
        <v>7711</v>
      </c>
      <c r="G57" s="491">
        <f t="shared" si="4"/>
        <v>0</v>
      </c>
      <c r="H57" s="492">
        <f>G57+'22'!H57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'22'!F58</f>
        <v>64158.3</v>
      </c>
      <c r="F58" s="562">
        <v>64352</v>
      </c>
      <c r="G58" s="491">
        <f t="shared" si="4"/>
        <v>193.69999999999709</v>
      </c>
      <c r="H58" s="492">
        <f>G58+'22'!H58</f>
        <v>-1831</v>
      </c>
      <c r="I58" s="490"/>
      <c r="J58" s="494">
        <f>H58/DAY(B2)</f>
        <v>-79.608695652173907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10151.699999999997</v>
      </c>
      <c r="H59" s="492">
        <f>G59+'22'!H59</f>
        <v>1465836.0599999996</v>
      </c>
      <c r="I59" s="490">
        <f>G7-G60</f>
        <v>418.40000000000509</v>
      </c>
      <c r="J59" s="494">
        <f>H59/DAY(B2)</f>
        <v>63732.002608695635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476"/>
      <c r="G60" s="513">
        <f>G47+G59</f>
        <v>21885.099999999995</v>
      </c>
      <c r="H60" s="492">
        <f>G60+'22'!H60</f>
        <v>2664530.6700000004</v>
      </c>
      <c r="I60" s="490">
        <f>G13-G60</f>
        <v>-2015.0999999999949</v>
      </c>
      <c r="J60" s="494">
        <f>H60/DAY(B2)</f>
        <v>115849.15956521741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'22'!F62</f>
        <v>20419.2</v>
      </c>
      <c r="F62" s="572">
        <v>20419</v>
      </c>
      <c r="G62" s="491">
        <f t="shared" ref="G62:G69" si="5">F62-E62</f>
        <v>-0.2000000000007276</v>
      </c>
      <c r="H62" s="492">
        <f>G62+'22'!H62</f>
        <v>1.9999999967694748E-3</v>
      </c>
      <c r="I62" s="573"/>
      <c r="J62" s="494">
        <f>H62/DAY(B2)</f>
        <v>8.6956521598672822E-5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'22'!F63</f>
        <v>0</v>
      </c>
      <c r="F63" s="572">
        <v>0</v>
      </c>
      <c r="G63" s="491">
        <f t="shared" si="5"/>
        <v>0</v>
      </c>
      <c r="H63" s="492">
        <f>G63+'22'!H63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343" t="s">
        <v>98</v>
      </c>
      <c r="B64" s="1344"/>
      <c r="C64" s="1345"/>
      <c r="D64" s="489" t="s">
        <v>186</v>
      </c>
      <c r="E64" s="490">
        <f>'22'!F64</f>
        <v>190383</v>
      </c>
      <c r="F64" s="519">
        <v>190848</v>
      </c>
      <c r="G64" s="491">
        <f t="shared" si="5"/>
        <v>465</v>
      </c>
      <c r="H64" s="492">
        <f>G64+'22'!H64</f>
        <v>-3369</v>
      </c>
      <c r="I64" s="510"/>
      <c r="J64" s="494">
        <f>H64/DAY(B2)</f>
        <v>-146.47826086956522</v>
      </c>
      <c r="K64" s="509"/>
      <c r="L64" s="469"/>
      <c r="O64" s="496"/>
    </row>
    <row r="65" spans="1:15">
      <c r="A65" s="1343" t="s">
        <v>99</v>
      </c>
      <c r="B65" s="1344"/>
      <c r="C65" s="1345"/>
      <c r="D65" s="489" t="s">
        <v>186</v>
      </c>
      <c r="E65" s="490">
        <f>'22'!F65</f>
        <v>191043</v>
      </c>
      <c r="F65" s="519">
        <v>191466</v>
      </c>
      <c r="G65" s="491">
        <f t="shared" si="5"/>
        <v>423</v>
      </c>
      <c r="H65" s="492">
        <f>G65+'22'!H65</f>
        <v>-3163</v>
      </c>
      <c r="I65" s="528"/>
      <c r="J65" s="494">
        <f>H65/DAY(B2)</f>
        <v>-137.52173913043478</v>
      </c>
      <c r="K65" s="509"/>
      <c r="L65" s="469"/>
      <c r="O65" s="496"/>
    </row>
    <row r="66" spans="1:15">
      <c r="A66" s="1343" t="s">
        <v>100</v>
      </c>
      <c r="B66" s="1344"/>
      <c r="C66" s="1345"/>
      <c r="D66" s="489" t="s">
        <v>186</v>
      </c>
      <c r="E66" s="490">
        <f>'22'!F66</f>
        <v>89602.5</v>
      </c>
      <c r="F66" s="519">
        <v>90059</v>
      </c>
      <c r="G66" s="491">
        <f t="shared" si="5"/>
        <v>456.5</v>
      </c>
      <c r="H66" s="492">
        <f>G66+'22'!H66</f>
        <v>-3258</v>
      </c>
      <c r="I66" s="510"/>
      <c r="J66" s="494">
        <f>H66/DAY(B2)</f>
        <v>-141.65217391304347</v>
      </c>
      <c r="K66" s="509"/>
      <c r="L66" s="469"/>
      <c r="O66" s="496"/>
    </row>
    <row r="67" spans="1:15">
      <c r="A67" s="1343" t="s">
        <v>101</v>
      </c>
      <c r="B67" s="1344"/>
      <c r="C67" s="1345"/>
      <c r="D67" s="489" t="s">
        <v>186</v>
      </c>
      <c r="E67" s="490">
        <f>'22'!F67</f>
        <v>290390</v>
      </c>
      <c r="F67" s="519">
        <v>290879</v>
      </c>
      <c r="G67" s="491">
        <f t="shared" si="5"/>
        <v>489</v>
      </c>
      <c r="H67" s="492">
        <f>G67+'22'!H67</f>
        <v>-4012</v>
      </c>
      <c r="I67" s="528"/>
      <c r="J67" s="494">
        <f>H67/DAY(B2)</f>
        <v>-174.43478260869566</v>
      </c>
      <c r="K67" s="516"/>
      <c r="L67" s="469"/>
      <c r="O67" s="496"/>
    </row>
    <row r="68" spans="1:15">
      <c r="A68" s="1343" t="s">
        <v>102</v>
      </c>
      <c r="B68" s="1344"/>
      <c r="C68" s="1345"/>
      <c r="D68" s="489" t="s">
        <v>186</v>
      </c>
      <c r="E68" s="490">
        <f>'22'!F68</f>
        <v>85321</v>
      </c>
      <c r="F68" s="519">
        <v>85321</v>
      </c>
      <c r="G68" s="491">
        <f t="shared" si="5"/>
        <v>0</v>
      </c>
      <c r="H68" s="492">
        <f>G68+'22'!H68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343" t="s">
        <v>103</v>
      </c>
      <c r="B69" s="1344"/>
      <c r="C69" s="1345"/>
      <c r="D69" s="489" t="s">
        <v>186</v>
      </c>
      <c r="E69" s="490">
        <f>'22'!F69</f>
        <v>103452</v>
      </c>
      <c r="F69" s="519">
        <v>103777</v>
      </c>
      <c r="G69" s="491">
        <f t="shared" si="5"/>
        <v>325</v>
      </c>
      <c r="H69" s="492">
        <f>G69+'22'!H69</f>
        <v>-2629</v>
      </c>
      <c r="I69" s="574"/>
      <c r="J69" s="494">
        <f>H69/DAY(B2)</f>
        <v>-114.30434782608695</v>
      </c>
      <c r="K69" s="576"/>
      <c r="L69" s="469"/>
      <c r="O69" s="496"/>
    </row>
    <row r="70" spans="1:15">
      <c r="A70" s="1352" t="s">
        <v>188</v>
      </c>
      <c r="B70" s="1353"/>
      <c r="C70" s="1354"/>
      <c r="D70" s="489" t="s">
        <v>186</v>
      </c>
      <c r="E70" s="577"/>
      <c r="F70" s="578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2.5">
      <c r="A71" s="1349" t="s">
        <v>189</v>
      </c>
      <c r="B71" s="1350"/>
      <c r="C71" s="1350"/>
      <c r="D71" s="1350"/>
      <c r="E71" s="1350"/>
      <c r="F71" s="1350"/>
      <c r="G71" s="1350"/>
      <c r="H71" s="1350"/>
      <c r="I71" s="1350"/>
      <c r="J71" s="1351"/>
      <c r="K71" s="575"/>
      <c r="L71" s="469"/>
      <c r="O71" s="496"/>
    </row>
    <row r="72" spans="1:15">
      <c r="A72" s="1343" t="s">
        <v>190</v>
      </c>
      <c r="B72" s="1344"/>
      <c r="C72" s="1345"/>
      <c r="D72" s="489" t="s">
        <v>186</v>
      </c>
      <c r="E72" s="490">
        <f>'22'!F72</f>
        <v>856918</v>
      </c>
      <c r="F72" s="580">
        <v>856927</v>
      </c>
      <c r="G72" s="491">
        <f t="shared" ref="G72:G84" si="6">F72-E72</f>
        <v>9</v>
      </c>
      <c r="H72" s="492">
        <f>G72+'22'!H72</f>
        <v>220</v>
      </c>
      <c r="I72" s="510"/>
      <c r="J72" s="494">
        <f>H72/DAY(B2)</f>
        <v>9.5652173913043477</v>
      </c>
      <c r="K72" s="576"/>
      <c r="L72" s="469"/>
      <c r="O72" s="496"/>
    </row>
    <row r="73" spans="1:15">
      <c r="A73" s="1343" t="s">
        <v>191</v>
      </c>
      <c r="B73" s="1344"/>
      <c r="C73" s="1345"/>
      <c r="D73" s="489" t="s">
        <v>186</v>
      </c>
      <c r="E73" s="490">
        <f>'22'!F73</f>
        <v>886040</v>
      </c>
      <c r="F73" s="581">
        <v>886041</v>
      </c>
      <c r="G73" s="491">
        <f t="shared" si="6"/>
        <v>1</v>
      </c>
      <c r="H73" s="492">
        <f>G73+'22'!H73</f>
        <v>-10</v>
      </c>
      <c r="I73" s="510"/>
      <c r="J73" s="494">
        <f>H73/DAY(B2)</f>
        <v>-0.43478260869565216</v>
      </c>
      <c r="K73" s="575"/>
      <c r="L73" s="469"/>
      <c r="O73" s="496"/>
    </row>
    <row r="74" spans="1:15">
      <c r="A74" s="1343" t="s">
        <v>192</v>
      </c>
      <c r="B74" s="1344"/>
      <c r="C74" s="1345"/>
      <c r="D74" s="489" t="s">
        <v>186</v>
      </c>
      <c r="E74" s="490">
        <f>'22'!F74</f>
        <v>88760.8</v>
      </c>
      <c r="F74" s="582">
        <v>88761</v>
      </c>
      <c r="G74" s="491">
        <f t="shared" si="6"/>
        <v>0.19999999999708962</v>
      </c>
      <c r="H74" s="492">
        <f>G74+'22'!H74</f>
        <v>71</v>
      </c>
      <c r="I74" s="510"/>
      <c r="J74" s="494">
        <f>H74/DAY(B2)</f>
        <v>3.0869565217391304</v>
      </c>
      <c r="K74" s="576"/>
      <c r="L74" s="469"/>
      <c r="O74" s="496"/>
    </row>
    <row r="75" spans="1:15">
      <c r="A75" s="1346" t="s">
        <v>193</v>
      </c>
      <c r="B75" s="1347"/>
      <c r="C75" s="1348"/>
      <c r="D75" s="489" t="s">
        <v>186</v>
      </c>
      <c r="E75" s="490">
        <f>'22'!F75</f>
        <v>24723.5</v>
      </c>
      <c r="F75" s="582">
        <v>24894</v>
      </c>
      <c r="G75" s="491">
        <f t="shared" si="6"/>
        <v>170.5</v>
      </c>
      <c r="H75" s="492">
        <f>G75+'22'!H75</f>
        <v>-1414</v>
      </c>
      <c r="I75" s="510"/>
      <c r="J75" s="494">
        <f>H75/DAY(B2)</f>
        <v>-61.478260869565219</v>
      </c>
      <c r="K75" s="575"/>
      <c r="L75" s="469"/>
      <c r="O75" s="496"/>
    </row>
    <row r="76" spans="1:15">
      <c r="A76" s="1346" t="s">
        <v>194</v>
      </c>
      <c r="B76" s="1347"/>
      <c r="C76" s="1348"/>
      <c r="D76" s="489" t="s">
        <v>186</v>
      </c>
      <c r="E76" s="490">
        <f>'22'!F76</f>
        <v>12647.8</v>
      </c>
      <c r="F76" s="581">
        <v>12711</v>
      </c>
      <c r="G76" s="491">
        <f t="shared" si="6"/>
        <v>63.200000000000728</v>
      </c>
      <c r="H76" s="492">
        <f>G76+'22'!H76</f>
        <v>-566</v>
      </c>
      <c r="I76" s="553"/>
      <c r="J76" s="494">
        <f>H76/DAY(B2)</f>
        <v>-24.608695652173914</v>
      </c>
      <c r="K76" s="575"/>
      <c r="L76" s="469"/>
      <c r="O76" s="496"/>
    </row>
    <row r="77" spans="1:15">
      <c r="A77" s="1343" t="s">
        <v>195</v>
      </c>
      <c r="B77" s="1344"/>
      <c r="C77" s="1345"/>
      <c r="D77" s="489" t="s">
        <v>186</v>
      </c>
      <c r="E77" s="490">
        <f>'22'!F77</f>
        <v>707807</v>
      </c>
      <c r="F77" s="581">
        <v>707871</v>
      </c>
      <c r="G77" s="491">
        <f t="shared" si="6"/>
        <v>64</v>
      </c>
      <c r="H77" s="492">
        <f>G77+'22'!H77</f>
        <v>-418</v>
      </c>
      <c r="I77" s="553"/>
      <c r="J77" s="494">
        <f>H77/DAY(B2)</f>
        <v>-18.173913043478262</v>
      </c>
      <c r="K77" s="575"/>
      <c r="L77" s="469"/>
      <c r="O77" s="496"/>
    </row>
    <row r="78" spans="1:15">
      <c r="A78" s="583" t="s">
        <v>196</v>
      </c>
      <c r="B78" s="755"/>
      <c r="C78" s="755"/>
      <c r="D78" s="489" t="s">
        <v>186</v>
      </c>
      <c r="E78" s="490">
        <f>'22'!F78</f>
        <v>681165</v>
      </c>
      <c r="F78" s="582">
        <v>681240</v>
      </c>
      <c r="G78" s="491">
        <f t="shared" si="6"/>
        <v>75</v>
      </c>
      <c r="H78" s="492">
        <f>G78+'22'!H78</f>
        <v>-1173</v>
      </c>
      <c r="I78" s="553"/>
      <c r="J78" s="494">
        <f>H78/DAY(B2)</f>
        <v>-51</v>
      </c>
      <c r="K78" s="575"/>
      <c r="L78" s="469"/>
      <c r="O78" s="496"/>
    </row>
    <row r="79" spans="1:15">
      <c r="A79" s="1346" t="s">
        <v>91</v>
      </c>
      <c r="B79" s="1347"/>
      <c r="C79" s="1348"/>
      <c r="D79" s="522" t="s">
        <v>186</v>
      </c>
      <c r="E79" s="490">
        <f>'22'!F79</f>
        <v>843664</v>
      </c>
      <c r="F79" s="847">
        <v>843822</v>
      </c>
      <c r="G79" s="491">
        <f t="shared" si="6"/>
        <v>158</v>
      </c>
      <c r="H79" s="492">
        <f>G79+'22'!H79</f>
        <v>-1227</v>
      </c>
      <c r="I79" s="553"/>
      <c r="J79" s="494">
        <f>H79/DAY(B2)</f>
        <v>-53.347826086956523</v>
      </c>
      <c r="K79" s="575"/>
      <c r="L79" s="469"/>
      <c r="O79" s="496"/>
    </row>
    <row r="80" spans="1:15">
      <c r="A80" s="1346" t="s">
        <v>197</v>
      </c>
      <c r="B80" s="1347"/>
      <c r="C80" s="1348"/>
      <c r="D80" s="522" t="s">
        <v>186</v>
      </c>
      <c r="E80" s="490">
        <f>'22'!F80</f>
        <v>560803</v>
      </c>
      <c r="F80" s="581">
        <v>561203</v>
      </c>
      <c r="G80" s="491">
        <f t="shared" si="6"/>
        <v>400</v>
      </c>
      <c r="H80" s="492">
        <f>G80+'22'!H80</f>
        <v>-3095</v>
      </c>
      <c r="I80" s="553"/>
      <c r="J80" s="494">
        <f>H80/DAY(B2)</f>
        <v>-134.56521739130434</v>
      </c>
      <c r="K80" s="575"/>
      <c r="L80" s="469"/>
      <c r="O80" s="496"/>
    </row>
    <row r="81" spans="1:15">
      <c r="A81" s="1346" t="s">
        <v>198</v>
      </c>
      <c r="B81" s="1347"/>
      <c r="C81" s="1348"/>
      <c r="D81" s="522" t="s">
        <v>186</v>
      </c>
      <c r="E81" s="490">
        <f>'22'!F81</f>
        <v>652840</v>
      </c>
      <c r="F81" s="581">
        <v>652977</v>
      </c>
      <c r="G81" s="491">
        <f t="shared" si="6"/>
        <v>137</v>
      </c>
      <c r="H81" s="492">
        <f>G81+'22'!H81</f>
        <v>-1201</v>
      </c>
      <c r="I81" s="553"/>
      <c r="J81" s="494">
        <f>H81/DAY(B2)</f>
        <v>-52.217391304347828</v>
      </c>
      <c r="K81" s="575"/>
      <c r="L81" s="469"/>
      <c r="O81" s="496"/>
    </row>
    <row r="82" spans="1:15">
      <c r="A82" s="1346" t="s">
        <v>92</v>
      </c>
      <c r="B82" s="1347"/>
      <c r="C82" s="1348"/>
      <c r="D82" s="523" t="s">
        <v>131</v>
      </c>
      <c r="E82" s="490">
        <f>'22'!F82</f>
        <v>109758</v>
      </c>
      <c r="F82" s="584">
        <v>109774</v>
      </c>
      <c r="G82" s="491">
        <f t="shared" si="6"/>
        <v>16</v>
      </c>
      <c r="H82" s="492">
        <f>G82+'22'!H82</f>
        <v>109997</v>
      </c>
      <c r="I82" s="524"/>
      <c r="J82" s="494">
        <f>H82/DAY(B2)</f>
        <v>4782.478260869565</v>
      </c>
      <c r="K82" s="575"/>
      <c r="L82" s="469"/>
      <c r="O82" s="496"/>
    </row>
    <row r="83" spans="1:15">
      <c r="A83" s="1346" t="s">
        <v>199</v>
      </c>
      <c r="B83" s="1347"/>
      <c r="C83" s="1348"/>
      <c r="D83" s="585" t="s">
        <v>131</v>
      </c>
      <c r="E83" s="490">
        <f>'22'!F83</f>
        <v>41740</v>
      </c>
      <c r="F83" s="888">
        <v>42030</v>
      </c>
      <c r="G83" s="491">
        <f t="shared" si="6"/>
        <v>290</v>
      </c>
      <c r="H83" s="492">
        <f>G83+'22'!H83</f>
        <v>-2293</v>
      </c>
      <c r="I83" s="513"/>
      <c r="J83" s="494">
        <f>H83/DAY(B2)</f>
        <v>-99.695652173913047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'22'!F84</f>
        <v>564113</v>
      </c>
      <c r="F84" s="588">
        <v>564804</v>
      </c>
      <c r="G84" s="491">
        <f t="shared" si="6"/>
        <v>691</v>
      </c>
      <c r="H84" s="492">
        <f>G84+'22'!H84</f>
        <v>-5575</v>
      </c>
      <c r="I84" s="513"/>
      <c r="J84" s="494">
        <f>H84/DAY(B2)</f>
        <v>-242.39130434782609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/>
      <c r="F85" s="489"/>
      <c r="G85" s="492">
        <f xml:space="preserve"> SUM(G72:G84)</f>
        <v>2074.8999999999978</v>
      </c>
      <c r="H85" s="492">
        <f>G85+'22'!H85</f>
        <v>93001.000000000015</v>
      </c>
      <c r="I85" s="513"/>
      <c r="J85" s="494">
        <f>H85/DAY(B2)</f>
        <v>4043.5217391304354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'22'!F86</f>
        <v>463189.1</v>
      </c>
      <c r="F86" s="597">
        <v>463208</v>
      </c>
      <c r="G86" s="598">
        <f t="shared" ref="G86:G88" si="7">F86-E86</f>
        <v>18.900000000023283</v>
      </c>
      <c r="H86" s="492">
        <f>G86+'22'!H86</f>
        <v>63.760000000009313</v>
      </c>
      <c r="I86" s="599"/>
      <c r="J86" s="600">
        <f>H86/DAY(B2)</f>
        <v>2.7721739130438832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'22'!F87</f>
        <v>83614.399999999994</v>
      </c>
      <c r="F87" s="597">
        <v>83659</v>
      </c>
      <c r="G87" s="598">
        <f t="shared" si="7"/>
        <v>44.600000000005821</v>
      </c>
      <c r="H87" s="492">
        <f>G87+'22'!H87</f>
        <v>190.5</v>
      </c>
      <c r="I87" s="599"/>
      <c r="J87" s="600">
        <f>H87/DAY(B2)</f>
        <v>8.2826086956521738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'22'!F88</f>
        <v>158212</v>
      </c>
      <c r="F88" s="597">
        <v>158212</v>
      </c>
      <c r="G88" s="598">
        <f t="shared" si="7"/>
        <v>0</v>
      </c>
      <c r="H88" s="492">
        <f>G88+'22'!H88</f>
        <v>0</v>
      </c>
      <c r="I88" s="599"/>
      <c r="J88" s="600">
        <f>H88/DAY(B2)</f>
        <v>0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'22'!F89</f>
        <v>68415.8</v>
      </c>
      <c r="F89" s="597">
        <v>68499</v>
      </c>
      <c r="G89" s="598">
        <f t="shared" ref="G89:G91" si="8">F89-E89</f>
        <v>83.19999999999709</v>
      </c>
      <c r="H89" s="492">
        <f>G89+'22'!H89</f>
        <v>433.39999999999418</v>
      </c>
      <c r="I89" s="599"/>
      <c r="J89" s="600">
        <f>H89/DAY(B2)</f>
        <v>18.843478260869311</v>
      </c>
      <c r="K89" s="601"/>
      <c r="L89" s="602"/>
      <c r="N89" s="662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'22'!F90</f>
        <v>3564.2</v>
      </c>
      <c r="F90" s="597">
        <v>3571</v>
      </c>
      <c r="G90" s="598">
        <f t="shared" si="8"/>
        <v>6.8000000000001819</v>
      </c>
      <c r="H90" s="492">
        <f>G90+'22'!H90</f>
        <v>27.800000000000182</v>
      </c>
      <c r="I90" s="599"/>
      <c r="J90" s="600">
        <f>H90/DAY(B2)</f>
        <v>1.2086956521739209</v>
      </c>
      <c r="K90" s="601"/>
      <c r="L90" s="602"/>
      <c r="N90" s="662"/>
      <c r="O90" s="496"/>
    </row>
    <row r="91" spans="1:15" s="386" customFormat="1" ht="24.75" customHeight="1">
      <c r="A91" s="594" t="s">
        <v>335</v>
      </c>
      <c r="B91" s="382"/>
      <c r="C91" s="382"/>
      <c r="D91" s="596" t="s">
        <v>182</v>
      </c>
      <c r="E91" s="490">
        <f>'22'!F91</f>
        <v>28678.53</v>
      </c>
      <c r="F91" s="597">
        <v>28687</v>
      </c>
      <c r="G91" s="598">
        <f t="shared" si="8"/>
        <v>8.4700000000011642</v>
      </c>
      <c r="H91" s="492">
        <f>G91+'22'!H91</f>
        <v>25</v>
      </c>
      <c r="I91" s="303"/>
      <c r="J91" s="600">
        <f>H91/DAY(B2)</f>
        <v>1.0869565217391304</v>
      </c>
      <c r="K91" s="384"/>
      <c r="L91" s="385"/>
      <c r="N91" s="428"/>
      <c r="O91" s="73"/>
    </row>
    <row r="92" spans="1:15" s="593" customForma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337" t="s">
        <v>205</v>
      </c>
      <c r="B93" s="1338"/>
      <c r="C93" s="1339"/>
      <c r="D93" s="489" t="s">
        <v>143</v>
      </c>
      <c r="E93" s="490">
        <f>'22'!F93</f>
        <v>252590</v>
      </c>
      <c r="F93" s="519">
        <v>252654</v>
      </c>
      <c r="G93" s="491">
        <f t="shared" ref="G93:G94" si="9">F93-E93</f>
        <v>64</v>
      </c>
      <c r="H93" s="492">
        <f>G93+'22'!H93</f>
        <v>-798</v>
      </c>
      <c r="I93" s="510"/>
      <c r="J93" s="494">
        <f>H93/DAY(B2)</f>
        <v>-34.695652173913047</v>
      </c>
      <c r="K93" s="516"/>
      <c r="L93" s="469"/>
      <c r="O93" s="496"/>
    </row>
    <row r="94" spans="1:15">
      <c r="A94" s="1337" t="s">
        <v>206</v>
      </c>
      <c r="B94" s="1338"/>
      <c r="C94" s="1339"/>
      <c r="D94" s="489" t="s">
        <v>143</v>
      </c>
      <c r="E94" s="490">
        <f>'22'!F94</f>
        <v>196178</v>
      </c>
      <c r="F94" s="887">
        <v>196356</v>
      </c>
      <c r="G94" s="491">
        <f t="shared" si="9"/>
        <v>178</v>
      </c>
      <c r="H94" s="492">
        <f>G94+'22'!H94</f>
        <v>-1303</v>
      </c>
      <c r="I94" s="510"/>
      <c r="J94" s="494">
        <f>H94/DAY(B2)</f>
        <v>-56.652173913043477</v>
      </c>
      <c r="K94" s="589"/>
      <c r="L94" s="469"/>
      <c r="O94" s="496"/>
    </row>
    <row r="95" spans="1:15">
      <c r="A95" s="1329" t="s">
        <v>207</v>
      </c>
      <c r="B95" s="1330"/>
      <c r="C95" s="1331"/>
      <c r="D95" s="489"/>
      <c r="E95" s="490">
        <f>'22'!F95</f>
        <v>0</v>
      </c>
      <c r="F95" s="519"/>
      <c r="G95" s="491">
        <f>G93+G94</f>
        <v>242</v>
      </c>
      <c r="H95" s="492">
        <f>G95+'22'!H95</f>
        <v>-2326</v>
      </c>
      <c r="I95" s="510"/>
      <c r="J95" s="494">
        <f>H95/DAY(B2)</f>
        <v>-101.1304347826087</v>
      </c>
      <c r="K95" s="589"/>
      <c r="L95" s="469"/>
      <c r="O95" s="496"/>
    </row>
    <row r="96" spans="1:15">
      <c r="A96" s="1337" t="s">
        <v>208</v>
      </c>
      <c r="B96" s="1338"/>
      <c r="C96" s="1339"/>
      <c r="D96" s="489" t="s">
        <v>143</v>
      </c>
      <c r="E96" s="490">
        <f>'22'!F96</f>
        <v>420325</v>
      </c>
      <c r="F96" s="519">
        <v>420390</v>
      </c>
      <c r="G96" s="491">
        <f t="shared" ref="G96:G101" si="10">F96-E96</f>
        <v>65</v>
      </c>
      <c r="H96" s="492">
        <f>G96+'22'!H96</f>
        <v>-629</v>
      </c>
      <c r="I96" s="510"/>
      <c r="J96" s="494">
        <f>H96/DAY(B2)</f>
        <v>-27.347826086956523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'22'!F97</f>
        <v>104419</v>
      </c>
      <c r="F97" s="519">
        <v>104438</v>
      </c>
      <c r="G97" s="491">
        <f t="shared" si="10"/>
        <v>19</v>
      </c>
      <c r="H97" s="492">
        <f>G97+'22'!H97</f>
        <v>-198</v>
      </c>
      <c r="I97" s="510"/>
      <c r="J97" s="494">
        <f>H97/DAY(B2)</f>
        <v>-8.6086956521739122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'22'!F98</f>
        <v>100105</v>
      </c>
      <c r="F98" s="519">
        <v>100128</v>
      </c>
      <c r="G98" s="491">
        <f t="shared" si="10"/>
        <v>23</v>
      </c>
      <c r="H98" s="492">
        <f>G98+'22'!H98</f>
        <v>-242</v>
      </c>
      <c r="I98" s="510"/>
      <c r="J98" s="494">
        <f>H98/DAY(B2)</f>
        <v>-10.521739130434783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'22'!F99</f>
        <v>151854</v>
      </c>
      <c r="F99" s="519">
        <v>151898</v>
      </c>
      <c r="G99" s="491">
        <f t="shared" si="10"/>
        <v>44</v>
      </c>
      <c r="H99" s="492">
        <f>G99+'22'!H99</f>
        <v>-237</v>
      </c>
      <c r="I99" s="510"/>
      <c r="J99" s="494">
        <f>H99/DAY(B2)</f>
        <v>-10.304347826086957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'22'!F100</f>
        <v>8513</v>
      </c>
      <c r="F100" s="519">
        <v>8527</v>
      </c>
      <c r="G100" s="491">
        <f t="shared" si="10"/>
        <v>14</v>
      </c>
      <c r="H100" s="492">
        <f>G100+'22'!H100</f>
        <v>-118</v>
      </c>
      <c r="I100" s="510"/>
      <c r="J100" s="494">
        <f>H100/DAY(B2)</f>
        <v>-5.1304347826086953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'22'!F101</f>
        <v>6277</v>
      </c>
      <c r="F101" s="519">
        <v>6283</v>
      </c>
      <c r="G101" s="491">
        <f t="shared" si="10"/>
        <v>6</v>
      </c>
      <c r="H101" s="492">
        <f>G101+'22'!H101</f>
        <v>-90</v>
      </c>
      <c r="I101" s="510"/>
      <c r="J101" s="494">
        <f>H101/DAY(B2)</f>
        <v>-3.9130434782608696</v>
      </c>
      <c r="K101" s="589"/>
      <c r="L101" s="469"/>
      <c r="O101" s="496"/>
    </row>
    <row r="102" spans="1:15">
      <c r="A102" s="1329" t="s">
        <v>215</v>
      </c>
      <c r="B102" s="1330"/>
      <c r="C102" s="1331"/>
      <c r="D102" s="522"/>
      <c r="E102" s="522"/>
      <c r="F102" s="522"/>
      <c r="G102" s="606">
        <f>SUM(G96:G101)</f>
        <v>171</v>
      </c>
      <c r="H102" s="492">
        <f>G102+'22'!H102</f>
        <v>-1514</v>
      </c>
      <c r="I102" s="607"/>
      <c r="J102" s="494">
        <f>H102/DAY(B2)</f>
        <v>-65.826086956521735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>
      <c r="A104" s="1326" t="s">
        <v>217</v>
      </c>
      <c r="B104" s="1327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>
      <c r="A105" s="1320" t="s">
        <v>218</v>
      </c>
      <c r="B105" s="1321"/>
      <c r="C105" s="622"/>
      <c r="D105" s="618" t="s">
        <v>143</v>
      </c>
      <c r="E105" s="619">
        <f>'22'!F105</f>
        <v>7929</v>
      </c>
      <c r="F105" s="619">
        <v>7929</v>
      </c>
      <c r="G105" s="619">
        <f>F105-E105</f>
        <v>0</v>
      </c>
      <c r="H105" s="620">
        <f>SUM(G105+'1'!G76)</f>
        <v>75.700000000000728</v>
      </c>
      <c r="I105" s="619"/>
      <c r="J105" s="621">
        <f>H105/DAY(B2)</f>
        <v>3.2913043478261188</v>
      </c>
      <c r="N105" s="658"/>
      <c r="O105" s="496"/>
    </row>
    <row r="106" spans="1:15" s="540" customFormat="1">
      <c r="A106" s="1320" t="s">
        <v>76</v>
      </c>
      <c r="B106" s="1321"/>
      <c r="C106" s="622"/>
      <c r="D106" s="618" t="s">
        <v>143</v>
      </c>
      <c r="E106" s="619">
        <f>'22'!F106</f>
        <v>36675</v>
      </c>
      <c r="F106" s="889">
        <v>36686</v>
      </c>
      <c r="G106" s="619">
        <f t="shared" ref="G106:G107" si="11">F106-E106</f>
        <v>11</v>
      </c>
      <c r="H106" s="620">
        <f>SUM(G106+'1'!G77)</f>
        <v>58</v>
      </c>
      <c r="I106" s="619"/>
      <c r="J106" s="621">
        <f>H106/DAY(B2)</f>
        <v>2.5217391304347827</v>
      </c>
      <c r="N106" s="658"/>
      <c r="O106" s="496"/>
    </row>
    <row r="107" spans="1:15" s="540" customFormat="1">
      <c r="A107" s="1320" t="s">
        <v>77</v>
      </c>
      <c r="B107" s="1328"/>
      <c r="C107" s="1321"/>
      <c r="D107" s="618" t="s">
        <v>143</v>
      </c>
      <c r="E107" s="619">
        <f>'22'!F107</f>
        <v>20139</v>
      </c>
      <c r="F107" s="619">
        <v>20146</v>
      </c>
      <c r="G107" s="619">
        <f t="shared" si="11"/>
        <v>7</v>
      </c>
      <c r="H107" s="620">
        <f>SUM(G107+'1'!G78)</f>
        <v>25</v>
      </c>
      <c r="I107" s="619"/>
      <c r="J107" s="621">
        <f>H107/DAY(B2)</f>
        <v>1.0869565217391304</v>
      </c>
      <c r="N107" s="658"/>
      <c r="O107" s="496"/>
    </row>
    <row r="108" spans="1:15" s="540" customFormat="1">
      <c r="A108" s="1322" t="s">
        <v>201</v>
      </c>
      <c r="B108" s="1323"/>
      <c r="C108" s="622"/>
      <c r="D108" s="618"/>
      <c r="E108" s="619">
        <f>'22'!F108</f>
        <v>0</v>
      </c>
      <c r="F108" s="619"/>
      <c r="G108" s="619">
        <f>SUM(G105:G107)</f>
        <v>18</v>
      </c>
      <c r="H108" s="620">
        <f>SUM(G108+'1'!G79)</f>
        <v>184</v>
      </c>
      <c r="I108" s="619"/>
      <c r="J108" s="621">
        <f>H108/DAY(B2)</f>
        <v>8</v>
      </c>
      <c r="N108" s="658"/>
      <c r="O108" s="496"/>
    </row>
    <row r="109" spans="1:15" s="540" customFormat="1">
      <c r="A109" s="1318" t="s">
        <v>78</v>
      </c>
      <c r="B109" s="1319"/>
      <c r="C109" s="622"/>
      <c r="D109" s="618" t="s">
        <v>143</v>
      </c>
      <c r="E109" s="619">
        <f>'22'!F109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>
      <c r="A110" s="1320" t="s">
        <v>219</v>
      </c>
      <c r="B110" s="1321"/>
      <c r="C110" s="622"/>
      <c r="D110" s="618" t="s">
        <v>143</v>
      </c>
      <c r="E110" s="619">
        <f>'22'!F110</f>
        <v>68785</v>
      </c>
      <c r="F110" s="619">
        <v>68862</v>
      </c>
      <c r="G110" s="619">
        <f>F110-E110</f>
        <v>77</v>
      </c>
      <c r="H110" s="620">
        <f>SUM(G110+'1'!G81)</f>
        <v>251.80000000004657</v>
      </c>
      <c r="I110" s="619"/>
      <c r="J110" s="621">
        <f>H110/DAY(B2)</f>
        <v>10.947826086958546</v>
      </c>
      <c r="N110" s="658"/>
      <c r="O110" s="496"/>
    </row>
    <row r="111" spans="1:15" s="540" customFormat="1">
      <c r="A111" s="1320" t="s">
        <v>220</v>
      </c>
      <c r="B111" s="1321"/>
      <c r="C111" s="622"/>
      <c r="D111" s="618" t="s">
        <v>143</v>
      </c>
      <c r="E111" s="619">
        <f>'22'!F111</f>
        <v>33886</v>
      </c>
      <c r="F111" s="889">
        <v>33886</v>
      </c>
      <c r="G111" s="619">
        <f t="shared" ref="G111:G112" si="12">F111-E111</f>
        <v>0</v>
      </c>
      <c r="H111" s="620">
        <f>SUM(G111+'1'!G82)</f>
        <v>30</v>
      </c>
      <c r="I111" s="619"/>
      <c r="J111" s="621">
        <f>H111/DAY(B2)</f>
        <v>1.3043478260869565</v>
      </c>
      <c r="N111" s="658"/>
      <c r="O111" s="496"/>
    </row>
    <row r="112" spans="1:15" s="540" customFormat="1">
      <c r="A112" s="1320" t="s">
        <v>221</v>
      </c>
      <c r="B112" s="1321"/>
      <c r="C112" s="622"/>
      <c r="D112" s="618" t="s">
        <v>143</v>
      </c>
      <c r="E112" s="619">
        <f>'22'!F112</f>
        <v>4698</v>
      </c>
      <c r="F112" s="889">
        <v>4698</v>
      </c>
      <c r="G112" s="619">
        <f t="shared" si="12"/>
        <v>0</v>
      </c>
      <c r="H112" s="620">
        <f>SUM(G112+'1'!G83)</f>
        <v>311</v>
      </c>
      <c r="I112" s="619"/>
      <c r="J112" s="621">
        <f>H112/DAY(B2)</f>
        <v>13.521739130434783</v>
      </c>
      <c r="N112" s="658"/>
      <c r="O112" s="496"/>
    </row>
    <row r="113" spans="1:15" s="540" customFormat="1">
      <c r="A113" s="1324" t="s">
        <v>109</v>
      </c>
      <c r="B113" s="1325"/>
      <c r="C113" s="622"/>
      <c r="D113" s="618"/>
      <c r="E113" s="619">
        <f>'22'!F113</f>
        <v>0</v>
      </c>
      <c r="F113" s="619"/>
      <c r="G113" s="619">
        <f>SUM(G110:G112)</f>
        <v>77</v>
      </c>
      <c r="H113" s="620">
        <f>SUM(G113+'1'!G84)</f>
        <v>817</v>
      </c>
      <c r="I113" s="619"/>
      <c r="J113" s="621">
        <f>H113/DAY(B2)</f>
        <v>35.521739130434781</v>
      </c>
      <c r="N113" s="658"/>
      <c r="O113" s="496"/>
    </row>
    <row r="114" spans="1:15" s="540" customFormat="1">
      <c r="A114" s="1318" t="s">
        <v>222</v>
      </c>
      <c r="B114" s="1319"/>
      <c r="C114" s="622"/>
      <c r="D114" s="618"/>
      <c r="E114" s="619">
        <f>'22'!F114</f>
        <v>0</v>
      </c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320" t="s">
        <v>223</v>
      </c>
      <c r="B115" s="1321"/>
      <c r="C115" s="624"/>
      <c r="D115" s="618" t="s">
        <v>143</v>
      </c>
      <c r="E115" s="619">
        <f>'22'!F115</f>
        <v>12881</v>
      </c>
      <c r="F115" s="623">
        <v>12899</v>
      </c>
      <c r="G115" s="623">
        <f>F115-E115</f>
        <v>18</v>
      </c>
      <c r="H115" s="620">
        <f>SUM(G115+'1'!G92)</f>
        <v>18</v>
      </c>
      <c r="I115" s="619"/>
      <c r="J115" s="621">
        <f>H115/DAY(B2)</f>
        <v>0.78260869565217395</v>
      </c>
      <c r="N115" s="658"/>
      <c r="O115" s="496"/>
    </row>
    <row r="116" spans="1:15" s="540" customFormat="1">
      <c r="A116" s="1320" t="s">
        <v>224</v>
      </c>
      <c r="B116" s="1321"/>
      <c r="C116" s="624"/>
      <c r="D116" s="618" t="s">
        <v>143</v>
      </c>
      <c r="E116" s="619">
        <f>'22'!F116</f>
        <v>9051</v>
      </c>
      <c r="F116" s="623">
        <v>9054</v>
      </c>
      <c r="G116" s="623">
        <f t="shared" ref="G116:G117" si="13">F116-E116</f>
        <v>3</v>
      </c>
      <c r="H116" s="620">
        <f>SUM(G116+'1'!G93)</f>
        <v>65</v>
      </c>
      <c r="I116" s="619"/>
      <c r="J116" s="621">
        <f>H116/DAY(B2)</f>
        <v>2.8260869565217392</v>
      </c>
      <c r="N116" s="658"/>
      <c r="O116" s="496"/>
    </row>
    <row r="117" spans="1:15" s="540" customFormat="1">
      <c r="A117" s="1320" t="s">
        <v>225</v>
      </c>
      <c r="B117" s="1321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163</v>
      </c>
      <c r="I117" s="619"/>
      <c r="J117" s="621">
        <f>H117/DAY(B2)</f>
        <v>7.0869565217391308</v>
      </c>
      <c r="N117" s="658"/>
      <c r="O117" s="496"/>
    </row>
    <row r="118" spans="1:15" s="626" customFormat="1">
      <c r="A118" s="1322" t="s">
        <v>201</v>
      </c>
      <c r="B118" s="1323"/>
      <c r="C118" s="624"/>
      <c r="D118" s="625"/>
      <c r="E118" s="623"/>
      <c r="F118" s="623"/>
      <c r="G118" s="623">
        <f>SUM(G115:G117)</f>
        <v>21</v>
      </c>
      <c r="H118" s="620">
        <f>SUM(G118+'1'!G96)</f>
        <v>87</v>
      </c>
      <c r="I118" s="623"/>
      <c r="J118" s="621">
        <f>H118/DAY(B2)</f>
        <v>3.7826086956521738</v>
      </c>
      <c r="N118" s="663"/>
      <c r="O118" s="496"/>
    </row>
    <row r="119" spans="1:15" s="419" customFormat="1">
      <c r="A119" s="1315" t="s">
        <v>226</v>
      </c>
      <c r="B119" s="1316"/>
      <c r="C119" s="627"/>
      <c r="D119" s="628" t="s">
        <v>143</v>
      </c>
      <c r="E119" s="629"/>
      <c r="F119" s="630"/>
      <c r="G119" s="630">
        <f>SUM(G19+G93)</f>
        <v>130</v>
      </c>
      <c r="H119" s="620">
        <f>SUM(G119+'1'!G97)</f>
        <v>148</v>
      </c>
      <c r="I119" s="629"/>
      <c r="J119" s="631">
        <f>H119/DAY(B2)</f>
        <v>6.4347826086956523</v>
      </c>
      <c r="N119" s="664" t="s">
        <v>214</v>
      </c>
      <c r="O119" s="496"/>
    </row>
    <row r="120" spans="1:15" s="419" customFormat="1">
      <c r="A120" s="1315" t="s">
        <v>227</v>
      </c>
      <c r="B120" s="1316"/>
      <c r="C120" s="627"/>
      <c r="D120" s="628" t="s">
        <v>143</v>
      </c>
      <c r="E120" s="629"/>
      <c r="F120" s="630"/>
      <c r="G120" s="630">
        <f>SUM(G96,G97,G98,G100,G101)</f>
        <v>127</v>
      </c>
      <c r="H120" s="620">
        <f>SUM(G120+'1'!G99)</f>
        <v>138</v>
      </c>
      <c r="I120" s="629"/>
      <c r="J120" s="631">
        <f>H120/DAY(B2)</f>
        <v>6</v>
      </c>
      <c r="N120" s="664"/>
      <c r="O120" s="496"/>
    </row>
    <row r="121" spans="1:15" s="419" customFormat="1">
      <c r="A121" s="1315" t="s">
        <v>228</v>
      </c>
      <c r="B121" s="1316"/>
      <c r="C121" s="627"/>
      <c r="D121" s="628" t="s">
        <v>143</v>
      </c>
      <c r="E121" s="629"/>
      <c r="F121" s="623"/>
      <c r="G121" s="623">
        <f>SUM(G113)</f>
        <v>77</v>
      </c>
      <c r="H121" s="620">
        <f>SUM(G121+'1'!G101)</f>
        <v>86</v>
      </c>
      <c r="I121" s="629"/>
      <c r="J121" s="631">
        <f>H121/DAY(B2)</f>
        <v>3.7391304347826089</v>
      </c>
      <c r="N121" s="664"/>
      <c r="O121" s="496"/>
    </row>
    <row r="122" spans="1:15" s="540" customFormat="1">
      <c r="A122" s="1317"/>
      <c r="B122" s="1314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>
      <c r="A123" s="1332" t="s">
        <v>229</v>
      </c>
      <c r="B123" s="1333"/>
      <c r="C123" s="1334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'22'!F124</f>
        <v>853988.02</v>
      </c>
      <c r="F124" s="523">
        <v>854250</v>
      </c>
      <c r="G124" s="491">
        <f>F124-E124</f>
        <v>261.97999999998137</v>
      </c>
      <c r="H124" s="492">
        <f>G124+'22'!H124</f>
        <v>-2102</v>
      </c>
      <c r="I124" s="607"/>
      <c r="J124" s="494">
        <f>H124/DAY(B2)</f>
        <v>-91.391304347826093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'22'!F125</f>
        <v>73583.399999999994</v>
      </c>
      <c r="F125" s="523">
        <v>73583.399999999994</v>
      </c>
      <c r="G125" s="491">
        <f t="shared" ref="G125:G128" si="14">F125-E125</f>
        <v>0</v>
      </c>
      <c r="H125" s="492">
        <f>G125+'22'!H125</f>
        <v>0</v>
      </c>
      <c r="I125" s="607"/>
      <c r="J125" s="494">
        <f>H125/DAY(B2)</f>
        <v>0</v>
      </c>
      <c r="K125" s="589"/>
      <c r="L125" s="469"/>
      <c r="O125" s="496"/>
    </row>
    <row r="126" spans="1:15">
      <c r="A126" s="1343" t="s">
        <v>232</v>
      </c>
      <c r="B126" s="1344"/>
      <c r="C126" s="1345"/>
      <c r="D126" s="489" t="s">
        <v>140</v>
      </c>
      <c r="E126" s="490">
        <f>'22'!F126</f>
        <v>153270.23000000001</v>
      </c>
      <c r="F126" s="523">
        <v>153366</v>
      </c>
      <c r="G126" s="491">
        <f t="shared" si="14"/>
        <v>95.769999999989523</v>
      </c>
      <c r="H126" s="492">
        <f>G126+'22'!H126</f>
        <v>-711</v>
      </c>
      <c r="I126" s="607"/>
      <c r="J126" s="494">
        <f>H126/DAY(B2)</f>
        <v>-30.913043478260871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'22'!F127</f>
        <v>34256.300000000003</v>
      </c>
      <c r="F127" s="523">
        <v>34290</v>
      </c>
      <c r="G127" s="491">
        <f t="shared" si="14"/>
        <v>33.69999999999709</v>
      </c>
      <c r="H127" s="492">
        <f>G127+'22'!H127</f>
        <v>-339</v>
      </c>
      <c r="I127" s="607"/>
      <c r="J127" s="494">
        <f>H127/DAY(B2)</f>
        <v>-14.739130434782609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'22'!F128</f>
        <v>9159.9</v>
      </c>
      <c r="F128" s="523">
        <v>9161</v>
      </c>
      <c r="G128" s="491">
        <f t="shared" si="14"/>
        <v>1.1000000000003638</v>
      </c>
      <c r="H128" s="492">
        <f>G128+'22'!H128</f>
        <v>-19</v>
      </c>
      <c r="I128" s="510"/>
      <c r="J128" s="494">
        <f>H128/DAY(B2)</f>
        <v>-0.82608695652173914</v>
      </c>
      <c r="K128" s="589"/>
      <c r="L128" s="469"/>
      <c r="O128" s="496"/>
    </row>
    <row r="129" spans="1:15">
      <c r="A129" s="636" t="s">
        <v>235</v>
      </c>
      <c r="B129" s="518"/>
      <c r="C129" s="518"/>
      <c r="D129" s="489"/>
      <c r="E129" s="490"/>
      <c r="F129" s="507"/>
      <c r="G129" s="491">
        <f>G15-SUM(G124:G128)</f>
        <v>436.17000000000371</v>
      </c>
      <c r="H129" s="492">
        <f>G129+'22'!H129</f>
        <v>3713</v>
      </c>
      <c r="I129" s="510"/>
      <c r="J129" s="494">
        <f>H129/DAY(B2)</f>
        <v>161.43478260869566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'22'!F131</f>
        <v>0</v>
      </c>
      <c r="F131" s="519">
        <v>0</v>
      </c>
      <c r="G131" s="491">
        <f t="shared" ref="G131:G141" si="15">F131-E131</f>
        <v>0</v>
      </c>
      <c r="H131" s="492">
        <f>G131+'22'!H131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'22'!F132</f>
        <v>0</v>
      </c>
      <c r="F132" s="519">
        <v>0</v>
      </c>
      <c r="G132" s="491">
        <f t="shared" si="15"/>
        <v>0</v>
      </c>
      <c r="H132" s="492">
        <f>G132+'22'!H132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490">
        <f>'22'!F133</f>
        <v>40921.53</v>
      </c>
      <c r="F133" s="640">
        <v>40921.53</v>
      </c>
      <c r="G133" s="491">
        <f t="shared" si="15"/>
        <v>0</v>
      </c>
      <c r="H133" s="492">
        <f>G133+'22'!H133</f>
        <v>-0.47000000000116415</v>
      </c>
      <c r="I133" s="510"/>
      <c r="J133" s="494">
        <f>H133/DAY(B2)</f>
        <v>-2.0434782608746267E-2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490">
        <f>'22'!F134</f>
        <v>730.27</v>
      </c>
      <c r="F134" s="640">
        <v>737</v>
      </c>
      <c r="G134" s="491">
        <f t="shared" si="15"/>
        <v>6.7300000000000182</v>
      </c>
      <c r="H134" s="492">
        <f>G134+'22'!H134</f>
        <v>-119</v>
      </c>
      <c r="I134" s="510">
        <f>G131+G132+G133+G134</f>
        <v>6.7300000000000182</v>
      </c>
      <c r="J134" s="494">
        <f>H134/DAY(B2)</f>
        <v>-5.1739130434782608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490">
        <f>'22'!F135</f>
        <v>42713.18</v>
      </c>
      <c r="F135" s="640">
        <v>42737</v>
      </c>
      <c r="G135" s="491">
        <f t="shared" si="15"/>
        <v>23.819999999999709</v>
      </c>
      <c r="H135" s="492">
        <v>24</v>
      </c>
      <c r="I135" s="510"/>
      <c r="J135" s="494">
        <f>H135/DAY(B2)</f>
        <v>1.0434782608695652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490">
        <f>'22'!F136</f>
        <v>32874.050000000003</v>
      </c>
      <c r="F136" s="640">
        <v>32874.050000000003</v>
      </c>
      <c r="G136" s="491">
        <f t="shared" si="15"/>
        <v>0</v>
      </c>
      <c r="H136" s="492">
        <v>13</v>
      </c>
      <c r="I136" s="510"/>
      <c r="J136" s="494">
        <f>H136/DAY(B2)</f>
        <v>0.56521739130434778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490">
        <f>'22'!F137</f>
        <v>23279.78</v>
      </c>
      <c r="F137" s="640">
        <v>23287.53</v>
      </c>
      <c r="G137" s="491">
        <f t="shared" si="15"/>
        <v>7.75</v>
      </c>
      <c r="H137" s="492">
        <f>G137+'22'!H137</f>
        <v>-68.900000000001455</v>
      </c>
      <c r="I137" s="510">
        <f>G135+G136+G137</f>
        <v>31.569999999999709</v>
      </c>
      <c r="J137" s="494">
        <f>H137/DAY(B2)</f>
        <v>-2.9956521739131068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'22'!F138</f>
        <v>25132.98</v>
      </c>
      <c r="F138" s="640">
        <v>25132.98</v>
      </c>
      <c r="G138" s="491">
        <f t="shared" si="15"/>
        <v>0</v>
      </c>
      <c r="H138" s="492">
        <v>8</v>
      </c>
      <c r="I138" s="510"/>
      <c r="J138" s="494">
        <f>H138/DAY(B2)</f>
        <v>0.34782608695652173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'22'!F139</f>
        <v>70524.55</v>
      </c>
      <c r="F139" s="640">
        <v>70524.55</v>
      </c>
      <c r="G139" s="491">
        <f t="shared" si="15"/>
        <v>0</v>
      </c>
      <c r="H139" s="492">
        <v>15</v>
      </c>
      <c r="I139" s="510">
        <f>G138+G139</f>
        <v>0</v>
      </c>
      <c r="J139" s="494">
        <f>H139/DAY(B2)</f>
        <v>0.65217391304347827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'22'!F140</f>
        <v>2536.65</v>
      </c>
      <c r="F140" s="519">
        <v>2546.83</v>
      </c>
      <c r="G140" s="491">
        <f t="shared" si="15"/>
        <v>10.179999999999836</v>
      </c>
      <c r="H140" s="492">
        <f>G140+'22'!H140</f>
        <v>-81.150000000000091</v>
      </c>
      <c r="I140" s="641"/>
      <c r="J140" s="494">
        <f>H140/DAY(B2)</f>
        <v>-3.5282608695652216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'22'!F141</f>
        <v>4753.67</v>
      </c>
      <c r="F141" s="519">
        <v>4753.67</v>
      </c>
      <c r="G141" s="491">
        <f t="shared" si="15"/>
        <v>0</v>
      </c>
      <c r="H141" s="492">
        <f>G141+'22'!H141</f>
        <v>-0.32999999999992724</v>
      </c>
      <c r="I141" s="641"/>
      <c r="J141" s="494">
        <f>H141/DAY(B2)</f>
        <v>-1.4347826086953359E-2</v>
      </c>
      <c r="O141" s="496"/>
    </row>
    <row r="142" spans="1:15">
      <c r="A142" s="1335" t="s">
        <v>249</v>
      </c>
      <c r="B142" s="1336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337" t="s">
        <v>250</v>
      </c>
      <c r="B143" s="1338"/>
      <c r="C143" s="1339"/>
      <c r="D143" s="489" t="s">
        <v>131</v>
      </c>
      <c r="E143" s="489"/>
      <c r="F143" s="489"/>
      <c r="G143" s="492">
        <f>G35+G43+G49+G57</f>
        <v>5587</v>
      </c>
      <c r="H143" s="492">
        <f>G143+'22'!H143</f>
        <v>357648.99999999994</v>
      </c>
      <c r="I143" s="510"/>
      <c r="J143" s="494">
        <f>H143/DAY(B2)</f>
        <v>15549.956521739128</v>
      </c>
      <c r="K143" s="589"/>
      <c r="L143" s="469"/>
      <c r="O143" s="496"/>
    </row>
    <row r="144" spans="1:15">
      <c r="A144" s="1337" t="s">
        <v>251</v>
      </c>
      <c r="B144" s="1338"/>
      <c r="C144" s="1339"/>
      <c r="D144" s="489" t="s">
        <v>24</v>
      </c>
      <c r="E144" s="476"/>
      <c r="F144" s="476"/>
      <c r="G144" s="642">
        <f>G143/G7</f>
        <v>0.25049880063667135</v>
      </c>
      <c r="H144" s="492">
        <f>G144+'22'!H144</f>
        <v>6.7224333474209867</v>
      </c>
      <c r="I144" s="643"/>
      <c r="J144" s="494">
        <f>H144/DAY(B2)</f>
        <v>0.2922797107574342</v>
      </c>
      <c r="K144" s="589"/>
      <c r="L144" s="469"/>
      <c r="O144" s="496"/>
    </row>
    <row r="145" spans="1:15">
      <c r="A145" s="1337" t="s">
        <v>252</v>
      </c>
      <c r="B145" s="1338"/>
      <c r="C145" s="1339"/>
      <c r="D145" s="489" t="s">
        <v>131</v>
      </c>
      <c r="E145" s="490"/>
      <c r="F145" s="490"/>
      <c r="G145" s="492">
        <f>G41+G42+G55+G56</f>
        <v>7286</v>
      </c>
      <c r="H145" s="492">
        <f>G145+'22'!H145</f>
        <v>-54603.77999999997</v>
      </c>
      <c r="I145" s="510"/>
      <c r="J145" s="494">
        <f>H145/DAY(B2)</f>
        <v>-2374.0773913043463</v>
      </c>
      <c r="K145" s="589"/>
      <c r="L145" s="469"/>
      <c r="O145" s="496"/>
    </row>
    <row r="146" spans="1:15">
      <c r="A146" s="1337" t="s">
        <v>253</v>
      </c>
      <c r="B146" s="1338"/>
      <c r="C146" s="1339"/>
      <c r="D146" s="489" t="s">
        <v>24</v>
      </c>
      <c r="E146" s="490"/>
      <c r="F146" s="490"/>
      <c r="G146" s="642">
        <f>G145/G7</f>
        <v>0.32667518550900082</v>
      </c>
      <c r="H146" s="492">
        <f>G146+'22'!H146</f>
        <v>6.031815343347203</v>
      </c>
      <c r="I146" s="643"/>
      <c r="J146" s="494">
        <f>H146/DAY(B2)</f>
        <v>0.26225284101509577</v>
      </c>
      <c r="K146" s="589"/>
      <c r="L146" s="469"/>
      <c r="O146" s="496"/>
    </row>
    <row r="147" spans="1:15">
      <c r="A147" s="1337" t="s">
        <v>254</v>
      </c>
      <c r="B147" s="1338"/>
      <c r="C147" s="1339"/>
      <c r="D147" s="489" t="s">
        <v>131</v>
      </c>
      <c r="E147" s="490"/>
      <c r="F147" s="490"/>
      <c r="G147" s="492">
        <f>G39+G53</f>
        <v>3499</v>
      </c>
      <c r="H147" s="492">
        <f>G147+'22'!H147</f>
        <v>1037239.5900000001</v>
      </c>
      <c r="I147" s="644"/>
      <c r="J147" s="494">
        <f>H147/DAY(B2)</f>
        <v>45097.373478260874</v>
      </c>
      <c r="K147" s="589"/>
      <c r="L147" s="469"/>
      <c r="O147" s="496"/>
    </row>
    <row r="148" spans="1:15">
      <c r="A148" s="1337" t="s">
        <v>255</v>
      </c>
      <c r="B148" s="1338"/>
      <c r="C148" s="1339"/>
      <c r="D148" s="489" t="s">
        <v>24</v>
      </c>
      <c r="E148" s="490"/>
      <c r="F148" s="490"/>
      <c r="G148" s="642">
        <f>G147/G7</f>
        <v>0.15688120698545072</v>
      </c>
      <c r="H148" s="492">
        <f>G148+'22'!H148</f>
        <v>6.6439987192450358</v>
      </c>
      <c r="I148" s="644"/>
      <c r="J148" s="494">
        <f>H148/DAY(B2)</f>
        <v>0.28886950953239288</v>
      </c>
      <c r="O148" s="496"/>
    </row>
    <row r="149" spans="1:15">
      <c r="A149" s="1337" t="s">
        <v>256</v>
      </c>
      <c r="B149" s="1338"/>
      <c r="C149" s="1339"/>
      <c r="D149" s="489" t="s">
        <v>182</v>
      </c>
      <c r="E149" s="490"/>
      <c r="F149" s="490"/>
      <c r="G149" s="492">
        <f>G38+G52</f>
        <v>1544</v>
      </c>
      <c r="H149" s="492">
        <f>G149+'22'!H149</f>
        <v>822905.07</v>
      </c>
      <c r="I149" s="510"/>
      <c r="J149" s="494">
        <f>H149/DAY(B2)</f>
        <v>35778.481304347821</v>
      </c>
      <c r="K149" s="645"/>
      <c r="O149" s="496"/>
    </row>
    <row r="150" spans="1:15">
      <c r="A150" s="1337" t="s">
        <v>257</v>
      </c>
      <c r="B150" s="1338"/>
      <c r="C150" s="1339"/>
      <c r="D150" s="489" t="s">
        <v>24</v>
      </c>
      <c r="E150" s="490"/>
      <c r="F150" s="490"/>
      <c r="G150" s="642">
        <f>G149/G7</f>
        <v>6.9226802968144013E-2</v>
      </c>
      <c r="H150" s="492">
        <f>G150+'22'!H150</f>
        <v>4.0521701538979817</v>
      </c>
      <c r="I150" s="644"/>
      <c r="J150" s="494">
        <f>H150/DAY(B2)</f>
        <v>0.17618131103904269</v>
      </c>
      <c r="O150" s="496"/>
    </row>
    <row r="151" spans="1:15">
      <c r="A151" s="1337" t="s">
        <v>258</v>
      </c>
      <c r="B151" s="1338"/>
      <c r="C151" s="1339"/>
      <c r="D151" s="489" t="s">
        <v>182</v>
      </c>
      <c r="E151" s="490"/>
      <c r="F151" s="490"/>
      <c r="G151" s="492">
        <f>G36+G50</f>
        <v>1647.1999999999971</v>
      </c>
      <c r="H151" s="492">
        <f>G151+'22'!H151</f>
        <v>52870</v>
      </c>
      <c r="I151" s="644"/>
      <c r="J151" s="494">
        <f>H151/DAY(B2)</f>
        <v>2298.695652173913</v>
      </c>
      <c r="O151" s="496"/>
    </row>
    <row r="152" spans="1:15">
      <c r="A152" s="1337" t="s">
        <v>259</v>
      </c>
      <c r="B152" s="1338"/>
      <c r="C152" s="1339"/>
      <c r="D152" s="489" t="s">
        <v>24</v>
      </c>
      <c r="E152" s="490"/>
      <c r="F152" s="490"/>
      <c r="G152" s="642">
        <f>G151/G7</f>
        <v>7.3853879435962833E-2</v>
      </c>
      <c r="H152" s="492">
        <f>G152+'22'!H152</f>
        <v>1.9783674081977995</v>
      </c>
      <c r="I152" s="510"/>
      <c r="J152" s="494">
        <f>H152/DAY(B2)</f>
        <v>8.6015974269469539E-2</v>
      </c>
      <c r="O152" s="496"/>
    </row>
    <row r="153" spans="1:15">
      <c r="A153" s="1337" t="s">
        <v>260</v>
      </c>
      <c r="B153" s="1338"/>
      <c r="C153" s="1339"/>
      <c r="D153" s="489" t="s">
        <v>182</v>
      </c>
      <c r="E153" s="490"/>
      <c r="F153" s="490"/>
      <c r="G153" s="492">
        <f>G37+G51</f>
        <v>1589</v>
      </c>
      <c r="H153" s="492">
        <f>G153+'22'!H153</f>
        <v>403435.00000000006</v>
      </c>
      <c r="I153" s="510"/>
      <c r="J153" s="494">
        <f>H153/DAY(B2)</f>
        <v>17540.652173913048</v>
      </c>
      <c r="O153" s="496"/>
    </row>
    <row r="154" spans="1:15" ht="21" thickBot="1">
      <c r="A154" s="1340" t="s">
        <v>261</v>
      </c>
      <c r="B154" s="1341"/>
      <c r="C154" s="1342"/>
      <c r="D154" s="646" t="s">
        <v>24</v>
      </c>
      <c r="E154" s="647"/>
      <c r="F154" s="647"/>
      <c r="G154" s="648">
        <f>G153/G7</f>
        <v>7.1244423520972044E-2</v>
      </c>
      <c r="H154" s="492">
        <f>G154+'22'!H154</f>
        <v>2.6970415815130719</v>
      </c>
      <c r="I154" s="649"/>
      <c r="J154" s="650">
        <f>H154/DAY(B2)</f>
        <v>0.11726267745709008</v>
      </c>
      <c r="O154" s="496"/>
    </row>
    <row r="155" spans="1:15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61" spans="1:10">
      <c r="A161" s="641" t="s">
        <v>262</v>
      </c>
      <c r="B161" s="641"/>
      <c r="C161" s="641"/>
      <c r="D161" s="476" t="s">
        <v>186</v>
      </c>
      <c r="E161" s="490">
        <f>'22'!F161</f>
        <v>45072.79</v>
      </c>
      <c r="F161" s="665">
        <v>45151</v>
      </c>
      <c r="G161" s="491">
        <f t="shared" ref="G161:G164" si="16">F161-E161</f>
        <v>78.209999999999127</v>
      </c>
    </row>
    <row r="162" spans="1:10" ht="21.75" customHeight="1">
      <c r="A162" s="641" t="s">
        <v>263</v>
      </c>
      <c r="B162" s="641"/>
      <c r="C162" s="641"/>
      <c r="D162" s="476" t="s">
        <v>186</v>
      </c>
      <c r="E162" s="490">
        <f>'22'!F162</f>
        <v>132320.35</v>
      </c>
      <c r="F162" s="665">
        <v>132734</v>
      </c>
      <c r="G162" s="491">
        <f t="shared" si="16"/>
        <v>413.64999999999418</v>
      </c>
    </row>
    <row r="163" spans="1:10" ht="21.75" customHeight="1">
      <c r="A163" s="641" t="s">
        <v>264</v>
      </c>
      <c r="B163" s="641"/>
      <c r="C163" s="641"/>
      <c r="D163" s="476" t="s">
        <v>186</v>
      </c>
      <c r="E163" s="490">
        <f>'22'!F163</f>
        <v>61923.7</v>
      </c>
      <c r="F163" s="665">
        <v>62110</v>
      </c>
      <c r="G163" s="491">
        <f t="shared" si="16"/>
        <v>186.30000000000291</v>
      </c>
    </row>
    <row r="164" spans="1:10" ht="21.75" customHeight="1">
      <c r="A164" s="641" t="s">
        <v>265</v>
      </c>
      <c r="B164" s="641"/>
      <c r="C164" s="641"/>
      <c r="D164" s="476" t="s">
        <v>186</v>
      </c>
      <c r="E164" s="490">
        <f>'22'!F164</f>
        <v>7367.38</v>
      </c>
      <c r="F164" s="665">
        <v>7376</v>
      </c>
      <c r="G164" s="491">
        <f t="shared" si="16"/>
        <v>8.6199999999998909</v>
      </c>
    </row>
    <row r="165" spans="1:10" ht="21.75" customHeight="1">
      <c r="A165" s="571" t="s">
        <v>97</v>
      </c>
      <c r="B165" s="571"/>
      <c r="C165" s="571"/>
      <c r="D165" s="476" t="s">
        <v>186</v>
      </c>
      <c r="E165" s="572">
        <f>E62</f>
        <v>20419.2</v>
      </c>
      <c r="F165" s="572">
        <f>F62</f>
        <v>20419</v>
      </c>
      <c r="G165" s="491">
        <f t="shared" ref="G165:G172" si="17">F165-E165</f>
        <v>-0.2000000000007276</v>
      </c>
      <c r="J165" s="719"/>
    </row>
    <row r="166" spans="1:10" ht="21.75" customHeight="1">
      <c r="A166" s="571" t="s">
        <v>187</v>
      </c>
      <c r="B166" s="571"/>
      <c r="C166" s="571"/>
      <c r="D166" s="476" t="s">
        <v>186</v>
      </c>
      <c r="E166" s="572">
        <f t="shared" ref="E166:E172" si="18">E63</f>
        <v>0</v>
      </c>
      <c r="F166" s="572">
        <f t="shared" ref="F166:F172" si="19">F63</f>
        <v>0</v>
      </c>
      <c r="G166" s="491">
        <f t="shared" si="17"/>
        <v>0</v>
      </c>
    </row>
    <row r="167" spans="1:10" ht="21.75" customHeight="1">
      <c r="A167" s="1312" t="s">
        <v>98</v>
      </c>
      <c r="B167" s="1312"/>
      <c r="C167" s="1312"/>
      <c r="D167" s="489" t="s">
        <v>186</v>
      </c>
      <c r="E167" s="572">
        <f t="shared" si="18"/>
        <v>190383</v>
      </c>
      <c r="F167" s="572">
        <f t="shared" si="19"/>
        <v>190848</v>
      </c>
      <c r="G167" s="491">
        <f t="shared" si="17"/>
        <v>465</v>
      </c>
    </row>
    <row r="168" spans="1:10" ht="21.75" customHeight="1">
      <c r="A168" s="1312" t="s">
        <v>99</v>
      </c>
      <c r="B168" s="1312"/>
      <c r="C168" s="1312"/>
      <c r="D168" s="489" t="s">
        <v>186</v>
      </c>
      <c r="E168" s="572">
        <f t="shared" si="18"/>
        <v>191043</v>
      </c>
      <c r="F168" s="572">
        <f t="shared" si="19"/>
        <v>191466</v>
      </c>
      <c r="G168" s="491">
        <f t="shared" si="17"/>
        <v>423</v>
      </c>
    </row>
    <row r="169" spans="1:10" ht="21.75" customHeight="1">
      <c r="A169" s="1312" t="s">
        <v>100</v>
      </c>
      <c r="B169" s="1312"/>
      <c r="C169" s="1312"/>
      <c r="D169" s="489" t="s">
        <v>186</v>
      </c>
      <c r="E169" s="572">
        <f t="shared" si="18"/>
        <v>89602.5</v>
      </c>
      <c r="F169" s="572">
        <f t="shared" si="19"/>
        <v>90059</v>
      </c>
      <c r="G169" s="491">
        <f t="shared" si="17"/>
        <v>456.5</v>
      </c>
    </row>
    <row r="170" spans="1:10">
      <c r="A170" s="1312" t="s">
        <v>101</v>
      </c>
      <c r="B170" s="1312"/>
      <c r="C170" s="1312"/>
      <c r="D170" s="489" t="s">
        <v>186</v>
      </c>
      <c r="E170" s="572">
        <f t="shared" si="18"/>
        <v>290390</v>
      </c>
      <c r="F170" s="572">
        <f t="shared" si="19"/>
        <v>290879</v>
      </c>
      <c r="G170" s="491">
        <f t="shared" si="17"/>
        <v>489</v>
      </c>
    </row>
    <row r="171" spans="1:10" ht="24" customHeight="1">
      <c r="A171" s="1312" t="s">
        <v>102</v>
      </c>
      <c r="B171" s="1312"/>
      <c r="C171" s="1312"/>
      <c r="D171" s="489" t="s">
        <v>186</v>
      </c>
      <c r="E171" s="572">
        <f t="shared" si="18"/>
        <v>85321</v>
      </c>
      <c r="F171" s="572">
        <f t="shared" si="19"/>
        <v>85321</v>
      </c>
      <c r="G171" s="491">
        <f t="shared" si="17"/>
        <v>0</v>
      </c>
      <c r="J171" s="720"/>
    </row>
    <row r="172" spans="1:10">
      <c r="A172" s="1312" t="s">
        <v>103</v>
      </c>
      <c r="B172" s="1312"/>
      <c r="C172" s="1312"/>
      <c r="D172" s="489" t="s">
        <v>186</v>
      </c>
      <c r="E172" s="572">
        <f t="shared" si="18"/>
        <v>103452</v>
      </c>
      <c r="F172" s="572">
        <f t="shared" si="19"/>
        <v>103777</v>
      </c>
      <c r="G172" s="491">
        <f t="shared" si="17"/>
        <v>325</v>
      </c>
    </row>
    <row r="173" spans="1:10">
      <c r="G173" s="656">
        <f>SUM(G161:G172)</f>
        <v>2845.0799999999954</v>
      </c>
    </row>
    <row r="174" spans="1:10">
      <c r="A174" s="1312" t="s">
        <v>337</v>
      </c>
      <c r="B174" s="1312"/>
      <c r="C174" s="1312"/>
      <c r="D174" s="489" t="s">
        <v>186</v>
      </c>
      <c r="E174" s="490">
        <f>'22'!F174</f>
        <v>19194</v>
      </c>
      <c r="F174" s="619">
        <v>19197</v>
      </c>
      <c r="G174" s="491">
        <f t="shared" ref="G174:G176" si="20">F174-E174</f>
        <v>3</v>
      </c>
      <c r="J174" s="721"/>
    </row>
    <row r="175" spans="1:10">
      <c r="A175" s="1313" t="s">
        <v>337</v>
      </c>
      <c r="B175" s="1314"/>
      <c r="C175" s="641"/>
      <c r="D175" s="489" t="s">
        <v>186</v>
      </c>
      <c r="E175" s="490">
        <f>'22'!F175</f>
        <v>70676.3</v>
      </c>
      <c r="F175" s="619">
        <v>70682</v>
      </c>
      <c r="G175" s="491">
        <f t="shared" si="20"/>
        <v>5.6999999999970896</v>
      </c>
    </row>
    <row r="176" spans="1:10">
      <c r="A176" s="1313" t="s">
        <v>338</v>
      </c>
      <c r="B176" s="1314"/>
      <c r="D176" s="489" t="s">
        <v>186</v>
      </c>
      <c r="E176" s="490">
        <f>'22'!F176</f>
        <v>27915.8</v>
      </c>
      <c r="F176" s="619">
        <v>27919</v>
      </c>
      <c r="G176" s="491">
        <f t="shared" si="20"/>
        <v>3.2000000000007276</v>
      </c>
    </row>
    <row r="177" spans="1:15" ht="18.75" customHeight="1">
      <c r="A177" s="1296" t="s">
        <v>382</v>
      </c>
      <c r="B177" s="1296"/>
      <c r="C177" s="1296"/>
      <c r="D177" s="1296"/>
      <c r="E177" s="1296"/>
      <c r="F177" s="1296"/>
      <c r="G177" s="1296"/>
    </row>
    <row r="178" spans="1:15" s="67" customFormat="1" ht="29.25">
      <c r="A178" s="435"/>
      <c r="B178" s="436"/>
      <c r="C178" s="436"/>
      <c r="D178" s="174" t="s">
        <v>186</v>
      </c>
      <c r="E178" s="490">
        <f>'22'!F178</f>
        <v>0</v>
      </c>
      <c r="F178" s="193"/>
      <c r="G178" s="124">
        <f t="shared" ref="G178:G184" si="21">F178-E178</f>
        <v>0</v>
      </c>
      <c r="H178" s="189"/>
      <c r="I178" s="188"/>
      <c r="J178" s="190"/>
      <c r="N178" s="369"/>
      <c r="O178" s="374"/>
    </row>
    <row r="179" spans="1:15" s="67" customFormat="1" ht="29.25">
      <c r="A179" s="435" t="s">
        <v>383</v>
      </c>
      <c r="B179" s="436"/>
      <c r="C179" s="436"/>
      <c r="D179" s="174" t="s">
        <v>186</v>
      </c>
      <c r="E179" s="490">
        <f>'22'!F179</f>
        <v>0</v>
      </c>
      <c r="F179" s="193"/>
      <c r="G179" s="124">
        <f t="shared" si="21"/>
        <v>0</v>
      </c>
      <c r="H179" s="189"/>
      <c r="I179" s="188"/>
      <c r="J179" s="190"/>
      <c r="N179" s="369"/>
      <c r="O179" s="374"/>
    </row>
    <row r="180" spans="1:15" s="67" customFormat="1" ht="29.25">
      <c r="A180" s="435" t="s">
        <v>384</v>
      </c>
      <c r="B180" s="436"/>
      <c r="C180" s="436"/>
      <c r="D180" s="174" t="s">
        <v>186</v>
      </c>
      <c r="E180" s="490">
        <f>'22'!F180</f>
        <v>0</v>
      </c>
      <c r="F180" s="193"/>
      <c r="G180" s="124">
        <f t="shared" si="21"/>
        <v>0</v>
      </c>
      <c r="H180" s="189"/>
      <c r="I180" s="188"/>
      <c r="J180" s="190"/>
      <c r="N180" s="369"/>
      <c r="O180" s="374"/>
    </row>
    <row r="181" spans="1:15" ht="29.25">
      <c r="A181" s="435" t="s">
        <v>385</v>
      </c>
      <c r="B181" s="436"/>
      <c r="C181" s="436"/>
      <c r="D181" s="174" t="s">
        <v>186</v>
      </c>
      <c r="E181" s="490">
        <f>'22'!F181</f>
        <v>0</v>
      </c>
      <c r="F181" s="193"/>
      <c r="G181" s="124">
        <f t="shared" si="21"/>
        <v>0</v>
      </c>
    </row>
    <row r="182" spans="1:15" ht="29.25">
      <c r="A182" s="435" t="s">
        <v>386</v>
      </c>
      <c r="B182" s="436"/>
      <c r="C182" s="436"/>
      <c r="D182" s="174" t="s">
        <v>186</v>
      </c>
      <c r="E182" s="490">
        <f>'22'!F182</f>
        <v>0</v>
      </c>
      <c r="F182" s="193"/>
      <c r="G182" s="124">
        <f t="shared" si="21"/>
        <v>0</v>
      </c>
    </row>
    <row r="183" spans="1:15" ht="29.25">
      <c r="A183" s="435" t="s">
        <v>387</v>
      </c>
      <c r="B183" s="436"/>
      <c r="C183" s="436"/>
      <c r="D183" s="174" t="s">
        <v>186</v>
      </c>
      <c r="E183" s="490">
        <f>'22'!F183</f>
        <v>0</v>
      </c>
      <c r="F183" s="193"/>
      <c r="G183" s="124">
        <f t="shared" si="21"/>
        <v>0</v>
      </c>
    </row>
    <row r="184" spans="1:15" ht="29.25">
      <c r="A184" s="435" t="s">
        <v>388</v>
      </c>
      <c r="B184" s="436"/>
      <c r="C184" s="436"/>
      <c r="D184" s="174" t="s">
        <v>186</v>
      </c>
      <c r="E184" s="490">
        <f>'22'!F184</f>
        <v>0</v>
      </c>
      <c r="F184" s="193"/>
      <c r="G184" s="124">
        <f t="shared" si="21"/>
        <v>0</v>
      </c>
    </row>
  </sheetData>
  <mergeCells count="78">
    <mergeCell ref="A64:C64"/>
    <mergeCell ref="A65:C65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4:C174"/>
    <mergeCell ref="A176:B176"/>
    <mergeCell ref="A175:B175"/>
    <mergeCell ref="A177:G177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topLeftCell="A153" zoomScale="70" zoomScaleNormal="44" zoomScaleSheetLayoutView="70" workbookViewId="0">
      <selection activeCell="F8" sqref="F8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654" customWidth="1"/>
    <col min="7" max="7" width="17.88671875" style="654" customWidth="1"/>
    <col min="8" max="8" width="39.21875" style="655" customWidth="1"/>
    <col min="9" max="9" width="15.77734375" style="654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2.5">
      <c r="A1" s="1355" t="s">
        <v>116</v>
      </c>
      <c r="B1" s="1356"/>
      <c r="C1" s="1356"/>
      <c r="D1" s="1356"/>
      <c r="E1" s="1356"/>
      <c r="F1" s="1356"/>
      <c r="G1" s="1356"/>
      <c r="H1" s="1356"/>
      <c r="I1" s="1356"/>
      <c r="J1" s="1357"/>
    </row>
    <row r="2" spans="1:15">
      <c r="A2" s="457" t="s">
        <v>348</v>
      </c>
      <c r="B2" s="723">
        <v>44067</v>
      </c>
      <c r="C2" s="458" t="s">
        <v>68</v>
      </c>
      <c r="D2" s="459">
        <v>0.81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64">
        <v>29</v>
      </c>
      <c r="E3" s="1364" t="s">
        <v>120</v>
      </c>
      <c r="F3" s="1365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459">
        <v>0.8</v>
      </c>
      <c r="E4" s="472"/>
      <c r="F4" s="472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58" t="s">
        <v>129</v>
      </c>
      <c r="B6" s="1359"/>
      <c r="C6" s="1360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3.25" thickBot="1">
      <c r="A7" s="487" t="s">
        <v>130</v>
      </c>
      <c r="B7" s="488"/>
      <c r="C7" s="488"/>
      <c r="D7" s="489" t="s">
        <v>131</v>
      </c>
      <c r="E7" s="490">
        <f>'23'!F7</f>
        <v>117717</v>
      </c>
      <c r="F7" s="106">
        <v>141804</v>
      </c>
      <c r="G7" s="491">
        <f>F7-E7</f>
        <v>24087</v>
      </c>
      <c r="H7" s="492">
        <f>G7+'23'!H7</f>
        <v>843112.3899999999</v>
      </c>
      <c r="I7" s="493">
        <f>'1'!I7</f>
        <v>12000</v>
      </c>
      <c r="J7" s="494">
        <f>H7/DAY(B2)</f>
        <v>35129.682916666665</v>
      </c>
      <c r="K7" s="495"/>
      <c r="L7" s="469"/>
      <c r="O7" s="496"/>
    </row>
    <row r="8" spans="1:15" ht="23.25" thickBot="1">
      <c r="A8" s="497" t="s">
        <v>132</v>
      </c>
      <c r="B8" s="498"/>
      <c r="C8" s="499"/>
      <c r="D8" s="500" t="s">
        <v>25</v>
      </c>
      <c r="E8" s="490">
        <f>'23'!F8</f>
        <v>127202.74</v>
      </c>
      <c r="F8" s="126">
        <f>E8+22500</f>
        <v>149702.74</v>
      </c>
      <c r="G8" s="501">
        <f>F8-E8</f>
        <v>22499.999999999985</v>
      </c>
      <c r="H8" s="492">
        <f>G8+'23'!H8</f>
        <v>842649</v>
      </c>
      <c r="I8" s="502">
        <f>'1'!I8</f>
        <v>12000</v>
      </c>
      <c r="J8" s="494">
        <f>H8/DAY(B2)</f>
        <v>35110.375</v>
      </c>
      <c r="K8" s="495"/>
      <c r="L8" s="503"/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'23'!F9</f>
        <v>3188790</v>
      </c>
      <c r="F9" s="507">
        <v>3212820</v>
      </c>
      <c r="G9" s="491">
        <f t="shared" ref="G9:G12" si="0">F9-E9</f>
        <v>24030</v>
      </c>
      <c r="H9" s="492">
        <f>G9+'23'!H9</f>
        <v>3130290</v>
      </c>
      <c r="I9" s="508">
        <f>I8-J8</f>
        <v>-23110.375</v>
      </c>
      <c r="J9" s="494">
        <f>H9/DAY(B2)</f>
        <v>130428.75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'23'!F10</f>
        <v>2606.85</v>
      </c>
      <c r="F10" s="507">
        <v>2606.5500000000002</v>
      </c>
      <c r="G10" s="491">
        <f t="shared" si="0"/>
        <v>-0.29999999999972715</v>
      </c>
      <c r="H10" s="492">
        <f>G10+'23'!H10</f>
        <v>-0.4499999999998181</v>
      </c>
      <c r="I10" s="510"/>
      <c r="J10" s="494">
        <f>H10/DAY(B2)</f>
        <v>-1.8749999999992422E-2</v>
      </c>
      <c r="K10" s="509"/>
      <c r="L10" s="469"/>
      <c r="M10" s="456" t="s">
        <v>274</v>
      </c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490">
        <v>37000</v>
      </c>
      <c r="G11" s="491">
        <f t="shared" si="0"/>
        <v>0</v>
      </c>
      <c r="H11" s="492">
        <f>G11+'23'!H11</f>
        <v>0</v>
      </c>
      <c r="I11" s="510"/>
      <c r="J11" s="494">
        <f>H11/DAY(B2)</f>
        <v>0</v>
      </c>
      <c r="K11" s="509"/>
      <c r="L11" s="469"/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507">
        <v>40010</v>
      </c>
      <c r="G12" s="491">
        <f t="shared" si="0"/>
        <v>0</v>
      </c>
      <c r="H12" s="492">
        <f>G12+'23'!H12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490"/>
      <c r="G13" s="513">
        <f>G9+G10+G11+G12</f>
        <v>24029.7</v>
      </c>
      <c r="H13" s="492">
        <f>G13+'23'!H13</f>
        <v>3086274.06</v>
      </c>
      <c r="I13" s="514">
        <f>G7-G13</f>
        <v>57.299999999999272</v>
      </c>
      <c r="J13" s="494">
        <f>H13/DAY(B2)</f>
        <v>128594.7525</v>
      </c>
      <c r="K13" s="509"/>
      <c r="L13" s="469"/>
      <c r="O13" s="496"/>
    </row>
    <row r="14" spans="1:15">
      <c r="A14" s="1361" t="s">
        <v>138</v>
      </c>
      <c r="B14" s="1362"/>
      <c r="C14" s="1363"/>
      <c r="D14" s="484"/>
      <c r="E14" s="484"/>
      <c r="F14" s="484"/>
      <c r="G14" s="515"/>
      <c r="H14" s="484"/>
      <c r="I14" s="484"/>
      <c r="J14" s="485"/>
      <c r="K14" s="516"/>
      <c r="L14" s="469"/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'23'!F15</f>
        <v>1749724</v>
      </c>
      <c r="F15" s="351">
        <v>1750603</v>
      </c>
      <c r="G15" s="666">
        <f>(F15-E15)</f>
        <v>879</v>
      </c>
      <c r="H15" s="492">
        <f>G15+'23'!H15</f>
        <v>-5927</v>
      </c>
      <c r="I15" s="493">
        <f>'1'!I15</f>
        <v>800</v>
      </c>
      <c r="J15" s="494">
        <f>H15/DAY(B2)</f>
        <v>-246.95833333333334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523"/>
      <c r="G16" s="491"/>
      <c r="H16" s="524"/>
      <c r="I16" s="525">
        <f>I15-J15</f>
        <v>1046.9583333333333</v>
      </c>
      <c r="J16" s="526"/>
      <c r="K16" s="509"/>
      <c r="L16" s="469"/>
      <c r="N16" s="659"/>
      <c r="O16" s="496"/>
    </row>
    <row r="17" spans="1:15">
      <c r="A17" s="1361" t="s">
        <v>141</v>
      </c>
      <c r="B17" s="1362"/>
      <c r="C17" s="1363"/>
      <c r="D17" s="484"/>
      <c r="E17" s="484"/>
      <c r="F17" s="484"/>
      <c r="G17" s="527"/>
      <c r="H17" s="484">
        <f>G17+'22'!H17</f>
        <v>0</v>
      </c>
      <c r="I17" s="484"/>
      <c r="J17" s="485"/>
      <c r="K17" s="509"/>
      <c r="L17" s="469"/>
      <c r="O17" s="496"/>
    </row>
    <row r="18" spans="1:15">
      <c r="A18" s="1337" t="s">
        <v>142</v>
      </c>
      <c r="B18" s="1338"/>
      <c r="C18" s="1339"/>
      <c r="D18" s="489" t="s">
        <v>143</v>
      </c>
      <c r="E18" s="490">
        <f>'23'!F18</f>
        <v>16</v>
      </c>
      <c r="F18" s="519">
        <v>16</v>
      </c>
      <c r="G18" s="513">
        <f>F18*10</f>
        <v>160</v>
      </c>
      <c r="H18" s="492">
        <f>G18+'23'!H18</f>
        <v>3800</v>
      </c>
      <c r="I18" s="493">
        <f>'1'!I18</f>
        <v>65</v>
      </c>
      <c r="J18" s="494">
        <f>H18/DAY(B2)</f>
        <v>158.33333333333334</v>
      </c>
      <c r="K18" s="509"/>
      <c r="L18" s="469"/>
      <c r="O18" s="496"/>
    </row>
    <row r="19" spans="1:15">
      <c r="A19" s="1337" t="s">
        <v>70</v>
      </c>
      <c r="B19" s="1338"/>
      <c r="C19" s="1339"/>
      <c r="D19" s="489" t="s">
        <v>143</v>
      </c>
      <c r="E19" s="490">
        <f>'23'!F19</f>
        <v>144853</v>
      </c>
      <c r="F19" s="519">
        <v>144917</v>
      </c>
      <c r="G19" s="491">
        <f t="shared" ref="G19" si="1">F19-E19</f>
        <v>64</v>
      </c>
      <c r="H19" s="492">
        <f>G19+'23'!H19</f>
        <v>-421</v>
      </c>
      <c r="I19" s="528"/>
      <c r="J19" s="494">
        <f>H19/DAY(B2)</f>
        <v>-17.541666666666668</v>
      </c>
      <c r="K19" s="509"/>
      <c r="L19" s="469"/>
      <c r="O19" s="496"/>
    </row>
    <row r="20" spans="1:15">
      <c r="A20" s="511" t="s">
        <v>144</v>
      </c>
      <c r="B20" s="512"/>
      <c r="C20" s="512"/>
      <c r="D20" s="529"/>
      <c r="E20" s="529"/>
      <c r="F20" s="529"/>
      <c r="G20" s="491">
        <f>SUM(G18:G19)</f>
        <v>224</v>
      </c>
      <c r="H20" s="492">
        <f>G20+'23'!H20</f>
        <v>3379</v>
      </c>
      <c r="I20" s="531">
        <f>I18-J20</f>
        <v>-75.791666666666657</v>
      </c>
      <c r="J20" s="494">
        <f>H20/DAY(B2)</f>
        <v>140.79166666666666</v>
      </c>
      <c r="K20" s="509"/>
      <c r="L20" s="469"/>
      <c r="O20" s="496"/>
    </row>
    <row r="21" spans="1:15">
      <c r="A21" s="1361" t="s">
        <v>145</v>
      </c>
      <c r="B21" s="1362"/>
      <c r="C21" s="1363"/>
      <c r="D21" s="484"/>
      <c r="E21" s="484"/>
      <c r="F21" s="484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519">
        <f>'23'!F22</f>
        <v>2970</v>
      </c>
      <c r="F22" s="519">
        <v>2970</v>
      </c>
      <c r="G22" s="513">
        <f t="shared" ref="G22:G23" si="2">(F22-E22)</f>
        <v>0</v>
      </c>
      <c r="H22" s="492">
        <f>G22+'23'!H22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f>'23'!F23</f>
        <v>2000</v>
      </c>
      <c r="F23" s="519">
        <v>2000</v>
      </c>
      <c r="G23" s="513">
        <f t="shared" si="2"/>
        <v>0</v>
      </c>
      <c r="H23" s="492">
        <f>G23+'23'!H23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f>'23'!F24</f>
        <v>4970</v>
      </c>
      <c r="F24" s="534">
        <v>4970</v>
      </c>
      <c r="G24" s="513">
        <f>SUM(G22:G23)</f>
        <v>0</v>
      </c>
      <c r="H24" s="492">
        <f>G24+'23'!H24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58" t="s">
        <v>150</v>
      </c>
      <c r="B25" s="1359"/>
      <c r="C25" s="1360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22.5">
      <c r="A27" s="541" t="s">
        <v>6</v>
      </c>
      <c r="B27" s="542"/>
      <c r="C27" s="543"/>
      <c r="D27" s="548" t="s">
        <v>25</v>
      </c>
      <c r="E27" s="549">
        <f>G8</f>
        <v>22499.999999999985</v>
      </c>
      <c r="F27" s="152">
        <v>9</v>
      </c>
      <c r="G27" s="551">
        <f>E27*F27</f>
        <v>202499.99999999988</v>
      </c>
      <c r="H27" s="492">
        <f>G27+'23'!H27</f>
        <v>7576803</v>
      </c>
      <c r="I27" s="552"/>
      <c r="J27" s="494">
        <f>H27/DAY(B2)</f>
        <v>315700.125</v>
      </c>
      <c r="K27" s="509"/>
      <c r="L27" s="539"/>
      <c r="N27" s="658"/>
      <c r="O27" s="496"/>
    </row>
    <row r="28" spans="1:15" s="540" customFormat="1" ht="22.5">
      <c r="A28" s="541" t="s">
        <v>153</v>
      </c>
      <c r="B28" s="542"/>
      <c r="C28" s="543"/>
      <c r="D28" s="548" t="s">
        <v>154</v>
      </c>
      <c r="E28" s="549">
        <f>G15</f>
        <v>879</v>
      </c>
      <c r="F28" s="152">
        <v>56.2</v>
      </c>
      <c r="G28" s="551">
        <f t="shared" ref="G28:G31" si="3">E28*F28</f>
        <v>49399.8</v>
      </c>
      <c r="H28" s="492">
        <f>G28+'23'!H28</f>
        <v>-337665.37139999983</v>
      </c>
      <c r="I28" s="553"/>
      <c r="J28" s="494">
        <f>H28/DAY(B2)</f>
        <v>-14069.390474999993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550">
        <v>69</v>
      </c>
      <c r="G29" s="551">
        <f t="shared" si="3"/>
        <v>0</v>
      </c>
      <c r="H29" s="492">
        <f>G29+'23'!H29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64</v>
      </c>
      <c r="F30" s="550">
        <v>146</v>
      </c>
      <c r="G30" s="551">
        <f t="shared" si="3"/>
        <v>9344</v>
      </c>
      <c r="H30" s="492">
        <f>G30+'23'!H30</f>
        <v>-61466</v>
      </c>
      <c r="I30" s="553"/>
      <c r="J30" s="494">
        <f>H30/DAY(B2)</f>
        <v>-2561.0833333333335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160</v>
      </c>
      <c r="F31" s="550">
        <v>80</v>
      </c>
      <c r="G31" s="551">
        <f t="shared" si="3"/>
        <v>12800</v>
      </c>
      <c r="H31" s="492">
        <f>G31+'23'!H31</f>
        <v>298764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557"/>
      <c r="G32" s="558">
        <f>G27+G28+G29+G30+G31</f>
        <v>274043.79999999987</v>
      </c>
      <c r="H32" s="492">
        <f>G32+'23'!H32</f>
        <v>7476435.6286000004</v>
      </c>
      <c r="I32" s="559"/>
      <c r="J32" s="494">
        <f>H32/DAY(B2)</f>
        <v>311518.15119166666</v>
      </c>
      <c r="K32" s="509"/>
      <c r="L32" s="539"/>
      <c r="N32" s="658"/>
      <c r="O32" s="496"/>
    </row>
    <row r="33" spans="1:15" ht="18.75">
      <c r="A33" s="1366" t="s">
        <v>161</v>
      </c>
      <c r="B33" s="1367"/>
      <c r="C33" s="1367"/>
      <c r="D33" s="1367"/>
      <c r="E33" s="1367"/>
      <c r="F33" s="1367"/>
      <c r="G33" s="1367"/>
      <c r="H33" s="1367"/>
      <c r="I33" s="1367"/>
      <c r="J33" s="1368"/>
      <c r="K33" s="509"/>
      <c r="L33" s="469"/>
      <c r="O33" s="496"/>
    </row>
    <row r="34" spans="1:15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'23'!F35</f>
        <v>1058597</v>
      </c>
      <c r="F35" s="562">
        <v>1058597</v>
      </c>
      <c r="G35" s="491">
        <f t="shared" ref="G35:G46" si="4">F35-E35</f>
        <v>0</v>
      </c>
      <c r="H35" s="492">
        <f>G35+'23'!H35</f>
        <v>0</v>
      </c>
      <c r="I35" s="490"/>
      <c r="J35" s="494">
        <f>H35/DAY(B2)</f>
        <v>0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'23'!F36</f>
        <v>63814</v>
      </c>
      <c r="F36" s="562">
        <v>64486</v>
      </c>
      <c r="G36" s="491">
        <f t="shared" si="4"/>
        <v>672</v>
      </c>
      <c r="H36" s="492">
        <f>G36+'23'!H36</f>
        <v>62653</v>
      </c>
      <c r="I36" s="490"/>
      <c r="J36" s="494">
        <f>H36/DAY(B2)</f>
        <v>2610.5416666666665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'23'!F37</f>
        <v>262570</v>
      </c>
      <c r="F37" s="562">
        <v>264075</v>
      </c>
      <c r="G37" s="491">
        <f t="shared" si="4"/>
        <v>1505</v>
      </c>
      <c r="H37" s="492">
        <f>G37+'23'!H37</f>
        <v>260300</v>
      </c>
      <c r="I37" s="490"/>
      <c r="J37" s="494">
        <f>H37/DAY(B2)</f>
        <v>10845.833333333334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'23'!F38</f>
        <v>288122</v>
      </c>
      <c r="F38" s="479">
        <v>289783</v>
      </c>
      <c r="G38" s="491">
        <f t="shared" si="4"/>
        <v>1661</v>
      </c>
      <c r="H38" s="492">
        <f>G38+'23'!H38</f>
        <v>284960</v>
      </c>
      <c r="I38" s="490"/>
      <c r="J38" s="494">
        <f>H38/DAY(B2)</f>
        <v>11873.333333333334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'23'!F39</f>
        <v>606850</v>
      </c>
      <c r="F39" s="562">
        <v>610823</v>
      </c>
      <c r="G39" s="491">
        <f t="shared" si="4"/>
        <v>3973</v>
      </c>
      <c r="H39" s="492">
        <f>G39+'23'!H39</f>
        <v>606981</v>
      </c>
      <c r="I39" s="490"/>
      <c r="J39" s="494">
        <f>H39/DAY(B2)</f>
        <v>25290.875</v>
      </c>
      <c r="K39" s="509"/>
      <c r="L39" s="469"/>
      <c r="N39" s="657">
        <f>20*38.64</f>
        <v>772.8</v>
      </c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'23'!F40</f>
        <v>31144</v>
      </c>
      <c r="F40" s="562">
        <v>31566</v>
      </c>
      <c r="G40" s="491">
        <f t="shared" si="4"/>
        <v>422</v>
      </c>
      <c r="H40" s="492">
        <f>G40+'23'!H40</f>
        <v>31723.4</v>
      </c>
      <c r="I40" s="490"/>
      <c r="J40" s="494">
        <f>H40/DAY(B2)</f>
        <v>1321.8083333333334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'23'!F41</f>
        <v>433282</v>
      </c>
      <c r="F41" s="562">
        <v>433282</v>
      </c>
      <c r="G41" s="491">
        <f t="shared" si="4"/>
        <v>0</v>
      </c>
      <c r="H41" s="492">
        <f>G41+'23'!H41</f>
        <v>0.21000000002095476</v>
      </c>
      <c r="I41" s="490"/>
      <c r="J41" s="494">
        <f>H41/DAY(B2)</f>
        <v>8.7500000008731149E-3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'23'!F42</f>
        <v>150427</v>
      </c>
      <c r="F42" s="562">
        <v>152760</v>
      </c>
      <c r="G42" s="491">
        <f t="shared" si="4"/>
        <v>2333</v>
      </c>
      <c r="H42" s="492">
        <f>G42+'23'!H42</f>
        <v>-22352</v>
      </c>
      <c r="I42" s="490"/>
      <c r="J42" s="494">
        <f>H42/DAY(B2)</f>
        <v>-931.33333333333337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'23'!F43</f>
        <v>1267250</v>
      </c>
      <c r="F43" s="562">
        <v>1270270</v>
      </c>
      <c r="G43" s="491">
        <f t="shared" si="4"/>
        <v>3020</v>
      </c>
      <c r="H43" s="492">
        <f>G43+'23'!H43</f>
        <v>-19475</v>
      </c>
      <c r="I43" s="490"/>
      <c r="J43" s="494">
        <f>H43/DAY(B2)</f>
        <v>-811.45833333333337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'23'!F44</f>
        <v>0</v>
      </c>
      <c r="F44" s="562">
        <v>0</v>
      </c>
      <c r="G44" s="491">
        <f t="shared" si="4"/>
        <v>0</v>
      </c>
      <c r="H44" s="492">
        <f>G44+'23'!H44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'23'!F45</f>
        <v>614</v>
      </c>
      <c r="F45" s="562">
        <v>614</v>
      </c>
      <c r="G45" s="491">
        <f t="shared" si="4"/>
        <v>0</v>
      </c>
      <c r="H45" s="492">
        <f>G45+'23'!H45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'23'!F46</f>
        <v>187</v>
      </c>
      <c r="F46" s="562">
        <v>187</v>
      </c>
      <c r="G46" s="491">
        <f t="shared" si="4"/>
        <v>0</v>
      </c>
      <c r="H46" s="492">
        <f>G46+'23'!H46</f>
        <v>-0.49000000000000909</v>
      </c>
      <c r="I46" s="490"/>
      <c r="J46" s="494">
        <f>H46/DAY(B2)</f>
        <v>-2.0416666666667044E-2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13586</v>
      </c>
      <c r="H47" s="492">
        <f>G47+'23'!H47</f>
        <v>1205591.6100000003</v>
      </c>
      <c r="I47" s="490"/>
      <c r="J47" s="494">
        <f>H47/DAY(B2)</f>
        <v>50232.983750000014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490">
        <f>'23'!F49</f>
        <v>394459</v>
      </c>
      <c r="F49" s="562">
        <v>397580</v>
      </c>
      <c r="G49" s="491">
        <f t="shared" ref="G49:G58" si="5">F49-E49</f>
        <v>3121</v>
      </c>
      <c r="H49" s="492">
        <f>G49+'23'!H49</f>
        <v>380800</v>
      </c>
      <c r="I49" s="490"/>
      <c r="J49" s="494">
        <f>H49/DAY(B2)</f>
        <v>15866.666666666666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'23'!F50</f>
        <v>598187</v>
      </c>
      <c r="F50" s="562">
        <v>599632</v>
      </c>
      <c r="G50" s="491">
        <f t="shared" si="5"/>
        <v>1445</v>
      </c>
      <c r="H50" s="492">
        <f>G50+'23'!H50</f>
        <v>-8586</v>
      </c>
      <c r="I50" s="490"/>
      <c r="J50" s="494">
        <f>H50/DAY(B2)</f>
        <v>-357.75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'23'!F51</f>
        <v>144640</v>
      </c>
      <c r="F51" s="562">
        <v>144640</v>
      </c>
      <c r="G51" s="491">
        <f t="shared" si="5"/>
        <v>0</v>
      </c>
      <c r="H51" s="492">
        <f>G51+'23'!H51</f>
        <v>144640</v>
      </c>
      <c r="I51" s="490"/>
      <c r="J51" s="494">
        <f>H51/DAY(B2)</f>
        <v>6026.666666666667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'23'!F52</f>
        <v>539606.06999999995</v>
      </c>
      <c r="F52" s="562">
        <v>539606</v>
      </c>
      <c r="G52" s="491">
        <f t="shared" si="5"/>
        <v>-6.9999999948777258E-2</v>
      </c>
      <c r="H52" s="492">
        <f>G52+'23'!H52</f>
        <v>-6.9999999948777258E-2</v>
      </c>
      <c r="I52" s="490"/>
      <c r="J52" s="494">
        <f>H52/DAY(B2)</f>
        <v>-2.9166666645323858E-3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'23'!F53</f>
        <v>434231.59</v>
      </c>
      <c r="F53" s="562">
        <v>434232</v>
      </c>
      <c r="G53" s="491">
        <f t="shared" si="5"/>
        <v>0.40999999997438863</v>
      </c>
      <c r="H53" s="492">
        <f>G53+'23'!H53</f>
        <v>434232</v>
      </c>
      <c r="I53" s="490"/>
      <c r="J53" s="494">
        <f>H53/DAY(B2)</f>
        <v>18093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'23'!F54</f>
        <v>14967.39</v>
      </c>
      <c r="F54" s="562">
        <v>14967</v>
      </c>
      <c r="G54" s="491">
        <f t="shared" si="5"/>
        <v>-0.38999999999941792</v>
      </c>
      <c r="H54" s="492">
        <f>G54+'23'!H54</f>
        <v>12502</v>
      </c>
      <c r="I54" s="490"/>
      <c r="J54" s="494">
        <f>H54/DAY(B2)</f>
        <v>520.91666666666663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'23'!F55</f>
        <v>287735</v>
      </c>
      <c r="F55" s="562">
        <v>293391</v>
      </c>
      <c r="G55" s="491">
        <f t="shared" si="5"/>
        <v>5656</v>
      </c>
      <c r="H55" s="492">
        <f>G55+'23'!H55</f>
        <v>-13907.989999999991</v>
      </c>
      <c r="I55" s="490"/>
      <c r="J55" s="494">
        <f>H55/DAY(B2)</f>
        <v>-579.49958333333291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'23'!F56</f>
        <v>649634</v>
      </c>
      <c r="F56" s="562">
        <v>649647</v>
      </c>
      <c r="G56" s="491">
        <f t="shared" si="5"/>
        <v>13</v>
      </c>
      <c r="H56" s="492">
        <f>G56+'23'!H56</f>
        <v>-11384</v>
      </c>
      <c r="I56" s="490"/>
      <c r="J56" s="494">
        <f>H56/DAY(B2)</f>
        <v>-474.33333333333331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'23'!F57</f>
        <v>7711</v>
      </c>
      <c r="F57" s="562">
        <v>7711</v>
      </c>
      <c r="G57" s="491">
        <f t="shared" si="5"/>
        <v>0</v>
      </c>
      <c r="H57" s="492">
        <f>G57+'23'!H57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'23'!F58</f>
        <v>64352</v>
      </c>
      <c r="F58" s="562">
        <v>64575</v>
      </c>
      <c r="G58" s="491">
        <f t="shared" si="5"/>
        <v>223</v>
      </c>
      <c r="H58" s="492">
        <f>G58+'23'!H58</f>
        <v>-1608</v>
      </c>
      <c r="I58" s="490"/>
      <c r="J58" s="494">
        <f>H58/DAY(B2)</f>
        <v>-67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10457.950000000026</v>
      </c>
      <c r="H59" s="492">
        <f>G59+'23'!H59</f>
        <v>1476294.0099999995</v>
      </c>
      <c r="I59" s="490">
        <f>G7-G60</f>
        <v>43.049999999973807</v>
      </c>
      <c r="J59" s="494">
        <f>H59/DAY(B2)</f>
        <v>61512.250416666648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476"/>
      <c r="G60" s="513">
        <f>G47+G59</f>
        <v>24043.950000000026</v>
      </c>
      <c r="H60" s="492">
        <f>G60+'23'!H60</f>
        <v>2688574.6200000006</v>
      </c>
      <c r="I60" s="490">
        <f>G13-G60</f>
        <v>-14.250000000025466</v>
      </c>
      <c r="J60" s="494">
        <f>H60/DAY(B2)</f>
        <v>112023.94250000002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'23'!F62</f>
        <v>20419</v>
      </c>
      <c r="F62" s="572">
        <v>20419</v>
      </c>
      <c r="G62" s="491">
        <f t="shared" ref="G62:G69" si="6">F62-E62</f>
        <v>0</v>
      </c>
      <c r="H62" s="492">
        <f>G62+'23'!H62</f>
        <v>1.9999999967694748E-3</v>
      </c>
      <c r="I62" s="573"/>
      <c r="J62" s="494">
        <f>H62/DAY(B2)</f>
        <v>8.3333333198728113E-5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'23'!F63</f>
        <v>0</v>
      </c>
      <c r="F63" s="572">
        <v>0</v>
      </c>
      <c r="G63" s="491">
        <f t="shared" si="6"/>
        <v>0</v>
      </c>
      <c r="H63" s="492">
        <f>G63+'23'!H63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343" t="s">
        <v>98</v>
      </c>
      <c r="B64" s="1344"/>
      <c r="C64" s="1345"/>
      <c r="D64" s="489" t="s">
        <v>186</v>
      </c>
      <c r="E64" s="490">
        <f>'23'!F64</f>
        <v>190848</v>
      </c>
      <c r="F64" s="519">
        <v>191275</v>
      </c>
      <c r="G64" s="491">
        <f t="shared" si="6"/>
        <v>427</v>
      </c>
      <c r="H64" s="492">
        <f>G64+'23'!H64</f>
        <v>-2942</v>
      </c>
      <c r="I64" s="510"/>
      <c r="J64" s="494">
        <f>H64/DAY(B2)</f>
        <v>-122.58333333333333</v>
      </c>
      <c r="K64" s="509"/>
      <c r="L64" s="469"/>
      <c r="O64" s="496"/>
    </row>
    <row r="65" spans="1:15">
      <c r="A65" s="1343" t="s">
        <v>99</v>
      </c>
      <c r="B65" s="1344"/>
      <c r="C65" s="1345"/>
      <c r="D65" s="489" t="s">
        <v>186</v>
      </c>
      <c r="E65" s="490">
        <f>'23'!F65</f>
        <v>191466</v>
      </c>
      <c r="F65" s="519">
        <v>191859</v>
      </c>
      <c r="G65" s="491">
        <f t="shared" si="6"/>
        <v>393</v>
      </c>
      <c r="H65" s="492">
        <f>G65+'23'!H65</f>
        <v>-2770</v>
      </c>
      <c r="I65" s="528"/>
      <c r="J65" s="494">
        <f>H65/DAY(B2)</f>
        <v>-115.41666666666667</v>
      </c>
      <c r="K65" s="509"/>
      <c r="L65" s="469"/>
      <c r="O65" s="496"/>
    </row>
    <row r="66" spans="1:15">
      <c r="A66" s="1343" t="s">
        <v>100</v>
      </c>
      <c r="B66" s="1344"/>
      <c r="C66" s="1345"/>
      <c r="D66" s="489" t="s">
        <v>186</v>
      </c>
      <c r="E66" s="490">
        <f>'23'!F66</f>
        <v>90059</v>
      </c>
      <c r="F66" s="519">
        <v>90434</v>
      </c>
      <c r="G66" s="491">
        <f t="shared" si="6"/>
        <v>375</v>
      </c>
      <c r="H66" s="492">
        <f>G66+'23'!H66</f>
        <v>-2883</v>
      </c>
      <c r="I66" s="510"/>
      <c r="J66" s="494">
        <f>H66/DAY(B2)</f>
        <v>-120.125</v>
      </c>
      <c r="K66" s="509"/>
      <c r="L66" s="469"/>
      <c r="O66" s="496"/>
    </row>
    <row r="67" spans="1:15">
      <c r="A67" s="1343" t="s">
        <v>101</v>
      </c>
      <c r="B67" s="1344"/>
      <c r="C67" s="1345"/>
      <c r="D67" s="489" t="s">
        <v>186</v>
      </c>
      <c r="E67" s="490">
        <f>'23'!F67</f>
        <v>290879</v>
      </c>
      <c r="F67" s="519">
        <v>291320</v>
      </c>
      <c r="G67" s="491">
        <f t="shared" si="6"/>
        <v>441</v>
      </c>
      <c r="H67" s="492">
        <f>G67+'23'!H67</f>
        <v>-3571</v>
      </c>
      <c r="I67" s="528"/>
      <c r="J67" s="494">
        <f>H67/DAY(B2)</f>
        <v>-148.79166666666666</v>
      </c>
      <c r="K67" s="516"/>
      <c r="L67" s="469"/>
      <c r="O67" s="496"/>
    </row>
    <row r="68" spans="1:15">
      <c r="A68" s="1343" t="s">
        <v>102</v>
      </c>
      <c r="B68" s="1344"/>
      <c r="C68" s="1345"/>
      <c r="D68" s="489" t="s">
        <v>186</v>
      </c>
      <c r="E68" s="490">
        <f>'23'!F68</f>
        <v>85321</v>
      </c>
      <c r="F68" s="519">
        <v>85321</v>
      </c>
      <c r="G68" s="491">
        <f t="shared" si="6"/>
        <v>0</v>
      </c>
      <c r="H68" s="492">
        <f>G68+'23'!H68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343" t="s">
        <v>103</v>
      </c>
      <c r="B69" s="1344"/>
      <c r="C69" s="1345"/>
      <c r="D69" s="489" t="s">
        <v>186</v>
      </c>
      <c r="E69" s="490">
        <f>'23'!F69</f>
        <v>103777</v>
      </c>
      <c r="F69" s="519">
        <v>104117</v>
      </c>
      <c r="G69" s="491">
        <f t="shared" si="6"/>
        <v>340</v>
      </c>
      <c r="H69" s="492">
        <f>G69+'23'!H69</f>
        <v>-2289</v>
      </c>
      <c r="I69" s="574"/>
      <c r="J69" s="494">
        <f>H69/DAY(B2)</f>
        <v>-95.375</v>
      </c>
      <c r="K69" s="576"/>
      <c r="L69" s="469"/>
      <c r="O69" s="496"/>
    </row>
    <row r="70" spans="1:15">
      <c r="A70" s="1352" t="s">
        <v>188</v>
      </c>
      <c r="B70" s="1353"/>
      <c r="C70" s="1354"/>
      <c r="D70" s="489" t="s">
        <v>186</v>
      </c>
      <c r="E70" s="577"/>
      <c r="F70" s="578"/>
      <c r="G70" s="578"/>
      <c r="H70" s="492">
        <f>G70+'23'!H70</f>
        <v>0</v>
      </c>
      <c r="I70" s="578"/>
      <c r="J70" s="579"/>
      <c r="K70" s="576"/>
      <c r="L70" s="469"/>
      <c r="O70" s="496"/>
    </row>
    <row r="71" spans="1:15" ht="22.5">
      <c r="A71" s="1349" t="s">
        <v>189</v>
      </c>
      <c r="B71" s="1350"/>
      <c r="C71" s="1350"/>
      <c r="D71" s="1350"/>
      <c r="E71" s="1350"/>
      <c r="F71" s="1350"/>
      <c r="G71" s="1350"/>
      <c r="H71" s="1350"/>
      <c r="I71" s="1350"/>
      <c r="J71" s="1351"/>
      <c r="K71" s="575"/>
      <c r="L71" s="469"/>
      <c r="O71" s="496"/>
    </row>
    <row r="72" spans="1:15">
      <c r="A72" s="1343" t="s">
        <v>190</v>
      </c>
      <c r="B72" s="1344"/>
      <c r="C72" s="1345"/>
      <c r="D72" s="489" t="s">
        <v>186</v>
      </c>
      <c r="E72" s="490">
        <f>'23'!F72</f>
        <v>856927</v>
      </c>
      <c r="F72" s="580">
        <v>856937</v>
      </c>
      <c r="G72" s="491">
        <f t="shared" ref="G72:G91" si="7">F72-E72</f>
        <v>10</v>
      </c>
      <c r="H72" s="492">
        <f>G72+'23'!H72</f>
        <v>230</v>
      </c>
      <c r="I72" s="510"/>
      <c r="J72" s="494">
        <f>H72/DAY(B2)</f>
        <v>9.5833333333333339</v>
      </c>
      <c r="K72" s="576"/>
      <c r="L72" s="469"/>
      <c r="O72" s="496"/>
    </row>
    <row r="73" spans="1:15">
      <c r="A73" s="1343" t="s">
        <v>191</v>
      </c>
      <c r="B73" s="1344"/>
      <c r="C73" s="1345"/>
      <c r="D73" s="489" t="s">
        <v>186</v>
      </c>
      <c r="E73" s="490">
        <f>'23'!F73</f>
        <v>886041</v>
      </c>
      <c r="F73" s="581">
        <v>886042</v>
      </c>
      <c r="G73" s="491">
        <f t="shared" si="7"/>
        <v>1</v>
      </c>
      <c r="H73" s="492">
        <f>G73+'23'!H73</f>
        <v>-9</v>
      </c>
      <c r="I73" s="510"/>
      <c r="J73" s="494">
        <f>H73/DAY(B2)</f>
        <v>-0.375</v>
      </c>
      <c r="K73" s="575"/>
      <c r="L73" s="469"/>
      <c r="O73" s="496"/>
    </row>
    <row r="74" spans="1:15">
      <c r="A74" s="1343" t="s">
        <v>192</v>
      </c>
      <c r="B74" s="1344"/>
      <c r="C74" s="1345"/>
      <c r="D74" s="489" t="s">
        <v>186</v>
      </c>
      <c r="E74" s="490">
        <f>'23'!F74</f>
        <v>88761</v>
      </c>
      <c r="F74" s="582">
        <v>88761</v>
      </c>
      <c r="G74" s="491">
        <f t="shared" si="7"/>
        <v>0</v>
      </c>
      <c r="H74" s="492">
        <f>G74+'23'!H74</f>
        <v>71</v>
      </c>
      <c r="I74" s="510"/>
      <c r="J74" s="494">
        <f>H74/DAY(B2)</f>
        <v>2.9583333333333335</v>
      </c>
      <c r="K74" s="576"/>
      <c r="L74" s="469"/>
      <c r="O74" s="496"/>
    </row>
    <row r="75" spans="1:15">
      <c r="A75" s="1346" t="s">
        <v>193</v>
      </c>
      <c r="B75" s="1347"/>
      <c r="C75" s="1348"/>
      <c r="D75" s="489" t="s">
        <v>186</v>
      </c>
      <c r="E75" s="490">
        <f>'23'!F75</f>
        <v>24894</v>
      </c>
      <c r="F75" s="582">
        <v>25052</v>
      </c>
      <c r="G75" s="491">
        <f t="shared" si="7"/>
        <v>158</v>
      </c>
      <c r="H75" s="492">
        <f>G75+'23'!H75</f>
        <v>-1256</v>
      </c>
      <c r="I75" s="510"/>
      <c r="J75" s="494">
        <f>H75/DAY(B2)</f>
        <v>-52.333333333333336</v>
      </c>
      <c r="K75" s="575"/>
      <c r="L75" s="469"/>
      <c r="O75" s="496"/>
    </row>
    <row r="76" spans="1:15">
      <c r="A76" s="1346" t="s">
        <v>194</v>
      </c>
      <c r="B76" s="1347"/>
      <c r="C76" s="1348"/>
      <c r="D76" s="489" t="s">
        <v>186</v>
      </c>
      <c r="E76" s="490">
        <f>'23'!F76</f>
        <v>12711</v>
      </c>
      <c r="F76" s="581">
        <v>12782</v>
      </c>
      <c r="G76" s="491">
        <f t="shared" si="7"/>
        <v>71</v>
      </c>
      <c r="H76" s="492">
        <f>G76+'23'!H76</f>
        <v>-495</v>
      </c>
      <c r="I76" s="553"/>
      <c r="J76" s="494">
        <f>H76/DAY(B2)</f>
        <v>-20.625</v>
      </c>
      <c r="K76" s="575"/>
      <c r="L76" s="469"/>
      <c r="O76" s="496"/>
    </row>
    <row r="77" spans="1:15">
      <c r="A77" s="1343" t="s">
        <v>195</v>
      </c>
      <c r="B77" s="1344"/>
      <c r="C77" s="1345"/>
      <c r="D77" s="489" t="s">
        <v>186</v>
      </c>
      <c r="E77" s="490">
        <f>'23'!F77</f>
        <v>707871</v>
      </c>
      <c r="F77" s="581">
        <v>707931</v>
      </c>
      <c r="G77" s="491">
        <f t="shared" si="7"/>
        <v>60</v>
      </c>
      <c r="H77" s="492">
        <f>G77+'23'!H77</f>
        <v>-358</v>
      </c>
      <c r="I77" s="553"/>
      <c r="J77" s="494">
        <f>H77/DAY(B2)</f>
        <v>-14.916666666666666</v>
      </c>
      <c r="K77" s="575"/>
      <c r="L77" s="469"/>
      <c r="O77" s="496"/>
    </row>
    <row r="78" spans="1:15">
      <c r="A78" s="583" t="s">
        <v>196</v>
      </c>
      <c r="B78" s="755"/>
      <c r="C78" s="755"/>
      <c r="D78" s="489" t="s">
        <v>186</v>
      </c>
      <c r="E78" s="490">
        <f>'23'!F78</f>
        <v>681240</v>
      </c>
      <c r="F78" s="582">
        <v>681299</v>
      </c>
      <c r="G78" s="491">
        <f t="shared" si="7"/>
        <v>59</v>
      </c>
      <c r="H78" s="492">
        <f>G78+'23'!H78</f>
        <v>-1114</v>
      </c>
      <c r="I78" s="553"/>
      <c r="J78" s="494">
        <f>H78/DAY(B2)</f>
        <v>-46.416666666666664</v>
      </c>
      <c r="K78" s="575"/>
      <c r="L78" s="469"/>
      <c r="O78" s="496"/>
    </row>
    <row r="79" spans="1:15">
      <c r="A79" s="1346" t="s">
        <v>91</v>
      </c>
      <c r="B79" s="1347"/>
      <c r="C79" s="1348"/>
      <c r="D79" s="522" t="s">
        <v>186</v>
      </c>
      <c r="E79" s="490">
        <f>'23'!F79</f>
        <v>843822</v>
      </c>
      <c r="F79" s="582">
        <v>843990</v>
      </c>
      <c r="G79" s="491">
        <f t="shared" si="7"/>
        <v>168</v>
      </c>
      <c r="H79" s="492">
        <f>G79+'23'!H79</f>
        <v>-1059</v>
      </c>
      <c r="I79" s="553"/>
      <c r="J79" s="494">
        <f>H79/DAY(B2)</f>
        <v>-44.125</v>
      </c>
      <c r="K79" s="575"/>
      <c r="L79" s="469"/>
      <c r="O79" s="496"/>
    </row>
    <row r="80" spans="1:15">
      <c r="A80" s="1346" t="s">
        <v>197</v>
      </c>
      <c r="B80" s="1347"/>
      <c r="C80" s="1348"/>
      <c r="D80" s="522" t="s">
        <v>186</v>
      </c>
      <c r="E80" s="490">
        <f>'23'!F80</f>
        <v>561203</v>
      </c>
      <c r="F80" s="580">
        <v>561585</v>
      </c>
      <c r="G80" s="491">
        <f t="shared" si="7"/>
        <v>382</v>
      </c>
      <c r="H80" s="492">
        <f>G80+'23'!H80</f>
        <v>-2713</v>
      </c>
      <c r="I80" s="553"/>
      <c r="J80" s="494">
        <f>H80/DAY(B2)</f>
        <v>-113.04166666666667</v>
      </c>
      <c r="K80" s="575"/>
      <c r="L80" s="469"/>
      <c r="O80" s="496"/>
    </row>
    <row r="81" spans="1:15">
      <c r="A81" s="1346" t="s">
        <v>198</v>
      </c>
      <c r="B81" s="1347"/>
      <c r="C81" s="1348"/>
      <c r="D81" s="522" t="s">
        <v>186</v>
      </c>
      <c r="E81" s="490">
        <f>'23'!F81</f>
        <v>652977</v>
      </c>
      <c r="F81" s="581">
        <v>653106</v>
      </c>
      <c r="G81" s="491">
        <f t="shared" si="7"/>
        <v>129</v>
      </c>
      <c r="H81" s="492">
        <f>G81+'23'!H81</f>
        <v>-1072</v>
      </c>
      <c r="I81" s="553"/>
      <c r="J81" s="494">
        <f>H81/DAY(B2)</f>
        <v>-44.666666666666664</v>
      </c>
      <c r="K81" s="575"/>
      <c r="L81" s="469"/>
      <c r="O81" s="496"/>
    </row>
    <row r="82" spans="1:15">
      <c r="A82" s="1346" t="s">
        <v>92</v>
      </c>
      <c r="B82" s="1347"/>
      <c r="C82" s="1348"/>
      <c r="D82" s="523" t="s">
        <v>131</v>
      </c>
      <c r="E82" s="490">
        <f>'23'!F82</f>
        <v>109774</v>
      </c>
      <c r="F82" s="584">
        <v>109800</v>
      </c>
      <c r="G82" s="491">
        <f t="shared" si="7"/>
        <v>26</v>
      </c>
      <c r="H82" s="492">
        <f>G82+'23'!H82</f>
        <v>110023</v>
      </c>
      <c r="I82" s="524"/>
      <c r="J82" s="494">
        <f>H82/DAY(B2)</f>
        <v>4584.291666666667</v>
      </c>
      <c r="K82" s="575"/>
      <c r="L82" s="469"/>
      <c r="O82" s="496"/>
    </row>
    <row r="83" spans="1:15">
      <c r="A83" s="1346" t="s">
        <v>199</v>
      </c>
      <c r="B83" s="1347"/>
      <c r="C83" s="1348"/>
      <c r="D83" s="585" t="s">
        <v>131</v>
      </c>
      <c r="E83" s="490">
        <f>'23'!F83</f>
        <v>42030</v>
      </c>
      <c r="F83" s="476">
        <v>42306</v>
      </c>
      <c r="G83" s="491">
        <f>F83-E83</f>
        <v>276</v>
      </c>
      <c r="H83" s="492">
        <f>G83+'23'!H83</f>
        <v>-2017</v>
      </c>
      <c r="I83" s="513"/>
      <c r="J83" s="494">
        <f>H83/DAY(B2)</f>
        <v>-84.041666666666671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'23'!F84</f>
        <v>564804</v>
      </c>
      <c r="F84" s="588">
        <v>565491</v>
      </c>
      <c r="G84" s="491">
        <f t="shared" si="7"/>
        <v>687</v>
      </c>
      <c r="H84" s="492">
        <f>G84+'23'!H84</f>
        <v>-4888</v>
      </c>
      <c r="I84" s="513"/>
      <c r="J84" s="494">
        <f>H84/DAY(B2)</f>
        <v>-203.66666666666666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>
        <f>'23'!F85</f>
        <v>0</v>
      </c>
      <c r="F85" s="489"/>
      <c r="G85" s="492">
        <f xml:space="preserve"> SUM(G72:G84)</f>
        <v>2027</v>
      </c>
      <c r="H85" s="492">
        <f>G85+'23'!H85</f>
        <v>95028.000000000015</v>
      </c>
      <c r="I85" s="513"/>
      <c r="J85" s="494">
        <f>H85/DAY(B2)</f>
        <v>3959.5000000000005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'23'!F86</f>
        <v>463208</v>
      </c>
      <c r="F86" s="597">
        <v>463235</v>
      </c>
      <c r="G86" s="598">
        <f t="shared" si="7"/>
        <v>27</v>
      </c>
      <c r="H86" s="598">
        <f t="shared" ref="H86:H88" si="8">G86</f>
        <v>27</v>
      </c>
      <c r="I86" s="599"/>
      <c r="J86" s="600">
        <f>H86/DAY(B2)</f>
        <v>1.125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'23'!F87</f>
        <v>83659</v>
      </c>
      <c r="F87" s="597">
        <v>83687</v>
      </c>
      <c r="G87" s="598">
        <f t="shared" si="7"/>
        <v>28</v>
      </c>
      <c r="H87" s="598">
        <f t="shared" si="8"/>
        <v>28</v>
      </c>
      <c r="I87" s="599"/>
      <c r="J87" s="600">
        <f>H87/DAY(B2)</f>
        <v>1.1666666666666667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'23'!F88</f>
        <v>158212</v>
      </c>
      <c r="F88" s="597">
        <v>158212</v>
      </c>
      <c r="G88" s="598">
        <f t="shared" si="7"/>
        <v>0</v>
      </c>
      <c r="H88" s="598">
        <f t="shared" si="8"/>
        <v>0</v>
      </c>
      <c r="I88" s="599"/>
      <c r="J88" s="600">
        <f>H88/DAY(B2)</f>
        <v>0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'23'!F89</f>
        <v>68499</v>
      </c>
      <c r="F89" s="897">
        <v>68578</v>
      </c>
      <c r="G89" s="598">
        <f t="shared" si="7"/>
        <v>79</v>
      </c>
      <c r="H89" s="598">
        <f>G89</f>
        <v>79</v>
      </c>
      <c r="I89" s="599"/>
      <c r="J89" s="600">
        <f>H89/DAY(B2)</f>
        <v>3.2916666666666665</v>
      </c>
      <c r="K89" s="601"/>
      <c r="L89" s="602"/>
      <c r="N89" s="662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'23'!F90</f>
        <v>3571</v>
      </c>
      <c r="F90" s="897">
        <v>3578</v>
      </c>
      <c r="G90" s="598">
        <f t="shared" si="7"/>
        <v>7</v>
      </c>
      <c r="H90" s="598">
        <f>G90</f>
        <v>7</v>
      </c>
      <c r="I90" s="599"/>
      <c r="J90" s="600">
        <f>H90/DAY(B2)</f>
        <v>0.29166666666666669</v>
      </c>
      <c r="K90" s="601"/>
      <c r="L90" s="602"/>
      <c r="N90" s="662"/>
      <c r="O90" s="496"/>
    </row>
    <row r="91" spans="1:15" s="386" customFormat="1" ht="29.25">
      <c r="A91" s="381" t="s">
        <v>335</v>
      </c>
      <c r="B91" s="382"/>
      <c r="C91" s="382"/>
      <c r="D91" s="383" t="s">
        <v>131</v>
      </c>
      <c r="E91" s="490">
        <f>'23'!F91</f>
        <v>28687</v>
      </c>
      <c r="F91" s="597">
        <v>28696</v>
      </c>
      <c r="G91" s="356">
        <f t="shared" si="7"/>
        <v>9</v>
      </c>
      <c r="H91" s="356">
        <f>G91</f>
        <v>9</v>
      </c>
      <c r="I91" s="303"/>
      <c r="J91" s="358"/>
      <c r="K91" s="384"/>
      <c r="L91" s="385"/>
      <c r="N91" s="428"/>
      <c r="O91" s="73"/>
    </row>
    <row r="92" spans="1:15" s="593" customForma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337" t="s">
        <v>205</v>
      </c>
      <c r="B93" s="1338"/>
      <c r="C93" s="1339"/>
      <c r="D93" s="489" t="s">
        <v>143</v>
      </c>
      <c r="E93" s="490">
        <f>'23'!F93</f>
        <v>252654</v>
      </c>
      <c r="F93" s="519">
        <v>252730</v>
      </c>
      <c r="G93" s="491">
        <f t="shared" ref="G93:G94" si="9">F93-E93</f>
        <v>76</v>
      </c>
      <c r="H93" s="492">
        <f>G93+'23'!H93</f>
        <v>-722</v>
      </c>
      <c r="I93" s="510"/>
      <c r="J93" s="494">
        <f>H93/DAY(B2)</f>
        <v>-30.083333333333332</v>
      </c>
      <c r="K93" s="516"/>
      <c r="L93" s="469"/>
      <c r="O93" s="496"/>
    </row>
    <row r="94" spans="1:15">
      <c r="A94" s="1337" t="s">
        <v>206</v>
      </c>
      <c r="B94" s="1338"/>
      <c r="C94" s="1339"/>
      <c r="D94" s="489" t="s">
        <v>143</v>
      </c>
      <c r="E94" s="490">
        <f>'23'!F94</f>
        <v>196356</v>
      </c>
      <c r="F94" s="519">
        <v>196493</v>
      </c>
      <c r="G94" s="491">
        <f t="shared" si="9"/>
        <v>137</v>
      </c>
      <c r="H94" s="492">
        <f>G94+'23'!H94</f>
        <v>-1166</v>
      </c>
      <c r="I94" s="510"/>
      <c r="J94" s="494">
        <f>H94/DAY(B2)</f>
        <v>-48.583333333333336</v>
      </c>
      <c r="K94" s="589"/>
      <c r="L94" s="469"/>
      <c r="O94" s="496"/>
    </row>
    <row r="95" spans="1:15">
      <c r="A95" s="1329" t="s">
        <v>207</v>
      </c>
      <c r="B95" s="1330"/>
      <c r="C95" s="1331"/>
      <c r="D95" s="489"/>
      <c r="E95" s="490">
        <f>'23'!F95</f>
        <v>0</v>
      </c>
      <c r="F95" s="519"/>
      <c r="G95" s="491">
        <f>G93+G94</f>
        <v>213</v>
      </c>
      <c r="H95" s="492">
        <f>G95+'23'!H95</f>
        <v>-2113</v>
      </c>
      <c r="I95" s="510"/>
      <c r="J95" s="494">
        <f>H95/DAY(B2)</f>
        <v>-88.041666666666671</v>
      </c>
      <c r="K95" s="589"/>
      <c r="L95" s="469"/>
      <c r="O95" s="496"/>
    </row>
    <row r="96" spans="1:15">
      <c r="A96" s="1337" t="s">
        <v>208</v>
      </c>
      <c r="B96" s="1338"/>
      <c r="C96" s="1339"/>
      <c r="D96" s="489" t="s">
        <v>143</v>
      </c>
      <c r="E96" s="490">
        <f>'23'!F96</f>
        <v>420390</v>
      </c>
      <c r="F96" s="519">
        <v>420457</v>
      </c>
      <c r="G96" s="491">
        <f t="shared" ref="G96:G101" si="10">F96-E96</f>
        <v>67</v>
      </c>
      <c r="H96" s="492">
        <f>G96+'23'!H96</f>
        <v>-562</v>
      </c>
      <c r="I96" s="510"/>
      <c r="J96" s="494">
        <f>H96/DAY(B2)</f>
        <v>-23.416666666666668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'23'!F97</f>
        <v>104438</v>
      </c>
      <c r="F97" s="519">
        <v>104465</v>
      </c>
      <c r="G97" s="491">
        <f t="shared" si="10"/>
        <v>27</v>
      </c>
      <c r="H97" s="492">
        <f>G97+'23'!H97</f>
        <v>-171</v>
      </c>
      <c r="I97" s="510"/>
      <c r="J97" s="494">
        <f>H97/DAY(B2)</f>
        <v>-7.125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'23'!F98</f>
        <v>100128</v>
      </c>
      <c r="F98" s="519">
        <v>100148</v>
      </c>
      <c r="G98" s="491">
        <f t="shared" si="10"/>
        <v>20</v>
      </c>
      <c r="H98" s="492">
        <f>G98+'23'!H98</f>
        <v>-222</v>
      </c>
      <c r="I98" s="510"/>
      <c r="J98" s="494">
        <f>H98/DAY(B2)</f>
        <v>-9.25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'23'!F99</f>
        <v>151898</v>
      </c>
      <c r="F99" s="519">
        <v>151950</v>
      </c>
      <c r="G99" s="491">
        <f t="shared" si="10"/>
        <v>52</v>
      </c>
      <c r="H99" s="492">
        <f>G99+'23'!H99</f>
        <v>-185</v>
      </c>
      <c r="I99" s="510"/>
      <c r="J99" s="494">
        <f>H99/DAY(B2)</f>
        <v>-7.708333333333333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'23'!F100</f>
        <v>8527</v>
      </c>
      <c r="F100" s="519">
        <v>8540</v>
      </c>
      <c r="G100" s="491">
        <f t="shared" si="10"/>
        <v>13</v>
      </c>
      <c r="H100" s="492">
        <f>G100+'23'!H100</f>
        <v>-105</v>
      </c>
      <c r="I100" s="510"/>
      <c r="J100" s="494">
        <f>H100/DAY(B2)</f>
        <v>-4.375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'23'!F101</f>
        <v>6283</v>
      </c>
      <c r="F101" s="519">
        <v>6289</v>
      </c>
      <c r="G101" s="491">
        <f t="shared" si="10"/>
        <v>6</v>
      </c>
      <c r="H101" s="492">
        <f>G101+'23'!H101</f>
        <v>-84</v>
      </c>
      <c r="I101" s="510"/>
      <c r="J101" s="494">
        <f>H101/DAY(B2)</f>
        <v>-3.5</v>
      </c>
      <c r="K101" s="589"/>
      <c r="L101" s="469"/>
      <c r="O101" s="496"/>
    </row>
    <row r="102" spans="1:15">
      <c r="A102" s="1329" t="s">
        <v>215</v>
      </c>
      <c r="B102" s="1330"/>
      <c r="C102" s="1331"/>
      <c r="D102" s="522"/>
      <c r="E102" s="522"/>
      <c r="F102" s="522"/>
      <c r="G102" s="606">
        <f>SUM(G96:G101)</f>
        <v>185</v>
      </c>
      <c r="H102" s="492">
        <f>G102+'23'!H102</f>
        <v>-1329</v>
      </c>
      <c r="I102" s="607"/>
      <c r="J102" s="494">
        <f>H102/DAY(B2)</f>
        <v>-55.375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>
      <c r="A104" s="1326" t="s">
        <v>217</v>
      </c>
      <c r="B104" s="1327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>
      <c r="A105" s="1320" t="s">
        <v>218</v>
      </c>
      <c r="B105" s="1321"/>
      <c r="C105" s="622"/>
      <c r="D105" s="618" t="s">
        <v>143</v>
      </c>
      <c r="E105" s="619">
        <f>'23'!F105</f>
        <v>7929</v>
      </c>
      <c r="F105" s="619">
        <v>7945</v>
      </c>
      <c r="G105" s="619">
        <f>F105-E105</f>
        <v>16</v>
      </c>
      <c r="H105" s="620">
        <f>SUM(G105+'1'!G76)</f>
        <v>91.700000000000728</v>
      </c>
      <c r="I105" s="619"/>
      <c r="J105" s="621">
        <f>H105/DAY(B2)</f>
        <v>3.8208333333333635</v>
      </c>
      <c r="N105" s="658"/>
      <c r="O105" s="496"/>
    </row>
    <row r="106" spans="1:15" s="540" customFormat="1">
      <c r="A106" s="1320" t="s">
        <v>76</v>
      </c>
      <c r="B106" s="1321"/>
      <c r="C106" s="622"/>
      <c r="D106" s="618" t="s">
        <v>143</v>
      </c>
      <c r="E106" s="619">
        <f>'23'!F106</f>
        <v>36686</v>
      </c>
      <c r="F106" s="623">
        <v>36693</v>
      </c>
      <c r="G106" s="619">
        <f t="shared" ref="G106:G107" si="11">F106-E106</f>
        <v>7</v>
      </c>
      <c r="H106" s="620">
        <f>SUM(G106+'1'!G77)</f>
        <v>54</v>
      </c>
      <c r="I106" s="619"/>
      <c r="J106" s="621">
        <f>H106/DAY(B2)</f>
        <v>2.25</v>
      </c>
      <c r="N106" s="658"/>
      <c r="O106" s="496"/>
    </row>
    <row r="107" spans="1:15" s="540" customFormat="1">
      <c r="A107" s="1320" t="s">
        <v>77</v>
      </c>
      <c r="B107" s="1328"/>
      <c r="C107" s="1321"/>
      <c r="D107" s="618" t="s">
        <v>143</v>
      </c>
      <c r="E107" s="619">
        <f>'23'!F107</f>
        <v>20146</v>
      </c>
      <c r="F107" s="619">
        <v>20156</v>
      </c>
      <c r="G107" s="619">
        <f t="shared" si="11"/>
        <v>10</v>
      </c>
      <c r="H107" s="620">
        <f>SUM(G107+'1'!G78)</f>
        <v>28</v>
      </c>
      <c r="I107" s="619"/>
      <c r="J107" s="621">
        <f>H107/DAY(B2)</f>
        <v>1.1666666666666667</v>
      </c>
      <c r="N107" s="658"/>
      <c r="O107" s="496"/>
    </row>
    <row r="108" spans="1:15" s="540" customFormat="1">
      <c r="A108" s="1322" t="s">
        <v>201</v>
      </c>
      <c r="B108" s="1323"/>
      <c r="C108" s="622"/>
      <c r="D108" s="618"/>
      <c r="E108" s="619"/>
      <c r="F108" s="619"/>
      <c r="G108" s="619">
        <f>SUM(G105:G107)</f>
        <v>33</v>
      </c>
      <c r="H108" s="620">
        <f>SUM(G108+'1'!G79)</f>
        <v>199</v>
      </c>
      <c r="I108" s="619"/>
      <c r="J108" s="621">
        <f>H108/DAY(B2)</f>
        <v>8.2916666666666661</v>
      </c>
      <c r="N108" s="658"/>
      <c r="O108" s="496"/>
    </row>
    <row r="109" spans="1:15" s="540" customFormat="1">
      <c r="A109" s="1318" t="s">
        <v>78</v>
      </c>
      <c r="B109" s="1319"/>
      <c r="C109" s="622"/>
      <c r="D109" s="618" t="s">
        <v>143</v>
      </c>
      <c r="E109" s="619">
        <f>'23'!F109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>
      <c r="A110" s="1320" t="s">
        <v>219</v>
      </c>
      <c r="B110" s="1321"/>
      <c r="C110" s="622"/>
      <c r="D110" s="618" t="s">
        <v>143</v>
      </c>
      <c r="E110" s="619">
        <f>'23'!F110</f>
        <v>68862</v>
      </c>
      <c r="F110" s="619">
        <v>68937</v>
      </c>
      <c r="G110" s="619">
        <f>F110-E110</f>
        <v>75</v>
      </c>
      <c r="H110" s="620">
        <f>SUM(G110+'1'!G81)</f>
        <v>249.80000000004657</v>
      </c>
      <c r="I110" s="619"/>
      <c r="J110" s="621">
        <f>H110/DAY(B2)</f>
        <v>10.408333333335273</v>
      </c>
      <c r="N110" s="658"/>
      <c r="O110" s="496"/>
    </row>
    <row r="111" spans="1:15" s="540" customFormat="1">
      <c r="A111" s="1320" t="s">
        <v>220</v>
      </c>
      <c r="B111" s="1321"/>
      <c r="C111" s="622"/>
      <c r="D111" s="618" t="s">
        <v>143</v>
      </c>
      <c r="E111" s="619">
        <f>'23'!F111</f>
        <v>33886</v>
      </c>
      <c r="F111" s="619">
        <v>33886</v>
      </c>
      <c r="G111" s="619">
        <f t="shared" ref="G111:G112" si="12">F111-E111</f>
        <v>0</v>
      </c>
      <c r="H111" s="620">
        <f>SUM(G111+'1'!G82)</f>
        <v>30</v>
      </c>
      <c r="I111" s="619"/>
      <c r="J111" s="621">
        <f>H111/DAY(B2)</f>
        <v>1.25</v>
      </c>
      <c r="N111" s="658"/>
      <c r="O111" s="496"/>
    </row>
    <row r="112" spans="1:15" s="540" customFormat="1">
      <c r="A112" s="1320" t="s">
        <v>221</v>
      </c>
      <c r="B112" s="1321"/>
      <c r="C112" s="622"/>
      <c r="D112" s="618" t="s">
        <v>143</v>
      </c>
      <c r="E112" s="619">
        <f>'23'!F112</f>
        <v>4698</v>
      </c>
      <c r="F112" s="619">
        <v>4758</v>
      </c>
      <c r="G112" s="619">
        <f t="shared" si="12"/>
        <v>60</v>
      </c>
      <c r="H112" s="620">
        <f>SUM(G112+'1'!G83)</f>
        <v>371</v>
      </c>
      <c r="I112" s="619"/>
      <c r="J112" s="621">
        <f>H112/DAY(B2)</f>
        <v>15.458333333333334</v>
      </c>
      <c r="N112" s="658"/>
      <c r="O112" s="496"/>
    </row>
    <row r="113" spans="1:15" s="540" customFormat="1">
      <c r="A113" s="1324" t="s">
        <v>109</v>
      </c>
      <c r="B113" s="1325"/>
      <c r="C113" s="622"/>
      <c r="D113" s="618"/>
      <c r="E113" s="619">
        <f>'23'!F113</f>
        <v>0</v>
      </c>
      <c r="F113" s="619"/>
      <c r="G113" s="619">
        <f>SUM(G110:G112)</f>
        <v>135</v>
      </c>
      <c r="H113" s="620">
        <f>SUM(G113+'1'!G84)</f>
        <v>875</v>
      </c>
      <c r="I113" s="619"/>
      <c r="J113" s="621">
        <f>H113/DAY(B2)</f>
        <v>36.458333333333336</v>
      </c>
      <c r="N113" s="658"/>
      <c r="O113" s="496"/>
    </row>
    <row r="114" spans="1:15" s="540" customFormat="1">
      <c r="A114" s="1318" t="s">
        <v>222</v>
      </c>
      <c r="B114" s="1319"/>
      <c r="C114" s="622"/>
      <c r="D114" s="618"/>
      <c r="E114" s="619"/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320" t="s">
        <v>223</v>
      </c>
      <c r="B115" s="1321"/>
      <c r="C115" s="624"/>
      <c r="D115" s="618" t="s">
        <v>143</v>
      </c>
      <c r="E115" s="619">
        <f>'23'!F115</f>
        <v>12899</v>
      </c>
      <c r="F115" s="623">
        <v>12914</v>
      </c>
      <c r="G115" s="623">
        <f>F115-E115</f>
        <v>15</v>
      </c>
      <c r="H115" s="620">
        <f>SUM(G115+'1'!G92)</f>
        <v>15</v>
      </c>
      <c r="I115" s="619"/>
      <c r="J115" s="621">
        <f>H115/DAY(B2)</f>
        <v>0.625</v>
      </c>
      <c r="N115" s="658"/>
      <c r="O115" s="496"/>
    </row>
    <row r="116" spans="1:15" s="540" customFormat="1">
      <c r="A116" s="1320" t="s">
        <v>224</v>
      </c>
      <c r="B116" s="1321"/>
      <c r="C116" s="624"/>
      <c r="D116" s="618" t="s">
        <v>143</v>
      </c>
      <c r="E116" s="619">
        <f>'23'!F116</f>
        <v>9054</v>
      </c>
      <c r="F116" s="623">
        <v>9061</v>
      </c>
      <c r="G116" s="623">
        <f t="shared" ref="G116:G117" si="13">F116-E116</f>
        <v>7</v>
      </c>
      <c r="H116" s="620">
        <f>SUM(G116+'1'!G93)</f>
        <v>69</v>
      </c>
      <c r="I116" s="619"/>
      <c r="J116" s="621">
        <f>H116/DAY(B2)</f>
        <v>2.875</v>
      </c>
      <c r="N116" s="658"/>
      <c r="O116" s="496"/>
    </row>
    <row r="117" spans="1:15" s="540" customFormat="1">
      <c r="A117" s="1320" t="s">
        <v>225</v>
      </c>
      <c r="B117" s="1321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163</v>
      </c>
      <c r="I117" s="619"/>
      <c r="J117" s="621">
        <f>H117/DAY(B2)</f>
        <v>6.791666666666667</v>
      </c>
      <c r="N117" s="658"/>
      <c r="O117" s="496"/>
    </row>
    <row r="118" spans="1:15" s="626" customFormat="1">
      <c r="A118" s="1322" t="s">
        <v>201</v>
      </c>
      <c r="B118" s="1323"/>
      <c r="C118" s="624"/>
      <c r="D118" s="625"/>
      <c r="E118" s="623"/>
      <c r="F118" s="623"/>
      <c r="G118" s="623">
        <f>SUM(G115:G117)</f>
        <v>22</v>
      </c>
      <c r="H118" s="620">
        <f>SUM(G118+'1'!G96)</f>
        <v>88</v>
      </c>
      <c r="I118" s="623"/>
      <c r="J118" s="621">
        <f>H118/DAY(B2)</f>
        <v>3.6666666666666665</v>
      </c>
      <c r="N118" s="663"/>
      <c r="O118" s="496"/>
    </row>
    <row r="119" spans="1:15" s="419" customFormat="1">
      <c r="A119" s="1315" t="s">
        <v>226</v>
      </c>
      <c r="B119" s="1316"/>
      <c r="C119" s="627"/>
      <c r="D119" s="628" t="s">
        <v>143</v>
      </c>
      <c r="E119" s="629"/>
      <c r="F119" s="630"/>
      <c r="G119" s="630">
        <f>SUM(G19+G93)</f>
        <v>140</v>
      </c>
      <c r="H119" s="620">
        <f>SUM(G119+'1'!G97)</f>
        <v>158</v>
      </c>
      <c r="I119" s="629"/>
      <c r="J119" s="631">
        <f>H119/DAY(B2)</f>
        <v>6.583333333333333</v>
      </c>
      <c r="N119" s="664"/>
      <c r="O119" s="496"/>
    </row>
    <row r="120" spans="1:15" s="419" customFormat="1">
      <c r="A120" s="1315" t="s">
        <v>227</v>
      </c>
      <c r="B120" s="1316"/>
      <c r="C120" s="627"/>
      <c r="D120" s="628" t="s">
        <v>143</v>
      </c>
      <c r="E120" s="629"/>
      <c r="F120" s="630"/>
      <c r="G120" s="630">
        <f>SUM(G96,G97,G98,G100,G101)</f>
        <v>133</v>
      </c>
      <c r="H120" s="620">
        <f>SUM(G120+'1'!G99)</f>
        <v>144</v>
      </c>
      <c r="I120" s="629"/>
      <c r="J120" s="631">
        <f>H120/DAY(B2)</f>
        <v>6</v>
      </c>
      <c r="N120" s="664"/>
      <c r="O120" s="496"/>
    </row>
    <row r="121" spans="1:15" s="419" customFormat="1">
      <c r="A121" s="1315" t="s">
        <v>228</v>
      </c>
      <c r="B121" s="1316"/>
      <c r="C121" s="627"/>
      <c r="D121" s="628" t="s">
        <v>143</v>
      </c>
      <c r="E121" s="629"/>
      <c r="F121" s="623"/>
      <c r="G121" s="623">
        <f>SUM(G113)</f>
        <v>135</v>
      </c>
      <c r="H121" s="620">
        <f>SUM(G121+'1'!G101)</f>
        <v>144</v>
      </c>
      <c r="I121" s="629"/>
      <c r="J121" s="631">
        <f>H121/DAY(B2)</f>
        <v>6</v>
      </c>
      <c r="N121" s="664"/>
      <c r="O121" s="496"/>
    </row>
    <row r="122" spans="1:15" s="540" customFormat="1">
      <c r="A122" s="1317"/>
      <c r="B122" s="1314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>
      <c r="A123" s="1332" t="s">
        <v>229</v>
      </c>
      <c r="B123" s="1333"/>
      <c r="C123" s="1334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'23'!F124</f>
        <v>854250</v>
      </c>
      <c r="F124" s="507">
        <v>854494</v>
      </c>
      <c r="G124" s="491">
        <f t="shared" ref="G124:G128" si="14">F124-E124</f>
        <v>244</v>
      </c>
      <c r="H124" s="492">
        <f>G124+'23'!H124</f>
        <v>-1858</v>
      </c>
      <c r="I124" s="607"/>
      <c r="J124" s="494">
        <f>H124/DAY(B2)</f>
        <v>-77.416666666666671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'23'!F125</f>
        <v>73583.399999999994</v>
      </c>
      <c r="F125" s="635">
        <v>73583</v>
      </c>
      <c r="G125" s="491">
        <f t="shared" si="14"/>
        <v>-0.39999999999417923</v>
      </c>
      <c r="H125" s="492">
        <f>G125+'23'!H125</f>
        <v>-0.39999999999417923</v>
      </c>
      <c r="I125" s="607"/>
      <c r="J125" s="494">
        <f>H125/DAY(B2)</f>
        <v>-1.6666666666424135E-2</v>
      </c>
      <c r="K125" s="589"/>
      <c r="L125" s="469"/>
      <c r="O125" s="496"/>
    </row>
    <row r="126" spans="1:15">
      <c r="A126" s="1343" t="s">
        <v>232</v>
      </c>
      <c r="B126" s="1344"/>
      <c r="C126" s="1345"/>
      <c r="D126" s="489" t="s">
        <v>140</v>
      </c>
      <c r="E126" s="490">
        <f>'23'!F126</f>
        <v>153366</v>
      </c>
      <c r="F126" s="507">
        <v>153446</v>
      </c>
      <c r="G126" s="491">
        <f t="shared" si="14"/>
        <v>80</v>
      </c>
      <c r="H126" s="492">
        <f>G126+'23'!H126</f>
        <v>-631</v>
      </c>
      <c r="I126" s="607"/>
      <c r="J126" s="494">
        <f>H126/DAY(B2)</f>
        <v>-26.291666666666668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'23'!F127</f>
        <v>34290</v>
      </c>
      <c r="F127" s="635">
        <v>34335</v>
      </c>
      <c r="G127" s="491">
        <f t="shared" si="14"/>
        <v>45</v>
      </c>
      <c r="H127" s="492">
        <f>G127+'23'!H127</f>
        <v>-294</v>
      </c>
      <c r="I127" s="607"/>
      <c r="J127" s="494">
        <f>H127/DAY(B2)</f>
        <v>-12.25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'23'!F128</f>
        <v>9161</v>
      </c>
      <c r="F128" s="635">
        <v>9163</v>
      </c>
      <c r="G128" s="491">
        <f t="shared" si="14"/>
        <v>2</v>
      </c>
      <c r="H128" s="492">
        <f>G128+'23'!H128</f>
        <v>-17</v>
      </c>
      <c r="I128" s="510"/>
      <c r="J128" s="494">
        <f>H128/DAY(B2)</f>
        <v>-0.70833333333333337</v>
      </c>
      <c r="K128" s="589"/>
      <c r="L128" s="469"/>
      <c r="O128" s="496"/>
    </row>
    <row r="129" spans="1:15">
      <c r="A129" s="636" t="s">
        <v>235</v>
      </c>
      <c r="B129" s="518"/>
      <c r="C129" s="518"/>
      <c r="D129" s="489"/>
      <c r="E129" s="490"/>
      <c r="F129" s="507"/>
      <c r="G129" s="491">
        <f>G15-SUM(G124:G128)</f>
        <v>508.39999999999418</v>
      </c>
      <c r="H129" s="492">
        <f>G129+'23'!H129</f>
        <v>4221.3999999999942</v>
      </c>
      <c r="I129" s="510"/>
      <c r="J129" s="494">
        <f>H129/DAY(B2)</f>
        <v>175.89166666666642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'23'!F131</f>
        <v>0</v>
      </c>
      <c r="F131" s="519">
        <v>0</v>
      </c>
      <c r="G131" s="491">
        <f t="shared" ref="G131:G141" si="15">F131-E131</f>
        <v>0</v>
      </c>
      <c r="H131" s="492">
        <f>G131+'23'!H131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'23'!F132</f>
        <v>0</v>
      </c>
      <c r="F132" s="519">
        <v>0</v>
      </c>
      <c r="G132" s="491">
        <f t="shared" si="15"/>
        <v>0</v>
      </c>
      <c r="H132" s="492">
        <f>G132+'23'!H132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1066">
        <f>'23'!F133</f>
        <v>40921.53</v>
      </c>
      <c r="F133" s="640">
        <v>40921.53</v>
      </c>
      <c r="G133" s="599">
        <f t="shared" si="15"/>
        <v>0</v>
      </c>
      <c r="H133" s="492">
        <f>G133+'23'!H133</f>
        <v>-0.47000000000116415</v>
      </c>
      <c r="I133" s="510"/>
      <c r="J133" s="494">
        <f>H133/DAY(B2)</f>
        <v>-1.9583333333381841E-2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1066">
        <f>'23'!F134</f>
        <v>737</v>
      </c>
      <c r="F134" s="640">
        <v>748</v>
      </c>
      <c r="G134" s="599">
        <f t="shared" si="15"/>
        <v>11</v>
      </c>
      <c r="H134" s="492">
        <f>G134+'23'!H134</f>
        <v>-108</v>
      </c>
      <c r="I134" s="510">
        <f>G131+G132+G133+G134</f>
        <v>11</v>
      </c>
      <c r="J134" s="494">
        <f>H134/DAY(B2)</f>
        <v>-4.5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1066">
        <f>'23'!F135</f>
        <v>42737</v>
      </c>
      <c r="F135" s="640">
        <v>42761</v>
      </c>
      <c r="G135" s="599">
        <f t="shared" si="15"/>
        <v>24</v>
      </c>
      <c r="H135" s="492">
        <f>G135+'23'!H135</f>
        <v>48</v>
      </c>
      <c r="I135" s="510"/>
      <c r="J135" s="494">
        <f>H135/DAY(B2)</f>
        <v>2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1066">
        <f>'23'!F136</f>
        <v>32874.050000000003</v>
      </c>
      <c r="F136" s="640">
        <v>32874</v>
      </c>
      <c r="G136" s="599">
        <f t="shared" si="15"/>
        <v>-5.0000000002910383E-2</v>
      </c>
      <c r="H136" s="492">
        <f>G136+'23'!H136</f>
        <v>12.94999999999709</v>
      </c>
      <c r="I136" s="510"/>
      <c r="J136" s="494">
        <f>H136/DAY(B2)</f>
        <v>0.53958333333321207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1066">
        <f>'23'!F137</f>
        <v>23287.53</v>
      </c>
      <c r="F137" s="640">
        <v>23297</v>
      </c>
      <c r="G137" s="599">
        <f t="shared" si="15"/>
        <v>9.4700000000011642</v>
      </c>
      <c r="H137" s="492">
        <f>G137+'23'!H137</f>
        <v>-59.430000000000291</v>
      </c>
      <c r="I137" s="510">
        <f>G135+G136+G137</f>
        <v>33.419999999998254</v>
      </c>
      <c r="J137" s="494">
        <f>H137/DAY(B2)</f>
        <v>-2.4762500000000123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'23'!F138</f>
        <v>25132.98</v>
      </c>
      <c r="F138" s="640">
        <v>25132.98</v>
      </c>
      <c r="G138" s="491">
        <f t="shared" si="15"/>
        <v>0</v>
      </c>
      <c r="H138" s="492">
        <f>G138+'23'!H138</f>
        <v>8</v>
      </c>
      <c r="I138" s="510"/>
      <c r="J138" s="494">
        <f>H138/DAY(B2)</f>
        <v>0.33333333333333331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'23'!F139</f>
        <v>70524.55</v>
      </c>
      <c r="F139" s="640">
        <v>70524.55</v>
      </c>
      <c r="G139" s="491">
        <f t="shared" si="15"/>
        <v>0</v>
      </c>
      <c r="H139" s="492">
        <f>G139+'23'!H139</f>
        <v>15</v>
      </c>
      <c r="I139" s="510">
        <f>G138+G139</f>
        <v>0</v>
      </c>
      <c r="J139" s="494">
        <f>H139/DAY(B2)</f>
        <v>0.625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'23'!F140</f>
        <v>2546.83</v>
      </c>
      <c r="F140" s="519">
        <v>2556</v>
      </c>
      <c r="G140" s="491">
        <f t="shared" si="15"/>
        <v>9.1700000000000728</v>
      </c>
      <c r="H140" s="492">
        <f>G140+'23'!H140</f>
        <v>-71.980000000000018</v>
      </c>
      <c r="I140" s="641"/>
      <c r="J140" s="494">
        <f>H140/DAY(B2)</f>
        <v>-2.9991666666666674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'23'!F141</f>
        <v>4753.67</v>
      </c>
      <c r="F141" s="519">
        <v>4753.67</v>
      </c>
      <c r="G141" s="491">
        <f t="shared" si="15"/>
        <v>0</v>
      </c>
      <c r="H141" s="492">
        <f>G141+'23'!H141</f>
        <v>-0.32999999999992724</v>
      </c>
      <c r="I141" s="641"/>
      <c r="J141" s="494">
        <f>H141/DAY(B2)</f>
        <v>-1.3749999999996968E-2</v>
      </c>
      <c r="O141" s="496"/>
    </row>
    <row r="142" spans="1:15">
      <c r="A142" s="1335" t="s">
        <v>249</v>
      </c>
      <c r="B142" s="1336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337" t="s">
        <v>250</v>
      </c>
      <c r="B143" s="1338"/>
      <c r="C143" s="1339"/>
      <c r="D143" s="489" t="s">
        <v>131</v>
      </c>
      <c r="E143" s="489"/>
      <c r="F143" s="489"/>
      <c r="G143" s="492">
        <f>G35+G43+G49+G57</f>
        <v>6141</v>
      </c>
      <c r="H143" s="492">
        <f>G143+'23'!H143</f>
        <v>363789.99999999994</v>
      </c>
      <c r="I143" s="510"/>
      <c r="J143" s="494">
        <f>H143/DAY(B2)</f>
        <v>15157.916666666664</v>
      </c>
      <c r="K143" s="589"/>
      <c r="L143" s="469"/>
      <c r="O143" s="496"/>
    </row>
    <row r="144" spans="1:15">
      <c r="A144" s="1337" t="s">
        <v>251</v>
      </c>
      <c r="B144" s="1338"/>
      <c r="C144" s="1339"/>
      <c r="D144" s="489" t="s">
        <v>24</v>
      </c>
      <c r="E144" s="476"/>
      <c r="F144" s="476"/>
      <c r="G144" s="642">
        <f>G143/G7</f>
        <v>0.2549508033379001</v>
      </c>
      <c r="H144" s="492">
        <f>G144+'23'!H144</f>
        <v>6.977384150758887</v>
      </c>
      <c r="I144" s="643"/>
      <c r="J144" s="494">
        <f>H144/DAY(B2)</f>
        <v>0.29072433961495364</v>
      </c>
      <c r="K144" s="589"/>
      <c r="L144" s="469"/>
      <c r="O144" s="496"/>
    </row>
    <row r="145" spans="1:15">
      <c r="A145" s="1337" t="s">
        <v>252</v>
      </c>
      <c r="B145" s="1338"/>
      <c r="C145" s="1339"/>
      <c r="D145" s="489" t="s">
        <v>131</v>
      </c>
      <c r="E145" s="490"/>
      <c r="F145" s="490"/>
      <c r="G145" s="492">
        <f>G41+G42+G55+G56</f>
        <v>8002</v>
      </c>
      <c r="H145" s="492">
        <f>G145+'23'!H145</f>
        <v>-46601.77999999997</v>
      </c>
      <c r="I145" s="510"/>
      <c r="J145" s="494">
        <f>H145/DAY(B2)</f>
        <v>-1941.7408333333321</v>
      </c>
      <c r="K145" s="589"/>
      <c r="L145" s="469"/>
      <c r="O145" s="496"/>
    </row>
    <row r="146" spans="1:15">
      <c r="A146" s="1337" t="s">
        <v>253</v>
      </c>
      <c r="B146" s="1338"/>
      <c r="C146" s="1339"/>
      <c r="D146" s="489" t="s">
        <v>24</v>
      </c>
      <c r="E146" s="490"/>
      <c r="F146" s="490"/>
      <c r="G146" s="642">
        <f>G145/G7</f>
        <v>0.33221239672852576</v>
      </c>
      <c r="H146" s="492">
        <f>G146+'23'!H146</f>
        <v>6.3640277400757288</v>
      </c>
      <c r="I146" s="643"/>
      <c r="J146" s="494">
        <f>H146/DAY(B2)</f>
        <v>0.26516782250315535</v>
      </c>
      <c r="K146" s="589"/>
      <c r="L146" s="469"/>
      <c r="O146" s="496"/>
    </row>
    <row r="147" spans="1:15">
      <c r="A147" s="1337" t="s">
        <v>254</v>
      </c>
      <c r="B147" s="1338"/>
      <c r="C147" s="1339"/>
      <c r="D147" s="489" t="s">
        <v>131</v>
      </c>
      <c r="E147" s="490"/>
      <c r="F147" s="490"/>
      <c r="G147" s="492">
        <f>G39+G53</f>
        <v>3973.4099999999744</v>
      </c>
      <c r="H147" s="492">
        <f>G147+'23'!H147</f>
        <v>1041213</v>
      </c>
      <c r="I147" s="644"/>
      <c r="J147" s="494">
        <f>H147/DAY(B2)</f>
        <v>43383.875</v>
      </c>
      <c r="K147" s="589"/>
      <c r="L147" s="469"/>
      <c r="O147" s="496"/>
    </row>
    <row r="148" spans="1:15">
      <c r="A148" s="1337" t="s">
        <v>255</v>
      </c>
      <c r="B148" s="1338"/>
      <c r="C148" s="1339"/>
      <c r="D148" s="489" t="s">
        <v>24</v>
      </c>
      <c r="E148" s="490"/>
      <c r="F148" s="490"/>
      <c r="G148" s="642">
        <f>G147/G7</f>
        <v>0.16496076721883068</v>
      </c>
      <c r="H148" s="492">
        <f>G148+'23'!H148</f>
        <v>6.8089594864638663</v>
      </c>
      <c r="I148" s="644"/>
      <c r="J148" s="494">
        <f>H148/DAY(B2)</f>
        <v>0.28370664526932776</v>
      </c>
      <c r="O148" s="496"/>
    </row>
    <row r="149" spans="1:15">
      <c r="A149" s="1337" t="s">
        <v>256</v>
      </c>
      <c r="B149" s="1338"/>
      <c r="C149" s="1339"/>
      <c r="D149" s="489" t="s">
        <v>182</v>
      </c>
      <c r="E149" s="490"/>
      <c r="F149" s="490"/>
      <c r="G149" s="492">
        <f>G38+G52</f>
        <v>1660.9300000000512</v>
      </c>
      <c r="H149" s="492">
        <f>G149+'23'!H149</f>
        <v>824566</v>
      </c>
      <c r="I149" s="510"/>
      <c r="J149" s="494">
        <f>H149/DAY(B2)</f>
        <v>34356.916666666664</v>
      </c>
      <c r="K149" s="645"/>
      <c r="O149" s="496"/>
    </row>
    <row r="150" spans="1:15">
      <c r="A150" s="1337" t="s">
        <v>257</v>
      </c>
      <c r="B150" s="1338"/>
      <c r="C150" s="1339"/>
      <c r="D150" s="489" t="s">
        <v>24</v>
      </c>
      <c r="E150" s="490"/>
      <c r="F150" s="490"/>
      <c r="G150" s="642">
        <f>G149/G7</f>
        <v>6.8955453149003657E-2</v>
      </c>
      <c r="H150" s="492">
        <f>G150+'23'!H150</f>
        <v>4.1211256070469853</v>
      </c>
      <c r="I150" s="644"/>
      <c r="J150" s="494">
        <f>H150/DAY(B2)</f>
        <v>0.17171356696029105</v>
      </c>
      <c r="O150" s="496"/>
    </row>
    <row r="151" spans="1:15">
      <c r="A151" s="1337" t="s">
        <v>258</v>
      </c>
      <c r="B151" s="1338"/>
      <c r="C151" s="1339"/>
      <c r="D151" s="489" t="s">
        <v>182</v>
      </c>
      <c r="E151" s="490"/>
      <c r="F151" s="490"/>
      <c r="G151" s="492">
        <f>G36+G50</f>
        <v>2117</v>
      </c>
      <c r="H151" s="492">
        <f>G151+'23'!H151</f>
        <v>54987</v>
      </c>
      <c r="I151" s="644"/>
      <c r="J151" s="494">
        <f>H151/DAY(B2)</f>
        <v>2291.125</v>
      </c>
      <c r="O151" s="496"/>
    </row>
    <row r="152" spans="1:15">
      <c r="A152" s="1337" t="s">
        <v>259</v>
      </c>
      <c r="B152" s="1338"/>
      <c r="C152" s="1339"/>
      <c r="D152" s="489" t="s">
        <v>24</v>
      </c>
      <c r="E152" s="490"/>
      <c r="F152" s="490"/>
      <c r="G152" s="642">
        <f>G151/G7</f>
        <v>8.7889733051023378E-2</v>
      </c>
      <c r="H152" s="492">
        <f>G152+'23'!H152</f>
        <v>2.0662571412488231</v>
      </c>
      <c r="I152" s="510"/>
      <c r="J152" s="494">
        <f>H152/DAY(B2)</f>
        <v>8.60940475520343E-2</v>
      </c>
      <c r="O152" s="496"/>
    </row>
    <row r="153" spans="1:15">
      <c r="A153" s="1337" t="s">
        <v>260</v>
      </c>
      <c r="B153" s="1338"/>
      <c r="C153" s="1339"/>
      <c r="D153" s="489" t="s">
        <v>182</v>
      </c>
      <c r="E153" s="490"/>
      <c r="F153" s="490"/>
      <c r="G153" s="492">
        <f>G37+G51</f>
        <v>1505</v>
      </c>
      <c r="H153" s="492">
        <f>G153+'23'!H153</f>
        <v>404940.00000000006</v>
      </c>
      <c r="I153" s="510"/>
      <c r="J153" s="494">
        <f>H153/DAY(B2)</f>
        <v>16872.500000000004</v>
      </c>
      <c r="O153" s="496"/>
    </row>
    <row r="154" spans="1:15" ht="21" thickBot="1">
      <c r="A154" s="1340" t="s">
        <v>261</v>
      </c>
      <c r="B154" s="1341"/>
      <c r="C154" s="1342"/>
      <c r="D154" s="646" t="s">
        <v>24</v>
      </c>
      <c r="E154" s="647"/>
      <c r="F154" s="647"/>
      <c r="G154" s="648">
        <f>G153/G7</f>
        <v>6.2481836675385059E-2</v>
      </c>
      <c r="H154" s="492">
        <f>G154+'23'!H154</f>
        <v>2.7595234181884569</v>
      </c>
      <c r="I154" s="649"/>
      <c r="J154" s="650">
        <f>H154/DAY(B2)</f>
        <v>0.11498014242451904</v>
      </c>
      <c r="O154" s="496"/>
    </row>
    <row r="155" spans="1:15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61" spans="1:7">
      <c r="A161" s="641" t="s">
        <v>262</v>
      </c>
      <c r="B161" s="641"/>
      <c r="C161" s="641"/>
      <c r="D161" s="476" t="s">
        <v>186</v>
      </c>
      <c r="E161" s="490">
        <f>'23'!F161</f>
        <v>45151</v>
      </c>
      <c r="F161" s="665">
        <v>45228</v>
      </c>
      <c r="G161" s="491">
        <f t="shared" ref="G161:G164" si="16">F161-E161</f>
        <v>77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'23'!F162</f>
        <v>132734</v>
      </c>
      <c r="F162" s="665">
        <v>133222</v>
      </c>
      <c r="G162" s="491">
        <f t="shared" si="16"/>
        <v>488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'23'!F163</f>
        <v>62110</v>
      </c>
      <c r="F163" s="665">
        <v>62337</v>
      </c>
      <c r="G163" s="491">
        <f t="shared" si="16"/>
        <v>227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'23'!F164</f>
        <v>7376</v>
      </c>
      <c r="F164" s="665">
        <v>7387</v>
      </c>
      <c r="G164" s="491">
        <f t="shared" si="16"/>
        <v>11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490">
        <f>'23'!F165</f>
        <v>20419</v>
      </c>
      <c r="F165" s="572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490">
        <f>'23'!F166</f>
        <v>0</v>
      </c>
      <c r="F166" s="572">
        <f t="shared" ref="F166:F172" si="18">F63</f>
        <v>0</v>
      </c>
      <c r="G166" s="491">
        <f t="shared" si="17"/>
        <v>0</v>
      </c>
    </row>
    <row r="167" spans="1:7" ht="21.75" customHeight="1">
      <c r="A167" s="1312" t="s">
        <v>98</v>
      </c>
      <c r="B167" s="1312"/>
      <c r="C167" s="1312"/>
      <c r="D167" s="489" t="s">
        <v>186</v>
      </c>
      <c r="E167" s="490">
        <f>'23'!F167</f>
        <v>190848</v>
      </c>
      <c r="F167" s="572">
        <f t="shared" si="18"/>
        <v>191275</v>
      </c>
      <c r="G167" s="491">
        <f t="shared" si="17"/>
        <v>427</v>
      </c>
    </row>
    <row r="168" spans="1:7" ht="21.75" customHeight="1">
      <c r="A168" s="1312" t="s">
        <v>99</v>
      </c>
      <c r="B168" s="1312"/>
      <c r="C168" s="1312"/>
      <c r="D168" s="489" t="s">
        <v>186</v>
      </c>
      <c r="E168" s="490">
        <f>'23'!F168</f>
        <v>191466</v>
      </c>
      <c r="F168" s="572">
        <f t="shared" si="18"/>
        <v>191859</v>
      </c>
      <c r="G168" s="491">
        <f t="shared" si="17"/>
        <v>393</v>
      </c>
    </row>
    <row r="169" spans="1:7" ht="21.75" customHeight="1">
      <c r="A169" s="1312" t="s">
        <v>100</v>
      </c>
      <c r="B169" s="1312"/>
      <c r="C169" s="1312"/>
      <c r="D169" s="489" t="s">
        <v>186</v>
      </c>
      <c r="E169" s="490">
        <f>'23'!F169</f>
        <v>90059</v>
      </c>
      <c r="F169" s="572">
        <f t="shared" si="18"/>
        <v>90434</v>
      </c>
      <c r="G169" s="491">
        <f t="shared" si="17"/>
        <v>375</v>
      </c>
    </row>
    <row r="170" spans="1:7">
      <c r="A170" s="1312" t="s">
        <v>101</v>
      </c>
      <c r="B170" s="1312"/>
      <c r="C170" s="1312"/>
      <c r="D170" s="489" t="s">
        <v>186</v>
      </c>
      <c r="E170" s="490">
        <f>'23'!F170</f>
        <v>290879</v>
      </c>
      <c r="F170" s="572">
        <f t="shared" si="18"/>
        <v>291320</v>
      </c>
      <c r="G170" s="491">
        <f t="shared" si="17"/>
        <v>441</v>
      </c>
    </row>
    <row r="171" spans="1:7" ht="24" customHeight="1">
      <c r="A171" s="1312" t="s">
        <v>102</v>
      </c>
      <c r="B171" s="1312"/>
      <c r="C171" s="1312"/>
      <c r="D171" s="489" t="s">
        <v>186</v>
      </c>
      <c r="E171" s="490">
        <f>'23'!F171</f>
        <v>85321</v>
      </c>
      <c r="F171" s="572">
        <f t="shared" si="18"/>
        <v>85321</v>
      </c>
      <c r="G171" s="491">
        <f t="shared" si="17"/>
        <v>0</v>
      </c>
    </row>
    <row r="172" spans="1:7">
      <c r="A172" s="1312" t="s">
        <v>103</v>
      </c>
      <c r="B172" s="1312"/>
      <c r="C172" s="1312"/>
      <c r="D172" s="489" t="s">
        <v>186</v>
      </c>
      <c r="E172" s="490">
        <f>'23'!F172</f>
        <v>103777</v>
      </c>
      <c r="F172" s="572">
        <f t="shared" si="18"/>
        <v>104117</v>
      </c>
      <c r="G172" s="491">
        <f t="shared" si="17"/>
        <v>340</v>
      </c>
    </row>
    <row r="173" spans="1:7" ht="29.25">
      <c r="A173" s="1273"/>
      <c r="B173" s="1236"/>
      <c r="C173" s="436"/>
      <c r="D173" s="174"/>
      <c r="E173" s="490"/>
      <c r="G173" s="656">
        <f>SUM(G161:G172)</f>
        <v>2779</v>
      </c>
    </row>
    <row r="174" spans="1:7">
      <c r="A174" s="1312" t="s">
        <v>337</v>
      </c>
      <c r="B174" s="1312"/>
      <c r="C174" s="1312"/>
      <c r="D174" s="489" t="s">
        <v>186</v>
      </c>
      <c r="E174" s="619">
        <v>19197</v>
      </c>
      <c r="F174" s="619">
        <v>19199</v>
      </c>
      <c r="G174" s="491">
        <f t="shared" ref="G174:G176" si="19">F174-E174</f>
        <v>2</v>
      </c>
    </row>
    <row r="175" spans="1:7">
      <c r="A175" s="1313" t="s">
        <v>337</v>
      </c>
      <c r="B175" s="1314"/>
      <c r="C175" s="641"/>
      <c r="D175" s="489" t="s">
        <v>186</v>
      </c>
      <c r="E175" s="619">
        <v>70682</v>
      </c>
      <c r="F175" s="619">
        <v>70689</v>
      </c>
      <c r="G175" s="491">
        <f t="shared" si="19"/>
        <v>7</v>
      </c>
    </row>
    <row r="176" spans="1:7">
      <c r="A176" s="1313" t="s">
        <v>338</v>
      </c>
      <c r="B176" s="1314"/>
      <c r="D176" s="489" t="s">
        <v>186</v>
      </c>
      <c r="E176" s="619">
        <v>27919</v>
      </c>
      <c r="F176" s="619">
        <v>27924</v>
      </c>
      <c r="G176" s="491">
        <f t="shared" si="19"/>
        <v>5</v>
      </c>
    </row>
    <row r="177" spans="1:15" ht="18.75" customHeight="1">
      <c r="A177" s="1296" t="s">
        <v>382</v>
      </c>
      <c r="B177" s="1296"/>
      <c r="C177" s="1296"/>
      <c r="D177" s="1296"/>
      <c r="E177" s="1296"/>
      <c r="F177" s="1296"/>
      <c r="G177" s="1296"/>
    </row>
    <row r="178" spans="1:15" s="67" customFormat="1" ht="29.25">
      <c r="A178" s="435"/>
      <c r="B178" s="436"/>
      <c r="C178" s="436"/>
      <c r="D178" s="174" t="s">
        <v>186</v>
      </c>
      <c r="E178" s="490">
        <f>'23'!F178</f>
        <v>0</v>
      </c>
      <c r="F178" s="193"/>
      <c r="G178" s="124">
        <f t="shared" ref="G178:G184" si="20">F178-E178</f>
        <v>0</v>
      </c>
      <c r="H178" s="189"/>
      <c r="I178" s="188"/>
      <c r="J178" s="190"/>
      <c r="N178" s="369"/>
      <c r="O178" s="374"/>
    </row>
    <row r="179" spans="1:15" s="67" customFormat="1" ht="29.25">
      <c r="A179" s="435" t="s">
        <v>383</v>
      </c>
      <c r="B179" s="436"/>
      <c r="C179" s="436"/>
      <c r="D179" s="174" t="s">
        <v>186</v>
      </c>
      <c r="E179" s="490">
        <f>'23'!F179</f>
        <v>0</v>
      </c>
      <c r="F179" s="193"/>
      <c r="G179" s="124">
        <f t="shared" si="20"/>
        <v>0</v>
      </c>
      <c r="H179" s="189"/>
      <c r="I179" s="188"/>
      <c r="J179" s="190"/>
      <c r="N179" s="369"/>
      <c r="O179" s="374"/>
    </row>
    <row r="180" spans="1:15" s="67" customFormat="1" ht="29.25">
      <c r="A180" s="435" t="s">
        <v>384</v>
      </c>
      <c r="B180" s="436"/>
      <c r="C180" s="436"/>
      <c r="D180" s="174" t="s">
        <v>186</v>
      </c>
      <c r="E180" s="490">
        <f>'23'!F180</f>
        <v>0</v>
      </c>
      <c r="F180" s="193"/>
      <c r="G180" s="124">
        <f t="shared" si="20"/>
        <v>0</v>
      </c>
      <c r="H180" s="189"/>
      <c r="I180" s="188"/>
      <c r="J180" s="190"/>
      <c r="N180" s="369"/>
      <c r="O180" s="374"/>
    </row>
    <row r="181" spans="1:15" ht="29.25">
      <c r="A181" s="435" t="s">
        <v>385</v>
      </c>
      <c r="B181" s="436"/>
      <c r="C181" s="436"/>
      <c r="D181" s="174" t="s">
        <v>186</v>
      </c>
      <c r="E181" s="490">
        <f>'23'!F181</f>
        <v>0</v>
      </c>
      <c r="F181" s="193"/>
      <c r="G181" s="124">
        <f t="shared" si="20"/>
        <v>0</v>
      </c>
    </row>
    <row r="182" spans="1:15" ht="29.25">
      <c r="A182" s="435" t="s">
        <v>386</v>
      </c>
      <c r="B182" s="436"/>
      <c r="C182" s="436"/>
      <c r="D182" s="174" t="s">
        <v>186</v>
      </c>
      <c r="E182" s="490">
        <f>'23'!F182</f>
        <v>0</v>
      </c>
      <c r="F182" s="193"/>
      <c r="G182" s="124">
        <f t="shared" si="20"/>
        <v>0</v>
      </c>
    </row>
    <row r="183" spans="1:15" ht="29.25">
      <c r="A183" s="435" t="s">
        <v>387</v>
      </c>
      <c r="B183" s="436"/>
      <c r="C183" s="436"/>
      <c r="D183" s="174" t="s">
        <v>186</v>
      </c>
      <c r="E183" s="490">
        <f>'23'!F183</f>
        <v>0</v>
      </c>
      <c r="F183" s="193"/>
      <c r="G183" s="124">
        <f t="shared" si="20"/>
        <v>0</v>
      </c>
    </row>
    <row r="184" spans="1:15" ht="29.25">
      <c r="A184" s="435" t="s">
        <v>388</v>
      </c>
      <c r="B184" s="436"/>
      <c r="C184" s="436"/>
      <c r="D184" s="174" t="s">
        <v>186</v>
      </c>
      <c r="E184" s="490">
        <f>'23'!F184</f>
        <v>0</v>
      </c>
      <c r="F184" s="193"/>
      <c r="G184" s="124">
        <f t="shared" si="20"/>
        <v>0</v>
      </c>
    </row>
  </sheetData>
  <mergeCells count="7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5:B175"/>
    <mergeCell ref="A176:B176"/>
    <mergeCell ref="A173:B173"/>
    <mergeCell ref="A177:G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7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84"/>
  <sheetViews>
    <sheetView view="pageBreakPreview" topLeftCell="A160" zoomScale="70" zoomScaleNormal="49" zoomScaleSheetLayoutView="70" workbookViewId="0">
      <selection activeCell="F8" sqref="F8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1102" customWidth="1"/>
    <col min="7" max="7" width="18.44140625" style="654" customWidth="1"/>
    <col min="8" max="8" width="39.21875" style="655" customWidth="1"/>
    <col min="9" max="9" width="12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8" style="456" bestFit="1" customWidth="1"/>
    <col min="16" max="16384" width="22.33203125" style="456"/>
  </cols>
  <sheetData>
    <row r="1" spans="1:15" ht="22.5">
      <c r="A1" s="1355" t="s">
        <v>214</v>
      </c>
      <c r="B1" s="1356"/>
      <c r="C1" s="1356"/>
      <c r="D1" s="1356"/>
      <c r="E1" s="1356"/>
      <c r="F1" s="1356"/>
      <c r="G1" s="1356"/>
      <c r="H1" s="1356"/>
      <c r="I1" s="1356"/>
      <c r="J1" s="1357"/>
    </row>
    <row r="2" spans="1:15">
      <c r="A2" s="457" t="s">
        <v>332</v>
      </c>
      <c r="B2" s="723">
        <v>44068</v>
      </c>
      <c r="C2" s="458" t="s">
        <v>68</v>
      </c>
      <c r="D2" s="670">
        <v>0.99</v>
      </c>
      <c r="E2" s="460"/>
      <c r="F2" s="1087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>
      <c r="A3" s="462"/>
      <c r="B3" s="463"/>
      <c r="C3" s="458" t="s">
        <v>119</v>
      </c>
      <c r="D3" s="458">
        <v>28</v>
      </c>
      <c r="E3" s="1364" t="s">
        <v>120</v>
      </c>
      <c r="F3" s="1365"/>
      <c r="G3" s="465">
        <f>'1'!G3</f>
        <v>0</v>
      </c>
      <c r="H3" s="466">
        <f>'1'!H3</f>
        <v>0</v>
      </c>
      <c r="I3" s="466">
        <f>'1'!I3</f>
        <v>0</v>
      </c>
      <c r="J3" s="467">
        <f>'1'!J3</f>
        <v>0</v>
      </c>
      <c r="K3" s="468"/>
      <c r="L3" s="469"/>
    </row>
    <row r="4" spans="1:15">
      <c r="A4" s="470"/>
      <c r="B4" s="471"/>
      <c r="C4" s="458" t="s">
        <v>121</v>
      </c>
      <c r="D4" s="670">
        <v>0.8</v>
      </c>
      <c r="E4" s="472"/>
      <c r="F4" s="1066"/>
      <c r="G4" s="472"/>
      <c r="H4" s="472"/>
      <c r="I4" s="473"/>
      <c r="J4" s="467"/>
      <c r="K4" s="474"/>
      <c r="L4" s="469"/>
    </row>
    <row r="5" spans="1:15">
      <c r="A5" s="475" t="s">
        <v>122</v>
      </c>
      <c r="B5" s="476"/>
      <c r="C5" s="476"/>
      <c r="D5" s="476" t="s">
        <v>123</v>
      </c>
      <c r="E5" s="477" t="s">
        <v>124</v>
      </c>
      <c r="F5" s="1088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>
      <c r="A6" s="1358" t="s">
        <v>129</v>
      </c>
      <c r="B6" s="1359"/>
      <c r="C6" s="1360"/>
      <c r="D6" s="483"/>
      <c r="E6" s="483"/>
      <c r="F6" s="1087"/>
      <c r="G6" s="483"/>
      <c r="H6" s="484"/>
      <c r="I6" s="484"/>
      <c r="J6" s="485"/>
      <c r="K6" s="486"/>
      <c r="L6" s="469"/>
    </row>
    <row r="7" spans="1:15" ht="23.25" thickBot="1">
      <c r="A7" s="487" t="s">
        <v>130</v>
      </c>
      <c r="B7" s="488"/>
      <c r="C7" s="488"/>
      <c r="D7" s="489" t="s">
        <v>131</v>
      </c>
      <c r="E7" s="490">
        <f>'24'!F7</f>
        <v>141804</v>
      </c>
      <c r="F7" s="138">
        <v>165054</v>
      </c>
      <c r="G7" s="491">
        <f>F7-E7</f>
        <v>23250</v>
      </c>
      <c r="H7" s="492">
        <f>G7+'24'!H7</f>
        <v>866362.3899999999</v>
      </c>
      <c r="I7" s="493">
        <f>'1'!I7</f>
        <v>12000</v>
      </c>
      <c r="J7" s="494">
        <f>H7/DAY(B2)</f>
        <v>34654.495599999995</v>
      </c>
      <c r="K7" s="495"/>
      <c r="L7" s="469"/>
      <c r="N7" s="668">
        <f>G7/G8</f>
        <v>1.0333333333333334</v>
      </c>
      <c r="O7" s="496"/>
    </row>
    <row r="8" spans="1:15" ht="23.25" thickBot="1">
      <c r="A8" s="497" t="s">
        <v>132</v>
      </c>
      <c r="B8" s="498"/>
      <c r="C8" s="499"/>
      <c r="D8" s="500" t="s">
        <v>25</v>
      </c>
      <c r="E8" s="490">
        <f>'24'!F8</f>
        <v>149702.74</v>
      </c>
      <c r="F8" s="126">
        <f>E8+22500</f>
        <v>172202.74</v>
      </c>
      <c r="G8" s="501">
        <f>F8-E8</f>
        <v>22500</v>
      </c>
      <c r="H8" s="492">
        <f>G8+'24'!H8</f>
        <v>865149</v>
      </c>
      <c r="I8" s="502">
        <f>'1'!I8</f>
        <v>12000</v>
      </c>
      <c r="J8" s="494">
        <f>H8/DAY(B2)</f>
        <v>34605.96</v>
      </c>
      <c r="K8" s="495">
        <v>1375467</v>
      </c>
      <c r="L8" s="503">
        <v>1667461</v>
      </c>
      <c r="M8" s="504"/>
      <c r="O8" s="496"/>
    </row>
    <row r="9" spans="1:15">
      <c r="A9" s="505" t="s">
        <v>133</v>
      </c>
      <c r="B9" s="506"/>
      <c r="C9" s="506"/>
      <c r="D9" s="489" t="s">
        <v>131</v>
      </c>
      <c r="E9" s="490">
        <f>'24'!F9</f>
        <v>3212820</v>
      </c>
      <c r="F9" s="635">
        <v>3236330</v>
      </c>
      <c r="G9" s="491">
        <f t="shared" ref="G9:G12" si="0">F9-E9</f>
        <v>23510</v>
      </c>
      <c r="H9" s="492">
        <f>G9+'24'!H9</f>
        <v>3153800</v>
      </c>
      <c r="I9" s="508">
        <f>I8-J8</f>
        <v>-22605.96</v>
      </c>
      <c r="J9" s="494">
        <f>H9/DAY(B2)</f>
        <v>126152</v>
      </c>
      <c r="K9" s="509"/>
      <c r="L9" s="469"/>
      <c r="O9" s="496"/>
    </row>
    <row r="10" spans="1:15">
      <c r="A10" s="487" t="s">
        <v>134</v>
      </c>
      <c r="B10" s="488"/>
      <c r="C10" s="488"/>
      <c r="D10" s="489" t="s">
        <v>131</v>
      </c>
      <c r="E10" s="490">
        <f>'24'!F10</f>
        <v>2606.5500000000002</v>
      </c>
      <c r="F10" s="1089">
        <v>2606.5500000000002</v>
      </c>
      <c r="G10" s="491">
        <f t="shared" si="0"/>
        <v>0</v>
      </c>
      <c r="H10" s="492">
        <f>G10+'24'!H10</f>
        <v>-0.4499999999998181</v>
      </c>
      <c r="I10" s="510"/>
      <c r="J10" s="494">
        <f>H10/DAY(B2)</f>
        <v>-1.7999999999992723E-2</v>
      </c>
      <c r="K10" s="509"/>
      <c r="L10" s="469">
        <f>L8-K8</f>
        <v>291994</v>
      </c>
      <c r="O10" s="496"/>
    </row>
    <row r="11" spans="1:15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1066">
        <v>37000</v>
      </c>
      <c r="G11" s="491">
        <f t="shared" si="0"/>
        <v>0</v>
      </c>
      <c r="H11" s="492">
        <f>G11+'24'!H11</f>
        <v>0</v>
      </c>
      <c r="I11" s="510"/>
      <c r="J11" s="494">
        <f>H11/DAY(B2)</f>
        <v>0</v>
      </c>
      <c r="K11" s="509"/>
      <c r="L11" s="469"/>
      <c r="N11" s="669">
        <f>G7*N7</f>
        <v>24025.000000000004</v>
      </c>
      <c r="O11" s="496"/>
    </row>
    <row r="12" spans="1:15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1089">
        <v>40010</v>
      </c>
      <c r="G12" s="491">
        <f t="shared" si="0"/>
        <v>0</v>
      </c>
      <c r="H12" s="492">
        <f>G12+'24'!H12</f>
        <v>0</v>
      </c>
      <c r="I12" s="510"/>
      <c r="J12" s="494">
        <f>H12/DAY(B2)</f>
        <v>0</v>
      </c>
      <c r="K12" s="509"/>
      <c r="L12" s="469"/>
      <c r="O12" s="496"/>
    </row>
    <row r="13" spans="1:15">
      <c r="A13" s="511" t="s">
        <v>137</v>
      </c>
      <c r="B13" s="512"/>
      <c r="C13" s="512"/>
      <c r="D13" s="489"/>
      <c r="E13" s="490"/>
      <c r="F13" s="1066"/>
      <c r="G13" s="513">
        <f>G9+G10+G11+G12</f>
        <v>23510</v>
      </c>
      <c r="H13" s="492">
        <f>G13+'24'!H13</f>
        <v>3109784.06</v>
      </c>
      <c r="I13" s="514">
        <f>G7-G13</f>
        <v>-260</v>
      </c>
      <c r="J13" s="494">
        <f>H13/DAY(B2)</f>
        <v>124391.3624</v>
      </c>
      <c r="K13" s="509"/>
      <c r="L13" s="469">
        <f>L10-H7</f>
        <v>-574368.3899999999</v>
      </c>
      <c r="O13" s="496"/>
    </row>
    <row r="14" spans="1:15">
      <c r="A14" s="1361" t="s">
        <v>138</v>
      </c>
      <c r="B14" s="1362"/>
      <c r="C14" s="1363"/>
      <c r="D14" s="484"/>
      <c r="E14" s="484"/>
      <c r="F14" s="588"/>
      <c r="G14" s="515"/>
      <c r="H14" s="484"/>
      <c r="I14" s="484"/>
      <c r="J14" s="485"/>
      <c r="K14" s="516"/>
      <c r="L14" s="469"/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'24'!F15</f>
        <v>1750603</v>
      </c>
      <c r="F15" s="351">
        <v>1751398</v>
      </c>
      <c r="G15" s="666">
        <f>(F15-E15)</f>
        <v>795</v>
      </c>
      <c r="H15" s="492">
        <f>G15+'24'!H15</f>
        <v>-5132</v>
      </c>
      <c r="I15" s="493">
        <f>'1'!I15</f>
        <v>800</v>
      </c>
      <c r="J15" s="494">
        <f>H15/DAY(B2)</f>
        <v>-205.28</v>
      </c>
      <c r="K15" s="509"/>
      <c r="L15" s="469"/>
      <c r="O15" s="496"/>
    </row>
    <row r="16" spans="1:15">
      <c r="A16" s="520"/>
      <c r="B16" s="521"/>
      <c r="C16" s="521"/>
      <c r="D16" s="522"/>
      <c r="E16" s="523"/>
      <c r="F16" s="1089"/>
      <c r="G16" s="491"/>
      <c r="H16" s="524"/>
      <c r="I16" s="525">
        <f>I15-J15</f>
        <v>1005.28</v>
      </c>
      <c r="J16" s="526"/>
      <c r="K16" s="509"/>
      <c r="L16" s="469"/>
      <c r="O16" s="496">
        <f>580-990</f>
        <v>-410</v>
      </c>
    </row>
    <row r="17" spans="1:15">
      <c r="A17" s="1361" t="s">
        <v>141</v>
      </c>
      <c r="B17" s="1362"/>
      <c r="C17" s="1363"/>
      <c r="D17" s="484"/>
      <c r="E17" s="484"/>
      <c r="F17" s="588"/>
      <c r="G17" s="527"/>
      <c r="H17" s="484"/>
      <c r="I17" s="484"/>
      <c r="J17" s="485"/>
      <c r="K17" s="509"/>
      <c r="L17" s="469"/>
      <c r="O17" s="985">
        <f>O16*3</f>
        <v>-1230</v>
      </c>
    </row>
    <row r="18" spans="1:15">
      <c r="A18" s="1337" t="s">
        <v>142</v>
      </c>
      <c r="B18" s="1338"/>
      <c r="C18" s="1339"/>
      <c r="D18" s="489" t="s">
        <v>143</v>
      </c>
      <c r="E18" s="490">
        <f>'24'!F18</f>
        <v>16</v>
      </c>
      <c r="F18" s="640">
        <v>16</v>
      </c>
      <c r="G18" s="513">
        <f>F18*10</f>
        <v>160</v>
      </c>
      <c r="H18" s="492">
        <f>G18+'24'!H18</f>
        <v>3960</v>
      </c>
      <c r="I18" s="493">
        <f>'1'!I18</f>
        <v>65</v>
      </c>
      <c r="J18" s="494">
        <f>H18/DAY(B2)</f>
        <v>158.4</v>
      </c>
      <c r="K18" s="509"/>
      <c r="L18" s="469"/>
      <c r="O18" s="496"/>
    </row>
    <row r="19" spans="1:15">
      <c r="A19" s="1337" t="s">
        <v>70</v>
      </c>
      <c r="B19" s="1338"/>
      <c r="C19" s="1339"/>
      <c r="D19" s="489" t="s">
        <v>143</v>
      </c>
      <c r="E19" s="490">
        <f>'24'!F19</f>
        <v>144917</v>
      </c>
      <c r="F19" s="640">
        <v>144979</v>
      </c>
      <c r="G19" s="491">
        <f t="shared" ref="G19" si="1">F19-E19</f>
        <v>62</v>
      </c>
      <c r="H19" s="492">
        <f>G19+'24'!H19</f>
        <v>-359</v>
      </c>
      <c r="I19" s="528"/>
      <c r="J19" s="494">
        <f>H19/DAY(B2)</f>
        <v>-14.36</v>
      </c>
      <c r="K19" s="509"/>
      <c r="L19" s="469"/>
      <c r="O19" s="496"/>
    </row>
    <row r="20" spans="1:15">
      <c r="A20" s="511" t="s">
        <v>144</v>
      </c>
      <c r="B20" s="512"/>
      <c r="C20" s="512"/>
      <c r="D20" s="529"/>
      <c r="E20" s="529"/>
      <c r="F20" s="1090"/>
      <c r="G20" s="530">
        <f>G18+G19</f>
        <v>222</v>
      </c>
      <c r="H20" s="492">
        <f>G20+'24'!H20</f>
        <v>3601</v>
      </c>
      <c r="I20" s="531">
        <f>I18-J20</f>
        <v>-79.039999999999992</v>
      </c>
      <c r="J20" s="494">
        <f>H20/DAY(B2)</f>
        <v>144.04</v>
      </c>
      <c r="K20" s="509"/>
      <c r="L20" s="469"/>
      <c r="O20" s="496"/>
    </row>
    <row r="21" spans="1:15">
      <c r="A21" s="1361" t="s">
        <v>145</v>
      </c>
      <c r="B21" s="1362"/>
      <c r="C21" s="1363"/>
      <c r="D21" s="484"/>
      <c r="E21" s="484"/>
      <c r="F21" s="588"/>
      <c r="G21" s="515"/>
      <c r="H21" s="484"/>
      <c r="I21" s="484"/>
      <c r="J21" s="485"/>
      <c r="K21" s="509"/>
      <c r="L21" s="469"/>
      <c r="O21" s="496"/>
    </row>
    <row r="22" spans="1:15">
      <c r="A22" s="517" t="s">
        <v>146</v>
      </c>
      <c r="B22" s="518"/>
      <c r="C22" s="518"/>
      <c r="D22" s="489" t="s">
        <v>147</v>
      </c>
      <c r="E22" s="983">
        <v>2970</v>
      </c>
      <c r="F22" s="640">
        <v>2970</v>
      </c>
      <c r="G22" s="984">
        <f t="shared" ref="G22" si="2">(F22-E22)</f>
        <v>0</v>
      </c>
      <c r="H22" s="492">
        <f>G22+'24'!H22</f>
        <v>0</v>
      </c>
      <c r="I22" s="510"/>
      <c r="J22" s="494">
        <f>H22/DAY(B2)</f>
        <v>0</v>
      </c>
      <c r="K22" s="509"/>
      <c r="L22" s="469"/>
      <c r="O22" s="496"/>
    </row>
    <row r="23" spans="1:15">
      <c r="A23" s="517" t="s">
        <v>148</v>
      </c>
      <c r="B23" s="518"/>
      <c r="C23" s="518"/>
      <c r="D23" s="489" t="s">
        <v>147</v>
      </c>
      <c r="E23" s="519">
        <f>'24'!F23</f>
        <v>2000</v>
      </c>
      <c r="F23" s="640">
        <v>2000</v>
      </c>
      <c r="G23" s="513">
        <v>0</v>
      </c>
      <c r="H23" s="492">
        <f>G23+'24'!H23</f>
        <v>0</v>
      </c>
      <c r="I23" s="510"/>
      <c r="J23" s="494">
        <f>H23/DAY(B2)</f>
        <v>0</v>
      </c>
      <c r="K23" s="509"/>
      <c r="L23" s="469"/>
      <c r="O23" s="496"/>
    </row>
    <row r="24" spans="1:15">
      <c r="A24" s="532" t="s">
        <v>149</v>
      </c>
      <c r="B24" s="533"/>
      <c r="C24" s="533"/>
      <c r="D24" s="476" t="s">
        <v>147</v>
      </c>
      <c r="E24" s="519">
        <f>'24'!F24</f>
        <v>4970</v>
      </c>
      <c r="F24" s="1091">
        <v>4970</v>
      </c>
      <c r="G24" s="513">
        <v>0</v>
      </c>
      <c r="H24" s="492">
        <f>G24+'24'!H24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>
      <c r="A25" s="1358" t="s">
        <v>150</v>
      </c>
      <c r="B25" s="1359"/>
      <c r="C25" s="1360"/>
      <c r="D25" s="483"/>
      <c r="E25" s="483"/>
      <c r="F25" s="1087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>
      <c r="A26" s="541" t="s">
        <v>151</v>
      </c>
      <c r="B26" s="542"/>
      <c r="C26" s="543"/>
      <c r="D26" s="544" t="s">
        <v>152</v>
      </c>
      <c r="E26" s="545"/>
      <c r="F26" s="1092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22.5">
      <c r="A27" s="541" t="s">
        <v>6</v>
      </c>
      <c r="B27" s="542"/>
      <c r="C27" s="543"/>
      <c r="D27" s="548" t="s">
        <v>25</v>
      </c>
      <c r="E27" s="549">
        <f>G8</f>
        <v>22500</v>
      </c>
      <c r="F27" s="1022">
        <v>9</v>
      </c>
      <c r="G27" s="551">
        <f>E27*F27</f>
        <v>202500</v>
      </c>
      <c r="H27" s="492">
        <f>G27+'24'!H27</f>
        <v>7779303</v>
      </c>
      <c r="I27" s="552"/>
      <c r="J27" s="494">
        <f>H27/DAY(B2)</f>
        <v>311172.12</v>
      </c>
      <c r="K27" s="509"/>
      <c r="L27" s="539"/>
      <c r="N27" s="658"/>
      <c r="O27" s="496"/>
    </row>
    <row r="28" spans="1:15" s="540" customFormat="1" ht="22.5">
      <c r="A28" s="541" t="s">
        <v>153</v>
      </c>
      <c r="B28" s="542"/>
      <c r="C28" s="543"/>
      <c r="D28" s="548" t="s">
        <v>154</v>
      </c>
      <c r="E28" s="549">
        <f>G15</f>
        <v>795</v>
      </c>
      <c r="F28" s="152">
        <v>56.2</v>
      </c>
      <c r="G28" s="551">
        <f>E28*F28</f>
        <v>44679</v>
      </c>
      <c r="H28" s="492">
        <f>G28+'24'!H28</f>
        <v>-292986.37139999983</v>
      </c>
      <c r="I28" s="553"/>
      <c r="J28" s="494">
        <f>H28/DAY(B2)</f>
        <v>-11719.454855999993</v>
      </c>
      <c r="K28" s="509"/>
      <c r="L28" s="539"/>
      <c r="N28" s="658"/>
      <c r="O28" s="496"/>
    </row>
    <row r="29" spans="1:15" s="540" customFormat="1">
      <c r="A29" s="541" t="s">
        <v>155</v>
      </c>
      <c r="B29" s="542"/>
      <c r="C29" s="543"/>
      <c r="D29" s="548" t="s">
        <v>156</v>
      </c>
      <c r="E29" s="549">
        <f>G24</f>
        <v>0</v>
      </c>
      <c r="F29" s="1093">
        <v>69</v>
      </c>
      <c r="G29" s="551">
        <f>E29*F29</f>
        <v>0</v>
      </c>
      <c r="H29" s="492">
        <f>G29+'24'!H29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>
      <c r="A30" s="541" t="s">
        <v>157</v>
      </c>
      <c r="B30" s="542"/>
      <c r="C30" s="543"/>
      <c r="D30" s="548" t="s">
        <v>158</v>
      </c>
      <c r="E30" s="549">
        <f>G19</f>
        <v>62</v>
      </c>
      <c r="F30" s="1093">
        <v>146</v>
      </c>
      <c r="G30" s="551">
        <f>E30*F30</f>
        <v>9052</v>
      </c>
      <c r="H30" s="492">
        <f>G30+'24'!H30</f>
        <v>-52414</v>
      </c>
      <c r="I30" s="553"/>
      <c r="J30" s="494">
        <f>H30/DAY(B2)</f>
        <v>-2096.56</v>
      </c>
      <c r="K30" s="509"/>
      <c r="L30" s="539"/>
      <c r="N30" s="658"/>
      <c r="O30" s="496"/>
    </row>
    <row r="31" spans="1:15" s="540" customFormat="1">
      <c r="A31" s="541" t="s">
        <v>159</v>
      </c>
      <c r="B31" s="542"/>
      <c r="C31" s="543"/>
      <c r="D31" s="548" t="s">
        <v>143</v>
      </c>
      <c r="E31" s="549">
        <f>G18</f>
        <v>160</v>
      </c>
      <c r="F31" s="1093">
        <v>80</v>
      </c>
      <c r="G31" s="551">
        <f>E31*F31</f>
        <v>12800</v>
      </c>
      <c r="H31" s="492">
        <f>G31+'24'!H31</f>
        <v>311564</v>
      </c>
      <c r="I31" s="553"/>
      <c r="J31" s="494"/>
      <c r="K31" s="509"/>
      <c r="L31" s="539"/>
      <c r="N31" s="658"/>
      <c r="O31" s="496"/>
    </row>
    <row r="32" spans="1:15" s="540" customFormat="1">
      <c r="A32" s="554" t="s">
        <v>160</v>
      </c>
      <c r="B32" s="555"/>
      <c r="C32" s="556"/>
      <c r="D32" s="557"/>
      <c r="E32" s="557"/>
      <c r="F32" s="1090"/>
      <c r="G32" s="558">
        <f>G27+G28+G29+G30+G31</f>
        <v>269031</v>
      </c>
      <c r="H32" s="492">
        <f>G32+'24'!H32</f>
        <v>7745466.6286000004</v>
      </c>
      <c r="I32" s="559"/>
      <c r="J32" s="494">
        <f>H32/DAY(B2)</f>
        <v>309818.66514400003</v>
      </c>
      <c r="K32" s="509"/>
      <c r="L32" s="539"/>
      <c r="N32" s="658"/>
      <c r="O32" s="496">
        <f>340*3</f>
        <v>1020</v>
      </c>
    </row>
    <row r="33" spans="1:15" ht="18.75">
      <c r="A33" s="1366" t="s">
        <v>161</v>
      </c>
      <c r="B33" s="1367"/>
      <c r="C33" s="1367"/>
      <c r="D33" s="1367"/>
      <c r="E33" s="1367"/>
      <c r="F33" s="1367"/>
      <c r="G33" s="1367"/>
      <c r="H33" s="1367"/>
      <c r="I33" s="1367"/>
      <c r="J33" s="1368"/>
      <c r="K33" s="509"/>
      <c r="L33" s="469"/>
      <c r="O33" s="496">
        <f>O32/3</f>
        <v>340</v>
      </c>
    </row>
    <row r="34" spans="1:15">
      <c r="A34" s="560" t="s">
        <v>162</v>
      </c>
      <c r="B34" s="561"/>
      <c r="C34" s="561"/>
      <c r="D34" s="484"/>
      <c r="E34" s="483"/>
      <c r="F34" s="1087"/>
      <c r="G34" s="484"/>
      <c r="H34" s="484"/>
      <c r="I34" s="484"/>
      <c r="J34" s="485"/>
      <c r="K34" s="509"/>
      <c r="L34" s="469"/>
      <c r="O34" s="496"/>
    </row>
    <row r="35" spans="1:15">
      <c r="A35" s="487" t="s">
        <v>163</v>
      </c>
      <c r="B35" s="488"/>
      <c r="C35" s="488"/>
      <c r="D35" s="489" t="s">
        <v>131</v>
      </c>
      <c r="E35" s="490">
        <f>'24'!F35</f>
        <v>1058597</v>
      </c>
      <c r="F35" s="1067">
        <v>1058597</v>
      </c>
      <c r="G35" s="491">
        <f t="shared" ref="G35:G46" si="3">F35-E35</f>
        <v>0</v>
      </c>
      <c r="H35" s="492">
        <f>G35+'24'!H35</f>
        <v>0</v>
      </c>
      <c r="I35" s="490"/>
      <c r="J35" s="494">
        <f>H35/DAY(B2)</f>
        <v>0</v>
      </c>
      <c r="K35" s="509"/>
      <c r="L35" s="469"/>
      <c r="O35" s="496"/>
    </row>
    <row r="36" spans="1:15">
      <c r="A36" s="487" t="s">
        <v>164</v>
      </c>
      <c r="B36" s="488"/>
      <c r="C36" s="488"/>
      <c r="D36" s="489" t="s">
        <v>131</v>
      </c>
      <c r="E36" s="490">
        <f>'24'!F36</f>
        <v>64486</v>
      </c>
      <c r="F36" s="1067">
        <v>65182</v>
      </c>
      <c r="G36" s="491">
        <f t="shared" si="3"/>
        <v>696</v>
      </c>
      <c r="H36" s="492">
        <f>G36+'24'!H36</f>
        <v>63349</v>
      </c>
      <c r="I36" s="490"/>
      <c r="J36" s="494">
        <f>H36/DAY(B2)</f>
        <v>2533.96</v>
      </c>
      <c r="K36" s="509"/>
      <c r="L36" s="469"/>
      <c r="O36" s="496"/>
    </row>
    <row r="37" spans="1:15">
      <c r="A37" s="487" t="s">
        <v>165</v>
      </c>
      <c r="B37" s="488"/>
      <c r="C37" s="488"/>
      <c r="D37" s="489" t="s">
        <v>131</v>
      </c>
      <c r="E37" s="490">
        <f>'24'!F37</f>
        <v>264075</v>
      </c>
      <c r="F37" s="1067">
        <v>265691</v>
      </c>
      <c r="G37" s="491">
        <f t="shared" si="3"/>
        <v>1616</v>
      </c>
      <c r="H37" s="492">
        <f>G37+'24'!H37</f>
        <v>261916</v>
      </c>
      <c r="I37" s="490"/>
      <c r="J37" s="494">
        <f>H37/DAY(B2)</f>
        <v>10476.64</v>
      </c>
      <c r="K37" s="509"/>
      <c r="L37" s="469"/>
      <c r="O37" s="496"/>
    </row>
    <row r="38" spans="1:15">
      <c r="A38" s="487" t="s">
        <v>166</v>
      </c>
      <c r="B38" s="488"/>
      <c r="C38" s="488"/>
      <c r="D38" s="489" t="s">
        <v>131</v>
      </c>
      <c r="E38" s="490">
        <f>'24'!F38</f>
        <v>289783</v>
      </c>
      <c r="F38" s="1088">
        <v>291445</v>
      </c>
      <c r="G38" s="491">
        <f t="shared" si="3"/>
        <v>1662</v>
      </c>
      <c r="H38" s="492">
        <f>G38+'24'!H38</f>
        <v>286622</v>
      </c>
      <c r="I38" s="490"/>
      <c r="J38" s="494">
        <f>H38/DAY(B2)</f>
        <v>11464.88</v>
      </c>
      <c r="K38" s="509"/>
      <c r="L38" s="469"/>
      <c r="O38" s="496"/>
    </row>
    <row r="39" spans="1:15">
      <c r="A39" s="487" t="s">
        <v>167</v>
      </c>
      <c r="B39" s="488"/>
      <c r="C39" s="488"/>
      <c r="D39" s="489" t="s">
        <v>131</v>
      </c>
      <c r="E39" s="490">
        <f>'24'!F39</f>
        <v>610823</v>
      </c>
      <c r="F39" s="1067">
        <v>614873</v>
      </c>
      <c r="G39" s="491">
        <f t="shared" si="3"/>
        <v>4050</v>
      </c>
      <c r="H39" s="492">
        <f>G39+'24'!H39</f>
        <v>611031</v>
      </c>
      <c r="I39" s="490"/>
      <c r="J39" s="494">
        <f>H39/DAY(B2)</f>
        <v>24441.24</v>
      </c>
      <c r="K39" s="509"/>
      <c r="L39" s="469"/>
      <c r="O39" s="496"/>
    </row>
    <row r="40" spans="1:15">
      <c r="A40" s="563" t="s">
        <v>168</v>
      </c>
      <c r="B40" s="564"/>
      <c r="C40" s="564"/>
      <c r="D40" s="489" t="s">
        <v>131</v>
      </c>
      <c r="E40" s="490">
        <f>'24'!F40</f>
        <v>31566</v>
      </c>
      <c r="F40" s="1067">
        <v>32061</v>
      </c>
      <c r="G40" s="491">
        <f t="shared" si="3"/>
        <v>495</v>
      </c>
      <c r="H40" s="492">
        <f>G40+'24'!H40</f>
        <v>32218.400000000001</v>
      </c>
      <c r="I40" s="490"/>
      <c r="J40" s="494">
        <f>H40/DAY(B2)</f>
        <v>1288.7360000000001</v>
      </c>
      <c r="K40" s="516"/>
      <c r="L40" s="469"/>
      <c r="O40" s="496"/>
    </row>
    <row r="41" spans="1:15">
      <c r="A41" s="487" t="s">
        <v>169</v>
      </c>
      <c r="B41" s="488"/>
      <c r="C41" s="488"/>
      <c r="D41" s="489" t="s">
        <v>131</v>
      </c>
      <c r="E41" s="490">
        <f>'24'!F41</f>
        <v>433282</v>
      </c>
      <c r="F41" s="1067">
        <v>433282</v>
      </c>
      <c r="G41" s="491">
        <f t="shared" si="3"/>
        <v>0</v>
      </c>
      <c r="H41" s="492">
        <f>G41+'24'!H41</f>
        <v>0.21000000002095476</v>
      </c>
      <c r="I41" s="490"/>
      <c r="J41" s="494">
        <f>H41/DAY(B2)</f>
        <v>8.4000000008381901E-3</v>
      </c>
      <c r="K41" s="509"/>
      <c r="L41" s="469"/>
      <c r="O41" s="496"/>
    </row>
    <row r="42" spans="1:15">
      <c r="A42" s="487" t="s">
        <v>170</v>
      </c>
      <c r="B42" s="488"/>
      <c r="C42" s="488"/>
      <c r="D42" s="489" t="s">
        <v>131</v>
      </c>
      <c r="E42" s="490">
        <f>'24'!F42</f>
        <v>152760</v>
      </c>
      <c r="F42" s="1067">
        <v>155238</v>
      </c>
      <c r="G42" s="491">
        <f t="shared" si="3"/>
        <v>2478</v>
      </c>
      <c r="H42" s="492">
        <f>G42+'24'!H42</f>
        <v>-19874</v>
      </c>
      <c r="I42" s="490"/>
      <c r="J42" s="494">
        <f>H42/DAY(B2)</f>
        <v>-794.96</v>
      </c>
      <c r="K42" s="509"/>
      <c r="L42" s="469"/>
      <c r="O42" s="496"/>
    </row>
    <row r="43" spans="1:15">
      <c r="A43" s="487" t="s">
        <v>171</v>
      </c>
      <c r="B43" s="488"/>
      <c r="C43" s="488"/>
      <c r="D43" s="489" t="s">
        <v>131</v>
      </c>
      <c r="E43" s="490">
        <f>'24'!F43</f>
        <v>1270270</v>
      </c>
      <c r="F43" s="1067">
        <v>1273430</v>
      </c>
      <c r="G43" s="491">
        <f t="shared" si="3"/>
        <v>3160</v>
      </c>
      <c r="H43" s="492">
        <f>G43+'24'!H43</f>
        <v>-16315</v>
      </c>
      <c r="I43" s="490"/>
      <c r="J43" s="494">
        <f>H43/DAY(B2)</f>
        <v>-652.6</v>
      </c>
      <c r="K43" s="509"/>
      <c r="L43" s="469"/>
      <c r="O43" s="496"/>
    </row>
    <row r="44" spans="1:15">
      <c r="A44" s="487" t="s">
        <v>172</v>
      </c>
      <c r="B44" s="488"/>
      <c r="C44" s="488"/>
      <c r="D44" s="489" t="s">
        <v>131</v>
      </c>
      <c r="E44" s="490">
        <f>'24'!F44</f>
        <v>0</v>
      </c>
      <c r="F44" s="1067">
        <v>0</v>
      </c>
      <c r="G44" s="491">
        <f t="shared" si="3"/>
        <v>0</v>
      </c>
      <c r="H44" s="492">
        <f>G44+'24'!H44</f>
        <v>0</v>
      </c>
      <c r="I44" s="490"/>
      <c r="J44" s="494">
        <f>H44/DAY(B2)</f>
        <v>0</v>
      </c>
      <c r="K44" s="509"/>
      <c r="L44" s="469"/>
      <c r="O44" s="496"/>
    </row>
    <row r="45" spans="1:15">
      <c r="A45" s="487" t="s">
        <v>173</v>
      </c>
      <c r="B45" s="488"/>
      <c r="C45" s="488"/>
      <c r="D45" s="489" t="s">
        <v>131</v>
      </c>
      <c r="E45" s="490">
        <f>'24'!F45</f>
        <v>614</v>
      </c>
      <c r="F45" s="1067">
        <v>614</v>
      </c>
      <c r="G45" s="491">
        <f t="shared" si="3"/>
        <v>0</v>
      </c>
      <c r="H45" s="492">
        <f>G45+'24'!H45</f>
        <v>0</v>
      </c>
      <c r="I45" s="490"/>
      <c r="J45" s="494">
        <f>H45/DAY(B2)</f>
        <v>0</v>
      </c>
      <c r="K45" s="509"/>
      <c r="L45" s="469"/>
      <c r="O45" s="496"/>
    </row>
    <row r="46" spans="1:15">
      <c r="A46" s="487" t="s">
        <v>174</v>
      </c>
      <c r="B46" s="488"/>
      <c r="C46" s="488"/>
      <c r="D46" s="489" t="s">
        <v>131</v>
      </c>
      <c r="E46" s="490">
        <f>'24'!F46</f>
        <v>187</v>
      </c>
      <c r="F46" s="1067">
        <v>187</v>
      </c>
      <c r="G46" s="491">
        <f t="shared" si="3"/>
        <v>0</v>
      </c>
      <c r="H46" s="492">
        <f>G46+'24'!H46</f>
        <v>-0.49000000000000909</v>
      </c>
      <c r="I46" s="490"/>
      <c r="J46" s="494">
        <f>H46/DAY(B2)</f>
        <v>-1.9600000000000364E-2</v>
      </c>
      <c r="K46" s="509"/>
      <c r="L46" s="469"/>
      <c r="O46" s="496"/>
    </row>
    <row r="47" spans="1:15">
      <c r="A47" s="511" t="s">
        <v>175</v>
      </c>
      <c r="B47" s="512"/>
      <c r="C47" s="512"/>
      <c r="D47" s="480"/>
      <c r="E47" s="476"/>
      <c r="F47" s="1087"/>
      <c r="G47" s="513">
        <f>G35+G36+G37+G38+G39+G40+G41+G42+G43+G44+G45+G46</f>
        <v>14157</v>
      </c>
      <c r="H47" s="492">
        <f>G47+'24'!H47</f>
        <v>1219748.6100000003</v>
      </c>
      <c r="I47" s="490"/>
      <c r="J47" s="494">
        <f>H47/DAY(B2)</f>
        <v>48789.944400000015</v>
      </c>
      <c r="K47" s="509"/>
      <c r="L47" s="469"/>
      <c r="N47" s="659"/>
      <c r="O47" s="496"/>
    </row>
    <row r="48" spans="1:15">
      <c r="A48" s="560" t="s">
        <v>176</v>
      </c>
      <c r="B48" s="561"/>
      <c r="C48" s="561"/>
      <c r="D48" s="484"/>
      <c r="E48" s="483"/>
      <c r="F48" s="1087"/>
      <c r="G48" s="484"/>
      <c r="H48" s="484"/>
      <c r="I48" s="484"/>
      <c r="J48" s="485"/>
      <c r="K48" s="509"/>
      <c r="L48" s="469"/>
      <c r="O48" s="496"/>
    </row>
    <row r="49" spans="1:15">
      <c r="A49" s="487" t="s">
        <v>163</v>
      </c>
      <c r="B49" s="565"/>
      <c r="C49" s="565"/>
      <c r="D49" s="489" t="s">
        <v>131</v>
      </c>
      <c r="E49" s="1066">
        <f>'24'!F49</f>
        <v>397580</v>
      </c>
      <c r="F49" s="1067">
        <v>400618</v>
      </c>
      <c r="G49" s="666">
        <f t="shared" ref="G49:G58" si="4">F49-E49</f>
        <v>3038</v>
      </c>
      <c r="H49" s="492">
        <f>G49+'24'!H49</f>
        <v>383838</v>
      </c>
      <c r="I49" s="490"/>
      <c r="J49" s="494">
        <f>H49/DAY(B2)</f>
        <v>15353.52</v>
      </c>
      <c r="K49" s="509"/>
      <c r="L49" s="469"/>
      <c r="O49" s="496"/>
    </row>
    <row r="50" spans="1:15">
      <c r="A50" s="487" t="s">
        <v>177</v>
      </c>
      <c r="B50" s="565"/>
      <c r="C50" s="565"/>
      <c r="D50" s="489" t="s">
        <v>131</v>
      </c>
      <c r="E50" s="490">
        <f>'24'!F50</f>
        <v>599632</v>
      </c>
      <c r="F50" s="1067">
        <v>600931</v>
      </c>
      <c r="G50" s="491">
        <f t="shared" si="4"/>
        <v>1299</v>
      </c>
      <c r="H50" s="492">
        <f>G50+'24'!H50</f>
        <v>-7287</v>
      </c>
      <c r="I50" s="490"/>
      <c r="J50" s="494">
        <f>H50/DAY(B2)</f>
        <v>-291.48</v>
      </c>
      <c r="K50" s="509"/>
      <c r="L50" s="469"/>
      <c r="O50" s="496"/>
    </row>
    <row r="51" spans="1:15">
      <c r="A51" s="487" t="s">
        <v>165</v>
      </c>
      <c r="B51" s="565"/>
      <c r="C51" s="565"/>
      <c r="D51" s="489" t="s">
        <v>131</v>
      </c>
      <c r="E51" s="490">
        <f>'24'!F51</f>
        <v>144640</v>
      </c>
      <c r="F51" s="1067">
        <v>144639.87</v>
      </c>
      <c r="G51" s="491">
        <f t="shared" si="4"/>
        <v>-0.13000000000465661</v>
      </c>
      <c r="H51" s="492">
        <f>G51+'24'!H51</f>
        <v>144639.87</v>
      </c>
      <c r="I51" s="490"/>
      <c r="J51" s="494">
        <f>H51/DAY(B2)</f>
        <v>5785.5947999999999</v>
      </c>
      <c r="K51" s="509"/>
      <c r="L51" s="469"/>
      <c r="O51" s="496"/>
    </row>
    <row r="52" spans="1:15">
      <c r="A52" s="487" t="s">
        <v>178</v>
      </c>
      <c r="B52" s="565"/>
      <c r="C52" s="565"/>
      <c r="D52" s="489" t="s">
        <v>131</v>
      </c>
      <c r="E52" s="490">
        <f>'24'!F52</f>
        <v>539606</v>
      </c>
      <c r="F52" s="1067">
        <v>539606.06999999995</v>
      </c>
      <c r="G52" s="491">
        <f t="shared" si="4"/>
        <v>6.9999999948777258E-2</v>
      </c>
      <c r="H52" s="492">
        <f>G52+'24'!H52</f>
        <v>0</v>
      </c>
      <c r="I52" s="490"/>
      <c r="J52" s="494">
        <f>H52/DAY(B2)</f>
        <v>0</v>
      </c>
      <c r="K52" s="509"/>
      <c r="L52" s="469"/>
      <c r="O52" s="496"/>
    </row>
    <row r="53" spans="1:15">
      <c r="A53" s="487" t="s">
        <v>167</v>
      </c>
      <c r="B53" s="565"/>
      <c r="C53" s="565"/>
      <c r="D53" s="489" t="s">
        <v>131</v>
      </c>
      <c r="E53" s="490">
        <f>'24'!F53</f>
        <v>434232</v>
      </c>
      <c r="F53" s="1067">
        <v>434232</v>
      </c>
      <c r="G53" s="491">
        <f t="shared" si="4"/>
        <v>0</v>
      </c>
      <c r="H53" s="492">
        <f>G53+'24'!H53</f>
        <v>434232</v>
      </c>
      <c r="I53" s="490"/>
      <c r="J53" s="494">
        <f>H53/DAY(B2)</f>
        <v>17369.28</v>
      </c>
      <c r="K53" s="509"/>
      <c r="L53" s="469"/>
      <c r="O53" s="496"/>
    </row>
    <row r="54" spans="1:15">
      <c r="A54" s="487" t="s">
        <v>179</v>
      </c>
      <c r="B54" s="565"/>
      <c r="C54" s="565"/>
      <c r="D54" s="489" t="s">
        <v>131</v>
      </c>
      <c r="E54" s="490">
        <f>'24'!F54</f>
        <v>14967</v>
      </c>
      <c r="F54" s="1067">
        <v>14967</v>
      </c>
      <c r="G54" s="491">
        <f t="shared" si="4"/>
        <v>0</v>
      </c>
      <c r="H54" s="492">
        <f>G54+'24'!H54</f>
        <v>12502</v>
      </c>
      <c r="I54" s="490"/>
      <c r="J54" s="494">
        <f>H54/DAY(B2)</f>
        <v>500.08</v>
      </c>
      <c r="K54" s="509"/>
      <c r="L54" s="469"/>
      <c r="O54" s="496"/>
    </row>
    <row r="55" spans="1:15">
      <c r="A55" s="487" t="s">
        <v>180</v>
      </c>
      <c r="B55" s="565"/>
      <c r="C55" s="565"/>
      <c r="D55" s="489" t="s">
        <v>131</v>
      </c>
      <c r="E55" s="490">
        <f>'24'!F55</f>
        <v>293391</v>
      </c>
      <c r="F55" s="1067">
        <v>298467</v>
      </c>
      <c r="G55" s="491">
        <f t="shared" si="4"/>
        <v>5076</v>
      </c>
      <c r="H55" s="492">
        <f>G55+'24'!H55</f>
        <v>-8831.9899999999907</v>
      </c>
      <c r="I55" s="490"/>
      <c r="J55" s="494">
        <f>H55/DAY(B2)</f>
        <v>-353.27959999999962</v>
      </c>
      <c r="K55" s="509"/>
      <c r="L55" s="469"/>
      <c r="O55" s="496"/>
    </row>
    <row r="56" spans="1:15">
      <c r="A56" s="487" t="s">
        <v>181</v>
      </c>
      <c r="B56" s="565"/>
      <c r="C56" s="565"/>
      <c r="D56" s="489" t="s">
        <v>182</v>
      </c>
      <c r="E56" s="490">
        <f>'24'!F56</f>
        <v>649647</v>
      </c>
      <c r="F56" s="1067">
        <v>649660</v>
      </c>
      <c r="G56" s="491">
        <f t="shared" si="4"/>
        <v>13</v>
      </c>
      <c r="H56" s="492">
        <f>G56+'24'!H56</f>
        <v>-11371</v>
      </c>
      <c r="I56" s="490"/>
      <c r="J56" s="494">
        <f>H56/DAY(B2)</f>
        <v>-454.84</v>
      </c>
      <c r="K56" s="486"/>
      <c r="L56" s="469"/>
      <c r="O56" s="496"/>
    </row>
    <row r="57" spans="1:15">
      <c r="A57" s="487" t="s">
        <v>171</v>
      </c>
      <c r="B57" s="565"/>
      <c r="C57" s="565"/>
      <c r="D57" s="489" t="s">
        <v>131</v>
      </c>
      <c r="E57" s="490">
        <f>'24'!F57</f>
        <v>7711</v>
      </c>
      <c r="F57" s="1067">
        <v>7711</v>
      </c>
      <c r="G57" s="491">
        <f t="shared" si="4"/>
        <v>0</v>
      </c>
      <c r="H57" s="492">
        <f>G57+'24'!H57</f>
        <v>0</v>
      </c>
      <c r="I57" s="490"/>
      <c r="J57" s="494">
        <f>H57/DAY(B2)</f>
        <v>0</v>
      </c>
      <c r="K57" s="509"/>
      <c r="L57" s="469"/>
      <c r="O57" s="496"/>
    </row>
    <row r="58" spans="1:15">
      <c r="A58" s="487" t="s">
        <v>183</v>
      </c>
      <c r="B58" s="565"/>
      <c r="C58" s="565"/>
      <c r="D58" s="489" t="s">
        <v>131</v>
      </c>
      <c r="E58" s="490">
        <f>'24'!F58</f>
        <v>64575</v>
      </c>
      <c r="F58" s="1067">
        <v>64763</v>
      </c>
      <c r="G58" s="491">
        <f t="shared" si="4"/>
        <v>188</v>
      </c>
      <c r="H58" s="492">
        <f>G58+'24'!H58</f>
        <v>-1420</v>
      </c>
      <c r="I58" s="490"/>
      <c r="J58" s="494">
        <f>H58/DAY(B2)</f>
        <v>-56.8</v>
      </c>
      <c r="K58" s="509"/>
      <c r="L58" s="469"/>
      <c r="O58" s="496"/>
    </row>
    <row r="59" spans="1:15">
      <c r="A59" s="511" t="s">
        <v>175</v>
      </c>
      <c r="B59" s="512"/>
      <c r="C59" s="512"/>
      <c r="D59" s="476"/>
      <c r="E59" s="476"/>
      <c r="F59" s="1087"/>
      <c r="G59" s="513">
        <f>G49+G50+G51+G52+G53+G54+G55+G56+G57+G58</f>
        <v>9613.9399999999441</v>
      </c>
      <c r="H59" s="492">
        <f>G59+'24'!H59</f>
        <v>1485907.9499999995</v>
      </c>
      <c r="I59" s="490">
        <f>G7-G60</f>
        <v>-520.93999999994412</v>
      </c>
      <c r="J59" s="494">
        <f>H59/DAY(B2)</f>
        <v>59436.317999999977</v>
      </c>
      <c r="K59" s="509"/>
      <c r="L59" s="469"/>
      <c r="O59" s="496"/>
    </row>
    <row r="60" spans="1:15">
      <c r="A60" s="487"/>
      <c r="B60" s="488"/>
      <c r="C60" s="488"/>
      <c r="D60" s="476" t="s">
        <v>184</v>
      </c>
      <c r="E60" s="476"/>
      <c r="F60" s="1087"/>
      <c r="G60" s="513">
        <f>G47+G59</f>
        <v>23770.939999999944</v>
      </c>
      <c r="H60" s="492">
        <f>G60+'24'!H60</f>
        <v>2712345.5600000005</v>
      </c>
      <c r="I60" s="490">
        <f>G13-G60</f>
        <v>-260.93999999994412</v>
      </c>
      <c r="J60" s="494">
        <f>H60/DAY(B2)</f>
        <v>108493.82240000002</v>
      </c>
      <c r="K60" s="509"/>
      <c r="L60" s="469"/>
      <c r="O60" s="496"/>
    </row>
    <row r="61" spans="1:15">
      <c r="A61" s="566" t="s">
        <v>185</v>
      </c>
      <c r="B61" s="567"/>
      <c r="C61" s="567"/>
      <c r="D61" s="567"/>
      <c r="E61" s="568"/>
      <c r="F61" s="1094"/>
      <c r="G61" s="567"/>
      <c r="H61" s="567"/>
      <c r="I61" s="567"/>
      <c r="J61" s="569"/>
      <c r="K61" s="509"/>
      <c r="L61" s="469"/>
      <c r="O61" s="496"/>
    </row>
    <row r="62" spans="1:15">
      <c r="A62" s="570" t="s">
        <v>97</v>
      </c>
      <c r="B62" s="571"/>
      <c r="C62" s="571"/>
      <c r="D62" s="476" t="s">
        <v>186</v>
      </c>
      <c r="E62" s="490">
        <f>'24'!F62</f>
        <v>20419</v>
      </c>
      <c r="F62" s="1095">
        <v>20419</v>
      </c>
      <c r="G62" s="491">
        <f t="shared" ref="G62:G69" si="5">F62-E62</f>
        <v>0</v>
      </c>
      <c r="H62" s="492">
        <f>G62+'24'!H62</f>
        <v>1.9999999967694748E-3</v>
      </c>
      <c r="I62" s="573"/>
      <c r="J62" s="494">
        <f>H62/DAY(B2)</f>
        <v>7.9999999870778991E-5</v>
      </c>
      <c r="K62" s="509"/>
      <c r="L62" s="469"/>
      <c r="O62" s="496"/>
    </row>
    <row r="63" spans="1:15">
      <c r="A63" s="570" t="s">
        <v>187</v>
      </c>
      <c r="B63" s="571"/>
      <c r="C63" s="571"/>
      <c r="D63" s="476" t="s">
        <v>186</v>
      </c>
      <c r="E63" s="490">
        <f>'24'!F63</f>
        <v>0</v>
      </c>
      <c r="F63" s="1095">
        <v>0</v>
      </c>
      <c r="G63" s="491">
        <f t="shared" si="5"/>
        <v>0</v>
      </c>
      <c r="H63" s="492">
        <f>G63+'24'!H63</f>
        <v>0</v>
      </c>
      <c r="I63" s="573"/>
      <c r="J63" s="494">
        <f>H63/DAY(B2)</f>
        <v>0</v>
      </c>
      <c r="K63" s="509"/>
      <c r="L63" s="469"/>
      <c r="O63" s="496"/>
    </row>
    <row r="64" spans="1:15">
      <c r="A64" s="1343" t="s">
        <v>98</v>
      </c>
      <c r="B64" s="1344"/>
      <c r="C64" s="1345"/>
      <c r="D64" s="489" t="s">
        <v>186</v>
      </c>
      <c r="E64" s="490">
        <f>'24'!F64</f>
        <v>191275</v>
      </c>
      <c r="F64" s="640">
        <v>191729</v>
      </c>
      <c r="G64" s="491">
        <f t="shared" si="5"/>
        <v>454</v>
      </c>
      <c r="H64" s="492">
        <f>G64+'24'!H64</f>
        <v>-2488</v>
      </c>
      <c r="I64" s="510"/>
      <c r="J64" s="494">
        <f>H64/DAY(B2)</f>
        <v>-99.52</v>
      </c>
      <c r="K64" s="509"/>
      <c r="L64" s="469"/>
      <c r="O64" s="496"/>
    </row>
    <row r="65" spans="1:15">
      <c r="A65" s="1343" t="s">
        <v>99</v>
      </c>
      <c r="B65" s="1344"/>
      <c r="C65" s="1345"/>
      <c r="D65" s="489" t="s">
        <v>186</v>
      </c>
      <c r="E65" s="490">
        <f>'24'!F65</f>
        <v>191859</v>
      </c>
      <c r="F65" s="640">
        <v>192279</v>
      </c>
      <c r="G65" s="491">
        <f t="shared" si="5"/>
        <v>420</v>
      </c>
      <c r="H65" s="492">
        <f>G65+'24'!H65</f>
        <v>-2350</v>
      </c>
      <c r="I65" s="528"/>
      <c r="J65" s="494">
        <f>H65/DAY(B2)</f>
        <v>-94</v>
      </c>
      <c r="K65" s="509"/>
      <c r="L65" s="469"/>
      <c r="O65" s="496"/>
    </row>
    <row r="66" spans="1:15">
      <c r="A66" s="1343" t="s">
        <v>100</v>
      </c>
      <c r="B66" s="1344"/>
      <c r="C66" s="1345"/>
      <c r="D66" s="489" t="s">
        <v>186</v>
      </c>
      <c r="E66" s="490">
        <f>'24'!F66</f>
        <v>90434</v>
      </c>
      <c r="F66" s="640">
        <v>90845</v>
      </c>
      <c r="G66" s="491">
        <f t="shared" si="5"/>
        <v>411</v>
      </c>
      <c r="H66" s="492">
        <f>G66+'24'!H66</f>
        <v>-2472</v>
      </c>
      <c r="I66" s="510"/>
      <c r="J66" s="494">
        <f>H66/DAY(B2)</f>
        <v>-98.88</v>
      </c>
      <c r="K66" s="509"/>
      <c r="L66" s="469"/>
      <c r="O66" s="496"/>
    </row>
    <row r="67" spans="1:15">
      <c r="A67" s="1343" t="s">
        <v>101</v>
      </c>
      <c r="B67" s="1344"/>
      <c r="C67" s="1345"/>
      <c r="D67" s="489" t="s">
        <v>186</v>
      </c>
      <c r="E67" s="490">
        <f>'24'!F67</f>
        <v>291320</v>
      </c>
      <c r="F67" s="640">
        <v>291822</v>
      </c>
      <c r="G67" s="491">
        <f t="shared" si="5"/>
        <v>502</v>
      </c>
      <c r="H67" s="492">
        <f>G67+'24'!H67</f>
        <v>-3069</v>
      </c>
      <c r="I67" s="528"/>
      <c r="J67" s="494">
        <f>H67/DAY(B2)</f>
        <v>-122.76</v>
      </c>
      <c r="K67" s="516"/>
      <c r="L67" s="469"/>
      <c r="O67" s="496"/>
    </row>
    <row r="68" spans="1:15">
      <c r="A68" s="1343" t="s">
        <v>102</v>
      </c>
      <c r="B68" s="1344"/>
      <c r="C68" s="1345"/>
      <c r="D68" s="489" t="s">
        <v>186</v>
      </c>
      <c r="E68" s="490">
        <f>'24'!F68</f>
        <v>85321</v>
      </c>
      <c r="F68" s="640">
        <v>85321</v>
      </c>
      <c r="G68" s="491">
        <f t="shared" si="5"/>
        <v>0</v>
      </c>
      <c r="H68" s="492">
        <f>G68+'24'!H68</f>
        <v>0</v>
      </c>
      <c r="I68" s="574"/>
      <c r="J68" s="494">
        <f>H68/DAY(B2)</f>
        <v>0</v>
      </c>
      <c r="K68" s="575"/>
      <c r="L68" s="469"/>
      <c r="O68" s="496"/>
    </row>
    <row r="69" spans="1:15">
      <c r="A69" s="1343" t="s">
        <v>103</v>
      </c>
      <c r="B69" s="1344"/>
      <c r="C69" s="1345"/>
      <c r="D69" s="489" t="s">
        <v>186</v>
      </c>
      <c r="E69" s="490">
        <f>'24'!F69</f>
        <v>104117</v>
      </c>
      <c r="F69" s="640">
        <v>104462</v>
      </c>
      <c r="G69" s="491">
        <f t="shared" si="5"/>
        <v>345</v>
      </c>
      <c r="H69" s="492">
        <f>G69+'24'!H69</f>
        <v>-1944</v>
      </c>
      <c r="I69" s="574"/>
      <c r="J69" s="494">
        <f>H69/DAY(B2)</f>
        <v>-77.760000000000005</v>
      </c>
      <c r="K69" s="576"/>
      <c r="L69" s="469"/>
      <c r="O69" s="496"/>
    </row>
    <row r="70" spans="1:15">
      <c r="A70" s="1352" t="s">
        <v>188</v>
      </c>
      <c r="B70" s="1353"/>
      <c r="C70" s="1354"/>
      <c r="D70" s="489" t="s">
        <v>186</v>
      </c>
      <c r="E70" s="577"/>
      <c r="F70" s="1096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2.5">
      <c r="A71" s="1349" t="s">
        <v>189</v>
      </c>
      <c r="B71" s="1350"/>
      <c r="C71" s="1350"/>
      <c r="D71" s="1350"/>
      <c r="E71" s="1350"/>
      <c r="F71" s="1350"/>
      <c r="G71" s="1350"/>
      <c r="H71" s="1350"/>
      <c r="I71" s="1350"/>
      <c r="J71" s="1351"/>
      <c r="K71" s="575"/>
      <c r="L71" s="469"/>
      <c r="O71" s="496"/>
    </row>
    <row r="72" spans="1:15">
      <c r="A72" s="1343" t="s">
        <v>190</v>
      </c>
      <c r="B72" s="1344"/>
      <c r="C72" s="1345"/>
      <c r="D72" s="489" t="s">
        <v>186</v>
      </c>
      <c r="E72" s="490">
        <f>'24'!F72</f>
        <v>856937</v>
      </c>
      <c r="F72" s="581">
        <v>856948</v>
      </c>
      <c r="G72" s="491">
        <f t="shared" ref="G72:G84" si="6">F72-E72</f>
        <v>11</v>
      </c>
      <c r="H72" s="492">
        <f>G72+'24'!H72</f>
        <v>241</v>
      </c>
      <c r="I72" s="510"/>
      <c r="J72" s="494">
        <f>H72/DAY(B2)</f>
        <v>9.64</v>
      </c>
      <c r="K72" s="576"/>
      <c r="L72" s="469"/>
      <c r="O72" s="496"/>
    </row>
    <row r="73" spans="1:15">
      <c r="A73" s="1343" t="s">
        <v>191</v>
      </c>
      <c r="B73" s="1344"/>
      <c r="C73" s="1345"/>
      <c r="D73" s="489" t="s">
        <v>186</v>
      </c>
      <c r="E73" s="490">
        <f>'24'!F73</f>
        <v>886042</v>
      </c>
      <c r="F73" s="581">
        <v>886043</v>
      </c>
      <c r="G73" s="491">
        <f t="shared" si="6"/>
        <v>1</v>
      </c>
      <c r="H73" s="492">
        <f>G73+'24'!H73</f>
        <v>-8</v>
      </c>
      <c r="I73" s="510"/>
      <c r="J73" s="494">
        <f>H73/DAY(B2)</f>
        <v>-0.32</v>
      </c>
      <c r="K73" s="575"/>
      <c r="L73" s="469"/>
      <c r="O73" s="496"/>
    </row>
    <row r="74" spans="1:15">
      <c r="A74" s="1343" t="s">
        <v>192</v>
      </c>
      <c r="B74" s="1344"/>
      <c r="C74" s="1345"/>
      <c r="D74" s="489" t="s">
        <v>186</v>
      </c>
      <c r="E74" s="490">
        <f>'24'!F74</f>
        <v>88761</v>
      </c>
      <c r="F74" s="581">
        <v>88761</v>
      </c>
      <c r="G74" s="491">
        <f t="shared" si="6"/>
        <v>0</v>
      </c>
      <c r="H74" s="492">
        <f>G74+'24'!H74</f>
        <v>71</v>
      </c>
      <c r="I74" s="510"/>
      <c r="J74" s="494">
        <f>H74/DAY(B2)</f>
        <v>2.84</v>
      </c>
      <c r="K74" s="576"/>
      <c r="L74" s="469"/>
      <c r="O74" s="496"/>
    </row>
    <row r="75" spans="1:15">
      <c r="A75" s="1346" t="s">
        <v>193</v>
      </c>
      <c r="B75" s="1347"/>
      <c r="C75" s="1348"/>
      <c r="D75" s="489" t="s">
        <v>186</v>
      </c>
      <c r="E75" s="490">
        <f>'24'!F75</f>
        <v>25052</v>
      </c>
      <c r="F75" s="847">
        <v>25231</v>
      </c>
      <c r="G75" s="491">
        <f t="shared" si="6"/>
        <v>179</v>
      </c>
      <c r="H75" s="492">
        <f>G75+'24'!H75</f>
        <v>-1077</v>
      </c>
      <c r="I75" s="510"/>
      <c r="J75" s="494">
        <f>H75/DAY(B2)</f>
        <v>-43.08</v>
      </c>
      <c r="K75" s="575"/>
      <c r="L75" s="469"/>
      <c r="O75" s="496"/>
    </row>
    <row r="76" spans="1:15">
      <c r="A76" s="1346" t="s">
        <v>194</v>
      </c>
      <c r="B76" s="1347"/>
      <c r="C76" s="1348"/>
      <c r="D76" s="489" t="s">
        <v>186</v>
      </c>
      <c r="E76" s="490">
        <f>'24'!F76</f>
        <v>12782</v>
      </c>
      <c r="F76" s="847">
        <v>12852</v>
      </c>
      <c r="G76" s="491">
        <f t="shared" si="6"/>
        <v>70</v>
      </c>
      <c r="H76" s="492">
        <f>G76+'24'!H76</f>
        <v>-425</v>
      </c>
      <c r="I76" s="553"/>
      <c r="J76" s="494">
        <f>H76/DAY(B2)</f>
        <v>-17</v>
      </c>
      <c r="K76" s="575"/>
      <c r="L76" s="469"/>
      <c r="O76" s="496"/>
    </row>
    <row r="77" spans="1:15">
      <c r="A77" s="1343" t="s">
        <v>195</v>
      </c>
      <c r="B77" s="1344"/>
      <c r="C77" s="1345"/>
      <c r="D77" s="489" t="s">
        <v>186</v>
      </c>
      <c r="E77" s="490">
        <f>'24'!F77</f>
        <v>707931</v>
      </c>
      <c r="F77" s="581">
        <v>707987</v>
      </c>
      <c r="G77" s="491">
        <f t="shared" si="6"/>
        <v>56</v>
      </c>
      <c r="H77" s="492">
        <f>G77+'24'!H77</f>
        <v>-302</v>
      </c>
      <c r="I77" s="553"/>
      <c r="J77" s="494">
        <f>H77/DAY(B2)</f>
        <v>-12.08</v>
      </c>
      <c r="K77" s="575"/>
      <c r="L77" s="469"/>
      <c r="O77" s="496"/>
    </row>
    <row r="78" spans="1:15">
      <c r="A78" s="583" t="s">
        <v>196</v>
      </c>
      <c r="B78" s="755"/>
      <c r="C78" s="755"/>
      <c r="D78" s="489" t="s">
        <v>186</v>
      </c>
      <c r="E78" s="490">
        <f>'24'!F78</f>
        <v>681299</v>
      </c>
      <c r="F78" s="581">
        <v>681437</v>
      </c>
      <c r="G78" s="491">
        <f t="shared" si="6"/>
        <v>138</v>
      </c>
      <c r="H78" s="492">
        <f>G78+'24'!H78</f>
        <v>-976</v>
      </c>
      <c r="I78" s="553"/>
      <c r="J78" s="494">
        <f>H78/DAY(B2)</f>
        <v>-39.04</v>
      </c>
      <c r="K78" s="575"/>
      <c r="L78" s="469"/>
      <c r="O78" s="496"/>
    </row>
    <row r="79" spans="1:15">
      <c r="A79" s="1346" t="s">
        <v>91</v>
      </c>
      <c r="B79" s="1347"/>
      <c r="C79" s="1348"/>
      <c r="D79" s="522" t="s">
        <v>186</v>
      </c>
      <c r="E79" s="490">
        <f>'24'!F79</f>
        <v>843990</v>
      </c>
      <c r="F79" s="581">
        <v>844138</v>
      </c>
      <c r="G79" s="491">
        <f t="shared" si="6"/>
        <v>148</v>
      </c>
      <c r="H79" s="492">
        <f>G79+'24'!H79</f>
        <v>-911</v>
      </c>
      <c r="I79" s="553"/>
      <c r="J79" s="494">
        <f>H79/DAY(B2)</f>
        <v>-36.44</v>
      </c>
      <c r="K79" s="575"/>
      <c r="L79" s="469"/>
      <c r="O79" s="496"/>
    </row>
    <row r="80" spans="1:15">
      <c r="A80" s="1346" t="s">
        <v>197</v>
      </c>
      <c r="B80" s="1347"/>
      <c r="C80" s="1348"/>
      <c r="D80" s="522" t="s">
        <v>186</v>
      </c>
      <c r="E80" s="490">
        <f>'24'!F80</f>
        <v>561585</v>
      </c>
      <c r="F80" s="581">
        <v>561946</v>
      </c>
      <c r="G80" s="491">
        <f t="shared" si="6"/>
        <v>361</v>
      </c>
      <c r="H80" s="492">
        <f>G80+'24'!H80</f>
        <v>-2352</v>
      </c>
      <c r="I80" s="553"/>
      <c r="J80" s="494">
        <f>H80/DAY(B2)</f>
        <v>-94.08</v>
      </c>
      <c r="K80" s="575"/>
      <c r="L80" s="469"/>
      <c r="O80" s="496"/>
    </row>
    <row r="81" spans="1:15">
      <c r="A81" s="1346" t="s">
        <v>198</v>
      </c>
      <c r="B81" s="1347"/>
      <c r="C81" s="1348"/>
      <c r="D81" s="522" t="s">
        <v>186</v>
      </c>
      <c r="E81" s="490">
        <f>'24'!F81</f>
        <v>653106</v>
      </c>
      <c r="F81" s="581">
        <v>653245</v>
      </c>
      <c r="G81" s="491">
        <f t="shared" si="6"/>
        <v>139</v>
      </c>
      <c r="H81" s="492">
        <f>G81+'24'!H81</f>
        <v>-933</v>
      </c>
      <c r="I81" s="553"/>
      <c r="J81" s="494">
        <f>H81/DAY(B2)</f>
        <v>-37.32</v>
      </c>
      <c r="K81" s="575"/>
      <c r="L81" s="469"/>
      <c r="O81" s="496"/>
    </row>
    <row r="82" spans="1:15">
      <c r="A82" s="1346" t="s">
        <v>92</v>
      </c>
      <c r="B82" s="1347"/>
      <c r="C82" s="1348"/>
      <c r="D82" s="523" t="s">
        <v>131</v>
      </c>
      <c r="E82" s="490">
        <f>'24'!F82</f>
        <v>109800</v>
      </c>
      <c r="F82" s="887">
        <v>109813</v>
      </c>
      <c r="G82" s="491">
        <f t="shared" si="6"/>
        <v>13</v>
      </c>
      <c r="H82" s="492">
        <f>G82+'24'!H82</f>
        <v>110036</v>
      </c>
      <c r="I82" s="524"/>
      <c r="J82" s="494">
        <f>H82/DAY(B2)</f>
        <v>4401.4399999999996</v>
      </c>
      <c r="K82" s="575"/>
      <c r="L82" s="469"/>
      <c r="N82" s="657">
        <f>371*0.99</f>
        <v>367.29</v>
      </c>
      <c r="O82" s="496"/>
    </row>
    <row r="83" spans="1:15">
      <c r="A83" s="1346" t="s">
        <v>199</v>
      </c>
      <c r="B83" s="1347"/>
      <c r="C83" s="1348"/>
      <c r="D83" s="585" t="s">
        <v>131</v>
      </c>
      <c r="E83" s="490">
        <f>'24'!F83</f>
        <v>42306</v>
      </c>
      <c r="F83" s="1087">
        <v>42570</v>
      </c>
      <c r="G83" s="491">
        <f t="shared" si="6"/>
        <v>264</v>
      </c>
      <c r="H83" s="492">
        <f>G83+'24'!H83</f>
        <v>-1753</v>
      </c>
      <c r="I83" s="513"/>
      <c r="J83" s="494">
        <f>H83/DAY(B2)</f>
        <v>-70.12</v>
      </c>
      <c r="K83" s="516"/>
      <c r="L83" s="469"/>
      <c r="O83" s="496"/>
    </row>
    <row r="84" spans="1:15">
      <c r="A84" s="586" t="s">
        <v>200</v>
      </c>
      <c r="B84" s="587"/>
      <c r="C84" s="587"/>
      <c r="D84" s="507" t="s">
        <v>131</v>
      </c>
      <c r="E84" s="490">
        <f>'24'!F84</f>
        <v>565491</v>
      </c>
      <c r="F84" s="588">
        <v>566176</v>
      </c>
      <c r="G84" s="491">
        <f t="shared" si="6"/>
        <v>685</v>
      </c>
      <c r="H84" s="492">
        <f>G84+'24'!H84</f>
        <v>-4203</v>
      </c>
      <c r="I84" s="513"/>
      <c r="J84" s="494">
        <f>H84/DAY(B2)</f>
        <v>-168.12</v>
      </c>
      <c r="K84" s="589"/>
      <c r="L84" s="469"/>
      <c r="O84" s="496"/>
    </row>
    <row r="85" spans="1:15" s="593" customFormat="1">
      <c r="A85" s="590" t="s">
        <v>201</v>
      </c>
      <c r="B85" s="591"/>
      <c r="C85" s="591"/>
      <c r="D85" s="528"/>
      <c r="E85" s="490"/>
      <c r="F85" s="588"/>
      <c r="G85" s="492">
        <f xml:space="preserve"> SUM(G72:G84)</f>
        <v>2065</v>
      </c>
      <c r="H85" s="492">
        <f>G85+'24'!H85</f>
        <v>97093.000000000015</v>
      </c>
      <c r="I85" s="513"/>
      <c r="J85" s="494">
        <f>H85/DAY(B2)</f>
        <v>3883.7200000000007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'24'!F86</f>
        <v>463235</v>
      </c>
      <c r="F86" s="597">
        <v>463246</v>
      </c>
      <c r="G86" s="598">
        <f t="shared" ref="G86:G91" si="7">F86-E86</f>
        <v>11</v>
      </c>
      <c r="H86" s="598">
        <f t="shared" ref="H86:H88" si="8">G86</f>
        <v>11</v>
      </c>
      <c r="I86" s="599"/>
      <c r="J86" s="600">
        <f>H86/DAY(B2)</f>
        <v>0.44</v>
      </c>
      <c r="K86" s="601"/>
      <c r="L86" s="602"/>
      <c r="N86" s="661">
        <f>G86/0.995</f>
        <v>11.055276381909549</v>
      </c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'24'!F87</f>
        <v>83687</v>
      </c>
      <c r="F87" s="597">
        <v>83718</v>
      </c>
      <c r="G87" s="598">
        <f t="shared" si="7"/>
        <v>31</v>
      </c>
      <c r="H87" s="598">
        <f t="shared" si="8"/>
        <v>31</v>
      </c>
      <c r="I87" s="599"/>
      <c r="J87" s="600">
        <f>H87/DAY(B2)</f>
        <v>1.24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'24'!F88</f>
        <v>158212</v>
      </c>
      <c r="F88" s="597">
        <v>158212</v>
      </c>
      <c r="G88" s="598">
        <f t="shared" si="7"/>
        <v>0</v>
      </c>
      <c r="H88" s="598">
        <f t="shared" si="8"/>
        <v>0</v>
      </c>
      <c r="I88" s="599"/>
      <c r="J88" s="600">
        <f>H88/DAY(B2)</f>
        <v>0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'24'!F89</f>
        <v>68578</v>
      </c>
      <c r="F89" s="597">
        <v>68661</v>
      </c>
      <c r="G89" s="598">
        <f t="shared" si="7"/>
        <v>83</v>
      </c>
      <c r="H89" s="598">
        <f>G89</f>
        <v>83</v>
      </c>
      <c r="I89" s="599"/>
      <c r="J89" s="600">
        <f>H89/DAY(B2)</f>
        <v>3.32</v>
      </c>
      <c r="K89" s="601"/>
      <c r="L89" s="602"/>
      <c r="N89" s="667">
        <f>204/205</f>
        <v>0.99512195121951219</v>
      </c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'24'!F90</f>
        <v>3578</v>
      </c>
      <c r="F90" s="597">
        <v>3585</v>
      </c>
      <c r="G90" s="598">
        <f t="shared" si="7"/>
        <v>7</v>
      </c>
      <c r="H90" s="598">
        <f>G90</f>
        <v>7</v>
      </c>
      <c r="I90" s="599"/>
      <c r="J90" s="600">
        <f>H90/DAY(B2)</f>
        <v>0.28000000000000003</v>
      </c>
      <c r="K90" s="601"/>
      <c r="L90" s="602"/>
      <c r="N90" s="662"/>
      <c r="O90" s="496"/>
    </row>
    <row r="91" spans="1:15" s="1084" customFormat="1">
      <c r="A91" s="1078" t="s">
        <v>335</v>
      </c>
      <c r="B91" s="1079"/>
      <c r="C91" s="1079"/>
      <c r="D91" s="1080"/>
      <c r="E91" s="525">
        <f>'24'!F91</f>
        <v>28696</v>
      </c>
      <c r="F91" s="597">
        <v>28705</v>
      </c>
      <c r="G91" s="508">
        <f t="shared" si="7"/>
        <v>9</v>
      </c>
      <c r="H91" s="508">
        <f>G91</f>
        <v>9</v>
      </c>
      <c r="I91" s="666"/>
      <c r="J91" s="1081"/>
      <c r="K91" s="1082"/>
      <c r="L91" s="1083"/>
      <c r="N91" s="1085"/>
      <c r="O91" s="1086"/>
    </row>
    <row r="92" spans="1:15" s="593" customFormat="1">
      <c r="A92" s="604" t="s">
        <v>204</v>
      </c>
      <c r="B92" s="484"/>
      <c r="C92" s="484"/>
      <c r="D92" s="484"/>
      <c r="E92" s="484"/>
      <c r="F92" s="588"/>
      <c r="G92" s="527"/>
      <c r="H92" s="484"/>
      <c r="I92" s="484"/>
      <c r="J92" s="485"/>
      <c r="K92" s="589"/>
      <c r="L92" s="592"/>
      <c r="N92" s="660"/>
      <c r="O92" s="496"/>
    </row>
    <row r="93" spans="1:15">
      <c r="A93" s="1337" t="s">
        <v>205</v>
      </c>
      <c r="B93" s="1338"/>
      <c r="C93" s="1339"/>
      <c r="D93" s="489" t="s">
        <v>143</v>
      </c>
      <c r="E93" s="490">
        <f>'24'!F93</f>
        <v>252730</v>
      </c>
      <c r="F93" s="640">
        <v>252803</v>
      </c>
      <c r="G93" s="491">
        <f t="shared" ref="G93:G94" si="9">F93-E93</f>
        <v>73</v>
      </c>
      <c r="H93" s="492">
        <f>G93+'24'!H93</f>
        <v>-649</v>
      </c>
      <c r="I93" s="510"/>
      <c r="J93" s="494">
        <f>H93/DAY(B2)</f>
        <v>-25.96</v>
      </c>
      <c r="K93" s="516"/>
      <c r="L93" s="469"/>
      <c r="O93" s="496"/>
    </row>
    <row r="94" spans="1:15">
      <c r="A94" s="1337" t="s">
        <v>206</v>
      </c>
      <c r="B94" s="1338"/>
      <c r="C94" s="1339"/>
      <c r="D94" s="489" t="s">
        <v>143</v>
      </c>
      <c r="E94" s="490">
        <f>'24'!F94</f>
        <v>196493</v>
      </c>
      <c r="F94" s="640">
        <v>196617</v>
      </c>
      <c r="G94" s="491">
        <f t="shared" si="9"/>
        <v>124</v>
      </c>
      <c r="H94" s="492">
        <f>G94+'24'!H94</f>
        <v>-1042</v>
      </c>
      <c r="I94" s="510"/>
      <c r="J94" s="494">
        <f>H94/DAY(B2)</f>
        <v>-41.68</v>
      </c>
      <c r="K94" s="589"/>
      <c r="L94" s="469"/>
      <c r="O94" s="496"/>
    </row>
    <row r="95" spans="1:15">
      <c r="A95" s="1329" t="s">
        <v>207</v>
      </c>
      <c r="B95" s="1330"/>
      <c r="C95" s="1331"/>
      <c r="D95" s="489"/>
      <c r="E95" s="490">
        <f>'24'!F95</f>
        <v>0</v>
      </c>
      <c r="F95" s="640"/>
      <c r="G95" s="491">
        <f>G93+G94</f>
        <v>197</v>
      </c>
      <c r="H95" s="492">
        <f>G95+'24'!H95</f>
        <v>-1916</v>
      </c>
      <c r="I95" s="510"/>
      <c r="J95" s="494">
        <f>H95/DAY(B2)</f>
        <v>-76.64</v>
      </c>
      <c r="K95" s="589"/>
      <c r="L95" s="469"/>
      <c r="O95" s="496"/>
    </row>
    <row r="96" spans="1:15">
      <c r="A96" s="1337" t="s">
        <v>208</v>
      </c>
      <c r="B96" s="1338"/>
      <c r="C96" s="1339"/>
      <c r="D96" s="489" t="s">
        <v>143</v>
      </c>
      <c r="E96" s="490">
        <f>'24'!F96</f>
        <v>420457</v>
      </c>
      <c r="F96" s="640">
        <v>420522</v>
      </c>
      <c r="G96" s="491">
        <f t="shared" ref="G96:G101" si="10">F96-E96</f>
        <v>65</v>
      </c>
      <c r="H96" s="492">
        <f>G96+'24'!H96</f>
        <v>-497</v>
      </c>
      <c r="I96" s="510"/>
      <c r="J96" s="494">
        <f>H96/DAY(B2)</f>
        <v>-19.88</v>
      </c>
      <c r="K96" s="589"/>
      <c r="L96" s="469"/>
      <c r="O96" s="496"/>
    </row>
    <row r="97" spans="1:15">
      <c r="A97" s="517" t="s">
        <v>209</v>
      </c>
      <c r="B97" s="518"/>
      <c r="C97" s="518"/>
      <c r="D97" s="489" t="s">
        <v>143</v>
      </c>
      <c r="E97" s="490">
        <f>'24'!F97</f>
        <v>104465</v>
      </c>
      <c r="F97" s="640">
        <v>104485</v>
      </c>
      <c r="G97" s="491">
        <f t="shared" si="10"/>
        <v>20</v>
      </c>
      <c r="H97" s="492">
        <f>G97+'24'!H97</f>
        <v>-151</v>
      </c>
      <c r="I97" s="510"/>
      <c r="J97" s="494">
        <f>H97/DAY(B2)</f>
        <v>-6.04</v>
      </c>
      <c r="K97" s="486"/>
      <c r="L97" s="469"/>
      <c r="O97" s="496"/>
    </row>
    <row r="98" spans="1:15">
      <c r="A98" s="517" t="s">
        <v>210</v>
      </c>
      <c r="B98" s="518"/>
      <c r="C98" s="518"/>
      <c r="D98" s="489" t="s">
        <v>143</v>
      </c>
      <c r="E98" s="490">
        <f>'24'!F98</f>
        <v>100148</v>
      </c>
      <c r="F98" s="640">
        <v>100175</v>
      </c>
      <c r="G98" s="491">
        <f t="shared" si="10"/>
        <v>27</v>
      </c>
      <c r="H98" s="492">
        <f>G98+'24'!H98</f>
        <v>-195</v>
      </c>
      <c r="I98" s="510"/>
      <c r="J98" s="494">
        <f>H98/DAY(B2)</f>
        <v>-7.8</v>
      </c>
      <c r="K98" s="605"/>
      <c r="L98" s="469"/>
      <c r="O98" s="496"/>
    </row>
    <row r="99" spans="1:15">
      <c r="A99" s="517" t="s">
        <v>211</v>
      </c>
      <c r="B99" s="518"/>
      <c r="C99" s="518"/>
      <c r="D99" s="489" t="s">
        <v>143</v>
      </c>
      <c r="E99" s="490">
        <f>'24'!F99</f>
        <v>151950</v>
      </c>
      <c r="F99" s="640">
        <v>151977</v>
      </c>
      <c r="G99" s="491">
        <f t="shared" si="10"/>
        <v>27</v>
      </c>
      <c r="H99" s="492">
        <f>G99+'24'!H99</f>
        <v>-158</v>
      </c>
      <c r="I99" s="510"/>
      <c r="J99" s="494">
        <f>H99/DAY(B2)</f>
        <v>-6.32</v>
      </c>
      <c r="K99" s="589"/>
      <c r="L99" s="469"/>
      <c r="O99" s="496"/>
    </row>
    <row r="100" spans="1:15">
      <c r="A100" s="517" t="s">
        <v>212</v>
      </c>
      <c r="B100" s="518"/>
      <c r="C100" s="518"/>
      <c r="D100" s="489" t="s">
        <v>143</v>
      </c>
      <c r="E100" s="490">
        <f>'24'!F100</f>
        <v>8540</v>
      </c>
      <c r="F100" s="640">
        <v>8552</v>
      </c>
      <c r="G100" s="491">
        <f t="shared" si="10"/>
        <v>12</v>
      </c>
      <c r="H100" s="492">
        <f>G100+'24'!H100</f>
        <v>-93</v>
      </c>
      <c r="I100" s="510"/>
      <c r="J100" s="494">
        <f>H100/DAY(B2)</f>
        <v>-3.72</v>
      </c>
      <c r="K100" s="589"/>
      <c r="L100" s="469"/>
      <c r="O100" s="496"/>
    </row>
    <row r="101" spans="1:15">
      <c r="A101" s="517" t="s">
        <v>213</v>
      </c>
      <c r="B101" s="518"/>
      <c r="C101" s="518"/>
      <c r="D101" s="489" t="s">
        <v>143</v>
      </c>
      <c r="E101" s="490">
        <f>'24'!F101</f>
        <v>6289</v>
      </c>
      <c r="F101" s="640">
        <v>6302</v>
      </c>
      <c r="G101" s="491">
        <f t="shared" si="10"/>
        <v>13</v>
      </c>
      <c r="H101" s="492">
        <f>G101+'24'!H101</f>
        <v>-71</v>
      </c>
      <c r="I101" s="510"/>
      <c r="J101" s="494">
        <f>H101/DAY(B2)</f>
        <v>-2.84</v>
      </c>
      <c r="K101" s="589"/>
      <c r="L101" s="469"/>
      <c r="O101" s="496"/>
    </row>
    <row r="102" spans="1:15">
      <c r="A102" s="1329" t="s">
        <v>215</v>
      </c>
      <c r="B102" s="1330"/>
      <c r="C102" s="1331"/>
      <c r="D102" s="522"/>
      <c r="E102" s="522"/>
      <c r="F102" s="588"/>
      <c r="G102" s="606">
        <f>SUM(G96:G101)</f>
        <v>164</v>
      </c>
      <c r="H102" s="492">
        <f>G102+'24'!H102</f>
        <v>-1165</v>
      </c>
      <c r="I102" s="607"/>
      <c r="J102" s="494">
        <f>H102/DAY(B2)</f>
        <v>-46.6</v>
      </c>
      <c r="K102" s="589"/>
      <c r="L102" s="469"/>
      <c r="O102" s="496"/>
    </row>
    <row r="103" spans="1:15" s="540" customFormat="1">
      <c r="A103" s="608" t="s">
        <v>216</v>
      </c>
      <c r="B103" s="609"/>
      <c r="C103" s="609"/>
      <c r="D103" s="610"/>
      <c r="E103" s="611"/>
      <c r="F103" s="1097"/>
      <c r="G103" s="613"/>
      <c r="H103" s="614"/>
      <c r="I103" s="615"/>
      <c r="J103" s="616"/>
      <c r="N103" s="658"/>
      <c r="O103" s="496"/>
    </row>
    <row r="104" spans="1:15" s="540" customFormat="1">
      <c r="A104" s="1326" t="s">
        <v>217</v>
      </c>
      <c r="B104" s="1327"/>
      <c r="C104" s="617"/>
      <c r="D104" s="618"/>
      <c r="E104" s="619"/>
      <c r="F104" s="623"/>
      <c r="G104" s="619"/>
      <c r="H104" s="620"/>
      <c r="I104" s="619"/>
      <c r="J104" s="621"/>
      <c r="N104" s="658"/>
      <c r="O104" s="496"/>
    </row>
    <row r="105" spans="1:15" s="540" customFormat="1">
      <c r="A105" s="1320" t="s">
        <v>218</v>
      </c>
      <c r="B105" s="1321"/>
      <c r="C105" s="622"/>
      <c r="D105" s="618" t="s">
        <v>143</v>
      </c>
      <c r="E105" s="619">
        <f>'24'!F105</f>
        <v>7945</v>
      </c>
      <c r="F105" s="623">
        <v>7945</v>
      </c>
      <c r="G105" s="619">
        <f>F105-E105</f>
        <v>0</v>
      </c>
      <c r="H105" s="620">
        <f>SUM(G105+'1'!G76)</f>
        <v>75.700000000000728</v>
      </c>
      <c r="I105" s="619"/>
      <c r="J105" s="621">
        <f>H105/DAY(B2)</f>
        <v>3.0280000000000289</v>
      </c>
      <c r="N105" s="658"/>
      <c r="O105" s="496"/>
    </row>
    <row r="106" spans="1:15" s="540" customFormat="1">
      <c r="A106" s="1320" t="s">
        <v>76</v>
      </c>
      <c r="B106" s="1321"/>
      <c r="C106" s="622"/>
      <c r="D106" s="618" t="s">
        <v>143</v>
      </c>
      <c r="E106" s="619">
        <f>'24'!F106</f>
        <v>36693</v>
      </c>
      <c r="F106" s="623">
        <v>36701</v>
      </c>
      <c r="G106" s="619">
        <f t="shared" ref="G106:G107" si="11">F106-E106</f>
        <v>8</v>
      </c>
      <c r="H106" s="620">
        <f>SUM(G106+'1'!G77)</f>
        <v>55</v>
      </c>
      <c r="I106" s="619"/>
      <c r="J106" s="621">
        <f>H106/DAY(B2)</f>
        <v>2.2000000000000002</v>
      </c>
      <c r="N106" s="658"/>
      <c r="O106" s="496"/>
    </row>
    <row r="107" spans="1:15" s="540" customFormat="1">
      <c r="A107" s="1320" t="s">
        <v>77</v>
      </c>
      <c r="B107" s="1328"/>
      <c r="C107" s="1321"/>
      <c r="D107" s="618" t="s">
        <v>143</v>
      </c>
      <c r="E107" s="619">
        <f>'24'!F107</f>
        <v>20156</v>
      </c>
      <c r="F107" s="623">
        <v>20164</v>
      </c>
      <c r="G107" s="619">
        <f t="shared" si="11"/>
        <v>8</v>
      </c>
      <c r="H107" s="620">
        <f>SUM(G107+'1'!G78)</f>
        <v>26</v>
      </c>
      <c r="I107" s="619"/>
      <c r="J107" s="621">
        <f>H107/DAY(B2)</f>
        <v>1.04</v>
      </c>
      <c r="N107" s="658"/>
      <c r="O107" s="496"/>
    </row>
    <row r="108" spans="1:15" s="540" customFormat="1">
      <c r="A108" s="1322" t="s">
        <v>201</v>
      </c>
      <c r="B108" s="1323"/>
      <c r="C108" s="622"/>
      <c r="D108" s="618"/>
      <c r="E108" s="619">
        <f>'24'!F108</f>
        <v>0</v>
      </c>
      <c r="F108" s="623"/>
      <c r="G108" s="619">
        <f>SUM(G105:G107)</f>
        <v>16</v>
      </c>
      <c r="H108" s="620">
        <f>SUM(G108+'1'!G79)</f>
        <v>182</v>
      </c>
      <c r="I108" s="619"/>
      <c r="J108" s="621">
        <f>H108/DAY(B2)</f>
        <v>7.28</v>
      </c>
      <c r="N108" s="658"/>
      <c r="O108" s="496"/>
    </row>
    <row r="109" spans="1:15" s="540" customFormat="1">
      <c r="A109" s="1318" t="s">
        <v>78</v>
      </c>
      <c r="B109" s="1319"/>
      <c r="C109" s="622"/>
      <c r="D109" s="618" t="s">
        <v>143</v>
      </c>
      <c r="E109" s="619">
        <f>'24'!F109</f>
        <v>0</v>
      </c>
      <c r="F109" s="623"/>
      <c r="G109" s="619"/>
      <c r="H109" s="620"/>
      <c r="I109" s="619"/>
      <c r="J109" s="621"/>
      <c r="N109" s="658"/>
      <c r="O109" s="496"/>
    </row>
    <row r="110" spans="1:15" s="540" customFormat="1">
      <c r="A110" s="1320" t="s">
        <v>219</v>
      </c>
      <c r="B110" s="1321"/>
      <c r="C110" s="622"/>
      <c r="D110" s="618" t="s">
        <v>143</v>
      </c>
      <c r="E110" s="619">
        <f>'24'!F110</f>
        <v>68937</v>
      </c>
      <c r="F110" s="623">
        <v>69010</v>
      </c>
      <c r="G110" s="619">
        <f>F110-E110</f>
        <v>73</v>
      </c>
      <c r="H110" s="620">
        <f>SUM(G110+'1'!G81)</f>
        <v>247.80000000004657</v>
      </c>
      <c r="I110" s="619"/>
      <c r="J110" s="621">
        <f>H110/DAY(B2)</f>
        <v>9.9120000000018624</v>
      </c>
      <c r="N110" s="658"/>
      <c r="O110" s="496"/>
    </row>
    <row r="111" spans="1:15" s="540" customFormat="1">
      <c r="A111" s="1320" t="s">
        <v>220</v>
      </c>
      <c r="B111" s="1321"/>
      <c r="C111" s="622"/>
      <c r="D111" s="618" t="s">
        <v>143</v>
      </c>
      <c r="E111" s="619">
        <f>'24'!F111</f>
        <v>33886</v>
      </c>
      <c r="F111" s="623">
        <v>33886</v>
      </c>
      <c r="G111" s="619">
        <f t="shared" ref="G111:G112" si="12">F111-E111</f>
        <v>0</v>
      </c>
      <c r="H111" s="620">
        <f>SUM(G111+'1'!G82)</f>
        <v>30</v>
      </c>
      <c r="I111" s="619"/>
      <c r="J111" s="621">
        <f>H111/DAY(B2)</f>
        <v>1.2</v>
      </c>
      <c r="N111" s="658"/>
      <c r="O111" s="496"/>
    </row>
    <row r="112" spans="1:15" s="540" customFormat="1">
      <c r="A112" s="1320" t="s">
        <v>221</v>
      </c>
      <c r="B112" s="1321"/>
      <c r="C112" s="622"/>
      <c r="D112" s="618" t="s">
        <v>143</v>
      </c>
      <c r="E112" s="619">
        <f>'24'!F112</f>
        <v>4758</v>
      </c>
      <c r="F112" s="623">
        <v>4763</v>
      </c>
      <c r="G112" s="619">
        <f t="shared" si="12"/>
        <v>5</v>
      </c>
      <c r="H112" s="620">
        <f>SUM(G112+'1'!G83)</f>
        <v>316</v>
      </c>
      <c r="I112" s="619"/>
      <c r="J112" s="621">
        <f>H112/DAY(B2)</f>
        <v>12.64</v>
      </c>
      <c r="N112" s="658"/>
      <c r="O112" s="496"/>
    </row>
    <row r="113" spans="1:15" s="540" customFormat="1">
      <c r="A113" s="1324" t="s">
        <v>109</v>
      </c>
      <c r="B113" s="1325"/>
      <c r="C113" s="622"/>
      <c r="D113" s="618"/>
      <c r="E113" s="619">
        <f>'24'!F113</f>
        <v>0</v>
      </c>
      <c r="F113" s="623"/>
      <c r="G113" s="619">
        <f>SUM(G110:G112)</f>
        <v>78</v>
      </c>
      <c r="H113" s="620">
        <f>SUM(G113+'1'!G84)</f>
        <v>818</v>
      </c>
      <c r="I113" s="619"/>
      <c r="J113" s="621">
        <f>H113/DAY(B2)</f>
        <v>32.72</v>
      </c>
      <c r="N113" s="658"/>
      <c r="O113" s="496"/>
    </row>
    <row r="114" spans="1:15" s="540" customFormat="1">
      <c r="A114" s="1318" t="s">
        <v>222</v>
      </c>
      <c r="B114" s="1319"/>
      <c r="C114" s="622"/>
      <c r="D114" s="618"/>
      <c r="E114" s="619">
        <f>'24'!F114</f>
        <v>0</v>
      </c>
      <c r="F114" s="623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>
      <c r="A115" s="1320" t="s">
        <v>223</v>
      </c>
      <c r="B115" s="1321"/>
      <c r="C115" s="624"/>
      <c r="D115" s="618" t="s">
        <v>143</v>
      </c>
      <c r="E115" s="619">
        <f>'24'!F115</f>
        <v>12914</v>
      </c>
      <c r="F115" s="623">
        <v>12927</v>
      </c>
      <c r="G115" s="623">
        <f>F115-E115</f>
        <v>13</v>
      </c>
      <c r="H115" s="620">
        <f>SUM(G115+'1'!G92)</f>
        <v>13</v>
      </c>
      <c r="I115" s="619"/>
      <c r="J115" s="621">
        <f>H115/DAY(B2)</f>
        <v>0.52</v>
      </c>
      <c r="N115" s="658"/>
      <c r="O115" s="496"/>
    </row>
    <row r="116" spans="1:15" s="540" customFormat="1">
      <c r="A116" s="1320" t="s">
        <v>224</v>
      </c>
      <c r="B116" s="1321"/>
      <c r="C116" s="624"/>
      <c r="D116" s="618" t="s">
        <v>143</v>
      </c>
      <c r="E116" s="619">
        <f>'24'!F116</f>
        <v>9061</v>
      </c>
      <c r="F116" s="623">
        <v>9070</v>
      </c>
      <c r="G116" s="623">
        <f t="shared" ref="G116:G117" si="13">F116-E116</f>
        <v>9</v>
      </c>
      <c r="H116" s="620">
        <f>SUM(G116+'1'!G93)</f>
        <v>71</v>
      </c>
      <c r="I116" s="619"/>
      <c r="J116" s="621">
        <f>H116/DAY(B2)</f>
        <v>2.84</v>
      </c>
      <c r="N116" s="658"/>
      <c r="O116" s="496"/>
    </row>
    <row r="117" spans="1:15" s="540" customFormat="1">
      <c r="A117" s="1320" t="s">
        <v>225</v>
      </c>
      <c r="B117" s="1321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163</v>
      </c>
      <c r="I117" s="619"/>
      <c r="J117" s="621">
        <f>H117/DAY(B2)</f>
        <v>6.52</v>
      </c>
      <c r="N117" s="658"/>
      <c r="O117" s="496"/>
    </row>
    <row r="118" spans="1:15" s="626" customFormat="1">
      <c r="A118" s="1322" t="s">
        <v>201</v>
      </c>
      <c r="B118" s="1323"/>
      <c r="C118" s="624"/>
      <c r="D118" s="625"/>
      <c r="E118" s="623"/>
      <c r="F118" s="623"/>
      <c r="G118" s="623">
        <f>SUM(G115:G117)</f>
        <v>22</v>
      </c>
      <c r="H118" s="620">
        <f>SUM(G118+'1'!G96)</f>
        <v>88</v>
      </c>
      <c r="I118" s="623"/>
      <c r="J118" s="621">
        <f>H118/DAY(B2)</f>
        <v>3.52</v>
      </c>
      <c r="N118" s="663"/>
      <c r="O118" s="496"/>
    </row>
    <row r="119" spans="1:15" s="419" customFormat="1">
      <c r="A119" s="1315" t="s">
        <v>226</v>
      </c>
      <c r="B119" s="1316"/>
      <c r="C119" s="627"/>
      <c r="D119" s="628" t="s">
        <v>143</v>
      </c>
      <c r="E119" s="629"/>
      <c r="F119" s="630"/>
      <c r="G119" s="630">
        <f>SUM(G19+G93)</f>
        <v>135</v>
      </c>
      <c r="H119" s="620">
        <f>SUM(G119+'1'!G97)</f>
        <v>153</v>
      </c>
      <c r="I119" s="629"/>
      <c r="J119" s="631">
        <f>H119/DAY(B2)</f>
        <v>6.12</v>
      </c>
      <c r="N119" s="664"/>
      <c r="O119" s="496"/>
    </row>
    <row r="120" spans="1:15" s="419" customFormat="1">
      <c r="A120" s="1315" t="s">
        <v>227</v>
      </c>
      <c r="B120" s="1316"/>
      <c r="C120" s="627"/>
      <c r="D120" s="628" t="s">
        <v>143</v>
      </c>
      <c r="E120" s="629"/>
      <c r="F120" s="630"/>
      <c r="G120" s="630">
        <f>SUM(G96,G97,G98,G100,G101)</f>
        <v>137</v>
      </c>
      <c r="H120" s="620">
        <f>SUM(G120+'1'!G99)</f>
        <v>148</v>
      </c>
      <c r="I120" s="629"/>
      <c r="J120" s="631">
        <f>H120/DAY(B2)</f>
        <v>5.92</v>
      </c>
      <c r="N120" s="664"/>
      <c r="O120" s="496"/>
    </row>
    <row r="121" spans="1:15" s="419" customFormat="1">
      <c r="A121" s="1315" t="s">
        <v>228</v>
      </c>
      <c r="B121" s="1316"/>
      <c r="C121" s="627"/>
      <c r="D121" s="628" t="s">
        <v>143</v>
      </c>
      <c r="E121" s="629"/>
      <c r="F121" s="623"/>
      <c r="G121" s="623">
        <f>SUM(G113)</f>
        <v>78</v>
      </c>
      <c r="H121" s="620">
        <f>SUM(G121+'1'!G101)</f>
        <v>87</v>
      </c>
      <c r="I121" s="629"/>
      <c r="J121" s="631">
        <f>H121/DAY(B2)</f>
        <v>3.48</v>
      </c>
      <c r="N121" s="664"/>
      <c r="O121" s="496"/>
    </row>
    <row r="122" spans="1:15" s="540" customFormat="1">
      <c r="A122" s="1317"/>
      <c r="B122" s="1314"/>
      <c r="C122" s="622"/>
      <c r="D122" s="617"/>
      <c r="E122" s="617"/>
      <c r="F122" s="1098"/>
      <c r="G122" s="617"/>
      <c r="H122" s="632"/>
      <c r="I122" s="617"/>
      <c r="J122" s="633"/>
      <c r="N122" s="658"/>
      <c r="O122" s="496"/>
    </row>
    <row r="123" spans="1:15">
      <c r="A123" s="1332" t="s">
        <v>229</v>
      </c>
      <c r="B123" s="1333"/>
      <c r="C123" s="1334"/>
      <c r="D123" s="484"/>
      <c r="E123" s="484"/>
      <c r="F123" s="588"/>
      <c r="G123" s="515"/>
      <c r="H123" s="515"/>
      <c r="I123" s="515"/>
      <c r="J123" s="634"/>
      <c r="K123" s="589"/>
      <c r="L123" s="469"/>
      <c r="O123" s="496"/>
    </row>
    <row r="124" spans="1:15">
      <c r="A124" s="517" t="s">
        <v>230</v>
      </c>
      <c r="B124" s="518"/>
      <c r="C124" s="518"/>
      <c r="D124" s="489" t="s">
        <v>140</v>
      </c>
      <c r="E124" s="490">
        <f>'24'!F124</f>
        <v>854494</v>
      </c>
      <c r="F124" s="1089">
        <v>854736</v>
      </c>
      <c r="G124" s="491">
        <f t="shared" ref="G124:G128" si="14">F124-E124</f>
        <v>242</v>
      </c>
      <c r="H124" s="492">
        <f>G124+'24'!H124</f>
        <v>-1616</v>
      </c>
      <c r="I124" s="607"/>
      <c r="J124" s="494">
        <f>H124/DAY(B2)</f>
        <v>-64.64</v>
      </c>
      <c r="K124" s="589"/>
      <c r="L124" s="469"/>
      <c r="O124" s="496"/>
    </row>
    <row r="125" spans="1:15">
      <c r="A125" s="517" t="s">
        <v>231</v>
      </c>
      <c r="B125" s="518"/>
      <c r="C125" s="518"/>
      <c r="D125" s="489" t="s">
        <v>140</v>
      </c>
      <c r="E125" s="490">
        <f>'24'!F125</f>
        <v>73583</v>
      </c>
      <c r="F125" s="1089">
        <v>73583</v>
      </c>
      <c r="G125" s="491">
        <f t="shared" si="14"/>
        <v>0</v>
      </c>
      <c r="H125" s="492">
        <f>G125+'24'!H125</f>
        <v>-0.39999999999417923</v>
      </c>
      <c r="I125" s="607"/>
      <c r="J125" s="494">
        <f>H125/DAY(B2)</f>
        <v>-1.5999999999767169E-2</v>
      </c>
      <c r="K125" s="589"/>
      <c r="L125" s="469"/>
      <c r="O125" s="496"/>
    </row>
    <row r="126" spans="1:15">
      <c r="A126" s="1343" t="s">
        <v>232</v>
      </c>
      <c r="B126" s="1344"/>
      <c r="C126" s="1345"/>
      <c r="D126" s="489" t="s">
        <v>140</v>
      </c>
      <c r="E126" s="490">
        <f>'24'!F126</f>
        <v>153446</v>
      </c>
      <c r="F126" s="1089">
        <v>153540</v>
      </c>
      <c r="G126" s="491">
        <f t="shared" si="14"/>
        <v>94</v>
      </c>
      <c r="H126" s="492">
        <f>G126+'24'!H126</f>
        <v>-537</v>
      </c>
      <c r="I126" s="607"/>
      <c r="J126" s="494">
        <f>H126/DAY(B2)</f>
        <v>-21.48</v>
      </c>
      <c r="K126" s="589"/>
      <c r="L126" s="469"/>
      <c r="O126" s="496"/>
    </row>
    <row r="127" spans="1:15">
      <c r="A127" s="636" t="s">
        <v>233</v>
      </c>
      <c r="B127" s="518"/>
      <c r="C127" s="518"/>
      <c r="D127" s="489" t="s">
        <v>140</v>
      </c>
      <c r="E127" s="490">
        <f>'24'!F127</f>
        <v>34335</v>
      </c>
      <c r="F127" s="1089">
        <v>34386</v>
      </c>
      <c r="G127" s="491">
        <f t="shared" si="14"/>
        <v>51</v>
      </c>
      <c r="H127" s="492">
        <f>G127+'24'!H127</f>
        <v>-243</v>
      </c>
      <c r="I127" s="607"/>
      <c r="J127" s="494">
        <f>H127/DAY(B2)</f>
        <v>-9.7200000000000006</v>
      </c>
      <c r="K127" s="589"/>
      <c r="L127" s="469"/>
      <c r="O127" s="496"/>
    </row>
    <row r="128" spans="1:15">
      <c r="A128" s="636" t="s">
        <v>234</v>
      </c>
      <c r="B128" s="518"/>
      <c r="C128" s="518"/>
      <c r="D128" s="489" t="s">
        <v>140</v>
      </c>
      <c r="E128" s="490">
        <f>'24'!F128</f>
        <v>9163</v>
      </c>
      <c r="F128" s="1089">
        <v>9165</v>
      </c>
      <c r="G128" s="491">
        <f t="shared" si="14"/>
        <v>2</v>
      </c>
      <c r="H128" s="492">
        <f>G128+'24'!H128</f>
        <v>-15</v>
      </c>
      <c r="I128" s="510"/>
      <c r="J128" s="494">
        <f>H128/DAY(B2)</f>
        <v>-0.6</v>
      </c>
      <c r="K128" s="589"/>
      <c r="L128" s="469"/>
      <c r="O128" s="496"/>
    </row>
    <row r="129" spans="1:16">
      <c r="A129" s="636" t="s">
        <v>235</v>
      </c>
      <c r="B129" s="518"/>
      <c r="C129" s="518"/>
      <c r="D129" s="489"/>
      <c r="E129" s="490"/>
      <c r="F129" s="1089"/>
      <c r="G129" s="491">
        <f>G15-SUM(G124:G128)</f>
        <v>406</v>
      </c>
      <c r="H129" s="492">
        <f>G129+'24'!H129</f>
        <v>4627.3999999999942</v>
      </c>
      <c r="I129" s="510"/>
      <c r="J129" s="494">
        <f>H129/DAY(B2)</f>
        <v>185.09599999999978</v>
      </c>
      <c r="K129" s="589"/>
      <c r="L129" s="469"/>
      <c r="O129" s="496"/>
    </row>
    <row r="130" spans="1:16">
      <c r="A130" s="637" t="s">
        <v>236</v>
      </c>
      <c r="B130" s="483"/>
      <c r="C130" s="483"/>
      <c r="D130" s="483"/>
      <c r="E130" s="483"/>
      <c r="F130" s="1087"/>
      <c r="G130" s="638"/>
      <c r="H130" s="638"/>
      <c r="I130" s="638"/>
      <c r="J130" s="639"/>
      <c r="O130" s="496"/>
    </row>
    <row r="131" spans="1:16">
      <c r="A131" s="517" t="s">
        <v>237</v>
      </c>
      <c r="B131" s="518"/>
      <c r="C131" s="518"/>
      <c r="D131" s="489" t="s">
        <v>238</v>
      </c>
      <c r="E131" s="490">
        <f>'24'!F131</f>
        <v>0</v>
      </c>
      <c r="F131" s="640">
        <v>0</v>
      </c>
      <c r="G131" s="491">
        <f t="shared" ref="G131:G141" si="15">F131-E131</f>
        <v>0</v>
      </c>
      <c r="H131" s="492">
        <f>G131+'24'!H131</f>
        <v>0</v>
      </c>
      <c r="I131" s="510"/>
      <c r="J131" s="494">
        <f>H131/DAY(B2)</f>
        <v>0</v>
      </c>
      <c r="O131" s="496"/>
    </row>
    <row r="132" spans="1:16">
      <c r="A132" s="517" t="s">
        <v>239</v>
      </c>
      <c r="B132" s="518"/>
      <c r="C132" s="518"/>
      <c r="D132" s="489" t="s">
        <v>238</v>
      </c>
      <c r="E132" s="490">
        <f>'24'!F132</f>
        <v>0</v>
      </c>
      <c r="F132" s="640">
        <v>0</v>
      </c>
      <c r="G132" s="491">
        <f t="shared" si="15"/>
        <v>0</v>
      </c>
      <c r="H132" s="492">
        <f>G132+'24'!H132</f>
        <v>0</v>
      </c>
      <c r="I132" s="510"/>
      <c r="J132" s="494">
        <f>H132/DAY(B2)</f>
        <v>0</v>
      </c>
      <c r="O132" s="496"/>
    </row>
    <row r="133" spans="1:16">
      <c r="A133" s="517" t="s">
        <v>240</v>
      </c>
      <c r="B133" s="518"/>
      <c r="C133" s="518"/>
      <c r="D133" s="489" t="s">
        <v>238</v>
      </c>
      <c r="E133" s="490">
        <f>'24'!F133</f>
        <v>40921.53</v>
      </c>
      <c r="F133" s="640">
        <v>40921.53</v>
      </c>
      <c r="G133" s="491">
        <f t="shared" si="15"/>
        <v>0</v>
      </c>
      <c r="H133" s="492">
        <f>G133+'24'!H133</f>
        <v>-0.47000000000116415</v>
      </c>
      <c r="I133" s="510"/>
      <c r="J133" s="494">
        <f>H133/DAY(B2)</f>
        <v>-1.8800000000046568E-2</v>
      </c>
      <c r="O133" s="496"/>
      <c r="P133" s="456">
        <f>49-24</f>
        <v>25</v>
      </c>
    </row>
    <row r="134" spans="1:16">
      <c r="A134" s="517" t="s">
        <v>241</v>
      </c>
      <c r="B134" s="518"/>
      <c r="C134" s="518"/>
      <c r="D134" s="489" t="s">
        <v>238</v>
      </c>
      <c r="E134" s="490">
        <f>'24'!F134</f>
        <v>748</v>
      </c>
      <c r="F134" s="640">
        <v>760.52</v>
      </c>
      <c r="G134" s="491">
        <f t="shared" si="15"/>
        <v>12.519999999999982</v>
      </c>
      <c r="H134" s="492">
        <f>G134+'24'!H134</f>
        <v>-95.480000000000018</v>
      </c>
      <c r="I134" s="510">
        <f>G131+G132+G133+G134</f>
        <v>12.519999999999982</v>
      </c>
      <c r="J134" s="494">
        <f>H134/DAY(B2)</f>
        <v>-3.8192000000000008</v>
      </c>
      <c r="O134" s="496"/>
    </row>
    <row r="135" spans="1:16">
      <c r="A135" s="517" t="s">
        <v>242</v>
      </c>
      <c r="B135" s="518"/>
      <c r="C135" s="518"/>
      <c r="D135" s="489" t="s">
        <v>238</v>
      </c>
      <c r="E135" s="490">
        <f>'24'!F135</f>
        <v>42761</v>
      </c>
      <c r="F135" s="640">
        <v>42785.35</v>
      </c>
      <c r="G135" s="491">
        <f t="shared" si="15"/>
        <v>24.349999999998545</v>
      </c>
      <c r="H135" s="492">
        <f>G135+'24'!H135</f>
        <v>72.349999999998545</v>
      </c>
      <c r="I135" s="510"/>
      <c r="J135" s="494">
        <f>H135/DAY(B2)</f>
        <v>2.893999999999942</v>
      </c>
      <c r="O135" s="496"/>
    </row>
    <row r="136" spans="1:16">
      <c r="A136" s="517" t="s">
        <v>243</v>
      </c>
      <c r="B136" s="518"/>
      <c r="C136" s="518"/>
      <c r="D136" s="489" t="s">
        <v>238</v>
      </c>
      <c r="E136" s="490">
        <f>'24'!F136</f>
        <v>32874</v>
      </c>
      <c r="F136" s="640">
        <v>32874</v>
      </c>
      <c r="G136" s="491">
        <f t="shared" si="15"/>
        <v>0</v>
      </c>
      <c r="H136" s="492">
        <f>G136+'24'!H136</f>
        <v>12.94999999999709</v>
      </c>
      <c r="I136" s="510"/>
      <c r="J136" s="494">
        <f>H136/DAY(B2)</f>
        <v>0.51799999999988355</v>
      </c>
      <c r="O136" s="496"/>
    </row>
    <row r="137" spans="1:16">
      <c r="A137" s="517" t="s">
        <v>244</v>
      </c>
      <c r="B137" s="518"/>
      <c r="C137" s="518"/>
      <c r="D137" s="489" t="s">
        <v>238</v>
      </c>
      <c r="E137" s="490">
        <f>'24'!F137</f>
        <v>23297</v>
      </c>
      <c r="F137" s="640">
        <v>23304.9</v>
      </c>
      <c r="G137" s="491">
        <f t="shared" si="15"/>
        <v>7.9000000000014552</v>
      </c>
      <c r="H137" s="492">
        <f>G137+'24'!H137</f>
        <v>-51.529999999998836</v>
      </c>
      <c r="I137" s="510">
        <f>G135+G136+G137</f>
        <v>32.25</v>
      </c>
      <c r="J137" s="494">
        <f>H137/DAY(B2)</f>
        <v>-2.0611999999999533</v>
      </c>
      <c r="O137" s="496"/>
    </row>
    <row r="138" spans="1:16">
      <c r="A138" s="517" t="s">
        <v>245</v>
      </c>
      <c r="B138" s="518"/>
      <c r="C138" s="518"/>
      <c r="D138" s="489" t="s">
        <v>238</v>
      </c>
      <c r="E138" s="490">
        <f>'24'!F138</f>
        <v>25132.98</v>
      </c>
      <c r="F138" s="640">
        <v>25132.98</v>
      </c>
      <c r="G138" s="491">
        <f t="shared" si="15"/>
        <v>0</v>
      </c>
      <c r="H138" s="492">
        <f>G138+'24'!H138</f>
        <v>8</v>
      </c>
      <c r="I138" s="510"/>
      <c r="J138" s="494">
        <f>H138/DAY(B2)</f>
        <v>0.32</v>
      </c>
      <c r="O138" s="496"/>
    </row>
    <row r="139" spans="1:16">
      <c r="A139" s="517" t="s">
        <v>246</v>
      </c>
      <c r="B139" s="518"/>
      <c r="C139" s="518"/>
      <c r="D139" s="489" t="s">
        <v>238</v>
      </c>
      <c r="E139" s="490">
        <f>'24'!F139</f>
        <v>70524.55</v>
      </c>
      <c r="F139" s="640">
        <v>70524.55</v>
      </c>
      <c r="G139" s="491">
        <f t="shared" si="15"/>
        <v>0</v>
      </c>
      <c r="H139" s="492">
        <f>G139+'24'!H139</f>
        <v>15</v>
      </c>
      <c r="I139" s="510">
        <f>G138+G139</f>
        <v>0</v>
      </c>
      <c r="J139" s="494">
        <f>H139/DAY(B2)</f>
        <v>0.6</v>
      </c>
      <c r="O139" s="496"/>
    </row>
    <row r="140" spans="1:16">
      <c r="A140" s="517" t="s">
        <v>247</v>
      </c>
      <c r="B140" s="518"/>
      <c r="C140" s="518"/>
      <c r="D140" s="489" t="s">
        <v>238</v>
      </c>
      <c r="E140" s="490">
        <f>'24'!F140</f>
        <v>2556</v>
      </c>
      <c r="F140" s="640">
        <v>2565.62</v>
      </c>
      <c r="G140" s="491">
        <f t="shared" si="15"/>
        <v>9.6199999999998909</v>
      </c>
      <c r="H140" s="492">
        <f>G140+'24'!H140</f>
        <v>-62.360000000000127</v>
      </c>
      <c r="I140" s="641"/>
      <c r="J140" s="494">
        <f>H140/DAY(B2)</f>
        <v>-2.4944000000000051</v>
      </c>
      <c r="O140" s="496"/>
    </row>
    <row r="141" spans="1:16">
      <c r="A141" s="517" t="s">
        <v>248</v>
      </c>
      <c r="B141" s="518"/>
      <c r="C141" s="518"/>
      <c r="D141" s="489" t="s">
        <v>238</v>
      </c>
      <c r="E141" s="490">
        <f>'24'!F141</f>
        <v>4753.67</v>
      </c>
      <c r="F141" s="640">
        <v>4753.67</v>
      </c>
      <c r="G141" s="491">
        <f t="shared" si="15"/>
        <v>0</v>
      </c>
      <c r="H141" s="492">
        <f>G141+'24'!H141</f>
        <v>-0.32999999999992724</v>
      </c>
      <c r="I141" s="641"/>
      <c r="J141" s="494">
        <f>H141/DAY(B2)</f>
        <v>-1.3199999999997089E-2</v>
      </c>
      <c r="O141" s="496"/>
    </row>
    <row r="142" spans="1:16">
      <c r="A142" s="1335" t="s">
        <v>249</v>
      </c>
      <c r="B142" s="1336"/>
      <c r="C142" s="484"/>
      <c r="D142" s="484"/>
      <c r="E142" s="484"/>
      <c r="F142" s="588"/>
      <c r="G142" s="515"/>
      <c r="H142" s="515"/>
      <c r="I142" s="515"/>
      <c r="J142" s="634"/>
      <c r="K142" s="589"/>
      <c r="L142" s="469"/>
      <c r="O142" s="496"/>
    </row>
    <row r="143" spans="1:16">
      <c r="A143" s="1337" t="s">
        <v>250</v>
      </c>
      <c r="B143" s="1338"/>
      <c r="C143" s="1339"/>
      <c r="D143" s="489" t="s">
        <v>131</v>
      </c>
      <c r="E143" s="489"/>
      <c r="F143" s="588"/>
      <c r="G143" s="492">
        <f>G35+G43+G49+G57</f>
        <v>6198</v>
      </c>
      <c r="H143" s="492">
        <f>G143+'24'!H143</f>
        <v>369987.99999999994</v>
      </c>
      <c r="I143" s="510"/>
      <c r="J143" s="494">
        <f>H143/DAY(B2)</f>
        <v>14799.519999999997</v>
      </c>
      <c r="K143" s="589"/>
      <c r="L143" s="469"/>
      <c r="O143" s="496"/>
    </row>
    <row r="144" spans="1:16">
      <c r="A144" s="1337" t="s">
        <v>251</v>
      </c>
      <c r="B144" s="1338"/>
      <c r="C144" s="1339"/>
      <c r="D144" s="489" t="s">
        <v>24</v>
      </c>
      <c r="E144" s="476"/>
      <c r="F144" s="1087"/>
      <c r="G144" s="642">
        <f>G143/G7</f>
        <v>0.26658064516129032</v>
      </c>
      <c r="H144" s="492">
        <f>G144+'24'!H144</f>
        <v>7.2439647959201769</v>
      </c>
      <c r="I144" s="643"/>
      <c r="J144" s="494">
        <f>H144/DAY(B2)</f>
        <v>0.28975859183680708</v>
      </c>
      <c r="K144" s="589"/>
      <c r="L144" s="469"/>
      <c r="O144" s="496"/>
    </row>
    <row r="145" spans="1:15">
      <c r="A145" s="1337" t="s">
        <v>252</v>
      </c>
      <c r="B145" s="1338"/>
      <c r="C145" s="1339"/>
      <c r="D145" s="489" t="s">
        <v>131</v>
      </c>
      <c r="E145" s="490"/>
      <c r="F145" s="1066"/>
      <c r="G145" s="492">
        <f>G41+G42+G55+G56</f>
        <v>7567</v>
      </c>
      <c r="H145" s="492">
        <f>G145+'24'!H145</f>
        <v>-39034.77999999997</v>
      </c>
      <c r="I145" s="510"/>
      <c r="J145" s="494">
        <f>H145/DAY(B2)</f>
        <v>-1561.3911999999989</v>
      </c>
      <c r="K145" s="589"/>
      <c r="L145" s="469"/>
      <c r="O145" s="496"/>
    </row>
    <row r="146" spans="1:15">
      <c r="A146" s="1337" t="s">
        <v>253</v>
      </c>
      <c r="B146" s="1338"/>
      <c r="C146" s="1339"/>
      <c r="D146" s="489" t="s">
        <v>24</v>
      </c>
      <c r="E146" s="490"/>
      <c r="F146" s="1066"/>
      <c r="G146" s="642">
        <f>G145/G7</f>
        <v>0.32546236559139785</v>
      </c>
      <c r="H146" s="492">
        <f>G146+'24'!H146</f>
        <v>6.6894901056671268</v>
      </c>
      <c r="I146" s="643"/>
      <c r="J146" s="494">
        <f>H146/DAY(B2)</f>
        <v>0.26757960422668509</v>
      </c>
      <c r="K146" s="589"/>
      <c r="L146" s="469"/>
      <c r="O146" s="496"/>
    </row>
    <row r="147" spans="1:15">
      <c r="A147" s="1337" t="s">
        <v>254</v>
      </c>
      <c r="B147" s="1338"/>
      <c r="C147" s="1339"/>
      <c r="D147" s="489" t="s">
        <v>131</v>
      </c>
      <c r="E147" s="490"/>
      <c r="F147" s="1066"/>
      <c r="G147" s="492">
        <f>G39+G53</f>
        <v>4050</v>
      </c>
      <c r="H147" s="492">
        <f>G147+'24'!H147</f>
        <v>1045263</v>
      </c>
      <c r="I147" s="644"/>
      <c r="J147" s="494">
        <f>H147/DAY(B2)</f>
        <v>41810.519999999997</v>
      </c>
      <c r="K147" s="589"/>
      <c r="L147" s="469"/>
      <c r="O147" s="496"/>
    </row>
    <row r="148" spans="1:15">
      <c r="A148" s="1337" t="s">
        <v>255</v>
      </c>
      <c r="B148" s="1338"/>
      <c r="C148" s="1339"/>
      <c r="D148" s="489" t="s">
        <v>24</v>
      </c>
      <c r="E148" s="490"/>
      <c r="F148" s="1066"/>
      <c r="G148" s="642">
        <f>G147/G7</f>
        <v>0.17419354838709677</v>
      </c>
      <c r="H148" s="492">
        <f>G148+'24'!H148</f>
        <v>6.9831530348509627</v>
      </c>
      <c r="I148" s="644"/>
      <c r="J148" s="494">
        <f>H148/DAY(B2)</f>
        <v>0.27932612139403851</v>
      </c>
      <c r="O148" s="496"/>
    </row>
    <row r="149" spans="1:15">
      <c r="A149" s="1337" t="s">
        <v>256</v>
      </c>
      <c r="B149" s="1338"/>
      <c r="C149" s="1339"/>
      <c r="D149" s="489" t="s">
        <v>182</v>
      </c>
      <c r="E149" s="490"/>
      <c r="F149" s="1066"/>
      <c r="G149" s="492">
        <f>G38+G52</f>
        <v>1662.0699999999488</v>
      </c>
      <c r="H149" s="492">
        <f>G149+'24'!H149</f>
        <v>826228.07</v>
      </c>
      <c r="I149" s="510"/>
      <c r="J149" s="494">
        <f>H149/DAY(B2)</f>
        <v>33049.122799999997</v>
      </c>
      <c r="K149" s="645"/>
      <c r="O149" s="496"/>
    </row>
    <row r="150" spans="1:15">
      <c r="A150" s="1337" t="s">
        <v>257</v>
      </c>
      <c r="B150" s="1338"/>
      <c r="C150" s="1339"/>
      <c r="D150" s="489" t="s">
        <v>24</v>
      </c>
      <c r="E150" s="490"/>
      <c r="F150" s="1066"/>
      <c r="G150" s="642">
        <f>G149/G7</f>
        <v>7.14868817204279E-2</v>
      </c>
      <c r="H150" s="492">
        <f>G150+'24'!H150</f>
        <v>4.1926124887674128</v>
      </c>
      <c r="I150" s="644"/>
      <c r="J150" s="494">
        <f>H150/DAY(B2)</f>
        <v>0.16770449955069652</v>
      </c>
      <c r="O150" s="496"/>
    </row>
    <row r="151" spans="1:15">
      <c r="A151" s="1337" t="s">
        <v>258</v>
      </c>
      <c r="B151" s="1338"/>
      <c r="C151" s="1339"/>
      <c r="D151" s="489" t="s">
        <v>182</v>
      </c>
      <c r="E151" s="490"/>
      <c r="F151" s="1066"/>
      <c r="G151" s="492">
        <f>G36+G50</f>
        <v>1995</v>
      </c>
      <c r="H151" s="492">
        <f>G151+'24'!H151</f>
        <v>56982</v>
      </c>
      <c r="I151" s="644"/>
      <c r="J151" s="494">
        <f>H151/DAY(B2)</f>
        <v>2279.2800000000002</v>
      </c>
      <c r="O151" s="496"/>
    </row>
    <row r="152" spans="1:15">
      <c r="A152" s="1337" t="s">
        <v>259</v>
      </c>
      <c r="B152" s="1338"/>
      <c r="C152" s="1339"/>
      <c r="D152" s="489" t="s">
        <v>24</v>
      </c>
      <c r="E152" s="490"/>
      <c r="F152" s="1066"/>
      <c r="G152" s="642">
        <f>G151/G7</f>
        <v>8.580645161290322E-2</v>
      </c>
      <c r="H152" s="492">
        <f>G152+'24'!H152</f>
        <v>2.1520635928617264</v>
      </c>
      <c r="I152" s="510"/>
      <c r="J152" s="494">
        <f>H152/DAY(B2)</f>
        <v>8.6082543714469051E-2</v>
      </c>
      <c r="O152" s="496"/>
    </row>
    <row r="153" spans="1:15">
      <c r="A153" s="1337" t="s">
        <v>260</v>
      </c>
      <c r="B153" s="1338"/>
      <c r="C153" s="1339"/>
      <c r="D153" s="489" t="s">
        <v>182</v>
      </c>
      <c r="E153" s="490"/>
      <c r="F153" s="1066"/>
      <c r="G153" s="492">
        <f>G37+G51</f>
        <v>1615.8699999999953</v>
      </c>
      <c r="H153" s="492">
        <f>G153+'24'!H153</f>
        <v>406555.87000000005</v>
      </c>
      <c r="I153" s="510"/>
      <c r="J153" s="494">
        <f>H153/DAY(B2)</f>
        <v>16262.234800000002</v>
      </c>
      <c r="O153" s="496"/>
    </row>
    <row r="154" spans="1:15" ht="21" thickBot="1">
      <c r="A154" s="1340" t="s">
        <v>261</v>
      </c>
      <c r="B154" s="1341"/>
      <c r="C154" s="1342"/>
      <c r="D154" s="646" t="s">
        <v>24</v>
      </c>
      <c r="E154" s="647"/>
      <c r="F154" s="1099"/>
      <c r="G154" s="648">
        <f>G153/G7</f>
        <v>6.9499784946236362E-2</v>
      </c>
      <c r="H154" s="492">
        <f>G154+'24'!H154</f>
        <v>2.8290232031346934</v>
      </c>
      <c r="I154" s="649"/>
      <c r="J154" s="650">
        <f>H154/DAY(B2)</f>
        <v>0.11316092812538774</v>
      </c>
      <c r="O154" s="496"/>
    </row>
    <row r="155" spans="1:15">
      <c r="A155" s="651"/>
      <c r="B155" s="651"/>
      <c r="C155" s="651"/>
      <c r="D155" s="651"/>
      <c r="E155" s="651"/>
      <c r="F155" s="1100"/>
      <c r="G155" s="651"/>
      <c r="H155" s="652"/>
      <c r="I155" s="651"/>
      <c r="J155" s="653"/>
      <c r="O155" s="496"/>
    </row>
    <row r="161" spans="1:7">
      <c r="A161" s="641" t="s">
        <v>262</v>
      </c>
      <c r="B161" s="641"/>
      <c r="C161" s="641"/>
      <c r="D161" s="476" t="s">
        <v>186</v>
      </c>
      <c r="E161" s="490">
        <f>'24'!F161</f>
        <v>45228</v>
      </c>
      <c r="F161" s="1101">
        <v>45312</v>
      </c>
      <c r="G161" s="491">
        <f t="shared" ref="G161:G164" si="16">F161-E161</f>
        <v>84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'24'!F162</f>
        <v>133222</v>
      </c>
      <c r="F162" s="1101">
        <v>133655</v>
      </c>
      <c r="G162" s="491">
        <f t="shared" si="16"/>
        <v>433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'24'!F163</f>
        <v>62337</v>
      </c>
      <c r="F163" s="1101">
        <v>62542</v>
      </c>
      <c r="G163" s="491">
        <f t="shared" si="16"/>
        <v>205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'24'!F164</f>
        <v>7387</v>
      </c>
      <c r="F164" s="1101">
        <v>7398</v>
      </c>
      <c r="G164" s="491">
        <f t="shared" si="16"/>
        <v>11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490">
        <f>'24'!F165</f>
        <v>20419</v>
      </c>
      <c r="F165" s="1095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490">
        <f>'24'!F166</f>
        <v>0</v>
      </c>
      <c r="F166" s="1095">
        <f t="shared" ref="F166:F172" si="18">F63</f>
        <v>0</v>
      </c>
      <c r="G166" s="491">
        <f t="shared" si="17"/>
        <v>0</v>
      </c>
    </row>
    <row r="167" spans="1:7" ht="21.75" customHeight="1">
      <c r="A167" s="1312" t="s">
        <v>98</v>
      </c>
      <c r="B167" s="1312"/>
      <c r="C167" s="1312"/>
      <c r="D167" s="489" t="s">
        <v>186</v>
      </c>
      <c r="E167" s="490">
        <f>'24'!F167</f>
        <v>191275</v>
      </c>
      <c r="F167" s="1095">
        <f t="shared" si="18"/>
        <v>191729</v>
      </c>
      <c r="G167" s="491">
        <f t="shared" si="17"/>
        <v>454</v>
      </c>
    </row>
    <row r="168" spans="1:7" ht="21.75" customHeight="1">
      <c r="A168" s="1312" t="s">
        <v>99</v>
      </c>
      <c r="B168" s="1312"/>
      <c r="C168" s="1312"/>
      <c r="D168" s="489" t="s">
        <v>186</v>
      </c>
      <c r="E168" s="490">
        <f>'24'!F168</f>
        <v>191859</v>
      </c>
      <c r="F168" s="1095">
        <f t="shared" si="18"/>
        <v>192279</v>
      </c>
      <c r="G168" s="491">
        <f t="shared" si="17"/>
        <v>420</v>
      </c>
    </row>
    <row r="169" spans="1:7" ht="21.75" customHeight="1">
      <c r="A169" s="1312" t="s">
        <v>100</v>
      </c>
      <c r="B169" s="1312"/>
      <c r="C169" s="1312"/>
      <c r="D169" s="489" t="s">
        <v>186</v>
      </c>
      <c r="E169" s="490">
        <f>'24'!F169</f>
        <v>90434</v>
      </c>
      <c r="F169" s="1095">
        <f t="shared" si="18"/>
        <v>90845</v>
      </c>
      <c r="G169" s="491">
        <f t="shared" si="17"/>
        <v>411</v>
      </c>
    </row>
    <row r="170" spans="1:7">
      <c r="A170" s="1312" t="s">
        <v>101</v>
      </c>
      <c r="B170" s="1312"/>
      <c r="C170" s="1312"/>
      <c r="D170" s="489" t="s">
        <v>186</v>
      </c>
      <c r="E170" s="490">
        <f>'24'!F170</f>
        <v>291320</v>
      </c>
      <c r="F170" s="1095">
        <f t="shared" si="18"/>
        <v>291822</v>
      </c>
      <c r="G170" s="491">
        <f t="shared" si="17"/>
        <v>502</v>
      </c>
    </row>
    <row r="171" spans="1:7" ht="24" customHeight="1">
      <c r="A171" s="1312" t="s">
        <v>102</v>
      </c>
      <c r="B171" s="1312"/>
      <c r="C171" s="1312"/>
      <c r="D171" s="489" t="s">
        <v>186</v>
      </c>
      <c r="E171" s="490">
        <f>'24'!F171</f>
        <v>85321</v>
      </c>
      <c r="F171" s="1095">
        <f t="shared" si="18"/>
        <v>85321</v>
      </c>
      <c r="G171" s="491">
        <f t="shared" si="17"/>
        <v>0</v>
      </c>
    </row>
    <row r="172" spans="1:7">
      <c r="A172" s="1312" t="s">
        <v>103</v>
      </c>
      <c r="B172" s="1312"/>
      <c r="C172" s="1312"/>
      <c r="D172" s="489" t="s">
        <v>186</v>
      </c>
      <c r="E172" s="490">
        <f>'24'!F172</f>
        <v>104117</v>
      </c>
      <c r="F172" s="1095">
        <f t="shared" si="18"/>
        <v>104462</v>
      </c>
      <c r="G172" s="491">
        <f t="shared" si="17"/>
        <v>345</v>
      </c>
    </row>
    <row r="173" spans="1:7" ht="29.25">
      <c r="A173" s="1273"/>
      <c r="B173" s="1236"/>
      <c r="C173" s="436"/>
      <c r="D173" s="174"/>
      <c r="E173" s="490">
        <f>'24'!F173</f>
        <v>0</v>
      </c>
      <c r="G173" s="656">
        <f>SUM(G161:G172)</f>
        <v>2865</v>
      </c>
    </row>
    <row r="174" spans="1:7">
      <c r="A174" s="1312" t="s">
        <v>337</v>
      </c>
      <c r="B174" s="1312"/>
      <c r="C174" s="1312"/>
      <c r="D174" s="489" t="s">
        <v>186</v>
      </c>
      <c r="E174" s="490">
        <f>'24'!F174</f>
        <v>19199</v>
      </c>
      <c r="F174" s="619">
        <v>19202</v>
      </c>
      <c r="G174" s="491">
        <f t="shared" ref="G174:G176" si="19">F174-E174</f>
        <v>3</v>
      </c>
    </row>
    <row r="175" spans="1:7">
      <c r="A175" s="1313" t="s">
        <v>337</v>
      </c>
      <c r="B175" s="1314"/>
      <c r="C175" s="641"/>
      <c r="D175" s="489" t="s">
        <v>186</v>
      </c>
      <c r="E175" s="490">
        <f>'24'!F175</f>
        <v>70689</v>
      </c>
      <c r="F175" s="619">
        <v>70695</v>
      </c>
      <c r="G175" s="491">
        <f t="shared" si="19"/>
        <v>6</v>
      </c>
    </row>
    <row r="176" spans="1:7">
      <c r="A176" s="1313" t="s">
        <v>338</v>
      </c>
      <c r="B176" s="1314"/>
      <c r="D176" s="489" t="s">
        <v>186</v>
      </c>
      <c r="E176" s="490">
        <f>'24'!F176</f>
        <v>27924</v>
      </c>
      <c r="F176" s="619">
        <v>27930</v>
      </c>
      <c r="G176" s="491">
        <f t="shared" si="19"/>
        <v>6</v>
      </c>
    </row>
    <row r="177" spans="1:15" ht="18.75" customHeight="1">
      <c r="A177" s="1296" t="s">
        <v>382</v>
      </c>
      <c r="B177" s="1296"/>
      <c r="C177" s="1296"/>
      <c r="D177" s="1296"/>
      <c r="E177" s="1296"/>
      <c r="F177" s="1296"/>
      <c r="G177" s="1296"/>
      <c r="J177" s="657"/>
    </row>
    <row r="178" spans="1:15" s="67" customFormat="1" ht="29.25">
      <c r="A178" s="435"/>
      <c r="B178" s="436"/>
      <c r="C178" s="436"/>
      <c r="D178" s="174" t="s">
        <v>186</v>
      </c>
      <c r="E178" s="490">
        <f>'24'!F178</f>
        <v>0</v>
      </c>
      <c r="F178" s="193"/>
      <c r="G178" s="124">
        <f t="shared" ref="G178:G184" si="20">F178-E178</f>
        <v>0</v>
      </c>
      <c r="H178" s="189"/>
      <c r="I178" s="188"/>
      <c r="J178" s="190"/>
      <c r="N178" s="369"/>
      <c r="O178" s="374"/>
    </row>
    <row r="179" spans="1:15" s="67" customFormat="1" ht="29.25">
      <c r="A179" s="435" t="s">
        <v>383</v>
      </c>
      <c r="B179" s="436"/>
      <c r="C179" s="436"/>
      <c r="D179" s="174" t="s">
        <v>186</v>
      </c>
      <c r="E179" s="490">
        <f>'24'!F179</f>
        <v>0</v>
      </c>
      <c r="F179" s="193"/>
      <c r="G179" s="124">
        <f t="shared" si="20"/>
        <v>0</v>
      </c>
      <c r="H179" s="189"/>
      <c r="I179" s="188"/>
      <c r="J179" s="190"/>
      <c r="N179" s="369"/>
      <c r="O179" s="374"/>
    </row>
    <row r="180" spans="1:15" s="67" customFormat="1" ht="29.25">
      <c r="A180" s="435" t="s">
        <v>384</v>
      </c>
      <c r="B180" s="436"/>
      <c r="C180" s="436"/>
      <c r="D180" s="174" t="s">
        <v>186</v>
      </c>
      <c r="E180" s="490">
        <f>'24'!F180</f>
        <v>0</v>
      </c>
      <c r="F180" s="193"/>
      <c r="G180" s="124">
        <f t="shared" si="20"/>
        <v>0</v>
      </c>
      <c r="H180" s="189"/>
      <c r="I180" s="188"/>
      <c r="J180" s="190"/>
      <c r="N180" s="369"/>
      <c r="O180" s="374"/>
    </row>
    <row r="181" spans="1:15" ht="29.25">
      <c r="A181" s="435" t="s">
        <v>385</v>
      </c>
      <c r="B181" s="436"/>
      <c r="C181" s="436"/>
      <c r="D181" s="174" t="s">
        <v>186</v>
      </c>
      <c r="E181" s="490">
        <f>'24'!F181</f>
        <v>0</v>
      </c>
      <c r="F181" s="193"/>
      <c r="G181" s="124">
        <f t="shared" si="20"/>
        <v>0</v>
      </c>
    </row>
    <row r="182" spans="1:15" ht="29.25">
      <c r="A182" s="435" t="s">
        <v>386</v>
      </c>
      <c r="B182" s="436"/>
      <c r="C182" s="436"/>
      <c r="D182" s="174" t="s">
        <v>186</v>
      </c>
      <c r="E182" s="490">
        <f>'24'!F182</f>
        <v>0</v>
      </c>
      <c r="F182" s="193"/>
      <c r="G182" s="124">
        <f t="shared" si="20"/>
        <v>0</v>
      </c>
    </row>
    <row r="183" spans="1:15" ht="29.25">
      <c r="A183" s="435" t="s">
        <v>387</v>
      </c>
      <c r="B183" s="436"/>
      <c r="C183" s="436"/>
      <c r="D183" s="174" t="s">
        <v>186</v>
      </c>
      <c r="E183" s="490">
        <f>'24'!F183</f>
        <v>0</v>
      </c>
      <c r="F183" s="193"/>
      <c r="G183" s="124">
        <f t="shared" si="20"/>
        <v>0</v>
      </c>
    </row>
    <row r="184" spans="1:15" ht="29.25">
      <c r="A184" s="435" t="s">
        <v>388</v>
      </c>
      <c r="B184" s="436"/>
      <c r="C184" s="436"/>
      <c r="D184" s="174" t="s">
        <v>186</v>
      </c>
      <c r="E184" s="490">
        <f>'24'!F184</f>
        <v>0</v>
      </c>
      <c r="F184" s="193"/>
      <c r="G184" s="124">
        <f t="shared" si="20"/>
        <v>0</v>
      </c>
    </row>
  </sheetData>
  <mergeCells count="79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6:B176"/>
    <mergeCell ref="A173:B173"/>
    <mergeCell ref="A174:C174"/>
    <mergeCell ref="A175:B175"/>
    <mergeCell ref="A177:G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7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4"/>
  <sheetViews>
    <sheetView view="pageBreakPreview" topLeftCell="A151" zoomScale="70" zoomScaleSheetLayoutView="70" workbookViewId="0">
      <selection activeCell="F8" sqref="F8"/>
    </sheetView>
  </sheetViews>
  <sheetFormatPr defaultColWidth="22.33203125" defaultRowHeight="20.25"/>
  <cols>
    <col min="1" max="1" width="51.21875" style="654" customWidth="1"/>
    <col min="2" max="2" width="24.88671875" style="654" customWidth="1"/>
    <col min="3" max="3" width="12.44140625" style="654" customWidth="1"/>
    <col min="4" max="4" width="13.6640625" style="654" customWidth="1"/>
    <col min="5" max="5" width="28.109375" style="654" customWidth="1"/>
    <col min="6" max="6" width="23.77734375" style="654" customWidth="1"/>
    <col min="7" max="7" width="19.88671875" style="654" customWidth="1"/>
    <col min="8" max="8" width="39.21875" style="655" customWidth="1"/>
    <col min="9" max="9" width="12" style="654" bestFit="1" customWidth="1"/>
    <col min="10" max="10" width="24" style="656" customWidth="1"/>
    <col min="11" max="11" width="43.21875" style="456" hidden="1" customWidth="1"/>
    <col min="12" max="13" width="0" style="456" hidden="1" customWidth="1"/>
    <col min="14" max="14" width="25.109375" style="657" customWidth="1"/>
    <col min="15" max="15" width="6.77734375" style="456" bestFit="1" customWidth="1"/>
    <col min="16" max="16384" width="22.33203125" style="456"/>
  </cols>
  <sheetData>
    <row r="1" spans="1:15" ht="20.100000000000001" customHeight="1">
      <c r="A1" s="1355" t="s">
        <v>116</v>
      </c>
      <c r="B1" s="1356"/>
      <c r="C1" s="1356"/>
      <c r="D1" s="1356"/>
      <c r="E1" s="1356"/>
      <c r="F1" s="1356"/>
      <c r="G1" s="1356"/>
      <c r="H1" s="1356"/>
      <c r="I1" s="1356"/>
      <c r="J1" s="1357"/>
    </row>
    <row r="2" spans="1:15" ht="30.75" customHeight="1">
      <c r="A2" s="457" t="s">
        <v>349</v>
      </c>
      <c r="B2" s="723">
        <v>44069</v>
      </c>
      <c r="C2" s="458" t="s">
        <v>68</v>
      </c>
      <c r="D2" s="670">
        <v>0.75</v>
      </c>
      <c r="E2" s="460"/>
      <c r="F2" s="460"/>
      <c r="G2" s="460" t="s">
        <v>117</v>
      </c>
      <c r="H2" s="460" t="s">
        <v>6</v>
      </c>
      <c r="I2" s="460" t="s">
        <v>8</v>
      </c>
      <c r="J2" s="461" t="s">
        <v>118</v>
      </c>
    </row>
    <row r="3" spans="1:15" ht="20.100000000000001" customHeight="1">
      <c r="A3" s="462"/>
      <c r="B3" s="463"/>
      <c r="C3" s="458" t="s">
        <v>119</v>
      </c>
      <c r="D3" s="458">
        <v>29</v>
      </c>
      <c r="E3" s="1364" t="s">
        <v>120</v>
      </c>
      <c r="F3" s="1365"/>
      <c r="G3" s="465"/>
      <c r="H3" s="466"/>
      <c r="I3" s="466"/>
      <c r="J3" s="467"/>
      <c r="K3" s="468"/>
      <c r="L3" s="469"/>
    </row>
    <row r="4" spans="1:15" ht="20.100000000000001" customHeight="1">
      <c r="A4" s="470"/>
      <c r="B4" s="471"/>
      <c r="C4" s="458" t="s">
        <v>121</v>
      </c>
      <c r="D4" s="670">
        <v>0.79</v>
      </c>
      <c r="E4" s="472"/>
      <c r="F4" s="472"/>
      <c r="G4" s="472"/>
      <c r="H4" s="472"/>
      <c r="I4" s="473"/>
      <c r="J4" s="467"/>
      <c r="K4" s="474"/>
      <c r="L4" s="469"/>
    </row>
    <row r="5" spans="1:15" ht="22.5" customHeight="1">
      <c r="A5" s="475" t="s">
        <v>122</v>
      </c>
      <c r="B5" s="476"/>
      <c r="C5" s="476"/>
      <c r="D5" s="476" t="s">
        <v>123</v>
      </c>
      <c r="E5" s="477" t="s">
        <v>124</v>
      </c>
      <c r="F5" s="477" t="s">
        <v>111</v>
      </c>
      <c r="G5" s="478" t="s">
        <v>125</v>
      </c>
      <c r="H5" s="479" t="s">
        <v>126</v>
      </c>
      <c r="I5" s="480" t="s">
        <v>127</v>
      </c>
      <c r="J5" s="481" t="s">
        <v>128</v>
      </c>
      <c r="K5" s="482"/>
      <c r="L5" s="469"/>
    </row>
    <row r="6" spans="1:15" ht="20.100000000000001" customHeight="1">
      <c r="A6" s="1358" t="s">
        <v>129</v>
      </c>
      <c r="B6" s="1359"/>
      <c r="C6" s="1360"/>
      <c r="D6" s="483"/>
      <c r="E6" s="483"/>
      <c r="F6" s="483"/>
      <c r="G6" s="483"/>
      <c r="H6" s="484"/>
      <c r="I6" s="484"/>
      <c r="J6" s="485"/>
      <c r="K6" s="486"/>
      <c r="L6" s="469"/>
    </row>
    <row r="7" spans="1:15" ht="25.5" customHeight="1" thickBot="1">
      <c r="A7" s="487" t="s">
        <v>130</v>
      </c>
      <c r="B7" s="488"/>
      <c r="C7" s="488"/>
      <c r="D7" s="489" t="s">
        <v>131</v>
      </c>
      <c r="E7" s="490">
        <f>'25'!F7</f>
        <v>165054</v>
      </c>
      <c r="F7" s="138">
        <v>187852</v>
      </c>
      <c r="G7" s="491">
        <f>F7-E7</f>
        <v>22798</v>
      </c>
      <c r="H7" s="492">
        <f>G7+'25'!H7</f>
        <v>889160.3899999999</v>
      </c>
      <c r="I7" s="493">
        <f>'1'!I7</f>
        <v>12000</v>
      </c>
      <c r="J7" s="494">
        <f>H7/DAY(B2)</f>
        <v>34198.476538461531</v>
      </c>
      <c r="K7" s="495"/>
      <c r="L7" s="469"/>
      <c r="N7" s="668"/>
      <c r="O7" s="496"/>
    </row>
    <row r="8" spans="1:15" ht="20.100000000000001" customHeight="1" thickBot="1">
      <c r="A8" s="497" t="s">
        <v>132</v>
      </c>
      <c r="B8" s="498"/>
      <c r="C8" s="499"/>
      <c r="D8" s="500" t="s">
        <v>25</v>
      </c>
      <c r="E8" s="490">
        <f>'25'!F8</f>
        <v>172202.74</v>
      </c>
      <c r="F8" s="126">
        <f>E8+22500</f>
        <v>194702.74</v>
      </c>
      <c r="G8" s="501">
        <f>F8-E8</f>
        <v>22500</v>
      </c>
      <c r="H8" s="492">
        <f>G8+'25'!H8</f>
        <v>887649</v>
      </c>
      <c r="I8" s="502">
        <f>'1'!I8</f>
        <v>12000</v>
      </c>
      <c r="J8" s="494">
        <f>H8/DAY(B2)</f>
        <v>34140.346153846156</v>
      </c>
      <c r="K8" s="495"/>
      <c r="L8" s="503"/>
      <c r="M8" s="504"/>
      <c r="O8" s="496"/>
    </row>
    <row r="9" spans="1:15" ht="20.100000000000001" customHeight="1">
      <c r="A9" s="505" t="s">
        <v>133</v>
      </c>
      <c r="B9" s="506"/>
      <c r="C9" s="506"/>
      <c r="D9" s="489" t="s">
        <v>131</v>
      </c>
      <c r="E9" s="490">
        <f>'25'!F9</f>
        <v>3236330</v>
      </c>
      <c r="F9" s="507">
        <v>3258189</v>
      </c>
      <c r="G9" s="491">
        <f>F9-E9</f>
        <v>21859</v>
      </c>
      <c r="H9" s="492">
        <f>G9+'25'!H9</f>
        <v>3175659</v>
      </c>
      <c r="I9" s="508">
        <f>I8-J8</f>
        <v>-22140.346153846156</v>
      </c>
      <c r="J9" s="494">
        <f>H9/DAY(B2)</f>
        <v>122140.73076923077</v>
      </c>
      <c r="K9" s="509"/>
      <c r="L9" s="469"/>
      <c r="O9" s="496"/>
    </row>
    <row r="10" spans="1:15" ht="20.100000000000001" customHeight="1">
      <c r="A10" s="487" t="s">
        <v>134</v>
      </c>
      <c r="B10" s="488"/>
      <c r="C10" s="488"/>
      <c r="D10" s="489" t="s">
        <v>131</v>
      </c>
      <c r="E10" s="490">
        <f>'25'!F10</f>
        <v>2606.5500000000002</v>
      </c>
      <c r="F10" s="507">
        <v>2606.5500000000002</v>
      </c>
      <c r="G10" s="491">
        <f t="shared" ref="G10:G12" si="0">F10-E10</f>
        <v>0</v>
      </c>
      <c r="H10" s="492">
        <f>G10+'25'!H10</f>
        <v>-0.4499999999998181</v>
      </c>
      <c r="I10" s="510"/>
      <c r="J10" s="494">
        <f>H10/DAY(B2)</f>
        <v>-1.7307692307685311E-2</v>
      </c>
      <c r="K10" s="509"/>
      <c r="L10" s="469"/>
      <c r="O10" s="496"/>
    </row>
    <row r="11" spans="1:15" ht="20.100000000000001" customHeight="1">
      <c r="A11" s="487" t="s">
        <v>135</v>
      </c>
      <c r="B11" s="488"/>
      <c r="C11" s="488"/>
      <c r="D11" s="489" t="s">
        <v>131</v>
      </c>
      <c r="E11" s="490">
        <f>'5'!E11</f>
        <v>37000</v>
      </c>
      <c r="F11" s="490">
        <v>37000</v>
      </c>
      <c r="G11" s="491">
        <f t="shared" si="0"/>
        <v>0</v>
      </c>
      <c r="H11" s="492">
        <f>G11+'25'!H11</f>
        <v>0</v>
      </c>
      <c r="I11" s="510"/>
      <c r="J11" s="494">
        <f>H11/DAY(B2)</f>
        <v>0</v>
      </c>
      <c r="K11" s="509"/>
      <c r="L11" s="469">
        <v>1375467</v>
      </c>
      <c r="N11" s="669"/>
      <c r="O11" s="496"/>
    </row>
    <row r="12" spans="1:15" ht="20.100000000000001" customHeight="1">
      <c r="A12" s="487" t="s">
        <v>136</v>
      </c>
      <c r="B12" s="488"/>
      <c r="C12" s="488"/>
      <c r="D12" s="489" t="s">
        <v>131</v>
      </c>
      <c r="E12" s="490">
        <f>'5'!E12</f>
        <v>40010</v>
      </c>
      <c r="F12" s="507">
        <v>40010</v>
      </c>
      <c r="G12" s="491">
        <f t="shared" si="0"/>
        <v>0</v>
      </c>
      <c r="H12" s="492">
        <f>G12+'25'!H12</f>
        <v>0</v>
      </c>
      <c r="I12" s="510"/>
      <c r="J12" s="494">
        <f>H12/DAY(B2)</f>
        <v>0</v>
      </c>
      <c r="K12" s="509"/>
      <c r="L12" s="469"/>
      <c r="O12" s="496"/>
    </row>
    <row r="13" spans="1:15" ht="20.100000000000001" customHeight="1">
      <c r="A13" s="511" t="s">
        <v>137</v>
      </c>
      <c r="B13" s="512"/>
      <c r="C13" s="512"/>
      <c r="D13" s="489"/>
      <c r="E13" s="490"/>
      <c r="F13" s="490"/>
      <c r="G13" s="513">
        <f>G9+G10+G11+G12</f>
        <v>21859</v>
      </c>
      <c r="H13" s="492">
        <f>G13+'25'!H13</f>
        <v>3131643.06</v>
      </c>
      <c r="I13" s="514">
        <f>G7-G13</f>
        <v>939</v>
      </c>
      <c r="J13" s="494">
        <f>H13/DAY(B2)</f>
        <v>120447.81</v>
      </c>
      <c r="K13" s="509"/>
      <c r="L13" s="469"/>
      <c r="O13" s="496"/>
    </row>
    <row r="14" spans="1:15" ht="28.5" customHeight="1">
      <c r="A14" s="1361" t="s">
        <v>138</v>
      </c>
      <c r="B14" s="1362"/>
      <c r="C14" s="1363"/>
      <c r="D14" s="484"/>
      <c r="E14" s="484"/>
      <c r="F14" s="484"/>
      <c r="G14" s="515"/>
      <c r="H14" s="484"/>
      <c r="I14" s="484"/>
      <c r="J14" s="485"/>
      <c r="K14" s="516"/>
      <c r="L14" s="469">
        <v>1679344</v>
      </c>
      <c r="O14" s="496"/>
    </row>
    <row r="15" spans="1:15" ht="22.5">
      <c r="A15" s="517" t="s">
        <v>139</v>
      </c>
      <c r="B15" s="518"/>
      <c r="C15" s="518"/>
      <c r="D15" s="489" t="s">
        <v>140</v>
      </c>
      <c r="E15" s="490">
        <f>'25'!F15</f>
        <v>1751398</v>
      </c>
      <c r="F15" s="351">
        <v>1752261</v>
      </c>
      <c r="G15" s="666">
        <f>(F15-E15)</f>
        <v>863</v>
      </c>
      <c r="H15" s="492">
        <f>G15+'25'!H15</f>
        <v>-4269</v>
      </c>
      <c r="I15" s="493">
        <f>'1'!I15</f>
        <v>800</v>
      </c>
      <c r="J15" s="494">
        <f>H15/DAY(B2)</f>
        <v>-164.19230769230768</v>
      </c>
      <c r="K15" s="509"/>
      <c r="L15" s="469"/>
      <c r="O15" s="496"/>
    </row>
    <row r="16" spans="1:15" ht="20.100000000000001" customHeight="1">
      <c r="A16" s="520"/>
      <c r="B16" s="521"/>
      <c r="C16" s="521"/>
      <c r="D16" s="522"/>
      <c r="E16" s="523"/>
      <c r="F16" s="523"/>
      <c r="G16" s="491"/>
      <c r="H16" s="524"/>
      <c r="I16" s="525">
        <f>I15-J15</f>
        <v>964.19230769230762</v>
      </c>
      <c r="J16" s="526"/>
      <c r="K16" s="509"/>
      <c r="L16" s="469">
        <f>L14-L11</f>
        <v>303877</v>
      </c>
      <c r="O16" s="496"/>
    </row>
    <row r="17" spans="1:15" ht="20.100000000000001" customHeight="1">
      <c r="A17" s="1361" t="s">
        <v>141</v>
      </c>
      <c r="B17" s="1362"/>
      <c r="C17" s="1363"/>
      <c r="D17" s="484"/>
      <c r="E17" s="484"/>
      <c r="F17" s="484"/>
      <c r="G17" s="527"/>
      <c r="H17" s="484"/>
      <c r="I17" s="484"/>
      <c r="J17" s="485"/>
      <c r="K17" s="509"/>
      <c r="L17" s="469"/>
      <c r="O17" s="496"/>
    </row>
    <row r="18" spans="1:15" ht="20.100000000000001" customHeight="1">
      <c r="A18" s="1337" t="s">
        <v>142</v>
      </c>
      <c r="B18" s="1338"/>
      <c r="C18" s="1339"/>
      <c r="D18" s="489" t="s">
        <v>143</v>
      </c>
      <c r="E18" s="490">
        <f>'25'!F18</f>
        <v>16</v>
      </c>
      <c r="F18" s="519">
        <v>17</v>
      </c>
      <c r="G18" s="513">
        <f>F18*10</f>
        <v>170</v>
      </c>
      <c r="H18" s="492">
        <f>G18+'25'!H18</f>
        <v>4130</v>
      </c>
      <c r="I18" s="493">
        <f>'1'!I18</f>
        <v>65</v>
      </c>
      <c r="J18" s="494">
        <f>H18/DAY(B2)</f>
        <v>158.84615384615384</v>
      </c>
      <c r="K18" s="509"/>
      <c r="L18" s="469"/>
      <c r="O18" s="496"/>
    </row>
    <row r="19" spans="1:15" ht="20.100000000000001" customHeight="1">
      <c r="A19" s="1337" t="s">
        <v>70</v>
      </c>
      <c r="B19" s="1338"/>
      <c r="C19" s="1339"/>
      <c r="D19" s="489" t="s">
        <v>143</v>
      </c>
      <c r="E19" s="490">
        <f>'25'!F19</f>
        <v>144979</v>
      </c>
      <c r="F19" s="519">
        <v>145035</v>
      </c>
      <c r="G19" s="491">
        <f t="shared" ref="G19" si="1">F19-E19</f>
        <v>56</v>
      </c>
      <c r="H19" s="492">
        <f>G19+'25'!H19</f>
        <v>-303</v>
      </c>
      <c r="I19" s="528"/>
      <c r="J19" s="494">
        <f>H19/DAY(B2)</f>
        <v>-11.653846153846153</v>
      </c>
      <c r="K19" s="509"/>
      <c r="L19" s="469">
        <f>L16/26</f>
        <v>11687.576923076924</v>
      </c>
      <c r="O19" s="496"/>
    </row>
    <row r="20" spans="1:15" ht="20.100000000000001" customHeight="1">
      <c r="A20" s="511" t="s">
        <v>144</v>
      </c>
      <c r="B20" s="512"/>
      <c r="C20" s="512"/>
      <c r="D20" s="529"/>
      <c r="E20" s="529"/>
      <c r="F20" s="529"/>
      <c r="G20" s="530">
        <f>G18+G19</f>
        <v>226</v>
      </c>
      <c r="H20" s="492">
        <f>G20+'25'!H20</f>
        <v>3827</v>
      </c>
      <c r="I20" s="531">
        <f>I18-J20</f>
        <v>-82.192307692307679</v>
      </c>
      <c r="J20" s="494">
        <f>H20/DAY(B2)</f>
        <v>147.19230769230768</v>
      </c>
      <c r="K20" s="509"/>
      <c r="L20" s="469"/>
      <c r="O20" s="496"/>
    </row>
    <row r="21" spans="1:15" ht="20.100000000000001" customHeight="1">
      <c r="A21" s="1361" t="s">
        <v>145</v>
      </c>
      <c r="B21" s="1362"/>
      <c r="C21" s="1363"/>
      <c r="D21" s="484"/>
      <c r="E21" s="484"/>
      <c r="F21" s="484"/>
      <c r="G21" s="515"/>
      <c r="H21" s="484"/>
      <c r="I21" s="484"/>
      <c r="J21" s="485"/>
      <c r="K21" s="509"/>
      <c r="L21" s="469" t="e">
        <f>#REF!/G11</f>
        <v>#REF!</v>
      </c>
      <c r="O21" s="496"/>
    </row>
    <row r="22" spans="1:15" ht="20.100000000000001" customHeight="1">
      <c r="A22" s="517" t="s">
        <v>146</v>
      </c>
      <c r="B22" s="518"/>
      <c r="C22" s="518"/>
      <c r="D22" s="489" t="s">
        <v>147</v>
      </c>
      <c r="E22" s="519">
        <f>'25'!F22</f>
        <v>2970</v>
      </c>
      <c r="F22" s="519">
        <v>2970</v>
      </c>
      <c r="G22" s="513">
        <f t="shared" ref="G22:G23" si="2">E22-F22</f>
        <v>0</v>
      </c>
      <c r="H22" s="492">
        <f>G22+'25'!H22</f>
        <v>0</v>
      </c>
      <c r="I22" s="510"/>
      <c r="J22" s="494">
        <f>H22/DAY(B2)</f>
        <v>0</v>
      </c>
      <c r="K22" s="509"/>
      <c r="L22" s="469"/>
      <c r="O22" s="496"/>
    </row>
    <row r="23" spans="1:15" ht="20.100000000000001" customHeight="1">
      <c r="A23" s="517" t="s">
        <v>148</v>
      </c>
      <c r="B23" s="518"/>
      <c r="C23" s="518"/>
      <c r="D23" s="489" t="s">
        <v>147</v>
      </c>
      <c r="E23" s="519">
        <f>'25'!F23</f>
        <v>2000</v>
      </c>
      <c r="F23" s="519">
        <v>2000</v>
      </c>
      <c r="G23" s="513">
        <f t="shared" si="2"/>
        <v>0</v>
      </c>
      <c r="H23" s="492">
        <f>G23+'25'!H23</f>
        <v>0</v>
      </c>
      <c r="I23" s="510"/>
      <c r="J23" s="494">
        <f>H23/DAY(B2)</f>
        <v>0</v>
      </c>
      <c r="K23" s="509"/>
      <c r="L23" s="469"/>
      <c r="O23" s="496"/>
    </row>
    <row r="24" spans="1:15" ht="20.100000000000001" customHeight="1">
      <c r="A24" s="532" t="s">
        <v>149</v>
      </c>
      <c r="B24" s="533"/>
      <c r="C24" s="533"/>
      <c r="D24" s="476" t="s">
        <v>147</v>
      </c>
      <c r="E24" s="519">
        <f>'25'!F24</f>
        <v>4970</v>
      </c>
      <c r="F24" s="534">
        <v>4970</v>
      </c>
      <c r="G24" s="513">
        <f>E24-F24</f>
        <v>0</v>
      </c>
      <c r="H24" s="492">
        <f>G24+'25'!H24</f>
        <v>0</v>
      </c>
      <c r="I24" s="510"/>
      <c r="J24" s="494">
        <f>H24/DAY(B2)</f>
        <v>0</v>
      </c>
      <c r="K24" s="509"/>
      <c r="L24" s="469"/>
      <c r="O24" s="496"/>
    </row>
    <row r="25" spans="1:15" s="540" customFormat="1" ht="18.75" customHeight="1">
      <c r="A25" s="1358" t="s">
        <v>150</v>
      </c>
      <c r="B25" s="1359"/>
      <c r="C25" s="1360"/>
      <c r="D25" s="483"/>
      <c r="E25" s="483"/>
      <c r="F25" s="483"/>
      <c r="G25" s="535"/>
      <c r="H25" s="536"/>
      <c r="I25" s="537"/>
      <c r="J25" s="538"/>
      <c r="K25" s="509"/>
      <c r="L25" s="539"/>
      <c r="N25" s="658"/>
      <c r="O25" s="496"/>
    </row>
    <row r="26" spans="1:15" s="540" customFormat="1" ht="18.75" customHeight="1">
      <c r="A26" s="541" t="s">
        <v>151</v>
      </c>
      <c r="B26" s="542"/>
      <c r="C26" s="543"/>
      <c r="D26" s="544" t="s">
        <v>152</v>
      </c>
      <c r="E26" s="545"/>
      <c r="F26" s="545"/>
      <c r="G26" s="546"/>
      <c r="H26" s="492"/>
      <c r="I26" s="547"/>
      <c r="J26" s="494"/>
      <c r="K26" s="516"/>
      <c r="L26" s="539"/>
      <c r="N26" s="658"/>
      <c r="O26" s="496"/>
    </row>
    <row r="27" spans="1:15" s="540" customFormat="1" ht="18.75" customHeight="1">
      <c r="A27" s="541" t="s">
        <v>6</v>
      </c>
      <c r="B27" s="542"/>
      <c r="C27" s="543"/>
      <c r="D27" s="548" t="s">
        <v>25</v>
      </c>
      <c r="E27" s="549">
        <f>G8</f>
        <v>22500</v>
      </c>
      <c r="F27" s="152">
        <v>9</v>
      </c>
      <c r="G27" s="551">
        <f>E27*F27</f>
        <v>202500</v>
      </c>
      <c r="H27" s="492">
        <f>G27+'25'!H27</f>
        <v>7981803</v>
      </c>
      <c r="I27" s="552"/>
      <c r="J27" s="494">
        <f>H27/DAY(B2)</f>
        <v>306992.42307692306</v>
      </c>
      <c r="K27" s="509"/>
      <c r="L27" s="539"/>
      <c r="N27" s="658"/>
      <c r="O27" s="496"/>
    </row>
    <row r="28" spans="1:15" s="540" customFormat="1" ht="18.75" customHeight="1">
      <c r="A28" s="541" t="s">
        <v>153</v>
      </c>
      <c r="B28" s="542"/>
      <c r="C28" s="543"/>
      <c r="D28" s="548" t="s">
        <v>154</v>
      </c>
      <c r="E28" s="549">
        <f>G15</f>
        <v>863</v>
      </c>
      <c r="F28" s="152">
        <v>56.2</v>
      </c>
      <c r="G28" s="551">
        <f>E28*F28</f>
        <v>48500.600000000006</v>
      </c>
      <c r="H28" s="492">
        <f>G28+'25'!H28</f>
        <v>-244485.77139999982</v>
      </c>
      <c r="I28" s="553"/>
      <c r="J28" s="494">
        <f>H28/DAY(B2)</f>
        <v>-9403.2988999999925</v>
      </c>
      <c r="K28" s="509"/>
      <c r="L28" s="539"/>
      <c r="N28" s="658"/>
      <c r="O28" s="496"/>
    </row>
    <row r="29" spans="1:15" s="540" customFormat="1" ht="18.75" customHeight="1">
      <c r="A29" s="541" t="s">
        <v>155</v>
      </c>
      <c r="B29" s="542"/>
      <c r="C29" s="543"/>
      <c r="D29" s="548" t="s">
        <v>156</v>
      </c>
      <c r="E29" s="549">
        <f>G16</f>
        <v>0</v>
      </c>
      <c r="F29" s="550">
        <v>69</v>
      </c>
      <c r="G29" s="551">
        <f>E29*F29</f>
        <v>0</v>
      </c>
      <c r="H29" s="492">
        <f>G29+'25'!H29</f>
        <v>0</v>
      </c>
      <c r="I29" s="553"/>
      <c r="J29" s="494">
        <f>H29/DAY(B2)</f>
        <v>0</v>
      </c>
      <c r="K29" s="509"/>
      <c r="L29" s="539"/>
      <c r="N29" s="658"/>
      <c r="O29" s="496"/>
    </row>
    <row r="30" spans="1:15" s="540" customFormat="1" ht="18.75" customHeight="1">
      <c r="A30" s="541" t="s">
        <v>157</v>
      </c>
      <c r="B30" s="542"/>
      <c r="C30" s="543"/>
      <c r="D30" s="548" t="s">
        <v>158</v>
      </c>
      <c r="E30" s="549">
        <f>G19</f>
        <v>56</v>
      </c>
      <c r="F30" s="550">
        <v>146</v>
      </c>
      <c r="G30" s="551">
        <f>E30*F30</f>
        <v>8176</v>
      </c>
      <c r="H30" s="492">
        <f>G30+'25'!H30</f>
        <v>-44238</v>
      </c>
      <c r="I30" s="553"/>
      <c r="J30" s="494">
        <f>H30/DAY(B2)</f>
        <v>-1701.4615384615386</v>
      </c>
      <c r="K30" s="509"/>
      <c r="L30" s="539"/>
      <c r="N30" s="658"/>
      <c r="O30" s="496"/>
    </row>
    <row r="31" spans="1:15" s="540" customFormat="1" ht="18.75" customHeight="1">
      <c r="A31" s="541" t="s">
        <v>159</v>
      </c>
      <c r="B31" s="542"/>
      <c r="C31" s="543"/>
      <c r="D31" s="548" t="s">
        <v>143</v>
      </c>
      <c r="E31" s="549">
        <f>G18</f>
        <v>170</v>
      </c>
      <c r="F31" s="550">
        <v>80</v>
      </c>
      <c r="G31" s="551">
        <f>E31*F31</f>
        <v>13600</v>
      </c>
      <c r="H31" s="492">
        <f>G31+'25'!H31</f>
        <v>325164</v>
      </c>
      <c r="I31" s="553"/>
      <c r="J31" s="494"/>
      <c r="K31" s="509"/>
      <c r="L31" s="539"/>
      <c r="N31" s="658"/>
      <c r="O31" s="496"/>
    </row>
    <row r="32" spans="1:15" s="540" customFormat="1" ht="18.75" customHeight="1">
      <c r="A32" s="554" t="s">
        <v>160</v>
      </c>
      <c r="B32" s="555"/>
      <c r="C32" s="556"/>
      <c r="D32" s="557"/>
      <c r="E32" s="557"/>
      <c r="F32" s="557"/>
      <c r="G32" s="558">
        <f>G27+G28+G29+G30+G31</f>
        <v>272776.59999999998</v>
      </c>
      <c r="H32" s="492">
        <f>G32+'25'!H32</f>
        <v>8018243.2286</v>
      </c>
      <c r="I32" s="559"/>
      <c r="J32" s="494">
        <f>H32/DAY(B2)</f>
        <v>308393.97033076925</v>
      </c>
      <c r="K32" s="509"/>
      <c r="L32" s="539"/>
      <c r="N32" s="658"/>
      <c r="O32" s="496"/>
    </row>
    <row r="33" spans="1:15" ht="20.100000000000001" customHeight="1">
      <c r="A33" s="1366" t="s">
        <v>161</v>
      </c>
      <c r="B33" s="1367"/>
      <c r="C33" s="1367"/>
      <c r="D33" s="1367"/>
      <c r="E33" s="1367"/>
      <c r="F33" s="1367"/>
      <c r="G33" s="1367"/>
      <c r="H33" s="1367"/>
      <c r="I33" s="1367"/>
      <c r="J33" s="1368"/>
      <c r="K33" s="509"/>
      <c r="L33" s="469"/>
      <c r="O33" s="496"/>
    </row>
    <row r="34" spans="1:15" ht="20.100000000000001" customHeight="1">
      <c r="A34" s="560" t="s">
        <v>162</v>
      </c>
      <c r="B34" s="561"/>
      <c r="C34" s="561"/>
      <c r="D34" s="484"/>
      <c r="E34" s="483"/>
      <c r="F34" s="483"/>
      <c r="G34" s="484"/>
      <c r="H34" s="484"/>
      <c r="I34" s="484"/>
      <c r="J34" s="485"/>
      <c r="K34" s="509"/>
      <c r="L34" s="469"/>
      <c r="O34" s="496"/>
    </row>
    <row r="35" spans="1:15" ht="20.100000000000001" customHeight="1">
      <c r="A35" s="487" t="s">
        <v>163</v>
      </c>
      <c r="B35" s="488"/>
      <c r="C35" s="488"/>
      <c r="D35" s="489" t="s">
        <v>131</v>
      </c>
      <c r="E35" s="490">
        <f>'25'!F35</f>
        <v>1058597</v>
      </c>
      <c r="F35" s="562">
        <v>1058597</v>
      </c>
      <c r="G35" s="491">
        <f t="shared" ref="G35:G46" si="3">F35-E35</f>
        <v>0</v>
      </c>
      <c r="H35" s="492">
        <f>G35+'25'!H35</f>
        <v>0</v>
      </c>
      <c r="I35" s="490"/>
      <c r="J35" s="494">
        <f>H35/DAY(B2)</f>
        <v>0</v>
      </c>
      <c r="K35" s="509"/>
      <c r="L35" s="469"/>
      <c r="O35" s="496"/>
    </row>
    <row r="36" spans="1:15" ht="20.100000000000001" customHeight="1">
      <c r="A36" s="487" t="s">
        <v>164</v>
      </c>
      <c r="B36" s="488"/>
      <c r="C36" s="488"/>
      <c r="D36" s="489" t="s">
        <v>131</v>
      </c>
      <c r="E36" s="490">
        <f>'25'!F36</f>
        <v>65182</v>
      </c>
      <c r="F36" s="562">
        <v>66004</v>
      </c>
      <c r="G36" s="491">
        <f t="shared" si="3"/>
        <v>822</v>
      </c>
      <c r="H36" s="492">
        <f>G36+'25'!H36</f>
        <v>64171</v>
      </c>
      <c r="I36" s="490"/>
      <c r="J36" s="494">
        <f>H36/DAY(B2)</f>
        <v>2468.1153846153848</v>
      </c>
      <c r="K36" s="509"/>
      <c r="L36" s="469"/>
      <c r="O36" s="496"/>
    </row>
    <row r="37" spans="1:15" ht="20.100000000000001" customHeight="1">
      <c r="A37" s="487" t="s">
        <v>165</v>
      </c>
      <c r="B37" s="488"/>
      <c r="C37" s="488"/>
      <c r="D37" s="489" t="s">
        <v>131</v>
      </c>
      <c r="E37" s="490">
        <f>'25'!F37</f>
        <v>265691</v>
      </c>
      <c r="F37" s="562">
        <v>267210</v>
      </c>
      <c r="G37" s="491">
        <f t="shared" si="3"/>
        <v>1519</v>
      </c>
      <c r="H37" s="492">
        <f>G37+'25'!H37</f>
        <v>263435</v>
      </c>
      <c r="I37" s="490"/>
      <c r="J37" s="494">
        <f>H37/DAY(B2)</f>
        <v>10132.115384615385</v>
      </c>
      <c r="K37" s="509"/>
      <c r="L37" s="469"/>
      <c r="O37" s="496"/>
    </row>
    <row r="38" spans="1:15" ht="20.100000000000001" customHeight="1">
      <c r="A38" s="487" t="s">
        <v>166</v>
      </c>
      <c r="B38" s="488"/>
      <c r="C38" s="488"/>
      <c r="D38" s="489" t="s">
        <v>131</v>
      </c>
      <c r="E38" s="490">
        <f>'25'!F38</f>
        <v>291445</v>
      </c>
      <c r="F38" s="479">
        <v>293174</v>
      </c>
      <c r="G38" s="491">
        <f t="shared" si="3"/>
        <v>1729</v>
      </c>
      <c r="H38" s="492">
        <f>G38+'25'!H38</f>
        <v>288351</v>
      </c>
      <c r="I38" s="490"/>
      <c r="J38" s="494">
        <f>H38/DAY(B2)</f>
        <v>11090.423076923076</v>
      </c>
      <c r="K38" s="509"/>
      <c r="L38" s="469"/>
      <c r="O38" s="496"/>
    </row>
    <row r="39" spans="1:15" ht="20.100000000000001" customHeight="1">
      <c r="A39" s="487" t="s">
        <v>167</v>
      </c>
      <c r="B39" s="488"/>
      <c r="C39" s="488"/>
      <c r="D39" s="489" t="s">
        <v>131</v>
      </c>
      <c r="E39" s="490">
        <f>'25'!F39</f>
        <v>614873</v>
      </c>
      <c r="F39" s="562">
        <v>618776</v>
      </c>
      <c r="G39" s="491">
        <f t="shared" si="3"/>
        <v>3903</v>
      </c>
      <c r="H39" s="492">
        <f>G39+'25'!H39</f>
        <v>614934</v>
      </c>
      <c r="I39" s="490"/>
      <c r="J39" s="494">
        <f>H39/DAY(B2)</f>
        <v>23651.307692307691</v>
      </c>
      <c r="K39" s="509"/>
      <c r="L39" s="469"/>
      <c r="O39" s="496"/>
    </row>
    <row r="40" spans="1:15" ht="20.100000000000001" customHeight="1">
      <c r="A40" s="563" t="s">
        <v>168</v>
      </c>
      <c r="B40" s="564"/>
      <c r="C40" s="564"/>
      <c r="D40" s="489" t="s">
        <v>131</v>
      </c>
      <c r="E40" s="490">
        <f>'25'!F40</f>
        <v>32061</v>
      </c>
      <c r="F40" s="562">
        <v>32625</v>
      </c>
      <c r="G40" s="491">
        <f t="shared" si="3"/>
        <v>564</v>
      </c>
      <c r="H40" s="492">
        <f>G40+'25'!H40</f>
        <v>32782.400000000001</v>
      </c>
      <c r="I40" s="490"/>
      <c r="J40" s="494">
        <f>H40/DAY(B2)</f>
        <v>1260.8615384615384</v>
      </c>
      <c r="K40" s="516"/>
      <c r="L40" s="469"/>
      <c r="O40" s="496"/>
    </row>
    <row r="41" spans="1:15" ht="20.100000000000001" customHeight="1">
      <c r="A41" s="487" t="s">
        <v>169</v>
      </c>
      <c r="B41" s="488"/>
      <c r="C41" s="488"/>
      <c r="D41" s="489" t="s">
        <v>131</v>
      </c>
      <c r="E41" s="490">
        <f>'25'!F41</f>
        <v>433282</v>
      </c>
      <c r="F41" s="562">
        <v>433282</v>
      </c>
      <c r="G41" s="491">
        <f t="shared" si="3"/>
        <v>0</v>
      </c>
      <c r="H41" s="492">
        <f>G41+'25'!H41</f>
        <v>0.21000000002095476</v>
      </c>
      <c r="I41" s="490"/>
      <c r="J41" s="494">
        <f>H41/DAY(B2)</f>
        <v>8.0769230777290296E-3</v>
      </c>
      <c r="K41" s="509"/>
      <c r="L41" s="469"/>
      <c r="O41" s="496"/>
    </row>
    <row r="42" spans="1:15" ht="20.100000000000001" customHeight="1">
      <c r="A42" s="487" t="s">
        <v>170</v>
      </c>
      <c r="B42" s="488"/>
      <c r="C42" s="488"/>
      <c r="D42" s="489" t="s">
        <v>131</v>
      </c>
      <c r="E42" s="490">
        <f>'25'!F42</f>
        <v>155238</v>
      </c>
      <c r="F42" s="562">
        <v>158144</v>
      </c>
      <c r="G42" s="491">
        <f t="shared" si="3"/>
        <v>2906</v>
      </c>
      <c r="H42" s="492">
        <f>G42+'25'!H42</f>
        <v>-16968</v>
      </c>
      <c r="I42" s="490"/>
      <c r="J42" s="494">
        <f>H42/DAY(B2)</f>
        <v>-652.61538461538464</v>
      </c>
      <c r="K42" s="509"/>
      <c r="L42" s="469"/>
      <c r="N42" s="659">
        <f>3450-G42</f>
        <v>544</v>
      </c>
      <c r="O42" s="496"/>
    </row>
    <row r="43" spans="1:15" ht="20.100000000000001" customHeight="1">
      <c r="A43" s="487" t="s">
        <v>171</v>
      </c>
      <c r="B43" s="488"/>
      <c r="C43" s="488"/>
      <c r="D43" s="489" t="s">
        <v>131</v>
      </c>
      <c r="E43" s="490">
        <f>'25'!F43</f>
        <v>1273430</v>
      </c>
      <c r="F43" s="562">
        <v>1276300</v>
      </c>
      <c r="G43" s="491">
        <f t="shared" si="3"/>
        <v>2870</v>
      </c>
      <c r="H43" s="492">
        <f>G43+'25'!H43</f>
        <v>-13445</v>
      </c>
      <c r="I43" s="490"/>
      <c r="J43" s="494">
        <f>H43/DAY(B2)</f>
        <v>-517.11538461538464</v>
      </c>
      <c r="K43" s="509"/>
      <c r="L43" s="469"/>
      <c r="O43" s="496"/>
    </row>
    <row r="44" spans="1:15" ht="20.100000000000001" customHeight="1">
      <c r="A44" s="487" t="s">
        <v>172</v>
      </c>
      <c r="B44" s="488"/>
      <c r="C44" s="488"/>
      <c r="D44" s="489" t="s">
        <v>131</v>
      </c>
      <c r="E44" s="490">
        <f>'25'!F44</f>
        <v>0</v>
      </c>
      <c r="F44" s="562">
        <v>0</v>
      </c>
      <c r="G44" s="491">
        <f t="shared" si="3"/>
        <v>0</v>
      </c>
      <c r="H44" s="492">
        <f>G44+'25'!H44</f>
        <v>0</v>
      </c>
      <c r="I44" s="490"/>
      <c r="J44" s="494">
        <f>H44/DAY(B2)</f>
        <v>0</v>
      </c>
      <c r="K44" s="509"/>
      <c r="L44" s="469"/>
      <c r="O44" s="496"/>
    </row>
    <row r="45" spans="1:15" ht="20.100000000000001" customHeight="1">
      <c r="A45" s="487" t="s">
        <v>173</v>
      </c>
      <c r="B45" s="488"/>
      <c r="C45" s="488"/>
      <c r="D45" s="489" t="s">
        <v>131</v>
      </c>
      <c r="E45" s="490">
        <f>'25'!F45</f>
        <v>614</v>
      </c>
      <c r="F45" s="562">
        <v>614</v>
      </c>
      <c r="G45" s="491">
        <f t="shared" si="3"/>
        <v>0</v>
      </c>
      <c r="H45" s="492">
        <f>G45+'25'!H45</f>
        <v>0</v>
      </c>
      <c r="I45" s="490"/>
      <c r="J45" s="494">
        <f>H45/DAY(B2)</f>
        <v>0</v>
      </c>
      <c r="K45" s="509"/>
      <c r="L45" s="469"/>
      <c r="O45" s="496"/>
    </row>
    <row r="46" spans="1:15" ht="20.100000000000001" customHeight="1">
      <c r="A46" s="487" t="s">
        <v>174</v>
      </c>
      <c r="B46" s="488"/>
      <c r="C46" s="488"/>
      <c r="D46" s="489" t="s">
        <v>131</v>
      </c>
      <c r="E46" s="490">
        <f>'25'!F46</f>
        <v>187</v>
      </c>
      <c r="F46" s="562">
        <v>187</v>
      </c>
      <c r="G46" s="491">
        <f t="shared" si="3"/>
        <v>0</v>
      </c>
      <c r="H46" s="492">
        <f>G46+'25'!H46</f>
        <v>-0.49000000000000909</v>
      </c>
      <c r="I46" s="490"/>
      <c r="J46" s="494">
        <f>H46/DAY(B2)</f>
        <v>-1.8846153846154196E-2</v>
      </c>
      <c r="K46" s="509"/>
      <c r="L46" s="469"/>
      <c r="O46" s="496"/>
    </row>
    <row r="47" spans="1:15" ht="20.100000000000001" customHeight="1">
      <c r="A47" s="511" t="s">
        <v>175</v>
      </c>
      <c r="B47" s="512"/>
      <c r="C47" s="512"/>
      <c r="D47" s="480"/>
      <c r="E47" s="476"/>
      <c r="F47" s="476"/>
      <c r="G47" s="513">
        <f>G35+G36+G37+G38+G39+G40+G41+G42+G43+G44+G45+G46</f>
        <v>14313</v>
      </c>
      <c r="H47" s="492">
        <f>G47+'25'!H47</f>
        <v>1234061.6100000003</v>
      </c>
      <c r="I47" s="490"/>
      <c r="J47" s="494">
        <f>H47/DAY(B2)</f>
        <v>47463.908076923093</v>
      </c>
      <c r="K47" s="509"/>
      <c r="L47" s="469"/>
      <c r="N47" s="659"/>
      <c r="O47" s="496"/>
    </row>
    <row r="48" spans="1:15" ht="20.100000000000001" customHeight="1">
      <c r="A48" s="560" t="s">
        <v>176</v>
      </c>
      <c r="B48" s="561"/>
      <c r="C48" s="561"/>
      <c r="D48" s="484"/>
      <c r="E48" s="483"/>
      <c r="F48" s="483"/>
      <c r="G48" s="484"/>
      <c r="H48" s="484"/>
      <c r="I48" s="484"/>
      <c r="J48" s="485"/>
      <c r="K48" s="509"/>
      <c r="L48" s="469"/>
      <c r="O48" s="496"/>
    </row>
    <row r="49" spans="1:15" ht="20.100000000000001" customHeight="1">
      <c r="A49" s="487" t="s">
        <v>163</v>
      </c>
      <c r="B49" s="565"/>
      <c r="C49" s="565"/>
      <c r="D49" s="489" t="s">
        <v>131</v>
      </c>
      <c r="E49" s="490">
        <f>'25'!F49</f>
        <v>400618</v>
      </c>
      <c r="F49" s="562">
        <v>403667</v>
      </c>
      <c r="G49" s="491">
        <f t="shared" ref="G49:G58" si="4">F49-E49</f>
        <v>3049</v>
      </c>
      <c r="H49" s="492">
        <f>G49+'25'!H49</f>
        <v>386887</v>
      </c>
      <c r="I49" s="490"/>
      <c r="J49" s="494">
        <f>H49/DAY(B2)</f>
        <v>14880.26923076923</v>
      </c>
      <c r="K49" s="509"/>
      <c r="L49" s="469"/>
      <c r="O49" s="496"/>
    </row>
    <row r="50" spans="1:15" ht="20.100000000000001" customHeight="1">
      <c r="A50" s="487" t="s">
        <v>177</v>
      </c>
      <c r="B50" s="565"/>
      <c r="C50" s="565"/>
      <c r="D50" s="489" t="s">
        <v>131</v>
      </c>
      <c r="E50" s="490">
        <f>'25'!F50</f>
        <v>600931</v>
      </c>
      <c r="F50" s="562">
        <v>601992</v>
      </c>
      <c r="G50" s="491">
        <f t="shared" si="4"/>
        <v>1061</v>
      </c>
      <c r="H50" s="492">
        <f>G50+'25'!H50</f>
        <v>-6226</v>
      </c>
      <c r="I50" s="490"/>
      <c r="J50" s="494">
        <f>H50/DAY(B2)</f>
        <v>-239.46153846153845</v>
      </c>
      <c r="K50" s="509"/>
      <c r="L50" s="469"/>
      <c r="O50" s="496"/>
    </row>
    <row r="51" spans="1:15" ht="20.100000000000001" customHeight="1">
      <c r="A51" s="487" t="s">
        <v>165</v>
      </c>
      <c r="B51" s="565"/>
      <c r="C51" s="565"/>
      <c r="D51" s="489" t="s">
        <v>131</v>
      </c>
      <c r="E51" s="490">
        <f>'25'!F51</f>
        <v>144639.87</v>
      </c>
      <c r="F51" s="562">
        <v>144639.87</v>
      </c>
      <c r="G51" s="491">
        <f t="shared" si="4"/>
        <v>0</v>
      </c>
      <c r="H51" s="492">
        <f>G51+'25'!H51</f>
        <v>144639.87</v>
      </c>
      <c r="I51" s="490"/>
      <c r="J51" s="494">
        <f>H51/DAY(B2)</f>
        <v>5563.0719230769228</v>
      </c>
      <c r="K51" s="509"/>
      <c r="L51" s="469"/>
      <c r="O51" s="496"/>
    </row>
    <row r="52" spans="1:15" ht="20.100000000000001" customHeight="1">
      <c r="A52" s="487" t="s">
        <v>178</v>
      </c>
      <c r="B52" s="565"/>
      <c r="C52" s="565"/>
      <c r="D52" s="489" t="s">
        <v>131</v>
      </c>
      <c r="E52" s="490">
        <f>'25'!F52</f>
        <v>539606.06999999995</v>
      </c>
      <c r="F52" s="562">
        <v>539606.06999999995</v>
      </c>
      <c r="G52" s="491">
        <f t="shared" si="4"/>
        <v>0</v>
      </c>
      <c r="H52" s="492">
        <f>G52+'25'!H52</f>
        <v>0</v>
      </c>
      <c r="I52" s="490"/>
      <c r="J52" s="494">
        <f>H52/DAY(B2)</f>
        <v>0</v>
      </c>
      <c r="K52" s="509"/>
      <c r="L52" s="469"/>
      <c r="O52" s="496"/>
    </row>
    <row r="53" spans="1:15" ht="20.100000000000001" customHeight="1">
      <c r="A53" s="487" t="s">
        <v>167</v>
      </c>
      <c r="B53" s="565"/>
      <c r="C53" s="565"/>
      <c r="D53" s="489" t="s">
        <v>131</v>
      </c>
      <c r="E53" s="490">
        <f>'25'!F53</f>
        <v>434232</v>
      </c>
      <c r="F53" s="562">
        <v>434232</v>
      </c>
      <c r="G53" s="491">
        <f t="shared" si="4"/>
        <v>0</v>
      </c>
      <c r="H53" s="492">
        <f>G53+'25'!H53</f>
        <v>434232</v>
      </c>
      <c r="I53" s="490"/>
      <c r="J53" s="494">
        <f>H53/DAY(B2)</f>
        <v>16701.23076923077</v>
      </c>
      <c r="K53" s="509"/>
      <c r="L53" s="469"/>
      <c r="O53" s="496"/>
    </row>
    <row r="54" spans="1:15" ht="20.100000000000001" customHeight="1">
      <c r="A54" s="487" t="s">
        <v>179</v>
      </c>
      <c r="B54" s="565"/>
      <c r="C54" s="565"/>
      <c r="D54" s="489" t="s">
        <v>131</v>
      </c>
      <c r="E54" s="490">
        <f>'25'!F54</f>
        <v>14967</v>
      </c>
      <c r="F54" s="562">
        <v>14967</v>
      </c>
      <c r="G54" s="491">
        <f t="shared" si="4"/>
        <v>0</v>
      </c>
      <c r="H54" s="492">
        <f>G54+'25'!H54</f>
        <v>12502</v>
      </c>
      <c r="I54" s="490"/>
      <c r="J54" s="494">
        <f>H54/DAY(B2)</f>
        <v>480.84615384615387</v>
      </c>
      <c r="K54" s="509"/>
      <c r="L54" s="469"/>
      <c r="O54" s="496"/>
    </row>
    <row r="55" spans="1:15" ht="20.100000000000001" customHeight="1">
      <c r="A55" s="487" t="s">
        <v>180</v>
      </c>
      <c r="B55" s="565"/>
      <c r="C55" s="565"/>
      <c r="D55" s="489" t="s">
        <v>131</v>
      </c>
      <c r="E55" s="490">
        <f>'25'!F55</f>
        <v>298467</v>
      </c>
      <c r="F55" s="562">
        <v>302523</v>
      </c>
      <c r="G55" s="491">
        <f t="shared" si="4"/>
        <v>4056</v>
      </c>
      <c r="H55" s="492">
        <f>G55+'25'!H55</f>
        <v>-4775.9899999999907</v>
      </c>
      <c r="I55" s="490"/>
      <c r="J55" s="494">
        <f>H55/DAY(B2)</f>
        <v>-183.69192307692271</v>
      </c>
      <c r="K55" s="509"/>
      <c r="L55" s="469"/>
      <c r="O55" s="496"/>
    </row>
    <row r="56" spans="1:15" ht="20.100000000000001" customHeight="1">
      <c r="A56" s="487" t="s">
        <v>181</v>
      </c>
      <c r="B56" s="565"/>
      <c r="C56" s="565"/>
      <c r="D56" s="489" t="s">
        <v>182</v>
      </c>
      <c r="E56" s="490">
        <f>'25'!F56</f>
        <v>649660</v>
      </c>
      <c r="F56" s="562">
        <v>649673</v>
      </c>
      <c r="G56" s="491">
        <f t="shared" si="4"/>
        <v>13</v>
      </c>
      <c r="H56" s="492">
        <f>G56+'25'!H56</f>
        <v>-11358</v>
      </c>
      <c r="I56" s="490"/>
      <c r="J56" s="494">
        <f>H56/DAY(B2)</f>
        <v>-436.84615384615387</v>
      </c>
      <c r="K56" s="486"/>
      <c r="L56" s="469"/>
      <c r="O56" s="496"/>
    </row>
    <row r="57" spans="1:15" ht="20.100000000000001" customHeight="1">
      <c r="A57" s="487" t="s">
        <v>171</v>
      </c>
      <c r="B57" s="565"/>
      <c r="C57" s="565"/>
      <c r="D57" s="489" t="s">
        <v>131</v>
      </c>
      <c r="E57" s="490">
        <f>'25'!F57</f>
        <v>7711</v>
      </c>
      <c r="F57" s="562">
        <v>7711</v>
      </c>
      <c r="G57" s="491">
        <f t="shared" si="4"/>
        <v>0</v>
      </c>
      <c r="H57" s="492">
        <f>G57+'25'!H57</f>
        <v>0</v>
      </c>
      <c r="I57" s="490"/>
      <c r="J57" s="494">
        <f>H57/DAY(B2)</f>
        <v>0</v>
      </c>
      <c r="K57" s="509"/>
      <c r="L57" s="469"/>
      <c r="O57" s="496"/>
    </row>
    <row r="58" spans="1:15" ht="20.100000000000001" customHeight="1">
      <c r="A58" s="487" t="s">
        <v>183</v>
      </c>
      <c r="B58" s="565"/>
      <c r="C58" s="565"/>
      <c r="D58" s="489" t="s">
        <v>131</v>
      </c>
      <c r="E58" s="490">
        <f>'25'!F58</f>
        <v>64763</v>
      </c>
      <c r="F58" s="562">
        <v>64961</v>
      </c>
      <c r="G58" s="491">
        <f t="shared" si="4"/>
        <v>198</v>
      </c>
      <c r="H58" s="492">
        <f>G58+'25'!H58</f>
        <v>-1222</v>
      </c>
      <c r="I58" s="490"/>
      <c r="J58" s="494">
        <f>H58/DAY(B2)</f>
        <v>-47</v>
      </c>
      <c r="K58" s="509"/>
      <c r="L58" s="469"/>
      <c r="O58" s="496"/>
    </row>
    <row r="59" spans="1:15" ht="20.100000000000001" customHeight="1">
      <c r="A59" s="511" t="s">
        <v>175</v>
      </c>
      <c r="B59" s="512"/>
      <c r="C59" s="512"/>
      <c r="D59" s="476"/>
      <c r="E59" s="476"/>
      <c r="F59" s="476"/>
      <c r="G59" s="513">
        <f>G49+G50+G51+G52+G53+G54+G55+G56+G57+G58</f>
        <v>8377</v>
      </c>
      <c r="H59" s="492">
        <f>G59+'25'!H59</f>
        <v>1494284.9499999995</v>
      </c>
      <c r="I59" s="490">
        <f>G7-G60</f>
        <v>108</v>
      </c>
      <c r="J59" s="494">
        <f>H59/DAY(B2)</f>
        <v>57472.498076923061</v>
      </c>
      <c r="K59" s="509"/>
      <c r="L59" s="469"/>
      <c r="O59" s="496"/>
    </row>
    <row r="60" spans="1:15" ht="20.100000000000001" customHeight="1">
      <c r="A60" s="487"/>
      <c r="B60" s="488"/>
      <c r="C60" s="488"/>
      <c r="D60" s="476" t="s">
        <v>184</v>
      </c>
      <c r="E60" s="476"/>
      <c r="F60" s="476"/>
      <c r="G60" s="513">
        <f>G47+G59</f>
        <v>22690</v>
      </c>
      <c r="H60" s="492">
        <f>G60+'25'!H60</f>
        <v>2735035.5600000005</v>
      </c>
      <c r="I60" s="490">
        <f>G13-G60</f>
        <v>-831</v>
      </c>
      <c r="J60" s="494">
        <f>H60/DAY(B2)</f>
        <v>105193.6753846154</v>
      </c>
      <c r="K60" s="509"/>
      <c r="L60" s="469"/>
      <c r="O60" s="496"/>
    </row>
    <row r="61" spans="1:15" ht="20.100000000000001" customHeight="1">
      <c r="A61" s="566" t="s">
        <v>185</v>
      </c>
      <c r="B61" s="567"/>
      <c r="C61" s="567"/>
      <c r="D61" s="567"/>
      <c r="E61" s="568"/>
      <c r="F61" s="568"/>
      <c r="G61" s="567"/>
      <c r="H61" s="567"/>
      <c r="I61" s="567"/>
      <c r="J61" s="569"/>
      <c r="K61" s="509"/>
      <c r="L61" s="469"/>
      <c r="O61" s="496"/>
    </row>
    <row r="62" spans="1:15" ht="20.100000000000001" customHeight="1">
      <c r="A62" s="570" t="s">
        <v>97</v>
      </c>
      <c r="B62" s="571"/>
      <c r="C62" s="571"/>
      <c r="D62" s="476" t="s">
        <v>186</v>
      </c>
      <c r="E62" s="490">
        <f>'25'!F62</f>
        <v>20419</v>
      </c>
      <c r="F62" s="572">
        <v>20419</v>
      </c>
      <c r="G62" s="491">
        <f t="shared" ref="G62:G69" si="5">F62-E62</f>
        <v>0</v>
      </c>
      <c r="H62" s="492">
        <f>G62+'25'!H62</f>
        <v>1.9999999967694748E-3</v>
      </c>
      <c r="I62" s="573"/>
      <c r="J62" s="494">
        <f>H62/DAY(B2)</f>
        <v>7.6923076798825961E-5</v>
      </c>
      <c r="K62" s="509"/>
      <c r="L62" s="469"/>
      <c r="O62" s="496"/>
    </row>
    <row r="63" spans="1:15" ht="20.100000000000001" customHeight="1">
      <c r="A63" s="570" t="s">
        <v>187</v>
      </c>
      <c r="B63" s="571"/>
      <c r="C63" s="571"/>
      <c r="D63" s="476" t="s">
        <v>186</v>
      </c>
      <c r="E63" s="490">
        <f>'25'!F63</f>
        <v>0</v>
      </c>
      <c r="F63" s="572">
        <v>0</v>
      </c>
      <c r="G63" s="491">
        <f t="shared" si="5"/>
        <v>0</v>
      </c>
      <c r="H63" s="492">
        <f>G63+'25'!H63</f>
        <v>0</v>
      </c>
      <c r="I63" s="573"/>
      <c r="J63" s="494">
        <f>H63/DAY(B2)</f>
        <v>0</v>
      </c>
      <c r="K63" s="509"/>
      <c r="L63" s="469"/>
      <c r="O63" s="496"/>
    </row>
    <row r="64" spans="1:15" ht="20.100000000000001" customHeight="1">
      <c r="A64" s="1343" t="s">
        <v>98</v>
      </c>
      <c r="B64" s="1344"/>
      <c r="C64" s="1345"/>
      <c r="D64" s="489" t="s">
        <v>186</v>
      </c>
      <c r="E64" s="490">
        <f>'25'!F64</f>
        <v>191729</v>
      </c>
      <c r="F64" s="519">
        <v>192164</v>
      </c>
      <c r="G64" s="491">
        <f t="shared" si="5"/>
        <v>435</v>
      </c>
      <c r="H64" s="492">
        <f>G64+'25'!H64</f>
        <v>-2053</v>
      </c>
      <c r="I64" s="510"/>
      <c r="J64" s="494">
        <f>H64/DAY(B2)</f>
        <v>-78.961538461538467</v>
      </c>
      <c r="K64" s="509"/>
      <c r="L64" s="469"/>
      <c r="O64" s="496"/>
    </row>
    <row r="65" spans="1:15" ht="20.100000000000001" customHeight="1">
      <c r="A65" s="1343" t="s">
        <v>99</v>
      </c>
      <c r="B65" s="1344"/>
      <c r="C65" s="1345"/>
      <c r="D65" s="489" t="s">
        <v>186</v>
      </c>
      <c r="E65" s="490">
        <f>'25'!F65</f>
        <v>192279</v>
      </c>
      <c r="F65" s="519">
        <v>192664</v>
      </c>
      <c r="G65" s="491">
        <f t="shared" si="5"/>
        <v>385</v>
      </c>
      <c r="H65" s="492">
        <f>G65+'25'!H65</f>
        <v>-1965</v>
      </c>
      <c r="I65" s="528"/>
      <c r="J65" s="494">
        <f>H65/DAY(B2)</f>
        <v>-75.57692307692308</v>
      </c>
      <c r="K65" s="509"/>
      <c r="L65" s="469"/>
      <c r="O65" s="496"/>
    </row>
    <row r="66" spans="1:15" ht="20.100000000000001" customHeight="1">
      <c r="A66" s="1343" t="s">
        <v>100</v>
      </c>
      <c r="B66" s="1344"/>
      <c r="C66" s="1345"/>
      <c r="D66" s="489" t="s">
        <v>186</v>
      </c>
      <c r="E66" s="490">
        <f>'25'!F66</f>
        <v>90845</v>
      </c>
      <c r="F66" s="519">
        <v>91251</v>
      </c>
      <c r="G66" s="491">
        <f t="shared" si="5"/>
        <v>406</v>
      </c>
      <c r="H66" s="492">
        <f>G66+'25'!H66</f>
        <v>-2066</v>
      </c>
      <c r="I66" s="510"/>
      <c r="J66" s="494">
        <f>H66/DAY(B2)</f>
        <v>-79.461538461538467</v>
      </c>
      <c r="K66" s="509"/>
      <c r="L66" s="469"/>
      <c r="O66" s="496"/>
    </row>
    <row r="67" spans="1:15" ht="20.100000000000001" customHeight="1">
      <c r="A67" s="1343" t="s">
        <v>101</v>
      </c>
      <c r="B67" s="1344"/>
      <c r="C67" s="1345"/>
      <c r="D67" s="489" t="s">
        <v>186</v>
      </c>
      <c r="E67" s="490">
        <f>'25'!F67</f>
        <v>291822</v>
      </c>
      <c r="F67" s="519">
        <v>292353</v>
      </c>
      <c r="G67" s="491">
        <f t="shared" si="5"/>
        <v>531</v>
      </c>
      <c r="H67" s="492">
        <f>G67+'25'!H67</f>
        <v>-2538</v>
      </c>
      <c r="I67" s="528"/>
      <c r="J67" s="494">
        <f>H67/DAY(B2)</f>
        <v>-97.615384615384613</v>
      </c>
      <c r="K67" s="516"/>
      <c r="L67" s="469"/>
      <c r="O67" s="496"/>
    </row>
    <row r="68" spans="1:15" ht="20.100000000000001" customHeight="1">
      <c r="A68" s="1343" t="s">
        <v>102</v>
      </c>
      <c r="B68" s="1344"/>
      <c r="C68" s="1345"/>
      <c r="D68" s="489" t="s">
        <v>186</v>
      </c>
      <c r="E68" s="490">
        <f>'25'!F68</f>
        <v>85321</v>
      </c>
      <c r="F68" s="519">
        <v>85321</v>
      </c>
      <c r="G68" s="491">
        <f t="shared" si="5"/>
        <v>0</v>
      </c>
      <c r="H68" s="492">
        <f>G68+'25'!H68</f>
        <v>0</v>
      </c>
      <c r="I68" s="574"/>
      <c r="J68" s="494">
        <f>H68/DAY(B2)</f>
        <v>0</v>
      </c>
      <c r="K68" s="575"/>
      <c r="L68" s="469"/>
      <c r="O68" s="496"/>
    </row>
    <row r="69" spans="1:15" ht="20.100000000000001" customHeight="1">
      <c r="A69" s="1343" t="s">
        <v>103</v>
      </c>
      <c r="B69" s="1344"/>
      <c r="C69" s="1345"/>
      <c r="D69" s="489" t="s">
        <v>186</v>
      </c>
      <c r="E69" s="490">
        <f>'25'!F69</f>
        <v>104462</v>
      </c>
      <c r="F69" s="519">
        <v>104789</v>
      </c>
      <c r="G69" s="491">
        <f t="shared" si="5"/>
        <v>327</v>
      </c>
      <c r="H69" s="492">
        <f>G69+'25'!H69</f>
        <v>-1617</v>
      </c>
      <c r="I69" s="574"/>
      <c r="J69" s="494">
        <f>H69/DAY(B2)</f>
        <v>-62.192307692307693</v>
      </c>
      <c r="K69" s="576"/>
      <c r="L69" s="469"/>
      <c r="O69" s="496"/>
    </row>
    <row r="70" spans="1:15" ht="20.100000000000001" customHeight="1">
      <c r="A70" s="1352" t="s">
        <v>188</v>
      </c>
      <c r="B70" s="1353"/>
      <c r="C70" s="1354"/>
      <c r="D70" s="489" t="s">
        <v>186</v>
      </c>
      <c r="E70" s="577"/>
      <c r="F70" s="578"/>
      <c r="G70" s="578"/>
      <c r="H70" s="492">
        <f>G70+'13'!H70</f>
        <v>0</v>
      </c>
      <c r="I70" s="578"/>
      <c r="J70" s="579"/>
      <c r="K70" s="576"/>
      <c r="L70" s="469"/>
      <c r="O70" s="496"/>
    </row>
    <row r="71" spans="1:15" ht="20.100000000000001" customHeight="1">
      <c r="A71" s="1349" t="s">
        <v>189</v>
      </c>
      <c r="B71" s="1350"/>
      <c r="C71" s="1350"/>
      <c r="D71" s="1350"/>
      <c r="E71" s="1350"/>
      <c r="F71" s="1350"/>
      <c r="G71" s="1350"/>
      <c r="H71" s="1350"/>
      <c r="I71" s="1350"/>
      <c r="J71" s="1351"/>
      <c r="K71" s="575"/>
      <c r="L71" s="469"/>
      <c r="O71" s="496"/>
    </row>
    <row r="72" spans="1:15" ht="20.100000000000001" customHeight="1">
      <c r="A72" s="1343" t="s">
        <v>190</v>
      </c>
      <c r="B72" s="1344"/>
      <c r="C72" s="1345"/>
      <c r="D72" s="489" t="s">
        <v>186</v>
      </c>
      <c r="E72" s="490">
        <f>'25'!F72</f>
        <v>856948</v>
      </c>
      <c r="F72" s="580">
        <v>856959</v>
      </c>
      <c r="G72" s="491">
        <f t="shared" ref="G72:G84" si="6">F72-E72</f>
        <v>11</v>
      </c>
      <c r="H72" s="492">
        <f>G72+'25'!H72</f>
        <v>252</v>
      </c>
      <c r="I72" s="510"/>
      <c r="J72" s="494">
        <f>H72/DAY(B2)</f>
        <v>9.6923076923076916</v>
      </c>
      <c r="K72" s="576"/>
      <c r="L72" s="469"/>
      <c r="O72" s="496"/>
    </row>
    <row r="73" spans="1:15" ht="20.100000000000001" customHeight="1">
      <c r="A73" s="1343" t="s">
        <v>191</v>
      </c>
      <c r="B73" s="1344"/>
      <c r="C73" s="1345"/>
      <c r="D73" s="489" t="s">
        <v>186</v>
      </c>
      <c r="E73" s="490">
        <f>'25'!F73</f>
        <v>886043</v>
      </c>
      <c r="F73" s="580">
        <v>886044</v>
      </c>
      <c r="G73" s="491">
        <f t="shared" si="6"/>
        <v>1</v>
      </c>
      <c r="H73" s="492">
        <f>G73+'25'!H73</f>
        <v>-7</v>
      </c>
      <c r="I73" s="510"/>
      <c r="J73" s="494">
        <f>H73/DAY(B2)</f>
        <v>-0.26923076923076922</v>
      </c>
      <c r="K73" s="575"/>
      <c r="L73" s="469"/>
      <c r="O73" s="496"/>
    </row>
    <row r="74" spans="1:15" ht="20.100000000000001" customHeight="1">
      <c r="A74" s="1343" t="s">
        <v>192</v>
      </c>
      <c r="B74" s="1344"/>
      <c r="C74" s="1345"/>
      <c r="D74" s="489" t="s">
        <v>186</v>
      </c>
      <c r="E74" s="490">
        <f>'25'!F74</f>
        <v>88761</v>
      </c>
      <c r="F74" s="582">
        <v>88761</v>
      </c>
      <c r="G74" s="491">
        <f t="shared" si="6"/>
        <v>0</v>
      </c>
      <c r="H74" s="492">
        <f>G74+'25'!H74</f>
        <v>71</v>
      </c>
      <c r="I74" s="510"/>
      <c r="J74" s="494">
        <f>H74/DAY(B2)</f>
        <v>2.7307692307692308</v>
      </c>
      <c r="K74" s="576"/>
      <c r="L74" s="469"/>
      <c r="O74" s="496"/>
    </row>
    <row r="75" spans="1:15" ht="20.100000000000001" customHeight="1">
      <c r="A75" s="1346" t="s">
        <v>193</v>
      </c>
      <c r="B75" s="1347"/>
      <c r="C75" s="1348"/>
      <c r="D75" s="489" t="s">
        <v>186</v>
      </c>
      <c r="E75" s="490">
        <f>'25'!F75</f>
        <v>25231</v>
      </c>
      <c r="F75" s="847">
        <v>25401</v>
      </c>
      <c r="G75" s="491">
        <f t="shared" si="6"/>
        <v>170</v>
      </c>
      <c r="H75" s="492">
        <f>G75+'25'!H75</f>
        <v>-907</v>
      </c>
      <c r="I75" s="510"/>
      <c r="J75" s="494">
        <f>H75/DAY(B2)</f>
        <v>-34.884615384615387</v>
      </c>
      <c r="K75" s="575"/>
      <c r="L75" s="469"/>
      <c r="O75" s="496"/>
    </row>
    <row r="76" spans="1:15" ht="20.100000000000001" customHeight="1">
      <c r="A76" s="1346" t="s">
        <v>194</v>
      </c>
      <c r="B76" s="1347"/>
      <c r="C76" s="1348"/>
      <c r="D76" s="489" t="s">
        <v>186</v>
      </c>
      <c r="E76" s="490">
        <f>'25'!F76</f>
        <v>12852</v>
      </c>
      <c r="F76" s="847">
        <v>12925</v>
      </c>
      <c r="G76" s="491">
        <f t="shared" si="6"/>
        <v>73</v>
      </c>
      <c r="H76" s="492">
        <f>G76+'25'!H76</f>
        <v>-352</v>
      </c>
      <c r="I76" s="553"/>
      <c r="J76" s="494">
        <f>H76/DAY(B2)</f>
        <v>-13.538461538461538</v>
      </c>
      <c r="K76" s="575"/>
      <c r="L76" s="469"/>
      <c r="O76" s="496"/>
    </row>
    <row r="77" spans="1:15" ht="20.100000000000001" customHeight="1">
      <c r="A77" s="1343" t="s">
        <v>195</v>
      </c>
      <c r="B77" s="1344"/>
      <c r="C77" s="1345"/>
      <c r="D77" s="489" t="s">
        <v>186</v>
      </c>
      <c r="E77" s="490">
        <f>'25'!F77</f>
        <v>707987</v>
      </c>
      <c r="F77" s="580">
        <v>708044</v>
      </c>
      <c r="G77" s="491">
        <f t="shared" si="6"/>
        <v>57</v>
      </c>
      <c r="H77" s="492">
        <f>G77+'25'!H77</f>
        <v>-245</v>
      </c>
      <c r="I77" s="553"/>
      <c r="J77" s="494">
        <f>H77/DAY(B2)</f>
        <v>-9.4230769230769234</v>
      </c>
      <c r="K77" s="575"/>
      <c r="L77" s="469"/>
      <c r="O77" s="496"/>
    </row>
    <row r="78" spans="1:15" ht="18.75" customHeight="1">
      <c r="A78" s="583" t="s">
        <v>196</v>
      </c>
      <c r="B78" s="755"/>
      <c r="C78" s="755"/>
      <c r="D78" s="489" t="s">
        <v>186</v>
      </c>
      <c r="E78" s="490">
        <f>'25'!F78</f>
        <v>681437</v>
      </c>
      <c r="F78" s="580">
        <v>681628</v>
      </c>
      <c r="G78" s="491">
        <f t="shared" si="6"/>
        <v>191</v>
      </c>
      <c r="H78" s="492">
        <f>G78+'25'!H78</f>
        <v>-785</v>
      </c>
      <c r="I78" s="553"/>
      <c r="J78" s="494">
        <f>H78/DAY(B2)</f>
        <v>-30.192307692307693</v>
      </c>
      <c r="K78" s="575"/>
      <c r="L78" s="469"/>
      <c r="O78" s="496"/>
    </row>
    <row r="79" spans="1:15" ht="20.100000000000001" customHeight="1">
      <c r="A79" s="1346" t="s">
        <v>91</v>
      </c>
      <c r="B79" s="1347"/>
      <c r="C79" s="1348"/>
      <c r="D79" s="522" t="s">
        <v>186</v>
      </c>
      <c r="E79" s="490">
        <f>'25'!F79</f>
        <v>844138</v>
      </c>
      <c r="F79" s="582">
        <v>844290</v>
      </c>
      <c r="G79" s="491">
        <f t="shared" si="6"/>
        <v>152</v>
      </c>
      <c r="H79" s="492">
        <f>G79+'25'!H79</f>
        <v>-759</v>
      </c>
      <c r="I79" s="553"/>
      <c r="J79" s="494">
        <f>H79/DAY(B2)</f>
        <v>-29.192307692307693</v>
      </c>
      <c r="K79" s="575"/>
      <c r="L79" s="469"/>
      <c r="O79" s="496"/>
    </row>
    <row r="80" spans="1:15" ht="20.100000000000001" customHeight="1">
      <c r="A80" s="1346" t="s">
        <v>197</v>
      </c>
      <c r="B80" s="1347"/>
      <c r="C80" s="1348"/>
      <c r="D80" s="522" t="s">
        <v>186</v>
      </c>
      <c r="E80" s="490">
        <f>'25'!F80</f>
        <v>561946</v>
      </c>
      <c r="F80" s="580">
        <v>562357</v>
      </c>
      <c r="G80" s="491">
        <f t="shared" si="6"/>
        <v>411</v>
      </c>
      <c r="H80" s="492">
        <f>G80+'25'!H80</f>
        <v>-1941</v>
      </c>
      <c r="I80" s="553"/>
      <c r="J80" s="494">
        <f>H80/DAY(B2)</f>
        <v>-74.65384615384616</v>
      </c>
      <c r="K80" s="575"/>
      <c r="L80" s="469"/>
      <c r="O80" s="496"/>
    </row>
    <row r="81" spans="1:15" ht="20.100000000000001" customHeight="1">
      <c r="A81" s="1346" t="s">
        <v>198</v>
      </c>
      <c r="B81" s="1347"/>
      <c r="C81" s="1348"/>
      <c r="D81" s="522" t="s">
        <v>186</v>
      </c>
      <c r="E81" s="490">
        <f>'25'!F81</f>
        <v>653245</v>
      </c>
      <c r="F81" s="581">
        <v>653407</v>
      </c>
      <c r="G81" s="491">
        <f t="shared" si="6"/>
        <v>162</v>
      </c>
      <c r="H81" s="492">
        <f>G81+'25'!H81</f>
        <v>-771</v>
      </c>
      <c r="I81" s="553"/>
      <c r="J81" s="494">
        <f>H81/DAY(B2)</f>
        <v>-29.653846153846153</v>
      </c>
      <c r="K81" s="575"/>
      <c r="L81" s="469"/>
      <c r="O81" s="496"/>
    </row>
    <row r="82" spans="1:15" ht="20.100000000000001" customHeight="1">
      <c r="A82" s="1346" t="s">
        <v>92</v>
      </c>
      <c r="B82" s="1347"/>
      <c r="C82" s="1348"/>
      <c r="D82" s="523" t="s">
        <v>131</v>
      </c>
      <c r="E82" s="490">
        <f>'25'!F82</f>
        <v>109813</v>
      </c>
      <c r="F82" s="887">
        <v>109837</v>
      </c>
      <c r="G82" s="491">
        <f t="shared" si="6"/>
        <v>24</v>
      </c>
      <c r="H82" s="492">
        <f>G82+'25'!H82</f>
        <v>110060</v>
      </c>
      <c r="I82" s="524"/>
      <c r="J82" s="494">
        <f>H82/DAY(B2)</f>
        <v>4233.0769230769229</v>
      </c>
      <c r="K82" s="575"/>
      <c r="L82" s="469"/>
      <c r="O82" s="496"/>
    </row>
    <row r="83" spans="1:15" ht="20.100000000000001" customHeight="1">
      <c r="A83" s="1346" t="s">
        <v>199</v>
      </c>
      <c r="B83" s="1347"/>
      <c r="C83" s="1348"/>
      <c r="D83" s="585" t="s">
        <v>131</v>
      </c>
      <c r="E83" s="490">
        <f>'25'!F83</f>
        <v>42570</v>
      </c>
      <c r="F83" s="476">
        <v>42846</v>
      </c>
      <c r="G83" s="491">
        <f t="shared" si="6"/>
        <v>276</v>
      </c>
      <c r="H83" s="492">
        <f>G83+'25'!H83</f>
        <v>-1477</v>
      </c>
      <c r="I83" s="513"/>
      <c r="J83" s="494">
        <f>H83/DAY(B2)</f>
        <v>-56.807692307692307</v>
      </c>
      <c r="K83" s="516"/>
      <c r="L83" s="469"/>
      <c r="O83" s="496"/>
    </row>
    <row r="84" spans="1:15" ht="20.100000000000001" customHeight="1">
      <c r="A84" s="586" t="s">
        <v>200</v>
      </c>
      <c r="B84" s="587"/>
      <c r="C84" s="587"/>
      <c r="D84" s="507" t="s">
        <v>131</v>
      </c>
      <c r="E84" s="490">
        <f>'25'!F84</f>
        <v>566176</v>
      </c>
      <c r="F84" s="588">
        <v>566850</v>
      </c>
      <c r="G84" s="491">
        <f t="shared" si="6"/>
        <v>674</v>
      </c>
      <c r="H84" s="492">
        <f>G84+'25'!H84</f>
        <v>-3529</v>
      </c>
      <c r="I84" s="513"/>
      <c r="J84" s="494">
        <f>H84/DAY(B2)</f>
        <v>-135.73076923076923</v>
      </c>
      <c r="K84" s="589"/>
      <c r="L84" s="469"/>
      <c r="O84" s="496"/>
    </row>
    <row r="85" spans="1:15" s="593" customFormat="1" ht="20.100000000000001" customHeight="1">
      <c r="A85" s="590" t="s">
        <v>201</v>
      </c>
      <c r="B85" s="591"/>
      <c r="C85" s="591"/>
      <c r="D85" s="528"/>
      <c r="E85" s="490">
        <f>'25'!F85</f>
        <v>0</v>
      </c>
      <c r="F85" s="489"/>
      <c r="G85" s="492">
        <f xml:space="preserve"> SUM(G72:G84)</f>
        <v>2202</v>
      </c>
      <c r="H85" s="492">
        <f>G85+'25'!H85</f>
        <v>99295.000000000015</v>
      </c>
      <c r="I85" s="513"/>
      <c r="J85" s="494">
        <f>H85/DAY(B2)</f>
        <v>3819.0384615384619</v>
      </c>
      <c r="K85" s="589"/>
      <c r="L85" s="592"/>
      <c r="N85" s="660"/>
      <c r="O85" s="496"/>
    </row>
    <row r="86" spans="1:15" s="603" customFormat="1">
      <c r="A86" s="594" t="s">
        <v>93</v>
      </c>
      <c r="B86" s="595"/>
      <c r="C86" s="595"/>
      <c r="D86" s="596" t="s">
        <v>182</v>
      </c>
      <c r="E86" s="490">
        <f>'25'!F86</f>
        <v>463246</v>
      </c>
      <c r="F86" s="597">
        <v>463258</v>
      </c>
      <c r="G86" s="598">
        <f t="shared" ref="G86:G91" si="7">F86-E86</f>
        <v>12</v>
      </c>
      <c r="H86" s="598">
        <f t="shared" ref="H86:H88" si="8">G86</f>
        <v>12</v>
      </c>
      <c r="I86" s="599"/>
      <c r="J86" s="600">
        <f>H86/DAY(B2)</f>
        <v>0.46153846153846156</v>
      </c>
      <c r="K86" s="601"/>
      <c r="L86" s="602"/>
      <c r="N86" s="661"/>
      <c r="O86" s="496"/>
    </row>
    <row r="87" spans="1:15" s="603" customFormat="1">
      <c r="A87" s="594" t="s">
        <v>94</v>
      </c>
      <c r="B87" s="595"/>
      <c r="C87" s="595"/>
      <c r="D87" s="596" t="s">
        <v>182</v>
      </c>
      <c r="E87" s="490">
        <f>'25'!F87</f>
        <v>83718</v>
      </c>
      <c r="F87" s="1168">
        <v>83753</v>
      </c>
      <c r="G87" s="598">
        <f t="shared" si="7"/>
        <v>35</v>
      </c>
      <c r="H87" s="598">
        <f t="shared" si="8"/>
        <v>35</v>
      </c>
      <c r="I87" s="599"/>
      <c r="J87" s="600">
        <f>H87/DAY(B2)</f>
        <v>1.3461538461538463</v>
      </c>
      <c r="K87" s="601"/>
      <c r="L87" s="602"/>
      <c r="N87" s="661"/>
      <c r="O87" s="496"/>
    </row>
    <row r="88" spans="1:15" s="603" customFormat="1">
      <c r="A88" s="594" t="s">
        <v>95</v>
      </c>
      <c r="B88" s="595"/>
      <c r="C88" s="595"/>
      <c r="D88" s="596" t="s">
        <v>182</v>
      </c>
      <c r="E88" s="490">
        <f>'25'!F88</f>
        <v>158212</v>
      </c>
      <c r="F88" s="597">
        <v>158212</v>
      </c>
      <c r="G88" s="598">
        <f t="shared" si="7"/>
        <v>0</v>
      </c>
      <c r="H88" s="598">
        <f t="shared" si="8"/>
        <v>0</v>
      </c>
      <c r="I88" s="599"/>
      <c r="J88" s="600">
        <f>H88/DAY(B2)</f>
        <v>0</v>
      </c>
      <c r="K88" s="601"/>
      <c r="L88" s="602"/>
      <c r="N88" s="661"/>
      <c r="O88" s="496"/>
    </row>
    <row r="89" spans="1:15" s="603" customFormat="1">
      <c r="A89" s="594" t="s">
        <v>203</v>
      </c>
      <c r="B89" s="595"/>
      <c r="C89" s="595"/>
      <c r="D89" s="596" t="s">
        <v>182</v>
      </c>
      <c r="E89" s="490">
        <f>'25'!F89</f>
        <v>68661</v>
      </c>
      <c r="F89" s="597">
        <v>68750</v>
      </c>
      <c r="G89" s="598">
        <f t="shared" si="7"/>
        <v>89</v>
      </c>
      <c r="H89" s="598">
        <f>G89</f>
        <v>89</v>
      </c>
      <c r="I89" s="599"/>
      <c r="J89" s="600">
        <f>H89/DAY(B2)</f>
        <v>3.4230769230769229</v>
      </c>
      <c r="K89" s="601"/>
      <c r="L89" s="602"/>
      <c r="N89" s="667"/>
      <c r="O89" s="496"/>
    </row>
    <row r="90" spans="1:15" s="603" customFormat="1">
      <c r="A90" s="594" t="s">
        <v>203</v>
      </c>
      <c r="B90" s="595"/>
      <c r="C90" s="595"/>
      <c r="D90" s="596" t="s">
        <v>182</v>
      </c>
      <c r="E90" s="490">
        <f>'25'!F90</f>
        <v>3585</v>
      </c>
      <c r="F90" s="597">
        <v>3591</v>
      </c>
      <c r="G90" s="598">
        <f t="shared" si="7"/>
        <v>6</v>
      </c>
      <c r="H90" s="598">
        <f>G90</f>
        <v>6</v>
      </c>
      <c r="I90" s="599"/>
      <c r="J90" s="600">
        <f>H90/DAY(B2)</f>
        <v>0.23076923076923078</v>
      </c>
      <c r="K90" s="601"/>
      <c r="L90" s="602"/>
      <c r="N90" s="662"/>
      <c r="O90" s="496"/>
    </row>
    <row r="91" spans="1:15" s="386" customFormat="1" ht="29.25">
      <c r="A91" s="381" t="s">
        <v>335</v>
      </c>
      <c r="B91" s="382"/>
      <c r="C91" s="382"/>
      <c r="D91" s="383" t="s">
        <v>131</v>
      </c>
      <c r="E91" s="490">
        <f>'25'!F91</f>
        <v>28705</v>
      </c>
      <c r="F91" s="597">
        <v>28715</v>
      </c>
      <c r="G91" s="356">
        <f t="shared" si="7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593" customFormat="1" ht="20.100000000000001" customHeight="1">
      <c r="A92" s="604" t="s">
        <v>204</v>
      </c>
      <c r="B92" s="484"/>
      <c r="C92" s="484"/>
      <c r="D92" s="484"/>
      <c r="E92" s="484"/>
      <c r="F92" s="484"/>
      <c r="G92" s="527"/>
      <c r="H92" s="484"/>
      <c r="I92" s="484"/>
      <c r="J92" s="485"/>
      <c r="K92" s="589"/>
      <c r="L92" s="592"/>
      <c r="N92" s="660"/>
      <c r="O92" s="496"/>
    </row>
    <row r="93" spans="1:15" ht="20.100000000000001" customHeight="1">
      <c r="A93" s="1337" t="s">
        <v>205</v>
      </c>
      <c r="B93" s="1338"/>
      <c r="C93" s="1339"/>
      <c r="D93" s="489" t="s">
        <v>143</v>
      </c>
      <c r="E93" s="490">
        <f>'25'!F93</f>
        <v>252803</v>
      </c>
      <c r="F93" s="519">
        <v>252911</v>
      </c>
      <c r="G93" s="491">
        <f t="shared" ref="G93:G94" si="9">F93-E93</f>
        <v>108</v>
      </c>
      <c r="H93" s="492">
        <f>G93+'25'!H93</f>
        <v>-541</v>
      </c>
      <c r="I93" s="510"/>
      <c r="J93" s="494">
        <f>H93/DAY(B2)</f>
        <v>-20.807692307692307</v>
      </c>
      <c r="K93" s="516"/>
      <c r="L93" s="469"/>
      <c r="O93" s="496"/>
    </row>
    <row r="94" spans="1:15" ht="20.100000000000001" customHeight="1">
      <c r="A94" s="1337" t="s">
        <v>206</v>
      </c>
      <c r="B94" s="1338"/>
      <c r="C94" s="1339"/>
      <c r="D94" s="489" t="s">
        <v>143</v>
      </c>
      <c r="E94" s="490">
        <f>'25'!F94</f>
        <v>196617</v>
      </c>
      <c r="F94" s="519">
        <v>196722</v>
      </c>
      <c r="G94" s="491">
        <f t="shared" si="9"/>
        <v>105</v>
      </c>
      <c r="H94" s="492">
        <f>G94+'25'!H94</f>
        <v>-937</v>
      </c>
      <c r="I94" s="510"/>
      <c r="J94" s="494">
        <f>H94/DAY(B2)</f>
        <v>-36.03846153846154</v>
      </c>
      <c r="K94" s="589"/>
      <c r="L94" s="469"/>
      <c r="O94" s="496"/>
    </row>
    <row r="95" spans="1:15" ht="20.100000000000001" customHeight="1">
      <c r="A95" s="1329" t="s">
        <v>207</v>
      </c>
      <c r="B95" s="1330"/>
      <c r="C95" s="1331"/>
      <c r="D95" s="489"/>
      <c r="E95" s="490">
        <f>'25'!F95</f>
        <v>0</v>
      </c>
      <c r="F95" s="519"/>
      <c r="G95" s="491">
        <f>G93+G94</f>
        <v>213</v>
      </c>
      <c r="H95" s="492">
        <f>G95+'25'!H95</f>
        <v>-1703</v>
      </c>
      <c r="I95" s="510"/>
      <c r="J95" s="494">
        <f>H95/DAY(B2)</f>
        <v>-65.5</v>
      </c>
      <c r="K95" s="589"/>
      <c r="L95" s="469"/>
      <c r="O95" s="496"/>
    </row>
    <row r="96" spans="1:15" ht="20.100000000000001" customHeight="1">
      <c r="A96" s="1337" t="s">
        <v>208</v>
      </c>
      <c r="B96" s="1338"/>
      <c r="C96" s="1339"/>
      <c r="D96" s="489" t="s">
        <v>143</v>
      </c>
      <c r="E96" s="490">
        <f>'25'!F96</f>
        <v>420522</v>
      </c>
      <c r="F96" s="519">
        <v>420595</v>
      </c>
      <c r="G96" s="491">
        <f t="shared" ref="G96:G101" si="10">F96-E96</f>
        <v>73</v>
      </c>
      <c r="H96" s="492">
        <f>G96+'25'!H96</f>
        <v>-424</v>
      </c>
      <c r="I96" s="510"/>
      <c r="J96" s="494">
        <f>H96/DAY(B2)</f>
        <v>-16.307692307692307</v>
      </c>
      <c r="K96" s="589"/>
      <c r="L96" s="469"/>
      <c r="O96" s="496"/>
    </row>
    <row r="97" spans="1:15" ht="20.100000000000001" customHeight="1">
      <c r="A97" s="517" t="s">
        <v>209</v>
      </c>
      <c r="B97" s="518"/>
      <c r="C97" s="518"/>
      <c r="D97" s="489" t="s">
        <v>143</v>
      </c>
      <c r="E97" s="490">
        <f>'25'!F97</f>
        <v>104485</v>
      </c>
      <c r="F97" s="519">
        <v>104509</v>
      </c>
      <c r="G97" s="491">
        <f t="shared" si="10"/>
        <v>24</v>
      </c>
      <c r="H97" s="492">
        <f>G97+'25'!H97</f>
        <v>-127</v>
      </c>
      <c r="I97" s="510"/>
      <c r="J97" s="494">
        <f>H97/DAY(B2)</f>
        <v>-4.884615384615385</v>
      </c>
      <c r="K97" s="486"/>
      <c r="L97" s="469"/>
      <c r="O97" s="496"/>
    </row>
    <row r="98" spans="1:15" ht="20.100000000000001" customHeight="1">
      <c r="A98" s="517" t="s">
        <v>210</v>
      </c>
      <c r="B98" s="518"/>
      <c r="C98" s="518"/>
      <c r="D98" s="489" t="s">
        <v>143</v>
      </c>
      <c r="E98" s="490">
        <f>'25'!F98</f>
        <v>100175</v>
      </c>
      <c r="F98" s="519">
        <v>100206</v>
      </c>
      <c r="G98" s="491">
        <f t="shared" si="10"/>
        <v>31</v>
      </c>
      <c r="H98" s="492">
        <f>G98+'25'!H98</f>
        <v>-164</v>
      </c>
      <c r="I98" s="510"/>
      <c r="J98" s="494">
        <f>H98/DAY(B2)</f>
        <v>-6.3076923076923075</v>
      </c>
      <c r="K98" s="605"/>
      <c r="L98" s="469"/>
      <c r="O98" s="496"/>
    </row>
    <row r="99" spans="1:15" ht="20.100000000000001" customHeight="1">
      <c r="A99" s="517" t="s">
        <v>211</v>
      </c>
      <c r="B99" s="518"/>
      <c r="C99" s="518"/>
      <c r="D99" s="489" t="s">
        <v>143</v>
      </c>
      <c r="E99" s="490">
        <f>'25'!F99</f>
        <v>151977</v>
      </c>
      <c r="F99" s="519">
        <v>152020</v>
      </c>
      <c r="G99" s="491">
        <f t="shared" si="10"/>
        <v>43</v>
      </c>
      <c r="H99" s="492">
        <f>G99+'25'!H99</f>
        <v>-115</v>
      </c>
      <c r="I99" s="510"/>
      <c r="J99" s="494">
        <f>H99/DAY(B2)</f>
        <v>-4.4230769230769234</v>
      </c>
      <c r="K99" s="589"/>
      <c r="L99" s="469"/>
      <c r="O99" s="496"/>
    </row>
    <row r="100" spans="1:15" ht="20.100000000000001" customHeight="1">
      <c r="A100" s="517" t="s">
        <v>212</v>
      </c>
      <c r="B100" s="518"/>
      <c r="C100" s="518"/>
      <c r="D100" s="489" t="s">
        <v>143</v>
      </c>
      <c r="E100" s="490">
        <f>'25'!F100</f>
        <v>8552</v>
      </c>
      <c r="F100" s="519">
        <v>8579</v>
      </c>
      <c r="G100" s="491">
        <f t="shared" si="10"/>
        <v>27</v>
      </c>
      <c r="H100" s="492">
        <f>G100+'25'!H100</f>
        <v>-66</v>
      </c>
      <c r="I100" s="510"/>
      <c r="J100" s="494">
        <f>H100/DAY(B2)</f>
        <v>-2.5384615384615383</v>
      </c>
      <c r="K100" s="589"/>
      <c r="L100" s="469"/>
      <c r="O100" s="496"/>
    </row>
    <row r="101" spans="1:15" ht="20.100000000000001" customHeight="1">
      <c r="A101" s="517" t="s">
        <v>213</v>
      </c>
      <c r="B101" s="518"/>
      <c r="C101" s="518"/>
      <c r="D101" s="489" t="s">
        <v>143</v>
      </c>
      <c r="E101" s="490">
        <f>'25'!F101</f>
        <v>6302</v>
      </c>
      <c r="F101" s="519">
        <v>6314</v>
      </c>
      <c r="G101" s="491">
        <f t="shared" si="10"/>
        <v>12</v>
      </c>
      <c r="H101" s="492">
        <f>G101+'25'!H101</f>
        <v>-59</v>
      </c>
      <c r="I101" s="510"/>
      <c r="J101" s="494">
        <f>H101/DAY(B2)</f>
        <v>-2.2692307692307692</v>
      </c>
      <c r="K101" s="589"/>
      <c r="L101" s="469"/>
      <c r="O101" s="496"/>
    </row>
    <row r="102" spans="1:15" ht="20.100000000000001" customHeight="1">
      <c r="A102" s="1329" t="s">
        <v>215</v>
      </c>
      <c r="B102" s="1330"/>
      <c r="C102" s="1331"/>
      <c r="D102" s="522"/>
      <c r="E102" s="522"/>
      <c r="F102" s="522"/>
      <c r="G102" s="606">
        <f>SUM(G96:G101)</f>
        <v>210</v>
      </c>
      <c r="H102" s="492">
        <f>G102+'25'!H102</f>
        <v>-955</v>
      </c>
      <c r="I102" s="607"/>
      <c r="J102" s="494">
        <f>H102/DAY(B2)</f>
        <v>-36.730769230769234</v>
      </c>
      <c r="K102" s="589"/>
      <c r="L102" s="469"/>
      <c r="O102" s="496"/>
    </row>
    <row r="103" spans="1:15" s="540" customFormat="1" ht="25.5" customHeight="1">
      <c r="A103" s="608" t="s">
        <v>216</v>
      </c>
      <c r="B103" s="609"/>
      <c r="C103" s="609"/>
      <c r="D103" s="610"/>
      <c r="E103" s="611"/>
      <c r="F103" s="612"/>
      <c r="G103" s="613"/>
      <c r="H103" s="614"/>
      <c r="I103" s="615"/>
      <c r="J103" s="616"/>
      <c r="N103" s="658"/>
      <c r="O103" s="496"/>
    </row>
    <row r="104" spans="1:15" s="540" customFormat="1" ht="21.75" customHeight="1">
      <c r="A104" s="1326" t="s">
        <v>217</v>
      </c>
      <c r="B104" s="1327"/>
      <c r="C104" s="617"/>
      <c r="D104" s="618"/>
      <c r="E104" s="619"/>
      <c r="F104" s="619"/>
      <c r="G104" s="619"/>
      <c r="H104" s="620"/>
      <c r="I104" s="619"/>
      <c r="J104" s="621"/>
      <c r="N104" s="658"/>
      <c r="O104" s="496"/>
    </row>
    <row r="105" spans="1:15" s="540" customFormat="1" ht="21.75" customHeight="1">
      <c r="A105" s="1320" t="s">
        <v>218</v>
      </c>
      <c r="B105" s="1321"/>
      <c r="C105" s="622"/>
      <c r="D105" s="618" t="s">
        <v>143</v>
      </c>
      <c r="E105" s="619">
        <f>'25'!F105</f>
        <v>7945</v>
      </c>
      <c r="F105" s="1169">
        <v>7961</v>
      </c>
      <c r="G105" s="619">
        <f>F105-E105</f>
        <v>16</v>
      </c>
      <c r="H105" s="620">
        <f>SUM(G105+'1'!G76)</f>
        <v>91.700000000000728</v>
      </c>
      <c r="I105" s="619"/>
      <c r="J105" s="621">
        <f>H105/DAY(B2)</f>
        <v>3.5269230769231048</v>
      </c>
      <c r="N105" s="658"/>
      <c r="O105" s="496"/>
    </row>
    <row r="106" spans="1:15" s="540" customFormat="1" ht="21.75" customHeight="1">
      <c r="A106" s="1320" t="s">
        <v>76</v>
      </c>
      <c r="B106" s="1321"/>
      <c r="C106" s="622"/>
      <c r="D106" s="618" t="s">
        <v>143</v>
      </c>
      <c r="E106" s="619">
        <f>'25'!F106</f>
        <v>36701</v>
      </c>
      <c r="F106" s="623">
        <v>36708</v>
      </c>
      <c r="G106" s="619">
        <f t="shared" ref="G106:G107" si="11">F106-E106</f>
        <v>7</v>
      </c>
      <c r="H106" s="620">
        <f>SUM(G106+'1'!G77)</f>
        <v>54</v>
      </c>
      <c r="I106" s="619"/>
      <c r="J106" s="621">
        <f>H106/DAY(B2)</f>
        <v>2.0769230769230771</v>
      </c>
      <c r="N106" s="658"/>
      <c r="O106" s="496"/>
    </row>
    <row r="107" spans="1:15" s="540" customFormat="1" ht="21.75" customHeight="1">
      <c r="A107" s="1320" t="s">
        <v>77</v>
      </c>
      <c r="B107" s="1328"/>
      <c r="C107" s="1321"/>
      <c r="D107" s="618" t="s">
        <v>143</v>
      </c>
      <c r="E107" s="619">
        <f>'25'!F107</f>
        <v>20164</v>
      </c>
      <c r="F107" s="619">
        <v>20174</v>
      </c>
      <c r="G107" s="619">
        <f t="shared" si="11"/>
        <v>10</v>
      </c>
      <c r="H107" s="620">
        <f>SUM(G107+'1'!G78)</f>
        <v>28</v>
      </c>
      <c r="I107" s="619"/>
      <c r="J107" s="621">
        <f>H107/DAY(B2)</f>
        <v>1.0769230769230769</v>
      </c>
      <c r="N107" s="658"/>
      <c r="O107" s="496"/>
    </row>
    <row r="108" spans="1:15" s="540" customFormat="1" ht="21.75" customHeight="1">
      <c r="A108" s="1322" t="s">
        <v>201</v>
      </c>
      <c r="B108" s="1323"/>
      <c r="C108" s="622"/>
      <c r="D108" s="618"/>
      <c r="E108" s="619">
        <f>'25'!F108</f>
        <v>0</v>
      </c>
      <c r="F108" s="619"/>
      <c r="G108" s="619">
        <f>SUM(G105:G107)</f>
        <v>33</v>
      </c>
      <c r="H108" s="620">
        <f>SUM(G108+'1'!G79)</f>
        <v>199</v>
      </c>
      <c r="I108" s="619"/>
      <c r="J108" s="621">
        <f>H108/DAY(B2)</f>
        <v>7.6538461538461542</v>
      </c>
      <c r="N108" s="658"/>
      <c r="O108" s="496"/>
    </row>
    <row r="109" spans="1:15" s="540" customFormat="1" ht="21.75" customHeight="1">
      <c r="A109" s="1318" t="s">
        <v>78</v>
      </c>
      <c r="B109" s="1319"/>
      <c r="C109" s="622"/>
      <c r="D109" s="618" t="s">
        <v>143</v>
      </c>
      <c r="E109" s="619">
        <f>'25'!F109</f>
        <v>0</v>
      </c>
      <c r="F109" s="619"/>
      <c r="G109" s="619"/>
      <c r="H109" s="620"/>
      <c r="I109" s="619"/>
      <c r="J109" s="621"/>
      <c r="N109" s="658"/>
      <c r="O109" s="496"/>
    </row>
    <row r="110" spans="1:15" s="540" customFormat="1" ht="21.75" customHeight="1">
      <c r="A110" s="1320" t="s">
        <v>219</v>
      </c>
      <c r="B110" s="1321"/>
      <c r="C110" s="622"/>
      <c r="D110" s="618" t="s">
        <v>143</v>
      </c>
      <c r="E110" s="619">
        <f>'25'!F110</f>
        <v>69010</v>
      </c>
      <c r="F110" s="619">
        <v>69109</v>
      </c>
      <c r="G110" s="619">
        <f>F110-E110</f>
        <v>99</v>
      </c>
      <c r="H110" s="620">
        <f>SUM(G110+'1'!G81)</f>
        <v>273.80000000004657</v>
      </c>
      <c r="I110" s="619"/>
      <c r="J110" s="621">
        <f>H110/DAY(B2)</f>
        <v>10.530769230771021</v>
      </c>
      <c r="N110" s="658"/>
      <c r="O110" s="496"/>
    </row>
    <row r="111" spans="1:15" s="540" customFormat="1" ht="21.75" customHeight="1">
      <c r="A111" s="1320" t="s">
        <v>220</v>
      </c>
      <c r="B111" s="1321"/>
      <c r="C111" s="622"/>
      <c r="D111" s="618" t="s">
        <v>143</v>
      </c>
      <c r="E111" s="619">
        <f>'25'!F111</f>
        <v>33886</v>
      </c>
      <c r="F111" s="619">
        <v>33886</v>
      </c>
      <c r="G111" s="619">
        <f t="shared" ref="G111:G112" si="12">F111-E111</f>
        <v>0</v>
      </c>
      <c r="H111" s="620">
        <f>SUM(G111+'1'!G82)</f>
        <v>30</v>
      </c>
      <c r="I111" s="619"/>
      <c r="J111" s="621">
        <f>H111/DAY(B2)</f>
        <v>1.1538461538461537</v>
      </c>
      <c r="N111" s="658"/>
      <c r="O111" s="496"/>
    </row>
    <row r="112" spans="1:15" s="540" customFormat="1" ht="21.75" customHeight="1">
      <c r="A112" s="1320" t="s">
        <v>221</v>
      </c>
      <c r="B112" s="1321"/>
      <c r="C112" s="622"/>
      <c r="D112" s="618" t="s">
        <v>143</v>
      </c>
      <c r="E112" s="619">
        <f>'25'!F112</f>
        <v>4763</v>
      </c>
      <c r="F112" s="619">
        <v>4769</v>
      </c>
      <c r="G112" s="619">
        <f t="shared" si="12"/>
        <v>6</v>
      </c>
      <c r="H112" s="620">
        <f>SUM(G112+'1'!G83)</f>
        <v>317</v>
      </c>
      <c r="I112" s="619"/>
      <c r="J112" s="621">
        <f>H112/DAY(B2)</f>
        <v>12.192307692307692</v>
      </c>
      <c r="N112" s="658"/>
      <c r="O112" s="496"/>
    </row>
    <row r="113" spans="1:15" s="540" customFormat="1" ht="21.75" customHeight="1">
      <c r="A113" s="1324" t="s">
        <v>109</v>
      </c>
      <c r="B113" s="1325"/>
      <c r="C113" s="622"/>
      <c r="D113" s="618"/>
      <c r="E113" s="619">
        <f>'25'!F113</f>
        <v>0</v>
      </c>
      <c r="F113" s="619"/>
      <c r="G113" s="619">
        <f>SUM(G110:G112)</f>
        <v>105</v>
      </c>
      <c r="H113" s="620">
        <f>SUM(G113+'1'!G84)</f>
        <v>845</v>
      </c>
      <c r="I113" s="619"/>
      <c r="J113" s="621">
        <f>H113/DAY(B2)</f>
        <v>32.5</v>
      </c>
      <c r="N113" s="658"/>
      <c r="O113" s="496"/>
    </row>
    <row r="114" spans="1:15" s="540" customFormat="1" ht="21.75" customHeight="1">
      <c r="A114" s="1318" t="s">
        <v>222</v>
      </c>
      <c r="B114" s="1319"/>
      <c r="C114" s="622"/>
      <c r="D114" s="618"/>
      <c r="E114" s="619">
        <f>'25'!F114</f>
        <v>0</v>
      </c>
      <c r="F114" s="619"/>
      <c r="G114" s="619"/>
      <c r="H114" s="620"/>
      <c r="I114" s="619"/>
      <c r="J114" s="621">
        <f>H114/DAY(B2)</f>
        <v>0</v>
      </c>
      <c r="N114" s="658"/>
      <c r="O114" s="496"/>
    </row>
    <row r="115" spans="1:15" s="540" customFormat="1" ht="21.75" customHeight="1">
      <c r="A115" s="1320" t="s">
        <v>223</v>
      </c>
      <c r="B115" s="1321"/>
      <c r="C115" s="624"/>
      <c r="D115" s="618" t="s">
        <v>143</v>
      </c>
      <c r="E115" s="619">
        <f>'25'!F115</f>
        <v>12927</v>
      </c>
      <c r="F115" s="623">
        <v>12957</v>
      </c>
      <c r="G115" s="623">
        <f>F115-E115</f>
        <v>30</v>
      </c>
      <c r="H115" s="620">
        <f>SUM(G115+'1'!G92)</f>
        <v>30</v>
      </c>
      <c r="I115" s="619"/>
      <c r="J115" s="621">
        <f>H115/DAY(B2)</f>
        <v>1.1538461538461537</v>
      </c>
      <c r="N115" s="658"/>
      <c r="O115" s="496"/>
    </row>
    <row r="116" spans="1:15" s="540" customFormat="1" ht="21.75" customHeight="1">
      <c r="A116" s="1320" t="s">
        <v>224</v>
      </c>
      <c r="B116" s="1321"/>
      <c r="C116" s="624"/>
      <c r="D116" s="618" t="s">
        <v>143</v>
      </c>
      <c r="E116" s="619">
        <f>'25'!F116</f>
        <v>9070</v>
      </c>
      <c r="F116" s="623">
        <v>9078</v>
      </c>
      <c r="G116" s="623">
        <f t="shared" ref="G116:G117" si="13">F116-E116</f>
        <v>8</v>
      </c>
      <c r="H116" s="620">
        <f>SUM(G116+'1'!G93)</f>
        <v>70</v>
      </c>
      <c r="I116" s="619"/>
      <c r="J116" s="621">
        <f>H116/DAY(B2)</f>
        <v>2.6923076923076925</v>
      </c>
      <c r="N116" s="658"/>
      <c r="O116" s="496"/>
    </row>
    <row r="117" spans="1:15" s="540" customFormat="1" ht="21.75" customHeight="1">
      <c r="A117" s="1320" t="s">
        <v>225</v>
      </c>
      <c r="B117" s="1321"/>
      <c r="C117" s="624"/>
      <c r="D117" s="618" t="s">
        <v>143</v>
      </c>
      <c r="E117" s="623"/>
      <c r="F117" s="623"/>
      <c r="G117" s="623">
        <f t="shared" si="13"/>
        <v>0</v>
      </c>
      <c r="H117" s="620">
        <f>SUM(G117+'1'!G94)</f>
        <v>163</v>
      </c>
      <c r="I117" s="619"/>
      <c r="J117" s="621">
        <f>H117/DAY(B2)</f>
        <v>6.2692307692307692</v>
      </c>
      <c r="N117" s="658"/>
      <c r="O117" s="496"/>
    </row>
    <row r="118" spans="1:15" s="626" customFormat="1">
      <c r="A118" s="1322" t="s">
        <v>201</v>
      </c>
      <c r="B118" s="1323"/>
      <c r="C118" s="624"/>
      <c r="D118" s="625"/>
      <c r="E118" s="623"/>
      <c r="F118" s="623"/>
      <c r="G118" s="623">
        <f>SUM(G115:G117)</f>
        <v>38</v>
      </c>
      <c r="H118" s="620">
        <f>SUM(G118+'1'!G96)</f>
        <v>104</v>
      </c>
      <c r="I118" s="623"/>
      <c r="J118" s="621">
        <f>H118/DAY(B2)</f>
        <v>4</v>
      </c>
      <c r="N118" s="663"/>
      <c r="O118" s="496"/>
    </row>
    <row r="119" spans="1:15" s="419" customFormat="1">
      <c r="A119" s="1315" t="s">
        <v>226</v>
      </c>
      <c r="B119" s="1316"/>
      <c r="C119" s="627"/>
      <c r="D119" s="628" t="s">
        <v>143</v>
      </c>
      <c r="E119" s="629"/>
      <c r="F119" s="630"/>
      <c r="G119" s="630">
        <f>SUM(G19+G93)</f>
        <v>164</v>
      </c>
      <c r="H119" s="620">
        <f>SUM(G119+'1'!G97)</f>
        <v>182</v>
      </c>
      <c r="I119" s="629"/>
      <c r="J119" s="631">
        <f>H119/DAY(B2)</f>
        <v>7</v>
      </c>
      <c r="N119" s="664"/>
      <c r="O119" s="496"/>
    </row>
    <row r="120" spans="1:15" s="419" customFormat="1">
      <c r="A120" s="1315" t="s">
        <v>227</v>
      </c>
      <c r="B120" s="1316"/>
      <c r="C120" s="627"/>
      <c r="D120" s="628" t="s">
        <v>143</v>
      </c>
      <c r="E120" s="629"/>
      <c r="F120" s="630"/>
      <c r="G120" s="630">
        <f>SUM(G96,G97,G98,G100,G101)</f>
        <v>167</v>
      </c>
      <c r="H120" s="620">
        <f>SUM(G120+'1'!G99)</f>
        <v>178</v>
      </c>
      <c r="I120" s="629"/>
      <c r="J120" s="631">
        <f>H120/DAY(B2)</f>
        <v>6.8461538461538458</v>
      </c>
      <c r="N120" s="664"/>
      <c r="O120" s="496"/>
    </row>
    <row r="121" spans="1:15" s="419" customFormat="1">
      <c r="A121" s="1315" t="s">
        <v>228</v>
      </c>
      <c r="B121" s="1316"/>
      <c r="C121" s="627"/>
      <c r="D121" s="628" t="s">
        <v>143</v>
      </c>
      <c r="E121" s="629"/>
      <c r="F121" s="623"/>
      <c r="G121" s="623">
        <f>SUM(G113)</f>
        <v>105</v>
      </c>
      <c r="H121" s="620">
        <f>SUM(G121+'1'!G101)</f>
        <v>114</v>
      </c>
      <c r="I121" s="629"/>
      <c r="J121" s="631">
        <f>H121/DAY(B2)</f>
        <v>4.384615384615385</v>
      </c>
      <c r="N121" s="664"/>
      <c r="O121" s="496"/>
    </row>
    <row r="122" spans="1:15" s="540" customFormat="1" ht="18.75" customHeight="1">
      <c r="A122" s="1317"/>
      <c r="B122" s="1314"/>
      <c r="C122" s="622"/>
      <c r="D122" s="617"/>
      <c r="E122" s="617"/>
      <c r="F122" s="617"/>
      <c r="G122" s="617"/>
      <c r="H122" s="632"/>
      <c r="I122" s="617"/>
      <c r="J122" s="633"/>
      <c r="N122" s="658"/>
      <c r="O122" s="496"/>
    </row>
    <row r="123" spans="1:15" ht="20.100000000000001" customHeight="1">
      <c r="A123" s="1332" t="s">
        <v>229</v>
      </c>
      <c r="B123" s="1333"/>
      <c r="C123" s="1334"/>
      <c r="D123" s="484"/>
      <c r="E123" s="484"/>
      <c r="F123" s="484"/>
      <c r="G123" s="515"/>
      <c r="H123" s="515"/>
      <c r="I123" s="515"/>
      <c r="J123" s="634"/>
      <c r="K123" s="589"/>
      <c r="L123" s="469"/>
      <c r="O123" s="496"/>
    </row>
    <row r="124" spans="1:15" ht="22.5" customHeight="1">
      <c r="A124" s="517" t="s">
        <v>230</v>
      </c>
      <c r="B124" s="518"/>
      <c r="C124" s="518"/>
      <c r="D124" s="489" t="s">
        <v>140</v>
      </c>
      <c r="E124" s="490">
        <f>'25'!F124</f>
        <v>854736</v>
      </c>
      <c r="F124" s="507">
        <v>854988</v>
      </c>
      <c r="G124" s="491">
        <f t="shared" ref="G124:G128" si="14">F124-E124</f>
        <v>252</v>
      </c>
      <c r="H124" s="492">
        <f>G124+'25'!H124</f>
        <v>-1364</v>
      </c>
      <c r="I124" s="607"/>
      <c r="J124" s="494">
        <f>H124/DAY(B2)</f>
        <v>-52.46153846153846</v>
      </c>
      <c r="K124" s="589"/>
      <c r="L124" s="469"/>
      <c r="O124" s="496"/>
    </row>
    <row r="125" spans="1:15" ht="22.5" customHeight="1">
      <c r="A125" s="517" t="s">
        <v>231</v>
      </c>
      <c r="B125" s="518"/>
      <c r="C125" s="518"/>
      <c r="D125" s="489" t="s">
        <v>140</v>
      </c>
      <c r="E125" s="490">
        <f>'25'!F125</f>
        <v>73583</v>
      </c>
      <c r="F125" s="635">
        <v>73583</v>
      </c>
      <c r="G125" s="491">
        <f t="shared" si="14"/>
        <v>0</v>
      </c>
      <c r="H125" s="492">
        <f>G125+'25'!H125</f>
        <v>-0.39999999999417923</v>
      </c>
      <c r="I125" s="607"/>
      <c r="J125" s="494">
        <f>H125/DAY(B2)</f>
        <v>-1.5384615384391509E-2</v>
      </c>
      <c r="K125" s="589"/>
      <c r="L125" s="469"/>
      <c r="O125" s="496"/>
    </row>
    <row r="126" spans="1:15" ht="22.5" customHeight="1">
      <c r="A126" s="1343" t="s">
        <v>232</v>
      </c>
      <c r="B126" s="1344"/>
      <c r="C126" s="1345"/>
      <c r="D126" s="489" t="s">
        <v>140</v>
      </c>
      <c r="E126" s="490">
        <f>'25'!F126</f>
        <v>153540</v>
      </c>
      <c r="F126" s="507">
        <v>153629</v>
      </c>
      <c r="G126" s="491">
        <f t="shared" si="14"/>
        <v>89</v>
      </c>
      <c r="H126" s="492">
        <f>G126+'25'!H126</f>
        <v>-448</v>
      </c>
      <c r="I126" s="607"/>
      <c r="J126" s="494">
        <f>H126/DAY(B2)</f>
        <v>-17.23076923076923</v>
      </c>
      <c r="K126" s="589"/>
      <c r="L126" s="469"/>
      <c r="O126" s="496"/>
    </row>
    <row r="127" spans="1:15" ht="20.100000000000001" customHeight="1">
      <c r="A127" s="636" t="s">
        <v>233</v>
      </c>
      <c r="B127" s="518"/>
      <c r="C127" s="518"/>
      <c r="D127" s="489" t="s">
        <v>140</v>
      </c>
      <c r="E127" s="490">
        <f>'25'!F127</f>
        <v>34386</v>
      </c>
      <c r="F127" s="635">
        <v>34423</v>
      </c>
      <c r="G127" s="491">
        <f t="shared" si="14"/>
        <v>37</v>
      </c>
      <c r="H127" s="492">
        <f>G127+'25'!H127</f>
        <v>-206</v>
      </c>
      <c r="I127" s="607"/>
      <c r="J127" s="494">
        <f>H127/DAY(B2)</f>
        <v>-7.9230769230769234</v>
      </c>
      <c r="K127" s="589"/>
      <c r="L127" s="469"/>
      <c r="O127" s="496"/>
    </row>
    <row r="128" spans="1:15" ht="20.100000000000001" customHeight="1">
      <c r="A128" s="636" t="s">
        <v>234</v>
      </c>
      <c r="B128" s="518"/>
      <c r="C128" s="518"/>
      <c r="D128" s="489" t="s">
        <v>140</v>
      </c>
      <c r="E128" s="490">
        <f>'25'!F128</f>
        <v>9165</v>
      </c>
      <c r="F128" s="635">
        <v>9167</v>
      </c>
      <c r="G128" s="491">
        <f t="shared" si="14"/>
        <v>2</v>
      </c>
      <c r="H128" s="492">
        <f>G128+'25'!H128</f>
        <v>-13</v>
      </c>
      <c r="I128" s="510"/>
      <c r="J128" s="494">
        <f>H128/DAY(B2)</f>
        <v>-0.5</v>
      </c>
      <c r="K128" s="589"/>
      <c r="L128" s="469"/>
      <c r="O128" s="496"/>
    </row>
    <row r="129" spans="1:15" ht="21.75" customHeight="1">
      <c r="A129" s="636" t="s">
        <v>235</v>
      </c>
      <c r="B129" s="518"/>
      <c r="C129" s="518"/>
      <c r="D129" s="489"/>
      <c r="E129" s="490"/>
      <c r="F129" s="507"/>
      <c r="G129" s="491">
        <f>G15-SUM(G124:G128)</f>
        <v>483</v>
      </c>
      <c r="H129" s="492">
        <f>G129+'25'!H129</f>
        <v>5110.3999999999942</v>
      </c>
      <c r="I129" s="510"/>
      <c r="J129" s="494">
        <f>H129/DAY(B2)</f>
        <v>196.55384615384594</v>
      </c>
      <c r="K129" s="589"/>
      <c r="L129" s="469"/>
      <c r="O129" s="496"/>
    </row>
    <row r="130" spans="1:15">
      <c r="A130" s="637" t="s">
        <v>236</v>
      </c>
      <c r="B130" s="483"/>
      <c r="C130" s="483"/>
      <c r="D130" s="483"/>
      <c r="E130" s="483"/>
      <c r="F130" s="483"/>
      <c r="G130" s="638"/>
      <c r="H130" s="638"/>
      <c r="I130" s="638"/>
      <c r="J130" s="639"/>
      <c r="O130" s="496"/>
    </row>
    <row r="131" spans="1:15">
      <c r="A131" s="517" t="s">
        <v>237</v>
      </c>
      <c r="B131" s="518"/>
      <c r="C131" s="518"/>
      <c r="D131" s="489" t="s">
        <v>238</v>
      </c>
      <c r="E131" s="490">
        <f>'25'!F131</f>
        <v>0</v>
      </c>
      <c r="F131" s="519">
        <v>0</v>
      </c>
      <c r="G131" s="491">
        <f t="shared" ref="G131:G141" si="15">F131-E131</f>
        <v>0</v>
      </c>
      <c r="H131" s="492">
        <f>G131+'25'!H131</f>
        <v>0</v>
      </c>
      <c r="I131" s="510"/>
      <c r="J131" s="494">
        <f>H131/DAY(B2)</f>
        <v>0</v>
      </c>
      <c r="O131" s="496"/>
    </row>
    <row r="132" spans="1:15">
      <c r="A132" s="517" t="s">
        <v>239</v>
      </c>
      <c r="B132" s="518"/>
      <c r="C132" s="518"/>
      <c r="D132" s="489" t="s">
        <v>238</v>
      </c>
      <c r="E132" s="490">
        <f>'25'!F132</f>
        <v>0</v>
      </c>
      <c r="F132" s="519">
        <v>0</v>
      </c>
      <c r="G132" s="491">
        <f t="shared" si="15"/>
        <v>0</v>
      </c>
      <c r="H132" s="492">
        <f>G132+'25'!H132</f>
        <v>0</v>
      </c>
      <c r="I132" s="510"/>
      <c r="J132" s="494">
        <f>H132/DAY(B2)</f>
        <v>0</v>
      </c>
      <c r="O132" s="496"/>
    </row>
    <row r="133" spans="1:15">
      <c r="A133" s="517" t="s">
        <v>240</v>
      </c>
      <c r="B133" s="518"/>
      <c r="C133" s="518"/>
      <c r="D133" s="489" t="s">
        <v>238</v>
      </c>
      <c r="E133" s="490">
        <f>'25'!F133</f>
        <v>40921.53</v>
      </c>
      <c r="F133" s="640">
        <v>40921.53</v>
      </c>
      <c r="G133" s="491">
        <f t="shared" si="15"/>
        <v>0</v>
      </c>
      <c r="H133" s="492">
        <f>G133+'25'!H133</f>
        <v>-0.47000000000116415</v>
      </c>
      <c r="I133" s="510"/>
      <c r="J133" s="494">
        <f>H133/DAY(B2)</f>
        <v>-1.807692307696785E-2</v>
      </c>
      <c r="O133" s="496"/>
    </row>
    <row r="134" spans="1:15">
      <c r="A134" s="517" t="s">
        <v>241</v>
      </c>
      <c r="B134" s="518"/>
      <c r="C134" s="518"/>
      <c r="D134" s="489" t="s">
        <v>238</v>
      </c>
      <c r="E134" s="490">
        <f>'25'!F134</f>
        <v>760.52</v>
      </c>
      <c r="F134" s="584">
        <v>774.43</v>
      </c>
      <c r="G134" s="491">
        <f t="shared" si="15"/>
        <v>13.909999999999968</v>
      </c>
      <c r="H134" s="492">
        <f>G134+'25'!H134</f>
        <v>-81.57000000000005</v>
      </c>
      <c r="I134" s="510">
        <f>G131+G132+G133+G134</f>
        <v>13.909999999999968</v>
      </c>
      <c r="J134" s="494">
        <f>H134/DAY(B2)</f>
        <v>-3.1373076923076941</v>
      </c>
      <c r="O134" s="496"/>
    </row>
    <row r="135" spans="1:15">
      <c r="A135" s="517" t="s">
        <v>242</v>
      </c>
      <c r="B135" s="518"/>
      <c r="C135" s="518"/>
      <c r="D135" s="489" t="s">
        <v>238</v>
      </c>
      <c r="E135" s="490">
        <f>'25'!F135</f>
        <v>42785.35</v>
      </c>
      <c r="F135" s="640">
        <v>42804</v>
      </c>
      <c r="G135" s="491">
        <f t="shared" si="15"/>
        <v>18.650000000001455</v>
      </c>
      <c r="H135" s="492">
        <f>G135+'25'!H135</f>
        <v>91</v>
      </c>
      <c r="I135" s="510"/>
      <c r="J135" s="494">
        <f>H135/DAY(B2)</f>
        <v>3.5</v>
      </c>
      <c r="O135" s="496"/>
    </row>
    <row r="136" spans="1:15">
      <c r="A136" s="517" t="s">
        <v>243</v>
      </c>
      <c r="B136" s="518"/>
      <c r="C136" s="518"/>
      <c r="D136" s="489" t="s">
        <v>238</v>
      </c>
      <c r="E136" s="490">
        <f>'25'!F136</f>
        <v>32874</v>
      </c>
      <c r="F136" s="640">
        <v>32874</v>
      </c>
      <c r="G136" s="491">
        <f t="shared" si="15"/>
        <v>0</v>
      </c>
      <c r="H136" s="492">
        <f>G136+'25'!H136</f>
        <v>12.94999999999709</v>
      </c>
      <c r="I136" s="510"/>
      <c r="J136" s="494">
        <f>H136/DAY(B2)</f>
        <v>0.49807692307681112</v>
      </c>
      <c r="O136" s="496"/>
    </row>
    <row r="137" spans="1:15">
      <c r="A137" s="517" t="s">
        <v>244</v>
      </c>
      <c r="B137" s="518"/>
      <c r="C137" s="518"/>
      <c r="D137" s="489" t="s">
        <v>238</v>
      </c>
      <c r="E137" s="490">
        <f>'25'!F137</f>
        <v>23304.9</v>
      </c>
      <c r="F137" s="640">
        <v>23314</v>
      </c>
      <c r="G137" s="491">
        <f t="shared" si="15"/>
        <v>9.0999999999985448</v>
      </c>
      <c r="H137" s="492">
        <f>G137+'25'!H137</f>
        <v>-42.430000000000291</v>
      </c>
      <c r="I137" s="510">
        <f>G135+G136+G137</f>
        <v>27.75</v>
      </c>
      <c r="J137" s="494">
        <f>H137/DAY(B2)</f>
        <v>-1.6319230769230881</v>
      </c>
      <c r="O137" s="496"/>
    </row>
    <row r="138" spans="1:15">
      <c r="A138" s="517" t="s">
        <v>245</v>
      </c>
      <c r="B138" s="518"/>
      <c r="C138" s="518"/>
      <c r="D138" s="489" t="s">
        <v>238</v>
      </c>
      <c r="E138" s="490">
        <f>'25'!F138</f>
        <v>25132.98</v>
      </c>
      <c r="F138" s="640">
        <v>25132.98</v>
      </c>
      <c r="G138" s="491">
        <f t="shared" si="15"/>
        <v>0</v>
      </c>
      <c r="H138" s="492">
        <f>G138+'25'!H138</f>
        <v>8</v>
      </c>
      <c r="I138" s="510"/>
      <c r="J138" s="494">
        <f>H138/DAY(B2)</f>
        <v>0.30769230769230771</v>
      </c>
      <c r="O138" s="496"/>
    </row>
    <row r="139" spans="1:15">
      <c r="A139" s="517" t="s">
        <v>246</v>
      </c>
      <c r="B139" s="518"/>
      <c r="C139" s="518"/>
      <c r="D139" s="489" t="s">
        <v>238</v>
      </c>
      <c r="E139" s="490">
        <f>'25'!F139</f>
        <v>70524.55</v>
      </c>
      <c r="F139" s="640">
        <v>70524.55</v>
      </c>
      <c r="G139" s="491">
        <f t="shared" si="15"/>
        <v>0</v>
      </c>
      <c r="H139" s="492">
        <f>G139+'25'!H139</f>
        <v>15</v>
      </c>
      <c r="I139" s="510">
        <f>G138+G139</f>
        <v>0</v>
      </c>
      <c r="J139" s="494">
        <f>H139/DAY(B2)</f>
        <v>0.57692307692307687</v>
      </c>
      <c r="O139" s="496"/>
    </row>
    <row r="140" spans="1:15">
      <c r="A140" s="517" t="s">
        <v>247</v>
      </c>
      <c r="B140" s="518"/>
      <c r="C140" s="518"/>
      <c r="D140" s="489" t="s">
        <v>238</v>
      </c>
      <c r="E140" s="490">
        <f>'25'!F140</f>
        <v>2565.62</v>
      </c>
      <c r="F140" s="519">
        <v>2575.35</v>
      </c>
      <c r="G140" s="491">
        <f t="shared" si="15"/>
        <v>9.7300000000000182</v>
      </c>
      <c r="H140" s="492">
        <f>G140+'25'!H140</f>
        <v>-52.630000000000109</v>
      </c>
      <c r="I140" s="641"/>
      <c r="J140" s="494">
        <f>H140/DAY(B2)</f>
        <v>-2.0242307692307735</v>
      </c>
      <c r="O140" s="496"/>
    </row>
    <row r="141" spans="1:15">
      <c r="A141" s="517" t="s">
        <v>248</v>
      </c>
      <c r="B141" s="518"/>
      <c r="C141" s="518"/>
      <c r="D141" s="489" t="s">
        <v>238</v>
      </c>
      <c r="E141" s="490">
        <f>'25'!F141</f>
        <v>4753.67</v>
      </c>
      <c r="F141" s="519">
        <v>4753.67</v>
      </c>
      <c r="G141" s="491">
        <f t="shared" si="15"/>
        <v>0</v>
      </c>
      <c r="H141" s="492">
        <f>G141+'25'!H141</f>
        <v>-0.32999999999992724</v>
      </c>
      <c r="I141" s="641"/>
      <c r="J141" s="494">
        <f>H141/DAY(B2)</f>
        <v>-1.2692307692304894E-2</v>
      </c>
      <c r="O141" s="496"/>
    </row>
    <row r="142" spans="1:15">
      <c r="A142" s="1335" t="s">
        <v>249</v>
      </c>
      <c r="B142" s="1336"/>
      <c r="C142" s="484"/>
      <c r="D142" s="484"/>
      <c r="E142" s="484"/>
      <c r="F142" s="484"/>
      <c r="G142" s="515"/>
      <c r="H142" s="515"/>
      <c r="I142" s="515"/>
      <c r="J142" s="634"/>
      <c r="K142" s="589"/>
      <c r="L142" s="469"/>
      <c r="O142" s="496"/>
    </row>
    <row r="143" spans="1:15">
      <c r="A143" s="1337" t="s">
        <v>250</v>
      </c>
      <c r="B143" s="1338"/>
      <c r="C143" s="1339"/>
      <c r="D143" s="489" t="s">
        <v>131</v>
      </c>
      <c r="E143" s="489"/>
      <c r="F143" s="489"/>
      <c r="G143" s="492">
        <f>G35+G43+G49+G57</f>
        <v>5919</v>
      </c>
      <c r="H143" s="492">
        <f>G143+'25'!H143</f>
        <v>375906.99999999994</v>
      </c>
      <c r="I143" s="510"/>
      <c r="J143" s="494">
        <f>H143/DAY(B2)</f>
        <v>14457.961538461535</v>
      </c>
      <c r="K143" s="589"/>
      <c r="L143" s="469"/>
      <c r="O143" s="496"/>
    </row>
    <row r="144" spans="1:15">
      <c r="A144" s="1337" t="s">
        <v>251</v>
      </c>
      <c r="B144" s="1338"/>
      <c r="C144" s="1339"/>
      <c r="D144" s="489" t="s">
        <v>24</v>
      </c>
      <c r="E144" s="476"/>
      <c r="F144" s="480"/>
      <c r="G144" s="642">
        <f>G143/G7</f>
        <v>0.25962803754715325</v>
      </c>
      <c r="H144" s="492">
        <f>G144+'25'!H144</f>
        <v>7.5035928334673301</v>
      </c>
      <c r="I144" s="643"/>
      <c r="J144" s="494">
        <f>H144/DAY(B2)</f>
        <v>0.28859972436412806</v>
      </c>
      <c r="K144" s="589"/>
      <c r="L144" s="469"/>
      <c r="O144" s="496"/>
    </row>
    <row r="145" spans="1:15">
      <c r="A145" s="1337" t="s">
        <v>252</v>
      </c>
      <c r="B145" s="1338"/>
      <c r="C145" s="1339"/>
      <c r="D145" s="489" t="s">
        <v>131</v>
      </c>
      <c r="E145" s="490"/>
      <c r="F145" s="490"/>
      <c r="G145" s="492">
        <f>G41+G42+G55+G56</f>
        <v>6975</v>
      </c>
      <c r="H145" s="492">
        <f>G145+'25'!H145</f>
        <v>-32059.77999999997</v>
      </c>
      <c r="I145" s="510"/>
      <c r="J145" s="494">
        <f>H145/DAY(B2)</f>
        <v>-1233.0684615384603</v>
      </c>
      <c r="K145" s="589"/>
      <c r="L145" s="469"/>
      <c r="O145" s="496"/>
    </row>
    <row r="146" spans="1:15" ht="20.100000000000001" customHeight="1">
      <c r="A146" s="1337" t="s">
        <v>253</v>
      </c>
      <c r="B146" s="1338"/>
      <c r="C146" s="1339"/>
      <c r="D146" s="489" t="s">
        <v>24</v>
      </c>
      <c r="E146" s="490"/>
      <c r="F146" s="490"/>
      <c r="G146" s="642">
        <f>G145/G7</f>
        <v>0.30594789016580404</v>
      </c>
      <c r="H146" s="492">
        <f>G146+'25'!H146</f>
        <v>6.9954379958329307</v>
      </c>
      <c r="I146" s="643"/>
      <c r="J146" s="494">
        <f>H146/DAY(B2)</f>
        <v>0.26905530753203577</v>
      </c>
      <c r="K146" s="589"/>
      <c r="L146" s="469"/>
      <c r="O146" s="496"/>
    </row>
    <row r="147" spans="1:15" ht="20.100000000000001" customHeight="1">
      <c r="A147" s="1337" t="s">
        <v>254</v>
      </c>
      <c r="B147" s="1338"/>
      <c r="C147" s="1339"/>
      <c r="D147" s="489" t="s">
        <v>131</v>
      </c>
      <c r="E147" s="490"/>
      <c r="F147" s="490"/>
      <c r="G147" s="492">
        <f>G39+G53</f>
        <v>3903</v>
      </c>
      <c r="H147" s="492">
        <f>G147+'25'!H147</f>
        <v>1049166</v>
      </c>
      <c r="I147" s="644"/>
      <c r="J147" s="494">
        <f>H147/DAY(B2)</f>
        <v>40352.538461538461</v>
      </c>
      <c r="K147" s="589"/>
      <c r="L147" s="469"/>
      <c r="O147" s="496"/>
    </row>
    <row r="148" spans="1:15" ht="20.100000000000001" customHeight="1">
      <c r="A148" s="1337" t="s">
        <v>255</v>
      </c>
      <c r="B148" s="1338"/>
      <c r="C148" s="1339"/>
      <c r="D148" s="489" t="s">
        <v>24</v>
      </c>
      <c r="E148" s="490"/>
      <c r="F148" s="490"/>
      <c r="G148" s="642">
        <f>G147/G7</f>
        <v>0.17119922800245635</v>
      </c>
      <c r="H148" s="492">
        <f>G148+'25'!H148</f>
        <v>7.1543522628534193</v>
      </c>
      <c r="I148" s="644"/>
      <c r="J148" s="494">
        <f>H148/DAY(B2)</f>
        <v>0.27516739472513152</v>
      </c>
      <c r="O148" s="496"/>
    </row>
    <row r="149" spans="1:15" ht="20.100000000000001" customHeight="1">
      <c r="A149" s="1337" t="s">
        <v>256</v>
      </c>
      <c r="B149" s="1338"/>
      <c r="C149" s="1339"/>
      <c r="D149" s="489" t="s">
        <v>182</v>
      </c>
      <c r="E149" s="490"/>
      <c r="F149" s="490"/>
      <c r="G149" s="492">
        <f>G38+G52</f>
        <v>1729</v>
      </c>
      <c r="H149" s="492">
        <f>G149+'25'!H149</f>
        <v>827957.07</v>
      </c>
      <c r="I149" s="510"/>
      <c r="J149" s="494">
        <f>H149/DAY(B2)</f>
        <v>31844.502692307691</v>
      </c>
      <c r="K149" s="645"/>
      <c r="O149" s="496"/>
    </row>
    <row r="150" spans="1:15" ht="20.100000000000001" customHeight="1">
      <c r="A150" s="1337" t="s">
        <v>257</v>
      </c>
      <c r="B150" s="1338"/>
      <c r="C150" s="1339"/>
      <c r="D150" s="489" t="s">
        <v>24</v>
      </c>
      <c r="E150" s="490"/>
      <c r="F150" s="490"/>
      <c r="G150" s="642">
        <f>G149/G7</f>
        <v>7.5839985963681023E-2</v>
      </c>
      <c r="H150" s="492">
        <f>G150+'25'!H150</f>
        <v>4.2684524747310935</v>
      </c>
      <c r="I150" s="644"/>
      <c r="J150" s="494">
        <f>H150/DAY(B2)</f>
        <v>0.16417124902811897</v>
      </c>
      <c r="O150" s="496"/>
    </row>
    <row r="151" spans="1:15" ht="20.100000000000001" customHeight="1">
      <c r="A151" s="1337" t="s">
        <v>258</v>
      </c>
      <c r="B151" s="1338"/>
      <c r="C151" s="1339"/>
      <c r="D151" s="489" t="s">
        <v>182</v>
      </c>
      <c r="E151" s="490"/>
      <c r="F151" s="490"/>
      <c r="G151" s="492">
        <f>G36+G50</f>
        <v>1883</v>
      </c>
      <c r="H151" s="492">
        <f>G151+'25'!H151</f>
        <v>58865</v>
      </c>
      <c r="I151" s="644"/>
      <c r="J151" s="494">
        <f>H151/DAY(B2)</f>
        <v>2264.0384615384614</v>
      </c>
      <c r="O151" s="496"/>
    </row>
    <row r="152" spans="1:15" ht="20.100000000000001" customHeight="1">
      <c r="A152" s="1337" t="s">
        <v>259</v>
      </c>
      <c r="B152" s="1338"/>
      <c r="C152" s="1339"/>
      <c r="D152" s="489" t="s">
        <v>24</v>
      </c>
      <c r="E152" s="490"/>
      <c r="F152" s="490"/>
      <c r="G152" s="642">
        <f>G151/G7</f>
        <v>8.2594964470567592E-2</v>
      </c>
      <c r="H152" s="492">
        <f>G152+'25'!H152</f>
        <v>2.2346585573322941</v>
      </c>
      <c r="I152" s="510"/>
      <c r="J152" s="494">
        <f>H152/DAY(B2)</f>
        <v>8.5948406051242085E-2</v>
      </c>
      <c r="O152" s="496"/>
    </row>
    <row r="153" spans="1:15" ht="20.100000000000001" customHeight="1">
      <c r="A153" s="1337" t="s">
        <v>260</v>
      </c>
      <c r="B153" s="1338"/>
      <c r="C153" s="1339"/>
      <c r="D153" s="489" t="s">
        <v>182</v>
      </c>
      <c r="E153" s="490"/>
      <c r="F153" s="490"/>
      <c r="G153" s="492">
        <f>G37+G51</f>
        <v>1519</v>
      </c>
      <c r="H153" s="492">
        <f>G153+'25'!H153</f>
        <v>408074.87000000005</v>
      </c>
      <c r="I153" s="510"/>
      <c r="J153" s="494">
        <f>H153/DAY(B2)</f>
        <v>15695.187307692309</v>
      </c>
      <c r="O153" s="496"/>
    </row>
    <row r="154" spans="1:15" ht="20.100000000000001" customHeight="1" thickBot="1">
      <c r="A154" s="1340" t="s">
        <v>261</v>
      </c>
      <c r="B154" s="1341"/>
      <c r="C154" s="1342"/>
      <c r="D154" s="646" t="s">
        <v>24</v>
      </c>
      <c r="E154" s="647"/>
      <c r="F154" s="647"/>
      <c r="G154" s="648">
        <f>G153/G7</f>
        <v>6.6628651636108427E-2</v>
      </c>
      <c r="H154" s="492">
        <f>G154+'25'!H154</f>
        <v>2.8956518547708017</v>
      </c>
      <c r="I154" s="649"/>
      <c r="J154" s="650">
        <f>H154/DAY(B2)</f>
        <v>0.11137122518349238</v>
      </c>
      <c r="O154" s="496"/>
    </row>
    <row r="155" spans="1:15" ht="44.25" customHeight="1">
      <c r="A155" s="651"/>
      <c r="B155" s="651"/>
      <c r="C155" s="651"/>
      <c r="D155" s="651"/>
      <c r="E155" s="651"/>
      <c r="F155" s="651"/>
      <c r="G155" s="651"/>
      <c r="H155" s="652"/>
      <c r="I155" s="651"/>
      <c r="J155" s="653"/>
      <c r="O155" s="496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641" t="s">
        <v>262</v>
      </c>
      <c r="B161" s="641"/>
      <c r="C161" s="641"/>
      <c r="D161" s="476" t="s">
        <v>186</v>
      </c>
      <c r="E161" s="490">
        <f>'25'!F161</f>
        <v>45312</v>
      </c>
      <c r="F161" s="665">
        <v>45394</v>
      </c>
      <c r="G161" s="491">
        <f t="shared" ref="G161:G164" si="16">F161-E161</f>
        <v>82</v>
      </c>
    </row>
    <row r="162" spans="1:7" ht="21.75" customHeight="1">
      <c r="A162" s="641" t="s">
        <v>263</v>
      </c>
      <c r="B162" s="641"/>
      <c r="C162" s="641"/>
      <c r="D162" s="476" t="s">
        <v>186</v>
      </c>
      <c r="E162" s="490">
        <f>'25'!F162</f>
        <v>133655</v>
      </c>
      <c r="F162" s="665">
        <v>134090</v>
      </c>
      <c r="G162" s="491">
        <f t="shared" si="16"/>
        <v>435</v>
      </c>
    </row>
    <row r="163" spans="1:7" ht="21.75" customHeight="1">
      <c r="A163" s="641" t="s">
        <v>264</v>
      </c>
      <c r="B163" s="641"/>
      <c r="C163" s="641"/>
      <c r="D163" s="476" t="s">
        <v>186</v>
      </c>
      <c r="E163" s="490">
        <f>'25'!F163</f>
        <v>62542</v>
      </c>
      <c r="F163" s="665">
        <v>62753</v>
      </c>
      <c r="G163" s="491">
        <f t="shared" si="16"/>
        <v>211</v>
      </c>
    </row>
    <row r="164" spans="1:7" ht="21.75" customHeight="1">
      <c r="A164" s="641" t="s">
        <v>265</v>
      </c>
      <c r="B164" s="641"/>
      <c r="C164" s="641"/>
      <c r="D164" s="476" t="s">
        <v>186</v>
      </c>
      <c r="E164" s="490">
        <f>'25'!F164</f>
        <v>7398</v>
      </c>
      <c r="F164" s="665">
        <v>7408</v>
      </c>
      <c r="G164" s="491">
        <f t="shared" si="16"/>
        <v>10</v>
      </c>
    </row>
    <row r="165" spans="1:7" ht="21.75" customHeight="1">
      <c r="A165" s="571" t="s">
        <v>97</v>
      </c>
      <c r="B165" s="571"/>
      <c r="C165" s="571"/>
      <c r="D165" s="476" t="s">
        <v>186</v>
      </c>
      <c r="E165" s="572">
        <f>E62</f>
        <v>20419</v>
      </c>
      <c r="F165" s="572">
        <f>F62</f>
        <v>20419</v>
      </c>
      <c r="G165" s="491">
        <f t="shared" ref="G165:G172" si="17">F165-E165</f>
        <v>0</v>
      </c>
    </row>
    <row r="166" spans="1:7" ht="21.75" customHeight="1">
      <c r="A166" s="571" t="s">
        <v>187</v>
      </c>
      <c r="B166" s="571"/>
      <c r="C166" s="571"/>
      <c r="D166" s="476" t="s">
        <v>186</v>
      </c>
      <c r="E166" s="572">
        <f t="shared" ref="E166:E172" si="18">E63</f>
        <v>0</v>
      </c>
      <c r="F166" s="572">
        <f t="shared" ref="F166:F172" si="19">F63</f>
        <v>0</v>
      </c>
      <c r="G166" s="491">
        <f t="shared" si="17"/>
        <v>0</v>
      </c>
    </row>
    <row r="167" spans="1:7" ht="21.75" customHeight="1">
      <c r="A167" s="1312" t="s">
        <v>98</v>
      </c>
      <c r="B167" s="1312"/>
      <c r="C167" s="1312"/>
      <c r="D167" s="489" t="s">
        <v>186</v>
      </c>
      <c r="E167" s="572">
        <f t="shared" si="18"/>
        <v>191729</v>
      </c>
      <c r="F167" s="572">
        <f t="shared" si="19"/>
        <v>192164</v>
      </c>
      <c r="G167" s="491">
        <f t="shared" si="17"/>
        <v>435</v>
      </c>
    </row>
    <row r="168" spans="1:7" ht="21.75" customHeight="1">
      <c r="A168" s="1312" t="s">
        <v>99</v>
      </c>
      <c r="B168" s="1312"/>
      <c r="C168" s="1312"/>
      <c r="D168" s="489" t="s">
        <v>186</v>
      </c>
      <c r="E168" s="572">
        <f t="shared" si="18"/>
        <v>192279</v>
      </c>
      <c r="F168" s="572">
        <f t="shared" si="19"/>
        <v>192664</v>
      </c>
      <c r="G168" s="491">
        <f t="shared" si="17"/>
        <v>385</v>
      </c>
    </row>
    <row r="169" spans="1:7" ht="21.75" customHeight="1">
      <c r="A169" s="1312" t="s">
        <v>100</v>
      </c>
      <c r="B169" s="1312"/>
      <c r="C169" s="1312"/>
      <c r="D169" s="489" t="s">
        <v>186</v>
      </c>
      <c r="E169" s="572">
        <f t="shared" si="18"/>
        <v>90845</v>
      </c>
      <c r="F169" s="572">
        <f t="shared" si="19"/>
        <v>91251</v>
      </c>
      <c r="G169" s="491">
        <f t="shared" si="17"/>
        <v>406</v>
      </c>
    </row>
    <row r="170" spans="1:7" ht="21.75" customHeight="1">
      <c r="A170" s="1312" t="s">
        <v>101</v>
      </c>
      <c r="B170" s="1312"/>
      <c r="C170" s="1312"/>
      <c r="D170" s="489" t="s">
        <v>186</v>
      </c>
      <c r="E170" s="572">
        <f t="shared" si="18"/>
        <v>291822</v>
      </c>
      <c r="F170" s="572">
        <f t="shared" si="19"/>
        <v>292353</v>
      </c>
      <c r="G170" s="491">
        <f t="shared" si="17"/>
        <v>531</v>
      </c>
    </row>
    <row r="171" spans="1:7" ht="24" customHeight="1">
      <c r="A171" s="1312" t="s">
        <v>102</v>
      </c>
      <c r="B171" s="1312"/>
      <c r="C171" s="1312"/>
      <c r="D171" s="489" t="s">
        <v>186</v>
      </c>
      <c r="E171" s="572">
        <f t="shared" si="18"/>
        <v>85321</v>
      </c>
      <c r="F171" s="572">
        <f t="shared" si="19"/>
        <v>85321</v>
      </c>
      <c r="G171" s="491">
        <f t="shared" si="17"/>
        <v>0</v>
      </c>
    </row>
    <row r="172" spans="1:7">
      <c r="A172" s="1312" t="s">
        <v>103</v>
      </c>
      <c r="B172" s="1312"/>
      <c r="C172" s="1312"/>
      <c r="D172" s="489" t="s">
        <v>186</v>
      </c>
      <c r="E172" s="572">
        <f t="shared" si="18"/>
        <v>104462</v>
      </c>
      <c r="F172" s="572">
        <f t="shared" si="19"/>
        <v>104789</v>
      </c>
      <c r="G172" s="491">
        <f t="shared" si="17"/>
        <v>327</v>
      </c>
    </row>
    <row r="173" spans="1:7">
      <c r="G173" s="656">
        <f>SUM(G161:G172)</f>
        <v>2822</v>
      </c>
    </row>
    <row r="174" spans="1:7">
      <c r="A174" s="1312" t="s">
        <v>333</v>
      </c>
      <c r="B174" s="1312"/>
      <c r="C174" s="1312"/>
      <c r="D174" s="489" t="s">
        <v>186</v>
      </c>
      <c r="E174" s="490">
        <v>28706</v>
      </c>
      <c r="F174" s="889">
        <v>28716</v>
      </c>
      <c r="G174" s="491">
        <f t="shared" ref="G174:G176" si="20">F174-E174</f>
        <v>10</v>
      </c>
    </row>
    <row r="175" spans="1:7">
      <c r="A175" s="1313" t="s">
        <v>337</v>
      </c>
      <c r="B175" s="1314"/>
      <c r="C175" s="641"/>
      <c r="D175" s="489" t="s">
        <v>186</v>
      </c>
      <c r="E175" s="490">
        <v>19199</v>
      </c>
      <c r="F175" s="619">
        <v>19204</v>
      </c>
      <c r="G175" s="491">
        <f t="shared" si="20"/>
        <v>5</v>
      </c>
    </row>
    <row r="176" spans="1:7">
      <c r="A176" s="1313" t="s">
        <v>338</v>
      </c>
      <c r="B176" s="1314"/>
      <c r="D176" s="489" t="s">
        <v>186</v>
      </c>
      <c r="E176" s="490">
        <v>27924</v>
      </c>
      <c r="F176" s="1169">
        <v>27935</v>
      </c>
      <c r="G176" s="491">
        <f t="shared" si="20"/>
        <v>11</v>
      </c>
    </row>
    <row r="177" spans="1:15" ht="18.75" customHeight="1">
      <c r="A177" s="1296" t="s">
        <v>382</v>
      </c>
      <c r="B177" s="1296"/>
      <c r="C177" s="1296"/>
      <c r="D177" s="1296"/>
      <c r="E177" s="1296"/>
      <c r="F177" s="1296"/>
      <c r="G177" s="1296"/>
      <c r="J177" s="657"/>
    </row>
    <row r="178" spans="1:15" s="67" customFormat="1" ht="29.25">
      <c r="A178" s="435"/>
      <c r="B178" s="436"/>
      <c r="C178" s="436"/>
      <c r="D178" s="174" t="s">
        <v>186</v>
      </c>
      <c r="E178" s="490">
        <f>'25'!F178</f>
        <v>0</v>
      </c>
      <c r="F178" s="193"/>
      <c r="G178" s="124">
        <f t="shared" ref="G178:G184" si="21">F178-E178</f>
        <v>0</v>
      </c>
      <c r="H178" s="189"/>
      <c r="I178" s="188"/>
      <c r="J178" s="190"/>
      <c r="N178" s="369"/>
      <c r="O178" s="374"/>
    </row>
    <row r="179" spans="1:15" s="67" customFormat="1" ht="29.25">
      <c r="A179" s="435" t="s">
        <v>383</v>
      </c>
      <c r="B179" s="436"/>
      <c r="C179" s="436"/>
      <c r="D179" s="174" t="s">
        <v>186</v>
      </c>
      <c r="E179" s="490">
        <f>'25'!F179</f>
        <v>0</v>
      </c>
      <c r="F179" s="193"/>
      <c r="G179" s="124">
        <f t="shared" si="21"/>
        <v>0</v>
      </c>
      <c r="H179" s="189"/>
      <c r="I179" s="188"/>
      <c r="J179" s="190"/>
      <c r="N179" s="369"/>
      <c r="O179" s="374"/>
    </row>
    <row r="180" spans="1:15" s="67" customFormat="1" ht="29.25">
      <c r="A180" s="435" t="s">
        <v>384</v>
      </c>
      <c r="B180" s="436"/>
      <c r="C180" s="436"/>
      <c r="D180" s="174" t="s">
        <v>186</v>
      </c>
      <c r="E180" s="490">
        <f>'25'!F180</f>
        <v>0</v>
      </c>
      <c r="F180" s="193"/>
      <c r="G180" s="124">
        <f t="shared" si="21"/>
        <v>0</v>
      </c>
      <c r="H180" s="189"/>
      <c r="I180" s="188"/>
      <c r="J180" s="190"/>
      <c r="N180" s="369"/>
      <c r="O180" s="374"/>
    </row>
    <row r="181" spans="1:15" ht="29.25">
      <c r="A181" s="435" t="s">
        <v>385</v>
      </c>
      <c r="B181" s="436"/>
      <c r="C181" s="436"/>
      <c r="D181" s="174" t="s">
        <v>186</v>
      </c>
      <c r="E181" s="490">
        <f>'25'!F181</f>
        <v>0</v>
      </c>
      <c r="F181" s="193"/>
      <c r="G181" s="124">
        <f t="shared" si="21"/>
        <v>0</v>
      </c>
    </row>
    <row r="182" spans="1:15" ht="29.25">
      <c r="A182" s="435" t="s">
        <v>386</v>
      </c>
      <c r="B182" s="436"/>
      <c r="C182" s="436"/>
      <c r="D182" s="174" t="s">
        <v>186</v>
      </c>
      <c r="E182" s="490">
        <f>'25'!F182</f>
        <v>0</v>
      </c>
      <c r="F182" s="193"/>
      <c r="G182" s="124">
        <f t="shared" si="21"/>
        <v>0</v>
      </c>
    </row>
    <row r="183" spans="1:15" ht="29.25">
      <c r="A183" s="435" t="s">
        <v>387</v>
      </c>
      <c r="B183" s="436"/>
      <c r="C183" s="436"/>
      <c r="D183" s="174" t="s">
        <v>186</v>
      </c>
      <c r="E183" s="490">
        <f>'25'!F183</f>
        <v>0</v>
      </c>
      <c r="F183" s="193"/>
      <c r="G183" s="124">
        <f t="shared" si="21"/>
        <v>0</v>
      </c>
    </row>
    <row r="184" spans="1:15" ht="29.25">
      <c r="A184" s="435" t="s">
        <v>388</v>
      </c>
      <c r="B184" s="436"/>
      <c r="C184" s="436"/>
      <c r="D184" s="174" t="s">
        <v>186</v>
      </c>
      <c r="E184" s="490">
        <f>'25'!F184</f>
        <v>0</v>
      </c>
      <c r="F184" s="193"/>
      <c r="G184" s="124">
        <f t="shared" si="21"/>
        <v>0</v>
      </c>
    </row>
  </sheetData>
  <mergeCells count="78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4:C174"/>
    <mergeCell ref="A176:B176"/>
    <mergeCell ref="A175:B175"/>
    <mergeCell ref="A177:G177"/>
    <mergeCell ref="A172:C172"/>
  </mergeCells>
  <pageMargins left="0.22" right="0.17" top="0.14000000000000001" bottom="0.2" header="0.2" footer="0.2"/>
  <pageSetup paperSize="5" scale="26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P184"/>
  <sheetViews>
    <sheetView view="pageBreakPreview" topLeftCell="A19" zoomScale="55" zoomScaleSheetLayoutView="55" workbookViewId="0">
      <selection activeCell="F8" sqref="F8"/>
    </sheetView>
  </sheetViews>
  <sheetFormatPr defaultColWidth="22.33203125" defaultRowHeight="29.2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4" s="57" customFormat="1" ht="27">
      <c r="A2" s="226" t="s">
        <v>357</v>
      </c>
      <c r="B2" s="751">
        <v>44070</v>
      </c>
      <c r="C2" s="761" t="s">
        <v>68</v>
      </c>
      <c r="D2" s="262">
        <v>0.72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>
      <c r="A3" s="221"/>
      <c r="B3" s="265"/>
      <c r="C3" s="761" t="s">
        <v>119</v>
      </c>
      <c r="D3" s="263">
        <v>29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4" s="57" customFormat="1" ht="27">
      <c r="A4" s="227"/>
      <c r="B4" s="267"/>
      <c r="C4" s="761" t="s">
        <v>121</v>
      </c>
      <c r="D4" s="262">
        <v>0.85</v>
      </c>
      <c r="E4" s="115"/>
      <c r="F4" s="115"/>
      <c r="G4" s="115"/>
      <c r="H4" s="115"/>
      <c r="I4" s="116"/>
      <c r="J4" s="266"/>
      <c r="K4" s="64"/>
      <c r="L4" s="58"/>
    </row>
    <row r="5" spans="1:1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>
      <c r="A7" s="327" t="s">
        <v>130</v>
      </c>
      <c r="B7" s="328"/>
      <c r="C7" s="328"/>
      <c r="D7" s="288" t="s">
        <v>131</v>
      </c>
      <c r="E7" s="284">
        <f>'26'!F7</f>
        <v>187852</v>
      </c>
      <c r="F7" s="106">
        <v>206684</v>
      </c>
      <c r="G7" s="329">
        <f>F7-E7</f>
        <v>18832</v>
      </c>
      <c r="H7" s="330">
        <f>G7+'26'!H7</f>
        <v>907992.3899999999</v>
      </c>
      <c r="I7" s="331">
        <f>'1'!I7</f>
        <v>12000</v>
      </c>
      <c r="J7" s="332">
        <f>H7/DAY(B2)</f>
        <v>33629.347777777773</v>
      </c>
      <c r="K7" s="200"/>
      <c r="L7" s="68">
        <v>1375467</v>
      </c>
      <c r="N7" s="73"/>
    </row>
    <row r="8" spans="1:14" ht="27.75" thickBot="1">
      <c r="A8" s="333" t="s">
        <v>132</v>
      </c>
      <c r="B8" s="334"/>
      <c r="C8" s="335"/>
      <c r="D8" s="336" t="s">
        <v>25</v>
      </c>
      <c r="E8" s="284">
        <f>'26'!F8</f>
        <v>194702.74</v>
      </c>
      <c r="F8" s="126">
        <f>E8+22500</f>
        <v>217202.74</v>
      </c>
      <c r="G8" s="340">
        <f>F8-E8</f>
        <v>22500</v>
      </c>
      <c r="H8" s="330">
        <f>G8+'26'!H8</f>
        <v>910149</v>
      </c>
      <c r="I8" s="337">
        <f>'1'!I8</f>
        <v>12000</v>
      </c>
      <c r="J8" s="332">
        <f>H8/DAY(B2)</f>
        <v>33709.222222222219</v>
      </c>
      <c r="K8" s="200"/>
      <c r="L8" s="78"/>
      <c r="M8" s="91"/>
      <c r="N8" s="354"/>
    </row>
    <row r="9" spans="1:14">
      <c r="A9" s="338" t="s">
        <v>133</v>
      </c>
      <c r="B9" s="339"/>
      <c r="C9" s="339"/>
      <c r="D9" s="288" t="s">
        <v>131</v>
      </c>
      <c r="E9" s="285">
        <f>'26'!F9</f>
        <v>3258189</v>
      </c>
      <c r="F9" s="129">
        <v>3276440</v>
      </c>
      <c r="G9" s="353">
        <f t="shared" ref="G9:G12" si="0">F9-E9</f>
        <v>18251</v>
      </c>
      <c r="H9" s="330">
        <f>G9+'26'!H9</f>
        <v>3193910</v>
      </c>
      <c r="I9" s="341">
        <f>I8-J8</f>
        <v>-21709.222222222219</v>
      </c>
      <c r="J9" s="332">
        <f>H9/DAY(B2)</f>
        <v>118292.96296296296</v>
      </c>
      <c r="K9" s="81"/>
      <c r="L9" s="68"/>
      <c r="N9" s="73"/>
    </row>
    <row r="10" spans="1:14">
      <c r="A10" s="327" t="s">
        <v>134</v>
      </c>
      <c r="B10" s="328"/>
      <c r="C10" s="328"/>
      <c r="D10" s="288" t="s">
        <v>131</v>
      </c>
      <c r="E10" s="285">
        <f>'26'!F10</f>
        <v>2606.5500000000002</v>
      </c>
      <c r="F10" s="129">
        <v>2606.65</v>
      </c>
      <c r="G10" s="340">
        <f t="shared" si="0"/>
        <v>9.9999999999909051E-2</v>
      </c>
      <c r="H10" s="330">
        <f>G10+'26'!H10</f>
        <v>-0.34999999999990905</v>
      </c>
      <c r="I10" s="342"/>
      <c r="J10" s="332">
        <f>H10/DAY(B2)</f>
        <v>-1.2962962962959594E-2</v>
      </c>
      <c r="K10" s="81"/>
      <c r="L10" s="68"/>
      <c r="N10" s="73" t="s">
        <v>378</v>
      </c>
    </row>
    <row r="11" spans="1:1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G11+'26'!H11</f>
        <v>0</v>
      </c>
      <c r="I11" s="342"/>
      <c r="J11" s="332">
        <f>H11/DAY(B2)</f>
        <v>0</v>
      </c>
      <c r="K11" s="81"/>
      <c r="L11" s="68"/>
      <c r="N11" s="73" t="s">
        <v>379</v>
      </c>
    </row>
    <row r="12" spans="1:14">
      <c r="A12" s="327" t="s">
        <v>136</v>
      </c>
      <c r="B12" s="328"/>
      <c r="C12" s="328"/>
      <c r="D12" s="288" t="s">
        <v>131</v>
      </c>
      <c r="E12" s="285">
        <f>'5'!E12</f>
        <v>40010</v>
      </c>
      <c r="F12" s="129">
        <v>40010</v>
      </c>
      <c r="G12" s="340">
        <f t="shared" si="0"/>
        <v>0</v>
      </c>
      <c r="H12" s="330">
        <f>G12+'26'!H12</f>
        <v>0</v>
      </c>
      <c r="I12" s="342"/>
      <c r="J12" s="332">
        <f>H12/DAY(B2)</f>
        <v>0</v>
      </c>
      <c r="K12" s="81"/>
      <c r="L12" s="68"/>
      <c r="N12" s="73"/>
    </row>
    <row r="13" spans="1:14">
      <c r="A13" s="343" t="s">
        <v>137</v>
      </c>
      <c r="B13" s="344"/>
      <c r="C13" s="344"/>
      <c r="D13" s="288"/>
      <c r="E13" s="284"/>
      <c r="F13" s="106"/>
      <c r="G13" s="345">
        <f>G9+G10+G11+G12</f>
        <v>18251.099999999999</v>
      </c>
      <c r="H13" s="330">
        <f>G13+'26'!H13</f>
        <v>3149894.16</v>
      </c>
      <c r="I13" s="346">
        <f>G7-G13</f>
        <v>580.90000000000146</v>
      </c>
      <c r="J13" s="332">
        <f>H13/DAY(B2)</f>
        <v>116662.74666666667</v>
      </c>
      <c r="K13" s="81"/>
      <c r="L13" s="68"/>
      <c r="N13" s="73"/>
    </row>
    <row r="14" spans="1:14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>
      <c r="A15" s="316" t="s">
        <v>139</v>
      </c>
      <c r="B15" s="317"/>
      <c r="C15" s="317"/>
      <c r="D15" s="318" t="s">
        <v>140</v>
      </c>
      <c r="E15" s="319">
        <f>'26'!F15</f>
        <v>1752261</v>
      </c>
      <c r="F15" s="351">
        <v>1753106</v>
      </c>
      <c r="G15" s="315">
        <f>(F15-E15)</f>
        <v>845</v>
      </c>
      <c r="H15" s="321">
        <f>G15+'26'!H15</f>
        <v>-3424</v>
      </c>
      <c r="I15" s="322">
        <v>800</v>
      </c>
      <c r="J15" s="898">
        <f>H15/DAY(B2)</f>
        <v>-126.81481481481481</v>
      </c>
      <c r="K15" s="81"/>
      <c r="L15" s="68"/>
      <c r="N15" s="73"/>
    </row>
    <row r="16" spans="1:1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926.81481481481478</v>
      </c>
      <c r="J16" s="323"/>
      <c r="K16" s="81"/>
      <c r="L16" s="68"/>
      <c r="N16" s="73"/>
    </row>
    <row r="17" spans="1:16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6" ht="27.75">
      <c r="A18" s="1293" t="s">
        <v>142</v>
      </c>
      <c r="B18" s="1294"/>
      <c r="C18" s="1295"/>
      <c r="D18" s="288" t="s">
        <v>143</v>
      </c>
      <c r="E18" s="285">
        <f>'26'!F18</f>
        <v>17</v>
      </c>
      <c r="F18" s="129">
        <v>20</v>
      </c>
      <c r="G18" s="345">
        <f>F18*10</f>
        <v>200</v>
      </c>
      <c r="H18" s="330">
        <f>G18+'26'!H18</f>
        <v>4330</v>
      </c>
      <c r="I18" s="331">
        <f>'1'!I18</f>
        <v>65</v>
      </c>
      <c r="J18" s="332">
        <f>H18/DAY(B2)</f>
        <v>160.37037037037038</v>
      </c>
      <c r="K18" s="81"/>
      <c r="L18" s="68"/>
      <c r="N18" s="73"/>
    </row>
    <row r="19" spans="1:16" ht="27.75">
      <c r="A19" s="1293" t="s">
        <v>70</v>
      </c>
      <c r="B19" s="1294"/>
      <c r="C19" s="1295"/>
      <c r="D19" s="288" t="s">
        <v>143</v>
      </c>
      <c r="E19" s="285">
        <f>'26'!F19</f>
        <v>145035</v>
      </c>
      <c r="F19" s="129">
        <f>E19+60</f>
        <v>145095</v>
      </c>
      <c r="G19" s="340">
        <f t="shared" ref="G19" si="1">F19-E19</f>
        <v>60</v>
      </c>
      <c r="H19" s="330">
        <f>G19+'26'!H19</f>
        <v>-243</v>
      </c>
      <c r="I19" s="347"/>
      <c r="J19" s="332">
        <f>H19/DAY(B2)</f>
        <v>-9</v>
      </c>
      <c r="K19" s="81"/>
      <c r="L19" s="68"/>
      <c r="N19" s="73"/>
      <c r="P19" s="67" t="s">
        <v>272</v>
      </c>
    </row>
    <row r="20" spans="1:16">
      <c r="A20" s="343" t="s">
        <v>144</v>
      </c>
      <c r="B20" s="344"/>
      <c r="C20" s="344"/>
      <c r="D20" s="288"/>
      <c r="E20" s="288"/>
      <c r="F20" s="174"/>
      <c r="G20" s="348">
        <f>G18+G19</f>
        <v>260</v>
      </c>
      <c r="H20" s="330">
        <f>G20+'26'!H20</f>
        <v>4087</v>
      </c>
      <c r="I20" s="349">
        <f>I18-J20</f>
        <v>-86.370370370370381</v>
      </c>
      <c r="J20" s="332">
        <f>H20/DAY(B2)</f>
        <v>151.37037037037038</v>
      </c>
      <c r="K20" s="81"/>
      <c r="L20" s="68"/>
      <c r="N20" s="73"/>
    </row>
    <row r="21" spans="1:16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6">
      <c r="A22" s="759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6">
      <c r="A23" s="759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6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6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6" s="93" customFormat="1" ht="27.7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6" s="93" customFormat="1" ht="27.75">
      <c r="A27" s="243" t="s">
        <v>6</v>
      </c>
      <c r="B27" s="244"/>
      <c r="C27" s="245"/>
      <c r="D27" s="270" t="s">
        <v>25</v>
      </c>
      <c r="E27" s="350">
        <f>G8</f>
        <v>22500</v>
      </c>
      <c r="F27" s="152">
        <v>9</v>
      </c>
      <c r="G27" s="153">
        <f>E27*F27</f>
        <v>202500</v>
      </c>
      <c r="H27" s="111">
        <f>G27+'26'!H27</f>
        <v>8184303</v>
      </c>
      <c r="I27" s="154"/>
      <c r="J27" s="203">
        <f>H27/DAY(B2)</f>
        <v>303122.33333333331</v>
      </c>
      <c r="K27" s="65"/>
      <c r="L27" s="94"/>
      <c r="N27" s="73"/>
    </row>
    <row r="28" spans="1:16" s="93" customFormat="1" ht="27.75">
      <c r="A28" s="243" t="s">
        <v>153</v>
      </c>
      <c r="B28" s="244"/>
      <c r="C28" s="245"/>
      <c r="D28" s="270" t="s">
        <v>154</v>
      </c>
      <c r="E28" s="350">
        <f>G15</f>
        <v>845</v>
      </c>
      <c r="F28" s="152">
        <v>56.2</v>
      </c>
      <c r="G28" s="153">
        <f>E28*F28</f>
        <v>47489</v>
      </c>
      <c r="H28" s="111">
        <f>G28+'26'!H28</f>
        <v>-196996.77139999982</v>
      </c>
      <c r="I28" s="156"/>
      <c r="J28" s="203">
        <f>H28/DAY(B2)</f>
        <v>-7296.1767185185117</v>
      </c>
      <c r="K28" s="65"/>
      <c r="L28" s="94"/>
      <c r="N28" s="73"/>
    </row>
    <row r="29" spans="1:16" s="93" customFormat="1" ht="27.7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6" s="93" customFormat="1" ht="27.7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G30+'26'!H30</f>
        <v>-35478</v>
      </c>
      <c r="I30" s="156"/>
      <c r="J30" s="203">
        <f>H30/DAY(B2)</f>
        <v>-1314</v>
      </c>
      <c r="K30" s="65"/>
      <c r="L30" s="94"/>
      <c r="N30" s="73"/>
    </row>
    <row r="31" spans="1:16" s="93" customFormat="1" ht="27.7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G31+'26'!H31</f>
        <v>341164</v>
      </c>
      <c r="I31" s="156"/>
      <c r="J31" s="203">
        <f>H31/DAY(B2)</f>
        <v>12635.703703703704</v>
      </c>
      <c r="K31" s="65"/>
      <c r="L31" s="94"/>
      <c r="N31" s="73"/>
    </row>
    <row r="32" spans="1:16" s="93" customFormat="1" ht="27.75">
      <c r="A32" s="246" t="s">
        <v>160</v>
      </c>
      <c r="B32" s="247"/>
      <c r="C32" s="248"/>
      <c r="D32" s="158"/>
      <c r="E32" s="158"/>
      <c r="F32" s="175"/>
      <c r="G32" s="159">
        <f>G27+G28+G29+G30+G31</f>
        <v>274749</v>
      </c>
      <c r="H32" s="111">
        <f>G32+'26'!H32</f>
        <v>8292992.2286</v>
      </c>
      <c r="I32" s="160"/>
      <c r="J32" s="203">
        <f>H32/DAY(B2)</f>
        <v>307147.86031851853</v>
      </c>
      <c r="K32" s="65"/>
      <c r="L32" s="94"/>
      <c r="N32" s="73"/>
    </row>
    <row r="33" spans="1:14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3"/>
    </row>
    <row r="34" spans="1:14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>
      <c r="A35" s="229" t="s">
        <v>163</v>
      </c>
      <c r="B35" s="230"/>
      <c r="C35" s="230"/>
      <c r="D35" s="174" t="s">
        <v>131</v>
      </c>
      <c r="E35" s="161">
        <f>'26'!F35</f>
        <v>1058597</v>
      </c>
      <c r="F35" s="161">
        <v>1058597</v>
      </c>
      <c r="G35" s="124">
        <f t="shared" ref="G35:G46" si="3">F35-E35</f>
        <v>0</v>
      </c>
      <c r="H35" s="111">
        <f>G35+'26'!H35</f>
        <v>0</v>
      </c>
      <c r="I35" s="106"/>
      <c r="J35" s="203">
        <f>H35/DAY(B2)</f>
        <v>0</v>
      </c>
      <c r="K35" s="81"/>
      <c r="L35" s="68"/>
      <c r="N35" s="73"/>
    </row>
    <row r="36" spans="1:14">
      <c r="A36" s="229" t="s">
        <v>164</v>
      </c>
      <c r="B36" s="230"/>
      <c r="C36" s="230"/>
      <c r="D36" s="174" t="s">
        <v>131</v>
      </c>
      <c r="E36" s="161">
        <f>'26'!F36</f>
        <v>66004</v>
      </c>
      <c r="F36" s="161">
        <v>66697</v>
      </c>
      <c r="G36" s="124">
        <f t="shared" si="3"/>
        <v>693</v>
      </c>
      <c r="H36" s="111">
        <f>G36+'26'!H36</f>
        <v>64864</v>
      </c>
      <c r="I36" s="106"/>
      <c r="J36" s="203">
        <f>H36/DAY(B2)</f>
        <v>2402.3703703703704</v>
      </c>
      <c r="K36" s="81"/>
      <c r="L36" s="68"/>
      <c r="N36" s="279"/>
    </row>
    <row r="37" spans="1:14">
      <c r="A37" s="229" t="s">
        <v>165</v>
      </c>
      <c r="B37" s="230"/>
      <c r="C37" s="230"/>
      <c r="D37" s="174" t="s">
        <v>131</v>
      </c>
      <c r="E37" s="161">
        <f>'26'!F37</f>
        <v>267210</v>
      </c>
      <c r="F37" s="161">
        <v>268691</v>
      </c>
      <c r="G37" s="124">
        <f t="shared" si="3"/>
        <v>1481</v>
      </c>
      <c r="H37" s="111">
        <f>G37+'26'!H37</f>
        <v>264916</v>
      </c>
      <c r="I37" s="106"/>
      <c r="J37" s="203">
        <f>H37/DAY(B2)</f>
        <v>9811.7037037037044</v>
      </c>
      <c r="K37" s="81"/>
      <c r="L37" s="68"/>
      <c r="N37" s="280"/>
    </row>
    <row r="38" spans="1:14">
      <c r="A38" s="229" t="s">
        <v>166</v>
      </c>
      <c r="B38" s="230"/>
      <c r="C38" s="230"/>
      <c r="D38" s="174" t="s">
        <v>131</v>
      </c>
      <c r="E38" s="161">
        <f>'26'!F38</f>
        <v>293174</v>
      </c>
      <c r="F38" s="120">
        <v>294932</v>
      </c>
      <c r="G38" s="124">
        <f t="shared" si="3"/>
        <v>1758</v>
      </c>
      <c r="H38" s="111">
        <f>G38+'26'!H38</f>
        <v>290109</v>
      </c>
      <c r="I38" s="106"/>
      <c r="J38" s="203">
        <f>H38/DAY(B2)</f>
        <v>10744.777777777777</v>
      </c>
      <c r="K38" s="81"/>
      <c r="L38" s="68"/>
      <c r="N38" s="73"/>
    </row>
    <row r="39" spans="1:14">
      <c r="A39" s="229" t="s">
        <v>167</v>
      </c>
      <c r="B39" s="230"/>
      <c r="C39" s="230"/>
      <c r="D39" s="174" t="s">
        <v>131</v>
      </c>
      <c r="E39" s="161">
        <f>'26'!F39</f>
        <v>618776</v>
      </c>
      <c r="F39" s="161">
        <v>621983</v>
      </c>
      <c r="G39" s="124">
        <f t="shared" si="3"/>
        <v>3207</v>
      </c>
      <c r="H39" s="111">
        <f>G39+'26'!H39</f>
        <v>618141</v>
      </c>
      <c r="I39" s="106"/>
      <c r="J39" s="203">
        <f>H39/DAY(B2)</f>
        <v>22894.111111111109</v>
      </c>
      <c r="K39" s="81"/>
      <c r="L39" s="68"/>
      <c r="N39" s="73"/>
    </row>
    <row r="40" spans="1:14">
      <c r="A40" s="250" t="s">
        <v>168</v>
      </c>
      <c r="B40" s="251"/>
      <c r="C40" s="251"/>
      <c r="D40" s="174" t="s">
        <v>131</v>
      </c>
      <c r="E40" s="161">
        <f>'26'!F40</f>
        <v>32625</v>
      </c>
      <c r="F40" s="161">
        <v>32966</v>
      </c>
      <c r="G40" s="124">
        <f t="shared" si="3"/>
        <v>341</v>
      </c>
      <c r="H40" s="111">
        <f>G40+'26'!H40</f>
        <v>33123.4</v>
      </c>
      <c r="I40" s="106"/>
      <c r="J40" s="203">
        <f>H40/DAY(B2)</f>
        <v>1226.7925925925927</v>
      </c>
      <c r="K40" s="82"/>
      <c r="L40" s="68"/>
      <c r="N40" s="73"/>
    </row>
    <row r="41" spans="1:14">
      <c r="A41" s="229" t="s">
        <v>169</v>
      </c>
      <c r="B41" s="230"/>
      <c r="C41" s="230"/>
      <c r="D41" s="174" t="s">
        <v>131</v>
      </c>
      <c r="E41" s="161">
        <f>'26'!F41</f>
        <v>433282</v>
      </c>
      <c r="F41" s="161">
        <v>433282</v>
      </c>
      <c r="G41" s="124">
        <f t="shared" si="3"/>
        <v>0</v>
      </c>
      <c r="H41" s="111">
        <f>G41+'26'!H41</f>
        <v>0.21000000002095476</v>
      </c>
      <c r="I41" s="106"/>
      <c r="J41" s="203">
        <f>H41/DAY(B2)</f>
        <v>7.7777777785538798E-3</v>
      </c>
      <c r="K41" s="81"/>
      <c r="L41" s="68"/>
      <c r="N41" s="73"/>
    </row>
    <row r="42" spans="1:14">
      <c r="A42" s="229" t="s">
        <v>170</v>
      </c>
      <c r="B42" s="230"/>
      <c r="C42" s="230"/>
      <c r="D42" s="174" t="s">
        <v>131</v>
      </c>
      <c r="E42" s="161">
        <f>'26'!F42</f>
        <v>158144</v>
      </c>
      <c r="F42" s="161">
        <v>162271</v>
      </c>
      <c r="G42" s="124">
        <f t="shared" si="3"/>
        <v>4127</v>
      </c>
      <c r="H42" s="111">
        <f>G42+'26'!H42</f>
        <v>-12841</v>
      </c>
      <c r="I42" s="106"/>
      <c r="J42" s="203">
        <f>H42/DAY(B2)</f>
        <v>-475.59259259259261</v>
      </c>
      <c r="K42" s="81"/>
      <c r="L42" s="68"/>
      <c r="N42" s="73"/>
    </row>
    <row r="43" spans="1:14">
      <c r="A43" s="229" t="s">
        <v>171</v>
      </c>
      <c r="B43" s="230"/>
      <c r="C43" s="230"/>
      <c r="D43" s="174" t="s">
        <v>131</v>
      </c>
      <c r="E43" s="161">
        <f>'26'!F43</f>
        <v>1276300</v>
      </c>
      <c r="F43" s="161">
        <v>1278680</v>
      </c>
      <c r="G43" s="124">
        <f t="shared" si="3"/>
        <v>2380</v>
      </c>
      <c r="H43" s="111">
        <f>G43+'26'!H43</f>
        <v>-11065</v>
      </c>
      <c r="I43" s="106"/>
      <c r="J43" s="203">
        <f>H43/DAY(B2)</f>
        <v>-409.81481481481484</v>
      </c>
      <c r="K43" s="81"/>
      <c r="L43" s="68"/>
      <c r="N43" s="73"/>
    </row>
    <row r="44" spans="1:1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13987</v>
      </c>
      <c r="H47" s="111">
        <f>G47+'26'!H47</f>
        <v>1248048.6100000003</v>
      </c>
      <c r="I47" s="106"/>
      <c r="J47" s="203">
        <f>H47/DAY(B2)</f>
        <v>46224.022592592606</v>
      </c>
      <c r="K47" s="81"/>
      <c r="L47" s="68"/>
      <c r="N47" s="73"/>
    </row>
    <row r="48" spans="1:14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>
      <c r="A49" s="229" t="s">
        <v>163</v>
      </c>
      <c r="B49" s="252"/>
      <c r="C49" s="252"/>
      <c r="D49" s="174" t="s">
        <v>131</v>
      </c>
      <c r="E49" s="161">
        <f>'26'!F49</f>
        <v>403667</v>
      </c>
      <c r="F49" s="161">
        <v>406160</v>
      </c>
      <c r="G49" s="124">
        <f t="shared" ref="G49:G58" si="4">F49-E49</f>
        <v>2493</v>
      </c>
      <c r="H49" s="111">
        <f>G49+'26'!H49</f>
        <v>389380</v>
      </c>
      <c r="I49" s="106"/>
      <c r="J49" s="203">
        <f>H49/DAY(B2)</f>
        <v>14421.481481481482</v>
      </c>
      <c r="K49" s="81"/>
      <c r="L49" s="68"/>
      <c r="N49" s="73"/>
    </row>
    <row r="50" spans="1:14">
      <c r="A50" s="229" t="s">
        <v>177</v>
      </c>
      <c r="B50" s="252"/>
      <c r="C50" s="252"/>
      <c r="D50" s="174" t="s">
        <v>131</v>
      </c>
      <c r="E50" s="161">
        <f>'26'!F50</f>
        <v>601992</v>
      </c>
      <c r="F50" s="161">
        <f>E50+1064</f>
        <v>603056</v>
      </c>
      <c r="G50" s="124">
        <f t="shared" si="4"/>
        <v>1064</v>
      </c>
      <c r="H50" s="111">
        <f>G50+'26'!H50</f>
        <v>-5162</v>
      </c>
      <c r="I50" s="106"/>
      <c r="J50" s="203">
        <f>H50/DAY(B2)</f>
        <v>-191.18518518518519</v>
      </c>
      <c r="K50" s="81"/>
      <c r="L50" s="68"/>
      <c r="N50" s="73"/>
    </row>
    <row r="51" spans="1:14">
      <c r="A51" s="229" t="s">
        <v>165</v>
      </c>
      <c r="B51" s="252"/>
      <c r="C51" s="252"/>
      <c r="D51" s="174" t="s">
        <v>131</v>
      </c>
      <c r="E51" s="161">
        <f>'26'!F51</f>
        <v>144639.87</v>
      </c>
      <c r="F51" s="161">
        <v>144640</v>
      </c>
      <c r="G51" s="124">
        <f t="shared" si="4"/>
        <v>0.13000000000465661</v>
      </c>
      <c r="H51" s="111">
        <f>G51+'26'!H51</f>
        <v>144640</v>
      </c>
      <c r="I51" s="106"/>
      <c r="J51" s="203">
        <f>H51/DAY(B2)</f>
        <v>5357.0370370370374</v>
      </c>
      <c r="K51" s="81"/>
      <c r="L51" s="68"/>
      <c r="N51" s="73"/>
    </row>
    <row r="52" spans="1:14">
      <c r="A52" s="229" t="s">
        <v>178</v>
      </c>
      <c r="B52" s="252"/>
      <c r="C52" s="252"/>
      <c r="D52" s="174" t="s">
        <v>131</v>
      </c>
      <c r="E52" s="161">
        <f>'26'!F52</f>
        <v>539606.06999999995</v>
      </c>
      <c r="F52" s="161">
        <v>539606</v>
      </c>
      <c r="G52" s="124">
        <f t="shared" si="4"/>
        <v>-6.9999999948777258E-2</v>
      </c>
      <c r="H52" s="111">
        <f>G52+'26'!H52</f>
        <v>-6.9999999948777258E-2</v>
      </c>
      <c r="I52" s="106"/>
      <c r="J52" s="203">
        <f>H52/DAY(B2)</f>
        <v>-2.5925925906954538E-3</v>
      </c>
      <c r="K52" s="81"/>
      <c r="L52" s="68"/>
      <c r="N52" s="73"/>
    </row>
    <row r="53" spans="1:14">
      <c r="A53" s="229" t="s">
        <v>167</v>
      </c>
      <c r="B53" s="252"/>
      <c r="C53" s="252"/>
      <c r="D53" s="174" t="s">
        <v>131</v>
      </c>
      <c r="E53" s="161">
        <f>'26'!F53</f>
        <v>434232</v>
      </c>
      <c r="F53" s="161">
        <v>434232</v>
      </c>
      <c r="G53" s="124">
        <f t="shared" si="4"/>
        <v>0</v>
      </c>
      <c r="H53" s="111">
        <f>G53+'26'!H53</f>
        <v>434232</v>
      </c>
      <c r="I53" s="106"/>
      <c r="J53" s="203">
        <f>H53/DAY(B2)</f>
        <v>16082.666666666666</v>
      </c>
      <c r="K53" s="81"/>
      <c r="L53" s="68"/>
      <c r="N53" s="73"/>
    </row>
    <row r="54" spans="1:14">
      <c r="A54" s="229" t="s">
        <v>179</v>
      </c>
      <c r="B54" s="252"/>
      <c r="C54" s="252"/>
      <c r="D54" s="174" t="s">
        <v>131</v>
      </c>
      <c r="E54" s="161">
        <f>'26'!F54</f>
        <v>14967</v>
      </c>
      <c r="F54" s="161">
        <v>14967</v>
      </c>
      <c r="G54" s="124">
        <f t="shared" si="4"/>
        <v>0</v>
      </c>
      <c r="H54" s="111">
        <f>G54+'26'!H54</f>
        <v>12502</v>
      </c>
      <c r="I54" s="106"/>
      <c r="J54" s="203">
        <f>H54/DAY(B2)</f>
        <v>463.03703703703701</v>
      </c>
      <c r="K54" s="81"/>
      <c r="L54" s="68"/>
      <c r="N54" s="73"/>
    </row>
    <row r="55" spans="1:14">
      <c r="A55" s="229" t="s">
        <v>180</v>
      </c>
      <c r="B55" s="252"/>
      <c r="C55" s="252"/>
      <c r="D55" s="174" t="s">
        <v>131</v>
      </c>
      <c r="E55" s="161">
        <f>'26'!F55</f>
        <v>302523</v>
      </c>
      <c r="F55" s="304">
        <v>302523</v>
      </c>
      <c r="G55" s="124">
        <f t="shared" si="4"/>
        <v>0</v>
      </c>
      <c r="H55" s="356">
        <f>G55+'26'!H55</f>
        <v>-4775.9899999999907</v>
      </c>
      <c r="I55" s="357"/>
      <c r="J55" s="358">
        <f>H55/DAY(B2)</f>
        <v>-176.88851851851817</v>
      </c>
      <c r="K55" s="81"/>
      <c r="L55" s="68"/>
      <c r="N55" s="73"/>
    </row>
    <row r="56" spans="1:14">
      <c r="A56" s="229" t="s">
        <v>181</v>
      </c>
      <c r="B56" s="252"/>
      <c r="C56" s="252"/>
      <c r="D56" s="174" t="s">
        <v>182</v>
      </c>
      <c r="E56" s="161">
        <f>'26'!F56</f>
        <v>649673</v>
      </c>
      <c r="F56" s="304">
        <v>651136</v>
      </c>
      <c r="G56" s="124">
        <f t="shared" si="4"/>
        <v>1463</v>
      </c>
      <c r="H56" s="111">
        <f>G56+'26'!H56</f>
        <v>-9895</v>
      </c>
      <c r="I56" s="106"/>
      <c r="J56" s="203">
        <f>H56/DAY(B2)</f>
        <v>-366.48148148148147</v>
      </c>
      <c r="K56" s="80"/>
      <c r="L56" s="68"/>
      <c r="N56" s="73"/>
    </row>
    <row r="57" spans="1:1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>
      <c r="A58" s="229" t="s">
        <v>183</v>
      </c>
      <c r="B58" s="252"/>
      <c r="C58" s="252"/>
      <c r="D58" s="174" t="s">
        <v>131</v>
      </c>
      <c r="E58" s="161">
        <f>'26'!F58</f>
        <v>64961</v>
      </c>
      <c r="F58" s="304">
        <v>65151</v>
      </c>
      <c r="G58" s="124">
        <f t="shared" si="4"/>
        <v>190</v>
      </c>
      <c r="H58" s="111">
        <f>G58+'26'!H58</f>
        <v>-1032</v>
      </c>
      <c r="I58" s="106"/>
      <c r="J58" s="203">
        <f>H58/DAY(B2)</f>
        <v>-38.222222222222221</v>
      </c>
      <c r="K58" s="81"/>
      <c r="L58" s="68"/>
      <c r="N58" s="73"/>
    </row>
    <row r="59" spans="1:14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5210.0600000000559</v>
      </c>
      <c r="H59" s="111">
        <f>G59+'26'!H59</f>
        <v>1499495.0099999995</v>
      </c>
      <c r="I59" s="106">
        <f>G7-G60</f>
        <v>-365.06000000005588</v>
      </c>
      <c r="J59" s="203">
        <f>H59/DAY(B2)</f>
        <v>55536.852222222202</v>
      </c>
      <c r="K59" s="81"/>
      <c r="L59" s="68"/>
      <c r="N59" s="73"/>
    </row>
    <row r="60" spans="1:14">
      <c r="A60" s="229"/>
      <c r="B60" s="230"/>
      <c r="C60" s="230"/>
      <c r="D60" s="162" t="s">
        <v>184</v>
      </c>
      <c r="E60" s="162"/>
      <c r="F60" s="162"/>
      <c r="G60" s="132">
        <f>G47+G59</f>
        <v>19197.060000000056</v>
      </c>
      <c r="H60" s="111">
        <f>G60+'26'!H60</f>
        <v>2754232.6200000006</v>
      </c>
      <c r="I60" s="106">
        <f>G13-G60</f>
        <v>-945.96000000005733</v>
      </c>
      <c r="J60" s="203">
        <f>H60/DAY(B2)</f>
        <v>102008.61555555557</v>
      </c>
      <c r="K60" s="81"/>
      <c r="L60" s="68"/>
      <c r="N60" s="73"/>
    </row>
    <row r="61" spans="1:14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>
      <c r="A62" s="254" t="s">
        <v>97</v>
      </c>
      <c r="B62" s="255"/>
      <c r="C62" s="255"/>
      <c r="D62" s="162" t="s">
        <v>186</v>
      </c>
      <c r="E62" s="165">
        <f>'26'!F62</f>
        <v>20419</v>
      </c>
      <c r="F62" s="165">
        <v>20419</v>
      </c>
      <c r="G62" s="124">
        <f t="shared" ref="G62:G69" si="5">F62-E62</f>
        <v>0</v>
      </c>
      <c r="H62" s="111">
        <f>G62+'26'!H62</f>
        <v>1.9999999967694748E-3</v>
      </c>
      <c r="I62" s="166"/>
      <c r="J62" s="203">
        <f>H62/DAY(B2)</f>
        <v>7.4074073954424991E-5</v>
      </c>
      <c r="K62" s="81"/>
      <c r="L62" s="68"/>
      <c r="N62" s="73"/>
    </row>
    <row r="63" spans="1:14">
      <c r="A63" s="254" t="s">
        <v>187</v>
      </c>
      <c r="B63" s="255"/>
      <c r="C63" s="255"/>
      <c r="D63" s="162" t="s">
        <v>186</v>
      </c>
      <c r="E63" s="165">
        <f>'26'!F63</f>
        <v>0</v>
      </c>
      <c r="F63" s="165">
        <v>0</v>
      </c>
      <c r="G63" s="124">
        <f t="shared" si="5"/>
        <v>0</v>
      </c>
      <c r="H63" s="111">
        <f>G63+'26'!H63</f>
        <v>0</v>
      </c>
      <c r="I63" s="166"/>
      <c r="J63" s="203">
        <f>H63/DAY(B2)</f>
        <v>0</v>
      </c>
      <c r="K63" s="81"/>
      <c r="L63" s="68"/>
      <c r="N63" s="73"/>
    </row>
    <row r="64" spans="1:14" ht="27.75">
      <c r="A64" s="1226" t="s">
        <v>98</v>
      </c>
      <c r="B64" s="1227"/>
      <c r="C64" s="1228"/>
      <c r="D64" s="174" t="s">
        <v>186</v>
      </c>
      <c r="E64" s="165">
        <f>'26'!F64</f>
        <v>192164</v>
      </c>
      <c r="F64" s="129">
        <v>192575</v>
      </c>
      <c r="G64" s="124">
        <f t="shared" si="5"/>
        <v>411</v>
      </c>
      <c r="H64" s="111">
        <f>G64+'26'!H64</f>
        <v>-1642</v>
      </c>
      <c r="I64" s="131"/>
      <c r="J64" s="203">
        <f>H64/DAY(B2)</f>
        <v>-60.814814814814817</v>
      </c>
      <c r="K64" s="81"/>
      <c r="L64" s="68"/>
      <c r="N64" s="73"/>
    </row>
    <row r="65" spans="1:14" ht="27.75">
      <c r="A65" s="1226" t="s">
        <v>99</v>
      </c>
      <c r="B65" s="1227"/>
      <c r="C65" s="1228"/>
      <c r="D65" s="174" t="s">
        <v>186</v>
      </c>
      <c r="E65" s="165">
        <f>'26'!F65</f>
        <v>192664</v>
      </c>
      <c r="F65" s="136">
        <v>193038</v>
      </c>
      <c r="G65" s="124">
        <f t="shared" si="5"/>
        <v>374</v>
      </c>
      <c r="H65" s="111">
        <f>G65+'26'!H65</f>
        <v>-1591</v>
      </c>
      <c r="I65" s="140"/>
      <c r="J65" s="203">
        <f>H65/DAY(B2)</f>
        <v>-58.925925925925924</v>
      </c>
      <c r="K65" s="81"/>
      <c r="L65" s="68"/>
      <c r="N65" s="73"/>
    </row>
    <row r="66" spans="1:14" ht="27.75">
      <c r="A66" s="1226" t="s">
        <v>100</v>
      </c>
      <c r="B66" s="1227"/>
      <c r="C66" s="1228"/>
      <c r="D66" s="174" t="s">
        <v>186</v>
      </c>
      <c r="E66" s="165">
        <f>'26'!F66</f>
        <v>91251</v>
      </c>
      <c r="F66" s="136">
        <v>91592</v>
      </c>
      <c r="G66" s="124">
        <f t="shared" si="5"/>
        <v>341</v>
      </c>
      <c r="H66" s="111">
        <f>G66+'26'!H66</f>
        <v>-1725</v>
      </c>
      <c r="I66" s="131"/>
      <c r="J66" s="203">
        <f>H66/DAY(B2)</f>
        <v>-63.888888888888886</v>
      </c>
      <c r="K66" s="81"/>
      <c r="L66" s="68"/>
      <c r="N66" s="73"/>
    </row>
    <row r="67" spans="1:14" ht="27.75">
      <c r="A67" s="1226" t="s">
        <v>101</v>
      </c>
      <c r="B67" s="1227"/>
      <c r="C67" s="1228"/>
      <c r="D67" s="174" t="s">
        <v>186</v>
      </c>
      <c r="E67" s="165">
        <f>'26'!F67</f>
        <v>292353</v>
      </c>
      <c r="F67" s="129">
        <v>292786</v>
      </c>
      <c r="G67" s="124">
        <f t="shared" si="5"/>
        <v>433</v>
      </c>
      <c r="H67" s="111">
        <f>G67+'26'!H67</f>
        <v>-2105</v>
      </c>
      <c r="I67" s="140"/>
      <c r="J67" s="203">
        <f>H67/DAY(B2)</f>
        <v>-77.962962962962962</v>
      </c>
      <c r="K67" s="82"/>
      <c r="L67" s="68"/>
      <c r="N67" s="73"/>
    </row>
    <row r="68" spans="1:14" ht="27.75">
      <c r="A68" s="1226" t="s">
        <v>102</v>
      </c>
      <c r="B68" s="1227"/>
      <c r="C68" s="1228"/>
      <c r="D68" s="174" t="s">
        <v>186</v>
      </c>
      <c r="E68" s="165">
        <f>'26'!F68</f>
        <v>85321</v>
      </c>
      <c r="F68" s="129">
        <v>85321</v>
      </c>
      <c r="G68" s="124">
        <f t="shared" si="5"/>
        <v>0</v>
      </c>
      <c r="H68" s="111">
        <f>G68+'26'!H68</f>
        <v>0</v>
      </c>
      <c r="I68" s="167"/>
      <c r="J68" s="203">
        <f>H68/DAY(B2)</f>
        <v>0</v>
      </c>
      <c r="K68" s="83"/>
      <c r="L68" s="68"/>
      <c r="N68" s="73"/>
    </row>
    <row r="69" spans="1:14" ht="27.75">
      <c r="A69" s="1226" t="s">
        <v>103</v>
      </c>
      <c r="B69" s="1227"/>
      <c r="C69" s="1228"/>
      <c r="D69" s="174" t="s">
        <v>186</v>
      </c>
      <c r="E69" s="165">
        <f>'26'!F69</f>
        <v>104789</v>
      </c>
      <c r="F69" s="129">
        <v>105058</v>
      </c>
      <c r="G69" s="124">
        <f t="shared" si="5"/>
        <v>269</v>
      </c>
      <c r="H69" s="111">
        <f>G69+'26'!H69</f>
        <v>-1348</v>
      </c>
      <c r="I69" s="167"/>
      <c r="J69" s="203">
        <f>H69/DAY(B2)</f>
        <v>-49.925925925925924</v>
      </c>
      <c r="K69" s="84"/>
      <c r="L69" s="68"/>
      <c r="N69" s="73"/>
    </row>
    <row r="70" spans="1:14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3"/>
    </row>
    <row r="72" spans="1:14" ht="27.75">
      <c r="A72" s="1226" t="s">
        <v>190</v>
      </c>
      <c r="B72" s="1227"/>
      <c r="C72" s="1228"/>
      <c r="D72" s="174" t="s">
        <v>186</v>
      </c>
      <c r="E72" s="170">
        <f>'26'!F72</f>
        <v>856959</v>
      </c>
      <c r="F72" s="305">
        <v>856972</v>
      </c>
      <c r="G72" s="124">
        <f t="shared" ref="G72:G84" si="6">F72-E72</f>
        <v>13</v>
      </c>
      <c r="H72" s="111">
        <f>G72+'26'!H72</f>
        <v>265</v>
      </c>
      <c r="I72" s="131"/>
      <c r="J72" s="203">
        <f>H72/DAY(B2)</f>
        <v>9.8148148148148149</v>
      </c>
      <c r="K72" s="84"/>
      <c r="L72" s="68"/>
      <c r="N72" s="73"/>
    </row>
    <row r="73" spans="1:14" ht="27.75">
      <c r="A73" s="1226" t="s">
        <v>191</v>
      </c>
      <c r="B73" s="1227"/>
      <c r="C73" s="1228"/>
      <c r="D73" s="174" t="s">
        <v>186</v>
      </c>
      <c r="E73" s="170">
        <f>'26'!F73</f>
        <v>886044</v>
      </c>
      <c r="F73" s="306">
        <v>886045</v>
      </c>
      <c r="G73" s="303">
        <f t="shared" si="6"/>
        <v>1</v>
      </c>
      <c r="H73" s="111">
        <f>G73+'26'!H73</f>
        <v>-6</v>
      </c>
      <c r="I73" s="131"/>
      <c r="J73" s="203">
        <f>H73/DAY(B2)</f>
        <v>-0.22222222222222221</v>
      </c>
      <c r="K73" s="83"/>
      <c r="L73" s="68"/>
      <c r="N73" s="73"/>
    </row>
    <row r="74" spans="1:14" ht="27.75">
      <c r="A74" s="1226" t="s">
        <v>192</v>
      </c>
      <c r="B74" s="1227"/>
      <c r="C74" s="1228"/>
      <c r="D74" s="174" t="s">
        <v>186</v>
      </c>
      <c r="E74" s="170">
        <f>'26'!F74</f>
        <v>88761</v>
      </c>
      <c r="F74" s="306">
        <v>88773</v>
      </c>
      <c r="G74" s="124">
        <f t="shared" si="6"/>
        <v>12</v>
      </c>
      <c r="H74" s="111">
        <f>G74+'26'!H74</f>
        <v>83</v>
      </c>
      <c r="I74" s="131"/>
      <c r="J74" s="203">
        <f>H74/DAY(B2)</f>
        <v>3.074074074074074</v>
      </c>
      <c r="K74" s="84"/>
      <c r="L74" s="68"/>
      <c r="N74" s="73"/>
    </row>
    <row r="75" spans="1:14" ht="27.75">
      <c r="A75" s="1229" t="s">
        <v>193</v>
      </c>
      <c r="B75" s="1230"/>
      <c r="C75" s="1231"/>
      <c r="D75" s="174" t="s">
        <v>186</v>
      </c>
      <c r="E75" s="170">
        <f>'26'!F75</f>
        <v>25401</v>
      </c>
      <c r="F75" s="305">
        <v>25554</v>
      </c>
      <c r="G75" s="124">
        <f t="shared" si="6"/>
        <v>153</v>
      </c>
      <c r="H75" s="111">
        <f>G75+'26'!H75</f>
        <v>-754</v>
      </c>
      <c r="I75" s="131"/>
      <c r="J75" s="203">
        <f>H75/DAY(B2)</f>
        <v>-27.925925925925927</v>
      </c>
      <c r="K75" s="83"/>
      <c r="L75" s="68"/>
      <c r="N75" s="73"/>
    </row>
    <row r="76" spans="1:14" ht="27.75">
      <c r="A76" s="1229" t="s">
        <v>194</v>
      </c>
      <c r="B76" s="1230"/>
      <c r="C76" s="1231"/>
      <c r="D76" s="174" t="s">
        <v>186</v>
      </c>
      <c r="E76" s="170">
        <f>'26'!F76</f>
        <v>12925</v>
      </c>
      <c r="F76" s="306">
        <v>12982</v>
      </c>
      <c r="G76" s="124">
        <f t="shared" si="6"/>
        <v>57</v>
      </c>
      <c r="H76" s="111">
        <f>G76+'26'!H76</f>
        <v>-295</v>
      </c>
      <c r="I76" s="156"/>
      <c r="J76" s="203">
        <f>H76/DAY(B2)</f>
        <v>-10.925925925925926</v>
      </c>
      <c r="K76" s="83"/>
      <c r="L76" s="68"/>
      <c r="N76" s="73"/>
    </row>
    <row r="77" spans="1:14" ht="27.75">
      <c r="A77" s="1226" t="s">
        <v>195</v>
      </c>
      <c r="B77" s="1227"/>
      <c r="C77" s="1228"/>
      <c r="D77" s="174" t="s">
        <v>186</v>
      </c>
      <c r="E77" s="170">
        <f>'26'!F77</f>
        <v>708044</v>
      </c>
      <c r="F77" s="306">
        <v>708094</v>
      </c>
      <c r="G77" s="303">
        <f t="shared" si="6"/>
        <v>50</v>
      </c>
      <c r="H77" s="111">
        <f>G77+'26'!H77</f>
        <v>-195</v>
      </c>
      <c r="I77" s="156"/>
      <c r="J77" s="203">
        <f>H77/DAY(B2)</f>
        <v>-7.2222222222222223</v>
      </c>
      <c r="K77" s="83"/>
      <c r="L77" s="68"/>
      <c r="N77" s="73"/>
    </row>
    <row r="78" spans="1:14" ht="27.75">
      <c r="A78" s="762" t="s">
        <v>196</v>
      </c>
      <c r="B78" s="754"/>
      <c r="C78" s="754"/>
      <c r="D78" s="174" t="s">
        <v>186</v>
      </c>
      <c r="E78" s="170">
        <f>'26'!F78</f>
        <v>681628</v>
      </c>
      <c r="F78" s="305">
        <v>681783</v>
      </c>
      <c r="G78" s="124">
        <f t="shared" si="6"/>
        <v>155</v>
      </c>
      <c r="H78" s="111">
        <f>G78+'26'!H78</f>
        <v>-630</v>
      </c>
      <c r="I78" s="156"/>
      <c r="J78" s="203">
        <f>H78/DAY(B2)</f>
        <v>-23.333333333333332</v>
      </c>
      <c r="K78" s="83"/>
      <c r="L78" s="68"/>
      <c r="N78" s="73"/>
    </row>
    <row r="79" spans="1:14" ht="27.75">
      <c r="A79" s="1229" t="s">
        <v>91</v>
      </c>
      <c r="B79" s="1230"/>
      <c r="C79" s="1231"/>
      <c r="D79" s="175" t="s">
        <v>186</v>
      </c>
      <c r="E79" s="170">
        <f>'26'!F79</f>
        <v>844290</v>
      </c>
      <c r="F79" s="922">
        <v>844456</v>
      </c>
      <c r="G79" s="124">
        <f t="shared" si="6"/>
        <v>166</v>
      </c>
      <c r="H79" s="111">
        <f>G79+'26'!H79</f>
        <v>-593</v>
      </c>
      <c r="I79" s="156"/>
      <c r="J79" s="203">
        <f>H79/DAY(B2)</f>
        <v>-21.962962962962962</v>
      </c>
      <c r="K79" s="83"/>
      <c r="L79" s="68"/>
      <c r="N79" s="73"/>
    </row>
    <row r="80" spans="1:14" ht="27.75">
      <c r="A80" s="1229" t="s">
        <v>197</v>
      </c>
      <c r="B80" s="1230"/>
      <c r="C80" s="1231"/>
      <c r="D80" s="175" t="s">
        <v>186</v>
      </c>
      <c r="E80" s="170">
        <f>'26'!F80</f>
        <v>562357</v>
      </c>
      <c r="F80" s="306">
        <v>562771</v>
      </c>
      <c r="G80" s="124">
        <f t="shared" si="6"/>
        <v>414</v>
      </c>
      <c r="H80" s="111">
        <f>G80+'26'!H80</f>
        <v>-1527</v>
      </c>
      <c r="I80" s="156"/>
      <c r="J80" s="203">
        <f>H80/DAY(B2)</f>
        <v>-56.555555555555557</v>
      </c>
      <c r="K80" s="83"/>
      <c r="L80" s="68"/>
      <c r="N80" s="73"/>
    </row>
    <row r="81" spans="1:15" ht="27.75">
      <c r="A81" s="1229" t="s">
        <v>198</v>
      </c>
      <c r="B81" s="1230"/>
      <c r="C81" s="1231"/>
      <c r="D81" s="175" t="s">
        <v>186</v>
      </c>
      <c r="E81" s="170">
        <f>'26'!F81</f>
        <v>653407</v>
      </c>
      <c r="F81" s="306">
        <v>653600</v>
      </c>
      <c r="G81" s="124">
        <f t="shared" si="6"/>
        <v>193</v>
      </c>
      <c r="H81" s="111">
        <f>G81+'26'!H81</f>
        <v>-578</v>
      </c>
      <c r="I81" s="156"/>
      <c r="J81" s="203">
        <f>H81/DAY(B2)</f>
        <v>-21.407407407407408</v>
      </c>
      <c r="K81" s="83"/>
      <c r="L81" s="68"/>
      <c r="N81" s="73"/>
    </row>
    <row r="82" spans="1:15" ht="27.75">
      <c r="A82" s="1229" t="s">
        <v>92</v>
      </c>
      <c r="B82" s="1230"/>
      <c r="C82" s="1231"/>
      <c r="D82" s="136" t="s">
        <v>131</v>
      </c>
      <c r="E82" s="170">
        <f>'26'!F82</f>
        <v>109837</v>
      </c>
      <c r="F82" s="302">
        <v>109850</v>
      </c>
      <c r="G82" s="124">
        <f t="shared" si="6"/>
        <v>13</v>
      </c>
      <c r="H82" s="111">
        <f>G82+'26'!H82</f>
        <v>110073</v>
      </c>
      <c r="I82" s="137"/>
      <c r="J82" s="203">
        <f>H82/DAY(B2)</f>
        <v>4076.7777777777778</v>
      </c>
      <c r="K82" s="83"/>
      <c r="L82" s="68"/>
      <c r="N82" s="73"/>
    </row>
    <row r="83" spans="1:15" ht="27.75">
      <c r="A83" s="1229" t="s">
        <v>199</v>
      </c>
      <c r="B83" s="1230"/>
      <c r="C83" s="1231"/>
      <c r="D83" s="271" t="s">
        <v>131</v>
      </c>
      <c r="E83" s="170">
        <f>'26'!F83</f>
        <v>42846</v>
      </c>
      <c r="F83" s="923">
        <v>43152</v>
      </c>
      <c r="G83" s="124">
        <f t="shared" si="6"/>
        <v>306</v>
      </c>
      <c r="H83" s="111">
        <f>G83+'26'!H83</f>
        <v>-1171</v>
      </c>
      <c r="I83" s="132"/>
      <c r="J83" s="203">
        <f>H83/DAY(B2)</f>
        <v>-43.370370370370374</v>
      </c>
      <c r="K83" s="82"/>
      <c r="L83" s="68"/>
      <c r="N83" s="73"/>
    </row>
    <row r="84" spans="1:15">
      <c r="A84" s="763" t="s">
        <v>200</v>
      </c>
      <c r="B84" s="222"/>
      <c r="C84" s="222"/>
      <c r="D84" s="129" t="s">
        <v>131</v>
      </c>
      <c r="E84" s="170">
        <f>'26'!F84</f>
        <v>566850</v>
      </c>
      <c r="F84" s="175">
        <v>567484</v>
      </c>
      <c r="G84" s="124">
        <f t="shared" si="6"/>
        <v>634</v>
      </c>
      <c r="H84" s="111">
        <f>G84+'26'!H84</f>
        <v>-2895</v>
      </c>
      <c r="I84" s="132"/>
      <c r="J84" s="203">
        <f>H84/DAY(B2)</f>
        <v>-107.22222222222223</v>
      </c>
      <c r="K84" s="71"/>
      <c r="L84" s="68"/>
      <c r="N84" s="73"/>
    </row>
    <row r="85" spans="1:15" s="70" customFormat="1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2167</v>
      </c>
      <c r="H85" s="111">
        <f>G85+'26'!H85</f>
        <v>101462.00000000001</v>
      </c>
      <c r="I85" s="132"/>
      <c r="J85" s="203">
        <f>H85/DAY(B2)</f>
        <v>3757.8518518518522</v>
      </c>
      <c r="K85" s="71"/>
      <c r="L85" s="69"/>
      <c r="N85" s="73"/>
    </row>
    <row r="86" spans="1:15" s="386" customFormat="1">
      <c r="A86" s="381" t="s">
        <v>93</v>
      </c>
      <c r="B86" s="382"/>
      <c r="C86" s="382"/>
      <c r="D86" s="383" t="s">
        <v>182</v>
      </c>
      <c r="E86" s="278">
        <f>'26'!F86</f>
        <v>463258</v>
      </c>
      <c r="F86" s="298">
        <v>463270</v>
      </c>
      <c r="G86" s="356">
        <f>F86-E86</f>
        <v>12</v>
      </c>
      <c r="H86" s="356">
        <f t="shared" ref="H86:H88" si="7">G86</f>
        <v>12</v>
      </c>
      <c r="I86" s="303"/>
      <c r="J86" s="358">
        <f>H86/DAY(B2)</f>
        <v>0.44444444444444442</v>
      </c>
      <c r="K86" s="384"/>
      <c r="L86" s="385"/>
      <c r="O86" s="364"/>
    </row>
    <row r="87" spans="1:15" s="386" customFormat="1">
      <c r="A87" s="381" t="s">
        <v>94</v>
      </c>
      <c r="B87" s="382"/>
      <c r="C87" s="382"/>
      <c r="D87" s="383" t="s">
        <v>182</v>
      </c>
      <c r="E87" s="278">
        <f>'26'!F87</f>
        <v>83753</v>
      </c>
      <c r="F87" s="298">
        <v>83790</v>
      </c>
      <c r="G87" s="356">
        <f t="shared" ref="G87:G91" si="8">F87-E87</f>
        <v>37</v>
      </c>
      <c r="H87" s="356">
        <f t="shared" si="7"/>
        <v>37</v>
      </c>
      <c r="I87" s="303"/>
      <c r="J87" s="358">
        <f>H87/DAY(B2)</f>
        <v>1.3703703703703705</v>
      </c>
      <c r="K87" s="384"/>
      <c r="L87" s="385"/>
      <c r="O87" s="364"/>
    </row>
    <row r="88" spans="1:15" s="386" customFormat="1">
      <c r="A88" s="381" t="s">
        <v>95</v>
      </c>
      <c r="B88" s="382"/>
      <c r="C88" s="382"/>
      <c r="D88" s="383" t="s">
        <v>182</v>
      </c>
      <c r="E88" s="278">
        <f>'26'!F88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>
      <c r="A89" s="381" t="s">
        <v>203</v>
      </c>
      <c r="B89" s="382"/>
      <c r="C89" s="382"/>
      <c r="D89" s="383" t="s">
        <v>182</v>
      </c>
      <c r="E89" s="278">
        <f>'26'!F89</f>
        <v>68750</v>
      </c>
      <c r="F89" s="298">
        <v>68822</v>
      </c>
      <c r="G89" s="356">
        <f t="shared" si="8"/>
        <v>72</v>
      </c>
      <c r="H89" s="356">
        <f>G89</f>
        <v>72</v>
      </c>
      <c r="I89" s="303"/>
      <c r="J89" s="358">
        <f>H89/DAY(B2)</f>
        <v>2.6666666666666665</v>
      </c>
      <c r="K89" s="384"/>
      <c r="L89" s="385"/>
      <c r="N89" s="428"/>
      <c r="O89" s="73"/>
    </row>
    <row r="90" spans="1:15" s="386" customFormat="1">
      <c r="A90" s="381" t="s">
        <v>203</v>
      </c>
      <c r="B90" s="382"/>
      <c r="C90" s="382"/>
      <c r="D90" s="383" t="s">
        <v>182</v>
      </c>
      <c r="E90" s="278">
        <f>'26'!F90</f>
        <v>3591</v>
      </c>
      <c r="F90" s="298">
        <v>3598</v>
      </c>
      <c r="G90" s="356">
        <f t="shared" si="8"/>
        <v>7</v>
      </c>
      <c r="H90" s="356">
        <f>G90</f>
        <v>7</v>
      </c>
      <c r="I90" s="303"/>
      <c r="J90" s="358">
        <f>H90/DAY(B2)</f>
        <v>0.25925925925925924</v>
      </c>
      <c r="K90" s="384"/>
      <c r="L90" s="385"/>
      <c r="N90" s="428"/>
      <c r="O90" s="73"/>
    </row>
    <row r="91" spans="1:15" s="386" customFormat="1">
      <c r="A91" s="381" t="s">
        <v>335</v>
      </c>
      <c r="B91" s="382"/>
      <c r="C91" s="382"/>
      <c r="D91" s="383" t="s">
        <v>131</v>
      </c>
      <c r="E91" s="278">
        <f>'26'!F91</f>
        <v>28715</v>
      </c>
      <c r="F91" s="298">
        <v>28725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>
      <c r="A93" s="1245" t="s">
        <v>205</v>
      </c>
      <c r="B93" s="1246"/>
      <c r="C93" s="1247"/>
      <c r="D93" s="174" t="s">
        <v>143</v>
      </c>
      <c r="E93" s="135">
        <f>'26'!F93</f>
        <v>252911</v>
      </c>
      <c r="F93" s="129">
        <v>253057</v>
      </c>
      <c r="G93" s="124">
        <f t="shared" ref="G93:G94" si="9">F93-E93</f>
        <v>146</v>
      </c>
      <c r="H93" s="111">
        <f>G93+'26'!H93</f>
        <v>-395</v>
      </c>
      <c r="I93" s="131"/>
      <c r="J93" s="203">
        <f>H93/DAY(B2)</f>
        <v>-14.62962962962963</v>
      </c>
      <c r="K93" s="82"/>
      <c r="L93" s="68"/>
      <c r="N93" s="73"/>
    </row>
    <row r="94" spans="1:15" ht="27.75">
      <c r="A94" s="1245" t="s">
        <v>206</v>
      </c>
      <c r="B94" s="1246"/>
      <c r="C94" s="1247"/>
      <c r="D94" s="174" t="s">
        <v>143</v>
      </c>
      <c r="E94" s="135">
        <f>'26'!F94</f>
        <v>196722</v>
      </c>
      <c r="F94" s="277">
        <v>196923</v>
      </c>
      <c r="G94" s="124">
        <f t="shared" si="9"/>
        <v>201</v>
      </c>
      <c r="H94" s="111">
        <f>G94+'26'!H94</f>
        <v>-736</v>
      </c>
      <c r="I94" s="131"/>
      <c r="J94" s="203">
        <f>H94/DAY(B2)</f>
        <v>-27.25925925925926</v>
      </c>
      <c r="K94" s="71"/>
      <c r="L94" s="68"/>
      <c r="N94" s="73"/>
    </row>
    <row r="95" spans="1:15">
      <c r="A95" s="1277" t="s">
        <v>207</v>
      </c>
      <c r="B95" s="1278"/>
      <c r="C95" s="1279"/>
      <c r="D95" s="174"/>
      <c r="E95" s="135">
        <f>'26'!F95</f>
        <v>0</v>
      </c>
      <c r="F95" s="129"/>
      <c r="G95" s="124">
        <f>G93+G94</f>
        <v>347</v>
      </c>
      <c r="H95" s="111">
        <f>G95+'26'!H95</f>
        <v>-1356</v>
      </c>
      <c r="I95" s="131"/>
      <c r="J95" s="203">
        <f>H95/DAY(B2)</f>
        <v>-50.222222222222221</v>
      </c>
      <c r="K95" s="71"/>
      <c r="L95" s="68"/>
      <c r="N95" s="73"/>
    </row>
    <row r="96" spans="1:15" ht="27.75">
      <c r="A96" s="1245" t="s">
        <v>208</v>
      </c>
      <c r="B96" s="1246"/>
      <c r="C96" s="1247"/>
      <c r="D96" s="174" t="s">
        <v>143</v>
      </c>
      <c r="E96" s="135">
        <f>'26'!F96</f>
        <v>420595</v>
      </c>
      <c r="F96" s="129">
        <v>420716</v>
      </c>
      <c r="G96" s="124">
        <f t="shared" ref="G96:G101" si="10">F96-E96</f>
        <v>121</v>
      </c>
      <c r="H96" s="111">
        <f>G96+'26'!H96</f>
        <v>-303</v>
      </c>
      <c r="I96" s="131"/>
      <c r="J96" s="203">
        <f>H96/DAY(B2)</f>
        <v>-11.222222222222221</v>
      </c>
      <c r="K96" s="71"/>
      <c r="L96" s="68"/>
      <c r="N96" s="73"/>
    </row>
    <row r="97" spans="1:14" ht="27.75">
      <c r="A97" s="759" t="s">
        <v>209</v>
      </c>
      <c r="B97" s="760"/>
      <c r="C97" s="760"/>
      <c r="D97" s="174" t="s">
        <v>143</v>
      </c>
      <c r="E97" s="135">
        <f>'26'!F97</f>
        <v>104509</v>
      </c>
      <c r="F97" s="129">
        <v>104535</v>
      </c>
      <c r="G97" s="124">
        <f t="shared" si="10"/>
        <v>26</v>
      </c>
      <c r="H97" s="111">
        <f>G97+'26'!H97</f>
        <v>-101</v>
      </c>
      <c r="I97" s="131"/>
      <c r="J97" s="203">
        <f>H97/DAY(B2)</f>
        <v>-3.7407407407407409</v>
      </c>
      <c r="K97" s="80"/>
      <c r="L97" s="68"/>
      <c r="N97" s="73"/>
    </row>
    <row r="98" spans="1:14" ht="27.75">
      <c r="A98" s="759" t="s">
        <v>210</v>
      </c>
      <c r="B98" s="760"/>
      <c r="C98" s="760"/>
      <c r="D98" s="174" t="s">
        <v>143</v>
      </c>
      <c r="E98" s="135">
        <f>'26'!F98</f>
        <v>100206</v>
      </c>
      <c r="F98" s="129">
        <v>100243</v>
      </c>
      <c r="G98" s="124">
        <f t="shared" si="10"/>
        <v>37</v>
      </c>
      <c r="H98" s="111">
        <f>G98+'26'!H98</f>
        <v>-127</v>
      </c>
      <c r="I98" s="131"/>
      <c r="J98" s="203">
        <f>H98/DAY(B2)</f>
        <v>-4.7037037037037033</v>
      </c>
      <c r="K98" s="85"/>
      <c r="L98" s="68"/>
      <c r="N98" s="455"/>
    </row>
    <row r="99" spans="1:14" ht="27.75">
      <c r="A99" s="759" t="s">
        <v>211</v>
      </c>
      <c r="B99" s="760"/>
      <c r="C99" s="760"/>
      <c r="D99" s="174" t="s">
        <v>143</v>
      </c>
      <c r="E99" s="135">
        <f>'26'!F99</f>
        <v>152020</v>
      </c>
      <c r="F99" s="129">
        <v>152043</v>
      </c>
      <c r="G99" s="124">
        <f t="shared" si="10"/>
        <v>23</v>
      </c>
      <c r="H99" s="111">
        <f>G99+'26'!H99</f>
        <v>-92</v>
      </c>
      <c r="I99" s="131"/>
      <c r="J99" s="203">
        <f>H99/DAY(B2)</f>
        <v>-3.4074074074074074</v>
      </c>
      <c r="K99" s="71"/>
      <c r="L99" s="68"/>
      <c r="N99" s="679"/>
    </row>
    <row r="100" spans="1:14" ht="27.75">
      <c r="A100" s="759" t="s">
        <v>212</v>
      </c>
      <c r="B100" s="760"/>
      <c r="C100" s="760"/>
      <c r="D100" s="174" t="s">
        <v>143</v>
      </c>
      <c r="E100" s="135">
        <f>'26'!F100</f>
        <v>8579</v>
      </c>
      <c r="F100" s="129">
        <v>8597</v>
      </c>
      <c r="G100" s="124">
        <f t="shared" si="10"/>
        <v>18</v>
      </c>
      <c r="H100" s="111">
        <f>G100+'26'!H100</f>
        <v>-48</v>
      </c>
      <c r="I100" s="131"/>
      <c r="J100" s="203">
        <f>H100/DAY(B2)</f>
        <v>-1.7777777777777777</v>
      </c>
      <c r="K100" s="71"/>
      <c r="L100" s="68"/>
      <c r="N100" s="455"/>
    </row>
    <row r="101" spans="1:14" ht="27.75">
      <c r="A101" s="759" t="s">
        <v>213</v>
      </c>
      <c r="B101" s="760"/>
      <c r="C101" s="760"/>
      <c r="D101" s="174" t="s">
        <v>143</v>
      </c>
      <c r="E101" s="135">
        <f>'26'!F101</f>
        <v>6314</v>
      </c>
      <c r="F101" s="129">
        <v>6324</v>
      </c>
      <c r="G101" s="124">
        <f t="shared" si="10"/>
        <v>10</v>
      </c>
      <c r="H101" s="111">
        <f>G101+'26'!H101</f>
        <v>-49</v>
      </c>
      <c r="I101" s="131"/>
      <c r="J101" s="203">
        <f>H101/DAY(B2)</f>
        <v>-1.8148148148148149</v>
      </c>
      <c r="K101" s="71"/>
      <c r="L101" s="68"/>
      <c r="N101" s="455"/>
    </row>
    <row r="102" spans="1:14">
      <c r="A102" s="1277" t="s">
        <v>215</v>
      </c>
      <c r="B102" s="1278"/>
      <c r="C102" s="1279"/>
      <c r="D102" s="175"/>
      <c r="E102" s="175"/>
      <c r="F102" s="175"/>
      <c r="G102" s="176">
        <f>SUM(G96:G101)</f>
        <v>235</v>
      </c>
      <c r="H102" s="111">
        <f>G102+'26'!H102</f>
        <v>-720</v>
      </c>
      <c r="I102" s="177"/>
      <c r="J102" s="203">
        <f>H102/DAY(B2)</f>
        <v>-26.666666666666668</v>
      </c>
      <c r="K102" s="71"/>
      <c r="L102" s="68"/>
      <c r="N102" s="455"/>
    </row>
    <row r="103" spans="1:14" s="93" customFormat="1" ht="27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>
      <c r="A104" s="1280" t="s">
        <v>217</v>
      </c>
      <c r="B104" s="1281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>
      <c r="A105" s="1237" t="s">
        <v>218</v>
      </c>
      <c r="B105" s="1238"/>
      <c r="C105" s="758"/>
      <c r="D105" s="273" t="s">
        <v>143</v>
      </c>
      <c r="E105" s="183">
        <f>'26'!F105</f>
        <v>7961</v>
      </c>
      <c r="F105" s="309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2.8037037037037305</v>
      </c>
      <c r="N105" s="73"/>
    </row>
    <row r="106" spans="1:14" s="93" customFormat="1" ht="27.75">
      <c r="A106" s="1237" t="s">
        <v>76</v>
      </c>
      <c r="B106" s="1238"/>
      <c r="C106" s="758"/>
      <c r="D106" s="273" t="s">
        <v>143</v>
      </c>
      <c r="E106" s="183">
        <f>'26'!F106</f>
        <v>36708</v>
      </c>
      <c r="F106" s="434">
        <v>36721</v>
      </c>
      <c r="G106" s="183">
        <f t="shared" ref="G106:G107" si="11">F106-E106</f>
        <v>13</v>
      </c>
      <c r="H106" s="184">
        <f>SUM(G106+'1'!G77)</f>
        <v>60</v>
      </c>
      <c r="I106" s="183"/>
      <c r="J106" s="209">
        <f>H106/DAY(B2)</f>
        <v>2.2222222222222223</v>
      </c>
      <c r="N106" s="73"/>
    </row>
    <row r="107" spans="1:14" s="93" customFormat="1" ht="27.75">
      <c r="A107" s="1237" t="s">
        <v>77</v>
      </c>
      <c r="B107" s="1282"/>
      <c r="C107" s="1238"/>
      <c r="D107" s="273" t="s">
        <v>143</v>
      </c>
      <c r="E107" s="183">
        <f>'26'!F107</f>
        <v>20174</v>
      </c>
      <c r="F107" s="310">
        <v>20181</v>
      </c>
      <c r="G107" s="183">
        <f t="shared" si="11"/>
        <v>7</v>
      </c>
      <c r="H107" s="184">
        <f>SUM(G107+'1'!G78)</f>
        <v>25</v>
      </c>
      <c r="I107" s="183"/>
      <c r="J107" s="209">
        <f>H107/DAY(B2)</f>
        <v>0.92592592592592593</v>
      </c>
      <c r="N107" s="73"/>
    </row>
    <row r="108" spans="1:14" s="93" customFormat="1" ht="27.75">
      <c r="A108" s="1239" t="s">
        <v>201</v>
      </c>
      <c r="B108" s="1240"/>
      <c r="C108" s="758"/>
      <c r="D108" s="273"/>
      <c r="E108" s="183">
        <f>'26'!F108</f>
        <v>0</v>
      </c>
      <c r="F108" s="310"/>
      <c r="G108" s="183">
        <f>SUM(G105:G107)</f>
        <v>20</v>
      </c>
      <c r="H108" s="184">
        <f>SUM(G108+'1'!G79)</f>
        <v>186</v>
      </c>
      <c r="I108" s="183"/>
      <c r="J108" s="209">
        <f>H108/DAY(B2)</f>
        <v>6.8888888888888893</v>
      </c>
      <c r="N108" s="73"/>
    </row>
    <row r="109" spans="1:14" s="93" customFormat="1" ht="27.75">
      <c r="A109" s="1243" t="s">
        <v>78</v>
      </c>
      <c r="B109" s="1244"/>
      <c r="C109" s="758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>
      <c r="A110" s="1237" t="s">
        <v>219</v>
      </c>
      <c r="B110" s="1238"/>
      <c r="C110" s="758"/>
      <c r="D110" s="273" t="s">
        <v>143</v>
      </c>
      <c r="E110" s="183">
        <f>'26'!F110</f>
        <v>69109</v>
      </c>
      <c r="F110" s="454">
        <v>69185</v>
      </c>
      <c r="G110" s="183">
        <f>F110-E110</f>
        <v>76</v>
      </c>
      <c r="H110" s="184">
        <f>SUM(G110+'1'!G81)</f>
        <v>250.80000000004657</v>
      </c>
      <c r="I110" s="183"/>
      <c r="J110" s="209">
        <f>H110/DAY(B2)</f>
        <v>9.2888888888906127</v>
      </c>
      <c r="N110" s="73"/>
    </row>
    <row r="111" spans="1:14" s="93" customFormat="1" ht="27.75">
      <c r="A111" s="1237" t="s">
        <v>220</v>
      </c>
      <c r="B111" s="1238"/>
      <c r="C111" s="758"/>
      <c r="D111" s="273" t="s">
        <v>143</v>
      </c>
      <c r="E111" s="183">
        <f>'26'!F111</f>
        <v>33886</v>
      </c>
      <c r="F111" s="434">
        <v>33886</v>
      </c>
      <c r="G111" s="183">
        <f t="shared" ref="G111:G112" si="12">F111-E111</f>
        <v>0</v>
      </c>
      <c r="H111" s="184">
        <f>SUM(G111+'1'!G82)</f>
        <v>30</v>
      </c>
      <c r="I111" s="183"/>
      <c r="J111" s="209">
        <f>H111/DAY(B2)</f>
        <v>1.1111111111111112</v>
      </c>
      <c r="N111" s="73"/>
    </row>
    <row r="112" spans="1:14" s="93" customFormat="1" ht="27.75">
      <c r="A112" s="1237" t="s">
        <v>221</v>
      </c>
      <c r="B112" s="1238"/>
      <c r="C112" s="758"/>
      <c r="D112" s="273" t="s">
        <v>143</v>
      </c>
      <c r="E112" s="183">
        <f>'26'!F112</f>
        <v>4769</v>
      </c>
      <c r="F112" s="434">
        <v>4776</v>
      </c>
      <c r="G112" s="185">
        <f t="shared" si="12"/>
        <v>7</v>
      </c>
      <c r="H112" s="184">
        <f>SUM(G112+'1'!G83)</f>
        <v>318</v>
      </c>
      <c r="I112" s="183"/>
      <c r="J112" s="209">
        <f>H112/DAY(B2)</f>
        <v>11.777777777777779</v>
      </c>
      <c r="N112" s="73"/>
    </row>
    <row r="113" spans="1:14" s="93" customFormat="1" ht="27.75">
      <c r="A113" s="1239" t="s">
        <v>109</v>
      </c>
      <c r="B113" s="1240"/>
      <c r="C113" s="758"/>
      <c r="D113" s="273"/>
      <c r="E113" s="183">
        <f>'26'!F113</f>
        <v>0</v>
      </c>
      <c r="F113" s="310"/>
      <c r="G113" s="183">
        <f>SUM(G110:G112)</f>
        <v>83</v>
      </c>
      <c r="H113" s="184">
        <f>SUM(G113+'1'!G84)</f>
        <v>823</v>
      </c>
      <c r="I113" s="183"/>
      <c r="J113" s="209">
        <f>H113/DAY(B2)</f>
        <v>30.481481481481481</v>
      </c>
      <c r="N113" s="73"/>
    </row>
    <row r="114" spans="1:14" s="93" customFormat="1" ht="27.75">
      <c r="A114" s="1243" t="s">
        <v>222</v>
      </c>
      <c r="B114" s="1244"/>
      <c r="C114" s="758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>
      <c r="A115" s="1237" t="s">
        <v>223</v>
      </c>
      <c r="B115" s="1238"/>
      <c r="C115" s="225"/>
      <c r="D115" s="273" t="s">
        <v>143</v>
      </c>
      <c r="E115" s="183">
        <f>'26'!F115</f>
        <v>12957</v>
      </c>
      <c r="F115" s="310">
        <v>12979</v>
      </c>
      <c r="G115" s="185">
        <f>F115-E115</f>
        <v>22</v>
      </c>
      <c r="H115" s="184">
        <f>SUM(G115+'1'!G92)</f>
        <v>22</v>
      </c>
      <c r="I115" s="183"/>
      <c r="J115" s="209">
        <f>H115/DAY(B2)</f>
        <v>0.81481481481481477</v>
      </c>
      <c r="N115" s="73"/>
    </row>
    <row r="116" spans="1:14" s="93" customFormat="1" ht="27.75">
      <c r="A116" s="1237" t="s">
        <v>224</v>
      </c>
      <c r="B116" s="1238"/>
      <c r="C116" s="225"/>
      <c r="D116" s="273" t="s">
        <v>143</v>
      </c>
      <c r="E116" s="183">
        <f>'26'!F116</f>
        <v>9078</v>
      </c>
      <c r="F116" s="310">
        <v>9087</v>
      </c>
      <c r="G116" s="185">
        <f t="shared" ref="G116:G117" si="13">F116-E116</f>
        <v>9</v>
      </c>
      <c r="H116" s="184">
        <f>SUM(G116+'1'!G93)</f>
        <v>71</v>
      </c>
      <c r="I116" s="183"/>
      <c r="J116" s="209">
        <f>H116/DAY(B2)</f>
        <v>2.6296296296296298</v>
      </c>
      <c r="N116" s="73"/>
    </row>
    <row r="117" spans="1:14" s="93" customFormat="1" ht="27.75">
      <c r="A117" s="1237" t="s">
        <v>225</v>
      </c>
      <c r="B117" s="1238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163</v>
      </c>
      <c r="I117" s="183"/>
      <c r="J117" s="209">
        <f>H117/DAY(B2)</f>
        <v>6.0370370370370372</v>
      </c>
      <c r="N117" s="73"/>
    </row>
    <row r="118" spans="1:14" s="96" customFormat="1" ht="27.75">
      <c r="A118" s="1239" t="s">
        <v>201</v>
      </c>
      <c r="B118" s="1240"/>
      <c r="C118" s="225"/>
      <c r="D118" s="274"/>
      <c r="E118" s="185"/>
      <c r="F118" s="310"/>
      <c r="G118" s="185">
        <f>SUM(G115:G117)</f>
        <v>31</v>
      </c>
      <c r="H118" s="184">
        <f>SUM(G118+'1'!G96)</f>
        <v>97</v>
      </c>
      <c r="I118" s="185"/>
      <c r="J118" s="209">
        <f>H118/DAY(B2)</f>
        <v>3.5925925925925926</v>
      </c>
      <c r="N118" s="73"/>
    </row>
    <row r="119" spans="1:14" s="97" customFormat="1" ht="27.75">
      <c r="A119" s="1233" t="s">
        <v>226</v>
      </c>
      <c r="B119" s="1234"/>
      <c r="C119" s="756"/>
      <c r="D119" s="275" t="s">
        <v>143</v>
      </c>
      <c r="E119" s="187"/>
      <c r="F119" s="311"/>
      <c r="G119" s="187">
        <f>SUM(G19+G93)</f>
        <v>206</v>
      </c>
      <c r="H119" s="184">
        <f>SUM(G119+'1'!G97)</f>
        <v>224</v>
      </c>
      <c r="I119" s="186"/>
      <c r="J119" s="210">
        <f>H119/DAY(B2)</f>
        <v>8.2962962962962958</v>
      </c>
      <c r="N119" s="73"/>
    </row>
    <row r="120" spans="1:14" s="97" customFormat="1" ht="27.75">
      <c r="A120" s="1233" t="s">
        <v>227</v>
      </c>
      <c r="B120" s="1234"/>
      <c r="C120" s="756"/>
      <c r="D120" s="275" t="s">
        <v>143</v>
      </c>
      <c r="E120" s="187"/>
      <c r="F120" s="311"/>
      <c r="G120" s="187">
        <f>SUM(G96,G97,G98,G100,G101)</f>
        <v>212</v>
      </c>
      <c r="H120" s="184">
        <f>SUM(G120+'1'!G99)</f>
        <v>223</v>
      </c>
      <c r="I120" s="186"/>
      <c r="J120" s="210">
        <f>H120/DAY(B2)</f>
        <v>8.2592592592592595</v>
      </c>
      <c r="N120" s="73"/>
    </row>
    <row r="121" spans="1:14" s="97" customFormat="1" ht="27.75">
      <c r="A121" s="1233" t="s">
        <v>228</v>
      </c>
      <c r="B121" s="1234"/>
      <c r="C121" s="756"/>
      <c r="D121" s="275" t="s">
        <v>143</v>
      </c>
      <c r="E121" s="185"/>
      <c r="F121" s="310"/>
      <c r="G121" s="185">
        <f>SUM(G113)</f>
        <v>83</v>
      </c>
      <c r="H121" s="184">
        <f>SUM(G121+'1'!G101)</f>
        <v>92</v>
      </c>
      <c r="I121" s="186"/>
      <c r="J121" s="210">
        <f>H121/DAY(B2)</f>
        <v>3.4074074074074074</v>
      </c>
      <c r="N121" s="73"/>
    </row>
    <row r="122" spans="1:14" s="93" customFormat="1" ht="27.75">
      <c r="A122" s="1235"/>
      <c r="B122" s="1236"/>
      <c r="C122" s="757"/>
      <c r="D122" s="211"/>
      <c r="E122" s="211"/>
      <c r="F122" s="312"/>
      <c r="G122" s="211"/>
      <c r="H122" s="212"/>
      <c r="I122" s="211"/>
      <c r="J122" s="213"/>
      <c r="N122" s="73"/>
    </row>
    <row r="123" spans="1:14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>
      <c r="A124" s="759" t="s">
        <v>230</v>
      </c>
      <c r="B124" s="760"/>
      <c r="C124" s="760"/>
      <c r="D124" s="174" t="s">
        <v>140</v>
      </c>
      <c r="E124" s="129">
        <f>'26'!F124</f>
        <v>854988</v>
      </c>
      <c r="F124" s="129">
        <v>855262</v>
      </c>
      <c r="G124" s="124">
        <f t="shared" ref="G124:G128" si="14">F124-E124</f>
        <v>274</v>
      </c>
      <c r="H124" s="111">
        <f>G124+'26'!H124</f>
        <v>-1090</v>
      </c>
      <c r="I124" s="177">
        <f>G124/5</f>
        <v>54.8</v>
      </c>
      <c r="J124" s="203">
        <f>H124/DAY(B2)</f>
        <v>-40.370370370370374</v>
      </c>
      <c r="K124" s="71"/>
      <c r="L124" s="68"/>
      <c r="N124" s="73"/>
    </row>
    <row r="125" spans="1:14" ht="27.75">
      <c r="A125" s="759" t="s">
        <v>231</v>
      </c>
      <c r="B125" s="760"/>
      <c r="C125" s="760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>
      <c r="A126" s="1226" t="s">
        <v>232</v>
      </c>
      <c r="B126" s="1227"/>
      <c r="C126" s="1228"/>
      <c r="D126" s="174" t="s">
        <v>140</v>
      </c>
      <c r="E126" s="129">
        <f>'26'!F126</f>
        <v>153629</v>
      </c>
      <c r="F126" s="277">
        <v>153726</v>
      </c>
      <c r="G126" s="124">
        <f t="shared" si="14"/>
        <v>97</v>
      </c>
      <c r="H126" s="111">
        <f>G126+'26'!H126</f>
        <v>-351</v>
      </c>
      <c r="I126" s="177"/>
      <c r="J126" s="203">
        <f>H126/DAY(B2)</f>
        <v>-13</v>
      </c>
      <c r="K126" s="71"/>
      <c r="L126" s="68"/>
      <c r="N126" s="73"/>
    </row>
    <row r="127" spans="1:14" ht="27.75">
      <c r="A127" s="260" t="s">
        <v>233</v>
      </c>
      <c r="B127" s="760"/>
      <c r="C127" s="760"/>
      <c r="D127" s="174" t="s">
        <v>140</v>
      </c>
      <c r="E127" s="129">
        <f>'26'!F127</f>
        <v>34423</v>
      </c>
      <c r="F127" s="277">
        <v>34470</v>
      </c>
      <c r="G127" s="124">
        <f t="shared" si="14"/>
        <v>47</v>
      </c>
      <c r="H127" s="111">
        <f>G127+'26'!H127</f>
        <v>-159</v>
      </c>
      <c r="I127" s="177"/>
      <c r="J127" s="203">
        <f>H127/DAY(B2)</f>
        <v>-5.8888888888888893</v>
      </c>
      <c r="K127" s="71"/>
      <c r="L127" s="68"/>
      <c r="N127" s="73"/>
    </row>
    <row r="128" spans="1:14" ht="27.75">
      <c r="A128" s="260" t="s">
        <v>234</v>
      </c>
      <c r="B128" s="760"/>
      <c r="C128" s="760"/>
      <c r="D128" s="174" t="s">
        <v>140</v>
      </c>
      <c r="E128" s="129">
        <f>'26'!F128</f>
        <v>9167</v>
      </c>
      <c r="F128" s="277">
        <v>9169</v>
      </c>
      <c r="G128" s="124">
        <f t="shared" si="14"/>
        <v>2</v>
      </c>
      <c r="H128" s="111">
        <f>G128+'26'!H128</f>
        <v>-11</v>
      </c>
      <c r="I128" s="131"/>
      <c r="J128" s="203">
        <f>H128/DAY(B2)</f>
        <v>-0.40740740740740738</v>
      </c>
      <c r="K128" s="71"/>
      <c r="L128" s="68"/>
      <c r="N128" s="73"/>
    </row>
    <row r="129" spans="1:14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424.60000000000582</v>
      </c>
      <c r="H129" s="111">
        <f>G129+'26'!H129</f>
        <v>5535</v>
      </c>
      <c r="I129" s="131"/>
      <c r="J129" s="203">
        <f>H129/DAY(B2)</f>
        <v>205</v>
      </c>
      <c r="K129" s="60"/>
      <c r="L129" s="58"/>
      <c r="N129" s="73"/>
    </row>
    <row r="130" spans="1:1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>
      <c r="A131" s="759" t="s">
        <v>237</v>
      </c>
      <c r="B131" s="760"/>
      <c r="C131" s="760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>
      <c r="A132" s="759" t="s">
        <v>239</v>
      </c>
      <c r="B132" s="760"/>
      <c r="C132" s="760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>
      <c r="A133" s="759" t="s">
        <v>240</v>
      </c>
      <c r="B133" s="760"/>
      <c r="C133" s="760"/>
      <c r="D133" s="174" t="s">
        <v>238</v>
      </c>
      <c r="E133" s="135">
        <f>'26'!F133</f>
        <v>40921.53</v>
      </c>
      <c r="F133" s="136">
        <v>40921.53</v>
      </c>
      <c r="G133" s="124">
        <f t="shared" si="15"/>
        <v>0</v>
      </c>
      <c r="H133" s="111">
        <f>G133+'26'!H133</f>
        <v>-0.47000000000116415</v>
      </c>
      <c r="I133" s="131"/>
      <c r="J133" s="203">
        <f>H133/DAY(B2)</f>
        <v>-1.7407407407450524E-2</v>
      </c>
      <c r="N133" s="73"/>
    </row>
    <row r="134" spans="1:14" ht="27.75">
      <c r="A134" s="759" t="s">
        <v>241</v>
      </c>
      <c r="B134" s="760"/>
      <c r="C134" s="760"/>
      <c r="D134" s="174" t="s">
        <v>238</v>
      </c>
      <c r="E134" s="135">
        <f>'26'!F134</f>
        <v>774.43</v>
      </c>
      <c r="F134" s="302">
        <v>798</v>
      </c>
      <c r="G134" s="124">
        <f t="shared" si="15"/>
        <v>23.57000000000005</v>
      </c>
      <c r="H134" s="111">
        <f>G134+'26'!H134</f>
        <v>-58</v>
      </c>
      <c r="I134" s="131">
        <f>G131+G132+G133+G134</f>
        <v>23.57000000000005</v>
      </c>
      <c r="J134" s="203">
        <f>H134/DAY(B2)</f>
        <v>-2.1481481481481484</v>
      </c>
      <c r="N134" s="73"/>
    </row>
    <row r="135" spans="1:14" ht="27.75">
      <c r="A135" s="759" t="s">
        <v>242</v>
      </c>
      <c r="B135" s="760"/>
      <c r="C135" s="760"/>
      <c r="D135" s="174" t="s">
        <v>238</v>
      </c>
      <c r="E135" s="135">
        <f>'26'!F135</f>
        <v>42804</v>
      </c>
      <c r="F135" s="136">
        <v>42804</v>
      </c>
      <c r="G135" s="124">
        <f t="shared" si="15"/>
        <v>0</v>
      </c>
      <c r="H135" s="111">
        <f>G135+'26'!H135</f>
        <v>91</v>
      </c>
      <c r="I135" s="131"/>
      <c r="J135" s="203">
        <f>H135/DAY(B2)</f>
        <v>3.3703703703703702</v>
      </c>
      <c r="N135" s="73"/>
    </row>
    <row r="136" spans="1:14" ht="27.75">
      <c r="A136" s="759" t="s">
        <v>243</v>
      </c>
      <c r="B136" s="760"/>
      <c r="C136" s="760"/>
      <c r="D136" s="174" t="s">
        <v>238</v>
      </c>
      <c r="E136" s="135">
        <f>'26'!F136</f>
        <v>32874</v>
      </c>
      <c r="F136" s="136">
        <v>32885</v>
      </c>
      <c r="G136" s="124">
        <f t="shared" si="15"/>
        <v>11</v>
      </c>
      <c r="H136" s="111">
        <f>G136+'26'!H136</f>
        <v>23.94999999999709</v>
      </c>
      <c r="I136" s="131"/>
      <c r="J136" s="203">
        <f>H136/DAY(B2)</f>
        <v>0.88703703703692927</v>
      </c>
      <c r="N136" s="73"/>
    </row>
    <row r="137" spans="1:14" ht="27.75">
      <c r="A137" s="759" t="s">
        <v>244</v>
      </c>
      <c r="B137" s="760"/>
      <c r="C137" s="760"/>
      <c r="D137" s="174" t="s">
        <v>238</v>
      </c>
      <c r="E137" s="135">
        <f>'26'!F137</f>
        <v>23314</v>
      </c>
      <c r="F137" s="136">
        <v>23322.43</v>
      </c>
      <c r="G137" s="124">
        <f t="shared" si="15"/>
        <v>8.430000000000291</v>
      </c>
      <c r="H137" s="111">
        <f>G137+'26'!H137</f>
        <v>-34</v>
      </c>
      <c r="I137" s="131">
        <f>G135+G136+G137</f>
        <v>19.430000000000291</v>
      </c>
      <c r="J137" s="203">
        <f>H137/DAY(B2)</f>
        <v>-1.2592592592592593</v>
      </c>
      <c r="N137" s="73"/>
    </row>
    <row r="138" spans="1:14" ht="27.75">
      <c r="A138" s="759" t="s">
        <v>245</v>
      </c>
      <c r="B138" s="760"/>
      <c r="C138" s="760"/>
      <c r="D138" s="174" t="s">
        <v>238</v>
      </c>
      <c r="E138" s="135">
        <f>'26'!F138</f>
        <v>25132.98</v>
      </c>
      <c r="F138" s="302">
        <v>25132.98</v>
      </c>
      <c r="G138" s="124">
        <f t="shared" si="15"/>
        <v>0</v>
      </c>
      <c r="H138" s="111">
        <f>G138+'26'!H138</f>
        <v>8</v>
      </c>
      <c r="I138" s="131"/>
      <c r="J138" s="203">
        <f>H138/DAY(B2)</f>
        <v>0.29629629629629628</v>
      </c>
      <c r="N138" s="73"/>
    </row>
    <row r="139" spans="1:14" ht="27.75">
      <c r="A139" s="759" t="s">
        <v>246</v>
      </c>
      <c r="B139" s="760"/>
      <c r="C139" s="760"/>
      <c r="D139" s="174" t="s">
        <v>238</v>
      </c>
      <c r="E139" s="135">
        <f>'26'!F139</f>
        <v>70524.55</v>
      </c>
      <c r="F139" s="136">
        <v>70524.55</v>
      </c>
      <c r="G139" s="124">
        <f t="shared" si="15"/>
        <v>0</v>
      </c>
      <c r="H139" s="111">
        <f>G139+'26'!H139</f>
        <v>15</v>
      </c>
      <c r="I139" s="131">
        <f>G138+G139</f>
        <v>0</v>
      </c>
      <c r="J139" s="203">
        <f>H139/DAY(B2)</f>
        <v>0.55555555555555558</v>
      </c>
      <c r="N139" s="73"/>
    </row>
    <row r="140" spans="1:14" ht="27.75">
      <c r="A140" s="759" t="s">
        <v>247</v>
      </c>
      <c r="B140" s="760"/>
      <c r="C140" s="760"/>
      <c r="D140" s="174" t="s">
        <v>238</v>
      </c>
      <c r="E140" s="135">
        <f>'26'!F140</f>
        <v>2575.35</v>
      </c>
      <c r="F140" s="136">
        <v>2586</v>
      </c>
      <c r="G140" s="124">
        <f t="shared" si="15"/>
        <v>10.650000000000091</v>
      </c>
      <c r="H140" s="111">
        <f>G140+'26'!H140</f>
        <v>-41.980000000000018</v>
      </c>
      <c r="I140" s="193"/>
      <c r="J140" s="203">
        <f>H140/DAY(B2)</f>
        <v>-1.5548148148148155</v>
      </c>
      <c r="N140" s="73"/>
    </row>
    <row r="141" spans="1:14" ht="27.75">
      <c r="A141" s="759" t="s">
        <v>248</v>
      </c>
      <c r="B141" s="760"/>
      <c r="C141" s="760"/>
      <c r="D141" s="174" t="s">
        <v>238</v>
      </c>
      <c r="E141" s="135">
        <f>'26'!F141</f>
        <v>4753.67</v>
      </c>
      <c r="F141" s="129">
        <v>4753.67</v>
      </c>
      <c r="G141" s="124">
        <f t="shared" si="15"/>
        <v>0</v>
      </c>
      <c r="H141" s="111">
        <f>G141+'26'!H141</f>
        <v>-0.32999999999992724</v>
      </c>
      <c r="I141" s="193"/>
      <c r="J141" s="203">
        <f>H141/DAY(B2)</f>
        <v>-1.2222222222219527E-2</v>
      </c>
      <c r="N141" s="73"/>
    </row>
    <row r="142" spans="1:14">
      <c r="A142" s="1248" t="s">
        <v>249</v>
      </c>
      <c r="B142" s="1249"/>
      <c r="C142" s="765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4873</v>
      </c>
      <c r="H143" s="111">
        <f>G143+'26'!H143</f>
        <v>380779.99999999994</v>
      </c>
      <c r="I143" s="131"/>
      <c r="J143" s="203">
        <f>H143/DAY(B2)</f>
        <v>14102.962962962962</v>
      </c>
      <c r="K143" s="71"/>
      <c r="L143" s="68"/>
      <c r="N143" s="73"/>
    </row>
    <row r="144" spans="1:14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0.25876168224299068</v>
      </c>
      <c r="H144" s="111">
        <f>G144+'26'!H144</f>
        <v>7.7623545157103209</v>
      </c>
      <c r="I144" s="195"/>
      <c r="J144" s="203">
        <f>H144/DAY(B2)</f>
        <v>0.28749461169297486</v>
      </c>
      <c r="K144" s="71"/>
      <c r="L144" s="68"/>
      <c r="N144" s="73"/>
    </row>
    <row r="145" spans="1:14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5590</v>
      </c>
      <c r="H145" s="111">
        <f>G145+'26'!H145</f>
        <v>-26469.77999999997</v>
      </c>
      <c r="I145" s="131"/>
      <c r="J145" s="203">
        <f>H145/DAY(B2)</f>
        <v>-980.36222222222113</v>
      </c>
      <c r="K145" s="71"/>
      <c r="L145" s="68"/>
      <c r="N145" s="73"/>
    </row>
    <row r="146" spans="1:14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0.29683517417162275</v>
      </c>
      <c r="H146" s="111">
        <f>G146+'26'!H146</f>
        <v>7.2922731700045533</v>
      </c>
      <c r="I146" s="195"/>
      <c r="J146" s="203">
        <f>H146/DAY(B2)</f>
        <v>0.27008419148165014</v>
      </c>
      <c r="K146" s="71"/>
      <c r="L146" s="68"/>
      <c r="N146" s="73"/>
    </row>
    <row r="147" spans="1:14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3207</v>
      </c>
      <c r="H147" s="111">
        <f>G147+'26'!H147</f>
        <v>1052373</v>
      </c>
      <c r="I147" s="196"/>
      <c r="J147" s="203">
        <f>H147/DAY(B2)</f>
        <v>38976.777777777781</v>
      </c>
      <c r="K147" s="71"/>
      <c r="L147" s="68"/>
      <c r="N147" s="73"/>
    </row>
    <row r="148" spans="1:14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0.17029524214103653</v>
      </c>
      <c r="H148" s="111">
        <f>G148+'26'!H148</f>
        <v>7.3246475049944557</v>
      </c>
      <c r="I148" s="196"/>
      <c r="J148" s="203">
        <f>H148/DAY(B2)</f>
        <v>0.27128324092572059</v>
      </c>
      <c r="N148" s="73"/>
    </row>
    <row r="149" spans="1:14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1757.9300000000512</v>
      </c>
      <c r="H149" s="111">
        <f>G149+'26'!H149</f>
        <v>829715</v>
      </c>
      <c r="I149" s="131"/>
      <c r="J149" s="203">
        <f>H149/DAY(B2)</f>
        <v>30730.185185185186</v>
      </c>
      <c r="K149" s="72"/>
      <c r="N149" s="73"/>
    </row>
    <row r="150" spans="1:14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9.3348024638915214E-2</v>
      </c>
      <c r="H150" s="111">
        <f>G150+'26'!H150</f>
        <v>4.361800499370009</v>
      </c>
      <c r="I150" s="196"/>
      <c r="J150" s="203">
        <f>H150/DAY(B2)</f>
        <v>0.16154816664333366</v>
      </c>
      <c r="N150" s="73"/>
    </row>
    <row r="151" spans="1:14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1757</v>
      </c>
      <c r="H151" s="111">
        <f>G151+'26'!H151</f>
        <v>60622</v>
      </c>
      <c r="I151" s="196"/>
      <c r="J151" s="203">
        <f>H151/DAY(B2)</f>
        <v>2245.2592592592591</v>
      </c>
      <c r="N151" s="73"/>
    </row>
    <row r="152" spans="1:14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9.3298640611724729E-2</v>
      </c>
      <c r="H152" s="111">
        <f>G152+'26'!H152</f>
        <v>2.327957197944019</v>
      </c>
      <c r="I152" s="131"/>
      <c r="J152" s="203">
        <f>H152/DAY(B2)</f>
        <v>8.6220636960889593E-2</v>
      </c>
      <c r="N152" s="73"/>
    </row>
    <row r="153" spans="1:14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1481.1300000000047</v>
      </c>
      <c r="H153" s="111">
        <f>G153+'26'!H153</f>
        <v>409556.00000000006</v>
      </c>
      <c r="I153" s="131"/>
      <c r="J153" s="203">
        <f>H153/DAY(B2)</f>
        <v>15168.740740740743</v>
      </c>
      <c r="N153" s="73"/>
    </row>
    <row r="154" spans="1:14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7.8649638912489633E-2</v>
      </c>
      <c r="H154" s="111">
        <f>G154+'26'!H154</f>
        <v>2.9743014936832912</v>
      </c>
      <c r="I154" s="219"/>
      <c r="J154" s="220">
        <f>H154/DAY(B2)</f>
        <v>0.11015931458086264</v>
      </c>
      <c r="N154" s="73"/>
    </row>
    <row r="155" spans="1:14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>
      <c r="A161" s="435" t="s">
        <v>262</v>
      </c>
      <c r="B161" s="436"/>
      <c r="C161" s="436"/>
      <c r="D161" s="162" t="s">
        <v>186</v>
      </c>
      <c r="E161" s="192">
        <f>'26'!F161</f>
        <v>45394</v>
      </c>
      <c r="F161" s="309">
        <v>45461</v>
      </c>
      <c r="G161" s="124">
        <f t="shared" ref="G161:G164" si="16">F161-E161</f>
        <v>67</v>
      </c>
    </row>
    <row r="162" spans="1:14">
      <c r="A162" s="435" t="s">
        <v>263</v>
      </c>
      <c r="B162" s="436"/>
      <c r="C162" s="436"/>
      <c r="D162" s="162" t="s">
        <v>186</v>
      </c>
      <c r="E162" s="192">
        <f>'26'!F162</f>
        <v>134090</v>
      </c>
      <c r="F162" s="309">
        <v>134487</v>
      </c>
      <c r="G162" s="124">
        <f t="shared" si="16"/>
        <v>397</v>
      </c>
    </row>
    <row r="163" spans="1:14">
      <c r="A163" s="435" t="s">
        <v>264</v>
      </c>
      <c r="B163" s="436"/>
      <c r="C163" s="436"/>
      <c r="D163" s="162" t="s">
        <v>186</v>
      </c>
      <c r="E163" s="192">
        <f>'26'!F163</f>
        <v>62753</v>
      </c>
      <c r="F163" s="309">
        <v>62930</v>
      </c>
      <c r="G163" s="124">
        <f t="shared" si="16"/>
        <v>177</v>
      </c>
    </row>
    <row r="164" spans="1:14">
      <c r="A164" s="435" t="s">
        <v>265</v>
      </c>
      <c r="B164" s="436"/>
      <c r="C164" s="436"/>
      <c r="D164" s="162" t="s">
        <v>186</v>
      </c>
      <c r="E164" s="192">
        <f>'26'!F164</f>
        <v>7408</v>
      </c>
      <c r="F164" s="309">
        <v>7417</v>
      </c>
      <c r="G164" s="124">
        <f t="shared" si="16"/>
        <v>9</v>
      </c>
    </row>
    <row r="165" spans="1:14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14">
      <c r="A166" s="437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</row>
    <row r="167" spans="1:14" ht="27.75">
      <c r="A167" s="1232" t="s">
        <v>98</v>
      </c>
      <c r="B167" s="1232"/>
      <c r="C167" s="1232"/>
      <c r="D167" s="174" t="s">
        <v>186</v>
      </c>
      <c r="E167" s="165">
        <f t="shared" si="18"/>
        <v>192164</v>
      </c>
      <c r="F167" s="165">
        <f t="shared" si="19"/>
        <v>192575</v>
      </c>
      <c r="G167" s="124">
        <f t="shared" si="17"/>
        <v>411</v>
      </c>
    </row>
    <row r="168" spans="1:14" ht="27.75">
      <c r="A168" s="1232" t="s">
        <v>99</v>
      </c>
      <c r="B168" s="1232"/>
      <c r="C168" s="1232"/>
      <c r="D168" s="174" t="s">
        <v>186</v>
      </c>
      <c r="E168" s="165">
        <f t="shared" si="18"/>
        <v>192664</v>
      </c>
      <c r="F168" s="165">
        <f t="shared" si="19"/>
        <v>193038</v>
      </c>
      <c r="G168" s="124">
        <f t="shared" si="17"/>
        <v>374</v>
      </c>
    </row>
    <row r="169" spans="1:14" ht="27.75">
      <c r="A169" s="1232" t="s">
        <v>100</v>
      </c>
      <c r="B169" s="1232"/>
      <c r="C169" s="1232"/>
      <c r="D169" s="174" t="s">
        <v>186</v>
      </c>
      <c r="E169" s="165">
        <f t="shared" si="18"/>
        <v>91251</v>
      </c>
      <c r="F169" s="165">
        <f t="shared" si="19"/>
        <v>91592</v>
      </c>
      <c r="G169" s="124">
        <f t="shared" si="17"/>
        <v>341</v>
      </c>
    </row>
    <row r="170" spans="1:14" ht="27.75">
      <c r="A170" s="1232" t="s">
        <v>101</v>
      </c>
      <c r="B170" s="1232"/>
      <c r="C170" s="1232"/>
      <c r="D170" s="174" t="s">
        <v>186</v>
      </c>
      <c r="E170" s="165">
        <f t="shared" si="18"/>
        <v>292353</v>
      </c>
      <c r="F170" s="165">
        <f t="shared" si="19"/>
        <v>292786</v>
      </c>
      <c r="G170" s="124">
        <f t="shared" si="17"/>
        <v>433</v>
      </c>
    </row>
    <row r="171" spans="1:14" ht="27.75">
      <c r="A171" s="1232" t="s">
        <v>102</v>
      </c>
      <c r="B171" s="1232"/>
      <c r="C171" s="1232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14" ht="27.75">
      <c r="A172" s="1232" t="s">
        <v>103</v>
      </c>
      <c r="B172" s="1232"/>
      <c r="C172" s="1232"/>
      <c r="D172" s="174" t="s">
        <v>186</v>
      </c>
      <c r="E172" s="165">
        <f t="shared" si="18"/>
        <v>104789</v>
      </c>
      <c r="F172" s="165">
        <f t="shared" si="19"/>
        <v>105058</v>
      </c>
      <c r="G172" s="124">
        <f t="shared" si="17"/>
        <v>269</v>
      </c>
    </row>
    <row r="173" spans="1:14">
      <c r="G173" s="190">
        <f>SUM(G161:G172)</f>
        <v>2478</v>
      </c>
    </row>
    <row r="174" spans="1:14" s="57" customFormat="1" ht="27">
      <c r="A174" s="1232" t="s">
        <v>333</v>
      </c>
      <c r="B174" s="1232"/>
      <c r="C174" s="1232"/>
      <c r="D174" s="1106" t="s">
        <v>186</v>
      </c>
      <c r="E174" s="1111">
        <v>28716</v>
      </c>
      <c r="F174" s="1111">
        <v>28725</v>
      </c>
      <c r="G174" s="1108">
        <f t="shared" ref="G174" si="20">F174-E174</f>
        <v>9</v>
      </c>
      <c r="H174" s="1109"/>
      <c r="I174" s="105"/>
      <c r="J174" s="1110"/>
      <c r="N174" s="1112"/>
    </row>
    <row r="175" spans="1:14" s="57" customFormat="1" ht="27">
      <c r="A175" s="1273" t="s">
        <v>337</v>
      </c>
      <c r="B175" s="1236"/>
      <c r="C175" s="435"/>
      <c r="D175" s="1106" t="s">
        <v>186</v>
      </c>
      <c r="E175" s="1107">
        <v>19204</v>
      </c>
      <c r="F175" s="1107">
        <v>19208</v>
      </c>
      <c r="G175" s="1108">
        <f t="shared" ref="G175:G176" si="21">F175-E175</f>
        <v>4</v>
      </c>
      <c r="H175" s="1109"/>
      <c r="I175" s="105"/>
      <c r="J175" s="1110"/>
      <c r="N175" s="1112"/>
    </row>
    <row r="176" spans="1:14" s="57" customFormat="1" ht="27">
      <c r="A176" s="1273" t="s">
        <v>338</v>
      </c>
      <c r="B176" s="1236"/>
      <c r="C176" s="105"/>
      <c r="D176" s="1106" t="s">
        <v>186</v>
      </c>
      <c r="E176" s="1133">
        <v>27935</v>
      </c>
      <c r="F176" s="1111">
        <v>27941</v>
      </c>
      <c r="G176" s="1108">
        <f t="shared" si="21"/>
        <v>6</v>
      </c>
      <c r="H176" s="1109"/>
      <c r="I176" s="105"/>
      <c r="J176" s="1110"/>
      <c r="N176" s="1112"/>
    </row>
    <row r="177" spans="1:15" s="57" customFormat="1" ht="25.5" customHeight="1">
      <c r="A177" s="1296" t="s">
        <v>382</v>
      </c>
      <c r="B177" s="1296"/>
      <c r="C177" s="1296"/>
      <c r="D177" s="1296"/>
      <c r="E177" s="1296"/>
      <c r="F177" s="1296"/>
      <c r="G177" s="1296"/>
      <c r="H177" s="1109"/>
      <c r="I177" s="105"/>
      <c r="J177" s="1112"/>
      <c r="N177" s="1112"/>
    </row>
    <row r="178" spans="1:15">
      <c r="A178" s="435"/>
      <c r="B178" s="436"/>
      <c r="C178" s="436"/>
      <c r="D178" s="174" t="s">
        <v>186</v>
      </c>
      <c r="E178" s="192">
        <f>'26'!F178</f>
        <v>0</v>
      </c>
      <c r="F178" s="193"/>
      <c r="G178" s="124">
        <f t="shared" ref="G178:G184" si="22">F178-E178</f>
        <v>0</v>
      </c>
      <c r="N178" s="369"/>
      <c r="O178" s="374"/>
    </row>
    <row r="179" spans="1:15">
      <c r="A179" s="435" t="s">
        <v>383</v>
      </c>
      <c r="B179" s="436"/>
      <c r="C179" s="436"/>
      <c r="D179" s="174" t="s">
        <v>186</v>
      </c>
      <c r="E179" s="192">
        <f>'26'!F179</f>
        <v>0</v>
      </c>
      <c r="F179" s="193"/>
      <c r="G179" s="124">
        <f t="shared" si="22"/>
        <v>0</v>
      </c>
      <c r="N179" s="369"/>
      <c r="O179" s="374"/>
    </row>
    <row r="180" spans="1:15">
      <c r="A180" s="435" t="s">
        <v>384</v>
      </c>
      <c r="B180" s="436"/>
      <c r="C180" s="436"/>
      <c r="D180" s="174" t="s">
        <v>186</v>
      </c>
      <c r="E180" s="192">
        <f>'26'!F180</f>
        <v>0</v>
      </c>
      <c r="F180" s="193"/>
      <c r="G180" s="124">
        <f t="shared" si="22"/>
        <v>0</v>
      </c>
      <c r="N180" s="369"/>
      <c r="O180" s="374"/>
    </row>
    <row r="181" spans="1:15">
      <c r="A181" s="435" t="s">
        <v>385</v>
      </c>
      <c r="B181" s="436"/>
      <c r="C181" s="436"/>
      <c r="D181" s="174" t="s">
        <v>186</v>
      </c>
      <c r="E181" s="192">
        <f>'26'!F181</f>
        <v>0</v>
      </c>
      <c r="F181" s="193"/>
      <c r="G181" s="124">
        <f t="shared" si="22"/>
        <v>0</v>
      </c>
    </row>
    <row r="182" spans="1:15">
      <c r="A182" s="435" t="s">
        <v>386</v>
      </c>
      <c r="B182" s="436"/>
      <c r="C182" s="436"/>
      <c r="D182" s="174" t="s">
        <v>186</v>
      </c>
      <c r="E182" s="192">
        <f>'26'!F182</f>
        <v>0</v>
      </c>
      <c r="F182" s="193"/>
      <c r="G182" s="124">
        <f t="shared" si="22"/>
        <v>0</v>
      </c>
    </row>
    <row r="183" spans="1:15">
      <c r="A183" s="435" t="s">
        <v>387</v>
      </c>
      <c r="B183" s="436"/>
      <c r="C183" s="436"/>
      <c r="D183" s="174" t="s">
        <v>186</v>
      </c>
      <c r="E183" s="192">
        <f>'26'!F183</f>
        <v>0</v>
      </c>
      <c r="F183" s="193"/>
      <c r="G183" s="124">
        <f t="shared" si="22"/>
        <v>0</v>
      </c>
    </row>
    <row r="184" spans="1:15">
      <c r="A184" s="435" t="s">
        <v>388</v>
      </c>
      <c r="B184" s="436"/>
      <c r="C184" s="436"/>
      <c r="D184" s="174" t="s">
        <v>186</v>
      </c>
      <c r="E184" s="192">
        <f>'26'!F184</f>
        <v>0</v>
      </c>
      <c r="F184" s="193"/>
      <c r="G184" s="124">
        <f t="shared" si="22"/>
        <v>0</v>
      </c>
    </row>
  </sheetData>
  <mergeCells count="78"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68:C68"/>
    <mergeCell ref="A81:C81"/>
    <mergeCell ref="A82:C82"/>
    <mergeCell ref="A83:C83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113:B113"/>
    <mergeCell ref="A114:B114"/>
    <mergeCell ref="A94:C94"/>
    <mergeCell ref="A95:C95"/>
    <mergeCell ref="A96:C96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5:B115"/>
    <mergeCell ref="A116:B116"/>
    <mergeCell ref="A117:B117"/>
    <mergeCell ref="A118:B118"/>
    <mergeCell ref="A119:B119"/>
    <mergeCell ref="A174:C174"/>
    <mergeCell ref="A176:B176"/>
    <mergeCell ref="A175:B175"/>
    <mergeCell ref="A177:G177"/>
    <mergeCell ref="A120:B120"/>
    <mergeCell ref="A121:B121"/>
    <mergeCell ref="A122:B122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72:C172"/>
    <mergeCell ref="A167:C167"/>
    <mergeCell ref="A168:C168"/>
    <mergeCell ref="A169:C169"/>
    <mergeCell ref="A170:C170"/>
    <mergeCell ref="A171:C171"/>
  </mergeCells>
  <pageMargins left="0.23622047244094491" right="0.15748031496062992" top="0.15748031496062992" bottom="0.19685039370078741" header="0.19685039370078741" footer="0.19685039370078741"/>
  <pageSetup paperSize="5" scale="1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84"/>
  <sheetViews>
    <sheetView view="pageBreakPreview" topLeftCell="A154" zoomScale="55" zoomScaleNormal="80" zoomScaleSheetLayoutView="55" workbookViewId="0">
      <selection activeCell="F8" sqref="F8"/>
    </sheetView>
  </sheetViews>
  <sheetFormatPr defaultColWidth="22.33203125" defaultRowHeight="29.25"/>
  <cols>
    <col min="1" max="1" width="51.21875" style="105" customWidth="1"/>
    <col min="2" max="2" width="25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40" customWidth="1"/>
    <col min="15" max="17" width="22.33203125" style="420"/>
    <col min="18" max="16384" width="22.33203125" style="67"/>
  </cols>
  <sheetData>
    <row r="1" spans="1:17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7" s="57" customFormat="1" ht="27">
      <c r="A2" s="226" t="s">
        <v>353</v>
      </c>
      <c r="B2" s="986">
        <v>44436</v>
      </c>
      <c r="C2" s="761" t="s">
        <v>68</v>
      </c>
      <c r="D2" s="262">
        <v>0.65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740"/>
      <c r="O2" s="420"/>
      <c r="P2" s="420"/>
      <c r="Q2" s="420"/>
    </row>
    <row r="3" spans="1:17" s="57" customFormat="1" ht="27">
      <c r="A3" s="221"/>
      <c r="B3" s="265"/>
      <c r="C3" s="761" t="s">
        <v>119</v>
      </c>
      <c r="D3" s="263">
        <v>28</v>
      </c>
      <c r="E3" s="1259" t="s">
        <v>120</v>
      </c>
      <c r="F3" s="1260"/>
      <c r="G3" s="113"/>
      <c r="H3" s="114"/>
      <c r="I3" s="114"/>
      <c r="J3" s="266"/>
      <c r="K3" s="63"/>
      <c r="L3" s="58"/>
      <c r="N3" s="740"/>
      <c r="O3" s="420"/>
      <c r="P3" s="420"/>
      <c r="Q3" s="420"/>
    </row>
    <row r="4" spans="1:17" s="57" customFormat="1" ht="27">
      <c r="A4" s="227"/>
      <c r="B4" s="267"/>
      <c r="C4" s="761" t="s">
        <v>121</v>
      </c>
      <c r="D4" s="262">
        <v>0.85</v>
      </c>
      <c r="E4" s="114"/>
      <c r="F4" s="114"/>
      <c r="G4" s="115"/>
      <c r="H4" s="115"/>
      <c r="I4" s="116"/>
      <c r="J4" s="266"/>
      <c r="K4" s="64"/>
      <c r="L4" s="58"/>
      <c r="N4" s="740"/>
      <c r="O4" s="420"/>
      <c r="P4" s="422"/>
      <c r="Q4" s="420"/>
    </row>
    <row r="5" spans="1:17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2"/>
    </row>
    <row r="6" spans="1:17">
      <c r="A6" s="1253" t="s">
        <v>129</v>
      </c>
      <c r="B6" s="1254"/>
      <c r="C6" s="1255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>
      <c r="A7" s="327" t="s">
        <v>130</v>
      </c>
      <c r="B7" s="328"/>
      <c r="C7" s="328"/>
      <c r="D7" s="288" t="s">
        <v>131</v>
      </c>
      <c r="E7" s="330">
        <f>'27'!F7</f>
        <v>206684</v>
      </c>
      <c r="F7" s="106">
        <f>E7+23250</f>
        <v>229934</v>
      </c>
      <c r="G7" s="329">
        <f>F7-E7</f>
        <v>23250</v>
      </c>
      <c r="H7" s="330">
        <f>G7+'27'!H7</f>
        <v>931242.3899999999</v>
      </c>
      <c r="I7" s="331">
        <f>'1'!I7</f>
        <v>12000</v>
      </c>
      <c r="J7" s="332">
        <f>H7/DAY(B2)</f>
        <v>33258.65678571428</v>
      </c>
      <c r="K7" s="200"/>
      <c r="L7" s="68"/>
      <c r="N7" s="741"/>
    </row>
    <row r="8" spans="1:17" ht="27.75" thickBot="1">
      <c r="A8" s="333" t="s">
        <v>132</v>
      </c>
      <c r="B8" s="334"/>
      <c r="C8" s="335"/>
      <c r="D8" s="336" t="s">
        <v>25</v>
      </c>
      <c r="E8" s="330">
        <f>'27'!F8</f>
        <v>217202.74</v>
      </c>
      <c r="F8" s="126">
        <f>E8+22500</f>
        <v>239702.74</v>
      </c>
      <c r="G8" s="340">
        <f>F8-E8</f>
        <v>22500</v>
      </c>
      <c r="H8" s="330">
        <f>G8+'27'!H8</f>
        <v>932649</v>
      </c>
      <c r="I8" s="337">
        <f>'1'!I8</f>
        <v>12000</v>
      </c>
      <c r="J8" s="332">
        <f>H8/DAY(B2)</f>
        <v>33308.892857142855</v>
      </c>
      <c r="K8" s="200"/>
      <c r="L8" s="78">
        <v>1375467</v>
      </c>
      <c r="M8" s="91">
        <v>1703438</v>
      </c>
      <c r="N8" s="741"/>
    </row>
    <row r="9" spans="1:17">
      <c r="A9" s="338" t="s">
        <v>133</v>
      </c>
      <c r="B9" s="339"/>
      <c r="C9" s="339"/>
      <c r="D9" s="288" t="s">
        <v>131</v>
      </c>
      <c r="E9" s="330">
        <f>'27'!F9</f>
        <v>3276440</v>
      </c>
      <c r="F9" s="388">
        <v>3299014</v>
      </c>
      <c r="G9" s="353">
        <f t="shared" ref="G9:G12" si="0">F9-E9</f>
        <v>22574</v>
      </c>
      <c r="H9" s="330">
        <f>G9+'27'!H9</f>
        <v>3216484</v>
      </c>
      <c r="I9" s="341">
        <f>I8-J8</f>
        <v>-21308.892857142855</v>
      </c>
      <c r="J9" s="332">
        <f>H9/DAY(B2)</f>
        <v>114874.42857142857</v>
      </c>
      <c r="K9" s="81"/>
      <c r="L9" s="68"/>
      <c r="N9" s="741"/>
    </row>
    <row r="10" spans="1:17">
      <c r="A10" s="327" t="s">
        <v>134</v>
      </c>
      <c r="B10" s="328"/>
      <c r="C10" s="328"/>
      <c r="D10" s="288" t="s">
        <v>131</v>
      </c>
      <c r="E10" s="330">
        <f>'27'!F10</f>
        <v>2606.65</v>
      </c>
      <c r="F10" s="388">
        <v>2607</v>
      </c>
      <c r="G10" s="340">
        <f t="shared" si="0"/>
        <v>0.34999999999990905</v>
      </c>
      <c r="H10" s="330">
        <f>G10+'27'!H10</f>
        <v>0</v>
      </c>
      <c r="I10" s="342"/>
      <c r="J10" s="332">
        <f>H10/DAY(B2)</f>
        <v>0</v>
      </c>
      <c r="K10" s="81"/>
      <c r="L10" s="68"/>
      <c r="M10" s="67">
        <f>170</f>
        <v>170</v>
      </c>
      <c r="N10" s="741"/>
    </row>
    <row r="11" spans="1:17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G11+'27'!H11</f>
        <v>0</v>
      </c>
      <c r="I11" s="342"/>
      <c r="J11" s="332">
        <f>H11/DAY(B2)</f>
        <v>0</v>
      </c>
      <c r="K11" s="81"/>
      <c r="L11" s="68"/>
      <c r="N11" s="741"/>
    </row>
    <row r="12" spans="1:17">
      <c r="A12" s="327" t="s">
        <v>136</v>
      </c>
      <c r="B12" s="328"/>
      <c r="C12" s="328"/>
      <c r="D12" s="288" t="s">
        <v>131</v>
      </c>
      <c r="E12" s="330">
        <f>'5'!E12</f>
        <v>40010</v>
      </c>
      <c r="F12" s="388">
        <v>40010</v>
      </c>
      <c r="G12" s="340">
        <f t="shared" si="0"/>
        <v>0</v>
      </c>
      <c r="H12" s="330">
        <f>G12+'27'!H12</f>
        <v>0</v>
      </c>
      <c r="I12" s="342"/>
      <c r="J12" s="332">
        <f>H12/DAY(B2)</f>
        <v>0</v>
      </c>
      <c r="K12" s="81"/>
      <c r="L12" s="68"/>
      <c r="N12" s="741"/>
    </row>
    <row r="13" spans="1:17">
      <c r="A13" s="343" t="s">
        <v>137</v>
      </c>
      <c r="B13" s="344"/>
      <c r="C13" s="344"/>
      <c r="D13" s="288"/>
      <c r="E13" s="330"/>
      <c r="F13" s="111"/>
      <c r="G13" s="345">
        <f>G9+G10+G11+G12</f>
        <v>22574.35</v>
      </c>
      <c r="H13" s="330">
        <f>G13+'27'!H13</f>
        <v>3172468.5100000002</v>
      </c>
      <c r="I13" s="346">
        <f>G7-G13</f>
        <v>675.65000000000146</v>
      </c>
      <c r="J13" s="332">
        <f>H13/DAY(B2)</f>
        <v>113302.44678571429</v>
      </c>
      <c r="K13" s="81"/>
      <c r="L13" s="68"/>
      <c r="N13" s="741"/>
    </row>
    <row r="14" spans="1:17">
      <c r="A14" s="1256" t="s">
        <v>138</v>
      </c>
      <c r="B14" s="1257"/>
      <c r="C14" s="1258"/>
      <c r="D14" s="123"/>
      <c r="E14" s="389"/>
      <c r="F14" s="389"/>
      <c r="G14" s="134"/>
      <c r="H14" s="123"/>
      <c r="I14" s="123"/>
      <c r="J14" s="202"/>
      <c r="K14" s="82"/>
      <c r="L14" s="68"/>
      <c r="N14" s="741"/>
    </row>
    <row r="15" spans="1:17">
      <c r="A15" s="316" t="s">
        <v>139</v>
      </c>
      <c r="B15" s="317"/>
      <c r="C15" s="317"/>
      <c r="D15" s="318" t="s">
        <v>140</v>
      </c>
      <c r="E15" s="1113">
        <f>'27'!F15</f>
        <v>1753106</v>
      </c>
      <c r="F15" s="351">
        <v>1754070</v>
      </c>
      <c r="G15" s="315">
        <f>(F15-E15)</f>
        <v>964</v>
      </c>
      <c r="H15" s="726">
        <f>G15+'27'!H15</f>
        <v>-2460</v>
      </c>
      <c r="I15" s="727">
        <v>800</v>
      </c>
      <c r="J15" s="728">
        <f>H15/DAY(B2)</f>
        <v>-87.857142857142861</v>
      </c>
      <c r="K15" s="81"/>
      <c r="L15" s="68"/>
      <c r="N15" s="741"/>
    </row>
    <row r="16" spans="1:17">
      <c r="A16" s="324"/>
      <c r="B16" s="325"/>
      <c r="C16" s="325"/>
      <c r="D16" s="318"/>
      <c r="E16" s="407"/>
      <c r="F16" s="390"/>
      <c r="G16" s="320"/>
      <c r="H16" s="726"/>
      <c r="I16" s="729">
        <f>I15-J15</f>
        <v>887.85714285714289</v>
      </c>
      <c r="J16" s="728"/>
      <c r="K16" s="81"/>
      <c r="L16" s="68"/>
      <c r="N16" s="741"/>
    </row>
    <row r="17" spans="1:17">
      <c r="A17" s="1256" t="s">
        <v>141</v>
      </c>
      <c r="B17" s="1257"/>
      <c r="C17" s="1258"/>
      <c r="D17" s="123"/>
      <c r="E17" s="389"/>
      <c r="F17" s="389"/>
      <c r="G17" s="139"/>
      <c r="H17" s="123"/>
      <c r="I17" s="123"/>
      <c r="J17" s="202"/>
      <c r="K17" s="81"/>
      <c r="L17" s="68"/>
      <c r="N17" s="741"/>
    </row>
    <row r="18" spans="1:17" ht="27.75">
      <c r="A18" s="1293" t="s">
        <v>142</v>
      </c>
      <c r="B18" s="1294"/>
      <c r="C18" s="1295"/>
      <c r="D18" s="288" t="s">
        <v>143</v>
      </c>
      <c r="E18" s="408">
        <f>'27'!F18</f>
        <v>20</v>
      </c>
      <c r="F18" s="388">
        <v>20</v>
      </c>
      <c r="G18" s="345">
        <f>F18*10</f>
        <v>200</v>
      </c>
      <c r="H18" s="330">
        <f>G18+'27'!H18</f>
        <v>4530</v>
      </c>
      <c r="I18" s="331">
        <f>'1'!I18</f>
        <v>65</v>
      </c>
      <c r="J18" s="332">
        <f>H18/DAY(B2)</f>
        <v>161.78571428571428</v>
      </c>
      <c r="K18" s="81"/>
      <c r="L18" s="68"/>
      <c r="N18" s="741"/>
    </row>
    <row r="19" spans="1:17" ht="27.75">
      <c r="A19" s="1293" t="s">
        <v>70</v>
      </c>
      <c r="B19" s="1294"/>
      <c r="C19" s="1295"/>
      <c r="D19" s="288" t="s">
        <v>143</v>
      </c>
      <c r="E19" s="408">
        <f>'27'!F19</f>
        <v>145095</v>
      </c>
      <c r="F19" s="388">
        <v>145155</v>
      </c>
      <c r="G19" s="340">
        <f t="shared" ref="G19" si="1">F19-E19</f>
        <v>60</v>
      </c>
      <c r="H19" s="330">
        <f>G19+'27'!H19</f>
        <v>-183</v>
      </c>
      <c r="I19" s="347"/>
      <c r="J19" s="332">
        <f>H19/DAY(B2)</f>
        <v>-6.5357142857142856</v>
      </c>
      <c r="K19" s="81"/>
      <c r="L19" s="68"/>
      <c r="N19" s="741"/>
    </row>
    <row r="20" spans="1:17">
      <c r="A20" s="343" t="s">
        <v>144</v>
      </c>
      <c r="B20" s="344"/>
      <c r="C20" s="344"/>
      <c r="D20" s="288"/>
      <c r="E20" s="330"/>
      <c r="F20" s="111"/>
      <c r="G20" s="348">
        <f>G18+G19</f>
        <v>260</v>
      </c>
      <c r="H20" s="330">
        <f>G20+'27'!H20</f>
        <v>4347</v>
      </c>
      <c r="I20" s="349">
        <f>I18-J20</f>
        <v>-90.25</v>
      </c>
      <c r="J20" s="332">
        <f>H20/DAY(B2)</f>
        <v>155.25</v>
      </c>
      <c r="K20" s="81"/>
      <c r="L20" s="68"/>
      <c r="N20" s="741"/>
    </row>
    <row r="21" spans="1:17">
      <c r="A21" s="1256" t="s">
        <v>145</v>
      </c>
      <c r="B21" s="1257"/>
      <c r="C21" s="1258"/>
      <c r="D21" s="123"/>
      <c r="E21" s="389"/>
      <c r="F21" s="389"/>
      <c r="G21" s="134"/>
      <c r="H21" s="123"/>
      <c r="I21" s="123"/>
      <c r="J21" s="202"/>
      <c r="K21" s="81"/>
      <c r="L21" s="68"/>
      <c r="N21" s="741"/>
    </row>
    <row r="22" spans="1:17">
      <c r="A22" s="759" t="s">
        <v>146</v>
      </c>
      <c r="B22" s="240"/>
      <c r="C22" s="240"/>
      <c r="D22" s="174" t="s">
        <v>147</v>
      </c>
      <c r="E22" s="409">
        <f>'27'!F22</f>
        <v>2970</v>
      </c>
      <c r="F22" s="388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41"/>
    </row>
    <row r="23" spans="1:17">
      <c r="A23" s="759" t="s">
        <v>148</v>
      </c>
      <c r="B23" s="240"/>
      <c r="C23" s="240"/>
      <c r="D23" s="174" t="s">
        <v>147</v>
      </c>
      <c r="E23" s="409">
        <f>'27'!F23</f>
        <v>2000</v>
      </c>
      <c r="F23" s="388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41"/>
    </row>
    <row r="24" spans="1:17">
      <c r="A24" s="241" t="s">
        <v>149</v>
      </c>
      <c r="B24" s="242"/>
      <c r="C24" s="242"/>
      <c r="D24" s="162" t="s">
        <v>147</v>
      </c>
      <c r="E24" s="410">
        <f>'27'!F24</f>
        <v>4970</v>
      </c>
      <c r="F24" s="410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41"/>
    </row>
    <row r="25" spans="1:17" s="93" customFormat="1" ht="27">
      <c r="A25" s="1261" t="s">
        <v>150</v>
      </c>
      <c r="B25" s="1262"/>
      <c r="C25" s="1263"/>
      <c r="D25" s="122"/>
      <c r="E25" s="146"/>
      <c r="F25" s="146"/>
      <c r="G25" s="145"/>
      <c r="H25" s="146"/>
      <c r="I25" s="147"/>
      <c r="J25" s="205"/>
      <c r="K25" s="65"/>
      <c r="L25" s="94"/>
      <c r="N25" s="741"/>
      <c r="O25" s="420"/>
      <c r="P25" s="420"/>
      <c r="Q25" s="420"/>
    </row>
    <row r="26" spans="1:17" s="93" customFormat="1" ht="27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741"/>
      <c r="O26" s="420"/>
      <c r="P26" s="420"/>
      <c r="Q26" s="420"/>
    </row>
    <row r="27" spans="1:17" s="93" customFormat="1" ht="27">
      <c r="A27" s="243" t="s">
        <v>6</v>
      </c>
      <c r="B27" s="244"/>
      <c r="C27" s="245"/>
      <c r="D27" s="270" t="s">
        <v>25</v>
      </c>
      <c r="E27" s="350">
        <f>G8</f>
        <v>22500</v>
      </c>
      <c r="F27" s="152">
        <v>9</v>
      </c>
      <c r="G27" s="153">
        <f>E27*F27</f>
        <v>202500</v>
      </c>
      <c r="H27" s="111">
        <f>G27+'27'!H27</f>
        <v>8386803</v>
      </c>
      <c r="I27" s="154"/>
      <c r="J27" s="203">
        <f>H27/DAY(B2)</f>
        <v>299528.67857142858</v>
      </c>
      <c r="K27" s="65"/>
      <c r="L27" s="94"/>
      <c r="N27" s="741"/>
      <c r="O27" s="420"/>
      <c r="P27" s="420"/>
      <c r="Q27" s="420"/>
    </row>
    <row r="28" spans="1:17" s="93" customFormat="1" ht="27">
      <c r="A28" s="243" t="s">
        <v>153</v>
      </c>
      <c r="B28" s="244"/>
      <c r="C28" s="245"/>
      <c r="D28" s="270" t="s">
        <v>154</v>
      </c>
      <c r="E28" s="350">
        <f>G15</f>
        <v>964</v>
      </c>
      <c r="F28" s="152">
        <v>56.2</v>
      </c>
      <c r="G28" s="153">
        <f>E28*F28</f>
        <v>54176.800000000003</v>
      </c>
      <c r="H28" s="111">
        <f>G28+'27'!H28</f>
        <v>-142819.97139999981</v>
      </c>
      <c r="I28" s="156"/>
      <c r="J28" s="203">
        <f>H28/DAY(B2)</f>
        <v>-5100.7132642857077</v>
      </c>
      <c r="K28" s="65"/>
      <c r="L28" s="94"/>
      <c r="N28" s="741"/>
      <c r="O28" s="420"/>
      <c r="P28" s="420"/>
      <c r="Q28" s="420"/>
    </row>
    <row r="29" spans="1:17" s="93" customFormat="1" ht="27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41"/>
      <c r="O29" s="420"/>
      <c r="P29" s="420"/>
      <c r="Q29" s="420"/>
    </row>
    <row r="30" spans="1:17" s="93" customFormat="1" ht="27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G30+'27'!H30</f>
        <v>-26718</v>
      </c>
      <c r="I30" s="156"/>
      <c r="J30" s="203">
        <f>H30/DAY(B2)</f>
        <v>-954.21428571428567</v>
      </c>
      <c r="K30" s="65"/>
      <c r="L30" s="94"/>
      <c r="N30" s="741"/>
      <c r="O30" s="420"/>
      <c r="P30" s="420"/>
      <c r="Q30" s="420"/>
    </row>
    <row r="31" spans="1:17" s="93" customFormat="1" ht="27">
      <c r="A31" s="243" t="s">
        <v>159</v>
      </c>
      <c r="B31" s="244"/>
      <c r="C31" s="245"/>
      <c r="D31" s="270" t="s">
        <v>143</v>
      </c>
      <c r="E31" s="350">
        <f>G18</f>
        <v>200</v>
      </c>
      <c r="F31" s="350">
        <v>80</v>
      </c>
      <c r="G31" s="153">
        <f>E31*F31</f>
        <v>16000</v>
      </c>
      <c r="H31" s="111">
        <f>G31+'27'!H31</f>
        <v>357164</v>
      </c>
      <c r="I31" s="156"/>
      <c r="J31" s="203">
        <f>H31/DAY(B2)</f>
        <v>12755.857142857143</v>
      </c>
      <c r="K31" s="65"/>
      <c r="L31" s="94"/>
      <c r="N31" s="741"/>
      <c r="O31" s="420"/>
      <c r="P31" s="420"/>
      <c r="Q31" s="420"/>
    </row>
    <row r="32" spans="1:17" s="93" customFormat="1" ht="27">
      <c r="A32" s="246" t="s">
        <v>160</v>
      </c>
      <c r="B32" s="247"/>
      <c r="C32" s="248"/>
      <c r="D32" s="158"/>
      <c r="E32" s="412"/>
      <c r="F32" s="137"/>
      <c r="G32" s="159">
        <f>G27+G28+G29+G30+G31</f>
        <v>281436.79999999999</v>
      </c>
      <c r="H32" s="111">
        <f>G32+'27'!H32</f>
        <v>8574429.0285999998</v>
      </c>
      <c r="I32" s="160"/>
      <c r="J32" s="203">
        <f>H32/DAY(B2)</f>
        <v>306229.60816428572</v>
      </c>
      <c r="K32" s="65"/>
      <c r="L32" s="94"/>
      <c r="N32" s="741"/>
      <c r="O32" s="420"/>
      <c r="P32" s="420"/>
      <c r="Q32" s="420"/>
    </row>
    <row r="33" spans="1:14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741"/>
    </row>
    <row r="34" spans="1:14">
      <c r="A34" s="249" t="s">
        <v>162</v>
      </c>
      <c r="B34" s="764"/>
      <c r="C34" s="764"/>
      <c r="D34" s="123"/>
      <c r="E34" s="146"/>
      <c r="F34" s="146"/>
      <c r="G34" s="123"/>
      <c r="H34" s="123"/>
      <c r="I34" s="123"/>
      <c r="J34" s="202"/>
      <c r="K34" s="81"/>
      <c r="L34" s="68"/>
      <c r="N34" s="741"/>
    </row>
    <row r="35" spans="1:14">
      <c r="A35" s="229" t="s">
        <v>163</v>
      </c>
      <c r="B35" s="230"/>
      <c r="C35" s="230"/>
      <c r="D35" s="174" t="s">
        <v>131</v>
      </c>
      <c r="E35" s="392">
        <f>'27'!F35</f>
        <v>1058597</v>
      </c>
      <c r="F35" s="392">
        <v>1058597</v>
      </c>
      <c r="G35" s="124">
        <f t="shared" ref="G35:G46" si="3">F35-E35</f>
        <v>0</v>
      </c>
      <c r="H35" s="111">
        <f>G35+'27'!H35</f>
        <v>0</v>
      </c>
      <c r="I35" s="106"/>
      <c r="J35" s="203">
        <f>H35/DAY(B2)</f>
        <v>0</v>
      </c>
      <c r="K35" s="81"/>
      <c r="L35" s="68"/>
      <c r="N35" s="741"/>
    </row>
    <row r="36" spans="1:14">
      <c r="A36" s="229" t="s">
        <v>164</v>
      </c>
      <c r="B36" s="230"/>
      <c r="C36" s="230"/>
      <c r="D36" s="174" t="s">
        <v>131</v>
      </c>
      <c r="E36" s="392">
        <f>'27'!F36</f>
        <v>66697</v>
      </c>
      <c r="F36" s="392">
        <v>67546</v>
      </c>
      <c r="G36" s="124">
        <f t="shared" si="3"/>
        <v>849</v>
      </c>
      <c r="H36" s="111">
        <f>G36+'27'!H36</f>
        <v>65713</v>
      </c>
      <c r="I36" s="106"/>
      <c r="J36" s="203">
        <f>H36/DAY(B2)</f>
        <v>2346.8928571428573</v>
      </c>
      <c r="K36" s="81"/>
      <c r="L36" s="68"/>
      <c r="N36" s="741"/>
    </row>
    <row r="37" spans="1:14">
      <c r="A37" s="229" t="s">
        <v>165</v>
      </c>
      <c r="B37" s="230"/>
      <c r="C37" s="230"/>
      <c r="D37" s="174" t="s">
        <v>131</v>
      </c>
      <c r="E37" s="392">
        <f>'27'!F37</f>
        <v>268691</v>
      </c>
      <c r="F37" s="392">
        <v>270176</v>
      </c>
      <c r="G37" s="124">
        <f t="shared" si="3"/>
        <v>1485</v>
      </c>
      <c r="H37" s="111">
        <f>G37+'27'!H37</f>
        <v>266401</v>
      </c>
      <c r="I37" s="106"/>
      <c r="J37" s="203">
        <f>H37/DAY(B2)</f>
        <v>9514.3214285714294</v>
      </c>
      <c r="K37" s="81"/>
      <c r="L37" s="68"/>
      <c r="N37" s="741"/>
    </row>
    <row r="38" spans="1:14">
      <c r="A38" s="229" t="s">
        <v>166</v>
      </c>
      <c r="B38" s="230"/>
      <c r="C38" s="230"/>
      <c r="D38" s="174" t="s">
        <v>131</v>
      </c>
      <c r="E38" s="392">
        <f>'27'!F38</f>
        <v>294932</v>
      </c>
      <c r="F38" s="121">
        <v>296724</v>
      </c>
      <c r="G38" s="124">
        <f t="shared" si="3"/>
        <v>1792</v>
      </c>
      <c r="H38" s="111">
        <f>G38+'27'!H38</f>
        <v>291901</v>
      </c>
      <c r="I38" s="106"/>
      <c r="J38" s="203">
        <f>H38/DAY(B2)</f>
        <v>10425.035714285714</v>
      </c>
      <c r="K38" s="81"/>
      <c r="L38" s="68"/>
      <c r="N38" s="741"/>
    </row>
    <row r="39" spans="1:14">
      <c r="A39" s="229" t="s">
        <v>167</v>
      </c>
      <c r="B39" s="230"/>
      <c r="C39" s="230"/>
      <c r="D39" s="174" t="s">
        <v>131</v>
      </c>
      <c r="E39" s="392">
        <f>'27'!F39</f>
        <v>621983</v>
      </c>
      <c r="F39" s="392">
        <v>626167</v>
      </c>
      <c r="G39" s="124">
        <f>F39-E39</f>
        <v>4184</v>
      </c>
      <c r="H39" s="111">
        <f>G39+'27'!H39</f>
        <v>622325</v>
      </c>
      <c r="I39" s="106"/>
      <c r="J39" s="203">
        <f>H39/DAY(B2)</f>
        <v>22225.892857142859</v>
      </c>
      <c r="K39" s="81"/>
      <c r="L39" s="68"/>
      <c r="N39" s="741"/>
    </row>
    <row r="40" spans="1:14">
      <c r="A40" s="250" t="s">
        <v>168</v>
      </c>
      <c r="B40" s="251"/>
      <c r="C40" s="251"/>
      <c r="D40" s="174" t="s">
        <v>131</v>
      </c>
      <c r="E40" s="392">
        <f>'27'!F40</f>
        <v>32966</v>
      </c>
      <c r="F40" s="392">
        <v>33405.699999999997</v>
      </c>
      <c r="G40" s="124">
        <f t="shared" si="3"/>
        <v>439.69999999999709</v>
      </c>
      <c r="H40" s="111">
        <f>G40+'27'!H40</f>
        <v>33563.1</v>
      </c>
      <c r="I40" s="106"/>
      <c r="J40" s="203">
        <f>H40/DAY(B2)</f>
        <v>1198.6821428571427</v>
      </c>
      <c r="K40" s="82"/>
      <c r="L40" s="68"/>
      <c r="N40" s="741"/>
    </row>
    <row r="41" spans="1:14">
      <c r="A41" s="229" t="s">
        <v>169</v>
      </c>
      <c r="B41" s="230"/>
      <c r="C41" s="230"/>
      <c r="D41" s="174" t="s">
        <v>131</v>
      </c>
      <c r="E41" s="392">
        <f>'27'!F41</f>
        <v>433282</v>
      </c>
      <c r="F41" s="392">
        <v>433282</v>
      </c>
      <c r="G41" s="124">
        <f t="shared" si="3"/>
        <v>0</v>
      </c>
      <c r="H41" s="111">
        <f>G41+'27'!H41</f>
        <v>0.21000000002095476</v>
      </c>
      <c r="I41" s="106"/>
      <c r="J41" s="203">
        <f>H41/DAY(B2)</f>
        <v>7.5000000007483846E-3</v>
      </c>
      <c r="K41" s="81"/>
      <c r="L41" s="68"/>
      <c r="N41" s="741"/>
    </row>
    <row r="42" spans="1:14">
      <c r="A42" s="229" t="s">
        <v>170</v>
      </c>
      <c r="B42" s="230"/>
      <c r="C42" s="230"/>
      <c r="D42" s="174" t="s">
        <v>131</v>
      </c>
      <c r="E42" s="392">
        <f>'27'!F42</f>
        <v>162271</v>
      </c>
      <c r="F42" s="392">
        <v>162271</v>
      </c>
      <c r="G42" s="124">
        <f t="shared" si="3"/>
        <v>0</v>
      </c>
      <c r="H42" s="111">
        <f>G42+'27'!H42</f>
        <v>-12841</v>
      </c>
      <c r="I42" s="106"/>
      <c r="J42" s="203">
        <f>H42/DAY(B2)</f>
        <v>-458.60714285714283</v>
      </c>
      <c r="K42" s="81"/>
      <c r="L42" s="68"/>
      <c r="N42" s="741"/>
    </row>
    <row r="43" spans="1:14">
      <c r="A43" s="229" t="s">
        <v>171</v>
      </c>
      <c r="B43" s="230"/>
      <c r="C43" s="230"/>
      <c r="D43" s="174" t="s">
        <v>131</v>
      </c>
      <c r="E43" s="392">
        <f>'27'!F43</f>
        <v>1278680</v>
      </c>
      <c r="F43" s="392">
        <v>1281780</v>
      </c>
      <c r="G43" s="124">
        <f t="shared" si="3"/>
        <v>3100</v>
      </c>
      <c r="H43" s="111">
        <f>G43+'27'!H43</f>
        <v>-7965</v>
      </c>
      <c r="I43" s="106"/>
      <c r="J43" s="203">
        <f>H43/DAY(B2)</f>
        <v>-284.46428571428572</v>
      </c>
      <c r="K43" s="81"/>
      <c r="L43" s="68"/>
      <c r="N43" s="741"/>
    </row>
    <row r="44" spans="1:14">
      <c r="A44" s="229" t="s">
        <v>172</v>
      </c>
      <c r="B44" s="230"/>
      <c r="C44" s="230"/>
      <c r="D44" s="174" t="s">
        <v>131</v>
      </c>
      <c r="E44" s="392">
        <f>'27'!F44</f>
        <v>0</v>
      </c>
      <c r="F44" s="392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41"/>
    </row>
    <row r="45" spans="1:14">
      <c r="A45" s="229" t="s">
        <v>173</v>
      </c>
      <c r="B45" s="230"/>
      <c r="C45" s="230"/>
      <c r="D45" s="174" t="s">
        <v>131</v>
      </c>
      <c r="E45" s="392">
        <f>'27'!F45</f>
        <v>614</v>
      </c>
      <c r="F45" s="392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41"/>
    </row>
    <row r="46" spans="1:14">
      <c r="A46" s="229" t="s">
        <v>174</v>
      </c>
      <c r="B46" s="230"/>
      <c r="C46" s="230"/>
      <c r="D46" s="174" t="s">
        <v>131</v>
      </c>
      <c r="E46" s="392">
        <f>'27'!F46</f>
        <v>187</v>
      </c>
      <c r="F46" s="392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41"/>
    </row>
    <row r="47" spans="1:14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11849.699999999997</v>
      </c>
      <c r="H47" s="111">
        <f>G47+'27'!H47</f>
        <v>1259898.3100000003</v>
      </c>
      <c r="I47" s="106"/>
      <c r="J47" s="203">
        <f>H47/DAY(B2)</f>
        <v>44996.368214285721</v>
      </c>
      <c r="K47" s="81"/>
      <c r="L47" s="68"/>
      <c r="N47" s="741"/>
    </row>
    <row r="48" spans="1:14">
      <c r="A48" s="249" t="s">
        <v>176</v>
      </c>
      <c r="B48" s="764"/>
      <c r="C48" s="764"/>
      <c r="D48" s="123"/>
      <c r="E48" s="146"/>
      <c r="F48" s="146"/>
      <c r="G48" s="123"/>
      <c r="H48" s="123"/>
      <c r="I48" s="123"/>
      <c r="J48" s="202"/>
      <c r="K48" s="81"/>
      <c r="L48" s="68"/>
      <c r="N48" s="741"/>
    </row>
    <row r="49" spans="1:14">
      <c r="A49" s="229" t="s">
        <v>163</v>
      </c>
      <c r="B49" s="252"/>
      <c r="C49" s="252"/>
      <c r="D49" s="174" t="s">
        <v>131</v>
      </c>
      <c r="E49" s="392">
        <f>'27'!F49</f>
        <v>406160</v>
      </c>
      <c r="F49" s="392">
        <v>409793</v>
      </c>
      <c r="G49" s="124">
        <f t="shared" ref="G49:G58" si="4">F49-E49</f>
        <v>3633</v>
      </c>
      <c r="H49" s="111">
        <f>G49+'27'!H49</f>
        <v>393013</v>
      </c>
      <c r="I49" s="106"/>
      <c r="J49" s="203">
        <f>H49/DAY(B2)</f>
        <v>14036.178571428571</v>
      </c>
      <c r="K49" s="81"/>
      <c r="L49" s="68"/>
      <c r="N49" s="741"/>
    </row>
    <row r="50" spans="1:14">
      <c r="A50" s="229" t="s">
        <v>177</v>
      </c>
      <c r="B50" s="252"/>
      <c r="C50" s="252"/>
      <c r="D50" s="174" t="s">
        <v>131</v>
      </c>
      <c r="E50" s="392">
        <f>'27'!F50</f>
        <v>603056</v>
      </c>
      <c r="F50" s="392">
        <v>604127</v>
      </c>
      <c r="G50" s="124">
        <f t="shared" si="4"/>
        <v>1071</v>
      </c>
      <c r="H50" s="111">
        <f>G50+'27'!H50</f>
        <v>-4091</v>
      </c>
      <c r="I50" s="106"/>
      <c r="J50" s="203">
        <f>H50/DAY(B2)</f>
        <v>-146.10714285714286</v>
      </c>
      <c r="K50" s="81"/>
      <c r="L50" s="68"/>
      <c r="N50" s="741"/>
    </row>
    <row r="51" spans="1:14">
      <c r="A51" s="229" t="s">
        <v>165</v>
      </c>
      <c r="B51" s="252"/>
      <c r="C51" s="252"/>
      <c r="D51" s="174" t="s">
        <v>131</v>
      </c>
      <c r="E51" s="392">
        <f>'27'!F51</f>
        <v>144640</v>
      </c>
      <c r="F51" s="392">
        <v>144640</v>
      </c>
      <c r="G51" s="124">
        <f t="shared" si="4"/>
        <v>0</v>
      </c>
      <c r="H51" s="111">
        <f>G51+'27'!H51</f>
        <v>144640</v>
      </c>
      <c r="I51" s="106"/>
      <c r="J51" s="203">
        <f>H51/DAY(B2)</f>
        <v>5165.7142857142853</v>
      </c>
      <c r="K51" s="81"/>
      <c r="L51" s="68"/>
      <c r="N51" s="741"/>
    </row>
    <row r="52" spans="1:14">
      <c r="A52" s="229" t="s">
        <v>178</v>
      </c>
      <c r="B52" s="252"/>
      <c r="C52" s="252"/>
      <c r="D52" s="174" t="s">
        <v>131</v>
      </c>
      <c r="E52" s="392">
        <f>'27'!F52</f>
        <v>539606</v>
      </c>
      <c r="F52" s="392">
        <v>539606.06999999995</v>
      </c>
      <c r="G52" s="124">
        <f t="shared" si="4"/>
        <v>6.9999999948777258E-2</v>
      </c>
      <c r="H52" s="111">
        <f>G52+'27'!H52</f>
        <v>0</v>
      </c>
      <c r="I52" s="106"/>
      <c r="J52" s="203">
        <f>H52/DAY(B2)</f>
        <v>0</v>
      </c>
      <c r="K52" s="81"/>
      <c r="L52" s="68"/>
      <c r="N52" s="741"/>
    </row>
    <row r="53" spans="1:14">
      <c r="A53" s="229" t="s">
        <v>167</v>
      </c>
      <c r="B53" s="252"/>
      <c r="C53" s="252"/>
      <c r="D53" s="174" t="s">
        <v>131</v>
      </c>
      <c r="E53" s="392">
        <f>'27'!F53</f>
        <v>434232</v>
      </c>
      <c r="F53" s="392">
        <v>434232</v>
      </c>
      <c r="G53" s="124">
        <f t="shared" si="4"/>
        <v>0</v>
      </c>
      <c r="H53" s="111">
        <f>G53+'27'!H53</f>
        <v>434232</v>
      </c>
      <c r="I53" s="106"/>
      <c r="J53" s="203">
        <f>H53/DAY(B2)</f>
        <v>15508.285714285714</v>
      </c>
      <c r="K53" s="81"/>
      <c r="L53" s="68"/>
      <c r="N53" s="741"/>
    </row>
    <row r="54" spans="1:14">
      <c r="A54" s="229" t="s">
        <v>179</v>
      </c>
      <c r="B54" s="252"/>
      <c r="C54" s="252"/>
      <c r="D54" s="174" t="s">
        <v>131</v>
      </c>
      <c r="E54" s="392">
        <f>'27'!F54</f>
        <v>14967</v>
      </c>
      <c r="F54" s="392">
        <v>14967</v>
      </c>
      <c r="G54" s="124">
        <f t="shared" si="4"/>
        <v>0</v>
      </c>
      <c r="H54" s="111">
        <f>G54+'27'!H54</f>
        <v>12502</v>
      </c>
      <c r="I54" s="106"/>
      <c r="J54" s="203">
        <f>H54/DAY(B2)</f>
        <v>446.5</v>
      </c>
      <c r="K54" s="81"/>
      <c r="L54" s="68"/>
      <c r="N54" s="741"/>
    </row>
    <row r="55" spans="1:14">
      <c r="A55" s="229" t="s">
        <v>180</v>
      </c>
      <c r="B55" s="252"/>
      <c r="C55" s="252"/>
      <c r="D55" s="174" t="s">
        <v>131</v>
      </c>
      <c r="E55" s="392">
        <f>'27'!F55</f>
        <v>302523</v>
      </c>
      <c r="F55" s="393">
        <v>304424</v>
      </c>
      <c r="G55" s="303">
        <f t="shared" si="4"/>
        <v>1901</v>
      </c>
      <c r="H55" s="356">
        <f>G55+'27'!H55</f>
        <v>-2874.9899999999907</v>
      </c>
      <c r="I55" s="357"/>
      <c r="J55" s="358">
        <f>H55/DAY(B2)</f>
        <v>-102.67821428571395</v>
      </c>
      <c r="K55" s="81"/>
      <c r="L55" s="68"/>
      <c r="N55" s="741"/>
    </row>
    <row r="56" spans="1:14">
      <c r="A56" s="229" t="s">
        <v>181</v>
      </c>
      <c r="B56" s="252"/>
      <c r="C56" s="252"/>
      <c r="D56" s="174" t="s">
        <v>182</v>
      </c>
      <c r="E56" s="392">
        <f>'27'!F56</f>
        <v>651136</v>
      </c>
      <c r="F56" s="393">
        <v>656229</v>
      </c>
      <c r="G56" s="124">
        <f t="shared" si="4"/>
        <v>5093</v>
      </c>
      <c r="H56" s="111">
        <f>G56+'27'!H56</f>
        <v>-4802</v>
      </c>
      <c r="I56" s="106"/>
      <c r="J56" s="203">
        <f>H56/DAY(B2)</f>
        <v>-171.5</v>
      </c>
      <c r="K56" s="80"/>
      <c r="L56" s="68"/>
      <c r="N56" s="741"/>
    </row>
    <row r="57" spans="1:14">
      <c r="A57" s="229" t="s">
        <v>171</v>
      </c>
      <c r="B57" s="252"/>
      <c r="C57" s="252"/>
      <c r="D57" s="174" t="s">
        <v>131</v>
      </c>
      <c r="E57" s="392">
        <f>'27'!F57</f>
        <v>7711</v>
      </c>
      <c r="F57" s="392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41"/>
    </row>
    <row r="58" spans="1:14">
      <c r="A58" s="229" t="s">
        <v>183</v>
      </c>
      <c r="B58" s="252"/>
      <c r="C58" s="252"/>
      <c r="D58" s="174" t="s">
        <v>131</v>
      </c>
      <c r="E58" s="392">
        <f>'27'!F58</f>
        <v>65151</v>
      </c>
      <c r="F58" s="848">
        <v>65376</v>
      </c>
      <c r="G58" s="124">
        <f t="shared" si="4"/>
        <v>225</v>
      </c>
      <c r="H58" s="111">
        <f>G58+'27'!H58</f>
        <v>-807</v>
      </c>
      <c r="I58" s="106"/>
      <c r="J58" s="203">
        <f>H58/DAY(B2)</f>
        <v>-28.821428571428573</v>
      </c>
      <c r="K58" s="81"/>
      <c r="L58" s="68"/>
      <c r="N58" s="741"/>
    </row>
    <row r="59" spans="1:14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11923.399999999949</v>
      </c>
      <c r="H59" s="111">
        <f>G59+'27'!H59</f>
        <v>1511418.4099999995</v>
      </c>
      <c r="I59" s="106">
        <f>G7-G60</f>
        <v>-523.09999999994761</v>
      </c>
      <c r="J59" s="203">
        <f>H59/DAY(B2)</f>
        <v>53979.228928571407</v>
      </c>
      <c r="K59" s="81"/>
      <c r="L59" s="68"/>
      <c r="N59" s="741"/>
    </row>
    <row r="60" spans="1:14">
      <c r="A60" s="229"/>
      <c r="B60" s="230"/>
      <c r="C60" s="230"/>
      <c r="D60" s="162" t="s">
        <v>184</v>
      </c>
      <c r="E60" s="121"/>
      <c r="F60" s="121"/>
      <c r="G60" s="132">
        <f>G47+G59</f>
        <v>23773.099999999948</v>
      </c>
      <c r="H60" s="111">
        <f>G60+'27'!H60</f>
        <v>2778005.7200000007</v>
      </c>
      <c r="I60" s="106">
        <f>G13-G60</f>
        <v>-1198.7499999999491</v>
      </c>
      <c r="J60" s="203">
        <f>H60/DAY(B2)</f>
        <v>99214.49000000002</v>
      </c>
      <c r="K60" s="81"/>
      <c r="L60" s="68"/>
      <c r="N60" s="741"/>
    </row>
    <row r="61" spans="1:14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  <c r="N61" s="741"/>
    </row>
    <row r="62" spans="1:14">
      <c r="A62" s="254" t="s">
        <v>97</v>
      </c>
      <c r="B62" s="255"/>
      <c r="C62" s="255"/>
      <c r="D62" s="162" t="s">
        <v>186</v>
      </c>
      <c r="E62" s="165">
        <f>'27'!F62</f>
        <v>20419</v>
      </c>
      <c r="F62" s="165">
        <v>20419</v>
      </c>
      <c r="G62" s="124">
        <f t="shared" ref="G62:G69" si="5">F62-E62</f>
        <v>0</v>
      </c>
      <c r="H62" s="111">
        <f>G62+'27'!H62</f>
        <v>1.9999999967694748E-3</v>
      </c>
      <c r="I62" s="166"/>
      <c r="J62" s="203">
        <f>H62/DAY(B2)</f>
        <v>7.1428571313195531E-5</v>
      </c>
      <c r="K62" s="81"/>
      <c r="L62" s="68"/>
      <c r="N62" s="741"/>
    </row>
    <row r="63" spans="1:14">
      <c r="A63" s="254" t="s">
        <v>187</v>
      </c>
      <c r="B63" s="255"/>
      <c r="C63" s="255"/>
      <c r="D63" s="162" t="s">
        <v>186</v>
      </c>
      <c r="E63" s="165">
        <f>'27'!F63</f>
        <v>0</v>
      </c>
      <c r="F63" s="165">
        <v>0</v>
      </c>
      <c r="G63" s="124">
        <f t="shared" si="5"/>
        <v>0</v>
      </c>
      <c r="H63" s="111">
        <f>G63+'27'!H63</f>
        <v>0</v>
      </c>
      <c r="I63" s="166"/>
      <c r="J63" s="203">
        <f>H63/DAY(B2)</f>
        <v>0</v>
      </c>
      <c r="K63" s="81"/>
      <c r="L63" s="68"/>
      <c r="N63" s="741"/>
    </row>
    <row r="64" spans="1:14" ht="27.75">
      <c r="A64" s="1226" t="s">
        <v>98</v>
      </c>
      <c r="B64" s="1227"/>
      <c r="C64" s="1228"/>
      <c r="D64" s="174" t="s">
        <v>186</v>
      </c>
      <c r="E64" s="165">
        <f>'27'!F64</f>
        <v>192575</v>
      </c>
      <c r="F64" s="388">
        <v>192951</v>
      </c>
      <c r="G64" s="124">
        <f t="shared" si="5"/>
        <v>376</v>
      </c>
      <c r="H64" s="111">
        <f>G64+'27'!H64</f>
        <v>-1266</v>
      </c>
      <c r="I64" s="131"/>
      <c r="J64" s="203">
        <f>H64/DAY(B2)</f>
        <v>-45.214285714285715</v>
      </c>
      <c r="K64" s="81"/>
      <c r="L64" s="68"/>
      <c r="N64" s="741"/>
    </row>
    <row r="65" spans="1:14" ht="27.75">
      <c r="A65" s="1226" t="s">
        <v>99</v>
      </c>
      <c r="B65" s="1227"/>
      <c r="C65" s="1228"/>
      <c r="D65" s="174" t="s">
        <v>186</v>
      </c>
      <c r="E65" s="165">
        <f>'27'!F65</f>
        <v>193038</v>
      </c>
      <c r="F65" s="395">
        <v>193430</v>
      </c>
      <c r="G65" s="124">
        <f t="shared" si="5"/>
        <v>392</v>
      </c>
      <c r="H65" s="111">
        <f>G65+'27'!H65</f>
        <v>-1199</v>
      </c>
      <c r="I65" s="140"/>
      <c r="J65" s="203">
        <f>H65/DAY(B2)</f>
        <v>-42.821428571428569</v>
      </c>
      <c r="K65" s="81"/>
      <c r="L65" s="68"/>
      <c r="N65" s="741"/>
    </row>
    <row r="66" spans="1:14" ht="27.75">
      <c r="A66" s="1226" t="s">
        <v>100</v>
      </c>
      <c r="B66" s="1227"/>
      <c r="C66" s="1228"/>
      <c r="D66" s="174" t="s">
        <v>186</v>
      </c>
      <c r="E66" s="165">
        <f>'27'!F66</f>
        <v>91592</v>
      </c>
      <c r="F66" s="388">
        <v>92047</v>
      </c>
      <c r="G66" s="124">
        <f t="shared" si="5"/>
        <v>455</v>
      </c>
      <c r="H66" s="111">
        <f>G66+'27'!H66</f>
        <v>-1270</v>
      </c>
      <c r="I66" s="131"/>
      <c r="J66" s="203">
        <f>H66/DAY(B2)</f>
        <v>-45.357142857142854</v>
      </c>
      <c r="K66" s="81"/>
      <c r="L66" s="68"/>
      <c r="N66" s="741"/>
    </row>
    <row r="67" spans="1:14" ht="27.75">
      <c r="A67" s="1226" t="s">
        <v>101</v>
      </c>
      <c r="B67" s="1227"/>
      <c r="C67" s="1228"/>
      <c r="D67" s="174" t="s">
        <v>186</v>
      </c>
      <c r="E67" s="165">
        <f>'27'!F67</f>
        <v>292786</v>
      </c>
      <c r="F67" s="388">
        <v>293331</v>
      </c>
      <c r="G67" s="124">
        <f t="shared" si="5"/>
        <v>545</v>
      </c>
      <c r="H67" s="111">
        <f>G67+'27'!H67</f>
        <v>-1560</v>
      </c>
      <c r="I67" s="140"/>
      <c r="J67" s="203">
        <f>H67/DAY(B2)</f>
        <v>-55.714285714285715</v>
      </c>
      <c r="K67" s="82"/>
      <c r="L67" s="68"/>
      <c r="N67" s="741"/>
    </row>
    <row r="68" spans="1:14" ht="27.75">
      <c r="A68" s="1226" t="s">
        <v>102</v>
      </c>
      <c r="B68" s="1227"/>
      <c r="C68" s="1228"/>
      <c r="D68" s="174" t="s">
        <v>186</v>
      </c>
      <c r="E68" s="165">
        <f>'27'!F68</f>
        <v>85321</v>
      </c>
      <c r="F68" s="388">
        <v>85321</v>
      </c>
      <c r="G68" s="124">
        <f t="shared" si="5"/>
        <v>0</v>
      </c>
      <c r="H68" s="111">
        <f>G68+'27'!H68</f>
        <v>0</v>
      </c>
      <c r="I68" s="167"/>
      <c r="J68" s="203">
        <f>H68/DAY(B2)</f>
        <v>0</v>
      </c>
      <c r="K68" s="83"/>
      <c r="L68" s="68"/>
      <c r="N68" s="741"/>
    </row>
    <row r="69" spans="1:14" ht="27.75">
      <c r="A69" s="1226" t="s">
        <v>103</v>
      </c>
      <c r="B69" s="1227"/>
      <c r="C69" s="1228"/>
      <c r="D69" s="174" t="s">
        <v>186</v>
      </c>
      <c r="E69" s="165">
        <f>'27'!F69</f>
        <v>105058</v>
      </c>
      <c r="F69" s="388">
        <v>105414</v>
      </c>
      <c r="G69" s="124">
        <f t="shared" si="5"/>
        <v>356</v>
      </c>
      <c r="H69" s="111">
        <f>G69+'27'!H69</f>
        <v>-992</v>
      </c>
      <c r="I69" s="167"/>
      <c r="J69" s="203">
        <f>H69/DAY(B2)</f>
        <v>-35.428571428571431</v>
      </c>
      <c r="K69" s="84"/>
      <c r="L69" s="68"/>
      <c r="N69" s="741"/>
    </row>
    <row r="70" spans="1:14" ht="27.75">
      <c r="A70" s="1267" t="s">
        <v>188</v>
      </c>
      <c r="B70" s="1268"/>
      <c r="C70" s="1269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  <c r="N70" s="741"/>
    </row>
    <row r="71" spans="1:14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741"/>
    </row>
    <row r="72" spans="1:14" ht="27.75">
      <c r="A72" s="1226" t="s">
        <v>190</v>
      </c>
      <c r="B72" s="1227"/>
      <c r="C72" s="1228"/>
      <c r="D72" s="174" t="s">
        <v>186</v>
      </c>
      <c r="E72" s="413">
        <f>'27'!F72</f>
        <v>856972</v>
      </c>
      <c r="F72" s="397">
        <v>856982</v>
      </c>
      <c r="G72" s="124">
        <f t="shared" ref="G72:G84" si="6">F72-E72</f>
        <v>10</v>
      </c>
      <c r="H72" s="111">
        <f>G72+'27'!H72</f>
        <v>275</v>
      </c>
      <c r="I72" s="131"/>
      <c r="J72" s="203">
        <f>H72/DAY(B2)</f>
        <v>9.8214285714285712</v>
      </c>
      <c r="K72" s="84"/>
      <c r="L72" s="68"/>
      <c r="N72" s="741"/>
    </row>
    <row r="73" spans="1:14" ht="27.75">
      <c r="A73" s="1226" t="s">
        <v>191</v>
      </c>
      <c r="B73" s="1227"/>
      <c r="C73" s="1228"/>
      <c r="D73" s="174" t="s">
        <v>186</v>
      </c>
      <c r="E73" s="413">
        <f>'27'!F73</f>
        <v>886045</v>
      </c>
      <c r="F73" s="398">
        <v>886046</v>
      </c>
      <c r="G73" s="303">
        <f t="shared" si="6"/>
        <v>1</v>
      </c>
      <c r="H73" s="111">
        <f>G73+'27'!H73</f>
        <v>-5</v>
      </c>
      <c r="I73" s="131"/>
      <c r="J73" s="203">
        <f>H73/DAY(B2)</f>
        <v>-0.17857142857142858</v>
      </c>
      <c r="K73" s="83"/>
      <c r="L73" s="68"/>
      <c r="N73" s="741"/>
    </row>
    <row r="74" spans="1:14" ht="27.75">
      <c r="A74" s="1226" t="s">
        <v>192</v>
      </c>
      <c r="B74" s="1227"/>
      <c r="C74" s="1228"/>
      <c r="D74" s="174" t="s">
        <v>186</v>
      </c>
      <c r="E74" s="413">
        <f>'27'!F74</f>
        <v>88773</v>
      </c>
      <c r="F74" s="398">
        <v>88775</v>
      </c>
      <c r="G74" s="124">
        <f t="shared" si="6"/>
        <v>2</v>
      </c>
      <c r="H74" s="111">
        <f>G74+'27'!H74</f>
        <v>85</v>
      </c>
      <c r="I74" s="131"/>
      <c r="J74" s="203">
        <f>H74/DAY(B2)</f>
        <v>3.0357142857142856</v>
      </c>
      <c r="K74" s="84"/>
      <c r="L74" s="68"/>
      <c r="N74" s="741"/>
    </row>
    <row r="75" spans="1:14" ht="27.75">
      <c r="A75" s="1229" t="s">
        <v>193</v>
      </c>
      <c r="B75" s="1230"/>
      <c r="C75" s="1231"/>
      <c r="D75" s="174" t="s">
        <v>186</v>
      </c>
      <c r="E75" s="413">
        <f>'27'!F75</f>
        <v>25554</v>
      </c>
      <c r="F75" s="398">
        <v>25768</v>
      </c>
      <c r="G75" s="124">
        <f t="shared" si="6"/>
        <v>214</v>
      </c>
      <c r="H75" s="111">
        <f>G75+'27'!H75</f>
        <v>-540</v>
      </c>
      <c r="I75" s="131"/>
      <c r="J75" s="203">
        <f>H75/DAY(B2)</f>
        <v>-19.285714285714285</v>
      </c>
      <c r="K75" s="83"/>
      <c r="L75" s="68"/>
      <c r="N75" s="741"/>
    </row>
    <row r="76" spans="1:14" ht="27.75">
      <c r="A76" s="1229" t="s">
        <v>194</v>
      </c>
      <c r="B76" s="1230"/>
      <c r="C76" s="1231"/>
      <c r="D76" s="174" t="s">
        <v>186</v>
      </c>
      <c r="E76" s="413">
        <f>'27'!F76</f>
        <v>12982</v>
      </c>
      <c r="F76" s="398">
        <v>12995</v>
      </c>
      <c r="G76" s="124">
        <f t="shared" si="6"/>
        <v>13</v>
      </c>
      <c r="H76" s="111">
        <f>G76+'27'!H76</f>
        <v>-282</v>
      </c>
      <c r="I76" s="156"/>
      <c r="J76" s="203">
        <f>H76/DAY(B2)</f>
        <v>-10.071428571428571</v>
      </c>
      <c r="K76" s="83"/>
      <c r="L76" s="68"/>
      <c r="N76" s="741"/>
    </row>
    <row r="77" spans="1:14" ht="27.75">
      <c r="A77" s="1226" t="s">
        <v>195</v>
      </c>
      <c r="B77" s="1227"/>
      <c r="C77" s="1228"/>
      <c r="D77" s="174" t="s">
        <v>186</v>
      </c>
      <c r="E77" s="413">
        <f>'27'!F77</f>
        <v>708094</v>
      </c>
      <c r="F77" s="398">
        <v>708145</v>
      </c>
      <c r="G77" s="303">
        <f t="shared" si="6"/>
        <v>51</v>
      </c>
      <c r="H77" s="111">
        <f>G77+'27'!H77</f>
        <v>-144</v>
      </c>
      <c r="I77" s="156"/>
      <c r="J77" s="203">
        <f>H77/DAY(B2)</f>
        <v>-5.1428571428571432</v>
      </c>
      <c r="K77" s="83"/>
      <c r="L77" s="68"/>
      <c r="N77" s="741"/>
    </row>
    <row r="78" spans="1:14" ht="27.75">
      <c r="A78" s="762" t="s">
        <v>196</v>
      </c>
      <c r="B78" s="754"/>
      <c r="C78" s="754"/>
      <c r="D78" s="174" t="s">
        <v>186</v>
      </c>
      <c r="E78" s="413">
        <f>'27'!F78</f>
        <v>681783</v>
      </c>
      <c r="F78" s="398">
        <v>681939</v>
      </c>
      <c r="G78" s="303">
        <f t="shared" si="6"/>
        <v>156</v>
      </c>
      <c r="H78" s="111">
        <f>G78+'27'!H78</f>
        <v>-474</v>
      </c>
      <c r="I78" s="156"/>
      <c r="J78" s="203">
        <f>H78/DAY(B2)</f>
        <v>-16.928571428571427</v>
      </c>
      <c r="K78" s="83"/>
      <c r="L78" s="68"/>
      <c r="N78" s="741"/>
    </row>
    <row r="79" spans="1:14" ht="27.75">
      <c r="A79" s="1229" t="s">
        <v>91</v>
      </c>
      <c r="B79" s="1230"/>
      <c r="C79" s="1231"/>
      <c r="D79" s="175" t="s">
        <v>186</v>
      </c>
      <c r="E79" s="413">
        <f>'27'!F79</f>
        <v>844456</v>
      </c>
      <c r="F79" s="399">
        <v>844634</v>
      </c>
      <c r="G79" s="124">
        <f t="shared" si="6"/>
        <v>178</v>
      </c>
      <c r="H79" s="111">
        <f>G79+'27'!H79</f>
        <v>-415</v>
      </c>
      <c r="I79" s="156"/>
      <c r="J79" s="203">
        <f>H79/DAY(B2)</f>
        <v>-14.821428571428571</v>
      </c>
      <c r="K79" s="83"/>
      <c r="L79" s="68"/>
      <c r="N79" s="741"/>
    </row>
    <row r="80" spans="1:14" ht="27.75">
      <c r="A80" s="1229" t="s">
        <v>197</v>
      </c>
      <c r="B80" s="1230"/>
      <c r="C80" s="1231"/>
      <c r="D80" s="175" t="s">
        <v>186</v>
      </c>
      <c r="E80" s="413">
        <f>'27'!F80</f>
        <v>562771</v>
      </c>
      <c r="F80" s="398">
        <v>563158</v>
      </c>
      <c r="G80" s="124">
        <f t="shared" si="6"/>
        <v>387</v>
      </c>
      <c r="H80" s="111">
        <f>G80+'27'!H80</f>
        <v>-1140</v>
      </c>
      <c r="I80" s="156"/>
      <c r="J80" s="203">
        <f>H80/DAY(B2)</f>
        <v>-40.714285714285715</v>
      </c>
      <c r="K80" s="83"/>
      <c r="L80" s="68"/>
      <c r="N80" s="741"/>
    </row>
    <row r="81" spans="1:17" ht="27.75">
      <c r="A81" s="1229" t="s">
        <v>198</v>
      </c>
      <c r="B81" s="1230"/>
      <c r="C81" s="1231"/>
      <c r="D81" s="175" t="s">
        <v>186</v>
      </c>
      <c r="E81" s="413">
        <f>'27'!F81</f>
        <v>653600</v>
      </c>
      <c r="F81" s="398">
        <v>653735</v>
      </c>
      <c r="G81" s="124">
        <f t="shared" si="6"/>
        <v>135</v>
      </c>
      <c r="H81" s="111">
        <f>G81+'27'!H81</f>
        <v>-443</v>
      </c>
      <c r="I81" s="156"/>
      <c r="J81" s="203">
        <f>H81/DAY(B2)</f>
        <v>-15.821428571428571</v>
      </c>
      <c r="K81" s="83"/>
      <c r="L81" s="68"/>
      <c r="N81" s="741"/>
    </row>
    <row r="82" spans="1:17" ht="27.75">
      <c r="A82" s="1229" t="s">
        <v>92</v>
      </c>
      <c r="B82" s="1230"/>
      <c r="C82" s="1231"/>
      <c r="D82" s="136" t="s">
        <v>131</v>
      </c>
      <c r="E82" s="413">
        <f>'27'!F82</f>
        <v>109850</v>
      </c>
      <c r="F82" s="395">
        <v>109877</v>
      </c>
      <c r="G82" s="124">
        <f t="shared" si="6"/>
        <v>27</v>
      </c>
      <c r="H82" s="111">
        <f>G82+'27'!H82</f>
        <v>110100</v>
      </c>
      <c r="I82" s="137"/>
      <c r="J82" s="203">
        <f>H82/DAY(B2)</f>
        <v>3932.1428571428573</v>
      </c>
      <c r="K82" s="83"/>
      <c r="L82" s="68"/>
      <c r="N82" s="741"/>
    </row>
    <row r="83" spans="1:17" ht="27.75">
      <c r="A83" s="1229" t="s">
        <v>199</v>
      </c>
      <c r="B83" s="1230"/>
      <c r="C83" s="1231"/>
      <c r="D83" s="271" t="s">
        <v>131</v>
      </c>
      <c r="E83" s="413">
        <f>'27'!F83</f>
        <v>43152</v>
      </c>
      <c r="F83" s="121">
        <v>43479</v>
      </c>
      <c r="G83" s="124">
        <f t="shared" si="6"/>
        <v>327</v>
      </c>
      <c r="H83" s="111">
        <f>G83+'27'!H83</f>
        <v>-844</v>
      </c>
      <c r="I83" s="132"/>
      <c r="J83" s="203">
        <f>H83/DAY(B2)</f>
        <v>-30.142857142857142</v>
      </c>
      <c r="K83" s="82"/>
      <c r="L83" s="68"/>
      <c r="N83" s="741"/>
    </row>
    <row r="84" spans="1:17">
      <c r="A84" s="763" t="s">
        <v>200</v>
      </c>
      <c r="B84" s="222"/>
      <c r="C84" s="222"/>
      <c r="D84" s="129" t="s">
        <v>131</v>
      </c>
      <c r="E84" s="413">
        <f>'27'!F84</f>
        <v>567484</v>
      </c>
      <c r="F84" s="356">
        <v>568235</v>
      </c>
      <c r="G84" s="124">
        <f t="shared" si="6"/>
        <v>751</v>
      </c>
      <c r="H84" s="111">
        <f>G84+'27'!H84</f>
        <v>-2144</v>
      </c>
      <c r="I84" s="132"/>
      <c r="J84" s="203">
        <f>H84/DAY(B2)</f>
        <v>-76.571428571428569</v>
      </c>
      <c r="K84" s="71"/>
      <c r="L84" s="68"/>
      <c r="N84" s="741"/>
    </row>
    <row r="85" spans="1:17" s="70" customFormat="1">
      <c r="A85" s="256" t="s">
        <v>201</v>
      </c>
      <c r="B85" s="223"/>
      <c r="C85" s="223"/>
      <c r="D85" s="140"/>
      <c r="E85" s="356">
        <f>'27'!F85</f>
        <v>0</v>
      </c>
      <c r="F85" s="111"/>
      <c r="G85" s="111">
        <f xml:space="preserve"> SUM(G72:G84)</f>
        <v>2252</v>
      </c>
      <c r="H85" s="111">
        <f>G85+'27'!H85</f>
        <v>103714.00000000001</v>
      </c>
      <c r="I85" s="132"/>
      <c r="J85" s="203">
        <f>H85/DAY(B2)</f>
        <v>3704.0714285714289</v>
      </c>
      <c r="K85" s="71"/>
      <c r="L85" s="69"/>
      <c r="N85" s="741"/>
      <c r="O85" s="420"/>
      <c r="P85" s="420"/>
      <c r="Q85" s="420"/>
    </row>
    <row r="86" spans="1:17" s="386" customFormat="1">
      <c r="A86" s="381" t="s">
        <v>93</v>
      </c>
      <c r="B86" s="382"/>
      <c r="C86" s="382"/>
      <c r="D86" s="383" t="s">
        <v>182</v>
      </c>
      <c r="E86" s="356">
        <f>'27'!F86</f>
        <v>463270</v>
      </c>
      <c r="F86" s="400">
        <v>463280</v>
      </c>
      <c r="G86" s="356">
        <f t="shared" ref="G86:G88" si="7">F86-E86</f>
        <v>10</v>
      </c>
      <c r="H86" s="356">
        <f t="shared" ref="H86:H88" si="8">G86</f>
        <v>10</v>
      </c>
      <c r="I86" s="303"/>
      <c r="J86" s="358">
        <f>H86/DAY(B2)</f>
        <v>0.35714285714285715</v>
      </c>
      <c r="K86" s="384"/>
      <c r="L86" s="385"/>
      <c r="N86" s="741"/>
      <c r="O86" s="420"/>
      <c r="P86" s="420"/>
      <c r="Q86" s="421"/>
    </row>
    <row r="87" spans="1:17" s="386" customFormat="1">
      <c r="A87" s="381" t="s">
        <v>94</v>
      </c>
      <c r="B87" s="382"/>
      <c r="C87" s="382"/>
      <c r="D87" s="383" t="s">
        <v>182</v>
      </c>
      <c r="E87" s="356">
        <f>'27'!F87</f>
        <v>83790</v>
      </c>
      <c r="F87" s="400">
        <v>83807</v>
      </c>
      <c r="G87" s="356">
        <f t="shared" si="7"/>
        <v>17</v>
      </c>
      <c r="H87" s="356">
        <f t="shared" si="8"/>
        <v>17</v>
      </c>
      <c r="I87" s="303"/>
      <c r="J87" s="358">
        <f>H87/DAY(B2)</f>
        <v>0.6071428571428571</v>
      </c>
      <c r="K87" s="384"/>
      <c r="L87" s="385"/>
      <c r="N87" s="741"/>
      <c r="O87" s="420"/>
      <c r="P87" s="420"/>
      <c r="Q87" s="421"/>
    </row>
    <row r="88" spans="1:17" s="386" customFormat="1">
      <c r="A88" s="381" t="s">
        <v>95</v>
      </c>
      <c r="B88" s="382"/>
      <c r="C88" s="382"/>
      <c r="D88" s="383" t="s">
        <v>182</v>
      </c>
      <c r="E88" s="356">
        <f>'27'!F88</f>
        <v>158212</v>
      </c>
      <c r="F88" s="400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N88" s="741"/>
      <c r="O88" s="420"/>
      <c r="P88" s="420"/>
      <c r="Q88" s="421"/>
    </row>
    <row r="89" spans="1:17" s="386" customFormat="1">
      <c r="A89" s="381" t="s">
        <v>203</v>
      </c>
      <c r="B89" s="382"/>
      <c r="C89" s="382"/>
      <c r="D89" s="383" t="s">
        <v>182</v>
      </c>
      <c r="E89" s="356">
        <f>'27'!F89</f>
        <v>68822</v>
      </c>
      <c r="F89" s="400">
        <v>68868</v>
      </c>
      <c r="G89" s="356">
        <f t="shared" ref="G89:G91" si="9">F89-E89</f>
        <v>46</v>
      </c>
      <c r="H89" s="356">
        <f t="shared" ref="H89:H91" si="10">G89</f>
        <v>46</v>
      </c>
      <c r="I89" s="303"/>
      <c r="J89" s="358">
        <f>H89/DAY(B2)</f>
        <v>1.6428571428571428</v>
      </c>
      <c r="K89" s="384"/>
      <c r="L89" s="385"/>
      <c r="N89" s="741"/>
      <c r="O89" s="73"/>
    </row>
    <row r="90" spans="1:17" s="386" customFormat="1">
      <c r="A90" s="381" t="s">
        <v>203</v>
      </c>
      <c r="B90" s="382"/>
      <c r="C90" s="382"/>
      <c r="D90" s="383" t="s">
        <v>182</v>
      </c>
      <c r="E90" s="356">
        <f>'27'!F90</f>
        <v>3598</v>
      </c>
      <c r="F90" s="400">
        <v>3600</v>
      </c>
      <c r="G90" s="356">
        <f t="shared" si="9"/>
        <v>2</v>
      </c>
      <c r="H90" s="356">
        <f t="shared" si="10"/>
        <v>2</v>
      </c>
      <c r="I90" s="303"/>
      <c r="J90" s="358">
        <f>H90/DAY(B2)</f>
        <v>7.1428571428571425E-2</v>
      </c>
      <c r="K90" s="384"/>
      <c r="L90" s="385"/>
      <c r="N90" s="741"/>
      <c r="O90" s="73"/>
    </row>
    <row r="91" spans="1:17" s="386" customFormat="1">
      <c r="A91" s="381" t="s">
        <v>335</v>
      </c>
      <c r="B91" s="382"/>
      <c r="C91" s="382"/>
      <c r="D91" s="383"/>
      <c r="E91" s="356">
        <f>'27'!F91</f>
        <v>28725</v>
      </c>
      <c r="F91" s="298">
        <v>28726</v>
      </c>
      <c r="G91" s="356">
        <f t="shared" si="9"/>
        <v>1</v>
      </c>
      <c r="H91" s="356">
        <f t="shared" si="10"/>
        <v>1</v>
      </c>
      <c r="I91" s="303"/>
      <c r="J91" s="358">
        <f>H91/DAY(B2)</f>
        <v>3.5714285714285712E-2</v>
      </c>
      <c r="K91" s="384"/>
      <c r="L91" s="385"/>
      <c r="N91" s="428"/>
      <c r="O91" s="73"/>
    </row>
    <row r="92" spans="1:17" s="70" customFormat="1">
      <c r="A92" s="257" t="s">
        <v>204</v>
      </c>
      <c r="B92" s="765"/>
      <c r="C92" s="765"/>
      <c r="D92" s="123"/>
      <c r="E92" s="389"/>
      <c r="F92" s="389"/>
      <c r="G92" s="139"/>
      <c r="H92" s="123"/>
      <c r="I92" s="123"/>
      <c r="J92" s="202"/>
      <c r="K92" s="71"/>
      <c r="L92" s="69"/>
      <c r="N92" s="741"/>
      <c r="O92" s="420"/>
      <c r="P92" s="420"/>
      <c r="Q92" s="420"/>
    </row>
    <row r="93" spans="1:17" ht="27.75">
      <c r="A93" s="1245" t="s">
        <v>205</v>
      </c>
      <c r="B93" s="1246"/>
      <c r="C93" s="1247"/>
      <c r="D93" s="174" t="s">
        <v>143</v>
      </c>
      <c r="E93" s="409">
        <f>'27'!F93</f>
        <v>253057</v>
      </c>
      <c r="F93" s="388">
        <v>253171</v>
      </c>
      <c r="G93" s="124">
        <f t="shared" ref="G93:G94" si="11">F93-E93</f>
        <v>114</v>
      </c>
      <c r="H93" s="111">
        <f>G93+'27'!H93</f>
        <v>-281</v>
      </c>
      <c r="I93" s="131"/>
      <c r="J93" s="203">
        <f>H93/DAY(B2)</f>
        <v>-10.035714285714286</v>
      </c>
      <c r="K93" s="82"/>
      <c r="L93" s="68"/>
      <c r="N93" s="741"/>
    </row>
    <row r="94" spans="1:17" ht="27.75">
      <c r="A94" s="1245" t="s">
        <v>206</v>
      </c>
      <c r="B94" s="1246"/>
      <c r="C94" s="1247"/>
      <c r="D94" s="174" t="s">
        <v>143</v>
      </c>
      <c r="E94" s="409">
        <f>'27'!F94</f>
        <v>196923</v>
      </c>
      <c r="F94" s="388">
        <v>197106</v>
      </c>
      <c r="G94" s="124">
        <f t="shared" si="11"/>
        <v>183</v>
      </c>
      <c r="H94" s="111">
        <f>G94+'27'!H94</f>
        <v>-553</v>
      </c>
      <c r="I94" s="131"/>
      <c r="J94" s="203">
        <f>H94/DAY(B2)</f>
        <v>-19.75</v>
      </c>
      <c r="K94" s="71"/>
      <c r="L94" s="68"/>
      <c r="N94" s="741"/>
    </row>
    <row r="95" spans="1:17">
      <c r="A95" s="1277" t="s">
        <v>207</v>
      </c>
      <c r="B95" s="1278"/>
      <c r="C95" s="1279"/>
      <c r="D95" s="174"/>
      <c r="E95" s="409"/>
      <c r="F95" s="388"/>
      <c r="G95" s="124">
        <f>G93+G94</f>
        <v>297</v>
      </c>
      <c r="H95" s="111">
        <f>G95+'27'!H95</f>
        <v>-1059</v>
      </c>
      <c r="I95" s="131"/>
      <c r="J95" s="203">
        <f>H95/DAY(B2)</f>
        <v>-37.821428571428569</v>
      </c>
      <c r="K95" s="71"/>
      <c r="L95" s="68"/>
      <c r="N95" s="741"/>
    </row>
    <row r="96" spans="1:17" ht="27.75">
      <c r="A96" s="1245" t="s">
        <v>208</v>
      </c>
      <c r="B96" s="1246"/>
      <c r="C96" s="1247"/>
      <c r="D96" s="174" t="s">
        <v>143</v>
      </c>
      <c r="E96" s="409">
        <f>'27'!F96</f>
        <v>420716</v>
      </c>
      <c r="F96" s="388">
        <v>420798</v>
      </c>
      <c r="G96" s="124">
        <f t="shared" ref="G96:G101" si="12">F96-E96</f>
        <v>82</v>
      </c>
      <c r="H96" s="111">
        <f>G96+'27'!H96</f>
        <v>-221</v>
      </c>
      <c r="I96" s="131"/>
      <c r="J96" s="203">
        <f>H96/DAY(B2)</f>
        <v>-7.8928571428571432</v>
      </c>
      <c r="K96" s="71"/>
      <c r="L96" s="68"/>
      <c r="N96" s="741"/>
    </row>
    <row r="97" spans="1:17" ht="27.75">
      <c r="A97" s="759" t="s">
        <v>209</v>
      </c>
      <c r="B97" s="760"/>
      <c r="C97" s="760"/>
      <c r="D97" s="174" t="s">
        <v>143</v>
      </c>
      <c r="E97" s="409">
        <f>'27'!F97</f>
        <v>104535</v>
      </c>
      <c r="F97" s="388">
        <v>104560</v>
      </c>
      <c r="G97" s="124">
        <f t="shared" si="12"/>
        <v>25</v>
      </c>
      <c r="H97" s="111">
        <f>G97+'27'!H97</f>
        <v>-76</v>
      </c>
      <c r="I97" s="131"/>
      <c r="J97" s="203">
        <f>H97/DAY(B2)</f>
        <v>-2.7142857142857144</v>
      </c>
      <c r="K97" s="80"/>
      <c r="L97" s="68"/>
      <c r="N97" s="741"/>
    </row>
    <row r="98" spans="1:17" ht="27.75">
      <c r="A98" s="759" t="s">
        <v>210</v>
      </c>
      <c r="B98" s="760"/>
      <c r="C98" s="760"/>
      <c r="D98" s="174" t="s">
        <v>143</v>
      </c>
      <c r="E98" s="409">
        <f>'27'!F98</f>
        <v>100243</v>
      </c>
      <c r="F98" s="388">
        <v>100278</v>
      </c>
      <c r="G98" s="124">
        <f t="shared" si="12"/>
        <v>35</v>
      </c>
      <c r="H98" s="111">
        <f>G98+'27'!H98</f>
        <v>-92</v>
      </c>
      <c r="I98" s="131"/>
      <c r="J98" s="203">
        <f>H98/DAY(B2)</f>
        <v>-3.2857142857142856</v>
      </c>
      <c r="K98" s="85"/>
      <c r="L98" s="68"/>
      <c r="N98" s="741"/>
    </row>
    <row r="99" spans="1:17" ht="27.75">
      <c r="A99" s="759" t="s">
        <v>211</v>
      </c>
      <c r="B99" s="760"/>
      <c r="C99" s="760"/>
      <c r="D99" s="174" t="s">
        <v>143</v>
      </c>
      <c r="E99" s="409">
        <f>'27'!F99</f>
        <v>152043</v>
      </c>
      <c r="F99" s="388">
        <v>152084</v>
      </c>
      <c r="G99" s="124">
        <f t="shared" si="12"/>
        <v>41</v>
      </c>
      <c r="H99" s="111">
        <f>G99+'27'!H99</f>
        <v>-51</v>
      </c>
      <c r="I99" s="131"/>
      <c r="J99" s="203">
        <f>H99/DAY(B2)</f>
        <v>-1.8214285714285714</v>
      </c>
      <c r="K99" s="71"/>
      <c r="L99" s="68"/>
      <c r="N99" s="741"/>
    </row>
    <row r="100" spans="1:17" ht="27.75">
      <c r="A100" s="759" t="s">
        <v>212</v>
      </c>
      <c r="B100" s="760"/>
      <c r="C100" s="760"/>
      <c r="D100" s="174" t="s">
        <v>143</v>
      </c>
      <c r="E100" s="409">
        <f>'27'!F100</f>
        <v>8597</v>
      </c>
      <c r="F100" s="388">
        <v>8614</v>
      </c>
      <c r="G100" s="124">
        <f t="shared" si="12"/>
        <v>17</v>
      </c>
      <c r="H100" s="111">
        <f>G100+'27'!H100</f>
        <v>-31</v>
      </c>
      <c r="I100" s="131"/>
      <c r="J100" s="203">
        <f>H100/DAY(B2)</f>
        <v>-1.1071428571428572</v>
      </c>
      <c r="K100" s="71"/>
      <c r="L100" s="68"/>
      <c r="N100" s="741"/>
    </row>
    <row r="101" spans="1:17" ht="27.75">
      <c r="A101" s="759" t="s">
        <v>213</v>
      </c>
      <c r="B101" s="760"/>
      <c r="C101" s="760"/>
      <c r="D101" s="174" t="s">
        <v>143</v>
      </c>
      <c r="E101" s="409">
        <f>'27'!F101</f>
        <v>6324</v>
      </c>
      <c r="F101" s="388">
        <v>6340</v>
      </c>
      <c r="G101" s="124">
        <f t="shared" si="12"/>
        <v>16</v>
      </c>
      <c r="H101" s="111">
        <f>G101+'27'!H101</f>
        <v>-33</v>
      </c>
      <c r="I101" s="131"/>
      <c r="J101" s="203">
        <f>H101/DAY(B2)</f>
        <v>-1.1785714285714286</v>
      </c>
      <c r="K101" s="71"/>
      <c r="L101" s="68"/>
      <c r="N101" s="741"/>
    </row>
    <row r="102" spans="1:17">
      <c r="A102" s="1277" t="s">
        <v>215</v>
      </c>
      <c r="B102" s="1278"/>
      <c r="C102" s="1279"/>
      <c r="D102" s="175"/>
      <c r="E102" s="137"/>
      <c r="F102" s="137"/>
      <c r="G102" s="176">
        <f>SUM(G96:G101)</f>
        <v>216</v>
      </c>
      <c r="H102" s="111">
        <f>G102+'27'!H102</f>
        <v>-504</v>
      </c>
      <c r="I102" s="177"/>
      <c r="J102" s="203">
        <f>H102/DAY(B2)</f>
        <v>-18</v>
      </c>
      <c r="K102" s="71"/>
      <c r="L102" s="68"/>
      <c r="N102" s="741"/>
    </row>
    <row r="103" spans="1:17" s="93" customFormat="1" ht="27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741"/>
      <c r="O103" s="420"/>
      <c r="P103" s="420"/>
      <c r="Q103" s="420"/>
    </row>
    <row r="104" spans="1:17" s="93" customFormat="1" ht="27">
      <c r="A104" s="1280" t="s">
        <v>217</v>
      </c>
      <c r="B104" s="1281"/>
      <c r="C104" s="224"/>
      <c r="D104" s="273"/>
      <c r="E104" s="184"/>
      <c r="F104" s="402"/>
      <c r="G104" s="183"/>
      <c r="H104" s="184"/>
      <c r="I104" s="183"/>
      <c r="J104" s="209"/>
      <c r="N104" s="741"/>
      <c r="O104" s="420"/>
      <c r="P104" s="420"/>
      <c r="Q104" s="420"/>
    </row>
    <row r="105" spans="1:17" s="93" customFormat="1" ht="27">
      <c r="A105" s="1237" t="s">
        <v>218</v>
      </c>
      <c r="B105" s="1238"/>
      <c r="C105" s="758"/>
      <c r="D105" s="273" t="s">
        <v>143</v>
      </c>
      <c r="E105" s="184">
        <f>'27'!F105</f>
        <v>7961</v>
      </c>
      <c r="F105" s="402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2.7035714285714545</v>
      </c>
      <c r="N105" s="741"/>
      <c r="O105" s="420"/>
      <c r="P105" s="420"/>
      <c r="Q105" s="420"/>
    </row>
    <row r="106" spans="1:17" s="93" customFormat="1" ht="27">
      <c r="A106" s="1237" t="s">
        <v>76</v>
      </c>
      <c r="B106" s="1238"/>
      <c r="C106" s="758"/>
      <c r="D106" s="273" t="s">
        <v>143</v>
      </c>
      <c r="E106" s="184">
        <f>'27'!F106</f>
        <v>36721</v>
      </c>
      <c r="F106" s="311">
        <v>36731</v>
      </c>
      <c r="G106" s="183">
        <f t="shared" ref="G106" si="13">F106-E106</f>
        <v>10</v>
      </c>
      <c r="H106" s="184">
        <f>SUM(G106+'1'!G77)</f>
        <v>57</v>
      </c>
      <c r="I106" s="183"/>
      <c r="J106" s="209">
        <f>H106/DAY(B2)</f>
        <v>2.0357142857142856</v>
      </c>
      <c r="N106" s="741"/>
      <c r="O106" s="420"/>
      <c r="P106" s="420"/>
      <c r="Q106" s="420"/>
    </row>
    <row r="107" spans="1:17" s="93" customFormat="1" ht="27">
      <c r="A107" s="1237" t="s">
        <v>77</v>
      </c>
      <c r="B107" s="1282"/>
      <c r="C107" s="1238"/>
      <c r="D107" s="273" t="s">
        <v>143</v>
      </c>
      <c r="E107" s="184">
        <f>'27'!F107</f>
        <v>20181</v>
      </c>
      <c r="F107" s="311">
        <v>20192</v>
      </c>
      <c r="G107" s="183">
        <f>F107-E107</f>
        <v>11</v>
      </c>
      <c r="H107" s="184">
        <f>SUM(G107+'1'!G78)</f>
        <v>29</v>
      </c>
      <c r="I107" s="183"/>
      <c r="J107" s="209">
        <f>H107/DAY(B2)</f>
        <v>1.0357142857142858</v>
      </c>
      <c r="N107" s="741"/>
      <c r="O107" s="420"/>
      <c r="P107" s="420"/>
      <c r="Q107" s="420"/>
    </row>
    <row r="108" spans="1:17" s="93" customFormat="1" ht="27">
      <c r="A108" s="1239" t="s">
        <v>201</v>
      </c>
      <c r="B108" s="1240"/>
      <c r="C108" s="758"/>
      <c r="D108" s="273"/>
      <c r="E108" s="184">
        <f>'27'!F108</f>
        <v>0</v>
      </c>
      <c r="F108" s="311"/>
      <c r="G108" s="183">
        <f>SUM(G105:G107)</f>
        <v>21</v>
      </c>
      <c r="H108" s="184">
        <f>SUM(G108+'1'!G79)</f>
        <v>187</v>
      </c>
      <c r="I108" s="183"/>
      <c r="J108" s="209">
        <f>H108/DAY(B2)</f>
        <v>6.6785714285714288</v>
      </c>
      <c r="N108" s="741"/>
      <c r="O108" s="420"/>
      <c r="P108" s="420"/>
      <c r="Q108" s="420"/>
    </row>
    <row r="109" spans="1:17" s="93" customFormat="1" ht="27">
      <c r="A109" s="1243" t="s">
        <v>78</v>
      </c>
      <c r="B109" s="1244"/>
      <c r="C109" s="758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41"/>
      <c r="O109" s="420"/>
      <c r="P109" s="420"/>
      <c r="Q109" s="420"/>
    </row>
    <row r="110" spans="1:17" s="93" customFormat="1" ht="27">
      <c r="A110" s="1237" t="s">
        <v>219</v>
      </c>
      <c r="B110" s="1238"/>
      <c r="C110" s="758"/>
      <c r="D110" s="273" t="s">
        <v>143</v>
      </c>
      <c r="E110" s="184">
        <f>'27'!F110</f>
        <v>69185</v>
      </c>
      <c r="F110" s="311">
        <v>69286</v>
      </c>
      <c r="G110" s="183">
        <f>F110-E110</f>
        <v>101</v>
      </c>
      <c r="H110" s="184">
        <f>SUM(G110+'1'!G81)</f>
        <v>275.80000000004657</v>
      </c>
      <c r="I110" s="183"/>
      <c r="J110" s="209">
        <f>H110/DAY(B2)</f>
        <v>9.8500000000016623</v>
      </c>
      <c r="N110" s="741"/>
      <c r="O110" s="420"/>
      <c r="P110" s="420"/>
      <c r="Q110" s="420"/>
    </row>
    <row r="111" spans="1:17" s="93" customFormat="1" ht="27">
      <c r="A111" s="1237" t="s">
        <v>220</v>
      </c>
      <c r="B111" s="1238"/>
      <c r="C111" s="758"/>
      <c r="D111" s="273" t="s">
        <v>143</v>
      </c>
      <c r="E111" s="184">
        <f>'27'!F111</f>
        <v>33886</v>
      </c>
      <c r="F111" s="311">
        <v>33886</v>
      </c>
      <c r="G111" s="183">
        <f t="shared" ref="G111:G112" si="14">F111-E111</f>
        <v>0</v>
      </c>
      <c r="H111" s="184">
        <f>SUM(G111+'1'!G82)</f>
        <v>30</v>
      </c>
      <c r="I111" s="183"/>
      <c r="J111" s="209">
        <f>H111/DAY(B2)</f>
        <v>1.0714285714285714</v>
      </c>
      <c r="N111" s="741"/>
      <c r="O111" s="420"/>
      <c r="P111" s="420"/>
      <c r="Q111" s="420"/>
    </row>
    <row r="112" spans="1:17" s="93" customFormat="1" ht="27">
      <c r="A112" s="1237" t="s">
        <v>221</v>
      </c>
      <c r="B112" s="1238"/>
      <c r="C112" s="758"/>
      <c r="D112" s="273" t="s">
        <v>143</v>
      </c>
      <c r="E112" s="184">
        <f>'27'!F112</f>
        <v>4776</v>
      </c>
      <c r="F112" s="311">
        <v>4779</v>
      </c>
      <c r="G112" s="185">
        <f t="shared" si="14"/>
        <v>3</v>
      </c>
      <c r="H112" s="184">
        <f>SUM(G112+'1'!G83)</f>
        <v>314</v>
      </c>
      <c r="I112" s="183"/>
      <c r="J112" s="209">
        <f>H112/DAY(B2)</f>
        <v>11.214285714285714</v>
      </c>
      <c r="N112" s="741"/>
      <c r="O112" s="420"/>
      <c r="P112" s="420"/>
      <c r="Q112" s="420"/>
    </row>
    <row r="113" spans="1:17" s="93" customFormat="1" ht="27">
      <c r="A113" s="1239" t="s">
        <v>109</v>
      </c>
      <c r="B113" s="1240"/>
      <c r="C113" s="758"/>
      <c r="D113" s="273"/>
      <c r="E113" s="184">
        <f>'27'!F113</f>
        <v>0</v>
      </c>
      <c r="F113" s="311"/>
      <c r="G113" s="183">
        <f>SUM(G110:G112)</f>
        <v>104</v>
      </c>
      <c r="H113" s="184">
        <f>SUM(G113+'1'!G84)</f>
        <v>844</v>
      </c>
      <c r="I113" s="183"/>
      <c r="J113" s="209">
        <f>H113/DAY(B2)</f>
        <v>30.142857142857142</v>
      </c>
      <c r="N113" s="741"/>
      <c r="O113" s="420"/>
      <c r="P113" s="420"/>
      <c r="Q113" s="420"/>
    </row>
    <row r="114" spans="1:17" s="93" customFormat="1" ht="27">
      <c r="A114" s="1243" t="s">
        <v>222</v>
      </c>
      <c r="B114" s="1244"/>
      <c r="C114" s="758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41"/>
      <c r="O114" s="420"/>
      <c r="P114" s="420"/>
      <c r="Q114" s="420"/>
    </row>
    <row r="115" spans="1:17" s="93" customFormat="1" ht="27">
      <c r="A115" s="1237" t="s">
        <v>223</v>
      </c>
      <c r="B115" s="1238"/>
      <c r="C115" s="225"/>
      <c r="D115" s="273" t="s">
        <v>143</v>
      </c>
      <c r="E115" s="184">
        <f>'27'!F115</f>
        <v>12979</v>
      </c>
      <c r="F115" s="311">
        <v>12995</v>
      </c>
      <c r="G115" s="185">
        <f>F115-E115</f>
        <v>16</v>
      </c>
      <c r="H115" s="184">
        <f>SUM(G115+'1'!G92)</f>
        <v>16</v>
      </c>
      <c r="I115" s="183"/>
      <c r="J115" s="209">
        <f>H115/DAY(B2)</f>
        <v>0.5714285714285714</v>
      </c>
      <c r="N115" s="741"/>
      <c r="O115" s="420"/>
      <c r="P115" s="420"/>
      <c r="Q115" s="420"/>
    </row>
    <row r="116" spans="1:17" s="93" customFormat="1" ht="27">
      <c r="A116" s="1237" t="s">
        <v>224</v>
      </c>
      <c r="B116" s="1238"/>
      <c r="C116" s="225"/>
      <c r="D116" s="273" t="s">
        <v>143</v>
      </c>
      <c r="E116" s="184">
        <f>'27'!F116</f>
        <v>9087</v>
      </c>
      <c r="F116" s="311">
        <v>9098</v>
      </c>
      <c r="G116" s="185">
        <f t="shared" ref="G116:G117" si="15">F116-E116</f>
        <v>11</v>
      </c>
      <c r="H116" s="184">
        <f>SUM(G116+'1'!G93)</f>
        <v>73</v>
      </c>
      <c r="I116" s="183"/>
      <c r="J116" s="209">
        <f>H116/DAY(B2)</f>
        <v>2.6071428571428572</v>
      </c>
      <c r="N116" s="741"/>
      <c r="O116" s="420"/>
      <c r="P116" s="420"/>
      <c r="Q116" s="420"/>
    </row>
    <row r="117" spans="1:17" s="93" customFormat="1" ht="27">
      <c r="A117" s="1237" t="s">
        <v>225</v>
      </c>
      <c r="B117" s="1238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163</v>
      </c>
      <c r="I117" s="183"/>
      <c r="J117" s="209">
        <f>H117/DAY(B2)</f>
        <v>5.8214285714285712</v>
      </c>
      <c r="N117" s="741"/>
      <c r="O117" s="420"/>
      <c r="P117" s="420"/>
      <c r="Q117" s="420"/>
    </row>
    <row r="118" spans="1:17" s="96" customFormat="1" ht="27">
      <c r="A118" s="1239" t="s">
        <v>201</v>
      </c>
      <c r="B118" s="1240"/>
      <c r="C118" s="225"/>
      <c r="D118" s="274"/>
      <c r="E118" s="187"/>
      <c r="F118" s="311"/>
      <c r="G118" s="185">
        <f>SUM(G115:G117)</f>
        <v>27</v>
      </c>
      <c r="H118" s="184">
        <f>SUM(G118+'1'!G96)</f>
        <v>93</v>
      </c>
      <c r="I118" s="185"/>
      <c r="J118" s="209">
        <f>H118/DAY(B2)</f>
        <v>3.3214285714285716</v>
      </c>
      <c r="N118" s="741"/>
      <c r="O118" s="420"/>
      <c r="P118" s="420"/>
      <c r="Q118" s="421"/>
    </row>
    <row r="119" spans="1:17" s="97" customFormat="1" ht="27">
      <c r="A119" s="1233" t="s">
        <v>226</v>
      </c>
      <c r="B119" s="1234"/>
      <c r="C119" s="756"/>
      <c r="D119" s="275" t="s">
        <v>143</v>
      </c>
      <c r="E119" s="187"/>
      <c r="F119" s="311"/>
      <c r="G119" s="187">
        <f>SUM(G19+G93)</f>
        <v>174</v>
      </c>
      <c r="H119" s="184">
        <f>SUM(G119+'1'!G97)</f>
        <v>192</v>
      </c>
      <c r="I119" s="186"/>
      <c r="J119" s="210">
        <f>H119/DAY(B2)</f>
        <v>6.8571428571428568</v>
      </c>
      <c r="N119" s="741"/>
      <c r="O119" s="420"/>
      <c r="P119" s="420"/>
      <c r="Q119" s="421"/>
    </row>
    <row r="120" spans="1:17" s="97" customFormat="1" ht="27">
      <c r="A120" s="1233" t="s">
        <v>227</v>
      </c>
      <c r="B120" s="1234"/>
      <c r="C120" s="756"/>
      <c r="D120" s="275" t="s">
        <v>143</v>
      </c>
      <c r="E120" s="187"/>
      <c r="F120" s="311"/>
      <c r="G120" s="187">
        <f>SUM(G96,G97,G98,G100,G101)</f>
        <v>175</v>
      </c>
      <c r="H120" s="184">
        <f>SUM(G120+'1'!G99)</f>
        <v>186</v>
      </c>
      <c r="I120" s="186"/>
      <c r="J120" s="210">
        <f>H120/DAY(B2)</f>
        <v>6.6428571428571432</v>
      </c>
      <c r="N120" s="741"/>
      <c r="O120" s="420"/>
      <c r="P120" s="420"/>
      <c r="Q120" s="421"/>
    </row>
    <row r="121" spans="1:17" s="97" customFormat="1" ht="27">
      <c r="A121" s="1233" t="s">
        <v>228</v>
      </c>
      <c r="B121" s="1234"/>
      <c r="C121" s="756"/>
      <c r="D121" s="275" t="s">
        <v>143</v>
      </c>
      <c r="E121" s="187"/>
      <c r="F121" s="311"/>
      <c r="G121" s="185">
        <f>SUM(G113)</f>
        <v>104</v>
      </c>
      <c r="H121" s="184">
        <f>SUM(G121+'1'!G101)</f>
        <v>113</v>
      </c>
      <c r="I121" s="186"/>
      <c r="J121" s="210">
        <f>H121/DAY(B2)</f>
        <v>4.0357142857142856</v>
      </c>
      <c r="N121" s="741"/>
      <c r="O121" s="420"/>
      <c r="P121" s="420"/>
      <c r="Q121" s="421"/>
    </row>
    <row r="122" spans="1:17" s="93" customFormat="1" ht="27">
      <c r="A122" s="1235"/>
      <c r="B122" s="1236"/>
      <c r="C122" s="757"/>
      <c r="D122" s="211"/>
      <c r="E122" s="416"/>
      <c r="F122" s="403"/>
      <c r="G122" s="211"/>
      <c r="H122" s="212"/>
      <c r="I122" s="211"/>
      <c r="J122" s="213"/>
      <c r="N122" s="741"/>
      <c r="O122" s="420"/>
      <c r="P122" s="420"/>
      <c r="Q122" s="420"/>
    </row>
    <row r="123" spans="1:17">
      <c r="A123" s="1274" t="s">
        <v>229</v>
      </c>
      <c r="B123" s="1275"/>
      <c r="C123" s="1276"/>
      <c r="D123" s="123"/>
      <c r="E123" s="389"/>
      <c r="F123" s="389"/>
      <c r="G123" s="134"/>
      <c r="H123" s="134"/>
      <c r="I123" s="134"/>
      <c r="J123" s="214"/>
      <c r="K123" s="71"/>
      <c r="L123" s="68"/>
      <c r="N123" s="741"/>
    </row>
    <row r="124" spans="1:17" ht="27.75">
      <c r="A124" s="759" t="s">
        <v>230</v>
      </c>
      <c r="B124" s="760"/>
      <c r="C124" s="760"/>
      <c r="D124" s="174" t="s">
        <v>140</v>
      </c>
      <c r="E124" s="388">
        <f>'27'!F124</f>
        <v>855262</v>
      </c>
      <c r="F124" s="388">
        <v>855540</v>
      </c>
      <c r="G124" s="124">
        <f t="shared" ref="G124:G128" si="16">F124-E124</f>
        <v>278</v>
      </c>
      <c r="H124" s="111">
        <f>G124+'27'!H124</f>
        <v>-812</v>
      </c>
      <c r="I124" s="177"/>
      <c r="J124" s="203">
        <f>H124/DAY(B2)</f>
        <v>-29</v>
      </c>
      <c r="K124" s="71"/>
      <c r="L124" s="68"/>
      <c r="N124" s="741"/>
    </row>
    <row r="125" spans="1:17" ht="27.75">
      <c r="A125" s="759" t="s">
        <v>231</v>
      </c>
      <c r="B125" s="760"/>
      <c r="C125" s="760"/>
      <c r="D125" s="174" t="s">
        <v>140</v>
      </c>
      <c r="E125" s="388">
        <f>'27'!F125</f>
        <v>73583.399999999994</v>
      </c>
      <c r="F125" s="404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41"/>
    </row>
    <row r="126" spans="1:17" ht="27.75">
      <c r="A126" s="1226" t="s">
        <v>232</v>
      </c>
      <c r="B126" s="1227"/>
      <c r="C126" s="1228"/>
      <c r="D126" s="174" t="s">
        <v>140</v>
      </c>
      <c r="E126" s="388">
        <f>'27'!F126</f>
        <v>153726</v>
      </c>
      <c r="F126" s="388">
        <v>153824</v>
      </c>
      <c r="G126" s="124">
        <f t="shared" si="16"/>
        <v>98</v>
      </c>
      <c r="H126" s="111">
        <f>G126+'27'!H126</f>
        <v>-253</v>
      </c>
      <c r="I126" s="177"/>
      <c r="J126" s="203">
        <f>H126/DAY(B2)</f>
        <v>-9.0357142857142865</v>
      </c>
      <c r="K126" s="71"/>
      <c r="L126" s="68"/>
      <c r="N126" s="741"/>
    </row>
    <row r="127" spans="1:17" ht="27.75">
      <c r="A127" s="260" t="s">
        <v>233</v>
      </c>
      <c r="B127" s="760"/>
      <c r="C127" s="760"/>
      <c r="D127" s="174" t="s">
        <v>140</v>
      </c>
      <c r="E127" s="388">
        <f>'27'!F127</f>
        <v>34470</v>
      </c>
      <c r="F127" s="404">
        <v>34513</v>
      </c>
      <c r="G127" s="124">
        <f t="shared" si="16"/>
        <v>43</v>
      </c>
      <c r="H127" s="111">
        <f>G127+'27'!H127</f>
        <v>-116</v>
      </c>
      <c r="I127" s="177"/>
      <c r="J127" s="203">
        <f>H127/DAY(B2)</f>
        <v>-4.1428571428571432</v>
      </c>
      <c r="K127" s="71"/>
      <c r="L127" s="68"/>
      <c r="N127" s="741"/>
    </row>
    <row r="128" spans="1:17" ht="27.75">
      <c r="A128" s="260" t="s">
        <v>234</v>
      </c>
      <c r="B128" s="760"/>
      <c r="C128" s="760"/>
      <c r="D128" s="174" t="s">
        <v>140</v>
      </c>
      <c r="E128" s="388">
        <f>'27'!F128</f>
        <v>9169</v>
      </c>
      <c r="F128" s="404">
        <v>9173</v>
      </c>
      <c r="G128" s="124">
        <f t="shared" si="16"/>
        <v>4</v>
      </c>
      <c r="H128" s="111">
        <f>G128+'27'!H128</f>
        <v>-7</v>
      </c>
      <c r="I128" s="131"/>
      <c r="J128" s="203">
        <f>H128/DAY(B2)</f>
        <v>-0.25</v>
      </c>
      <c r="K128" s="71"/>
      <c r="L128" s="68"/>
      <c r="N128" s="741"/>
    </row>
    <row r="129" spans="1:17" s="57" customFormat="1" ht="27">
      <c r="A129" s="260" t="s">
        <v>235</v>
      </c>
      <c r="B129" s="760"/>
      <c r="C129" s="760"/>
      <c r="D129" s="174"/>
      <c r="E129" s="388"/>
      <c r="F129" s="388"/>
      <c r="G129" s="124">
        <f>G15-SUM(G124:G128)</f>
        <v>541</v>
      </c>
      <c r="H129" s="111"/>
      <c r="I129" s="131"/>
      <c r="J129" s="203"/>
      <c r="K129" s="60"/>
      <c r="L129" s="58"/>
      <c r="N129" s="741"/>
      <c r="O129" s="420"/>
      <c r="P129" s="420"/>
      <c r="Q129" s="420"/>
    </row>
    <row r="130" spans="1:17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>
      <c r="A131" s="759" t="s">
        <v>237</v>
      </c>
      <c r="B131" s="760"/>
      <c r="C131" s="760"/>
      <c r="D131" s="174" t="s">
        <v>238</v>
      </c>
      <c r="E131" s="409">
        <v>0</v>
      </c>
      <c r="F131" s="388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>
      <c r="A132" s="759" t="s">
        <v>239</v>
      </c>
      <c r="B132" s="760"/>
      <c r="C132" s="760"/>
      <c r="D132" s="174" t="s">
        <v>238</v>
      </c>
      <c r="E132" s="409">
        <f>'27'!F132</f>
        <v>0</v>
      </c>
      <c r="F132" s="388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>
      <c r="A133" s="759" t="s">
        <v>240</v>
      </c>
      <c r="B133" s="760"/>
      <c r="C133" s="760"/>
      <c r="D133" s="174" t="s">
        <v>238</v>
      </c>
      <c r="E133" s="418">
        <f>'27'!F133</f>
        <v>40921.53</v>
      </c>
      <c r="F133" s="404">
        <v>40922</v>
      </c>
      <c r="G133" s="124">
        <f t="shared" si="17"/>
        <v>0.47000000000116415</v>
      </c>
      <c r="H133" s="111">
        <f>G133+'27'!H133</f>
        <v>0</v>
      </c>
      <c r="I133" s="131"/>
      <c r="J133" s="203">
        <f>H133/DAY(B2)</f>
        <v>0</v>
      </c>
    </row>
    <row r="134" spans="1:17" ht="27.75">
      <c r="A134" s="759" t="s">
        <v>241</v>
      </c>
      <c r="B134" s="760"/>
      <c r="C134" s="760"/>
      <c r="D134" s="174" t="s">
        <v>238</v>
      </c>
      <c r="E134" s="418">
        <f>'27'!F134</f>
        <v>798</v>
      </c>
      <c r="F134" s="404">
        <v>798</v>
      </c>
      <c r="G134" s="124">
        <f t="shared" si="17"/>
        <v>0</v>
      </c>
      <c r="H134" s="111">
        <f>G134+'27'!H134</f>
        <v>-58</v>
      </c>
      <c r="I134" s="131">
        <f>G131+G132+G133+G134</f>
        <v>0.47000000000116415</v>
      </c>
      <c r="J134" s="203">
        <f>H134/DAY(B2)</f>
        <v>-2.0714285714285716</v>
      </c>
    </row>
    <row r="135" spans="1:17" ht="27.75">
      <c r="A135" s="759" t="s">
        <v>242</v>
      </c>
      <c r="B135" s="760"/>
      <c r="C135" s="760"/>
      <c r="D135" s="174" t="s">
        <v>238</v>
      </c>
      <c r="E135" s="418">
        <f>'27'!F135</f>
        <v>42804</v>
      </c>
      <c r="F135" s="404">
        <v>42814</v>
      </c>
      <c r="G135" s="124">
        <f t="shared" si="17"/>
        <v>10</v>
      </c>
      <c r="H135" s="111">
        <f>G135+'27'!H135</f>
        <v>101</v>
      </c>
      <c r="I135" s="131"/>
      <c r="J135" s="203">
        <f>H135/DAY(B2)</f>
        <v>3.6071428571428572</v>
      </c>
      <c r="O135" s="420">
        <f>9-24</f>
        <v>-15</v>
      </c>
    </row>
    <row r="136" spans="1:17" ht="27.75">
      <c r="A136" s="759" t="s">
        <v>243</v>
      </c>
      <c r="B136" s="760"/>
      <c r="C136" s="760"/>
      <c r="D136" s="174" t="s">
        <v>238</v>
      </c>
      <c r="E136" s="417">
        <f>'27'!F136</f>
        <v>32885</v>
      </c>
      <c r="F136" s="395">
        <v>32909</v>
      </c>
      <c r="G136" s="124">
        <f t="shared" si="17"/>
        <v>24</v>
      </c>
      <c r="H136" s="111">
        <f>G136+'27'!H136</f>
        <v>47.94999999999709</v>
      </c>
      <c r="I136" s="131"/>
      <c r="J136" s="203">
        <f>H136/DAY(B2)</f>
        <v>1.712499999999896</v>
      </c>
    </row>
    <row r="137" spans="1:17" ht="27.75">
      <c r="A137" s="759" t="s">
        <v>244</v>
      </c>
      <c r="B137" s="760"/>
      <c r="C137" s="760"/>
      <c r="D137" s="174" t="s">
        <v>238</v>
      </c>
      <c r="E137" s="417">
        <f>'27'!F137</f>
        <v>23322.43</v>
      </c>
      <c r="F137" s="395">
        <v>23332.3</v>
      </c>
      <c r="G137" s="124">
        <f t="shared" si="17"/>
        <v>9.8699999999989814</v>
      </c>
      <c r="H137" s="111">
        <f>G137+'27'!H137</f>
        <v>-24.130000000001019</v>
      </c>
      <c r="I137" s="131">
        <f>G135+G136+G137</f>
        <v>43.869999999998981</v>
      </c>
      <c r="J137" s="203">
        <f>H137/DAY(B2)</f>
        <v>-0.86178571428575068</v>
      </c>
    </row>
    <row r="138" spans="1:17" ht="27.75">
      <c r="A138" s="759" t="s">
        <v>245</v>
      </c>
      <c r="B138" s="760"/>
      <c r="C138" s="760"/>
      <c r="D138" s="174" t="s">
        <v>238</v>
      </c>
      <c r="E138" s="417">
        <f>'27'!F138</f>
        <v>25132.98</v>
      </c>
      <c r="F138" s="395">
        <v>25132.98</v>
      </c>
      <c r="G138" s="124">
        <f t="shared" si="17"/>
        <v>0</v>
      </c>
      <c r="H138" s="111">
        <f>G138+'27'!H138</f>
        <v>8</v>
      </c>
      <c r="I138" s="131"/>
      <c r="J138" s="203">
        <f>H138/DAY(B2)</f>
        <v>0.2857142857142857</v>
      </c>
    </row>
    <row r="139" spans="1:17" ht="27.75">
      <c r="A139" s="759" t="s">
        <v>246</v>
      </c>
      <c r="B139" s="760"/>
      <c r="C139" s="760"/>
      <c r="D139" s="174" t="s">
        <v>238</v>
      </c>
      <c r="E139" s="417">
        <f>'27'!F139</f>
        <v>70524.55</v>
      </c>
      <c r="F139" s="395">
        <v>70525</v>
      </c>
      <c r="G139" s="124">
        <f t="shared" si="17"/>
        <v>0.44999999999708962</v>
      </c>
      <c r="H139" s="111">
        <f>G139+'27'!H139</f>
        <v>15.44999999999709</v>
      </c>
      <c r="I139" s="131">
        <f>G138+G139</f>
        <v>0.44999999999708962</v>
      </c>
      <c r="J139" s="203">
        <f>H139/DAY(B2)</f>
        <v>0.5517857142856103</v>
      </c>
    </row>
    <row r="140" spans="1:17" ht="27.75">
      <c r="A140" s="759" t="s">
        <v>247</v>
      </c>
      <c r="B140" s="760"/>
      <c r="C140" s="760"/>
      <c r="D140" s="174" t="s">
        <v>238</v>
      </c>
      <c r="E140" s="418">
        <f>'27'!F140</f>
        <v>2586</v>
      </c>
      <c r="F140" s="404">
        <v>2596.54</v>
      </c>
      <c r="G140" s="124">
        <f t="shared" si="17"/>
        <v>10.539999999999964</v>
      </c>
      <c r="H140" s="111">
        <f>G140+'27'!H140</f>
        <v>-31.440000000000055</v>
      </c>
      <c r="I140" s="193"/>
      <c r="J140" s="203">
        <f>H140/DAY(B2)</f>
        <v>-1.1228571428571448</v>
      </c>
    </row>
    <row r="141" spans="1:17" ht="27.75">
      <c r="A141" s="759" t="s">
        <v>248</v>
      </c>
      <c r="B141" s="760"/>
      <c r="C141" s="760"/>
      <c r="D141" s="174" t="s">
        <v>238</v>
      </c>
      <c r="E141" s="417">
        <f>'27'!F141</f>
        <v>4753.67</v>
      </c>
      <c r="F141" s="388">
        <v>4754</v>
      </c>
      <c r="G141" s="124">
        <f t="shared" si="17"/>
        <v>0.32999999999992724</v>
      </c>
      <c r="H141" s="111">
        <f>G141+'27'!H141</f>
        <v>0</v>
      </c>
      <c r="I141" s="193"/>
      <c r="J141" s="203">
        <f>H141/DAY(B2)</f>
        <v>0</v>
      </c>
    </row>
    <row r="142" spans="1:17">
      <c r="A142" s="1248" t="s">
        <v>249</v>
      </c>
      <c r="B142" s="1249"/>
      <c r="C142" s="765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7" ht="27.75">
      <c r="A143" s="1245" t="s">
        <v>250</v>
      </c>
      <c r="B143" s="1246"/>
      <c r="C143" s="1247"/>
      <c r="D143" s="174" t="s">
        <v>131</v>
      </c>
      <c r="E143" s="111"/>
      <c r="F143" s="111"/>
      <c r="G143" s="111">
        <f>G35+G43+G49+G57</f>
        <v>6733.33</v>
      </c>
      <c r="H143" s="111">
        <f>G143+'27'!H143</f>
        <v>387513.32999999996</v>
      </c>
      <c r="I143" s="131"/>
      <c r="J143" s="203">
        <f>H143/DAY(B2)</f>
        <v>13839.761785714285</v>
      </c>
      <c r="K143" s="71"/>
      <c r="L143" s="68"/>
    </row>
    <row r="144" spans="1:17" ht="27.75">
      <c r="A144" s="1245" t="s">
        <v>251</v>
      </c>
      <c r="B144" s="1246"/>
      <c r="C144" s="1247"/>
      <c r="D144" s="174" t="s">
        <v>24</v>
      </c>
      <c r="E144" s="121"/>
      <c r="F144" s="121"/>
      <c r="G144" s="194">
        <f>G143/G7</f>
        <v>0.28960559139784947</v>
      </c>
      <c r="H144" s="111">
        <f>G144+'27'!H144</f>
        <v>8.0519601071081706</v>
      </c>
      <c r="I144" s="195"/>
      <c r="J144" s="203">
        <f>H144/DAY(B2)</f>
        <v>0.2875700038252918</v>
      </c>
      <c r="K144" s="71"/>
      <c r="L144" s="68"/>
    </row>
    <row r="145" spans="1:12" ht="27.75">
      <c r="A145" s="1245" t="s">
        <v>252</v>
      </c>
      <c r="B145" s="1246"/>
      <c r="C145" s="1247"/>
      <c r="D145" s="174" t="s">
        <v>131</v>
      </c>
      <c r="E145" s="111"/>
      <c r="F145" s="111"/>
      <c r="G145" s="111">
        <f>G41+G42+G55+G56</f>
        <v>6994</v>
      </c>
      <c r="H145" s="111">
        <f>G145+'27'!H145</f>
        <v>-19475.77999999997</v>
      </c>
      <c r="I145" s="131"/>
      <c r="J145" s="203">
        <f>H145/DAY(B2)</f>
        <v>-695.5635714285703</v>
      </c>
      <c r="K145" s="71"/>
      <c r="L145" s="68"/>
    </row>
    <row r="146" spans="1:12" ht="27.75">
      <c r="A146" s="1245" t="s">
        <v>253</v>
      </c>
      <c r="B146" s="1246"/>
      <c r="C146" s="1247"/>
      <c r="D146" s="174" t="s">
        <v>24</v>
      </c>
      <c r="E146" s="111"/>
      <c r="F146" s="111"/>
      <c r="G146" s="194">
        <f>G145/G7</f>
        <v>0.30081720430107528</v>
      </c>
      <c r="H146" s="111">
        <f>G146+'27'!H146</f>
        <v>7.5930903743056284</v>
      </c>
      <c r="I146" s="195"/>
      <c r="J146" s="203">
        <f>H146/DAY(B2)</f>
        <v>0.27118179908234386</v>
      </c>
      <c r="K146" s="71"/>
      <c r="L146" s="68"/>
    </row>
    <row r="147" spans="1:12" ht="27.75">
      <c r="A147" s="1245" t="s">
        <v>254</v>
      </c>
      <c r="B147" s="1246"/>
      <c r="C147" s="1247"/>
      <c r="D147" s="174" t="s">
        <v>131</v>
      </c>
      <c r="E147" s="111"/>
      <c r="F147" s="111"/>
      <c r="G147" s="111">
        <f>G39+G53</f>
        <v>4184</v>
      </c>
      <c r="H147" s="111">
        <f>G147+'27'!H147</f>
        <v>1056557</v>
      </c>
      <c r="I147" s="196"/>
      <c r="J147" s="203">
        <f>H147/DAY(B2)</f>
        <v>37734.178571428572</v>
      </c>
      <c r="K147" s="71"/>
      <c r="L147" s="68"/>
    </row>
    <row r="148" spans="1:12" ht="27.75">
      <c r="A148" s="1245" t="s">
        <v>255</v>
      </c>
      <c r="B148" s="1246"/>
      <c r="C148" s="1247"/>
      <c r="D148" s="174" t="s">
        <v>24</v>
      </c>
      <c r="E148" s="111"/>
      <c r="F148" s="111"/>
      <c r="G148" s="194">
        <f>G147/G7</f>
        <v>0.17995698924731182</v>
      </c>
      <c r="H148" s="111">
        <f>G148+'27'!H148</f>
        <v>7.5046044942417671</v>
      </c>
      <c r="I148" s="196"/>
      <c r="J148" s="203">
        <f>H148/DAY(B2)</f>
        <v>0.26802158908006313</v>
      </c>
    </row>
    <row r="149" spans="1:12" ht="27.75">
      <c r="A149" s="1245" t="s">
        <v>256</v>
      </c>
      <c r="B149" s="1246"/>
      <c r="C149" s="1247"/>
      <c r="D149" s="174" t="s">
        <v>182</v>
      </c>
      <c r="E149" s="111"/>
      <c r="F149" s="111"/>
      <c r="G149" s="111">
        <f>G38+G52</f>
        <v>1792.0699999999488</v>
      </c>
      <c r="H149" s="111">
        <f>G149+'27'!H149</f>
        <v>831507.07</v>
      </c>
      <c r="I149" s="131"/>
      <c r="J149" s="203">
        <f>H149/DAY(B2)</f>
        <v>29696.681071428571</v>
      </c>
      <c r="K149" s="72"/>
    </row>
    <row r="150" spans="1:12" ht="27.75">
      <c r="A150" s="1245" t="s">
        <v>257</v>
      </c>
      <c r="B150" s="1246"/>
      <c r="C150" s="1247"/>
      <c r="D150" s="174" t="s">
        <v>24</v>
      </c>
      <c r="E150" s="111"/>
      <c r="F150" s="111"/>
      <c r="G150" s="194">
        <f>G149/G7</f>
        <v>7.7078279569890273E-2</v>
      </c>
      <c r="H150" s="111">
        <f>G150+'27'!H150</f>
        <v>4.4388787789398991</v>
      </c>
      <c r="I150" s="196"/>
      <c r="J150" s="203">
        <f>H150/DAY(B2)</f>
        <v>0.15853138496213925</v>
      </c>
    </row>
    <row r="151" spans="1:12" ht="27.75">
      <c r="A151" s="1245" t="s">
        <v>258</v>
      </c>
      <c r="B151" s="1246"/>
      <c r="C151" s="1247"/>
      <c r="D151" s="174" t="s">
        <v>182</v>
      </c>
      <c r="E151" s="111"/>
      <c r="F151" s="111"/>
      <c r="G151" s="111">
        <f>G36+G50</f>
        <v>1920</v>
      </c>
      <c r="H151" s="111">
        <f>G151+'27'!H151</f>
        <v>62542</v>
      </c>
      <c r="I151" s="196"/>
      <c r="J151" s="203">
        <f>H151/DAY(B2)</f>
        <v>2233.6428571428573</v>
      </c>
    </row>
    <row r="152" spans="1:12" ht="27.75">
      <c r="A152" s="1245" t="s">
        <v>259</v>
      </c>
      <c r="B152" s="1246"/>
      <c r="C152" s="1247"/>
      <c r="D152" s="174" t="s">
        <v>24</v>
      </c>
      <c r="E152" s="111"/>
      <c r="F152" s="111"/>
      <c r="G152" s="194">
        <f>G151/G7</f>
        <v>8.2580645161290323E-2</v>
      </c>
      <c r="H152" s="111">
        <f>G152+'27'!H152</f>
        <v>2.4105378431053093</v>
      </c>
      <c r="I152" s="131"/>
      <c r="J152" s="203">
        <f>H152/DAY(B2)</f>
        <v>8.6090637253761051E-2</v>
      </c>
    </row>
    <row r="153" spans="1:12" ht="27.75">
      <c r="A153" s="1245" t="s">
        <v>260</v>
      </c>
      <c r="B153" s="1246"/>
      <c r="C153" s="1247"/>
      <c r="D153" s="174" t="s">
        <v>182</v>
      </c>
      <c r="E153" s="111"/>
      <c r="F153" s="111"/>
      <c r="G153" s="111">
        <f>G37+G51</f>
        <v>1485</v>
      </c>
      <c r="H153" s="111">
        <f>G153+'27'!H153</f>
        <v>411041.00000000006</v>
      </c>
      <c r="I153" s="131"/>
      <c r="J153" s="203">
        <f>H153/DAY(B2)</f>
        <v>14680.035714285716</v>
      </c>
    </row>
    <row r="154" spans="1:12" ht="28.5" thickBot="1">
      <c r="A154" s="1283" t="s">
        <v>261</v>
      </c>
      <c r="B154" s="1284"/>
      <c r="C154" s="1285"/>
      <c r="D154" s="276" t="s">
        <v>24</v>
      </c>
      <c r="E154" s="218"/>
      <c r="F154" s="218"/>
      <c r="G154" s="217">
        <f>G153/G7</f>
        <v>6.3870967741935486E-2</v>
      </c>
      <c r="H154" s="111">
        <f>G154+'27'!H154</f>
        <v>3.0381724614252268</v>
      </c>
      <c r="I154" s="219"/>
      <c r="J154" s="220">
        <f>H154/DAY(B2)</f>
        <v>0.10850615933661524</v>
      </c>
    </row>
    <row r="155" spans="1:12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>
      <c r="A161" s="435" t="s">
        <v>262</v>
      </c>
      <c r="B161" s="436"/>
      <c r="C161" s="436"/>
      <c r="D161" s="162" t="s">
        <v>186</v>
      </c>
      <c r="E161" s="417">
        <f>'27'!F161</f>
        <v>45461</v>
      </c>
      <c r="F161" s="309">
        <v>45549</v>
      </c>
      <c r="G161" s="124">
        <f t="shared" ref="G161:G164" si="18">F161-E161</f>
        <v>88</v>
      </c>
    </row>
    <row r="162" spans="1:7">
      <c r="A162" s="435" t="s">
        <v>263</v>
      </c>
      <c r="B162" s="436"/>
      <c r="C162" s="436"/>
      <c r="D162" s="162" t="s">
        <v>186</v>
      </c>
      <c r="E162" s="417">
        <f>'27'!F162</f>
        <v>134487</v>
      </c>
      <c r="F162" s="309">
        <v>135022</v>
      </c>
      <c r="G162" s="124">
        <f t="shared" si="18"/>
        <v>535</v>
      </c>
    </row>
    <row r="163" spans="1:7">
      <c r="A163" s="435" t="s">
        <v>264</v>
      </c>
      <c r="B163" s="436"/>
      <c r="C163" s="436"/>
      <c r="D163" s="162" t="s">
        <v>186</v>
      </c>
      <c r="E163" s="417">
        <f>'27'!F163</f>
        <v>62930</v>
      </c>
      <c r="F163" s="309">
        <v>63159.8</v>
      </c>
      <c r="G163" s="124">
        <f t="shared" si="18"/>
        <v>229.80000000000291</v>
      </c>
    </row>
    <row r="164" spans="1:7">
      <c r="A164" s="435" t="s">
        <v>265</v>
      </c>
      <c r="B164" s="436"/>
      <c r="C164" s="436"/>
      <c r="D164" s="162" t="s">
        <v>186</v>
      </c>
      <c r="E164" s="417">
        <f>'27'!F164</f>
        <v>7417</v>
      </c>
      <c r="F164" s="309">
        <v>7429.39</v>
      </c>
      <c r="G164" s="124">
        <f t="shared" si="18"/>
        <v>12.390000000000327</v>
      </c>
    </row>
    <row r="165" spans="1:7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9">F165-E165</f>
        <v>0</v>
      </c>
    </row>
    <row r="166" spans="1:7">
      <c r="A166" s="437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124">
        <f t="shared" si="19"/>
        <v>0</v>
      </c>
    </row>
    <row r="167" spans="1:7" ht="27.75">
      <c r="A167" s="1232" t="s">
        <v>98</v>
      </c>
      <c r="B167" s="1232"/>
      <c r="C167" s="1232"/>
      <c r="D167" s="174" t="s">
        <v>186</v>
      </c>
      <c r="E167" s="165">
        <f t="shared" si="20"/>
        <v>192575</v>
      </c>
      <c r="F167" s="165">
        <f t="shared" si="21"/>
        <v>192951</v>
      </c>
      <c r="G167" s="124">
        <f t="shared" si="19"/>
        <v>376</v>
      </c>
    </row>
    <row r="168" spans="1:7" ht="27.75">
      <c r="A168" s="1232" t="s">
        <v>99</v>
      </c>
      <c r="B168" s="1232"/>
      <c r="C168" s="1232"/>
      <c r="D168" s="174" t="s">
        <v>186</v>
      </c>
      <c r="E168" s="165">
        <f t="shared" si="20"/>
        <v>193038</v>
      </c>
      <c r="F168" s="165">
        <f t="shared" si="21"/>
        <v>193430</v>
      </c>
      <c r="G168" s="124">
        <f t="shared" si="19"/>
        <v>392</v>
      </c>
    </row>
    <row r="169" spans="1:7" ht="27.75">
      <c r="A169" s="1232" t="s">
        <v>100</v>
      </c>
      <c r="B169" s="1232"/>
      <c r="C169" s="1232"/>
      <c r="D169" s="174" t="s">
        <v>186</v>
      </c>
      <c r="E169" s="165">
        <f t="shared" si="20"/>
        <v>91592</v>
      </c>
      <c r="F169" s="165">
        <f t="shared" si="21"/>
        <v>92047</v>
      </c>
      <c r="G169" s="124">
        <f t="shared" si="19"/>
        <v>455</v>
      </c>
    </row>
    <row r="170" spans="1:7" ht="27.75">
      <c r="A170" s="1232" t="s">
        <v>101</v>
      </c>
      <c r="B170" s="1232"/>
      <c r="C170" s="1232"/>
      <c r="D170" s="174" t="s">
        <v>186</v>
      </c>
      <c r="E170" s="165">
        <f t="shared" si="20"/>
        <v>292786</v>
      </c>
      <c r="F170" s="165">
        <f t="shared" si="21"/>
        <v>293331</v>
      </c>
      <c r="G170" s="124">
        <f t="shared" si="19"/>
        <v>545</v>
      </c>
    </row>
    <row r="171" spans="1:7" ht="27.75">
      <c r="A171" s="1232" t="s">
        <v>102</v>
      </c>
      <c r="B171" s="1232"/>
      <c r="C171" s="1232"/>
      <c r="D171" s="174" t="s">
        <v>186</v>
      </c>
      <c r="E171" s="165">
        <f t="shared" si="20"/>
        <v>85321</v>
      </c>
      <c r="F171" s="165">
        <f t="shared" si="21"/>
        <v>85321</v>
      </c>
      <c r="G171" s="124">
        <f t="shared" si="19"/>
        <v>0</v>
      </c>
    </row>
    <row r="172" spans="1:7" ht="27.75">
      <c r="A172" s="1232" t="s">
        <v>103</v>
      </c>
      <c r="B172" s="1232"/>
      <c r="C172" s="1232"/>
      <c r="D172" s="174" t="s">
        <v>186</v>
      </c>
      <c r="E172" s="165">
        <f t="shared" si="20"/>
        <v>105058</v>
      </c>
      <c r="F172" s="165">
        <f t="shared" si="21"/>
        <v>105414</v>
      </c>
      <c r="G172" s="124">
        <f t="shared" si="19"/>
        <v>356</v>
      </c>
    </row>
    <row r="173" spans="1:7">
      <c r="G173" s="190">
        <f>SUM(G161:G172)</f>
        <v>2989.1900000000032</v>
      </c>
    </row>
    <row r="174" spans="1:7" ht="27.75">
      <c r="A174" s="1273" t="s">
        <v>337</v>
      </c>
      <c r="B174" s="1236"/>
      <c r="C174" s="435"/>
      <c r="D174" s="1106" t="s">
        <v>186</v>
      </c>
      <c r="E174" s="1107">
        <v>19208</v>
      </c>
      <c r="F174" s="1107">
        <v>19211</v>
      </c>
      <c r="G174" s="1108">
        <f t="shared" ref="G174:G176" si="22">F174-E174</f>
        <v>3</v>
      </c>
    </row>
    <row r="175" spans="1:7" ht="27.75">
      <c r="A175" s="1273" t="s">
        <v>338</v>
      </c>
      <c r="B175" s="1236"/>
      <c r="C175" s="105"/>
      <c r="D175" s="1106" t="s">
        <v>186</v>
      </c>
      <c r="E175" s="1111">
        <v>27941</v>
      </c>
      <c r="F175" s="1111">
        <v>27946</v>
      </c>
      <c r="G175" s="1108">
        <f t="shared" si="22"/>
        <v>5</v>
      </c>
    </row>
    <row r="176" spans="1:7" ht="27.75">
      <c r="A176" s="1273" t="s">
        <v>337</v>
      </c>
      <c r="B176" s="1236"/>
      <c r="C176" s="105"/>
      <c r="D176" s="1106" t="s">
        <v>186</v>
      </c>
      <c r="E176" s="1107">
        <v>70708</v>
      </c>
      <c r="F176" s="1107">
        <v>70714</v>
      </c>
      <c r="G176" s="1108">
        <f t="shared" si="22"/>
        <v>6</v>
      </c>
    </row>
    <row r="177" spans="1:17" ht="27.75">
      <c r="A177" s="1296" t="s">
        <v>382</v>
      </c>
      <c r="B177" s="1296"/>
      <c r="C177" s="1296"/>
      <c r="D177" s="1296"/>
      <c r="E177" s="1296"/>
      <c r="F177" s="1296"/>
      <c r="G177" s="1296"/>
    </row>
    <row r="178" spans="1:17">
      <c r="A178" s="435"/>
      <c r="B178" s="436"/>
      <c r="C178" s="436"/>
      <c r="D178" s="174" t="s">
        <v>186</v>
      </c>
      <c r="E178" s="417">
        <f>'27'!F178</f>
        <v>0</v>
      </c>
      <c r="F178" s="193"/>
      <c r="G178" s="124">
        <f t="shared" ref="G178:G184" si="23">F178-E178</f>
        <v>0</v>
      </c>
      <c r="N178" s="369"/>
      <c r="O178" s="374"/>
      <c r="P178" s="67"/>
      <c r="Q178" s="67"/>
    </row>
    <row r="179" spans="1:17">
      <c r="A179" s="435" t="s">
        <v>383</v>
      </c>
      <c r="B179" s="436"/>
      <c r="C179" s="436"/>
      <c r="D179" s="174" t="s">
        <v>186</v>
      </c>
      <c r="E179" s="417">
        <f>'27'!F179</f>
        <v>0</v>
      </c>
      <c r="F179" s="193"/>
      <c r="G179" s="124">
        <f t="shared" si="23"/>
        <v>0</v>
      </c>
      <c r="N179" s="369"/>
      <c r="O179" s="374"/>
      <c r="P179" s="67"/>
      <c r="Q179" s="67"/>
    </row>
    <row r="180" spans="1:17">
      <c r="A180" s="435" t="s">
        <v>384</v>
      </c>
      <c r="B180" s="436"/>
      <c r="C180" s="436"/>
      <c r="D180" s="174" t="s">
        <v>186</v>
      </c>
      <c r="E180" s="417">
        <f>'27'!F180</f>
        <v>0</v>
      </c>
      <c r="F180" s="193"/>
      <c r="G180" s="124">
        <f t="shared" si="23"/>
        <v>0</v>
      </c>
      <c r="N180" s="369"/>
      <c r="O180" s="374"/>
      <c r="P180" s="67"/>
      <c r="Q180" s="67"/>
    </row>
    <row r="181" spans="1:17">
      <c r="A181" s="435" t="s">
        <v>385</v>
      </c>
      <c r="B181" s="436"/>
      <c r="C181" s="436"/>
      <c r="D181" s="174" t="s">
        <v>186</v>
      </c>
      <c r="E181" s="417">
        <f>'27'!F181</f>
        <v>0</v>
      </c>
      <c r="F181" s="193"/>
      <c r="G181" s="124">
        <f t="shared" si="23"/>
        <v>0</v>
      </c>
    </row>
    <row r="182" spans="1:17">
      <c r="A182" s="435" t="s">
        <v>386</v>
      </c>
      <c r="B182" s="436"/>
      <c r="C182" s="436"/>
      <c r="D182" s="174" t="s">
        <v>186</v>
      </c>
      <c r="E182" s="417">
        <f>'27'!F182</f>
        <v>0</v>
      </c>
      <c r="F182" s="193"/>
      <c r="G182" s="124">
        <f t="shared" si="23"/>
        <v>0</v>
      </c>
    </row>
    <row r="183" spans="1:17">
      <c r="A183" s="435" t="s">
        <v>387</v>
      </c>
      <c r="B183" s="436"/>
      <c r="C183" s="436"/>
      <c r="D183" s="174" t="s">
        <v>186</v>
      </c>
      <c r="E183" s="417">
        <f>'27'!F183</f>
        <v>0</v>
      </c>
      <c r="F183" s="193"/>
      <c r="G183" s="124">
        <f t="shared" si="23"/>
        <v>0</v>
      </c>
    </row>
    <row r="184" spans="1:17">
      <c r="A184" s="435" t="s">
        <v>388</v>
      </c>
      <c r="B184" s="436"/>
      <c r="C184" s="436"/>
      <c r="D184" s="174" t="s">
        <v>186</v>
      </c>
      <c r="E184" s="417">
        <f>'27'!F184</f>
        <v>0</v>
      </c>
      <c r="F184" s="193"/>
      <c r="G184" s="124">
        <f t="shared" si="23"/>
        <v>0</v>
      </c>
    </row>
  </sheetData>
  <mergeCells count="78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6:B176"/>
    <mergeCell ref="A172:C172"/>
    <mergeCell ref="A174:B174"/>
    <mergeCell ref="A175:B175"/>
    <mergeCell ref="A177:G177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84"/>
  <sheetViews>
    <sheetView view="pageBreakPreview" topLeftCell="A152" zoomScale="55" zoomScaleNormal="78" zoomScaleSheetLayoutView="55" workbookViewId="0">
      <selection activeCell="F8" sqref="F8"/>
    </sheetView>
  </sheetViews>
  <sheetFormatPr defaultColWidth="22.33203125" defaultRowHeight="29.2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20"/>
    <col min="16" max="16384" width="22.33203125" style="67"/>
  </cols>
  <sheetData>
    <row r="1" spans="1:54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54" s="57" customFormat="1" ht="27">
      <c r="A2" s="226" t="s">
        <v>380</v>
      </c>
      <c r="B2" s="682">
        <v>44437</v>
      </c>
      <c r="C2" s="761" t="s">
        <v>68</v>
      </c>
      <c r="D2" s="262">
        <v>0.86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420"/>
      <c r="O2" s="420"/>
    </row>
    <row r="3" spans="1:54" s="57" customFormat="1" ht="27">
      <c r="A3" s="221"/>
      <c r="B3" s="265"/>
      <c r="C3" s="761" t="s">
        <v>119</v>
      </c>
      <c r="D3" s="263">
        <v>28</v>
      </c>
      <c r="E3" s="1259" t="s">
        <v>120</v>
      </c>
      <c r="F3" s="1260"/>
      <c r="G3" s="113"/>
      <c r="H3" s="114"/>
      <c r="I3" s="114"/>
      <c r="J3" s="266"/>
      <c r="K3" s="63"/>
      <c r="L3" s="58"/>
      <c r="N3" s="420"/>
      <c r="O3" s="420"/>
    </row>
    <row r="4" spans="1:54" s="57" customFormat="1" ht="27">
      <c r="A4" s="227"/>
      <c r="B4" s="267"/>
      <c r="C4" s="761" t="s">
        <v>121</v>
      </c>
      <c r="D4" s="262">
        <v>0.78</v>
      </c>
      <c r="E4" s="114"/>
      <c r="F4" s="114"/>
      <c r="G4" s="115"/>
      <c r="H4" s="115"/>
      <c r="I4" s="116"/>
      <c r="J4" s="266"/>
      <c r="K4" s="64"/>
      <c r="L4" s="58"/>
      <c r="N4" s="422"/>
      <c r="O4" s="420"/>
    </row>
    <row r="5" spans="1:5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2"/>
    </row>
    <row r="6" spans="1:54">
      <c r="A6" s="1253" t="s">
        <v>129</v>
      </c>
      <c r="B6" s="1254"/>
      <c r="C6" s="1255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>
      <c r="A7" s="327" t="s">
        <v>130</v>
      </c>
      <c r="B7" s="328"/>
      <c r="C7" s="328"/>
      <c r="D7" s="288" t="s">
        <v>131</v>
      </c>
      <c r="E7" s="330">
        <f>'28'!F7</f>
        <v>229934</v>
      </c>
      <c r="F7" s="106">
        <v>251444</v>
      </c>
      <c r="G7" s="329">
        <f>F7-E7</f>
        <v>21510</v>
      </c>
      <c r="H7" s="330">
        <f>G7+'28'!H7</f>
        <v>952752.3899999999</v>
      </c>
      <c r="I7" s="331">
        <f>'1'!I7</f>
        <v>12000</v>
      </c>
      <c r="J7" s="332">
        <f>H7/DAY(B2)</f>
        <v>32853.53068965517</v>
      </c>
      <c r="K7" s="200">
        <v>1703438</v>
      </c>
      <c r="L7" s="68">
        <v>1715917</v>
      </c>
      <c r="O7" s="423"/>
    </row>
    <row r="8" spans="1:54" ht="27.75" thickBot="1">
      <c r="A8" s="333" t="s">
        <v>132</v>
      </c>
      <c r="B8" s="334"/>
      <c r="C8" s="335"/>
      <c r="D8" s="336" t="s">
        <v>25</v>
      </c>
      <c r="E8" s="330">
        <f>'28'!F8</f>
        <v>239702.74</v>
      </c>
      <c r="F8" s="126">
        <f>E8+22500</f>
        <v>262202.74</v>
      </c>
      <c r="G8" s="340">
        <f>F8-E8</f>
        <v>22500</v>
      </c>
      <c r="H8" s="330">
        <f>G8+'28'!H8</f>
        <v>955149</v>
      </c>
      <c r="I8" s="337"/>
      <c r="J8" s="332">
        <f>H8/DAY(B2)</f>
        <v>32936.172413793101</v>
      </c>
      <c r="K8" s="200">
        <v>1375467</v>
      </c>
      <c r="L8" s="78"/>
      <c r="M8" s="91"/>
      <c r="O8" s="423"/>
    </row>
    <row r="9" spans="1:54">
      <c r="A9" s="338" t="s">
        <v>133</v>
      </c>
      <c r="B9" s="339"/>
      <c r="C9" s="339"/>
      <c r="D9" s="288" t="s">
        <v>131</v>
      </c>
      <c r="E9" s="330">
        <f>'28'!F9</f>
        <v>3299014</v>
      </c>
      <c r="F9" s="388">
        <v>3320136</v>
      </c>
      <c r="G9" s="353">
        <f t="shared" ref="G9:G12" si="0">F9-E9</f>
        <v>21122</v>
      </c>
      <c r="H9" s="330">
        <f>G9+'28'!H9</f>
        <v>3237606</v>
      </c>
      <c r="I9" s="341">
        <f>I7-J7</f>
        <v>-20853.53068965517</v>
      </c>
      <c r="J9" s="332">
        <f>H9/DAY(B2)</f>
        <v>111641.58620689655</v>
      </c>
      <c r="K9" s="81"/>
      <c r="L9" s="68"/>
      <c r="O9" s="423"/>
    </row>
    <row r="10" spans="1:54">
      <c r="A10" s="327" t="s">
        <v>134</v>
      </c>
      <c r="B10" s="328"/>
      <c r="C10" s="328"/>
      <c r="D10" s="288" t="s">
        <v>131</v>
      </c>
      <c r="E10" s="330">
        <f>'28'!F10</f>
        <v>2607</v>
      </c>
      <c r="F10" s="388">
        <v>2607</v>
      </c>
      <c r="G10" s="340">
        <f t="shared" si="0"/>
        <v>0</v>
      </c>
      <c r="H10" s="330">
        <f>G10+'28'!H10</f>
        <v>0</v>
      </c>
      <c r="I10" s="342"/>
      <c r="J10" s="332">
        <f>H10/DAY(B2)</f>
        <v>0</v>
      </c>
      <c r="K10" s="81"/>
      <c r="L10" s="68"/>
      <c r="BB10" s="67">
        <v>0</v>
      </c>
    </row>
    <row r="11" spans="1:5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G11+'28'!H11</f>
        <v>0</v>
      </c>
      <c r="I11" s="342"/>
      <c r="J11" s="332">
        <f>H11/DAY(B2)</f>
        <v>0</v>
      </c>
      <c r="K11" s="81"/>
      <c r="L11" s="68"/>
    </row>
    <row r="12" spans="1:54">
      <c r="A12" s="327" t="s">
        <v>136</v>
      </c>
      <c r="B12" s="328"/>
      <c r="C12" s="328"/>
      <c r="D12" s="736" t="s">
        <v>131</v>
      </c>
      <c r="E12" s="730">
        <f>'5'!E12</f>
        <v>40010</v>
      </c>
      <c r="F12" s="388">
        <v>40010</v>
      </c>
      <c r="G12" s="340">
        <f t="shared" si="0"/>
        <v>0</v>
      </c>
      <c r="H12" s="330">
        <f>G12+'28'!H12</f>
        <v>0</v>
      </c>
      <c r="I12" s="342"/>
      <c r="J12" s="332">
        <f>H12/DAY(B2)</f>
        <v>0</v>
      </c>
      <c r="K12" s="81"/>
      <c r="L12" s="68"/>
    </row>
    <row r="13" spans="1:54">
      <c r="A13" s="343" t="s">
        <v>137</v>
      </c>
      <c r="B13" s="344"/>
      <c r="C13" s="344"/>
      <c r="D13" s="736"/>
      <c r="E13" s="730"/>
      <c r="F13" s="111"/>
      <c r="G13" s="345">
        <f>G9+G10+G11+G12</f>
        <v>21122</v>
      </c>
      <c r="H13" s="730">
        <f>G13+'28'!H13</f>
        <v>3193590.5100000002</v>
      </c>
      <c r="I13" s="731">
        <f>G7-G13</f>
        <v>388</v>
      </c>
      <c r="J13" s="732">
        <f>H13/DAY(B2)</f>
        <v>110123.81068965518</v>
      </c>
      <c r="K13" s="81"/>
      <c r="L13" s="68"/>
    </row>
    <row r="14" spans="1:54">
      <c r="A14" s="1256" t="s">
        <v>138</v>
      </c>
      <c r="B14" s="1257"/>
      <c r="C14" s="1258"/>
      <c r="D14" s="733"/>
      <c r="E14" s="737"/>
      <c r="F14" s="389"/>
      <c r="G14" s="134"/>
      <c r="H14" s="733"/>
      <c r="I14" s="733"/>
      <c r="J14" s="734"/>
      <c r="K14" s="82"/>
      <c r="L14" s="68"/>
    </row>
    <row r="15" spans="1:54">
      <c r="A15" s="316" t="s">
        <v>139</v>
      </c>
      <c r="B15" s="317"/>
      <c r="C15" s="317"/>
      <c r="D15" s="738" t="s">
        <v>140</v>
      </c>
      <c r="E15" s="739">
        <f>'28'!F15</f>
        <v>1754070</v>
      </c>
      <c r="F15" s="351">
        <v>1754904</v>
      </c>
      <c r="G15" s="315">
        <f>(F15-E15)</f>
        <v>834</v>
      </c>
      <c r="H15" s="726">
        <f>G15+'28'!H15</f>
        <v>-1626</v>
      </c>
      <c r="I15" s="727">
        <f>'1'!I15</f>
        <v>800</v>
      </c>
      <c r="J15" s="728">
        <f>H15/DAY(B2)</f>
        <v>-56.068965517241381</v>
      </c>
      <c r="K15" s="81"/>
      <c r="L15" s="68"/>
    </row>
    <row r="16" spans="1:54">
      <c r="A16" s="324"/>
      <c r="B16" s="325"/>
      <c r="C16" s="325"/>
      <c r="D16" s="738"/>
      <c r="E16" s="739"/>
      <c r="F16" s="390"/>
      <c r="G16" s="320"/>
      <c r="H16" s="726"/>
      <c r="I16" s="729">
        <f>I15-J15</f>
        <v>856.06896551724139</v>
      </c>
      <c r="J16" s="728"/>
      <c r="K16" s="81"/>
      <c r="L16" s="68"/>
    </row>
    <row r="17" spans="1:15">
      <c r="A17" s="1256" t="s">
        <v>141</v>
      </c>
      <c r="B17" s="1257"/>
      <c r="C17" s="1258"/>
      <c r="D17" s="733"/>
      <c r="E17" s="737"/>
      <c r="F17" s="389"/>
      <c r="G17" s="139"/>
      <c r="H17" s="733"/>
      <c r="I17" s="733"/>
      <c r="J17" s="734"/>
      <c r="K17" s="81"/>
      <c r="L17" s="68"/>
    </row>
    <row r="18" spans="1:15" ht="27.75">
      <c r="A18" s="1293" t="s">
        <v>142</v>
      </c>
      <c r="B18" s="1294"/>
      <c r="C18" s="1295"/>
      <c r="D18" s="288" t="s">
        <v>143</v>
      </c>
      <c r="E18" s="408">
        <f>'28'!F18</f>
        <v>20</v>
      </c>
      <c r="F18" s="388">
        <v>18</v>
      </c>
      <c r="G18" s="345">
        <f>F18*10</f>
        <v>180</v>
      </c>
      <c r="H18" s="730">
        <f>G18+'28'!H18</f>
        <v>4710</v>
      </c>
      <c r="I18" s="735">
        <f>'1'!I18</f>
        <v>65</v>
      </c>
      <c r="J18" s="732">
        <f>H18/DAY(B2)</f>
        <v>162.41379310344828</v>
      </c>
      <c r="K18" s="81"/>
      <c r="L18" s="68"/>
    </row>
    <row r="19" spans="1:15" ht="27.75">
      <c r="A19" s="1293" t="s">
        <v>70</v>
      </c>
      <c r="B19" s="1294"/>
      <c r="C19" s="1295"/>
      <c r="D19" s="288" t="s">
        <v>143</v>
      </c>
      <c r="E19" s="408">
        <f>'28'!F19</f>
        <v>145155</v>
      </c>
      <c r="F19" s="388">
        <v>145217</v>
      </c>
      <c r="G19" s="340">
        <f t="shared" ref="G19" si="1">F19-E19</f>
        <v>62</v>
      </c>
      <c r="H19" s="330">
        <f>G19+'28'!H19</f>
        <v>-121</v>
      </c>
      <c r="I19" s="347"/>
      <c r="J19" s="332">
        <f>H19/DAY(B2)</f>
        <v>-4.1724137931034484</v>
      </c>
      <c r="K19" s="81"/>
      <c r="L19" s="68"/>
    </row>
    <row r="20" spans="1:15">
      <c r="A20" s="343" t="s">
        <v>144</v>
      </c>
      <c r="B20" s="344"/>
      <c r="C20" s="344"/>
      <c r="D20" s="288"/>
      <c r="E20" s="330"/>
      <c r="F20" s="111"/>
      <c r="G20" s="348">
        <f>G18+G19</f>
        <v>242</v>
      </c>
      <c r="H20" s="330">
        <f>G20+'28'!H20</f>
        <v>4589</v>
      </c>
      <c r="I20" s="349">
        <f>I18-J20</f>
        <v>-93.241379310344826</v>
      </c>
      <c r="J20" s="332">
        <f>H20/DAY(B2)</f>
        <v>158.24137931034483</v>
      </c>
      <c r="K20" s="81"/>
      <c r="L20" s="68"/>
    </row>
    <row r="21" spans="1:15">
      <c r="A21" s="1256" t="s">
        <v>145</v>
      </c>
      <c r="B21" s="1257"/>
      <c r="C21" s="1258"/>
      <c r="D21" s="123"/>
      <c r="E21" s="389"/>
      <c r="F21" s="389"/>
      <c r="G21" s="134"/>
      <c r="H21" s="123"/>
      <c r="I21" s="123"/>
      <c r="J21" s="202"/>
      <c r="K21" s="81"/>
      <c r="L21" s="68"/>
    </row>
    <row r="22" spans="1:15">
      <c r="A22" s="759" t="s">
        <v>146</v>
      </c>
      <c r="B22" s="240"/>
      <c r="C22" s="240"/>
      <c r="D22" s="174" t="s">
        <v>147</v>
      </c>
      <c r="E22" s="409">
        <f>'28'!F22</f>
        <v>2970</v>
      </c>
      <c r="F22" s="388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>
      <c r="A23" s="759" t="s">
        <v>148</v>
      </c>
      <c r="B23" s="240"/>
      <c r="C23" s="240"/>
      <c r="D23" s="174" t="s">
        <v>147</v>
      </c>
      <c r="E23" s="409">
        <f>'28'!F23</f>
        <v>2000</v>
      </c>
      <c r="F23" s="388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>
      <c r="A24" s="241" t="s">
        <v>149</v>
      </c>
      <c r="B24" s="242"/>
      <c r="C24" s="242"/>
      <c r="D24" s="162" t="s">
        <v>147</v>
      </c>
      <c r="E24" s="410">
        <f>'28'!F24</f>
        <v>4970</v>
      </c>
      <c r="F24" s="391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>
      <c r="A25" s="1261" t="s">
        <v>150</v>
      </c>
      <c r="B25" s="1262"/>
      <c r="C25" s="1263"/>
      <c r="D25" s="122"/>
      <c r="E25" s="146"/>
      <c r="F25" s="146"/>
      <c r="G25" s="145"/>
      <c r="H25" s="146"/>
      <c r="I25" s="147"/>
      <c r="J25" s="205"/>
      <c r="K25" s="65"/>
      <c r="L25" s="94"/>
      <c r="N25" s="420"/>
      <c r="O25" s="420"/>
    </row>
    <row r="26" spans="1:15" s="93" customFormat="1" ht="27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420"/>
      <c r="O26" s="420"/>
    </row>
    <row r="27" spans="1:15" s="93" customFormat="1" ht="27">
      <c r="A27" s="243" t="s">
        <v>6</v>
      </c>
      <c r="B27" s="244"/>
      <c r="C27" s="245"/>
      <c r="D27" s="270" t="s">
        <v>25</v>
      </c>
      <c r="E27" s="350">
        <f>G8</f>
        <v>22500</v>
      </c>
      <c r="F27" s="152">
        <v>9</v>
      </c>
      <c r="G27" s="153">
        <f>E27*F27</f>
        <v>202500</v>
      </c>
      <c r="H27" s="111">
        <f>G27+'28'!H27</f>
        <v>8589303</v>
      </c>
      <c r="I27" s="154"/>
      <c r="J27" s="203">
        <f>H27/DAY(B2)</f>
        <v>296182.86206896551</v>
      </c>
      <c r="K27" s="65"/>
      <c r="L27" s="94"/>
      <c r="N27" s="420"/>
      <c r="O27" s="420"/>
    </row>
    <row r="28" spans="1:15" s="93" customFormat="1" ht="27">
      <c r="A28" s="243" t="s">
        <v>153</v>
      </c>
      <c r="B28" s="244"/>
      <c r="C28" s="245"/>
      <c r="D28" s="270" t="s">
        <v>154</v>
      </c>
      <c r="E28" s="350">
        <f>G15</f>
        <v>834</v>
      </c>
      <c r="F28" s="152">
        <v>54.5</v>
      </c>
      <c r="G28" s="153">
        <f>E28*F28</f>
        <v>45453</v>
      </c>
      <c r="H28" s="111">
        <f>G28+'28'!H28</f>
        <v>-97366.971399999806</v>
      </c>
      <c r="I28" s="156"/>
      <c r="J28" s="203">
        <f>H28/DAY(B2)</f>
        <v>-3357.4817724137865</v>
      </c>
      <c r="K28" s="65"/>
      <c r="L28" s="94"/>
      <c r="N28" s="420"/>
      <c r="O28" s="420"/>
    </row>
    <row r="29" spans="1:15" s="93" customFormat="1" ht="27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20"/>
      <c r="O29" s="420"/>
    </row>
    <row r="30" spans="1:15" s="93" customFormat="1" ht="27">
      <c r="A30" s="243" t="s">
        <v>157</v>
      </c>
      <c r="B30" s="244"/>
      <c r="C30" s="245"/>
      <c r="D30" s="270" t="s">
        <v>158</v>
      </c>
      <c r="E30" s="350">
        <f>G19</f>
        <v>62</v>
      </c>
      <c r="F30" s="350">
        <v>146</v>
      </c>
      <c r="G30" s="153">
        <f>E30*F30</f>
        <v>9052</v>
      </c>
      <c r="H30" s="111">
        <f>G30+'28'!H30</f>
        <v>-17666</v>
      </c>
      <c r="I30" s="156"/>
      <c r="J30" s="203">
        <f>H30/DAY(B2)</f>
        <v>-609.17241379310349</v>
      </c>
      <c r="K30" s="65"/>
      <c r="L30" s="94"/>
      <c r="N30" s="420"/>
      <c r="O30" s="420"/>
    </row>
    <row r="31" spans="1:15" s="93" customFormat="1" ht="27">
      <c r="A31" s="243" t="s">
        <v>159</v>
      </c>
      <c r="B31" s="244"/>
      <c r="C31" s="245"/>
      <c r="D31" s="270" t="s">
        <v>143</v>
      </c>
      <c r="E31" s="350">
        <f>G18</f>
        <v>180</v>
      </c>
      <c r="F31" s="350">
        <v>80</v>
      </c>
      <c r="G31" s="153">
        <f>E31*F31</f>
        <v>14400</v>
      </c>
      <c r="H31" s="111">
        <f>G31+'28'!H31</f>
        <v>371564</v>
      </c>
      <c r="I31" s="156"/>
      <c r="J31" s="203">
        <f>H31/DAY(B2)</f>
        <v>12812.551724137931</v>
      </c>
      <c r="K31" s="65"/>
      <c r="L31" s="94"/>
      <c r="N31" s="420"/>
      <c r="O31" s="420"/>
    </row>
    <row r="32" spans="1:15" s="93" customFormat="1" ht="27">
      <c r="A32" s="246" t="s">
        <v>160</v>
      </c>
      <c r="B32" s="247"/>
      <c r="C32" s="248"/>
      <c r="D32" s="158"/>
      <c r="E32" s="412"/>
      <c r="F32" s="137"/>
      <c r="G32" s="159">
        <f>G27+G28+G29+G30+G31</f>
        <v>271405</v>
      </c>
      <c r="H32" s="111">
        <f>G32+'28'!H32</f>
        <v>8845834.0285999998</v>
      </c>
      <c r="I32" s="160"/>
      <c r="J32" s="203" t="s">
        <v>358</v>
      </c>
      <c r="K32" s="65"/>
      <c r="L32" s="94"/>
      <c r="N32" s="420"/>
      <c r="O32" s="420"/>
    </row>
    <row r="33" spans="1:15" ht="25.5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</row>
    <row r="34" spans="1:15">
      <c r="A34" s="249" t="s">
        <v>162</v>
      </c>
      <c r="B34" s="764"/>
      <c r="C34" s="764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>
      <c r="A35" s="229" t="s">
        <v>163</v>
      </c>
      <c r="B35" s="230"/>
      <c r="C35" s="230"/>
      <c r="D35" s="174" t="s">
        <v>131</v>
      </c>
      <c r="E35" s="392">
        <f>'28'!F35</f>
        <v>1058597</v>
      </c>
      <c r="F35" s="392">
        <v>1058597</v>
      </c>
      <c r="G35" s="124">
        <f t="shared" ref="G35:G46" si="3">F35-E35</f>
        <v>0</v>
      </c>
      <c r="H35" s="111">
        <f>G35+'28'!H35</f>
        <v>0</v>
      </c>
      <c r="I35" s="106"/>
      <c r="J35" s="203">
        <f>H35/DAY(B2)</f>
        <v>0</v>
      </c>
      <c r="K35" s="81"/>
      <c r="L35" s="68"/>
    </row>
    <row r="36" spans="1:15">
      <c r="A36" s="229" t="s">
        <v>164</v>
      </c>
      <c r="B36" s="230"/>
      <c r="C36" s="230"/>
      <c r="D36" s="174" t="s">
        <v>131</v>
      </c>
      <c r="E36" s="392">
        <f>'28'!F36</f>
        <v>67546</v>
      </c>
      <c r="F36" s="1170">
        <v>68358</v>
      </c>
      <c r="G36" s="124">
        <f t="shared" si="3"/>
        <v>812</v>
      </c>
      <c r="H36" s="111">
        <f>G36+'28'!H36</f>
        <v>66525</v>
      </c>
      <c r="I36" s="106"/>
      <c r="J36" s="203">
        <f>H36/DAY(B2)</f>
        <v>2293.9655172413795</v>
      </c>
      <c r="K36" s="81"/>
      <c r="L36" s="68"/>
    </row>
    <row r="37" spans="1:15" s="92" customFormat="1">
      <c r="A37" s="742" t="s">
        <v>165</v>
      </c>
      <c r="B37" s="746"/>
      <c r="C37" s="746"/>
      <c r="D37" s="278" t="s">
        <v>131</v>
      </c>
      <c r="E37" s="393">
        <f>'28'!F37</f>
        <v>270176</v>
      </c>
      <c r="F37" s="393">
        <v>271565</v>
      </c>
      <c r="G37" s="303">
        <f t="shared" si="3"/>
        <v>1389</v>
      </c>
      <c r="H37" s="356">
        <f>G37+'28'!H37</f>
        <v>267790</v>
      </c>
      <c r="I37" s="357"/>
      <c r="J37" s="358">
        <f>H37/DAY(B2)</f>
        <v>9234.1379310344819</v>
      </c>
      <c r="K37" s="744"/>
      <c r="L37" s="745"/>
      <c r="N37" s="421"/>
      <c r="O37" s="421"/>
    </row>
    <row r="38" spans="1:15" s="92" customFormat="1">
      <c r="A38" s="742" t="s">
        <v>166</v>
      </c>
      <c r="B38" s="746"/>
      <c r="C38" s="746"/>
      <c r="D38" s="278" t="s">
        <v>131</v>
      </c>
      <c r="E38" s="393">
        <f>'28'!F38</f>
        <v>296724</v>
      </c>
      <c r="F38" s="747">
        <v>297736</v>
      </c>
      <c r="G38" s="303">
        <f t="shared" si="3"/>
        <v>1012</v>
      </c>
      <c r="H38" s="356">
        <f>G38+'28'!H38</f>
        <v>292913</v>
      </c>
      <c r="I38" s="357"/>
      <c r="J38" s="358">
        <f>H38/DAY(B2)</f>
        <v>10100.448275862069</v>
      </c>
      <c r="K38" s="744"/>
      <c r="L38" s="745"/>
      <c r="N38" s="421"/>
      <c r="O38" s="421"/>
    </row>
    <row r="39" spans="1:15" s="92" customFormat="1">
      <c r="A39" s="742" t="s">
        <v>167</v>
      </c>
      <c r="B39" s="746"/>
      <c r="C39" s="746"/>
      <c r="D39" s="278" t="s">
        <v>131</v>
      </c>
      <c r="E39" s="393">
        <f>'28'!F39</f>
        <v>626167</v>
      </c>
      <c r="F39" s="393">
        <v>630153</v>
      </c>
      <c r="G39" s="303">
        <f t="shared" si="3"/>
        <v>3986</v>
      </c>
      <c r="H39" s="356">
        <f>G39+'28'!H39</f>
        <v>626311</v>
      </c>
      <c r="I39" s="357"/>
      <c r="J39" s="358">
        <f>H39/DAY(B2)</f>
        <v>21596.931034482757</v>
      </c>
      <c r="K39" s="744"/>
      <c r="L39" s="745"/>
      <c r="N39" s="421"/>
      <c r="O39" s="421"/>
    </row>
    <row r="40" spans="1:15" s="92" customFormat="1">
      <c r="A40" s="748" t="s">
        <v>168</v>
      </c>
      <c r="B40" s="749"/>
      <c r="C40" s="749"/>
      <c r="D40" s="278" t="s">
        <v>131</v>
      </c>
      <c r="E40" s="393">
        <f>'28'!F40</f>
        <v>33405.699999999997</v>
      </c>
      <c r="F40" s="393">
        <v>33825</v>
      </c>
      <c r="G40" s="303">
        <f t="shared" si="3"/>
        <v>419.30000000000291</v>
      </c>
      <c r="H40" s="356">
        <f>G40+'28'!H40</f>
        <v>33982.400000000001</v>
      </c>
      <c r="I40" s="357"/>
      <c r="J40" s="358">
        <f>H40/DAY(B2)</f>
        <v>1171.8068965517241</v>
      </c>
      <c r="K40" s="750"/>
      <c r="L40" s="745"/>
      <c r="N40" s="421"/>
      <c r="O40" s="421"/>
    </row>
    <row r="41" spans="1:15" s="92" customFormat="1">
      <c r="A41" s="742" t="s">
        <v>169</v>
      </c>
      <c r="B41" s="746"/>
      <c r="C41" s="746"/>
      <c r="D41" s="278" t="s">
        <v>131</v>
      </c>
      <c r="E41" s="393">
        <f>'28'!F41</f>
        <v>433282</v>
      </c>
      <c r="F41" s="393">
        <v>433282</v>
      </c>
      <c r="G41" s="303">
        <f>F41-E41</f>
        <v>0</v>
      </c>
      <c r="H41" s="356">
        <f>G41+'28'!H41</f>
        <v>0.21000000002095476</v>
      </c>
      <c r="I41" s="357"/>
      <c r="J41" s="358">
        <f>H41/DAY(B2)</f>
        <v>7.2413793110674054E-3</v>
      </c>
      <c r="K41" s="744"/>
      <c r="L41" s="745"/>
      <c r="N41" s="421"/>
      <c r="O41" s="421"/>
    </row>
    <row r="42" spans="1:15">
      <c r="A42" s="229" t="s">
        <v>170</v>
      </c>
      <c r="B42" s="230"/>
      <c r="C42" s="230"/>
      <c r="D42" s="174" t="s">
        <v>131</v>
      </c>
      <c r="E42" s="392">
        <f>'28'!F42</f>
        <v>162271</v>
      </c>
      <c r="F42" s="392">
        <v>164722</v>
      </c>
      <c r="G42" s="124">
        <f t="shared" si="3"/>
        <v>2451</v>
      </c>
      <c r="H42" s="111">
        <f>G42+'28'!H42</f>
        <v>-10390</v>
      </c>
      <c r="I42" s="106"/>
      <c r="J42" s="203">
        <f>H42/DAY(B2)</f>
        <v>-358.27586206896552</v>
      </c>
      <c r="K42" s="81"/>
      <c r="L42" s="68"/>
    </row>
    <row r="43" spans="1:15">
      <c r="A43" s="229" t="s">
        <v>171</v>
      </c>
      <c r="B43" s="230"/>
      <c r="C43" s="230"/>
      <c r="D43" s="174" t="s">
        <v>131</v>
      </c>
      <c r="E43" s="392">
        <f>'28'!F43</f>
        <v>1281780</v>
      </c>
      <c r="F43" s="392">
        <v>1284675</v>
      </c>
      <c r="G43" s="124">
        <f t="shared" si="3"/>
        <v>2895</v>
      </c>
      <c r="H43" s="111">
        <f>G43+'28'!H43</f>
        <v>-5070</v>
      </c>
      <c r="I43" s="106"/>
      <c r="J43" s="203">
        <f>H43/DAY(B2)</f>
        <v>-174.82758620689654</v>
      </c>
      <c r="K43" s="81"/>
      <c r="L43" s="68"/>
    </row>
    <row r="44" spans="1:15">
      <c r="A44" s="229" t="s">
        <v>172</v>
      </c>
      <c r="B44" s="230"/>
      <c r="C44" s="230"/>
      <c r="D44" s="174" t="s">
        <v>131</v>
      </c>
      <c r="E44" s="392">
        <f>'28'!F44</f>
        <v>0</v>
      </c>
      <c r="F44" s="392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>
      <c r="A45" s="229" t="s">
        <v>173</v>
      </c>
      <c r="B45" s="230"/>
      <c r="C45" s="230"/>
      <c r="D45" s="174" t="s">
        <v>131</v>
      </c>
      <c r="E45" s="392">
        <f>'28'!F45</f>
        <v>614</v>
      </c>
      <c r="F45" s="392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>
      <c r="A46" s="229" t="s">
        <v>174</v>
      </c>
      <c r="B46" s="230"/>
      <c r="C46" s="230"/>
      <c r="D46" s="174" t="s">
        <v>131</v>
      </c>
      <c r="E46" s="392">
        <f>'28'!F46</f>
        <v>187</v>
      </c>
      <c r="F46" s="392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12964.300000000003</v>
      </c>
      <c r="H47" s="111">
        <f>G47+'28'!H47</f>
        <v>1272862.6100000003</v>
      </c>
      <c r="I47" s="106"/>
      <c r="J47" s="203">
        <f>H47/DAY(B2)</f>
        <v>43891.814137931047</v>
      </c>
      <c r="K47" s="81"/>
      <c r="L47" s="68"/>
    </row>
    <row r="48" spans="1:15">
      <c r="A48" s="249" t="s">
        <v>176</v>
      </c>
      <c r="B48" s="764"/>
      <c r="C48" s="764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>
      <c r="A49" s="742" t="s">
        <v>163</v>
      </c>
      <c r="B49" s="743"/>
      <c r="C49" s="743"/>
      <c r="D49" s="278" t="s">
        <v>131</v>
      </c>
      <c r="E49" s="393">
        <f>'28'!F49</f>
        <v>409793</v>
      </c>
      <c r="F49" s="393">
        <v>413115</v>
      </c>
      <c r="G49" s="303">
        <f t="shared" ref="G49:G58" si="4">F49-E49</f>
        <v>3322</v>
      </c>
      <c r="H49" s="356">
        <f>G49+'28'!H49</f>
        <v>396335</v>
      </c>
      <c r="I49" s="357"/>
      <c r="J49" s="358">
        <f>H49/DAY(B2)</f>
        <v>13666.724137931034</v>
      </c>
      <c r="K49" s="744"/>
      <c r="L49" s="745"/>
      <c r="N49" s="421"/>
      <c r="O49" s="421"/>
    </row>
    <row r="50" spans="1:15" s="92" customFormat="1">
      <c r="A50" s="742" t="s">
        <v>177</v>
      </c>
      <c r="B50" s="743" t="s">
        <v>275</v>
      </c>
      <c r="C50" s="743"/>
      <c r="D50" s="278" t="s">
        <v>131</v>
      </c>
      <c r="E50" s="393">
        <f>'28'!F50</f>
        <v>604127</v>
      </c>
      <c r="F50" s="393">
        <v>605225</v>
      </c>
      <c r="G50" s="303">
        <f t="shared" si="4"/>
        <v>1098</v>
      </c>
      <c r="H50" s="356">
        <f>G50+'28'!H50</f>
        <v>-2993</v>
      </c>
      <c r="I50" s="357"/>
      <c r="J50" s="358">
        <f>H50/DAY(B2)</f>
        <v>-103.20689655172414</v>
      </c>
      <c r="K50" s="744"/>
      <c r="L50" s="745"/>
      <c r="N50" s="421"/>
      <c r="O50" s="421"/>
    </row>
    <row r="51" spans="1:15" s="92" customFormat="1">
      <c r="A51" s="742" t="s">
        <v>165</v>
      </c>
      <c r="B51" s="743"/>
      <c r="C51" s="743"/>
      <c r="D51" s="278" t="s">
        <v>131</v>
      </c>
      <c r="E51" s="393">
        <f>'28'!F51</f>
        <v>144640</v>
      </c>
      <c r="F51" s="393">
        <v>144639.87</v>
      </c>
      <c r="G51" s="303">
        <f t="shared" si="4"/>
        <v>-0.13000000000465661</v>
      </c>
      <c r="H51" s="356">
        <f>G51+'28'!H51</f>
        <v>144639.87</v>
      </c>
      <c r="I51" s="357"/>
      <c r="J51" s="358">
        <f>H51/DAY(B2)</f>
        <v>4987.5817241379309</v>
      </c>
      <c r="K51" s="744"/>
      <c r="L51" s="745"/>
      <c r="N51" s="421"/>
      <c r="O51" s="421"/>
    </row>
    <row r="52" spans="1:15" s="92" customFormat="1">
      <c r="A52" s="742" t="s">
        <v>178</v>
      </c>
      <c r="B52" s="743"/>
      <c r="C52" s="743"/>
      <c r="D52" s="278" t="s">
        <v>131</v>
      </c>
      <c r="E52" s="393">
        <f>'28'!F52</f>
        <v>539606.06999999995</v>
      </c>
      <c r="F52" s="393">
        <v>539606.06999999995</v>
      </c>
      <c r="G52" s="303">
        <f t="shared" si="4"/>
        <v>0</v>
      </c>
      <c r="H52" s="356">
        <f>G52+'28'!H52</f>
        <v>0</v>
      </c>
      <c r="I52" s="357"/>
      <c r="J52" s="358">
        <f>H52/DAY(B2)</f>
        <v>0</v>
      </c>
      <c r="K52" s="744"/>
      <c r="L52" s="745"/>
      <c r="N52" s="421"/>
      <c r="O52" s="421"/>
    </row>
    <row r="53" spans="1:15" s="92" customFormat="1">
      <c r="A53" s="742" t="s">
        <v>167</v>
      </c>
      <c r="B53" s="743"/>
      <c r="C53" s="743"/>
      <c r="D53" s="278" t="s">
        <v>131</v>
      </c>
      <c r="E53" s="393">
        <f>'28'!F53</f>
        <v>434232</v>
      </c>
      <c r="F53" s="393">
        <v>434232</v>
      </c>
      <c r="G53" s="303">
        <f t="shared" si="4"/>
        <v>0</v>
      </c>
      <c r="H53" s="356">
        <f>G53+'28'!H53</f>
        <v>434232</v>
      </c>
      <c r="I53" s="357"/>
      <c r="J53" s="358">
        <f>H53/DAY(B2)</f>
        <v>14973.51724137931</v>
      </c>
      <c r="K53" s="744"/>
      <c r="L53" s="745"/>
      <c r="N53" s="421"/>
      <c r="O53" s="421"/>
    </row>
    <row r="54" spans="1:15">
      <c r="A54" s="229" t="s">
        <v>179</v>
      </c>
      <c r="B54" s="252"/>
      <c r="C54" s="252"/>
      <c r="D54" s="174" t="s">
        <v>131</v>
      </c>
      <c r="E54" s="393">
        <f>'28'!F54</f>
        <v>14967</v>
      </c>
      <c r="F54" s="392">
        <v>14967</v>
      </c>
      <c r="G54" s="124">
        <f t="shared" si="4"/>
        <v>0</v>
      </c>
      <c r="H54" s="111">
        <f>G54+'28'!H54</f>
        <v>12502</v>
      </c>
      <c r="I54" s="106"/>
      <c r="J54" s="203">
        <f>H54/DAY(B2)</f>
        <v>431.10344827586209</v>
      </c>
      <c r="K54" s="81"/>
      <c r="L54" s="68"/>
    </row>
    <row r="55" spans="1:15">
      <c r="A55" s="229" t="s">
        <v>180</v>
      </c>
      <c r="B55" s="252"/>
      <c r="C55" s="252"/>
      <c r="D55" s="174" t="s">
        <v>131</v>
      </c>
      <c r="E55" s="393">
        <f>'28'!F55</f>
        <v>304424</v>
      </c>
      <c r="F55" s="393">
        <v>304424</v>
      </c>
      <c r="G55" s="303">
        <f t="shared" si="4"/>
        <v>0</v>
      </c>
      <c r="H55" s="356">
        <f>G55+'28'!H55</f>
        <v>-2874.9899999999907</v>
      </c>
      <c r="I55" s="357"/>
      <c r="J55" s="358">
        <f>H55/DAY(B2)</f>
        <v>-99.137586206896231</v>
      </c>
      <c r="K55" s="81"/>
      <c r="L55" s="68"/>
    </row>
    <row r="56" spans="1:15">
      <c r="A56" s="229" t="s">
        <v>181</v>
      </c>
      <c r="B56" s="252"/>
      <c r="C56" s="252"/>
      <c r="D56" s="174" t="s">
        <v>182</v>
      </c>
      <c r="E56" s="393">
        <f>'28'!F56</f>
        <v>656229</v>
      </c>
      <c r="F56" s="393">
        <v>660417</v>
      </c>
      <c r="G56" s="124">
        <f t="shared" si="4"/>
        <v>4188</v>
      </c>
      <c r="H56" s="111">
        <f>G56+'28'!H56</f>
        <v>-614</v>
      </c>
      <c r="I56" s="106"/>
      <c r="J56" s="203">
        <f>H56/DAY(B2)</f>
        <v>-21.172413793103448</v>
      </c>
      <c r="K56" s="80"/>
      <c r="L56" s="68"/>
    </row>
    <row r="57" spans="1:15">
      <c r="A57" s="229" t="s">
        <v>171</v>
      </c>
      <c r="B57" s="252"/>
      <c r="C57" s="252"/>
      <c r="D57" s="174" t="s">
        <v>131</v>
      </c>
      <c r="E57" s="393">
        <f>'28'!F57</f>
        <v>7711.33</v>
      </c>
      <c r="F57" s="392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>
      <c r="A58" s="229" t="s">
        <v>183</v>
      </c>
      <c r="B58" s="252"/>
      <c r="C58" s="252"/>
      <c r="D58" s="174" t="s">
        <v>131</v>
      </c>
      <c r="E58" s="393">
        <f>'28'!F58</f>
        <v>65376</v>
      </c>
      <c r="F58" s="393">
        <v>65599</v>
      </c>
      <c r="G58" s="124">
        <f t="shared" si="4"/>
        <v>223</v>
      </c>
      <c r="H58" s="111">
        <f>G58+'28'!H58</f>
        <v>-584</v>
      </c>
      <c r="I58" s="106"/>
      <c r="J58" s="203">
        <f>H58/DAY(B2)</f>
        <v>-20.137931034482758</v>
      </c>
      <c r="K58" s="81"/>
      <c r="L58" s="68"/>
    </row>
    <row r="59" spans="1:1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8830.5399999999954</v>
      </c>
      <c r="H59" s="111">
        <f>G59+'28'!H59</f>
        <v>1520248.9499999995</v>
      </c>
      <c r="I59" s="106">
        <f>G7-G60</f>
        <v>-284.83999999999651</v>
      </c>
      <c r="J59" s="203">
        <f>H59/DAY(B2)</f>
        <v>52422.37758620688</v>
      </c>
      <c r="K59" s="81"/>
      <c r="L59" s="68"/>
      <c r="O59" s="420">
        <f>159+122+341+154</f>
        <v>776</v>
      </c>
    </row>
    <row r="60" spans="1:15">
      <c r="A60" s="229"/>
      <c r="B60" s="230"/>
      <c r="C60" s="230"/>
      <c r="D60" s="162" t="s">
        <v>184</v>
      </c>
      <c r="E60" s="121"/>
      <c r="F60" s="121"/>
      <c r="G60" s="132">
        <f>G47+G59</f>
        <v>21794.839999999997</v>
      </c>
      <c r="H60" s="111">
        <f>G60+'28'!H60</f>
        <v>2799800.5600000005</v>
      </c>
      <c r="I60" s="106">
        <f>G13-G60</f>
        <v>-672.83999999999651</v>
      </c>
      <c r="J60" s="203">
        <f>H60/DAY(B2)</f>
        <v>96544.846896551739</v>
      </c>
      <c r="K60" s="81"/>
      <c r="L60" s="68"/>
    </row>
    <row r="61" spans="1:1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</row>
    <row r="62" spans="1:15">
      <c r="A62" s="254" t="s">
        <v>97</v>
      </c>
      <c r="B62" s="255"/>
      <c r="C62" s="255"/>
      <c r="D62" s="162" t="s">
        <v>186</v>
      </c>
      <c r="E62" s="165">
        <f>'28'!F62</f>
        <v>20419</v>
      </c>
      <c r="F62" s="165">
        <v>20419</v>
      </c>
      <c r="G62" s="124">
        <f t="shared" ref="G62:G69" si="5">F62-E62</f>
        <v>0</v>
      </c>
      <c r="H62" s="111">
        <f>G62+'28'!H62</f>
        <v>1.9999999967694748E-3</v>
      </c>
      <c r="I62" s="166"/>
      <c r="J62" s="203">
        <f>H62/DAY(B2)</f>
        <v>6.896551712998189E-5</v>
      </c>
      <c r="K62" s="81"/>
      <c r="L62" s="68"/>
    </row>
    <row r="63" spans="1:15">
      <c r="A63" s="254" t="s">
        <v>187</v>
      </c>
      <c r="B63" s="255"/>
      <c r="C63" s="255"/>
      <c r="D63" s="162" t="s">
        <v>186</v>
      </c>
      <c r="E63" s="165">
        <f>'28'!F63</f>
        <v>0</v>
      </c>
      <c r="F63" s="165">
        <v>0</v>
      </c>
      <c r="G63" s="124">
        <f t="shared" si="5"/>
        <v>0</v>
      </c>
      <c r="H63" s="111">
        <f>G63+'28'!H63</f>
        <v>0</v>
      </c>
      <c r="I63" s="166"/>
      <c r="J63" s="203">
        <f>H63/DAY(B2)</f>
        <v>0</v>
      </c>
      <c r="K63" s="81"/>
      <c r="L63" s="68"/>
    </row>
    <row r="64" spans="1:15" ht="27.75">
      <c r="A64" s="1226" t="s">
        <v>98</v>
      </c>
      <c r="B64" s="1227"/>
      <c r="C64" s="1228"/>
      <c r="D64" s="174" t="s">
        <v>186</v>
      </c>
      <c r="E64" s="165">
        <f>'28'!F64</f>
        <v>192951</v>
      </c>
      <c r="F64" s="388">
        <v>193343</v>
      </c>
      <c r="G64" s="124">
        <f t="shared" si="5"/>
        <v>392</v>
      </c>
      <c r="H64" s="111">
        <f>G64+'28'!H64</f>
        <v>-874</v>
      </c>
      <c r="I64" s="131"/>
      <c r="J64" s="203">
        <f>H64/DAY(B2)</f>
        <v>-30.137931034482758</v>
      </c>
      <c r="K64" s="81"/>
      <c r="L64" s="68"/>
    </row>
    <row r="65" spans="1:12" ht="27.75">
      <c r="A65" s="1226" t="s">
        <v>99</v>
      </c>
      <c r="B65" s="1227"/>
      <c r="C65" s="1228"/>
      <c r="D65" s="174" t="s">
        <v>186</v>
      </c>
      <c r="E65" s="165">
        <f>'28'!F65</f>
        <v>193430</v>
      </c>
      <c r="F65" s="395">
        <v>193835</v>
      </c>
      <c r="G65" s="124">
        <f t="shared" si="5"/>
        <v>405</v>
      </c>
      <c r="H65" s="111">
        <f>G65+'28'!H65</f>
        <v>-794</v>
      </c>
      <c r="I65" s="140"/>
      <c r="J65" s="203">
        <f>H65/DAY(B2)</f>
        <v>-27.379310344827587</v>
      </c>
      <c r="K65" s="81"/>
      <c r="L65" s="68"/>
    </row>
    <row r="66" spans="1:12" ht="27.75">
      <c r="A66" s="1226" t="s">
        <v>100</v>
      </c>
      <c r="B66" s="1227"/>
      <c r="C66" s="1228"/>
      <c r="D66" s="174" t="s">
        <v>186</v>
      </c>
      <c r="E66" s="165">
        <f>'28'!F66</f>
        <v>92047</v>
      </c>
      <c r="F66" s="388">
        <v>92506</v>
      </c>
      <c r="G66" s="124">
        <f t="shared" si="5"/>
        <v>459</v>
      </c>
      <c r="H66" s="111">
        <f>G66+'28'!H66</f>
        <v>-811</v>
      </c>
      <c r="I66" s="131"/>
      <c r="J66" s="203">
        <f>H66/DAY(B2)</f>
        <v>-27.96551724137931</v>
      </c>
      <c r="K66" s="81"/>
      <c r="L66" s="68"/>
    </row>
    <row r="67" spans="1:12" ht="27.75">
      <c r="A67" s="1226" t="s">
        <v>101</v>
      </c>
      <c r="B67" s="1227"/>
      <c r="C67" s="1228"/>
      <c r="D67" s="174" t="s">
        <v>186</v>
      </c>
      <c r="E67" s="165">
        <f>'28'!F67</f>
        <v>293331</v>
      </c>
      <c r="F67" s="388">
        <v>293890</v>
      </c>
      <c r="G67" s="124">
        <f t="shared" si="5"/>
        <v>559</v>
      </c>
      <c r="H67" s="111">
        <f>G67+'28'!H67</f>
        <v>-1001</v>
      </c>
      <c r="I67" s="140"/>
      <c r="J67" s="203">
        <f>H67/DAY(B2)</f>
        <v>-34.517241379310342</v>
      </c>
      <c r="K67" s="82"/>
      <c r="L67" s="68"/>
    </row>
    <row r="68" spans="1:12" ht="27.75">
      <c r="A68" s="1226" t="s">
        <v>102</v>
      </c>
      <c r="B68" s="1227"/>
      <c r="C68" s="1228"/>
      <c r="D68" s="174" t="s">
        <v>186</v>
      </c>
      <c r="E68" s="165">
        <f>'28'!F68</f>
        <v>85321</v>
      </c>
      <c r="F68" s="388">
        <v>85321</v>
      </c>
      <c r="G68" s="124">
        <f t="shared" si="5"/>
        <v>0</v>
      </c>
      <c r="H68" s="111">
        <f>G68+'28'!H68</f>
        <v>0</v>
      </c>
      <c r="I68" s="167"/>
      <c r="J68" s="203">
        <f>H68/DAY(B2)</f>
        <v>0</v>
      </c>
      <c r="K68" s="83"/>
      <c r="L68" s="68"/>
    </row>
    <row r="69" spans="1:12" ht="27.75">
      <c r="A69" s="1226" t="s">
        <v>103</v>
      </c>
      <c r="B69" s="1227"/>
      <c r="C69" s="1228"/>
      <c r="D69" s="174" t="s">
        <v>186</v>
      </c>
      <c r="E69" s="165">
        <f>'28'!F69</f>
        <v>105414</v>
      </c>
      <c r="F69" s="388">
        <v>105739</v>
      </c>
      <c r="G69" s="124">
        <f t="shared" si="5"/>
        <v>325</v>
      </c>
      <c r="H69" s="111">
        <f>G69+'28'!H69</f>
        <v>-667</v>
      </c>
      <c r="I69" s="167"/>
      <c r="J69" s="203">
        <f>H69/DAY(B2)</f>
        <v>-23</v>
      </c>
      <c r="K69" s="84"/>
      <c r="L69" s="68"/>
    </row>
    <row r="70" spans="1:12" ht="27.75">
      <c r="A70" s="1267" t="s">
        <v>188</v>
      </c>
      <c r="B70" s="1268"/>
      <c r="C70" s="1269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</row>
    <row r="71" spans="1:12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</row>
    <row r="72" spans="1:12" ht="27.75">
      <c r="A72" s="1226" t="s">
        <v>190</v>
      </c>
      <c r="B72" s="1227"/>
      <c r="C72" s="1228"/>
      <c r="D72" s="174" t="s">
        <v>186</v>
      </c>
      <c r="E72" s="413">
        <f>'28'!F72</f>
        <v>856982</v>
      </c>
      <c r="F72" s="397">
        <v>856990</v>
      </c>
      <c r="G72" s="124">
        <f t="shared" ref="G72:G84" si="6">F72-E72</f>
        <v>8</v>
      </c>
      <c r="H72" s="111">
        <f>G72+'28'!H72</f>
        <v>283</v>
      </c>
      <c r="I72" s="131"/>
      <c r="J72" s="203">
        <f>H72/DAY(B2)</f>
        <v>9.7586206896551726</v>
      </c>
      <c r="K72" s="84"/>
      <c r="L72" s="68"/>
    </row>
    <row r="73" spans="1:12" ht="27.75">
      <c r="A73" s="1226" t="s">
        <v>191</v>
      </c>
      <c r="B73" s="1227"/>
      <c r="C73" s="1228"/>
      <c r="D73" s="174" t="s">
        <v>186</v>
      </c>
      <c r="E73" s="413">
        <f>'28'!F73</f>
        <v>886046</v>
      </c>
      <c r="F73" s="398">
        <v>886048</v>
      </c>
      <c r="G73" s="303">
        <f>F73-E73</f>
        <v>2</v>
      </c>
      <c r="H73" s="111">
        <f>G73+'28'!H73</f>
        <v>-3</v>
      </c>
      <c r="I73" s="131"/>
      <c r="J73" s="203">
        <f>H73/DAY(B2)</f>
        <v>-0.10344827586206896</v>
      </c>
      <c r="K73" s="83"/>
      <c r="L73" s="68"/>
    </row>
    <row r="74" spans="1:12" ht="27.75">
      <c r="A74" s="1226" t="s">
        <v>192</v>
      </c>
      <c r="B74" s="1227"/>
      <c r="C74" s="1228"/>
      <c r="D74" s="174" t="s">
        <v>186</v>
      </c>
      <c r="E74" s="413">
        <f>'28'!F74</f>
        <v>88775</v>
      </c>
      <c r="F74" s="398">
        <v>88775</v>
      </c>
      <c r="G74" s="124">
        <f t="shared" si="6"/>
        <v>0</v>
      </c>
      <c r="H74" s="111">
        <f>G74+'28'!H74</f>
        <v>85</v>
      </c>
      <c r="I74" s="131"/>
      <c r="J74" s="203">
        <f>H74/DAY(B2)</f>
        <v>2.9310344827586206</v>
      </c>
      <c r="K74" s="84"/>
      <c r="L74" s="68"/>
    </row>
    <row r="75" spans="1:12" ht="27.75">
      <c r="A75" s="1229" t="s">
        <v>193</v>
      </c>
      <c r="B75" s="1230"/>
      <c r="C75" s="1231"/>
      <c r="D75" s="174" t="s">
        <v>186</v>
      </c>
      <c r="E75" s="413">
        <f>'28'!F75</f>
        <v>25768</v>
      </c>
      <c r="F75" s="398">
        <v>25966</v>
      </c>
      <c r="G75" s="124">
        <f t="shared" si="6"/>
        <v>198</v>
      </c>
      <c r="H75" s="111">
        <f>G75+'28'!H75</f>
        <v>-342</v>
      </c>
      <c r="I75" s="131"/>
      <c r="J75" s="203">
        <f>H75/DAY(B2)</f>
        <v>-11.793103448275861</v>
      </c>
      <c r="K75" s="83"/>
      <c r="L75" s="68"/>
    </row>
    <row r="76" spans="1:12" ht="27.75">
      <c r="A76" s="1229" t="s">
        <v>194</v>
      </c>
      <c r="B76" s="1230"/>
      <c r="C76" s="1231"/>
      <c r="D76" s="174" t="s">
        <v>186</v>
      </c>
      <c r="E76" s="413">
        <f>'28'!F76</f>
        <v>12995</v>
      </c>
      <c r="F76" s="398">
        <v>13135</v>
      </c>
      <c r="G76" s="124">
        <f t="shared" si="6"/>
        <v>140</v>
      </c>
      <c r="H76" s="111">
        <f>G76+'28'!H76</f>
        <v>-142</v>
      </c>
      <c r="I76" s="156"/>
      <c r="J76" s="203">
        <f>H76/DAY(B2)</f>
        <v>-4.8965517241379306</v>
      </c>
      <c r="K76" s="83"/>
      <c r="L76" s="68"/>
    </row>
    <row r="77" spans="1:12" ht="27.75">
      <c r="A77" s="1226" t="s">
        <v>195</v>
      </c>
      <c r="B77" s="1227"/>
      <c r="C77" s="1228"/>
      <c r="D77" s="174" t="s">
        <v>186</v>
      </c>
      <c r="E77" s="413">
        <f>'28'!F77</f>
        <v>708145</v>
      </c>
      <c r="F77" s="398">
        <v>708194</v>
      </c>
      <c r="G77" s="303">
        <f t="shared" si="6"/>
        <v>49</v>
      </c>
      <c r="H77" s="111">
        <f>G77+'28'!H77</f>
        <v>-95</v>
      </c>
      <c r="I77" s="156"/>
      <c r="J77" s="203">
        <f>H77/DAY(B2)</f>
        <v>-3.2758620689655173</v>
      </c>
      <c r="K77" s="83"/>
      <c r="L77" s="68"/>
    </row>
    <row r="78" spans="1:12" ht="27.75">
      <c r="A78" s="762" t="s">
        <v>196</v>
      </c>
      <c r="B78" s="754"/>
      <c r="C78" s="754"/>
      <c r="D78" s="174" t="s">
        <v>186</v>
      </c>
      <c r="E78" s="413">
        <f>'28'!F78</f>
        <v>681939</v>
      </c>
      <c r="F78" s="398">
        <v>682106</v>
      </c>
      <c r="G78" s="303">
        <f t="shared" si="6"/>
        <v>167</v>
      </c>
      <c r="H78" s="111">
        <f>G78+'28'!H78</f>
        <v>-307</v>
      </c>
      <c r="I78" s="156"/>
      <c r="J78" s="203">
        <f>H78/DAY(B2)</f>
        <v>-10.586206896551724</v>
      </c>
      <c r="K78" s="83"/>
      <c r="L78" s="68"/>
    </row>
    <row r="79" spans="1:12" ht="27.75">
      <c r="A79" s="1229" t="s">
        <v>91</v>
      </c>
      <c r="B79" s="1230"/>
      <c r="C79" s="1231"/>
      <c r="D79" s="175" t="s">
        <v>186</v>
      </c>
      <c r="E79" s="413">
        <f>'28'!F79</f>
        <v>844634</v>
      </c>
      <c r="F79" s="399">
        <v>844768</v>
      </c>
      <c r="G79" s="124">
        <f t="shared" si="6"/>
        <v>134</v>
      </c>
      <c r="H79" s="111">
        <f>G79+'28'!H79</f>
        <v>-281</v>
      </c>
      <c r="I79" s="156"/>
      <c r="J79" s="203">
        <f>H79/DAY(B2)</f>
        <v>-9.6896551724137936</v>
      </c>
      <c r="K79" s="83"/>
      <c r="L79" s="68"/>
    </row>
    <row r="80" spans="1:12" ht="27.75">
      <c r="A80" s="1229" t="s">
        <v>197</v>
      </c>
      <c r="B80" s="1230"/>
      <c r="C80" s="1231"/>
      <c r="D80" s="175" t="s">
        <v>186</v>
      </c>
      <c r="E80" s="413">
        <f>'28'!F80</f>
        <v>563158</v>
      </c>
      <c r="F80" s="398">
        <v>563818</v>
      </c>
      <c r="G80" s="124">
        <f t="shared" si="6"/>
        <v>660</v>
      </c>
      <c r="H80" s="111">
        <f>G80+'28'!H80</f>
        <v>-480</v>
      </c>
      <c r="I80" s="156"/>
      <c r="J80" s="203">
        <f>H80/DAY(B2)</f>
        <v>-16.551724137931036</v>
      </c>
      <c r="K80" s="83"/>
      <c r="L80" s="68"/>
    </row>
    <row r="81" spans="1:15" ht="27.75">
      <c r="A81" s="1229" t="s">
        <v>198</v>
      </c>
      <c r="B81" s="1230"/>
      <c r="C81" s="1231"/>
      <c r="D81" s="175" t="s">
        <v>186</v>
      </c>
      <c r="E81" s="413">
        <f>'28'!F81</f>
        <v>653735</v>
      </c>
      <c r="F81" s="398">
        <v>653883</v>
      </c>
      <c r="G81" s="124">
        <f t="shared" si="6"/>
        <v>148</v>
      </c>
      <c r="H81" s="111">
        <f>G81+'28'!H81</f>
        <v>-295</v>
      </c>
      <c r="I81" s="156"/>
      <c r="J81" s="203">
        <f>H81/DAY(B2)</f>
        <v>-10.172413793103448</v>
      </c>
      <c r="K81" s="83"/>
      <c r="L81" s="68"/>
    </row>
    <row r="82" spans="1:15" ht="27.75">
      <c r="A82" s="1229" t="s">
        <v>92</v>
      </c>
      <c r="B82" s="1230"/>
      <c r="C82" s="1231"/>
      <c r="D82" s="136" t="s">
        <v>131</v>
      </c>
      <c r="E82" s="413">
        <f>'28'!F82</f>
        <v>109877</v>
      </c>
      <c r="F82" s="395">
        <v>109888</v>
      </c>
      <c r="G82" s="124">
        <f t="shared" si="6"/>
        <v>11</v>
      </c>
      <c r="H82" s="111">
        <f>G82+'28'!H82</f>
        <v>110111</v>
      </c>
      <c r="I82" s="137"/>
      <c r="J82" s="203">
        <f>H82/DAY(B2)</f>
        <v>3796.9310344827586</v>
      </c>
      <c r="K82" s="83"/>
      <c r="L82" s="68"/>
    </row>
    <row r="83" spans="1:15" ht="27.75">
      <c r="A83" s="1229" t="s">
        <v>199</v>
      </c>
      <c r="B83" s="1230"/>
      <c r="C83" s="1231"/>
      <c r="D83" s="271" t="s">
        <v>131</v>
      </c>
      <c r="E83" s="413">
        <f>'28'!F83</f>
        <v>43479</v>
      </c>
      <c r="F83" s="121">
        <v>43741</v>
      </c>
      <c r="G83" s="124">
        <f t="shared" si="6"/>
        <v>262</v>
      </c>
      <c r="H83" s="111">
        <f>G83+'28'!H83</f>
        <v>-582</v>
      </c>
      <c r="I83" s="132"/>
      <c r="J83" s="203">
        <f>H83/DAY(B2)</f>
        <v>-20.068965517241381</v>
      </c>
      <c r="K83" s="82"/>
      <c r="L83" s="68"/>
    </row>
    <row r="84" spans="1:15">
      <c r="A84" s="763" t="s">
        <v>200</v>
      </c>
      <c r="B84" s="222"/>
      <c r="C84" s="222"/>
      <c r="D84" s="129" t="s">
        <v>131</v>
      </c>
      <c r="E84" s="413">
        <f>'28'!F84</f>
        <v>568235</v>
      </c>
      <c r="F84" s="356">
        <v>568965</v>
      </c>
      <c r="G84" s="124">
        <f t="shared" si="6"/>
        <v>730</v>
      </c>
      <c r="H84" s="111">
        <f>G84+'28'!H84</f>
        <v>-1414</v>
      </c>
      <c r="I84" s="132"/>
      <c r="J84" s="203">
        <f>H84/DAY(B2)</f>
        <v>-48.758620689655174</v>
      </c>
      <c r="K84" s="71"/>
      <c r="L84" s="68"/>
    </row>
    <row r="85" spans="1:15" s="70" customFormat="1">
      <c r="A85" s="256" t="s">
        <v>201</v>
      </c>
      <c r="B85" s="223"/>
      <c r="C85" s="223"/>
      <c r="D85" s="140"/>
      <c r="E85" s="356">
        <f>'28'!F85</f>
        <v>0</v>
      </c>
      <c r="F85" s="111"/>
      <c r="G85" s="111">
        <f xml:space="preserve"> SUM(G72:G84)</f>
        <v>2509</v>
      </c>
      <c r="H85" s="111">
        <f>G85+'28'!H85</f>
        <v>106223.00000000001</v>
      </c>
      <c r="I85" s="132"/>
      <c r="J85" s="203">
        <f>H85/DAY(B2)</f>
        <v>3662.8620689655177</v>
      </c>
      <c r="K85" s="71"/>
      <c r="L85" s="69"/>
      <c r="N85" s="420"/>
      <c r="O85" s="420"/>
    </row>
    <row r="86" spans="1:15" s="386" customFormat="1">
      <c r="A86" s="381" t="s">
        <v>93</v>
      </c>
      <c r="B86" s="382"/>
      <c r="C86" s="382"/>
      <c r="D86" s="383" t="s">
        <v>182</v>
      </c>
      <c r="E86" s="356">
        <f>'28'!F86</f>
        <v>463280</v>
      </c>
      <c r="F86" s="400">
        <v>463287</v>
      </c>
      <c r="G86" s="356">
        <f t="shared" ref="G86:G91" si="7">F86-E86</f>
        <v>7</v>
      </c>
      <c r="H86" s="356">
        <f t="shared" ref="H86:H88" si="8">G86</f>
        <v>7</v>
      </c>
      <c r="I86" s="303"/>
      <c r="J86" s="358">
        <f>H86/DAY(B2)</f>
        <v>0.2413793103448276</v>
      </c>
      <c r="K86" s="384"/>
      <c r="L86" s="385"/>
      <c r="N86" s="421"/>
      <c r="O86" s="421"/>
    </row>
    <row r="87" spans="1:15" s="386" customFormat="1">
      <c r="A87" s="381" t="s">
        <v>94</v>
      </c>
      <c r="B87" s="382"/>
      <c r="C87" s="382"/>
      <c r="D87" s="383" t="s">
        <v>182</v>
      </c>
      <c r="E87" s="356">
        <f>'28'!F87</f>
        <v>83807</v>
      </c>
      <c r="F87" s="400">
        <v>83825</v>
      </c>
      <c r="G87" s="356">
        <f t="shared" si="7"/>
        <v>18</v>
      </c>
      <c r="H87" s="356">
        <f t="shared" si="8"/>
        <v>18</v>
      </c>
      <c r="I87" s="303"/>
      <c r="J87" s="358">
        <f>H87/DAY(B2)</f>
        <v>0.62068965517241381</v>
      </c>
      <c r="K87" s="384"/>
      <c r="L87" s="385"/>
      <c r="N87" s="421"/>
      <c r="O87" s="421"/>
    </row>
    <row r="88" spans="1:15" s="386" customFormat="1">
      <c r="A88" s="381" t="s">
        <v>95</v>
      </c>
      <c r="B88" s="382"/>
      <c r="C88" s="382"/>
      <c r="D88" s="383" t="s">
        <v>182</v>
      </c>
      <c r="E88" s="356">
        <f>'28'!F88</f>
        <v>158212</v>
      </c>
      <c r="F88" s="400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N88" s="421">
        <f>122+359</f>
        <v>481</v>
      </c>
      <c r="O88" s="421"/>
    </row>
    <row r="89" spans="1:15" s="386" customFormat="1">
      <c r="A89" s="381" t="s">
        <v>203</v>
      </c>
      <c r="B89" s="382"/>
      <c r="C89" s="382"/>
      <c r="D89" s="383" t="s">
        <v>182</v>
      </c>
      <c r="E89" s="356">
        <f>'28'!F89</f>
        <v>68868</v>
      </c>
      <c r="F89" s="298">
        <v>68912</v>
      </c>
      <c r="G89" s="356">
        <f t="shared" si="7"/>
        <v>44</v>
      </c>
      <c r="H89" s="356">
        <f>G89</f>
        <v>44</v>
      </c>
      <c r="I89" s="303"/>
      <c r="J89" s="358">
        <f>H89/DAY(B2)</f>
        <v>1.5172413793103448</v>
      </c>
      <c r="K89" s="384"/>
      <c r="L89" s="385"/>
    </row>
    <row r="90" spans="1:15" s="386" customFormat="1">
      <c r="A90" s="381" t="s">
        <v>203</v>
      </c>
      <c r="B90" s="382"/>
      <c r="C90" s="382"/>
      <c r="D90" s="383" t="s">
        <v>182</v>
      </c>
      <c r="E90" s="356">
        <f>'28'!F90</f>
        <v>3600</v>
      </c>
      <c r="F90" s="298">
        <v>3600</v>
      </c>
      <c r="G90" s="356">
        <f t="shared" si="7"/>
        <v>0</v>
      </c>
      <c r="H90" s="356">
        <f>G90</f>
        <v>0</v>
      </c>
      <c r="I90" s="303"/>
      <c r="J90" s="358">
        <f>H90/DAY(B2)</f>
        <v>0</v>
      </c>
      <c r="K90" s="384"/>
      <c r="L90" s="385"/>
    </row>
    <row r="91" spans="1:15" s="386" customFormat="1">
      <c r="A91" s="381" t="s">
        <v>335</v>
      </c>
      <c r="B91" s="382"/>
      <c r="C91" s="382"/>
      <c r="D91" s="383"/>
      <c r="E91" s="356">
        <f>'28'!F91</f>
        <v>28726</v>
      </c>
      <c r="F91" s="298">
        <v>28728</v>
      </c>
      <c r="G91" s="356">
        <f t="shared" si="7"/>
        <v>2</v>
      </c>
      <c r="H91" s="356">
        <f>G91</f>
        <v>2</v>
      </c>
      <c r="I91" s="303"/>
      <c r="J91" s="358">
        <f>H91/DAY(B2)</f>
        <v>6.8965517241379309E-2</v>
      </c>
      <c r="K91" s="384"/>
      <c r="L91" s="385"/>
      <c r="N91" s="428"/>
      <c r="O91" s="73"/>
    </row>
    <row r="92" spans="1:15" s="70" customFormat="1">
      <c r="A92" s="257" t="s">
        <v>204</v>
      </c>
      <c r="B92" s="765"/>
      <c r="C92" s="765"/>
      <c r="D92" s="123"/>
      <c r="E92" s="389"/>
      <c r="F92" s="389"/>
      <c r="G92" s="139"/>
      <c r="H92" s="123"/>
      <c r="I92" s="123"/>
      <c r="J92" s="202"/>
      <c r="K92" s="71"/>
      <c r="L92" s="69"/>
      <c r="N92" s="420"/>
      <c r="O92" s="420"/>
    </row>
    <row r="93" spans="1:15" ht="27.75">
      <c r="A93" s="1245" t="s">
        <v>205</v>
      </c>
      <c r="B93" s="1246"/>
      <c r="C93" s="1247"/>
      <c r="D93" s="174" t="s">
        <v>143</v>
      </c>
      <c r="E93" s="409">
        <f>'28'!F93</f>
        <v>253171</v>
      </c>
      <c r="F93" s="388">
        <v>253283</v>
      </c>
      <c r="G93" s="124">
        <f>F93-E93</f>
        <v>112</v>
      </c>
      <c r="H93" s="111">
        <f>G93+'28'!H93</f>
        <v>-169</v>
      </c>
      <c r="I93" s="131"/>
      <c r="J93" s="203">
        <f>H93/DAY(B2)</f>
        <v>-5.8275862068965516</v>
      </c>
      <c r="K93" s="82"/>
      <c r="L93" s="68"/>
    </row>
    <row r="94" spans="1:15" ht="27.75">
      <c r="A94" s="1245" t="s">
        <v>206</v>
      </c>
      <c r="B94" s="1246"/>
      <c r="C94" s="1247"/>
      <c r="D94" s="174" t="s">
        <v>143</v>
      </c>
      <c r="E94" s="409">
        <f>'28'!F94</f>
        <v>197106</v>
      </c>
      <c r="F94" s="388">
        <v>197317</v>
      </c>
      <c r="G94" s="124">
        <f>F94-E94</f>
        <v>211</v>
      </c>
      <c r="H94" s="111">
        <f>G94+'28'!H94</f>
        <v>-342</v>
      </c>
      <c r="I94" s="131"/>
      <c r="J94" s="203">
        <f>H94/DAY(B2)</f>
        <v>-11.793103448275861</v>
      </c>
      <c r="K94" s="71"/>
      <c r="L94" s="68"/>
    </row>
    <row r="95" spans="1:15">
      <c r="A95" s="1277" t="s">
        <v>207</v>
      </c>
      <c r="B95" s="1278"/>
      <c r="C95" s="1279"/>
      <c r="D95" s="174"/>
      <c r="E95" s="409"/>
      <c r="F95" s="388"/>
      <c r="G95" s="124">
        <f>G93+G94</f>
        <v>323</v>
      </c>
      <c r="H95" s="111">
        <f>G95+'28'!H95</f>
        <v>-736</v>
      </c>
      <c r="I95" s="131"/>
      <c r="J95" s="203">
        <f>H95/DAY(B2)</f>
        <v>-25.379310344827587</v>
      </c>
      <c r="K95" s="71"/>
      <c r="L95" s="68"/>
    </row>
    <row r="96" spans="1:15" ht="27.75">
      <c r="A96" s="1245" t="s">
        <v>208</v>
      </c>
      <c r="B96" s="1246"/>
      <c r="C96" s="1247"/>
      <c r="D96" s="174" t="s">
        <v>143</v>
      </c>
      <c r="E96" s="409">
        <f>'28'!F96</f>
        <v>420798</v>
      </c>
      <c r="F96" s="388">
        <v>420877</v>
      </c>
      <c r="G96" s="124">
        <f t="shared" ref="G96:G101" si="9">F96-E96</f>
        <v>79</v>
      </c>
      <c r="H96" s="111">
        <f>G96+'28'!H96</f>
        <v>-142</v>
      </c>
      <c r="I96" s="131"/>
      <c r="J96" s="203">
        <f>H96/DAY(B2)</f>
        <v>-4.8965517241379306</v>
      </c>
      <c r="K96" s="71"/>
      <c r="L96" s="68"/>
    </row>
    <row r="97" spans="1:15" ht="27.75">
      <c r="A97" s="759" t="s">
        <v>209</v>
      </c>
      <c r="B97" s="760"/>
      <c r="C97" s="760"/>
      <c r="D97" s="174" t="s">
        <v>143</v>
      </c>
      <c r="E97" s="409">
        <f>'28'!F97</f>
        <v>104560</v>
      </c>
      <c r="F97" s="388">
        <v>104593</v>
      </c>
      <c r="G97" s="124">
        <f t="shared" si="9"/>
        <v>33</v>
      </c>
      <c r="H97" s="111">
        <f>G97+'28'!H97</f>
        <v>-43</v>
      </c>
      <c r="I97" s="131"/>
      <c r="J97" s="203">
        <f>H97/DAY(B2)</f>
        <v>-1.4827586206896552</v>
      </c>
      <c r="K97" s="80"/>
      <c r="L97" s="68"/>
    </row>
    <row r="98" spans="1:15" ht="27.75">
      <c r="A98" s="759" t="s">
        <v>210</v>
      </c>
      <c r="B98" s="760"/>
      <c r="C98" s="760"/>
      <c r="D98" s="174" t="s">
        <v>143</v>
      </c>
      <c r="E98" s="409">
        <f>'28'!F98</f>
        <v>100278</v>
      </c>
      <c r="F98" s="388">
        <v>100317</v>
      </c>
      <c r="G98" s="124">
        <f t="shared" si="9"/>
        <v>39</v>
      </c>
      <c r="H98" s="111">
        <f>G98+'28'!H98</f>
        <v>-53</v>
      </c>
      <c r="I98" s="131"/>
      <c r="J98" s="203">
        <f>H98/DAY(B2)</f>
        <v>-1.8275862068965518</v>
      </c>
      <c r="K98" s="85"/>
      <c r="L98" s="68"/>
    </row>
    <row r="99" spans="1:15" ht="27.75">
      <c r="A99" s="759" t="s">
        <v>211</v>
      </c>
      <c r="B99" s="760"/>
      <c r="C99" s="760"/>
      <c r="D99" s="174" t="s">
        <v>143</v>
      </c>
      <c r="E99" s="409">
        <f>'28'!F99</f>
        <v>152084</v>
      </c>
      <c r="F99" s="388">
        <v>152094</v>
      </c>
      <c r="G99" s="124">
        <f t="shared" si="9"/>
        <v>10</v>
      </c>
      <c r="H99" s="111">
        <f>G99+'28'!H99</f>
        <v>-41</v>
      </c>
      <c r="I99" s="131"/>
      <c r="J99" s="203">
        <f>H99/DAY(B2)</f>
        <v>-1.4137931034482758</v>
      </c>
      <c r="K99" s="71"/>
      <c r="L99" s="68"/>
    </row>
    <row r="100" spans="1:15" ht="27.75">
      <c r="A100" s="759" t="s">
        <v>212</v>
      </c>
      <c r="B100" s="760"/>
      <c r="C100" s="760"/>
      <c r="D100" s="174" t="s">
        <v>143</v>
      </c>
      <c r="E100" s="409">
        <f>'28'!F100</f>
        <v>8614</v>
      </c>
      <c r="F100" s="388">
        <v>8624</v>
      </c>
      <c r="G100" s="124">
        <f t="shared" si="9"/>
        <v>10</v>
      </c>
      <c r="H100" s="111">
        <f>G100+'28'!H100</f>
        <v>-21</v>
      </c>
      <c r="I100" s="131"/>
      <c r="J100" s="203">
        <f>H100/DAY(B2)</f>
        <v>-0.72413793103448276</v>
      </c>
      <c r="K100" s="71"/>
      <c r="L100" s="68"/>
    </row>
    <row r="101" spans="1:15" ht="27.75">
      <c r="A101" s="759" t="s">
        <v>213</v>
      </c>
      <c r="B101" s="760"/>
      <c r="C101" s="760"/>
      <c r="D101" s="174" t="s">
        <v>143</v>
      </c>
      <c r="E101" s="409">
        <f>'28'!F101</f>
        <v>6340</v>
      </c>
      <c r="F101" s="388">
        <v>6356</v>
      </c>
      <c r="G101" s="124">
        <f t="shared" si="9"/>
        <v>16</v>
      </c>
      <c r="H101" s="111">
        <f>G101+'28'!H101</f>
        <v>-17</v>
      </c>
      <c r="I101" s="131"/>
      <c r="J101" s="203">
        <f>H101/DAY(B2)</f>
        <v>-0.58620689655172409</v>
      </c>
      <c r="K101" s="71"/>
      <c r="L101" s="68"/>
    </row>
    <row r="102" spans="1:15">
      <c r="A102" s="1277" t="s">
        <v>215</v>
      </c>
      <c r="B102" s="1278"/>
      <c r="C102" s="1279"/>
      <c r="D102" s="175"/>
      <c r="E102" s="137"/>
      <c r="F102" s="137"/>
      <c r="G102" s="176">
        <f>SUM(G96:G101)</f>
        <v>187</v>
      </c>
      <c r="H102" s="111">
        <f>G102+'28'!H102</f>
        <v>-317</v>
      </c>
      <c r="I102" s="177"/>
      <c r="J102" s="203">
        <f>H102/DAY(B2)</f>
        <v>-10.931034482758621</v>
      </c>
      <c r="K102" s="71"/>
      <c r="L102" s="68"/>
    </row>
    <row r="103" spans="1:15" s="93" customFormat="1" ht="27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420"/>
      <c r="O103" s="420"/>
    </row>
    <row r="104" spans="1:15" s="93" customFormat="1" ht="27">
      <c r="A104" s="1280" t="s">
        <v>217</v>
      </c>
      <c r="B104" s="1281"/>
      <c r="C104" s="224"/>
      <c r="D104" s="273"/>
      <c r="E104" s="184"/>
      <c r="F104" s="402"/>
      <c r="G104" s="183"/>
      <c r="H104" s="184"/>
      <c r="I104" s="183"/>
      <c r="J104" s="209"/>
      <c r="N104" s="420"/>
      <c r="O104" s="420"/>
    </row>
    <row r="105" spans="1:15" s="93" customFormat="1" ht="27">
      <c r="A105" s="1237" t="s">
        <v>218</v>
      </c>
      <c r="B105" s="1238"/>
      <c r="C105" s="758"/>
      <c r="D105" s="273" t="s">
        <v>143</v>
      </c>
      <c r="E105" s="184">
        <f>'28'!F105</f>
        <v>7961</v>
      </c>
      <c r="F105" s="402">
        <v>7961</v>
      </c>
      <c r="G105" s="183">
        <f>F105-E105</f>
        <v>0</v>
      </c>
      <c r="H105" s="184">
        <f>SUM(G105+'1'!G76)</f>
        <v>75.700000000000728</v>
      </c>
      <c r="I105" s="183"/>
      <c r="J105" s="209">
        <f>H105/DAY(B2)</f>
        <v>2.610344827586232</v>
      </c>
      <c r="N105" s="420"/>
      <c r="O105" s="420"/>
    </row>
    <row r="106" spans="1:15" s="93" customFormat="1" ht="27">
      <c r="A106" s="1237" t="s">
        <v>76</v>
      </c>
      <c r="B106" s="1238"/>
      <c r="C106" s="758"/>
      <c r="D106" s="273" t="s">
        <v>143</v>
      </c>
      <c r="E106" s="184">
        <f>'28'!F106</f>
        <v>36731</v>
      </c>
      <c r="F106" s="311">
        <v>36743</v>
      </c>
      <c r="G106" s="183">
        <f t="shared" ref="G106:G107" si="10">F106-E106</f>
        <v>12</v>
      </c>
      <c r="H106" s="184">
        <f>SUM(G106+'1'!G77)</f>
        <v>59</v>
      </c>
      <c r="I106" s="183"/>
      <c r="J106" s="209">
        <f>H106/DAY(B2)</f>
        <v>2.0344827586206895</v>
      </c>
      <c r="N106" s="420"/>
      <c r="O106" s="420"/>
    </row>
    <row r="107" spans="1:15" s="93" customFormat="1" ht="27">
      <c r="A107" s="1237" t="s">
        <v>77</v>
      </c>
      <c r="B107" s="1282"/>
      <c r="C107" s="1238"/>
      <c r="D107" s="273" t="s">
        <v>143</v>
      </c>
      <c r="E107" s="184">
        <f>'28'!F107</f>
        <v>20192</v>
      </c>
      <c r="F107" s="311">
        <v>20199</v>
      </c>
      <c r="G107" s="183">
        <f t="shared" si="10"/>
        <v>7</v>
      </c>
      <c r="H107" s="184">
        <f>SUM(G107+'1'!G78)</f>
        <v>25</v>
      </c>
      <c r="I107" s="183"/>
      <c r="J107" s="209">
        <f>H107/DAY(B2)</f>
        <v>0.86206896551724133</v>
      </c>
      <c r="N107" s="420"/>
      <c r="O107" s="420"/>
    </row>
    <row r="108" spans="1:15" s="93" customFormat="1" ht="27">
      <c r="A108" s="1239" t="s">
        <v>201</v>
      </c>
      <c r="B108" s="1240"/>
      <c r="C108" s="758"/>
      <c r="D108" s="273"/>
      <c r="E108" s="184">
        <f>'28'!F108</f>
        <v>0</v>
      </c>
      <c r="F108" s="311"/>
      <c r="G108" s="183">
        <f>SUM(G105:G107)</f>
        <v>19</v>
      </c>
      <c r="H108" s="184">
        <f>SUM(G108+'1'!G79)</f>
        <v>185</v>
      </c>
      <c r="I108" s="183"/>
      <c r="J108" s="209">
        <f>H108/DAY(B2)</f>
        <v>6.3793103448275863</v>
      </c>
      <c r="N108" s="420"/>
      <c r="O108" s="420"/>
    </row>
    <row r="109" spans="1:15" s="93" customFormat="1" ht="27">
      <c r="A109" s="1243" t="s">
        <v>78</v>
      </c>
      <c r="B109" s="1244"/>
      <c r="C109" s="758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20"/>
      <c r="O109" s="420"/>
    </row>
    <row r="110" spans="1:15" s="93" customFormat="1" ht="27">
      <c r="A110" s="1237" t="s">
        <v>219</v>
      </c>
      <c r="B110" s="1238"/>
      <c r="C110" s="758"/>
      <c r="D110" s="273" t="s">
        <v>143</v>
      </c>
      <c r="E110" s="184">
        <f>'28'!F110</f>
        <v>69286</v>
      </c>
      <c r="F110" s="311">
        <v>69369</v>
      </c>
      <c r="G110" s="183">
        <f>F110-E110</f>
        <v>83</v>
      </c>
      <c r="H110" s="184">
        <f>SUM(G110+'1'!G81)</f>
        <v>257.80000000004657</v>
      </c>
      <c r="I110" s="183"/>
      <c r="J110" s="209">
        <f>H110/DAY(B2)</f>
        <v>8.8896551724153987</v>
      </c>
      <c r="N110" s="420"/>
      <c r="O110" s="420"/>
    </row>
    <row r="111" spans="1:15" s="93" customFormat="1" ht="27">
      <c r="A111" s="1237" t="s">
        <v>220</v>
      </c>
      <c r="B111" s="1238"/>
      <c r="C111" s="758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30</v>
      </c>
      <c r="I111" s="183"/>
      <c r="J111" s="209">
        <f>H111/DAY(B2)</f>
        <v>1.0344827586206897</v>
      </c>
      <c r="N111" s="420"/>
      <c r="O111" s="420"/>
    </row>
    <row r="112" spans="1:15" s="93" customFormat="1" ht="27">
      <c r="A112" s="1237" t="s">
        <v>221</v>
      </c>
      <c r="B112" s="1238"/>
      <c r="C112" s="758"/>
      <c r="D112" s="273" t="s">
        <v>143</v>
      </c>
      <c r="E112" s="184">
        <f>'28'!F112</f>
        <v>4779</v>
      </c>
      <c r="F112" s="311">
        <v>4779</v>
      </c>
      <c r="G112" s="185">
        <f t="shared" si="11"/>
        <v>0</v>
      </c>
      <c r="H112" s="184">
        <f>SUM(G112+'1'!G83)</f>
        <v>311</v>
      </c>
      <c r="I112" s="183"/>
      <c r="J112" s="209">
        <f>H112/DAY(B2)</f>
        <v>10.724137931034482</v>
      </c>
      <c r="N112" s="420"/>
      <c r="O112" s="420"/>
    </row>
    <row r="113" spans="1:15" s="93" customFormat="1" ht="27">
      <c r="A113" s="1239" t="s">
        <v>109</v>
      </c>
      <c r="B113" s="1240"/>
      <c r="C113" s="758"/>
      <c r="D113" s="273"/>
      <c r="E113" s="184">
        <f>'28'!F113</f>
        <v>0</v>
      </c>
      <c r="F113" s="311"/>
      <c r="G113" s="183">
        <f>SUM(G110:G112)</f>
        <v>83</v>
      </c>
      <c r="H113" s="184">
        <f>SUM(G113+'1'!G84)</f>
        <v>823</v>
      </c>
      <c r="I113" s="183"/>
      <c r="J113" s="209">
        <f>H113/DAY(B2)</f>
        <v>28.379310344827587</v>
      </c>
      <c r="N113" s="420"/>
      <c r="O113" s="420"/>
    </row>
    <row r="114" spans="1:15" s="93" customFormat="1" ht="27">
      <c r="A114" s="1243" t="s">
        <v>222</v>
      </c>
      <c r="B114" s="1244"/>
      <c r="C114" s="758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20"/>
      <c r="O114" s="420"/>
    </row>
    <row r="115" spans="1:15" s="93" customFormat="1" ht="27">
      <c r="A115" s="1237" t="s">
        <v>223</v>
      </c>
      <c r="B115" s="1238"/>
      <c r="C115" s="225"/>
      <c r="D115" s="273" t="s">
        <v>143</v>
      </c>
      <c r="E115" s="184">
        <f>'28'!F115</f>
        <v>12995</v>
      </c>
      <c r="F115" s="311">
        <v>13013</v>
      </c>
      <c r="G115" s="185">
        <f>F115-E115</f>
        <v>18</v>
      </c>
      <c r="H115" s="184">
        <f>SUM(G115+'1'!G92)</f>
        <v>18</v>
      </c>
      <c r="I115" s="183"/>
      <c r="J115" s="209">
        <f>H115/DAY(B2)</f>
        <v>0.62068965517241381</v>
      </c>
      <c r="N115" s="420"/>
      <c r="O115" s="420"/>
    </row>
    <row r="116" spans="1:15" s="93" customFormat="1" ht="27">
      <c r="A116" s="1237" t="s">
        <v>224</v>
      </c>
      <c r="B116" s="1238"/>
      <c r="C116" s="225"/>
      <c r="D116" s="273" t="s">
        <v>143</v>
      </c>
      <c r="E116" s="184">
        <f>'28'!F116</f>
        <v>9098</v>
      </c>
      <c r="F116" s="311">
        <v>9107</v>
      </c>
      <c r="G116" s="185">
        <f t="shared" ref="G116:G117" si="12">F116-E116</f>
        <v>9</v>
      </c>
      <c r="H116" s="184">
        <f>SUM(G116+'1'!G93)</f>
        <v>71</v>
      </c>
      <c r="I116" s="183"/>
      <c r="J116" s="209">
        <f>H116/DAY(B2)</f>
        <v>2.4482758620689653</v>
      </c>
      <c r="N116" s="420"/>
      <c r="O116" s="420"/>
    </row>
    <row r="117" spans="1:15" s="93" customFormat="1" ht="27">
      <c r="A117" s="1237" t="s">
        <v>225</v>
      </c>
      <c r="B117" s="1238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163</v>
      </c>
      <c r="I117" s="183"/>
      <c r="J117" s="209">
        <f>H117/DAY(B2)</f>
        <v>5.6206896551724137</v>
      </c>
      <c r="N117" s="420"/>
      <c r="O117" s="420"/>
    </row>
    <row r="118" spans="1:15" s="96" customFormat="1" ht="27">
      <c r="A118" s="1239" t="s">
        <v>201</v>
      </c>
      <c r="B118" s="1240"/>
      <c r="C118" s="225"/>
      <c r="D118" s="274"/>
      <c r="E118" s="187"/>
      <c r="F118" s="311"/>
      <c r="G118" s="185">
        <f>SUM(G115:G117)</f>
        <v>27</v>
      </c>
      <c r="H118" s="184">
        <f>SUM(G118+'1'!G96)</f>
        <v>93</v>
      </c>
      <c r="I118" s="185"/>
      <c r="J118" s="209">
        <f>H118/DAY(B2)</f>
        <v>3.2068965517241379</v>
      </c>
      <c r="N118" s="420"/>
      <c r="O118" s="421"/>
    </row>
    <row r="119" spans="1:15" s="97" customFormat="1" ht="27">
      <c r="A119" s="1233" t="s">
        <v>226</v>
      </c>
      <c r="B119" s="1234"/>
      <c r="C119" s="756"/>
      <c r="D119" s="275" t="s">
        <v>143</v>
      </c>
      <c r="E119" s="187"/>
      <c r="F119" s="311"/>
      <c r="G119" s="187">
        <f>SUM(G19+G93)</f>
        <v>174</v>
      </c>
      <c r="H119" s="184">
        <f>SUM(G119+'1'!G97)</f>
        <v>192</v>
      </c>
      <c r="I119" s="186"/>
      <c r="J119" s="210">
        <f>H119/DAY(B2)</f>
        <v>6.6206896551724137</v>
      </c>
      <c r="N119" s="420"/>
      <c r="O119" s="421"/>
    </row>
    <row r="120" spans="1:15" s="97" customFormat="1" ht="27">
      <c r="A120" s="1233" t="s">
        <v>227</v>
      </c>
      <c r="B120" s="1234"/>
      <c r="C120" s="756"/>
      <c r="D120" s="275" t="s">
        <v>143</v>
      </c>
      <c r="E120" s="187"/>
      <c r="F120" s="311"/>
      <c r="G120" s="187">
        <f>SUM(G96,G97,G98,G100,G101)</f>
        <v>177</v>
      </c>
      <c r="H120" s="184">
        <f>SUM(G120+'1'!G99)</f>
        <v>188</v>
      </c>
      <c r="I120" s="186"/>
      <c r="J120" s="210">
        <f>H120/DAY(B2)</f>
        <v>6.4827586206896548</v>
      </c>
      <c r="N120" s="420"/>
      <c r="O120" s="421"/>
    </row>
    <row r="121" spans="1:15" s="97" customFormat="1" ht="27">
      <c r="A121" s="1233" t="s">
        <v>228</v>
      </c>
      <c r="B121" s="1234"/>
      <c r="C121" s="756"/>
      <c r="D121" s="275" t="s">
        <v>143</v>
      </c>
      <c r="E121" s="187"/>
      <c r="F121" s="311"/>
      <c r="G121" s="185">
        <f>SUM(G113)</f>
        <v>83</v>
      </c>
      <c r="H121" s="184">
        <f>SUM(G121+'1'!G101)</f>
        <v>92</v>
      </c>
      <c r="I121" s="186"/>
      <c r="J121" s="210">
        <f>H121/DAY(B2)</f>
        <v>3.1724137931034484</v>
      </c>
      <c r="N121" s="420"/>
      <c r="O121" s="421"/>
    </row>
    <row r="122" spans="1:15" s="93" customFormat="1" ht="27">
      <c r="A122" s="1235"/>
      <c r="B122" s="1236"/>
      <c r="C122" s="757"/>
      <c r="D122" s="211"/>
      <c r="E122" s="416"/>
      <c r="F122" s="403"/>
      <c r="G122" s="211"/>
      <c r="H122" s="212"/>
      <c r="I122" s="211"/>
      <c r="J122" s="213"/>
      <c r="N122" s="420"/>
      <c r="O122" s="420"/>
    </row>
    <row r="123" spans="1:15">
      <c r="A123" s="1274" t="s">
        <v>229</v>
      </c>
      <c r="B123" s="1275"/>
      <c r="C123" s="1276"/>
      <c r="D123" s="123"/>
      <c r="E123" s="389"/>
      <c r="F123" s="389"/>
      <c r="G123" s="134"/>
      <c r="H123" s="134"/>
      <c r="I123" s="134"/>
      <c r="J123" s="214"/>
      <c r="K123" s="71"/>
      <c r="L123" s="68"/>
    </row>
    <row r="124" spans="1:15" ht="27.75">
      <c r="A124" s="759" t="s">
        <v>230</v>
      </c>
      <c r="B124" s="760"/>
      <c r="C124" s="760"/>
      <c r="D124" s="174" t="s">
        <v>140</v>
      </c>
      <c r="E124" s="388">
        <f>'28'!F124</f>
        <v>855540</v>
      </c>
      <c r="F124" s="388">
        <v>855825</v>
      </c>
      <c r="G124" s="124">
        <f t="shared" ref="G124:G128" si="13">F124-E124</f>
        <v>285</v>
      </c>
      <c r="H124" s="111">
        <f>G124+'28'!H124</f>
        <v>-527</v>
      </c>
      <c r="I124" s="177"/>
      <c r="J124" s="203">
        <f>H124/DAY(B2)</f>
        <v>-18.172413793103448</v>
      </c>
      <c r="K124" s="71"/>
      <c r="L124" s="68"/>
    </row>
    <row r="125" spans="1:15" ht="27.75">
      <c r="A125" s="759" t="s">
        <v>231</v>
      </c>
      <c r="B125" s="760"/>
      <c r="C125" s="760"/>
      <c r="D125" s="174" t="s">
        <v>140</v>
      </c>
      <c r="E125" s="388">
        <f>'28'!F125</f>
        <v>73583.399999999994</v>
      </c>
      <c r="F125" s="404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>
      <c r="A126" s="1226" t="s">
        <v>232</v>
      </c>
      <c r="B126" s="1227"/>
      <c r="C126" s="1228"/>
      <c r="D126" s="174" t="s">
        <v>140</v>
      </c>
      <c r="E126" s="388">
        <f>'28'!F126</f>
        <v>153824</v>
      </c>
      <c r="F126" s="388">
        <v>153923</v>
      </c>
      <c r="G126" s="124">
        <f t="shared" si="13"/>
        <v>99</v>
      </c>
      <c r="H126" s="111">
        <f>G126+'28'!H126</f>
        <v>-154</v>
      </c>
      <c r="I126" s="177"/>
      <c r="J126" s="203">
        <f>H126/DAY(B2)</f>
        <v>-5.3103448275862073</v>
      </c>
      <c r="K126" s="71"/>
      <c r="L126" s="68"/>
    </row>
    <row r="127" spans="1:15" ht="27.75">
      <c r="A127" s="260" t="s">
        <v>233</v>
      </c>
      <c r="B127" s="760"/>
      <c r="C127" s="760"/>
      <c r="D127" s="174" t="s">
        <v>140</v>
      </c>
      <c r="E127" s="388">
        <f>'28'!F127</f>
        <v>34513</v>
      </c>
      <c r="F127" s="404">
        <v>34563</v>
      </c>
      <c r="G127" s="124">
        <f t="shared" si="13"/>
        <v>50</v>
      </c>
      <c r="H127" s="111">
        <f>G127+'28'!H127</f>
        <v>-66</v>
      </c>
      <c r="I127" s="177"/>
      <c r="J127" s="203">
        <f>H127/DAY(B2)</f>
        <v>-2.2758620689655173</v>
      </c>
      <c r="K127" s="71"/>
      <c r="L127" s="68"/>
    </row>
    <row r="128" spans="1:15" ht="27.75">
      <c r="A128" s="260" t="s">
        <v>234</v>
      </c>
      <c r="B128" s="760"/>
      <c r="C128" s="760"/>
      <c r="D128" s="174" t="s">
        <v>140</v>
      </c>
      <c r="E128" s="388">
        <f>'28'!F128</f>
        <v>9173</v>
      </c>
      <c r="F128" s="404">
        <v>9177</v>
      </c>
      <c r="G128" s="124">
        <f t="shared" si="13"/>
        <v>4</v>
      </c>
      <c r="H128" s="111">
        <f>G128+'28'!H128</f>
        <v>-3</v>
      </c>
      <c r="I128" s="131"/>
      <c r="J128" s="203">
        <f>H128/DAY(B2)</f>
        <v>-0.10344827586206896</v>
      </c>
      <c r="K128" s="71"/>
      <c r="L128" s="68"/>
    </row>
    <row r="129" spans="1:15" s="57" customFormat="1" ht="27">
      <c r="A129" s="260" t="s">
        <v>235</v>
      </c>
      <c r="B129" s="760"/>
      <c r="C129" s="760"/>
      <c r="D129" s="174"/>
      <c r="E129" s="388"/>
      <c r="F129" s="388"/>
      <c r="G129" s="124">
        <f>G15-SUM(G124:G128)</f>
        <v>396.39999999999418</v>
      </c>
      <c r="H129" s="111"/>
      <c r="I129" s="131"/>
      <c r="J129" s="203"/>
      <c r="K129" s="60"/>
      <c r="L129" s="58"/>
      <c r="N129" s="420"/>
      <c r="O129" s="420"/>
    </row>
    <row r="130" spans="1:15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>
      <c r="A131" s="759" t="s">
        <v>237</v>
      </c>
      <c r="B131" s="760"/>
      <c r="C131" s="760"/>
      <c r="D131" s="174" t="s">
        <v>238</v>
      </c>
      <c r="E131" s="409">
        <f>'28'!F131</f>
        <v>0</v>
      </c>
      <c r="F131" s="388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>
      <c r="A132" s="759" t="s">
        <v>239</v>
      </c>
      <c r="B132" s="760"/>
      <c r="C132" s="760"/>
      <c r="D132" s="174" t="s">
        <v>238</v>
      </c>
      <c r="E132" s="409">
        <f>'28'!F132</f>
        <v>0</v>
      </c>
      <c r="F132" s="388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>
      <c r="A133" s="759" t="s">
        <v>240</v>
      </c>
      <c r="B133" s="760"/>
      <c r="C133" s="760"/>
      <c r="D133" s="174" t="s">
        <v>238</v>
      </c>
      <c r="E133" s="418">
        <f>'28'!F133</f>
        <v>40922</v>
      </c>
      <c r="F133" s="404">
        <v>40922</v>
      </c>
      <c r="G133" s="124">
        <f t="shared" si="14"/>
        <v>0</v>
      </c>
      <c r="H133" s="111">
        <f>G133+'28'!H133</f>
        <v>0</v>
      </c>
      <c r="I133" s="131"/>
      <c r="J133" s="203">
        <f>H133/DAY(B2)</f>
        <v>0</v>
      </c>
    </row>
    <row r="134" spans="1:15" ht="27.75">
      <c r="A134" s="759" t="s">
        <v>241</v>
      </c>
      <c r="B134" s="760"/>
      <c r="C134" s="760"/>
      <c r="D134" s="174" t="s">
        <v>238</v>
      </c>
      <c r="E134" s="418">
        <f>'28'!F134</f>
        <v>798</v>
      </c>
      <c r="F134" s="404">
        <v>808</v>
      </c>
      <c r="G134" s="124">
        <f t="shared" si="14"/>
        <v>10</v>
      </c>
      <c r="H134" s="111">
        <f>G134+'28'!H134</f>
        <v>-48</v>
      </c>
      <c r="I134" s="131">
        <f>G131+G132+G133+G134</f>
        <v>10</v>
      </c>
      <c r="J134" s="203">
        <f>H134/DAY(B2)</f>
        <v>-1.6551724137931034</v>
      </c>
    </row>
    <row r="135" spans="1:15" ht="27.75">
      <c r="A135" s="759" t="s">
        <v>242</v>
      </c>
      <c r="B135" s="760"/>
      <c r="C135" s="760"/>
      <c r="D135" s="174" t="s">
        <v>238</v>
      </c>
      <c r="E135" s="418">
        <f>'28'!F135</f>
        <v>42814</v>
      </c>
      <c r="F135" s="404">
        <v>42814</v>
      </c>
      <c r="G135" s="124">
        <f t="shared" si="14"/>
        <v>0</v>
      </c>
      <c r="H135" s="111">
        <f>G135+'28'!H135</f>
        <v>101</v>
      </c>
      <c r="I135" s="131"/>
      <c r="J135" s="203">
        <f>H135/DAY(B2)</f>
        <v>3.4827586206896552</v>
      </c>
    </row>
    <row r="136" spans="1:15" ht="27.75">
      <c r="A136" s="759" t="s">
        <v>243</v>
      </c>
      <c r="B136" s="760"/>
      <c r="C136" s="760"/>
      <c r="D136" s="174" t="s">
        <v>238</v>
      </c>
      <c r="E136" s="414">
        <f>'28'!F136</f>
        <v>32909</v>
      </c>
      <c r="F136" s="391">
        <v>32928</v>
      </c>
      <c r="G136" s="124">
        <f t="shared" si="14"/>
        <v>19</v>
      </c>
      <c r="H136" s="111">
        <f>G136+'28'!H136</f>
        <v>66.94999999999709</v>
      </c>
      <c r="I136" s="131"/>
      <c r="J136" s="203">
        <f>H136/DAY(B2)</f>
        <v>2.3086206896550721</v>
      </c>
    </row>
    <row r="137" spans="1:15" ht="27.75">
      <c r="A137" s="759" t="s">
        <v>244</v>
      </c>
      <c r="B137" s="760"/>
      <c r="C137" s="760"/>
      <c r="D137" s="174" t="s">
        <v>238</v>
      </c>
      <c r="E137" s="417">
        <f>'28'!F137</f>
        <v>23332.3</v>
      </c>
      <c r="F137" s="395">
        <v>23339</v>
      </c>
      <c r="G137" s="124">
        <f t="shared" si="14"/>
        <v>6.7000000000007276</v>
      </c>
      <c r="H137" s="111">
        <f>G137+'28'!H137</f>
        <v>-17.430000000000291</v>
      </c>
      <c r="I137" s="131">
        <f>G135+G136+G137</f>
        <v>25.700000000000728</v>
      </c>
      <c r="J137" s="203">
        <f>H137/DAY(B2)</f>
        <v>-0.60103448275863069</v>
      </c>
    </row>
    <row r="138" spans="1:15" ht="27.75">
      <c r="A138" s="759" t="s">
        <v>245</v>
      </c>
      <c r="B138" s="760"/>
      <c r="C138" s="760"/>
      <c r="D138" s="174" t="s">
        <v>238</v>
      </c>
      <c r="E138" s="417">
        <f>'28'!F138</f>
        <v>25132.98</v>
      </c>
      <c r="F138" s="395">
        <v>25133</v>
      </c>
      <c r="G138" s="124">
        <f t="shared" si="14"/>
        <v>2.0000000000436557E-2</v>
      </c>
      <c r="H138" s="111">
        <f>G138+'28'!H138</f>
        <v>8.0200000000004366</v>
      </c>
      <c r="I138" s="131"/>
      <c r="J138" s="203">
        <f>H138/DAY(B2)</f>
        <v>0.2765517241379461</v>
      </c>
    </row>
    <row r="139" spans="1:15" ht="27.75">
      <c r="A139" s="759" t="s">
        <v>246</v>
      </c>
      <c r="B139" s="760"/>
      <c r="C139" s="760"/>
      <c r="D139" s="174" t="s">
        <v>238</v>
      </c>
      <c r="E139" s="417">
        <f>'28'!F139</f>
        <v>70525</v>
      </c>
      <c r="F139" s="395">
        <v>70524.55</v>
      </c>
      <c r="G139" s="124">
        <f t="shared" si="14"/>
        <v>-0.44999999999708962</v>
      </c>
      <c r="H139" s="111">
        <f>G139+'28'!H139</f>
        <v>15</v>
      </c>
      <c r="I139" s="131">
        <f>G138+G139</f>
        <v>-0.42999999999665306</v>
      </c>
      <c r="J139" s="203">
        <f>H139/DAY(B2)</f>
        <v>0.51724137931034486</v>
      </c>
    </row>
    <row r="140" spans="1:15" ht="27.75">
      <c r="A140" s="759" t="s">
        <v>247</v>
      </c>
      <c r="B140" s="760"/>
      <c r="C140" s="760"/>
      <c r="D140" s="174" t="s">
        <v>238</v>
      </c>
      <c r="E140" s="418">
        <f>'28'!F140</f>
        <v>2596.54</v>
      </c>
      <c r="F140" s="404">
        <v>2607.64</v>
      </c>
      <c r="G140" s="124">
        <f t="shared" si="14"/>
        <v>11.099999999999909</v>
      </c>
      <c r="H140" s="111">
        <f>G140+'28'!H140</f>
        <v>-20.340000000000146</v>
      </c>
      <c r="I140" s="193"/>
      <c r="J140" s="203">
        <f>H140/DAY(B2)</f>
        <v>-0.70137931034483258</v>
      </c>
    </row>
    <row r="141" spans="1:15" ht="27.75">
      <c r="A141" s="759" t="s">
        <v>248</v>
      </c>
      <c r="B141" s="760"/>
      <c r="C141" s="760"/>
      <c r="D141" s="174" t="s">
        <v>238</v>
      </c>
      <c r="E141" s="417">
        <f>'28'!F141</f>
        <v>4754</v>
      </c>
      <c r="F141" s="388">
        <v>4754</v>
      </c>
      <c r="G141" s="124">
        <f t="shared" si="14"/>
        <v>0</v>
      </c>
      <c r="H141" s="111">
        <f>G141+'28'!H141</f>
        <v>0</v>
      </c>
      <c r="I141" s="193"/>
      <c r="J141" s="203">
        <f>H141/DAY(B2)</f>
        <v>0</v>
      </c>
    </row>
    <row r="142" spans="1:15">
      <c r="A142" s="1248" t="s">
        <v>249</v>
      </c>
      <c r="B142" s="1249"/>
      <c r="C142" s="765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5" ht="27.75">
      <c r="A143" s="1245" t="s">
        <v>250</v>
      </c>
      <c r="B143" s="1246"/>
      <c r="C143" s="1247"/>
      <c r="D143" s="174" t="s">
        <v>131</v>
      </c>
      <c r="E143" s="111"/>
      <c r="F143" s="111"/>
      <c r="G143" s="111">
        <f>G35+G43+G49+G57</f>
        <v>6216.67</v>
      </c>
      <c r="H143" s="111">
        <f>G143+'28'!H143</f>
        <v>393729.99999999994</v>
      </c>
      <c r="I143" s="131"/>
      <c r="J143" s="203">
        <f>H143/DAY(B2)</f>
        <v>13576.896551724136</v>
      </c>
      <c r="K143" s="71"/>
      <c r="L143" s="68"/>
    </row>
    <row r="144" spans="1:15" ht="27.75">
      <c r="A144" s="1245" t="s">
        <v>251</v>
      </c>
      <c r="B144" s="1246"/>
      <c r="C144" s="1247"/>
      <c r="D144" s="174" t="s">
        <v>24</v>
      </c>
      <c r="E144" s="121"/>
      <c r="F144" s="121"/>
      <c r="G144" s="194">
        <f>G143/G7</f>
        <v>0.28901301720130174</v>
      </c>
      <c r="H144" s="111">
        <f>G144+'28'!H144</f>
        <v>8.3409731243094729</v>
      </c>
      <c r="I144" s="195"/>
      <c r="J144" s="203">
        <f>H144/DAY(B2)</f>
        <v>0.28761976290722319</v>
      </c>
      <c r="K144" s="71"/>
      <c r="L144" s="68"/>
    </row>
    <row r="145" spans="1:12" ht="27.75">
      <c r="A145" s="1245" t="s">
        <v>252</v>
      </c>
      <c r="B145" s="1246"/>
      <c r="C145" s="1247"/>
      <c r="D145" s="174" t="s">
        <v>131</v>
      </c>
      <c r="E145" s="111"/>
      <c r="F145" s="111"/>
      <c r="G145" s="111">
        <f>G41+G42+G55+G56</f>
        <v>6639</v>
      </c>
      <c r="H145" s="111">
        <f>G145+'28'!H145</f>
        <v>-12836.77999999997</v>
      </c>
      <c r="I145" s="131"/>
      <c r="J145" s="203">
        <f>H145/DAY(B2)</f>
        <v>-442.64758620689548</v>
      </c>
      <c r="K145" s="71"/>
      <c r="L145" s="68"/>
    </row>
    <row r="146" spans="1:12" ht="27.75">
      <c r="A146" s="1245" t="s">
        <v>253</v>
      </c>
      <c r="B146" s="1246"/>
      <c r="C146" s="1247"/>
      <c r="D146" s="174" t="s">
        <v>24</v>
      </c>
      <c r="E146" s="111"/>
      <c r="F146" s="111"/>
      <c r="G146" s="194">
        <f>G145/G7</f>
        <v>0.30864714086471406</v>
      </c>
      <c r="H146" s="111">
        <f>G146+'28'!H146</f>
        <v>7.9017375151703426</v>
      </c>
      <c r="I146" s="195"/>
      <c r="J146" s="203">
        <f>H146/DAY(B2)</f>
        <v>0.27247370741966698</v>
      </c>
      <c r="K146" s="71"/>
      <c r="L146" s="68"/>
    </row>
    <row r="147" spans="1:12" ht="27.75">
      <c r="A147" s="1245" t="s">
        <v>254</v>
      </c>
      <c r="B147" s="1246"/>
      <c r="C147" s="1247"/>
      <c r="D147" s="174" t="s">
        <v>131</v>
      </c>
      <c r="E147" s="111"/>
      <c r="F147" s="111"/>
      <c r="G147" s="111">
        <f>G39+G53</f>
        <v>3986</v>
      </c>
      <c r="H147" s="111">
        <f>G147+'28'!H147</f>
        <v>1060543</v>
      </c>
      <c r="I147" s="196"/>
      <c r="J147" s="203">
        <f>H147/DAY(B2)</f>
        <v>36570.448275862072</v>
      </c>
      <c r="K147" s="71"/>
      <c r="L147" s="68"/>
    </row>
    <row r="148" spans="1:12" ht="27.75">
      <c r="A148" s="1245" t="s">
        <v>255</v>
      </c>
      <c r="B148" s="1246"/>
      <c r="C148" s="1247"/>
      <c r="D148" s="174" t="s">
        <v>24</v>
      </c>
      <c r="E148" s="111"/>
      <c r="F148" s="111"/>
      <c r="G148" s="194">
        <f>G147/G7</f>
        <v>0.18530915853091584</v>
      </c>
      <c r="H148" s="111">
        <f>G148+'28'!H148</f>
        <v>7.6899136527726828</v>
      </c>
      <c r="I148" s="196"/>
      <c r="J148" s="203">
        <f>H148/DAY(B2)</f>
        <v>0.26516943630250628</v>
      </c>
    </row>
    <row r="149" spans="1:12" ht="27.75">
      <c r="A149" s="1245" t="s">
        <v>256</v>
      </c>
      <c r="B149" s="1246"/>
      <c r="C149" s="1247"/>
      <c r="D149" s="174" t="s">
        <v>182</v>
      </c>
      <c r="E149" s="111"/>
      <c r="F149" s="111"/>
      <c r="G149" s="111">
        <f>G38+G52</f>
        <v>1012</v>
      </c>
      <c r="H149" s="111">
        <f>G149+'28'!H149</f>
        <v>832519.07</v>
      </c>
      <c r="I149" s="131"/>
      <c r="J149" s="203">
        <f>H149/DAY(B2)</f>
        <v>28707.554137931034</v>
      </c>
      <c r="K149" s="72"/>
    </row>
    <row r="150" spans="1:12" ht="27.75">
      <c r="A150" s="1245" t="s">
        <v>257</v>
      </c>
      <c r="B150" s="1246"/>
      <c r="C150" s="1247"/>
      <c r="D150" s="174" t="s">
        <v>24</v>
      </c>
      <c r="E150" s="111"/>
      <c r="F150" s="111"/>
      <c r="G150" s="194">
        <f>G149/G7</f>
        <v>4.7047884704788469E-2</v>
      </c>
      <c r="H150" s="111">
        <f>G150+'28'!H150</f>
        <v>4.4859266636446877</v>
      </c>
      <c r="I150" s="196"/>
      <c r="J150" s="203">
        <f>H150/DAY(B2)</f>
        <v>0.15468712633257545</v>
      </c>
    </row>
    <row r="151" spans="1:12" ht="27.75">
      <c r="A151" s="1245" t="s">
        <v>258</v>
      </c>
      <c r="B151" s="1246"/>
      <c r="C151" s="1247"/>
      <c r="D151" s="174" t="s">
        <v>182</v>
      </c>
      <c r="E151" s="111"/>
      <c r="F151" s="111"/>
      <c r="G151" s="111">
        <f>G36+G50</f>
        <v>1910</v>
      </c>
      <c r="H151" s="111">
        <f>G151+'28'!H151</f>
        <v>64452</v>
      </c>
      <c r="I151" s="196"/>
      <c r="J151" s="203">
        <f>H151/DAY(B2)</f>
        <v>2222.4827586206898</v>
      </c>
    </row>
    <row r="152" spans="1:12" ht="27.75">
      <c r="A152" s="1245" t="s">
        <v>259</v>
      </c>
      <c r="B152" s="1246"/>
      <c r="C152" s="1247"/>
      <c r="D152" s="174" t="s">
        <v>24</v>
      </c>
      <c r="E152" s="111"/>
      <c r="F152" s="111"/>
      <c r="G152" s="194">
        <f>G151/G7</f>
        <v>8.8795908879590893E-2</v>
      </c>
      <c r="H152" s="111">
        <f>G152+'28'!H152</f>
        <v>2.4993337519849002</v>
      </c>
      <c r="I152" s="131"/>
      <c r="J152" s="203">
        <f>H152/DAY(B2)</f>
        <v>8.618392248223794E-2</v>
      </c>
    </row>
    <row r="153" spans="1:12" ht="27.75">
      <c r="A153" s="1245" t="s">
        <v>260</v>
      </c>
      <c r="B153" s="1246"/>
      <c r="C153" s="1247"/>
      <c r="D153" s="174" t="s">
        <v>182</v>
      </c>
      <c r="E153" s="111"/>
      <c r="F153" s="111"/>
      <c r="G153" s="111">
        <f>G37+G51</f>
        <v>1388.8699999999953</v>
      </c>
      <c r="H153" s="111">
        <f>G153+'28'!H153</f>
        <v>412429.87000000005</v>
      </c>
      <c r="I153" s="131"/>
      <c r="J153" s="203">
        <f>H153/DAY(B2)</f>
        <v>14221.719655172416</v>
      </c>
    </row>
    <row r="154" spans="1:12" ht="28.5" thickBot="1">
      <c r="A154" s="1283" t="s">
        <v>261</v>
      </c>
      <c r="B154" s="1284"/>
      <c r="C154" s="1285"/>
      <c r="D154" s="276" t="s">
        <v>24</v>
      </c>
      <c r="E154" s="218"/>
      <c r="F154" s="218"/>
      <c r="G154" s="217">
        <f>G153/G7</f>
        <v>6.4568572756857054E-2</v>
      </c>
      <c r="H154" s="111">
        <f>G154+'28'!H154</f>
        <v>3.1027410341820838</v>
      </c>
      <c r="I154" s="219"/>
      <c r="J154" s="220">
        <f>H154/DAY(B2)</f>
        <v>0.10699107014420979</v>
      </c>
    </row>
    <row r="155" spans="1:12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>
      <c r="A161" s="445" t="s">
        <v>262</v>
      </c>
      <c r="B161" s="446"/>
      <c r="C161" s="446"/>
      <c r="D161" s="271" t="s">
        <v>186</v>
      </c>
      <c r="E161" s="414">
        <f>'28'!F161</f>
        <v>45549</v>
      </c>
      <c r="F161" s="454">
        <v>45628</v>
      </c>
      <c r="G161" s="124">
        <f t="shared" ref="G161:G164" si="15">F161-E161</f>
        <v>79</v>
      </c>
    </row>
    <row r="162" spans="1:7">
      <c r="A162" s="445" t="s">
        <v>263</v>
      </c>
      <c r="B162" s="446"/>
      <c r="C162" s="446"/>
      <c r="D162" s="271" t="s">
        <v>186</v>
      </c>
      <c r="E162" s="414">
        <f>'28'!F162</f>
        <v>135022</v>
      </c>
      <c r="F162" s="454">
        <v>135546</v>
      </c>
      <c r="G162" s="124">
        <f t="shared" si="15"/>
        <v>524</v>
      </c>
    </row>
    <row r="163" spans="1:7">
      <c r="A163" s="445" t="s">
        <v>264</v>
      </c>
      <c r="B163" s="446"/>
      <c r="C163" s="446"/>
      <c r="D163" s="271" t="s">
        <v>186</v>
      </c>
      <c r="E163" s="414">
        <f>'28'!F163</f>
        <v>63159.8</v>
      </c>
      <c r="F163" s="454">
        <v>63380</v>
      </c>
      <c r="G163" s="124">
        <f t="shared" si="15"/>
        <v>220.19999999999709</v>
      </c>
    </row>
    <row r="164" spans="1:7">
      <c r="A164" s="445" t="s">
        <v>265</v>
      </c>
      <c r="B164" s="446"/>
      <c r="C164" s="446"/>
      <c r="D164" s="271" t="s">
        <v>186</v>
      </c>
      <c r="E164" s="414">
        <f>'28'!F164</f>
        <v>7429.39</v>
      </c>
      <c r="F164" s="454">
        <v>7437</v>
      </c>
      <c r="G164" s="124">
        <f t="shared" si="15"/>
        <v>7.6099999999996726</v>
      </c>
    </row>
    <row r="165" spans="1:7">
      <c r="A165" s="447" t="s">
        <v>97</v>
      </c>
      <c r="B165" s="448"/>
      <c r="C165" s="448"/>
      <c r="D165" s="271" t="s">
        <v>186</v>
      </c>
      <c r="E165" s="165">
        <f>E62</f>
        <v>20419</v>
      </c>
      <c r="F165" s="165">
        <f>F62</f>
        <v>20419</v>
      </c>
      <c r="G165" s="124">
        <f t="shared" ref="G165:G172" si="16">F165-E165</f>
        <v>0</v>
      </c>
    </row>
    <row r="166" spans="1:7">
      <c r="A166" s="447" t="s">
        <v>187</v>
      </c>
      <c r="B166" s="448"/>
      <c r="C166" s="448"/>
      <c r="D166" s="271" t="s">
        <v>186</v>
      </c>
      <c r="E166" s="165">
        <f t="shared" ref="E166:E172" si="17">E63</f>
        <v>0</v>
      </c>
      <c r="F166" s="165">
        <f t="shared" ref="F166:F172" si="18">F63</f>
        <v>0</v>
      </c>
      <c r="G166" s="124">
        <f t="shared" si="16"/>
        <v>0</v>
      </c>
    </row>
    <row r="167" spans="1:7" ht="27.75">
      <c r="A167" s="1299" t="s">
        <v>98</v>
      </c>
      <c r="B167" s="1299"/>
      <c r="C167" s="1299"/>
      <c r="D167" s="175" t="s">
        <v>186</v>
      </c>
      <c r="E167" s="165">
        <f t="shared" si="17"/>
        <v>192951</v>
      </c>
      <c r="F167" s="165">
        <f t="shared" si="18"/>
        <v>193343</v>
      </c>
      <c r="G167" s="124">
        <f t="shared" si="16"/>
        <v>392</v>
      </c>
    </row>
    <row r="168" spans="1:7" ht="27.75">
      <c r="A168" s="1299" t="s">
        <v>99</v>
      </c>
      <c r="B168" s="1299"/>
      <c r="C168" s="1299"/>
      <c r="D168" s="175" t="s">
        <v>186</v>
      </c>
      <c r="E168" s="165">
        <f t="shared" si="17"/>
        <v>193430</v>
      </c>
      <c r="F168" s="165">
        <f t="shared" si="18"/>
        <v>193835</v>
      </c>
      <c r="G168" s="124">
        <f t="shared" si="16"/>
        <v>405</v>
      </c>
    </row>
    <row r="169" spans="1:7" ht="27.75">
      <c r="A169" s="1299" t="s">
        <v>100</v>
      </c>
      <c r="B169" s="1299"/>
      <c r="C169" s="1299"/>
      <c r="D169" s="175" t="s">
        <v>186</v>
      </c>
      <c r="E169" s="165">
        <f t="shared" si="17"/>
        <v>92047</v>
      </c>
      <c r="F169" s="165">
        <f t="shared" si="18"/>
        <v>92506</v>
      </c>
      <c r="G169" s="124">
        <f t="shared" si="16"/>
        <v>459</v>
      </c>
    </row>
    <row r="170" spans="1:7" ht="27.75">
      <c r="A170" s="1299" t="s">
        <v>101</v>
      </c>
      <c r="B170" s="1299"/>
      <c r="C170" s="1299"/>
      <c r="D170" s="175" t="s">
        <v>186</v>
      </c>
      <c r="E170" s="165">
        <f t="shared" si="17"/>
        <v>293331</v>
      </c>
      <c r="F170" s="165">
        <f t="shared" si="18"/>
        <v>293890</v>
      </c>
      <c r="G170" s="124">
        <f t="shared" si="16"/>
        <v>559</v>
      </c>
    </row>
    <row r="171" spans="1:7" ht="27.75">
      <c r="A171" s="1299" t="s">
        <v>102</v>
      </c>
      <c r="B171" s="1299"/>
      <c r="C171" s="1299"/>
      <c r="D171" s="175" t="s">
        <v>186</v>
      </c>
      <c r="E171" s="165">
        <f t="shared" si="17"/>
        <v>85321</v>
      </c>
      <c r="F171" s="165">
        <f t="shared" si="18"/>
        <v>85321</v>
      </c>
      <c r="G171" s="124">
        <f t="shared" si="16"/>
        <v>0</v>
      </c>
    </row>
    <row r="172" spans="1:7" ht="27.75">
      <c r="A172" s="1299" t="s">
        <v>103</v>
      </c>
      <c r="B172" s="1299"/>
      <c r="C172" s="1299"/>
      <c r="D172" s="175" t="s">
        <v>186</v>
      </c>
      <c r="E172" s="165">
        <f t="shared" si="17"/>
        <v>105414</v>
      </c>
      <c r="F172" s="165">
        <f t="shared" si="18"/>
        <v>105739</v>
      </c>
      <c r="G172" s="124">
        <f t="shared" si="16"/>
        <v>325</v>
      </c>
    </row>
    <row r="173" spans="1:7">
      <c r="A173" s="449"/>
      <c r="B173" s="450"/>
      <c r="C173" s="450"/>
      <c r="D173" s="451"/>
      <c r="E173" s="453"/>
      <c r="F173" s="680"/>
      <c r="G173" s="453">
        <f>SUM(G161:G172)</f>
        <v>2970.8099999999968</v>
      </c>
    </row>
    <row r="174" spans="1:7" ht="27.75">
      <c r="A174" s="1273" t="s">
        <v>337</v>
      </c>
      <c r="B174" s="1236"/>
      <c r="C174" s="435"/>
      <c r="D174" s="1106" t="s">
        <v>186</v>
      </c>
      <c r="E174" s="1107">
        <v>19211</v>
      </c>
      <c r="F174" s="1107">
        <v>19214</v>
      </c>
      <c r="G174" s="1108">
        <f t="shared" ref="G174:G176" si="19">F174-E174</f>
        <v>3</v>
      </c>
    </row>
    <row r="175" spans="1:7" ht="27.75">
      <c r="A175" s="1273" t="s">
        <v>338</v>
      </c>
      <c r="B175" s="1236"/>
      <c r="C175" s="105"/>
      <c r="D175" s="1106" t="s">
        <v>186</v>
      </c>
      <c r="E175" s="1111">
        <v>27946</v>
      </c>
      <c r="F175" s="1111">
        <v>27952</v>
      </c>
      <c r="G175" s="1108">
        <f t="shared" si="19"/>
        <v>6</v>
      </c>
    </row>
    <row r="176" spans="1:7" ht="27.75">
      <c r="A176" s="1273" t="s">
        <v>337</v>
      </c>
      <c r="B176" s="1236"/>
      <c r="C176" s="105"/>
      <c r="D176" s="1106" t="s">
        <v>186</v>
      </c>
      <c r="E176" s="1107">
        <v>70714</v>
      </c>
      <c r="F176" s="1107">
        <v>70721</v>
      </c>
      <c r="G176" s="1108">
        <f t="shared" si="19"/>
        <v>7</v>
      </c>
    </row>
    <row r="177" spans="1:15" ht="27.75">
      <c r="A177" s="1296" t="s">
        <v>382</v>
      </c>
      <c r="B177" s="1296"/>
      <c r="C177" s="1296"/>
      <c r="D177" s="1296"/>
      <c r="E177" s="1296"/>
      <c r="F177" s="1296"/>
      <c r="G177" s="1296"/>
    </row>
    <row r="178" spans="1:15">
      <c r="A178" s="435"/>
      <c r="B178" s="436"/>
      <c r="C178" s="436"/>
      <c r="D178" s="174" t="s">
        <v>186</v>
      </c>
      <c r="E178" s="414">
        <f>'28'!F178</f>
        <v>0</v>
      </c>
      <c r="F178" s="193"/>
      <c r="G178" s="124">
        <f t="shared" ref="G178:G184" si="20">F178-E178</f>
        <v>0</v>
      </c>
      <c r="N178" s="369"/>
      <c r="O178" s="374"/>
    </row>
    <row r="179" spans="1:15">
      <c r="A179" s="435" t="s">
        <v>383</v>
      </c>
      <c r="B179" s="436"/>
      <c r="C179" s="436"/>
      <c r="D179" s="174" t="s">
        <v>186</v>
      </c>
      <c r="E179" s="414">
        <f>'28'!F179</f>
        <v>0</v>
      </c>
      <c r="F179" s="193"/>
      <c r="G179" s="124">
        <f t="shared" si="20"/>
        <v>0</v>
      </c>
      <c r="N179" s="369"/>
      <c r="O179" s="374"/>
    </row>
    <row r="180" spans="1:15">
      <c r="A180" s="435" t="s">
        <v>384</v>
      </c>
      <c r="B180" s="436"/>
      <c r="C180" s="436"/>
      <c r="D180" s="174" t="s">
        <v>186</v>
      </c>
      <c r="E180" s="414">
        <f>'28'!F180</f>
        <v>0</v>
      </c>
      <c r="F180" s="193"/>
      <c r="G180" s="124">
        <f t="shared" si="20"/>
        <v>0</v>
      </c>
      <c r="N180" s="369"/>
      <c r="O180" s="374"/>
    </row>
    <row r="181" spans="1:15">
      <c r="A181" s="435" t="s">
        <v>385</v>
      </c>
      <c r="B181" s="436"/>
      <c r="C181" s="436"/>
      <c r="D181" s="174" t="s">
        <v>186</v>
      </c>
      <c r="E181" s="414">
        <f>'28'!F181</f>
        <v>0</v>
      </c>
      <c r="F181" s="193"/>
      <c r="G181" s="124">
        <f t="shared" si="20"/>
        <v>0</v>
      </c>
    </row>
    <row r="182" spans="1:15">
      <c r="A182" s="435" t="s">
        <v>386</v>
      </c>
      <c r="B182" s="436"/>
      <c r="C182" s="436"/>
      <c r="D182" s="174" t="s">
        <v>186</v>
      </c>
      <c r="E182" s="414">
        <f>'28'!F182</f>
        <v>0</v>
      </c>
      <c r="F182" s="193"/>
      <c r="G182" s="124">
        <f t="shared" si="20"/>
        <v>0</v>
      </c>
    </row>
    <row r="183" spans="1:15">
      <c r="A183" s="435" t="s">
        <v>387</v>
      </c>
      <c r="B183" s="436"/>
      <c r="C183" s="436"/>
      <c r="D183" s="174" t="s">
        <v>186</v>
      </c>
      <c r="E183" s="414">
        <f>'28'!F183</f>
        <v>0</v>
      </c>
      <c r="F183" s="193"/>
      <c r="G183" s="124">
        <f t="shared" si="20"/>
        <v>0</v>
      </c>
    </row>
    <row r="184" spans="1:15">
      <c r="A184" s="435" t="s">
        <v>388</v>
      </c>
      <c r="B184" s="436"/>
      <c r="C184" s="436"/>
      <c r="D184" s="174" t="s">
        <v>186</v>
      </c>
      <c r="E184" s="414">
        <f>'28'!F184</f>
        <v>0</v>
      </c>
      <c r="F184" s="193"/>
      <c r="G184" s="124">
        <f t="shared" si="20"/>
        <v>0</v>
      </c>
    </row>
  </sheetData>
  <mergeCells count="78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76:B176"/>
    <mergeCell ref="A174:B174"/>
    <mergeCell ref="A175:B175"/>
    <mergeCell ref="A177:G177"/>
    <mergeCell ref="A119:B119"/>
    <mergeCell ref="A120:B120"/>
    <mergeCell ref="A121:B121"/>
    <mergeCell ref="A122:B122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84"/>
  <sheetViews>
    <sheetView view="pageBreakPreview" topLeftCell="A157" zoomScale="55" zoomScaleNormal="55" zoomScaleSheetLayoutView="55" workbookViewId="0">
      <selection activeCell="F8" sqref="F8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5" s="57" customFormat="1" ht="27">
      <c r="A2" s="226" t="s">
        <v>381</v>
      </c>
      <c r="B2" s="751">
        <v>44073</v>
      </c>
      <c r="C2" s="761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>
      <c r="A3" s="221"/>
      <c r="B3" s="265"/>
      <c r="C3" s="761" t="s">
        <v>119</v>
      </c>
      <c r="D3" s="263">
        <v>27</v>
      </c>
      <c r="E3" s="1388" t="s">
        <v>120</v>
      </c>
      <c r="F3" s="1388"/>
      <c r="G3" s="113"/>
      <c r="H3" s="114"/>
      <c r="I3" s="114"/>
      <c r="J3" s="266"/>
      <c r="K3" s="63"/>
      <c r="L3" s="58"/>
      <c r="O3" s="672"/>
    </row>
    <row r="4" spans="1:15" s="57" customFormat="1" ht="27">
      <c r="A4" s="227"/>
      <c r="B4" s="267"/>
      <c r="C4" s="761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>
      <c r="A6" s="1389" t="s">
        <v>129</v>
      </c>
      <c r="B6" s="1390"/>
      <c r="C6" s="1390"/>
      <c r="D6" s="122"/>
      <c r="E6" s="122"/>
      <c r="F6" s="122"/>
      <c r="G6" s="122"/>
      <c r="H6" s="123"/>
      <c r="I6" s="123"/>
      <c r="J6" s="202"/>
      <c r="K6" s="80"/>
      <c r="L6" s="68"/>
      <c r="O6" s="673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v>255589</v>
      </c>
      <c r="F7" s="106">
        <v>278098</v>
      </c>
      <c r="G7" s="424">
        <f>F7-E7</f>
        <v>22509</v>
      </c>
      <c r="H7" s="111">
        <f>G7+'29'!H7</f>
        <v>975261.3899999999</v>
      </c>
      <c r="I7" s="125">
        <f>'1'!I7</f>
        <v>12000</v>
      </c>
      <c r="J7" s="203">
        <f>H7/DAY(B2)</f>
        <v>32508.712999999996</v>
      </c>
      <c r="K7" s="200">
        <v>1375467</v>
      </c>
      <c r="L7" s="68"/>
      <c r="N7" s="91">
        <f>F7-'1'!E7</f>
        <v>-20593</v>
      </c>
      <c r="O7" s="455"/>
    </row>
    <row r="8" spans="1:15" ht="21.95" customHeight="1" thickBot="1">
      <c r="A8" s="231" t="s">
        <v>132</v>
      </c>
      <c r="B8" s="232"/>
      <c r="C8" s="233"/>
      <c r="D8" s="268" t="s">
        <v>25</v>
      </c>
      <c r="E8" s="106">
        <f>'29'!F8</f>
        <v>262202.74</v>
      </c>
      <c r="F8" s="126">
        <f>E8+22500</f>
        <v>284702.74</v>
      </c>
      <c r="G8" s="127">
        <f>F8-E8</f>
        <v>22500</v>
      </c>
      <c r="H8" s="111">
        <f>G8+'29'!H8</f>
        <v>977649</v>
      </c>
      <c r="I8" s="128"/>
      <c r="J8" s="203">
        <f>H8/DAY(B2)</f>
        <v>32588.3</v>
      </c>
      <c r="K8" s="200">
        <v>1715917</v>
      </c>
      <c r="L8" s="78">
        <v>1728480</v>
      </c>
      <c r="M8" s="91">
        <f>L8-K8</f>
        <v>12563</v>
      </c>
      <c r="N8" s="91">
        <f>F8-'1'!E8</f>
        <v>-24869.260000000009</v>
      </c>
      <c r="O8" s="455"/>
    </row>
    <row r="9" spans="1:15" ht="21.95" customHeight="1">
      <c r="A9" s="234" t="s">
        <v>133</v>
      </c>
      <c r="B9" s="235"/>
      <c r="C9" s="235"/>
      <c r="D9" s="174" t="s">
        <v>131</v>
      </c>
      <c r="E9" s="106">
        <f>'29'!F9</f>
        <v>3320136</v>
      </c>
      <c r="F9" s="129">
        <v>3341259</v>
      </c>
      <c r="G9" s="124">
        <f t="shared" ref="G9:G12" si="0">F9-E9</f>
        <v>21123</v>
      </c>
      <c r="H9" s="111">
        <f>G9+'29'!H9</f>
        <v>3258729</v>
      </c>
      <c r="I9" s="130">
        <f>I7-J7</f>
        <v>-20508.712999999996</v>
      </c>
      <c r="J9" s="203">
        <f>H9/DAY(B2)</f>
        <v>108624.3</v>
      </c>
      <c r="K9" s="81">
        <f>K8-100</f>
        <v>1715817</v>
      </c>
      <c r="L9" s="68"/>
      <c r="N9" s="91">
        <f>F9-'1'!E9</f>
        <v>3258729</v>
      </c>
      <c r="O9" s="455"/>
    </row>
    <row r="10" spans="1:15" ht="21.95" customHeight="1">
      <c r="A10" s="229" t="s">
        <v>134</v>
      </c>
      <c r="B10" s="230"/>
      <c r="C10" s="230"/>
      <c r="D10" s="174" t="s">
        <v>131</v>
      </c>
      <c r="E10" s="106">
        <f>'29'!F10</f>
        <v>2607</v>
      </c>
      <c r="F10" s="129">
        <v>2607</v>
      </c>
      <c r="G10" s="124">
        <f t="shared" si="0"/>
        <v>0</v>
      </c>
      <c r="H10" s="111">
        <f>G10+'29'!H10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455"/>
    </row>
    <row r="11" spans="1:15" ht="21.95" customHeight="1">
      <c r="A11" s="229" t="s">
        <v>135</v>
      </c>
      <c r="B11" s="230"/>
      <c r="C11" s="230"/>
      <c r="D11" s="174" t="s">
        <v>131</v>
      </c>
      <c r="E11" s="106">
        <f>'29'!F11</f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455"/>
    </row>
    <row r="12" spans="1:15" ht="21.95" customHeight="1">
      <c r="A12" s="229" t="s">
        <v>136</v>
      </c>
      <c r="B12" s="230"/>
      <c r="C12" s="230"/>
      <c r="D12" s="174" t="s">
        <v>131</v>
      </c>
      <c r="E12" s="106">
        <f>'29'!F12</f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455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21123</v>
      </c>
      <c r="H13" s="111">
        <f>G13+'29'!H13</f>
        <v>3214713.5100000002</v>
      </c>
      <c r="I13" s="133">
        <f>G7-G13</f>
        <v>1386</v>
      </c>
      <c r="J13" s="203">
        <f>H13/DAY(B2)</f>
        <v>107157.11700000001</v>
      </c>
      <c r="K13" s="81"/>
      <c r="L13" s="68"/>
      <c r="N13" s="91">
        <f>F13-'1'!E13</f>
        <v>0</v>
      </c>
      <c r="O13" s="455"/>
    </row>
    <row r="14" spans="1:15" ht="29.25">
      <c r="A14" s="1383" t="s">
        <v>138</v>
      </c>
      <c r="B14" s="1384"/>
      <c r="C14" s="1384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455"/>
    </row>
    <row r="15" spans="1:15" ht="21.95" customHeight="1">
      <c r="A15" s="759" t="s">
        <v>139</v>
      </c>
      <c r="B15" s="240"/>
      <c r="C15" s="240"/>
      <c r="D15" s="174" t="s">
        <v>140</v>
      </c>
      <c r="E15" s="106">
        <f>'29'!F15</f>
        <v>1754904</v>
      </c>
      <c r="F15" s="351">
        <v>1755781</v>
      </c>
      <c r="G15" s="424">
        <f>(F15-E15)</f>
        <v>877</v>
      </c>
      <c r="H15" s="111">
        <f>G15+'29'!H15</f>
        <v>-749</v>
      </c>
      <c r="I15" s="125">
        <f>'1'!I15</f>
        <v>800</v>
      </c>
      <c r="J15" s="203">
        <f>H15/DAY(B2)</f>
        <v>-24.966666666666665</v>
      </c>
      <c r="K15" s="81"/>
      <c r="L15" s="68"/>
      <c r="N15" s="91">
        <f>F15-'1'!E15</f>
        <v>-749</v>
      </c>
      <c r="O15" s="455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8">
        <f>I15-J15</f>
        <v>824.9666666666667</v>
      </c>
      <c r="J16" s="204"/>
      <c r="K16" s="81"/>
      <c r="L16" s="68"/>
      <c r="N16" s="91">
        <f>F16-'1'!E16</f>
        <v>0</v>
      </c>
      <c r="O16" s="455"/>
    </row>
    <row r="17" spans="1:15" ht="29.25">
      <c r="A17" s="1383" t="s">
        <v>141</v>
      </c>
      <c r="B17" s="1384"/>
      <c r="C17" s="1384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455"/>
    </row>
    <row r="18" spans="1:15" ht="27.75">
      <c r="A18" s="1369" t="s">
        <v>142</v>
      </c>
      <c r="B18" s="1370"/>
      <c r="C18" s="1370"/>
      <c r="D18" s="174" t="s">
        <v>143</v>
      </c>
      <c r="E18" s="106">
        <f>'29'!F18</f>
        <v>18</v>
      </c>
      <c r="F18" s="135">
        <v>19</v>
      </c>
      <c r="G18" s="132">
        <f>F18*10</f>
        <v>190</v>
      </c>
      <c r="H18" s="111">
        <f>G18+'29'!H18</f>
        <v>4900</v>
      </c>
      <c r="I18" s="125">
        <f>'1'!I18</f>
        <v>65</v>
      </c>
      <c r="J18" s="203">
        <f>H18/DAY(B2)</f>
        <v>163.33333333333334</v>
      </c>
      <c r="K18" s="81"/>
      <c r="L18" s="68"/>
      <c r="N18" s="91">
        <f>F18-'1'!E18</f>
        <v>5</v>
      </c>
      <c r="O18" s="455"/>
    </row>
    <row r="19" spans="1:15" ht="27.75">
      <c r="A19" s="1369" t="s">
        <v>70</v>
      </c>
      <c r="B19" s="1370"/>
      <c r="C19" s="1370"/>
      <c r="D19" s="174" t="s">
        <v>143</v>
      </c>
      <c r="E19" s="106">
        <f>'29'!F19</f>
        <v>145217</v>
      </c>
      <c r="F19" s="135">
        <v>145276</v>
      </c>
      <c r="G19" s="124">
        <f t="shared" ref="G19" si="1">F19-E19</f>
        <v>59</v>
      </c>
      <c r="H19" s="111">
        <f>G19+'29'!H19</f>
        <v>-62</v>
      </c>
      <c r="I19" s="140"/>
      <c r="J19" s="203">
        <f>H19/DAY(B2)</f>
        <v>-2.0666666666666669</v>
      </c>
      <c r="K19" s="81"/>
      <c r="L19" s="68"/>
      <c r="N19" s="91">
        <f>F19-'1'!E19</f>
        <v>-62</v>
      </c>
      <c r="O19" s="455"/>
    </row>
    <row r="20" spans="1:15" ht="21.95" customHeight="1">
      <c r="A20" s="236" t="s">
        <v>144</v>
      </c>
      <c r="B20" s="237"/>
      <c r="C20" s="237"/>
      <c r="D20" s="141"/>
      <c r="E20" s="141"/>
      <c r="F20" s="141"/>
      <c r="G20" s="671">
        <f>G18+G19</f>
        <v>249</v>
      </c>
      <c r="H20" s="111">
        <f>G20+'29'!H20</f>
        <v>4838</v>
      </c>
      <c r="I20" s="143">
        <f>I18-J20</f>
        <v>-96.26666666666668</v>
      </c>
      <c r="J20" s="203">
        <f>H20/DAY(B2)</f>
        <v>161.26666666666668</v>
      </c>
      <c r="K20" s="81"/>
      <c r="L20" s="68"/>
      <c r="N20" s="91">
        <f>F20-'1'!E20</f>
        <v>0</v>
      </c>
      <c r="O20" s="455"/>
    </row>
    <row r="21" spans="1:15" ht="29.25">
      <c r="A21" s="1383" t="s">
        <v>145</v>
      </c>
      <c r="B21" s="1384"/>
      <c r="C21" s="1384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455"/>
    </row>
    <row r="22" spans="1:15" ht="21.95" customHeight="1">
      <c r="A22" s="759" t="s">
        <v>146</v>
      </c>
      <c r="B22" s="240"/>
      <c r="C22" s="240"/>
      <c r="D22" s="174" t="s">
        <v>147</v>
      </c>
      <c r="E22" s="388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455"/>
    </row>
    <row r="23" spans="1:15" ht="21.95" customHeight="1">
      <c r="A23" s="759" t="s">
        <v>148</v>
      </c>
      <c r="B23" s="240"/>
      <c r="C23" s="240"/>
      <c r="D23" s="174" t="s">
        <v>147</v>
      </c>
      <c r="E23" s="388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455"/>
    </row>
    <row r="24" spans="1:15" ht="21.95" customHeight="1">
      <c r="A24" s="241" t="s">
        <v>149</v>
      </c>
      <c r="B24" s="242"/>
      <c r="C24" s="242"/>
      <c r="D24" s="162" t="s">
        <v>147</v>
      </c>
      <c r="E24" s="391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455"/>
    </row>
    <row r="25" spans="1:15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455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455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22500</v>
      </c>
      <c r="F27" s="152">
        <v>9</v>
      </c>
      <c r="G27" s="674">
        <f>E27*F27</f>
        <v>202500</v>
      </c>
      <c r="H27" s="111">
        <f>G27+'29'!H27</f>
        <v>8791803</v>
      </c>
      <c r="I27" s="154"/>
      <c r="J27" s="203">
        <f>H27/DAY(B2)</f>
        <v>293060.09999999998</v>
      </c>
      <c r="K27" s="65"/>
      <c r="L27" s="94"/>
      <c r="N27" s="91"/>
      <c r="O27" s="455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877</v>
      </c>
      <c r="F28" s="152">
        <v>56.2</v>
      </c>
      <c r="G28" s="674">
        <f>E28*F28</f>
        <v>49287.4</v>
      </c>
      <c r="H28" s="111">
        <f>G28+'29'!H28</f>
        <v>-48079.571399999804</v>
      </c>
      <c r="I28" s="156"/>
      <c r="J28" s="203">
        <f>H28/DAY(B2)</f>
        <v>-1602.6523799999934</v>
      </c>
      <c r="K28" s="65"/>
      <c r="L28" s="94"/>
      <c r="N28" s="91"/>
      <c r="O28" s="455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4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5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59</v>
      </c>
      <c r="F30" s="152">
        <v>146</v>
      </c>
      <c r="G30" s="674">
        <f>E30*F30</f>
        <v>8614</v>
      </c>
      <c r="H30" s="111">
        <f>G30+'29'!H30</f>
        <v>-9052</v>
      </c>
      <c r="I30" s="156"/>
      <c r="J30" s="203">
        <f>H30/DAY(B2)</f>
        <v>-301.73333333333335</v>
      </c>
      <c r="K30" s="65"/>
      <c r="L30" s="94"/>
      <c r="N30" s="91"/>
      <c r="O30" s="455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190</v>
      </c>
      <c r="F31" s="152">
        <v>80</v>
      </c>
      <c r="G31" s="674">
        <f>E31*F31</f>
        <v>15200</v>
      </c>
      <c r="H31" s="111">
        <f>G31+'29'!H31</f>
        <v>386764</v>
      </c>
      <c r="I31" s="156"/>
      <c r="J31" s="203">
        <f>H31/DAY(B2)</f>
        <v>12892.133333333333</v>
      </c>
      <c r="K31" s="65"/>
      <c r="L31" s="94"/>
      <c r="N31" s="91"/>
      <c r="O31" s="455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275601.40000000002</v>
      </c>
      <c r="H32" s="111">
        <f>G32+'29'!H32</f>
        <v>9121435.4286000002</v>
      </c>
      <c r="I32" s="160"/>
      <c r="J32" s="203">
        <f>H32/DAY(B2)</f>
        <v>304047.84762000002</v>
      </c>
      <c r="K32" s="65"/>
      <c r="L32" s="94"/>
      <c r="N32" s="91"/>
      <c r="O32" s="455"/>
    </row>
    <row r="33" spans="1:15" ht="25.5">
      <c r="A33" s="1385" t="s">
        <v>161</v>
      </c>
      <c r="B33" s="1386"/>
      <c r="C33" s="1386"/>
      <c r="D33" s="1386"/>
      <c r="E33" s="1386"/>
      <c r="F33" s="1386"/>
      <c r="G33" s="1386"/>
      <c r="H33" s="1386"/>
      <c r="I33" s="1386"/>
      <c r="J33" s="1387"/>
      <c r="K33" s="81"/>
      <c r="L33" s="68"/>
      <c r="N33" s="91"/>
      <c r="O33" s="455"/>
    </row>
    <row r="34" spans="1:15" ht="21.95" customHeight="1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5"/>
    </row>
    <row r="35" spans="1:15" ht="21.95" customHeight="1">
      <c r="A35" s="229" t="s">
        <v>163</v>
      </c>
      <c r="B35" s="230"/>
      <c r="C35" s="230"/>
      <c r="D35" s="174" t="s">
        <v>131</v>
      </c>
      <c r="E35" s="106">
        <f>'29'!F35</f>
        <v>1058597</v>
      </c>
      <c r="F35" s="161">
        <v>1058597</v>
      </c>
      <c r="G35" s="124">
        <f t="shared" ref="G35:G46" si="3">F35-E35</f>
        <v>0</v>
      </c>
      <c r="H35" s="111">
        <f>G35+'29'!H35</f>
        <v>0</v>
      </c>
      <c r="I35" s="106"/>
      <c r="J35" s="203">
        <f>H35/DAY(B2)</f>
        <v>0</v>
      </c>
      <c r="K35" s="81"/>
      <c r="L35" s="68"/>
      <c r="N35" s="91">
        <f>F35-'1'!E35</f>
        <v>0</v>
      </c>
      <c r="O35" s="455"/>
    </row>
    <row r="36" spans="1:15" ht="21.95" customHeight="1">
      <c r="A36" s="229" t="s">
        <v>164</v>
      </c>
      <c r="B36" s="230"/>
      <c r="C36" s="230"/>
      <c r="D36" s="174" t="s">
        <v>131</v>
      </c>
      <c r="E36" s="106">
        <v>483</v>
      </c>
      <c r="F36" s="161">
        <v>1165</v>
      </c>
      <c r="G36" s="124">
        <f t="shared" si="3"/>
        <v>682</v>
      </c>
      <c r="H36" s="111">
        <f>G36+'29'!H36</f>
        <v>67207</v>
      </c>
      <c r="I36" s="106"/>
      <c r="J36" s="203">
        <f>H36/DAY(B2)</f>
        <v>2240.2333333333331</v>
      </c>
      <c r="K36" s="81"/>
      <c r="L36" s="68"/>
      <c r="N36" s="91">
        <f>F36-'1'!E36</f>
        <v>-668</v>
      </c>
      <c r="O36" s="455"/>
    </row>
    <row r="37" spans="1:15" ht="21.95" customHeight="1">
      <c r="A37" s="229" t="s">
        <v>165</v>
      </c>
      <c r="B37" s="230"/>
      <c r="C37" s="230"/>
      <c r="D37" s="174" t="s">
        <v>131</v>
      </c>
      <c r="E37" s="106">
        <v>289</v>
      </c>
      <c r="F37" s="161">
        <v>1612</v>
      </c>
      <c r="G37" s="124">
        <f t="shared" si="3"/>
        <v>1323</v>
      </c>
      <c r="H37" s="111">
        <f>G37+'29'!H37</f>
        <v>269113</v>
      </c>
      <c r="I37" s="106"/>
      <c r="J37" s="203">
        <f>H37/DAY(B2)</f>
        <v>8970.4333333333325</v>
      </c>
      <c r="K37" s="81"/>
      <c r="L37" s="68"/>
      <c r="N37" s="91">
        <f>F37-'1'!E37</f>
        <v>-1163</v>
      </c>
      <c r="O37" s="455"/>
    </row>
    <row r="38" spans="1:15" ht="21.95" customHeight="1">
      <c r="A38" s="229" t="s">
        <v>166</v>
      </c>
      <c r="B38" s="230"/>
      <c r="C38" s="230"/>
      <c r="D38" s="174" t="s">
        <v>131</v>
      </c>
      <c r="E38" s="106">
        <f>'29'!F38</f>
        <v>297736</v>
      </c>
      <c r="F38" s="120">
        <v>298850</v>
      </c>
      <c r="G38" s="124">
        <f t="shared" si="3"/>
        <v>1114</v>
      </c>
      <c r="H38" s="111">
        <f>G38+'29'!H38</f>
        <v>294027</v>
      </c>
      <c r="I38" s="106"/>
      <c r="J38" s="203">
        <f>H38/DAY(B2)</f>
        <v>9800.9</v>
      </c>
      <c r="K38" s="81"/>
      <c r="L38" s="68"/>
      <c r="N38" s="91"/>
      <c r="O38" s="455"/>
    </row>
    <row r="39" spans="1:15" ht="21.95" customHeight="1">
      <c r="A39" s="229" t="s">
        <v>167</v>
      </c>
      <c r="B39" s="230"/>
      <c r="C39" s="230"/>
      <c r="D39" s="174" t="s">
        <v>131</v>
      </c>
      <c r="E39" s="106">
        <f>'29'!F39</f>
        <v>630153</v>
      </c>
      <c r="F39" s="161">
        <v>634029</v>
      </c>
      <c r="G39" s="124">
        <f t="shared" si="3"/>
        <v>3876</v>
      </c>
      <c r="H39" s="111">
        <f>G39+'29'!H39</f>
        <v>630187</v>
      </c>
      <c r="I39" s="106"/>
      <c r="J39" s="203">
        <f>H39/DAY(B2)</f>
        <v>21006.233333333334</v>
      </c>
      <c r="K39" s="81"/>
      <c r="L39" s="68"/>
      <c r="N39" s="91">
        <f>F39-'1'!E39</f>
        <v>630187</v>
      </c>
      <c r="O39" s="455"/>
    </row>
    <row r="40" spans="1:15" ht="21.95" customHeight="1">
      <c r="A40" s="250" t="s">
        <v>168</v>
      </c>
      <c r="B40" s="251"/>
      <c r="C40" s="251"/>
      <c r="D40" s="174" t="s">
        <v>131</v>
      </c>
      <c r="E40" s="106">
        <f>'29'!F40</f>
        <v>33825</v>
      </c>
      <c r="F40" s="161">
        <v>34221</v>
      </c>
      <c r="G40" s="124">
        <f t="shared" si="3"/>
        <v>396</v>
      </c>
      <c r="H40" s="111">
        <f>G40+'29'!H40</f>
        <v>34378.400000000001</v>
      </c>
      <c r="I40" s="106"/>
      <c r="J40" s="203">
        <f>H40/DAY(B2)</f>
        <v>1145.9466666666667</v>
      </c>
      <c r="K40" s="82"/>
      <c r="L40" s="68"/>
      <c r="N40" s="91">
        <f>F40-'1'!E40</f>
        <v>624.40000000000146</v>
      </c>
      <c r="O40" s="455"/>
    </row>
    <row r="41" spans="1:15" ht="21.95" customHeight="1">
      <c r="A41" s="229" t="s">
        <v>169</v>
      </c>
      <c r="B41" s="230"/>
      <c r="C41" s="230"/>
      <c r="D41" s="174" t="s">
        <v>131</v>
      </c>
      <c r="E41" s="106">
        <f>'29'!F41</f>
        <v>433282</v>
      </c>
      <c r="F41" s="161">
        <v>433281.79</v>
      </c>
      <c r="G41" s="124">
        <f t="shared" si="3"/>
        <v>-0.21000000002095476</v>
      </c>
      <c r="H41" s="111">
        <f>G41+'29'!H41</f>
        <v>0</v>
      </c>
      <c r="I41" s="106"/>
      <c r="J41" s="203">
        <f>H41/DAY(B2)</f>
        <v>0</v>
      </c>
      <c r="K41" s="81"/>
      <c r="L41" s="68"/>
      <c r="N41" s="91">
        <f>F41-'1'!E41</f>
        <v>0</v>
      </c>
      <c r="O41" s="455"/>
    </row>
    <row r="42" spans="1:15" ht="21.95" customHeight="1">
      <c r="A42" s="229" t="s">
        <v>170</v>
      </c>
      <c r="B42" s="230"/>
      <c r="C42" s="230"/>
      <c r="D42" s="174" t="s">
        <v>131</v>
      </c>
      <c r="E42" s="106">
        <f>'29'!F42</f>
        <v>164722</v>
      </c>
      <c r="F42" s="161">
        <v>170507</v>
      </c>
      <c r="G42" s="124">
        <f t="shared" si="3"/>
        <v>5785</v>
      </c>
      <c r="H42" s="111">
        <f>G42+'29'!H42</f>
        <v>-4605</v>
      </c>
      <c r="I42" s="106"/>
      <c r="J42" s="203">
        <f>H42/DAY(B2)</f>
        <v>-153.5</v>
      </c>
      <c r="K42" s="81"/>
      <c r="L42" s="68"/>
      <c r="N42" s="91">
        <f>F42-'1'!E42</f>
        <v>-4605</v>
      </c>
      <c r="O42" s="455"/>
    </row>
    <row r="43" spans="1:15" ht="21.95" customHeight="1">
      <c r="A43" s="229" t="s">
        <v>171</v>
      </c>
      <c r="B43" s="230"/>
      <c r="C43" s="230"/>
      <c r="D43" s="174" t="s">
        <v>131</v>
      </c>
      <c r="E43" s="106">
        <f>'29'!F43</f>
        <v>1284675</v>
      </c>
      <c r="F43" s="161">
        <v>1287250</v>
      </c>
      <c r="G43" s="124">
        <f t="shared" si="3"/>
        <v>2575</v>
      </c>
      <c r="H43" s="111">
        <f>G43+'29'!H43</f>
        <v>-2495</v>
      </c>
      <c r="I43" s="106"/>
      <c r="J43" s="203">
        <f>H43/DAY(B2)</f>
        <v>-83.166666666666671</v>
      </c>
      <c r="K43" s="81"/>
      <c r="L43" s="68"/>
      <c r="N43" s="91">
        <f>F43-'1'!E43</f>
        <v>-2495</v>
      </c>
      <c r="O43" s="455"/>
    </row>
    <row r="44" spans="1:15" ht="21.95" customHeight="1">
      <c r="A44" s="229" t="s">
        <v>172</v>
      </c>
      <c r="B44" s="230"/>
      <c r="C44" s="230"/>
      <c r="D44" s="174" t="s">
        <v>131</v>
      </c>
      <c r="E44" s="106">
        <f>'29'!F44</f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>
        <f>F44-'1'!E44</f>
        <v>0</v>
      </c>
      <c r="O44" s="455"/>
    </row>
    <row r="45" spans="1:15" ht="21.95" customHeight="1">
      <c r="A45" s="229" t="s">
        <v>173</v>
      </c>
      <c r="B45" s="230"/>
      <c r="C45" s="230"/>
      <c r="D45" s="174" t="s">
        <v>131</v>
      </c>
      <c r="E45" s="106">
        <f>'29'!F45</f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>
        <f>F45-'1'!E45</f>
        <v>614</v>
      </c>
      <c r="O45" s="455"/>
    </row>
    <row r="46" spans="1:15" ht="21.95" customHeight="1">
      <c r="A46" s="229" t="s">
        <v>174</v>
      </c>
      <c r="B46" s="230"/>
      <c r="C46" s="230"/>
      <c r="D46" s="174" t="s">
        <v>131</v>
      </c>
      <c r="E46" s="106">
        <f>'29'!F46</f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>
        <f>F46-'1'!E46</f>
        <v>187</v>
      </c>
      <c r="O46" s="455"/>
    </row>
    <row r="47" spans="1:15" ht="21.95" customHeight="1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15750.789999999979</v>
      </c>
      <c r="H47" s="111">
        <f>G47+'29'!H47</f>
        <v>1288613.4000000004</v>
      </c>
      <c r="I47" s="106"/>
      <c r="J47" s="203">
        <f>H47/DAY(B2)</f>
        <v>42953.780000000013</v>
      </c>
      <c r="K47" s="81"/>
      <c r="L47" s="68"/>
      <c r="N47" s="91">
        <f>F47-'1'!E47</f>
        <v>0</v>
      </c>
      <c r="O47" s="455"/>
    </row>
    <row r="48" spans="1:15" ht="29.2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O48" s="455"/>
    </row>
    <row r="49" spans="1:15" ht="29.25">
      <c r="A49" s="229" t="s">
        <v>163</v>
      </c>
      <c r="B49" s="252"/>
      <c r="C49" s="252"/>
      <c r="D49" s="174" t="s">
        <v>131</v>
      </c>
      <c r="E49" s="106">
        <f>'29'!F49</f>
        <v>413115</v>
      </c>
      <c r="F49" s="161">
        <v>416671</v>
      </c>
      <c r="G49" s="124">
        <f t="shared" ref="G49:G58" si="4">F49-E49</f>
        <v>3556</v>
      </c>
      <c r="H49" s="111">
        <f>G49+'29'!H49</f>
        <v>399891</v>
      </c>
      <c r="I49" s="106"/>
      <c r="J49" s="203">
        <f>H49/DAY(B2)</f>
        <v>13329.7</v>
      </c>
      <c r="K49" s="81"/>
      <c r="L49" s="68"/>
      <c r="O49" s="455"/>
    </row>
    <row r="50" spans="1:15" ht="29.25">
      <c r="A50" s="229" t="s">
        <v>177</v>
      </c>
      <c r="B50" s="252"/>
      <c r="C50" s="252"/>
      <c r="D50" s="174" t="s">
        <v>131</v>
      </c>
      <c r="E50" s="106">
        <f>'29'!F50</f>
        <v>605225</v>
      </c>
      <c r="F50" s="161">
        <v>606322</v>
      </c>
      <c r="G50" s="124">
        <f t="shared" si="4"/>
        <v>1097</v>
      </c>
      <c r="H50" s="111">
        <f>G50+'29'!H50</f>
        <v>-1896</v>
      </c>
      <c r="I50" s="106"/>
      <c r="J50" s="203">
        <f>H50/DAY(B2)</f>
        <v>-63.2</v>
      </c>
      <c r="K50" s="81"/>
      <c r="L50" s="68"/>
      <c r="O50" s="455"/>
    </row>
    <row r="51" spans="1:15" ht="29.25">
      <c r="A51" s="229" t="s">
        <v>165</v>
      </c>
      <c r="B51" s="252"/>
      <c r="C51" s="252"/>
      <c r="D51" s="174" t="s">
        <v>131</v>
      </c>
      <c r="E51" s="106">
        <f>'29'!F51</f>
        <v>144639.87</v>
      </c>
      <c r="F51" s="161">
        <v>144640</v>
      </c>
      <c r="G51" s="124">
        <f t="shared" si="4"/>
        <v>0.13000000000465661</v>
      </c>
      <c r="H51" s="111">
        <f>G51+'29'!H51</f>
        <v>144640</v>
      </c>
      <c r="I51" s="106"/>
      <c r="J51" s="203">
        <f>H51/DAY(B2)</f>
        <v>4821.333333333333</v>
      </c>
      <c r="K51" s="81"/>
      <c r="L51" s="68"/>
      <c r="O51" s="455"/>
    </row>
    <row r="52" spans="1:15" ht="29.25">
      <c r="A52" s="229" t="s">
        <v>178</v>
      </c>
      <c r="B52" s="252"/>
      <c r="C52" s="252"/>
      <c r="D52" s="174" t="s">
        <v>131</v>
      </c>
      <c r="E52" s="106">
        <f>'29'!F52</f>
        <v>539606.06999999995</v>
      </c>
      <c r="F52" s="161">
        <v>539606</v>
      </c>
      <c r="G52" s="124">
        <f t="shared" si="4"/>
        <v>-6.9999999948777258E-2</v>
      </c>
      <c r="H52" s="111">
        <f>G52+'29'!H52</f>
        <v>-6.9999999948777258E-2</v>
      </c>
      <c r="I52" s="106"/>
      <c r="J52" s="203">
        <f>H52/DAY(B2)</f>
        <v>-2.3333333316259085E-3</v>
      </c>
      <c r="K52" s="81"/>
      <c r="L52" s="68"/>
      <c r="O52" s="455"/>
    </row>
    <row r="53" spans="1:15" ht="29.25">
      <c r="A53" s="229" t="s">
        <v>167</v>
      </c>
      <c r="B53" s="252"/>
      <c r="C53" s="252"/>
      <c r="D53" s="174" t="s">
        <v>131</v>
      </c>
      <c r="E53" s="106">
        <f>'29'!F53</f>
        <v>434232</v>
      </c>
      <c r="F53" s="161">
        <v>434232</v>
      </c>
      <c r="G53" s="124">
        <f t="shared" si="4"/>
        <v>0</v>
      </c>
      <c r="H53" s="111">
        <f>G53+'29'!H53</f>
        <v>434232</v>
      </c>
      <c r="I53" s="106"/>
      <c r="J53" s="203">
        <f>H53/DAY(B2)</f>
        <v>14474.4</v>
      </c>
      <c r="K53" s="81"/>
      <c r="L53" s="68"/>
      <c r="O53" s="455"/>
    </row>
    <row r="54" spans="1:15" ht="29.25">
      <c r="A54" s="229" t="s">
        <v>179</v>
      </c>
      <c r="B54" s="252"/>
      <c r="C54" s="252"/>
      <c r="D54" s="174" t="s">
        <v>131</v>
      </c>
      <c r="E54" s="106">
        <f>'29'!F54</f>
        <v>14967</v>
      </c>
      <c r="F54" s="161">
        <v>14967</v>
      </c>
      <c r="G54" s="124">
        <f t="shared" si="4"/>
        <v>0</v>
      </c>
      <c r="H54" s="111">
        <f>G54+'29'!H54</f>
        <v>12502</v>
      </c>
      <c r="I54" s="106"/>
      <c r="J54" s="203">
        <f>H54/DAY(B2)</f>
        <v>416.73333333333335</v>
      </c>
      <c r="K54" s="81"/>
      <c r="L54" s="68"/>
      <c r="O54" s="455"/>
    </row>
    <row r="55" spans="1:15" ht="29.25">
      <c r="A55" s="229" t="s">
        <v>180</v>
      </c>
      <c r="B55" s="252"/>
      <c r="C55" s="252"/>
      <c r="D55" s="174" t="s">
        <v>131</v>
      </c>
      <c r="E55" s="106">
        <f>'29'!F55</f>
        <v>304424</v>
      </c>
      <c r="F55" s="702">
        <v>306268</v>
      </c>
      <c r="G55" s="124">
        <f t="shared" si="4"/>
        <v>1844</v>
      </c>
      <c r="H55" s="111">
        <f>G55+'29'!H55</f>
        <v>-1030.9899999999907</v>
      </c>
      <c r="I55" s="106"/>
      <c r="J55" s="203">
        <f>H55/DAY(B2)</f>
        <v>-34.366333333333024</v>
      </c>
      <c r="K55" s="81"/>
      <c r="L55" s="68"/>
      <c r="O55" s="455"/>
    </row>
    <row r="56" spans="1:15" ht="29.25">
      <c r="A56" s="229" t="s">
        <v>181</v>
      </c>
      <c r="B56" s="252"/>
      <c r="C56" s="252"/>
      <c r="D56" s="174" t="s">
        <v>182</v>
      </c>
      <c r="E56" s="106">
        <f>'29'!F56</f>
        <v>660417</v>
      </c>
      <c r="F56" s="161">
        <v>660429</v>
      </c>
      <c r="G56" s="124">
        <f t="shared" si="4"/>
        <v>12</v>
      </c>
      <c r="H56" s="111">
        <f>G56+'29'!H56</f>
        <v>-602</v>
      </c>
      <c r="I56" s="106"/>
      <c r="J56" s="203">
        <f>H56/DAY(B2)</f>
        <v>-20.066666666666666</v>
      </c>
      <c r="K56" s="80"/>
      <c r="L56" s="68"/>
      <c r="O56" s="455"/>
    </row>
    <row r="57" spans="1:15" ht="29.25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5"/>
    </row>
    <row r="58" spans="1:15" ht="29.25">
      <c r="A58" s="229" t="s">
        <v>183</v>
      </c>
      <c r="B58" s="252"/>
      <c r="C58" s="252"/>
      <c r="D58" s="174" t="s">
        <v>131</v>
      </c>
      <c r="E58" s="106">
        <f>'29'!F58</f>
        <v>65599</v>
      </c>
      <c r="F58" s="161">
        <v>65818</v>
      </c>
      <c r="G58" s="124">
        <f t="shared" si="4"/>
        <v>219</v>
      </c>
      <c r="H58" s="111">
        <f>G58+'29'!H58</f>
        <v>-365</v>
      </c>
      <c r="I58" s="106"/>
      <c r="J58" s="203">
        <f>H58/DAY(B2)</f>
        <v>-12.166666666666666</v>
      </c>
      <c r="K58" s="81"/>
      <c r="L58" s="68"/>
      <c r="O58" s="455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6728.0600000000559</v>
      </c>
      <c r="H59" s="111">
        <f>G59+'29'!H59</f>
        <v>1526977.0099999995</v>
      </c>
      <c r="I59" s="106">
        <f>G7-G60</f>
        <v>30.149999999965075</v>
      </c>
      <c r="J59" s="203">
        <f>H59/DAY(B2)</f>
        <v>50899.233666666652</v>
      </c>
      <c r="K59" s="81"/>
      <c r="L59" s="68"/>
      <c r="O59" s="455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22478.850000000035</v>
      </c>
      <c r="H60" s="111">
        <f>G60+'29'!H60</f>
        <v>2822279.4100000006</v>
      </c>
      <c r="I60" s="106">
        <f>G13-G60</f>
        <v>-1355.8500000000349</v>
      </c>
      <c r="J60" s="203">
        <f>H60/DAY(B2)</f>
        <v>94075.980333333355</v>
      </c>
      <c r="K60" s="81"/>
      <c r="L60" s="68"/>
      <c r="O60" s="455"/>
    </row>
    <row r="61" spans="1:15" ht="29.2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5"/>
    </row>
    <row r="62" spans="1:15" ht="29.25">
      <c r="A62" s="254" t="s">
        <v>97</v>
      </c>
      <c r="B62" s="255"/>
      <c r="C62" s="255"/>
      <c r="D62" s="162" t="s">
        <v>186</v>
      </c>
      <c r="E62" s="106">
        <f>'29'!F62</f>
        <v>20419</v>
      </c>
      <c r="F62" s="165">
        <v>20419</v>
      </c>
      <c r="G62" s="124">
        <f t="shared" ref="G62:G69" si="5">F62-E62</f>
        <v>0</v>
      </c>
      <c r="H62" s="111">
        <f>G62+'29'!H62</f>
        <v>1.9999999967694748E-3</v>
      </c>
      <c r="I62" s="166"/>
      <c r="J62" s="203">
        <f>H62/DAY(B2)</f>
        <v>6.666666655898249E-5</v>
      </c>
      <c r="K62" s="81"/>
      <c r="L62" s="68"/>
      <c r="O62" s="455"/>
    </row>
    <row r="63" spans="1:15" ht="29.25">
      <c r="A63" s="254" t="s">
        <v>187</v>
      </c>
      <c r="B63" s="255"/>
      <c r="C63" s="255"/>
      <c r="D63" s="162" t="s">
        <v>186</v>
      </c>
      <c r="E63" s="106">
        <f>'29'!F63</f>
        <v>0</v>
      </c>
      <c r="F63" s="165">
        <v>0</v>
      </c>
      <c r="G63" s="124">
        <f t="shared" si="5"/>
        <v>0</v>
      </c>
      <c r="H63" s="111">
        <f>G63+'29'!H63</f>
        <v>0</v>
      </c>
      <c r="I63" s="166"/>
      <c r="J63" s="203">
        <f>H63/DAY(B2)</f>
        <v>0</v>
      </c>
      <c r="K63" s="81"/>
      <c r="L63" s="68"/>
      <c r="O63" s="455"/>
    </row>
    <row r="64" spans="1:15" ht="27.75">
      <c r="A64" s="1378" t="s">
        <v>98</v>
      </c>
      <c r="B64" s="1232"/>
      <c r="C64" s="1232"/>
      <c r="D64" s="174" t="s">
        <v>186</v>
      </c>
      <c r="E64" s="106">
        <f>'29'!F64</f>
        <v>193343</v>
      </c>
      <c r="F64" s="135">
        <v>193802</v>
      </c>
      <c r="G64" s="124">
        <f t="shared" si="5"/>
        <v>459</v>
      </c>
      <c r="H64" s="111">
        <f>G64+'29'!H64</f>
        <v>-415</v>
      </c>
      <c r="I64" s="131"/>
      <c r="J64" s="203">
        <f>H64/DAY(B2)</f>
        <v>-13.833333333333334</v>
      </c>
      <c r="K64" s="81"/>
      <c r="L64" s="68"/>
      <c r="O64" s="455"/>
    </row>
    <row r="65" spans="1:15" ht="27.75">
      <c r="A65" s="1378" t="s">
        <v>99</v>
      </c>
      <c r="B65" s="1232"/>
      <c r="C65" s="1232"/>
      <c r="D65" s="174" t="s">
        <v>186</v>
      </c>
      <c r="E65" s="106">
        <f>'29'!F65</f>
        <v>193835</v>
      </c>
      <c r="F65" s="135">
        <v>194265</v>
      </c>
      <c r="G65" s="124">
        <f t="shared" si="5"/>
        <v>430</v>
      </c>
      <c r="H65" s="111">
        <f>G65+'29'!H65</f>
        <v>-364</v>
      </c>
      <c r="I65" s="140"/>
      <c r="J65" s="203">
        <f>H65/DAY(B2)</f>
        <v>-12.133333333333333</v>
      </c>
      <c r="K65" s="81"/>
      <c r="L65" s="68"/>
      <c r="O65" s="455"/>
    </row>
    <row r="66" spans="1:15" ht="27.75">
      <c r="A66" s="1378" t="s">
        <v>100</v>
      </c>
      <c r="B66" s="1232"/>
      <c r="C66" s="1232"/>
      <c r="D66" s="174" t="s">
        <v>186</v>
      </c>
      <c r="E66" s="106">
        <f>'29'!F66</f>
        <v>92506</v>
      </c>
      <c r="F66" s="135">
        <v>92924</v>
      </c>
      <c r="G66" s="124">
        <f t="shared" si="5"/>
        <v>418</v>
      </c>
      <c r="H66" s="111">
        <f>G66+'29'!H66</f>
        <v>-393</v>
      </c>
      <c r="I66" s="131"/>
      <c r="J66" s="203">
        <f>H66/DAY(B2)</f>
        <v>-13.1</v>
      </c>
      <c r="K66" s="81"/>
      <c r="L66" s="68"/>
      <c r="O66" s="455"/>
    </row>
    <row r="67" spans="1:15" ht="27.75">
      <c r="A67" s="1378" t="s">
        <v>101</v>
      </c>
      <c r="B67" s="1232"/>
      <c r="C67" s="1232"/>
      <c r="D67" s="174" t="s">
        <v>186</v>
      </c>
      <c r="E67" s="106">
        <f>'29'!F67</f>
        <v>293890</v>
      </c>
      <c r="F67" s="135">
        <v>294453</v>
      </c>
      <c r="G67" s="124">
        <f t="shared" si="5"/>
        <v>563</v>
      </c>
      <c r="H67" s="111">
        <f>G67+'29'!H67</f>
        <v>-438</v>
      </c>
      <c r="I67" s="140"/>
      <c r="J67" s="203">
        <f>H67/DAY(B2)</f>
        <v>-14.6</v>
      </c>
      <c r="K67" s="82"/>
      <c r="L67" s="68"/>
      <c r="O67" s="455"/>
    </row>
    <row r="68" spans="1:15" ht="27.75">
      <c r="A68" s="1378" t="s">
        <v>102</v>
      </c>
      <c r="B68" s="1232"/>
      <c r="C68" s="1232"/>
      <c r="D68" s="174" t="s">
        <v>186</v>
      </c>
      <c r="E68" s="106">
        <f>'29'!F68</f>
        <v>85321</v>
      </c>
      <c r="F68" s="135">
        <v>85321</v>
      </c>
      <c r="G68" s="124">
        <f t="shared" si="5"/>
        <v>0</v>
      </c>
      <c r="H68" s="111">
        <f>G68+'29'!H68</f>
        <v>0</v>
      </c>
      <c r="I68" s="167"/>
      <c r="J68" s="203">
        <f>H68/DAY(B2)</f>
        <v>0</v>
      </c>
      <c r="K68" s="83"/>
      <c r="L68" s="68"/>
      <c r="O68" s="455"/>
    </row>
    <row r="69" spans="1:15" ht="27.75">
      <c r="A69" s="1378" t="s">
        <v>103</v>
      </c>
      <c r="B69" s="1232"/>
      <c r="C69" s="1232"/>
      <c r="D69" s="174" t="s">
        <v>186</v>
      </c>
      <c r="E69" s="106">
        <f>'29'!F69</f>
        <v>105739</v>
      </c>
      <c r="F69" s="135">
        <v>106089</v>
      </c>
      <c r="G69" s="124">
        <f t="shared" si="5"/>
        <v>350</v>
      </c>
      <c r="H69" s="111">
        <f>G69+'29'!H69</f>
        <v>-317</v>
      </c>
      <c r="I69" s="167"/>
      <c r="J69" s="203">
        <f>H69/DAY(B2)</f>
        <v>-10.566666666666666</v>
      </c>
      <c r="K69" s="84"/>
      <c r="L69" s="68"/>
      <c r="O69" s="455"/>
    </row>
    <row r="70" spans="1:15" ht="27.75">
      <c r="A70" s="1391" t="s">
        <v>188</v>
      </c>
      <c r="B70" s="1299"/>
      <c r="C70" s="1299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5"/>
    </row>
    <row r="71" spans="1:15" ht="31.5">
      <c r="A71" s="1392" t="s">
        <v>189</v>
      </c>
      <c r="B71" s="1393"/>
      <c r="C71" s="1393"/>
      <c r="D71" s="1393"/>
      <c r="E71" s="1393"/>
      <c r="F71" s="1393"/>
      <c r="G71" s="1393"/>
      <c r="H71" s="1393"/>
      <c r="I71" s="1393"/>
      <c r="J71" s="1394"/>
      <c r="K71" s="83"/>
      <c r="L71" s="68"/>
      <c r="O71" s="455"/>
    </row>
    <row r="72" spans="1:15" ht="27.75">
      <c r="A72" s="1378" t="s">
        <v>190</v>
      </c>
      <c r="B72" s="1232"/>
      <c r="C72" s="1232"/>
      <c r="D72" s="174" t="s">
        <v>186</v>
      </c>
      <c r="E72" s="106">
        <f>'29'!F72</f>
        <v>856990</v>
      </c>
      <c r="F72" s="170">
        <v>857008</v>
      </c>
      <c r="G72" s="124">
        <f t="shared" ref="G72:G84" si="6">F72-E72</f>
        <v>18</v>
      </c>
      <c r="H72" s="111">
        <f>G72+'29'!H72</f>
        <v>301</v>
      </c>
      <c r="I72" s="131"/>
      <c r="J72" s="203">
        <f>H72/DAY(B2)</f>
        <v>10.033333333333333</v>
      </c>
      <c r="K72" s="84"/>
      <c r="L72" s="68"/>
      <c r="O72" s="455"/>
    </row>
    <row r="73" spans="1:15" ht="27.75">
      <c r="A73" s="1378" t="s">
        <v>191</v>
      </c>
      <c r="B73" s="1232"/>
      <c r="C73" s="1232"/>
      <c r="D73" s="174" t="s">
        <v>186</v>
      </c>
      <c r="E73" s="106">
        <f>'29'!F73</f>
        <v>886048</v>
      </c>
      <c r="F73" s="171">
        <v>886049</v>
      </c>
      <c r="G73" s="124">
        <f t="shared" si="6"/>
        <v>1</v>
      </c>
      <c r="H73" s="111">
        <f>G73+'29'!H73</f>
        <v>-2</v>
      </c>
      <c r="I73" s="131"/>
      <c r="J73" s="203">
        <f>H73/DAY(B2)</f>
        <v>-6.6666666666666666E-2</v>
      </c>
      <c r="K73" s="83"/>
      <c r="L73" s="68"/>
      <c r="O73" s="455"/>
    </row>
    <row r="74" spans="1:15" ht="27.75">
      <c r="A74" s="1378" t="s">
        <v>192</v>
      </c>
      <c r="B74" s="1232"/>
      <c r="C74" s="1232"/>
      <c r="D74" s="174" t="s">
        <v>186</v>
      </c>
      <c r="E74" s="106">
        <f>'29'!F74</f>
        <v>88775</v>
      </c>
      <c r="F74" s="172">
        <v>88775</v>
      </c>
      <c r="G74" s="124">
        <f t="shared" si="6"/>
        <v>0</v>
      </c>
      <c r="H74" s="111">
        <f>G74+'29'!H74</f>
        <v>85</v>
      </c>
      <c r="I74" s="131"/>
      <c r="J74" s="203">
        <f>H74/DAY(B2)</f>
        <v>2.8333333333333335</v>
      </c>
      <c r="K74" s="84"/>
      <c r="L74" s="68"/>
      <c r="O74" s="455"/>
    </row>
    <row r="75" spans="1:15" ht="27.75">
      <c r="A75" s="1395" t="s">
        <v>193</v>
      </c>
      <c r="B75" s="1396"/>
      <c r="C75" s="1396"/>
      <c r="D75" s="174" t="s">
        <v>186</v>
      </c>
      <c r="E75" s="106">
        <f>'29'!F75</f>
        <v>25966</v>
      </c>
      <c r="F75" s="172">
        <v>26148</v>
      </c>
      <c r="G75" s="124">
        <f t="shared" si="6"/>
        <v>182</v>
      </c>
      <c r="H75" s="111">
        <f>G75+'29'!H75</f>
        <v>-160</v>
      </c>
      <c r="I75" s="131"/>
      <c r="J75" s="203">
        <f>H75/DAY(B2)</f>
        <v>-5.333333333333333</v>
      </c>
      <c r="K75" s="83"/>
      <c r="L75" s="68"/>
      <c r="O75" s="455"/>
    </row>
    <row r="76" spans="1:15" ht="27.75">
      <c r="A76" s="1395" t="s">
        <v>194</v>
      </c>
      <c r="B76" s="1396"/>
      <c r="C76" s="1396"/>
      <c r="D76" s="174" t="s">
        <v>186</v>
      </c>
      <c r="E76" s="106">
        <f>'29'!F76</f>
        <v>13135</v>
      </c>
      <c r="F76" s="171">
        <v>13215</v>
      </c>
      <c r="G76" s="124">
        <f t="shared" si="6"/>
        <v>80</v>
      </c>
      <c r="H76" s="111">
        <f>G76+'29'!H76</f>
        <v>-62</v>
      </c>
      <c r="I76" s="156"/>
      <c r="J76" s="203">
        <f>H76/DAY(B2)</f>
        <v>-2.0666666666666669</v>
      </c>
      <c r="K76" s="83"/>
      <c r="L76" s="68"/>
      <c r="O76" s="455"/>
    </row>
    <row r="77" spans="1:15" ht="27.75">
      <c r="A77" s="1378" t="s">
        <v>195</v>
      </c>
      <c r="B77" s="1232"/>
      <c r="C77" s="1232"/>
      <c r="D77" s="174" t="s">
        <v>186</v>
      </c>
      <c r="E77" s="106">
        <f>'29'!F77</f>
        <v>708194</v>
      </c>
      <c r="F77" s="172">
        <v>708244</v>
      </c>
      <c r="G77" s="124">
        <f t="shared" si="6"/>
        <v>50</v>
      </c>
      <c r="H77" s="111">
        <f>G77+'29'!H77</f>
        <v>-45</v>
      </c>
      <c r="I77" s="156"/>
      <c r="J77" s="203">
        <f>H77/DAY(B2)</f>
        <v>-1.5</v>
      </c>
      <c r="K77" s="83"/>
      <c r="L77" s="68"/>
      <c r="O77" s="455"/>
    </row>
    <row r="78" spans="1:15" ht="27.75">
      <c r="A78" s="762" t="s">
        <v>196</v>
      </c>
      <c r="B78" s="754"/>
      <c r="C78" s="754"/>
      <c r="D78" s="174" t="s">
        <v>186</v>
      </c>
      <c r="E78" s="106">
        <f>'29'!F78</f>
        <v>682106</v>
      </c>
      <c r="F78" s="172">
        <v>682326</v>
      </c>
      <c r="G78" s="124">
        <f t="shared" si="6"/>
        <v>220</v>
      </c>
      <c r="H78" s="111">
        <f>G78+'29'!H78</f>
        <v>-87</v>
      </c>
      <c r="I78" s="156"/>
      <c r="J78" s="203">
        <f>H78/DAY(B2)</f>
        <v>-2.9</v>
      </c>
      <c r="K78" s="83"/>
      <c r="L78" s="68"/>
      <c r="O78" s="455"/>
    </row>
    <row r="79" spans="1:15" ht="27.75">
      <c r="A79" s="1395" t="s">
        <v>91</v>
      </c>
      <c r="B79" s="1396"/>
      <c r="C79" s="1396"/>
      <c r="D79" s="175" t="s">
        <v>186</v>
      </c>
      <c r="E79" s="106">
        <f>'29'!F79</f>
        <v>844768</v>
      </c>
      <c r="F79" s="172">
        <v>844897</v>
      </c>
      <c r="G79" s="124">
        <f t="shared" si="6"/>
        <v>129</v>
      </c>
      <c r="H79" s="111">
        <f>G79+'29'!H79</f>
        <v>-152</v>
      </c>
      <c r="I79" s="156"/>
      <c r="J79" s="203">
        <f>H79/DAY(B2)</f>
        <v>-5.0666666666666664</v>
      </c>
      <c r="K79" s="83"/>
      <c r="L79" s="68"/>
      <c r="O79" s="455"/>
    </row>
    <row r="80" spans="1:15" ht="27.75">
      <c r="A80" s="1395" t="s">
        <v>197</v>
      </c>
      <c r="B80" s="1396"/>
      <c r="C80" s="1396"/>
      <c r="D80" s="175" t="s">
        <v>186</v>
      </c>
      <c r="E80" s="106">
        <f>'29'!F80</f>
        <v>563818</v>
      </c>
      <c r="F80" s="171">
        <v>563931</v>
      </c>
      <c r="G80" s="124">
        <f t="shared" si="6"/>
        <v>113</v>
      </c>
      <c r="H80" s="111">
        <f>G80+'29'!H80</f>
        <v>-367</v>
      </c>
      <c r="I80" s="156"/>
      <c r="J80" s="203">
        <f>H80/DAY(B2)</f>
        <v>-12.233333333333333</v>
      </c>
      <c r="K80" s="83"/>
      <c r="L80" s="68"/>
      <c r="O80" s="455"/>
    </row>
    <row r="81" spans="1:15" ht="27.75">
      <c r="A81" s="1395" t="s">
        <v>198</v>
      </c>
      <c r="B81" s="1396"/>
      <c r="C81" s="1396"/>
      <c r="D81" s="175" t="s">
        <v>186</v>
      </c>
      <c r="E81" s="106">
        <f>'29'!F81</f>
        <v>653883</v>
      </c>
      <c r="F81" s="171">
        <v>654047</v>
      </c>
      <c r="G81" s="124">
        <f t="shared" si="6"/>
        <v>164</v>
      </c>
      <c r="H81" s="111">
        <f>G81+'29'!H81</f>
        <v>-131</v>
      </c>
      <c r="I81" s="156"/>
      <c r="J81" s="203">
        <f>H81/DAY(B2)</f>
        <v>-4.3666666666666663</v>
      </c>
      <c r="K81" s="83"/>
      <c r="L81" s="68"/>
      <c r="O81" s="455"/>
    </row>
    <row r="82" spans="1:15" ht="27.75">
      <c r="A82" s="1395" t="s">
        <v>92</v>
      </c>
      <c r="B82" s="1396"/>
      <c r="C82" s="1396"/>
      <c r="D82" s="136" t="s">
        <v>131</v>
      </c>
      <c r="E82" s="106">
        <f>'29'!F82</f>
        <v>109888</v>
      </c>
      <c r="F82" s="173">
        <v>109913</v>
      </c>
      <c r="G82" s="124">
        <f t="shared" si="6"/>
        <v>25</v>
      </c>
      <c r="H82" s="111">
        <f>G82+'29'!H82</f>
        <v>110136</v>
      </c>
      <c r="I82" s="137"/>
      <c r="J82" s="203">
        <f>H82/DAY(B2)</f>
        <v>3671.2</v>
      </c>
      <c r="K82" s="83"/>
      <c r="L82" s="68"/>
      <c r="O82" s="455"/>
    </row>
    <row r="83" spans="1:15" ht="27.75">
      <c r="A83" s="1395" t="s">
        <v>199</v>
      </c>
      <c r="B83" s="1396"/>
      <c r="C83" s="1396"/>
      <c r="D83" s="271" t="s">
        <v>131</v>
      </c>
      <c r="E83" s="106">
        <f>'29'!F83</f>
        <v>43741</v>
      </c>
      <c r="F83" s="162">
        <v>44013</v>
      </c>
      <c r="G83" s="124">
        <f t="shared" si="6"/>
        <v>272</v>
      </c>
      <c r="H83" s="111">
        <f>G83+'29'!H83</f>
        <v>-310</v>
      </c>
      <c r="I83" s="132"/>
      <c r="J83" s="203">
        <f>H83/DAY(B2)</f>
        <v>-10.333333333333334</v>
      </c>
      <c r="K83" s="82"/>
      <c r="L83" s="68"/>
      <c r="O83" s="455"/>
    </row>
    <row r="84" spans="1:15" ht="29.25">
      <c r="A84" s="763" t="s">
        <v>200</v>
      </c>
      <c r="B84" s="222"/>
      <c r="C84" s="222"/>
      <c r="D84" s="129" t="s">
        <v>131</v>
      </c>
      <c r="E84" s="106">
        <f>'29'!F84</f>
        <v>568965</v>
      </c>
      <c r="F84" s="174">
        <v>569725</v>
      </c>
      <c r="G84" s="124">
        <f t="shared" si="6"/>
        <v>760</v>
      </c>
      <c r="H84" s="111">
        <f>G84+'29'!H84</f>
        <v>-654</v>
      </c>
      <c r="I84" s="132"/>
      <c r="J84" s="203">
        <f>H84/DAY(B2)</f>
        <v>-21.8</v>
      </c>
      <c r="K84" s="71"/>
      <c r="L84" s="68"/>
      <c r="O84" s="455"/>
    </row>
    <row r="85" spans="1:15" s="70" customFormat="1" ht="21.95" customHeight="1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2014</v>
      </c>
      <c r="H85" s="111">
        <f>G85+'29'!H85</f>
        <v>108237.00000000001</v>
      </c>
      <c r="I85" s="132"/>
      <c r="J85" s="203">
        <f>H85/DAY(B2)</f>
        <v>3607.9000000000005</v>
      </c>
      <c r="K85" s="71"/>
      <c r="L85" s="69"/>
      <c r="O85" s="455"/>
    </row>
    <row r="86" spans="1:15" s="386" customFormat="1" ht="29.25">
      <c r="A86" s="381" t="s">
        <v>93</v>
      </c>
      <c r="B86" s="382"/>
      <c r="C86" s="382"/>
      <c r="D86" s="383" t="s">
        <v>182</v>
      </c>
      <c r="E86" s="106">
        <f>'29'!F86</f>
        <v>463287</v>
      </c>
      <c r="F86" s="298">
        <v>463296</v>
      </c>
      <c r="G86" s="356">
        <f t="shared" ref="G86:G91" si="7">F86-E86</f>
        <v>9</v>
      </c>
      <c r="H86" s="111">
        <f>G86+'29'!H86</f>
        <v>16</v>
      </c>
      <c r="I86" s="303"/>
      <c r="J86" s="358">
        <f>H86/DAY(B2)</f>
        <v>0.53333333333333333</v>
      </c>
      <c r="K86" s="384"/>
      <c r="L86" s="385"/>
      <c r="O86" s="455"/>
    </row>
    <row r="87" spans="1:15" s="386" customFormat="1" ht="27.75" customHeight="1">
      <c r="A87" s="381" t="s">
        <v>94</v>
      </c>
      <c r="B87" s="382"/>
      <c r="C87" s="382"/>
      <c r="D87" s="383" t="s">
        <v>182</v>
      </c>
      <c r="E87" s="106">
        <f>'29'!F87</f>
        <v>83825</v>
      </c>
      <c r="F87" s="298">
        <v>83860</v>
      </c>
      <c r="G87" s="356">
        <f t="shared" si="7"/>
        <v>35</v>
      </c>
      <c r="H87" s="111">
        <f>G87+'29'!H87</f>
        <v>53</v>
      </c>
      <c r="I87" s="303"/>
      <c r="J87" s="358">
        <f>H87/DAY(B2)</f>
        <v>1.7666666666666666</v>
      </c>
      <c r="K87" s="384"/>
      <c r="L87" s="385"/>
      <c r="O87" s="455"/>
    </row>
    <row r="88" spans="1:15" s="386" customFormat="1" ht="29.25">
      <c r="A88" s="381" t="s">
        <v>95</v>
      </c>
      <c r="B88" s="382"/>
      <c r="C88" s="382"/>
      <c r="D88" s="383" t="s">
        <v>182</v>
      </c>
      <c r="E88" s="106">
        <f>'29'!F88</f>
        <v>158212</v>
      </c>
      <c r="F88" s="298">
        <v>158212</v>
      </c>
      <c r="G88" s="356">
        <f t="shared" si="7"/>
        <v>0</v>
      </c>
      <c r="H88" s="111">
        <f>G88+'29'!H88</f>
        <v>0</v>
      </c>
      <c r="I88" s="303"/>
      <c r="J88" s="358">
        <f>H88/DAY(B2)</f>
        <v>0</v>
      </c>
      <c r="K88" s="384"/>
      <c r="L88" s="385"/>
      <c r="O88" s="455"/>
    </row>
    <row r="89" spans="1:15" s="386" customFormat="1" ht="29.25">
      <c r="A89" s="381" t="s">
        <v>203</v>
      </c>
      <c r="B89" s="382"/>
      <c r="C89" s="382"/>
      <c r="D89" s="383" t="s">
        <v>182</v>
      </c>
      <c r="E89" s="106">
        <f>'29'!F89</f>
        <v>68912</v>
      </c>
      <c r="F89" s="298">
        <v>68992</v>
      </c>
      <c r="G89" s="356">
        <f t="shared" si="7"/>
        <v>80</v>
      </c>
      <c r="H89" s="111">
        <f>G89+'29'!H89</f>
        <v>124</v>
      </c>
      <c r="I89" s="303"/>
      <c r="J89" s="358">
        <f>H89/DAY(B2)</f>
        <v>4.1333333333333337</v>
      </c>
      <c r="K89" s="384"/>
      <c r="L89" s="385"/>
      <c r="N89" s="428"/>
      <c r="O89" s="455"/>
    </row>
    <row r="90" spans="1:15" s="386" customFormat="1" ht="29.25">
      <c r="A90" s="381" t="s">
        <v>203</v>
      </c>
      <c r="B90" s="382"/>
      <c r="C90" s="382"/>
      <c r="D90" s="383" t="s">
        <v>182</v>
      </c>
      <c r="E90" s="106">
        <f>'29'!F90</f>
        <v>3600</v>
      </c>
      <c r="F90" s="298">
        <v>3607</v>
      </c>
      <c r="G90" s="356">
        <f t="shared" si="7"/>
        <v>7</v>
      </c>
      <c r="H90" s="111">
        <f>G90+'29'!H90</f>
        <v>7</v>
      </c>
      <c r="I90" s="303"/>
      <c r="J90" s="358">
        <f>H90/DAY(B2)</f>
        <v>0.23333333333333334</v>
      </c>
      <c r="K90" s="384"/>
      <c r="L90" s="385"/>
      <c r="N90" s="428"/>
      <c r="O90" s="455"/>
    </row>
    <row r="91" spans="1:15" s="386" customFormat="1" ht="29.25">
      <c r="A91" s="381" t="s">
        <v>335</v>
      </c>
      <c r="B91" s="382"/>
      <c r="C91" s="382"/>
      <c r="D91" s="383"/>
      <c r="E91" s="106">
        <f>'29'!F91</f>
        <v>28728</v>
      </c>
      <c r="F91" s="298">
        <v>28738</v>
      </c>
      <c r="G91" s="356">
        <f t="shared" si="7"/>
        <v>10</v>
      </c>
      <c r="H91" s="111">
        <f>G91+'29'!H91</f>
        <v>12</v>
      </c>
      <c r="I91" s="303"/>
      <c r="J91" s="358">
        <f>H91/DAY(B2)</f>
        <v>0.4</v>
      </c>
      <c r="K91" s="384"/>
      <c r="L91" s="385"/>
      <c r="N91" s="428"/>
      <c r="O91" s="73"/>
    </row>
    <row r="92" spans="1:15" s="70" customFormat="1" ht="29.2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O92" s="455"/>
    </row>
    <row r="93" spans="1:15" ht="27.75">
      <c r="A93" s="1369" t="s">
        <v>205</v>
      </c>
      <c r="B93" s="1370"/>
      <c r="C93" s="1370"/>
      <c r="D93" s="174" t="s">
        <v>143</v>
      </c>
      <c r="E93" s="106">
        <f>'29'!F93</f>
        <v>253283</v>
      </c>
      <c r="F93" s="135">
        <v>253392</v>
      </c>
      <c r="G93" s="124">
        <f t="shared" ref="G93:G94" si="8">F93-E93</f>
        <v>109</v>
      </c>
      <c r="H93" s="111">
        <f>G93+'29'!H93</f>
        <v>-60</v>
      </c>
      <c r="I93" s="131"/>
      <c r="J93" s="203">
        <f>H93/DAY(B2)</f>
        <v>-2</v>
      </c>
      <c r="K93" s="82"/>
      <c r="L93" s="68"/>
      <c r="O93" s="455"/>
    </row>
    <row r="94" spans="1:15" ht="27.75">
      <c r="A94" s="1369" t="s">
        <v>206</v>
      </c>
      <c r="B94" s="1370"/>
      <c r="C94" s="1370"/>
      <c r="D94" s="174" t="s">
        <v>143</v>
      </c>
      <c r="E94" s="106">
        <f>'29'!F94</f>
        <v>197317</v>
      </c>
      <c r="F94" s="135">
        <v>197491</v>
      </c>
      <c r="G94" s="124">
        <f t="shared" si="8"/>
        <v>174</v>
      </c>
      <c r="H94" s="111">
        <f>G94+'29'!H94</f>
        <v>-168</v>
      </c>
      <c r="I94" s="131"/>
      <c r="J94" s="203">
        <f>H94/DAY(B2)</f>
        <v>-5.6</v>
      </c>
      <c r="K94" s="71"/>
      <c r="L94" s="68"/>
      <c r="O94" s="455"/>
    </row>
    <row r="95" spans="1:15" ht="29.25">
      <c r="A95" s="1397" t="s">
        <v>207</v>
      </c>
      <c r="B95" s="1398"/>
      <c r="C95" s="1398"/>
      <c r="D95" s="174"/>
      <c r="E95" s="106"/>
      <c r="F95" s="135"/>
      <c r="G95" s="124">
        <f>G93+G94</f>
        <v>283</v>
      </c>
      <c r="H95" s="111">
        <f>G95+'29'!H95</f>
        <v>-453</v>
      </c>
      <c r="I95" s="131"/>
      <c r="J95" s="203">
        <f>H95/DAY(B2)</f>
        <v>-15.1</v>
      </c>
      <c r="K95" s="71"/>
      <c r="L95" s="68"/>
      <c r="O95" s="455"/>
    </row>
    <row r="96" spans="1:15" ht="27.75">
      <c r="A96" s="1369" t="s">
        <v>208</v>
      </c>
      <c r="B96" s="1370"/>
      <c r="C96" s="1370"/>
      <c r="D96" s="174" t="s">
        <v>143</v>
      </c>
      <c r="E96" s="106">
        <f>'29'!F96</f>
        <v>420877</v>
      </c>
      <c r="F96" s="135">
        <v>420954</v>
      </c>
      <c r="G96" s="124">
        <f t="shared" ref="G96:G100" si="9">F96-E96</f>
        <v>77</v>
      </c>
      <c r="H96" s="111">
        <f>G96+'29'!H96</f>
        <v>-65</v>
      </c>
      <c r="I96" s="131"/>
      <c r="J96" s="203">
        <f>H96/DAY(B2)</f>
        <v>-2.1666666666666665</v>
      </c>
      <c r="K96" s="71"/>
      <c r="L96" s="68"/>
      <c r="O96" s="455"/>
    </row>
    <row r="97" spans="1:15" ht="27.75">
      <c r="A97" s="759" t="s">
        <v>209</v>
      </c>
      <c r="B97" s="760"/>
      <c r="C97" s="760"/>
      <c r="D97" s="174" t="s">
        <v>143</v>
      </c>
      <c r="E97" s="106">
        <f>'29'!F97</f>
        <v>104593</v>
      </c>
      <c r="F97" s="135">
        <v>104616</v>
      </c>
      <c r="G97" s="124">
        <f t="shared" si="9"/>
        <v>23</v>
      </c>
      <c r="H97" s="111">
        <f>G97+'29'!H97</f>
        <v>-20</v>
      </c>
      <c r="I97" s="131"/>
      <c r="J97" s="203">
        <f>H97/DAY(B2)</f>
        <v>-0.66666666666666663</v>
      </c>
      <c r="K97" s="80"/>
      <c r="L97" s="68"/>
      <c r="O97" s="455"/>
    </row>
    <row r="98" spans="1:15" ht="27.75">
      <c r="A98" s="759" t="s">
        <v>210</v>
      </c>
      <c r="B98" s="760"/>
      <c r="C98" s="760"/>
      <c r="D98" s="174" t="s">
        <v>143</v>
      </c>
      <c r="E98" s="106">
        <f>'29'!F98</f>
        <v>100317</v>
      </c>
      <c r="F98" s="135">
        <v>100348</v>
      </c>
      <c r="G98" s="124">
        <f t="shared" si="9"/>
        <v>31</v>
      </c>
      <c r="H98" s="111">
        <f>G98+'29'!H98</f>
        <v>-22</v>
      </c>
      <c r="I98" s="131"/>
      <c r="J98" s="203">
        <f>H98/DAY(B2)</f>
        <v>-0.73333333333333328</v>
      </c>
      <c r="K98" s="85"/>
      <c r="L98" s="68"/>
      <c r="O98" s="455"/>
    </row>
    <row r="99" spans="1:15" ht="27.75">
      <c r="A99" s="759" t="s">
        <v>211</v>
      </c>
      <c r="B99" s="760"/>
      <c r="C99" s="760"/>
      <c r="D99" s="174" t="s">
        <v>143</v>
      </c>
      <c r="E99" s="106">
        <f>'29'!F99</f>
        <v>152094</v>
      </c>
      <c r="F99" s="135">
        <v>152126</v>
      </c>
      <c r="G99" s="124">
        <f t="shared" si="9"/>
        <v>32</v>
      </c>
      <c r="H99" s="111">
        <f>G99+'29'!H99</f>
        <v>-9</v>
      </c>
      <c r="I99" s="131"/>
      <c r="J99" s="203">
        <f>H99/DAY(B2)</f>
        <v>-0.3</v>
      </c>
      <c r="K99" s="71"/>
      <c r="L99" s="68"/>
      <c r="O99" s="455"/>
    </row>
    <row r="100" spans="1:15" ht="27.75">
      <c r="A100" s="759" t="s">
        <v>212</v>
      </c>
      <c r="B100" s="760"/>
      <c r="C100" s="760"/>
      <c r="D100" s="174" t="s">
        <v>143</v>
      </c>
      <c r="E100" s="106">
        <f>'29'!F100</f>
        <v>8624</v>
      </c>
      <c r="F100" s="135">
        <v>8635</v>
      </c>
      <c r="G100" s="124">
        <f t="shared" si="9"/>
        <v>11</v>
      </c>
      <c r="H100" s="111">
        <f>G100+'29'!H100</f>
        <v>-10</v>
      </c>
      <c r="I100" s="131"/>
      <c r="J100" s="203">
        <f>H100/DAY(B2)</f>
        <v>-0.33333333333333331</v>
      </c>
      <c r="K100" s="71"/>
      <c r="L100" s="68"/>
      <c r="O100" s="455"/>
    </row>
    <row r="101" spans="1:15" ht="27.75">
      <c r="A101" s="759" t="s">
        <v>213</v>
      </c>
      <c r="B101" s="760"/>
      <c r="C101" s="760"/>
      <c r="D101" s="174" t="s">
        <v>143</v>
      </c>
      <c r="E101" s="106">
        <f>'29'!F101</f>
        <v>6356</v>
      </c>
      <c r="F101" s="135">
        <v>6367</v>
      </c>
      <c r="G101" s="124">
        <f>F101-E101</f>
        <v>11</v>
      </c>
      <c r="H101" s="111">
        <f>G101+'29'!H101</f>
        <v>-6</v>
      </c>
      <c r="I101" s="131"/>
      <c r="J101" s="203">
        <f>H101/DAY(B2)</f>
        <v>-0.2</v>
      </c>
      <c r="K101" s="71"/>
      <c r="L101" s="68"/>
      <c r="O101" s="455"/>
    </row>
    <row r="102" spans="1:15" ht="29.25">
      <c r="A102" s="1397" t="s">
        <v>215</v>
      </c>
      <c r="B102" s="1398"/>
      <c r="C102" s="1398"/>
      <c r="D102" s="175"/>
      <c r="E102" s="175"/>
      <c r="F102" s="175"/>
      <c r="G102" s="176">
        <f>SUM(G96:G101)</f>
        <v>185</v>
      </c>
      <c r="H102" s="111">
        <f>G102+'29'!H102</f>
        <v>-132</v>
      </c>
      <c r="I102" s="177"/>
      <c r="J102" s="203">
        <f>H102/DAY(B2)</f>
        <v>-4.4000000000000004</v>
      </c>
      <c r="K102" s="71"/>
      <c r="L102" s="68"/>
      <c r="O102" s="455"/>
    </row>
    <row r="103" spans="1:15" s="93" customFormat="1" ht="27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5"/>
    </row>
    <row r="104" spans="1:15" s="93" customFormat="1" ht="27.75">
      <c r="A104" s="1401" t="s">
        <v>217</v>
      </c>
      <c r="B104" s="1402"/>
      <c r="C104" s="224"/>
      <c r="D104" s="273"/>
      <c r="E104" s="183"/>
      <c r="F104" s="183"/>
      <c r="G104" s="183"/>
      <c r="H104" s="184"/>
      <c r="I104" s="183"/>
      <c r="J104" s="209"/>
      <c r="O104" s="455"/>
    </row>
    <row r="105" spans="1:15" s="93" customFormat="1" ht="27.75">
      <c r="A105" s="1371" t="s">
        <v>218</v>
      </c>
      <c r="B105" s="1292"/>
      <c r="C105" s="757"/>
      <c r="D105" s="273" t="s">
        <v>143</v>
      </c>
      <c r="E105" s="183">
        <f>'29'!F105</f>
        <v>7961</v>
      </c>
      <c r="F105" s="183">
        <v>7961</v>
      </c>
      <c r="G105" s="183">
        <f>F105-E105</f>
        <v>0</v>
      </c>
      <c r="H105" s="111">
        <f>G105+'29'!H105</f>
        <v>75.700000000000728</v>
      </c>
      <c r="I105" s="183"/>
      <c r="J105" s="209">
        <f>H105/DAY(B2)</f>
        <v>2.5233333333333574</v>
      </c>
      <c r="O105" s="455"/>
    </row>
    <row r="106" spans="1:15" s="93" customFormat="1" ht="27.75">
      <c r="A106" s="1371" t="s">
        <v>76</v>
      </c>
      <c r="B106" s="1292"/>
      <c r="C106" s="757"/>
      <c r="D106" s="273" t="s">
        <v>143</v>
      </c>
      <c r="E106" s="183">
        <f>'29'!F106</f>
        <v>36743</v>
      </c>
      <c r="F106" s="185">
        <v>36756</v>
      </c>
      <c r="G106" s="183">
        <f t="shared" ref="G106:G107" si="10">F106-E106</f>
        <v>13</v>
      </c>
      <c r="H106" s="111">
        <f>G106+'29'!H106</f>
        <v>72</v>
      </c>
      <c r="I106" s="183"/>
      <c r="J106" s="209">
        <f>H106/DAY(B2)</f>
        <v>2.4</v>
      </c>
      <c r="O106" s="455"/>
    </row>
    <row r="107" spans="1:15" s="93" customFormat="1" ht="27.75">
      <c r="A107" s="1371" t="s">
        <v>77</v>
      </c>
      <c r="B107" s="1292"/>
      <c r="C107" s="1292"/>
      <c r="D107" s="273" t="s">
        <v>143</v>
      </c>
      <c r="E107" s="183">
        <f>'29'!F107</f>
        <v>20199</v>
      </c>
      <c r="F107" s="183">
        <v>20207</v>
      </c>
      <c r="G107" s="183">
        <f t="shared" si="10"/>
        <v>8</v>
      </c>
      <c r="H107" s="111">
        <f>G107+'29'!H107</f>
        <v>33</v>
      </c>
      <c r="I107" s="183"/>
      <c r="J107" s="209">
        <f>H107/DAY(B2)</f>
        <v>1.1000000000000001</v>
      </c>
      <c r="O107" s="455"/>
    </row>
    <row r="108" spans="1:15" s="93" customFormat="1" ht="27.75">
      <c r="A108" s="1372" t="s">
        <v>201</v>
      </c>
      <c r="B108" s="1373"/>
      <c r="C108" s="757"/>
      <c r="D108" s="273"/>
      <c r="E108" s="183"/>
      <c r="F108" s="183"/>
      <c r="G108" s="183">
        <f>SUM(G105:G107)</f>
        <v>21</v>
      </c>
      <c r="H108" s="111">
        <f>G108+'29'!H108</f>
        <v>206</v>
      </c>
      <c r="I108" s="183"/>
      <c r="J108" s="209">
        <f>H108/DAY(B2)</f>
        <v>6.8666666666666663</v>
      </c>
      <c r="O108" s="455"/>
    </row>
    <row r="109" spans="1:15" s="93" customFormat="1" ht="27.75">
      <c r="A109" s="1403" t="s">
        <v>78</v>
      </c>
      <c r="B109" s="1404"/>
      <c r="C109" s="757"/>
      <c r="D109" s="273" t="s">
        <v>143</v>
      </c>
      <c r="E109" s="183"/>
      <c r="F109" s="183"/>
      <c r="G109" s="183"/>
      <c r="H109" s="184"/>
      <c r="I109" s="183"/>
      <c r="J109" s="209"/>
      <c r="O109" s="455"/>
    </row>
    <row r="110" spans="1:15" s="93" customFormat="1" ht="27.75">
      <c r="A110" s="1371" t="s">
        <v>219</v>
      </c>
      <c r="B110" s="1292"/>
      <c r="C110" s="757"/>
      <c r="D110" s="273" t="s">
        <v>143</v>
      </c>
      <c r="E110" s="183">
        <f>'29'!F110</f>
        <v>69369</v>
      </c>
      <c r="F110" s="183">
        <v>69445</v>
      </c>
      <c r="G110" s="183">
        <f>F110-E110</f>
        <v>76</v>
      </c>
      <c r="H110" s="111">
        <f>G110+'29'!H110</f>
        <v>333.80000000004657</v>
      </c>
      <c r="I110" s="183"/>
      <c r="J110" s="209">
        <f>H110/DAY(B2)</f>
        <v>11.126666666668219</v>
      </c>
      <c r="O110" s="455"/>
    </row>
    <row r="111" spans="1:15" s="93" customFormat="1" ht="27.75">
      <c r="A111" s="1371" t="s">
        <v>220</v>
      </c>
      <c r="B111" s="1292"/>
      <c r="C111" s="757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30</v>
      </c>
      <c r="I111" s="183"/>
      <c r="J111" s="209">
        <f>H111/DAY(B2)</f>
        <v>1</v>
      </c>
      <c r="O111" s="455"/>
    </row>
    <row r="112" spans="1:15" s="93" customFormat="1" ht="27.75">
      <c r="A112" s="1371" t="s">
        <v>221</v>
      </c>
      <c r="B112" s="1292"/>
      <c r="C112" s="757"/>
      <c r="D112" s="273" t="s">
        <v>143</v>
      </c>
      <c r="E112" s="183">
        <f>'29'!F112</f>
        <v>4779</v>
      </c>
      <c r="F112" s="183">
        <v>4788</v>
      </c>
      <c r="G112" s="183">
        <f t="shared" si="11"/>
        <v>9</v>
      </c>
      <c r="H112" s="111">
        <f>G112+'29'!H112</f>
        <v>320</v>
      </c>
      <c r="I112" s="183"/>
      <c r="J112" s="209">
        <f>H112/DAY(B2)</f>
        <v>10.666666666666666</v>
      </c>
      <c r="O112" s="455"/>
    </row>
    <row r="113" spans="1:15" s="93" customFormat="1" ht="27.75">
      <c r="A113" s="1405" t="s">
        <v>109</v>
      </c>
      <c r="B113" s="1406"/>
      <c r="C113" s="757"/>
      <c r="D113" s="273"/>
      <c r="E113" s="183"/>
      <c r="F113" s="183"/>
      <c r="G113" s="183">
        <f>SUM(G110:G112)</f>
        <v>85</v>
      </c>
      <c r="H113" s="111">
        <f>G113+'29'!H113</f>
        <v>908</v>
      </c>
      <c r="I113" s="183"/>
      <c r="J113" s="209">
        <f>H113/DAY(B2)</f>
        <v>30.266666666666666</v>
      </c>
      <c r="O113" s="455"/>
    </row>
    <row r="114" spans="1:15" s="93" customFormat="1" ht="27.75">
      <c r="A114" s="1403" t="s">
        <v>222</v>
      </c>
      <c r="B114" s="1404"/>
      <c r="C114" s="757"/>
      <c r="D114" s="273"/>
      <c r="E114" s="183"/>
      <c r="F114" s="183"/>
      <c r="G114" s="183"/>
      <c r="H114" s="184"/>
      <c r="I114" s="183"/>
      <c r="J114" s="209">
        <f>H114/DAY(B2)</f>
        <v>0</v>
      </c>
      <c r="O114" s="455"/>
    </row>
    <row r="115" spans="1:15" s="93" customFormat="1" ht="27.75">
      <c r="A115" s="1371" t="s">
        <v>223</v>
      </c>
      <c r="B115" s="1292"/>
      <c r="C115" s="225"/>
      <c r="D115" s="273" t="s">
        <v>143</v>
      </c>
      <c r="E115" s="183">
        <f>'29'!F115</f>
        <v>13013</v>
      </c>
      <c r="F115" s="185">
        <v>13025</v>
      </c>
      <c r="G115" s="185">
        <f>F115-E115</f>
        <v>12</v>
      </c>
      <c r="H115" s="111">
        <f>G115+'29'!H115</f>
        <v>30</v>
      </c>
      <c r="I115" s="183"/>
      <c r="J115" s="209">
        <f>H115/DAY(B2)</f>
        <v>1</v>
      </c>
      <c r="O115" s="455"/>
    </row>
    <row r="116" spans="1:15" s="93" customFormat="1" ht="27.75">
      <c r="A116" s="1371" t="s">
        <v>224</v>
      </c>
      <c r="B116" s="1292"/>
      <c r="C116" s="225"/>
      <c r="D116" s="273" t="s">
        <v>143</v>
      </c>
      <c r="E116" s="183">
        <f>'29'!F116</f>
        <v>9107</v>
      </c>
      <c r="F116" s="185">
        <v>9120</v>
      </c>
      <c r="G116" s="185">
        <f t="shared" ref="G116:G117" si="12">F116-E116</f>
        <v>13</v>
      </c>
      <c r="H116" s="111">
        <f>G116+'29'!H116</f>
        <v>84</v>
      </c>
      <c r="I116" s="183"/>
      <c r="J116" s="209">
        <f>H116/DAY(B2)</f>
        <v>2.8</v>
      </c>
      <c r="O116" s="455"/>
    </row>
    <row r="117" spans="1:15" s="93" customFormat="1" ht="27.75">
      <c r="A117" s="1371" t="s">
        <v>225</v>
      </c>
      <c r="B117" s="1292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163</v>
      </c>
      <c r="I117" s="183"/>
      <c r="J117" s="209">
        <f>H117/DAY(B2)</f>
        <v>5.4333333333333336</v>
      </c>
      <c r="O117" s="455"/>
    </row>
    <row r="118" spans="1:15" s="96" customFormat="1" ht="27.75">
      <c r="A118" s="1372" t="s">
        <v>201</v>
      </c>
      <c r="B118" s="1373"/>
      <c r="C118" s="225"/>
      <c r="D118" s="274"/>
      <c r="E118" s="185"/>
      <c r="F118" s="185"/>
      <c r="G118" s="185">
        <f>SUM(G115:G117)</f>
        <v>25</v>
      </c>
      <c r="H118" s="111">
        <f>G118+'29'!H118</f>
        <v>118</v>
      </c>
      <c r="I118" s="185"/>
      <c r="J118" s="209">
        <f>H118/DAY(B2)</f>
        <v>3.9333333333333331</v>
      </c>
      <c r="O118" s="455"/>
    </row>
    <row r="119" spans="1:15" s="97" customFormat="1" ht="27.75">
      <c r="A119" s="1374" t="s">
        <v>226</v>
      </c>
      <c r="B119" s="1375"/>
      <c r="C119" s="756"/>
      <c r="D119" s="275" t="s">
        <v>143</v>
      </c>
      <c r="E119" s="186"/>
      <c r="F119" s="187"/>
      <c r="G119" s="187">
        <f>SUM(G19+G93)</f>
        <v>168</v>
      </c>
      <c r="H119" s="111">
        <f>G119+'29'!H119</f>
        <v>360</v>
      </c>
      <c r="I119" s="186"/>
      <c r="J119" s="210">
        <f>H119/DAY(B2)</f>
        <v>12</v>
      </c>
      <c r="O119" s="455"/>
    </row>
    <row r="120" spans="1:15" s="97" customFormat="1" ht="27.75">
      <c r="A120" s="1374" t="s">
        <v>227</v>
      </c>
      <c r="B120" s="1375"/>
      <c r="C120" s="756"/>
      <c r="D120" s="275" t="s">
        <v>143</v>
      </c>
      <c r="E120" s="186"/>
      <c r="F120" s="187"/>
      <c r="G120" s="187">
        <f>SUM(G96,G97,G98,G100,G101)</f>
        <v>153</v>
      </c>
      <c r="H120" s="111">
        <f>G120+'29'!H120</f>
        <v>341</v>
      </c>
      <c r="I120" s="186"/>
      <c r="J120" s="210">
        <f>H120/DAY(B2)</f>
        <v>11.366666666666667</v>
      </c>
      <c r="O120" s="455"/>
    </row>
    <row r="121" spans="1:15" s="97" customFormat="1" ht="27.75">
      <c r="A121" s="1374" t="s">
        <v>228</v>
      </c>
      <c r="B121" s="1375"/>
      <c r="C121" s="756"/>
      <c r="D121" s="275" t="s">
        <v>143</v>
      </c>
      <c r="E121" s="186"/>
      <c r="F121" s="185"/>
      <c r="G121" s="185">
        <f>SUM(G113)</f>
        <v>85</v>
      </c>
      <c r="H121" s="111">
        <f>G121+'29'!H121</f>
        <v>177</v>
      </c>
      <c r="I121" s="186"/>
      <c r="J121" s="210">
        <f>H121/DAY(B2)</f>
        <v>5.9</v>
      </c>
      <c r="O121" s="455"/>
    </row>
    <row r="122" spans="1:15" s="93" customFormat="1" ht="27.75">
      <c r="A122" s="1376"/>
      <c r="B122" s="1377"/>
      <c r="C122" s="757"/>
      <c r="D122" s="211"/>
      <c r="E122" s="211"/>
      <c r="F122" s="211"/>
      <c r="G122" s="211"/>
      <c r="H122" s="212"/>
      <c r="I122" s="211"/>
      <c r="J122" s="213"/>
      <c r="O122" s="455"/>
    </row>
    <row r="123" spans="1:15" ht="29.25">
      <c r="A123" s="1399" t="s">
        <v>229</v>
      </c>
      <c r="B123" s="1400"/>
      <c r="C123" s="1400"/>
      <c r="D123" s="123"/>
      <c r="E123" s="123"/>
      <c r="F123" s="123"/>
      <c r="G123" s="134"/>
      <c r="H123" s="134"/>
      <c r="I123" s="134"/>
      <c r="J123" s="214"/>
      <c r="K123" s="71"/>
      <c r="L123" s="68"/>
      <c r="O123" s="455"/>
    </row>
    <row r="124" spans="1:15" ht="21.95" customHeight="1">
      <c r="A124" s="759" t="s">
        <v>230</v>
      </c>
      <c r="B124" s="760"/>
      <c r="C124" s="760"/>
      <c r="D124" s="174" t="s">
        <v>140</v>
      </c>
      <c r="E124" s="106">
        <f>'29'!F124</f>
        <v>855825</v>
      </c>
      <c r="F124" s="129">
        <v>856090</v>
      </c>
      <c r="G124" s="124">
        <f t="shared" ref="G124:G128" si="13">F124-E124</f>
        <v>265</v>
      </c>
      <c r="H124" s="111">
        <f>G124+'29'!H124</f>
        <v>-262</v>
      </c>
      <c r="I124" s="177"/>
      <c r="J124" s="203">
        <f>H124/DAY(B2)</f>
        <v>-8.7333333333333325</v>
      </c>
      <c r="K124" s="71"/>
      <c r="L124" s="68"/>
      <c r="O124" s="455"/>
    </row>
    <row r="125" spans="1:15" ht="21.95" customHeight="1">
      <c r="A125" s="759" t="s">
        <v>231</v>
      </c>
      <c r="B125" s="760"/>
      <c r="C125" s="760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5"/>
    </row>
    <row r="126" spans="1:15" ht="21.95" customHeight="1">
      <c r="A126" s="1378" t="s">
        <v>232</v>
      </c>
      <c r="B126" s="1232"/>
      <c r="C126" s="1232"/>
      <c r="D126" s="174" t="s">
        <v>140</v>
      </c>
      <c r="E126" s="106">
        <f>'29'!F126</f>
        <v>153923</v>
      </c>
      <c r="F126" s="129">
        <v>154005</v>
      </c>
      <c r="G126" s="124">
        <f t="shared" si="13"/>
        <v>82</v>
      </c>
      <c r="H126" s="111">
        <f>G126+'29'!H126</f>
        <v>-72</v>
      </c>
      <c r="I126" s="177"/>
      <c r="J126" s="203">
        <f>H126/DAY(B2)</f>
        <v>-2.4</v>
      </c>
      <c r="K126" s="71"/>
      <c r="L126" s="68"/>
      <c r="O126" s="455"/>
    </row>
    <row r="127" spans="1:15" ht="21.95" customHeight="1">
      <c r="A127" s="260" t="s">
        <v>233</v>
      </c>
      <c r="B127" s="760"/>
      <c r="C127" s="760"/>
      <c r="D127" s="174" t="s">
        <v>140</v>
      </c>
      <c r="E127" s="106">
        <f>'29'!F127</f>
        <v>34563</v>
      </c>
      <c r="F127" s="129">
        <v>34596</v>
      </c>
      <c r="G127" s="124">
        <f t="shared" si="13"/>
        <v>33</v>
      </c>
      <c r="H127" s="111">
        <f>G127+'29'!H127</f>
        <v>-33</v>
      </c>
      <c r="I127" s="177"/>
      <c r="J127" s="203">
        <f>H127/DAY(B2)</f>
        <v>-1.1000000000000001</v>
      </c>
      <c r="K127" s="71"/>
      <c r="L127" s="68"/>
      <c r="O127" s="455"/>
    </row>
    <row r="128" spans="1:15" ht="21.95" customHeight="1">
      <c r="A128" s="260" t="s">
        <v>234</v>
      </c>
      <c r="B128" s="760"/>
      <c r="C128" s="760"/>
      <c r="D128" s="174" t="s">
        <v>140</v>
      </c>
      <c r="E128" s="106">
        <f>'29'!F128</f>
        <v>9177</v>
      </c>
      <c r="F128" s="129">
        <v>9179</v>
      </c>
      <c r="G128" s="124">
        <f t="shared" si="13"/>
        <v>2</v>
      </c>
      <c r="H128" s="111">
        <f>G128+'29'!H128</f>
        <v>-1</v>
      </c>
      <c r="I128" s="131"/>
      <c r="J128" s="203">
        <f>H128/DAY(B2)</f>
        <v>-3.3333333333333333E-2</v>
      </c>
      <c r="K128" s="71"/>
      <c r="L128" s="68"/>
      <c r="O128" s="455"/>
    </row>
    <row r="129" spans="1:15" s="57" customFormat="1" ht="21.75" customHeight="1">
      <c r="A129" s="260" t="s">
        <v>235</v>
      </c>
      <c r="B129" s="760"/>
      <c r="C129" s="760"/>
      <c r="D129" s="174"/>
      <c r="E129" s="106"/>
      <c r="F129" s="129"/>
      <c r="G129" s="124">
        <f>G15-SUM(G124:G128)</f>
        <v>494.60000000000582</v>
      </c>
      <c r="H129" s="111"/>
      <c r="I129" s="131"/>
      <c r="J129" s="203"/>
      <c r="K129" s="60"/>
      <c r="L129" s="58"/>
      <c r="O129" s="455"/>
    </row>
    <row r="130" spans="1:15" ht="29.2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5"/>
    </row>
    <row r="131" spans="1:15" ht="27.75">
      <c r="A131" s="759" t="s">
        <v>237</v>
      </c>
      <c r="B131" s="760"/>
      <c r="C131" s="760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5"/>
    </row>
    <row r="132" spans="1:15" ht="27.75">
      <c r="A132" s="759" t="s">
        <v>239</v>
      </c>
      <c r="B132" s="760"/>
      <c r="C132" s="760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5"/>
    </row>
    <row r="133" spans="1:15" ht="27.75">
      <c r="A133" s="759" t="s">
        <v>240</v>
      </c>
      <c r="B133" s="760"/>
      <c r="C133" s="760"/>
      <c r="D133" s="174" t="s">
        <v>238</v>
      </c>
      <c r="E133" s="106">
        <f>'29'!F133</f>
        <v>40922</v>
      </c>
      <c r="F133" s="192">
        <v>40922</v>
      </c>
      <c r="G133" s="124">
        <f t="shared" si="14"/>
        <v>0</v>
      </c>
      <c r="H133" s="111">
        <f>G133+'29'!H133</f>
        <v>0</v>
      </c>
      <c r="I133" s="131"/>
      <c r="J133" s="203">
        <f>H133/DAY(B2)</f>
        <v>0</v>
      </c>
      <c r="O133" s="455"/>
    </row>
    <row r="134" spans="1:15" ht="27.75">
      <c r="A134" s="759" t="s">
        <v>241</v>
      </c>
      <c r="B134" s="760"/>
      <c r="C134" s="760"/>
      <c r="D134" s="174" t="s">
        <v>238</v>
      </c>
      <c r="E134" s="106">
        <f>'29'!F134</f>
        <v>808</v>
      </c>
      <c r="F134" s="192">
        <v>832</v>
      </c>
      <c r="G134" s="124">
        <f t="shared" si="14"/>
        <v>24</v>
      </c>
      <c r="H134" s="111">
        <f>G134+'29'!H134</f>
        <v>-24</v>
      </c>
      <c r="I134" s="131">
        <f>G131+G132+G133+G134</f>
        <v>24</v>
      </c>
      <c r="J134" s="203">
        <f>H134/DAY(B2)</f>
        <v>-0.8</v>
      </c>
      <c r="O134" s="455"/>
    </row>
    <row r="135" spans="1:15" ht="27.75">
      <c r="A135" s="759" t="s">
        <v>242</v>
      </c>
      <c r="B135" s="760"/>
      <c r="C135" s="760"/>
      <c r="D135" s="174" t="s">
        <v>238</v>
      </c>
      <c r="E135" s="106">
        <f>'29'!F135</f>
        <v>42814</v>
      </c>
      <c r="F135" s="192">
        <v>42822</v>
      </c>
      <c r="G135" s="124">
        <f t="shared" si="14"/>
        <v>8</v>
      </c>
      <c r="H135" s="111">
        <f>G135+'29'!H135</f>
        <v>109</v>
      </c>
      <c r="I135" s="131"/>
      <c r="J135" s="203">
        <f>H135/DAY(B2)</f>
        <v>3.6333333333333333</v>
      </c>
      <c r="O135" s="455"/>
    </row>
    <row r="136" spans="1:15" ht="27.75">
      <c r="A136" s="759" t="s">
        <v>243</v>
      </c>
      <c r="B136" s="760"/>
      <c r="C136" s="760"/>
      <c r="D136" s="174" t="s">
        <v>238</v>
      </c>
      <c r="E136" s="106">
        <f>'29'!F136</f>
        <v>32928</v>
      </c>
      <c r="F136" s="192">
        <v>32928</v>
      </c>
      <c r="G136" s="124">
        <f t="shared" si="14"/>
        <v>0</v>
      </c>
      <c r="H136" s="111">
        <f>G136+'29'!H136</f>
        <v>66.94999999999709</v>
      </c>
      <c r="I136" s="131"/>
      <c r="J136" s="203">
        <f>H136/DAY(B2)</f>
        <v>2.2316666666665697</v>
      </c>
      <c r="O136" s="455"/>
    </row>
    <row r="137" spans="1:15" ht="27.75">
      <c r="A137" s="759" t="s">
        <v>244</v>
      </c>
      <c r="B137" s="760"/>
      <c r="C137" s="760"/>
      <c r="D137" s="174" t="s">
        <v>238</v>
      </c>
      <c r="E137" s="106">
        <f>'29'!F137</f>
        <v>23339</v>
      </c>
      <c r="F137" s="192">
        <v>23349</v>
      </c>
      <c r="G137" s="124">
        <f t="shared" si="14"/>
        <v>10</v>
      </c>
      <c r="H137" s="111">
        <f>G137+'29'!H137</f>
        <v>-7.430000000000291</v>
      </c>
      <c r="I137" s="131">
        <f>G135+G136+G137</f>
        <v>18</v>
      </c>
      <c r="J137" s="203">
        <f>H137/DAY(B2)</f>
        <v>-0.24766666666667636</v>
      </c>
      <c r="O137" s="455"/>
    </row>
    <row r="138" spans="1:15" ht="27.75">
      <c r="A138" s="759" t="s">
        <v>245</v>
      </c>
      <c r="B138" s="760"/>
      <c r="C138" s="760"/>
      <c r="D138" s="174" t="s">
        <v>238</v>
      </c>
      <c r="E138" s="106">
        <f>'29'!F138</f>
        <v>25133</v>
      </c>
      <c r="F138" s="192">
        <v>25133</v>
      </c>
      <c r="G138" s="124">
        <f t="shared" si="14"/>
        <v>0</v>
      </c>
      <c r="H138" s="111">
        <f>G138+'29'!H138</f>
        <v>8.0200000000004366</v>
      </c>
      <c r="I138" s="131"/>
      <c r="J138" s="203">
        <f>H138/DAY(B2)</f>
        <v>0.26733333333334791</v>
      </c>
      <c r="O138" s="455"/>
    </row>
    <row r="139" spans="1:15" ht="27.75">
      <c r="A139" s="759" t="s">
        <v>246</v>
      </c>
      <c r="B139" s="760"/>
      <c r="C139" s="760"/>
      <c r="D139" s="174" t="s">
        <v>238</v>
      </c>
      <c r="E139" s="106">
        <f>'29'!F139</f>
        <v>70524.55</v>
      </c>
      <c r="F139" s="192">
        <v>70524.55</v>
      </c>
      <c r="G139" s="124">
        <f t="shared" si="14"/>
        <v>0</v>
      </c>
      <c r="H139" s="111">
        <f>G139+'29'!H139</f>
        <v>15</v>
      </c>
      <c r="I139" s="131">
        <f>G138+G139</f>
        <v>0</v>
      </c>
      <c r="J139" s="203">
        <f>H139/DAY(B2)</f>
        <v>0.5</v>
      </c>
      <c r="O139" s="455"/>
    </row>
    <row r="140" spans="1:15" ht="27.75">
      <c r="A140" s="759" t="s">
        <v>247</v>
      </c>
      <c r="B140" s="760"/>
      <c r="C140" s="760"/>
      <c r="D140" s="174" t="s">
        <v>238</v>
      </c>
      <c r="E140" s="106">
        <f>'29'!F140</f>
        <v>2607.64</v>
      </c>
      <c r="F140" s="135">
        <v>2617.86</v>
      </c>
      <c r="G140" s="124">
        <f t="shared" si="14"/>
        <v>10.220000000000255</v>
      </c>
      <c r="H140" s="111">
        <f>G140+'29'!H140</f>
        <v>-10.119999999999891</v>
      </c>
      <c r="I140" s="193"/>
      <c r="J140" s="203">
        <f>H140/DAY(B2)</f>
        <v>-0.33733333333332971</v>
      </c>
      <c r="O140" s="455"/>
    </row>
    <row r="141" spans="1:15" ht="27.75">
      <c r="A141" s="759" t="s">
        <v>248</v>
      </c>
      <c r="B141" s="760"/>
      <c r="C141" s="760"/>
      <c r="D141" s="174" t="s">
        <v>238</v>
      </c>
      <c r="E141" s="106">
        <f>'29'!F141</f>
        <v>4754</v>
      </c>
      <c r="F141" s="135">
        <v>4754</v>
      </c>
      <c r="G141" s="124">
        <f t="shared" si="14"/>
        <v>0</v>
      </c>
      <c r="H141" s="111">
        <f>G141+'29'!H141</f>
        <v>0</v>
      </c>
      <c r="I141" s="193"/>
      <c r="J141" s="203">
        <f>H141/DAY(B2)</f>
        <v>0</v>
      </c>
      <c r="O141" s="455"/>
    </row>
    <row r="142" spans="1:15" ht="21.95" customHeight="1">
      <c r="A142" s="1379" t="s">
        <v>249</v>
      </c>
      <c r="B142" s="1380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O142" s="455"/>
    </row>
    <row r="143" spans="1:15" ht="21.95" customHeight="1">
      <c r="A143" s="1369" t="s">
        <v>250</v>
      </c>
      <c r="B143" s="1370"/>
      <c r="C143" s="1370"/>
      <c r="D143" s="174" t="s">
        <v>131</v>
      </c>
      <c r="E143" s="174"/>
      <c r="F143" s="174"/>
      <c r="G143" s="111">
        <f>G35+G43+G49+G57</f>
        <v>6131</v>
      </c>
      <c r="H143" s="111">
        <f>G143+'29'!H143</f>
        <v>399860.99999999994</v>
      </c>
      <c r="I143" s="131"/>
      <c r="J143" s="203">
        <f>H143/DAY(B2)</f>
        <v>13328.699999999999</v>
      </c>
      <c r="K143" s="71"/>
      <c r="L143" s="68"/>
      <c r="O143" s="455"/>
    </row>
    <row r="144" spans="1:15" ht="21.95" customHeight="1">
      <c r="A144" s="1369" t="s">
        <v>251</v>
      </c>
      <c r="B144" s="1370"/>
      <c r="C144" s="1370"/>
      <c r="D144" s="174" t="s">
        <v>24</v>
      </c>
      <c r="E144" s="162"/>
      <c r="F144" s="162"/>
      <c r="G144" s="194">
        <f>G143/G7</f>
        <v>0.27237993691412327</v>
      </c>
      <c r="H144" s="111">
        <f>G144+'29'!H144</f>
        <v>8.6133530612235969</v>
      </c>
      <c r="I144" s="195"/>
      <c r="J144" s="203">
        <f>H144/DAY(B2)</f>
        <v>0.28711176870745325</v>
      </c>
      <c r="K144" s="71"/>
      <c r="L144" s="68"/>
      <c r="O144" s="455"/>
    </row>
    <row r="145" spans="1:15" ht="21.95" customHeight="1">
      <c r="A145" s="1369" t="s">
        <v>252</v>
      </c>
      <c r="B145" s="1370"/>
      <c r="C145" s="1370"/>
      <c r="D145" s="174" t="s">
        <v>131</v>
      </c>
      <c r="E145" s="106"/>
      <c r="F145" s="106"/>
      <c r="G145" s="111">
        <f>G41+G42+G55+G56</f>
        <v>7640.789999999979</v>
      </c>
      <c r="H145" s="111">
        <f>G145+'29'!H145</f>
        <v>-5195.9899999999907</v>
      </c>
      <c r="I145" s="131"/>
      <c r="J145" s="203">
        <f>H145/DAY(B2)</f>
        <v>-173.19966666666636</v>
      </c>
      <c r="K145" s="71"/>
      <c r="L145" s="68"/>
      <c r="O145" s="455"/>
    </row>
    <row r="146" spans="1:15" ht="21.95" customHeight="1">
      <c r="A146" s="1369" t="s">
        <v>253</v>
      </c>
      <c r="B146" s="1370"/>
      <c r="C146" s="1370"/>
      <c r="D146" s="174" t="s">
        <v>24</v>
      </c>
      <c r="E146" s="106"/>
      <c r="F146" s="106"/>
      <c r="G146" s="194">
        <f>G145/G7</f>
        <v>0.33945488471278062</v>
      </c>
      <c r="H146" s="111">
        <f>G146+'29'!H146</f>
        <v>8.2411923998831238</v>
      </c>
      <c r="I146" s="195"/>
      <c r="J146" s="203">
        <f>H146/DAY(B2)</f>
        <v>0.27470641332943746</v>
      </c>
      <c r="K146" s="71"/>
      <c r="L146" s="68"/>
      <c r="O146" s="455"/>
    </row>
    <row r="147" spans="1:15" ht="21.95" customHeight="1">
      <c r="A147" s="1369" t="s">
        <v>254</v>
      </c>
      <c r="B147" s="1370"/>
      <c r="C147" s="1370"/>
      <c r="D147" s="174" t="s">
        <v>131</v>
      </c>
      <c r="E147" s="106"/>
      <c r="F147" s="106"/>
      <c r="G147" s="111">
        <f>G39+G53</f>
        <v>3876</v>
      </c>
      <c r="H147" s="111">
        <f>G147+'29'!H147</f>
        <v>1064419</v>
      </c>
      <c r="I147" s="196"/>
      <c r="J147" s="203">
        <f>H147/DAY(B2)</f>
        <v>35480.633333333331</v>
      </c>
      <c r="K147" s="71"/>
      <c r="L147" s="68"/>
      <c r="O147" s="455"/>
    </row>
    <row r="148" spans="1:15" ht="21.95" customHeight="1">
      <c r="A148" s="1369" t="s">
        <v>255</v>
      </c>
      <c r="B148" s="1370"/>
      <c r="C148" s="1370"/>
      <c r="D148" s="174" t="s">
        <v>24</v>
      </c>
      <c r="E148" s="106"/>
      <c r="F148" s="106"/>
      <c r="G148" s="194">
        <f>G147/G7</f>
        <v>0.172197787551646</v>
      </c>
      <c r="H148" s="111">
        <f>G148+'29'!H148</f>
        <v>7.8621114403243286</v>
      </c>
      <c r="I148" s="196"/>
      <c r="J148" s="203">
        <f>H148/DAY(B2)</f>
        <v>0.26207038134414429</v>
      </c>
      <c r="O148" s="455"/>
    </row>
    <row r="149" spans="1:15" ht="21.95" customHeight="1">
      <c r="A149" s="1369" t="s">
        <v>256</v>
      </c>
      <c r="B149" s="1370"/>
      <c r="C149" s="1370"/>
      <c r="D149" s="174" t="s">
        <v>182</v>
      </c>
      <c r="E149" s="106"/>
      <c r="F149" s="106"/>
      <c r="G149" s="111">
        <f>G38+G52</f>
        <v>1113.9300000000512</v>
      </c>
      <c r="H149" s="111">
        <f>G149+'29'!H149</f>
        <v>833633</v>
      </c>
      <c r="I149" s="131"/>
      <c r="J149" s="203">
        <f>H149/DAY(B2)</f>
        <v>27787.766666666666</v>
      </c>
      <c r="K149" s="72"/>
      <c r="O149" s="455"/>
    </row>
    <row r="150" spans="1:15" ht="21.95" customHeight="1">
      <c r="A150" s="1369" t="s">
        <v>257</v>
      </c>
      <c r="B150" s="1370"/>
      <c r="C150" s="1370"/>
      <c r="D150" s="174" t="s">
        <v>24</v>
      </c>
      <c r="E150" s="106"/>
      <c r="F150" s="106"/>
      <c r="G150" s="194">
        <f>G149/G7</f>
        <v>4.9488204718115034E-2</v>
      </c>
      <c r="H150" s="111">
        <f>G150+'29'!H150</f>
        <v>4.5354148683628024</v>
      </c>
      <c r="I150" s="196"/>
      <c r="J150" s="203">
        <f>H150/DAY(B2)</f>
        <v>0.1511804956120934</v>
      </c>
      <c r="O150" s="455"/>
    </row>
    <row r="151" spans="1:15" ht="21.95" customHeight="1">
      <c r="A151" s="1369" t="s">
        <v>258</v>
      </c>
      <c r="B151" s="1370"/>
      <c r="C151" s="1370"/>
      <c r="D151" s="174" t="s">
        <v>182</v>
      </c>
      <c r="E151" s="106"/>
      <c r="F151" s="106"/>
      <c r="G151" s="111">
        <f>G36+G50</f>
        <v>1779</v>
      </c>
      <c r="H151" s="111">
        <f>G151+'29'!H151</f>
        <v>66231</v>
      </c>
      <c r="I151" s="196"/>
      <c r="J151" s="203">
        <f>H151/DAY(B2)</f>
        <v>2207.6999999999998</v>
      </c>
      <c r="O151" s="455"/>
    </row>
    <row r="152" spans="1:15" ht="21.95" customHeight="1">
      <c r="A152" s="1369" t="s">
        <v>259</v>
      </c>
      <c r="B152" s="1370"/>
      <c r="C152" s="1370"/>
      <c r="D152" s="174" t="s">
        <v>24</v>
      </c>
      <c r="E152" s="106"/>
      <c r="F152" s="106"/>
      <c r="G152" s="194">
        <f>G151/G7</f>
        <v>7.9035052645608422E-2</v>
      </c>
      <c r="H152" s="111">
        <f>G152+'29'!H152</f>
        <v>2.5783688046305087</v>
      </c>
      <c r="I152" s="131"/>
      <c r="J152" s="203">
        <f>H152/DAY(B2)</f>
        <v>8.594562682101696E-2</v>
      </c>
      <c r="O152" s="455"/>
    </row>
    <row r="153" spans="1:15" ht="27.75">
      <c r="A153" s="1369" t="s">
        <v>260</v>
      </c>
      <c r="B153" s="1370"/>
      <c r="C153" s="1370"/>
      <c r="D153" s="174" t="s">
        <v>182</v>
      </c>
      <c r="E153" s="106"/>
      <c r="F153" s="106"/>
      <c r="G153" s="111">
        <f>G37+G51</f>
        <v>1323.1300000000047</v>
      </c>
      <c r="H153" s="111">
        <f>G153+'29'!H153</f>
        <v>413753.00000000006</v>
      </c>
      <c r="I153" s="131"/>
      <c r="J153" s="203">
        <f>H153/DAY(B2)</f>
        <v>13791.766666666668</v>
      </c>
      <c r="O153" s="455"/>
    </row>
    <row r="154" spans="1:15" ht="28.5" thickBot="1">
      <c r="A154" s="1381" t="s">
        <v>261</v>
      </c>
      <c r="B154" s="1382"/>
      <c r="C154" s="1382"/>
      <c r="D154" s="276" t="s">
        <v>24</v>
      </c>
      <c r="E154" s="216"/>
      <c r="F154" s="216"/>
      <c r="G154" s="217">
        <f>G153/G7</f>
        <v>5.8782264871829255E-2</v>
      </c>
      <c r="H154" s="218">
        <f>G154+'29'!H154</f>
        <v>3.161523299053913</v>
      </c>
      <c r="I154" s="219"/>
      <c r="J154" s="220">
        <f>H154/DAY(B2)</f>
        <v>0.10538410996846377</v>
      </c>
      <c r="O154" s="455"/>
    </row>
    <row r="155" spans="1:15" ht="29.2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>
      <c r="A161" s="435" t="s">
        <v>262</v>
      </c>
      <c r="B161" s="436"/>
      <c r="C161" s="436"/>
      <c r="D161" s="162" t="s">
        <v>186</v>
      </c>
      <c r="E161" s="106">
        <f>'29'!F161</f>
        <v>45628</v>
      </c>
      <c r="F161" s="309">
        <v>45716</v>
      </c>
      <c r="G161" s="124">
        <f t="shared" ref="G161:G164" si="15">F161-E161</f>
        <v>88</v>
      </c>
    </row>
    <row r="162" spans="1:7" ht="21.95" customHeight="1">
      <c r="A162" s="435" t="s">
        <v>263</v>
      </c>
      <c r="B162" s="436"/>
      <c r="C162" s="436"/>
      <c r="D162" s="162" t="s">
        <v>186</v>
      </c>
      <c r="E162" s="106">
        <f>'29'!F162</f>
        <v>135546</v>
      </c>
      <c r="F162" s="309">
        <v>136044</v>
      </c>
      <c r="G162" s="124">
        <f t="shared" si="15"/>
        <v>498</v>
      </c>
    </row>
    <row r="163" spans="1:7" ht="21.95" customHeight="1">
      <c r="A163" s="435" t="s">
        <v>264</v>
      </c>
      <c r="B163" s="436"/>
      <c r="C163" s="436"/>
      <c r="D163" s="162" t="s">
        <v>186</v>
      </c>
      <c r="E163" s="106">
        <f>'29'!F163</f>
        <v>63380</v>
      </c>
      <c r="F163" s="309">
        <v>63590</v>
      </c>
      <c r="G163" s="124">
        <f t="shared" si="15"/>
        <v>210</v>
      </c>
    </row>
    <row r="164" spans="1:7" ht="21.95" customHeight="1">
      <c r="A164" s="435" t="s">
        <v>265</v>
      </c>
      <c r="B164" s="436"/>
      <c r="C164" s="436"/>
      <c r="D164" s="162" t="s">
        <v>186</v>
      </c>
      <c r="E164" s="106">
        <f>'29'!F164</f>
        <v>7437</v>
      </c>
      <c r="F164" s="309">
        <v>7450</v>
      </c>
      <c r="G164" s="124">
        <f t="shared" si="15"/>
        <v>13</v>
      </c>
    </row>
    <row r="165" spans="1:7" ht="21.95" customHeight="1">
      <c r="A165" s="437" t="s">
        <v>97</v>
      </c>
      <c r="B165" s="255"/>
      <c r="C165" s="255"/>
      <c r="D165" s="162" t="s">
        <v>186</v>
      </c>
      <c r="E165" s="106">
        <f>'29'!F165</f>
        <v>20419</v>
      </c>
      <c r="F165" s="165">
        <f>F62</f>
        <v>20419</v>
      </c>
      <c r="G165" s="124">
        <f t="shared" ref="G165:G172" si="16">F165-E165</f>
        <v>0</v>
      </c>
    </row>
    <row r="166" spans="1:7" ht="21.95" customHeight="1">
      <c r="A166" s="437" t="s">
        <v>187</v>
      </c>
      <c r="B166" s="255"/>
      <c r="C166" s="255"/>
      <c r="D166" s="162" t="s">
        <v>186</v>
      </c>
      <c r="E166" s="106">
        <f>'29'!F166</f>
        <v>0</v>
      </c>
      <c r="F166" s="165">
        <v>0</v>
      </c>
      <c r="G166" s="124">
        <f t="shared" si="16"/>
        <v>0</v>
      </c>
    </row>
    <row r="167" spans="1:7" ht="21.95" customHeight="1">
      <c r="A167" s="1232" t="s">
        <v>98</v>
      </c>
      <c r="B167" s="1232"/>
      <c r="C167" s="1232"/>
      <c r="D167" s="174" t="s">
        <v>186</v>
      </c>
      <c r="E167" s="106">
        <f>'29'!F167</f>
        <v>193343</v>
      </c>
      <c r="F167" s="135">
        <v>193802</v>
      </c>
      <c r="G167" s="124">
        <f t="shared" si="16"/>
        <v>459</v>
      </c>
    </row>
    <row r="168" spans="1:7" ht="21.95" customHeight="1">
      <c r="A168" s="1232" t="s">
        <v>99</v>
      </c>
      <c r="B168" s="1232"/>
      <c r="C168" s="1232"/>
      <c r="D168" s="174" t="s">
        <v>186</v>
      </c>
      <c r="E168" s="106">
        <f>'29'!F168</f>
        <v>193835</v>
      </c>
      <c r="F168" s="165">
        <f t="shared" ref="F168:F172" si="17">F65</f>
        <v>194265</v>
      </c>
      <c r="G168" s="124">
        <f t="shared" si="16"/>
        <v>430</v>
      </c>
    </row>
    <row r="169" spans="1:7" ht="21.95" customHeight="1">
      <c r="A169" s="1232" t="s">
        <v>100</v>
      </c>
      <c r="B169" s="1232"/>
      <c r="C169" s="1232"/>
      <c r="D169" s="174" t="s">
        <v>186</v>
      </c>
      <c r="E169" s="106">
        <f>'29'!F169</f>
        <v>92506</v>
      </c>
      <c r="F169" s="165">
        <f t="shared" si="17"/>
        <v>92924</v>
      </c>
      <c r="G169" s="124">
        <f t="shared" si="16"/>
        <v>418</v>
      </c>
    </row>
    <row r="170" spans="1:7" ht="21.95" customHeight="1">
      <c r="A170" s="1232" t="s">
        <v>101</v>
      </c>
      <c r="B170" s="1232"/>
      <c r="C170" s="1232"/>
      <c r="D170" s="174" t="s">
        <v>186</v>
      </c>
      <c r="E170" s="106">
        <f>'29'!F170</f>
        <v>293890</v>
      </c>
      <c r="F170" s="165">
        <f t="shared" si="17"/>
        <v>294453</v>
      </c>
      <c r="G170" s="124">
        <f t="shared" si="16"/>
        <v>563</v>
      </c>
    </row>
    <row r="171" spans="1:7" ht="21.95" customHeight="1">
      <c r="A171" s="1232" t="s">
        <v>102</v>
      </c>
      <c r="B171" s="1232"/>
      <c r="C171" s="1232"/>
      <c r="D171" s="174" t="s">
        <v>186</v>
      </c>
      <c r="E171" s="106">
        <f>'29'!F171</f>
        <v>85321</v>
      </c>
      <c r="F171" s="165">
        <f t="shared" si="17"/>
        <v>85321</v>
      </c>
      <c r="G171" s="124">
        <f t="shared" si="16"/>
        <v>0</v>
      </c>
    </row>
    <row r="172" spans="1:7" ht="21.95" customHeight="1">
      <c r="A172" s="1232" t="s">
        <v>103</v>
      </c>
      <c r="B172" s="1232"/>
      <c r="C172" s="1232"/>
      <c r="D172" s="174" t="s">
        <v>186</v>
      </c>
      <c r="E172" s="106">
        <f>'29'!F172</f>
        <v>105739</v>
      </c>
      <c r="F172" s="165">
        <f t="shared" si="17"/>
        <v>106089</v>
      </c>
      <c r="G172" s="124">
        <f t="shared" si="16"/>
        <v>350</v>
      </c>
    </row>
    <row r="173" spans="1:7" ht="21.95" customHeight="1">
      <c r="A173" s="1273"/>
      <c r="B173" s="1236"/>
      <c r="C173" s="436"/>
      <c r="D173" s="174"/>
      <c r="G173" s="189">
        <f>SUM(G161:G172)</f>
        <v>3029</v>
      </c>
    </row>
    <row r="174" spans="1:7" ht="21.95" customHeight="1">
      <c r="A174" s="1273" t="s">
        <v>337</v>
      </c>
      <c r="B174" s="1236"/>
      <c r="C174" s="435"/>
      <c r="D174" s="1106" t="s">
        <v>186</v>
      </c>
      <c r="E174" s="1107">
        <v>19214</v>
      </c>
      <c r="F174" s="1107">
        <v>19215</v>
      </c>
      <c r="G174" s="1108">
        <f t="shared" ref="G174:G176" si="18">F174-E174</f>
        <v>1</v>
      </c>
    </row>
    <row r="175" spans="1:7" ht="21.95" customHeight="1">
      <c r="A175" s="1273" t="s">
        <v>338</v>
      </c>
      <c r="B175" s="1236"/>
      <c r="C175" s="105"/>
      <c r="D175" s="1106" t="s">
        <v>186</v>
      </c>
      <c r="E175" s="1111">
        <v>27952</v>
      </c>
      <c r="F175" s="1111">
        <v>27957</v>
      </c>
      <c r="G175" s="1108">
        <f t="shared" si="18"/>
        <v>5</v>
      </c>
    </row>
    <row r="176" spans="1:7" ht="21.95" customHeight="1">
      <c r="A176" s="1273" t="s">
        <v>337</v>
      </c>
      <c r="B176" s="1236"/>
      <c r="C176" s="105"/>
      <c r="D176" s="1106" t="s">
        <v>186</v>
      </c>
      <c r="E176" s="1107">
        <v>70721</v>
      </c>
      <c r="F176" s="1107">
        <v>70728</v>
      </c>
      <c r="G176" s="1108">
        <f t="shared" si="18"/>
        <v>7</v>
      </c>
    </row>
    <row r="177" spans="1:15" ht="21.95" customHeight="1">
      <c r="A177" s="1296" t="s">
        <v>382</v>
      </c>
      <c r="B177" s="1296"/>
      <c r="C177" s="1296"/>
      <c r="D177" s="1296"/>
      <c r="E177" s="1296"/>
      <c r="F177" s="1296"/>
      <c r="G177" s="1296"/>
    </row>
    <row r="178" spans="1:15" ht="29.25">
      <c r="A178" s="435"/>
      <c r="B178" s="436"/>
      <c r="C178" s="436"/>
      <c r="D178" s="174" t="s">
        <v>186</v>
      </c>
      <c r="E178" s="106">
        <f>'29'!F178</f>
        <v>0</v>
      </c>
      <c r="F178" s="193"/>
      <c r="G178" s="124">
        <f t="shared" ref="G178:G184" si="19">F178-E178</f>
        <v>0</v>
      </c>
      <c r="N178" s="369"/>
      <c r="O178" s="374"/>
    </row>
    <row r="179" spans="1:15" ht="29.25">
      <c r="A179" s="435" t="s">
        <v>383</v>
      </c>
      <c r="B179" s="436"/>
      <c r="C179" s="436"/>
      <c r="D179" s="174" t="s">
        <v>186</v>
      </c>
      <c r="E179" s="106">
        <f>'29'!F179</f>
        <v>0</v>
      </c>
      <c r="F179" s="193"/>
      <c r="G179" s="124">
        <f t="shared" si="19"/>
        <v>0</v>
      </c>
      <c r="N179" s="369"/>
      <c r="O179" s="374"/>
    </row>
    <row r="180" spans="1:15" ht="29.25">
      <c r="A180" s="435" t="s">
        <v>384</v>
      </c>
      <c r="B180" s="436"/>
      <c r="C180" s="436"/>
      <c r="D180" s="174" t="s">
        <v>186</v>
      </c>
      <c r="E180" s="106">
        <f>'29'!F180</f>
        <v>0</v>
      </c>
      <c r="F180" s="193"/>
      <c r="G180" s="124">
        <f t="shared" si="19"/>
        <v>0</v>
      </c>
      <c r="N180" s="369"/>
      <c r="O180" s="374"/>
    </row>
    <row r="181" spans="1:15" ht="21.95" customHeight="1">
      <c r="A181" s="435" t="s">
        <v>385</v>
      </c>
      <c r="B181" s="436"/>
      <c r="C181" s="436"/>
      <c r="D181" s="174" t="s">
        <v>186</v>
      </c>
      <c r="E181" s="106">
        <f>'29'!F181</f>
        <v>0</v>
      </c>
      <c r="F181" s="193"/>
      <c r="G181" s="124">
        <f t="shared" si="19"/>
        <v>0</v>
      </c>
    </row>
    <row r="182" spans="1:15" ht="21.95" customHeight="1">
      <c r="A182" s="435" t="s">
        <v>386</v>
      </c>
      <c r="B182" s="436"/>
      <c r="C182" s="436"/>
      <c r="D182" s="174" t="s">
        <v>186</v>
      </c>
      <c r="E182" s="106">
        <f>'29'!F182</f>
        <v>0</v>
      </c>
      <c r="F182" s="193"/>
      <c r="G182" s="124">
        <f t="shared" si="19"/>
        <v>0</v>
      </c>
    </row>
    <row r="183" spans="1:15" ht="21.95" customHeight="1">
      <c r="A183" s="435" t="s">
        <v>387</v>
      </c>
      <c r="B183" s="436"/>
      <c r="C183" s="436"/>
      <c r="D183" s="174" t="s">
        <v>186</v>
      </c>
      <c r="E183" s="106">
        <f>'29'!F183</f>
        <v>0</v>
      </c>
      <c r="F183" s="193"/>
      <c r="G183" s="124">
        <f t="shared" si="19"/>
        <v>0</v>
      </c>
    </row>
    <row r="184" spans="1:15" ht="21.95" customHeight="1">
      <c r="A184" s="435" t="s">
        <v>388</v>
      </c>
      <c r="B184" s="436"/>
      <c r="C184" s="436"/>
      <c r="D184" s="174" t="s">
        <v>186</v>
      </c>
      <c r="E184" s="106">
        <f>'29'!F184</f>
        <v>0</v>
      </c>
      <c r="F184" s="193"/>
      <c r="G184" s="124">
        <f t="shared" si="19"/>
        <v>0</v>
      </c>
    </row>
  </sheetData>
  <mergeCells count="79"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81:C81"/>
    <mergeCell ref="A82:C82"/>
    <mergeCell ref="A83:C83"/>
    <mergeCell ref="A95:C95"/>
    <mergeCell ref="A94:C94"/>
    <mergeCell ref="A93:C93"/>
    <mergeCell ref="A75:C75"/>
    <mergeCell ref="A76:C76"/>
    <mergeCell ref="A77:C77"/>
    <mergeCell ref="A79:C79"/>
    <mergeCell ref="A80:C80"/>
    <mergeCell ref="A68:C68"/>
    <mergeCell ref="A69:C69"/>
    <mergeCell ref="A70:C70"/>
    <mergeCell ref="A25:C25"/>
    <mergeCell ref="A74:C74"/>
    <mergeCell ref="A72:C72"/>
    <mergeCell ref="A73:C73"/>
    <mergeCell ref="A71:J71"/>
    <mergeCell ref="A66:C66"/>
    <mergeCell ref="A67:C67"/>
    <mergeCell ref="A18:C18"/>
    <mergeCell ref="A1:J1"/>
    <mergeCell ref="E3:F3"/>
    <mergeCell ref="A6:C6"/>
    <mergeCell ref="A14:C14"/>
    <mergeCell ref="A17:C17"/>
    <mergeCell ref="A19:C19"/>
    <mergeCell ref="A21:C21"/>
    <mergeCell ref="A33:J33"/>
    <mergeCell ref="A64:C64"/>
    <mergeCell ref="A65:C65"/>
    <mergeCell ref="A176:B176"/>
    <mergeCell ref="A173:B173"/>
    <mergeCell ref="A174:B174"/>
    <mergeCell ref="A154:C154"/>
    <mergeCell ref="A172:C172"/>
    <mergeCell ref="A169:C169"/>
    <mergeCell ref="A170:C170"/>
    <mergeCell ref="A171:C171"/>
    <mergeCell ref="A177:G177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50:C150"/>
    <mergeCell ref="A151:C151"/>
    <mergeCell ref="A152:C152"/>
    <mergeCell ref="A175:B175"/>
    <mergeCell ref="A146:C146"/>
    <mergeCell ref="A153:C153"/>
    <mergeCell ref="A167:C167"/>
    <mergeCell ref="A168:C168"/>
    <mergeCell ref="A116:B116"/>
    <mergeCell ref="A117:B117"/>
    <mergeCell ref="A148:C148"/>
    <mergeCell ref="A149:C149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12"/>
  <sheetViews>
    <sheetView view="pageBreakPreview" zoomScale="55" zoomScaleNormal="75" zoomScaleSheetLayoutView="55" workbookViewId="0">
      <selection activeCell="F8" sqref="F8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5" s="57" customFormat="1" ht="27">
      <c r="A2" s="226" t="s">
        <v>326</v>
      </c>
      <c r="B2" s="751">
        <v>44439</v>
      </c>
      <c r="C2" s="761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761" t="s">
        <v>119</v>
      </c>
      <c r="D3" s="263">
        <v>28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761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>
      <c r="A6" s="1253" t="s">
        <v>129</v>
      </c>
      <c r="B6" s="1254"/>
      <c r="C6" s="1255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f>'30'!F7</f>
        <v>278098</v>
      </c>
      <c r="F7" s="106">
        <v>298691</v>
      </c>
      <c r="G7" s="124">
        <f>F7-E7</f>
        <v>20593</v>
      </c>
      <c r="H7" s="111">
        <f>G7+'30'!H7</f>
        <v>995854.3899999999</v>
      </c>
      <c r="I7" s="125">
        <f>'1'!I7</f>
        <v>12000</v>
      </c>
      <c r="J7" s="203">
        <f>H7/DAY(B2)</f>
        <v>32124.335161290321</v>
      </c>
      <c r="K7" s="200">
        <v>1375467</v>
      </c>
      <c r="L7" s="68"/>
      <c r="N7" s="91">
        <f>F7-'1'!E7</f>
        <v>0</v>
      </c>
      <c r="O7" s="73"/>
    </row>
    <row r="8" spans="1:15" ht="21.95" customHeight="1" thickBot="1">
      <c r="A8" s="231" t="s">
        <v>132</v>
      </c>
      <c r="B8" s="232"/>
      <c r="C8" s="233"/>
      <c r="D8" s="268" t="s">
        <v>25</v>
      </c>
      <c r="E8" s="106">
        <f>'30'!F8</f>
        <v>284702.74</v>
      </c>
      <c r="F8" s="126">
        <f>E8+22500</f>
        <v>307202.74</v>
      </c>
      <c r="G8" s="127">
        <f>F8-E8</f>
        <v>22500</v>
      </c>
      <c r="H8" s="111">
        <f>G8+'30'!H8</f>
        <v>1000149</v>
      </c>
      <c r="I8" s="128"/>
      <c r="J8" s="203">
        <f>H8/DAY(B2)</f>
        <v>32262.870967741936</v>
      </c>
      <c r="K8" s="200">
        <v>1715917</v>
      </c>
      <c r="L8" s="78">
        <v>1728480</v>
      </c>
      <c r="M8" s="91">
        <f>L8-K8</f>
        <v>12563</v>
      </c>
      <c r="N8" s="91">
        <f>F8-'1'!E8</f>
        <v>-2369.2600000000093</v>
      </c>
      <c r="O8" s="73"/>
    </row>
    <row r="9" spans="1:15" ht="21.95" customHeight="1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3278503</v>
      </c>
      <c r="I9" s="130">
        <f>I7-J7</f>
        <v>-20124.335161290321</v>
      </c>
      <c r="J9" s="203">
        <f>H9/DAY(B2)</f>
        <v>105758.16129032258</v>
      </c>
      <c r="K9" s="81">
        <f>K8-100</f>
        <v>1715817</v>
      </c>
      <c r="L9" s="68"/>
      <c r="N9" s="91">
        <f>F9-'1'!E9</f>
        <v>0</v>
      </c>
      <c r="O9" s="73"/>
    </row>
    <row r="10" spans="1:15" ht="21.95" customHeight="1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73"/>
    </row>
    <row r="11" spans="1:15" ht="21.95" customHeight="1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3234487.5100000002</v>
      </c>
      <c r="I13" s="133">
        <f>G7-G13</f>
        <v>819</v>
      </c>
      <c r="J13" s="203">
        <f>H13/DAY(B2)</f>
        <v>104338.30677419355</v>
      </c>
      <c r="K13" s="81"/>
      <c r="L13" s="68"/>
      <c r="N13" s="91">
        <f>F13-'1'!E13</f>
        <v>0</v>
      </c>
      <c r="O13" s="73"/>
    </row>
    <row r="14" spans="1:15" ht="29.25">
      <c r="A14" s="1256" t="s">
        <v>138</v>
      </c>
      <c r="B14" s="1257"/>
      <c r="C14" s="1258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>
      <c r="A15" s="759" t="s">
        <v>139</v>
      </c>
      <c r="B15" s="240"/>
      <c r="C15" s="240"/>
      <c r="D15" s="174" t="s">
        <v>140</v>
      </c>
      <c r="E15" s="351">
        <v>1755781</v>
      </c>
      <c r="F15" s="351">
        <v>1756530</v>
      </c>
      <c r="G15" s="124">
        <f>(F15-E15)</f>
        <v>749</v>
      </c>
      <c r="H15" s="111">
        <f>G15+'30'!H15</f>
        <v>0</v>
      </c>
      <c r="I15" s="125">
        <f>'1'!I15</f>
        <v>800</v>
      </c>
      <c r="J15" s="203">
        <f>H15/DAY(B2)</f>
        <v>0</v>
      </c>
      <c r="K15" s="81"/>
      <c r="L15" s="68"/>
      <c r="N15" s="91">
        <f>F15-'1'!E15</f>
        <v>0</v>
      </c>
      <c r="O15" s="73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8">
        <f>I15-J15</f>
        <v>800</v>
      </c>
      <c r="J16" s="204"/>
      <c r="K16" s="81"/>
      <c r="L16" s="68"/>
      <c r="N16" s="91">
        <f>F16-'1'!E16</f>
        <v>0</v>
      </c>
      <c r="O16" s="73"/>
    </row>
    <row r="17" spans="1:15" ht="29.25">
      <c r="A17" s="1256" t="s">
        <v>141</v>
      </c>
      <c r="B17" s="1257"/>
      <c r="C17" s="1258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>
      <c r="A18" s="1245" t="s">
        <v>142</v>
      </c>
      <c r="B18" s="1246"/>
      <c r="C18" s="1247"/>
      <c r="D18" s="174" t="s">
        <v>143</v>
      </c>
      <c r="E18" s="106">
        <f>'30'!F18</f>
        <v>19</v>
      </c>
      <c r="F18" s="135">
        <v>14</v>
      </c>
      <c r="G18" s="132">
        <f>F18*10</f>
        <v>140</v>
      </c>
      <c r="H18" s="111">
        <f>G18+'30'!H18</f>
        <v>5040</v>
      </c>
      <c r="I18" s="125">
        <f>'1'!I18</f>
        <v>65</v>
      </c>
      <c r="J18" s="203">
        <f>H18/DAY(B2)</f>
        <v>162.58064516129033</v>
      </c>
      <c r="K18" s="81"/>
      <c r="L18" s="68"/>
      <c r="N18" s="91">
        <f>F18-'1'!E18</f>
        <v>0</v>
      </c>
      <c r="O18" s="73"/>
    </row>
    <row r="19" spans="1:15" ht="27.75">
      <c r="A19" s="1245" t="s">
        <v>70</v>
      </c>
      <c r="B19" s="1246"/>
      <c r="C19" s="1247"/>
      <c r="D19" s="174" t="s">
        <v>143</v>
      </c>
      <c r="E19" s="106">
        <f>'30'!F19</f>
        <v>145276</v>
      </c>
      <c r="F19" s="135">
        <v>145338</v>
      </c>
      <c r="G19" s="124">
        <f t="shared" ref="G19" si="1">F19-E19</f>
        <v>62</v>
      </c>
      <c r="H19" s="111">
        <f>G19+'30'!H19</f>
        <v>0</v>
      </c>
      <c r="I19" s="140"/>
      <c r="J19" s="203">
        <f>H19/DAY(B2)</f>
        <v>0</v>
      </c>
      <c r="K19" s="81"/>
      <c r="L19" s="68"/>
      <c r="N19" s="91">
        <f>F19-'1'!E19</f>
        <v>0</v>
      </c>
      <c r="O19" s="73"/>
    </row>
    <row r="20" spans="1:15" ht="29.25">
      <c r="A20" s="236" t="s">
        <v>144</v>
      </c>
      <c r="B20" s="237"/>
      <c r="C20" s="237"/>
      <c r="D20" s="141"/>
      <c r="E20" s="141"/>
      <c r="F20" s="141"/>
      <c r="G20" s="142">
        <f>G18+G19</f>
        <v>202</v>
      </c>
      <c r="H20" s="111">
        <f>G20+'30'!H20</f>
        <v>5040</v>
      </c>
      <c r="I20" s="143">
        <f>I18-J20</f>
        <v>-97.580645161290334</v>
      </c>
      <c r="J20" s="203">
        <f>H20/DAY(B2)</f>
        <v>162.58064516129033</v>
      </c>
      <c r="K20" s="81"/>
      <c r="L20" s="68"/>
      <c r="N20" s="91">
        <f>F20-'1'!E20</f>
        <v>0</v>
      </c>
      <c r="O20" s="73"/>
    </row>
    <row r="21" spans="1:15" ht="29.25">
      <c r="A21" s="1256" t="s">
        <v>145</v>
      </c>
      <c r="B21" s="1257"/>
      <c r="C21" s="1258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>
      <c r="A22" s="759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>
      <c r="A23" s="759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>
      <c r="A25" s="1261" t="s">
        <v>150</v>
      </c>
      <c r="B25" s="1262"/>
      <c r="C25" s="1263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22500</v>
      </c>
      <c r="F27" s="152">
        <v>9</v>
      </c>
      <c r="G27" s="153">
        <f>E27*F27</f>
        <v>202500</v>
      </c>
      <c r="H27" s="111">
        <f>G27+'30'!H27</f>
        <v>8994303</v>
      </c>
      <c r="I27" s="154"/>
      <c r="J27" s="203">
        <f>H27/DAY(B2)</f>
        <v>290138.80645161291</v>
      </c>
      <c r="K27" s="65"/>
      <c r="L27" s="94"/>
      <c r="N27" s="91">
        <f>F27-'1'!E27</f>
        <v>-24090.409999999974</v>
      </c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749</v>
      </c>
      <c r="F28" s="152">
        <v>56.2</v>
      </c>
      <c r="G28" s="153">
        <f>E28*F28</f>
        <v>42093.8</v>
      </c>
      <c r="H28" s="111">
        <f>G28+'30'!H28</f>
        <v>-5985.7713999998014</v>
      </c>
      <c r="I28" s="156"/>
      <c r="J28" s="203">
        <f>H28/DAY(B2)</f>
        <v>-193.08939999999359</v>
      </c>
      <c r="K28" s="65"/>
      <c r="L28" s="94"/>
      <c r="N28" s="91">
        <f>F28-'1'!E28</f>
        <v>-889.28999999999064</v>
      </c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62</v>
      </c>
      <c r="F30" s="152">
        <v>146</v>
      </c>
      <c r="G30" s="153">
        <f>E30*F30</f>
        <v>9052</v>
      </c>
      <c r="H30" s="111">
        <f>G30+'30'!H30</f>
        <v>0</v>
      </c>
      <c r="I30" s="156"/>
      <c r="J30" s="203">
        <f>H30/DAY(B2)</f>
        <v>0</v>
      </c>
      <c r="K30" s="65"/>
      <c r="L30" s="94"/>
      <c r="N30" s="91">
        <f>F30-'1'!E30</f>
        <v>80</v>
      </c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397964</v>
      </c>
      <c r="I31" s="156"/>
      <c r="J31" s="203">
        <f>H31/DAY(B2)</f>
        <v>12837.548387096775</v>
      </c>
      <c r="K31" s="65"/>
      <c r="L31" s="94"/>
      <c r="N31" s="91">
        <f>F31-'1'!E31</f>
        <v>0</v>
      </c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264845.8</v>
      </c>
      <c r="H32" s="111">
        <f>G32+'30'!H32</f>
        <v>9386281.228600001</v>
      </c>
      <c r="I32" s="160"/>
      <c r="J32" s="203">
        <f>H32/DAY(B2)</f>
        <v>302783.2654387097</v>
      </c>
      <c r="K32" s="65"/>
      <c r="L32" s="94"/>
      <c r="N32" s="91">
        <f>F32-'1'!E32</f>
        <v>0</v>
      </c>
      <c r="O32" s="73"/>
    </row>
    <row r="33" spans="1:15" ht="25.5" customHeight="1">
      <c r="A33" s="1264" t="s">
        <v>161</v>
      </c>
      <c r="B33" s="1265"/>
      <c r="C33" s="1265"/>
      <c r="D33" s="1265"/>
      <c r="E33" s="1265"/>
      <c r="F33" s="1265"/>
      <c r="G33" s="1265"/>
      <c r="H33" s="1265"/>
      <c r="I33" s="1265"/>
      <c r="J33" s="1266"/>
      <c r="K33" s="81"/>
      <c r="L33" s="68"/>
      <c r="N33" s="91">
        <f>F33-'1'!E33</f>
        <v>0</v>
      </c>
      <c r="O33" s="73"/>
    </row>
    <row r="34" spans="1:15" ht="29.25">
      <c r="A34" s="249" t="s">
        <v>162</v>
      </c>
      <c r="B34" s="764"/>
      <c r="C34" s="764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0</v>
      </c>
      <c r="I35" s="106"/>
      <c r="J35" s="203">
        <f>H35/DAY(B2)</f>
        <v>0</v>
      </c>
      <c r="K35" s="81"/>
      <c r="L35" s="68"/>
      <c r="N35" s="91">
        <f>F35-'1'!E35</f>
        <v>0</v>
      </c>
      <c r="O35" s="73"/>
    </row>
    <row r="36" spans="1:15" ht="29.25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67875</v>
      </c>
      <c r="I36" s="106"/>
      <c r="J36" s="203">
        <f>H36/DAY(B2)</f>
        <v>2189.516129032258</v>
      </c>
      <c r="K36" s="81"/>
      <c r="L36" s="68"/>
      <c r="N36" s="91">
        <f>F36-'1'!E36</f>
        <v>0</v>
      </c>
      <c r="O36" s="279"/>
    </row>
    <row r="37" spans="1:15" ht="29.25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270276</v>
      </c>
      <c r="I37" s="106"/>
      <c r="J37" s="203">
        <f>H37/DAY(B2)</f>
        <v>8718.5806451612898</v>
      </c>
      <c r="K37" s="81"/>
      <c r="L37" s="68"/>
      <c r="N37" s="91">
        <f>F37-'1'!E37</f>
        <v>0</v>
      </c>
      <c r="O37" s="280"/>
    </row>
    <row r="38" spans="1:15" ht="29.25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295695</v>
      </c>
      <c r="I38" s="106"/>
      <c r="J38" s="203">
        <f>H38/DAY(B2)</f>
        <v>9538.5483870967746</v>
      </c>
      <c r="K38" s="81"/>
      <c r="L38" s="68"/>
      <c r="N38" s="91">
        <f>F38-'1'!E38</f>
        <v>0</v>
      </c>
      <c r="O38" s="73"/>
    </row>
    <row r="39" spans="1:15" ht="29.25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634073</v>
      </c>
      <c r="I39" s="106"/>
      <c r="J39" s="203">
        <f>H39/DAY(B2)</f>
        <v>20453.967741935485</v>
      </c>
      <c r="K39" s="81"/>
      <c r="L39" s="68"/>
      <c r="N39" s="91">
        <f>F39-'1'!E39</f>
        <v>634073</v>
      </c>
      <c r="O39" s="73"/>
    </row>
    <row r="40" spans="1:15" ht="29.25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34756.400000000001</v>
      </c>
      <c r="I40" s="106"/>
      <c r="J40" s="203">
        <f>H40/DAY(B2)</f>
        <v>1121.1741935483872</v>
      </c>
      <c r="K40" s="82"/>
      <c r="L40" s="68"/>
      <c r="N40" s="91">
        <f>F40-'1'!E40</f>
        <v>1002.4000000000015</v>
      </c>
      <c r="O40" s="73"/>
    </row>
    <row r="41" spans="1:15" ht="29.25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0</v>
      </c>
      <c r="I41" s="106"/>
      <c r="J41" s="203">
        <f>H41/DAY(B2)</f>
        <v>0</v>
      </c>
      <c r="K41" s="81"/>
      <c r="L41" s="68"/>
      <c r="N41" s="91">
        <f>F41-'1'!E41</f>
        <v>0</v>
      </c>
      <c r="O41" s="73"/>
    </row>
    <row r="42" spans="1:15" ht="29.25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0</v>
      </c>
      <c r="I42" s="106"/>
      <c r="J42" s="203">
        <f>H42/DAY(B2)</f>
        <v>0</v>
      </c>
      <c r="K42" s="81"/>
      <c r="L42" s="68"/>
      <c r="N42" s="91">
        <f>H42-'1'!E42</f>
        <v>-175112</v>
      </c>
      <c r="O42" s="73"/>
    </row>
    <row r="43" spans="1:15" ht="29.25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0</v>
      </c>
      <c r="I43" s="106"/>
      <c r="J43" s="203">
        <f>H43/DAY(B2)</f>
        <v>0</v>
      </c>
      <c r="K43" s="81"/>
      <c r="L43" s="68"/>
      <c r="N43" s="91">
        <f>H43-'1'!E43</f>
        <v>-1289745</v>
      </c>
      <c r="O43" s="73"/>
    </row>
    <row r="44" spans="1:15" ht="29.25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1303476.4000000004</v>
      </c>
      <c r="I47" s="106"/>
      <c r="J47" s="203">
        <f>H47/DAY(B2)</f>
        <v>42047.625806451622</v>
      </c>
      <c r="K47" s="81"/>
      <c r="L47" s="68"/>
      <c r="N47" s="91">
        <f>H47-'1'!E47</f>
        <v>1303476.4000000004</v>
      </c>
      <c r="O47" s="73"/>
    </row>
    <row r="48" spans="1:15" ht="29.25">
      <c r="A48" s="249" t="s">
        <v>176</v>
      </c>
      <c r="B48" s="764"/>
      <c r="C48" s="764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>
      <c r="A49" s="229" t="s">
        <v>163</v>
      </c>
      <c r="B49" s="252"/>
      <c r="C49" s="252"/>
      <c r="D49" s="174" t="s">
        <v>131</v>
      </c>
      <c r="E49" s="106">
        <f>'30'!F49</f>
        <v>416671</v>
      </c>
      <c r="F49" s="161">
        <v>419822</v>
      </c>
      <c r="G49" s="124">
        <f t="shared" ref="G49:G58" si="4">F49-E49</f>
        <v>3151</v>
      </c>
      <c r="H49" s="111">
        <f>G49+'30'!H49</f>
        <v>403042</v>
      </c>
      <c r="I49" s="106"/>
      <c r="J49" s="203">
        <f>H49/DAY(B2)</f>
        <v>13001.354838709678</v>
      </c>
      <c r="K49" s="81"/>
      <c r="L49" s="68"/>
      <c r="N49" s="91">
        <f>H49-'1'!E49</f>
        <v>400816</v>
      </c>
      <c r="O49" s="73"/>
    </row>
    <row r="50" spans="1:15" ht="29.25">
      <c r="A50" s="229" t="s">
        <v>177</v>
      </c>
      <c r="B50" s="252"/>
      <c r="C50" s="252"/>
      <c r="D50" s="174" t="s">
        <v>131</v>
      </c>
      <c r="E50" s="106">
        <f>'30'!F50</f>
        <v>606322</v>
      </c>
      <c r="F50" s="161">
        <v>607298</v>
      </c>
      <c r="G50" s="124">
        <f t="shared" si="4"/>
        <v>976</v>
      </c>
      <c r="H50" s="111">
        <f>G50+'30'!H50</f>
        <v>-920</v>
      </c>
      <c r="I50" s="106"/>
      <c r="J50" s="203">
        <f>H50/DAY(B2)</f>
        <v>-29.677419354838708</v>
      </c>
      <c r="K50" s="81"/>
      <c r="L50" s="68"/>
      <c r="N50" s="91">
        <f>H50-'1'!E50</f>
        <v>-608218</v>
      </c>
      <c r="O50" s="73"/>
    </row>
    <row r="51" spans="1:15" ht="29.25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144640</v>
      </c>
      <c r="I51" s="106"/>
      <c r="J51" s="203">
        <f>H51/DAY(B2)</f>
        <v>4665.8064516129034</v>
      </c>
      <c r="K51" s="81"/>
      <c r="L51" s="68"/>
      <c r="N51" s="91">
        <f>H51-'1'!E51</f>
        <v>144640</v>
      </c>
      <c r="O51" s="73"/>
    </row>
    <row r="52" spans="1:15" ht="29.25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-6.9999999948777258E-2</v>
      </c>
      <c r="I52" s="106"/>
      <c r="J52" s="203">
        <f>H52/DAY(B2)</f>
        <v>-2.2580645144766858E-3</v>
      </c>
      <c r="K52" s="81"/>
      <c r="L52" s="68"/>
      <c r="N52" s="91">
        <f>H52-'1'!E52</f>
        <v>-6.9999999948777258E-2</v>
      </c>
      <c r="O52" s="73"/>
    </row>
    <row r="53" spans="1:15" ht="29.25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434232</v>
      </c>
      <c r="G53" s="124">
        <f t="shared" si="4"/>
        <v>0</v>
      </c>
      <c r="H53" s="111">
        <f>G53+'30'!H53</f>
        <v>434232</v>
      </c>
      <c r="I53" s="106"/>
      <c r="J53" s="203">
        <f>H53/DAY(B2)</f>
        <v>14007.483870967742</v>
      </c>
      <c r="K53" s="81"/>
      <c r="L53" s="68"/>
      <c r="N53" s="91">
        <f>H53-'1'!E53</f>
        <v>434232</v>
      </c>
      <c r="O53" s="73"/>
    </row>
    <row r="54" spans="1:15" ht="29.25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14967</v>
      </c>
      <c r="G54" s="124">
        <f t="shared" si="4"/>
        <v>0</v>
      </c>
      <c r="H54" s="111">
        <f>G54+'30'!H54</f>
        <v>12502</v>
      </c>
      <c r="I54" s="106"/>
      <c r="J54" s="203">
        <f>H54/DAY(B2)</f>
        <v>403.29032258064518</v>
      </c>
      <c r="K54" s="81"/>
      <c r="L54" s="68"/>
      <c r="N54" s="91">
        <f>H54-'1'!E54</f>
        <v>10041</v>
      </c>
      <c r="O54" s="73"/>
    </row>
    <row r="55" spans="1:15" ht="29.25">
      <c r="A55" s="229" t="s">
        <v>180</v>
      </c>
      <c r="B55" s="252"/>
      <c r="C55" s="252"/>
      <c r="D55" s="174" t="s">
        <v>131</v>
      </c>
      <c r="E55" s="106">
        <f>'30'!F55</f>
        <v>306268</v>
      </c>
      <c r="F55" s="161">
        <v>306268.99</v>
      </c>
      <c r="G55" s="124">
        <f t="shared" si="4"/>
        <v>0.98999999999068677</v>
      </c>
      <c r="H55" s="111">
        <f>G55+'30'!H55</f>
        <v>-1030</v>
      </c>
      <c r="I55" s="106"/>
      <c r="J55" s="203">
        <f>H55/DAY(B2)</f>
        <v>-33.225806451612904</v>
      </c>
      <c r="K55" s="81"/>
      <c r="L55" s="68"/>
      <c r="N55" s="91">
        <f>H55-'1'!E55</f>
        <v>-307298.99</v>
      </c>
      <c r="O55" s="73"/>
    </row>
    <row r="56" spans="1:15" ht="29.25">
      <c r="A56" s="229" t="s">
        <v>181</v>
      </c>
      <c r="B56" s="252"/>
      <c r="C56" s="252"/>
      <c r="D56" s="174" t="s">
        <v>182</v>
      </c>
      <c r="E56" s="106">
        <f>'30'!F56</f>
        <v>660429</v>
      </c>
      <c r="F56" s="161">
        <v>661019</v>
      </c>
      <c r="G56" s="124">
        <f t="shared" si="4"/>
        <v>590</v>
      </c>
      <c r="H56" s="111">
        <f>G56+'30'!H56</f>
        <v>-12</v>
      </c>
      <c r="I56" s="106"/>
      <c r="J56" s="203">
        <f>H56/DAY(B2)</f>
        <v>-0.38709677419354838</v>
      </c>
      <c r="K56" s="80"/>
      <c r="L56" s="68"/>
      <c r="N56" s="91">
        <f>H56-'1'!E56</f>
        <v>-661031</v>
      </c>
      <c r="O56" s="73"/>
    </row>
    <row r="57" spans="1:15" ht="29.25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>
      <c r="A58" s="229" t="s">
        <v>183</v>
      </c>
      <c r="B58" s="252"/>
      <c r="C58" s="252"/>
      <c r="D58" s="174" t="s">
        <v>131</v>
      </c>
      <c r="E58" s="106">
        <f>'30'!F58</f>
        <v>65818</v>
      </c>
      <c r="F58" s="161">
        <v>66014</v>
      </c>
      <c r="G58" s="124">
        <f t="shared" si="4"/>
        <v>196</v>
      </c>
      <c r="H58" s="111">
        <f>G58+'30'!H58</f>
        <v>-169</v>
      </c>
      <c r="I58" s="106"/>
      <c r="J58" s="203">
        <f>H58/DAY(B2)</f>
        <v>-5.4516129032258061</v>
      </c>
      <c r="K58" s="81"/>
      <c r="L58" s="68"/>
      <c r="N58" s="91">
        <f>H58-'1'!E58</f>
        <v>-66183</v>
      </c>
      <c r="O58" s="73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4913.9899999999907</v>
      </c>
      <c r="H59" s="111">
        <f>G59+'30'!H59</f>
        <v>1531890.9999999995</v>
      </c>
      <c r="I59" s="106">
        <f>G7-G60</f>
        <v>816.01000000000931</v>
      </c>
      <c r="J59" s="203">
        <f>H59/DAY(B2)</f>
        <v>49415.838709677402</v>
      </c>
      <c r="K59" s="81"/>
      <c r="L59" s="68"/>
      <c r="N59" s="91">
        <f>H59-'1'!E59</f>
        <v>1531890.9999999995</v>
      </c>
      <c r="O59" s="73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19776.989999999991</v>
      </c>
      <c r="H60" s="111">
        <f>G60+'30'!H60</f>
        <v>2842056.4000000004</v>
      </c>
      <c r="I60" s="106">
        <f>G13-G60</f>
        <v>-2.9899999999906868</v>
      </c>
      <c r="J60" s="203">
        <f>H60/DAY(B2)</f>
        <v>91679.238709677433</v>
      </c>
      <c r="K60" s="81"/>
      <c r="L60" s="68"/>
      <c r="N60" s="91">
        <f>H60-'1'!E60</f>
        <v>2842056.4000000004</v>
      </c>
      <c r="O60" s="73"/>
    </row>
    <row r="61" spans="1:15" ht="29.2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>
      <c r="A62" s="254" t="s">
        <v>97</v>
      </c>
      <c r="B62" s="255"/>
      <c r="C62" s="255"/>
      <c r="D62" s="162" t="s">
        <v>186</v>
      </c>
      <c r="E62" s="106">
        <f>'30'!F62</f>
        <v>20419</v>
      </c>
      <c r="F62" s="165">
        <v>20419</v>
      </c>
      <c r="G62" s="124">
        <f t="shared" ref="G62:G69" si="5">F62-E62</f>
        <v>0</v>
      </c>
      <c r="H62" s="111">
        <f>G62+'30'!H62</f>
        <v>1.9999999967694748E-3</v>
      </c>
      <c r="I62" s="166"/>
      <c r="J62" s="203">
        <f>H62/DAY(B2)</f>
        <v>6.4516128928047577E-5</v>
      </c>
      <c r="K62" s="81"/>
      <c r="L62" s="68"/>
      <c r="N62" s="91">
        <f>H62-'1'!E62</f>
        <v>-20418.998000000003</v>
      </c>
      <c r="O62" s="73"/>
    </row>
    <row r="63" spans="1:15" ht="29.25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0</v>
      </c>
      <c r="I63" s="166"/>
      <c r="J63" s="203">
        <f>H63/DAY(B2)</f>
        <v>0</v>
      </c>
      <c r="K63" s="81"/>
      <c r="L63" s="68"/>
      <c r="N63" s="91">
        <f>H63-'1'!E63</f>
        <v>0</v>
      </c>
      <c r="O63" s="73"/>
    </row>
    <row r="64" spans="1:15" ht="27.75">
      <c r="A64" s="1226" t="s">
        <v>98</v>
      </c>
      <c r="B64" s="1227"/>
      <c r="C64" s="1228"/>
      <c r="D64" s="174" t="s">
        <v>186</v>
      </c>
      <c r="E64" s="106">
        <f>'30'!F64</f>
        <v>193802</v>
      </c>
      <c r="F64" s="135">
        <v>194217</v>
      </c>
      <c r="G64" s="124">
        <f t="shared" si="5"/>
        <v>415</v>
      </c>
      <c r="H64" s="111">
        <f>G64+'30'!H64</f>
        <v>0</v>
      </c>
      <c r="I64" s="131"/>
      <c r="J64" s="203">
        <f>H64/DAY(B2)</f>
        <v>0</v>
      </c>
      <c r="K64" s="81"/>
      <c r="L64" s="68"/>
      <c r="N64" s="91">
        <f>H64-'1'!E64</f>
        <v>-194217</v>
      </c>
      <c r="O64" s="73"/>
    </row>
    <row r="65" spans="1:15" ht="27.75">
      <c r="A65" s="1226" t="s">
        <v>99</v>
      </c>
      <c r="B65" s="1227"/>
      <c r="C65" s="1228"/>
      <c r="D65" s="174" t="s">
        <v>186</v>
      </c>
      <c r="E65" s="106">
        <f>'30'!F65</f>
        <v>194265</v>
      </c>
      <c r="F65" s="135">
        <v>194629</v>
      </c>
      <c r="G65" s="124">
        <f t="shared" si="5"/>
        <v>364</v>
      </c>
      <c r="H65" s="111">
        <f>G65+'30'!H65</f>
        <v>0</v>
      </c>
      <c r="I65" s="140"/>
      <c r="J65" s="203">
        <f>H65/DAY(B2)</f>
        <v>0</v>
      </c>
      <c r="K65" s="81"/>
      <c r="L65" s="68"/>
      <c r="N65" s="91">
        <f>H65-'1'!E65</f>
        <v>-194629</v>
      </c>
      <c r="O65" s="73"/>
    </row>
    <row r="66" spans="1:15" ht="27.75">
      <c r="A66" s="1226" t="s">
        <v>100</v>
      </c>
      <c r="B66" s="1227"/>
      <c r="C66" s="1228"/>
      <c r="D66" s="174" t="s">
        <v>186</v>
      </c>
      <c r="E66" s="106">
        <f>'30'!F66</f>
        <v>92924</v>
      </c>
      <c r="F66" s="135">
        <v>93317</v>
      </c>
      <c r="G66" s="124">
        <f t="shared" si="5"/>
        <v>393</v>
      </c>
      <c r="H66" s="111">
        <f>G66+'30'!H66</f>
        <v>0</v>
      </c>
      <c r="I66" s="131"/>
      <c r="J66" s="203">
        <f>H66/DAY(B2)</f>
        <v>0</v>
      </c>
      <c r="K66" s="81"/>
      <c r="L66" s="68"/>
      <c r="N66" s="91">
        <f>H66-'1'!E66</f>
        <v>-93317</v>
      </c>
      <c r="O66" s="73"/>
    </row>
    <row r="67" spans="1:15" ht="27.75">
      <c r="A67" s="1226" t="s">
        <v>101</v>
      </c>
      <c r="B67" s="1227"/>
      <c r="C67" s="1228"/>
      <c r="D67" s="174" t="s">
        <v>186</v>
      </c>
      <c r="E67" s="106">
        <f>'30'!F67</f>
        <v>294453</v>
      </c>
      <c r="F67" s="135">
        <v>294891</v>
      </c>
      <c r="G67" s="124">
        <f t="shared" si="5"/>
        <v>438</v>
      </c>
      <c r="H67" s="111">
        <f>G67+'30'!H67</f>
        <v>0</v>
      </c>
      <c r="I67" s="140"/>
      <c r="J67" s="203">
        <f>H67/DAY(B2)</f>
        <v>0</v>
      </c>
      <c r="K67" s="82"/>
      <c r="L67" s="68"/>
      <c r="N67" s="91">
        <f>H67-'1'!E67</f>
        <v>-294891</v>
      </c>
      <c r="O67" s="73"/>
    </row>
    <row r="68" spans="1:15" ht="27.75">
      <c r="A68" s="1226" t="s">
        <v>102</v>
      </c>
      <c r="B68" s="1227"/>
      <c r="C68" s="1228"/>
      <c r="D68" s="174" t="s">
        <v>186</v>
      </c>
      <c r="E68" s="106">
        <f>'30'!F68</f>
        <v>85321</v>
      </c>
      <c r="F68" s="135">
        <v>85321</v>
      </c>
      <c r="G68" s="124">
        <f t="shared" si="5"/>
        <v>0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>
      <c r="A69" s="1226" t="s">
        <v>103</v>
      </c>
      <c r="B69" s="1227"/>
      <c r="C69" s="1228"/>
      <c r="D69" s="174" t="s">
        <v>186</v>
      </c>
      <c r="E69" s="106">
        <f>'30'!F69</f>
        <v>106089</v>
      </c>
      <c r="F69" s="135">
        <v>106406</v>
      </c>
      <c r="G69" s="124">
        <f t="shared" si="5"/>
        <v>317</v>
      </c>
      <c r="H69" s="111">
        <f>G69+'30'!H69</f>
        <v>0</v>
      </c>
      <c r="I69" s="167"/>
      <c r="J69" s="203">
        <f>H69/DAY(B2)</f>
        <v>0</v>
      </c>
      <c r="K69" s="84"/>
      <c r="L69" s="68"/>
      <c r="N69" s="91">
        <f>H69-'1'!E69</f>
        <v>-106406</v>
      </c>
      <c r="O69" s="73"/>
    </row>
    <row r="70" spans="1:15" ht="27.75">
      <c r="A70" s="1267" t="s">
        <v>188</v>
      </c>
      <c r="B70" s="1268"/>
      <c r="C70" s="1269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>
      <c r="A71" s="1270" t="s">
        <v>189</v>
      </c>
      <c r="B71" s="1271"/>
      <c r="C71" s="1271"/>
      <c r="D71" s="1271"/>
      <c r="E71" s="1271"/>
      <c r="F71" s="1271"/>
      <c r="G71" s="1271"/>
      <c r="H71" s="1271"/>
      <c r="I71" s="1271"/>
      <c r="J71" s="1272"/>
      <c r="K71" s="83"/>
      <c r="L71" s="68"/>
      <c r="N71" s="91">
        <f>H71-'1'!E71</f>
        <v>0</v>
      </c>
      <c r="O71" s="73"/>
    </row>
    <row r="72" spans="1:15" ht="27.75">
      <c r="A72" s="1226" t="s">
        <v>190</v>
      </c>
      <c r="B72" s="1227"/>
      <c r="C72" s="1228"/>
      <c r="D72" s="174" t="s">
        <v>186</v>
      </c>
      <c r="E72" s="106">
        <f>'30'!F72</f>
        <v>857008</v>
      </c>
      <c r="F72" s="170">
        <v>857022</v>
      </c>
      <c r="G72" s="124">
        <f t="shared" ref="G72:G84" si="6">F72-E72</f>
        <v>14</v>
      </c>
      <c r="H72" s="111">
        <f>G72+'30'!H72</f>
        <v>315</v>
      </c>
      <c r="I72" s="131"/>
      <c r="J72" s="203">
        <f>H72/DAY(B2)</f>
        <v>10.161290322580646</v>
      </c>
      <c r="K72" s="84"/>
      <c r="L72" s="68"/>
      <c r="N72" s="91">
        <f>H72-'1'!E72</f>
        <v>-856707</v>
      </c>
      <c r="O72" s="73"/>
    </row>
    <row r="73" spans="1:15" ht="27.75">
      <c r="A73" s="1226" t="s">
        <v>191</v>
      </c>
      <c r="B73" s="1227"/>
      <c r="C73" s="1228"/>
      <c r="D73" s="174" t="s">
        <v>186</v>
      </c>
      <c r="E73" s="106">
        <f>'30'!F73</f>
        <v>886049</v>
      </c>
      <c r="F73" s="171">
        <v>886051</v>
      </c>
      <c r="G73" s="124">
        <f t="shared" si="6"/>
        <v>2</v>
      </c>
      <c r="H73" s="111">
        <f>G73+'30'!H73</f>
        <v>0</v>
      </c>
      <c r="I73" s="131"/>
      <c r="J73" s="203">
        <f>H73/DAY(B2)</f>
        <v>0</v>
      </c>
      <c r="K73" s="83"/>
      <c r="L73" s="68"/>
      <c r="N73" s="91">
        <f>H73-'1'!E73</f>
        <v>-886051</v>
      </c>
      <c r="O73" s="73"/>
    </row>
    <row r="74" spans="1:15" ht="27.75">
      <c r="A74" s="1226" t="s">
        <v>192</v>
      </c>
      <c r="B74" s="1227"/>
      <c r="C74" s="1228"/>
      <c r="D74" s="174" t="s">
        <v>186</v>
      </c>
      <c r="E74" s="106">
        <f>'30'!F74</f>
        <v>88775</v>
      </c>
      <c r="F74" s="172">
        <v>88776</v>
      </c>
      <c r="G74" s="124">
        <f t="shared" si="6"/>
        <v>1</v>
      </c>
      <c r="H74" s="111">
        <f>G74+'30'!H74</f>
        <v>86</v>
      </c>
      <c r="I74" s="131"/>
      <c r="J74" s="203">
        <f>H74/DAY(B2)</f>
        <v>2.774193548387097</v>
      </c>
      <c r="K74" s="84"/>
      <c r="L74" s="68"/>
      <c r="N74" s="91">
        <f>H74-'1'!E74</f>
        <v>-88676</v>
      </c>
      <c r="O74" s="73"/>
    </row>
    <row r="75" spans="1:15" ht="27.75">
      <c r="A75" s="1229" t="s">
        <v>193</v>
      </c>
      <c r="B75" s="1230"/>
      <c r="C75" s="1231"/>
      <c r="D75" s="174" t="s">
        <v>186</v>
      </c>
      <c r="E75" s="106">
        <f>'30'!F75</f>
        <v>26148</v>
      </c>
      <c r="F75" s="172">
        <v>26308</v>
      </c>
      <c r="G75" s="124">
        <f t="shared" si="6"/>
        <v>160</v>
      </c>
      <c r="H75" s="111">
        <f>G75+'30'!H75</f>
        <v>0</v>
      </c>
      <c r="I75" s="131"/>
      <c r="J75" s="203">
        <f>H75/DAY(B2)</f>
        <v>0</v>
      </c>
      <c r="K75" s="83"/>
      <c r="L75" s="68"/>
      <c r="N75" s="91">
        <f>H75-'1'!E75</f>
        <v>-26308</v>
      </c>
      <c r="O75" s="73"/>
    </row>
    <row r="76" spans="1:15" ht="27.75">
      <c r="A76" s="1229" t="s">
        <v>194</v>
      </c>
      <c r="B76" s="1230"/>
      <c r="C76" s="1231"/>
      <c r="D76" s="174" t="s">
        <v>186</v>
      </c>
      <c r="E76" s="106">
        <f>'30'!F76</f>
        <v>13215</v>
      </c>
      <c r="F76" s="171">
        <v>13277</v>
      </c>
      <c r="G76" s="124">
        <f t="shared" si="6"/>
        <v>62</v>
      </c>
      <c r="H76" s="111">
        <f>G76+'30'!H76</f>
        <v>0</v>
      </c>
      <c r="I76" s="156"/>
      <c r="J76" s="203">
        <f>H76/DAY(B2)</f>
        <v>0</v>
      </c>
      <c r="K76" s="83"/>
      <c r="L76" s="68"/>
      <c r="N76" s="91">
        <f>H76-'1'!E76</f>
        <v>-13277</v>
      </c>
      <c r="O76" s="73"/>
    </row>
    <row r="77" spans="1:15" ht="27.75">
      <c r="A77" s="1226" t="s">
        <v>195</v>
      </c>
      <c r="B77" s="1227"/>
      <c r="C77" s="1228"/>
      <c r="D77" s="174" t="s">
        <v>186</v>
      </c>
      <c r="E77" s="106">
        <f>'30'!F77</f>
        <v>708244</v>
      </c>
      <c r="F77" s="172">
        <v>708289</v>
      </c>
      <c r="G77" s="124">
        <f t="shared" si="6"/>
        <v>45</v>
      </c>
      <c r="H77" s="111">
        <f>G77+'30'!H77</f>
        <v>0</v>
      </c>
      <c r="I77" s="156"/>
      <c r="J77" s="203">
        <f>H77/DAY(B2)</f>
        <v>0</v>
      </c>
      <c r="K77" s="83"/>
      <c r="L77" s="68"/>
      <c r="N77" s="91">
        <f>H77-'1'!E77</f>
        <v>-708289</v>
      </c>
      <c r="O77" s="73"/>
    </row>
    <row r="78" spans="1:15" ht="27.75">
      <c r="A78" s="762" t="s">
        <v>196</v>
      </c>
      <c r="B78" s="754"/>
      <c r="C78" s="754"/>
      <c r="D78" s="174" t="s">
        <v>186</v>
      </c>
      <c r="E78" s="106">
        <f>'30'!F78</f>
        <v>682326</v>
      </c>
      <c r="F78" s="172">
        <v>682413</v>
      </c>
      <c r="G78" s="124">
        <f t="shared" si="6"/>
        <v>87</v>
      </c>
      <c r="H78" s="111">
        <f>G78+'30'!H78</f>
        <v>0</v>
      </c>
      <c r="I78" s="156"/>
      <c r="J78" s="203">
        <f>H78/DAY(B2)</f>
        <v>0</v>
      </c>
      <c r="K78" s="83"/>
      <c r="L78" s="68"/>
      <c r="N78" s="91">
        <f>H78-'1'!E78</f>
        <v>-682413</v>
      </c>
      <c r="O78" s="73"/>
    </row>
    <row r="79" spans="1:15" ht="27.75">
      <c r="A79" s="1229" t="s">
        <v>91</v>
      </c>
      <c r="B79" s="1230"/>
      <c r="C79" s="1231"/>
      <c r="D79" s="175" t="s">
        <v>186</v>
      </c>
      <c r="E79" s="106">
        <f>'30'!F79</f>
        <v>844897</v>
      </c>
      <c r="F79" s="172">
        <v>845049</v>
      </c>
      <c r="G79" s="124">
        <f t="shared" si="6"/>
        <v>152</v>
      </c>
      <c r="H79" s="111">
        <f>G79+'30'!H79</f>
        <v>0</v>
      </c>
      <c r="I79" s="156"/>
      <c r="J79" s="203">
        <f>H79/DAY(B2)</f>
        <v>0</v>
      </c>
      <c r="K79" s="83"/>
      <c r="L79" s="68"/>
      <c r="N79" s="91">
        <f>H79-'1'!E79</f>
        <v>-845049</v>
      </c>
      <c r="O79" s="73"/>
    </row>
    <row r="80" spans="1:15" ht="27.75">
      <c r="A80" s="1229" t="s">
        <v>197</v>
      </c>
      <c r="B80" s="1230"/>
      <c r="C80" s="1231"/>
      <c r="D80" s="175" t="s">
        <v>186</v>
      </c>
      <c r="E80" s="106">
        <f>'30'!F80</f>
        <v>563931</v>
      </c>
      <c r="F80" s="171">
        <v>564298</v>
      </c>
      <c r="G80" s="124">
        <f t="shared" si="6"/>
        <v>367</v>
      </c>
      <c r="H80" s="111">
        <f>G80+'30'!H80</f>
        <v>0</v>
      </c>
      <c r="I80" s="156"/>
      <c r="J80" s="203">
        <f>H80/DAY(B2)</f>
        <v>0</v>
      </c>
      <c r="K80" s="83"/>
      <c r="L80" s="68"/>
      <c r="N80" s="91">
        <f>H80-'1'!E80</f>
        <v>-564298</v>
      </c>
      <c r="O80" s="73"/>
    </row>
    <row r="81" spans="1:15" ht="27.75">
      <c r="A81" s="1229" t="s">
        <v>198</v>
      </c>
      <c r="B81" s="1230"/>
      <c r="C81" s="1231"/>
      <c r="D81" s="175" t="s">
        <v>186</v>
      </c>
      <c r="E81" s="106">
        <f>'30'!F81</f>
        <v>654047</v>
      </c>
      <c r="F81" s="171">
        <v>654178</v>
      </c>
      <c r="G81" s="124">
        <f t="shared" si="6"/>
        <v>131</v>
      </c>
      <c r="H81" s="111">
        <f>G81+'30'!H81</f>
        <v>0</v>
      </c>
      <c r="I81" s="156"/>
      <c r="J81" s="203">
        <f>H81/DAY(B2)</f>
        <v>0</v>
      </c>
      <c r="K81" s="83"/>
      <c r="L81" s="68"/>
      <c r="N81" s="91">
        <f>H81-'1'!E81</f>
        <v>-654178</v>
      </c>
      <c r="O81" s="73"/>
    </row>
    <row r="82" spans="1:15" ht="27.75">
      <c r="A82" s="1229" t="s">
        <v>92</v>
      </c>
      <c r="B82" s="1230"/>
      <c r="C82" s="1231"/>
      <c r="D82" s="136" t="s">
        <v>131</v>
      </c>
      <c r="E82" s="106">
        <f>'30'!F82</f>
        <v>109913</v>
      </c>
      <c r="F82" s="173">
        <v>109925</v>
      </c>
      <c r="G82" s="124">
        <f t="shared" si="6"/>
        <v>12</v>
      </c>
      <c r="H82" s="111">
        <f>G82+'30'!H82</f>
        <v>110148</v>
      </c>
      <c r="I82" s="137"/>
      <c r="J82" s="203">
        <f>H82/DAY(B2)</f>
        <v>3553.1612903225805</v>
      </c>
      <c r="K82" s="83"/>
      <c r="L82" s="68"/>
      <c r="N82" s="91">
        <f>H82-'1'!E82</f>
        <v>223</v>
      </c>
      <c r="O82" s="73"/>
    </row>
    <row r="83" spans="1:15" ht="27.75">
      <c r="A83" s="1229" t="s">
        <v>199</v>
      </c>
      <c r="B83" s="1230"/>
      <c r="C83" s="1231"/>
      <c r="D83" s="271" t="s">
        <v>131</v>
      </c>
      <c r="E83" s="106">
        <f>'30'!F83</f>
        <v>44013</v>
      </c>
      <c r="F83" s="162">
        <v>44323</v>
      </c>
      <c r="G83" s="124">
        <f t="shared" si="6"/>
        <v>310</v>
      </c>
      <c r="H83" s="111">
        <f>G83+'30'!H83</f>
        <v>0</v>
      </c>
      <c r="I83" s="132"/>
      <c r="J83" s="203">
        <f>H83/DAY(B2)</f>
        <v>0</v>
      </c>
      <c r="K83" s="82"/>
      <c r="L83" s="68"/>
      <c r="N83" s="91">
        <f>H83-'1'!E83</f>
        <v>-44323</v>
      </c>
      <c r="O83" s="73"/>
    </row>
    <row r="84" spans="1:15" ht="29.25">
      <c r="A84" s="763" t="s">
        <v>200</v>
      </c>
      <c r="B84" s="222"/>
      <c r="C84" s="222"/>
      <c r="D84" s="129" t="s">
        <v>131</v>
      </c>
      <c r="E84" s="106">
        <f>'30'!F84</f>
        <v>569725</v>
      </c>
      <c r="F84" s="278">
        <v>570379</v>
      </c>
      <c r="G84" s="124">
        <f t="shared" si="6"/>
        <v>654</v>
      </c>
      <c r="H84" s="111">
        <f>G84+'30'!H84</f>
        <v>0</v>
      </c>
      <c r="I84" s="132"/>
      <c r="J84" s="203">
        <f>H84/DAY(B2)</f>
        <v>0</v>
      </c>
      <c r="K84" s="71"/>
      <c r="L84" s="68"/>
      <c r="N84" s="91">
        <f>H84-'1'!E84</f>
        <v>-570379</v>
      </c>
      <c r="O84" s="73"/>
    </row>
    <row r="85" spans="1:15" s="70" customFormat="1" ht="29.2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1997</v>
      </c>
      <c r="H85" s="111">
        <f>G85+'30'!H85</f>
        <v>110234.00000000001</v>
      </c>
      <c r="I85" s="132"/>
      <c r="J85" s="203">
        <f>H85/DAY(B2)</f>
        <v>3555.9354838709683</v>
      </c>
      <c r="K85" s="71"/>
      <c r="L85" s="69"/>
      <c r="N85" s="91">
        <f>H85-'1'!E85</f>
        <v>110234.00000000001</v>
      </c>
      <c r="O85" s="73"/>
    </row>
    <row r="86" spans="1:15" s="386" customFormat="1" ht="29.25">
      <c r="A86" s="381" t="s">
        <v>93</v>
      </c>
      <c r="B86" s="382"/>
      <c r="C86" s="382"/>
      <c r="D86" s="383" t="s">
        <v>182</v>
      </c>
      <c r="E86" s="106">
        <f>'30'!F86</f>
        <v>463296</v>
      </c>
      <c r="F86" s="298">
        <v>463315</v>
      </c>
      <c r="G86" s="356">
        <f t="shared" ref="G86" si="7">F86-E86</f>
        <v>19</v>
      </c>
      <c r="H86" s="111">
        <f>G86+'30'!H86</f>
        <v>35</v>
      </c>
      <c r="I86" s="303"/>
      <c r="J86" s="358">
        <f>H86/DAY(B2)</f>
        <v>1.1290322580645162</v>
      </c>
      <c r="K86" s="384"/>
      <c r="L86" s="385"/>
      <c r="N86" s="91">
        <f>H86-'1'!E86</f>
        <v>-463280</v>
      </c>
      <c r="O86" s="364"/>
    </row>
    <row r="87" spans="1:15" s="386" customFormat="1" ht="29.25">
      <c r="A87" s="381" t="s">
        <v>94</v>
      </c>
      <c r="B87" s="382"/>
      <c r="C87" s="382"/>
      <c r="D87" s="383" t="s">
        <v>182</v>
      </c>
      <c r="E87" s="106">
        <f>'30'!F87</f>
        <v>83860</v>
      </c>
      <c r="F87" s="298">
        <v>83899</v>
      </c>
      <c r="G87" s="356">
        <f t="shared" ref="G87:G91" si="8">F87-E87</f>
        <v>39</v>
      </c>
      <c r="H87" s="111">
        <f>G87+'30'!H87</f>
        <v>92</v>
      </c>
      <c r="I87" s="303"/>
      <c r="J87" s="358">
        <f>H87/DAY(B2)</f>
        <v>2.967741935483871</v>
      </c>
      <c r="K87" s="384"/>
      <c r="L87" s="385"/>
      <c r="N87" s="91">
        <f>H87-'1'!E87</f>
        <v>-83807</v>
      </c>
      <c r="O87" s="364"/>
    </row>
    <row r="88" spans="1:15" s="386" customFormat="1" ht="29.25">
      <c r="A88" s="381" t="s">
        <v>95</v>
      </c>
      <c r="B88" s="382"/>
      <c r="C88" s="382"/>
      <c r="D88" s="383" t="s">
        <v>182</v>
      </c>
      <c r="E88" s="106">
        <f>'30'!F88</f>
        <v>158212</v>
      </c>
      <c r="F88" s="298">
        <v>158212</v>
      </c>
      <c r="G88" s="356">
        <f t="shared" si="8"/>
        <v>0</v>
      </c>
      <c r="H88" s="111">
        <f>G88+'30'!H88</f>
        <v>0</v>
      </c>
      <c r="I88" s="303"/>
      <c r="J88" s="358">
        <f>H88/DAY(B2)</f>
        <v>0</v>
      </c>
      <c r="K88" s="384"/>
      <c r="L88" s="385"/>
      <c r="N88" s="91">
        <f>H88-'1'!E88</f>
        <v>-158212</v>
      </c>
      <c r="O88" s="364"/>
    </row>
    <row r="89" spans="1:15" s="386" customFormat="1" ht="29.25">
      <c r="A89" s="381" t="s">
        <v>203</v>
      </c>
      <c r="B89" s="382"/>
      <c r="C89" s="382"/>
      <c r="D89" s="383" t="s">
        <v>182</v>
      </c>
      <c r="E89" s="106">
        <f>'30'!F89</f>
        <v>68992</v>
      </c>
      <c r="F89" s="298">
        <v>69089</v>
      </c>
      <c r="G89" s="356">
        <f t="shared" si="8"/>
        <v>97</v>
      </c>
      <c r="H89" s="111">
        <f>G89+'30'!H89</f>
        <v>221</v>
      </c>
      <c r="I89" s="303"/>
      <c r="J89" s="358">
        <f>H89/DAY(B2)</f>
        <v>7.129032258064516</v>
      </c>
      <c r="K89" s="384"/>
      <c r="L89" s="385"/>
      <c r="N89" s="91">
        <f>H89-'1'!E89</f>
        <v>-68868</v>
      </c>
      <c r="O89" s="73"/>
    </row>
    <row r="90" spans="1:15" s="386" customFormat="1" ht="29.25">
      <c r="A90" s="381" t="s">
        <v>203</v>
      </c>
      <c r="B90" s="382"/>
      <c r="C90" s="382"/>
      <c r="D90" s="383" t="s">
        <v>182</v>
      </c>
      <c r="E90" s="106">
        <f>'30'!F90</f>
        <v>3607</v>
      </c>
      <c r="F90" s="298">
        <v>3611</v>
      </c>
      <c r="G90" s="356">
        <f t="shared" si="8"/>
        <v>4</v>
      </c>
      <c r="H90" s="111">
        <f>G90+'30'!H90</f>
        <v>11</v>
      </c>
      <c r="I90" s="303"/>
      <c r="J90" s="358">
        <f>H90/DAY(B2)</f>
        <v>0.35483870967741937</v>
      </c>
      <c r="K90" s="384"/>
      <c r="L90" s="385"/>
      <c r="N90" s="91">
        <f>H90-'1'!E90</f>
        <v>-3600</v>
      </c>
      <c r="O90" s="73"/>
    </row>
    <row r="91" spans="1:15" s="386" customFormat="1" ht="29.25">
      <c r="A91" s="381" t="s">
        <v>335</v>
      </c>
      <c r="B91" s="382"/>
      <c r="C91" s="382"/>
      <c r="D91" s="383"/>
      <c r="E91" s="106">
        <f>'30'!F91</f>
        <v>28738</v>
      </c>
      <c r="F91" s="298">
        <v>28746</v>
      </c>
      <c r="G91" s="356">
        <f t="shared" si="8"/>
        <v>8</v>
      </c>
      <c r="H91" s="111">
        <f>G91+'30'!H91</f>
        <v>20</v>
      </c>
      <c r="I91" s="303"/>
      <c r="J91" s="358">
        <f>H91/DAY(B2)</f>
        <v>0.64516129032258063</v>
      </c>
      <c r="K91" s="384"/>
      <c r="L91" s="385"/>
      <c r="N91" s="428"/>
      <c r="O91" s="73"/>
    </row>
    <row r="92" spans="1:15" s="70" customFormat="1" ht="29.25">
      <c r="A92" s="257" t="s">
        <v>204</v>
      </c>
      <c r="B92" s="765"/>
      <c r="C92" s="765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>
      <c r="A93" s="1245" t="s">
        <v>205</v>
      </c>
      <c r="B93" s="1246"/>
      <c r="C93" s="1247"/>
      <c r="D93" s="174" t="s">
        <v>143</v>
      </c>
      <c r="E93" s="106">
        <f>'30'!F93</f>
        <v>253392</v>
      </c>
      <c r="F93" s="135">
        <v>253452</v>
      </c>
      <c r="G93" s="124">
        <f t="shared" ref="G93:G94" si="9">F93-E93</f>
        <v>60</v>
      </c>
      <c r="H93" s="111">
        <f>G93+'30'!H93</f>
        <v>0</v>
      </c>
      <c r="I93" s="131"/>
      <c r="J93" s="203">
        <f>H93/DAY(B2)</f>
        <v>0</v>
      </c>
      <c r="K93" s="82"/>
      <c r="L93" s="68"/>
      <c r="N93" s="91">
        <f>H93-'1'!E93</f>
        <v>-253452</v>
      </c>
      <c r="O93" s="73"/>
    </row>
    <row r="94" spans="1:15" ht="27.75">
      <c r="A94" s="1245" t="s">
        <v>206</v>
      </c>
      <c r="B94" s="1246"/>
      <c r="C94" s="1247"/>
      <c r="D94" s="174" t="s">
        <v>143</v>
      </c>
      <c r="E94" s="106">
        <f>'30'!F94</f>
        <v>197491</v>
      </c>
      <c r="F94" s="135">
        <v>197659</v>
      </c>
      <c r="G94" s="124">
        <f t="shared" si="9"/>
        <v>168</v>
      </c>
      <c r="H94" s="111">
        <f>G94+'30'!H94</f>
        <v>0</v>
      </c>
      <c r="I94" s="131"/>
      <c r="J94" s="203">
        <f>H94/DAY(B2)</f>
        <v>0</v>
      </c>
      <c r="K94" s="71"/>
      <c r="L94" s="68"/>
      <c r="N94" s="91">
        <f>H94-'1'!E94</f>
        <v>-197659</v>
      </c>
      <c r="O94" s="73"/>
    </row>
    <row r="95" spans="1:15" ht="29.25">
      <c r="A95" s="1277" t="s">
        <v>207</v>
      </c>
      <c r="B95" s="1278"/>
      <c r="C95" s="1279"/>
      <c r="D95" s="174"/>
      <c r="E95" s="135"/>
      <c r="F95" s="135"/>
      <c r="G95" s="124">
        <f>G93+G94</f>
        <v>228</v>
      </c>
      <c r="H95" s="111">
        <f>G95+'30'!H95</f>
        <v>-225</v>
      </c>
      <c r="I95" s="131"/>
      <c r="J95" s="203">
        <f>H95/DAY(B2)</f>
        <v>-7.258064516129032</v>
      </c>
      <c r="K95" s="71"/>
      <c r="L95" s="68"/>
      <c r="N95" s="91">
        <f>H95-'1'!E95</f>
        <v>-225</v>
      </c>
      <c r="O95" s="73"/>
    </row>
    <row r="96" spans="1:15" ht="27.75">
      <c r="A96" s="1245" t="s">
        <v>208</v>
      </c>
      <c r="B96" s="1246"/>
      <c r="C96" s="1247"/>
      <c r="D96" s="174" t="s">
        <v>143</v>
      </c>
      <c r="E96" s="106">
        <f>'30'!F96</f>
        <v>420954</v>
      </c>
      <c r="F96" s="135">
        <v>421019</v>
      </c>
      <c r="G96" s="124">
        <f t="shared" ref="G96:G101" si="10">F96-E96</f>
        <v>65</v>
      </c>
      <c r="H96" s="111">
        <f>G96+'30'!H96</f>
        <v>0</v>
      </c>
      <c r="I96" s="131"/>
      <c r="J96" s="203">
        <f>H96/DAY(B2)</f>
        <v>0</v>
      </c>
      <c r="K96" s="71"/>
      <c r="L96" s="68"/>
      <c r="N96" s="91">
        <f>H96-'1'!E96</f>
        <v>-421019</v>
      </c>
      <c r="O96" s="73"/>
    </row>
    <row r="97" spans="1:15" ht="27.75">
      <c r="A97" s="759" t="s">
        <v>209</v>
      </c>
      <c r="B97" s="760"/>
      <c r="C97" s="760"/>
      <c r="D97" s="174" t="s">
        <v>143</v>
      </c>
      <c r="E97" s="106">
        <f>'30'!F97</f>
        <v>104616</v>
      </c>
      <c r="F97" s="135">
        <v>104636</v>
      </c>
      <c r="G97" s="124">
        <f t="shared" si="10"/>
        <v>20</v>
      </c>
      <c r="H97" s="111">
        <f>G97+'30'!H97</f>
        <v>0</v>
      </c>
      <c r="I97" s="131"/>
      <c r="J97" s="203">
        <f>H97/DAY(B2)</f>
        <v>0</v>
      </c>
      <c r="K97" s="80"/>
      <c r="L97" s="68"/>
      <c r="N97" s="91">
        <f>H97-'1'!E97</f>
        <v>-104636</v>
      </c>
      <c r="O97" s="73"/>
    </row>
    <row r="98" spans="1:15" ht="27.75">
      <c r="A98" s="759" t="s">
        <v>210</v>
      </c>
      <c r="B98" s="760"/>
      <c r="C98" s="760"/>
      <c r="D98" s="174" t="s">
        <v>143</v>
      </c>
      <c r="E98" s="106">
        <f>'30'!F98</f>
        <v>100348</v>
      </c>
      <c r="F98" s="135">
        <v>100370</v>
      </c>
      <c r="G98" s="124">
        <f t="shared" si="10"/>
        <v>22</v>
      </c>
      <c r="H98" s="111">
        <f>G98+'30'!H98</f>
        <v>0</v>
      </c>
      <c r="I98" s="131"/>
      <c r="J98" s="203">
        <f>H98/DAY(B2)</f>
        <v>0</v>
      </c>
      <c r="K98" s="85"/>
      <c r="L98" s="68"/>
      <c r="N98" s="91">
        <f>H98-'1'!E98</f>
        <v>-100370</v>
      </c>
      <c r="O98" s="73"/>
    </row>
    <row r="99" spans="1:15" ht="27.75">
      <c r="A99" s="759" t="s">
        <v>211</v>
      </c>
      <c r="B99" s="760"/>
      <c r="C99" s="760"/>
      <c r="D99" s="174" t="s">
        <v>143</v>
      </c>
      <c r="E99" s="106">
        <f>'30'!F99</f>
        <v>152126</v>
      </c>
      <c r="F99" s="135">
        <v>152135</v>
      </c>
      <c r="G99" s="124">
        <f t="shared" si="10"/>
        <v>9</v>
      </c>
      <c r="H99" s="111">
        <f>G99+'30'!H99</f>
        <v>0</v>
      </c>
      <c r="I99" s="131"/>
      <c r="J99" s="203">
        <f>H99/DAY(B2)</f>
        <v>0</v>
      </c>
      <c r="K99" s="71"/>
      <c r="L99" s="68"/>
      <c r="N99" s="91">
        <f>H99-'1'!E99</f>
        <v>-152135</v>
      </c>
      <c r="O99" s="73"/>
    </row>
    <row r="100" spans="1:15" ht="27.75">
      <c r="A100" s="759" t="s">
        <v>212</v>
      </c>
      <c r="B100" s="760"/>
      <c r="C100" s="760"/>
      <c r="D100" s="174" t="s">
        <v>143</v>
      </c>
      <c r="E100" s="106">
        <f>'30'!F100</f>
        <v>8635</v>
      </c>
      <c r="F100" s="135">
        <v>8645</v>
      </c>
      <c r="G100" s="124">
        <f t="shared" si="10"/>
        <v>10</v>
      </c>
      <c r="H100" s="111">
        <f>G100+'30'!H100</f>
        <v>0</v>
      </c>
      <c r="I100" s="131"/>
      <c r="J100" s="203">
        <f>H100/DAY(B2)</f>
        <v>0</v>
      </c>
      <c r="K100" s="71"/>
      <c r="L100" s="68"/>
      <c r="N100" s="91">
        <f>H100-'1'!E100</f>
        <v>-8645</v>
      </c>
      <c r="O100" s="73"/>
    </row>
    <row r="101" spans="1:15" ht="27.75">
      <c r="A101" s="759" t="s">
        <v>213</v>
      </c>
      <c r="B101" s="760"/>
      <c r="C101" s="760"/>
      <c r="D101" s="174" t="s">
        <v>143</v>
      </c>
      <c r="E101" s="106">
        <f>'30'!F101</f>
        <v>6367</v>
      </c>
      <c r="F101" s="135">
        <v>6373</v>
      </c>
      <c r="G101" s="124">
        <f t="shared" si="10"/>
        <v>6</v>
      </c>
      <c r="H101" s="111">
        <f>G101+'30'!H101</f>
        <v>0</v>
      </c>
      <c r="I101" s="131"/>
      <c r="J101" s="203">
        <f>H101/DAY(B2)</f>
        <v>0</v>
      </c>
      <c r="K101" s="71"/>
      <c r="L101" s="68"/>
      <c r="N101" s="91">
        <f>H101-'1'!E101</f>
        <v>-6373</v>
      </c>
      <c r="O101" s="73"/>
    </row>
    <row r="102" spans="1:15" ht="29.25">
      <c r="A102" s="1277" t="s">
        <v>215</v>
      </c>
      <c r="B102" s="1278"/>
      <c r="C102" s="1279"/>
      <c r="D102" s="175"/>
      <c r="E102" s="175"/>
      <c r="F102" s="175"/>
      <c r="G102" s="176">
        <f>SUM(G96:G101)</f>
        <v>132</v>
      </c>
      <c r="H102" s="111">
        <f>G102+'30'!H102</f>
        <v>0</v>
      </c>
      <c r="I102" s="177"/>
      <c r="J102" s="203">
        <f>H102/DAY(B2)</f>
        <v>0</v>
      </c>
      <c r="K102" s="71"/>
      <c r="L102" s="68"/>
      <c r="N102" s="91">
        <f>H102-'1'!E102</f>
        <v>0</v>
      </c>
      <c r="O102" s="73"/>
    </row>
    <row r="103" spans="1:15" s="93" customFormat="1" ht="27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>
      <c r="A104" s="1280" t="s">
        <v>217</v>
      </c>
      <c r="B104" s="1281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>
      <c r="A105" s="1237" t="s">
        <v>218</v>
      </c>
      <c r="B105" s="1238"/>
      <c r="C105" s="757"/>
      <c r="D105" s="273" t="s">
        <v>143</v>
      </c>
      <c r="E105" s="183">
        <f>'30'!F105</f>
        <v>7961</v>
      </c>
      <c r="F105" s="183">
        <v>7961</v>
      </c>
      <c r="G105" s="183">
        <f>F105-E105</f>
        <v>0</v>
      </c>
      <c r="H105" s="111">
        <f>G105+'30'!H105</f>
        <v>75.700000000000728</v>
      </c>
      <c r="I105" s="183"/>
      <c r="J105" s="209">
        <f>H105/DAY(B2)</f>
        <v>2.4419354838709912</v>
      </c>
      <c r="N105" s="91">
        <f>H105-'1'!E105</f>
        <v>-7885.2999999999993</v>
      </c>
      <c r="O105" s="73"/>
    </row>
    <row r="106" spans="1:15" s="93" customFormat="1" ht="27.75">
      <c r="A106" s="1237" t="s">
        <v>76</v>
      </c>
      <c r="B106" s="1238"/>
      <c r="C106" s="757"/>
      <c r="D106" s="273" t="s">
        <v>143</v>
      </c>
      <c r="E106" s="183">
        <f>'30'!F106</f>
        <v>36756</v>
      </c>
      <c r="F106" s="185">
        <v>36765</v>
      </c>
      <c r="G106" s="183">
        <f t="shared" ref="G106:G107" si="11">F106-E106</f>
        <v>9</v>
      </c>
      <c r="H106" s="111">
        <f>G106+'30'!H106</f>
        <v>81</v>
      </c>
      <c r="I106" s="183"/>
      <c r="J106" s="209">
        <f>H106/DAY(B2)</f>
        <v>2.6129032258064515</v>
      </c>
      <c r="N106" s="91">
        <f>H106-'1'!E106</f>
        <v>-36684</v>
      </c>
      <c r="O106" s="73"/>
    </row>
    <row r="107" spans="1:15" s="93" customFormat="1" ht="27.75">
      <c r="A107" s="1237" t="s">
        <v>77</v>
      </c>
      <c r="B107" s="1282"/>
      <c r="C107" s="1238"/>
      <c r="D107" s="273" t="s">
        <v>143</v>
      </c>
      <c r="E107" s="183">
        <f>'30'!F107</f>
        <v>20207</v>
      </c>
      <c r="F107" s="183">
        <v>20214</v>
      </c>
      <c r="G107" s="183">
        <f t="shared" si="11"/>
        <v>7</v>
      </c>
      <c r="H107" s="111">
        <f>G107+'30'!H107</f>
        <v>40</v>
      </c>
      <c r="I107" s="183"/>
      <c r="J107" s="209">
        <f>H107/DAY(B2)</f>
        <v>1.2903225806451613</v>
      </c>
      <c r="N107" s="91">
        <f>H107-'1'!E107</f>
        <v>-20174</v>
      </c>
      <c r="O107" s="73"/>
    </row>
    <row r="108" spans="1:15" s="93" customFormat="1" ht="27.75">
      <c r="A108" s="1239" t="s">
        <v>201</v>
      </c>
      <c r="B108" s="1240"/>
      <c r="C108" s="757"/>
      <c r="D108" s="273"/>
      <c r="E108" s="183"/>
      <c r="F108" s="183"/>
      <c r="G108" s="183">
        <f>SUM(G105:G107)</f>
        <v>16</v>
      </c>
      <c r="H108" s="111">
        <f>G108+'30'!H108</f>
        <v>222</v>
      </c>
      <c r="I108" s="183"/>
      <c r="J108" s="209">
        <f>H108/DAY(B2)</f>
        <v>7.161290322580645</v>
      </c>
      <c r="N108" s="91">
        <f>H108-'1'!E108</f>
        <v>222</v>
      </c>
      <c r="O108" s="73"/>
    </row>
    <row r="109" spans="1:15" s="93" customFormat="1" ht="27.75">
      <c r="A109" s="1243" t="s">
        <v>78</v>
      </c>
      <c r="B109" s="1244"/>
      <c r="C109" s="757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>
      <c r="A110" s="1237" t="s">
        <v>219</v>
      </c>
      <c r="B110" s="1238"/>
      <c r="C110" s="757"/>
      <c r="D110" s="273" t="s">
        <v>143</v>
      </c>
      <c r="E110" s="183">
        <f>'30'!F110</f>
        <v>69445</v>
      </c>
      <c r="F110" s="183">
        <v>69524</v>
      </c>
      <c r="G110" s="183">
        <f>F110-E110</f>
        <v>79</v>
      </c>
      <c r="H110" s="111">
        <f>G110+'30'!H110</f>
        <v>412.80000000004657</v>
      </c>
      <c r="I110" s="183"/>
      <c r="J110" s="209">
        <f>H110/DAY(B2)</f>
        <v>13.316129032259566</v>
      </c>
      <c r="N110" s="91">
        <f>H110-'1'!E110</f>
        <v>-69111.199999999953</v>
      </c>
      <c r="O110" s="73"/>
    </row>
    <row r="111" spans="1:15" s="93" customFormat="1" ht="27.75">
      <c r="A111" s="1237" t="s">
        <v>220</v>
      </c>
      <c r="B111" s="1238"/>
      <c r="C111" s="757"/>
      <c r="D111" s="273" t="s">
        <v>143</v>
      </c>
      <c r="E111" s="183">
        <f>'30'!F111</f>
        <v>33886</v>
      </c>
      <c r="F111" s="183">
        <v>33886</v>
      </c>
      <c r="G111" s="183">
        <f t="shared" ref="G111:G112" si="12">F111-E111</f>
        <v>0</v>
      </c>
      <c r="H111" s="111">
        <f>G111+'30'!H111</f>
        <v>30</v>
      </c>
      <c r="I111" s="183"/>
      <c r="J111" s="209">
        <f>H111/DAY(B2)</f>
        <v>0.967741935483871</v>
      </c>
      <c r="N111" s="91">
        <f>H111-'1'!E111</f>
        <v>-33856</v>
      </c>
      <c r="O111" s="73"/>
    </row>
    <row r="112" spans="1:15" s="93" customFormat="1" ht="27.75">
      <c r="A112" s="1237" t="s">
        <v>221</v>
      </c>
      <c r="B112" s="1238"/>
      <c r="C112" s="757"/>
      <c r="D112" s="273" t="s">
        <v>143</v>
      </c>
      <c r="E112" s="183">
        <f>'30'!F112</f>
        <v>4788</v>
      </c>
      <c r="F112" s="183">
        <v>4788</v>
      </c>
      <c r="G112" s="183">
        <f t="shared" si="12"/>
        <v>0</v>
      </c>
      <c r="H112" s="111">
        <f>G112+'30'!H112</f>
        <v>320</v>
      </c>
      <c r="I112" s="183"/>
      <c r="J112" s="209">
        <f>H112/DAY(B2)</f>
        <v>10.32258064516129</v>
      </c>
      <c r="N112" s="91">
        <f>H112-'1'!E112</f>
        <v>-4468</v>
      </c>
      <c r="O112" s="73"/>
    </row>
    <row r="113" spans="1:15" s="93" customFormat="1" ht="27.75">
      <c r="A113" s="1241" t="s">
        <v>109</v>
      </c>
      <c r="B113" s="1242"/>
      <c r="C113" s="757"/>
      <c r="D113" s="273"/>
      <c r="E113" s="183"/>
      <c r="F113" s="183"/>
      <c r="G113" s="183">
        <f>SUM(G110:G112)</f>
        <v>79</v>
      </c>
      <c r="H113" s="111">
        <f>G113+'30'!H113</f>
        <v>987</v>
      </c>
      <c r="I113" s="183"/>
      <c r="J113" s="209">
        <f>H113/DAY(B2)</f>
        <v>31.838709677419356</v>
      </c>
      <c r="N113" s="91">
        <f>H113-'1'!E113</f>
        <v>987</v>
      </c>
      <c r="O113" s="73"/>
    </row>
    <row r="114" spans="1:15" s="93" customFormat="1" ht="27.75">
      <c r="A114" s="1243" t="s">
        <v>222</v>
      </c>
      <c r="B114" s="1244"/>
      <c r="C114" s="757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>
      <c r="A115" s="1237" t="s">
        <v>223</v>
      </c>
      <c r="B115" s="1238"/>
      <c r="C115" s="225"/>
      <c r="D115" s="273" t="s">
        <v>143</v>
      </c>
      <c r="E115" s="183">
        <f>'30'!F115</f>
        <v>13025</v>
      </c>
      <c r="F115" s="185">
        <v>13038</v>
      </c>
      <c r="G115" s="185">
        <f>F115-E115</f>
        <v>13</v>
      </c>
      <c r="H115" s="111">
        <f>G115+'30'!H115</f>
        <v>43</v>
      </c>
      <c r="I115" s="183"/>
      <c r="J115" s="209">
        <f>H115/DAY(B2)</f>
        <v>1.3870967741935485</v>
      </c>
      <c r="N115" s="91">
        <f>H115-'1'!E115</f>
        <v>-12995</v>
      </c>
      <c r="O115" s="73"/>
    </row>
    <row r="116" spans="1:15" s="93" customFormat="1" ht="27.75">
      <c r="A116" s="1237" t="s">
        <v>224</v>
      </c>
      <c r="B116" s="1238"/>
      <c r="C116" s="225"/>
      <c r="D116" s="273" t="s">
        <v>143</v>
      </c>
      <c r="E116" s="183">
        <f>'30'!F116</f>
        <v>9120</v>
      </c>
      <c r="F116" s="185">
        <v>9126</v>
      </c>
      <c r="G116" s="185">
        <f t="shared" ref="G116:G117" si="13">F116-E116</f>
        <v>6</v>
      </c>
      <c r="H116" s="111">
        <f>G116+'30'!H116</f>
        <v>90</v>
      </c>
      <c r="I116" s="183"/>
      <c r="J116" s="209">
        <f>H116/DAY(B2)</f>
        <v>2.903225806451613</v>
      </c>
      <c r="N116" s="91">
        <f>H116-'1'!E116</f>
        <v>-9036</v>
      </c>
      <c r="O116" s="73"/>
    </row>
    <row r="117" spans="1:15" s="93" customFormat="1" ht="27.75">
      <c r="A117" s="1237" t="s">
        <v>225</v>
      </c>
      <c r="B117" s="1238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163</v>
      </c>
      <c r="I117" s="183"/>
      <c r="J117" s="209">
        <f>H117/DAY(B2)</f>
        <v>5.258064516129032</v>
      </c>
      <c r="N117" s="91">
        <f>H117-'1'!E117</f>
        <v>163</v>
      </c>
      <c r="O117" s="73"/>
    </row>
    <row r="118" spans="1:15" s="96" customFormat="1" ht="27.75">
      <c r="A118" s="1239" t="s">
        <v>201</v>
      </c>
      <c r="B118" s="1240"/>
      <c r="C118" s="225"/>
      <c r="D118" s="274"/>
      <c r="E118" s="185"/>
      <c r="F118" s="185"/>
      <c r="G118" s="185">
        <f>SUM(G115:G117)</f>
        <v>19</v>
      </c>
      <c r="H118" s="111">
        <f>G118+'30'!H118</f>
        <v>137</v>
      </c>
      <c r="I118" s="185"/>
      <c r="J118" s="209">
        <f>H118/DAY(B2)</f>
        <v>4.419354838709677</v>
      </c>
      <c r="N118" s="91">
        <f>H118-'1'!E118</f>
        <v>137</v>
      </c>
      <c r="O118" s="73"/>
    </row>
    <row r="119" spans="1:15" s="97" customFormat="1" ht="27.75">
      <c r="A119" s="1233" t="s">
        <v>226</v>
      </c>
      <c r="B119" s="1234"/>
      <c r="C119" s="756"/>
      <c r="D119" s="275" t="s">
        <v>143</v>
      </c>
      <c r="E119" s="187"/>
      <c r="F119" s="187"/>
      <c r="G119" s="187">
        <f>SUM(G19+G93)</f>
        <v>122</v>
      </c>
      <c r="H119" s="111">
        <f>G119+'30'!H119</f>
        <v>482</v>
      </c>
      <c r="I119" s="186"/>
      <c r="J119" s="210">
        <f>H119/DAY(B2)</f>
        <v>15.548387096774194</v>
      </c>
      <c r="N119" s="91">
        <f>H119-'1'!E119</f>
        <v>482</v>
      </c>
      <c r="O119" s="73"/>
    </row>
    <row r="120" spans="1:15" s="97" customFormat="1" ht="27.75">
      <c r="A120" s="1233" t="s">
        <v>227</v>
      </c>
      <c r="B120" s="1234"/>
      <c r="C120" s="756"/>
      <c r="D120" s="275" t="s">
        <v>143</v>
      </c>
      <c r="E120" s="187"/>
      <c r="F120" s="187"/>
      <c r="G120" s="187">
        <f>SUM(G96,G97,G98,G100,G101)</f>
        <v>123</v>
      </c>
      <c r="H120" s="111">
        <f>G120+'30'!H120</f>
        <v>464</v>
      </c>
      <c r="I120" s="186"/>
      <c r="J120" s="210">
        <f>H120/DAY(B2)</f>
        <v>14.96774193548387</v>
      </c>
      <c r="N120" s="91">
        <f>H120-'1'!E120</f>
        <v>464</v>
      </c>
      <c r="O120" s="73"/>
    </row>
    <row r="121" spans="1:15" s="97" customFormat="1" ht="27.75">
      <c r="A121" s="1233" t="s">
        <v>228</v>
      </c>
      <c r="B121" s="1234"/>
      <c r="C121" s="756"/>
      <c r="D121" s="275" t="s">
        <v>143</v>
      </c>
      <c r="E121" s="185"/>
      <c r="F121" s="185"/>
      <c r="G121" s="185">
        <f>SUM(G113)</f>
        <v>79</v>
      </c>
      <c r="H121" s="111">
        <f>G121+'30'!H121</f>
        <v>256</v>
      </c>
      <c r="I121" s="186"/>
      <c r="J121" s="210">
        <f>H121/DAY(B2)</f>
        <v>8.258064516129032</v>
      </c>
      <c r="N121" s="91">
        <f>H121-'1'!E121</f>
        <v>256</v>
      </c>
      <c r="O121" s="73"/>
    </row>
    <row r="122" spans="1:15" s="93" customFormat="1" ht="27.75">
      <c r="A122" s="1235"/>
      <c r="B122" s="1236"/>
      <c r="C122" s="757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>
      <c r="A123" s="1274" t="s">
        <v>229</v>
      </c>
      <c r="B123" s="1275"/>
      <c r="C123" s="1276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>
      <c r="A124" s="759" t="s">
        <v>230</v>
      </c>
      <c r="B124" s="760"/>
      <c r="C124" s="760"/>
      <c r="D124" s="174" t="s">
        <v>140</v>
      </c>
      <c r="E124" s="106">
        <f>'30'!F124</f>
        <v>856090</v>
      </c>
      <c r="F124" s="129">
        <v>856352</v>
      </c>
      <c r="G124" s="124">
        <f t="shared" ref="G124:G128" si="14">F124-E124</f>
        <v>262</v>
      </c>
      <c r="H124" s="111">
        <f>G124+'30'!H124</f>
        <v>0</v>
      </c>
      <c r="I124" s="177"/>
      <c r="J124" s="203">
        <f>H124/DAY(B2)</f>
        <v>0</v>
      </c>
      <c r="K124" s="71"/>
      <c r="L124" s="68"/>
      <c r="N124" s="91">
        <f>H124-'1'!E124</f>
        <v>-856352</v>
      </c>
      <c r="O124" s="73"/>
    </row>
    <row r="125" spans="1:15" ht="27.75">
      <c r="A125" s="759" t="s">
        <v>231</v>
      </c>
      <c r="B125" s="760"/>
      <c r="C125" s="760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>
      <c r="A126" s="1226" t="s">
        <v>232</v>
      </c>
      <c r="B126" s="1227"/>
      <c r="C126" s="1228"/>
      <c r="D126" s="174" t="s">
        <v>140</v>
      </c>
      <c r="E126" s="106">
        <f>'30'!F126</f>
        <v>154005</v>
      </c>
      <c r="F126" s="129">
        <v>154077</v>
      </c>
      <c r="G126" s="124">
        <f t="shared" si="14"/>
        <v>72</v>
      </c>
      <c r="H126" s="111">
        <f>G126+'30'!H126</f>
        <v>0</v>
      </c>
      <c r="I126" s="177"/>
      <c r="J126" s="203">
        <f>H126/DAY(B2)</f>
        <v>0</v>
      </c>
      <c r="K126" s="71"/>
      <c r="L126" s="68"/>
      <c r="N126" s="91">
        <f>H126-'1'!E126</f>
        <v>-154077</v>
      </c>
      <c r="O126" s="73"/>
    </row>
    <row r="127" spans="1:15" ht="27.75">
      <c r="A127" s="260" t="s">
        <v>233</v>
      </c>
      <c r="B127" s="760"/>
      <c r="C127" s="760"/>
      <c r="D127" s="174" t="s">
        <v>140</v>
      </c>
      <c r="E127" s="106">
        <f>'30'!F127</f>
        <v>34596</v>
      </c>
      <c r="F127" s="277">
        <v>34629</v>
      </c>
      <c r="G127" s="124">
        <f t="shared" si="14"/>
        <v>33</v>
      </c>
      <c r="H127" s="111">
        <f>G127+'30'!H127</f>
        <v>0</v>
      </c>
      <c r="I127" s="177"/>
      <c r="J127" s="203">
        <f>H127/DAY(B2)</f>
        <v>0</v>
      </c>
      <c r="K127" s="71"/>
      <c r="L127" s="68"/>
      <c r="N127" s="91">
        <f>H127-'1'!E127</f>
        <v>-34629</v>
      </c>
      <c r="O127" s="73"/>
    </row>
    <row r="128" spans="1:15" ht="27.75">
      <c r="A128" s="260" t="s">
        <v>234</v>
      </c>
      <c r="B128" s="760"/>
      <c r="C128" s="760"/>
      <c r="D128" s="174" t="s">
        <v>140</v>
      </c>
      <c r="E128" s="106">
        <f>'30'!F128</f>
        <v>9179</v>
      </c>
      <c r="F128" s="277">
        <v>9180</v>
      </c>
      <c r="G128" s="124">
        <f t="shared" si="14"/>
        <v>1</v>
      </c>
      <c r="H128" s="111">
        <f>G128+'30'!H128</f>
        <v>0</v>
      </c>
      <c r="I128" s="131"/>
      <c r="J128" s="203">
        <f>H128/DAY(B2)</f>
        <v>0</v>
      </c>
      <c r="K128" s="71"/>
      <c r="L128" s="68"/>
      <c r="N128" s="91">
        <f>H128-'1'!E128</f>
        <v>-9180</v>
      </c>
      <c r="O128" s="73"/>
    </row>
    <row r="129" spans="1:15" s="57" customFormat="1" ht="27.75">
      <c r="A129" s="260" t="s">
        <v>235</v>
      </c>
      <c r="B129" s="760"/>
      <c r="C129" s="760"/>
      <c r="D129" s="174"/>
      <c r="E129" s="129"/>
      <c r="F129" s="129"/>
      <c r="G129" s="124">
        <f>G15-SUM(G124:G128)</f>
        <v>381</v>
      </c>
      <c r="H129" s="111">
        <f>G129+'30'!H129</f>
        <v>381</v>
      </c>
      <c r="I129" s="131"/>
      <c r="J129" s="203"/>
      <c r="K129" s="60"/>
      <c r="L129" s="58"/>
      <c r="N129" s="91">
        <f>H129-'1'!E129</f>
        <v>381</v>
      </c>
      <c r="O129" s="73"/>
    </row>
    <row r="130" spans="1:15" ht="29.25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>
      <c r="A131" s="759" t="s">
        <v>237</v>
      </c>
      <c r="B131" s="760"/>
      <c r="C131" s="760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>
      <c r="A132" s="759" t="s">
        <v>239</v>
      </c>
      <c r="B132" s="760"/>
      <c r="C132" s="760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>
      <c r="A133" s="759" t="s">
        <v>240</v>
      </c>
      <c r="B133" s="760"/>
      <c r="C133" s="760"/>
      <c r="D133" s="174" t="s">
        <v>238</v>
      </c>
      <c r="E133" s="106">
        <f>'30'!F133</f>
        <v>40922</v>
      </c>
      <c r="F133" s="192">
        <v>40922</v>
      </c>
      <c r="G133" s="124">
        <f t="shared" si="15"/>
        <v>0</v>
      </c>
      <c r="H133" s="111">
        <f>G133+'30'!H133</f>
        <v>0</v>
      </c>
      <c r="I133" s="131"/>
      <c r="J133" s="203">
        <f>H133/DAY(B2)</f>
        <v>0</v>
      </c>
      <c r="O133" s="73"/>
    </row>
    <row r="134" spans="1:15" ht="27.75">
      <c r="A134" s="759" t="s">
        <v>241</v>
      </c>
      <c r="B134" s="760"/>
      <c r="C134" s="760"/>
      <c r="D134" s="174" t="s">
        <v>238</v>
      </c>
      <c r="E134" s="106">
        <f>'30'!F134</f>
        <v>832</v>
      </c>
      <c r="F134" s="192">
        <v>856</v>
      </c>
      <c r="G134" s="124">
        <f t="shared" si="15"/>
        <v>24</v>
      </c>
      <c r="H134" s="111">
        <f>G134+'30'!H134</f>
        <v>0</v>
      </c>
      <c r="I134" s="131">
        <f>G131+G132+G133+G134</f>
        <v>24</v>
      </c>
      <c r="J134" s="203">
        <f>H134/DAY(B2)</f>
        <v>0</v>
      </c>
      <c r="O134" s="73"/>
    </row>
    <row r="135" spans="1:15" ht="27.75">
      <c r="A135" s="759" t="s">
        <v>242</v>
      </c>
      <c r="B135" s="760"/>
      <c r="C135" s="760"/>
      <c r="D135" s="174" t="s">
        <v>238</v>
      </c>
      <c r="E135" s="106">
        <f>'30'!F135</f>
        <v>42822</v>
      </c>
      <c r="F135" s="192">
        <v>42822</v>
      </c>
      <c r="G135" s="124">
        <f t="shared" si="15"/>
        <v>0</v>
      </c>
      <c r="H135" s="111">
        <f>G135+'30'!H135</f>
        <v>109</v>
      </c>
      <c r="I135" s="131"/>
      <c r="J135" s="203">
        <f>H135/DAY(B2)</f>
        <v>3.5161290322580645</v>
      </c>
      <c r="O135" s="73"/>
    </row>
    <row r="136" spans="1:15" ht="27.75">
      <c r="A136" s="759" t="s">
        <v>243</v>
      </c>
      <c r="B136" s="760"/>
      <c r="C136" s="760"/>
      <c r="D136" s="174" t="s">
        <v>238</v>
      </c>
      <c r="E136" s="106">
        <f>'30'!F136</f>
        <v>32928</v>
      </c>
      <c r="F136" s="192">
        <v>32928</v>
      </c>
      <c r="G136" s="124">
        <f t="shared" si="15"/>
        <v>0</v>
      </c>
      <c r="H136" s="111">
        <f>G136+'30'!H136</f>
        <v>66.94999999999709</v>
      </c>
      <c r="I136" s="131"/>
      <c r="J136" s="203">
        <f>H136/DAY(B2)</f>
        <v>2.159677419354745</v>
      </c>
      <c r="O136" s="73"/>
    </row>
    <row r="137" spans="1:15" ht="27.75">
      <c r="A137" s="759" t="s">
        <v>244</v>
      </c>
      <c r="B137" s="760"/>
      <c r="C137" s="760"/>
      <c r="D137" s="174" t="s">
        <v>238</v>
      </c>
      <c r="E137" s="106">
        <f>'30'!F137</f>
        <v>23349</v>
      </c>
      <c r="F137" s="192">
        <v>23356.43</v>
      </c>
      <c r="G137" s="124">
        <f t="shared" si="15"/>
        <v>7.430000000000291</v>
      </c>
      <c r="H137" s="111">
        <f>G137+'30'!H137</f>
        <v>0</v>
      </c>
      <c r="I137" s="131">
        <f>G135+G136+G137</f>
        <v>7.430000000000291</v>
      </c>
      <c r="J137" s="203">
        <f>H137/DAY(B2)</f>
        <v>0</v>
      </c>
      <c r="O137" s="73"/>
    </row>
    <row r="138" spans="1:15" ht="27.75">
      <c r="A138" s="759" t="s">
        <v>245</v>
      </c>
      <c r="B138" s="760"/>
      <c r="C138" s="760"/>
      <c r="D138" s="174" t="s">
        <v>238</v>
      </c>
      <c r="E138" s="106">
        <f>'30'!F138</f>
        <v>25133</v>
      </c>
      <c r="F138" s="192">
        <v>25132.959999999999</v>
      </c>
      <c r="G138" s="124">
        <f t="shared" si="15"/>
        <v>-4.0000000000873115E-2</v>
      </c>
      <c r="H138" s="111">
        <f>G138+'30'!H138</f>
        <v>7.9799999999995634</v>
      </c>
      <c r="I138" s="131"/>
      <c r="J138" s="203">
        <f>H138/DAY(B2)</f>
        <v>0.2574193548386956</v>
      </c>
      <c r="O138" s="73"/>
    </row>
    <row r="139" spans="1:15" ht="27.75">
      <c r="A139" s="759" t="s">
        <v>246</v>
      </c>
      <c r="B139" s="760"/>
      <c r="C139" s="760"/>
      <c r="D139" s="174" t="s">
        <v>238</v>
      </c>
      <c r="E139" s="106">
        <f>'30'!F139</f>
        <v>70524.55</v>
      </c>
      <c r="F139" s="192">
        <v>70524.55</v>
      </c>
      <c r="G139" s="124">
        <f t="shared" si="15"/>
        <v>0</v>
      </c>
      <c r="H139" s="111">
        <f>G139+'30'!H139</f>
        <v>15</v>
      </c>
      <c r="I139" s="131">
        <f>G138+G139</f>
        <v>-4.0000000000873115E-2</v>
      </c>
      <c r="J139" s="203">
        <f>H139/DAY(B2)</f>
        <v>0.4838709677419355</v>
      </c>
      <c r="O139" s="73"/>
    </row>
    <row r="140" spans="1:15" ht="27.75">
      <c r="A140" s="759" t="s">
        <v>247</v>
      </c>
      <c r="B140" s="760"/>
      <c r="C140" s="760"/>
      <c r="D140" s="174" t="s">
        <v>238</v>
      </c>
      <c r="E140" s="106">
        <f>'30'!F140</f>
        <v>2617.86</v>
      </c>
      <c r="F140" s="135">
        <v>2627.98</v>
      </c>
      <c r="G140" s="124">
        <f t="shared" si="15"/>
        <v>10.119999999999891</v>
      </c>
      <c r="H140" s="111">
        <f>G140+'30'!H140</f>
        <v>0</v>
      </c>
      <c r="I140" s="193"/>
      <c r="J140" s="203">
        <f>H140/DAY(B2)</f>
        <v>0</v>
      </c>
      <c r="O140" s="73"/>
    </row>
    <row r="141" spans="1:15" ht="27.75">
      <c r="A141" s="759" t="s">
        <v>248</v>
      </c>
      <c r="B141" s="760"/>
      <c r="C141" s="760"/>
      <c r="D141" s="174" t="s">
        <v>238</v>
      </c>
      <c r="E141" s="106">
        <f>'30'!F141</f>
        <v>4754</v>
      </c>
      <c r="F141" s="135">
        <v>4754</v>
      </c>
      <c r="G141" s="124">
        <f t="shared" si="15"/>
        <v>0</v>
      </c>
      <c r="H141" s="111">
        <f>G141+'30'!H141</f>
        <v>0</v>
      </c>
      <c r="I141" s="193"/>
      <c r="J141" s="203">
        <f>H141/DAY(B2)</f>
        <v>0</v>
      </c>
      <c r="O141" s="73"/>
    </row>
    <row r="142" spans="1:15" ht="29.25">
      <c r="A142" s="1248" t="s">
        <v>249</v>
      </c>
      <c r="B142" s="1249"/>
      <c r="C142" s="765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>
      <c r="A143" s="1245" t="s">
        <v>250</v>
      </c>
      <c r="B143" s="1246"/>
      <c r="C143" s="1247"/>
      <c r="D143" s="174" t="s">
        <v>131</v>
      </c>
      <c r="E143" s="174"/>
      <c r="F143" s="174"/>
      <c r="G143" s="111">
        <f>G35+G43+G49+G57</f>
        <v>5646</v>
      </c>
      <c r="H143" s="111">
        <f>G143+'30'!H143</f>
        <v>405506.99999999994</v>
      </c>
      <c r="I143" s="131"/>
      <c r="J143" s="203">
        <f>H143/DAY(B2)</f>
        <v>13080.870967741934</v>
      </c>
      <c r="K143" s="71"/>
      <c r="L143" s="68"/>
      <c r="O143" s="73"/>
    </row>
    <row r="144" spans="1:15" ht="27.75">
      <c r="A144" s="1245" t="s">
        <v>251</v>
      </c>
      <c r="B144" s="1246"/>
      <c r="C144" s="1247"/>
      <c r="D144" s="174" t="s">
        <v>24</v>
      </c>
      <c r="E144" s="162"/>
      <c r="F144" s="162"/>
      <c r="G144" s="194">
        <f>G143/G7</f>
        <v>0.27417083474967224</v>
      </c>
      <c r="H144" s="111">
        <f>G144+'30'!H144</f>
        <v>8.8875238959732688</v>
      </c>
      <c r="I144" s="195"/>
      <c r="J144" s="203">
        <f>H144/DAY(B2)</f>
        <v>0.28669431922494415</v>
      </c>
      <c r="K144" s="71"/>
      <c r="L144" s="68"/>
      <c r="O144" s="73"/>
    </row>
    <row r="145" spans="1:15" ht="27.75">
      <c r="A145" s="1245" t="s">
        <v>252</v>
      </c>
      <c r="B145" s="1246"/>
      <c r="C145" s="1247"/>
      <c r="D145" s="174" t="s">
        <v>131</v>
      </c>
      <c r="E145" s="106"/>
      <c r="F145" s="106"/>
      <c r="G145" s="111">
        <f>G41+G42+G55+G56</f>
        <v>5195.9899999999907</v>
      </c>
      <c r="H145" s="111">
        <f>G145+'30'!H145</f>
        <v>0</v>
      </c>
      <c r="I145" s="131"/>
      <c r="J145" s="203">
        <f>H145/DAY(B2)</f>
        <v>0</v>
      </c>
      <c r="K145" s="71"/>
      <c r="L145" s="68"/>
      <c r="O145" s="73"/>
    </row>
    <row r="146" spans="1:15" ht="27.75">
      <c r="A146" s="1245" t="s">
        <v>253</v>
      </c>
      <c r="B146" s="1246"/>
      <c r="C146" s="1247"/>
      <c r="D146" s="174" t="s">
        <v>24</v>
      </c>
      <c r="E146" s="106"/>
      <c r="F146" s="106"/>
      <c r="G146" s="194">
        <f>G145/G7</f>
        <v>0.2523182634875924</v>
      </c>
      <c r="H146" s="111">
        <f>G146+'30'!H146</f>
        <v>8.4935106633707154</v>
      </c>
      <c r="I146" s="195"/>
      <c r="J146" s="203">
        <f>H146/DAY(B2)</f>
        <v>0.27398421494744241</v>
      </c>
      <c r="K146" s="71"/>
      <c r="L146" s="68"/>
      <c r="O146" s="73"/>
    </row>
    <row r="147" spans="1:15" ht="27.75">
      <c r="A147" s="1245" t="s">
        <v>254</v>
      </c>
      <c r="B147" s="1246"/>
      <c r="C147" s="1247"/>
      <c r="D147" s="174" t="s">
        <v>131</v>
      </c>
      <c r="E147" s="106"/>
      <c r="F147" s="106"/>
      <c r="G147" s="111">
        <f>G39+G53</f>
        <v>3886</v>
      </c>
      <c r="H147" s="111">
        <f>G147+'30'!H147</f>
        <v>1068305</v>
      </c>
      <c r="I147" s="196"/>
      <c r="J147" s="203">
        <f>H147/DAY(B2)</f>
        <v>34461.451612903227</v>
      </c>
      <c r="K147" s="71"/>
      <c r="L147" s="68"/>
      <c r="O147" s="73"/>
    </row>
    <row r="148" spans="1:15" ht="27.75">
      <c r="A148" s="1245" t="s">
        <v>255</v>
      </c>
      <c r="B148" s="1246"/>
      <c r="C148" s="1247"/>
      <c r="D148" s="174" t="s">
        <v>24</v>
      </c>
      <c r="E148" s="106"/>
      <c r="F148" s="106"/>
      <c r="G148" s="194">
        <f>G147/G7</f>
        <v>0.18870489972320692</v>
      </c>
      <c r="H148" s="111">
        <f>G148+'30'!H148</f>
        <v>8.0508163400475361</v>
      </c>
      <c r="I148" s="196"/>
      <c r="J148" s="203">
        <f>H148/DAY(B2)</f>
        <v>0.25970375290475922</v>
      </c>
      <c r="O148" s="73"/>
    </row>
    <row r="149" spans="1:15" ht="27.75">
      <c r="A149" s="1245" t="s">
        <v>256</v>
      </c>
      <c r="B149" s="1246"/>
      <c r="C149" s="1247"/>
      <c r="D149" s="174" t="s">
        <v>182</v>
      </c>
      <c r="E149" s="106"/>
      <c r="F149" s="106"/>
      <c r="G149" s="111">
        <f>G38+G52</f>
        <v>1668</v>
      </c>
      <c r="H149" s="111">
        <f>G149+'30'!H149</f>
        <v>835301</v>
      </c>
      <c r="I149" s="131"/>
      <c r="J149" s="203">
        <f>H149/DAY(B2)</f>
        <v>26945.193548387098</v>
      </c>
      <c r="K149" s="72"/>
      <c r="O149" s="73"/>
    </row>
    <row r="150" spans="1:15" ht="27.75">
      <c r="A150" s="1245" t="s">
        <v>257</v>
      </c>
      <c r="B150" s="1246"/>
      <c r="C150" s="1247"/>
      <c r="D150" s="174" t="s">
        <v>24</v>
      </c>
      <c r="E150" s="106"/>
      <c r="F150" s="106"/>
      <c r="G150" s="194">
        <f>G149/G7</f>
        <v>8.0998397513718248E-2</v>
      </c>
      <c r="H150" s="111">
        <f>G150+'30'!H150</f>
        <v>4.6164132658765205</v>
      </c>
      <c r="I150" s="196"/>
      <c r="J150" s="203">
        <f>H150/DAY(B2)</f>
        <v>0.14891655696375872</v>
      </c>
      <c r="O150" s="73"/>
    </row>
    <row r="151" spans="1:15" ht="27.75">
      <c r="A151" s="1245" t="s">
        <v>258</v>
      </c>
      <c r="B151" s="1246"/>
      <c r="C151" s="1247"/>
      <c r="D151" s="174" t="s">
        <v>182</v>
      </c>
      <c r="E151" s="106"/>
      <c r="F151" s="106"/>
      <c r="G151" s="111">
        <f>G36+G50</f>
        <v>1644</v>
      </c>
      <c r="H151" s="111">
        <f>G151+'30'!H151</f>
        <v>67875</v>
      </c>
      <c r="I151" s="196"/>
      <c r="J151" s="203">
        <f>H151/DAY(B2)</f>
        <v>2189.516129032258</v>
      </c>
      <c r="O151" s="73"/>
    </row>
    <row r="152" spans="1:15" ht="27.75">
      <c r="A152" s="1245" t="s">
        <v>259</v>
      </c>
      <c r="B152" s="1246"/>
      <c r="C152" s="1247"/>
      <c r="D152" s="174" t="s">
        <v>24</v>
      </c>
      <c r="E152" s="106"/>
      <c r="F152" s="106"/>
      <c r="G152" s="194">
        <f>G151/G7</f>
        <v>7.9832952945175548E-2</v>
      </c>
      <c r="H152" s="111">
        <f>G152+'30'!H152</f>
        <v>2.658201757575684</v>
      </c>
      <c r="I152" s="131"/>
      <c r="J152" s="203">
        <f>H152/DAY(B2)</f>
        <v>8.5748443792764001E-2</v>
      </c>
      <c r="O152" s="73"/>
    </row>
    <row r="153" spans="1:15" ht="27.75">
      <c r="A153" s="1245" t="s">
        <v>260</v>
      </c>
      <c r="B153" s="1246"/>
      <c r="C153" s="1247"/>
      <c r="D153" s="174" t="s">
        <v>182</v>
      </c>
      <c r="E153" s="106"/>
      <c r="F153" s="106"/>
      <c r="G153" s="111">
        <f>G37+G51</f>
        <v>1163</v>
      </c>
      <c r="H153" s="111">
        <f>G153+'30'!H153</f>
        <v>414916.00000000006</v>
      </c>
      <c r="I153" s="131"/>
      <c r="J153" s="203">
        <f>H153/DAY(B2)</f>
        <v>13384.387096774195</v>
      </c>
      <c r="O153" s="73"/>
    </row>
    <row r="154" spans="1:15" ht="28.5" thickBot="1">
      <c r="A154" s="1283" t="s">
        <v>261</v>
      </c>
      <c r="B154" s="1284"/>
      <c r="C154" s="1285"/>
      <c r="D154" s="276" t="s">
        <v>24</v>
      </c>
      <c r="E154" s="216"/>
      <c r="F154" s="216"/>
      <c r="G154" s="217">
        <f>G153/G7</f>
        <v>5.6475501383965426E-2</v>
      </c>
      <c r="H154" s="111">
        <f>G154+'30'!H154</f>
        <v>3.2179988004378783</v>
      </c>
      <c r="I154" s="219"/>
      <c r="J154" s="220">
        <f>H154/DAY(B2)</f>
        <v>0.10380641291735092</v>
      </c>
      <c r="O154" s="73"/>
    </row>
    <row r="155" spans="1:15" ht="29.2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435" t="s">
        <v>262</v>
      </c>
      <c r="B161" s="436"/>
      <c r="C161" s="436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>
      <c r="A162" s="435" t="s">
        <v>263</v>
      </c>
      <c r="B162" s="436"/>
      <c r="C162" s="436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>
      <c r="A163" s="435" t="s">
        <v>264</v>
      </c>
      <c r="B163" s="436"/>
      <c r="C163" s="436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>
      <c r="A164" s="435" t="s">
        <v>265</v>
      </c>
      <c r="B164" s="436"/>
      <c r="C164" s="436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>
      <c r="A165" s="437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7" ht="29.25">
      <c r="A166" s="437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>
      <c r="A167" s="1232" t="s">
        <v>98</v>
      </c>
      <c r="B167" s="1232"/>
      <c r="C167" s="1232"/>
      <c r="D167" s="174" t="s">
        <v>186</v>
      </c>
      <c r="E167" s="165">
        <f t="shared" ref="E167:E172" si="18">E64</f>
        <v>193802</v>
      </c>
      <c r="F167" s="165">
        <f t="shared" ref="F167:F172" si="19">F64</f>
        <v>194217</v>
      </c>
      <c r="G167" s="124">
        <f t="shared" si="17"/>
        <v>415</v>
      </c>
    </row>
    <row r="168" spans="1:7" ht="27.75">
      <c r="A168" s="1232" t="s">
        <v>99</v>
      </c>
      <c r="B168" s="1232"/>
      <c r="C168" s="1232"/>
      <c r="D168" s="174" t="s">
        <v>186</v>
      </c>
      <c r="E168" s="165">
        <f t="shared" si="18"/>
        <v>194265</v>
      </c>
      <c r="F168" s="165">
        <f t="shared" si="19"/>
        <v>194629</v>
      </c>
      <c r="G168" s="124">
        <f t="shared" si="17"/>
        <v>364</v>
      </c>
    </row>
    <row r="169" spans="1:7" ht="27.75">
      <c r="A169" s="1232" t="s">
        <v>100</v>
      </c>
      <c r="B169" s="1232"/>
      <c r="C169" s="1232"/>
      <c r="D169" s="174" t="s">
        <v>186</v>
      </c>
      <c r="E169" s="165">
        <f t="shared" si="18"/>
        <v>92924</v>
      </c>
      <c r="F169" s="165">
        <f t="shared" si="19"/>
        <v>93317</v>
      </c>
      <c r="G169" s="124">
        <f t="shared" si="17"/>
        <v>393</v>
      </c>
    </row>
    <row r="170" spans="1:7" ht="27.75">
      <c r="A170" s="1232" t="s">
        <v>101</v>
      </c>
      <c r="B170" s="1232"/>
      <c r="C170" s="1232"/>
      <c r="D170" s="174" t="s">
        <v>186</v>
      </c>
      <c r="E170" s="165">
        <f t="shared" si="18"/>
        <v>294453</v>
      </c>
      <c r="F170" s="165">
        <f t="shared" si="19"/>
        <v>294891</v>
      </c>
      <c r="G170" s="124">
        <f t="shared" si="17"/>
        <v>438</v>
      </c>
    </row>
    <row r="171" spans="1:7" ht="27.75">
      <c r="A171" s="1232" t="s">
        <v>102</v>
      </c>
      <c r="B171" s="1232"/>
      <c r="C171" s="1232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7" ht="27.75">
      <c r="A172" s="1232" t="s">
        <v>103</v>
      </c>
      <c r="B172" s="1232"/>
      <c r="C172" s="1232"/>
      <c r="D172" s="174" t="s">
        <v>186</v>
      </c>
      <c r="E172" s="165">
        <f t="shared" si="18"/>
        <v>106089</v>
      </c>
      <c r="F172" s="165">
        <f t="shared" si="19"/>
        <v>106406</v>
      </c>
      <c r="G172" s="124">
        <f t="shared" si="17"/>
        <v>317</v>
      </c>
    </row>
    <row r="173" spans="1:7" ht="29.25">
      <c r="G173" s="190">
        <f>SUM(G161:G172)</f>
        <v>2621</v>
      </c>
    </row>
    <row r="174" spans="1:7" ht="27.75">
      <c r="A174" s="1273" t="s">
        <v>337</v>
      </c>
      <c r="B174" s="1236"/>
      <c r="C174" s="435"/>
      <c r="D174" s="1106" t="s">
        <v>186</v>
      </c>
      <c r="E174" s="1107">
        <v>19215</v>
      </c>
      <c r="F174" s="1107">
        <v>19218</v>
      </c>
      <c r="G174" s="1108">
        <f t="shared" ref="G174:G176" si="20">F174-E174</f>
        <v>3</v>
      </c>
    </row>
    <row r="175" spans="1:7" ht="27.75">
      <c r="A175" s="1273" t="s">
        <v>338</v>
      </c>
      <c r="B175" s="1236"/>
      <c r="C175" s="105"/>
      <c r="D175" s="1106" t="s">
        <v>186</v>
      </c>
      <c r="E175" s="1111">
        <v>27957</v>
      </c>
      <c r="F175" s="1111">
        <v>27964</v>
      </c>
      <c r="G175" s="1108">
        <f t="shared" si="20"/>
        <v>7</v>
      </c>
    </row>
    <row r="176" spans="1:7" ht="27.75">
      <c r="A176" s="1273" t="s">
        <v>337</v>
      </c>
      <c r="B176" s="1236"/>
      <c r="C176" s="105"/>
      <c r="D176" s="1106" t="s">
        <v>186</v>
      </c>
      <c r="E176" s="1107">
        <v>70728</v>
      </c>
      <c r="F176" s="1107">
        <v>70734</v>
      </c>
      <c r="G176" s="1108">
        <f t="shared" si="20"/>
        <v>6</v>
      </c>
    </row>
    <row r="177" spans="1:15" ht="27.75">
      <c r="A177" s="1296" t="s">
        <v>382</v>
      </c>
      <c r="B177" s="1296"/>
      <c r="C177" s="1296"/>
      <c r="D177" s="1296"/>
      <c r="E177" s="1296"/>
      <c r="F177" s="1296"/>
      <c r="G177" s="1296"/>
    </row>
    <row r="178" spans="1:15" ht="29.25">
      <c r="A178" s="435"/>
      <c r="B178" s="436"/>
      <c r="C178" s="436"/>
      <c r="D178" s="174" t="s">
        <v>186</v>
      </c>
      <c r="E178" s="106">
        <f>'30'!F178</f>
        <v>0</v>
      </c>
      <c r="F178" s="193"/>
      <c r="G178" s="124">
        <f t="shared" ref="G178:G184" si="21">F178-E178</f>
        <v>0</v>
      </c>
      <c r="N178" s="369"/>
      <c r="O178" s="374"/>
    </row>
    <row r="179" spans="1:15" ht="29.25">
      <c r="A179" s="435" t="s">
        <v>383</v>
      </c>
      <c r="B179" s="436"/>
      <c r="C179" s="436"/>
      <c r="D179" s="174" t="s">
        <v>186</v>
      </c>
      <c r="E179" s="106">
        <f>'30'!F179</f>
        <v>0</v>
      </c>
      <c r="F179" s="193"/>
      <c r="G179" s="124">
        <f t="shared" si="21"/>
        <v>0</v>
      </c>
      <c r="N179" s="369"/>
      <c r="O179" s="374"/>
    </row>
    <row r="180" spans="1:15" ht="29.25">
      <c r="A180" s="435" t="s">
        <v>384</v>
      </c>
      <c r="B180" s="436"/>
      <c r="C180" s="436"/>
      <c r="D180" s="174" t="s">
        <v>186</v>
      </c>
      <c r="E180" s="106">
        <f>'30'!F180</f>
        <v>0</v>
      </c>
      <c r="F180" s="193"/>
      <c r="G180" s="124">
        <f t="shared" si="21"/>
        <v>0</v>
      </c>
      <c r="N180" s="369"/>
      <c r="O180" s="374"/>
    </row>
    <row r="181" spans="1:15" ht="29.25">
      <c r="A181" s="435" t="s">
        <v>385</v>
      </c>
      <c r="B181" s="436"/>
      <c r="C181" s="436"/>
      <c r="D181" s="174" t="s">
        <v>186</v>
      </c>
      <c r="E181" s="106">
        <f>'30'!F181</f>
        <v>0</v>
      </c>
      <c r="F181" s="193"/>
      <c r="G181" s="124">
        <f t="shared" si="21"/>
        <v>0</v>
      </c>
    </row>
    <row r="182" spans="1:15" ht="29.25">
      <c r="A182" s="435" t="s">
        <v>386</v>
      </c>
      <c r="B182" s="436"/>
      <c r="C182" s="436"/>
      <c r="D182" s="174" t="s">
        <v>186</v>
      </c>
      <c r="E182" s="106">
        <f>'30'!F182</f>
        <v>0</v>
      </c>
      <c r="F182" s="193"/>
      <c r="G182" s="124">
        <f t="shared" si="21"/>
        <v>0</v>
      </c>
    </row>
    <row r="183" spans="1:15" ht="29.25">
      <c r="A183" s="435" t="s">
        <v>387</v>
      </c>
      <c r="B183" s="436"/>
      <c r="C183" s="436"/>
      <c r="D183" s="174" t="s">
        <v>186</v>
      </c>
      <c r="E183" s="106">
        <f>'30'!F183</f>
        <v>0</v>
      </c>
      <c r="F183" s="193"/>
      <c r="G183" s="124">
        <f t="shared" si="21"/>
        <v>0</v>
      </c>
    </row>
    <row r="184" spans="1:15" ht="29.25">
      <c r="A184" s="435" t="s">
        <v>388</v>
      </c>
      <c r="B184" s="436"/>
      <c r="C184" s="436"/>
      <c r="D184" s="174" t="s">
        <v>186</v>
      </c>
      <c r="E184" s="106">
        <f>'30'!F184</f>
        <v>0</v>
      </c>
      <c r="F184" s="193"/>
      <c r="G184" s="124">
        <f t="shared" si="21"/>
        <v>0</v>
      </c>
    </row>
    <row r="185" spans="1:15" ht="29.25"/>
    <row r="186" spans="1:15" ht="29.25"/>
    <row r="187" spans="1:15" ht="29.25"/>
    <row r="188" spans="1:15" ht="29.25"/>
    <row r="189" spans="1:15" ht="29.25"/>
    <row r="190" spans="1:15" ht="29.25"/>
    <row r="191" spans="1:15" ht="29.25"/>
    <row r="192" spans="1:15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  <row r="310" ht="29.25"/>
    <row r="311" ht="29.25"/>
    <row r="312" ht="29.25"/>
  </sheetData>
  <mergeCells count="78">
    <mergeCell ref="A76:C76"/>
    <mergeCell ref="A77:C77"/>
    <mergeCell ref="A79:C79"/>
    <mergeCell ref="A80:C80"/>
    <mergeCell ref="A72:C72"/>
    <mergeCell ref="A73:C73"/>
    <mergeCell ref="A74:C74"/>
    <mergeCell ref="A75:C75"/>
    <mergeCell ref="A70:C70"/>
    <mergeCell ref="A65:C65"/>
    <mergeCell ref="A66:C66"/>
    <mergeCell ref="A67:C67"/>
    <mergeCell ref="A68:C68"/>
    <mergeCell ref="A69:C69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74:B174"/>
    <mergeCell ref="A175:B175"/>
    <mergeCell ref="A176:B176"/>
    <mergeCell ref="A177:G177"/>
    <mergeCell ref="A144:C14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205"/>
      <c r="B1" s="1205"/>
      <c r="C1" s="1205"/>
      <c r="D1" s="1205"/>
      <c r="E1" s="1205"/>
      <c r="F1" s="1205"/>
      <c r="G1" s="1205"/>
      <c r="H1" s="1205"/>
      <c r="I1" s="1205"/>
      <c r="J1" s="1205"/>
      <c r="K1" s="1205"/>
      <c r="L1" s="1205"/>
      <c r="M1" s="1205"/>
      <c r="N1" s="1205"/>
      <c r="O1" s="1205"/>
    </row>
    <row r="2" spans="1:15" ht="28.5" customHeight="1">
      <c r="A2" s="1" t="s">
        <v>0</v>
      </c>
      <c r="B2" s="1" t="s">
        <v>0</v>
      </c>
      <c r="C2" s="753" t="s">
        <v>1</v>
      </c>
      <c r="D2" s="4" t="s">
        <v>4</v>
      </c>
      <c r="E2" s="1207" t="s">
        <v>7</v>
      </c>
      <c r="F2" s="1207"/>
      <c r="G2" s="1207"/>
      <c r="H2" s="1213" t="s">
        <v>15</v>
      </c>
      <c r="I2" s="1213"/>
      <c r="J2" s="1213"/>
      <c r="K2" s="753" t="s">
        <v>16</v>
      </c>
      <c r="L2" s="1213" t="s">
        <v>17</v>
      </c>
      <c r="M2" s="1213"/>
      <c r="N2" s="1213"/>
      <c r="O2" s="753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276</v>
      </c>
      <c r="O3" s="12"/>
    </row>
    <row r="4" spans="1:15">
      <c r="A4" s="16">
        <v>1</v>
      </c>
      <c r="B4" s="17">
        <v>1</v>
      </c>
      <c r="C4" s="18"/>
      <c r="D4" s="19">
        <f>'1'!F8</f>
        <v>333671.40999999997</v>
      </c>
      <c r="E4" s="19">
        <f>'1'!G97</f>
        <v>18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294</v>
      </c>
      <c r="J4" s="19">
        <f>'1'!G70</f>
        <v>0</v>
      </c>
      <c r="K4" s="23">
        <f>H4+I4</f>
        <v>294</v>
      </c>
      <c r="L4" s="19">
        <f>'1'!G71</f>
        <v>0</v>
      </c>
      <c r="M4" s="19">
        <f>'1'!G72</f>
        <v>13</v>
      </c>
      <c r="N4" s="19">
        <v>0</v>
      </c>
      <c r="O4" s="23">
        <f>L4+M4+N4</f>
        <v>13</v>
      </c>
    </row>
    <row r="5" spans="1:15">
      <c r="A5" s="16">
        <v>2</v>
      </c>
      <c r="B5" s="26">
        <v>2</v>
      </c>
      <c r="C5" s="26"/>
      <c r="D5" s="19">
        <f>'2'!F8</f>
        <v>356470.75</v>
      </c>
      <c r="E5" s="19">
        <f>'2'!G96</f>
        <v>84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291.94000000000233</v>
      </c>
      <c r="J5" s="19">
        <f>'2'!G70</f>
        <v>0</v>
      </c>
      <c r="K5" s="23">
        <f t="shared" ref="K5:K18" si="1">H5+I5</f>
        <v>291.94000000000233</v>
      </c>
      <c r="L5" s="19">
        <f>'2'!G71</f>
        <v>0</v>
      </c>
      <c r="M5" s="19">
        <f>'2'!G72</f>
        <v>7</v>
      </c>
      <c r="N5" s="19">
        <v>0</v>
      </c>
      <c r="O5" s="23">
        <f t="shared" ref="O5:O18" si="2">L5+M5+N5</f>
        <v>7</v>
      </c>
    </row>
    <row r="6" spans="1:15">
      <c r="A6" s="16">
        <v>3</v>
      </c>
      <c r="B6" s="26">
        <v>3</v>
      </c>
      <c r="C6" s="26"/>
      <c r="D6" s="19">
        <f>'4'!F8</f>
        <v>399820.99</v>
      </c>
      <c r="E6" s="19">
        <f>'3'!G96</f>
        <v>87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289.11999999999534</v>
      </c>
      <c r="J6" s="19">
        <f>'4'!G70</f>
        <v>0</v>
      </c>
      <c r="K6" s="23">
        <f t="shared" si="1"/>
        <v>289.11999999999534</v>
      </c>
      <c r="L6" s="19">
        <f>'4'!G71</f>
        <v>0</v>
      </c>
      <c r="M6" s="19">
        <f>'4'!G72</f>
        <v>6</v>
      </c>
      <c r="N6" s="19">
        <v>0</v>
      </c>
      <c r="O6" s="23">
        <f t="shared" si="2"/>
        <v>6</v>
      </c>
    </row>
    <row r="7" spans="1:15">
      <c r="A7" s="16">
        <v>4</v>
      </c>
      <c r="B7" s="27">
        <v>4</v>
      </c>
      <c r="C7" s="27"/>
      <c r="D7" s="19">
        <f>'3'!F8</f>
        <v>378361.31</v>
      </c>
      <c r="E7" s="19">
        <f>'4'!G96</f>
        <v>83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289.11999999999534</v>
      </c>
      <c r="J7" s="19">
        <f>'3'!G70</f>
        <v>0</v>
      </c>
      <c r="K7" s="23">
        <f t="shared" si="1"/>
        <v>289.11999999999534</v>
      </c>
      <c r="L7" s="19">
        <f>'3'!G71</f>
        <v>0</v>
      </c>
      <c r="M7" s="19">
        <f>'3'!G72</f>
        <v>5</v>
      </c>
      <c r="N7" s="19">
        <v>0</v>
      </c>
      <c r="O7" s="23">
        <f t="shared" si="2"/>
        <v>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443191.67</v>
      </c>
      <c r="E9" s="19">
        <f>'6'!G96</f>
        <v>71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296.86999999999534</v>
      </c>
      <c r="J9" s="19">
        <f>'6'!G70</f>
        <v>0</v>
      </c>
      <c r="K9" s="23">
        <f t="shared" si="1"/>
        <v>296.86999999999534</v>
      </c>
      <c r="L9" s="19">
        <f>'6'!G71</f>
        <v>0</v>
      </c>
      <c r="M9" s="19">
        <f>'6'!G72</f>
        <v>6</v>
      </c>
      <c r="N9" s="19">
        <v>0</v>
      </c>
      <c r="O9" s="23">
        <f t="shared" si="2"/>
        <v>6</v>
      </c>
    </row>
    <row r="10" spans="1:15">
      <c r="A10" s="16">
        <v>7</v>
      </c>
      <c r="B10" s="26">
        <v>7</v>
      </c>
      <c r="C10" s="27"/>
      <c r="D10" s="19">
        <f>'7'!F8</f>
        <v>463673.59</v>
      </c>
      <c r="E10" s="19">
        <f>'7'!G96</f>
        <v>71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298.16999999999825</v>
      </c>
      <c r="J10" s="19">
        <f>'7'!G70</f>
        <v>0</v>
      </c>
      <c r="K10" s="23">
        <f t="shared" si="1"/>
        <v>298.16999999999825</v>
      </c>
      <c r="L10" s="19">
        <f>'7'!G71</f>
        <v>0</v>
      </c>
      <c r="M10" s="19">
        <f>'7'!G72</f>
        <v>5</v>
      </c>
      <c r="N10" s="19">
        <v>0</v>
      </c>
      <c r="O10" s="23">
        <f t="shared" si="2"/>
        <v>5</v>
      </c>
    </row>
    <row r="11" spans="1:15">
      <c r="A11" s="16">
        <v>8</v>
      </c>
      <c r="B11" s="26">
        <v>8</v>
      </c>
      <c r="C11" s="18"/>
      <c r="D11" s="19">
        <f>'8'!F8</f>
        <v>485984.99</v>
      </c>
      <c r="E11" s="19">
        <f>'8'!G96</f>
        <v>69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314.35000000000582</v>
      </c>
      <c r="J11" s="19">
        <f>'8'!G70</f>
        <v>0</v>
      </c>
      <c r="K11" s="23">
        <f t="shared" si="1"/>
        <v>314.35000000000582</v>
      </c>
      <c r="L11" s="19">
        <f>'8'!G71</f>
        <v>0</v>
      </c>
      <c r="M11" s="19">
        <f>'8'!G72</f>
        <v>6</v>
      </c>
      <c r="N11" s="19">
        <v>0</v>
      </c>
      <c r="O11" s="23">
        <f t="shared" si="2"/>
        <v>6</v>
      </c>
    </row>
    <row r="12" spans="1:15">
      <c r="A12" s="16">
        <v>9</v>
      </c>
      <c r="B12" s="27">
        <v>9</v>
      </c>
      <c r="C12" s="26"/>
      <c r="D12" s="19">
        <f>'9'!F8</f>
        <v>507950</v>
      </c>
      <c r="E12" s="19">
        <f>'9'!G96</f>
        <v>72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308.86000000000058</v>
      </c>
      <c r="J12" s="19">
        <f>'9'!G70</f>
        <v>0</v>
      </c>
      <c r="K12" s="23">
        <f t="shared" si="1"/>
        <v>308.86000000000058</v>
      </c>
      <c r="L12" s="19">
        <f>'9'!G71</f>
        <v>0</v>
      </c>
      <c r="M12" s="19">
        <f>'9'!G72</f>
        <v>5</v>
      </c>
      <c r="N12" s="19">
        <v>0</v>
      </c>
      <c r="O12" s="23">
        <f t="shared" si="2"/>
        <v>5</v>
      </c>
    </row>
    <row r="13" spans="1:15">
      <c r="A13" s="16">
        <v>10</v>
      </c>
      <c r="B13" s="27">
        <v>10</v>
      </c>
      <c r="C13" s="26"/>
      <c r="D13" s="19">
        <f>'10'!F8</f>
        <v>529367</v>
      </c>
      <c r="E13" s="19">
        <f>'10'!G96</f>
        <v>56</v>
      </c>
      <c r="F13" s="19">
        <f>'1'!F142</f>
        <v>0</v>
      </c>
      <c r="G13" s="21">
        <f t="shared" si="0"/>
        <v>0</v>
      </c>
      <c r="H13" s="19">
        <f>'10'!G68</f>
        <v>167</v>
      </c>
      <c r="I13" s="19">
        <f>'10'!G69</f>
        <v>307</v>
      </c>
      <c r="J13" s="19">
        <f>'10'!G70</f>
        <v>0</v>
      </c>
      <c r="K13" s="23">
        <f t="shared" si="1"/>
        <v>474</v>
      </c>
      <c r="L13" s="19">
        <f>'10'!G71</f>
        <v>0</v>
      </c>
      <c r="M13" s="19">
        <f>'10'!G72</f>
        <v>6</v>
      </c>
      <c r="N13" s="19">
        <v>0</v>
      </c>
      <c r="O13" s="23">
        <f t="shared" si="2"/>
        <v>6</v>
      </c>
    </row>
    <row r="14" spans="1:15">
      <c r="A14" s="16">
        <v>11</v>
      </c>
      <c r="B14" s="17">
        <v>11</v>
      </c>
      <c r="C14" s="27"/>
      <c r="D14" s="19">
        <f>'11'!F8</f>
        <v>550808</v>
      </c>
      <c r="E14" s="19">
        <f>'11'!G96</f>
        <v>64</v>
      </c>
      <c r="F14" s="19">
        <f>'1'!F142</f>
        <v>0</v>
      </c>
      <c r="G14" s="21">
        <f t="shared" si="0"/>
        <v>0</v>
      </c>
      <c r="H14" s="19">
        <f>'11'!G68</f>
        <v>114</v>
      </c>
      <c r="I14" s="19">
        <f>'11'!G69</f>
        <v>300</v>
      </c>
      <c r="J14" s="19">
        <f>'11'!G70</f>
        <v>0</v>
      </c>
      <c r="K14" s="23">
        <f t="shared" si="1"/>
        <v>414</v>
      </c>
      <c r="L14" s="19">
        <f>'11'!G71</f>
        <v>0</v>
      </c>
      <c r="M14" s="19">
        <f>'11'!G72</f>
        <v>5</v>
      </c>
      <c r="N14" s="19">
        <v>0</v>
      </c>
      <c r="O14" s="23">
        <f t="shared" si="2"/>
        <v>5</v>
      </c>
    </row>
    <row r="15" spans="1:15">
      <c r="A15" s="16">
        <v>12</v>
      </c>
      <c r="B15" s="26">
        <v>12</v>
      </c>
      <c r="C15" s="27"/>
      <c r="D15" s="19">
        <f>'12'!F8</f>
        <v>573233.27</v>
      </c>
      <c r="E15" s="19">
        <f>'12'!G96</f>
        <v>70</v>
      </c>
      <c r="F15" s="19">
        <f>'1'!F142</f>
        <v>0</v>
      </c>
      <c r="G15" s="20">
        <f t="shared" si="0"/>
        <v>0</v>
      </c>
      <c r="H15" s="19">
        <f>'12'!G68</f>
        <v>287.25999999999476</v>
      </c>
      <c r="I15" s="19">
        <f>'12'!G69</f>
        <v>303.11000000000058</v>
      </c>
      <c r="J15" s="19">
        <f>'12'!G70</f>
        <v>0</v>
      </c>
      <c r="K15" s="23">
        <f t="shared" si="1"/>
        <v>590.36999999999534</v>
      </c>
      <c r="L15" s="19">
        <f>'12'!G71</f>
        <v>0</v>
      </c>
      <c r="M15" s="19">
        <f>'12'!G72</f>
        <v>6</v>
      </c>
      <c r="N15" s="19">
        <v>0</v>
      </c>
      <c r="O15" s="23">
        <f t="shared" si="2"/>
        <v>6</v>
      </c>
    </row>
    <row r="16" spans="1:15">
      <c r="A16" s="16">
        <v>13</v>
      </c>
      <c r="B16" s="26">
        <v>13</v>
      </c>
      <c r="C16" s="26"/>
      <c r="D16" s="19">
        <f>'13'!F8</f>
        <v>595733.27</v>
      </c>
      <c r="E16" s="19">
        <f>'13'!G96</f>
        <v>-2303</v>
      </c>
      <c r="F16" s="19">
        <f>'1'!F142</f>
        <v>0</v>
      </c>
      <c r="G16" s="20">
        <f t="shared" si="0"/>
        <v>0</v>
      </c>
      <c r="H16" s="19">
        <f>'13'!G68</f>
        <v>-568.25999999999476</v>
      </c>
      <c r="I16" s="19">
        <f>'13'!G69</f>
        <v>-9277.11</v>
      </c>
      <c r="J16" s="19">
        <f>'13'!G70</f>
        <v>0</v>
      </c>
      <c r="K16" s="23">
        <f t="shared" si="1"/>
        <v>-9845.3699999999953</v>
      </c>
      <c r="L16" s="19">
        <f>'13'!G71</f>
        <v>0</v>
      </c>
      <c r="M16" s="19">
        <f>'13'!G72</f>
        <v>-315</v>
      </c>
      <c r="N16" s="19">
        <v>0</v>
      </c>
      <c r="O16" s="23">
        <f t="shared" si="2"/>
        <v>-315</v>
      </c>
    </row>
    <row r="17" spans="1:15">
      <c r="A17" s="16">
        <v>14</v>
      </c>
      <c r="B17" s="17">
        <v>14</v>
      </c>
      <c r="C17" s="27"/>
      <c r="D17" s="19">
        <f>'14'!F8</f>
        <v>618233.27</v>
      </c>
      <c r="E17" s="19">
        <f>'14'!G96</f>
        <v>69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303</v>
      </c>
      <c r="J17" s="19">
        <f>'14'!G71</f>
        <v>0</v>
      </c>
      <c r="K17" s="23">
        <f t="shared" si="1"/>
        <v>303</v>
      </c>
      <c r="L17" s="19">
        <f>'14'!G72</f>
        <v>12</v>
      </c>
      <c r="M17" s="19">
        <f>'14'!G73</f>
        <v>1</v>
      </c>
      <c r="N17" s="19">
        <v>0</v>
      </c>
      <c r="O17" s="23">
        <f t="shared" si="2"/>
        <v>13</v>
      </c>
    </row>
    <row r="18" spans="1:15">
      <c r="A18" s="16">
        <v>15</v>
      </c>
      <c r="B18" s="26">
        <v>15</v>
      </c>
      <c r="C18" s="18"/>
      <c r="D18" s="19">
        <f>'15'!F8</f>
        <v>640733.27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292</v>
      </c>
      <c r="J18" s="19">
        <f>'15'!G71</f>
        <v>0</v>
      </c>
      <c r="K18" s="23">
        <f t="shared" si="1"/>
        <v>292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R262"/>
  <sheetViews>
    <sheetView topLeftCell="A128" zoomScale="50" zoomScaleNormal="50" workbookViewId="0">
      <selection activeCell="B186" sqref="B186"/>
    </sheetView>
  </sheetViews>
  <sheetFormatPr defaultColWidth="22.33203125" defaultRowHeight="21.95" customHeight="1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" width="22.33203125" style="67"/>
    <col min="17" max="17" width="44.77734375" style="67" customWidth="1"/>
    <col min="18" max="16384" width="22.33203125" style="67"/>
  </cols>
  <sheetData>
    <row r="1" spans="1:15" ht="33.75">
      <c r="A1" s="1250" t="s">
        <v>116</v>
      </c>
      <c r="B1" s="1251"/>
      <c r="C1" s="1251"/>
      <c r="D1" s="1251"/>
      <c r="E1" s="1251"/>
      <c r="F1" s="1251"/>
      <c r="G1" s="1251"/>
      <c r="H1" s="1251"/>
      <c r="I1" s="1251"/>
      <c r="J1" s="1252"/>
    </row>
    <row r="2" spans="1:15" s="57" customFormat="1" ht="27">
      <c r="A2" s="226" t="s">
        <v>326</v>
      </c>
      <c r="B2" s="751">
        <v>44439</v>
      </c>
      <c r="C2" s="1178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>
      <c r="A3" s="221"/>
      <c r="B3" s="265"/>
      <c r="C3" s="1178" t="s">
        <v>119</v>
      </c>
      <c r="D3" s="263">
        <v>28</v>
      </c>
      <c r="E3" s="1259" t="s">
        <v>120</v>
      </c>
      <c r="F3" s="1260"/>
      <c r="G3" s="113"/>
      <c r="H3" s="114"/>
      <c r="I3" s="114"/>
      <c r="J3" s="266"/>
      <c r="K3" s="63"/>
      <c r="L3" s="58"/>
    </row>
    <row r="4" spans="1:15" s="57" customFormat="1" ht="27">
      <c r="A4" s="227"/>
      <c r="B4" s="267"/>
      <c r="C4" s="1178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6.25" customHeight="1">
      <c r="A6" s="1435" t="s">
        <v>129</v>
      </c>
      <c r="B6" s="1436"/>
      <c r="C6" s="1437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>
      <c r="A7" s="229" t="s">
        <v>130</v>
      </c>
      <c r="B7" s="230"/>
      <c r="C7" s="230"/>
      <c r="D7" s="174" t="s">
        <v>131</v>
      </c>
      <c r="E7" s="106">
        <f>'30'!F7</f>
        <v>278098</v>
      </c>
      <c r="F7" s="106">
        <v>298691</v>
      </c>
      <c r="G7" s="124">
        <f>F7-E7</f>
        <v>20593</v>
      </c>
      <c r="H7" s="111">
        <f>G7+'30'!H7</f>
        <v>995854.3899999999</v>
      </c>
      <c r="I7" s="125">
        <f>'1'!I7</f>
        <v>12000</v>
      </c>
      <c r="J7" s="203">
        <f>H7/DAY(B2)</f>
        <v>32124.335161290321</v>
      </c>
      <c r="K7" s="200">
        <v>1375467</v>
      </c>
      <c r="L7" s="68"/>
      <c r="N7" s="91"/>
      <c r="O7" s="73"/>
    </row>
    <row r="8" spans="1:15" ht="21.95" customHeight="1" thickBot="1">
      <c r="A8" s="231" t="s">
        <v>132</v>
      </c>
      <c r="B8" s="232"/>
      <c r="C8" s="233"/>
      <c r="D8" s="268" t="s">
        <v>25</v>
      </c>
      <c r="E8" s="106">
        <f>'30'!F8</f>
        <v>284702.74</v>
      </c>
      <c r="F8" s="126">
        <v>309572</v>
      </c>
      <c r="G8" s="127">
        <f>F8-E8</f>
        <v>24869.260000000009</v>
      </c>
      <c r="H8" s="111">
        <f>G8+'30'!H8</f>
        <v>1002518.26</v>
      </c>
      <c r="I8" s="128"/>
      <c r="J8" s="203">
        <f>H8/DAY(B2)</f>
        <v>32339.29870967742</v>
      </c>
      <c r="K8" s="200">
        <v>1715917</v>
      </c>
      <c r="L8" s="78">
        <v>1728480</v>
      </c>
      <c r="M8" s="91">
        <f>L8-K8</f>
        <v>12563</v>
      </c>
      <c r="N8" s="91"/>
      <c r="O8" s="73"/>
    </row>
    <row r="9" spans="1:15" ht="21.95" customHeight="1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3278503</v>
      </c>
      <c r="I9" s="137">
        <f>I7-J7</f>
        <v>-20124.335161290321</v>
      </c>
      <c r="J9" s="203">
        <f>H9/DAY(B2)</f>
        <v>105758.16129032258</v>
      </c>
      <c r="K9" s="81">
        <f>K8-100</f>
        <v>1715817</v>
      </c>
      <c r="L9" s="68"/>
      <c r="N9" s="91"/>
      <c r="O9" s="73"/>
    </row>
    <row r="10" spans="1:15" ht="21.95" customHeight="1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853"/>
      <c r="J10" s="203">
        <f>H10/DAY(B2)</f>
        <v>0</v>
      </c>
      <c r="K10" s="81"/>
      <c r="L10" s="68"/>
      <c r="N10" s="91"/>
      <c r="O10" s="73"/>
    </row>
    <row r="11" spans="1:15" ht="21.95" customHeight="1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853"/>
      <c r="J11" s="203">
        <f>H11/DAY(B2)</f>
        <v>0</v>
      </c>
      <c r="K11" s="81"/>
      <c r="L11" s="68"/>
      <c r="N11" s="91"/>
      <c r="O11" s="73"/>
    </row>
    <row r="12" spans="1:15" ht="21.95" customHeight="1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853"/>
      <c r="J12" s="203">
        <f>H12/DAY(B2)</f>
        <v>0</v>
      </c>
      <c r="K12" s="81"/>
      <c r="L12" s="68"/>
      <c r="N12" s="91"/>
      <c r="O12" s="73"/>
    </row>
    <row r="13" spans="1:15" ht="21.95" customHeight="1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3234487.5100000002</v>
      </c>
      <c r="I13" s="133">
        <f>G7-G13</f>
        <v>819</v>
      </c>
      <c r="J13" s="203">
        <f>H13/DAY(B2)</f>
        <v>104338.30677419355</v>
      </c>
      <c r="K13" s="81"/>
      <c r="L13" s="68"/>
      <c r="N13" s="91"/>
      <c r="O13" s="73"/>
    </row>
    <row r="14" spans="1:15" ht="29.25">
      <c r="A14" s="1438" t="s">
        <v>138</v>
      </c>
      <c r="B14" s="1439"/>
      <c r="C14" s="1440"/>
      <c r="D14" s="123"/>
      <c r="E14" s="123"/>
      <c r="F14" s="123"/>
      <c r="G14" s="134"/>
      <c r="H14" s="123"/>
      <c r="I14" s="123"/>
      <c r="J14" s="202"/>
      <c r="K14" s="82"/>
      <c r="L14" s="68"/>
      <c r="N14" s="91"/>
      <c r="O14" s="73"/>
    </row>
    <row r="15" spans="1:15" ht="21.95" customHeight="1">
      <c r="A15" s="1176" t="s">
        <v>139</v>
      </c>
      <c r="B15" s="240"/>
      <c r="C15" s="240"/>
      <c r="D15" s="174" t="s">
        <v>140</v>
      </c>
      <c r="E15" s="136">
        <v>1755781</v>
      </c>
      <c r="F15" s="136">
        <v>1756530</v>
      </c>
      <c r="G15" s="124">
        <f>(F15-E15)</f>
        <v>749</v>
      </c>
      <c r="H15" s="111">
        <f>G15+'30'!H15</f>
        <v>0</v>
      </c>
      <c r="I15" s="125">
        <f>'1'!I15</f>
        <v>800</v>
      </c>
      <c r="J15" s="203">
        <f>H15/DAY(B2)</f>
        <v>0</v>
      </c>
      <c r="K15" s="81"/>
      <c r="L15" s="68"/>
      <c r="N15" s="91"/>
      <c r="O15" s="73"/>
    </row>
    <row r="16" spans="1:15" ht="21.95" customHeight="1">
      <c r="A16" s="238"/>
      <c r="B16" s="239"/>
      <c r="C16" s="239"/>
      <c r="D16" s="175"/>
      <c r="E16" s="136"/>
      <c r="F16" s="136"/>
      <c r="G16" s="124"/>
      <c r="H16" s="137"/>
      <c r="I16" s="133">
        <f>I15-J15</f>
        <v>800</v>
      </c>
      <c r="J16" s="204"/>
      <c r="K16" s="81"/>
      <c r="L16" s="68"/>
      <c r="N16" s="91"/>
      <c r="O16" s="73"/>
    </row>
    <row r="17" spans="1:15" ht="29.25">
      <c r="A17" s="1438" t="s">
        <v>141</v>
      </c>
      <c r="B17" s="1439"/>
      <c r="C17" s="1440"/>
      <c r="D17" s="123"/>
      <c r="E17" s="123"/>
      <c r="F17" s="123"/>
      <c r="G17" s="139"/>
      <c r="H17" s="123"/>
      <c r="I17" s="123"/>
      <c r="J17" s="202"/>
      <c r="K17" s="81"/>
      <c r="L17" s="68"/>
      <c r="N17" s="91"/>
      <c r="O17" s="73"/>
    </row>
    <row r="18" spans="1:15" ht="27.75">
      <c r="A18" s="1245" t="s">
        <v>142</v>
      </c>
      <c r="B18" s="1246"/>
      <c r="C18" s="1247"/>
      <c r="D18" s="174" t="s">
        <v>143</v>
      </c>
      <c r="E18" s="106">
        <f>'30'!F18</f>
        <v>19</v>
      </c>
      <c r="F18" s="135">
        <v>14</v>
      </c>
      <c r="G18" s="132">
        <f>F18*10</f>
        <v>140</v>
      </c>
      <c r="H18" s="111">
        <f>G18+'30'!H18</f>
        <v>5040</v>
      </c>
      <c r="I18" s="125">
        <f>'1'!I18</f>
        <v>65</v>
      </c>
      <c r="J18" s="203">
        <f>H18/DAY(B2)</f>
        <v>162.58064516129033</v>
      </c>
      <c r="K18" s="81"/>
      <c r="L18" s="68"/>
      <c r="N18" s="91"/>
      <c r="O18" s="73"/>
    </row>
    <row r="19" spans="1:15" ht="27.75">
      <c r="A19" s="1245" t="s">
        <v>70</v>
      </c>
      <c r="B19" s="1246"/>
      <c r="C19" s="1247"/>
      <c r="D19" s="174" t="s">
        <v>143</v>
      </c>
      <c r="E19" s="106">
        <f>'30'!F19</f>
        <v>145276</v>
      </c>
      <c r="F19" s="135">
        <v>145338</v>
      </c>
      <c r="G19" s="124">
        <f t="shared" ref="G19" si="1">F19-E19</f>
        <v>62</v>
      </c>
      <c r="H19" s="111">
        <f>G19+'30'!H19</f>
        <v>0</v>
      </c>
      <c r="I19" s="1192"/>
      <c r="J19" s="203">
        <f>H19/DAY(B2)</f>
        <v>0</v>
      </c>
      <c r="K19" s="81"/>
      <c r="L19" s="68"/>
      <c r="N19" s="91"/>
      <c r="O19" s="73"/>
    </row>
    <row r="20" spans="1:15" ht="29.25">
      <c r="A20" s="236" t="s">
        <v>144</v>
      </c>
      <c r="B20" s="237"/>
      <c r="C20" s="237"/>
      <c r="D20" s="141"/>
      <c r="E20" s="141"/>
      <c r="F20" s="141"/>
      <c r="G20" s="142">
        <f>G18+G19</f>
        <v>202</v>
      </c>
      <c r="H20" s="111">
        <f>G20+'30'!H20</f>
        <v>5040</v>
      </c>
      <c r="I20" s="1193">
        <f>I18-J20</f>
        <v>-97.580645161290334</v>
      </c>
      <c r="J20" s="203">
        <f>H20/DAY(B2)</f>
        <v>162.58064516129033</v>
      </c>
      <c r="K20" s="81"/>
      <c r="L20" s="68"/>
      <c r="N20" s="91"/>
      <c r="O20" s="73"/>
    </row>
    <row r="21" spans="1:15" ht="29.25">
      <c r="A21" s="1438" t="s">
        <v>145</v>
      </c>
      <c r="B21" s="1439"/>
      <c r="C21" s="1440"/>
      <c r="D21" s="123"/>
      <c r="E21" s="123"/>
      <c r="F21" s="123"/>
      <c r="G21" s="134"/>
      <c r="H21" s="123"/>
      <c r="I21" s="123"/>
      <c r="J21" s="202"/>
      <c r="K21" s="81"/>
      <c r="L21" s="68"/>
      <c r="N21" s="91"/>
      <c r="O21" s="73"/>
    </row>
    <row r="22" spans="1:15" ht="29.25">
      <c r="A22" s="1176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/>
      <c r="O22" s="73"/>
    </row>
    <row r="23" spans="1:15" ht="29.25">
      <c r="A23" s="1176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/>
      <c r="O23" s="73"/>
    </row>
    <row r="24" spans="1:15" ht="29.25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/>
      <c r="O24" s="73"/>
    </row>
    <row r="25" spans="1:15" s="93" customFormat="1" ht="27">
      <c r="A25" s="1447" t="s">
        <v>150</v>
      </c>
      <c r="B25" s="1448"/>
      <c r="C25" s="1449"/>
      <c r="D25" s="122"/>
      <c r="E25" s="122"/>
      <c r="F25" s="122"/>
      <c r="G25" s="145"/>
      <c r="H25" s="146"/>
      <c r="I25" s="147"/>
      <c r="J25" s="205"/>
      <c r="K25" s="65"/>
      <c r="L25" s="94"/>
      <c r="N25" s="91"/>
      <c r="O25" s="73"/>
    </row>
    <row r="26" spans="1:15" s="93" customFormat="1" ht="27.7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/>
      <c r="O26" s="73"/>
    </row>
    <row r="27" spans="1:15" s="93" customFormat="1" ht="27.75">
      <c r="A27" s="243" t="s">
        <v>6</v>
      </c>
      <c r="B27" s="244"/>
      <c r="C27" s="245"/>
      <c r="D27" s="270" t="s">
        <v>25</v>
      </c>
      <c r="E27" s="151">
        <f>G8</f>
        <v>24869.260000000009</v>
      </c>
      <c r="F27" s="152">
        <v>9</v>
      </c>
      <c r="G27" s="153">
        <f>E27*F27</f>
        <v>223823.34000000008</v>
      </c>
      <c r="H27" s="111">
        <f>G27+'30'!H27</f>
        <v>9015626.3399999999</v>
      </c>
      <c r="I27" s="154"/>
      <c r="J27" s="203">
        <f>H27/DAY(B2)</f>
        <v>290826.65612903226</v>
      </c>
      <c r="K27" s="65"/>
      <c r="L27" s="94"/>
      <c r="N27" s="91"/>
      <c r="O27" s="73"/>
    </row>
    <row r="28" spans="1:15" s="93" customFormat="1" ht="27.75">
      <c r="A28" s="243" t="s">
        <v>153</v>
      </c>
      <c r="B28" s="244"/>
      <c r="C28" s="245"/>
      <c r="D28" s="270" t="s">
        <v>154</v>
      </c>
      <c r="E28" s="155">
        <f>G15</f>
        <v>749</v>
      </c>
      <c r="F28" s="152">
        <v>52</v>
      </c>
      <c r="G28" s="153">
        <f>E28*F28</f>
        <v>38948</v>
      </c>
      <c r="H28" s="111">
        <f>G28+'30'!H28</f>
        <v>-9131.5713999998043</v>
      </c>
      <c r="I28" s="156"/>
      <c r="J28" s="203">
        <f>H28/DAY(B2)</f>
        <v>-294.56681935483238</v>
      </c>
      <c r="K28" s="65"/>
      <c r="L28" s="94"/>
      <c r="N28" s="91"/>
      <c r="O28" s="73"/>
    </row>
    <row r="29" spans="1:15" s="93" customFormat="1" ht="27.7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/>
      <c r="O29" s="73"/>
    </row>
    <row r="30" spans="1:15" s="93" customFormat="1" ht="27.75">
      <c r="A30" s="243" t="s">
        <v>157</v>
      </c>
      <c r="B30" s="244"/>
      <c r="C30" s="245"/>
      <c r="D30" s="270" t="s">
        <v>158</v>
      </c>
      <c r="E30" s="157">
        <f>G19</f>
        <v>62</v>
      </c>
      <c r="F30" s="152">
        <v>146</v>
      </c>
      <c r="G30" s="153">
        <f>E30*F30</f>
        <v>9052</v>
      </c>
      <c r="H30" s="111">
        <f>G30+'30'!H30</f>
        <v>0</v>
      </c>
      <c r="I30" s="156"/>
      <c r="J30" s="203">
        <f>H30/DAY(B2)</f>
        <v>0</v>
      </c>
      <c r="K30" s="65"/>
      <c r="L30" s="94"/>
      <c r="N30" s="91"/>
      <c r="O30" s="73"/>
    </row>
    <row r="31" spans="1:15" s="93" customFormat="1" ht="27.7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397964</v>
      </c>
      <c r="I31" s="156"/>
      <c r="J31" s="203">
        <f>H31/DAY(B2)</f>
        <v>12837.548387096775</v>
      </c>
      <c r="K31" s="65"/>
      <c r="L31" s="94"/>
      <c r="N31" s="91"/>
      <c r="O31" s="73"/>
    </row>
    <row r="32" spans="1:15" s="93" customFormat="1" ht="27.75">
      <c r="A32" s="246" t="s">
        <v>160</v>
      </c>
      <c r="B32" s="247"/>
      <c r="C32" s="248"/>
      <c r="D32" s="158"/>
      <c r="E32" s="158"/>
      <c r="F32" s="158"/>
      <c r="G32" s="159">
        <f>G27+G28+G29+G30+G31</f>
        <v>283023.34000000008</v>
      </c>
      <c r="H32" s="111">
        <f>G32+'30'!H32</f>
        <v>9404458.7686000001</v>
      </c>
      <c r="I32" s="160"/>
      <c r="J32" s="203">
        <f>H32/DAY(B2)</f>
        <v>303369.63769677421</v>
      </c>
      <c r="K32" s="65"/>
      <c r="L32" s="94"/>
      <c r="N32" s="91"/>
      <c r="O32" s="73"/>
    </row>
    <row r="33" spans="1:15" ht="34.5" customHeight="1">
      <c r="A33" s="1450" t="s">
        <v>396</v>
      </c>
      <c r="B33" s="1451"/>
      <c r="C33" s="1451"/>
      <c r="D33" s="1194"/>
      <c r="E33" s="1194"/>
      <c r="F33" s="1194"/>
      <c r="G33" s="1194"/>
      <c r="H33" s="1194"/>
      <c r="I33" s="1194"/>
      <c r="J33" s="1195"/>
      <c r="K33" s="81"/>
      <c r="L33" s="68"/>
      <c r="N33" s="91"/>
      <c r="O33" s="73"/>
    </row>
    <row r="34" spans="1:15" ht="29.25">
      <c r="A34" s="249" t="s">
        <v>162</v>
      </c>
      <c r="B34" s="1180"/>
      <c r="C34" s="1180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73"/>
    </row>
    <row r="35" spans="1:15" ht="29.25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0</v>
      </c>
      <c r="I35" s="106"/>
      <c r="J35" s="203">
        <f>H35/DAY(B2)</f>
        <v>0</v>
      </c>
      <c r="K35" s="81"/>
      <c r="L35" s="68"/>
      <c r="N35" s="91"/>
      <c r="O35" s="73"/>
    </row>
    <row r="36" spans="1:15" ht="29.25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67875</v>
      </c>
      <c r="I36" s="106"/>
      <c r="J36" s="203">
        <f>H36/DAY(B2)</f>
        <v>2189.516129032258</v>
      </c>
      <c r="K36" s="81"/>
      <c r="L36" s="68"/>
      <c r="N36" s="91"/>
      <c r="O36" s="1201"/>
    </row>
    <row r="37" spans="1:15" ht="29.25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270276</v>
      </c>
      <c r="I37" s="106"/>
      <c r="J37" s="203">
        <f>H37/DAY(B2)</f>
        <v>8718.5806451612898</v>
      </c>
      <c r="K37" s="81"/>
      <c r="L37" s="68"/>
      <c r="N37" s="91"/>
      <c r="O37" s="280"/>
    </row>
    <row r="38" spans="1:15" ht="29.25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295695</v>
      </c>
      <c r="I38" s="106"/>
      <c r="J38" s="203">
        <f>H38/DAY(B2)</f>
        <v>9538.5483870967746</v>
      </c>
      <c r="K38" s="81"/>
      <c r="L38" s="68"/>
      <c r="N38" s="91"/>
      <c r="O38" s="73"/>
    </row>
    <row r="39" spans="1:15" ht="29.25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634073</v>
      </c>
      <c r="I39" s="106"/>
      <c r="J39" s="203">
        <f>H39/DAY(B2)</f>
        <v>20453.967741935485</v>
      </c>
      <c r="K39" s="81"/>
      <c r="L39" s="68"/>
      <c r="N39" s="91"/>
      <c r="O39" s="73"/>
    </row>
    <row r="40" spans="1:15" ht="29.25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34756.400000000001</v>
      </c>
      <c r="I40" s="106"/>
      <c r="J40" s="203">
        <f>H40/DAY(B2)</f>
        <v>1121.1741935483872</v>
      </c>
      <c r="K40" s="82"/>
      <c r="L40" s="68"/>
      <c r="N40" s="91"/>
      <c r="O40" s="73"/>
    </row>
    <row r="41" spans="1:15" ht="29.25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0</v>
      </c>
      <c r="I41" s="106"/>
      <c r="J41" s="203">
        <f>H41/DAY(B2)</f>
        <v>0</v>
      </c>
      <c r="K41" s="81"/>
      <c r="L41" s="68"/>
      <c r="N41" s="91"/>
      <c r="O41" s="73"/>
    </row>
    <row r="42" spans="1:15" ht="29.25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0</v>
      </c>
      <c r="I42" s="106"/>
      <c r="J42" s="203">
        <f>H42/DAY(B2)</f>
        <v>0</v>
      </c>
      <c r="K42" s="81"/>
      <c r="L42" s="68"/>
      <c r="N42" s="91"/>
      <c r="O42" s="73"/>
    </row>
    <row r="43" spans="1:15" ht="29.25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0</v>
      </c>
      <c r="I43" s="106"/>
      <c r="J43" s="203">
        <f>H43/DAY(B2)</f>
        <v>0</v>
      </c>
      <c r="K43" s="81"/>
      <c r="L43" s="68"/>
      <c r="N43" s="91"/>
      <c r="O43" s="73"/>
    </row>
    <row r="44" spans="1:15" ht="29.25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/>
      <c r="O44" s="73"/>
    </row>
    <row r="45" spans="1:15" ht="29.25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/>
      <c r="O45" s="73"/>
    </row>
    <row r="46" spans="1:15" ht="29.25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/>
      <c r="O46" s="73"/>
    </row>
    <row r="47" spans="1:15" ht="29.2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1303476.4000000004</v>
      </c>
      <c r="I47" s="106"/>
      <c r="J47" s="203">
        <f>H47/DAY(B2)</f>
        <v>42047.625806451622</v>
      </c>
      <c r="K47" s="81"/>
      <c r="L47" s="68"/>
      <c r="N47" s="91"/>
      <c r="O47" s="73"/>
    </row>
    <row r="48" spans="1:15" ht="29.25">
      <c r="A48" s="249" t="s">
        <v>176</v>
      </c>
      <c r="B48" s="1180"/>
      <c r="C48" s="1180"/>
      <c r="D48" s="123"/>
      <c r="E48" s="122"/>
      <c r="F48" s="122"/>
      <c r="G48" s="123"/>
      <c r="H48" s="123"/>
      <c r="I48" s="123"/>
      <c r="J48" s="202"/>
      <c r="K48" s="81"/>
      <c r="L48" s="68"/>
      <c r="N48" s="91"/>
      <c r="O48" s="73"/>
    </row>
    <row r="49" spans="1:15" ht="29.25">
      <c r="A49" s="229" t="s">
        <v>163</v>
      </c>
      <c r="B49" s="252"/>
      <c r="C49" s="252"/>
      <c r="D49" s="174" t="s">
        <v>131</v>
      </c>
      <c r="E49" s="106">
        <f>'30'!F49</f>
        <v>416671</v>
      </c>
      <c r="F49" s="161">
        <v>419822</v>
      </c>
      <c r="G49" s="124">
        <f t="shared" ref="G49:G58" si="4">F49-E49</f>
        <v>3151</v>
      </c>
      <c r="H49" s="111">
        <f>G49+'30'!H49</f>
        <v>403042</v>
      </c>
      <c r="I49" s="106"/>
      <c r="J49" s="203">
        <f>H49/DAY(B2)</f>
        <v>13001.354838709678</v>
      </c>
      <c r="K49" s="81"/>
      <c r="L49" s="68"/>
      <c r="N49" s="91"/>
      <c r="O49" s="73"/>
    </row>
    <row r="50" spans="1:15" ht="29.25">
      <c r="A50" s="229" t="s">
        <v>177</v>
      </c>
      <c r="B50" s="252"/>
      <c r="C50" s="252"/>
      <c r="D50" s="174" t="s">
        <v>131</v>
      </c>
      <c r="E50" s="106">
        <f>'30'!F50</f>
        <v>606322</v>
      </c>
      <c r="F50" s="161">
        <v>607298</v>
      </c>
      <c r="G50" s="124">
        <f t="shared" si="4"/>
        <v>976</v>
      </c>
      <c r="H50" s="111">
        <f>G50+'30'!H50</f>
        <v>-920</v>
      </c>
      <c r="I50" s="106"/>
      <c r="J50" s="203">
        <f>H50/DAY(B2)</f>
        <v>-29.677419354838708</v>
      </c>
      <c r="K50" s="81"/>
      <c r="L50" s="68"/>
      <c r="N50" s="91"/>
      <c r="O50" s="73"/>
    </row>
    <row r="51" spans="1:15" ht="29.25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144640</v>
      </c>
      <c r="I51" s="106"/>
      <c r="J51" s="203">
        <f>H51/DAY(B2)</f>
        <v>4665.8064516129034</v>
      </c>
      <c r="K51" s="81"/>
      <c r="L51" s="68"/>
      <c r="N51" s="91"/>
      <c r="O51" s="73"/>
    </row>
    <row r="52" spans="1:15" ht="29.25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-6.9999999948777258E-2</v>
      </c>
      <c r="I52" s="106"/>
      <c r="J52" s="203">
        <f>H52/DAY(B2)</f>
        <v>-2.2580645144766858E-3</v>
      </c>
      <c r="K52" s="81"/>
      <c r="L52" s="68"/>
      <c r="N52" s="91"/>
      <c r="O52" s="73"/>
    </row>
    <row r="53" spans="1:15" ht="29.25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434232</v>
      </c>
      <c r="G53" s="124">
        <f t="shared" si="4"/>
        <v>0</v>
      </c>
      <c r="H53" s="111">
        <f>G53+'30'!H53</f>
        <v>434232</v>
      </c>
      <c r="I53" s="106"/>
      <c r="J53" s="203">
        <f>H53/DAY(B2)</f>
        <v>14007.483870967742</v>
      </c>
      <c r="K53" s="81"/>
      <c r="L53" s="68"/>
      <c r="N53" s="91"/>
      <c r="O53" s="73"/>
    </row>
    <row r="54" spans="1:15" ht="29.25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14967</v>
      </c>
      <c r="G54" s="124">
        <f t="shared" si="4"/>
        <v>0</v>
      </c>
      <c r="H54" s="111">
        <f>G54+'30'!H54</f>
        <v>12502</v>
      </c>
      <c r="I54" s="106"/>
      <c r="J54" s="203">
        <f>H54/DAY(B2)</f>
        <v>403.29032258064518</v>
      </c>
      <c r="K54" s="81"/>
      <c r="L54" s="68"/>
      <c r="N54" s="91"/>
      <c r="O54" s="73"/>
    </row>
    <row r="55" spans="1:15" ht="29.25">
      <c r="A55" s="229" t="s">
        <v>180</v>
      </c>
      <c r="B55" s="252"/>
      <c r="C55" s="252"/>
      <c r="D55" s="174" t="s">
        <v>131</v>
      </c>
      <c r="E55" s="106">
        <f>'30'!F55</f>
        <v>306268</v>
      </c>
      <c r="F55" s="161">
        <v>306268.99</v>
      </c>
      <c r="G55" s="124">
        <f t="shared" si="4"/>
        <v>0.98999999999068677</v>
      </c>
      <c r="H55" s="111">
        <f>G55+'30'!H55</f>
        <v>-1030</v>
      </c>
      <c r="I55" s="106"/>
      <c r="J55" s="203">
        <f>H55/DAY(B2)</f>
        <v>-33.225806451612904</v>
      </c>
      <c r="K55" s="81"/>
      <c r="L55" s="68"/>
      <c r="N55" s="91"/>
      <c r="O55" s="73"/>
    </row>
    <row r="56" spans="1:15" ht="29.25">
      <c r="A56" s="229" t="s">
        <v>181</v>
      </c>
      <c r="B56" s="252"/>
      <c r="C56" s="252"/>
      <c r="D56" s="174" t="s">
        <v>182</v>
      </c>
      <c r="E56" s="106">
        <f>'30'!F56</f>
        <v>660429</v>
      </c>
      <c r="F56" s="161">
        <v>661019</v>
      </c>
      <c r="G56" s="124">
        <f t="shared" si="4"/>
        <v>590</v>
      </c>
      <c r="H56" s="111">
        <f>G56+'30'!H56</f>
        <v>-12</v>
      </c>
      <c r="I56" s="106"/>
      <c r="J56" s="203">
        <f>H56/DAY(B2)</f>
        <v>-0.38709677419354838</v>
      </c>
      <c r="K56" s="80"/>
      <c r="L56" s="68"/>
      <c r="N56" s="91"/>
      <c r="O56" s="73"/>
    </row>
    <row r="57" spans="1:15" ht="29.25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/>
      <c r="O57" s="73"/>
    </row>
    <row r="58" spans="1:15" ht="29.25">
      <c r="A58" s="229" t="s">
        <v>183</v>
      </c>
      <c r="B58" s="252"/>
      <c r="C58" s="252"/>
      <c r="D58" s="174" t="s">
        <v>131</v>
      </c>
      <c r="E58" s="106">
        <f>'30'!F58</f>
        <v>65818</v>
      </c>
      <c r="F58" s="161">
        <v>66014</v>
      </c>
      <c r="G58" s="124">
        <f t="shared" si="4"/>
        <v>196</v>
      </c>
      <c r="H58" s="111">
        <f>G58+'30'!H58</f>
        <v>-169</v>
      </c>
      <c r="I58" s="106"/>
      <c r="J58" s="203">
        <f>H58/DAY(B2)</f>
        <v>-5.4516129032258061</v>
      </c>
      <c r="K58" s="81"/>
      <c r="L58" s="68"/>
      <c r="N58" s="91"/>
      <c r="O58" s="73"/>
    </row>
    <row r="59" spans="1:15" ht="29.2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4913.9899999999907</v>
      </c>
      <c r="H59" s="111">
        <f>G59+'30'!H59</f>
        <v>1531890.9999999995</v>
      </c>
      <c r="I59" s="106">
        <f>G7-G60</f>
        <v>816.01000000000931</v>
      </c>
      <c r="J59" s="203">
        <f>H59/DAY(B2)</f>
        <v>49415.838709677402</v>
      </c>
      <c r="K59" s="81"/>
      <c r="L59" s="68"/>
      <c r="N59" s="91"/>
      <c r="O59" s="73"/>
    </row>
    <row r="60" spans="1:15" ht="29.25">
      <c r="A60" s="229"/>
      <c r="B60" s="230"/>
      <c r="C60" s="230"/>
      <c r="D60" s="162" t="s">
        <v>184</v>
      </c>
      <c r="E60" s="162"/>
      <c r="F60" s="162"/>
      <c r="G60" s="132">
        <f>G47+G59</f>
        <v>19776.989999999991</v>
      </c>
      <c r="H60" s="111">
        <f>G60+'30'!H60</f>
        <v>2842056.4000000004</v>
      </c>
      <c r="I60" s="106">
        <f>G13-G60</f>
        <v>-2.9899999999906868</v>
      </c>
      <c r="J60" s="203">
        <f>H60/DAY(B2)</f>
        <v>91679.238709677433</v>
      </c>
      <c r="K60" s="81"/>
      <c r="L60" s="68"/>
      <c r="N60" s="91"/>
      <c r="O60" s="73"/>
    </row>
    <row r="61" spans="1:15" s="70" customFormat="1" ht="29.25" customHeight="1">
      <c r="A61" s="1444" t="s">
        <v>397</v>
      </c>
      <c r="B61" s="1445"/>
      <c r="C61" s="1446"/>
      <c r="D61" s="1196"/>
      <c r="E61" s="1196"/>
      <c r="F61" s="1196"/>
      <c r="G61" s="1197"/>
      <c r="H61" s="1196"/>
      <c r="I61" s="1196"/>
      <c r="J61" s="1198"/>
      <c r="K61" s="71"/>
      <c r="L61" s="69"/>
      <c r="N61" s="91"/>
      <c r="O61" s="73"/>
    </row>
    <row r="62" spans="1:15" ht="27.75">
      <c r="A62" s="1245" t="s">
        <v>205</v>
      </c>
      <c r="B62" s="1246"/>
      <c r="C62" s="1247"/>
      <c r="D62" s="174" t="s">
        <v>143</v>
      </c>
      <c r="E62" s="106">
        <f>'30'!F93</f>
        <v>253392</v>
      </c>
      <c r="F62" s="135">
        <v>253452</v>
      </c>
      <c r="G62" s="124">
        <f t="shared" ref="G62:G63" si="5">F62-E62</f>
        <v>60</v>
      </c>
      <c r="H62" s="111">
        <f>G62+'30'!H93</f>
        <v>0</v>
      </c>
      <c r="I62" s="131"/>
      <c r="J62" s="203">
        <f>H62/DAY(B2)</f>
        <v>0</v>
      </c>
      <c r="K62" s="82"/>
      <c r="L62" s="68"/>
      <c r="N62" s="91"/>
      <c r="O62" s="73"/>
    </row>
    <row r="63" spans="1:15" ht="27.75">
      <c r="A63" s="1245" t="s">
        <v>206</v>
      </c>
      <c r="B63" s="1246"/>
      <c r="C63" s="1247"/>
      <c r="D63" s="174" t="s">
        <v>143</v>
      </c>
      <c r="E63" s="106">
        <f>'30'!F94</f>
        <v>197491</v>
      </c>
      <c r="F63" s="135">
        <v>197659</v>
      </c>
      <c r="G63" s="124">
        <f t="shared" si="5"/>
        <v>168</v>
      </c>
      <c r="H63" s="111">
        <f>G63+'30'!H94</f>
        <v>0</v>
      </c>
      <c r="I63" s="131"/>
      <c r="J63" s="203">
        <f>H63/DAY(B2)</f>
        <v>0</v>
      </c>
      <c r="K63" s="71"/>
      <c r="L63" s="68"/>
      <c r="N63" s="91"/>
      <c r="O63" s="73"/>
    </row>
    <row r="64" spans="1:15" ht="29.25">
      <c r="A64" s="1277" t="s">
        <v>207</v>
      </c>
      <c r="B64" s="1278"/>
      <c r="C64" s="1279"/>
      <c r="D64" s="174"/>
      <c r="E64" s="135"/>
      <c r="F64" s="135"/>
      <c r="G64" s="124">
        <f>G62+G63</f>
        <v>228</v>
      </c>
      <c r="H64" s="111">
        <f>G64+'30'!H95</f>
        <v>-225</v>
      </c>
      <c r="I64" s="131"/>
      <c r="J64" s="203">
        <f>H64/DAY(B2)</f>
        <v>-7.258064516129032</v>
      </c>
      <c r="K64" s="71"/>
      <c r="L64" s="68"/>
      <c r="N64" s="91"/>
      <c r="O64" s="73"/>
    </row>
    <row r="65" spans="1:15" ht="27.75">
      <c r="A65" s="1245" t="s">
        <v>208</v>
      </c>
      <c r="B65" s="1246"/>
      <c r="C65" s="1247"/>
      <c r="D65" s="174" t="s">
        <v>143</v>
      </c>
      <c r="E65" s="106">
        <f>'30'!F96</f>
        <v>420954</v>
      </c>
      <c r="F65" s="135">
        <v>421019</v>
      </c>
      <c r="G65" s="124">
        <f t="shared" ref="G65:G70" si="6">F65-E65</f>
        <v>65</v>
      </c>
      <c r="H65" s="111">
        <f>G65+'30'!H96</f>
        <v>0</v>
      </c>
      <c r="I65" s="131"/>
      <c r="J65" s="203">
        <f>H65/DAY(B2)</f>
        <v>0</v>
      </c>
      <c r="K65" s="71"/>
      <c r="L65" s="68"/>
      <c r="N65" s="91"/>
      <c r="O65" s="73"/>
    </row>
    <row r="66" spans="1:15" ht="27.75">
      <c r="A66" s="1176" t="s">
        <v>209</v>
      </c>
      <c r="B66" s="1177"/>
      <c r="C66" s="1177"/>
      <c r="D66" s="174" t="s">
        <v>143</v>
      </c>
      <c r="E66" s="106">
        <f>'30'!F97</f>
        <v>104616</v>
      </c>
      <c r="F66" s="135">
        <v>104636</v>
      </c>
      <c r="G66" s="124">
        <f t="shared" si="6"/>
        <v>20</v>
      </c>
      <c r="H66" s="111">
        <f>G66+'30'!H97</f>
        <v>0</v>
      </c>
      <c r="I66" s="131"/>
      <c r="J66" s="203">
        <f>H66/DAY(B2)</f>
        <v>0</v>
      </c>
      <c r="K66" s="80"/>
      <c r="L66" s="68"/>
      <c r="N66" s="91"/>
      <c r="O66" s="73"/>
    </row>
    <row r="67" spans="1:15" ht="27.75">
      <c r="A67" s="1176" t="s">
        <v>210</v>
      </c>
      <c r="B67" s="1177"/>
      <c r="C67" s="1177"/>
      <c r="D67" s="174" t="s">
        <v>143</v>
      </c>
      <c r="E67" s="106">
        <f>'30'!F98</f>
        <v>100348</v>
      </c>
      <c r="F67" s="135">
        <v>100370</v>
      </c>
      <c r="G67" s="124">
        <f t="shared" si="6"/>
        <v>22</v>
      </c>
      <c r="H67" s="111">
        <f>G67+'30'!H98</f>
        <v>0</v>
      </c>
      <c r="I67" s="131"/>
      <c r="J67" s="203">
        <f>H67/DAY(B2)</f>
        <v>0</v>
      </c>
      <c r="K67" s="85"/>
      <c r="L67" s="68"/>
      <c r="N67" s="91"/>
      <c r="O67" s="73"/>
    </row>
    <row r="68" spans="1:15" ht="27.75">
      <c r="A68" s="1176" t="s">
        <v>211</v>
      </c>
      <c r="B68" s="1177"/>
      <c r="C68" s="1177"/>
      <c r="D68" s="174" t="s">
        <v>143</v>
      </c>
      <c r="E68" s="106">
        <f>'30'!F99</f>
        <v>152126</v>
      </c>
      <c r="F68" s="135">
        <v>152135</v>
      </c>
      <c r="G68" s="124">
        <f t="shared" si="6"/>
        <v>9</v>
      </c>
      <c r="H68" s="111">
        <f>G68+'30'!H99</f>
        <v>0</v>
      </c>
      <c r="I68" s="131"/>
      <c r="J68" s="203">
        <f>H68/DAY(B2)</f>
        <v>0</v>
      </c>
      <c r="K68" s="71"/>
      <c r="L68" s="68"/>
      <c r="N68" s="91"/>
      <c r="O68" s="73"/>
    </row>
    <row r="69" spans="1:15" ht="27.75">
      <c r="A69" s="1176" t="s">
        <v>212</v>
      </c>
      <c r="B69" s="1177"/>
      <c r="C69" s="1177"/>
      <c r="D69" s="174" t="s">
        <v>143</v>
      </c>
      <c r="E69" s="106">
        <f>'30'!F100</f>
        <v>8635</v>
      </c>
      <c r="F69" s="135">
        <v>8645</v>
      </c>
      <c r="G69" s="124">
        <f t="shared" si="6"/>
        <v>10</v>
      </c>
      <c r="H69" s="111">
        <f>G69+'30'!H100</f>
        <v>0</v>
      </c>
      <c r="I69" s="131"/>
      <c r="J69" s="203">
        <f>H69/DAY(B2)</f>
        <v>0</v>
      </c>
      <c r="K69" s="71"/>
      <c r="L69" s="68"/>
      <c r="N69" s="91"/>
      <c r="O69" s="73"/>
    </row>
    <row r="70" spans="1:15" ht="27.75">
      <c r="A70" s="1176" t="s">
        <v>213</v>
      </c>
      <c r="B70" s="1177"/>
      <c r="C70" s="1177"/>
      <c r="D70" s="174" t="s">
        <v>143</v>
      </c>
      <c r="E70" s="106">
        <f>'30'!F101</f>
        <v>6367</v>
      </c>
      <c r="F70" s="135">
        <v>6373</v>
      </c>
      <c r="G70" s="124">
        <f t="shared" si="6"/>
        <v>6</v>
      </c>
      <c r="H70" s="111">
        <f>G70+'30'!H101</f>
        <v>0</v>
      </c>
      <c r="I70" s="131"/>
      <c r="J70" s="203">
        <f>H70/DAY(B2)</f>
        <v>0</v>
      </c>
      <c r="K70" s="71"/>
      <c r="L70" s="68"/>
      <c r="N70" s="91"/>
      <c r="O70" s="73"/>
    </row>
    <row r="71" spans="1:15" ht="29.25">
      <c r="A71" s="1277" t="s">
        <v>215</v>
      </c>
      <c r="B71" s="1278"/>
      <c r="C71" s="1279"/>
      <c r="D71" s="175"/>
      <c r="E71" s="175"/>
      <c r="F71" s="175"/>
      <c r="G71" s="176">
        <f>SUM(G65:G70)</f>
        <v>132</v>
      </c>
      <c r="H71" s="111">
        <f>G71+'30'!H102</f>
        <v>0</v>
      </c>
      <c r="I71" s="177"/>
      <c r="J71" s="203">
        <f>H71/DAY(B2)</f>
        <v>0</v>
      </c>
      <c r="K71" s="71"/>
      <c r="L71" s="68"/>
      <c r="N71" s="91"/>
      <c r="O71" s="73"/>
    </row>
    <row r="72" spans="1:15" s="93" customFormat="1" ht="27.75">
      <c r="A72" s="1235"/>
      <c r="B72" s="1236"/>
      <c r="C72" s="1175"/>
      <c r="D72" s="211"/>
      <c r="E72" s="211" t="s">
        <v>214</v>
      </c>
      <c r="F72" s="211"/>
      <c r="G72" s="211"/>
      <c r="H72" s="212"/>
      <c r="I72" s="211"/>
      <c r="J72" s="213"/>
      <c r="N72" s="91"/>
      <c r="O72" s="73"/>
    </row>
    <row r="73" spans="1:15" ht="29.25">
      <c r="A73" s="1441" t="s">
        <v>398</v>
      </c>
      <c r="B73" s="1442"/>
      <c r="C73" s="1443"/>
      <c r="D73" s="1196"/>
      <c r="E73" s="1196"/>
      <c r="F73" s="1196"/>
      <c r="G73" s="1199"/>
      <c r="H73" s="1199"/>
      <c r="I73" s="1199"/>
      <c r="J73" s="1200"/>
      <c r="K73" s="71"/>
      <c r="L73" s="68"/>
      <c r="N73" s="91"/>
      <c r="O73" s="73"/>
    </row>
    <row r="74" spans="1:15" ht="27.75">
      <c r="A74" s="1245" t="s">
        <v>230</v>
      </c>
      <c r="B74" s="1246"/>
      <c r="C74" s="1247"/>
      <c r="D74" s="174" t="s">
        <v>140</v>
      </c>
      <c r="E74" s="106">
        <f>'30'!F124</f>
        <v>856090</v>
      </c>
      <c r="F74" s="129">
        <v>856352</v>
      </c>
      <c r="G74" s="124">
        <f t="shared" ref="G74:G78" si="7">F74-E74</f>
        <v>262</v>
      </c>
      <c r="H74" s="111">
        <f>G74+'30'!H124</f>
        <v>0</v>
      </c>
      <c r="I74" s="177"/>
      <c r="J74" s="203">
        <f>H74/DAY(B2)</f>
        <v>0</v>
      </c>
      <c r="K74" s="71"/>
      <c r="L74" s="68"/>
      <c r="N74" s="91"/>
      <c r="O74" s="73"/>
    </row>
    <row r="75" spans="1:15" ht="27.75">
      <c r="A75" s="1245" t="s">
        <v>231</v>
      </c>
      <c r="B75" s="1246"/>
      <c r="C75" s="1247"/>
      <c r="D75" s="174" t="s">
        <v>140</v>
      </c>
      <c r="E75" s="106">
        <f>'30'!F125</f>
        <v>73583.399999999994</v>
      </c>
      <c r="F75" s="277">
        <v>73583.399999999994</v>
      </c>
      <c r="G75" s="124">
        <f t="shared" si="7"/>
        <v>0</v>
      </c>
      <c r="H75" s="111">
        <f>G75+'30'!H125</f>
        <v>0</v>
      </c>
      <c r="I75" s="177"/>
      <c r="J75" s="203">
        <f>H75/DAY(B2)</f>
        <v>0</v>
      </c>
      <c r="K75" s="71"/>
      <c r="L75" s="68"/>
      <c r="N75" s="91"/>
      <c r="O75" s="73"/>
    </row>
    <row r="76" spans="1:15" ht="27.75">
      <c r="A76" s="1226" t="s">
        <v>232</v>
      </c>
      <c r="B76" s="1227"/>
      <c r="C76" s="1228"/>
      <c r="D76" s="174" t="s">
        <v>140</v>
      </c>
      <c r="E76" s="106">
        <f>'30'!F126</f>
        <v>154005</v>
      </c>
      <c r="F76" s="129">
        <v>154077</v>
      </c>
      <c r="G76" s="124">
        <f t="shared" si="7"/>
        <v>72</v>
      </c>
      <c r="H76" s="111">
        <f>G76+'30'!H126</f>
        <v>0</v>
      </c>
      <c r="I76" s="177"/>
      <c r="J76" s="203">
        <f>H76/DAY(B2)</f>
        <v>0</v>
      </c>
      <c r="K76" s="71"/>
      <c r="L76" s="68"/>
      <c r="N76" s="91"/>
      <c r="O76" s="73"/>
    </row>
    <row r="77" spans="1:15" ht="27.75">
      <c r="A77" s="1226" t="s">
        <v>233</v>
      </c>
      <c r="B77" s="1227"/>
      <c r="C77" s="1228"/>
      <c r="D77" s="174" t="s">
        <v>140</v>
      </c>
      <c r="E77" s="106">
        <f>'30'!F127</f>
        <v>34596</v>
      </c>
      <c r="F77" s="277">
        <v>34629</v>
      </c>
      <c r="G77" s="124">
        <f t="shared" si="7"/>
        <v>33</v>
      </c>
      <c r="H77" s="111">
        <f>G77+'30'!H127</f>
        <v>0</v>
      </c>
      <c r="I77" s="177"/>
      <c r="J77" s="203">
        <f>H77/DAY(B2)</f>
        <v>0</v>
      </c>
      <c r="K77" s="71"/>
      <c r="L77" s="68"/>
      <c r="N77" s="91"/>
      <c r="O77" s="73"/>
    </row>
    <row r="78" spans="1:15" ht="27.75">
      <c r="A78" s="1226" t="s">
        <v>234</v>
      </c>
      <c r="B78" s="1227"/>
      <c r="C78" s="1228"/>
      <c r="D78" s="174" t="s">
        <v>140</v>
      </c>
      <c r="E78" s="106">
        <f>'30'!F128</f>
        <v>9179</v>
      </c>
      <c r="F78" s="277">
        <v>9180</v>
      </c>
      <c r="G78" s="124">
        <f t="shared" si="7"/>
        <v>1</v>
      </c>
      <c r="H78" s="111">
        <f>G78+'30'!H128</f>
        <v>0</v>
      </c>
      <c r="I78" s="131"/>
      <c r="J78" s="203">
        <f>H78/DAY(B2)</f>
        <v>0</v>
      </c>
      <c r="K78" s="71"/>
      <c r="L78" s="68"/>
      <c r="N78" s="91"/>
      <c r="O78" s="73"/>
    </row>
    <row r="79" spans="1:15" s="57" customFormat="1" ht="27.75">
      <c r="A79" s="1226" t="s">
        <v>235</v>
      </c>
      <c r="B79" s="1227"/>
      <c r="C79" s="1228"/>
      <c r="D79" s="174"/>
      <c r="E79" s="129"/>
      <c r="F79" s="129"/>
      <c r="G79" s="124">
        <f>G15-SUM(G74:G78)</f>
        <v>381</v>
      </c>
      <c r="H79" s="111">
        <f>G79+'30'!H129</f>
        <v>381</v>
      </c>
      <c r="I79" s="131"/>
      <c r="J79" s="203"/>
      <c r="K79" s="60"/>
      <c r="L79" s="58"/>
      <c r="N79" s="91"/>
      <c r="O79" s="73"/>
    </row>
    <row r="80" spans="1:15" s="57" customFormat="1" ht="29.25">
      <c r="A80" s="1277" t="s">
        <v>394</v>
      </c>
      <c r="B80" s="1278"/>
      <c r="C80" s="1279"/>
      <c r="D80" s="174"/>
      <c r="E80" s="129"/>
      <c r="F80" s="129"/>
      <c r="G80" s="124">
        <f>SUM(G74:G79)</f>
        <v>749</v>
      </c>
      <c r="H80" s="111"/>
      <c r="I80" s="131"/>
      <c r="J80" s="203"/>
      <c r="K80" s="60"/>
      <c r="L80" s="58"/>
      <c r="N80" s="91"/>
      <c r="O80" s="73"/>
    </row>
    <row r="81" spans="1:15" ht="29.25" customHeight="1">
      <c r="A81" s="1419" t="s">
        <v>236</v>
      </c>
      <c r="B81" s="1420"/>
      <c r="C81" s="1421"/>
      <c r="D81" s="122"/>
      <c r="E81" s="122"/>
      <c r="F81" s="122"/>
      <c r="G81" s="191"/>
      <c r="H81" s="191"/>
      <c r="I81" s="191"/>
      <c r="J81" s="215"/>
      <c r="O81" s="73"/>
    </row>
    <row r="82" spans="1:15" ht="27.75">
      <c r="A82" s="1176" t="s">
        <v>237</v>
      </c>
      <c r="B82" s="1177"/>
      <c r="C82" s="1177"/>
      <c r="D82" s="174" t="s">
        <v>238</v>
      </c>
      <c r="E82" s="106">
        <f>'30'!F131</f>
        <v>0</v>
      </c>
      <c r="F82" s="135"/>
      <c r="G82" s="124">
        <f t="shared" ref="G82:G92" si="8">F82-E82</f>
        <v>0</v>
      </c>
      <c r="H82" s="111">
        <f>G82+'30'!H131</f>
        <v>0</v>
      </c>
      <c r="I82" s="131"/>
      <c r="J82" s="203">
        <f>H82/DAY(B2)</f>
        <v>0</v>
      </c>
      <c r="O82" s="73"/>
    </row>
    <row r="83" spans="1:15" ht="27.75">
      <c r="A83" s="1176" t="s">
        <v>239</v>
      </c>
      <c r="B83" s="1177"/>
      <c r="C83" s="1177"/>
      <c r="D83" s="174" t="s">
        <v>238</v>
      </c>
      <c r="E83" s="106">
        <f>'30'!F132</f>
        <v>0</v>
      </c>
      <c r="F83" s="135"/>
      <c r="G83" s="124">
        <f t="shared" si="8"/>
        <v>0</v>
      </c>
      <c r="H83" s="111">
        <f>G83+'30'!H132</f>
        <v>0</v>
      </c>
      <c r="I83" s="131"/>
      <c r="J83" s="203">
        <f>H83/DAY(B2)</f>
        <v>0</v>
      </c>
      <c r="O83" s="73"/>
    </row>
    <row r="84" spans="1:15" ht="27.75">
      <c r="A84" s="1176" t="s">
        <v>240</v>
      </c>
      <c r="B84" s="1177"/>
      <c r="C84" s="1177"/>
      <c r="D84" s="174" t="s">
        <v>238</v>
      </c>
      <c r="E84" s="106">
        <f>'30'!F133</f>
        <v>40922</v>
      </c>
      <c r="F84" s="192">
        <v>40922</v>
      </c>
      <c r="G84" s="124">
        <f t="shared" si="8"/>
        <v>0</v>
      </c>
      <c r="H84" s="111">
        <f>G84+'30'!H133</f>
        <v>0</v>
      </c>
      <c r="I84" s="131"/>
      <c r="J84" s="203">
        <f>H84/DAY(B2)</f>
        <v>0</v>
      </c>
      <c r="O84" s="73"/>
    </row>
    <row r="85" spans="1:15" ht="27.75">
      <c r="A85" s="1176" t="s">
        <v>241</v>
      </c>
      <c r="B85" s="1177"/>
      <c r="C85" s="1177"/>
      <c r="D85" s="174" t="s">
        <v>238</v>
      </c>
      <c r="E85" s="106">
        <f>'30'!F134</f>
        <v>832</v>
      </c>
      <c r="F85" s="192">
        <v>856</v>
      </c>
      <c r="G85" s="124">
        <f t="shared" si="8"/>
        <v>24</v>
      </c>
      <c r="H85" s="111">
        <f>G85+'30'!H134</f>
        <v>0</v>
      </c>
      <c r="I85" s="131">
        <f>G82+G83+G84+G85</f>
        <v>24</v>
      </c>
      <c r="J85" s="203">
        <f>H85/DAY(B2)</f>
        <v>0</v>
      </c>
      <c r="O85" s="73"/>
    </row>
    <row r="86" spans="1:15" ht="27.75">
      <c r="A86" s="1176" t="s">
        <v>242</v>
      </c>
      <c r="B86" s="1177"/>
      <c r="C86" s="1177"/>
      <c r="D86" s="174" t="s">
        <v>238</v>
      </c>
      <c r="E86" s="106">
        <f>'30'!F135</f>
        <v>42822</v>
      </c>
      <c r="F86" s="192">
        <v>42822</v>
      </c>
      <c r="G86" s="124">
        <f t="shared" si="8"/>
        <v>0</v>
      </c>
      <c r="H86" s="111">
        <f>G86+'30'!H135</f>
        <v>109</v>
      </c>
      <c r="I86" s="131"/>
      <c r="J86" s="203">
        <f>H86/DAY(B2)</f>
        <v>3.5161290322580645</v>
      </c>
      <c r="O86" s="73"/>
    </row>
    <row r="87" spans="1:15" ht="27.75">
      <c r="A87" s="1176" t="s">
        <v>243</v>
      </c>
      <c r="B87" s="1177"/>
      <c r="C87" s="1177"/>
      <c r="D87" s="174" t="s">
        <v>238</v>
      </c>
      <c r="E87" s="106">
        <f>'30'!F136</f>
        <v>32928</v>
      </c>
      <c r="F87" s="192">
        <v>32928</v>
      </c>
      <c r="G87" s="124">
        <f t="shared" si="8"/>
        <v>0</v>
      </c>
      <c r="H87" s="111">
        <f>G87+'30'!H136</f>
        <v>66.94999999999709</v>
      </c>
      <c r="I87" s="131"/>
      <c r="J87" s="203">
        <f>H87/DAY(B2)</f>
        <v>2.159677419354745</v>
      </c>
      <c r="O87" s="73"/>
    </row>
    <row r="88" spans="1:15" ht="27.75">
      <c r="A88" s="1176" t="s">
        <v>244</v>
      </c>
      <c r="B88" s="1177"/>
      <c r="C88" s="1177"/>
      <c r="D88" s="174" t="s">
        <v>238</v>
      </c>
      <c r="E88" s="106">
        <f>'30'!F137</f>
        <v>23349</v>
      </c>
      <c r="F88" s="192">
        <v>23356.43</v>
      </c>
      <c r="G88" s="124">
        <f t="shared" si="8"/>
        <v>7.430000000000291</v>
      </c>
      <c r="H88" s="111">
        <f>G88+'30'!H137</f>
        <v>0</v>
      </c>
      <c r="I88" s="131">
        <f>G86+G87+G88</f>
        <v>7.430000000000291</v>
      </c>
      <c r="J88" s="203">
        <f>H88/DAY(B2)</f>
        <v>0</v>
      </c>
      <c r="O88" s="73"/>
    </row>
    <row r="89" spans="1:15" ht="27.75">
      <c r="A89" s="1176" t="s">
        <v>245</v>
      </c>
      <c r="B89" s="1177"/>
      <c r="C89" s="1177"/>
      <c r="D89" s="174" t="s">
        <v>238</v>
      </c>
      <c r="E89" s="106">
        <f>'30'!F138</f>
        <v>25133</v>
      </c>
      <c r="F89" s="192">
        <v>25132.959999999999</v>
      </c>
      <c r="G89" s="124">
        <f t="shared" si="8"/>
        <v>-4.0000000000873115E-2</v>
      </c>
      <c r="H89" s="111">
        <f>G89+'30'!H138</f>
        <v>7.9799999999995634</v>
      </c>
      <c r="I89" s="131"/>
      <c r="J89" s="203">
        <f>H89/DAY(B2)</f>
        <v>0.2574193548386956</v>
      </c>
      <c r="O89" s="73"/>
    </row>
    <row r="90" spans="1:15" ht="27.75">
      <c r="A90" s="1176" t="s">
        <v>246</v>
      </c>
      <c r="B90" s="1177"/>
      <c r="C90" s="1177"/>
      <c r="D90" s="174" t="s">
        <v>238</v>
      </c>
      <c r="E90" s="106">
        <f>'30'!F139</f>
        <v>70524.55</v>
      </c>
      <c r="F90" s="192">
        <v>70524.55</v>
      </c>
      <c r="G90" s="124">
        <f t="shared" si="8"/>
        <v>0</v>
      </c>
      <c r="H90" s="111">
        <f>G90+'30'!H139</f>
        <v>15</v>
      </c>
      <c r="I90" s="131">
        <f>G89+G90</f>
        <v>-4.0000000000873115E-2</v>
      </c>
      <c r="J90" s="203">
        <f>H90/DAY(B2)</f>
        <v>0.4838709677419355</v>
      </c>
      <c r="O90" s="73"/>
    </row>
    <row r="91" spans="1:15" ht="27.75">
      <c r="A91" s="1176" t="s">
        <v>247</v>
      </c>
      <c r="B91" s="1177"/>
      <c r="C91" s="1177"/>
      <c r="D91" s="174" t="s">
        <v>238</v>
      </c>
      <c r="E91" s="106">
        <f>'30'!F140</f>
        <v>2617.86</v>
      </c>
      <c r="F91" s="135">
        <v>2627.98</v>
      </c>
      <c r="G91" s="124">
        <f t="shared" si="8"/>
        <v>10.119999999999891</v>
      </c>
      <c r="H91" s="111">
        <f>G91+'30'!H140</f>
        <v>0</v>
      </c>
      <c r="I91" s="193"/>
      <c r="J91" s="203">
        <f>H91/DAY(B2)</f>
        <v>0</v>
      </c>
      <c r="O91" s="73"/>
    </row>
    <row r="92" spans="1:15" ht="27.75">
      <c r="A92" s="1176" t="s">
        <v>248</v>
      </c>
      <c r="B92" s="1177"/>
      <c r="C92" s="1177"/>
      <c r="D92" s="174" t="s">
        <v>238</v>
      </c>
      <c r="E92" s="106">
        <f>'30'!F141</f>
        <v>4754</v>
      </c>
      <c r="F92" s="135">
        <v>4754</v>
      </c>
      <c r="G92" s="124">
        <f t="shared" si="8"/>
        <v>0</v>
      </c>
      <c r="H92" s="111">
        <f>G92+'30'!H141</f>
        <v>0</v>
      </c>
      <c r="I92" s="193"/>
      <c r="J92" s="203">
        <f>H92/DAY(B2)</f>
        <v>0</v>
      </c>
      <c r="O92" s="73"/>
    </row>
    <row r="93" spans="1:15" ht="29.25">
      <c r="A93" s="1248" t="s">
        <v>249</v>
      </c>
      <c r="B93" s="1415"/>
      <c r="C93" s="1249"/>
      <c r="D93" s="123"/>
      <c r="E93" s="123"/>
      <c r="F93" s="123"/>
      <c r="G93" s="134"/>
      <c r="H93" s="134"/>
      <c r="I93" s="134"/>
      <c r="J93" s="214"/>
      <c r="K93" s="71"/>
      <c r="L93" s="68"/>
      <c r="O93" s="73"/>
    </row>
    <row r="94" spans="1:15" ht="27.75">
      <c r="A94" s="1245" t="s">
        <v>250</v>
      </c>
      <c r="B94" s="1246"/>
      <c r="C94" s="1247"/>
      <c r="D94" s="174" t="s">
        <v>131</v>
      </c>
      <c r="E94" s="174"/>
      <c r="F94" s="174"/>
      <c r="G94" s="111">
        <f>G35+G43+G49+G57</f>
        <v>5646</v>
      </c>
      <c r="H94" s="111">
        <f>G94+'30'!H143</f>
        <v>405506.99999999994</v>
      </c>
      <c r="I94" s="131"/>
      <c r="J94" s="203">
        <f>H94/DAY(B2)</f>
        <v>13080.870967741934</v>
      </c>
      <c r="K94" s="71"/>
      <c r="L94" s="68"/>
      <c r="O94" s="73"/>
    </row>
    <row r="95" spans="1:15" ht="27.75">
      <c r="A95" s="1245" t="s">
        <v>251</v>
      </c>
      <c r="B95" s="1246"/>
      <c r="C95" s="1247"/>
      <c r="D95" s="174" t="s">
        <v>24</v>
      </c>
      <c r="E95" s="162"/>
      <c r="F95" s="162"/>
      <c r="G95" s="194">
        <f>G94/G7</f>
        <v>0.27417083474967224</v>
      </c>
      <c r="H95" s="111">
        <f>G95+'30'!H144</f>
        <v>8.8875238959732688</v>
      </c>
      <c r="I95" s="195"/>
      <c r="J95" s="203">
        <f>H95/DAY(B2)</f>
        <v>0.28669431922494415</v>
      </c>
      <c r="K95" s="71"/>
      <c r="L95" s="68"/>
      <c r="O95" s="73"/>
    </row>
    <row r="96" spans="1:15" ht="27.75">
      <c r="A96" s="1245" t="s">
        <v>252</v>
      </c>
      <c r="B96" s="1246"/>
      <c r="C96" s="1247"/>
      <c r="D96" s="174" t="s">
        <v>131</v>
      </c>
      <c r="E96" s="106"/>
      <c r="F96" s="106"/>
      <c r="G96" s="111">
        <f>G41+G42+G55+G56</f>
        <v>5195.9899999999907</v>
      </c>
      <c r="H96" s="111">
        <f>G96+'30'!H145</f>
        <v>0</v>
      </c>
      <c r="I96" s="131"/>
      <c r="J96" s="203">
        <f>H96/DAY(B2)</f>
        <v>0</v>
      </c>
      <c r="K96" s="71"/>
      <c r="L96" s="68"/>
      <c r="O96" s="73"/>
    </row>
    <row r="97" spans="1:15" ht="27.75">
      <c r="A97" s="1245" t="s">
        <v>253</v>
      </c>
      <c r="B97" s="1246"/>
      <c r="C97" s="1247"/>
      <c r="D97" s="174" t="s">
        <v>24</v>
      </c>
      <c r="E97" s="106"/>
      <c r="F97" s="106"/>
      <c r="G97" s="194">
        <f>G96/G7</f>
        <v>0.2523182634875924</v>
      </c>
      <c r="H97" s="111">
        <f>G97+'30'!H146</f>
        <v>8.4935106633707154</v>
      </c>
      <c r="I97" s="195"/>
      <c r="J97" s="203">
        <f>H97/DAY(B2)</f>
        <v>0.27398421494744241</v>
      </c>
      <c r="K97" s="71"/>
      <c r="L97" s="68"/>
      <c r="O97" s="73"/>
    </row>
    <row r="98" spans="1:15" ht="27.75">
      <c r="A98" s="1245" t="s">
        <v>254</v>
      </c>
      <c r="B98" s="1246"/>
      <c r="C98" s="1247"/>
      <c r="D98" s="174" t="s">
        <v>131</v>
      </c>
      <c r="E98" s="106"/>
      <c r="F98" s="106"/>
      <c r="G98" s="111">
        <f>G39+G53</f>
        <v>3886</v>
      </c>
      <c r="H98" s="111">
        <f>G98+'30'!H147</f>
        <v>1068305</v>
      </c>
      <c r="I98" s="196"/>
      <c r="J98" s="203">
        <f>H98/DAY(B2)</f>
        <v>34461.451612903227</v>
      </c>
      <c r="K98" s="71"/>
      <c r="L98" s="68"/>
      <c r="O98" s="73"/>
    </row>
    <row r="99" spans="1:15" ht="27.75">
      <c r="A99" s="1245" t="s">
        <v>255</v>
      </c>
      <c r="B99" s="1246"/>
      <c r="C99" s="1247"/>
      <c r="D99" s="174" t="s">
        <v>24</v>
      </c>
      <c r="E99" s="106"/>
      <c r="F99" s="106"/>
      <c r="G99" s="194">
        <f>G98/G7</f>
        <v>0.18870489972320692</v>
      </c>
      <c r="H99" s="111">
        <f>G99+'30'!H148</f>
        <v>8.0508163400475361</v>
      </c>
      <c r="I99" s="196"/>
      <c r="J99" s="203">
        <f>H99/DAY(B2)</f>
        <v>0.25970375290475922</v>
      </c>
      <c r="O99" s="73"/>
    </row>
    <row r="100" spans="1:15" ht="27.75">
      <c r="A100" s="1245" t="s">
        <v>256</v>
      </c>
      <c r="B100" s="1246"/>
      <c r="C100" s="1247"/>
      <c r="D100" s="174" t="s">
        <v>182</v>
      </c>
      <c r="E100" s="106"/>
      <c r="F100" s="106"/>
      <c r="G100" s="111">
        <f>G38+G52</f>
        <v>1668</v>
      </c>
      <c r="H100" s="111">
        <f>G100+'30'!H149</f>
        <v>835301</v>
      </c>
      <c r="I100" s="131"/>
      <c r="J100" s="203">
        <f>H100/DAY(B2)</f>
        <v>26945.193548387098</v>
      </c>
      <c r="K100" s="72"/>
      <c r="O100" s="73"/>
    </row>
    <row r="101" spans="1:15" ht="27.75">
      <c r="A101" s="1245" t="s">
        <v>257</v>
      </c>
      <c r="B101" s="1246"/>
      <c r="C101" s="1247"/>
      <c r="D101" s="174" t="s">
        <v>24</v>
      </c>
      <c r="E101" s="106"/>
      <c r="F101" s="106"/>
      <c r="G101" s="194">
        <f>G100/G7</f>
        <v>8.0998397513718248E-2</v>
      </c>
      <c r="H101" s="111">
        <f>G101+'30'!H150</f>
        <v>4.6164132658765205</v>
      </c>
      <c r="I101" s="196"/>
      <c r="J101" s="203">
        <f>H101/DAY(B2)</f>
        <v>0.14891655696375872</v>
      </c>
      <c r="O101" s="73"/>
    </row>
    <row r="102" spans="1:15" ht="27.75">
      <c r="A102" s="1245" t="s">
        <v>258</v>
      </c>
      <c r="B102" s="1246"/>
      <c r="C102" s="1247"/>
      <c r="D102" s="174" t="s">
        <v>182</v>
      </c>
      <c r="E102" s="106"/>
      <c r="F102" s="106"/>
      <c r="G102" s="111">
        <f>G36+G50</f>
        <v>1644</v>
      </c>
      <c r="H102" s="111">
        <f>G102+'30'!H151</f>
        <v>67875</v>
      </c>
      <c r="I102" s="196"/>
      <c r="J102" s="203">
        <f>H102/DAY(B2)</f>
        <v>2189.516129032258</v>
      </c>
      <c r="O102" s="73"/>
    </row>
    <row r="103" spans="1:15" ht="27.75">
      <c r="A103" s="1245" t="s">
        <v>259</v>
      </c>
      <c r="B103" s="1246"/>
      <c r="C103" s="1247"/>
      <c r="D103" s="174" t="s">
        <v>24</v>
      </c>
      <c r="E103" s="106"/>
      <c r="F103" s="106"/>
      <c r="G103" s="194">
        <f>G102/G7</f>
        <v>7.9832952945175548E-2</v>
      </c>
      <c r="H103" s="111">
        <f>G103+'30'!H152</f>
        <v>2.658201757575684</v>
      </c>
      <c r="I103" s="131"/>
      <c r="J103" s="203">
        <f>H103/DAY(B2)</f>
        <v>8.5748443792764001E-2</v>
      </c>
      <c r="O103" s="73"/>
    </row>
    <row r="104" spans="1:15" ht="27.75">
      <c r="A104" s="1245" t="s">
        <v>260</v>
      </c>
      <c r="B104" s="1246"/>
      <c r="C104" s="1247"/>
      <c r="D104" s="174" t="s">
        <v>182</v>
      </c>
      <c r="E104" s="106"/>
      <c r="F104" s="106"/>
      <c r="G104" s="111">
        <f>G37+G51</f>
        <v>1163</v>
      </c>
      <c r="H104" s="111">
        <f>G104+'30'!H153</f>
        <v>414916.00000000006</v>
      </c>
      <c r="I104" s="131"/>
      <c r="J104" s="203">
        <f>H104/DAY(B2)</f>
        <v>13384.387096774195</v>
      </c>
      <c r="O104" s="73"/>
    </row>
    <row r="105" spans="1:15" ht="28.5" thickBot="1">
      <c r="A105" s="1283" t="s">
        <v>261</v>
      </c>
      <c r="B105" s="1284"/>
      <c r="C105" s="1285"/>
      <c r="D105" s="276" t="s">
        <v>24</v>
      </c>
      <c r="E105" s="216"/>
      <c r="F105" s="216"/>
      <c r="G105" s="217">
        <f>G104/G7</f>
        <v>5.6475501383965426E-2</v>
      </c>
      <c r="H105" s="111">
        <f>G105+'30'!H154</f>
        <v>3.2179988004378783</v>
      </c>
      <c r="I105" s="219"/>
      <c r="J105" s="220">
        <f>H105/DAY(B2)</f>
        <v>0.10380641291735092</v>
      </c>
      <c r="O105" s="73"/>
    </row>
    <row r="106" spans="1:15" ht="29.25">
      <c r="A106" s="117"/>
      <c r="B106" s="107"/>
      <c r="C106" s="107"/>
      <c r="D106" s="197"/>
      <c r="E106" s="197"/>
      <c r="F106" s="197"/>
      <c r="G106" s="197"/>
      <c r="H106" s="198"/>
      <c r="I106" s="197"/>
      <c r="J106" s="199"/>
      <c r="O106" s="73"/>
    </row>
    <row r="107" spans="1:15" ht="29.25"/>
    <row r="108" spans="1:15" ht="29.25" customHeight="1">
      <c r="A108" s="1433" t="s">
        <v>389</v>
      </c>
      <c r="B108" s="1433"/>
      <c r="C108" s="1433"/>
      <c r="D108" s="1433"/>
      <c r="E108" s="1433"/>
      <c r="F108" s="1433"/>
      <c r="G108" s="1433"/>
      <c r="H108" s="1433"/>
      <c r="I108" s="1433"/>
      <c r="J108" s="1433"/>
    </row>
    <row r="109" spans="1:15" ht="29.25">
      <c r="A109" s="1434"/>
      <c r="B109" s="1434"/>
    </row>
    <row r="110" spans="1:15" ht="29.25" customHeight="1">
      <c r="A110" s="1416" t="s">
        <v>167</v>
      </c>
      <c r="B110" s="1417"/>
      <c r="C110" s="1417"/>
      <c r="D110" s="1417"/>
      <c r="E110" s="1417"/>
      <c r="F110" s="1417"/>
      <c r="G110" s="1417"/>
      <c r="H110" s="1417"/>
      <c r="I110" s="1417"/>
      <c r="J110" s="1418"/>
    </row>
    <row r="111" spans="1:15" ht="29.25" customHeight="1">
      <c r="A111" s="1412"/>
      <c r="B111" s="1413"/>
      <c r="C111" s="1414"/>
      <c r="D111" s="193"/>
      <c r="E111" s="193"/>
      <c r="F111" s="193"/>
      <c r="G111" s="193"/>
      <c r="H111" s="184"/>
      <c r="I111" s="193"/>
      <c r="J111" s="1184"/>
    </row>
    <row r="112" spans="1:15" ht="29.25" customHeight="1">
      <c r="A112" s="1273" t="s">
        <v>262</v>
      </c>
      <c r="B112" s="1291"/>
      <c r="C112" s="1236"/>
      <c r="D112" s="162" t="s">
        <v>186</v>
      </c>
      <c r="E112" s="309">
        <v>0</v>
      </c>
      <c r="F112" s="309">
        <v>38434</v>
      </c>
      <c r="G112" s="124">
        <f t="shared" ref="G112:G123" si="9">F112-E112</f>
        <v>38434</v>
      </c>
      <c r="H112" s="111">
        <f>G112+'30'!H161</f>
        <v>38434</v>
      </c>
      <c r="I112" s="193"/>
      <c r="J112" s="1185" t="e">
        <f t="shared" ref="J112:J123" si="10">H112/DAY(B31)</f>
        <v>#DIV/0!</v>
      </c>
    </row>
    <row r="113" spans="1:18" ht="29.25" customHeight="1">
      <c r="A113" s="1273" t="s">
        <v>263</v>
      </c>
      <c r="B113" s="1291"/>
      <c r="C113" s="1236"/>
      <c r="D113" s="162" t="s">
        <v>186</v>
      </c>
      <c r="E113" s="309">
        <v>0</v>
      </c>
      <c r="F113" s="309">
        <v>94790</v>
      </c>
      <c r="G113" s="124">
        <f t="shared" si="9"/>
        <v>94790</v>
      </c>
      <c r="H113" s="111">
        <f>G113+'30'!H162</f>
        <v>94790</v>
      </c>
      <c r="I113" s="193"/>
      <c r="J113" s="1185" t="e">
        <f t="shared" si="10"/>
        <v>#DIV/0!</v>
      </c>
    </row>
    <row r="114" spans="1:18" ht="29.25" customHeight="1">
      <c r="A114" s="1273" t="s">
        <v>264</v>
      </c>
      <c r="B114" s="1291"/>
      <c r="C114" s="1236"/>
      <c r="D114" s="162" t="s">
        <v>186</v>
      </c>
      <c r="E114" s="309">
        <v>0</v>
      </c>
      <c r="F114" s="309">
        <v>44933</v>
      </c>
      <c r="G114" s="124">
        <f t="shared" si="9"/>
        <v>44933</v>
      </c>
      <c r="H114" s="111">
        <f>G114+'30'!H163</f>
        <v>44933</v>
      </c>
      <c r="I114" s="193"/>
      <c r="J114" s="1185" t="e">
        <f t="shared" si="10"/>
        <v>#DIV/0!</v>
      </c>
    </row>
    <row r="115" spans="1:18" ht="29.25" customHeight="1">
      <c r="A115" s="1273" t="s">
        <v>265</v>
      </c>
      <c r="B115" s="1291"/>
      <c r="C115" s="1236"/>
      <c r="D115" s="162" t="s">
        <v>186</v>
      </c>
      <c r="E115" s="309">
        <v>0</v>
      </c>
      <c r="F115" s="309">
        <v>6560</v>
      </c>
      <c r="G115" s="124">
        <f t="shared" si="9"/>
        <v>6560</v>
      </c>
      <c r="H115" s="111">
        <f>G115+'30'!H164</f>
        <v>6560</v>
      </c>
      <c r="I115" s="193"/>
      <c r="J115" s="1185" t="e">
        <f t="shared" si="10"/>
        <v>#DIV/0!</v>
      </c>
    </row>
    <row r="116" spans="1:18" ht="29.25" customHeight="1">
      <c r="A116" s="1427" t="s">
        <v>97</v>
      </c>
      <c r="B116" s="1428"/>
      <c r="C116" s="1429"/>
      <c r="D116" s="162" t="s">
        <v>186</v>
      </c>
      <c r="E116" s="309">
        <v>0</v>
      </c>
      <c r="F116" s="309">
        <v>44933</v>
      </c>
      <c r="G116" s="124">
        <f t="shared" si="9"/>
        <v>44933</v>
      </c>
      <c r="H116" s="111">
        <f>G116+'30'!H165</f>
        <v>44933</v>
      </c>
      <c r="I116" s="193"/>
      <c r="J116" s="1185" t="e">
        <f t="shared" si="10"/>
        <v>#DIV/0!</v>
      </c>
      <c r="Q116" s="1273" t="s">
        <v>337</v>
      </c>
      <c r="R116" s="1236"/>
    </row>
    <row r="117" spans="1:18" ht="29.25" customHeight="1">
      <c r="A117" s="1427" t="s">
        <v>187</v>
      </c>
      <c r="B117" s="1428"/>
      <c r="C117" s="1429"/>
      <c r="D117" s="162" t="s">
        <v>186</v>
      </c>
      <c r="E117" s="309">
        <v>0</v>
      </c>
      <c r="F117" s="309">
        <v>44933</v>
      </c>
      <c r="G117" s="124">
        <f t="shared" si="9"/>
        <v>44933</v>
      </c>
      <c r="H117" s="111">
        <f>G117+'30'!H166</f>
        <v>44933</v>
      </c>
      <c r="I117" s="193"/>
      <c r="J117" s="1185" t="e">
        <f t="shared" si="10"/>
        <v>#DIV/0!</v>
      </c>
      <c r="Q117" s="1273" t="s">
        <v>338</v>
      </c>
      <c r="R117" s="1236"/>
    </row>
    <row r="118" spans="1:18" ht="27.75">
      <c r="A118" s="1232" t="s">
        <v>98</v>
      </c>
      <c r="B118" s="1232"/>
      <c r="C118" s="1232"/>
      <c r="D118" s="174" t="s">
        <v>186</v>
      </c>
      <c r="E118" s="309">
        <v>0</v>
      </c>
      <c r="F118" s="309">
        <v>44933</v>
      </c>
      <c r="G118" s="124">
        <f t="shared" si="9"/>
        <v>44933</v>
      </c>
      <c r="H118" s="111">
        <f>G118+'30'!H167</f>
        <v>44933</v>
      </c>
      <c r="I118" s="193"/>
      <c r="J118" s="1185" t="e">
        <f t="shared" si="10"/>
        <v>#DIV/0!</v>
      </c>
      <c r="Q118" s="1273" t="s">
        <v>337</v>
      </c>
      <c r="R118" s="1236"/>
    </row>
    <row r="119" spans="1:18" ht="27.75">
      <c r="A119" s="1232" t="s">
        <v>99</v>
      </c>
      <c r="B119" s="1232"/>
      <c r="C119" s="1232"/>
      <c r="D119" s="174" t="s">
        <v>186</v>
      </c>
      <c r="E119" s="309">
        <v>0</v>
      </c>
      <c r="F119" s="309">
        <v>44933</v>
      </c>
      <c r="G119" s="124">
        <f t="shared" si="9"/>
        <v>44933</v>
      </c>
      <c r="H119" s="111">
        <f>G119+'30'!H168</f>
        <v>44933</v>
      </c>
      <c r="I119" s="193"/>
      <c r="J119" s="1185" t="e">
        <f t="shared" si="10"/>
        <v>#DIV/0!</v>
      </c>
    </row>
    <row r="120" spans="1:18" ht="27.75">
      <c r="A120" s="1232" t="s">
        <v>100</v>
      </c>
      <c r="B120" s="1232"/>
      <c r="C120" s="1232"/>
      <c r="D120" s="174" t="s">
        <v>186</v>
      </c>
      <c r="E120" s="309">
        <v>0</v>
      </c>
      <c r="F120" s="309">
        <v>44933</v>
      </c>
      <c r="G120" s="124">
        <f t="shared" si="9"/>
        <v>44933</v>
      </c>
      <c r="H120" s="111">
        <f>G120+'30'!H169</f>
        <v>44933</v>
      </c>
      <c r="I120" s="193"/>
      <c r="J120" s="1185" t="e">
        <f t="shared" si="10"/>
        <v>#DIV/0!</v>
      </c>
    </row>
    <row r="121" spans="1:18" ht="27.75">
      <c r="A121" s="1232" t="s">
        <v>101</v>
      </c>
      <c r="B121" s="1232"/>
      <c r="C121" s="1232"/>
      <c r="D121" s="174" t="s">
        <v>186</v>
      </c>
      <c r="E121" s="309">
        <v>0</v>
      </c>
      <c r="F121" s="309">
        <v>44933</v>
      </c>
      <c r="G121" s="124">
        <f t="shared" si="9"/>
        <v>44933</v>
      </c>
      <c r="H121" s="111">
        <f>G121+'30'!H170</f>
        <v>44933</v>
      </c>
      <c r="I121" s="193"/>
      <c r="J121" s="1185" t="e">
        <f t="shared" si="10"/>
        <v>#DIV/0!</v>
      </c>
    </row>
    <row r="122" spans="1:18" ht="27.75">
      <c r="A122" s="1232" t="s">
        <v>102</v>
      </c>
      <c r="B122" s="1232"/>
      <c r="C122" s="1232"/>
      <c r="D122" s="174" t="s">
        <v>186</v>
      </c>
      <c r="E122" s="309">
        <v>0</v>
      </c>
      <c r="F122" s="309">
        <v>44933</v>
      </c>
      <c r="G122" s="124">
        <f t="shared" si="9"/>
        <v>44933</v>
      </c>
      <c r="H122" s="111">
        <f>G122+'30'!H171</f>
        <v>44933</v>
      </c>
      <c r="I122" s="193"/>
      <c r="J122" s="1185" t="e">
        <f t="shared" si="10"/>
        <v>#DIV/0!</v>
      </c>
    </row>
    <row r="123" spans="1:18" ht="27.75">
      <c r="A123" s="1232" t="s">
        <v>103</v>
      </c>
      <c r="B123" s="1232"/>
      <c r="C123" s="1232"/>
      <c r="D123" s="174" t="s">
        <v>186</v>
      </c>
      <c r="E123" s="309">
        <v>0</v>
      </c>
      <c r="F123" s="309">
        <v>44933</v>
      </c>
      <c r="G123" s="124">
        <f t="shared" si="9"/>
        <v>44933</v>
      </c>
      <c r="H123" s="111">
        <f>G123+'30'!H172</f>
        <v>44933</v>
      </c>
      <c r="I123" s="193"/>
      <c r="J123" s="1185" t="e">
        <f t="shared" si="10"/>
        <v>#DIV/0!</v>
      </c>
    </row>
    <row r="124" spans="1:18" ht="29.25" customHeight="1">
      <c r="A124" s="1412"/>
      <c r="B124" s="1413"/>
      <c r="C124" s="1414"/>
      <c r="D124" s="193"/>
      <c r="E124" s="193"/>
      <c r="F124" s="193"/>
      <c r="G124" s="1184"/>
      <c r="H124" s="184"/>
      <c r="I124" s="193"/>
      <c r="J124" s="1184"/>
    </row>
    <row r="125" spans="1:18" ht="27.75">
      <c r="A125" s="1377"/>
      <c r="B125" s="1377"/>
      <c r="C125" s="435"/>
      <c r="D125" s="1106"/>
      <c r="E125" s="1107"/>
      <c r="F125" s="1107"/>
      <c r="G125" s="1108"/>
      <c r="H125" s="184"/>
      <c r="I125" s="193"/>
      <c r="J125" s="1184"/>
    </row>
    <row r="126" spans="1:18" ht="27.75">
      <c r="A126" s="1431" t="s">
        <v>382</v>
      </c>
      <c r="B126" s="1431"/>
      <c r="C126" s="1431"/>
      <c r="D126" s="1431"/>
      <c r="E126" s="1431"/>
      <c r="F126" s="1431"/>
      <c r="G126" s="1431"/>
      <c r="H126" s="1431"/>
      <c r="I126" s="1431"/>
      <c r="J126" s="1431"/>
    </row>
    <row r="127" spans="1:18" ht="27.75">
      <c r="A127" s="1377"/>
      <c r="B127" s="1377"/>
      <c r="C127" s="435"/>
      <c r="D127" s="1106"/>
      <c r="E127" s="1107"/>
      <c r="F127" s="1107"/>
      <c r="G127" s="1108"/>
      <c r="H127" s="111">
        <f>G127+'30'!H176</f>
        <v>0</v>
      </c>
      <c r="I127" s="193"/>
      <c r="J127" s="1185" t="e">
        <f t="shared" ref="J127:J135" si="11">H127/DAY(B46)</f>
        <v>#DIV/0!</v>
      </c>
    </row>
    <row r="128" spans="1:18" ht="29.25" customHeight="1">
      <c r="A128" s="1273" t="s">
        <v>383</v>
      </c>
      <c r="B128" s="1291"/>
      <c r="C128" s="1236"/>
      <c r="D128" s="174" t="s">
        <v>186</v>
      </c>
      <c r="E128" s="106">
        <f>'30'!F177</f>
        <v>0</v>
      </c>
      <c r="F128" s="193"/>
      <c r="G128" s="124">
        <f t="shared" ref="G128:G133" si="12">F128-E128</f>
        <v>0</v>
      </c>
      <c r="H128" s="111">
        <f>G128+'30'!H177</f>
        <v>0</v>
      </c>
      <c r="I128" s="193"/>
      <c r="J128" s="1185" t="e">
        <f t="shared" si="11"/>
        <v>#DIV/0!</v>
      </c>
    </row>
    <row r="129" spans="1:15" ht="29.25" customHeight="1">
      <c r="A129" s="1186" t="s">
        <v>384</v>
      </c>
      <c r="B129" s="1187"/>
      <c r="C129" s="1188"/>
      <c r="D129" s="174" t="s">
        <v>186</v>
      </c>
      <c r="E129" s="106">
        <f>'30'!F178</f>
        <v>0</v>
      </c>
      <c r="F129" s="193"/>
      <c r="G129" s="124">
        <f t="shared" si="12"/>
        <v>0</v>
      </c>
      <c r="H129" s="111">
        <f>G129+'30'!H178</f>
        <v>0</v>
      </c>
      <c r="I129" s="193"/>
      <c r="J129" s="1185" t="e">
        <f t="shared" si="11"/>
        <v>#DIV/0!</v>
      </c>
      <c r="N129" s="369"/>
      <c r="O129" s="374"/>
    </row>
    <row r="130" spans="1:15" ht="29.25" customHeight="1">
      <c r="A130" s="1186" t="s">
        <v>385</v>
      </c>
      <c r="B130" s="1187"/>
      <c r="C130" s="1188"/>
      <c r="D130" s="174" t="s">
        <v>186</v>
      </c>
      <c r="E130" s="106">
        <f>'30'!F179</f>
        <v>0</v>
      </c>
      <c r="F130" s="193"/>
      <c r="G130" s="124">
        <f t="shared" si="12"/>
        <v>0</v>
      </c>
      <c r="H130" s="111">
        <f>G130+'30'!H179</f>
        <v>0</v>
      </c>
      <c r="I130" s="193"/>
      <c r="J130" s="1185" t="e">
        <f t="shared" si="11"/>
        <v>#DIV/0!</v>
      </c>
      <c r="N130" s="369"/>
      <c r="O130" s="374"/>
    </row>
    <row r="131" spans="1:15" ht="29.25" customHeight="1">
      <c r="A131" s="1273" t="s">
        <v>386</v>
      </c>
      <c r="B131" s="1291"/>
      <c r="C131" s="1236"/>
      <c r="D131" s="174" t="s">
        <v>186</v>
      </c>
      <c r="E131" s="106">
        <f>'30'!F180</f>
        <v>0</v>
      </c>
      <c r="F131" s="193"/>
      <c r="G131" s="124">
        <f t="shared" si="12"/>
        <v>0</v>
      </c>
      <c r="H131" s="111">
        <f>G131+'30'!H180</f>
        <v>0</v>
      </c>
      <c r="I131" s="193"/>
      <c r="J131" s="1185" t="e">
        <f t="shared" si="11"/>
        <v>#DIV/0!</v>
      </c>
      <c r="N131" s="369"/>
      <c r="O131" s="374"/>
    </row>
    <row r="132" spans="1:15" ht="29.25" customHeight="1">
      <c r="A132" s="1273" t="s">
        <v>387</v>
      </c>
      <c r="B132" s="1291"/>
      <c r="C132" s="1236"/>
      <c r="D132" s="174" t="s">
        <v>186</v>
      </c>
      <c r="E132" s="106">
        <f>'30'!F181</f>
        <v>0</v>
      </c>
      <c r="F132" s="193"/>
      <c r="G132" s="124">
        <f t="shared" si="12"/>
        <v>0</v>
      </c>
      <c r="H132" s="111">
        <f>G132+'30'!H181</f>
        <v>0</v>
      </c>
      <c r="I132" s="193"/>
      <c r="J132" s="1185" t="e">
        <f t="shared" si="11"/>
        <v>#DIV/0!</v>
      </c>
    </row>
    <row r="133" spans="1:15" ht="29.25" customHeight="1">
      <c r="A133" s="1273" t="s">
        <v>388</v>
      </c>
      <c r="B133" s="1291"/>
      <c r="C133" s="1236"/>
      <c r="D133" s="174" t="s">
        <v>186</v>
      </c>
      <c r="E133" s="106">
        <f>'30'!F182</f>
        <v>0</v>
      </c>
      <c r="F133" s="193"/>
      <c r="G133" s="124">
        <f t="shared" si="12"/>
        <v>0</v>
      </c>
      <c r="H133" s="111">
        <f>G133+'30'!H182</f>
        <v>0</v>
      </c>
      <c r="I133" s="193"/>
      <c r="J133" s="1185" t="e">
        <f t="shared" si="11"/>
        <v>#DIV/0!</v>
      </c>
    </row>
    <row r="134" spans="1:15" ht="29.25" customHeight="1">
      <c r="A134" s="1412"/>
      <c r="B134" s="1413"/>
      <c r="C134" s="1414"/>
      <c r="D134" s="174"/>
      <c r="E134" s="106"/>
      <c r="F134" s="193"/>
      <c r="G134" s="124"/>
      <c r="H134" s="111">
        <f>G134+'30'!H183</f>
        <v>0</v>
      </c>
      <c r="I134" s="193"/>
      <c r="J134" s="1185" t="e">
        <f t="shared" si="11"/>
        <v>#DIV/0!</v>
      </c>
    </row>
    <row r="135" spans="1:15" ht="29.25" customHeight="1">
      <c r="A135" s="1412"/>
      <c r="B135" s="1413"/>
      <c r="C135" s="1414"/>
      <c r="D135" s="174"/>
      <c r="E135" s="106"/>
      <c r="F135" s="193"/>
      <c r="G135" s="124"/>
      <c r="H135" s="111">
        <f>G135+'30'!H184</f>
        <v>0</v>
      </c>
      <c r="I135" s="193"/>
      <c r="J135" s="1185" t="e">
        <f t="shared" si="11"/>
        <v>#DIV/0!</v>
      </c>
    </row>
    <row r="136" spans="1:15" ht="35.25" customHeight="1">
      <c r="A136" s="1430" t="s">
        <v>390</v>
      </c>
      <c r="B136" s="1430"/>
      <c r="C136" s="1430"/>
      <c r="D136" s="1430"/>
      <c r="E136" s="1430"/>
      <c r="F136" s="1430"/>
      <c r="G136" s="1430"/>
      <c r="H136" s="1430"/>
      <c r="I136" s="1430"/>
      <c r="J136" s="1430"/>
    </row>
    <row r="137" spans="1:15" ht="29.25">
      <c r="A137" s="435"/>
      <c r="B137" s="436"/>
      <c r="C137" s="436"/>
      <c r="D137" s="193"/>
      <c r="E137" s="193"/>
      <c r="F137" s="193"/>
      <c r="G137" s="193"/>
      <c r="H137" s="184"/>
      <c r="I137" s="193"/>
      <c r="J137" s="1184"/>
    </row>
    <row r="138" spans="1:15" ht="27.75">
      <c r="A138" s="1232" t="s">
        <v>190</v>
      </c>
      <c r="B138" s="1232"/>
      <c r="C138" s="1232"/>
      <c r="D138" s="174" t="s">
        <v>186</v>
      </c>
      <c r="E138" s="106">
        <f>'30'!F187</f>
        <v>0</v>
      </c>
      <c r="F138" s="170">
        <v>857022</v>
      </c>
      <c r="G138" s="124">
        <f t="shared" ref="G138:G150" si="13">F138-E138</f>
        <v>857022</v>
      </c>
      <c r="H138" s="111">
        <f>G138+'30'!H187</f>
        <v>857022</v>
      </c>
      <c r="I138" s="131"/>
      <c r="J138" s="1185" t="e">
        <f>H138/DAY(B77)</f>
        <v>#DIV/0!</v>
      </c>
    </row>
    <row r="139" spans="1:15" ht="27.75">
      <c r="A139" s="1232" t="s">
        <v>191</v>
      </c>
      <c r="B139" s="1232"/>
      <c r="C139" s="1232"/>
      <c r="D139" s="174" t="s">
        <v>186</v>
      </c>
      <c r="E139" s="106">
        <f>'30'!F188</f>
        <v>0</v>
      </c>
      <c r="F139" s="171">
        <v>886051</v>
      </c>
      <c r="G139" s="124">
        <f t="shared" si="13"/>
        <v>886051</v>
      </c>
      <c r="H139" s="111">
        <f>G139+'30'!H188</f>
        <v>886051</v>
      </c>
      <c r="I139" s="131"/>
      <c r="J139" s="1185" t="e">
        <f>H139/DAY(B77)</f>
        <v>#DIV/0!</v>
      </c>
    </row>
    <row r="140" spans="1:15" ht="27.75">
      <c r="A140" s="1232" t="s">
        <v>192</v>
      </c>
      <c r="B140" s="1232"/>
      <c r="C140" s="1232"/>
      <c r="D140" s="174" t="s">
        <v>186</v>
      </c>
      <c r="E140" s="106">
        <f>'30'!F189</f>
        <v>0</v>
      </c>
      <c r="F140" s="172">
        <v>88776</v>
      </c>
      <c r="G140" s="124">
        <f t="shared" si="13"/>
        <v>88776</v>
      </c>
      <c r="H140" s="111">
        <f>G140+'30'!H189</f>
        <v>88776</v>
      </c>
      <c r="I140" s="131"/>
      <c r="J140" s="1185" t="e">
        <f>H140/DAY(B77)</f>
        <v>#DIV/0!</v>
      </c>
    </row>
    <row r="141" spans="1:15" ht="27.75">
      <c r="A141" s="1396" t="s">
        <v>193</v>
      </c>
      <c r="B141" s="1396"/>
      <c r="C141" s="1396"/>
      <c r="D141" s="174" t="s">
        <v>186</v>
      </c>
      <c r="E141" s="106">
        <f>'30'!F190</f>
        <v>0</v>
      </c>
      <c r="F141" s="172">
        <v>26308</v>
      </c>
      <c r="G141" s="124">
        <f t="shared" si="13"/>
        <v>26308</v>
      </c>
      <c r="H141" s="111">
        <f>G141+'30'!H190</f>
        <v>26308</v>
      </c>
      <c r="I141" s="131"/>
      <c r="J141" s="1185" t="e">
        <f>H141/DAY(B77)</f>
        <v>#DIV/0!</v>
      </c>
    </row>
    <row r="142" spans="1:15" ht="27.75">
      <c r="A142" s="1396" t="s">
        <v>194</v>
      </c>
      <c r="B142" s="1396"/>
      <c r="C142" s="1396"/>
      <c r="D142" s="174" t="s">
        <v>186</v>
      </c>
      <c r="E142" s="106">
        <f>'30'!F191</f>
        <v>0</v>
      </c>
      <c r="F142" s="171">
        <v>13277</v>
      </c>
      <c r="G142" s="124">
        <f t="shared" si="13"/>
        <v>13277</v>
      </c>
      <c r="H142" s="111">
        <f>G142+'30'!H191</f>
        <v>13277</v>
      </c>
      <c r="I142" s="156"/>
      <c r="J142" s="1185" t="e">
        <f>H142/DAY(B77)</f>
        <v>#DIV/0!</v>
      </c>
    </row>
    <row r="143" spans="1:15" ht="27.75">
      <c r="A143" s="1232" t="s">
        <v>195</v>
      </c>
      <c r="B143" s="1232"/>
      <c r="C143" s="1232"/>
      <c r="D143" s="174" t="s">
        <v>186</v>
      </c>
      <c r="E143" s="106">
        <f>'30'!F192</f>
        <v>0</v>
      </c>
      <c r="F143" s="172">
        <v>708289</v>
      </c>
      <c r="G143" s="124">
        <f t="shared" si="13"/>
        <v>708289</v>
      </c>
      <c r="H143" s="111">
        <f>G143+'30'!H192</f>
        <v>708289</v>
      </c>
      <c r="I143" s="156"/>
      <c r="J143" s="1185" t="e">
        <f>H143/DAY(B77)</f>
        <v>#DIV/0!</v>
      </c>
    </row>
    <row r="144" spans="1:15" ht="27.75">
      <c r="A144" s="1432" t="s">
        <v>196</v>
      </c>
      <c r="B144" s="1227"/>
      <c r="C144" s="1228"/>
      <c r="D144" s="174" t="s">
        <v>186</v>
      </c>
      <c r="E144" s="106">
        <f>'30'!F193</f>
        <v>0</v>
      </c>
      <c r="F144" s="172">
        <v>682413</v>
      </c>
      <c r="G144" s="124">
        <f t="shared" si="13"/>
        <v>682413</v>
      </c>
      <c r="H144" s="111">
        <f>G144+'30'!H193</f>
        <v>682413</v>
      </c>
      <c r="I144" s="156"/>
      <c r="J144" s="1185" t="e">
        <f>H144/DAY(B77)</f>
        <v>#DIV/0!</v>
      </c>
    </row>
    <row r="145" spans="1:10" ht="27.75">
      <c r="A145" s="1396" t="s">
        <v>91</v>
      </c>
      <c r="B145" s="1396"/>
      <c r="C145" s="1396"/>
      <c r="D145" s="175" t="s">
        <v>186</v>
      </c>
      <c r="E145" s="106">
        <f>'30'!F194</f>
        <v>0</v>
      </c>
      <c r="F145" s="172">
        <v>845049</v>
      </c>
      <c r="G145" s="124">
        <f t="shared" si="13"/>
        <v>845049</v>
      </c>
      <c r="H145" s="111">
        <f>G145+'30'!H194</f>
        <v>845049</v>
      </c>
      <c r="I145" s="156"/>
      <c r="J145" s="1185" t="e">
        <f>H145/DAY(B77)</f>
        <v>#DIV/0!</v>
      </c>
    </row>
    <row r="146" spans="1:10" ht="27.75">
      <c r="A146" s="1396" t="s">
        <v>197</v>
      </c>
      <c r="B146" s="1396"/>
      <c r="C146" s="1396"/>
      <c r="D146" s="175" t="s">
        <v>186</v>
      </c>
      <c r="E146" s="106">
        <f>'30'!F195</f>
        <v>0</v>
      </c>
      <c r="F146" s="171">
        <v>564298</v>
      </c>
      <c r="G146" s="124">
        <f t="shared" si="13"/>
        <v>564298</v>
      </c>
      <c r="H146" s="111">
        <f>G146+'30'!H195</f>
        <v>564298</v>
      </c>
      <c r="I146" s="156"/>
      <c r="J146" s="1185" t="e">
        <f>H146/DAY(B77)</f>
        <v>#DIV/0!</v>
      </c>
    </row>
    <row r="147" spans="1:10" ht="27.75">
      <c r="A147" s="1396" t="s">
        <v>198</v>
      </c>
      <c r="B147" s="1396"/>
      <c r="C147" s="1396"/>
      <c r="D147" s="175" t="s">
        <v>186</v>
      </c>
      <c r="E147" s="106">
        <f>'30'!F196</f>
        <v>0</v>
      </c>
      <c r="F147" s="171">
        <v>654178</v>
      </c>
      <c r="G147" s="124">
        <f t="shared" si="13"/>
        <v>654178</v>
      </c>
      <c r="H147" s="111">
        <f>G147+'30'!H196</f>
        <v>654178</v>
      </c>
      <c r="I147" s="156"/>
      <c r="J147" s="1185" t="e">
        <f>H147/DAY(B77)</f>
        <v>#DIV/0!</v>
      </c>
    </row>
    <row r="148" spans="1:10" ht="27.75">
      <c r="A148" s="1396" t="s">
        <v>92</v>
      </c>
      <c r="B148" s="1396"/>
      <c r="C148" s="1396"/>
      <c r="D148" s="136" t="s">
        <v>131</v>
      </c>
      <c r="E148" s="106">
        <f>'30'!F197</f>
        <v>0</v>
      </c>
      <c r="F148" s="173">
        <v>109925</v>
      </c>
      <c r="G148" s="124">
        <f t="shared" si="13"/>
        <v>109925</v>
      </c>
      <c r="H148" s="111">
        <f>G148+'30'!H197</f>
        <v>109925</v>
      </c>
      <c r="I148" s="137"/>
      <c r="J148" s="1185" t="e">
        <f>H148/DAY(B77)</f>
        <v>#DIV/0!</v>
      </c>
    </row>
    <row r="149" spans="1:10" ht="27.75">
      <c r="A149" s="1396" t="s">
        <v>199</v>
      </c>
      <c r="B149" s="1396"/>
      <c r="C149" s="1396"/>
      <c r="D149" s="271" t="s">
        <v>131</v>
      </c>
      <c r="E149" s="106">
        <f>'30'!F198</f>
        <v>0</v>
      </c>
      <c r="F149" s="162">
        <v>44323</v>
      </c>
      <c r="G149" s="124">
        <f t="shared" si="13"/>
        <v>44323</v>
      </c>
      <c r="H149" s="111">
        <f>G149+'30'!H198</f>
        <v>44323</v>
      </c>
      <c r="I149" s="132"/>
      <c r="J149" s="1185" t="e">
        <f>H149/DAY(B77)</f>
        <v>#DIV/0!</v>
      </c>
    </row>
    <row r="150" spans="1:10" ht="29.25">
      <c r="A150" s="1179" t="s">
        <v>200</v>
      </c>
      <c r="B150" s="222"/>
      <c r="C150" s="222"/>
      <c r="D150" s="129" t="s">
        <v>131</v>
      </c>
      <c r="E150" s="106">
        <f>'30'!F199</f>
        <v>0</v>
      </c>
      <c r="F150" s="278">
        <v>570379</v>
      </c>
      <c r="G150" s="124">
        <f t="shared" si="13"/>
        <v>570379</v>
      </c>
      <c r="H150" s="111">
        <f>G150+'30'!H199</f>
        <v>570379</v>
      </c>
      <c r="I150" s="132"/>
      <c r="J150" s="1185" t="e">
        <f>H150/DAY(B77)</f>
        <v>#DIV/0!</v>
      </c>
    </row>
    <row r="151" spans="1:10" ht="29.25"/>
    <row r="152" spans="1:10" ht="31.5">
      <c r="A152" s="1430" t="s">
        <v>391</v>
      </c>
      <c r="B152" s="1430"/>
      <c r="C152" s="1430"/>
      <c r="D152" s="1430"/>
      <c r="E152" s="1430"/>
      <c r="F152" s="1430"/>
      <c r="G152" s="1430"/>
      <c r="H152" s="1430"/>
      <c r="I152" s="1430"/>
      <c r="J152" s="1430"/>
    </row>
    <row r="153" spans="1:10" ht="29.25">
      <c r="A153" s="381" t="s">
        <v>93</v>
      </c>
      <c r="B153" s="382"/>
      <c r="C153" s="382"/>
      <c r="D153" s="383" t="s">
        <v>182</v>
      </c>
      <c r="E153" s="106">
        <f>'30'!F202</f>
        <v>0</v>
      </c>
      <c r="F153" s="298">
        <v>463315</v>
      </c>
      <c r="G153" s="356">
        <f t="shared" ref="G153:G157" si="14">F153-E153</f>
        <v>463315</v>
      </c>
      <c r="H153" s="111">
        <f>G153+'30'!H202</f>
        <v>463315</v>
      </c>
      <c r="I153" s="303"/>
      <c r="J153" s="358" t="e">
        <f>H153/DAY(B92)</f>
        <v>#DIV/0!</v>
      </c>
    </row>
    <row r="154" spans="1:10" ht="29.25">
      <c r="A154" s="381" t="s">
        <v>94</v>
      </c>
      <c r="B154" s="382"/>
      <c r="C154" s="382"/>
      <c r="D154" s="383" t="s">
        <v>182</v>
      </c>
      <c r="E154" s="106">
        <f>'30'!F203</f>
        <v>0</v>
      </c>
      <c r="F154" s="298">
        <v>83899</v>
      </c>
      <c r="G154" s="356">
        <f t="shared" si="14"/>
        <v>83899</v>
      </c>
      <c r="H154" s="111">
        <f>G154+'30'!H203</f>
        <v>83899</v>
      </c>
      <c r="I154" s="303"/>
      <c r="J154" s="358" t="e">
        <f>H154/DAY(B92)</f>
        <v>#DIV/0!</v>
      </c>
    </row>
    <row r="155" spans="1:10" ht="29.25">
      <c r="A155" s="381" t="s">
        <v>203</v>
      </c>
      <c r="B155" s="382"/>
      <c r="C155" s="382"/>
      <c r="D155" s="383" t="s">
        <v>182</v>
      </c>
      <c r="E155" s="106">
        <f>'30'!F205</f>
        <v>0</v>
      </c>
      <c r="F155" s="298">
        <v>69089</v>
      </c>
      <c r="G155" s="356">
        <f t="shared" si="14"/>
        <v>69089</v>
      </c>
      <c r="H155" s="111">
        <f>G155+'30'!H205</f>
        <v>69089</v>
      </c>
      <c r="I155" s="303"/>
      <c r="J155" s="358" t="e">
        <f>H155/DAY(B92)</f>
        <v>#DIV/0!</v>
      </c>
    </row>
    <row r="156" spans="1:10" ht="29.25">
      <c r="A156" s="381" t="s">
        <v>203</v>
      </c>
      <c r="B156" s="382"/>
      <c r="C156" s="382"/>
      <c r="D156" s="383" t="s">
        <v>182</v>
      </c>
      <c r="E156" s="106">
        <f>'30'!F206</f>
        <v>0</v>
      </c>
      <c r="F156" s="298">
        <v>3611</v>
      </c>
      <c r="G156" s="356">
        <f t="shared" si="14"/>
        <v>3611</v>
      </c>
      <c r="H156" s="111">
        <f>G156+'30'!H206</f>
        <v>3611</v>
      </c>
      <c r="I156" s="303"/>
      <c r="J156" s="358" t="e">
        <f>H156/DAY(B92)</f>
        <v>#DIV/0!</v>
      </c>
    </row>
    <row r="157" spans="1:10" ht="29.25">
      <c r="A157" s="381" t="s">
        <v>335</v>
      </c>
      <c r="B157" s="382"/>
      <c r="C157" s="382"/>
      <c r="D157" s="383" t="s">
        <v>182</v>
      </c>
      <c r="E157" s="106">
        <f>'30'!F207</f>
        <v>0</v>
      </c>
      <c r="F157" s="298">
        <v>28746</v>
      </c>
      <c r="G157" s="356">
        <f t="shared" si="14"/>
        <v>28746</v>
      </c>
      <c r="H157" s="111">
        <f>G157+'30'!H207</f>
        <v>28746</v>
      </c>
      <c r="I157" s="303"/>
      <c r="J157" s="358" t="e">
        <f>H157/DAY(B92)</f>
        <v>#DIV/0!</v>
      </c>
    </row>
    <row r="158" spans="1:10" ht="29.25">
      <c r="A158" s="1377" t="s">
        <v>393</v>
      </c>
      <c r="B158" s="1377"/>
      <c r="C158" s="436"/>
      <c r="D158" s="383" t="s">
        <v>182</v>
      </c>
      <c r="E158" s="193"/>
      <c r="F158" s="193"/>
      <c r="G158" s="193"/>
      <c r="H158" s="184"/>
      <c r="I158" s="193"/>
      <c r="J158" s="1184"/>
    </row>
    <row r="159" spans="1:10" ht="29.25">
      <c r="A159" s="1377" t="s">
        <v>392</v>
      </c>
      <c r="B159" s="1377"/>
      <c r="C159" s="436"/>
      <c r="D159" s="383" t="s">
        <v>182</v>
      </c>
      <c r="E159" s="193"/>
      <c r="F159" s="193"/>
      <c r="G159" s="193"/>
      <c r="H159" s="184"/>
      <c r="I159" s="193"/>
      <c r="J159" s="1184"/>
    </row>
    <row r="160" spans="1:10" ht="29.25">
      <c r="A160" s="1377" t="s">
        <v>393</v>
      </c>
      <c r="B160" s="1377"/>
      <c r="C160" s="436"/>
      <c r="D160" s="383" t="s">
        <v>182</v>
      </c>
      <c r="E160" s="193"/>
      <c r="F160" s="193"/>
      <c r="G160" s="193"/>
      <c r="H160" s="184"/>
      <c r="I160" s="193"/>
      <c r="J160" s="1184"/>
    </row>
    <row r="161" spans="1:10" ht="29.25"/>
    <row r="162" spans="1:10" ht="29.25"/>
    <row r="163" spans="1:10" ht="34.5" customHeight="1">
      <c r="A163" s="1409" t="s">
        <v>395</v>
      </c>
      <c r="B163" s="1410"/>
      <c r="C163" s="1410"/>
      <c r="D163" s="1410"/>
      <c r="E163" s="1410"/>
      <c r="F163" s="1410"/>
      <c r="G163" s="1410"/>
      <c r="H163" s="1410"/>
      <c r="I163" s="1410"/>
      <c r="J163" s="1411"/>
    </row>
    <row r="164" spans="1:10" ht="27.75">
      <c r="A164" s="1424"/>
      <c r="B164" s="1425"/>
      <c r="C164" s="1189"/>
      <c r="D164" s="273"/>
      <c r="E164" s="183"/>
      <c r="F164" s="183"/>
      <c r="G164" s="183"/>
      <c r="H164" s="184"/>
      <c r="I164" s="183"/>
      <c r="J164" s="209"/>
    </row>
    <row r="165" spans="1:10" ht="27.75">
      <c r="A165" s="1422" t="s">
        <v>218</v>
      </c>
      <c r="B165" s="1423"/>
      <c r="C165" s="1190"/>
      <c r="D165" s="273" t="s">
        <v>143</v>
      </c>
      <c r="E165" s="183">
        <f>'30'!F214</f>
        <v>0</v>
      </c>
      <c r="F165" s="183">
        <v>7961</v>
      </c>
      <c r="G165" s="183">
        <f>F165-E165</f>
        <v>7961</v>
      </c>
      <c r="H165" s="111">
        <f>G165+'30'!H214</f>
        <v>7961</v>
      </c>
      <c r="I165" s="183"/>
      <c r="J165" s="209" t="e">
        <f>H165/DAY(B93)</f>
        <v>#DIV/0!</v>
      </c>
    </row>
    <row r="166" spans="1:10" ht="27.75">
      <c r="A166" s="1422" t="s">
        <v>76</v>
      </c>
      <c r="B166" s="1423"/>
      <c r="C166" s="1190"/>
      <c r="D166" s="273" t="s">
        <v>143</v>
      </c>
      <c r="E166" s="183">
        <f>'30'!F215</f>
        <v>0</v>
      </c>
      <c r="F166" s="185">
        <v>36765</v>
      </c>
      <c r="G166" s="183">
        <f t="shared" ref="G166:G167" si="15">F166-E166</f>
        <v>36765</v>
      </c>
      <c r="H166" s="111">
        <f>G166+'30'!H215</f>
        <v>36765</v>
      </c>
      <c r="I166" s="183"/>
      <c r="J166" s="209" t="e">
        <f>H166/DAY(B93)</f>
        <v>#DIV/0!</v>
      </c>
    </row>
    <row r="167" spans="1:10" ht="27.75">
      <c r="A167" s="1422" t="s">
        <v>77</v>
      </c>
      <c r="B167" s="1426"/>
      <c r="C167" s="1423"/>
      <c r="D167" s="273" t="s">
        <v>143</v>
      </c>
      <c r="E167" s="183">
        <f>'30'!F216</f>
        <v>0</v>
      </c>
      <c r="F167" s="183">
        <v>20214</v>
      </c>
      <c r="G167" s="183">
        <f t="shared" si="15"/>
        <v>20214</v>
      </c>
      <c r="H167" s="111">
        <f>G167+'30'!H216</f>
        <v>20214</v>
      </c>
      <c r="I167" s="183"/>
      <c r="J167" s="209" t="e">
        <f>H167/DAY(B93)</f>
        <v>#DIV/0!</v>
      </c>
    </row>
    <row r="168" spans="1:10" ht="27.75">
      <c r="A168" s="1422" t="s">
        <v>201</v>
      </c>
      <c r="B168" s="1423"/>
      <c r="C168" s="1190"/>
      <c r="D168" s="273"/>
      <c r="E168" s="183"/>
      <c r="F168" s="183"/>
      <c r="G168" s="183">
        <f>SUM(G165:G167)</f>
        <v>64940</v>
      </c>
      <c r="H168" s="111">
        <f>G168+'30'!H217</f>
        <v>64940</v>
      </c>
      <c r="I168" s="183"/>
      <c r="J168" s="209" t="e">
        <f>H168/DAY(B93)</f>
        <v>#DIV/0!</v>
      </c>
    </row>
    <row r="169" spans="1:10" ht="27.75">
      <c r="A169" s="1422" t="s">
        <v>78</v>
      </c>
      <c r="B169" s="1423"/>
      <c r="C169" s="1190"/>
      <c r="D169" s="273" t="s">
        <v>143</v>
      </c>
      <c r="E169" s="183"/>
      <c r="F169" s="183"/>
      <c r="G169" s="183"/>
      <c r="H169" s="111">
        <f>G169+'30'!H218</f>
        <v>0</v>
      </c>
      <c r="I169" s="183"/>
      <c r="J169" s="209"/>
    </row>
    <row r="170" spans="1:10" ht="27.75">
      <c r="A170" s="1422" t="s">
        <v>219</v>
      </c>
      <c r="B170" s="1423"/>
      <c r="C170" s="1190"/>
      <c r="D170" s="273" t="s">
        <v>143</v>
      </c>
      <c r="E170" s="183">
        <f>'30'!F219</f>
        <v>0</v>
      </c>
      <c r="F170" s="183">
        <v>69524</v>
      </c>
      <c r="G170" s="183">
        <f>F170-E170</f>
        <v>69524</v>
      </c>
      <c r="H170" s="111">
        <f>G170+'30'!H219</f>
        <v>69524</v>
      </c>
      <c r="I170" s="183"/>
      <c r="J170" s="209" t="e">
        <f>H170/DAY(B93)</f>
        <v>#DIV/0!</v>
      </c>
    </row>
    <row r="171" spans="1:10" ht="27.75">
      <c r="A171" s="1422" t="s">
        <v>220</v>
      </c>
      <c r="B171" s="1423"/>
      <c r="C171" s="1190"/>
      <c r="D171" s="273" t="s">
        <v>143</v>
      </c>
      <c r="E171" s="183">
        <f>'30'!F220</f>
        <v>0</v>
      </c>
      <c r="F171" s="183">
        <v>33886</v>
      </c>
      <c r="G171" s="183">
        <f t="shared" ref="G171:G172" si="16">F171-E171</f>
        <v>33886</v>
      </c>
      <c r="H171" s="111">
        <f>G171+'30'!H220</f>
        <v>33886</v>
      </c>
      <c r="I171" s="183"/>
      <c r="J171" s="209" t="e">
        <f>H171/DAY(B93)</f>
        <v>#DIV/0!</v>
      </c>
    </row>
    <row r="172" spans="1:10" ht="27.75">
      <c r="A172" s="1422" t="s">
        <v>221</v>
      </c>
      <c r="B172" s="1423"/>
      <c r="C172" s="1190"/>
      <c r="D172" s="273" t="s">
        <v>143</v>
      </c>
      <c r="E172" s="183">
        <f>'30'!F221</f>
        <v>0</v>
      </c>
      <c r="F172" s="183">
        <v>4788</v>
      </c>
      <c r="G172" s="183">
        <f t="shared" si="16"/>
        <v>4788</v>
      </c>
      <c r="H172" s="111">
        <f>G172+'30'!H221</f>
        <v>4788</v>
      </c>
      <c r="I172" s="183"/>
      <c r="J172" s="209" t="e">
        <f>H172/DAY(B93)</f>
        <v>#DIV/0!</v>
      </c>
    </row>
    <row r="173" spans="1:10" ht="27.75">
      <c r="A173" s="1407" t="s">
        <v>109</v>
      </c>
      <c r="B173" s="1408"/>
      <c r="C173" s="1190"/>
      <c r="D173" s="273"/>
      <c r="E173" s="183"/>
      <c r="F173" s="183"/>
      <c r="G173" s="183">
        <f>SUM(G170:G172)</f>
        <v>108198</v>
      </c>
      <c r="H173" s="111">
        <f>G173+'30'!H222</f>
        <v>108198</v>
      </c>
      <c r="I173" s="183"/>
      <c r="J173" s="209" t="e">
        <f>H173/DAY(B93)</f>
        <v>#DIV/0!</v>
      </c>
    </row>
    <row r="174" spans="1:10" ht="27.75">
      <c r="A174" s="1422" t="s">
        <v>222</v>
      </c>
      <c r="B174" s="1423"/>
      <c r="C174" s="1190"/>
      <c r="D174" s="273"/>
      <c r="E174" s="183"/>
      <c r="F174" s="183"/>
      <c r="G174" s="183"/>
      <c r="H174" s="111">
        <f>G174+'30'!H223</f>
        <v>0</v>
      </c>
      <c r="I174" s="183"/>
      <c r="J174" s="209" t="e">
        <f>H174/DAY(B93)</f>
        <v>#DIV/0!</v>
      </c>
    </row>
    <row r="175" spans="1:10" ht="27.75">
      <c r="A175" s="1422" t="s">
        <v>223</v>
      </c>
      <c r="B175" s="1423"/>
      <c r="C175" s="1191"/>
      <c r="D175" s="273" t="s">
        <v>143</v>
      </c>
      <c r="E175" s="183">
        <f>'30'!F224</f>
        <v>0</v>
      </c>
      <c r="F175" s="185">
        <v>13038</v>
      </c>
      <c r="G175" s="185">
        <f>F175-E175</f>
        <v>13038</v>
      </c>
      <c r="H175" s="111">
        <f>G175+'30'!H224</f>
        <v>13038</v>
      </c>
      <c r="I175" s="183"/>
      <c r="J175" s="209" t="e">
        <f>H175/DAY(B93)</f>
        <v>#DIV/0!</v>
      </c>
    </row>
    <row r="176" spans="1:10" ht="27.75">
      <c r="A176" s="1422" t="s">
        <v>224</v>
      </c>
      <c r="B176" s="1423"/>
      <c r="C176" s="1191"/>
      <c r="D176" s="273" t="s">
        <v>143</v>
      </c>
      <c r="E176" s="183">
        <f>'30'!F225</f>
        <v>0</v>
      </c>
      <c r="F176" s="185">
        <v>9126</v>
      </c>
      <c r="G176" s="185">
        <f t="shared" ref="G176:G177" si="17">F176-E176</f>
        <v>9126</v>
      </c>
      <c r="H176" s="111">
        <f>G176+'30'!H225</f>
        <v>9126</v>
      </c>
      <c r="I176" s="183"/>
      <c r="J176" s="209" t="e">
        <f>H176/DAY(B93)</f>
        <v>#DIV/0!</v>
      </c>
    </row>
    <row r="177" spans="1:10" ht="27.75">
      <c r="A177" s="1422" t="s">
        <v>225</v>
      </c>
      <c r="B177" s="1423"/>
      <c r="C177" s="1191"/>
      <c r="D177" s="273" t="s">
        <v>143</v>
      </c>
      <c r="E177" s="185"/>
      <c r="F177" s="185"/>
      <c r="G177" s="185">
        <f t="shared" si="17"/>
        <v>0</v>
      </c>
      <c r="H177" s="111">
        <f>G177+'30'!H226</f>
        <v>0</v>
      </c>
      <c r="I177" s="183"/>
      <c r="J177" s="209" t="e">
        <f>H177/DAY(B93)</f>
        <v>#DIV/0!</v>
      </c>
    </row>
    <row r="178" spans="1:10" ht="27.75">
      <c r="A178" s="1422" t="s">
        <v>201</v>
      </c>
      <c r="B178" s="1423"/>
      <c r="C178" s="1191"/>
      <c r="D178" s="274"/>
      <c r="E178" s="185"/>
      <c r="F178" s="185"/>
      <c r="G178" s="185">
        <f>SUM(G175:G177)</f>
        <v>22164</v>
      </c>
      <c r="H178" s="111">
        <f>G178+'30'!H227</f>
        <v>22164</v>
      </c>
      <c r="I178" s="185"/>
      <c r="J178" s="209" t="e">
        <f>H178/DAY(B93)</f>
        <v>#DIV/0!</v>
      </c>
    </row>
    <row r="179" spans="1:10" ht="27.75">
      <c r="A179" s="1407" t="s">
        <v>226</v>
      </c>
      <c r="B179" s="1408"/>
      <c r="C179" s="1190"/>
      <c r="D179" s="275" t="s">
        <v>143</v>
      </c>
      <c r="E179" s="187"/>
      <c r="F179" s="187"/>
      <c r="G179" s="187">
        <f>SUM(G110+G153)</f>
        <v>463315</v>
      </c>
      <c r="H179" s="111">
        <f>G179+'30'!H228</f>
        <v>463315</v>
      </c>
      <c r="I179" s="186"/>
      <c r="J179" s="210" t="e">
        <f>H179/DAY(B93)</f>
        <v>#DIV/0!</v>
      </c>
    </row>
    <row r="180" spans="1:10" ht="27.75">
      <c r="A180" s="1407" t="s">
        <v>227</v>
      </c>
      <c r="B180" s="1408"/>
      <c r="C180" s="1190"/>
      <c r="D180" s="275" t="s">
        <v>143</v>
      </c>
      <c r="E180" s="187"/>
      <c r="F180" s="187"/>
      <c r="G180" s="187">
        <f>SUM(G156,G157,G158,G160,G161)</f>
        <v>32357</v>
      </c>
      <c r="H180" s="111">
        <f>G180+'30'!H229</f>
        <v>32357</v>
      </c>
      <c r="I180" s="186"/>
      <c r="J180" s="210" t="e">
        <f>H180/DAY(B93)</f>
        <v>#DIV/0!</v>
      </c>
    </row>
    <row r="181" spans="1:10" ht="27.75">
      <c r="A181" s="1407" t="s">
        <v>228</v>
      </c>
      <c r="B181" s="1408"/>
      <c r="C181" s="1190"/>
      <c r="D181" s="275" t="s">
        <v>143</v>
      </c>
      <c r="E181" s="185"/>
      <c r="F181" s="185"/>
      <c r="G181" s="185">
        <f>SUM(G173)</f>
        <v>108198</v>
      </c>
      <c r="H181" s="111">
        <f>G181+'30'!H230</f>
        <v>108198</v>
      </c>
      <c r="I181" s="186"/>
      <c r="J181" s="210" t="e">
        <f>H181/DAY(B93)</f>
        <v>#DIV/0!</v>
      </c>
    </row>
    <row r="182" spans="1:10" ht="27.75">
      <c r="A182" s="1407"/>
      <c r="B182" s="1408"/>
      <c r="C182" s="1190"/>
      <c r="D182" s="211"/>
      <c r="E182" s="211" t="s">
        <v>214</v>
      </c>
      <c r="F182" s="211"/>
      <c r="G182" s="211"/>
      <c r="H182" s="212"/>
      <c r="I182" s="211"/>
      <c r="J182" s="213"/>
    </row>
    <row r="183" spans="1:10" ht="29.25"/>
    <row r="184" spans="1:10" ht="29.25"/>
    <row r="185" spans="1:10" ht="29.25"/>
    <row r="186" spans="1:10" ht="29.25"/>
    <row r="187" spans="1:10" ht="29.25"/>
    <row r="188" spans="1:10" ht="29.25"/>
    <row r="189" spans="1:10" ht="29.25"/>
    <row r="190" spans="1:10" ht="29.25"/>
    <row r="191" spans="1:10" ht="29.25"/>
    <row r="192" spans="1:10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27</vt:i4>
      </vt:variant>
    </vt:vector>
  </HeadingPairs>
  <TitlesOfParts>
    <vt:vector size="66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Ramesh.Kadam</cp:lastModifiedBy>
  <cp:revision/>
  <cp:lastPrinted>2021-08-31T02:26:59Z</cp:lastPrinted>
  <dcterms:created xsi:type="dcterms:W3CDTF">2013-11-14T06:06:34Z</dcterms:created>
  <dcterms:modified xsi:type="dcterms:W3CDTF">2021-09-12T22:15:31Z</dcterms:modified>
</cp:coreProperties>
</file>