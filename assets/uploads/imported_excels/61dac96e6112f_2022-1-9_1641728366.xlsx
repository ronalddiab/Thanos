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646CE4AE-446F-4AD3-ACD3-58AF8595ED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b" sheetId="2" r:id="rId1"/>
    <sheet name="Dec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3" i="2" l="1"/>
  <c r="F32" i="2" l="1"/>
  <c r="H32" i="2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2" i="2"/>
  <c r="E33" i="2" l="1"/>
  <c r="K33" i="2" l="1"/>
  <c r="F2" i="2"/>
  <c r="G33" i="2" l="1"/>
  <c r="I33" i="2"/>
  <c r="F31" i="2"/>
  <c r="F30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M33" i="1"/>
  <c r="E33" i="1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" i="1" l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shrooq.nafe</author>
  </authors>
  <commentList>
    <comment ref="L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shrooq.nafe:</t>
        </r>
        <r>
          <rPr>
            <sz val="9"/>
            <color indexed="81"/>
            <rFont val="Tahoma"/>
            <family val="2"/>
          </rPr>
          <t xml:space="preserve">
for water and sewage 
</t>
        </r>
      </text>
    </comment>
  </commentList>
</comments>
</file>

<file path=xl/sharedStrings.xml><?xml version="1.0" encoding="utf-8"?>
<sst xmlns="http://schemas.openxmlformats.org/spreadsheetml/2006/main" count="89" uniqueCount="15">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</sst>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0.00_);\(0.00\)"/>
    <numFmt numFmtId="166" formatCode="0.0000_);\(0.00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3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6" fontId="0" fillId="3" borderId="0" xfId="0" applyNumberFormat="1" applyFill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M33" sqref="M33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6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s="1" t="s">
        <v>13</v>
      </c>
      <c r="B2" s="1">
        <v>1</v>
      </c>
      <c r="C2" s="1">
        <v>12</v>
      </c>
      <c r="D2" s="1">
        <v>2021</v>
      </c>
      <c r="E2" s="2">
        <v>15040</v>
      </c>
      <c r="F2" s="3">
        <f>0.104/0.72</f>
        <v>0.14444444444444443</v>
      </c>
      <c r="G2" s="1">
        <v>1545.2</v>
      </c>
      <c r="H2" s="3">
        <f>0.615/0.72</f>
        <v>0.85416666666666674</v>
      </c>
      <c r="I2" s="2">
        <v>273.38799999999998</v>
      </c>
      <c r="J2" s="3">
        <v>1.1839999999999999</v>
      </c>
      <c r="K2" s="2">
        <v>207</v>
      </c>
      <c r="L2" s="3">
        <v>3.5444287729196051</v>
      </c>
      <c r="M2" s="2">
        <v>94</v>
      </c>
    </row>
    <row r="3" spans="1:13" x14ac:dyDescent="0.25">
      <c r="A3" s="1" t="s">
        <v>13</v>
      </c>
      <c r="B3" s="1">
        <f>B2+1</f>
        <v>2</v>
      </c>
      <c r="C3" s="1">
        <v>12</v>
      </c>
      <c r="D3" s="1">
        <v>2021</v>
      </c>
      <c r="E3" s="2">
        <v>14650</v>
      </c>
      <c r="F3" s="3">
        <f t="shared" ref="F3:F32" si="0">0.104/0.72</f>
        <v>0.14444444444444443</v>
      </c>
      <c r="G3" s="1">
        <v>1545.2</v>
      </c>
      <c r="H3" s="3">
        <f t="shared" ref="H3:H32" si="1">0.615/0.72</f>
        <v>0.85416666666666674</v>
      </c>
      <c r="I3" s="2">
        <v>273.38799999999998</v>
      </c>
      <c r="J3" s="3">
        <v>1.1839999999999999</v>
      </c>
      <c r="K3" s="2">
        <v>282.84000000008382</v>
      </c>
      <c r="L3" s="3">
        <v>3.5444287729196051</v>
      </c>
      <c r="M3" s="2">
        <v>104</v>
      </c>
    </row>
    <row r="4" spans="1:13" x14ac:dyDescent="0.25">
      <c r="A4" s="1" t="s">
        <v>13</v>
      </c>
      <c r="B4" s="1">
        <f t="shared" ref="B4:B32" si="2">B3+1</f>
        <v>3</v>
      </c>
      <c r="C4" s="1">
        <v>12</v>
      </c>
      <c r="D4" s="1">
        <v>2021</v>
      </c>
      <c r="E4" s="2">
        <v>13710</v>
      </c>
      <c r="F4" s="3">
        <f t="shared" si="0"/>
        <v>0.14444444444444443</v>
      </c>
      <c r="G4" s="1">
        <v>1545.2</v>
      </c>
      <c r="H4" s="3">
        <f t="shared" si="1"/>
        <v>0.85416666666666674</v>
      </c>
      <c r="I4" s="2">
        <v>273.38799999999998</v>
      </c>
      <c r="J4" s="3">
        <v>1.1839999999999999</v>
      </c>
      <c r="K4" s="2">
        <v>134</v>
      </c>
      <c r="L4" s="3">
        <v>3.5444287729196051</v>
      </c>
      <c r="M4" s="2">
        <v>100</v>
      </c>
    </row>
    <row r="5" spans="1:13" x14ac:dyDescent="0.25">
      <c r="A5" s="1" t="s">
        <v>13</v>
      </c>
      <c r="B5" s="1">
        <f t="shared" si="2"/>
        <v>4</v>
      </c>
      <c r="C5" s="1">
        <v>12</v>
      </c>
      <c r="D5" s="1">
        <v>2021</v>
      </c>
      <c r="E5" s="2">
        <v>13780</v>
      </c>
      <c r="F5" s="3">
        <f t="shared" si="0"/>
        <v>0.14444444444444443</v>
      </c>
      <c r="G5" s="1">
        <v>1545.2</v>
      </c>
      <c r="H5" s="3">
        <f t="shared" si="1"/>
        <v>0.85416666666666674</v>
      </c>
      <c r="I5" s="2">
        <v>273.38799999999998</v>
      </c>
      <c r="J5" s="3">
        <v>1.1839999999999999</v>
      </c>
      <c r="K5" s="2">
        <v>119</v>
      </c>
      <c r="L5" s="3">
        <v>3.5444287729196051</v>
      </c>
      <c r="M5" s="2">
        <v>110</v>
      </c>
    </row>
    <row r="6" spans="1:13" x14ac:dyDescent="0.25">
      <c r="A6" s="1" t="s">
        <v>13</v>
      </c>
      <c r="B6" s="1">
        <f t="shared" si="2"/>
        <v>5</v>
      </c>
      <c r="C6" s="1">
        <v>12</v>
      </c>
      <c r="D6" s="1">
        <v>2021</v>
      </c>
      <c r="E6" s="2">
        <v>14100</v>
      </c>
      <c r="F6" s="3">
        <f t="shared" si="0"/>
        <v>0.14444444444444443</v>
      </c>
      <c r="G6" s="1">
        <v>1545.2</v>
      </c>
      <c r="H6" s="3">
        <f t="shared" si="1"/>
        <v>0.85416666666666674</v>
      </c>
      <c r="I6" s="2">
        <v>273.38799999999998</v>
      </c>
      <c r="J6" s="3">
        <v>1.1839999999999999</v>
      </c>
      <c r="K6" s="2">
        <v>192.34999999997672</v>
      </c>
      <c r="L6" s="3">
        <v>3.5444287729196051</v>
      </c>
      <c r="M6" s="2">
        <v>100</v>
      </c>
    </row>
    <row r="7" spans="1:13" x14ac:dyDescent="0.25">
      <c r="A7" s="1" t="s">
        <v>13</v>
      </c>
      <c r="B7" s="1">
        <f t="shared" si="2"/>
        <v>6</v>
      </c>
      <c r="C7" s="1">
        <v>12</v>
      </c>
      <c r="D7" s="1">
        <v>2021</v>
      </c>
      <c r="E7" s="2">
        <v>14020</v>
      </c>
      <c r="F7" s="3">
        <f t="shared" si="0"/>
        <v>0.14444444444444443</v>
      </c>
      <c r="G7" s="1">
        <v>1545.2</v>
      </c>
      <c r="H7" s="3">
        <f t="shared" si="1"/>
        <v>0.85416666666666674</v>
      </c>
      <c r="I7" s="2">
        <v>273.38799999999998</v>
      </c>
      <c r="J7" s="3">
        <v>1.1839999999999999</v>
      </c>
      <c r="K7" s="2">
        <v>308</v>
      </c>
      <c r="L7" s="3">
        <v>3.5444287729196051</v>
      </c>
      <c r="M7" s="2">
        <v>131</v>
      </c>
    </row>
    <row r="8" spans="1:13" x14ac:dyDescent="0.25">
      <c r="A8" s="1" t="s">
        <v>13</v>
      </c>
      <c r="B8" s="1">
        <f t="shared" si="2"/>
        <v>7</v>
      </c>
      <c r="C8" s="1">
        <v>12</v>
      </c>
      <c r="D8" s="1">
        <v>2021</v>
      </c>
      <c r="E8" s="2">
        <v>16760</v>
      </c>
      <c r="F8" s="3">
        <f t="shared" si="0"/>
        <v>0.14444444444444443</v>
      </c>
      <c r="G8" s="1">
        <v>1545.2</v>
      </c>
      <c r="H8" s="3">
        <f t="shared" si="1"/>
        <v>0.85416666666666674</v>
      </c>
      <c r="I8" s="2">
        <v>273.38799999999998</v>
      </c>
      <c r="J8" s="3">
        <v>1.1839999999999999</v>
      </c>
      <c r="K8" s="2">
        <v>186.96999999997206</v>
      </c>
      <c r="L8" s="3">
        <v>3.5444287729196051</v>
      </c>
      <c r="M8" s="2">
        <v>132</v>
      </c>
    </row>
    <row r="9" spans="1:13" x14ac:dyDescent="0.25">
      <c r="A9" s="1" t="s">
        <v>13</v>
      </c>
      <c r="B9" s="1">
        <f t="shared" si="2"/>
        <v>8</v>
      </c>
      <c r="C9" s="1">
        <v>12</v>
      </c>
      <c r="D9" s="1">
        <v>2021</v>
      </c>
      <c r="E9" s="2">
        <v>15280</v>
      </c>
      <c r="F9" s="3">
        <f t="shared" si="0"/>
        <v>0.14444444444444443</v>
      </c>
      <c r="G9" s="1">
        <v>1545.2</v>
      </c>
      <c r="H9" s="3">
        <f t="shared" si="1"/>
        <v>0.85416666666666674</v>
      </c>
      <c r="I9" s="2">
        <v>273.38799999999998</v>
      </c>
      <c r="J9" s="3">
        <v>1.1839999999999999</v>
      </c>
      <c r="K9" s="2">
        <v>298</v>
      </c>
      <c r="L9" s="3">
        <v>3.5444287729196051</v>
      </c>
      <c r="M9" s="2">
        <v>103</v>
      </c>
    </row>
    <row r="10" spans="1:13" x14ac:dyDescent="0.25">
      <c r="A10" s="1" t="s">
        <v>13</v>
      </c>
      <c r="B10" s="1">
        <f t="shared" si="2"/>
        <v>9</v>
      </c>
      <c r="C10" s="1">
        <v>12</v>
      </c>
      <c r="D10" s="1">
        <v>2021</v>
      </c>
      <c r="E10" s="2">
        <v>14740</v>
      </c>
      <c r="F10" s="3">
        <f t="shared" si="0"/>
        <v>0.14444444444444443</v>
      </c>
      <c r="G10" s="1">
        <v>1545.2</v>
      </c>
      <c r="H10" s="3">
        <f t="shared" si="1"/>
        <v>0.85416666666666674</v>
      </c>
      <c r="I10" s="2">
        <v>273.38799999999998</v>
      </c>
      <c r="J10" s="3">
        <v>1.1839999999999999</v>
      </c>
      <c r="K10" s="2">
        <v>210.44999999995343</v>
      </c>
      <c r="L10" s="3">
        <v>3.5444287729196051</v>
      </c>
      <c r="M10" s="2">
        <v>96</v>
      </c>
    </row>
    <row r="11" spans="1:13" x14ac:dyDescent="0.25">
      <c r="A11" s="1" t="s">
        <v>13</v>
      </c>
      <c r="B11" s="1">
        <f t="shared" si="2"/>
        <v>10</v>
      </c>
      <c r="C11" s="1">
        <v>12</v>
      </c>
      <c r="D11" s="1">
        <v>2021</v>
      </c>
      <c r="E11" s="2">
        <v>13850</v>
      </c>
      <c r="F11" s="3">
        <f t="shared" si="0"/>
        <v>0.14444444444444443</v>
      </c>
      <c r="G11" s="1">
        <v>1545.2</v>
      </c>
      <c r="H11" s="3">
        <f t="shared" si="1"/>
        <v>0.85416666666666674</v>
      </c>
      <c r="I11" s="2">
        <v>273.38799999999998</v>
      </c>
      <c r="J11" s="3">
        <v>1.1839999999999999</v>
      </c>
      <c r="K11" s="2">
        <v>124</v>
      </c>
      <c r="L11" s="3">
        <v>3.5444287729196051</v>
      </c>
      <c r="M11" s="2">
        <v>62</v>
      </c>
    </row>
    <row r="12" spans="1:13" x14ac:dyDescent="0.25">
      <c r="A12" s="1" t="s">
        <v>13</v>
      </c>
      <c r="B12" s="1">
        <f t="shared" si="2"/>
        <v>11</v>
      </c>
      <c r="C12" s="1">
        <v>12</v>
      </c>
      <c r="D12" s="1">
        <v>2021</v>
      </c>
      <c r="E12" s="2">
        <v>14710</v>
      </c>
      <c r="F12" s="3">
        <f t="shared" si="0"/>
        <v>0.14444444444444443</v>
      </c>
      <c r="G12" s="1">
        <v>1545.2</v>
      </c>
      <c r="H12" s="3">
        <f t="shared" si="1"/>
        <v>0.85416666666666674</v>
      </c>
      <c r="I12" s="2">
        <v>273.38799999999998</v>
      </c>
      <c r="J12" s="3">
        <v>1.1839999999999999</v>
      </c>
      <c r="K12" s="2">
        <v>174</v>
      </c>
      <c r="L12" s="3">
        <v>3.5444287729196051</v>
      </c>
      <c r="M12" s="2">
        <v>74</v>
      </c>
    </row>
    <row r="13" spans="1:13" x14ac:dyDescent="0.25">
      <c r="A13" s="1" t="s">
        <v>13</v>
      </c>
      <c r="B13" s="1">
        <f t="shared" si="2"/>
        <v>12</v>
      </c>
      <c r="C13" s="1">
        <v>12</v>
      </c>
      <c r="D13" s="1">
        <v>2021</v>
      </c>
      <c r="E13" s="2">
        <v>14780</v>
      </c>
      <c r="F13" s="3">
        <f t="shared" si="0"/>
        <v>0.14444444444444443</v>
      </c>
      <c r="G13" s="1">
        <v>1545.2</v>
      </c>
      <c r="H13" s="3">
        <f t="shared" si="1"/>
        <v>0.85416666666666674</v>
      </c>
      <c r="I13" s="2">
        <v>273.38799999999998</v>
      </c>
      <c r="J13" s="3">
        <v>1.1839999999999999</v>
      </c>
      <c r="K13" s="2">
        <v>95</v>
      </c>
      <c r="L13" s="3">
        <v>3.5444287729196051</v>
      </c>
      <c r="M13" s="2">
        <v>71</v>
      </c>
    </row>
    <row r="14" spans="1:13" x14ac:dyDescent="0.25">
      <c r="A14" s="1" t="s">
        <v>13</v>
      </c>
      <c r="B14" s="1">
        <f t="shared" si="2"/>
        <v>13</v>
      </c>
      <c r="C14" s="1">
        <v>12</v>
      </c>
      <c r="D14" s="1">
        <v>2021</v>
      </c>
      <c r="E14" s="2">
        <v>15830</v>
      </c>
      <c r="F14" s="3">
        <f t="shared" si="0"/>
        <v>0.14444444444444443</v>
      </c>
      <c r="G14" s="1">
        <v>1545.2</v>
      </c>
      <c r="H14" s="3">
        <f t="shared" si="1"/>
        <v>0.85416666666666674</v>
      </c>
      <c r="I14" s="2">
        <v>273.38799999999998</v>
      </c>
      <c r="J14" s="3">
        <v>1.1839999999999999</v>
      </c>
      <c r="K14" s="2">
        <v>115.30000000004657</v>
      </c>
      <c r="L14" s="3">
        <v>3.5444287729196051</v>
      </c>
      <c r="M14" s="2">
        <v>89</v>
      </c>
    </row>
    <row r="15" spans="1:13" x14ac:dyDescent="0.25">
      <c r="A15" s="1" t="s">
        <v>13</v>
      </c>
      <c r="B15" s="1">
        <f t="shared" si="2"/>
        <v>14</v>
      </c>
      <c r="C15" s="1">
        <v>12</v>
      </c>
      <c r="D15" s="1">
        <v>2021</v>
      </c>
      <c r="E15" s="2">
        <v>16210</v>
      </c>
      <c r="F15" s="3">
        <f t="shared" si="0"/>
        <v>0.14444444444444443</v>
      </c>
      <c r="G15" s="1">
        <v>1545.2</v>
      </c>
      <c r="H15" s="3">
        <f t="shared" si="1"/>
        <v>0.85416666666666674</v>
      </c>
      <c r="I15" s="2">
        <v>273.38799999999998</v>
      </c>
      <c r="J15" s="3">
        <v>1.1839999999999999</v>
      </c>
      <c r="K15" s="2">
        <v>88</v>
      </c>
      <c r="L15" s="3">
        <v>3.5444287729196051</v>
      </c>
      <c r="M15" s="2">
        <v>63</v>
      </c>
    </row>
    <row r="16" spans="1:13" x14ac:dyDescent="0.25">
      <c r="A16" s="1" t="s">
        <v>13</v>
      </c>
      <c r="B16" s="1">
        <f t="shared" si="2"/>
        <v>15</v>
      </c>
      <c r="C16" s="1">
        <v>12</v>
      </c>
      <c r="D16" s="1">
        <v>2021</v>
      </c>
      <c r="E16" s="2">
        <v>14200</v>
      </c>
      <c r="F16" s="3">
        <f t="shared" si="0"/>
        <v>0.14444444444444443</v>
      </c>
      <c r="G16" s="1">
        <v>1545.2</v>
      </c>
      <c r="H16" s="3">
        <f t="shared" si="1"/>
        <v>0.85416666666666674</v>
      </c>
      <c r="I16" s="2">
        <v>273.38799999999998</v>
      </c>
      <c r="J16" s="3">
        <v>1.1839999999999999</v>
      </c>
      <c r="K16" s="2">
        <v>46.92000000004191</v>
      </c>
      <c r="L16" s="3">
        <v>3.5444287729196051</v>
      </c>
      <c r="M16" s="2">
        <v>70</v>
      </c>
    </row>
    <row r="17" spans="1:13" x14ac:dyDescent="0.25">
      <c r="A17" s="1" t="s">
        <v>13</v>
      </c>
      <c r="B17" s="1">
        <f t="shared" si="2"/>
        <v>16</v>
      </c>
      <c r="C17" s="1">
        <v>12</v>
      </c>
      <c r="D17" s="1">
        <v>2021</v>
      </c>
      <c r="E17" s="2">
        <v>16430</v>
      </c>
      <c r="F17" s="3">
        <f t="shared" si="0"/>
        <v>0.14444444444444443</v>
      </c>
      <c r="G17" s="1">
        <v>1545.2</v>
      </c>
      <c r="H17" s="3">
        <f t="shared" si="1"/>
        <v>0.85416666666666674</v>
      </c>
      <c r="I17" s="2">
        <v>273.38799999999998</v>
      </c>
      <c r="J17" s="3">
        <v>1.1839999999999999</v>
      </c>
      <c r="K17" s="2">
        <v>308.22999999998137</v>
      </c>
      <c r="L17" s="3">
        <v>3.5444287729196051</v>
      </c>
      <c r="M17" s="2">
        <v>50</v>
      </c>
    </row>
    <row r="18" spans="1:13" x14ac:dyDescent="0.25">
      <c r="A18" s="1" t="s">
        <v>13</v>
      </c>
      <c r="B18" s="1">
        <f t="shared" si="2"/>
        <v>17</v>
      </c>
      <c r="C18" s="1">
        <v>12</v>
      </c>
      <c r="D18" s="1">
        <v>2021</v>
      </c>
      <c r="E18" s="2">
        <v>14980</v>
      </c>
      <c r="F18" s="3">
        <f t="shared" si="0"/>
        <v>0.14444444444444443</v>
      </c>
      <c r="G18" s="1">
        <v>1545.2</v>
      </c>
      <c r="H18" s="3">
        <f t="shared" si="1"/>
        <v>0.85416666666666674</v>
      </c>
      <c r="I18" s="2">
        <v>273.38799999999998</v>
      </c>
      <c r="J18" s="3">
        <v>1.1839999999999999</v>
      </c>
      <c r="K18" s="2">
        <v>0</v>
      </c>
      <c r="L18" s="3">
        <v>3.5444287729196051</v>
      </c>
      <c r="M18" s="2">
        <v>73</v>
      </c>
    </row>
    <row r="19" spans="1:13" x14ac:dyDescent="0.25">
      <c r="A19" s="1" t="s">
        <v>13</v>
      </c>
      <c r="B19" s="1">
        <f t="shared" si="2"/>
        <v>18</v>
      </c>
      <c r="C19" s="1">
        <v>12</v>
      </c>
      <c r="D19" s="1">
        <v>2021</v>
      </c>
      <c r="E19" s="2">
        <v>14320</v>
      </c>
      <c r="F19" s="3">
        <f t="shared" si="0"/>
        <v>0.14444444444444443</v>
      </c>
      <c r="G19" s="1">
        <v>1545.2</v>
      </c>
      <c r="H19" s="3">
        <f t="shared" si="1"/>
        <v>0.85416666666666674</v>
      </c>
      <c r="I19" s="2">
        <v>273.38799999999998</v>
      </c>
      <c r="J19" s="3">
        <v>1.1839999999999999</v>
      </c>
      <c r="K19" s="2">
        <v>154.81999999994878</v>
      </c>
      <c r="L19" s="3">
        <v>3.5444287729196051</v>
      </c>
      <c r="M19" s="2">
        <v>53</v>
      </c>
    </row>
    <row r="20" spans="1:13" x14ac:dyDescent="0.25">
      <c r="A20" s="1" t="s">
        <v>13</v>
      </c>
      <c r="B20" s="1">
        <f t="shared" si="2"/>
        <v>19</v>
      </c>
      <c r="C20" s="1">
        <v>12</v>
      </c>
      <c r="D20" s="1">
        <v>2021</v>
      </c>
      <c r="E20" s="2">
        <v>14140</v>
      </c>
      <c r="F20" s="3">
        <f t="shared" si="0"/>
        <v>0.14444444444444443</v>
      </c>
      <c r="G20" s="1">
        <v>1545.2</v>
      </c>
      <c r="H20" s="3">
        <f t="shared" si="1"/>
        <v>0.85416666666666674</v>
      </c>
      <c r="I20" s="2">
        <v>273.38799999999998</v>
      </c>
      <c r="J20" s="3">
        <v>1.1839999999999999</v>
      </c>
      <c r="K20" s="2">
        <v>137</v>
      </c>
      <c r="L20" s="3">
        <v>3.5444287729196051</v>
      </c>
      <c r="M20" s="2">
        <v>37</v>
      </c>
    </row>
    <row r="21" spans="1:13" x14ac:dyDescent="0.25">
      <c r="A21" s="1" t="s">
        <v>13</v>
      </c>
      <c r="B21" s="1">
        <f t="shared" si="2"/>
        <v>20</v>
      </c>
      <c r="C21" s="1">
        <v>12</v>
      </c>
      <c r="D21" s="1">
        <v>2021</v>
      </c>
      <c r="E21" s="2">
        <v>14750</v>
      </c>
      <c r="F21" s="3">
        <f t="shared" si="0"/>
        <v>0.14444444444444443</v>
      </c>
      <c r="G21" s="1">
        <v>1545.2</v>
      </c>
      <c r="H21" s="3">
        <f t="shared" si="1"/>
        <v>0.85416666666666674</v>
      </c>
      <c r="I21" s="2">
        <v>273.38799999999998</v>
      </c>
      <c r="J21" s="3">
        <v>1.1839999999999999</v>
      </c>
      <c r="K21" s="2">
        <v>135</v>
      </c>
      <c r="L21" s="3">
        <v>3.5444287729196051</v>
      </c>
      <c r="M21" s="2">
        <v>44</v>
      </c>
    </row>
    <row r="22" spans="1:13" x14ac:dyDescent="0.25">
      <c r="A22" s="1" t="s">
        <v>13</v>
      </c>
      <c r="B22" s="1">
        <f t="shared" si="2"/>
        <v>21</v>
      </c>
      <c r="C22" s="1">
        <v>12</v>
      </c>
      <c r="D22" s="1">
        <v>2021</v>
      </c>
      <c r="E22" s="2">
        <v>14210</v>
      </c>
      <c r="F22" s="3">
        <f t="shared" si="0"/>
        <v>0.14444444444444443</v>
      </c>
      <c r="G22" s="1">
        <v>1545.2</v>
      </c>
      <c r="H22" s="3">
        <f t="shared" si="1"/>
        <v>0.85416666666666674</v>
      </c>
      <c r="I22" s="2">
        <v>273.38799999999998</v>
      </c>
      <c r="J22" s="3">
        <v>1.1839999999999999</v>
      </c>
      <c r="K22" s="2">
        <v>286.72999999998137</v>
      </c>
      <c r="L22" s="3">
        <v>3.5444287729196051</v>
      </c>
      <c r="M22" s="2">
        <v>60</v>
      </c>
    </row>
    <row r="23" spans="1:13" x14ac:dyDescent="0.25">
      <c r="A23" s="1" t="s">
        <v>13</v>
      </c>
      <c r="B23" s="1">
        <f t="shared" si="2"/>
        <v>22</v>
      </c>
      <c r="C23" s="1">
        <v>12</v>
      </c>
      <c r="D23" s="1">
        <v>2021</v>
      </c>
      <c r="E23" s="2">
        <v>15970</v>
      </c>
      <c r="F23" s="3">
        <f t="shared" si="0"/>
        <v>0.14444444444444443</v>
      </c>
      <c r="G23" s="1">
        <v>1545.2</v>
      </c>
      <c r="H23" s="3">
        <f t="shared" si="1"/>
        <v>0.85416666666666674</v>
      </c>
      <c r="I23" s="2">
        <v>273.38799999999998</v>
      </c>
      <c r="J23" s="3">
        <v>1.1839999999999999</v>
      </c>
      <c r="K23" s="2">
        <v>110</v>
      </c>
      <c r="L23" s="3">
        <v>3.5444287729196051</v>
      </c>
      <c r="M23" s="2">
        <v>72</v>
      </c>
    </row>
    <row r="24" spans="1:13" x14ac:dyDescent="0.25">
      <c r="A24" s="1" t="s">
        <v>13</v>
      </c>
      <c r="B24" s="1">
        <f t="shared" si="2"/>
        <v>23</v>
      </c>
      <c r="C24" s="1">
        <v>12</v>
      </c>
      <c r="D24" s="1">
        <v>2021</v>
      </c>
      <c r="E24" s="2">
        <v>15080</v>
      </c>
      <c r="F24" s="3">
        <f t="shared" si="0"/>
        <v>0.14444444444444443</v>
      </c>
      <c r="G24" s="1">
        <v>1545.2</v>
      </c>
      <c r="H24" s="3">
        <f t="shared" si="1"/>
        <v>0.85416666666666674</v>
      </c>
      <c r="I24" s="2">
        <v>273.38799999999998</v>
      </c>
      <c r="J24" s="3">
        <v>1.1839999999999999</v>
      </c>
      <c r="K24" s="2">
        <v>105.22000000008848</v>
      </c>
      <c r="L24" s="3">
        <v>3.5444287729196051</v>
      </c>
      <c r="M24" s="2">
        <v>82</v>
      </c>
    </row>
    <row r="25" spans="1:13" x14ac:dyDescent="0.25">
      <c r="A25" s="1" t="s">
        <v>13</v>
      </c>
      <c r="B25" s="1">
        <f t="shared" si="2"/>
        <v>24</v>
      </c>
      <c r="C25" s="1">
        <v>12</v>
      </c>
      <c r="D25" s="1">
        <v>2021</v>
      </c>
      <c r="E25" s="2">
        <v>14920</v>
      </c>
      <c r="F25" s="3">
        <f t="shared" si="0"/>
        <v>0.14444444444444443</v>
      </c>
      <c r="G25" s="1">
        <v>1545.2</v>
      </c>
      <c r="H25" s="3">
        <f t="shared" si="1"/>
        <v>0.85416666666666674</v>
      </c>
      <c r="I25" s="2">
        <v>273.38799999999998</v>
      </c>
      <c r="J25" s="3">
        <v>1.1839999999999999</v>
      </c>
      <c r="K25" s="2">
        <v>236.95999999996275</v>
      </c>
      <c r="L25" s="3">
        <v>3.5444287729196051</v>
      </c>
      <c r="M25" s="2">
        <v>61</v>
      </c>
    </row>
    <row r="26" spans="1:13" x14ac:dyDescent="0.25">
      <c r="A26" s="1" t="s">
        <v>13</v>
      </c>
      <c r="B26" s="1">
        <f>B25+1</f>
        <v>25</v>
      </c>
      <c r="C26" s="1">
        <v>12</v>
      </c>
      <c r="D26" s="1">
        <v>2021</v>
      </c>
      <c r="E26" s="2">
        <v>15580</v>
      </c>
      <c r="F26" s="3">
        <f t="shared" si="0"/>
        <v>0.14444444444444443</v>
      </c>
      <c r="G26" s="1">
        <v>1545.2</v>
      </c>
      <c r="H26" s="3">
        <f t="shared" si="1"/>
        <v>0.85416666666666674</v>
      </c>
      <c r="I26" s="2">
        <v>273.38799999999998</v>
      </c>
      <c r="J26" s="3">
        <v>1.1839999999999999</v>
      </c>
      <c r="K26" s="2">
        <v>153.31000000005588</v>
      </c>
      <c r="L26" s="3">
        <v>3.5444287729196051</v>
      </c>
      <c r="M26" s="2">
        <v>70</v>
      </c>
    </row>
    <row r="27" spans="1:13" x14ac:dyDescent="0.25">
      <c r="A27" s="1" t="s">
        <v>13</v>
      </c>
      <c r="B27" s="1">
        <f t="shared" si="2"/>
        <v>26</v>
      </c>
      <c r="C27" s="1">
        <v>12</v>
      </c>
      <c r="D27" s="1">
        <v>2021</v>
      </c>
      <c r="E27" s="2">
        <v>13770</v>
      </c>
      <c r="F27" s="3">
        <f t="shared" si="0"/>
        <v>0.14444444444444443</v>
      </c>
      <c r="G27" s="1">
        <v>1545.2</v>
      </c>
      <c r="H27" s="3">
        <f t="shared" si="1"/>
        <v>0.85416666666666674</v>
      </c>
      <c r="I27" s="2">
        <v>273.38799999999998</v>
      </c>
      <c r="J27" s="3">
        <v>1.1839999999999999</v>
      </c>
      <c r="K27" s="2">
        <v>121</v>
      </c>
      <c r="L27" s="3">
        <v>3.5444287729196051</v>
      </c>
      <c r="M27" s="2">
        <v>86</v>
      </c>
    </row>
    <row r="28" spans="1:13" x14ac:dyDescent="0.25">
      <c r="A28" s="1" t="s">
        <v>13</v>
      </c>
      <c r="B28" s="1">
        <f t="shared" si="2"/>
        <v>27</v>
      </c>
      <c r="C28" s="1">
        <v>12</v>
      </c>
      <c r="D28" s="1">
        <v>2021</v>
      </c>
      <c r="E28" s="2">
        <v>14970</v>
      </c>
      <c r="F28" s="3">
        <f t="shared" si="0"/>
        <v>0.14444444444444443</v>
      </c>
      <c r="G28" s="1">
        <v>1545.2</v>
      </c>
      <c r="H28" s="3">
        <f t="shared" si="1"/>
        <v>0.85416666666666674</v>
      </c>
      <c r="I28" s="2">
        <v>273.38799999999998</v>
      </c>
      <c r="J28" s="3">
        <v>1.1839999999999999</v>
      </c>
      <c r="K28" s="2">
        <v>113</v>
      </c>
      <c r="L28" s="3">
        <v>3.5444287729196051</v>
      </c>
      <c r="M28" s="2">
        <v>84</v>
      </c>
    </row>
    <row r="29" spans="1:13" x14ac:dyDescent="0.25">
      <c r="A29" s="1" t="s">
        <v>13</v>
      </c>
      <c r="B29" s="1">
        <f t="shared" si="2"/>
        <v>28</v>
      </c>
      <c r="C29" s="1">
        <v>12</v>
      </c>
      <c r="D29" s="1">
        <v>2021</v>
      </c>
      <c r="E29" s="2">
        <v>14750</v>
      </c>
      <c r="F29" s="3">
        <f t="shared" si="0"/>
        <v>0.14444444444444443</v>
      </c>
      <c r="G29" s="1">
        <v>1545.2</v>
      </c>
      <c r="H29" s="3">
        <f t="shared" si="1"/>
        <v>0.85416666666666674</v>
      </c>
      <c r="I29" s="2">
        <v>273.38799999999998</v>
      </c>
      <c r="J29" s="3">
        <v>1.1839999999999999</v>
      </c>
      <c r="K29" s="2">
        <v>361.96999999997206</v>
      </c>
      <c r="L29" s="3">
        <v>3.5444287729196051</v>
      </c>
      <c r="M29" s="1">
        <v>77</v>
      </c>
    </row>
    <row r="30" spans="1:13" x14ac:dyDescent="0.25">
      <c r="A30" s="1" t="s">
        <v>13</v>
      </c>
      <c r="B30" s="1">
        <f t="shared" si="2"/>
        <v>29</v>
      </c>
      <c r="C30" s="1">
        <v>12</v>
      </c>
      <c r="D30" s="1">
        <v>2021</v>
      </c>
      <c r="E30" s="1">
        <v>14840</v>
      </c>
      <c r="F30" s="3">
        <f t="shared" si="0"/>
        <v>0.14444444444444443</v>
      </c>
      <c r="G30" s="1">
        <v>1545.2</v>
      </c>
      <c r="H30" s="3">
        <f t="shared" si="1"/>
        <v>0.85416666666666674</v>
      </c>
      <c r="I30" s="2">
        <v>273.38799999999998</v>
      </c>
      <c r="J30" s="3">
        <v>1.1839999999999999</v>
      </c>
      <c r="K30" s="2">
        <v>100.61999999999534</v>
      </c>
      <c r="L30" s="3">
        <v>3.5444287729196051</v>
      </c>
      <c r="M30" s="2">
        <v>76</v>
      </c>
    </row>
    <row r="31" spans="1:13" x14ac:dyDescent="0.25">
      <c r="A31" s="1" t="s">
        <v>13</v>
      </c>
      <c r="B31" s="1">
        <f t="shared" si="2"/>
        <v>30</v>
      </c>
      <c r="C31" s="1">
        <v>12</v>
      </c>
      <c r="D31" s="2">
        <v>2021</v>
      </c>
      <c r="E31" s="2">
        <v>14000</v>
      </c>
      <c r="F31" s="3">
        <f t="shared" si="0"/>
        <v>0.14444444444444443</v>
      </c>
      <c r="G31" s="1">
        <v>1545.2</v>
      </c>
      <c r="H31" s="3">
        <f t="shared" si="1"/>
        <v>0.85416666666666674</v>
      </c>
      <c r="I31" s="2">
        <v>273.38799999999998</v>
      </c>
      <c r="J31" s="3">
        <v>1.1839999999999999</v>
      </c>
      <c r="K31" s="2">
        <v>134.28999999992084</v>
      </c>
      <c r="L31" s="3">
        <v>3.5444287729196051</v>
      </c>
      <c r="M31" s="2">
        <v>77</v>
      </c>
    </row>
    <row r="32" spans="1:13" x14ac:dyDescent="0.25">
      <c r="A32" s="1" t="s">
        <v>13</v>
      </c>
      <c r="B32" s="1">
        <f t="shared" si="2"/>
        <v>31</v>
      </c>
      <c r="C32" s="1">
        <v>12</v>
      </c>
      <c r="D32" s="2">
        <v>2021</v>
      </c>
      <c r="E32" s="2">
        <v>15290</v>
      </c>
      <c r="F32" s="3">
        <f t="shared" si="0"/>
        <v>0.14444444444444443</v>
      </c>
      <c r="G32" s="1">
        <v>1545.2</v>
      </c>
      <c r="H32" s="3">
        <f t="shared" si="1"/>
        <v>0.85416666666666674</v>
      </c>
      <c r="I32" s="2">
        <v>273.38799999999998</v>
      </c>
      <c r="J32" s="3">
        <v>1.1839999999999999</v>
      </c>
      <c r="K32" s="2">
        <v>181.15000000002328</v>
      </c>
      <c r="L32" s="3">
        <v>3.5444287729196051</v>
      </c>
      <c r="M32" s="1">
        <v>102</v>
      </c>
    </row>
    <row r="33" spans="5:13" x14ac:dyDescent="0.25">
      <c r="E33" s="11">
        <f>SUM(E2:E32)</f>
        <v>459660</v>
      </c>
      <c r="F33" s="11"/>
      <c r="G33" s="11">
        <f>SUM(G2:G32)</f>
        <v>47901.199999999983</v>
      </c>
      <c r="H33" s="11"/>
      <c r="I33" s="11">
        <f>SUM(I2:I32)</f>
        <v>8475.0280000000002</v>
      </c>
      <c r="J33" s="11"/>
      <c r="K33" s="11">
        <f>SUM(K2:K32)</f>
        <v>5221.1300000000047</v>
      </c>
      <c r="L33" s="11"/>
      <c r="M33" s="11">
        <f>SUM(M2:M32)</f>
        <v>2503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topLeftCell="A10" workbookViewId="0">
      <selection activeCell="K35" sqref="K35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6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s="1" t="s">
        <v>13</v>
      </c>
      <c r="B2" s="1">
        <v>1</v>
      </c>
      <c r="C2" s="1">
        <v>12</v>
      </c>
      <c r="D2" s="1">
        <v>2020</v>
      </c>
      <c r="E2" s="7">
        <v>7140</v>
      </c>
      <c r="F2" s="8">
        <v>0.104</v>
      </c>
      <c r="G2" s="8">
        <v>1096.9000000000001</v>
      </c>
      <c r="H2" s="8">
        <f>0.47/0.709</f>
        <v>0.66290550070521859</v>
      </c>
      <c r="I2" s="8">
        <v>127.58</v>
      </c>
      <c r="J2" s="10">
        <f>0.59/0.709</f>
        <v>0.83215796897038086</v>
      </c>
      <c r="K2" s="2">
        <v>88</v>
      </c>
      <c r="L2" s="8">
        <f>2.513/0.709</f>
        <v>3.5444287729196051</v>
      </c>
      <c r="M2" s="9">
        <v>3</v>
      </c>
    </row>
    <row r="3" spans="1:13" x14ac:dyDescent="0.25">
      <c r="A3" s="1" t="s">
        <v>13</v>
      </c>
      <c r="B3" s="1">
        <f>B2+1</f>
        <v>2</v>
      </c>
      <c r="C3" s="1">
        <v>12</v>
      </c>
      <c r="D3" s="1">
        <v>2020</v>
      </c>
      <c r="E3" s="7">
        <v>7350</v>
      </c>
      <c r="F3" s="8">
        <v>0.104</v>
      </c>
      <c r="G3" s="8">
        <v>1096.9000000000001</v>
      </c>
      <c r="H3" s="8">
        <f t="shared" ref="H3:H32" si="0">0.47/0.709</f>
        <v>0.66290550070521859</v>
      </c>
      <c r="I3" s="8">
        <v>127.58</v>
      </c>
      <c r="J3" s="10">
        <f t="shared" ref="J3:J32" si="1">0.59/0.709</f>
        <v>0.83215796897038086</v>
      </c>
      <c r="K3" s="2">
        <v>80</v>
      </c>
      <c r="L3" s="8">
        <f t="shared" ref="L3:L32" si="2">2.513/0.709</f>
        <v>3.5444287729196051</v>
      </c>
      <c r="M3" s="9">
        <v>4</v>
      </c>
    </row>
    <row r="4" spans="1:13" x14ac:dyDescent="0.25">
      <c r="A4" s="1" t="s">
        <v>13</v>
      </c>
      <c r="B4" s="1">
        <f t="shared" ref="B4:B32" si="3">B3+1</f>
        <v>3</v>
      </c>
      <c r="C4" s="1">
        <v>12</v>
      </c>
      <c r="D4" s="1">
        <v>2020</v>
      </c>
      <c r="E4" s="7">
        <v>7310</v>
      </c>
      <c r="F4" s="8">
        <v>0.104</v>
      </c>
      <c r="G4" s="8">
        <v>1096.9000000000001</v>
      </c>
      <c r="H4" s="8">
        <f t="shared" si="0"/>
        <v>0.66290550070521859</v>
      </c>
      <c r="I4" s="8">
        <v>127.58</v>
      </c>
      <c r="J4" s="10">
        <f t="shared" si="1"/>
        <v>0.83215796897038086</v>
      </c>
      <c r="K4" s="2">
        <v>124</v>
      </c>
      <c r="L4" s="8">
        <f t="shared" si="2"/>
        <v>3.5444287729196051</v>
      </c>
      <c r="M4" s="9">
        <v>4</v>
      </c>
    </row>
    <row r="5" spans="1:13" x14ac:dyDescent="0.25">
      <c r="A5" s="1" t="s">
        <v>13</v>
      </c>
      <c r="B5" s="1">
        <f t="shared" si="3"/>
        <v>4</v>
      </c>
      <c r="C5" s="1">
        <v>12</v>
      </c>
      <c r="D5" s="1">
        <v>2020</v>
      </c>
      <c r="E5" s="7">
        <v>5230</v>
      </c>
      <c r="F5" s="8">
        <v>0.104</v>
      </c>
      <c r="G5" s="8">
        <v>1096.9000000000001</v>
      </c>
      <c r="H5" s="8">
        <f t="shared" si="0"/>
        <v>0.66290550070521859</v>
      </c>
      <c r="I5" s="8">
        <v>127.58</v>
      </c>
      <c r="J5" s="10">
        <f t="shared" si="1"/>
        <v>0.83215796897038086</v>
      </c>
      <c r="K5" s="2">
        <v>41</v>
      </c>
      <c r="L5" s="8">
        <f t="shared" si="2"/>
        <v>3.5444287729196051</v>
      </c>
      <c r="M5" s="9">
        <v>4</v>
      </c>
    </row>
    <row r="6" spans="1:13" x14ac:dyDescent="0.25">
      <c r="A6" s="1" t="s">
        <v>13</v>
      </c>
      <c r="B6" s="1">
        <f t="shared" si="3"/>
        <v>5</v>
      </c>
      <c r="C6" s="1">
        <v>12</v>
      </c>
      <c r="D6" s="1">
        <v>2020</v>
      </c>
      <c r="E6" s="7">
        <v>7000</v>
      </c>
      <c r="F6" s="8">
        <v>0.104</v>
      </c>
      <c r="G6" s="8">
        <v>1096.9000000000001</v>
      </c>
      <c r="H6" s="8">
        <f t="shared" si="0"/>
        <v>0.66290550070521859</v>
      </c>
      <c r="I6" s="8">
        <v>127.58</v>
      </c>
      <c r="J6" s="10">
        <f t="shared" si="1"/>
        <v>0.83215796897038086</v>
      </c>
      <c r="K6" s="2">
        <v>119</v>
      </c>
      <c r="L6" s="8">
        <f t="shared" si="2"/>
        <v>3.5444287729196051</v>
      </c>
      <c r="M6" s="9">
        <v>5</v>
      </c>
    </row>
    <row r="7" spans="1:13" x14ac:dyDescent="0.25">
      <c r="A7" s="1" t="s">
        <v>13</v>
      </c>
      <c r="B7" s="1">
        <f t="shared" si="3"/>
        <v>6</v>
      </c>
      <c r="C7" s="1">
        <v>12</v>
      </c>
      <c r="D7" s="1">
        <v>2020</v>
      </c>
      <c r="E7" s="7">
        <v>6940</v>
      </c>
      <c r="F7" s="8">
        <v>0.104</v>
      </c>
      <c r="G7" s="8">
        <v>1096.9000000000001</v>
      </c>
      <c r="H7" s="8">
        <f t="shared" si="0"/>
        <v>0.66290550070521859</v>
      </c>
      <c r="I7" s="8">
        <v>127.58</v>
      </c>
      <c r="J7" s="10">
        <f t="shared" si="1"/>
        <v>0.83215796897038086</v>
      </c>
      <c r="K7" s="2">
        <v>41</v>
      </c>
      <c r="L7" s="8">
        <f t="shared" si="2"/>
        <v>3.5444287729196051</v>
      </c>
      <c r="M7" s="9">
        <v>3</v>
      </c>
    </row>
    <row r="8" spans="1:13" x14ac:dyDescent="0.25">
      <c r="A8" s="1" t="s">
        <v>13</v>
      </c>
      <c r="B8" s="1">
        <f t="shared" si="3"/>
        <v>7</v>
      </c>
      <c r="C8" s="1">
        <v>12</v>
      </c>
      <c r="D8" s="1">
        <v>2020</v>
      </c>
      <c r="E8" s="7">
        <v>6690</v>
      </c>
      <c r="F8" s="8">
        <v>0.104</v>
      </c>
      <c r="G8" s="8">
        <v>1096.9000000000001</v>
      </c>
      <c r="H8" s="8">
        <f t="shared" si="0"/>
        <v>0.66290550070521859</v>
      </c>
      <c r="I8" s="8">
        <v>127.58</v>
      </c>
      <c r="J8" s="10">
        <f t="shared" si="1"/>
        <v>0.83215796897038086</v>
      </c>
      <c r="K8" s="2">
        <v>48</v>
      </c>
      <c r="L8" s="8">
        <f t="shared" si="2"/>
        <v>3.5444287729196051</v>
      </c>
      <c r="M8" s="9">
        <v>5</v>
      </c>
    </row>
    <row r="9" spans="1:13" x14ac:dyDescent="0.25">
      <c r="A9" s="1" t="s">
        <v>13</v>
      </c>
      <c r="B9" s="1">
        <f t="shared" si="3"/>
        <v>8</v>
      </c>
      <c r="C9" s="1">
        <v>12</v>
      </c>
      <c r="D9" s="1">
        <v>2020</v>
      </c>
      <c r="E9" s="7">
        <v>6870</v>
      </c>
      <c r="F9" s="8">
        <v>0.104</v>
      </c>
      <c r="G9" s="8">
        <v>1096.9000000000001</v>
      </c>
      <c r="H9" s="8">
        <f t="shared" si="0"/>
        <v>0.66290550070521859</v>
      </c>
      <c r="I9" s="8">
        <v>127.58</v>
      </c>
      <c r="J9" s="10">
        <f t="shared" si="1"/>
        <v>0.83215796897038086</v>
      </c>
      <c r="K9" s="2">
        <v>97</v>
      </c>
      <c r="L9" s="8">
        <f t="shared" si="2"/>
        <v>3.5444287729196051</v>
      </c>
      <c r="M9" s="9">
        <v>7</v>
      </c>
    </row>
    <row r="10" spans="1:13" x14ac:dyDescent="0.25">
      <c r="A10" s="1" t="s">
        <v>13</v>
      </c>
      <c r="B10" s="1">
        <f t="shared" si="3"/>
        <v>9</v>
      </c>
      <c r="C10" s="1">
        <v>12</v>
      </c>
      <c r="D10" s="1">
        <v>2020</v>
      </c>
      <c r="E10" s="7">
        <v>7010</v>
      </c>
      <c r="F10" s="8">
        <v>0.104</v>
      </c>
      <c r="G10" s="8">
        <v>1096.9000000000001</v>
      </c>
      <c r="H10" s="8">
        <f t="shared" si="0"/>
        <v>0.66290550070521859</v>
      </c>
      <c r="I10" s="8">
        <v>127.58</v>
      </c>
      <c r="J10" s="10">
        <f t="shared" si="1"/>
        <v>0.83215796897038086</v>
      </c>
      <c r="K10" s="2">
        <v>0</v>
      </c>
      <c r="L10" s="8">
        <f t="shared" si="2"/>
        <v>3.5444287729196051</v>
      </c>
      <c r="M10" s="9">
        <v>6</v>
      </c>
    </row>
    <row r="11" spans="1:13" x14ac:dyDescent="0.25">
      <c r="A11" s="1" t="s">
        <v>13</v>
      </c>
      <c r="B11" s="1">
        <f t="shared" si="3"/>
        <v>10</v>
      </c>
      <c r="C11" s="1">
        <v>12</v>
      </c>
      <c r="D11" s="1">
        <v>2020</v>
      </c>
      <c r="E11" s="7">
        <v>7180</v>
      </c>
      <c r="F11" s="8">
        <v>0.104</v>
      </c>
      <c r="G11" s="8">
        <v>1096.9000000000001</v>
      </c>
      <c r="H11" s="8">
        <f t="shared" si="0"/>
        <v>0.66290550070521859</v>
      </c>
      <c r="I11" s="8">
        <v>127.58</v>
      </c>
      <c r="J11" s="10">
        <f t="shared" si="1"/>
        <v>0.83215796897038086</v>
      </c>
      <c r="K11" s="2">
        <v>37</v>
      </c>
      <c r="L11" s="8">
        <f t="shared" si="2"/>
        <v>3.5444287729196051</v>
      </c>
      <c r="M11" s="9">
        <v>7</v>
      </c>
    </row>
    <row r="12" spans="1:13" x14ac:dyDescent="0.25">
      <c r="A12" s="1" t="s">
        <v>13</v>
      </c>
      <c r="B12" s="1">
        <f t="shared" si="3"/>
        <v>11</v>
      </c>
      <c r="C12" s="1">
        <v>12</v>
      </c>
      <c r="D12" s="1">
        <v>2020</v>
      </c>
      <c r="E12" s="7">
        <v>5270</v>
      </c>
      <c r="F12" s="8">
        <v>0.104</v>
      </c>
      <c r="G12" s="8">
        <v>1096.9000000000001</v>
      </c>
      <c r="H12" s="8">
        <f t="shared" si="0"/>
        <v>0.66290550070521859</v>
      </c>
      <c r="I12" s="8">
        <v>127.58</v>
      </c>
      <c r="J12" s="10">
        <f t="shared" si="1"/>
        <v>0.83215796897038086</v>
      </c>
      <c r="K12" s="2">
        <v>39</v>
      </c>
      <c r="L12" s="8">
        <f t="shared" si="2"/>
        <v>3.5444287729196051</v>
      </c>
      <c r="M12" s="9">
        <v>3</v>
      </c>
    </row>
    <row r="13" spans="1:13" x14ac:dyDescent="0.25">
      <c r="A13" s="1" t="s">
        <v>13</v>
      </c>
      <c r="B13" s="1">
        <f t="shared" si="3"/>
        <v>12</v>
      </c>
      <c r="C13" s="1">
        <v>12</v>
      </c>
      <c r="D13" s="1">
        <v>2020</v>
      </c>
      <c r="E13" s="7">
        <v>6850</v>
      </c>
      <c r="F13" s="8">
        <v>0.104</v>
      </c>
      <c r="G13" s="8">
        <v>1096.9000000000001</v>
      </c>
      <c r="H13" s="8">
        <f t="shared" si="0"/>
        <v>0.66290550070521859</v>
      </c>
      <c r="I13" s="8">
        <v>127.58</v>
      </c>
      <c r="J13" s="10">
        <f t="shared" si="1"/>
        <v>0.83215796897038086</v>
      </c>
      <c r="K13" s="2">
        <v>37</v>
      </c>
      <c r="L13" s="8">
        <f t="shared" si="2"/>
        <v>3.5444287729196051</v>
      </c>
      <c r="M13" s="9">
        <v>6</v>
      </c>
    </row>
    <row r="14" spans="1:13" x14ac:dyDescent="0.25">
      <c r="A14" s="1" t="s">
        <v>13</v>
      </c>
      <c r="B14" s="1">
        <f t="shared" si="3"/>
        <v>13</v>
      </c>
      <c r="C14" s="1">
        <v>12</v>
      </c>
      <c r="D14" s="1">
        <v>2020</v>
      </c>
      <c r="E14" s="7">
        <v>7270</v>
      </c>
      <c r="F14" s="8">
        <v>0.104</v>
      </c>
      <c r="G14" s="8">
        <v>1096.9000000000001</v>
      </c>
      <c r="H14" s="8">
        <f t="shared" si="0"/>
        <v>0.66290550070521859</v>
      </c>
      <c r="I14" s="8">
        <v>127.58</v>
      </c>
      <c r="J14" s="10">
        <f t="shared" si="1"/>
        <v>0.83215796897038086</v>
      </c>
      <c r="K14" s="2">
        <v>36</v>
      </c>
      <c r="L14" s="8">
        <f t="shared" si="2"/>
        <v>3.5444287729196051</v>
      </c>
      <c r="M14" s="9">
        <v>10</v>
      </c>
    </row>
    <row r="15" spans="1:13" x14ac:dyDescent="0.25">
      <c r="A15" s="1" t="s">
        <v>13</v>
      </c>
      <c r="B15" s="1">
        <f t="shared" si="3"/>
        <v>14</v>
      </c>
      <c r="C15" s="1">
        <v>12</v>
      </c>
      <c r="D15" s="1">
        <v>2020</v>
      </c>
      <c r="E15" s="7">
        <v>7150</v>
      </c>
      <c r="F15" s="8">
        <v>0.104</v>
      </c>
      <c r="G15" s="8">
        <v>1096.9000000000001</v>
      </c>
      <c r="H15" s="8">
        <f t="shared" si="0"/>
        <v>0.66290550070521859</v>
      </c>
      <c r="I15" s="8">
        <v>127.58</v>
      </c>
      <c r="J15" s="10">
        <f t="shared" si="1"/>
        <v>0.83215796897038086</v>
      </c>
      <c r="K15" s="2">
        <v>44</v>
      </c>
      <c r="L15" s="8">
        <f t="shared" si="2"/>
        <v>3.5444287729196051</v>
      </c>
      <c r="M15" s="9">
        <v>9</v>
      </c>
    </row>
    <row r="16" spans="1:13" x14ac:dyDescent="0.25">
      <c r="A16" s="1" t="s">
        <v>13</v>
      </c>
      <c r="B16" s="1">
        <f t="shared" si="3"/>
        <v>15</v>
      </c>
      <c r="C16" s="1">
        <v>12</v>
      </c>
      <c r="D16" s="1">
        <v>2020</v>
      </c>
      <c r="E16" s="7">
        <v>7230</v>
      </c>
      <c r="F16" s="8">
        <v>0.104</v>
      </c>
      <c r="G16" s="8">
        <v>1096.9000000000001</v>
      </c>
      <c r="H16" s="8">
        <f t="shared" si="0"/>
        <v>0.66290550070521859</v>
      </c>
      <c r="I16" s="8">
        <v>127.58</v>
      </c>
      <c r="J16" s="10">
        <f t="shared" si="1"/>
        <v>0.83215796897038086</v>
      </c>
      <c r="K16" s="2">
        <v>92</v>
      </c>
      <c r="L16" s="8">
        <f t="shared" si="2"/>
        <v>3.5444287729196051</v>
      </c>
      <c r="M16" s="9">
        <v>10</v>
      </c>
    </row>
    <row r="17" spans="1:13" x14ac:dyDescent="0.25">
      <c r="A17" s="1" t="s">
        <v>13</v>
      </c>
      <c r="B17" s="1">
        <f t="shared" si="3"/>
        <v>16</v>
      </c>
      <c r="C17" s="1">
        <v>12</v>
      </c>
      <c r="D17" s="1">
        <v>2020</v>
      </c>
      <c r="E17" s="7">
        <v>7730</v>
      </c>
      <c r="F17" s="8">
        <v>0.104</v>
      </c>
      <c r="G17" s="8">
        <v>1096.9000000000001</v>
      </c>
      <c r="H17" s="8">
        <f t="shared" si="0"/>
        <v>0.66290550070521859</v>
      </c>
      <c r="I17" s="8">
        <v>127.58</v>
      </c>
      <c r="J17" s="10">
        <f t="shared" si="1"/>
        <v>0.83215796897038086</v>
      </c>
      <c r="K17" s="2">
        <v>41</v>
      </c>
      <c r="L17" s="8">
        <f t="shared" si="2"/>
        <v>3.5444287729196051</v>
      </c>
      <c r="M17" s="9">
        <v>17</v>
      </c>
    </row>
    <row r="18" spans="1:13" x14ac:dyDescent="0.25">
      <c r="A18" s="1" t="s">
        <v>13</v>
      </c>
      <c r="B18" s="1">
        <f t="shared" si="3"/>
        <v>17</v>
      </c>
      <c r="C18" s="1">
        <v>12</v>
      </c>
      <c r="D18" s="1">
        <v>2020</v>
      </c>
      <c r="E18" s="7">
        <v>7950</v>
      </c>
      <c r="F18" s="8">
        <v>0.104</v>
      </c>
      <c r="G18" s="8">
        <v>1096.9000000000001</v>
      </c>
      <c r="H18" s="8">
        <f t="shared" si="0"/>
        <v>0.66290550070521859</v>
      </c>
      <c r="I18" s="8">
        <v>127.58</v>
      </c>
      <c r="J18" s="10">
        <f t="shared" si="1"/>
        <v>0.83215796897038086</v>
      </c>
      <c r="K18" s="2">
        <v>35</v>
      </c>
      <c r="L18" s="8">
        <f t="shared" si="2"/>
        <v>3.5444287729196051</v>
      </c>
      <c r="M18" s="9">
        <v>21</v>
      </c>
    </row>
    <row r="19" spans="1:13" x14ac:dyDescent="0.25">
      <c r="A19" s="1" t="s">
        <v>13</v>
      </c>
      <c r="B19" s="1">
        <f t="shared" si="3"/>
        <v>18</v>
      </c>
      <c r="C19" s="1">
        <v>12</v>
      </c>
      <c r="D19" s="1">
        <v>2020</v>
      </c>
      <c r="E19" s="7">
        <v>6050</v>
      </c>
      <c r="F19" s="8">
        <v>0.104</v>
      </c>
      <c r="G19" s="8">
        <v>1096.9000000000001</v>
      </c>
      <c r="H19" s="8">
        <f t="shared" si="0"/>
        <v>0.66290550070521859</v>
      </c>
      <c r="I19" s="8">
        <v>127.58</v>
      </c>
      <c r="J19" s="10">
        <f t="shared" si="1"/>
        <v>0.83215796897038086</v>
      </c>
      <c r="K19" s="2">
        <v>42</v>
      </c>
      <c r="L19" s="8">
        <f t="shared" si="2"/>
        <v>3.5444287729196051</v>
      </c>
      <c r="M19" s="9">
        <v>20</v>
      </c>
    </row>
    <row r="20" spans="1:13" x14ac:dyDescent="0.25">
      <c r="A20" s="1" t="s">
        <v>13</v>
      </c>
      <c r="B20" s="1">
        <f t="shared" si="3"/>
        <v>19</v>
      </c>
      <c r="C20" s="1">
        <v>12</v>
      </c>
      <c r="D20" s="1">
        <v>2020</v>
      </c>
      <c r="E20" s="7">
        <v>6360</v>
      </c>
      <c r="F20" s="8">
        <v>0.104</v>
      </c>
      <c r="G20" s="8">
        <v>1096.9000000000001</v>
      </c>
      <c r="H20" s="8">
        <f t="shared" si="0"/>
        <v>0.66290550070521859</v>
      </c>
      <c r="I20" s="8">
        <v>127.58</v>
      </c>
      <c r="J20" s="10">
        <f t="shared" si="1"/>
        <v>0.83215796897038086</v>
      </c>
      <c r="K20" s="2">
        <v>46</v>
      </c>
      <c r="L20" s="8">
        <f t="shared" si="2"/>
        <v>3.5444287729196051</v>
      </c>
      <c r="M20" s="9">
        <v>21</v>
      </c>
    </row>
    <row r="21" spans="1:13" x14ac:dyDescent="0.25">
      <c r="A21" s="1" t="s">
        <v>13</v>
      </c>
      <c r="B21" s="1">
        <f t="shared" si="3"/>
        <v>20</v>
      </c>
      <c r="C21" s="1">
        <v>12</v>
      </c>
      <c r="D21" s="1">
        <v>2020</v>
      </c>
      <c r="E21" s="7">
        <v>7350</v>
      </c>
      <c r="F21" s="8">
        <v>0.104</v>
      </c>
      <c r="G21" s="8">
        <v>1096.9000000000001</v>
      </c>
      <c r="H21" s="8">
        <f t="shared" si="0"/>
        <v>0.66290550070521859</v>
      </c>
      <c r="I21" s="8">
        <v>127.58</v>
      </c>
      <c r="J21" s="10">
        <f t="shared" si="1"/>
        <v>0.83215796897038086</v>
      </c>
      <c r="K21" s="2">
        <v>92</v>
      </c>
      <c r="L21" s="8">
        <f t="shared" si="2"/>
        <v>3.5444287729196051</v>
      </c>
      <c r="M21" s="9">
        <v>12</v>
      </c>
    </row>
    <row r="22" spans="1:13" x14ac:dyDescent="0.25">
      <c r="A22" s="1" t="s">
        <v>13</v>
      </c>
      <c r="B22" s="1">
        <f t="shared" si="3"/>
        <v>21</v>
      </c>
      <c r="C22" s="1">
        <v>12</v>
      </c>
      <c r="D22" s="1">
        <v>2020</v>
      </c>
      <c r="E22" s="7">
        <v>6980</v>
      </c>
      <c r="F22" s="8">
        <v>0.104</v>
      </c>
      <c r="G22" s="8">
        <v>1096.9000000000001</v>
      </c>
      <c r="H22" s="8">
        <f t="shared" si="0"/>
        <v>0.66290550070521859</v>
      </c>
      <c r="I22" s="8">
        <v>127.58</v>
      </c>
      <c r="J22" s="10">
        <f t="shared" si="1"/>
        <v>0.83215796897038086</v>
      </c>
      <c r="K22" s="2">
        <v>44</v>
      </c>
      <c r="L22" s="8">
        <f t="shared" si="2"/>
        <v>3.5444287729196051</v>
      </c>
      <c r="M22" s="9">
        <v>18</v>
      </c>
    </row>
    <row r="23" spans="1:13" x14ac:dyDescent="0.25">
      <c r="A23" s="1" t="s">
        <v>13</v>
      </c>
      <c r="B23" s="1">
        <f t="shared" si="3"/>
        <v>22</v>
      </c>
      <c r="C23" s="1">
        <v>12</v>
      </c>
      <c r="D23" s="1">
        <v>2020</v>
      </c>
      <c r="E23" s="7">
        <v>7170</v>
      </c>
      <c r="F23" s="8">
        <v>0.104</v>
      </c>
      <c r="G23" s="8">
        <v>1096.9000000000001</v>
      </c>
      <c r="H23" s="8">
        <f t="shared" si="0"/>
        <v>0.66290550070521859</v>
      </c>
      <c r="I23" s="8">
        <v>127.58</v>
      </c>
      <c r="J23" s="10">
        <f t="shared" si="1"/>
        <v>0.83215796897038086</v>
      </c>
      <c r="K23" s="2">
        <v>46</v>
      </c>
      <c r="L23" s="8">
        <f t="shared" si="2"/>
        <v>3.5444287729196051</v>
      </c>
      <c r="M23" s="9">
        <v>15</v>
      </c>
    </row>
    <row r="24" spans="1:13" x14ac:dyDescent="0.25">
      <c r="A24" s="1" t="s">
        <v>13</v>
      </c>
      <c r="B24" s="1">
        <f t="shared" si="3"/>
        <v>23</v>
      </c>
      <c r="C24" s="1">
        <v>12</v>
      </c>
      <c r="D24" s="1">
        <v>2020</v>
      </c>
      <c r="E24" s="7">
        <v>7690</v>
      </c>
      <c r="F24" s="8">
        <v>0.104</v>
      </c>
      <c r="G24" s="8">
        <v>1096.9000000000001</v>
      </c>
      <c r="H24" s="8">
        <f t="shared" si="0"/>
        <v>0.66290550070521859</v>
      </c>
      <c r="I24" s="8">
        <v>127.58</v>
      </c>
      <c r="J24" s="10">
        <f t="shared" si="1"/>
        <v>0.83215796897038086</v>
      </c>
      <c r="K24" s="2">
        <v>83</v>
      </c>
      <c r="L24" s="8">
        <f t="shared" si="2"/>
        <v>3.5444287729196051</v>
      </c>
      <c r="M24" s="9">
        <v>7</v>
      </c>
    </row>
    <row r="25" spans="1:13" x14ac:dyDescent="0.25">
      <c r="A25" s="1" t="s">
        <v>13</v>
      </c>
      <c r="B25" s="1">
        <f t="shared" si="3"/>
        <v>24</v>
      </c>
      <c r="C25" s="1">
        <v>12</v>
      </c>
      <c r="D25" s="1">
        <v>2020</v>
      </c>
      <c r="E25" s="7">
        <v>8100</v>
      </c>
      <c r="F25" s="8">
        <v>0.104</v>
      </c>
      <c r="G25" s="8">
        <v>1096.9000000000001</v>
      </c>
      <c r="H25" s="8">
        <f t="shared" si="0"/>
        <v>0.66290550070521859</v>
      </c>
      <c r="I25" s="8">
        <v>127.58</v>
      </c>
      <c r="J25" s="10">
        <f t="shared" si="1"/>
        <v>0.83215796897038086</v>
      </c>
      <c r="K25" s="2">
        <v>102</v>
      </c>
      <c r="L25" s="8">
        <f t="shared" si="2"/>
        <v>3.5444287729196051</v>
      </c>
      <c r="M25" s="9">
        <v>8</v>
      </c>
    </row>
    <row r="26" spans="1:13" x14ac:dyDescent="0.25">
      <c r="A26" s="1" t="s">
        <v>13</v>
      </c>
      <c r="B26" s="1">
        <f>B25+1</f>
        <v>25</v>
      </c>
      <c r="C26" s="1">
        <v>12</v>
      </c>
      <c r="D26" s="1">
        <v>2020</v>
      </c>
      <c r="E26" s="7">
        <v>5350</v>
      </c>
      <c r="F26" s="8">
        <v>0.104</v>
      </c>
      <c r="G26" s="8">
        <v>1096.9000000000001</v>
      </c>
      <c r="H26" s="8">
        <f t="shared" si="0"/>
        <v>0.66290550070521859</v>
      </c>
      <c r="I26" s="8">
        <v>127.58</v>
      </c>
      <c r="J26" s="10">
        <f t="shared" si="1"/>
        <v>0.83215796897038086</v>
      </c>
      <c r="K26" s="2">
        <v>9</v>
      </c>
      <c r="L26" s="8">
        <f t="shared" si="2"/>
        <v>3.5444287729196051</v>
      </c>
      <c r="M26" s="9">
        <v>10</v>
      </c>
    </row>
    <row r="27" spans="1:13" x14ac:dyDescent="0.25">
      <c r="A27" s="1" t="s">
        <v>13</v>
      </c>
      <c r="B27" s="1">
        <f t="shared" si="3"/>
        <v>26</v>
      </c>
      <c r="C27" s="1">
        <v>12</v>
      </c>
      <c r="D27" s="1">
        <v>2020</v>
      </c>
      <c r="E27" s="7">
        <v>7130</v>
      </c>
      <c r="F27" s="8">
        <v>0.104</v>
      </c>
      <c r="G27" s="8">
        <v>1096.9000000000001</v>
      </c>
      <c r="H27" s="8">
        <f t="shared" si="0"/>
        <v>0.66290550070521859</v>
      </c>
      <c r="I27" s="8">
        <v>127.58</v>
      </c>
      <c r="J27" s="10">
        <f t="shared" si="1"/>
        <v>0.83215796897038086</v>
      </c>
      <c r="K27" s="2">
        <v>77</v>
      </c>
      <c r="L27" s="8">
        <f t="shared" si="2"/>
        <v>3.5444287729196051</v>
      </c>
      <c r="M27" s="9">
        <v>9</v>
      </c>
    </row>
    <row r="28" spans="1:13" x14ac:dyDescent="0.25">
      <c r="A28" s="1" t="s">
        <v>13</v>
      </c>
      <c r="B28" s="1">
        <f t="shared" si="3"/>
        <v>27</v>
      </c>
      <c r="C28" s="1">
        <v>12</v>
      </c>
      <c r="D28" s="1">
        <v>2020</v>
      </c>
      <c r="E28" s="7">
        <v>7540</v>
      </c>
      <c r="F28" s="8">
        <v>0.104</v>
      </c>
      <c r="G28" s="8">
        <v>1096.9000000000001</v>
      </c>
      <c r="H28" s="8">
        <f t="shared" si="0"/>
        <v>0.66290550070521859</v>
      </c>
      <c r="I28" s="8">
        <v>127.58</v>
      </c>
      <c r="J28" s="10">
        <f t="shared" si="1"/>
        <v>0.83215796897038086</v>
      </c>
      <c r="K28" s="2">
        <v>60</v>
      </c>
      <c r="L28" s="8">
        <f t="shared" si="2"/>
        <v>3.5444287729196051</v>
      </c>
      <c r="M28" s="9">
        <v>11</v>
      </c>
    </row>
    <row r="29" spans="1:13" x14ac:dyDescent="0.25">
      <c r="A29" s="1" t="s">
        <v>13</v>
      </c>
      <c r="B29" s="1">
        <f t="shared" si="3"/>
        <v>28</v>
      </c>
      <c r="C29" s="1">
        <v>12</v>
      </c>
      <c r="D29" s="1">
        <v>2020</v>
      </c>
      <c r="E29" s="7">
        <v>7530</v>
      </c>
      <c r="F29" s="8">
        <v>0.104</v>
      </c>
      <c r="G29" s="8">
        <v>1096.9000000000001</v>
      </c>
      <c r="H29" s="8">
        <f t="shared" si="0"/>
        <v>0.66290550070521859</v>
      </c>
      <c r="I29" s="8">
        <v>127.58</v>
      </c>
      <c r="J29" s="10">
        <f t="shared" si="1"/>
        <v>0.83215796897038086</v>
      </c>
      <c r="K29" s="2">
        <v>61</v>
      </c>
      <c r="L29" s="8">
        <f t="shared" si="2"/>
        <v>3.5444287729196051</v>
      </c>
      <c r="M29" s="9">
        <v>12</v>
      </c>
    </row>
    <row r="30" spans="1:13" x14ac:dyDescent="0.25">
      <c r="A30" s="1" t="s">
        <v>13</v>
      </c>
      <c r="B30" s="1">
        <f t="shared" si="3"/>
        <v>29</v>
      </c>
      <c r="C30" s="1">
        <v>12</v>
      </c>
      <c r="D30" s="1">
        <v>2020</v>
      </c>
      <c r="E30" s="7">
        <v>7660</v>
      </c>
      <c r="F30" s="8">
        <v>0.104</v>
      </c>
      <c r="G30" s="8">
        <v>1096.9000000000001</v>
      </c>
      <c r="H30" s="8">
        <f t="shared" si="0"/>
        <v>0.66290550070521859</v>
      </c>
      <c r="I30" s="8">
        <v>127.58</v>
      </c>
      <c r="J30" s="10">
        <f t="shared" si="1"/>
        <v>0.83215796897038086</v>
      </c>
      <c r="K30" s="2">
        <v>42</v>
      </c>
      <c r="L30" s="8">
        <f t="shared" si="2"/>
        <v>3.5444287729196051</v>
      </c>
      <c r="M30" s="9">
        <v>8</v>
      </c>
    </row>
    <row r="31" spans="1:13" x14ac:dyDescent="0.25">
      <c r="A31" s="1" t="s">
        <v>13</v>
      </c>
      <c r="B31" s="1">
        <f t="shared" si="3"/>
        <v>30</v>
      </c>
      <c r="C31" s="1">
        <v>12</v>
      </c>
      <c r="D31" s="1">
        <v>2020</v>
      </c>
      <c r="E31" s="1">
        <v>7440</v>
      </c>
      <c r="F31" s="8">
        <v>0.104</v>
      </c>
      <c r="G31" s="8">
        <v>1096.9000000000001</v>
      </c>
      <c r="H31" s="8">
        <f t="shared" si="0"/>
        <v>0.66290550070521859</v>
      </c>
      <c r="I31" s="8">
        <v>127.58</v>
      </c>
      <c r="J31" s="10">
        <f t="shared" si="1"/>
        <v>0.83215796897038086</v>
      </c>
      <c r="K31" s="2">
        <v>169</v>
      </c>
      <c r="L31" s="8">
        <f t="shared" si="2"/>
        <v>3.5444287729196051</v>
      </c>
      <c r="M31" s="9">
        <v>10</v>
      </c>
    </row>
    <row r="32" spans="1:13" x14ac:dyDescent="0.25">
      <c r="A32" s="1" t="s">
        <v>13</v>
      </c>
      <c r="B32" s="1">
        <f t="shared" si="3"/>
        <v>31</v>
      </c>
      <c r="C32" s="1">
        <v>12</v>
      </c>
      <c r="D32" s="1">
        <v>2020</v>
      </c>
      <c r="E32" s="1">
        <v>8390</v>
      </c>
      <c r="F32" s="8">
        <v>0.104</v>
      </c>
      <c r="G32" s="8">
        <v>1096.9000000000001</v>
      </c>
      <c r="H32" s="8">
        <f t="shared" si="0"/>
        <v>0.66290550070521859</v>
      </c>
      <c r="I32" s="8">
        <v>127.58</v>
      </c>
      <c r="J32" s="10">
        <f t="shared" si="1"/>
        <v>0.83215796897038086</v>
      </c>
      <c r="K32" s="2">
        <v>46</v>
      </c>
      <c r="L32" s="8">
        <f t="shared" si="2"/>
        <v>3.5444287729196051</v>
      </c>
      <c r="M32" s="9">
        <v>12</v>
      </c>
    </row>
    <row r="33" spans="1:13" x14ac:dyDescent="0.25">
      <c r="A33" s="1" t="s">
        <v>14</v>
      </c>
      <c r="E33" s="7">
        <f>SUM(E2:E32)</f>
        <v>218910</v>
      </c>
      <c r="F33" s="7"/>
      <c r="G33" s="7"/>
      <c r="H33" s="7"/>
      <c r="I33" s="7"/>
      <c r="J33" s="7"/>
      <c r="K33" s="7"/>
      <c r="L33" s="7"/>
      <c r="M33" s="2">
        <f>SUM(M2:M32)</f>
        <v>297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J. El Khoury</cp:lastModifiedBy>
  <dcterms:created xsi:type="dcterms:W3CDTF">2017-05-19T08:37:05Z</dcterms:created>
  <dcterms:modified xsi:type="dcterms:W3CDTF">2022-01-09T11:38:07Z</dcterms:modified>
</cp:coreProperties>
</file>