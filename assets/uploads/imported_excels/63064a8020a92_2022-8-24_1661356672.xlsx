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<sst xmlns="http://schemas.openxmlformats.org/spreadsheetml/2006/main" count="108" uniqueCount="33">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</sst>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G24" sqref="G2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9.7930000000000003E-2</v>
      </c>
      <c r="I2" s="20">
        <f>Submetering!J2+Submetering!I2+Submetering!H2</f>
        <v>96.38</v>
      </c>
      <c r="J2" s="16">
        <v>3.7390400000000001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f>H2</f>
        <v>9.7930000000000003E-2</v>
      </c>
      <c r="I3" s="20">
        <f>Submetering!J3+Submetering!I3+Submetering!H3</f>
        <v>113.38</v>
      </c>
      <c r="J3" s="16">
        <f>J2</f>
        <v>3.7390400000000001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f t="shared" ref="H4:H32" si="2">H3</f>
        <v>9.7930000000000003E-2</v>
      </c>
      <c r="I4" s="20">
        <f>Submetering!J4+Submetering!I4+Submetering!H4</f>
        <v>102.93</v>
      </c>
      <c r="J4" s="16">
        <f t="shared" ref="J4:J31" si="3">J3</f>
        <v>3.7390400000000001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f t="shared" si="2"/>
        <v>9.7930000000000003E-2</v>
      </c>
      <c r="I5" s="20">
        <f>Submetering!J5+Submetering!I5+Submetering!H5</f>
        <v>94.53</v>
      </c>
      <c r="J5" s="16">
        <f t="shared" si="3"/>
        <v>3.7390400000000001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f t="shared" si="2"/>
        <v>9.7930000000000003E-2</v>
      </c>
      <c r="I6" s="20">
        <f>Submetering!J6+Submetering!I6+Submetering!H6</f>
        <v>100.36</v>
      </c>
      <c r="J6" s="16">
        <f t="shared" si="3"/>
        <v>3.7390400000000001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f t="shared" si="2"/>
        <v>9.7930000000000003E-2</v>
      </c>
      <c r="I7" s="20">
        <f>Submetering!J7+Submetering!I7+Submetering!H7</f>
        <v>93.97</v>
      </c>
      <c r="J7" s="16">
        <f t="shared" si="3"/>
        <v>3.7390400000000001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f t="shared" si="2"/>
        <v>9.7930000000000003E-2</v>
      </c>
      <c r="I8" s="20">
        <f>Submetering!J8+Submetering!I8+Submetering!H8</f>
        <v>90.87</v>
      </c>
      <c r="J8" s="16">
        <f t="shared" si="3"/>
        <v>3.7390400000000001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f t="shared" si="2"/>
        <v>9.7930000000000003E-2</v>
      </c>
      <c r="I9" s="20">
        <f>Submetering!J9+Submetering!I9+Submetering!H9</f>
        <v>96.77</v>
      </c>
      <c r="J9" s="16">
        <f t="shared" si="3"/>
        <v>3.7390400000000001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f t="shared" si="2"/>
        <v>9.7930000000000003E-2</v>
      </c>
      <c r="I10" s="20">
        <f>Submetering!J10+Submetering!I10+Submetering!H10</f>
        <v>95.51</v>
      </c>
      <c r="J10" s="16">
        <f t="shared" si="3"/>
        <v>3.7390400000000001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f t="shared" si="2"/>
        <v>9.7930000000000003E-2</v>
      </c>
      <c r="I11" s="20">
        <f>Submetering!J11+Submetering!I11+Submetering!H11</f>
        <v>89.59</v>
      </c>
      <c r="J11" s="16">
        <f t="shared" si="3"/>
        <v>3.7390400000000001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f t="shared" si="2"/>
        <v>9.7930000000000003E-2</v>
      </c>
      <c r="I12" s="20">
        <f>Submetering!J12+Submetering!I12+Submetering!H12</f>
        <v>86.07</v>
      </c>
      <c r="J12" s="16">
        <f t="shared" si="3"/>
        <v>3.7390400000000001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f t="shared" si="2"/>
        <v>9.7930000000000003E-2</v>
      </c>
      <c r="I13" s="20">
        <f>Submetering!J13+Submetering!I13+Submetering!H13</f>
        <v>90.65</v>
      </c>
      <c r="J13" s="16">
        <f t="shared" si="3"/>
        <v>3.7390400000000001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v>0.12</v>
      </c>
      <c r="G14" s="20">
        <f>Submetering!F14+Submetering!G14</f>
        <v>150.15</v>
      </c>
      <c r="H14" s="16">
        <f t="shared" si="2"/>
        <v>9.7930000000000003E-2</v>
      </c>
      <c r="I14" s="20">
        <f>Submetering!J14+Submetering!I14+Submetering!H14</f>
        <v>91.21</v>
      </c>
      <c r="J14" s="16">
        <f t="shared" si="3"/>
        <v>3.7390400000000001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v>0.12</v>
      </c>
      <c r="G15" s="20">
        <f>Submetering!F15+Submetering!G15</f>
        <v>142.59</v>
      </c>
      <c r="H15" s="16">
        <f t="shared" si="2"/>
        <v>9.7930000000000003E-2</v>
      </c>
      <c r="I15" s="20">
        <f>Submetering!J15+Submetering!I15+Submetering!H15</f>
        <v>84.58</v>
      </c>
      <c r="J15" s="16">
        <f t="shared" si="3"/>
        <v>3.7390400000000001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9550.09</v>
      </c>
      <c r="F16" s="16">
        <v>0.12</v>
      </c>
      <c r="G16" s="20">
        <f>Submetering!F16+Submetering!G16</f>
        <v>146.61999999999998</v>
      </c>
      <c r="H16" s="16">
        <f t="shared" si="2"/>
        <v>9.7930000000000003E-2</v>
      </c>
      <c r="I16" s="20">
        <f>Submetering!J16+Submetering!I16+Submetering!H16</f>
        <v>88.21</v>
      </c>
      <c r="J16" s="16">
        <f t="shared" si="3"/>
        <v>3.7390400000000001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9612.56</v>
      </c>
      <c r="F17" s="16">
        <v>0.12</v>
      </c>
      <c r="G17" s="20">
        <f>Submetering!F17+Submetering!G17</f>
        <v>122.91</v>
      </c>
      <c r="H17" s="16">
        <f t="shared" si="2"/>
        <v>9.7930000000000003E-2</v>
      </c>
      <c r="I17" s="20">
        <f>Submetering!J17+Submetering!I17+Submetering!H17</f>
        <v>87.64</v>
      </c>
      <c r="J17" s="16">
        <f t="shared" si="3"/>
        <v>3.7390400000000001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9735.26</v>
      </c>
      <c r="F18" s="16">
        <v>0.12</v>
      </c>
      <c r="G18" s="20">
        <f>Submetering!F18+Submetering!G18</f>
        <v>90.78</v>
      </c>
      <c r="H18" s="16">
        <f t="shared" si="2"/>
        <v>9.7930000000000003E-2</v>
      </c>
      <c r="I18" s="20">
        <f>Submetering!J18+Submetering!I18+Submetering!H18</f>
        <v>85.85</v>
      </c>
      <c r="J18" s="16">
        <f t="shared" si="3"/>
        <v>3.7390400000000001</v>
      </c>
      <c r="K18" s="20">
        <f>Submetering!K18</f>
        <v>89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9211.43</v>
      </c>
      <c r="F19" s="16">
        <v>0.12</v>
      </c>
      <c r="G19" s="20">
        <f>Submetering!F19+Submetering!G19</f>
        <v>125.50999999999999</v>
      </c>
      <c r="H19" s="16">
        <f t="shared" si="2"/>
        <v>9.7930000000000003E-2</v>
      </c>
      <c r="I19" s="20">
        <f>Submetering!J19+Submetering!I19+Submetering!H19</f>
        <v>89.31</v>
      </c>
      <c r="J19" s="16">
        <f t="shared" si="3"/>
        <v>3.7390400000000001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9177.75</v>
      </c>
      <c r="F20" s="16">
        <v>0.12</v>
      </c>
      <c r="G20" s="20">
        <f>Submetering!F20+Submetering!G20</f>
        <v>82.82</v>
      </c>
      <c r="H20" s="16">
        <f t="shared" si="2"/>
        <v>9.7930000000000003E-2</v>
      </c>
      <c r="I20" s="20">
        <f>Submetering!J20+Submetering!I20+Submetering!H20</f>
        <v>94.01</v>
      </c>
      <c r="J20" s="16">
        <f t="shared" si="3"/>
        <v>3.7390400000000001</v>
      </c>
      <c r="K20" s="20">
        <f>Submetering!K20</f>
        <v>93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9034.91</v>
      </c>
      <c r="F21" s="16">
        <v>0.12</v>
      </c>
      <c r="G21" s="20">
        <f>Submetering!F21+Submetering!G21</f>
        <v>116.53999999999999</v>
      </c>
      <c r="H21" s="16">
        <f t="shared" si="2"/>
        <v>9.7930000000000003E-2</v>
      </c>
      <c r="I21" s="20">
        <f>Submetering!J21+Submetering!I21+Submetering!H21</f>
        <v>90.72</v>
      </c>
      <c r="J21" s="16">
        <f t="shared" si="3"/>
        <v>3.7390400000000001</v>
      </c>
      <c r="K21" s="20">
        <f>Submetering!K21</f>
        <v>93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9109.69</v>
      </c>
      <c r="F22" s="16">
        <v>0.12</v>
      </c>
      <c r="G22" s="20">
        <f>Submetering!F22+Submetering!G22</f>
        <v>100.65</v>
      </c>
      <c r="H22" s="16">
        <f t="shared" si="2"/>
        <v>9.7930000000000003E-2</v>
      </c>
      <c r="I22" s="20">
        <f>Submetering!J22+Submetering!I22+Submetering!H22</f>
        <v>86.64</v>
      </c>
      <c r="J22" s="16">
        <f t="shared" si="3"/>
        <v>3.7390400000000001</v>
      </c>
      <c r="K22" s="20">
        <f>Submetering!K22</f>
        <v>92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9175.99</v>
      </c>
      <c r="F23" s="16">
        <v>0.12</v>
      </c>
      <c r="G23" s="20">
        <f>Submetering!F23+Submetering!G23</f>
        <v>128.69</v>
      </c>
      <c r="H23" s="16">
        <f t="shared" si="2"/>
        <v>9.7930000000000003E-2</v>
      </c>
      <c r="I23" s="20">
        <f>Submetering!J23+Submetering!I23+Submetering!H23</f>
        <v>98.76</v>
      </c>
      <c r="J23" s="16">
        <f t="shared" si="3"/>
        <v>3.7390400000000001</v>
      </c>
      <c r="K23" s="20">
        <f>Submetering!K23</f>
        <v>100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9265.65</v>
      </c>
      <c r="F24" s="16">
        <v>0.12</v>
      </c>
      <c r="G24" s="20">
        <f>Submetering!F24+Submetering!G24</f>
        <v>0</v>
      </c>
      <c r="H24" s="16">
        <f t="shared" si="2"/>
        <v>9.7930000000000003E-2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9.7930000000000003E-2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9.7930000000000003E-2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9.7930000000000003E-2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9.7930000000000003E-2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9.7930000000000003E-2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9.7930000000000003E-2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9.7930000000000003E-2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9.7930000000000003E-2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11" activePane="bottomRight" state="frozen"/>
      <selection pane="topRight" activeCell="C1" sqref="C1"/>
      <selection pane="bottomLeft" activeCell="A2" sqref="A2"/>
      <selection pane="bottomRight" activeCell="K23" sqref="K2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9550.09</v>
      </c>
      <c r="F16" s="37">
        <v>132.66999999999999</v>
      </c>
      <c r="G16" s="37">
        <v>13.95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>
        <v>9612.56</v>
      </c>
      <c r="F17" s="37">
        <v>109.46</v>
      </c>
      <c r="G17" s="37">
        <v>13.45</v>
      </c>
      <c r="H17" s="37">
        <v>3.14</v>
      </c>
      <c r="I17" s="37">
        <v>35</v>
      </c>
      <c r="J17" s="37">
        <v>49.5</v>
      </c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>
        <v>9735.26</v>
      </c>
      <c r="F18" s="37">
        <v>76.34</v>
      </c>
      <c r="G18" s="37">
        <v>14.44</v>
      </c>
      <c r="H18" s="37">
        <v>3.35</v>
      </c>
      <c r="I18" s="37">
        <v>34.5</v>
      </c>
      <c r="J18" s="37">
        <v>48</v>
      </c>
      <c r="K18" s="6">
        <v>89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>
        <v>9211.43</v>
      </c>
      <c r="F19" s="37">
        <v>111.07</v>
      </c>
      <c r="G19" s="37">
        <v>14.44</v>
      </c>
      <c r="H19" s="37">
        <v>2.81</v>
      </c>
      <c r="I19" s="37">
        <v>34.5</v>
      </c>
      <c r="J19" s="37">
        <v>52</v>
      </c>
      <c r="K19" s="6">
        <v>99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>
        <v>9177.75</v>
      </c>
      <c r="F20" s="37">
        <v>66.88</v>
      </c>
      <c r="G20" s="37">
        <v>15.94</v>
      </c>
      <c r="H20" s="37">
        <v>3.01</v>
      </c>
      <c r="I20" s="37">
        <v>38.5</v>
      </c>
      <c r="J20" s="37">
        <v>52.5</v>
      </c>
      <c r="K20" s="6">
        <v>93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>
        <v>9034.91</v>
      </c>
      <c r="F21" s="37">
        <v>101.6</v>
      </c>
      <c r="G21" s="37">
        <v>14.94</v>
      </c>
      <c r="H21" s="37">
        <v>3.72</v>
      </c>
      <c r="I21" s="37">
        <v>34</v>
      </c>
      <c r="J21" s="37">
        <v>53</v>
      </c>
      <c r="K21" s="6">
        <v>93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>
        <v>9109.69</v>
      </c>
      <c r="F22" s="37">
        <v>91.19</v>
      </c>
      <c r="G22" s="37">
        <v>9.4600000000000009</v>
      </c>
      <c r="H22" s="37">
        <v>3.64</v>
      </c>
      <c r="I22" s="37">
        <v>33</v>
      </c>
      <c r="J22" s="37">
        <v>50</v>
      </c>
      <c r="K22" s="6">
        <v>92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>
        <v>9175.99</v>
      </c>
      <c r="F23" s="37">
        <v>110.76</v>
      </c>
      <c r="G23" s="37">
        <v>17.93</v>
      </c>
      <c r="H23" s="37">
        <v>7.76</v>
      </c>
      <c r="I23" s="37">
        <v>37.5</v>
      </c>
      <c r="J23" s="37">
        <v>53.5</v>
      </c>
      <c r="K23" s="6">
        <v>100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>
        <v>9265.65</v>
      </c>
      <c r="F24" s="37"/>
      <c r="G24" s="37"/>
      <c r="H24" s="37"/>
      <c r="I24" s="37"/>
      <c r="J24" s="37"/>
      <c r="K24" s="6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2022-08-24T15:56:45Z</dcterms:modified>
</cp:coreProperties>
</file>