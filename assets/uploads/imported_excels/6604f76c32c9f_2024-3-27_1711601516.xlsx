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29" documentId="8_{CE01D393-3CEF-4C6B-8750-3D20271035FF}" xr6:coauthVersionLast="36" xr6:coauthVersionMax="36" xr10:uidLastSave="{2946793C-EE52-4C2F-81EF-521BFA8AD9AA}"/>
  <bookViews>
    <workbookView xWindow="-105" yWindow="-105" windowWidth="19395" windowHeight="10275" tabRatio="500" firstSheet="14" activeTab="31" xr2:uid="{00000000-000D-0000-FFFF-FFFF00000000}"/>
  </bookViews>
  <sheets>
    <sheet name="Total" sheetId="1" r:id="rId1"/>
    <sheet name="Submetering" sheetId="2" r:id="rId2"/>
    <sheet name="Daily Meter" sheetId="3" r:id="rId3"/>
    <sheet name="Sheet1" sheetId="37" r:id="rId4"/>
    <sheet name="1" sheetId="4" r:id="rId5"/>
    <sheet name="2" sheetId="5" r:id="rId6"/>
    <sheet name="3" sheetId="6" r:id="rId7"/>
    <sheet name="4" sheetId="7" r:id="rId8"/>
    <sheet name="5" sheetId="8" r:id="rId9"/>
    <sheet name="6" sheetId="9" r:id="rId10"/>
    <sheet name="7" sheetId="10" r:id="rId11"/>
    <sheet name="8" sheetId="11" r:id="rId12"/>
    <sheet name="9" sheetId="12" r:id="rId13"/>
    <sheet name="10" sheetId="13" r:id="rId14"/>
    <sheet name="11" sheetId="14" r:id="rId15"/>
    <sheet name="12" sheetId="15" r:id="rId16"/>
    <sheet name="13" sheetId="16" r:id="rId17"/>
    <sheet name="14" sheetId="17" r:id="rId18"/>
    <sheet name="15" sheetId="18" r:id="rId19"/>
    <sheet name="16" sheetId="19" r:id="rId20"/>
    <sheet name="17" sheetId="20" r:id="rId21"/>
    <sheet name="18" sheetId="21" r:id="rId22"/>
    <sheet name="19" sheetId="22" r:id="rId23"/>
    <sheet name="20" sheetId="23" r:id="rId24"/>
    <sheet name="21" sheetId="24" r:id="rId25"/>
    <sheet name="22" sheetId="25" r:id="rId26"/>
    <sheet name="23" sheetId="26" r:id="rId27"/>
    <sheet name="24" sheetId="27" r:id="rId28"/>
    <sheet name="25" sheetId="28" r:id="rId29"/>
    <sheet name="26" sheetId="29" r:id="rId30"/>
    <sheet name="27" sheetId="30" r:id="rId31"/>
    <sheet name="28" sheetId="31" r:id="rId32"/>
    <sheet name="29" sheetId="32" r:id="rId33"/>
    <sheet name="30" sheetId="33" r:id="rId34"/>
    <sheet name="31" sheetId="34" r:id="rId35"/>
    <sheet name="dec. 1 to 31" sheetId="36" r:id="rId36"/>
  </sheets>
  <definedNames>
    <definedName name="_xlnm.Print_Area" localSheetId="2">'Daily Meter'!$A$1:$O$38</definedName>
    <definedName name="_xlnm.Print_Area" localSheetId="35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30" l="1"/>
  <c r="F23" i="30" s="1"/>
  <c r="G23" i="30" s="1"/>
  <c r="G31" i="30" s="1"/>
  <c r="F14" i="21"/>
  <c r="F18" i="18"/>
  <c r="F15" i="17"/>
  <c r="F17" i="24"/>
  <c r="F22" i="31"/>
  <c r="F31" i="31" s="1"/>
  <c r="F13" i="16"/>
  <c r="E17" i="1"/>
  <c r="E22" i="1"/>
  <c r="F10" i="21"/>
  <c r="F11" i="21" s="1"/>
  <c r="F29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G8" i="27" s="1"/>
  <c r="G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F28" i="27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31" l="1"/>
  <c r="G23" i="31" s="1"/>
  <c r="G31" i="31" s="1"/>
  <c r="F19" i="29"/>
  <c r="G11" i="22"/>
  <c r="G29" i="22" s="1"/>
  <c r="F23" i="22"/>
  <c r="G23" i="22" s="1"/>
  <c r="G31" i="22" s="1"/>
  <c r="G11" i="21"/>
  <c r="G29" i="21" s="1"/>
  <c r="F19" i="18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30" i="30" s="1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G19" i="30" l="1"/>
  <c r="G30" i="30" s="1"/>
  <c r="F30" i="28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<sst xmlns="http://schemas.openxmlformats.org/spreadsheetml/2006/main" count="1997" uniqueCount="132">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</sst>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3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255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16895.999999999694</v>
      </c>
      <c r="F20" s="5">
        <v>0.44</v>
      </c>
      <c r="G20" s="6">
        <f>Submetering!M20</f>
        <v>475.45000000000005</v>
      </c>
      <c r="H20" s="12">
        <v>2.5</v>
      </c>
      <c r="I20" s="6">
        <f>Submetering!L20</f>
        <v>26616.249</v>
      </c>
      <c r="J20" s="5">
        <v>0.06</v>
      </c>
      <c r="K20" s="186">
        <f>Submetering!K20</f>
        <v>8700.8039999995854</v>
      </c>
      <c r="L20" s="5">
        <v>1.1399999999999999</v>
      </c>
      <c r="M20" s="6">
        <f>INT('Daily Meter'!O24*434/100)</f>
        <v>271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16896.000000000131</v>
      </c>
      <c r="F21" s="5">
        <v>0.44</v>
      </c>
      <c r="G21" s="6">
        <f>Submetering!M21</f>
        <v>471.00999999995696</v>
      </c>
      <c r="H21" s="12">
        <v>2.5</v>
      </c>
      <c r="I21" s="6">
        <f>Submetering!L21</f>
        <v>46193.49</v>
      </c>
      <c r="J21" s="5">
        <v>0.06</v>
      </c>
      <c r="K21" s="186">
        <f>Submetering!K21</f>
        <v>9895.0319999987587</v>
      </c>
      <c r="L21" s="5">
        <v>1.1399999999999999</v>
      </c>
      <c r="M21" s="6">
        <f>INT('Daily Meter'!O25*434/100)</f>
        <v>276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16896.000000000349</v>
      </c>
      <c r="F22" s="5">
        <v>0.44</v>
      </c>
      <c r="G22" s="6">
        <f>Submetering!M22</f>
        <v>506.90000000000003</v>
      </c>
      <c r="H22" s="12">
        <v>2.5</v>
      </c>
      <c r="I22" s="6">
        <f>Submetering!L22</f>
        <v>41794.11</v>
      </c>
      <c r="J22" s="5">
        <v>0.06</v>
      </c>
      <c r="K22" s="186">
        <f>Submetering!K22</f>
        <v>10037.202000000827</v>
      </c>
      <c r="L22" s="5">
        <v>1.1399999999999999</v>
      </c>
      <c r="M22" s="6">
        <f>INT('Daily Meter'!O26*434/100)</f>
        <v>274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17183.999999999214</v>
      </c>
      <c r="F23" s="5">
        <v>0.44</v>
      </c>
      <c r="G23" s="6">
        <f>Submetering!M23</f>
        <v>520.59000000004312</v>
      </c>
      <c r="H23" s="12">
        <v>2.5</v>
      </c>
      <c r="I23" s="6">
        <f>Submetering!L23</f>
        <v>39814.388999999996</v>
      </c>
      <c r="J23" s="5">
        <v>0.06</v>
      </c>
      <c r="K23" s="186">
        <f>Submetering!K23</f>
        <v>9781.2960000004132</v>
      </c>
      <c r="L23" s="5">
        <v>1.1399999999999999</v>
      </c>
      <c r="M23" s="6">
        <f>INT('Daily Meter'!O27*434/100)</f>
        <v>245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17183.999999999869</v>
      </c>
      <c r="F24" s="5">
        <v>0.44</v>
      </c>
      <c r="G24" s="6">
        <f>Submetering!M24</f>
        <v>545.37999999997851</v>
      </c>
      <c r="H24" s="12">
        <v>2.5</v>
      </c>
      <c r="I24" s="6">
        <f>Submetering!L24</f>
        <v>45973.521000000001</v>
      </c>
      <c r="J24" s="5">
        <v>0.06</v>
      </c>
      <c r="K24" s="186">
        <f>Submetering!K24</f>
        <v>9269.4839999995856</v>
      </c>
      <c r="L24" s="5">
        <v>1.1399999999999999</v>
      </c>
      <c r="M24" s="6">
        <f>INT('Daily Meter'!O28*434/100)</f>
        <v>249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17087.999999999956</v>
      </c>
      <c r="F25" s="5">
        <v>0.44</v>
      </c>
      <c r="G25" s="6">
        <f>Submetering!M25</f>
        <v>524.66000000001077</v>
      </c>
      <c r="H25" s="12">
        <v>2.5</v>
      </c>
      <c r="I25" s="6">
        <f>Submetering!L25</f>
        <v>45753.551999999996</v>
      </c>
      <c r="J25" s="5">
        <v>0.06</v>
      </c>
      <c r="K25" s="186">
        <f>Submetering!K25</f>
        <v>9098.8799999999992</v>
      </c>
      <c r="L25" s="5">
        <v>1.1399999999999999</v>
      </c>
      <c r="M25" s="6">
        <f>INT('Daily Meter'!O29*434/100)</f>
        <v>232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16560</v>
      </c>
      <c r="F26" s="5">
        <v>0.44</v>
      </c>
      <c r="G26" s="6">
        <f>Submetering!M26</f>
        <v>500.97999999997847</v>
      </c>
      <c r="H26" s="12">
        <v>2.5</v>
      </c>
      <c r="I26" s="6">
        <f>Submetering!L26</f>
        <v>38934.512999999999</v>
      </c>
      <c r="J26" s="5">
        <v>0.06</v>
      </c>
      <c r="K26" s="186">
        <f>Submetering!K26</f>
        <v>9440.0879999991721</v>
      </c>
      <c r="L26" s="5">
        <v>1.1399999999999999</v>
      </c>
      <c r="M26" s="6">
        <f>INT('Daily Meter'!O30*434/100)</f>
        <v>289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17088.000000000611</v>
      </c>
      <c r="F27" s="5">
        <v>0.44</v>
      </c>
      <c r="G27" s="6">
        <f>Submetering!M27</f>
        <v>527.62000000002161</v>
      </c>
      <c r="H27" s="12">
        <v>2.5</v>
      </c>
      <c r="I27" s="6">
        <f>Submetering!L27</f>
        <v>48833.118000000002</v>
      </c>
      <c r="J27" s="5">
        <v>0.06</v>
      </c>
      <c r="K27" s="186">
        <f>Submetering!K27</f>
        <v>10492.146000000414</v>
      </c>
      <c r="L27" s="5">
        <v>1.1399999999999999</v>
      </c>
      <c r="M27" s="6">
        <f>INT('Daily Meter'!O31*434/100)</f>
        <v>247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17232.000000000262</v>
      </c>
      <c r="F28" s="5">
        <v>0.44</v>
      </c>
      <c r="G28" s="6">
        <f>Submetering!M28</f>
        <v>429.93999999998925</v>
      </c>
      <c r="H28" s="12">
        <v>2.5</v>
      </c>
      <c r="I28" s="6">
        <f>Submetering!L28</f>
        <v>40034.358</v>
      </c>
      <c r="J28" s="5">
        <v>0.06</v>
      </c>
      <c r="K28" s="186">
        <f>Submetering!K28</f>
        <v>8587.0680000012399</v>
      </c>
      <c r="L28" s="5">
        <v>1.1399999999999999</v>
      </c>
      <c r="M28" s="6">
        <f>INT('Daily Meter'!O32*434/100)</f>
        <v>244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17375.999999999913</v>
      </c>
      <c r="F29" s="5">
        <v>0.44</v>
      </c>
      <c r="G29" s="6">
        <f>Submetering!M29</f>
        <v>502.8299999999785</v>
      </c>
      <c r="H29" s="12">
        <v>2.5</v>
      </c>
      <c r="I29" s="6">
        <f>Submetering!L29</f>
        <v>39594.42</v>
      </c>
      <c r="J29" s="5">
        <v>0.06</v>
      </c>
      <c r="K29" s="186">
        <f>Submetering!K29</f>
        <v>7165.3679999991718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255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3360</v>
      </c>
      <c r="F20" s="6">
        <f>IF(('Daily Meter'!I24-'Daily Meter'!I23)&lt;0,"0",'Daily Meter'!I24-'Daily Meter'!I23)*480</f>
        <v>1968.0000000001746</v>
      </c>
      <c r="G20" s="6">
        <f>IF(('Daily Meter'!J24-'Daily Meter'!J23)&lt;0,"0",'Daily Meter'!J24-'Daily Meter'!J23)*480</f>
        <v>2015.9999999999127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2207.9999999997381</v>
      </c>
      <c r="J20" s="6">
        <f>IF(('Daily Meter'!M24-'Daily Meter'!M23)&lt;0,"0",'Daily Meter'!M24-'Daily Meter'!M23)*480</f>
        <v>5951.9999999998254</v>
      </c>
      <c r="K20" s="6">
        <f>IF(('Daily Meter'!B24-'Daily Meter'!B23)&lt;0,"0",'Daily Meter'!B24-'Daily Meter'!B23)*284.34</f>
        <v>8700.8039999995854</v>
      </c>
      <c r="L20" s="6">
        <f>IF(('Daily Meter'!C24-'Daily Meter'!C23)&lt;0,"0",'Daily Meter'!C24-'Daily Meter'!C23)*219.969</f>
        <v>26616.249</v>
      </c>
      <c r="M20" s="6">
        <f>IF(('Daily Meter'!N24-'Daily Meter'!N23)&lt;0,"0",'Daily Meter'!N24-'Daily Meter'!N23)*3.7</f>
        <v>475.45000000000005</v>
      </c>
      <c r="N20" s="6">
        <f>Total!M20</f>
        <v>271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2015.9999999999127</v>
      </c>
      <c r="G21" s="6">
        <f>IF(('Daily Meter'!J25-'Daily Meter'!J24)&lt;0,"0",'Daily Meter'!J25-'Daily Meter'!J24)*480</f>
        <v>1968.0000000001746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6000</v>
      </c>
      <c r="K21" s="6">
        <f>IF(('Daily Meter'!B25-'Daily Meter'!B24)&lt;0,"0",'Daily Meter'!B25-'Daily Meter'!B24)*284.34</f>
        <v>9895.0319999987587</v>
      </c>
      <c r="L21" s="6">
        <f>IF(('Daily Meter'!C25-'Daily Meter'!C24)&lt;0,"0",'Daily Meter'!C25-'Daily Meter'!C24)*219.969</f>
        <v>46193.49</v>
      </c>
      <c r="M21" s="6">
        <f>IF(('Daily Meter'!N25-'Daily Meter'!N24)&lt;0,"0",'Daily Meter'!N25-'Daily Meter'!N24)*3.7</f>
        <v>471.00999999995696</v>
      </c>
      <c r="N21" s="6">
        <f>Total!M21</f>
        <v>276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3360</v>
      </c>
      <c r="F22" s="6">
        <f>IF(('Daily Meter'!I26-'Daily Meter'!I25)&lt;0,"0",'Daily Meter'!I26-'Daily Meter'!I25)*480</f>
        <v>2064.0000000000873</v>
      </c>
      <c r="G22" s="6">
        <f>IF(('Daily Meter'!J26-'Daily Meter'!J25)&lt;0,"0",'Daily Meter'!J26-'Daily Meter'!J25)*480</f>
        <v>2015.9999999999127</v>
      </c>
      <c r="H22" s="6">
        <f>IF(('Daily Meter'!K26-'Daily Meter'!K25)&lt;0,"0",'Daily Meter'!K26-'Daily Meter'!K25)*480</f>
        <v>1248.0000000001746</v>
      </c>
      <c r="I22" s="6">
        <f>IF(('Daily Meter'!L26-'Daily Meter'!L25)&lt;0,"0",'Daily Meter'!L26-'Daily Meter'!L25)*480</f>
        <v>2208.0000000001746</v>
      </c>
      <c r="J22" s="6">
        <f>IF(('Daily Meter'!M26-'Daily Meter'!M25)&lt;0,"0",'Daily Meter'!M26-'Daily Meter'!M25)*480</f>
        <v>6000</v>
      </c>
      <c r="K22" s="6">
        <f>IF(('Daily Meter'!B26-'Daily Meter'!B25)&lt;0,"0",'Daily Meter'!B26-'Daily Meter'!B25)*284.34</f>
        <v>10037.202000000827</v>
      </c>
      <c r="L22" s="6">
        <f>IF(('Daily Meter'!C26-'Daily Meter'!C25)&lt;0,"0",'Daily Meter'!C26-'Daily Meter'!C25)*219.969</f>
        <v>41794.11</v>
      </c>
      <c r="M22" s="6">
        <f>IF(('Daily Meter'!N26-'Daily Meter'!N25)&lt;0,"0",'Daily Meter'!N26-'Daily Meter'!N25)*3.7</f>
        <v>506.90000000000003</v>
      </c>
      <c r="N22" s="6">
        <f>Total!M22</f>
        <v>274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2063.9999999996508</v>
      </c>
      <c r="G23" s="6">
        <f>IF(('Daily Meter'!J27-'Daily Meter'!J26)&lt;0,"0",'Daily Meter'!J27-'Daily Meter'!J26)*480</f>
        <v>2160</v>
      </c>
      <c r="H23" s="6">
        <f>IF(('Daily Meter'!K27-'Daily Meter'!K26)&lt;0,"0",'Daily Meter'!K27-'Daily Meter'!K26)*480</f>
        <v>1295.9999999999127</v>
      </c>
      <c r="I23" s="6">
        <f>IF(('Daily Meter'!L27-'Daily Meter'!L26)&lt;0,"0",'Daily Meter'!L27-'Daily Meter'!L26)*480</f>
        <v>2207.9999999997381</v>
      </c>
      <c r="J23" s="6">
        <f>IF(('Daily Meter'!M27-'Daily Meter'!M26)&lt;0,"0",'Daily Meter'!M27-'Daily Meter'!M26)*480</f>
        <v>6000</v>
      </c>
      <c r="K23" s="6">
        <f>IF(('Daily Meter'!B27-'Daily Meter'!B26)&lt;0,"0",'Daily Meter'!B27-'Daily Meter'!B26)*284.34</f>
        <v>9781.2960000004132</v>
      </c>
      <c r="L23" s="6">
        <f>IF(('Daily Meter'!C27-'Daily Meter'!C26)&lt;0,"0",'Daily Meter'!C27-'Daily Meter'!C26)*219.969</f>
        <v>39814.388999999996</v>
      </c>
      <c r="M23" s="6">
        <f>IF(('Daily Meter'!N27-'Daily Meter'!N26)&lt;0,"0",'Daily Meter'!N27-'Daily Meter'!N26)*3.7</f>
        <v>520.59000000004312</v>
      </c>
      <c r="N23" s="6">
        <f>Total!M23</f>
        <v>245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3551.9999999998254</v>
      </c>
      <c r="F24" s="6">
        <f>IF(('Daily Meter'!I28-'Daily Meter'!I27)&lt;0,"0",'Daily Meter'!I28-'Daily Meter'!I27)*480</f>
        <v>1968.0000000001746</v>
      </c>
      <c r="G24" s="6">
        <f>IF(('Daily Meter'!J28-'Daily Meter'!J27)&lt;0,"0",'Daily Meter'!J28-'Daily Meter'!J27)*480</f>
        <v>2015.9999999999127</v>
      </c>
      <c r="H24" s="6">
        <f>IF(('Daily Meter'!K28-'Daily Meter'!K27)&lt;0,"0",'Daily Meter'!K28-'Daily Meter'!K27)*480</f>
        <v>1487.9999999999563</v>
      </c>
      <c r="I24" s="6">
        <f>IF(('Daily Meter'!L28-'Daily Meter'!L27)&lt;0,"0",'Daily Meter'!L28-'Daily Meter'!L27)*480</f>
        <v>2208.0000000001746</v>
      </c>
      <c r="J24" s="6">
        <f>IF(('Daily Meter'!M28-'Daily Meter'!M27)&lt;0,"0",'Daily Meter'!M28-'Daily Meter'!M27)*480</f>
        <v>5951.9999999998254</v>
      </c>
      <c r="K24" s="6">
        <f>IF(('Daily Meter'!B28-'Daily Meter'!B27)&lt;0,"0",'Daily Meter'!B28-'Daily Meter'!B27)*284.34</f>
        <v>9269.4839999995856</v>
      </c>
      <c r="L24" s="6">
        <f>IF(('Daily Meter'!C28-'Daily Meter'!C27)&lt;0,"0",'Daily Meter'!C28-'Daily Meter'!C27)*219.969</f>
        <v>45973.521000000001</v>
      </c>
      <c r="M24" s="6">
        <f>IF(('Daily Meter'!N28-'Daily Meter'!N27)&lt;0,"0",'Daily Meter'!N28-'Daily Meter'!N27)*3.7</f>
        <v>545.37999999997851</v>
      </c>
      <c r="N24" s="6">
        <f>Total!M24</f>
        <v>249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3504.0000000000873</v>
      </c>
      <c r="F25" s="6">
        <f>IF(('Daily Meter'!I29-'Daily Meter'!I28)&lt;0,"0",'Daily Meter'!I29-'Daily Meter'!I28)*480</f>
        <v>2015.9999999999127</v>
      </c>
      <c r="G25" s="6">
        <f>IF(('Daily Meter'!J29-'Daily Meter'!J28)&lt;0,"0",'Daily Meter'!J29-'Daily Meter'!J28)*480</f>
        <v>2112.0000000002619</v>
      </c>
      <c r="H25" s="6">
        <f>IF(('Daily Meter'!K29-'Daily Meter'!K28)&lt;0,"0",'Daily Meter'!K29-'Daily Meter'!K28)*480</f>
        <v>1487.9999999999563</v>
      </c>
      <c r="I25" s="6">
        <f>IF(('Daily Meter'!L29-'Daily Meter'!L28)&lt;0,"0",'Daily Meter'!L29-'Daily Meter'!L28)*480</f>
        <v>2207.9999999997381</v>
      </c>
      <c r="J25" s="6">
        <f>IF(('Daily Meter'!M29-'Daily Meter'!M28)&lt;0,"0",'Daily Meter'!M29-'Daily Meter'!M28)*480</f>
        <v>5760</v>
      </c>
      <c r="K25" s="6">
        <f>IF(('Daily Meter'!B29-'Daily Meter'!B28)&lt;0,"0",'Daily Meter'!B29-'Daily Meter'!B28)*284.34</f>
        <v>9098.8799999999992</v>
      </c>
      <c r="L25" s="6">
        <f>IF(('Daily Meter'!C29-'Daily Meter'!C28)&lt;0,"0",'Daily Meter'!C29-'Daily Meter'!C28)*219.969</f>
        <v>45753.551999999996</v>
      </c>
      <c r="M25" s="6">
        <f>IF(('Daily Meter'!N29-'Daily Meter'!N28)&lt;0,"0",'Daily Meter'!N29-'Daily Meter'!N28)*3.7</f>
        <v>524.66000000001077</v>
      </c>
      <c r="N25" s="6">
        <f>Total!M25</f>
        <v>232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3311.9999999998254</v>
      </c>
      <c r="F26" s="6">
        <f>IF(('Daily Meter'!I30-'Daily Meter'!I29)&lt;0,"0",'Daily Meter'!I30-'Daily Meter'!I29)*480</f>
        <v>1920</v>
      </c>
      <c r="G26" s="6">
        <f>IF(('Daily Meter'!J30-'Daily Meter'!J29)&lt;0,"0",'Daily Meter'!J30-'Daily Meter'!J29)*480</f>
        <v>1967.9999999997381</v>
      </c>
      <c r="H26" s="6">
        <f>IF(('Daily Meter'!K30-'Daily Meter'!K29)&lt;0,"0",'Daily Meter'!K30-'Daily Meter'!K29)*480</f>
        <v>1344.0000000000873</v>
      </c>
      <c r="I26" s="6">
        <f>IF(('Daily Meter'!L30-'Daily Meter'!L29)&lt;0,"0",'Daily Meter'!L30-'Daily Meter'!L29)*480</f>
        <v>2160</v>
      </c>
      <c r="J26" s="6">
        <f>IF(('Daily Meter'!M30-'Daily Meter'!M29)&lt;0,"0",'Daily Meter'!M30-'Daily Meter'!M29)*480</f>
        <v>5856.0000000003492</v>
      </c>
      <c r="K26" s="6">
        <f>IF(('Daily Meter'!B30-'Daily Meter'!B29)&lt;0,"0",'Daily Meter'!B30-'Daily Meter'!B29)*284.34</f>
        <v>9440.0879999991721</v>
      </c>
      <c r="L26" s="6">
        <f>IF(('Daily Meter'!C30-'Daily Meter'!C29)&lt;0,"0",'Daily Meter'!C30-'Daily Meter'!C29)*219.969</f>
        <v>38934.512999999999</v>
      </c>
      <c r="M26" s="6">
        <f>IF(('Daily Meter'!N30-'Daily Meter'!N29)&lt;0,"0",'Daily Meter'!N30-'Daily Meter'!N29)*3.7</f>
        <v>500.97999999997847</v>
      </c>
      <c r="N26" s="6">
        <f>Total!M26</f>
        <v>289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3360</v>
      </c>
      <c r="F27" s="6">
        <f>IF(('Daily Meter'!I31-'Daily Meter'!I30)&lt;0,"0",'Daily Meter'!I31-'Daily Meter'!I30)*480</f>
        <v>2112.0000000002619</v>
      </c>
      <c r="G27" s="6">
        <f>IF(('Daily Meter'!J31-'Daily Meter'!J30)&lt;0,"0",'Daily Meter'!J31-'Daily Meter'!J30)*480</f>
        <v>2112.0000000002619</v>
      </c>
      <c r="H27" s="6">
        <f>IF(('Daily Meter'!K31-'Daily Meter'!K30)&lt;0,"0",'Daily Meter'!K31-'Daily Meter'!K30)*480</f>
        <v>1344.0000000000873</v>
      </c>
      <c r="I27" s="6">
        <f>IF(('Daily Meter'!L31-'Daily Meter'!L30)&lt;0,"0",'Daily Meter'!L31-'Daily Meter'!L30)*480</f>
        <v>2208.0000000001746</v>
      </c>
      <c r="J27" s="6">
        <f>IF(('Daily Meter'!M31-'Daily Meter'!M30)&lt;0,"0",'Daily Meter'!M31-'Daily Meter'!M30)*480</f>
        <v>5951.9999999998254</v>
      </c>
      <c r="K27" s="6">
        <f>IF(('Daily Meter'!B31-'Daily Meter'!B30)&lt;0,"0",'Daily Meter'!B31-'Daily Meter'!B30)*284.34</f>
        <v>10492.146000000414</v>
      </c>
      <c r="L27" s="6">
        <f>IF(('Daily Meter'!C31-'Daily Meter'!C30)&lt;0,"0",'Daily Meter'!C31-'Daily Meter'!C30)*219.969</f>
        <v>48833.118000000002</v>
      </c>
      <c r="M27" s="6">
        <f>IF(('Daily Meter'!N31-'Daily Meter'!N30)&lt;0,"0",'Daily Meter'!N31-'Daily Meter'!N30)*3.7</f>
        <v>527.62000000002161</v>
      </c>
      <c r="N27" s="6">
        <f>Total!M27</f>
        <v>247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3504.0000000000873</v>
      </c>
      <c r="F28" s="6">
        <f>IF(('Daily Meter'!I32-'Daily Meter'!I31)&lt;0,"0",'Daily Meter'!I32-'Daily Meter'!I31)*480</f>
        <v>2160</v>
      </c>
      <c r="G28" s="6">
        <f>IF(('Daily Meter'!J32-'Daily Meter'!J31)&lt;0,"0",'Daily Meter'!J32-'Daily Meter'!J31)*480</f>
        <v>2255.9999999999127</v>
      </c>
      <c r="H28" s="6">
        <f>IF(('Daily Meter'!K32-'Daily Meter'!K31)&lt;0,"0",'Daily Meter'!K32-'Daily Meter'!K31)*480</f>
        <v>1295.9999999999127</v>
      </c>
      <c r="I28" s="6">
        <f>IF(('Daily Meter'!L32-'Daily Meter'!L31)&lt;0,"0",'Daily Meter'!L32-'Daily Meter'!L31)*480</f>
        <v>2160</v>
      </c>
      <c r="J28" s="6">
        <f>IF(('Daily Meter'!M32-'Daily Meter'!M31)&lt;0,"0",'Daily Meter'!M32-'Daily Meter'!M31)*480</f>
        <v>5856.0000000003492</v>
      </c>
      <c r="K28" s="6">
        <f>IF(('Daily Meter'!B32-'Daily Meter'!B31)&lt;0,"0",'Daily Meter'!B32-'Daily Meter'!B31)*284.34</f>
        <v>8587.0680000012399</v>
      </c>
      <c r="L28" s="6">
        <f>IF(('Daily Meter'!C32-'Daily Meter'!C31)&lt;0,"0",'Daily Meter'!C32-'Daily Meter'!C31)*219.969</f>
        <v>40034.358</v>
      </c>
      <c r="M28" s="6">
        <f>IF(('Daily Meter'!N32-'Daily Meter'!N31)&lt;0,"0",'Daily Meter'!N32-'Daily Meter'!N31)*3.7</f>
        <v>429.93999999998925</v>
      </c>
      <c r="N28" s="6">
        <f>Total!M28</f>
        <v>244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3552.0000000002619</v>
      </c>
      <c r="F29" s="6">
        <f>IF(('Daily Meter'!I33-'Daily Meter'!I32)&lt;0,"0",'Daily Meter'!I33-'Daily Meter'!I32)*480</f>
        <v>2015.9999999999127</v>
      </c>
      <c r="G29" s="6">
        <f>IF(('Daily Meter'!J33-'Daily Meter'!J32)&lt;0,"0",'Daily Meter'!J33-'Daily Meter'!J32)*480</f>
        <v>2304.0000000000873</v>
      </c>
      <c r="H29" s="6">
        <f>IF(('Daily Meter'!K33-'Daily Meter'!K32)&lt;0,"0",'Daily Meter'!K33-'Daily Meter'!K32)*480</f>
        <v>1344.0000000000873</v>
      </c>
      <c r="I29" s="6">
        <f>IF(('Daily Meter'!L33-'Daily Meter'!L32)&lt;0,"0",'Daily Meter'!L33-'Daily Meter'!L32)*480</f>
        <v>2255.9999999999127</v>
      </c>
      <c r="J29" s="6">
        <f>IF(('Daily Meter'!M33-'Daily Meter'!M32)&lt;0,"0",'Daily Meter'!M33-'Daily Meter'!M32)*480</f>
        <v>5903.9999999996508</v>
      </c>
      <c r="K29" s="6">
        <f>IF(('Daily Meter'!B33-'Daily Meter'!B32)&lt;0,"0",'Daily Meter'!B33-'Daily Meter'!B32)*284.34</f>
        <v>7165.3679999991718</v>
      </c>
      <c r="L29" s="6">
        <f>IF(('Daily Meter'!C33-'Daily Meter'!C32)&lt;0,"0",'Daily Meter'!C33-'Daily Meter'!C32)*219.969</f>
        <v>39594.42</v>
      </c>
      <c r="M29" s="6">
        <f>IF(('Daily Meter'!N33-'Daily Meter'!N32)&lt;0,"0",'Daily Meter'!N33-'Daily Meter'!N32)*3.7</f>
        <v>502.8299999999785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B32" sqref="B32:O33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2" t="s">
        <v>129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Q1" s="16" t="s">
        <v>22</v>
      </c>
    </row>
    <row r="2" spans="1:17" s="13" customFormat="1" x14ac:dyDescent="0.25">
      <c r="A2" s="17"/>
      <c r="B2" s="18" t="s">
        <v>23</v>
      </c>
      <c r="C2" s="213" t="s">
        <v>24</v>
      </c>
      <c r="D2" s="213"/>
      <c r="E2" s="213"/>
      <c r="F2" s="213"/>
      <c r="G2" s="213"/>
      <c r="H2" s="214" t="s">
        <v>25</v>
      </c>
      <c r="I2" s="214"/>
      <c r="J2" s="214"/>
      <c r="K2" s="214"/>
      <c r="L2" s="214"/>
      <c r="M2" s="214"/>
      <c r="N2" s="215" t="s">
        <v>26</v>
      </c>
      <c r="O2" s="216" t="s">
        <v>27</v>
      </c>
    </row>
    <row r="3" spans="1:17" s="13" customFormat="1" x14ac:dyDescent="0.25">
      <c r="A3" s="217" t="s">
        <v>28</v>
      </c>
      <c r="B3" s="19" t="s">
        <v>29</v>
      </c>
      <c r="C3" s="20" t="s">
        <v>30</v>
      </c>
      <c r="D3" s="218" t="s">
        <v>31</v>
      </c>
      <c r="E3" s="218"/>
      <c r="F3" s="219" t="s">
        <v>32</v>
      </c>
      <c r="G3" s="219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5"/>
      <c r="O3" s="216"/>
    </row>
    <row r="4" spans="1:17" s="13" customFormat="1" x14ac:dyDescent="0.25">
      <c r="A4" s="217"/>
      <c r="B4" s="19" t="s">
        <v>36</v>
      </c>
      <c r="C4" s="22" t="s">
        <v>37</v>
      </c>
      <c r="D4" s="220" t="s">
        <v>38</v>
      </c>
      <c r="E4" s="220"/>
      <c r="F4" s="221" t="s">
        <v>39</v>
      </c>
      <c r="G4" s="221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17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0">
        <v>54738.5</v>
      </c>
      <c r="C6" s="201">
        <v>215317</v>
      </c>
      <c r="D6" s="202"/>
      <c r="E6" s="202"/>
      <c r="F6" s="202"/>
      <c r="G6" s="203"/>
      <c r="H6" s="200">
        <v>6984.9</v>
      </c>
      <c r="I6" s="200">
        <v>4219.3</v>
      </c>
      <c r="J6" s="196">
        <v>4506.3999999999996</v>
      </c>
      <c r="K6" s="200">
        <v>2532</v>
      </c>
      <c r="L6" s="200">
        <v>5845.2</v>
      </c>
      <c r="M6" s="200">
        <v>15710.7</v>
      </c>
      <c r="N6" s="200">
        <v>98432.8</v>
      </c>
      <c r="O6" s="204">
        <v>85.25</v>
      </c>
    </row>
    <row r="7" spans="1:17" x14ac:dyDescent="0.25">
      <c r="A7" s="27">
        <v>2</v>
      </c>
      <c r="B7" s="196">
        <v>54757.5</v>
      </c>
      <c r="C7" s="197">
        <v>215536</v>
      </c>
      <c r="D7" s="194"/>
      <c r="E7" s="194"/>
      <c r="F7" s="194"/>
      <c r="G7" s="195"/>
      <c r="H7" s="196">
        <v>6992.1</v>
      </c>
      <c r="I7" s="196">
        <v>4224.3</v>
      </c>
      <c r="J7" s="196">
        <v>4511.2</v>
      </c>
      <c r="K7" s="196">
        <v>2535</v>
      </c>
      <c r="L7" s="196">
        <v>5849.7</v>
      </c>
      <c r="M7" s="196">
        <v>15722</v>
      </c>
      <c r="N7" s="196">
        <v>98591.4</v>
      </c>
      <c r="O7" s="199">
        <v>76.959999999999994</v>
      </c>
    </row>
    <row r="8" spans="1:17" x14ac:dyDescent="0.25">
      <c r="A8" s="27">
        <v>3</v>
      </c>
      <c r="B8" s="196">
        <v>54776.3</v>
      </c>
      <c r="C8" s="197">
        <v>215748</v>
      </c>
      <c r="D8" s="194"/>
      <c r="E8" s="194"/>
      <c r="F8" s="194"/>
      <c r="G8" s="195"/>
      <c r="H8" s="196">
        <v>6999.3</v>
      </c>
      <c r="I8" s="196">
        <v>4229.1000000000004</v>
      </c>
      <c r="J8" s="196">
        <v>4516.3</v>
      </c>
      <c r="K8" s="196">
        <v>2537.9</v>
      </c>
      <c r="L8" s="196">
        <v>5854.4</v>
      </c>
      <c r="M8" s="196">
        <v>15734.1</v>
      </c>
      <c r="N8" s="196">
        <v>98707.8</v>
      </c>
      <c r="O8" s="199">
        <v>81.8</v>
      </c>
    </row>
    <row r="9" spans="1:17" x14ac:dyDescent="0.25">
      <c r="A9" s="27">
        <v>4</v>
      </c>
      <c r="B9" s="196">
        <v>54795.3</v>
      </c>
      <c r="C9" s="197">
        <v>215927</v>
      </c>
      <c r="D9" s="194"/>
      <c r="E9" s="194"/>
      <c r="F9" s="194"/>
      <c r="G9" s="195"/>
      <c r="H9" s="196">
        <v>7006.2</v>
      </c>
      <c r="I9" s="196">
        <v>4233.8999999999996</v>
      </c>
      <c r="J9" s="196">
        <v>4520.8999999999996</v>
      </c>
      <c r="K9" s="196">
        <v>2540.8000000000002</v>
      </c>
      <c r="L9" s="196">
        <v>5858.9</v>
      </c>
      <c r="M9" s="196">
        <v>15745.9</v>
      </c>
      <c r="N9" s="196">
        <v>98864.8</v>
      </c>
      <c r="O9" s="199">
        <v>88.94</v>
      </c>
    </row>
    <row r="10" spans="1:17" x14ac:dyDescent="0.25">
      <c r="A10" s="27">
        <v>5</v>
      </c>
      <c r="B10" s="196">
        <v>54815.8</v>
      </c>
      <c r="C10" s="197">
        <v>216132</v>
      </c>
      <c r="D10" s="194"/>
      <c r="E10" s="194"/>
      <c r="F10" s="194"/>
      <c r="G10" s="195"/>
      <c r="H10" s="196">
        <v>7013</v>
      </c>
      <c r="I10" s="196">
        <v>4238.6000000000004</v>
      </c>
      <c r="J10" s="196">
        <v>4525.5</v>
      </c>
      <c r="K10" s="196">
        <v>2543.6999999999998</v>
      </c>
      <c r="L10" s="196">
        <v>5863.54</v>
      </c>
      <c r="M10" s="196">
        <v>15757.8</v>
      </c>
      <c r="N10" s="196">
        <v>99013.2</v>
      </c>
      <c r="O10" s="199">
        <v>94.93</v>
      </c>
    </row>
    <row r="11" spans="1:17" x14ac:dyDescent="0.25">
      <c r="A11" s="27">
        <v>6</v>
      </c>
      <c r="B11" s="196">
        <v>54838.2</v>
      </c>
      <c r="C11" s="197">
        <v>216316</v>
      </c>
      <c r="D11" s="194"/>
      <c r="E11" s="194"/>
      <c r="F11" s="194"/>
      <c r="G11" s="195"/>
      <c r="H11" s="196">
        <v>7020.2</v>
      </c>
      <c r="I11" s="196">
        <v>4243.3</v>
      </c>
      <c r="J11" s="196">
        <v>4530</v>
      </c>
      <c r="K11" s="196">
        <v>2546.6999999999998</v>
      </c>
      <c r="L11" s="196">
        <v>5868.1</v>
      </c>
      <c r="M11" s="196">
        <v>15769.3</v>
      </c>
      <c r="N11" s="196">
        <v>99154.7</v>
      </c>
      <c r="O11" s="199">
        <v>91.47</v>
      </c>
    </row>
    <row r="12" spans="1:17" x14ac:dyDescent="0.25">
      <c r="A12" s="27">
        <v>7</v>
      </c>
      <c r="B12" s="196">
        <v>54860.1</v>
      </c>
      <c r="C12" s="197">
        <v>216479</v>
      </c>
      <c r="D12" s="194"/>
      <c r="E12" s="194"/>
      <c r="F12" s="194"/>
      <c r="G12" s="195"/>
      <c r="H12" s="196">
        <v>7027.4</v>
      </c>
      <c r="I12" s="196">
        <v>4247.8999999999996</v>
      </c>
      <c r="J12" s="196">
        <v>4534.3</v>
      </c>
      <c r="K12" s="196">
        <v>2549.5</v>
      </c>
      <c r="L12" s="196">
        <v>5872.6</v>
      </c>
      <c r="M12" s="196">
        <v>15780.6</v>
      </c>
      <c r="N12" s="196">
        <v>99291</v>
      </c>
      <c r="O12" s="199">
        <v>92.4</v>
      </c>
    </row>
    <row r="13" spans="1:17" x14ac:dyDescent="0.25">
      <c r="A13" s="27">
        <v>8</v>
      </c>
      <c r="B13" s="196">
        <v>54881.599999999999</v>
      </c>
      <c r="C13" s="197">
        <v>216668</v>
      </c>
      <c r="D13" s="194"/>
      <c r="E13" s="194"/>
      <c r="F13" s="194"/>
      <c r="G13" s="195"/>
      <c r="H13" s="196">
        <v>7034.5</v>
      </c>
      <c r="I13" s="196">
        <v>4252.3999999999996</v>
      </c>
      <c r="J13" s="196">
        <v>4539</v>
      </c>
      <c r="K13" s="196">
        <v>2552.5</v>
      </c>
      <c r="L13" s="196">
        <v>5877.2</v>
      </c>
      <c r="M13" s="196">
        <v>15792.3</v>
      </c>
      <c r="N13" s="196">
        <v>99423.4</v>
      </c>
      <c r="O13" s="199">
        <v>73.5</v>
      </c>
    </row>
    <row r="14" spans="1:17" x14ac:dyDescent="0.25">
      <c r="A14" s="27">
        <v>9</v>
      </c>
      <c r="B14" s="196">
        <v>54909.9</v>
      </c>
      <c r="C14" s="197">
        <v>216897</v>
      </c>
      <c r="D14" s="194"/>
      <c r="E14" s="194"/>
      <c r="F14" s="194"/>
      <c r="G14" s="195"/>
      <c r="H14" s="196">
        <v>7041.9</v>
      </c>
      <c r="I14" s="196">
        <v>4257</v>
      </c>
      <c r="J14" s="196">
        <v>4543.6000000000004</v>
      </c>
      <c r="K14" s="196">
        <v>2555.3000000000002</v>
      </c>
      <c r="L14" s="196">
        <v>5881.8</v>
      </c>
      <c r="M14" s="196">
        <v>15804.4</v>
      </c>
      <c r="N14" s="196">
        <v>99579.5</v>
      </c>
      <c r="O14" s="199">
        <v>58.06</v>
      </c>
    </row>
    <row r="15" spans="1:17" x14ac:dyDescent="0.25">
      <c r="A15" s="27">
        <v>10</v>
      </c>
      <c r="B15" s="196">
        <v>54930.3</v>
      </c>
      <c r="C15" s="197">
        <v>217096</v>
      </c>
      <c r="D15" s="194"/>
      <c r="E15" s="194"/>
      <c r="F15" s="194"/>
      <c r="G15" s="195"/>
      <c r="H15" s="196">
        <v>7049.2</v>
      </c>
      <c r="I15" s="196">
        <v>4261.3</v>
      </c>
      <c r="J15" s="196">
        <v>4548.1000000000004</v>
      </c>
      <c r="K15" s="196">
        <v>2558.4</v>
      </c>
      <c r="L15" s="196">
        <v>5886.6</v>
      </c>
      <c r="M15" s="196">
        <v>15816.1</v>
      </c>
      <c r="N15" s="196">
        <v>99709.5</v>
      </c>
      <c r="O15" s="199">
        <v>39.630000000000003</v>
      </c>
    </row>
    <row r="16" spans="1:17" x14ac:dyDescent="0.25">
      <c r="A16" s="27">
        <v>11</v>
      </c>
      <c r="B16" s="196">
        <v>54951.9</v>
      </c>
      <c r="C16" s="197">
        <v>217258</v>
      </c>
      <c r="D16" s="194"/>
      <c r="E16" s="194"/>
      <c r="F16" s="194"/>
      <c r="G16" s="195"/>
      <c r="H16" s="196">
        <v>7056.4</v>
      </c>
      <c r="I16" s="196">
        <v>4265.3</v>
      </c>
      <c r="J16" s="196">
        <v>4552.3</v>
      </c>
      <c r="K16" s="196">
        <v>2561</v>
      </c>
      <c r="L16" s="196">
        <v>5891.1</v>
      </c>
      <c r="M16" s="196">
        <v>15827.7</v>
      </c>
      <c r="N16" s="196">
        <v>99826.1</v>
      </c>
      <c r="O16" s="199">
        <v>41.01</v>
      </c>
    </row>
    <row r="17" spans="1:17" x14ac:dyDescent="0.25">
      <c r="A17" s="27">
        <v>12</v>
      </c>
      <c r="B17" s="196">
        <v>54973.3</v>
      </c>
      <c r="C17" s="197">
        <v>217395</v>
      </c>
      <c r="D17" s="194"/>
      <c r="E17" s="194"/>
      <c r="F17" s="194"/>
      <c r="G17" s="195"/>
      <c r="H17" s="196">
        <v>7063.3</v>
      </c>
      <c r="I17" s="196">
        <v>4269.3999999999996</v>
      </c>
      <c r="J17" s="196">
        <v>4556.5</v>
      </c>
      <c r="K17" s="196">
        <v>2563.6999999999998</v>
      </c>
      <c r="L17" s="196">
        <v>5895.7</v>
      </c>
      <c r="M17" s="196">
        <v>15839.6</v>
      </c>
      <c r="N17" s="196">
        <v>99932.6</v>
      </c>
      <c r="O17" s="199">
        <v>41.24</v>
      </c>
    </row>
    <row r="18" spans="1:17" x14ac:dyDescent="0.25">
      <c r="A18" s="27">
        <v>13</v>
      </c>
      <c r="B18" s="196">
        <v>54994.6</v>
      </c>
      <c r="C18" s="197">
        <v>217558</v>
      </c>
      <c r="D18" s="194"/>
      <c r="E18" s="194"/>
      <c r="F18" s="194"/>
      <c r="G18" s="195"/>
      <c r="H18" s="196">
        <v>7070.2</v>
      </c>
      <c r="I18" s="196">
        <v>4273.6000000000004</v>
      </c>
      <c r="J18" s="196">
        <v>4560.8</v>
      </c>
      <c r="K18" s="196">
        <v>2566.3000000000002</v>
      </c>
      <c r="L18" s="196">
        <v>5900.3</v>
      </c>
      <c r="M18" s="196">
        <v>15851.4</v>
      </c>
      <c r="N18" s="196">
        <v>100049</v>
      </c>
      <c r="O18" s="199">
        <v>35.94</v>
      </c>
    </row>
    <row r="19" spans="1:17" x14ac:dyDescent="0.25">
      <c r="A19" s="27">
        <v>14</v>
      </c>
      <c r="B19" s="196">
        <v>55017.4</v>
      </c>
      <c r="C19" s="197">
        <v>217743</v>
      </c>
      <c r="D19" s="194"/>
      <c r="E19" s="194"/>
      <c r="F19" s="194"/>
      <c r="G19" s="195"/>
      <c r="H19" s="196">
        <v>7077.2</v>
      </c>
      <c r="I19" s="196">
        <v>4277.7</v>
      </c>
      <c r="J19" s="196">
        <v>4565</v>
      </c>
      <c r="K19" s="196">
        <v>2569.1</v>
      </c>
      <c r="L19" s="196">
        <v>5904.9</v>
      </c>
      <c r="M19" s="196">
        <v>15863.4</v>
      </c>
      <c r="N19" s="196">
        <v>100170</v>
      </c>
      <c r="O19" s="199">
        <v>38.479999999999997</v>
      </c>
    </row>
    <row r="20" spans="1:17" x14ac:dyDescent="0.25">
      <c r="A20" s="27">
        <v>15</v>
      </c>
      <c r="B20" s="196">
        <v>55044</v>
      </c>
      <c r="C20" s="197">
        <v>217868</v>
      </c>
      <c r="D20" s="194"/>
      <c r="E20" s="194"/>
      <c r="F20" s="194"/>
      <c r="G20" s="195"/>
      <c r="H20" s="196">
        <v>7084.4</v>
      </c>
      <c r="I20" s="196">
        <v>4281.7</v>
      </c>
      <c r="J20" s="196">
        <v>4569.2</v>
      </c>
      <c r="K20" s="196">
        <v>2571.8000000000002</v>
      </c>
      <c r="L20" s="196">
        <v>5909.5</v>
      </c>
      <c r="M20" s="196">
        <v>15875.5</v>
      </c>
      <c r="N20" s="196">
        <v>100295.7</v>
      </c>
      <c r="O20" s="199">
        <v>33.409999999999997</v>
      </c>
    </row>
    <row r="21" spans="1:17" x14ac:dyDescent="0.25">
      <c r="A21" s="27">
        <v>16</v>
      </c>
      <c r="B21" s="196">
        <v>55070.1</v>
      </c>
      <c r="C21" s="197">
        <v>218073</v>
      </c>
      <c r="D21" s="194"/>
      <c r="E21" s="194"/>
      <c r="F21" s="194"/>
      <c r="G21" s="195"/>
      <c r="H21" s="196">
        <v>7091.3</v>
      </c>
      <c r="I21" s="196">
        <v>4285.7</v>
      </c>
      <c r="J21" s="196">
        <v>4573.3</v>
      </c>
      <c r="K21" s="196">
        <v>2574.6</v>
      </c>
      <c r="L21" s="196">
        <v>5914.1</v>
      </c>
      <c r="M21" s="196">
        <v>15887.9</v>
      </c>
      <c r="N21" s="196">
        <v>100421.1</v>
      </c>
      <c r="O21" s="199">
        <v>33.64</v>
      </c>
    </row>
    <row r="22" spans="1:17" x14ac:dyDescent="0.25">
      <c r="A22" s="27">
        <v>17</v>
      </c>
      <c r="B22" s="196">
        <v>55098.2</v>
      </c>
      <c r="C22" s="197">
        <v>218225</v>
      </c>
      <c r="D22" s="194"/>
      <c r="E22" s="194"/>
      <c r="F22" s="194"/>
      <c r="G22" s="195"/>
      <c r="H22" s="196">
        <v>7098.3</v>
      </c>
      <c r="I22" s="196">
        <v>4289.6000000000004</v>
      </c>
      <c r="J22" s="196">
        <v>4577.5</v>
      </c>
      <c r="K22" s="196">
        <v>2577.4</v>
      </c>
      <c r="L22" s="196">
        <v>5918.8</v>
      </c>
      <c r="M22" s="196">
        <v>15900.3</v>
      </c>
      <c r="N22" s="196">
        <v>100545.1</v>
      </c>
      <c r="O22" s="199">
        <v>45.16</v>
      </c>
    </row>
    <row r="23" spans="1:17" x14ac:dyDescent="0.25">
      <c r="A23" s="27">
        <v>18</v>
      </c>
      <c r="B23" s="196">
        <v>55128.800000000003</v>
      </c>
      <c r="C23" s="197">
        <v>218350</v>
      </c>
      <c r="D23" s="194"/>
      <c r="E23" s="194"/>
      <c r="F23" s="194"/>
      <c r="G23" s="195"/>
      <c r="H23" s="196">
        <v>7105.1</v>
      </c>
      <c r="I23" s="196">
        <v>4293.5</v>
      </c>
      <c r="J23" s="196">
        <v>4581.5</v>
      </c>
      <c r="K23" s="196">
        <v>2580</v>
      </c>
      <c r="L23" s="196">
        <v>5923.3</v>
      </c>
      <c r="M23" s="196">
        <v>15912.5</v>
      </c>
      <c r="N23" s="196">
        <v>100670.6</v>
      </c>
      <c r="O23" s="199">
        <v>58.76</v>
      </c>
      <c r="P23" s="28"/>
      <c r="Q23" s="28"/>
    </row>
    <row r="24" spans="1:17" x14ac:dyDescent="0.25">
      <c r="A24" s="27">
        <v>19</v>
      </c>
      <c r="B24" s="196">
        <v>55159.4</v>
      </c>
      <c r="C24" s="197">
        <v>218471</v>
      </c>
      <c r="D24" s="194"/>
      <c r="E24" s="194"/>
      <c r="F24" s="194"/>
      <c r="G24" s="195"/>
      <c r="H24" s="196">
        <v>7112.1</v>
      </c>
      <c r="I24" s="196">
        <v>4297.6000000000004</v>
      </c>
      <c r="J24" s="196">
        <v>4585.7</v>
      </c>
      <c r="K24" s="196">
        <v>2582.9</v>
      </c>
      <c r="L24" s="196">
        <v>5927.9</v>
      </c>
      <c r="M24" s="196">
        <v>15924.9</v>
      </c>
      <c r="N24" s="196">
        <v>100799.1</v>
      </c>
      <c r="O24" s="199">
        <v>62.67</v>
      </c>
    </row>
    <row r="25" spans="1:17" x14ac:dyDescent="0.25">
      <c r="A25" s="27">
        <v>20</v>
      </c>
      <c r="B25" s="196">
        <v>55194.2</v>
      </c>
      <c r="C25" s="197">
        <v>218681</v>
      </c>
      <c r="D25" s="194"/>
      <c r="E25" s="194"/>
      <c r="F25" s="194"/>
      <c r="G25" s="195"/>
      <c r="H25" s="196">
        <v>7119.1</v>
      </c>
      <c r="I25" s="196">
        <v>4301.8</v>
      </c>
      <c r="J25" s="196">
        <v>4589.8</v>
      </c>
      <c r="K25" s="196">
        <v>2585.6999999999998</v>
      </c>
      <c r="L25" s="196">
        <v>5932.5</v>
      </c>
      <c r="M25" s="196">
        <v>15937.4</v>
      </c>
      <c r="N25" s="196">
        <v>100926.39999999999</v>
      </c>
      <c r="O25" s="199">
        <v>63.82</v>
      </c>
    </row>
    <row r="26" spans="1:17" x14ac:dyDescent="0.25">
      <c r="A26" s="27">
        <v>21</v>
      </c>
      <c r="B26" s="196">
        <v>55229.5</v>
      </c>
      <c r="C26" s="197">
        <v>218871</v>
      </c>
      <c r="D26" s="194"/>
      <c r="E26" s="194"/>
      <c r="F26" s="194"/>
      <c r="G26" s="195"/>
      <c r="H26" s="196">
        <v>7126.1</v>
      </c>
      <c r="I26" s="196">
        <v>4306.1000000000004</v>
      </c>
      <c r="J26" s="196">
        <v>4594</v>
      </c>
      <c r="K26" s="196">
        <v>2588.3000000000002</v>
      </c>
      <c r="L26" s="196">
        <v>5937.1</v>
      </c>
      <c r="M26" s="196">
        <v>15949.9</v>
      </c>
      <c r="N26" s="196">
        <v>101063.4</v>
      </c>
      <c r="O26" s="199">
        <v>63.36</v>
      </c>
    </row>
    <row r="27" spans="1:17" x14ac:dyDescent="0.25">
      <c r="A27" s="27">
        <v>22</v>
      </c>
      <c r="B27" s="196">
        <v>55263.9</v>
      </c>
      <c r="C27" s="197">
        <v>219052</v>
      </c>
      <c r="D27" s="194"/>
      <c r="E27" s="194"/>
      <c r="F27" s="194"/>
      <c r="G27" s="195"/>
      <c r="H27" s="196">
        <v>7133.3</v>
      </c>
      <c r="I27" s="196">
        <v>4310.3999999999996</v>
      </c>
      <c r="J27" s="196">
        <v>4598.5</v>
      </c>
      <c r="K27" s="196">
        <v>2591</v>
      </c>
      <c r="L27" s="196">
        <v>5941.7</v>
      </c>
      <c r="M27" s="196">
        <v>15962.4</v>
      </c>
      <c r="N27" s="196">
        <v>101204.1</v>
      </c>
      <c r="O27" s="199">
        <v>56.68</v>
      </c>
    </row>
    <row r="28" spans="1:17" x14ac:dyDescent="0.25">
      <c r="A28" s="27">
        <v>23</v>
      </c>
      <c r="B28" s="196">
        <v>55296.5</v>
      </c>
      <c r="C28" s="197">
        <v>219261</v>
      </c>
      <c r="D28" s="194"/>
      <c r="E28" s="194"/>
      <c r="F28" s="194"/>
      <c r="G28" s="195"/>
      <c r="H28" s="196">
        <v>7140.7</v>
      </c>
      <c r="I28" s="196">
        <v>4314.5</v>
      </c>
      <c r="J28" s="196">
        <v>4602.7</v>
      </c>
      <c r="K28" s="196">
        <v>2594.1</v>
      </c>
      <c r="L28" s="196">
        <v>5946.3</v>
      </c>
      <c r="M28" s="196">
        <v>15974.8</v>
      </c>
      <c r="N28" s="196">
        <v>101351.5</v>
      </c>
      <c r="O28" s="199">
        <v>57.6</v>
      </c>
    </row>
    <row r="29" spans="1:17" x14ac:dyDescent="0.25">
      <c r="A29" s="27">
        <v>24</v>
      </c>
      <c r="B29" s="196">
        <v>55328.5</v>
      </c>
      <c r="C29" s="197">
        <v>219469</v>
      </c>
      <c r="D29" s="194"/>
      <c r="E29" s="194"/>
      <c r="F29" s="194"/>
      <c r="G29" s="195"/>
      <c r="H29" s="196">
        <v>7148</v>
      </c>
      <c r="I29" s="196">
        <v>4318.7</v>
      </c>
      <c r="J29" s="196">
        <v>4607.1000000000004</v>
      </c>
      <c r="K29" s="196">
        <v>2597.1999999999998</v>
      </c>
      <c r="L29" s="196">
        <v>5950.9</v>
      </c>
      <c r="M29" s="196">
        <v>15986.8</v>
      </c>
      <c r="N29" s="196">
        <v>101493.3</v>
      </c>
      <c r="O29" s="199">
        <v>53.46</v>
      </c>
      <c r="P29" s="29"/>
    </row>
    <row r="30" spans="1:17" x14ac:dyDescent="0.25">
      <c r="A30" s="27">
        <v>25</v>
      </c>
      <c r="B30" s="196">
        <v>55361.7</v>
      </c>
      <c r="C30" s="197">
        <v>219646</v>
      </c>
      <c r="D30" s="196"/>
      <c r="E30" s="196"/>
      <c r="F30" s="196"/>
      <c r="G30" s="196"/>
      <c r="H30" s="196">
        <v>7154.9</v>
      </c>
      <c r="I30" s="196">
        <v>4322.7</v>
      </c>
      <c r="J30" s="196">
        <v>4611.2</v>
      </c>
      <c r="K30" s="196">
        <v>2600</v>
      </c>
      <c r="L30" s="196">
        <v>5955.4</v>
      </c>
      <c r="M30" s="196">
        <v>15999</v>
      </c>
      <c r="N30" s="196">
        <v>101628.7</v>
      </c>
      <c r="O30" s="199">
        <v>66.59</v>
      </c>
      <c r="P30" s="30"/>
      <c r="Q30" s="30"/>
    </row>
    <row r="31" spans="1:17" x14ac:dyDescent="0.25">
      <c r="A31" s="27">
        <v>26</v>
      </c>
      <c r="B31" s="196">
        <v>55398.6</v>
      </c>
      <c r="C31" s="197">
        <v>219868</v>
      </c>
      <c r="D31" s="196"/>
      <c r="E31" s="196"/>
      <c r="F31" s="196"/>
      <c r="G31" s="196"/>
      <c r="H31" s="196">
        <v>7161.9</v>
      </c>
      <c r="I31" s="196">
        <v>4327.1000000000004</v>
      </c>
      <c r="J31" s="196">
        <v>4615.6000000000004</v>
      </c>
      <c r="K31" s="196">
        <v>2602.8000000000002</v>
      </c>
      <c r="L31" s="196">
        <v>5960</v>
      </c>
      <c r="M31" s="196">
        <v>16011.4</v>
      </c>
      <c r="N31" s="196">
        <v>101771.3</v>
      </c>
      <c r="O31" s="199">
        <v>57.14</v>
      </c>
    </row>
    <row r="32" spans="1:17" x14ac:dyDescent="0.25">
      <c r="A32" s="27">
        <v>27</v>
      </c>
      <c r="B32" s="196">
        <v>55428.800000000003</v>
      </c>
      <c r="C32" s="197">
        <v>220050</v>
      </c>
      <c r="D32" s="196"/>
      <c r="E32" s="196"/>
      <c r="F32" s="196"/>
      <c r="G32" s="196"/>
      <c r="H32" s="196">
        <v>7169.2</v>
      </c>
      <c r="I32" s="196">
        <v>4331.6000000000004</v>
      </c>
      <c r="J32" s="196">
        <v>4620.3</v>
      </c>
      <c r="K32" s="196">
        <v>2605.5</v>
      </c>
      <c r="L32" s="196">
        <v>5964.5</v>
      </c>
      <c r="M32" s="196">
        <v>16023.6</v>
      </c>
      <c r="N32" s="196">
        <v>101887.5</v>
      </c>
      <c r="O32" s="199">
        <v>56.45</v>
      </c>
    </row>
    <row r="33" spans="1:17" x14ac:dyDescent="0.25">
      <c r="A33" s="27">
        <v>28</v>
      </c>
      <c r="B33" s="196">
        <v>55454</v>
      </c>
      <c r="C33" s="197">
        <v>220230</v>
      </c>
      <c r="D33" s="196"/>
      <c r="E33" s="196"/>
      <c r="F33" s="196"/>
      <c r="G33" s="196"/>
      <c r="H33" s="196">
        <v>7176.6</v>
      </c>
      <c r="I33" s="196">
        <v>4335.8</v>
      </c>
      <c r="J33" s="196">
        <v>4625.1000000000004</v>
      </c>
      <c r="K33" s="196">
        <v>2608.3000000000002</v>
      </c>
      <c r="L33" s="196">
        <v>5969.2</v>
      </c>
      <c r="M33" s="196">
        <v>16035.9</v>
      </c>
      <c r="N33" s="196">
        <v>102023.4</v>
      </c>
      <c r="O33" s="199"/>
    </row>
    <row r="34" spans="1:17" x14ac:dyDescent="0.25">
      <c r="A34" s="27">
        <v>29</v>
      </c>
      <c r="B34" s="196"/>
      <c r="C34" s="197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8"/>
    </row>
    <row r="35" spans="1:17" x14ac:dyDescent="0.25">
      <c r="A35" s="27">
        <v>30</v>
      </c>
      <c r="B35" s="196"/>
      <c r="C35" s="197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8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61.05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FABB-DB90-456A-A04E-3A16C9ACC2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5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07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08"/>
      <c r="E8" s="64"/>
      <c r="F8" s="210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07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07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07"/>
      <c r="E11" s="59"/>
      <c r="F11" s="211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07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07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07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07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07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07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07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07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09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07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07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58.76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I32" sqref="I3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62.67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55159.4</v>
      </c>
      <c r="F7" s="61">
        <f>E7-D7</f>
        <v>30.599999999998545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8700.8039999995854</v>
      </c>
      <c r="G8" s="65">
        <f>F8*0.63</f>
        <v>5481.5065199997389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218471</v>
      </c>
      <c r="F10" s="61">
        <f>E10-D10</f>
        <v>121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26616.249</v>
      </c>
      <c r="G11" s="73">
        <f>F11*0.06</f>
        <v>1596.9749399999998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7112.1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4297.6000000000004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4585.7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2582.9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5927.9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15924.9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16895.999999999694</v>
      </c>
      <c r="G19" s="65">
        <f>F19*0.43</f>
        <v>7265.2799999998688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100799.1</v>
      </c>
      <c r="F22" s="84">
        <f>E22-D22</f>
        <v>128.5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475.45000000000005</v>
      </c>
      <c r="G23" s="88">
        <f>F23*2.5</f>
        <v>1188.625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8700.8039999995854</v>
      </c>
      <c r="G28" s="98">
        <f>G8</f>
        <v>5481.5065199997389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26616.249</v>
      </c>
      <c r="G29" s="98">
        <f>G11</f>
        <v>1596.9749399999998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16895.999999999694</v>
      </c>
      <c r="G30" s="98">
        <f>G19</f>
        <v>7265.2799999998688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128.5</v>
      </c>
      <c r="G31" s="98">
        <f>G23</f>
        <v>1188.625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15532.386459999609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J23" sqref="J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63.82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55159.4</v>
      </c>
      <c r="E7" s="60">
        <f>'Daily Meter'!B25</f>
        <v>55194.2</v>
      </c>
      <c r="F7" s="61">
        <f>E7-D7</f>
        <v>34.799999999995634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9895.0319999987587</v>
      </c>
      <c r="G8" s="65">
        <f>F8*0.63</f>
        <v>6233.8701599992182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218471</v>
      </c>
      <c r="E10" s="60">
        <f>'Daily Meter'!C25</f>
        <v>218681</v>
      </c>
      <c r="F10" s="61">
        <f>E10-D10</f>
        <v>210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46193.49</v>
      </c>
      <c r="G11" s="73">
        <f>F11*0.06</f>
        <v>2771.6093999999998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7112.1</v>
      </c>
      <c r="E13" s="60">
        <f>'Daily Meter'!H25</f>
        <v>7119.1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4297.6000000000004</v>
      </c>
      <c r="E14" s="60">
        <f>'Daily Meter'!I25</f>
        <v>4301.8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4585.7</v>
      </c>
      <c r="E15" s="60">
        <f>'Daily Meter'!J25</f>
        <v>4589.8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2582.9</v>
      </c>
      <c r="E16" s="60">
        <f>'Daily Meter'!K25</f>
        <v>2585.6999999999998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5927.9</v>
      </c>
      <c r="E17" s="60">
        <f>'Daily Meter'!L25</f>
        <v>5932.5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15924.9</v>
      </c>
      <c r="E18" s="60">
        <f>'Daily Meter'!M25</f>
        <v>15937.4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16896.000000000131</v>
      </c>
      <c r="G19" s="65">
        <f>F19*0.43</f>
        <v>7265.2800000000561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100799.1</v>
      </c>
      <c r="E22" s="60">
        <f>'Daily Meter'!N25</f>
        <v>100926.39999999999</v>
      </c>
      <c r="F22" s="84">
        <f>E22-D22</f>
        <v>127.29999999998836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471.00999999995696</v>
      </c>
      <c r="G23" s="88">
        <f>F23*2.5</f>
        <v>1177.5249999998923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9895.0319999987587</v>
      </c>
      <c r="G28" s="98">
        <f>G8</f>
        <v>6233.8701599992182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46193.49</v>
      </c>
      <c r="G29" s="98">
        <f>G11</f>
        <v>2771.6093999999998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16896.000000000131</v>
      </c>
      <c r="G30" s="98">
        <f>G19</f>
        <v>7265.2800000000561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127.29999999998836</v>
      </c>
      <c r="G31" s="98">
        <f>G23</f>
        <v>1177.5249999998923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17448.284559999167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63.36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55194.2</v>
      </c>
      <c r="E7" s="60">
        <f>'Daily Meter'!B26</f>
        <v>55229.5</v>
      </c>
      <c r="F7" s="61">
        <f>E7-D7</f>
        <v>35.30000000000291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10037.202000000827</v>
      </c>
      <c r="G8" s="65">
        <f>F8*0.63</f>
        <v>6323.4372600005208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218681</v>
      </c>
      <c r="E10" s="60">
        <f>'Daily Meter'!C26</f>
        <v>218871</v>
      </c>
      <c r="F10" s="61">
        <f>E10-D10</f>
        <v>190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41794.11</v>
      </c>
      <c r="G11" s="73">
        <f>F11*0.06</f>
        <v>2507.6466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7119.1</v>
      </c>
      <c r="E13" s="60">
        <f>'Daily Meter'!H26</f>
        <v>7126.1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4301.8</v>
      </c>
      <c r="E14" s="60">
        <f>'Daily Meter'!I26</f>
        <v>4306.1000000000004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4589.8</v>
      </c>
      <c r="E15" s="60">
        <f>'Daily Meter'!J26</f>
        <v>4594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2585.6999999999998</v>
      </c>
      <c r="E16" s="60">
        <f>'Daily Meter'!K26</f>
        <v>2588.3000000000002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5932.5</v>
      </c>
      <c r="E17" s="60">
        <f>'Daily Meter'!L26</f>
        <v>5937.1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15937.4</v>
      </c>
      <c r="E18" s="60">
        <f>'Daily Meter'!M26</f>
        <v>15949.9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16896.000000000349</v>
      </c>
      <c r="G19" s="65">
        <f>F19*0.43</f>
        <v>7265.2800000001498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100926.39999999999</v>
      </c>
      <c r="E22" s="60">
        <f>'Daily Meter'!N26</f>
        <v>101063.4</v>
      </c>
      <c r="F22" s="84">
        <f>E22-D22</f>
        <v>137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506.90000000000003</v>
      </c>
      <c r="G23" s="88">
        <f>F23*2.5</f>
        <v>1267.25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10037.202000000827</v>
      </c>
      <c r="G28" s="98">
        <f>G8</f>
        <v>6323.4372600005208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41794.11</v>
      </c>
      <c r="G29" s="98">
        <f>G11</f>
        <v>2507.6466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16896.000000000349</v>
      </c>
      <c r="G30" s="98">
        <f>G19</f>
        <v>7265.2800000001498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137</v>
      </c>
      <c r="G31" s="98">
        <f>G23</f>
        <v>1267.25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17363.613860000671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56.68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55229.5</v>
      </c>
      <c r="E7" s="60">
        <f>'Daily Meter'!B27</f>
        <v>55263.9</v>
      </c>
      <c r="F7" s="61">
        <f>E7-D7</f>
        <v>34.400000000001455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9781.2960000004132</v>
      </c>
      <c r="G8" s="65">
        <f>F8*0.63</f>
        <v>6162.2164800002602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218871</v>
      </c>
      <c r="E10" s="60">
        <f>'Daily Meter'!C27</f>
        <v>219052</v>
      </c>
      <c r="F10" s="61">
        <f>E10-D10</f>
        <v>181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39814.388999999996</v>
      </c>
      <c r="G11" s="73">
        <f>F11*0.06</f>
        <v>2388.8633399999994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7126.1</v>
      </c>
      <c r="E13" s="60">
        <f>'Daily Meter'!H27</f>
        <v>7133.3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4306.1000000000004</v>
      </c>
      <c r="E14" s="60">
        <f>'Daily Meter'!I27</f>
        <v>4310.3999999999996</v>
      </c>
      <c r="F14" s="61">
        <f t="shared" si="0"/>
        <v>2063.9999999996508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4594</v>
      </c>
      <c r="E15" s="60">
        <f>'Daily Meter'!J27</f>
        <v>4598.5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2588.3000000000002</v>
      </c>
      <c r="E16" s="60">
        <f>'Daily Meter'!K27</f>
        <v>2591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5937.1</v>
      </c>
      <c r="E17" s="60">
        <f>'Daily Meter'!L27</f>
        <v>5941.7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15949.9</v>
      </c>
      <c r="E18" s="60">
        <f>'Daily Meter'!M27</f>
        <v>15962.4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17183.999999999214</v>
      </c>
      <c r="G19" s="65">
        <f>F19*0.43</f>
        <v>7389.1199999996616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101063.4</v>
      </c>
      <c r="E22" s="60">
        <f>'Daily Meter'!N27</f>
        <v>101204.1</v>
      </c>
      <c r="F22" s="84">
        <f>E22-D22</f>
        <v>140.70000000001164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520.59000000004312</v>
      </c>
      <c r="G23" s="88">
        <f>F23*2.5</f>
        <v>1301.4750000001077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9781.2960000004132</v>
      </c>
      <c r="G28" s="98">
        <f>G8</f>
        <v>6162.2164800002602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39814.388999999996</v>
      </c>
      <c r="G29" s="98">
        <f>G11</f>
        <v>2388.8633399999994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17183.999999999214</v>
      </c>
      <c r="G30" s="98">
        <f>G19</f>
        <v>7389.1199999996616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140.70000000001164</v>
      </c>
      <c r="G31" s="98">
        <f>G23</f>
        <v>1301.4750000001077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17241.674820000029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57.6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55263.9</v>
      </c>
      <c r="E7" s="60">
        <f>'Daily Meter'!B28</f>
        <v>55296.5</v>
      </c>
      <c r="F7" s="61">
        <f>E7-D7</f>
        <v>32.599999999998545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9269.4839999995856</v>
      </c>
      <c r="G8" s="65">
        <f>F8*0.63</f>
        <v>5839.7749199997388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219052</v>
      </c>
      <c r="E10" s="60">
        <f>'Daily Meter'!C28</f>
        <v>219261</v>
      </c>
      <c r="F10" s="61">
        <f>E10-D10</f>
        <v>209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45973.521000000001</v>
      </c>
      <c r="G11" s="73">
        <f>F11*0.06</f>
        <v>2758.4112599999999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7133.3</v>
      </c>
      <c r="E13" s="60">
        <f>'Daily Meter'!H28</f>
        <v>7140.7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4310.3999999999996</v>
      </c>
      <c r="E14" s="60">
        <f>'Daily Meter'!I28</f>
        <v>4314.5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4598.5</v>
      </c>
      <c r="E15" s="60">
        <f>'Daily Meter'!J28</f>
        <v>4602.7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2591</v>
      </c>
      <c r="E16" s="60">
        <f>'Daily Meter'!K28</f>
        <v>2594.1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5941.7</v>
      </c>
      <c r="E17" s="60">
        <f>'Daily Meter'!L28</f>
        <v>5946.3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15962.4</v>
      </c>
      <c r="E18" s="60">
        <f>'Daily Meter'!M28</f>
        <v>15974.8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17183.999999999869</v>
      </c>
      <c r="G19" s="65">
        <f>F19*0.43</f>
        <v>7389.1199999999435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101204.1</v>
      </c>
      <c r="E22" s="60">
        <f>'Daily Meter'!N28</f>
        <v>101351.5</v>
      </c>
      <c r="F22" s="84">
        <f>E22-D22</f>
        <v>147.39999999999418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545.37999999997851</v>
      </c>
      <c r="G23" s="88">
        <f>F23*2.5</f>
        <v>1363.4499999999462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9269.4839999995856</v>
      </c>
      <c r="G28" s="98">
        <f>G8</f>
        <v>5839.7749199997388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45973.521000000001</v>
      </c>
      <c r="G29" s="98">
        <f>G11</f>
        <v>2758.4112599999999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17183.999999999869</v>
      </c>
      <c r="G30" s="98">
        <f>G19</f>
        <v>7389.1199999999435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147.39999999999418</v>
      </c>
      <c r="G31" s="98">
        <f>G23</f>
        <v>1363.4499999999462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17350.756179999629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53.46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55296.5</v>
      </c>
      <c r="E7" s="60">
        <f>'Daily Meter'!B29</f>
        <v>55328.5</v>
      </c>
      <c r="F7" s="61">
        <f>E7-D7</f>
        <v>32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0">
        <f>F7*284.34</f>
        <v>9098.8799999999992</v>
      </c>
      <c r="G8" s="65">
        <f>F8*0.63</f>
        <v>5732.2943999999998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219261</v>
      </c>
      <c r="E10" s="60">
        <f>'Daily Meter'!C29</f>
        <v>219469</v>
      </c>
      <c r="F10" s="61">
        <f>E10-D10</f>
        <v>208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45753.551999999996</v>
      </c>
      <c r="G11" s="73">
        <f>F11*0.06</f>
        <v>2745.2131199999994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7140.7</v>
      </c>
      <c r="E13" s="60">
        <f>'Daily Meter'!H29</f>
        <v>7148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4314.5</v>
      </c>
      <c r="E14" s="60">
        <f>'Daily Meter'!I29</f>
        <v>4318.7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4602.7</v>
      </c>
      <c r="E15" s="60">
        <f>'Daily Meter'!J29</f>
        <v>4607.1000000000004</v>
      </c>
      <c r="F15" s="61">
        <f t="shared" si="0"/>
        <v>2112.0000000002619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2594.1</v>
      </c>
      <c r="E16" s="60">
        <f>'Daily Meter'!K29</f>
        <v>2597.1999999999998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5946.3</v>
      </c>
      <c r="E17" s="60">
        <f>'Daily Meter'!L29</f>
        <v>5950.9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15974.8</v>
      </c>
      <c r="E18" s="60">
        <f>'Daily Meter'!M29</f>
        <v>15986.8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17087.999999999956</v>
      </c>
      <c r="G19" s="65">
        <f>F19*0.43</f>
        <v>7347.839999999981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101351.5</v>
      </c>
      <c r="E22" s="60">
        <f>'Daily Meter'!N29</f>
        <v>101493.3</v>
      </c>
      <c r="F22" s="84">
        <f>E22-D22</f>
        <v>141.80000000000291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524.66000000001077</v>
      </c>
      <c r="G23" s="88">
        <f>F23*2.5</f>
        <v>1311.6500000000269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9098.8799999999992</v>
      </c>
      <c r="G28" s="98">
        <f>G8</f>
        <v>5732.2943999999998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45753.551999999996</v>
      </c>
      <c r="G29" s="98">
        <f>G11</f>
        <v>2745.2131199999994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17087.999999999956</v>
      </c>
      <c r="G30" s="98">
        <f>G19</f>
        <v>7347.839999999981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141.80000000000291</v>
      </c>
      <c r="G31" s="98">
        <f>G23</f>
        <v>1311.6500000000269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17136.997520000008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66.59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55328.5</v>
      </c>
      <c r="E7" s="103">
        <f>'Daily Meter'!B30</f>
        <v>55361.7</v>
      </c>
      <c r="F7" s="61">
        <f>E7-D7</f>
        <v>33.19999999999709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210">
        <f>F7*284.34</f>
        <v>9440.0879999991721</v>
      </c>
      <c r="G8" s="65">
        <f>F8*0.63</f>
        <v>5947.2554399994788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219469</v>
      </c>
      <c r="E10" s="103">
        <f>'Daily Meter'!C30</f>
        <v>219646</v>
      </c>
      <c r="F10" s="61">
        <f>E10-D10</f>
        <v>177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38934.512999999999</v>
      </c>
      <c r="G11" s="73">
        <f>F11*0.06</f>
        <v>2336.07078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7148</v>
      </c>
      <c r="E13" s="103">
        <f>'Daily Meter'!H30</f>
        <v>7154.9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4318.7</v>
      </c>
      <c r="E14" s="103">
        <f>'Daily Meter'!I30</f>
        <v>4322.7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4607.1000000000004</v>
      </c>
      <c r="E15" s="103">
        <f>'Daily Meter'!J30</f>
        <v>4611.2</v>
      </c>
      <c r="F15" s="61">
        <f t="shared" si="0"/>
        <v>1967.9999999997381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2597.1999999999998</v>
      </c>
      <c r="E16" s="103">
        <f>'Daily Meter'!K30</f>
        <v>2600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5950.9</v>
      </c>
      <c r="E17" s="103">
        <f>'Daily Meter'!L30</f>
        <v>5955.4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15986.8</v>
      </c>
      <c r="E18" s="103">
        <f>'Daily Meter'!M30</f>
        <v>15999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16560</v>
      </c>
      <c r="G19" s="65">
        <f>F19*0.43</f>
        <v>7120.8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101493.3</v>
      </c>
      <c r="E22" s="103">
        <f>'Daily Meter'!N30</f>
        <v>101628.7</v>
      </c>
      <c r="F22" s="84">
        <f>E22-D22</f>
        <v>135.39999999999418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500.97999999997847</v>
      </c>
      <c r="G23" s="88">
        <f>F23*2.5</f>
        <v>1252.4499999999462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4" t="s">
        <v>75</v>
      </c>
      <c r="E26" s="224"/>
      <c r="F26" s="224"/>
      <c r="G26" s="224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9440.0879999991721</v>
      </c>
      <c r="G28" s="98">
        <f>G8</f>
        <v>5947.2554399994788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38934.512999999999</v>
      </c>
      <c r="G29" s="98">
        <f>G11</f>
        <v>2336.07078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16560</v>
      </c>
      <c r="G30" s="98">
        <f>G19</f>
        <v>7120.8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135.39999999999418</v>
      </c>
      <c r="G31" s="98">
        <f>G23</f>
        <v>1252.4499999999462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16656.576219999424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57.14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55361.7</v>
      </c>
      <c r="E7" s="60">
        <f>'Daily Meter'!B31</f>
        <v>55398.6</v>
      </c>
      <c r="F7" s="105">
        <f>E7-D7</f>
        <v>36.900000000001455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210">
        <f>F7*284.34</f>
        <v>10492.146000000414</v>
      </c>
      <c r="G8" s="65">
        <f>F8*0.63</f>
        <v>6610.0519800002603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219646</v>
      </c>
      <c r="E10" s="60">
        <f>'Daily Meter'!C31</f>
        <v>219868</v>
      </c>
      <c r="F10" s="61">
        <f>E10-D10</f>
        <v>222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48833.118000000002</v>
      </c>
      <c r="G11" s="73">
        <f>F11*0.06</f>
        <v>2929.9870799999999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7154.9</v>
      </c>
      <c r="E13" s="60">
        <f>'Daily Meter'!H31</f>
        <v>7161.9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4322.7</v>
      </c>
      <c r="E14" s="60">
        <f>'Daily Meter'!I31</f>
        <v>4327.1000000000004</v>
      </c>
      <c r="F14" s="61">
        <f t="shared" si="0"/>
        <v>2112.0000000002619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4611.2</v>
      </c>
      <c r="E15" s="60">
        <f>'Daily Meter'!J31</f>
        <v>4615.6000000000004</v>
      </c>
      <c r="F15" s="61">
        <f t="shared" si="0"/>
        <v>2112.0000000002619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2600</v>
      </c>
      <c r="E16" s="60">
        <f>'Daily Meter'!K31</f>
        <v>2602.8000000000002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5955.4</v>
      </c>
      <c r="E17" s="60">
        <f>'Daily Meter'!L31</f>
        <v>5960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15999</v>
      </c>
      <c r="E18" s="60">
        <f>'Daily Meter'!M31</f>
        <v>16011.4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17088.000000000611</v>
      </c>
      <c r="G19" s="65">
        <f>F19*0.43</f>
        <v>7347.840000000263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101628.7</v>
      </c>
      <c r="E22" s="60">
        <f>'Daily Meter'!N31</f>
        <v>101771.3</v>
      </c>
      <c r="F22" s="84">
        <f>E22-D22</f>
        <v>142.60000000000582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527.62000000002161</v>
      </c>
      <c r="G23" s="88">
        <f>F23*2.5</f>
        <v>1319.0500000000541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10492.146000000414</v>
      </c>
      <c r="G28" s="98">
        <f>G8</f>
        <v>6610.0519800002603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48833.118000000002</v>
      </c>
      <c r="G29" s="98">
        <f>G11</f>
        <v>2929.9870799999999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17088.000000000611</v>
      </c>
      <c r="G30" s="98">
        <f>G19</f>
        <v>7347.840000000263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142.60000000000582</v>
      </c>
      <c r="G31" s="98">
        <f>G23</f>
        <v>1319.0500000000541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18206.929060000577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56.45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55398.6</v>
      </c>
      <c r="E7" s="60">
        <f>'Daily Meter'!B32</f>
        <v>55428.800000000003</v>
      </c>
      <c r="F7" s="61">
        <f>E7-D7</f>
        <v>30.200000000004366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210">
        <f>F7*284.34</f>
        <v>8587.0680000012399</v>
      </c>
      <c r="G8" s="65">
        <f>F8*0.63</f>
        <v>5409.8528400007808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219868</v>
      </c>
      <c r="E10" s="60">
        <f>'Daily Meter'!C32</f>
        <v>220050</v>
      </c>
      <c r="F10" s="61">
        <f>E10-D10</f>
        <v>182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40034.358</v>
      </c>
      <c r="G11" s="73">
        <f>F11*0.06</f>
        <v>2402.0614799999998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7161.9</v>
      </c>
      <c r="E13" s="60">
        <f>'Daily Meter'!H32</f>
        <v>7169.2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4327.1000000000004</v>
      </c>
      <c r="E14" s="60">
        <f>'Daily Meter'!I32</f>
        <v>4331.6000000000004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4615.6000000000004</v>
      </c>
      <c r="E15" s="60">
        <f>'Daily Meter'!J32</f>
        <v>4620.3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2602.8000000000002</v>
      </c>
      <c r="E16" s="60">
        <f>'Daily Meter'!K32</f>
        <v>2605.5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5960</v>
      </c>
      <c r="E17" s="60">
        <f>'Daily Meter'!L32</f>
        <v>5964.5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16011.4</v>
      </c>
      <c r="E18" s="60">
        <f>'Daily Meter'!M32</f>
        <v>16023.6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17232.000000000262</v>
      </c>
      <c r="G19" s="65">
        <f>F19*0.43</f>
        <v>7409.7600000001121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101771.3</v>
      </c>
      <c r="E22" s="60">
        <f>'Daily Meter'!N32</f>
        <v>101887.5</v>
      </c>
      <c r="F22" s="84">
        <f>E22-D22</f>
        <v>116.19999999999709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429.93999999998925</v>
      </c>
      <c r="G23" s="88">
        <f>F23*2.5</f>
        <v>1074.8499999999731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8587.0680000012399</v>
      </c>
      <c r="G28" s="98">
        <f>G8</f>
        <v>5409.8528400007808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40034.358</v>
      </c>
      <c r="G29" s="98">
        <f>G11</f>
        <v>2402.0614799999998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17232.000000000262</v>
      </c>
      <c r="G30" s="98">
        <f>G19</f>
        <v>7409.7600000001121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116.19999999999709</v>
      </c>
      <c r="G31" s="98">
        <f>G23</f>
        <v>1074.8499999999731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16296.524320000866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55428.800000000003</v>
      </c>
      <c r="E7" s="60">
        <f>'Daily Meter'!B33</f>
        <v>55454</v>
      </c>
      <c r="F7" s="61">
        <f>E7-D7</f>
        <v>25.19999999999709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210">
        <f>F7*284.34</f>
        <v>7165.3679999991718</v>
      </c>
      <c r="G8" s="65">
        <f>F8*0.63</f>
        <v>4514.1818399994781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220050</v>
      </c>
      <c r="E10" s="60">
        <f>'Daily Meter'!C33</f>
        <v>220230</v>
      </c>
      <c r="F10" s="61">
        <f>E10-D10</f>
        <v>180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1">
        <f>F10*219.969</f>
        <v>39594.42</v>
      </c>
      <c r="G11" s="73">
        <f>F11*0.06</f>
        <v>2375.6651999999999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7169.2</v>
      </c>
      <c r="E13" s="60">
        <f>'Daily Meter'!H33</f>
        <v>7176.6</v>
      </c>
      <c r="F13" s="61">
        <f t="shared" ref="F13:F18" si="0">(E13-D13)*480</f>
        <v>3552.0000000002619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4331.6000000000004</v>
      </c>
      <c r="E14" s="60">
        <f>'Daily Meter'!I33</f>
        <v>4335.8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4620.3</v>
      </c>
      <c r="E15" s="60">
        <f>'Daily Meter'!J33</f>
        <v>4625.1000000000004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2605.5</v>
      </c>
      <c r="E16" s="60">
        <f>'Daily Meter'!K33</f>
        <v>2608.3000000000002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5964.5</v>
      </c>
      <c r="E17" s="60">
        <f>'Daily Meter'!L33</f>
        <v>5969.2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16023.6</v>
      </c>
      <c r="E18" s="60">
        <f>'Daily Meter'!M33</f>
        <v>16035.9</v>
      </c>
      <c r="F18" s="61">
        <f t="shared" si="0"/>
        <v>5903.9999999996508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17375.999999999913</v>
      </c>
      <c r="G19" s="65">
        <f>F19*0.43</f>
        <v>7471.6799999999621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101887.5</v>
      </c>
      <c r="E22" s="60">
        <f>'Daily Meter'!N33</f>
        <v>102023.4</v>
      </c>
      <c r="F22" s="84">
        <f>E22-D22</f>
        <v>135.89999999999418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502.8299999999785</v>
      </c>
      <c r="G23" s="88">
        <f>F23*2.5</f>
        <v>1257.0749999999462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7165.3679999991718</v>
      </c>
      <c r="G28" s="98">
        <f>G8</f>
        <v>4514.1818399994781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39594.42</v>
      </c>
      <c r="G29" s="98">
        <f>G11</f>
        <v>2375.6651999999999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17375.999999999913</v>
      </c>
      <c r="G30" s="98">
        <f>G19</f>
        <v>7471.6799999999621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135.89999999999418</v>
      </c>
      <c r="G31" s="98">
        <f>G23</f>
        <v>1257.0749999999462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15618.602039999387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55454</v>
      </c>
      <c r="E7" s="60">
        <f>'Daily Meter'!B34</f>
        <v>0</v>
      </c>
      <c r="F7" s="61">
        <f>E7-D7</f>
        <v>-55454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-15767790.359999999</v>
      </c>
      <c r="G8" s="65">
        <f>F8*0.63</f>
        <v>-9933707.9267999995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220230</v>
      </c>
      <c r="E10" s="60">
        <f>'Daily Meter'!C34</f>
        <v>0</v>
      </c>
      <c r="F10" s="61">
        <f>E10-D10</f>
        <v>-220230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-48443772.869999997</v>
      </c>
      <c r="G11" s="73">
        <f>F11*0.06</f>
        <v>-2906626.3721999996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7176.6</v>
      </c>
      <c r="E13" s="60">
        <f>'Daily Meter'!H34</f>
        <v>0</v>
      </c>
      <c r="F13" s="61">
        <f t="shared" ref="F13:F18" si="0">(E13-D13)*480</f>
        <v>-3444768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4335.8</v>
      </c>
      <c r="E14" s="60">
        <f>'Daily Meter'!I34</f>
        <v>0</v>
      </c>
      <c r="F14" s="61">
        <f t="shared" si="0"/>
        <v>-2081184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4625.1000000000004</v>
      </c>
      <c r="E15" s="60">
        <f>'Daily Meter'!J34</f>
        <v>0</v>
      </c>
      <c r="F15" s="61">
        <f t="shared" si="0"/>
        <v>-2220048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2608.3000000000002</v>
      </c>
      <c r="E16" s="60">
        <f>'Daily Meter'!K34</f>
        <v>0</v>
      </c>
      <c r="F16" s="61">
        <f t="shared" si="0"/>
        <v>-1251984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5969.2</v>
      </c>
      <c r="E17" s="60">
        <f>'Daily Meter'!L34</f>
        <v>0</v>
      </c>
      <c r="F17" s="61">
        <f t="shared" si="0"/>
        <v>-2865216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16035.9</v>
      </c>
      <c r="E18" s="60">
        <f>'Daily Meter'!M34</f>
        <v>0</v>
      </c>
      <c r="F18" s="61">
        <f t="shared" si="0"/>
        <v>-7697232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-19560432</v>
      </c>
      <c r="G19" s="65">
        <f>F19*0.43</f>
        <v>-8410985.7599999998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102023.4</v>
      </c>
      <c r="E22" s="60">
        <f>'Daily Meter'!N34</f>
        <v>0</v>
      </c>
      <c r="F22" s="84">
        <f>E22-D22</f>
        <v>-102023.4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-377486.58</v>
      </c>
      <c r="G23" s="88">
        <f>F23*2.5</f>
        <v>-943716.45000000007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-15767790.359999999</v>
      </c>
      <c r="G28" s="98">
        <f>G8</f>
        <v>-9933707.9267999995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-48443772.869999997</v>
      </c>
      <c r="G29" s="98">
        <f>G11</f>
        <v>-2906626.3721999996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-19560432</v>
      </c>
      <c r="G30" s="98">
        <f>G19</f>
        <v>-8410985.7599999998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-102023.4</v>
      </c>
      <c r="G31" s="98">
        <f>G23</f>
        <v>-943716.45000000007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-22195036.509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2" t="s">
        <v>45</v>
      </c>
      <c r="B1" s="222"/>
      <c r="C1" s="222"/>
      <c r="D1" s="222"/>
      <c r="E1" s="222"/>
      <c r="F1" s="222"/>
      <c r="G1" s="222"/>
      <c r="H1" s="16" t="s">
        <v>46</v>
      </c>
    </row>
    <row r="2" spans="1:8" ht="18" x14ac:dyDescent="0.25">
      <c r="A2" s="223" t="s">
        <v>47</v>
      </c>
      <c r="B2" s="223"/>
      <c r="C2" s="223"/>
      <c r="D2" s="223"/>
      <c r="E2" s="223"/>
      <c r="F2" s="223"/>
      <c r="G2" s="223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61.05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5"/>
      <c r="E5" s="225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4" t="s">
        <v>75</v>
      </c>
      <c r="E26" s="224"/>
      <c r="F26" s="224"/>
      <c r="G26" s="224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27" t="s">
        <v>45</v>
      </c>
      <c r="B1" s="227"/>
      <c r="C1" s="227"/>
      <c r="D1" s="227"/>
      <c r="E1" s="227"/>
      <c r="F1" s="227"/>
      <c r="G1" s="227"/>
    </row>
    <row r="2" spans="1:14" ht="10.5" customHeight="1" x14ac:dyDescent="0.25">
      <c r="A2" s="227"/>
      <c r="B2" s="227"/>
      <c r="C2" s="227"/>
      <c r="D2" s="227"/>
      <c r="E2" s="227"/>
      <c r="F2" s="227"/>
      <c r="G2" s="227"/>
    </row>
    <row r="3" spans="1:14" ht="21.75" customHeight="1" x14ac:dyDescent="0.25">
      <c r="A3" s="228" t="s">
        <v>47</v>
      </c>
      <c r="B3" s="228"/>
      <c r="C3" s="228"/>
      <c r="D3" s="228"/>
      <c r="E3" s="228"/>
      <c r="F3" s="228"/>
      <c r="G3" s="228"/>
    </row>
    <row r="4" spans="1:14" ht="36" x14ac:dyDescent="0.25">
      <c r="A4" s="229" t="s">
        <v>113</v>
      </c>
      <c r="B4" s="229"/>
      <c r="C4" s="137" t="s">
        <v>114</v>
      </c>
      <c r="D4" s="107"/>
      <c r="E4" s="138" t="s">
        <v>87</v>
      </c>
      <c r="F4" s="230"/>
      <c r="G4" s="230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1" t="s">
        <v>115</v>
      </c>
      <c r="G5" s="232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1"/>
      <c r="G6" s="232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6" t="s">
        <v>75</v>
      </c>
      <c r="C44" s="226"/>
      <c r="D44" s="226"/>
      <c r="E44" s="226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34CDDA-042B-4180-AA44-3DF18CCC8F85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401fae36-edd3-4788-a18a-50cdc6e67760"/>
    <ds:schemaRef ds:uri="http://schemas.openxmlformats.org/package/2006/metadata/core-properties"/>
    <ds:schemaRef ds:uri="ab6f10ed-c627-4ef3-be43-403188ac181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</vt:i4>
      </vt:variant>
    </vt:vector>
  </HeadingPairs>
  <TitlesOfParts>
    <vt:vector size="38" baseType="lpstr">
      <vt:lpstr>Total</vt:lpstr>
      <vt:lpstr>Submetering</vt:lpstr>
      <vt:lpstr>Daily Meter</vt:lpstr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2024-03-28T04:46:45Z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