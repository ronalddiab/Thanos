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" i="4" l="1"/>
  <c r="Q12" i="4"/>
  <c r="O12" i="4"/>
  <c r="M12" i="4"/>
  <c r="K12" i="4"/>
  <c r="H12" i="4"/>
  <c r="F12" i="4"/>
  <c r="I12" i="4" s="1"/>
  <c r="D12" i="4"/>
  <c r="D13" i="4"/>
  <c r="F13" i="4"/>
  <c r="H13" i="4"/>
  <c r="K13" i="4"/>
  <c r="M13" i="4"/>
  <c r="O13" i="4"/>
  <c r="Q13" i="4"/>
  <c r="S13" i="4"/>
  <c r="W13" i="4"/>
  <c r="I13" i="4" l="1"/>
  <c r="AA8" i="4" l="1"/>
  <c r="AA9" i="4"/>
  <c r="AA10" i="4"/>
  <c r="AA11" i="4"/>
  <c r="AD4" i="1" l="1"/>
  <c r="AB4" i="1"/>
  <c r="AB5" i="1" s="1"/>
  <c r="AB6" i="1" s="1"/>
  <c r="AB10" i="1" s="1"/>
  <c r="AB11" i="1" s="1"/>
  <c r="AB13" i="1" s="1"/>
  <c r="AB14" i="1" s="1"/>
  <c r="AB18" i="1" s="1"/>
  <c r="AB19" i="1" s="1"/>
  <c r="AB21" i="1" s="1"/>
  <c r="AB23" i="1" s="1"/>
  <c r="AB24" i="1" s="1"/>
  <c r="AB27" i="1" s="1"/>
  <c r="AB28" i="1" s="1"/>
  <c r="AB29" i="1" s="1"/>
  <c r="AB30" i="1" s="1"/>
  <c r="AB31" i="1" s="1"/>
  <c r="AB32" i="1" s="1"/>
  <c r="AB33" i="1" s="1"/>
  <c r="AF18" i="1"/>
  <c r="AF23" i="1" s="1"/>
  <c r="AF25" i="1" s="1"/>
  <c r="AF27" i="1" s="1"/>
  <c r="AF28" i="1" s="1"/>
  <c r="AF29" i="1" s="1"/>
  <c r="AF30" i="1" s="1"/>
  <c r="AF31" i="1" s="1"/>
  <c r="AF32" i="1" s="1"/>
  <c r="AF33" i="1" s="1"/>
  <c r="AD8" i="1"/>
  <c r="AD27" i="1" s="1"/>
  <c r="AD28" i="1" s="1"/>
  <c r="AD29" i="1" s="1"/>
  <c r="AD30" i="1" s="1"/>
  <c r="AD31" i="1" s="1"/>
  <c r="AD32" i="1" s="1"/>
  <c r="AD33" i="1" s="1"/>
  <c r="Z27" i="1"/>
  <c r="Z28" i="1" s="1"/>
  <c r="Z29" i="1" s="1"/>
  <c r="Z30" i="1" s="1"/>
  <c r="Z31" i="1" s="1"/>
  <c r="Z32" i="1" s="1"/>
  <c r="Z33" i="1" s="1"/>
  <c r="X27" i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27" i="1"/>
  <c r="N28" i="1" s="1"/>
  <c r="N29" i="1" s="1"/>
  <c r="N30" i="1" s="1"/>
  <c r="N31" i="1" s="1"/>
  <c r="N32" i="1" s="1"/>
  <c r="N33" i="1" s="1"/>
  <c r="K18" i="1"/>
  <c r="K25" i="1" s="1"/>
  <c r="K26" i="1" s="1"/>
  <c r="K27" i="1" s="1"/>
  <c r="K28" i="1" s="1"/>
  <c r="K29" i="1" s="1"/>
  <c r="K30" i="1" s="1"/>
  <c r="K31" i="1" s="1"/>
  <c r="K32" i="1" s="1"/>
  <c r="K33" i="1" s="1"/>
  <c r="H27" i="1"/>
  <c r="H28" i="1" s="1"/>
  <c r="H29" i="1" s="1"/>
  <c r="H30" i="1" s="1"/>
  <c r="H31" i="1" s="1"/>
  <c r="H32" i="1" s="1"/>
  <c r="H33" i="1" s="1"/>
  <c r="E27" i="1"/>
  <c r="E28" i="1" s="1"/>
  <c r="E29" i="1" s="1"/>
  <c r="E30" i="1" s="1"/>
  <c r="E31" i="1" s="1"/>
  <c r="E32" i="1" s="1"/>
  <c r="E33" i="1" s="1"/>
  <c r="B27" i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27" i="5"/>
  <c r="B28" i="5" s="1"/>
  <c r="B29" i="5" s="1"/>
  <c r="B30" i="5" s="1"/>
  <c r="B31" i="5" s="1"/>
  <c r="B32" i="5" s="1"/>
  <c r="B33" i="5" s="1"/>
  <c r="H27" i="3"/>
  <c r="H28" i="3" s="1"/>
  <c r="H29" i="3" s="1"/>
  <c r="H30" i="3" s="1"/>
  <c r="H31" i="3" s="1"/>
  <c r="H32" i="3" s="1"/>
  <c r="H33" i="3" s="1"/>
  <c r="F27" i="3"/>
  <c r="F28" i="3" s="1"/>
  <c r="F29" i="3" s="1"/>
  <c r="F30" i="3" s="1"/>
  <c r="F31" i="3" s="1"/>
  <c r="F32" i="3" s="1"/>
  <c r="F33" i="3" s="1"/>
  <c r="D27" i="3"/>
  <c r="D28" i="3" s="1"/>
  <c r="D29" i="3" s="1"/>
  <c r="D30" i="3" s="1"/>
  <c r="D31" i="3" s="1"/>
  <c r="D32" i="3" s="1"/>
  <c r="D33" i="3" s="1"/>
  <c r="J2" i="3"/>
  <c r="K2" i="3" s="1"/>
  <c r="T20" i="2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4" i="2" s="1"/>
  <c r="R16" i="2" s="1"/>
  <c r="R17" i="2" s="1"/>
  <c r="R18" i="2" s="1"/>
  <c r="R19" i="2" s="1"/>
  <c r="R20" i="2" s="1"/>
  <c r="R21" i="2" s="1"/>
  <c r="R22" i="2" s="1"/>
  <c r="R23" i="2" s="1"/>
  <c r="R24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7" i="2" s="1"/>
  <c r="P28" i="2" s="1"/>
  <c r="P29" i="2" s="1"/>
  <c r="P30" i="2" s="1"/>
  <c r="P31" i="2" s="1"/>
  <c r="P32" i="2" s="1"/>
  <c r="P33" i="2" s="1"/>
  <c r="N20" i="2"/>
  <c r="N27" i="2" s="1"/>
  <c r="N28" i="2" s="1"/>
  <c r="N29" i="2" s="1"/>
  <c r="N30" i="2" s="1"/>
  <c r="N31" i="2" s="1"/>
  <c r="N32" i="2" s="1"/>
  <c r="N33" i="2" s="1"/>
  <c r="L20" i="2"/>
  <c r="L27" i="2" s="1"/>
  <c r="L28" i="2" s="1"/>
  <c r="L29" i="2" s="1"/>
  <c r="L30" i="2" s="1"/>
  <c r="L31" i="2" s="1"/>
  <c r="L32" i="2" s="1"/>
  <c r="L33" i="2" s="1"/>
  <c r="J10" i="2"/>
  <c r="J11" i="2" s="1"/>
  <c r="J12" i="2" s="1"/>
  <c r="J18" i="2" s="1"/>
  <c r="J20" i="2" s="1"/>
  <c r="J24" i="2" s="1"/>
  <c r="J27" i="2" s="1"/>
  <c r="J28" i="2" s="1"/>
  <c r="J29" i="2" s="1"/>
  <c r="J30" i="2" s="1"/>
  <c r="J31" i="2" s="1"/>
  <c r="J32" i="2" s="1"/>
  <c r="H20" i="2"/>
  <c r="H27" i="2" s="1"/>
  <c r="H28" i="2" s="1"/>
  <c r="H29" i="2" s="1"/>
  <c r="H30" i="2" s="1"/>
  <c r="H31" i="2" s="1"/>
  <c r="H32" i="2" s="1"/>
  <c r="H33" i="2" s="1"/>
  <c r="F20" i="2"/>
  <c r="F27" i="2" s="1"/>
  <c r="F28" i="2" s="1"/>
  <c r="F29" i="2" s="1"/>
  <c r="F30" i="2" s="1"/>
  <c r="F31" i="2" s="1"/>
  <c r="F32" i="2" s="1"/>
  <c r="F33" i="2" s="1"/>
  <c r="D20" i="2"/>
  <c r="D27" i="2" s="1"/>
  <c r="D28" i="2" s="1"/>
  <c r="D29" i="2" s="1"/>
  <c r="D30" i="2" s="1"/>
  <c r="D31" i="2" s="1"/>
  <c r="D32" i="2" s="1"/>
  <c r="D33" i="2" s="1"/>
  <c r="B20" i="2"/>
  <c r="B27" i="2" s="1"/>
  <c r="B28" i="2" s="1"/>
  <c r="B29" i="2" s="1"/>
  <c r="B30" i="2" s="1"/>
  <c r="B31" i="2" s="1"/>
  <c r="B32" i="2" s="1"/>
  <c r="B33" i="2" s="1"/>
  <c r="P2" i="2"/>
  <c r="V27" i="4"/>
  <c r="V28" i="4" s="1"/>
  <c r="V29" i="4" s="1"/>
  <c r="V30" i="4" s="1"/>
  <c r="V31" i="4" s="1"/>
  <c r="V32" i="4" s="1"/>
  <c r="V33" i="4" s="1"/>
  <c r="R27" i="4"/>
  <c r="R28" i="4" s="1"/>
  <c r="R29" i="4" s="1"/>
  <c r="R30" i="4" s="1"/>
  <c r="R31" i="4" s="1"/>
  <c r="R32" i="4" s="1"/>
  <c r="R33" i="4" s="1"/>
  <c r="P27" i="4"/>
  <c r="P28" i="4" s="1"/>
  <c r="P29" i="4" s="1"/>
  <c r="P30" i="4" s="1"/>
  <c r="P31" i="4" s="1"/>
  <c r="P32" i="4" s="1"/>
  <c r="P33" i="4" s="1"/>
  <c r="N27" i="4"/>
  <c r="N28" i="4" s="1"/>
  <c r="N29" i="4" s="1"/>
  <c r="N30" i="4" s="1"/>
  <c r="N31" i="4" s="1"/>
  <c r="N32" i="4" s="1"/>
  <c r="N33" i="4" s="1"/>
  <c r="B10" i="4"/>
  <c r="B22" i="4" s="1"/>
  <c r="B27" i="4" s="1"/>
  <c r="B28" i="4" s="1"/>
  <c r="B29" i="4" s="1"/>
  <c r="B30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E17" i="3" l="1"/>
  <c r="K19" i="4"/>
  <c r="Z13" i="4"/>
  <c r="AG25" i="1"/>
  <c r="X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G9" i="9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25" i="4" l="1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4" i="1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32" i="4"/>
  <c r="AA17" i="4"/>
  <c r="AA31" i="4"/>
  <c r="AA30" i="4"/>
  <c r="AA29" i="4"/>
  <c r="F34" i="1"/>
  <c r="S32" i="8"/>
  <c r="T33" i="1"/>
  <c r="U33" i="1" s="1"/>
  <c r="I34" i="2"/>
  <c r="K34" i="4"/>
  <c r="S34" i="1"/>
  <c r="L34" i="1"/>
  <c r="P34" i="1"/>
  <c r="O34" i="4"/>
  <c r="S34" i="4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4" i="1"/>
  <c r="G34" i="2"/>
  <c r="Z34" i="4"/>
  <c r="J17" i="8"/>
  <c r="Y17" i="8" s="1"/>
  <c r="I18" i="4"/>
  <c r="Y18" i="4" s="1"/>
  <c r="I19" i="4"/>
  <c r="AA11" i="8"/>
  <c r="Z11" i="8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B27" i="3"/>
  <c r="C26" i="3"/>
  <c r="AD24" i="8" l="1"/>
  <c r="J26" i="3"/>
  <c r="K26" i="3" s="1"/>
  <c r="E25" i="8"/>
  <c r="B28" i="3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<sst xmlns="http://schemas.openxmlformats.org/spreadsheetml/2006/main" count="443" uniqueCount="149">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</sst>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25" sqref="E25:K25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32212.809824000004</v>
      </c>
      <c r="F12" s="144">
        <v>1.27</v>
      </c>
      <c r="G12" s="41">
        <f>Gas!C13*0.9147</f>
        <v>3084.3683999999998</v>
      </c>
      <c r="H12" s="145">
        <v>3.65</v>
      </c>
      <c r="I12" s="147">
        <f>Submetering!H12+Submetering!AD12+Submetering!AE12</f>
        <v>986.00000000000011</v>
      </c>
      <c r="J12" s="147">
        <v>10.029999999999999</v>
      </c>
      <c r="K12" s="41">
        <f>ELECT.!B13</f>
        <v>203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51885.013879999999</v>
      </c>
      <c r="F13" s="144">
        <v>1.27</v>
      </c>
      <c r="G13" s="41">
        <f>Gas!C14*0.9147</f>
        <v>2057.1603</v>
      </c>
      <c r="H13" s="145">
        <v>3.65</v>
      </c>
      <c r="I13" s="147">
        <f>Submetering!H13+Submetering!AD13+Submetering!AE13</f>
        <v>886</v>
      </c>
      <c r="J13" s="147">
        <v>10.029999999999999</v>
      </c>
      <c r="K13" s="41">
        <f>ELECT.!B14</f>
        <v>217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42818.976064000002</v>
      </c>
      <c r="F14" s="144">
        <v>1.27</v>
      </c>
      <c r="G14" s="41">
        <f>Gas!C15*0.9147</f>
        <v>1948.3109999999999</v>
      </c>
      <c r="H14" s="145">
        <v>3.65</v>
      </c>
      <c r="I14" s="147">
        <f>Submetering!H14+Submetering!AD14+Submetering!AE14</f>
        <v>886.00000000000011</v>
      </c>
      <c r="J14" s="147">
        <v>10.029999999999999</v>
      </c>
      <c r="K14" s="41">
        <f>ELECT.!B15</f>
        <v>218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58277.841528000012</v>
      </c>
      <c r="F15" s="144">
        <v>1.27</v>
      </c>
      <c r="G15" s="41">
        <f>Gas!C16*0.9147</f>
        <v>4711.6197000000002</v>
      </c>
      <c r="H15" s="145">
        <v>3.65</v>
      </c>
      <c r="I15" s="147">
        <f>Submetering!H15+Submetering!AD15+Submetering!AE15</f>
        <v>1276</v>
      </c>
      <c r="J15" s="147">
        <v>10.029999999999999</v>
      </c>
      <c r="K15" s="41">
        <f>ELECT.!B16</f>
        <v>212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36249.277488</v>
      </c>
      <c r="F16" s="144">
        <v>1.27</v>
      </c>
      <c r="G16" s="41">
        <f>Gas!C17*0.9147</f>
        <v>2970.9456</v>
      </c>
      <c r="H16" s="145">
        <v>3.65</v>
      </c>
      <c r="I16" s="147">
        <f>Submetering!H16+Submetering!AD16+Submetering!AE16</f>
        <v>1256</v>
      </c>
      <c r="J16" s="147">
        <v>10.029999999999999</v>
      </c>
      <c r="K16" s="41">
        <f>ELECT.!B17</f>
        <v>175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48369.973803999994</v>
      </c>
      <c r="F17" s="144">
        <v>1.27</v>
      </c>
      <c r="G17" s="41">
        <f>Gas!C18*0.9147</f>
        <v>2531.8896</v>
      </c>
      <c r="H17" s="145">
        <v>3.65</v>
      </c>
      <c r="I17" s="147">
        <f>Submetering!H17+Submetering!AD17+Submetering!AE17</f>
        <v>756</v>
      </c>
      <c r="J17" s="147">
        <v>10.029999999999999</v>
      </c>
      <c r="K17" s="41">
        <f>ELECT.!B18</f>
        <v>191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36892.545667999999</v>
      </c>
      <c r="F18" s="144">
        <v>1.27</v>
      </c>
      <c r="G18" s="41">
        <f>Gas!C19*0.9147</f>
        <v>2872.1579999999999</v>
      </c>
      <c r="H18" s="145">
        <v>3.65</v>
      </c>
      <c r="I18" s="147">
        <f>Submetering!H18+Submetering!AD18+Submetering!AE18</f>
        <v>556</v>
      </c>
      <c r="J18" s="147">
        <v>10.029999999999999</v>
      </c>
      <c r="K18" s="41">
        <f>ELECT.!B19</f>
        <v>195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60774.928615999997</v>
      </c>
      <c r="F19" s="144">
        <v>1.27</v>
      </c>
      <c r="G19" s="41">
        <f>Gas!C20*0.9147</f>
        <v>2301.3851999999997</v>
      </c>
      <c r="H19" s="145">
        <v>3.65</v>
      </c>
      <c r="I19" s="147">
        <f>Submetering!H19+Submetering!AD19+Submetering!AE19</f>
        <v>536</v>
      </c>
      <c r="J19" s="147">
        <v>10.029999999999999</v>
      </c>
      <c r="K19" s="41">
        <f>ELECT.!B20</f>
        <v>205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41352.397108000005</v>
      </c>
      <c r="F20" s="144">
        <v>1.27</v>
      </c>
      <c r="G20" s="41">
        <f>Gas!C21*0.9147</f>
        <v>4718.0225999999993</v>
      </c>
      <c r="H20" s="145">
        <v>3.65</v>
      </c>
      <c r="I20" s="147">
        <f>Submetering!H20+Submetering!AD20+Submetering!AE20</f>
        <v>616</v>
      </c>
      <c r="J20" s="147">
        <v>10.029999999999999</v>
      </c>
      <c r="K20" s="41">
        <f>ELECT.!B21</f>
        <v>264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56256.802928000012</v>
      </c>
      <c r="F21" s="144">
        <v>1.27</v>
      </c>
      <c r="G21" s="41">
        <f>Gas!C22*0.9147</f>
        <v>3405.4280999999996</v>
      </c>
      <c r="H21" s="145">
        <v>3.65</v>
      </c>
      <c r="I21" s="147">
        <f>Submetering!H21+Submetering!AD21+Submetering!AE21</f>
        <v>616</v>
      </c>
      <c r="J21" s="147">
        <v>10.029999999999999</v>
      </c>
      <c r="K21" s="41">
        <f>ELECT.!B22</f>
        <v>264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43884.782759999995</v>
      </c>
      <c r="F22" s="144">
        <v>1.27</v>
      </c>
      <c r="G22" s="41">
        <f>Gas!C23*0.9147</f>
        <v>2579.4539999999997</v>
      </c>
      <c r="H22" s="145">
        <v>3.65</v>
      </c>
      <c r="I22" s="147">
        <f>Submetering!H22+Submetering!AD22+Submetering!AE22</f>
        <v>596.00000000000011</v>
      </c>
      <c r="J22" s="147">
        <v>10.029999999999999</v>
      </c>
      <c r="K22" s="41">
        <f>ELECT.!B23</f>
        <v>143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40430.859568000007</v>
      </c>
      <c r="F23" s="144">
        <v>1.27</v>
      </c>
      <c r="G23" s="41">
        <f>Gas!C24*0.9147</f>
        <v>3938.6981999999998</v>
      </c>
      <c r="H23" s="145">
        <v>3.65</v>
      </c>
      <c r="I23" s="147">
        <f>Submetering!H23+Submetering!AD23+Submetering!AE23</f>
        <v>606</v>
      </c>
      <c r="J23" s="147">
        <v>10.029999999999999</v>
      </c>
      <c r="K23" s="41">
        <f>ELECT.!B24</f>
        <v>209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53180.020064000004</v>
      </c>
      <c r="F24" s="144">
        <v>1.27</v>
      </c>
      <c r="G24" s="41">
        <f>Gas!C25*0.9147</f>
        <v>3485.0070000000001</v>
      </c>
      <c r="H24" s="145">
        <v>3.65</v>
      </c>
      <c r="I24" s="147">
        <f>Submetering!H24+Submetering!AD24+Submetering!AE24</f>
        <v>595.99999999999989</v>
      </c>
      <c r="J24" s="147">
        <v>10.029999999999999</v>
      </c>
      <c r="K24" s="41">
        <f>ELECT.!B25</f>
        <v>193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38072.815635999992</v>
      </c>
      <c r="F25" s="144">
        <v>1.27</v>
      </c>
      <c r="G25" s="41">
        <f>Gas!C26*0.9147</f>
        <v>3120.9564</v>
      </c>
      <c r="H25" s="145">
        <v>3.65</v>
      </c>
      <c r="I25" s="147">
        <f>Submetering!H25+Submetering!AD25+Submetering!AE25</f>
        <v>526</v>
      </c>
      <c r="J25" s="147">
        <v>10.029999999999999</v>
      </c>
      <c r="K25" s="41">
        <f>ELECT.!B26</f>
        <v>164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164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164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164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164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164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164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24" sqref="E24:V24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1" width="12.5703125" style="42" customWidth="1"/>
    <col min="22" max="22" width="13.140625" style="42" customWidth="1"/>
    <col min="23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1180</v>
      </c>
      <c r="F12" s="41">
        <f>Water!E13</f>
        <v>850</v>
      </c>
      <c r="G12" s="41">
        <f>Water!G13</f>
        <v>267.3</v>
      </c>
      <c r="H12" s="41">
        <f>Water!I13</f>
        <v>5.859</v>
      </c>
      <c r="I12" s="41">
        <f>ELECT.!F13</f>
        <v>4948</v>
      </c>
      <c r="J12" s="41">
        <f>ELECT.!H13</f>
        <v>29711</v>
      </c>
      <c r="K12" s="41">
        <f>ELECT.!K13</f>
        <v>6404</v>
      </c>
      <c r="L12" s="41">
        <f>ELECT.!M13</f>
        <v>3861</v>
      </c>
      <c r="M12" s="41">
        <f>ELECT.!O13</f>
        <v>1010</v>
      </c>
      <c r="N12" s="41">
        <f>ELECT.!Q13</f>
        <v>4544</v>
      </c>
      <c r="O12" s="41">
        <f>ELECT.!S13</f>
        <v>7058</v>
      </c>
      <c r="P12" s="41">
        <f>ELECT.!W13*2</f>
        <v>14078</v>
      </c>
      <c r="Q12" s="41">
        <f>ELECT.!D13</f>
        <v>480</v>
      </c>
      <c r="R12" s="42">
        <f>BTU!C13</f>
        <v>2.9350000000013097</v>
      </c>
      <c r="S12" s="42">
        <f>BTU!F13</f>
        <v>0.84999999999990905</v>
      </c>
      <c r="T12" s="42">
        <f>BTU!I13</f>
        <v>6</v>
      </c>
      <c r="U12" s="42">
        <f>BTU!O13</f>
        <v>1.4290000000000873</v>
      </c>
      <c r="V12" s="42">
        <f>BTU!L13</f>
        <v>0</v>
      </c>
      <c r="W12" s="42">
        <f>BTU!R13</f>
        <v>0</v>
      </c>
      <c r="X12" s="39">
        <f>ELECT.!B13</f>
        <v>203</v>
      </c>
      <c r="Y12" s="39">
        <f t="shared" si="0"/>
        <v>-2296</v>
      </c>
      <c r="Z12">
        <f>'Mall, Citadel, Rotana'!C13+'Mall, Citadel, Rotana'!E13+'Mall, Citadel, Rotana'!G13+'Mall, Citadel, Rotana'!I13</f>
        <v>1340</v>
      </c>
      <c r="AA12">
        <f>'Mall, Citadel, Rotana'!K13+'Mall, Citadel, Rotana'!M13</f>
        <v>640</v>
      </c>
      <c r="AB12">
        <f>'Mall, Citadel, Rotana'!O13</f>
        <v>114</v>
      </c>
      <c r="AC12">
        <f>'Mall, Citadel, Rotana'!Q13+'Mall, Citadel, Rotana'!S13</f>
        <v>127</v>
      </c>
      <c r="AD12" s="39">
        <f t="shared" si="1"/>
        <v>129.1825838</v>
      </c>
      <c r="AE12" s="39">
        <f t="shared" si="2"/>
        <v>850.9584162000001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1080</v>
      </c>
      <c r="F13" s="41">
        <f>Water!E14</f>
        <v>690</v>
      </c>
      <c r="G13" s="41">
        <f>Water!G14</f>
        <v>280.8</v>
      </c>
      <c r="H13" s="41">
        <f>Water!I14</f>
        <v>4.7249999999999996</v>
      </c>
      <c r="I13" s="41">
        <f>ELECT.!F14</f>
        <v>7734</v>
      </c>
      <c r="J13" s="41">
        <f>ELECT.!H14</f>
        <v>46691</v>
      </c>
      <c r="K13" s="41">
        <f>ELECT.!K14</f>
        <v>10482</v>
      </c>
      <c r="L13" s="41">
        <f>ELECT.!M14</f>
        <v>5859</v>
      </c>
      <c r="M13" s="41">
        <f>ELECT.!O14</f>
        <v>1718</v>
      </c>
      <c r="N13" s="41">
        <f>ELECT.!Q14</f>
        <v>7434</v>
      </c>
      <c r="O13" s="41">
        <f>ELECT.!S14</f>
        <v>10872</v>
      </c>
      <c r="P13" s="41">
        <f>ELECT.!W14*2</f>
        <v>21898</v>
      </c>
      <c r="Q13" s="41">
        <f>ELECT.!D14</f>
        <v>320</v>
      </c>
      <c r="R13" s="42">
        <f>BTU!C14</f>
        <v>1.3499999999985448</v>
      </c>
      <c r="S13" s="42">
        <f>BTU!F14</f>
        <v>0.3910000000000764</v>
      </c>
      <c r="T13" s="42">
        <f>BTU!I14</f>
        <v>3</v>
      </c>
      <c r="U13" s="42">
        <f>BTU!O14</f>
        <v>0.60999999999967258</v>
      </c>
      <c r="V13" s="42">
        <f>BTU!L14</f>
        <v>0</v>
      </c>
      <c r="W13" s="42">
        <f>BTU!R14</f>
        <v>0</v>
      </c>
      <c r="X13" s="39">
        <f>ELECT.!B14</f>
        <v>217</v>
      </c>
      <c r="Y13" s="39">
        <f t="shared" si="0"/>
        <v>-3838</v>
      </c>
      <c r="Z13">
        <f>'Mall, Citadel, Rotana'!C14+'Mall, Citadel, Rotana'!E14+'Mall, Citadel, Rotana'!G14+'Mall, Citadel, Rotana'!I14</f>
        <v>1358</v>
      </c>
      <c r="AA13">
        <f>'Mall, Citadel, Rotana'!K14+'Mall, Citadel, Rotana'!M14</f>
        <v>640</v>
      </c>
      <c r="AB13">
        <f>'Mall, Citadel, Rotana'!O14</f>
        <v>119</v>
      </c>
      <c r="AC13">
        <f>'Mall, Citadel, Rotana'!Q14+'Mall, Citadel, Rotana'!S14</f>
        <v>2</v>
      </c>
      <c r="AD13" s="39">
        <f t="shared" si="1"/>
        <v>116.15204500000002</v>
      </c>
      <c r="AE13" s="39">
        <f t="shared" si="2"/>
        <v>765.12295500000005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1080</v>
      </c>
      <c r="F14" s="41">
        <f>Water!E15</f>
        <v>920</v>
      </c>
      <c r="G14" s="41">
        <f>Water!G15</f>
        <v>278.10000000000002</v>
      </c>
      <c r="H14" s="41">
        <f>Water!I15</f>
        <v>4.1849999999999996</v>
      </c>
      <c r="I14" s="41">
        <f>ELECT.!F15</f>
        <v>5856</v>
      </c>
      <c r="J14" s="41">
        <f>ELECT.!H15</f>
        <v>38797</v>
      </c>
      <c r="K14" s="41">
        <f>ELECT.!K15</f>
        <v>8426</v>
      </c>
      <c r="L14" s="41">
        <f>ELECT.!M15</f>
        <v>4544</v>
      </c>
      <c r="M14" s="41">
        <f>ELECT.!O15</f>
        <v>1192</v>
      </c>
      <c r="N14" s="41">
        <f>ELECT.!Q15</f>
        <v>6350</v>
      </c>
      <c r="O14" s="41">
        <f>ELECT.!S15</f>
        <v>9162</v>
      </c>
      <c r="P14" s="41">
        <f>ELECT.!W15*2</f>
        <v>18034</v>
      </c>
      <c r="Q14" s="41">
        <f>ELECT.!D15</f>
        <v>480</v>
      </c>
      <c r="R14" s="42">
        <f>BTU!C15</f>
        <v>2.2489999999997963</v>
      </c>
      <c r="S14" s="42">
        <f>BTU!F15</f>
        <v>0.62399999999979627</v>
      </c>
      <c r="T14" s="42">
        <f>BTU!I15</f>
        <v>4</v>
      </c>
      <c r="U14" s="42">
        <f>BTU!O15</f>
        <v>1.0070000000000618</v>
      </c>
      <c r="V14" s="42">
        <f>BTU!L15</f>
        <v>0</v>
      </c>
      <c r="W14" s="42">
        <f>BTU!R15</f>
        <v>0</v>
      </c>
      <c r="X14" s="39">
        <f>ELECT.!B15</f>
        <v>218</v>
      </c>
      <c r="Y14" s="39">
        <f t="shared" si="0"/>
        <v>-3055</v>
      </c>
      <c r="Z14">
        <f>'Mall, Citadel, Rotana'!C15+'Mall, Citadel, Rotana'!E15+'Mall, Citadel, Rotana'!G15+'Mall, Citadel, Rotana'!I15</f>
        <v>1074</v>
      </c>
      <c r="AA14">
        <f>'Mall, Citadel, Rotana'!K15+'Mall, Citadel, Rotana'!M15</f>
        <v>320</v>
      </c>
      <c r="AB14">
        <f>'Mall, Citadel, Rotana'!O15</f>
        <v>120</v>
      </c>
      <c r="AC14">
        <f>'Mall, Citadel, Rotana'!Q15+'Mall, Citadel, Rotana'!S15</f>
        <v>0</v>
      </c>
      <c r="AD14" s="39">
        <f t="shared" si="1"/>
        <v>116.22321700000001</v>
      </c>
      <c r="AE14" s="39">
        <f t="shared" si="2"/>
        <v>765.59178300000008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1470</v>
      </c>
      <c r="F15" s="41">
        <f>Water!E16</f>
        <v>910</v>
      </c>
      <c r="G15" s="41">
        <f>Water!G16</f>
        <v>272.7</v>
      </c>
      <c r="H15" s="41">
        <f>Water!I16</f>
        <v>4.6710000000000003</v>
      </c>
      <c r="I15" s="41">
        <f>ELECT.!F16</f>
        <v>7994</v>
      </c>
      <c r="J15" s="41">
        <f>ELECT.!H16</f>
        <v>52744</v>
      </c>
      <c r="K15" s="41">
        <f>ELECT.!K16</f>
        <v>10746</v>
      </c>
      <c r="L15" s="41">
        <f>ELECT.!M16</f>
        <v>6149</v>
      </c>
      <c r="M15" s="41">
        <f>ELECT.!O16</f>
        <v>1684</v>
      </c>
      <c r="N15" s="41">
        <f>ELECT.!Q16</f>
        <v>8648</v>
      </c>
      <c r="O15" s="41">
        <f>ELECT.!S16</f>
        <v>12440</v>
      </c>
      <c r="P15" s="41">
        <f>ELECT.!W16*2</f>
        <v>24902</v>
      </c>
      <c r="Q15" s="41">
        <f>ELECT.!D16</f>
        <v>320</v>
      </c>
      <c r="R15" s="42">
        <f>BTU!C16</f>
        <v>2.3980000000010477</v>
      </c>
      <c r="S15" s="42">
        <f>BTU!F16</f>
        <v>0.61000000000012733</v>
      </c>
      <c r="T15" s="42">
        <f>BTU!I16</f>
        <v>5</v>
      </c>
      <c r="U15" s="42">
        <f>BTU!O16</f>
        <v>1.1739999999999782</v>
      </c>
      <c r="V15" s="42">
        <f>BTU!L16</f>
        <v>0</v>
      </c>
      <c r="W15" s="42">
        <f>BTU!R16</f>
        <v>0</v>
      </c>
      <c r="X15" s="39">
        <f>ELECT.!B16</f>
        <v>212</v>
      </c>
      <c r="Y15" s="39">
        <f t="shared" si="0"/>
        <v>-3831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480</v>
      </c>
      <c r="AB15">
        <f>'Mall, Citadel, Rotana'!O16</f>
        <v>107</v>
      </c>
      <c r="AC15">
        <f>'Mall, Citadel, Rotana'!Q16+'Mall, Citadel, Rotana'!S16</f>
        <v>0</v>
      </c>
      <c r="AD15" s="39">
        <f t="shared" si="1"/>
        <v>167.56116219999998</v>
      </c>
      <c r="AE15" s="39">
        <f t="shared" si="2"/>
        <v>1103.7678378000001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1450</v>
      </c>
      <c r="F16" s="41">
        <f>Water!E17</f>
        <v>1010</v>
      </c>
      <c r="G16" s="41">
        <f>Water!G17</f>
        <v>272.7</v>
      </c>
      <c r="H16" s="41">
        <f>Water!I17</f>
        <v>3.5369999999999999</v>
      </c>
      <c r="I16" s="41">
        <f>ELECT.!F17</f>
        <v>5011</v>
      </c>
      <c r="J16" s="41">
        <f>ELECT.!H17</f>
        <v>33472</v>
      </c>
      <c r="K16" s="41">
        <f>ELECT.!K17</f>
        <v>7220</v>
      </c>
      <c r="L16" s="41">
        <f>ELECT.!M17</f>
        <v>3722</v>
      </c>
      <c r="M16" s="41">
        <f>ELECT.!O17</f>
        <v>1186</v>
      </c>
      <c r="N16" s="41">
        <f>ELECT.!Q17</f>
        <v>5463</v>
      </c>
      <c r="O16" s="41">
        <f>ELECT.!S17</f>
        <v>7984</v>
      </c>
      <c r="P16" s="41">
        <f>ELECT.!W17*2</f>
        <v>15448</v>
      </c>
      <c r="Q16" s="41">
        <f>ELECT.!D17</f>
        <v>320</v>
      </c>
      <c r="R16" s="42">
        <f>BTU!C17</f>
        <v>1.8070000000006985</v>
      </c>
      <c r="S16" s="42">
        <f>BTU!F17</f>
        <v>0.38200000000006185</v>
      </c>
      <c r="T16" s="42">
        <f>BTU!I17</f>
        <v>4</v>
      </c>
      <c r="U16" s="42">
        <f>BTU!O17</f>
        <v>1.1030000000000655</v>
      </c>
      <c r="V16" s="42">
        <f>BTU!L17</f>
        <v>0</v>
      </c>
      <c r="W16" s="42">
        <f>BTU!R17</f>
        <v>0</v>
      </c>
      <c r="X16" s="39">
        <f>ELECT.!B17</f>
        <v>175</v>
      </c>
      <c r="Y16" s="39">
        <f t="shared" si="0"/>
        <v>-2540</v>
      </c>
      <c r="Z16">
        <f>'Mall, Citadel, Rotana'!C17+'Mall, Citadel, Rotana'!E17+'Mall, Citadel, Rotana'!G17+'Mall, Citadel, Rotana'!I17</f>
        <v>1372</v>
      </c>
      <c r="AA16">
        <f>'Mall, Citadel, Rotana'!K17+'Mall, Citadel, Rotana'!M17</f>
        <v>480</v>
      </c>
      <c r="AB16">
        <f>'Mall, Citadel, Rotana'!O17</f>
        <v>84</v>
      </c>
      <c r="AC16">
        <f>'Mall, Citadel, Rotana'!Q17+'Mall, Citadel, Rotana'!S17</f>
        <v>0</v>
      </c>
      <c r="AD16" s="39">
        <f t="shared" si="1"/>
        <v>165.07462340000001</v>
      </c>
      <c r="AE16" s="39">
        <f t="shared" si="2"/>
        <v>1087.3883765999999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950</v>
      </c>
      <c r="F17" s="41">
        <f>Water!E18</f>
        <v>650</v>
      </c>
      <c r="G17" s="41">
        <f>Water!G18</f>
        <v>240.3</v>
      </c>
      <c r="H17" s="41">
        <f>Water!I18</f>
        <v>6.8309999999999995</v>
      </c>
      <c r="I17" s="41">
        <f>ELECT.!F18</f>
        <v>6544</v>
      </c>
      <c r="J17" s="41">
        <f>ELECT.!H18</f>
        <v>43811</v>
      </c>
      <c r="K17" s="41">
        <f>ELECT.!K18</f>
        <v>9802</v>
      </c>
      <c r="L17" s="41">
        <f>ELECT.!M18</f>
        <v>5073</v>
      </c>
      <c r="M17" s="41">
        <f>ELECT.!O18</f>
        <v>1326</v>
      </c>
      <c r="N17" s="41">
        <f>ELECT.!Q18</f>
        <v>6870</v>
      </c>
      <c r="O17" s="41">
        <f>ELECT.!S18</f>
        <v>10103</v>
      </c>
      <c r="P17" s="41">
        <f>ELECT.!W18*2</f>
        <v>20678</v>
      </c>
      <c r="Q17" s="41">
        <f>ELECT.!D18</f>
        <v>480</v>
      </c>
      <c r="R17" s="42">
        <f>BTU!C18</f>
        <v>1.2190000000009604</v>
      </c>
      <c r="S17" s="42">
        <f>BTU!F18</f>
        <v>0.75700000000006185</v>
      </c>
      <c r="T17" s="42">
        <f>BTU!I18</f>
        <v>3</v>
      </c>
      <c r="U17" s="42">
        <f>BTU!O18</f>
        <v>0.88799999999991996</v>
      </c>
      <c r="V17" s="42">
        <f>BTU!L18</f>
        <v>0</v>
      </c>
      <c r="W17" s="42">
        <f>BTU!R18</f>
        <v>0</v>
      </c>
      <c r="X17" s="39">
        <f>ELECT.!B18</f>
        <v>191</v>
      </c>
      <c r="Y17" s="39">
        <f t="shared" si="0"/>
        <v>-3497</v>
      </c>
      <c r="Z17">
        <f>'Mall, Citadel, Rotana'!C18+'Mall, Citadel, Rotana'!E18+'Mall, Citadel, Rotana'!G18+'Mall, Citadel, Rotana'!I18</f>
        <v>1176</v>
      </c>
      <c r="AA17">
        <f>'Mall, Citadel, Rotana'!K18+'Mall, Citadel, Rotana'!M18</f>
        <v>320</v>
      </c>
      <c r="AB17">
        <f>'Mall, Citadel, Rotana'!O18</f>
        <v>130</v>
      </c>
      <c r="AC17">
        <f>'Mall, Citadel, Rotana'!Q18+'Mall, Citadel, Rotana'!S18</f>
        <v>0</v>
      </c>
      <c r="AD17" s="39">
        <f t="shared" si="1"/>
        <v>98.740474199999994</v>
      </c>
      <c r="AE17" s="39">
        <f t="shared" si="2"/>
        <v>650.42852579999999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750</v>
      </c>
      <c r="F18" s="41">
        <f>Water!E19</f>
        <v>360</v>
      </c>
      <c r="G18" s="41">
        <f>Water!G19</f>
        <v>248.4</v>
      </c>
      <c r="H18" s="41">
        <f>Water!I19</f>
        <v>5.0490000000000004</v>
      </c>
      <c r="I18" s="41">
        <f>ELECT.!F19</f>
        <v>5479</v>
      </c>
      <c r="J18" s="41">
        <f>ELECT.!H19</f>
        <v>35161</v>
      </c>
      <c r="K18" s="41">
        <f>ELECT.!K19</f>
        <v>8100</v>
      </c>
      <c r="L18" s="41">
        <f>ELECT.!M19</f>
        <v>4374</v>
      </c>
      <c r="M18" s="41">
        <f>ELECT.!O19</f>
        <v>1010</v>
      </c>
      <c r="N18" s="41">
        <f>ELECT.!Q19</f>
        <v>4944</v>
      </c>
      <c r="O18" s="41">
        <f>ELECT.!S19</f>
        <v>8527</v>
      </c>
      <c r="P18" s="41">
        <f>ELECT.!W19*2</f>
        <v>16800</v>
      </c>
      <c r="Q18" s="41">
        <f>ELECT.!D19</f>
        <v>320</v>
      </c>
      <c r="R18" s="42">
        <f>BTU!C19</f>
        <v>2.2999999999992724</v>
      </c>
      <c r="S18" s="42">
        <f>BTU!F19</f>
        <v>0.2840000000001055</v>
      </c>
      <c r="T18" s="42">
        <f>BTU!I19</f>
        <v>6</v>
      </c>
      <c r="U18" s="42">
        <f>BTU!O19</f>
        <v>1.374000000000251</v>
      </c>
      <c r="V18" s="42">
        <f>BTU!L19</f>
        <v>0</v>
      </c>
      <c r="W18" s="42">
        <f>BTU!R19</f>
        <v>0</v>
      </c>
      <c r="X18" s="39">
        <f>ELECT.!B19</f>
        <v>195</v>
      </c>
      <c r="Y18" s="39">
        <f t="shared" si="0"/>
        <v>-3115</v>
      </c>
      <c r="Z18">
        <f>'Mall, Citadel, Rotana'!C19+'Mall, Citadel, Rotana'!E19+'Mall, Citadel, Rotana'!G19+'Mall, Citadel, Rotana'!I19</f>
        <v>2409</v>
      </c>
      <c r="AA18">
        <f>'Mall, Citadel, Rotana'!K19+'Mall, Citadel, Rotana'!M19</f>
        <v>800</v>
      </c>
      <c r="AB18">
        <f>'Mall, Citadel, Rotana'!O19</f>
        <v>266</v>
      </c>
      <c r="AC18">
        <f>'Mall, Citadel, Rotana'!Q19+'Mall, Citadel, Rotana'!S19</f>
        <v>0</v>
      </c>
      <c r="AD18" s="39">
        <f t="shared" si="1"/>
        <v>72.61534180000001</v>
      </c>
      <c r="AE18" s="39">
        <f t="shared" si="2"/>
        <v>478.33565820000001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730</v>
      </c>
      <c r="F19" s="41">
        <f>Water!E20</f>
        <v>410</v>
      </c>
      <c r="G19" s="41">
        <f>Water!G20</f>
        <v>267.3</v>
      </c>
      <c r="H19" s="41">
        <f>Water!I20</f>
        <v>4.968</v>
      </c>
      <c r="I19" s="41">
        <f>ELECT.!F20</f>
        <v>8425</v>
      </c>
      <c r="J19" s="41">
        <f>ELECT.!H20</f>
        <v>52849</v>
      </c>
      <c r="K19" s="41">
        <f>ELECT.!K20</f>
        <v>11844</v>
      </c>
      <c r="L19" s="41">
        <f>ELECT.!M20</f>
        <v>6563</v>
      </c>
      <c r="M19" s="41">
        <f>ELECT.!O20</f>
        <v>1712</v>
      </c>
      <c r="N19" s="41">
        <f>ELECT.!Q20</f>
        <v>8497</v>
      </c>
      <c r="O19" s="41">
        <f>ELECT.!S20</f>
        <v>12372</v>
      </c>
      <c r="P19" s="41">
        <f>ELECT.!W20*2</f>
        <v>24702</v>
      </c>
      <c r="Q19" s="41">
        <f>ELECT.!D20</f>
        <v>160</v>
      </c>
      <c r="R19" s="42">
        <f>BTU!C20</f>
        <v>1.6039999999993597</v>
      </c>
      <c r="S19" s="42">
        <f>BTU!F20</f>
        <v>0.4839999999999236</v>
      </c>
      <c r="T19" s="42">
        <f>BTU!I20</f>
        <v>4</v>
      </c>
      <c r="U19" s="42">
        <f>BTU!O20</f>
        <v>1.0329999999999018</v>
      </c>
      <c r="V19" s="42">
        <f>BTU!L20</f>
        <v>0</v>
      </c>
      <c r="W19" s="42">
        <f>BTU!R20</f>
        <v>0</v>
      </c>
      <c r="X19" s="39">
        <f>ELECT.!B20</f>
        <v>205</v>
      </c>
      <c r="Y19" s="39">
        <f t="shared" si="0"/>
        <v>-4416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69.990017600000002</v>
      </c>
      <c r="AE19" s="39">
        <f t="shared" si="2"/>
        <v>461.04198240000005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810</v>
      </c>
      <c r="F20" s="41">
        <f>Water!E21</f>
        <v>430</v>
      </c>
      <c r="G20" s="41">
        <f>Water!G21</f>
        <v>283.5</v>
      </c>
      <c r="H20" s="41">
        <f>Water!I21</f>
        <v>5.0759999999999996</v>
      </c>
      <c r="I20" s="41">
        <f>ELECT.!F21</f>
        <v>5856</v>
      </c>
      <c r="J20" s="41">
        <f>ELECT.!H21</f>
        <v>37608</v>
      </c>
      <c r="K20" s="41">
        <f>ELECT.!K21</f>
        <v>8718</v>
      </c>
      <c r="L20" s="41">
        <f>ELECT.!M21</f>
        <v>4604</v>
      </c>
      <c r="M20" s="41">
        <f>ELECT.!O21</f>
        <v>1136</v>
      </c>
      <c r="N20" s="41">
        <f>ELECT.!Q21</f>
        <v>8604</v>
      </c>
      <c r="O20" s="41">
        <f>ELECT.!S21</f>
        <v>9063</v>
      </c>
      <c r="P20" s="41">
        <f>ELECT.!W21*2</f>
        <v>17724</v>
      </c>
      <c r="Q20" s="41">
        <f>ELECT.!D21</f>
        <v>320</v>
      </c>
      <c r="R20" s="42">
        <f>BTU!C21</f>
        <v>2.0060000000012224</v>
      </c>
      <c r="S20" s="42">
        <f>BTU!F21</f>
        <v>0.73000000000001819</v>
      </c>
      <c r="T20" s="42">
        <f>BTU!I21</f>
        <v>5</v>
      </c>
      <c r="U20" s="42">
        <f>BTU!O21</f>
        <v>1.2529999999997017</v>
      </c>
      <c r="V20" s="42">
        <f>BTU!L21</f>
        <v>0</v>
      </c>
      <c r="W20" s="42">
        <f>BTU!R21</f>
        <v>0</v>
      </c>
      <c r="X20" s="39">
        <f>ELECT.!B21</f>
        <v>264</v>
      </c>
      <c r="Y20" s="39">
        <f t="shared" si="0"/>
        <v>-6385</v>
      </c>
      <c r="Z20">
        <f>'Mall, Citadel, Rotana'!C21+'Mall, Citadel, Rotana'!E21+'Mall, Citadel, Rotana'!G21+'Mall, Citadel, Rotana'!I21</f>
        <v>1212</v>
      </c>
      <c r="AA20">
        <f>'Mall, Citadel, Rotana'!K21+'Mall, Citadel, Rotana'!M21</f>
        <v>480</v>
      </c>
      <c r="AB20">
        <f>'Mall, Citadel, Rotana'!O21</f>
        <v>117</v>
      </c>
      <c r="AC20">
        <f>'Mall, Citadel, Rotana'!Q21+'Mall, Citadel, Rotana'!S21</f>
        <v>0</v>
      </c>
      <c r="AD20" s="39">
        <f t="shared" si="1"/>
        <v>80.519783199999992</v>
      </c>
      <c r="AE20" s="39">
        <f t="shared" si="2"/>
        <v>530.40421679999997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810</v>
      </c>
      <c r="F21" s="41">
        <f>Water!E22</f>
        <v>430</v>
      </c>
      <c r="G21" s="41">
        <f>Water!G22</f>
        <v>283.5</v>
      </c>
      <c r="H21" s="41">
        <f>Water!I22</f>
        <v>5.0759999999999996</v>
      </c>
      <c r="I21" s="41">
        <f>ELECT.!F22</f>
        <v>7308</v>
      </c>
      <c r="J21" s="41">
        <f>ELECT.!H22</f>
        <v>51351</v>
      </c>
      <c r="K21" s="41">
        <f>ELECT.!K22</f>
        <v>10426</v>
      </c>
      <c r="L21" s="41">
        <f>ELECT.!M22</f>
        <v>5735</v>
      </c>
      <c r="M21" s="41">
        <f>ELECT.!O22</f>
        <v>1434</v>
      </c>
      <c r="N21" s="41">
        <f>ELECT.!Q22</f>
        <v>4230</v>
      </c>
      <c r="O21" s="41">
        <f>ELECT.!S22</f>
        <v>12052</v>
      </c>
      <c r="P21" s="41">
        <f>ELECT.!W22*2</f>
        <v>25640</v>
      </c>
      <c r="Q21" s="41">
        <f>ELECT.!D22</f>
        <v>480</v>
      </c>
      <c r="R21" s="42">
        <f>BTU!C22</f>
        <v>1.521999999997206</v>
      </c>
      <c r="S21" s="42">
        <f>BTU!F22</f>
        <v>0.36799999999993815</v>
      </c>
      <c r="T21" s="42">
        <f>BTU!I22</f>
        <v>4</v>
      </c>
      <c r="U21" s="42">
        <f>BTU!O22</f>
        <v>0.93600000000014916</v>
      </c>
      <c r="V21" s="42">
        <f>BTU!L22</f>
        <v>0</v>
      </c>
      <c r="W21" s="42">
        <f>BTU!R22</f>
        <v>0</v>
      </c>
      <c r="X21" s="39">
        <f>ELECT.!B22</f>
        <v>264</v>
      </c>
      <c r="Y21" s="39">
        <f t="shared" si="0"/>
        <v>-858</v>
      </c>
      <c r="Z21">
        <f>'Mall, Citadel, Rotana'!C22+'Mall, Citadel, Rotana'!E22+'Mall, Citadel, Rotana'!G22+'Mall, Citadel, Rotana'!I22</f>
        <v>1375</v>
      </c>
      <c r="AA21">
        <f>'Mall, Citadel, Rotana'!K22+'Mall, Citadel, Rotana'!M22</f>
        <v>480</v>
      </c>
      <c r="AB21">
        <f>'Mall, Citadel, Rotana'!O22</f>
        <v>123</v>
      </c>
      <c r="AC21">
        <f>'Mall, Citadel, Rotana'!Q22+'Mall, Citadel, Rotana'!S22</f>
        <v>0</v>
      </c>
      <c r="AD21" s="39">
        <f t="shared" si="1"/>
        <v>80.519783199999992</v>
      </c>
      <c r="AE21" s="39">
        <f t="shared" si="2"/>
        <v>530.40421679999997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790</v>
      </c>
      <c r="F22" s="41">
        <f>Water!E23</f>
        <v>490</v>
      </c>
      <c r="G22" s="41">
        <f>Water!G23</f>
        <v>270</v>
      </c>
      <c r="H22" s="41">
        <f>Water!I23</f>
        <v>4.05</v>
      </c>
      <c r="I22" s="41">
        <f>ELECT.!F23</f>
        <v>6197</v>
      </c>
      <c r="J22" s="41">
        <f>ELECT.!H23</f>
        <v>39998</v>
      </c>
      <c r="K22" s="41">
        <f>ELECT.!K23</f>
        <v>7272</v>
      </c>
      <c r="L22" s="41">
        <f>ELECT.!M23</f>
        <v>4644</v>
      </c>
      <c r="M22" s="41">
        <f>ELECT.!O23</f>
        <v>1416</v>
      </c>
      <c r="N22" s="41">
        <f>ELECT.!Q23</f>
        <v>5928</v>
      </c>
      <c r="O22" s="41">
        <f>ELECT.!S23</f>
        <v>9436</v>
      </c>
      <c r="P22" s="41">
        <f>ELECT.!W23*2</f>
        <v>19654</v>
      </c>
      <c r="Q22" s="41">
        <f>ELECT.!D23</f>
        <v>480</v>
      </c>
      <c r="R22" s="42">
        <f>BTU!C23</f>
        <v>1.5540000000000873</v>
      </c>
      <c r="S22" s="42">
        <f>BTU!F23</f>
        <v>0.28199999999969805</v>
      </c>
      <c r="T22" s="42">
        <f>BTU!I23</f>
        <v>4</v>
      </c>
      <c r="U22" s="42">
        <f>BTU!O23</f>
        <v>0.94200000000000728</v>
      </c>
      <c r="V22" s="42">
        <f>BTU!L23</f>
        <v>0</v>
      </c>
      <c r="W22" s="42">
        <f>BTU!R23</f>
        <v>0</v>
      </c>
      <c r="X22" s="39">
        <f>ELECT.!B23</f>
        <v>143</v>
      </c>
      <c r="Y22" s="39">
        <f t="shared" si="0"/>
        <v>-2155</v>
      </c>
      <c r="Z22">
        <f>'Mall, Citadel, Rotana'!C23+'Mall, Citadel, Rotana'!E23+'Mall, Citadel, Rotana'!G23+'Mall, Citadel, Rotana'!I23</f>
        <v>1558</v>
      </c>
      <c r="AA22">
        <f>'Mall, Citadel, Rotana'!K23+'Mall, Citadel, Rotana'!M23</f>
        <v>320</v>
      </c>
      <c r="AB22">
        <f>'Mall, Citadel, Rotana'!O23</f>
        <v>72</v>
      </c>
      <c r="AC22">
        <f>'Mall, Citadel, Rotana'!Q23+'Mall, Citadel, Rotana'!S23</f>
        <v>0</v>
      </c>
      <c r="AD22" s="39">
        <f t="shared" si="1"/>
        <v>78.019010000000009</v>
      </c>
      <c r="AE22" s="39">
        <f t="shared" si="2"/>
        <v>513.93099000000007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800</v>
      </c>
      <c r="F23" s="41">
        <f>Water!E24</f>
        <v>460</v>
      </c>
      <c r="G23" s="41">
        <f>Water!G24</f>
        <v>251.1</v>
      </c>
      <c r="H23" s="41">
        <f>Water!I24</f>
        <v>5.2110000000000003</v>
      </c>
      <c r="I23" s="41">
        <f>ELECT.!F24</f>
        <v>5543</v>
      </c>
      <c r="J23" s="41">
        <f>ELECT.!H24</f>
        <v>36662</v>
      </c>
      <c r="K23" s="41">
        <f>ELECT.!K24</f>
        <v>7414</v>
      </c>
      <c r="L23" s="41">
        <f>ELECT.!M24</f>
        <v>4241</v>
      </c>
      <c r="M23" s="41">
        <f>ELECT.!O24</f>
        <v>1266</v>
      </c>
      <c r="N23" s="41">
        <f>ELECT.!Q24</f>
        <v>5862</v>
      </c>
      <c r="O23" s="41">
        <f>ELECT.!S24</f>
        <v>8562</v>
      </c>
      <c r="P23" s="41">
        <f>ELECT.!W24*2</f>
        <v>17690</v>
      </c>
      <c r="Q23" s="41">
        <f>ELECT.!D24</f>
        <v>320</v>
      </c>
      <c r="R23" s="42">
        <f>BTU!C24</f>
        <v>2.1240000000034343</v>
      </c>
      <c r="S23" s="42">
        <f>BTU!F24</f>
        <v>0.31900000000041473</v>
      </c>
      <c r="T23" s="42">
        <f>BTU!I24</f>
        <v>5</v>
      </c>
      <c r="U23" s="42">
        <f>BTU!O24</f>
        <v>1.0489999999999782</v>
      </c>
      <c r="V23" s="42">
        <f>BTU!L24</f>
        <v>0</v>
      </c>
      <c r="W23" s="42">
        <f>BTU!R24</f>
        <v>0</v>
      </c>
      <c r="X23" s="39">
        <f>ELECT.!B24</f>
        <v>209</v>
      </c>
      <c r="Y23" s="39">
        <f t="shared" si="0"/>
        <v>-2830</v>
      </c>
      <c r="Z23">
        <f>'Mall, Citadel, Rotana'!C24+'Mall, Citadel, Rotana'!E24+'Mall, Citadel, Rotana'!G24+'Mall, Citadel, Rotana'!I24</f>
        <v>1032</v>
      </c>
      <c r="AA23">
        <f>'Mall, Citadel, Rotana'!K24+'Mall, Citadel, Rotana'!M24</f>
        <v>320</v>
      </c>
      <c r="AB23">
        <f>'Mall, Citadel, Rotana'!O24</f>
        <v>93</v>
      </c>
      <c r="AC23">
        <f>'Mall, Citadel, Rotana'!Q24+'Mall, Citadel, Rotana'!S24</f>
        <v>0</v>
      </c>
      <c r="AD23" s="39">
        <f t="shared" si="1"/>
        <v>79.183990199999997</v>
      </c>
      <c r="AE23" s="39">
        <f t="shared" si="2"/>
        <v>521.60500979999995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790</v>
      </c>
      <c r="F24" s="41">
        <f>Water!E25</f>
        <v>420</v>
      </c>
      <c r="G24" s="41">
        <f>Water!G25</f>
        <v>243</v>
      </c>
      <c r="H24" s="41">
        <f>Water!I25</f>
        <v>5.3730000000000002</v>
      </c>
      <c r="I24" s="41">
        <f>ELECT.!F25</f>
        <v>11097</v>
      </c>
      <c r="J24" s="41">
        <f>ELECT.!H25</f>
        <v>44518</v>
      </c>
      <c r="K24" s="41">
        <f>ELECT.!K25</f>
        <v>10488</v>
      </c>
      <c r="L24" s="41">
        <f>ELECT.!M25</f>
        <v>5696</v>
      </c>
      <c r="M24" s="41">
        <f>ELECT.!O25</f>
        <v>5190</v>
      </c>
      <c r="N24" s="41">
        <f>ELECT.!Q25</f>
        <v>3396</v>
      </c>
      <c r="O24" s="41">
        <f>ELECT.!S25</f>
        <v>11312</v>
      </c>
      <c r="P24" s="41">
        <f>ELECT.!W25*2</f>
        <v>23284</v>
      </c>
      <c r="Q24" s="41">
        <f>ELECT.!D25</f>
        <v>0</v>
      </c>
      <c r="R24" s="42">
        <f>BTU!C25</f>
        <v>2.5659999999988941</v>
      </c>
      <c r="S24" s="42">
        <f>BTU!F25</f>
        <v>0.58399999999937791</v>
      </c>
      <c r="T24" s="42">
        <f>BTU!I25</f>
        <v>5</v>
      </c>
      <c r="U24" s="42">
        <f>BTU!O25</f>
        <v>1.2100000000000364</v>
      </c>
      <c r="V24" s="42">
        <f>BTU!L25</f>
        <v>0</v>
      </c>
      <c r="W24" s="42">
        <f>BTU!R25</f>
        <v>0</v>
      </c>
      <c r="X24" s="39">
        <f>ELECT.!B25</f>
        <v>193</v>
      </c>
      <c r="Y24" s="39">
        <f t="shared" si="0"/>
        <v>-3751</v>
      </c>
      <c r="Z24">
        <f>'Mall, Citadel, Rotana'!C25+'Mall, Citadel, Rotana'!E25+'Mall, Citadel, Rotana'!G25+'Mall, Citadel, Rotana'!I25</f>
        <v>1373</v>
      </c>
      <c r="AA24">
        <f>'Mall, Citadel, Rotana'!K25+'Mall, Citadel, Rotana'!M25</f>
        <v>480</v>
      </c>
      <c r="AB24">
        <f>'Mall, Citadel, Rotana'!O25</f>
        <v>113</v>
      </c>
      <c r="AC24">
        <f>'Mall, Citadel, Rotana'!Q25+'Mall, Citadel, Rotana'!S25</f>
        <v>0</v>
      </c>
      <c r="AD24" s="39">
        <f t="shared" si="1"/>
        <v>77.844638599999996</v>
      </c>
      <c r="AE24" s="39">
        <f t="shared" si="2"/>
        <v>512.7823613999999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720</v>
      </c>
      <c r="F25" s="41">
        <f>Water!E26</f>
        <v>410</v>
      </c>
      <c r="G25" s="41">
        <f>Water!G26</f>
        <v>224.1</v>
      </c>
      <c r="H25" s="41">
        <f>Water!I26</f>
        <v>5.3730000000000002</v>
      </c>
      <c r="I25" s="41">
        <f>ELECT.!F26</f>
        <v>9095</v>
      </c>
      <c r="J25" s="41">
        <f>ELECT.!H26</f>
        <v>32454</v>
      </c>
      <c r="K25" s="41">
        <f>ELECT.!K26</f>
        <v>7602</v>
      </c>
      <c r="L25" s="41">
        <f>ELECT.!M26</f>
        <v>4519</v>
      </c>
      <c r="M25" s="41">
        <f>ELECT.!O26</f>
        <v>4452</v>
      </c>
      <c r="N25" s="41">
        <f>ELECT.!Q26</f>
        <v>1971</v>
      </c>
      <c r="O25" s="41">
        <f>ELECT.!S26</f>
        <v>8771</v>
      </c>
      <c r="P25" s="41">
        <f>ELECT.!W26*2</f>
        <v>17008</v>
      </c>
      <c r="Q25" s="41">
        <f>ELECT.!D26</f>
        <v>160</v>
      </c>
      <c r="R25" s="42">
        <f>BTU!C26</f>
        <v>1.3809999999975844</v>
      </c>
      <c r="S25" s="42">
        <f>BTU!F26</f>
        <v>0.37800000000061118</v>
      </c>
      <c r="T25" s="42">
        <f>BTU!I26</f>
        <v>3</v>
      </c>
      <c r="U25" s="42">
        <f>BTU!O26</f>
        <v>0.62100000000009459</v>
      </c>
      <c r="V25" s="42">
        <f>BTU!L26</f>
        <v>0</v>
      </c>
      <c r="W25" s="42">
        <f>BTU!R26</f>
        <v>0</v>
      </c>
      <c r="X25" s="39">
        <f>ELECT.!B26</f>
        <v>164</v>
      </c>
      <c r="Y25" s="39">
        <f t="shared" si="0"/>
        <v>-2774</v>
      </c>
      <c r="Z25">
        <f>'Mall, Citadel, Rotana'!C26+'Mall, Citadel, Rotana'!E26+'Mall, Citadel, Rotana'!G26+'Mall, Citadel, Rotana'!I26</f>
        <v>1352</v>
      </c>
      <c r="AA25">
        <f>'Mall, Citadel, Rotana'!K26+'Mall, Citadel, Rotana'!M26</f>
        <v>320</v>
      </c>
      <c r="AB25">
        <f>'Mall, Citadel, Rotana'!O26</f>
        <v>113</v>
      </c>
      <c r="AC25">
        <f>'Mall, Citadel, Rotana'!Q26+'Mall, Citadel, Rotana'!S26</f>
        <v>1364</v>
      </c>
      <c r="AD25" s="39">
        <f t="shared" si="1"/>
        <v>68.618638599999997</v>
      </c>
      <c r="AE25" s="39">
        <f t="shared" si="2"/>
        <v>452.00836140000001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 t="str">
        <f>ELECT.!F27</f>
        <v>0</v>
      </c>
      <c r="J26" s="41" t="str">
        <f>ELECT.!H27</f>
        <v>0</v>
      </c>
      <c r="K26" s="41">
        <f>ELECT.!K27</f>
        <v>0</v>
      </c>
      <c r="L26" s="41" t="str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164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164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164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164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164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164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164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B26" sqref="B26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v>46471</v>
      </c>
      <c r="C13" s="16">
        <f t="shared" si="1"/>
        <v>800</v>
      </c>
      <c r="D13" s="36">
        <v>40199</v>
      </c>
      <c r="E13" s="16">
        <f t="shared" si="2"/>
        <v>480</v>
      </c>
      <c r="F13" s="36">
        <v>21202</v>
      </c>
      <c r="G13" s="16">
        <f t="shared" si="3"/>
        <v>40</v>
      </c>
      <c r="H13" s="36">
        <v>253281</v>
      </c>
      <c r="I13" s="16">
        <f t="shared" si="4"/>
        <v>20</v>
      </c>
      <c r="J13" s="36">
        <v>303517</v>
      </c>
      <c r="K13" s="16">
        <v>0</v>
      </c>
      <c r="L13" s="36">
        <v>25760</v>
      </c>
      <c r="M13" s="16">
        <f t="shared" si="5"/>
        <v>640</v>
      </c>
      <c r="N13" s="36">
        <v>219982</v>
      </c>
      <c r="O13" s="16">
        <f t="shared" si="6"/>
        <v>114</v>
      </c>
      <c r="P13" s="36">
        <v>137477</v>
      </c>
      <c r="Q13" s="16">
        <f t="shared" si="7"/>
        <v>127</v>
      </c>
      <c r="R13" s="1">
        <v>55047</v>
      </c>
      <c r="S13" s="16">
        <f t="shared" si="9"/>
        <v>0</v>
      </c>
      <c r="T13" s="36">
        <v>3901</v>
      </c>
      <c r="U13" s="16">
        <f t="shared" si="10"/>
        <v>160</v>
      </c>
    </row>
    <row r="14" spans="1:24" ht="13.5" thickBot="1" x14ac:dyDescent="0.25">
      <c r="A14" s="10">
        <v>44573</v>
      </c>
      <c r="B14" s="36">
        <v>46475</v>
      </c>
      <c r="C14" s="16">
        <f t="shared" si="1"/>
        <v>640</v>
      </c>
      <c r="D14" s="36">
        <v>40203</v>
      </c>
      <c r="E14" s="16">
        <f t="shared" si="2"/>
        <v>640</v>
      </c>
      <c r="F14" s="36">
        <v>21205</v>
      </c>
      <c r="G14" s="16">
        <f t="shared" si="3"/>
        <v>60</v>
      </c>
      <c r="H14" s="36">
        <v>253299</v>
      </c>
      <c r="I14" s="16">
        <f t="shared" si="4"/>
        <v>18</v>
      </c>
      <c r="J14" s="36">
        <v>303517</v>
      </c>
      <c r="K14" s="16">
        <v>0</v>
      </c>
      <c r="L14" s="36">
        <v>25764</v>
      </c>
      <c r="M14" s="16">
        <f t="shared" si="5"/>
        <v>640</v>
      </c>
      <c r="N14" s="36">
        <v>220101</v>
      </c>
      <c r="O14" s="16">
        <f t="shared" si="6"/>
        <v>119</v>
      </c>
      <c r="P14" s="36">
        <v>137479</v>
      </c>
      <c r="Q14" s="16">
        <f t="shared" si="7"/>
        <v>2</v>
      </c>
      <c r="R14" s="1">
        <f t="shared" si="8"/>
        <v>55047</v>
      </c>
      <c r="S14" s="16">
        <v>0</v>
      </c>
      <c r="T14" s="36">
        <v>3902</v>
      </c>
      <c r="U14" s="16">
        <f t="shared" si="10"/>
        <v>160</v>
      </c>
    </row>
    <row r="15" spans="1:24" ht="13.5" thickBot="1" x14ac:dyDescent="0.25">
      <c r="A15" s="10">
        <v>44574</v>
      </c>
      <c r="B15" s="36">
        <v>46480</v>
      </c>
      <c r="C15" s="16">
        <f t="shared" si="1"/>
        <v>800</v>
      </c>
      <c r="D15" s="36">
        <v>40204</v>
      </c>
      <c r="E15" s="16">
        <f t="shared" si="2"/>
        <v>160</v>
      </c>
      <c r="F15" s="36">
        <v>21210</v>
      </c>
      <c r="G15" s="16">
        <f t="shared" ref="G15" si="13">(F15-F14)*100/5</f>
        <v>100</v>
      </c>
      <c r="H15" s="36">
        <v>253313</v>
      </c>
      <c r="I15" s="16">
        <f t="shared" ref="I15" si="14">(H15-H14)</f>
        <v>14</v>
      </c>
      <c r="J15" s="36">
        <v>303517</v>
      </c>
      <c r="K15" s="16">
        <v>0</v>
      </c>
      <c r="L15" s="36">
        <v>25766</v>
      </c>
      <c r="M15" s="16">
        <f t="shared" ref="M15" si="15">(L15-L14)*800/5</f>
        <v>320</v>
      </c>
      <c r="N15" s="36">
        <v>220221</v>
      </c>
      <c r="O15" s="16">
        <f t="shared" ref="O15" si="16">N15-N14</f>
        <v>120</v>
      </c>
      <c r="P15" s="36">
        <f t="shared" si="11"/>
        <v>137479</v>
      </c>
      <c r="Q15" s="16">
        <f t="shared" ref="Q15" si="17">P15-P14</f>
        <v>0</v>
      </c>
      <c r="R15" s="1">
        <v>55047</v>
      </c>
      <c r="S15" s="16">
        <v>0</v>
      </c>
      <c r="T15" s="36">
        <v>3902</v>
      </c>
      <c r="U15" s="16">
        <f t="shared" ref="U15" si="18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v>46485</v>
      </c>
      <c r="C16" s="16">
        <f t="shared" si="1"/>
        <v>800</v>
      </c>
      <c r="D16" s="36">
        <v>40207</v>
      </c>
      <c r="E16" s="16">
        <f t="shared" si="2"/>
        <v>480</v>
      </c>
      <c r="F16" s="36">
        <v>21214</v>
      </c>
      <c r="G16" s="16">
        <f t="shared" si="3"/>
        <v>80</v>
      </c>
      <c r="H16" s="36">
        <v>253325</v>
      </c>
      <c r="I16" s="16">
        <f t="shared" si="4"/>
        <v>12</v>
      </c>
      <c r="J16" s="36">
        <v>305317</v>
      </c>
      <c r="K16" s="16">
        <v>0</v>
      </c>
      <c r="L16" s="36">
        <v>25769</v>
      </c>
      <c r="M16" s="16">
        <f t="shared" si="5"/>
        <v>480</v>
      </c>
      <c r="N16" s="36">
        <v>220328</v>
      </c>
      <c r="O16" s="16">
        <f t="shared" si="6"/>
        <v>107</v>
      </c>
      <c r="P16" s="36">
        <f t="shared" si="11"/>
        <v>137479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v>3903</v>
      </c>
      <c r="U16" s="16">
        <f t="shared" si="10"/>
        <v>160</v>
      </c>
      <c r="W16" t="s">
        <v>12</v>
      </c>
    </row>
    <row r="17" spans="1:23" ht="13.5" thickBot="1" x14ac:dyDescent="0.25">
      <c r="A17" s="10">
        <v>44576</v>
      </c>
      <c r="B17" s="36">
        <v>46489</v>
      </c>
      <c r="C17" s="16">
        <f t="shared" si="1"/>
        <v>640</v>
      </c>
      <c r="D17" s="36">
        <v>40211</v>
      </c>
      <c r="E17" s="16">
        <f t="shared" si="2"/>
        <v>640</v>
      </c>
      <c r="F17" s="36">
        <v>21218</v>
      </c>
      <c r="G17" s="16">
        <f t="shared" si="3"/>
        <v>80</v>
      </c>
      <c r="H17" s="36">
        <v>253337</v>
      </c>
      <c r="I17" s="16">
        <f t="shared" si="4"/>
        <v>12</v>
      </c>
      <c r="J17" s="36">
        <v>303517</v>
      </c>
      <c r="K17" s="16">
        <v>0</v>
      </c>
      <c r="L17" s="36">
        <v>25772</v>
      </c>
      <c r="M17" s="16">
        <f t="shared" si="5"/>
        <v>480</v>
      </c>
      <c r="N17" s="36">
        <v>220412</v>
      </c>
      <c r="O17" s="16">
        <f t="shared" si="6"/>
        <v>84</v>
      </c>
      <c r="P17" s="36">
        <f t="shared" si="11"/>
        <v>137479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v>3904</v>
      </c>
      <c r="U17" s="16">
        <f t="shared" si="10"/>
        <v>160</v>
      </c>
    </row>
    <row r="18" spans="1:23" ht="13.5" thickBot="1" x14ac:dyDescent="0.25">
      <c r="A18" s="10">
        <v>44577</v>
      </c>
      <c r="B18" s="36">
        <v>46495</v>
      </c>
      <c r="C18" s="16">
        <f t="shared" si="1"/>
        <v>960</v>
      </c>
      <c r="D18" s="36">
        <v>40212</v>
      </c>
      <c r="E18" s="16">
        <f t="shared" si="2"/>
        <v>160</v>
      </c>
      <c r="F18" s="36">
        <v>21220</v>
      </c>
      <c r="G18" s="16">
        <f t="shared" si="3"/>
        <v>40</v>
      </c>
      <c r="H18" s="36">
        <v>253353</v>
      </c>
      <c r="I18" s="16">
        <f t="shared" si="4"/>
        <v>16</v>
      </c>
      <c r="J18" s="36">
        <f t="shared" si="12"/>
        <v>303517</v>
      </c>
      <c r="K18" s="16">
        <v>0</v>
      </c>
      <c r="L18" s="36">
        <v>25774</v>
      </c>
      <c r="M18" s="16">
        <f t="shared" si="5"/>
        <v>320</v>
      </c>
      <c r="N18" s="36">
        <v>220542</v>
      </c>
      <c r="O18" s="16">
        <f t="shared" si="6"/>
        <v>130</v>
      </c>
      <c r="P18" s="36">
        <f t="shared" si="11"/>
        <v>137479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v>3905</v>
      </c>
      <c r="U18" s="16">
        <f t="shared" si="10"/>
        <v>160</v>
      </c>
    </row>
    <row r="19" spans="1:23" ht="13.5" thickBot="1" x14ac:dyDescent="0.25">
      <c r="A19" s="10">
        <v>44578</v>
      </c>
      <c r="B19" s="36">
        <v>46504</v>
      </c>
      <c r="C19" s="16">
        <f t="shared" si="1"/>
        <v>1440</v>
      </c>
      <c r="D19" s="36">
        <v>40217</v>
      </c>
      <c r="E19" s="16">
        <f t="shared" si="2"/>
        <v>800</v>
      </c>
      <c r="F19" s="36">
        <v>21227</v>
      </c>
      <c r="G19" s="16">
        <f t="shared" si="3"/>
        <v>140</v>
      </c>
      <c r="H19" s="36">
        <v>253382</v>
      </c>
      <c r="I19" s="16">
        <f t="shared" si="4"/>
        <v>29</v>
      </c>
      <c r="J19" s="36">
        <v>303517</v>
      </c>
      <c r="K19" s="16">
        <v>0</v>
      </c>
      <c r="L19" s="36">
        <v>25779</v>
      </c>
      <c r="M19" s="16">
        <f t="shared" si="5"/>
        <v>800</v>
      </c>
      <c r="N19" s="36">
        <v>220808</v>
      </c>
      <c r="O19" s="16">
        <f t="shared" si="6"/>
        <v>266</v>
      </c>
      <c r="P19" s="36">
        <f t="shared" si="11"/>
        <v>137479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v>3907</v>
      </c>
      <c r="U19" s="16">
        <f t="shared" si="10"/>
        <v>320</v>
      </c>
      <c r="W19" t="s">
        <v>12</v>
      </c>
    </row>
    <row r="20" spans="1:23" ht="13.5" thickBot="1" x14ac:dyDescent="0.25">
      <c r="A20" s="10">
        <v>44579</v>
      </c>
      <c r="B20" s="36">
        <f t="shared" ref="B20:B33" si="19">B19</f>
        <v>46504</v>
      </c>
      <c r="C20" s="16">
        <f t="shared" si="1"/>
        <v>0</v>
      </c>
      <c r="D20" s="36">
        <f t="shared" ref="D20:D33" si="20">D19</f>
        <v>40217</v>
      </c>
      <c r="E20" s="16">
        <f t="shared" si="2"/>
        <v>0</v>
      </c>
      <c r="F20" s="36">
        <f t="shared" ref="F20:F33" si="21">F19</f>
        <v>21227</v>
      </c>
      <c r="G20" s="16">
        <f t="shared" si="3"/>
        <v>0</v>
      </c>
      <c r="H20" s="36">
        <f t="shared" ref="H20:H33" si="22">H19</f>
        <v>253382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ref="L20:L33" si="23">L19</f>
        <v>25779</v>
      </c>
      <c r="M20" s="16">
        <f t="shared" si="5"/>
        <v>0</v>
      </c>
      <c r="N20" s="36">
        <f t="shared" ref="N20:N33" si="24">N19</f>
        <v>220808</v>
      </c>
      <c r="O20" s="16">
        <f t="shared" si="6"/>
        <v>0</v>
      </c>
      <c r="P20" s="36">
        <f t="shared" si="11"/>
        <v>137479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ref="T20:T33" si="25">T19</f>
        <v>3907</v>
      </c>
      <c r="U20" s="16">
        <f t="shared" si="10"/>
        <v>0</v>
      </c>
    </row>
    <row r="21" spans="1:23" ht="13.5" thickBot="1" x14ac:dyDescent="0.25">
      <c r="A21" s="10">
        <v>44580</v>
      </c>
      <c r="B21" s="36">
        <v>46509</v>
      </c>
      <c r="C21" s="16">
        <f t="shared" si="1"/>
        <v>800</v>
      </c>
      <c r="D21" s="36">
        <v>40219</v>
      </c>
      <c r="E21" s="16">
        <f t="shared" si="2"/>
        <v>320</v>
      </c>
      <c r="F21" s="36">
        <v>21231</v>
      </c>
      <c r="G21" s="16">
        <f t="shared" si="3"/>
        <v>80</v>
      </c>
      <c r="H21" s="36">
        <v>253394</v>
      </c>
      <c r="I21" s="16">
        <f t="shared" si="4"/>
        <v>12</v>
      </c>
      <c r="J21" s="36">
        <v>303517</v>
      </c>
      <c r="K21" s="16">
        <v>0</v>
      </c>
      <c r="L21" s="36">
        <v>25782</v>
      </c>
      <c r="M21" s="16">
        <f t="shared" si="5"/>
        <v>480</v>
      </c>
      <c r="N21" s="36">
        <v>220925</v>
      </c>
      <c r="O21" s="16">
        <f t="shared" si="6"/>
        <v>117</v>
      </c>
      <c r="P21" s="36">
        <f t="shared" si="11"/>
        <v>137479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v>3908</v>
      </c>
      <c r="U21" s="16">
        <f t="shared" si="10"/>
        <v>160</v>
      </c>
    </row>
    <row r="22" spans="1:23" ht="13.5" thickBot="1" x14ac:dyDescent="0.25">
      <c r="A22" s="10">
        <v>44581</v>
      </c>
      <c r="B22" s="36">
        <v>46514</v>
      </c>
      <c r="C22" s="16">
        <f t="shared" si="1"/>
        <v>800</v>
      </c>
      <c r="D22" s="36">
        <v>40222</v>
      </c>
      <c r="E22" s="16">
        <f t="shared" si="2"/>
        <v>480</v>
      </c>
      <c r="F22" s="36">
        <v>21235</v>
      </c>
      <c r="G22" s="16">
        <f t="shared" si="3"/>
        <v>80</v>
      </c>
      <c r="H22" s="36">
        <v>253409</v>
      </c>
      <c r="I22" s="16">
        <f t="shared" si="4"/>
        <v>15</v>
      </c>
      <c r="J22" s="36">
        <v>303517</v>
      </c>
      <c r="K22" s="16">
        <v>0</v>
      </c>
      <c r="L22" s="36">
        <v>25785</v>
      </c>
      <c r="M22" s="16">
        <f t="shared" si="5"/>
        <v>480</v>
      </c>
      <c r="N22" s="36">
        <v>221048</v>
      </c>
      <c r="O22" s="16">
        <f t="shared" si="6"/>
        <v>123</v>
      </c>
      <c r="P22" s="36">
        <f t="shared" si="11"/>
        <v>137479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v>3909</v>
      </c>
      <c r="U22" s="16">
        <f t="shared" si="10"/>
        <v>160</v>
      </c>
    </row>
    <row r="23" spans="1:23" ht="13.5" thickBot="1" x14ac:dyDescent="0.25">
      <c r="A23" s="10">
        <v>44582</v>
      </c>
      <c r="B23" s="36">
        <v>46519</v>
      </c>
      <c r="C23" s="16">
        <f t="shared" si="1"/>
        <v>800</v>
      </c>
      <c r="D23" s="36">
        <v>40226</v>
      </c>
      <c r="E23" s="16">
        <f t="shared" si="2"/>
        <v>640</v>
      </c>
      <c r="F23" s="36">
        <v>21240</v>
      </c>
      <c r="G23" s="16">
        <f t="shared" si="3"/>
        <v>100</v>
      </c>
      <c r="H23" s="36">
        <v>253427</v>
      </c>
      <c r="I23" s="16">
        <f t="shared" si="4"/>
        <v>18</v>
      </c>
      <c r="J23" s="36">
        <v>303517</v>
      </c>
      <c r="K23" s="16">
        <v>0</v>
      </c>
      <c r="L23" s="36">
        <v>25787</v>
      </c>
      <c r="M23" s="16">
        <f t="shared" si="5"/>
        <v>320</v>
      </c>
      <c r="N23" s="36">
        <v>221120</v>
      </c>
      <c r="O23" s="16">
        <f t="shared" si="6"/>
        <v>72</v>
      </c>
      <c r="P23" s="36">
        <f t="shared" si="11"/>
        <v>137479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v>3910</v>
      </c>
      <c r="U23" s="16">
        <f t="shared" si="10"/>
        <v>160</v>
      </c>
    </row>
    <row r="24" spans="1:23" s="136" customFormat="1" ht="13.5" thickBot="1" x14ac:dyDescent="0.25">
      <c r="A24" s="10">
        <v>44583</v>
      </c>
      <c r="B24" s="36">
        <v>46523</v>
      </c>
      <c r="C24" s="16">
        <f t="shared" si="1"/>
        <v>640</v>
      </c>
      <c r="D24" s="36">
        <v>40228</v>
      </c>
      <c r="E24" s="16">
        <f t="shared" si="2"/>
        <v>320</v>
      </c>
      <c r="F24" s="36">
        <v>21243</v>
      </c>
      <c r="G24" s="16">
        <f t="shared" si="3"/>
        <v>60</v>
      </c>
      <c r="H24" s="36">
        <v>253439</v>
      </c>
      <c r="I24" s="16">
        <f t="shared" si="4"/>
        <v>12</v>
      </c>
      <c r="J24" s="36">
        <f t="shared" si="12"/>
        <v>303517</v>
      </c>
      <c r="K24" s="16">
        <v>0</v>
      </c>
      <c r="L24" s="36">
        <v>25789</v>
      </c>
      <c r="M24" s="16">
        <f t="shared" si="5"/>
        <v>320</v>
      </c>
      <c r="N24" s="36">
        <v>221213</v>
      </c>
      <c r="O24" s="16">
        <f t="shared" si="6"/>
        <v>93</v>
      </c>
      <c r="P24" s="36">
        <f t="shared" si="11"/>
        <v>137479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v>3911</v>
      </c>
      <c r="U24" s="16">
        <f t="shared" si="10"/>
        <v>160</v>
      </c>
    </row>
    <row r="25" spans="1:23" ht="13.5" thickBot="1" x14ac:dyDescent="0.25">
      <c r="A25" s="10">
        <v>44584</v>
      </c>
      <c r="B25" s="36">
        <v>46528</v>
      </c>
      <c r="C25" s="16">
        <f t="shared" si="1"/>
        <v>800</v>
      </c>
      <c r="D25" s="36">
        <v>40231</v>
      </c>
      <c r="E25" s="16">
        <f t="shared" si="2"/>
        <v>480</v>
      </c>
      <c r="F25" s="36">
        <v>21247</v>
      </c>
      <c r="G25" s="16">
        <f t="shared" si="3"/>
        <v>80</v>
      </c>
      <c r="H25" s="36">
        <v>253452</v>
      </c>
      <c r="I25" s="16">
        <f t="shared" si="4"/>
        <v>13</v>
      </c>
      <c r="J25" s="36">
        <v>303517</v>
      </c>
      <c r="K25" s="16">
        <v>0</v>
      </c>
      <c r="L25" s="36">
        <v>25792</v>
      </c>
      <c r="M25" s="16">
        <f t="shared" si="5"/>
        <v>480</v>
      </c>
      <c r="N25" s="36">
        <v>221326</v>
      </c>
      <c r="O25" s="16">
        <f t="shared" si="6"/>
        <v>113</v>
      </c>
      <c r="P25" s="36">
        <v>137479</v>
      </c>
      <c r="Q25" s="16">
        <f t="shared" si="7"/>
        <v>0</v>
      </c>
      <c r="R25" s="1">
        <v>55047</v>
      </c>
      <c r="S25" s="16">
        <f t="shared" si="9"/>
        <v>0</v>
      </c>
      <c r="T25" s="36">
        <v>3911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v>46533</v>
      </c>
      <c r="C26" s="16">
        <f t="shared" si="1"/>
        <v>800</v>
      </c>
      <c r="D26" s="36">
        <v>40234</v>
      </c>
      <c r="E26" s="16">
        <f t="shared" si="2"/>
        <v>480</v>
      </c>
      <c r="F26" s="36">
        <v>21250</v>
      </c>
      <c r="G26" s="16">
        <f t="shared" si="3"/>
        <v>60</v>
      </c>
      <c r="H26" s="36">
        <v>253464</v>
      </c>
      <c r="I26" s="16">
        <f t="shared" si="4"/>
        <v>12</v>
      </c>
      <c r="J26" s="36">
        <v>303517</v>
      </c>
      <c r="K26" s="16">
        <v>0</v>
      </c>
      <c r="L26" s="36">
        <v>25794</v>
      </c>
      <c r="M26" s="16">
        <f t="shared" si="5"/>
        <v>320</v>
      </c>
      <c r="N26" s="36">
        <v>221439</v>
      </c>
      <c r="O26" s="16">
        <f t="shared" si="6"/>
        <v>113</v>
      </c>
      <c r="P26" s="36">
        <v>138843</v>
      </c>
      <c r="Q26" s="16">
        <f t="shared" si="7"/>
        <v>1364</v>
      </c>
      <c r="R26" s="1">
        <f t="shared" si="8"/>
        <v>55047</v>
      </c>
      <c r="S26" s="16">
        <f t="shared" si="9"/>
        <v>0</v>
      </c>
      <c r="T26" s="36">
        <v>3912</v>
      </c>
      <c r="U26" s="16">
        <f t="shared" si="10"/>
        <v>160</v>
      </c>
      <c r="W26" t="s">
        <v>12</v>
      </c>
    </row>
    <row r="27" spans="1:23" ht="13.5" thickBot="1" x14ac:dyDescent="0.25">
      <c r="A27" s="10">
        <v>44586</v>
      </c>
      <c r="B27" s="36">
        <f t="shared" si="19"/>
        <v>46533</v>
      </c>
      <c r="C27" s="16">
        <f t="shared" si="1"/>
        <v>0</v>
      </c>
      <c r="D27" s="36">
        <f t="shared" si="20"/>
        <v>40234</v>
      </c>
      <c r="E27" s="16">
        <f t="shared" si="2"/>
        <v>0</v>
      </c>
      <c r="F27" s="36">
        <f t="shared" si="21"/>
        <v>21250</v>
      </c>
      <c r="G27" s="16">
        <f t="shared" si="3"/>
        <v>0</v>
      </c>
      <c r="H27" s="36">
        <f t="shared" si="22"/>
        <v>253464</v>
      </c>
      <c r="I27" s="16">
        <f t="shared" si="4"/>
        <v>0</v>
      </c>
      <c r="J27" s="36">
        <f t="shared" si="12"/>
        <v>303517</v>
      </c>
      <c r="K27" s="16">
        <v>0</v>
      </c>
      <c r="L27" s="36">
        <f t="shared" si="23"/>
        <v>25794</v>
      </c>
      <c r="M27" s="16">
        <f t="shared" si="5"/>
        <v>0</v>
      </c>
      <c r="N27" s="36">
        <f t="shared" si="24"/>
        <v>221439</v>
      </c>
      <c r="O27" s="16">
        <f t="shared" si="6"/>
        <v>0</v>
      </c>
      <c r="P27" s="36">
        <f t="shared" si="11"/>
        <v>138843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25"/>
        <v>3912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9"/>
        <v>46533</v>
      </c>
      <c r="C28" s="16">
        <f t="shared" si="1"/>
        <v>0</v>
      </c>
      <c r="D28" s="36">
        <f t="shared" si="20"/>
        <v>40234</v>
      </c>
      <c r="E28" s="16">
        <f t="shared" si="2"/>
        <v>0</v>
      </c>
      <c r="F28" s="36">
        <f t="shared" si="21"/>
        <v>21250</v>
      </c>
      <c r="G28" s="16">
        <f t="shared" si="3"/>
        <v>0</v>
      </c>
      <c r="H28" s="36">
        <f t="shared" si="22"/>
        <v>253464</v>
      </c>
      <c r="I28" s="16">
        <f t="shared" si="4"/>
        <v>0</v>
      </c>
      <c r="J28" s="36">
        <f t="shared" si="12"/>
        <v>303517</v>
      </c>
      <c r="K28" s="16">
        <v>0</v>
      </c>
      <c r="L28" s="36">
        <f t="shared" si="23"/>
        <v>25794</v>
      </c>
      <c r="M28" s="16">
        <f t="shared" si="5"/>
        <v>0</v>
      </c>
      <c r="N28" s="36">
        <f t="shared" si="24"/>
        <v>221439</v>
      </c>
      <c r="O28" s="16">
        <f t="shared" si="6"/>
        <v>0</v>
      </c>
      <c r="P28" s="36">
        <f t="shared" si="11"/>
        <v>138843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25"/>
        <v>3912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9"/>
        <v>46533</v>
      </c>
      <c r="C29" s="16">
        <f t="shared" si="1"/>
        <v>0</v>
      </c>
      <c r="D29" s="36">
        <f t="shared" si="20"/>
        <v>40234</v>
      </c>
      <c r="E29" s="16">
        <f t="shared" si="2"/>
        <v>0</v>
      </c>
      <c r="F29" s="36">
        <f t="shared" si="21"/>
        <v>21250</v>
      </c>
      <c r="G29" s="16">
        <f t="shared" si="3"/>
        <v>0</v>
      </c>
      <c r="H29" s="36">
        <f t="shared" si="22"/>
        <v>253464</v>
      </c>
      <c r="I29" s="16">
        <f t="shared" si="4"/>
        <v>0</v>
      </c>
      <c r="J29" s="36">
        <f t="shared" si="12"/>
        <v>303517</v>
      </c>
      <c r="K29" s="16">
        <v>0</v>
      </c>
      <c r="L29" s="36">
        <f t="shared" si="23"/>
        <v>25794</v>
      </c>
      <c r="M29" s="16">
        <f t="shared" si="5"/>
        <v>0</v>
      </c>
      <c r="N29" s="36">
        <f t="shared" si="24"/>
        <v>221439</v>
      </c>
      <c r="O29" s="16">
        <f t="shared" si="6"/>
        <v>0</v>
      </c>
      <c r="P29" s="36">
        <f t="shared" si="11"/>
        <v>138843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25"/>
        <v>3912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9"/>
        <v>46533</v>
      </c>
      <c r="C30" s="16">
        <f t="shared" si="1"/>
        <v>0</v>
      </c>
      <c r="D30" s="36">
        <f t="shared" si="20"/>
        <v>40234</v>
      </c>
      <c r="E30" s="16">
        <f t="shared" si="2"/>
        <v>0</v>
      </c>
      <c r="F30" s="36">
        <f t="shared" si="21"/>
        <v>21250</v>
      </c>
      <c r="G30" s="16">
        <f t="shared" si="3"/>
        <v>0</v>
      </c>
      <c r="H30" s="36">
        <f t="shared" si="22"/>
        <v>253464</v>
      </c>
      <c r="I30" s="16">
        <f t="shared" si="4"/>
        <v>0</v>
      </c>
      <c r="J30" s="36">
        <f t="shared" si="12"/>
        <v>303517</v>
      </c>
      <c r="K30" s="16">
        <v>0</v>
      </c>
      <c r="L30" s="36">
        <f t="shared" si="23"/>
        <v>25794</v>
      </c>
      <c r="M30" s="16">
        <f t="shared" si="5"/>
        <v>0</v>
      </c>
      <c r="N30" s="36">
        <f t="shared" si="24"/>
        <v>221439</v>
      </c>
      <c r="O30" s="16">
        <f t="shared" si="6"/>
        <v>0</v>
      </c>
      <c r="P30" s="36">
        <f t="shared" si="11"/>
        <v>138843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25"/>
        <v>3912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9"/>
        <v>46533</v>
      </c>
      <c r="C31" s="16">
        <f t="shared" si="1"/>
        <v>0</v>
      </c>
      <c r="D31" s="36">
        <f t="shared" si="20"/>
        <v>40234</v>
      </c>
      <c r="E31" s="16">
        <f t="shared" si="2"/>
        <v>0</v>
      </c>
      <c r="F31" s="36">
        <f t="shared" si="21"/>
        <v>21250</v>
      </c>
      <c r="G31" s="16">
        <f t="shared" si="3"/>
        <v>0</v>
      </c>
      <c r="H31" s="36">
        <f t="shared" si="22"/>
        <v>253464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23"/>
        <v>25794</v>
      </c>
      <c r="M31" s="16">
        <f t="shared" si="5"/>
        <v>0</v>
      </c>
      <c r="N31" s="36">
        <f t="shared" si="24"/>
        <v>221439</v>
      </c>
      <c r="O31" s="16">
        <f t="shared" si="6"/>
        <v>0</v>
      </c>
      <c r="P31" s="36">
        <f t="shared" si="11"/>
        <v>138843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25"/>
        <v>3912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9"/>
        <v>46533</v>
      </c>
      <c r="C32" s="16">
        <f t="shared" si="1"/>
        <v>0</v>
      </c>
      <c r="D32" s="36">
        <f t="shared" si="20"/>
        <v>40234</v>
      </c>
      <c r="E32" s="16">
        <f t="shared" si="2"/>
        <v>0</v>
      </c>
      <c r="F32" s="36">
        <f t="shared" si="21"/>
        <v>21250</v>
      </c>
      <c r="G32" s="16">
        <f t="shared" si="3"/>
        <v>0</v>
      </c>
      <c r="H32" s="36">
        <f t="shared" si="22"/>
        <v>253464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23"/>
        <v>25794</v>
      </c>
      <c r="M32" s="16">
        <f t="shared" si="5"/>
        <v>0</v>
      </c>
      <c r="N32" s="36">
        <f t="shared" si="24"/>
        <v>221439</v>
      </c>
      <c r="O32" s="16">
        <f t="shared" si="6"/>
        <v>0</v>
      </c>
      <c r="P32" s="36">
        <f t="shared" si="11"/>
        <v>138843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25"/>
        <v>3912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9"/>
        <v>46533</v>
      </c>
      <c r="C33" s="16">
        <f t="shared" si="1"/>
        <v>0</v>
      </c>
      <c r="D33" s="36">
        <f t="shared" si="20"/>
        <v>40234</v>
      </c>
      <c r="E33" s="16">
        <f t="shared" si="2"/>
        <v>0</v>
      </c>
      <c r="F33" s="36">
        <f t="shared" si="21"/>
        <v>21250</v>
      </c>
      <c r="G33" s="16">
        <f t="shared" si="3"/>
        <v>0</v>
      </c>
      <c r="H33" s="36">
        <f t="shared" si="22"/>
        <v>253464</v>
      </c>
      <c r="I33" s="16">
        <f t="shared" si="4"/>
        <v>0</v>
      </c>
      <c r="J33" s="36">
        <v>303517</v>
      </c>
      <c r="K33" s="16">
        <v>0</v>
      </c>
      <c r="L33" s="36">
        <f t="shared" si="23"/>
        <v>25794</v>
      </c>
      <c r="M33" s="16">
        <f t="shared" si="5"/>
        <v>0</v>
      </c>
      <c r="N33" s="36">
        <f t="shared" si="24"/>
        <v>221439</v>
      </c>
      <c r="O33" s="16">
        <f t="shared" si="6"/>
        <v>0</v>
      </c>
      <c r="P33" s="36">
        <f t="shared" si="11"/>
        <v>138843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25"/>
        <v>3912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17440</v>
      </c>
      <c r="D34" s="13"/>
      <c r="E34" s="11">
        <f>SUM(E4:E33)</f>
        <v>10080</v>
      </c>
      <c r="F34" s="13"/>
      <c r="G34" s="11">
        <f>SUM(G4:G33)</f>
        <v>1640</v>
      </c>
      <c r="H34" s="13"/>
      <c r="I34" s="11">
        <f>SUM(I4:I33)</f>
        <v>348</v>
      </c>
      <c r="J34" s="13"/>
      <c r="K34" s="11">
        <f>SUM(K4:K33)</f>
        <v>0</v>
      </c>
      <c r="L34" s="13"/>
      <c r="M34" s="11">
        <f>SUM(M4:M33)</f>
        <v>10240</v>
      </c>
      <c r="N34" s="37"/>
      <c r="O34" s="11">
        <f>SUM(O4:O33)</f>
        <v>2549</v>
      </c>
      <c r="P34" s="13"/>
      <c r="Q34" s="11">
        <f>SUM(Q4:Q33)</f>
        <v>2461</v>
      </c>
      <c r="R34" s="1"/>
      <c r="S34" s="11">
        <f>SUM(S4:S33)</f>
        <v>0</v>
      </c>
      <c r="T34" s="1"/>
      <c r="U34" s="11">
        <f>SUM(U4:U33)</f>
        <v>3520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zoomScaleNormal="100" zoomScaleSheetLayoutView="110" workbookViewId="0">
      <pane ySplit="1" topLeftCell="A2" activePane="bottomLeft" state="frozen"/>
      <selection pane="bottomLeft" activeCell="E28" sqref="E28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v>203</v>
      </c>
      <c r="C13" s="150">
        <v>19290</v>
      </c>
      <c r="D13" s="43">
        <f t="shared" ref="D13" si="17">IF((C13-C12)&lt;0,"0",(C13-C12))*160</f>
        <v>480</v>
      </c>
      <c r="E13" s="151">
        <v>29509771</v>
      </c>
      <c r="F13" s="43">
        <f t="shared" ref="F13" si="18">IF((E13-E12)&lt;0,"0",(E13-E12))</f>
        <v>4948</v>
      </c>
      <c r="G13" s="152">
        <v>93782909</v>
      </c>
      <c r="H13" s="43">
        <f t="shared" ref="H13" si="19">IF((G13-G12)&lt;0,"0",(G13-G12))</f>
        <v>29711</v>
      </c>
      <c r="I13" s="153">
        <f t="shared" ref="I13" si="20">F13+H13</f>
        <v>34659</v>
      </c>
      <c r="J13" s="151">
        <v>9290672</v>
      </c>
      <c r="K13" s="43">
        <f t="shared" ref="K13" si="21">(IF((J13-J12)&lt;0,"0",(J13-J12)))*2</f>
        <v>6404</v>
      </c>
      <c r="L13" s="154">
        <v>9300167</v>
      </c>
      <c r="M13" s="43">
        <f t="shared" ref="M13" si="22">IF((L13-L12)&lt;0,"0",(L13-L12))</f>
        <v>3861</v>
      </c>
      <c r="N13" s="151">
        <v>6260929</v>
      </c>
      <c r="O13" s="43">
        <f t="shared" ref="O13" si="23">(IF((N13-N12)&lt;0,"0",(N13-N12)))*2</f>
        <v>1010</v>
      </c>
      <c r="P13" s="154">
        <v>5765078</v>
      </c>
      <c r="Q13" s="43">
        <f t="shared" ref="Q13" si="24">IF((P13-P12)&lt;0,"0",(P13-P12))</f>
        <v>4544</v>
      </c>
      <c r="R13" s="151">
        <v>19848761</v>
      </c>
      <c r="S13" s="43">
        <f t="shared" ref="S13" si="25">IF((R13-R12)&lt;0,"0",(R13-R12))</f>
        <v>7058</v>
      </c>
      <c r="T13" s="151">
        <v>0</v>
      </c>
      <c r="U13" s="155"/>
      <c r="V13" s="151">
        <v>7740795</v>
      </c>
      <c r="W13" s="43">
        <f t="shared" ref="W13" si="26">IF((V13-V12)&lt;0,"0",(V13-V12))</f>
        <v>7039</v>
      </c>
      <c r="X13" s="21">
        <f t="shared" ref="X13" si="27">K13+M13+O13+Q13+S13+U13+W13</f>
        <v>29916</v>
      </c>
      <c r="Y13" s="156">
        <f t="shared" ref="Y13" si="28">I13-X13</f>
        <v>4743</v>
      </c>
      <c r="Z13" s="3">
        <f t="shared" ref="Z13" si="29">(0.93352*(W13+S13)+0.5568*(Q13+O13))*0.26</f>
        <v>4225.5976463999996</v>
      </c>
      <c r="AA13" s="3">
        <f t="shared" si="15"/>
        <v>21334.213846400002</v>
      </c>
    </row>
    <row r="14" spans="1:27" ht="16.5" thickBot="1" x14ac:dyDescent="0.3">
      <c r="A14" s="10">
        <v>44573</v>
      </c>
      <c r="B14" s="43">
        <v>217</v>
      </c>
      <c r="C14" s="150">
        <v>19292</v>
      </c>
      <c r="D14" s="43">
        <f t="shared" si="2"/>
        <v>320</v>
      </c>
      <c r="E14" s="151">
        <v>29517505</v>
      </c>
      <c r="F14" s="43">
        <f t="shared" si="3"/>
        <v>7734</v>
      </c>
      <c r="G14" s="152">
        <v>93829600</v>
      </c>
      <c r="H14" s="43">
        <f t="shared" si="4"/>
        <v>46691</v>
      </c>
      <c r="I14" s="153">
        <f t="shared" si="5"/>
        <v>54425</v>
      </c>
      <c r="J14" s="151">
        <v>9295913</v>
      </c>
      <c r="K14" s="43">
        <f t="shared" si="13"/>
        <v>10482</v>
      </c>
      <c r="L14" s="154">
        <v>9306026</v>
      </c>
      <c r="M14" s="43">
        <f t="shared" si="6"/>
        <v>5859</v>
      </c>
      <c r="N14" s="151">
        <v>6261788</v>
      </c>
      <c r="O14" s="43">
        <f t="shared" si="14"/>
        <v>1718</v>
      </c>
      <c r="P14" s="154">
        <v>5772512</v>
      </c>
      <c r="Q14" s="43">
        <f t="shared" si="7"/>
        <v>7434</v>
      </c>
      <c r="R14" s="151">
        <v>19859633</v>
      </c>
      <c r="S14" s="43">
        <f>IF((R14-R13)&lt;0,"0",(R14-R13))</f>
        <v>10872</v>
      </c>
      <c r="T14" s="151">
        <v>0</v>
      </c>
      <c r="U14" s="155"/>
      <c r="V14" s="151">
        <v>7751744</v>
      </c>
      <c r="W14" s="43">
        <f t="shared" si="9"/>
        <v>10949</v>
      </c>
      <c r="X14" s="21">
        <f t="shared" si="10"/>
        <v>47314</v>
      </c>
      <c r="Y14" s="156">
        <f t="shared" si="11"/>
        <v>7111</v>
      </c>
      <c r="Z14" s="3">
        <f t="shared" si="12"/>
        <v>6621.2051152000013</v>
      </c>
      <c r="AA14" s="3">
        <f t="shared" si="15"/>
        <v>22677.9829952</v>
      </c>
    </row>
    <row r="15" spans="1:27" ht="16.5" thickBot="1" x14ac:dyDescent="0.3">
      <c r="A15" s="10">
        <v>44574</v>
      </c>
      <c r="B15" s="43">
        <v>218</v>
      </c>
      <c r="C15" s="150">
        <v>19295</v>
      </c>
      <c r="D15" s="43">
        <f t="shared" si="2"/>
        <v>480</v>
      </c>
      <c r="E15" s="151">
        <v>29523361</v>
      </c>
      <c r="F15" s="43">
        <f t="shared" si="3"/>
        <v>5856</v>
      </c>
      <c r="G15" s="152">
        <v>93868397</v>
      </c>
      <c r="H15" s="43">
        <f t="shared" si="4"/>
        <v>38797</v>
      </c>
      <c r="I15" s="153">
        <f t="shared" si="5"/>
        <v>44653</v>
      </c>
      <c r="J15" s="151">
        <v>9300126</v>
      </c>
      <c r="K15" s="43">
        <f t="shared" si="13"/>
        <v>8426</v>
      </c>
      <c r="L15" s="154">
        <v>9310570</v>
      </c>
      <c r="M15" s="43">
        <f t="shared" si="6"/>
        <v>4544</v>
      </c>
      <c r="N15" s="151">
        <v>6262384</v>
      </c>
      <c r="O15" s="43">
        <f t="shared" si="14"/>
        <v>1192</v>
      </c>
      <c r="P15" s="154">
        <v>5778862</v>
      </c>
      <c r="Q15" s="43">
        <f t="shared" si="7"/>
        <v>6350</v>
      </c>
      <c r="R15" s="151">
        <v>19868795</v>
      </c>
      <c r="S15" s="43">
        <f>IF((R15-R14)&lt;0,"0",(R15-R14))</f>
        <v>9162</v>
      </c>
      <c r="T15" s="151">
        <v>0</v>
      </c>
      <c r="U15" s="155"/>
      <c r="V15" s="151">
        <v>7760761</v>
      </c>
      <c r="W15" s="43">
        <f t="shared" si="9"/>
        <v>9017</v>
      </c>
      <c r="X15" s="21">
        <f t="shared" si="10"/>
        <v>38691</v>
      </c>
      <c r="Y15" s="156">
        <f t="shared" si="11"/>
        <v>5962</v>
      </c>
      <c r="Z15" s="3">
        <f t="shared" si="12"/>
        <v>5504.1598767999994</v>
      </c>
      <c r="AA15" s="3">
        <f t="shared" si="15"/>
        <v>23060.111963200001</v>
      </c>
    </row>
    <row r="16" spans="1:27" ht="16.5" thickBot="1" x14ac:dyDescent="0.3">
      <c r="A16" s="10">
        <v>44575</v>
      </c>
      <c r="B16" s="43">
        <v>212</v>
      </c>
      <c r="C16" s="150">
        <v>19297</v>
      </c>
      <c r="D16" s="43">
        <f t="shared" si="2"/>
        <v>320</v>
      </c>
      <c r="E16" s="151">
        <v>29531355</v>
      </c>
      <c r="F16" s="43">
        <f t="shared" si="3"/>
        <v>7994</v>
      </c>
      <c r="G16" s="152">
        <v>93921141</v>
      </c>
      <c r="H16" s="43">
        <f t="shared" si="4"/>
        <v>52744</v>
      </c>
      <c r="I16" s="153">
        <f t="shared" si="5"/>
        <v>60738</v>
      </c>
      <c r="J16" s="151">
        <v>9305499</v>
      </c>
      <c r="K16" s="43">
        <f t="shared" si="13"/>
        <v>10746</v>
      </c>
      <c r="L16" s="154">
        <v>9316719</v>
      </c>
      <c r="M16" s="43">
        <f t="shared" si="6"/>
        <v>6149</v>
      </c>
      <c r="N16" s="151">
        <v>6263226</v>
      </c>
      <c r="O16" s="43">
        <f t="shared" si="14"/>
        <v>1684</v>
      </c>
      <c r="P16" s="154">
        <v>5787510</v>
      </c>
      <c r="Q16" s="43">
        <f t="shared" si="7"/>
        <v>8648</v>
      </c>
      <c r="R16" s="151">
        <v>19881235</v>
      </c>
      <c r="S16" s="43">
        <f t="shared" si="8"/>
        <v>12440</v>
      </c>
      <c r="T16" s="151">
        <v>0</v>
      </c>
      <c r="U16" s="155"/>
      <c r="V16" s="151">
        <v>7773212</v>
      </c>
      <c r="W16" s="43">
        <f t="shared" si="9"/>
        <v>12451</v>
      </c>
      <c r="X16" s="21">
        <f t="shared" si="10"/>
        <v>52118</v>
      </c>
      <c r="Y16" s="156">
        <f t="shared" si="11"/>
        <v>8620</v>
      </c>
      <c r="Z16" s="3">
        <f t="shared" si="12"/>
        <v>7537.1670192000011</v>
      </c>
      <c r="AA16" s="3">
        <f t="shared" si="15"/>
        <v>23888.129657600002</v>
      </c>
    </row>
    <row r="17" spans="1:27" s="135" customFormat="1" ht="16.5" thickBot="1" x14ac:dyDescent="0.3">
      <c r="A17" s="10">
        <v>44576</v>
      </c>
      <c r="B17" s="43">
        <v>175</v>
      </c>
      <c r="C17" s="150">
        <v>19299</v>
      </c>
      <c r="D17" s="43">
        <f t="shared" si="2"/>
        <v>320</v>
      </c>
      <c r="E17" s="151">
        <v>29536366</v>
      </c>
      <c r="F17" s="43">
        <f t="shared" si="3"/>
        <v>5011</v>
      </c>
      <c r="G17" s="152">
        <v>93954613</v>
      </c>
      <c r="H17" s="43">
        <f t="shared" si="4"/>
        <v>33472</v>
      </c>
      <c r="I17" s="157">
        <f t="shared" si="5"/>
        <v>38483</v>
      </c>
      <c r="J17" s="151">
        <v>9309109</v>
      </c>
      <c r="K17" s="134">
        <f t="shared" si="13"/>
        <v>7220</v>
      </c>
      <c r="L17" s="154">
        <v>9320441</v>
      </c>
      <c r="M17" s="134">
        <f t="shared" si="6"/>
        <v>3722</v>
      </c>
      <c r="N17" s="151">
        <v>6263819</v>
      </c>
      <c r="O17" s="134">
        <f t="shared" si="14"/>
        <v>1186</v>
      </c>
      <c r="P17" s="154">
        <v>5792973</v>
      </c>
      <c r="Q17" s="134">
        <f t="shared" si="7"/>
        <v>5463</v>
      </c>
      <c r="R17" s="151">
        <v>19889219</v>
      </c>
      <c r="S17" s="134">
        <f t="shared" si="8"/>
        <v>7984</v>
      </c>
      <c r="T17" s="158">
        <v>0</v>
      </c>
      <c r="U17" s="155"/>
      <c r="V17" s="151">
        <v>7780936</v>
      </c>
      <c r="W17" s="134">
        <f t="shared" si="9"/>
        <v>7724</v>
      </c>
      <c r="X17" s="21">
        <f t="shared" si="10"/>
        <v>33299</v>
      </c>
      <c r="Y17" s="159">
        <f t="shared" si="11"/>
        <v>5184</v>
      </c>
      <c r="Z17" s="160">
        <f t="shared" si="12"/>
        <v>4775.1327935999998</v>
      </c>
      <c r="AA17" s="3">
        <f t="shared" si="15"/>
        <v>24437.664804799999</v>
      </c>
    </row>
    <row r="18" spans="1:27" s="135" customFormat="1" ht="16.5" thickBot="1" x14ac:dyDescent="0.3">
      <c r="A18" s="10">
        <v>44577</v>
      </c>
      <c r="B18" s="43">
        <v>191</v>
      </c>
      <c r="C18" s="150">
        <v>19302</v>
      </c>
      <c r="D18" s="43">
        <f t="shared" si="2"/>
        <v>480</v>
      </c>
      <c r="E18" s="151">
        <v>29542910</v>
      </c>
      <c r="F18" s="43">
        <f t="shared" si="3"/>
        <v>6544</v>
      </c>
      <c r="G18" s="152">
        <v>93998424</v>
      </c>
      <c r="H18" s="43">
        <f t="shared" si="4"/>
        <v>43811</v>
      </c>
      <c r="I18" s="157">
        <f t="shared" si="5"/>
        <v>50355</v>
      </c>
      <c r="J18" s="151">
        <v>9314010</v>
      </c>
      <c r="K18" s="134">
        <f t="shared" si="13"/>
        <v>9802</v>
      </c>
      <c r="L18" s="154">
        <v>9325514</v>
      </c>
      <c r="M18" s="134">
        <f t="shared" si="6"/>
        <v>5073</v>
      </c>
      <c r="N18" s="151">
        <v>6264482</v>
      </c>
      <c r="O18" s="134">
        <f t="shared" si="14"/>
        <v>1326</v>
      </c>
      <c r="P18" s="154">
        <v>5799843</v>
      </c>
      <c r="Q18" s="134">
        <f t="shared" si="7"/>
        <v>6870</v>
      </c>
      <c r="R18" s="151">
        <v>19899322</v>
      </c>
      <c r="S18" s="134">
        <f t="shared" si="8"/>
        <v>10103</v>
      </c>
      <c r="T18" s="158">
        <v>0</v>
      </c>
      <c r="U18" s="155"/>
      <c r="V18" s="151">
        <v>7791275</v>
      </c>
      <c r="W18" s="134">
        <f t="shared" si="9"/>
        <v>10339</v>
      </c>
      <c r="X18" s="21">
        <f t="shared" si="10"/>
        <v>43513</v>
      </c>
      <c r="Y18" s="159">
        <f t="shared" si="11"/>
        <v>6842</v>
      </c>
      <c r="Z18" s="160">
        <f t="shared" si="12"/>
        <v>6148.1026464000006</v>
      </c>
      <c r="AA18" s="3">
        <f t="shared" si="15"/>
        <v>23964.562336000003</v>
      </c>
    </row>
    <row r="19" spans="1:27" s="135" customFormat="1" ht="16.5" thickBot="1" x14ac:dyDescent="0.3">
      <c r="A19" s="10">
        <v>44578</v>
      </c>
      <c r="B19" s="43">
        <v>195</v>
      </c>
      <c r="C19" s="150">
        <v>19304</v>
      </c>
      <c r="D19" s="43">
        <f t="shared" si="2"/>
        <v>320</v>
      </c>
      <c r="E19" s="151">
        <v>29548389</v>
      </c>
      <c r="F19" s="43">
        <f t="shared" si="3"/>
        <v>5479</v>
      </c>
      <c r="G19" s="152">
        <v>94033585</v>
      </c>
      <c r="H19" s="43">
        <f t="shared" si="4"/>
        <v>35161</v>
      </c>
      <c r="I19" s="157">
        <f t="shared" si="5"/>
        <v>40640</v>
      </c>
      <c r="J19" s="151">
        <v>9318060</v>
      </c>
      <c r="K19" s="134">
        <f t="shared" si="13"/>
        <v>8100</v>
      </c>
      <c r="L19" s="154">
        <v>9329888</v>
      </c>
      <c r="M19" s="134">
        <f t="shared" si="6"/>
        <v>4374</v>
      </c>
      <c r="N19" s="151">
        <v>6264987</v>
      </c>
      <c r="O19" s="134">
        <f t="shared" si="14"/>
        <v>1010</v>
      </c>
      <c r="P19" s="154">
        <v>5804787</v>
      </c>
      <c r="Q19" s="134">
        <f t="shared" si="7"/>
        <v>4944</v>
      </c>
      <c r="R19" s="151">
        <v>19907849</v>
      </c>
      <c r="S19" s="134">
        <f t="shared" si="8"/>
        <v>8527</v>
      </c>
      <c r="T19" s="158">
        <v>0</v>
      </c>
      <c r="U19" s="155"/>
      <c r="V19" s="151">
        <v>7799675</v>
      </c>
      <c r="W19" s="134">
        <f t="shared" si="9"/>
        <v>8400</v>
      </c>
      <c r="X19" s="21">
        <f t="shared" si="10"/>
        <v>35355</v>
      </c>
      <c r="Y19" s="159">
        <f t="shared" si="11"/>
        <v>5285</v>
      </c>
      <c r="Z19" s="160">
        <f t="shared" si="12"/>
        <v>4970.3888624000001</v>
      </c>
      <c r="AA19" s="3">
        <f t="shared" si="15"/>
        <v>23430.791321599998</v>
      </c>
    </row>
    <row r="20" spans="1:27" s="135" customFormat="1" ht="16.5" thickBot="1" x14ac:dyDescent="0.3">
      <c r="A20" s="10">
        <v>44579</v>
      </c>
      <c r="B20" s="43">
        <v>205</v>
      </c>
      <c r="C20" s="150">
        <v>19305</v>
      </c>
      <c r="D20" s="43">
        <f t="shared" si="2"/>
        <v>160</v>
      </c>
      <c r="E20" s="151">
        <v>29556814</v>
      </c>
      <c r="F20" s="43">
        <f t="shared" si="3"/>
        <v>8425</v>
      </c>
      <c r="G20" s="152">
        <v>94086434</v>
      </c>
      <c r="H20" s="43">
        <f t="shared" si="4"/>
        <v>52849</v>
      </c>
      <c r="I20" s="157">
        <f t="shared" si="5"/>
        <v>61274</v>
      </c>
      <c r="J20" s="151">
        <v>9323982</v>
      </c>
      <c r="K20" s="134">
        <f t="shared" si="13"/>
        <v>11844</v>
      </c>
      <c r="L20" s="154">
        <v>9336451</v>
      </c>
      <c r="M20" s="134">
        <f t="shared" si="6"/>
        <v>6563</v>
      </c>
      <c r="N20" s="151">
        <v>6265843</v>
      </c>
      <c r="O20" s="134">
        <f t="shared" si="14"/>
        <v>1712</v>
      </c>
      <c r="P20" s="154">
        <v>5813284</v>
      </c>
      <c r="Q20" s="134">
        <f t="shared" si="7"/>
        <v>8497</v>
      </c>
      <c r="R20" s="151">
        <v>19920221</v>
      </c>
      <c r="S20" s="134">
        <f t="shared" si="8"/>
        <v>12372</v>
      </c>
      <c r="T20" s="158">
        <v>0</v>
      </c>
      <c r="U20" s="155"/>
      <c r="V20" s="151">
        <v>7812026</v>
      </c>
      <c r="W20" s="134">
        <f t="shared" si="9"/>
        <v>12351</v>
      </c>
      <c r="X20" s="21">
        <f t="shared" si="10"/>
        <v>53339</v>
      </c>
      <c r="Y20" s="159">
        <f t="shared" si="11"/>
        <v>7935</v>
      </c>
      <c r="Z20" s="160">
        <f t="shared" si="12"/>
        <v>7478.584401600001</v>
      </c>
      <c r="AA20" s="3">
        <f t="shared" si="15"/>
        <v>23372.208704000001</v>
      </c>
    </row>
    <row r="21" spans="1:27" s="135" customFormat="1" ht="16.5" thickBot="1" x14ac:dyDescent="0.3">
      <c r="A21" s="10">
        <v>44580</v>
      </c>
      <c r="B21" s="43">
        <v>264</v>
      </c>
      <c r="C21" s="150">
        <v>19307</v>
      </c>
      <c r="D21" s="43">
        <f t="shared" si="2"/>
        <v>320</v>
      </c>
      <c r="E21" s="151">
        <v>29562670</v>
      </c>
      <c r="F21" s="43">
        <f t="shared" si="3"/>
        <v>5856</v>
      </c>
      <c r="G21" s="152">
        <v>94124042</v>
      </c>
      <c r="H21" s="43">
        <f t="shared" si="4"/>
        <v>37608</v>
      </c>
      <c r="I21" s="157">
        <f t="shared" si="5"/>
        <v>43464</v>
      </c>
      <c r="J21" s="151">
        <v>9328341</v>
      </c>
      <c r="K21" s="134">
        <f t="shared" si="13"/>
        <v>8718</v>
      </c>
      <c r="L21" s="154">
        <v>9341055</v>
      </c>
      <c r="M21" s="134">
        <f t="shared" si="6"/>
        <v>4604</v>
      </c>
      <c r="N21" s="151">
        <v>6266411</v>
      </c>
      <c r="O21" s="134">
        <f t="shared" si="14"/>
        <v>1136</v>
      </c>
      <c r="P21" s="154">
        <v>5821888</v>
      </c>
      <c r="Q21" s="134">
        <f t="shared" si="7"/>
        <v>8604</v>
      </c>
      <c r="R21" s="151">
        <v>19929284</v>
      </c>
      <c r="S21" s="134">
        <f t="shared" si="8"/>
        <v>9063</v>
      </c>
      <c r="T21" s="158">
        <v>0</v>
      </c>
      <c r="U21" s="155"/>
      <c r="V21" s="151">
        <v>7820888</v>
      </c>
      <c r="W21" s="134">
        <f t="shared" si="9"/>
        <v>8862</v>
      </c>
      <c r="X21" s="21">
        <f t="shared" si="10"/>
        <v>40987</v>
      </c>
      <c r="Y21" s="159">
        <f t="shared" si="11"/>
        <v>2477</v>
      </c>
      <c r="Z21" s="160">
        <f t="shared" si="12"/>
        <v>5760.7102800000002</v>
      </c>
      <c r="AA21" s="3">
        <f t="shared" si="15"/>
        <v>24357.786190400002</v>
      </c>
    </row>
    <row r="22" spans="1:27" ht="16.5" thickBot="1" x14ac:dyDescent="0.3">
      <c r="A22" s="10">
        <v>44581</v>
      </c>
      <c r="B22" s="43">
        <f t="shared" si="16"/>
        <v>264</v>
      </c>
      <c r="C22" s="150">
        <v>19310</v>
      </c>
      <c r="D22" s="43">
        <f t="shared" si="2"/>
        <v>480</v>
      </c>
      <c r="E22" s="151">
        <v>29569978</v>
      </c>
      <c r="F22" s="43">
        <f t="shared" si="3"/>
        <v>7308</v>
      </c>
      <c r="G22" s="152">
        <v>94175393</v>
      </c>
      <c r="H22" s="43">
        <f t="shared" si="4"/>
        <v>51351</v>
      </c>
      <c r="I22" s="153">
        <f t="shared" si="5"/>
        <v>58659</v>
      </c>
      <c r="J22" s="151">
        <v>9333554</v>
      </c>
      <c r="K22" s="43">
        <f t="shared" si="13"/>
        <v>10426</v>
      </c>
      <c r="L22" s="154">
        <v>9346790</v>
      </c>
      <c r="M22" s="43">
        <f t="shared" si="6"/>
        <v>5735</v>
      </c>
      <c r="N22" s="151">
        <v>6267128</v>
      </c>
      <c r="O22" s="43">
        <f t="shared" si="14"/>
        <v>1434</v>
      </c>
      <c r="P22" s="154">
        <v>5826118</v>
      </c>
      <c r="Q22" s="43">
        <f t="shared" si="7"/>
        <v>4230</v>
      </c>
      <c r="R22" s="151">
        <v>19941336</v>
      </c>
      <c r="S22" s="43">
        <f t="shared" si="8"/>
        <v>12052</v>
      </c>
      <c r="T22" s="151">
        <v>0</v>
      </c>
      <c r="U22" s="155"/>
      <c r="V22" s="151">
        <v>7833708</v>
      </c>
      <c r="W22" s="43">
        <f t="shared" si="9"/>
        <v>12820</v>
      </c>
      <c r="X22" s="21">
        <f t="shared" si="10"/>
        <v>46697</v>
      </c>
      <c r="Y22" s="156">
        <f t="shared" si="11"/>
        <v>11962</v>
      </c>
      <c r="Z22" s="3">
        <f t="shared" si="12"/>
        <v>6856.7784064000007</v>
      </c>
      <c r="AA22" s="3">
        <f t="shared" si="15"/>
        <v>25066.4619504</v>
      </c>
    </row>
    <row r="23" spans="1:27" ht="16.5" thickBot="1" x14ac:dyDescent="0.3">
      <c r="A23" s="10">
        <v>44582</v>
      </c>
      <c r="B23" s="43">
        <v>143</v>
      </c>
      <c r="C23" s="150">
        <v>19313</v>
      </c>
      <c r="D23" s="43">
        <f t="shared" si="2"/>
        <v>480</v>
      </c>
      <c r="E23" s="151">
        <v>29576175</v>
      </c>
      <c r="F23" s="43">
        <f t="shared" si="3"/>
        <v>6197</v>
      </c>
      <c r="G23" s="152">
        <v>94215391</v>
      </c>
      <c r="H23" s="43">
        <f t="shared" si="4"/>
        <v>39998</v>
      </c>
      <c r="I23" s="153">
        <f t="shared" si="5"/>
        <v>46195</v>
      </c>
      <c r="J23" s="151">
        <v>9337190</v>
      </c>
      <c r="K23" s="43">
        <f t="shared" si="13"/>
        <v>7272</v>
      </c>
      <c r="L23" s="154">
        <v>9351434</v>
      </c>
      <c r="M23" s="43">
        <f t="shared" si="6"/>
        <v>4644</v>
      </c>
      <c r="N23" s="151">
        <v>6267836</v>
      </c>
      <c r="O23" s="43">
        <f t="shared" si="14"/>
        <v>1416</v>
      </c>
      <c r="P23" s="154">
        <v>5832046</v>
      </c>
      <c r="Q23" s="43">
        <f t="shared" si="7"/>
        <v>5928</v>
      </c>
      <c r="R23" s="151">
        <v>19950772</v>
      </c>
      <c r="S23" s="43">
        <f t="shared" si="8"/>
        <v>9436</v>
      </c>
      <c r="T23" s="151">
        <v>0</v>
      </c>
      <c r="U23" s="155"/>
      <c r="V23" s="151">
        <v>7843535</v>
      </c>
      <c r="W23" s="43">
        <f t="shared" si="9"/>
        <v>9827</v>
      </c>
      <c r="X23" s="21">
        <f t="shared" si="10"/>
        <v>38523</v>
      </c>
      <c r="Y23" s="156">
        <f t="shared" si="11"/>
        <v>7672</v>
      </c>
      <c r="Z23" s="3">
        <f t="shared" si="12"/>
        <v>5738.5990895999994</v>
      </c>
      <c r="AA23" s="3">
        <f t="shared" si="15"/>
        <v>25834.672177600001</v>
      </c>
    </row>
    <row r="24" spans="1:27" ht="16.5" thickBot="1" x14ac:dyDescent="0.3">
      <c r="A24" s="10">
        <v>44583</v>
      </c>
      <c r="B24" s="43">
        <v>209</v>
      </c>
      <c r="C24" s="150">
        <v>19315</v>
      </c>
      <c r="D24" s="43">
        <f t="shared" si="2"/>
        <v>320</v>
      </c>
      <c r="E24" s="151">
        <v>29581718</v>
      </c>
      <c r="F24" s="43">
        <f t="shared" si="3"/>
        <v>5543</v>
      </c>
      <c r="G24" s="152">
        <v>94252053</v>
      </c>
      <c r="H24" s="43">
        <f t="shared" si="4"/>
        <v>36662</v>
      </c>
      <c r="I24" s="153">
        <f t="shared" si="5"/>
        <v>42205</v>
      </c>
      <c r="J24" s="151">
        <v>9340897</v>
      </c>
      <c r="K24" s="43">
        <f t="shared" si="13"/>
        <v>7414</v>
      </c>
      <c r="L24" s="154">
        <v>9355675</v>
      </c>
      <c r="M24" s="43">
        <f t="shared" si="6"/>
        <v>4241</v>
      </c>
      <c r="N24" s="151">
        <v>6268469</v>
      </c>
      <c r="O24" s="43">
        <f t="shared" si="14"/>
        <v>1266</v>
      </c>
      <c r="P24" s="154">
        <v>5837908</v>
      </c>
      <c r="Q24" s="43">
        <f t="shared" si="7"/>
        <v>5862</v>
      </c>
      <c r="R24" s="151">
        <v>19959334</v>
      </c>
      <c r="S24" s="43">
        <f t="shared" si="8"/>
        <v>8562</v>
      </c>
      <c r="T24" s="151">
        <v>0</v>
      </c>
      <c r="U24" s="155"/>
      <c r="V24" s="151">
        <v>7852380</v>
      </c>
      <c r="W24" s="43">
        <f t="shared" si="9"/>
        <v>8845</v>
      </c>
      <c r="X24" s="21">
        <f t="shared" si="10"/>
        <v>36190</v>
      </c>
      <c r="Y24" s="156">
        <f t="shared" si="11"/>
        <v>6015</v>
      </c>
      <c r="Z24" s="3">
        <f t="shared" si="12"/>
        <v>5256.8497903999996</v>
      </c>
      <c r="AA24" s="3">
        <f t="shared" si="15"/>
        <v>23612.9375664</v>
      </c>
    </row>
    <row r="25" spans="1:27" ht="16.5" thickBot="1" x14ac:dyDescent="0.3">
      <c r="A25" s="10">
        <v>44584</v>
      </c>
      <c r="B25" s="43">
        <v>193</v>
      </c>
      <c r="C25" s="150">
        <v>19315</v>
      </c>
      <c r="D25" s="43">
        <f t="shared" si="2"/>
        <v>0</v>
      </c>
      <c r="E25" s="151">
        <v>29592815</v>
      </c>
      <c r="F25" s="43">
        <f t="shared" si="3"/>
        <v>11097</v>
      </c>
      <c r="G25" s="152">
        <v>94296571</v>
      </c>
      <c r="H25" s="43">
        <f t="shared" si="4"/>
        <v>44518</v>
      </c>
      <c r="I25" s="153">
        <f t="shared" si="5"/>
        <v>55615</v>
      </c>
      <c r="J25" s="151">
        <v>9346141</v>
      </c>
      <c r="K25" s="43">
        <f t="shared" si="13"/>
        <v>10488</v>
      </c>
      <c r="L25" s="154">
        <v>9361371</v>
      </c>
      <c r="M25" s="43">
        <f t="shared" si="6"/>
        <v>5696</v>
      </c>
      <c r="N25" s="151">
        <v>6271064</v>
      </c>
      <c r="O25" s="43">
        <f t="shared" si="14"/>
        <v>5190</v>
      </c>
      <c r="P25" s="154">
        <v>5841304</v>
      </c>
      <c r="Q25" s="43">
        <f t="shared" si="7"/>
        <v>3396</v>
      </c>
      <c r="R25" s="151">
        <v>19970646</v>
      </c>
      <c r="S25" s="43">
        <f t="shared" si="8"/>
        <v>11312</v>
      </c>
      <c r="T25" s="151">
        <v>0</v>
      </c>
      <c r="U25" s="155"/>
      <c r="V25" s="151">
        <v>7864022</v>
      </c>
      <c r="W25" s="43">
        <f t="shared" si="9"/>
        <v>11642</v>
      </c>
      <c r="X25" s="21">
        <f t="shared" si="10"/>
        <v>47724</v>
      </c>
      <c r="Y25" s="156">
        <f t="shared" si="11"/>
        <v>7891</v>
      </c>
      <c r="Z25" s="3">
        <f t="shared" si="12"/>
        <v>6814.2627488000007</v>
      </c>
      <c r="AA25" s="3">
        <f t="shared" si="15"/>
        <v>24666.4900352</v>
      </c>
    </row>
    <row r="26" spans="1:27" ht="16.5" thickBot="1" x14ac:dyDescent="0.3">
      <c r="A26" s="10">
        <v>44585</v>
      </c>
      <c r="B26" s="43">
        <v>164</v>
      </c>
      <c r="C26" s="150">
        <v>19316</v>
      </c>
      <c r="D26" s="43">
        <f t="shared" si="2"/>
        <v>160</v>
      </c>
      <c r="E26" s="151">
        <v>29601910</v>
      </c>
      <c r="F26" s="43">
        <f t="shared" si="3"/>
        <v>9095</v>
      </c>
      <c r="G26" s="152">
        <v>94329025</v>
      </c>
      <c r="H26" s="43">
        <f t="shared" si="4"/>
        <v>32454</v>
      </c>
      <c r="I26" s="153">
        <f t="shared" si="5"/>
        <v>41549</v>
      </c>
      <c r="J26" s="151">
        <v>9349942</v>
      </c>
      <c r="K26" s="43">
        <f t="shared" si="13"/>
        <v>7602</v>
      </c>
      <c r="L26" s="154">
        <v>9365890</v>
      </c>
      <c r="M26" s="43">
        <f t="shared" si="6"/>
        <v>4519</v>
      </c>
      <c r="N26" s="151">
        <v>6273290</v>
      </c>
      <c r="O26" s="43">
        <f t="shared" si="14"/>
        <v>4452</v>
      </c>
      <c r="P26" s="154">
        <v>5843275</v>
      </c>
      <c r="Q26" s="43">
        <f t="shared" si="7"/>
        <v>1971</v>
      </c>
      <c r="R26" s="151">
        <v>19979417</v>
      </c>
      <c r="S26" s="43">
        <f t="shared" si="8"/>
        <v>8771</v>
      </c>
      <c r="T26" s="151">
        <v>0</v>
      </c>
      <c r="U26" s="155"/>
      <c r="V26" s="151">
        <v>7872526</v>
      </c>
      <c r="W26" s="43">
        <f t="shared" si="9"/>
        <v>8504</v>
      </c>
      <c r="X26" s="21">
        <f t="shared" si="10"/>
        <v>35819</v>
      </c>
      <c r="Y26" s="156">
        <f t="shared" si="11"/>
        <v>5730</v>
      </c>
      <c r="Z26" s="3">
        <f t="shared" si="12"/>
        <v>5122.7499440000011</v>
      </c>
      <c r="AA26" s="3">
        <f t="shared" si="15"/>
        <v>22932.461572799999</v>
      </c>
    </row>
    <row r="27" spans="1:27" ht="16.5" thickBot="1" x14ac:dyDescent="0.3">
      <c r="A27" s="10">
        <v>44586</v>
      </c>
      <c r="B27" s="43">
        <f t="shared" si="16"/>
        <v>164</v>
      </c>
      <c r="C27" s="150"/>
      <c r="D27" s="43">
        <f t="shared" si="2"/>
        <v>0</v>
      </c>
      <c r="E27" s="151"/>
      <c r="F27" s="43" t="str">
        <f t="shared" si="3"/>
        <v>0</v>
      </c>
      <c r="G27" s="152"/>
      <c r="H27" s="43" t="str">
        <f t="shared" si="4"/>
        <v>0</v>
      </c>
      <c r="I27" s="153">
        <f t="shared" si="5"/>
        <v>0</v>
      </c>
      <c r="J27" s="151"/>
      <c r="K27" s="43">
        <f t="shared" si="13"/>
        <v>0</v>
      </c>
      <c r="L27" s="154"/>
      <c r="M27" s="43" t="str">
        <f t="shared" si="6"/>
        <v>0</v>
      </c>
      <c r="N27" s="151">
        <f t="shared" ref="N26:N33" si="30">N26</f>
        <v>6273290</v>
      </c>
      <c r="O27" s="43">
        <f t="shared" si="14"/>
        <v>0</v>
      </c>
      <c r="P27" s="154">
        <f t="shared" ref="P26:P33" si="31">P26</f>
        <v>5843275</v>
      </c>
      <c r="Q27" s="43">
        <f t="shared" si="7"/>
        <v>0</v>
      </c>
      <c r="R27" s="151">
        <f t="shared" ref="R26:R33" si="32">R26</f>
        <v>19979417</v>
      </c>
      <c r="S27" s="43">
        <f t="shared" si="8"/>
        <v>0</v>
      </c>
      <c r="T27" s="151">
        <v>0</v>
      </c>
      <c r="U27" s="155"/>
      <c r="V27" s="151">
        <f t="shared" ref="V26:V33" si="33">V26</f>
        <v>7872526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17193.862483199999</v>
      </c>
    </row>
    <row r="28" spans="1:27" ht="16.5" thickBot="1" x14ac:dyDescent="0.3">
      <c r="A28" s="10">
        <v>44587</v>
      </c>
      <c r="B28" s="43">
        <f t="shared" si="16"/>
        <v>164</v>
      </c>
      <c r="C28" s="150"/>
      <c r="D28" s="43">
        <f t="shared" si="2"/>
        <v>0</v>
      </c>
      <c r="E28" s="151"/>
      <c r="F28" s="43">
        <f t="shared" si="3"/>
        <v>0</v>
      </c>
      <c r="G28" s="152"/>
      <c r="H28" s="43">
        <f t="shared" si="4"/>
        <v>0</v>
      </c>
      <c r="I28" s="153">
        <f t="shared" si="5"/>
        <v>0</v>
      </c>
      <c r="J28" s="151"/>
      <c r="K28" s="43">
        <f t="shared" si="13"/>
        <v>0</v>
      </c>
      <c r="L28" s="154"/>
      <c r="M28" s="43">
        <f t="shared" si="6"/>
        <v>0</v>
      </c>
      <c r="N28" s="151">
        <f t="shared" si="30"/>
        <v>6273290</v>
      </c>
      <c r="O28" s="43">
        <f t="shared" si="14"/>
        <v>0</v>
      </c>
      <c r="P28" s="154">
        <f t="shared" si="31"/>
        <v>5843275</v>
      </c>
      <c r="Q28" s="43">
        <f t="shared" si="7"/>
        <v>0</v>
      </c>
      <c r="R28" s="151">
        <f t="shared" si="32"/>
        <v>19979417</v>
      </c>
      <c r="S28" s="43">
        <f t="shared" si="8"/>
        <v>0</v>
      </c>
      <c r="T28" s="151">
        <v>0</v>
      </c>
      <c r="U28" s="155"/>
      <c r="V28" s="151">
        <f t="shared" si="33"/>
        <v>7872526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11937.012692800003</v>
      </c>
    </row>
    <row r="29" spans="1:27" ht="16.5" thickBot="1" x14ac:dyDescent="0.3">
      <c r="A29" s="10">
        <v>44588</v>
      </c>
      <c r="B29" s="43">
        <f t="shared" si="16"/>
        <v>164</v>
      </c>
      <c r="C29" s="150"/>
      <c r="D29" s="43">
        <f t="shared" si="2"/>
        <v>0</v>
      </c>
      <c r="E29" s="151"/>
      <c r="F29" s="43">
        <f t="shared" si="3"/>
        <v>0</v>
      </c>
      <c r="G29" s="152"/>
      <c r="H29" s="43">
        <f t="shared" si="4"/>
        <v>0</v>
      </c>
      <c r="I29" s="153">
        <f t="shared" si="5"/>
        <v>0</v>
      </c>
      <c r="J29" s="151"/>
      <c r="K29" s="43">
        <f t="shared" si="13"/>
        <v>0</v>
      </c>
      <c r="L29" s="154"/>
      <c r="M29" s="43">
        <f t="shared" si="6"/>
        <v>0</v>
      </c>
      <c r="N29" s="151">
        <f t="shared" si="30"/>
        <v>6273290</v>
      </c>
      <c r="O29" s="43">
        <f t="shared" si="14"/>
        <v>0</v>
      </c>
      <c r="P29" s="154">
        <f t="shared" si="31"/>
        <v>5843275</v>
      </c>
      <c r="Q29" s="43">
        <f t="shared" si="7"/>
        <v>0</v>
      </c>
      <c r="R29" s="151">
        <f t="shared" si="32"/>
        <v>19979417</v>
      </c>
      <c r="S29" s="43">
        <f t="shared" si="8"/>
        <v>0</v>
      </c>
      <c r="T29" s="151">
        <v>0</v>
      </c>
      <c r="U29" s="155"/>
      <c r="V29" s="151">
        <f t="shared" si="33"/>
        <v>7872526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5122.7499440000011</v>
      </c>
    </row>
    <row r="30" spans="1:27" ht="16.5" thickBot="1" x14ac:dyDescent="0.3">
      <c r="A30" s="10">
        <v>44589</v>
      </c>
      <c r="B30" s="43">
        <f t="shared" si="16"/>
        <v>164</v>
      </c>
      <c r="C30" s="150"/>
      <c r="D30" s="43">
        <f t="shared" si="2"/>
        <v>0</v>
      </c>
      <c r="E30" s="151"/>
      <c r="F30" s="43">
        <f t="shared" si="3"/>
        <v>0</v>
      </c>
      <c r="G30" s="152"/>
      <c r="H30" s="43">
        <f t="shared" si="4"/>
        <v>0</v>
      </c>
      <c r="I30" s="153">
        <f t="shared" si="5"/>
        <v>0</v>
      </c>
      <c r="J30" s="151"/>
      <c r="K30" s="43">
        <f t="shared" si="13"/>
        <v>0</v>
      </c>
      <c r="L30" s="154"/>
      <c r="M30" s="43">
        <f t="shared" si="6"/>
        <v>0</v>
      </c>
      <c r="N30" s="151">
        <f t="shared" si="30"/>
        <v>6273290</v>
      </c>
      <c r="O30" s="43">
        <f t="shared" si="14"/>
        <v>0</v>
      </c>
      <c r="P30" s="154">
        <f t="shared" si="31"/>
        <v>5843275</v>
      </c>
      <c r="Q30" s="43">
        <f t="shared" si="7"/>
        <v>0</v>
      </c>
      <c r="R30" s="151">
        <f t="shared" si="32"/>
        <v>19979417</v>
      </c>
      <c r="S30" s="43">
        <f t="shared" si="8"/>
        <v>0</v>
      </c>
      <c r="T30" s="151">
        <v>0</v>
      </c>
      <c r="U30" s="155"/>
      <c r="V30" s="151">
        <f t="shared" si="33"/>
        <v>7872526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164</v>
      </c>
      <c r="C31" s="150"/>
      <c r="D31" s="43">
        <f t="shared" si="2"/>
        <v>0</v>
      </c>
      <c r="E31" s="151"/>
      <c r="F31" s="43">
        <f t="shared" si="3"/>
        <v>0</v>
      </c>
      <c r="G31" s="152"/>
      <c r="H31" s="43">
        <f t="shared" si="4"/>
        <v>0</v>
      </c>
      <c r="I31" s="153">
        <f t="shared" si="5"/>
        <v>0</v>
      </c>
      <c r="J31" s="151"/>
      <c r="K31" s="43">
        <f t="shared" si="13"/>
        <v>0</v>
      </c>
      <c r="L31" s="154"/>
      <c r="M31" s="43">
        <f t="shared" si="6"/>
        <v>0</v>
      </c>
      <c r="N31" s="151">
        <f t="shared" si="30"/>
        <v>6273290</v>
      </c>
      <c r="O31" s="43">
        <f t="shared" si="14"/>
        <v>0</v>
      </c>
      <c r="P31" s="154">
        <f t="shared" si="31"/>
        <v>5843275</v>
      </c>
      <c r="Q31" s="43">
        <f t="shared" si="7"/>
        <v>0</v>
      </c>
      <c r="R31" s="151">
        <f t="shared" si="32"/>
        <v>19979417</v>
      </c>
      <c r="S31" s="43">
        <f t="shared" si="8"/>
        <v>0</v>
      </c>
      <c r="T31" s="151">
        <v>0</v>
      </c>
      <c r="U31" s="11"/>
      <c r="V31" s="151">
        <f t="shared" si="33"/>
        <v>7872526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164</v>
      </c>
      <c r="C32" s="150"/>
      <c r="D32" s="43">
        <f t="shared" si="2"/>
        <v>0</v>
      </c>
      <c r="E32" s="151"/>
      <c r="F32" s="43">
        <f t="shared" si="3"/>
        <v>0</v>
      </c>
      <c r="G32" s="152"/>
      <c r="H32" s="43">
        <f t="shared" si="4"/>
        <v>0</v>
      </c>
      <c r="I32" s="21">
        <f>F32+H32</f>
        <v>0</v>
      </c>
      <c r="J32" s="151"/>
      <c r="K32" s="43">
        <f t="shared" si="13"/>
        <v>0</v>
      </c>
      <c r="L32" s="154"/>
      <c r="M32" s="43">
        <f t="shared" si="6"/>
        <v>0</v>
      </c>
      <c r="N32" s="151">
        <f t="shared" si="30"/>
        <v>6273290</v>
      </c>
      <c r="O32" s="43">
        <f t="shared" si="14"/>
        <v>0</v>
      </c>
      <c r="P32" s="154">
        <f t="shared" si="31"/>
        <v>5843275</v>
      </c>
      <c r="Q32" s="43">
        <f t="shared" si="7"/>
        <v>0</v>
      </c>
      <c r="R32" s="151">
        <f t="shared" si="32"/>
        <v>19979417</v>
      </c>
      <c r="S32" s="43">
        <f t="shared" si="8"/>
        <v>0</v>
      </c>
      <c r="T32" s="151">
        <v>0</v>
      </c>
      <c r="U32" s="11"/>
      <c r="V32" s="151">
        <f t="shared" si="33"/>
        <v>7872526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164</v>
      </c>
      <c r="C33" s="150"/>
      <c r="D33" s="43">
        <f t="shared" si="2"/>
        <v>0</v>
      </c>
      <c r="E33" s="151"/>
      <c r="F33" s="43">
        <f t="shared" si="3"/>
        <v>0</v>
      </c>
      <c r="G33" s="152"/>
      <c r="H33" s="43">
        <f t="shared" si="4"/>
        <v>0</v>
      </c>
      <c r="I33" s="21">
        <f>F33+H33</f>
        <v>0</v>
      </c>
      <c r="J33" s="151"/>
      <c r="K33" s="43">
        <f t="shared" si="13"/>
        <v>0</v>
      </c>
      <c r="L33" s="154"/>
      <c r="M33" s="43">
        <f t="shared" si="6"/>
        <v>0</v>
      </c>
      <c r="N33" s="151">
        <f t="shared" si="30"/>
        <v>6273290</v>
      </c>
      <c r="O33" s="43">
        <f t="shared" si="14"/>
        <v>0</v>
      </c>
      <c r="P33" s="154">
        <f t="shared" si="31"/>
        <v>5843275</v>
      </c>
      <c r="Q33" s="43">
        <f t="shared" si="7"/>
        <v>0</v>
      </c>
      <c r="R33" s="151">
        <f t="shared" si="32"/>
        <v>19979417</v>
      </c>
      <c r="S33" s="43">
        <f t="shared" si="8"/>
        <v>0</v>
      </c>
      <c r="T33" s="151">
        <v>0</v>
      </c>
      <c r="U33" s="11"/>
      <c r="V33" s="151">
        <f t="shared" si="33"/>
        <v>7872526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5835</v>
      </c>
      <c r="C34" s="142"/>
      <c r="D34" s="142">
        <f>SUM(D3:D33)</f>
        <v>8480</v>
      </c>
      <c r="E34" s="60">
        <v>0</v>
      </c>
      <c r="F34" s="60">
        <f>SUM(F3:F33)</f>
        <v>207584</v>
      </c>
      <c r="G34" s="60">
        <v>0</v>
      </c>
      <c r="H34" s="60">
        <f>SUM(H3:H33)</f>
        <v>952503</v>
      </c>
      <c r="I34" s="60">
        <f>SUM(I6:I33)</f>
        <v>1009983</v>
      </c>
      <c r="J34" s="60">
        <v>0</v>
      </c>
      <c r="K34" s="60">
        <f>SUM(K3:K33)</f>
        <v>211664</v>
      </c>
      <c r="L34" s="60">
        <v>0</v>
      </c>
      <c r="M34" s="60">
        <f>SUM(M3:M33)</f>
        <v>123961</v>
      </c>
      <c r="N34" s="60">
        <v>0</v>
      </c>
      <c r="O34" s="60">
        <f>SUM(O3:O33)</f>
        <v>80432</v>
      </c>
      <c r="P34" s="60">
        <v>0</v>
      </c>
      <c r="Q34" s="60">
        <f>SUM(Q3:Q33)</f>
        <v>110124</v>
      </c>
      <c r="R34" s="60">
        <v>0</v>
      </c>
      <c r="S34" s="60">
        <f>SUM(S3:S33)</f>
        <v>233025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238449</v>
      </c>
      <c r="X34" s="60">
        <f>SUM(X6:X33)</f>
        <v>868598</v>
      </c>
      <c r="Y34" s="60">
        <f>SUM(Y3:Y33)</f>
        <v>162432</v>
      </c>
      <c r="Z34" s="60">
        <f>SUM(Z3:Z33)</f>
        <v>142020.31721280003</v>
      </c>
      <c r="AA34" s="60">
        <f>SUM(AA3:AA33)</f>
        <v>562150.27146720013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K26" sqref="K26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v>436651</v>
      </c>
      <c r="C13" s="43">
        <f t="shared" si="8"/>
        <v>1180</v>
      </c>
      <c r="D13" s="3">
        <v>1789</v>
      </c>
      <c r="E13" s="43">
        <f t="shared" si="3"/>
        <v>850</v>
      </c>
      <c r="F13" s="3">
        <v>7493200</v>
      </c>
      <c r="G13" s="43">
        <f t="shared" si="6"/>
        <v>267.3</v>
      </c>
      <c r="H13" s="3">
        <v>768156</v>
      </c>
      <c r="I13" s="48">
        <f t="shared" si="7"/>
        <v>5.859</v>
      </c>
      <c r="J13" s="21">
        <f t="shared" si="4"/>
        <v>2303.1590000000001</v>
      </c>
      <c r="K13" s="22">
        <f t="shared" si="5"/>
        <v>13496.511740000002</v>
      </c>
    </row>
    <row r="14" spans="1:14" ht="16.5" thickBot="1" x14ac:dyDescent="0.3">
      <c r="A14" s="10">
        <v>44573</v>
      </c>
      <c r="B14" s="3">
        <v>436759</v>
      </c>
      <c r="C14" s="43">
        <f t="shared" si="8"/>
        <v>1080</v>
      </c>
      <c r="D14" s="3">
        <v>1858</v>
      </c>
      <c r="E14" s="43">
        <f t="shared" si="3"/>
        <v>690</v>
      </c>
      <c r="F14" s="3">
        <v>7503600</v>
      </c>
      <c r="G14" s="43">
        <f t="shared" si="6"/>
        <v>280.8</v>
      </c>
      <c r="H14" s="3">
        <v>768331</v>
      </c>
      <c r="I14" s="48">
        <f t="shared" si="7"/>
        <v>4.7249999999999996</v>
      </c>
      <c r="J14" s="21">
        <f t="shared" si="4"/>
        <v>2055.5250000000001</v>
      </c>
      <c r="K14" s="22">
        <f t="shared" si="5"/>
        <v>12045.3765</v>
      </c>
    </row>
    <row r="15" spans="1:14" ht="16.5" thickBot="1" x14ac:dyDescent="0.3">
      <c r="A15" s="10">
        <v>44574</v>
      </c>
      <c r="B15" s="3">
        <v>436867</v>
      </c>
      <c r="C15" s="43">
        <f t="shared" si="8"/>
        <v>1080</v>
      </c>
      <c r="D15" s="3">
        <v>1950</v>
      </c>
      <c r="E15" s="43">
        <f t="shared" si="3"/>
        <v>920</v>
      </c>
      <c r="F15" s="3">
        <v>7513900</v>
      </c>
      <c r="G15" s="43">
        <f t="shared" si="6"/>
        <v>278.10000000000002</v>
      </c>
      <c r="H15" s="3">
        <v>768486</v>
      </c>
      <c r="I15" s="48">
        <f t="shared" si="7"/>
        <v>4.1849999999999996</v>
      </c>
      <c r="J15" s="21">
        <f t="shared" si="4"/>
        <v>2282.2849999999999</v>
      </c>
      <c r="K15" s="22">
        <f t="shared" si="5"/>
        <v>13374.1901</v>
      </c>
    </row>
    <row r="16" spans="1:14" ht="16.5" thickBot="1" x14ac:dyDescent="0.3">
      <c r="A16" s="10">
        <v>44575</v>
      </c>
      <c r="B16" s="3">
        <v>437014</v>
      </c>
      <c r="C16" s="43">
        <f t="shared" si="8"/>
        <v>1470</v>
      </c>
      <c r="D16" s="3">
        <v>2041</v>
      </c>
      <c r="E16" s="43">
        <f t="shared" si="3"/>
        <v>910</v>
      </c>
      <c r="F16" s="3">
        <v>7524000</v>
      </c>
      <c r="G16" s="43">
        <f t="shared" si="6"/>
        <v>272.7</v>
      </c>
      <c r="H16" s="3">
        <v>768659</v>
      </c>
      <c r="I16" s="48">
        <f t="shared" si="7"/>
        <v>4.6710000000000003</v>
      </c>
      <c r="J16" s="21">
        <f t="shared" si="4"/>
        <v>2657.3709999999996</v>
      </c>
      <c r="K16" s="22">
        <f t="shared" si="5"/>
        <v>15572.194059999998</v>
      </c>
    </row>
    <row r="17" spans="1:25" ht="16.5" thickBot="1" x14ac:dyDescent="0.3">
      <c r="A17" s="10">
        <v>44576</v>
      </c>
      <c r="B17" s="3">
        <v>437159</v>
      </c>
      <c r="C17" s="43">
        <f t="shared" si="8"/>
        <v>1450</v>
      </c>
      <c r="D17" s="3">
        <v>2142</v>
      </c>
      <c r="E17" s="43">
        <f t="shared" si="3"/>
        <v>1010</v>
      </c>
      <c r="F17" s="3">
        <v>7534100</v>
      </c>
      <c r="G17" s="43">
        <f t="shared" si="6"/>
        <v>272.7</v>
      </c>
      <c r="H17" s="3">
        <v>768790</v>
      </c>
      <c r="I17" s="48">
        <f t="shared" si="7"/>
        <v>3.5369999999999999</v>
      </c>
      <c r="J17" s="21">
        <f t="shared" si="4"/>
        <v>2736.2369999999996</v>
      </c>
      <c r="K17" s="22">
        <f t="shared" si="5"/>
        <v>16034.348819999999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v>437254</v>
      </c>
      <c r="C18" s="43">
        <f t="shared" si="8"/>
        <v>950</v>
      </c>
      <c r="D18" s="3">
        <v>2207</v>
      </c>
      <c r="E18" s="43">
        <f t="shared" si="3"/>
        <v>650</v>
      </c>
      <c r="F18" s="3">
        <v>7543000</v>
      </c>
      <c r="G18" s="43">
        <f t="shared" si="6"/>
        <v>240.3</v>
      </c>
      <c r="H18" s="3">
        <v>769043</v>
      </c>
      <c r="I18" s="48">
        <f t="shared" si="7"/>
        <v>6.8309999999999995</v>
      </c>
      <c r="J18" s="21">
        <f t="shared" si="4"/>
        <v>1847.1309999999999</v>
      </c>
      <c r="K18" s="22">
        <f t="shared" si="5"/>
        <v>10824.18766</v>
      </c>
      <c r="Q18" t="s">
        <v>43</v>
      </c>
    </row>
    <row r="19" spans="1:25" ht="16.5" thickBot="1" x14ac:dyDescent="0.3">
      <c r="A19" s="10">
        <v>44578</v>
      </c>
      <c r="B19" s="3">
        <v>437329</v>
      </c>
      <c r="C19" s="43">
        <f t="shared" si="8"/>
        <v>750</v>
      </c>
      <c r="D19" s="3">
        <v>2243</v>
      </c>
      <c r="E19" s="43">
        <f t="shared" si="3"/>
        <v>360</v>
      </c>
      <c r="F19" s="3">
        <v>7552200</v>
      </c>
      <c r="G19" s="43">
        <f t="shared" si="6"/>
        <v>248.4</v>
      </c>
      <c r="H19" s="3">
        <v>769230</v>
      </c>
      <c r="I19" s="48">
        <f t="shared" si="7"/>
        <v>5.0490000000000004</v>
      </c>
      <c r="J19" s="21">
        <f t="shared" si="4"/>
        <v>1363.4490000000001</v>
      </c>
      <c r="K19" s="22">
        <f t="shared" si="5"/>
        <v>7989.8111400000007</v>
      </c>
      <c r="Q19" t="s">
        <v>12</v>
      </c>
    </row>
    <row r="20" spans="1:25" ht="16.5" thickBot="1" x14ac:dyDescent="0.3">
      <c r="A20" s="10">
        <v>44579</v>
      </c>
      <c r="B20" s="3">
        <v>437402</v>
      </c>
      <c r="C20" s="43">
        <f t="shared" si="8"/>
        <v>730</v>
      </c>
      <c r="D20" s="3">
        <v>2284</v>
      </c>
      <c r="E20" s="43">
        <f t="shared" si="3"/>
        <v>410</v>
      </c>
      <c r="F20" s="3">
        <v>7562100</v>
      </c>
      <c r="G20" s="43">
        <f t="shared" si="6"/>
        <v>267.3</v>
      </c>
      <c r="H20" s="3">
        <v>769414</v>
      </c>
      <c r="I20" s="48">
        <f t="shared" si="7"/>
        <v>4.968</v>
      </c>
      <c r="J20" s="21">
        <f t="shared" si="4"/>
        <v>1412.268</v>
      </c>
      <c r="K20" s="22">
        <f t="shared" si="5"/>
        <v>8275.89048</v>
      </c>
    </row>
    <row r="21" spans="1:25" ht="16.5" thickBot="1" x14ac:dyDescent="0.3">
      <c r="A21" s="10">
        <v>44580</v>
      </c>
      <c r="B21" s="3">
        <v>437483</v>
      </c>
      <c r="C21" s="43">
        <f t="shared" si="8"/>
        <v>810</v>
      </c>
      <c r="D21" s="3">
        <v>2327</v>
      </c>
      <c r="E21" s="43">
        <f t="shared" si="3"/>
        <v>430</v>
      </c>
      <c r="F21" s="3">
        <v>7572600</v>
      </c>
      <c r="G21" s="43">
        <f t="shared" si="6"/>
        <v>283.5</v>
      </c>
      <c r="H21" s="3">
        <v>769602</v>
      </c>
      <c r="I21" s="48">
        <f t="shared" si="7"/>
        <v>5.0759999999999996</v>
      </c>
      <c r="J21" s="21">
        <f t="shared" si="4"/>
        <v>1528.576</v>
      </c>
      <c r="K21" s="22">
        <f t="shared" si="5"/>
        <v>8957.4553599999999</v>
      </c>
    </row>
    <row r="22" spans="1:25" ht="16.5" thickBot="1" x14ac:dyDescent="0.3">
      <c r="A22" s="10">
        <v>44581</v>
      </c>
      <c r="B22" s="3">
        <v>437564</v>
      </c>
      <c r="C22" s="43">
        <f t="shared" si="8"/>
        <v>810</v>
      </c>
      <c r="D22" s="3">
        <v>2370</v>
      </c>
      <c r="E22" s="43">
        <f t="shared" si="3"/>
        <v>430</v>
      </c>
      <c r="F22" s="3">
        <v>7583100</v>
      </c>
      <c r="G22" s="43">
        <f t="shared" si="6"/>
        <v>283.5</v>
      </c>
      <c r="H22" s="3">
        <v>769790</v>
      </c>
      <c r="I22" s="48">
        <f t="shared" si="7"/>
        <v>5.0759999999999996</v>
      </c>
      <c r="J22" s="21">
        <f t="shared" si="4"/>
        <v>1528.576</v>
      </c>
      <c r="K22" s="22">
        <f t="shared" si="5"/>
        <v>8957.4553599999999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v>437643</v>
      </c>
      <c r="C23" s="43">
        <f t="shared" si="8"/>
        <v>790</v>
      </c>
      <c r="D23" s="3">
        <v>2419</v>
      </c>
      <c r="E23" s="43">
        <f t="shared" si="3"/>
        <v>490</v>
      </c>
      <c r="F23" s="3">
        <v>7593100</v>
      </c>
      <c r="G23" s="43">
        <f t="shared" si="6"/>
        <v>270</v>
      </c>
      <c r="H23" s="3">
        <v>769940</v>
      </c>
      <c r="I23" s="48">
        <f t="shared" si="7"/>
        <v>4.05</v>
      </c>
      <c r="J23" s="21">
        <f t="shared" si="4"/>
        <v>1554.05</v>
      </c>
      <c r="K23" s="22">
        <f t="shared" si="5"/>
        <v>9106.7330000000002</v>
      </c>
      <c r="Q23" t="s">
        <v>12</v>
      </c>
    </row>
    <row r="24" spans="1:25" ht="16.5" thickBot="1" x14ac:dyDescent="0.3">
      <c r="A24" s="10">
        <v>44583</v>
      </c>
      <c r="B24" s="3">
        <v>437723</v>
      </c>
      <c r="C24" s="43">
        <f t="shared" si="8"/>
        <v>800</v>
      </c>
      <c r="D24" s="3">
        <v>2465</v>
      </c>
      <c r="E24" s="43">
        <f t="shared" si="3"/>
        <v>460</v>
      </c>
      <c r="F24" s="3">
        <v>7602400</v>
      </c>
      <c r="G24" s="43">
        <f t="shared" si="6"/>
        <v>251.1</v>
      </c>
      <c r="H24" s="3">
        <v>770133</v>
      </c>
      <c r="I24" s="48">
        <f t="shared" si="7"/>
        <v>5.2110000000000003</v>
      </c>
      <c r="J24" s="21">
        <f t="shared" si="4"/>
        <v>1516.3109999999999</v>
      </c>
      <c r="K24" s="22">
        <f t="shared" si="5"/>
        <v>8885.5824599999996</v>
      </c>
    </row>
    <row r="25" spans="1:25" ht="17.25" customHeight="1" thickBot="1" x14ac:dyDescent="0.4">
      <c r="A25" s="10">
        <v>44584</v>
      </c>
      <c r="B25" s="3">
        <v>437802</v>
      </c>
      <c r="C25" s="43">
        <f t="shared" si="8"/>
        <v>790</v>
      </c>
      <c r="D25" s="3">
        <v>2507</v>
      </c>
      <c r="E25" s="43">
        <f t="shared" si="3"/>
        <v>420</v>
      </c>
      <c r="F25" s="3">
        <v>7611400</v>
      </c>
      <c r="G25" s="43">
        <f t="shared" si="6"/>
        <v>243</v>
      </c>
      <c r="H25" s="3">
        <v>770332</v>
      </c>
      <c r="I25" s="48">
        <f t="shared" si="7"/>
        <v>5.3730000000000002</v>
      </c>
      <c r="J25" s="21">
        <f t="shared" si="4"/>
        <v>1458.373</v>
      </c>
      <c r="K25" s="22">
        <f t="shared" si="5"/>
        <v>8546.0657800000008</v>
      </c>
      <c r="Y25" s="59"/>
    </row>
    <row r="26" spans="1:25" ht="16.5" thickBot="1" x14ac:dyDescent="0.3">
      <c r="A26" s="10">
        <v>44585</v>
      </c>
      <c r="B26" s="3">
        <v>437874</v>
      </c>
      <c r="C26" s="43">
        <f t="shared" si="8"/>
        <v>720</v>
      </c>
      <c r="D26" s="3">
        <v>2548</v>
      </c>
      <c r="E26" s="43">
        <f t="shared" si="3"/>
        <v>410</v>
      </c>
      <c r="F26" s="3">
        <v>7619700</v>
      </c>
      <c r="G26" s="43">
        <f t="shared" si="6"/>
        <v>224.1</v>
      </c>
      <c r="H26" s="3">
        <v>770531</v>
      </c>
      <c r="I26" s="48">
        <f t="shared" si="7"/>
        <v>5.3730000000000002</v>
      </c>
      <c r="J26" s="21">
        <f t="shared" si="4"/>
        <v>1359.473</v>
      </c>
      <c r="K26" s="22">
        <f t="shared" si="5"/>
        <v>7966.5117799999998</v>
      </c>
      <c r="L26" t="s">
        <v>12</v>
      </c>
    </row>
    <row r="27" spans="1:25" ht="16.5" thickBot="1" x14ac:dyDescent="0.3">
      <c r="A27" s="10">
        <v>44586</v>
      </c>
      <c r="B27" s="3">
        <f t="shared" ref="B26:B33" si="9">B26</f>
        <v>437874</v>
      </c>
      <c r="C27" s="43">
        <f t="shared" si="8"/>
        <v>0</v>
      </c>
      <c r="D27" s="3">
        <f t="shared" ref="D26:D33" si="10">D26</f>
        <v>2548</v>
      </c>
      <c r="E27" s="43">
        <f t="shared" si="3"/>
        <v>0</v>
      </c>
      <c r="F27" s="3">
        <f t="shared" ref="F26:F33" si="11">F26</f>
        <v>7619700</v>
      </c>
      <c r="G27" s="43">
        <f t="shared" si="6"/>
        <v>0</v>
      </c>
      <c r="H27" s="3">
        <f t="shared" ref="H26:H33" si="12">H26</f>
        <v>770531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437874</v>
      </c>
      <c r="C28" s="43">
        <f t="shared" si="8"/>
        <v>0</v>
      </c>
      <c r="D28" s="3">
        <f t="shared" si="10"/>
        <v>2548</v>
      </c>
      <c r="E28" s="43">
        <f t="shared" si="3"/>
        <v>0</v>
      </c>
      <c r="F28" s="3">
        <f t="shared" si="11"/>
        <v>7619700</v>
      </c>
      <c r="G28" s="43">
        <f t="shared" si="6"/>
        <v>0</v>
      </c>
      <c r="H28" s="3">
        <f t="shared" si="12"/>
        <v>770531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437874</v>
      </c>
      <c r="C29" s="43">
        <f t="shared" si="8"/>
        <v>0</v>
      </c>
      <c r="D29" s="3">
        <f t="shared" si="10"/>
        <v>2548</v>
      </c>
      <c r="E29" s="43">
        <f t="shared" si="3"/>
        <v>0</v>
      </c>
      <c r="F29" s="3">
        <f t="shared" si="11"/>
        <v>7619700</v>
      </c>
      <c r="G29" s="43">
        <f t="shared" si="6"/>
        <v>0</v>
      </c>
      <c r="H29" s="3">
        <f t="shared" si="12"/>
        <v>770531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437874</v>
      </c>
      <c r="C30" s="43">
        <f t="shared" si="8"/>
        <v>0</v>
      </c>
      <c r="D30" s="3">
        <f t="shared" si="10"/>
        <v>2548</v>
      </c>
      <c r="E30" s="43">
        <f t="shared" si="3"/>
        <v>0</v>
      </c>
      <c r="F30" s="3">
        <f t="shared" si="11"/>
        <v>7619700</v>
      </c>
      <c r="G30" s="43">
        <f t="shared" si="6"/>
        <v>0</v>
      </c>
      <c r="H30" s="3">
        <f t="shared" si="12"/>
        <v>770531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437874</v>
      </c>
      <c r="C31" s="43">
        <f t="shared" si="8"/>
        <v>0</v>
      </c>
      <c r="D31" s="3">
        <f t="shared" si="10"/>
        <v>2548</v>
      </c>
      <c r="E31" s="43">
        <f t="shared" si="3"/>
        <v>0</v>
      </c>
      <c r="F31" s="3">
        <f t="shared" si="11"/>
        <v>7619700</v>
      </c>
      <c r="G31" s="43">
        <f t="shared" si="6"/>
        <v>0</v>
      </c>
      <c r="H31" s="3">
        <f t="shared" si="12"/>
        <v>770531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437874</v>
      </c>
      <c r="C32" s="43">
        <f t="shared" si="8"/>
        <v>0</v>
      </c>
      <c r="D32" s="3">
        <f t="shared" si="10"/>
        <v>2548</v>
      </c>
      <c r="E32" s="43">
        <f t="shared" si="3"/>
        <v>0</v>
      </c>
      <c r="F32" s="3">
        <f t="shared" si="11"/>
        <v>7619700</v>
      </c>
      <c r="G32" s="43">
        <f t="shared" si="6"/>
        <v>0</v>
      </c>
      <c r="H32" s="3">
        <f t="shared" si="12"/>
        <v>770531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437874</v>
      </c>
      <c r="C33" s="43">
        <f t="shared" si="8"/>
        <v>0</v>
      </c>
      <c r="D33" s="3">
        <f t="shared" si="10"/>
        <v>2548</v>
      </c>
      <c r="E33" s="43">
        <f t="shared" si="3"/>
        <v>0</v>
      </c>
      <c r="F33" s="3">
        <f t="shared" si="11"/>
        <v>7619700</v>
      </c>
      <c r="G33" s="43">
        <f t="shared" si="6"/>
        <v>0</v>
      </c>
      <c r="H33" s="3">
        <f t="shared" si="12"/>
        <v>770531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20020</v>
      </c>
      <c r="D34" s="3"/>
      <c r="E34" s="60">
        <f>SUM(E4:E33)</f>
        <v>12040</v>
      </c>
      <c r="F34" s="3"/>
      <c r="G34" s="60">
        <f>SUM(G4:G33)</f>
        <v>6131.7000000000007</v>
      </c>
      <c r="H34" s="3"/>
      <c r="I34" s="60">
        <f>SUM(I4:I33)</f>
        <v>113.61600000000001</v>
      </c>
      <c r="J34" s="60">
        <f>SUM(J4:J33)</f>
        <v>38305.316000000006</v>
      </c>
      <c r="K34" s="60">
        <f>SUM(K4:K33)</f>
        <v>224469.15176000001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C26" sqref="C26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v>17904696</v>
      </c>
      <c r="C13" s="49">
        <f t="shared" si="0"/>
        <v>3372</v>
      </c>
    </row>
    <row r="14" spans="1:9" ht="24" thickBot="1" x14ac:dyDescent="0.4">
      <c r="A14" s="10">
        <v>44573</v>
      </c>
      <c r="B14" s="137">
        <v>17906945</v>
      </c>
      <c r="C14" s="49">
        <f t="shared" si="0"/>
        <v>2249</v>
      </c>
    </row>
    <row r="15" spans="1:9" ht="24" thickBot="1" x14ac:dyDescent="0.4">
      <c r="A15" s="10">
        <v>44574</v>
      </c>
      <c r="B15" s="137">
        <v>17909075</v>
      </c>
      <c r="C15" s="49">
        <f t="shared" si="0"/>
        <v>2130</v>
      </c>
      <c r="I15" t="s">
        <v>12</v>
      </c>
    </row>
    <row r="16" spans="1:9" ht="26.25" customHeight="1" thickBot="1" x14ac:dyDescent="0.4">
      <c r="A16" s="10">
        <v>44575</v>
      </c>
      <c r="B16" s="137">
        <v>17914226</v>
      </c>
      <c r="C16" s="49">
        <f t="shared" si="0"/>
        <v>5151</v>
      </c>
    </row>
    <row r="17" spans="1:9" ht="25.5" customHeight="1" thickBot="1" x14ac:dyDescent="0.4">
      <c r="A17" s="10">
        <v>44576</v>
      </c>
      <c r="B17" s="137">
        <v>17917474</v>
      </c>
      <c r="C17" s="49">
        <f t="shared" si="0"/>
        <v>3248</v>
      </c>
    </row>
    <row r="18" spans="1:9" ht="24" thickBot="1" x14ac:dyDescent="0.4">
      <c r="A18" s="10">
        <v>44577</v>
      </c>
      <c r="B18" s="137">
        <v>17920242</v>
      </c>
      <c r="C18" s="49">
        <f t="shared" si="0"/>
        <v>2768</v>
      </c>
      <c r="I18" s="39"/>
    </row>
    <row r="19" spans="1:9" ht="24" thickBot="1" x14ac:dyDescent="0.4">
      <c r="A19" s="10">
        <v>44578</v>
      </c>
      <c r="B19" s="137">
        <v>17923382</v>
      </c>
      <c r="C19" s="49">
        <f t="shared" si="0"/>
        <v>3140</v>
      </c>
    </row>
    <row r="20" spans="1:9" ht="24" thickBot="1" x14ac:dyDescent="0.4">
      <c r="A20" s="10">
        <v>44579</v>
      </c>
      <c r="B20" s="137">
        <v>17925898</v>
      </c>
      <c r="C20" s="49">
        <f t="shared" si="0"/>
        <v>2516</v>
      </c>
    </row>
    <row r="21" spans="1:9" ht="24" thickBot="1" x14ac:dyDescent="0.4">
      <c r="A21" s="10">
        <v>44580</v>
      </c>
      <c r="B21" s="137">
        <v>17931056</v>
      </c>
      <c r="C21" s="49">
        <f t="shared" si="0"/>
        <v>5158</v>
      </c>
    </row>
    <row r="22" spans="1:9" ht="24" thickBot="1" x14ac:dyDescent="0.4">
      <c r="A22" s="10">
        <v>44581</v>
      </c>
      <c r="B22" s="137">
        <v>17934779</v>
      </c>
      <c r="C22" s="49">
        <f t="shared" si="0"/>
        <v>3723</v>
      </c>
    </row>
    <row r="23" spans="1:9" ht="24" thickBot="1" x14ac:dyDescent="0.4">
      <c r="A23" s="10">
        <v>44582</v>
      </c>
      <c r="B23" s="137">
        <v>17937599</v>
      </c>
      <c r="C23" s="49">
        <f t="shared" si="0"/>
        <v>2820</v>
      </c>
      <c r="F23" t="s">
        <v>12</v>
      </c>
    </row>
    <row r="24" spans="1:9" ht="24" thickBot="1" x14ac:dyDescent="0.4">
      <c r="A24" s="10">
        <v>44583</v>
      </c>
      <c r="B24" s="137">
        <v>17941905</v>
      </c>
      <c r="C24" s="49">
        <f t="shared" si="0"/>
        <v>4306</v>
      </c>
      <c r="E24" t="s">
        <v>12</v>
      </c>
    </row>
    <row r="25" spans="1:9" ht="24" thickBot="1" x14ac:dyDescent="0.4">
      <c r="A25" s="10">
        <v>44584</v>
      </c>
      <c r="B25" s="137">
        <v>17945715</v>
      </c>
      <c r="C25" s="49">
        <f t="shared" si="0"/>
        <v>3810</v>
      </c>
    </row>
    <row r="26" spans="1:9" ht="24" thickBot="1" x14ac:dyDescent="0.4">
      <c r="A26" s="10">
        <v>44585</v>
      </c>
      <c r="B26" s="137">
        <v>17949127</v>
      </c>
      <c r="C26" s="49">
        <f t="shared" si="0"/>
        <v>3412</v>
      </c>
    </row>
    <row r="27" spans="1:9" ht="24" thickBot="1" x14ac:dyDescent="0.4">
      <c r="A27" s="10">
        <v>44586</v>
      </c>
      <c r="B27" s="137">
        <f t="shared" ref="B26:B33" si="1">B26</f>
        <v>17949127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17949127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17949127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17949127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17949127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17949127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17949127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75605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tabSelected="1" topLeftCell="L1" zoomScaleNormal="100" workbookViewId="0">
      <pane ySplit="1" topLeftCell="A4" activePane="bottomLeft" state="frozen"/>
      <selection pane="bottomLeft" activeCell="AD26" sqref="AD26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10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v>22811.072</v>
      </c>
      <c r="C13" s="48">
        <f t="shared" si="23"/>
        <v>2.9350000000013097</v>
      </c>
      <c r="D13" s="32">
        <f t="shared" si="24"/>
        <v>5576.5000000024884</v>
      </c>
      <c r="E13" s="1">
        <v>4090.357</v>
      </c>
      <c r="F13" s="48">
        <f t="shared" si="25"/>
        <v>0.84999999999990905</v>
      </c>
      <c r="G13" s="32">
        <f t="shared" si="26"/>
        <v>1614.999999999827</v>
      </c>
      <c r="H13" s="1">
        <v>4602</v>
      </c>
      <c r="I13" s="48">
        <f t="shared" si="27"/>
        <v>6</v>
      </c>
      <c r="J13" s="32">
        <f t="shared" si="28"/>
        <v>11399.999999999998</v>
      </c>
      <c r="K13" s="7">
        <v>13889.7</v>
      </c>
      <c r="L13" s="48">
        <f t="shared" si="29"/>
        <v>0</v>
      </c>
      <c r="M13" s="32">
        <f t="shared" si="30"/>
        <v>0</v>
      </c>
      <c r="N13" s="7">
        <v>3382.0770000000002</v>
      </c>
      <c r="O13" s="48">
        <f t="shared" si="31"/>
        <v>1.4290000000000873</v>
      </c>
      <c r="P13" s="32">
        <f t="shared" si="32"/>
        <v>2715.1000000001659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11.214000000001306</v>
      </c>
      <c r="U13" s="34">
        <f t="shared" si="35"/>
        <v>21306.60000000248</v>
      </c>
      <c r="W13" s="162">
        <v>44572</v>
      </c>
      <c r="X13" s="163">
        <v>163681</v>
      </c>
      <c r="Y13" s="169">
        <f t="shared" si="39"/>
        <v>13</v>
      </c>
      <c r="Z13" s="163">
        <v>8287</v>
      </c>
      <c r="AA13" s="169">
        <f t="shared" si="44"/>
        <v>7</v>
      </c>
      <c r="AB13" s="163">
        <f t="shared" si="43"/>
        <v>19.420000000000002</v>
      </c>
      <c r="AC13" s="169">
        <f t="shared" si="46"/>
        <v>0</v>
      </c>
      <c r="AD13" s="163">
        <v>118</v>
      </c>
      <c r="AE13" s="169">
        <f t="shared" si="37"/>
        <v>4</v>
      </c>
      <c r="AF13" s="163">
        <v>5375</v>
      </c>
      <c r="AG13" s="169">
        <f t="shared" si="38"/>
        <v>15</v>
      </c>
    </row>
    <row r="14" spans="1:33" ht="16.5" thickBot="1" x14ac:dyDescent="0.25">
      <c r="A14" s="10">
        <v>44573</v>
      </c>
      <c r="B14" s="165">
        <v>22812.421999999999</v>
      </c>
      <c r="C14" s="48">
        <f t="shared" si="23"/>
        <v>1.3499999999985448</v>
      </c>
      <c r="D14" s="32">
        <f t="shared" si="24"/>
        <v>2564.9999999972351</v>
      </c>
      <c r="E14" s="1">
        <v>4090.748</v>
      </c>
      <c r="F14" s="48">
        <f t="shared" si="25"/>
        <v>0.3910000000000764</v>
      </c>
      <c r="G14" s="32">
        <f t="shared" si="26"/>
        <v>742.90000000014516</v>
      </c>
      <c r="H14" s="1">
        <v>4605</v>
      </c>
      <c r="I14" s="48">
        <f t="shared" si="27"/>
        <v>3</v>
      </c>
      <c r="J14" s="32">
        <f t="shared" si="28"/>
        <v>5699.9999999999991</v>
      </c>
      <c r="K14" s="7">
        <v>13889.7</v>
      </c>
      <c r="L14" s="48">
        <f t="shared" si="29"/>
        <v>0</v>
      </c>
      <c r="M14" s="32">
        <f t="shared" si="30"/>
        <v>0</v>
      </c>
      <c r="N14" s="7">
        <v>3382.6869999999999</v>
      </c>
      <c r="O14" s="48">
        <f>IF((N14-N13)&lt;0,"0",(N14-N13))</f>
        <v>0.60999999999967258</v>
      </c>
      <c r="P14" s="32">
        <f t="shared" si="32"/>
        <v>1158.9999999993779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5.3509999999982938</v>
      </c>
      <c r="U14" s="34">
        <f t="shared" si="35"/>
        <v>10166.899999996758</v>
      </c>
      <c r="W14" s="162">
        <v>44573</v>
      </c>
      <c r="X14" s="163">
        <v>163699</v>
      </c>
      <c r="Y14" s="169">
        <f t="shared" si="39"/>
        <v>18</v>
      </c>
      <c r="Z14" s="163">
        <v>8291</v>
      </c>
      <c r="AA14" s="169">
        <f t="shared" si="44"/>
        <v>4</v>
      </c>
      <c r="AB14" s="163">
        <f t="shared" si="43"/>
        <v>19.420000000000002</v>
      </c>
      <c r="AC14" s="169">
        <f t="shared" si="46"/>
        <v>0</v>
      </c>
      <c r="AD14" s="163">
        <v>120</v>
      </c>
      <c r="AE14" s="169">
        <f t="shared" si="37"/>
        <v>2</v>
      </c>
      <c r="AF14" s="163">
        <v>5382</v>
      </c>
      <c r="AG14" s="169">
        <f t="shared" si="38"/>
        <v>7</v>
      </c>
    </row>
    <row r="15" spans="1:33" ht="16.5" thickBot="1" x14ac:dyDescent="0.25">
      <c r="A15" s="10">
        <v>44574</v>
      </c>
      <c r="B15" s="165">
        <v>22814.670999999998</v>
      </c>
      <c r="C15" s="48">
        <f t="shared" ref="C15" si="47">IF((B15-B14)&lt;0,"0",(B15-B14))</f>
        <v>2.2489999999997963</v>
      </c>
      <c r="D15" s="32">
        <f t="shared" ref="D15" si="48">C15*1.9*1000</f>
        <v>4273.0999999996129</v>
      </c>
      <c r="E15" s="1">
        <v>4091.3719999999998</v>
      </c>
      <c r="F15" s="48">
        <f t="shared" ref="F15" si="49">IF((E15-E14)&lt;0,"0",(E15-E14))</f>
        <v>0.62399999999979627</v>
      </c>
      <c r="G15" s="32">
        <f t="shared" ref="G15" si="50">F15*1.9*1000</f>
        <v>1185.5999999996129</v>
      </c>
      <c r="H15" s="1">
        <v>4609</v>
      </c>
      <c r="I15" s="48">
        <f t="shared" ref="I15" si="51">IF((H15-H14)&lt;0,"0",(H15-H14))</f>
        <v>4</v>
      </c>
      <c r="J15" s="32">
        <f t="shared" ref="J15" si="52">I15*1.9*1000</f>
        <v>7600</v>
      </c>
      <c r="K15" s="7">
        <v>13889.7</v>
      </c>
      <c r="L15" s="48">
        <f t="shared" ref="L15" si="53">IF((K15-K14)&lt;0,"0",(K15-K14))</f>
        <v>0</v>
      </c>
      <c r="M15" s="32">
        <f t="shared" ref="M15" si="54">L15*1.9*1000</f>
        <v>0</v>
      </c>
      <c r="N15" s="7">
        <v>3383.694</v>
      </c>
      <c r="O15" s="48">
        <f>IF((N15-N14)&lt;0,"0",(N15-N14))</f>
        <v>1.0070000000000618</v>
      </c>
      <c r="P15" s="32">
        <f t="shared" ref="P15" si="55">O15*1.9*1000</f>
        <v>1913.3000000001175</v>
      </c>
      <c r="Q15" s="7">
        <v>5291.46</v>
      </c>
      <c r="R15" s="48">
        <f t="shared" ref="R15" si="56">IF((Q15-Q14)&lt;0,"0",(Q15-Q14))</f>
        <v>0</v>
      </c>
      <c r="S15" s="32">
        <f t="shared" ref="S15" si="57">R15*1.9*1000</f>
        <v>0</v>
      </c>
      <c r="T15" s="8">
        <f t="shared" ref="T15" si="58">C15+F15+I15+L15+O15+R15</f>
        <v>7.8799999999996544</v>
      </c>
      <c r="U15" s="34">
        <f t="shared" ref="U15" si="59">T15*1.9*1000</f>
        <v>14971.999999999342</v>
      </c>
      <c r="W15" s="162">
        <v>44574</v>
      </c>
      <c r="X15" s="163">
        <v>163727</v>
      </c>
      <c r="Y15" s="169">
        <f t="shared" ref="Y15" si="60">X15-X14</f>
        <v>28</v>
      </c>
      <c r="Z15" s="163">
        <v>8297</v>
      </c>
      <c r="AA15" s="169">
        <f t="shared" ref="AA15" si="61">Z15-Z14</f>
        <v>6</v>
      </c>
      <c r="AB15" s="163">
        <v>19.420000000000002</v>
      </c>
      <c r="AC15" s="169">
        <f t="shared" ref="AC15" si="62">AB15-AB14</f>
        <v>0</v>
      </c>
      <c r="AD15" s="163">
        <v>120</v>
      </c>
      <c r="AE15" s="169">
        <f t="shared" si="37"/>
        <v>0</v>
      </c>
      <c r="AF15" s="163">
        <v>5391</v>
      </c>
      <c r="AG15" s="169">
        <f t="shared" si="38"/>
        <v>9</v>
      </c>
    </row>
    <row r="16" spans="1:33" ht="16.5" thickBot="1" x14ac:dyDescent="0.25">
      <c r="A16" s="10">
        <v>44575</v>
      </c>
      <c r="B16" s="165">
        <v>22817.069</v>
      </c>
      <c r="C16" s="48">
        <f t="shared" si="23"/>
        <v>2.3980000000010477</v>
      </c>
      <c r="D16" s="32">
        <f t="shared" si="24"/>
        <v>4556.2000000019907</v>
      </c>
      <c r="E16" s="1">
        <v>4091.982</v>
      </c>
      <c r="F16" s="48">
        <f t="shared" si="25"/>
        <v>0.61000000000012733</v>
      </c>
      <c r="G16" s="32">
        <f t="shared" si="26"/>
        <v>1159.0000000002419</v>
      </c>
      <c r="H16" s="1">
        <v>4614</v>
      </c>
      <c r="I16" s="48">
        <f t="shared" si="27"/>
        <v>5</v>
      </c>
      <c r="J16" s="32">
        <f t="shared" si="28"/>
        <v>9500</v>
      </c>
      <c r="K16" s="7">
        <v>13889.7</v>
      </c>
      <c r="L16" s="48">
        <f t="shared" si="29"/>
        <v>0</v>
      </c>
      <c r="M16" s="32">
        <f t="shared" si="30"/>
        <v>0</v>
      </c>
      <c r="N16" s="7">
        <v>3384.8679999999999</v>
      </c>
      <c r="O16" s="48">
        <f t="shared" si="31"/>
        <v>1.1739999999999782</v>
      </c>
      <c r="P16" s="32">
        <f t="shared" si="32"/>
        <v>2230.5999999999585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9.1820000000011532</v>
      </c>
      <c r="U16" s="34">
        <f t="shared" si="35"/>
        <v>17445.800000002189</v>
      </c>
      <c r="W16" s="162">
        <v>44575</v>
      </c>
      <c r="X16" s="163">
        <v>163754</v>
      </c>
      <c r="Y16" s="169">
        <f t="shared" si="39"/>
        <v>27</v>
      </c>
      <c r="Z16" s="163">
        <v>8301</v>
      </c>
      <c r="AA16" s="169">
        <f t="shared" si="44"/>
        <v>4</v>
      </c>
      <c r="AB16" s="163">
        <v>19.420000000000002</v>
      </c>
      <c r="AC16" s="169">
        <f t="shared" si="46"/>
        <v>0</v>
      </c>
      <c r="AD16" s="163">
        <v>126</v>
      </c>
      <c r="AE16" s="169">
        <f t="shared" si="37"/>
        <v>6</v>
      </c>
      <c r="AF16" s="163">
        <v>5403</v>
      </c>
      <c r="AG16" s="169">
        <f t="shared" si="38"/>
        <v>12</v>
      </c>
    </row>
    <row r="17" spans="1:33" ht="16.5" thickBot="1" x14ac:dyDescent="0.25">
      <c r="A17" s="10">
        <v>44576</v>
      </c>
      <c r="B17" s="165">
        <v>22818.876</v>
      </c>
      <c r="C17" s="48">
        <f t="shared" si="23"/>
        <v>1.8070000000006985</v>
      </c>
      <c r="D17" s="32">
        <f t="shared" si="24"/>
        <v>3433.3000000013271</v>
      </c>
      <c r="E17" s="1">
        <v>4092.364</v>
      </c>
      <c r="F17" s="48">
        <f t="shared" si="25"/>
        <v>0.38200000000006185</v>
      </c>
      <c r="G17" s="32">
        <f t="shared" si="26"/>
        <v>725.80000000011751</v>
      </c>
      <c r="H17" s="1">
        <v>4618</v>
      </c>
      <c r="I17" s="48">
        <f t="shared" si="27"/>
        <v>4</v>
      </c>
      <c r="J17" s="32">
        <f t="shared" si="28"/>
        <v>7600</v>
      </c>
      <c r="K17" s="7">
        <v>13889.7</v>
      </c>
      <c r="L17" s="48">
        <f t="shared" si="29"/>
        <v>0</v>
      </c>
      <c r="M17" s="32">
        <f t="shared" si="30"/>
        <v>0</v>
      </c>
      <c r="N17" s="7">
        <v>3385.971</v>
      </c>
      <c r="O17" s="48">
        <f t="shared" si="31"/>
        <v>1.1030000000000655</v>
      </c>
      <c r="P17" s="32">
        <f t="shared" si="32"/>
        <v>2095.7000000001244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7.2920000000008258</v>
      </c>
      <c r="U17" s="34">
        <f t="shared" si="35"/>
        <v>13854.800000001567</v>
      </c>
      <c r="W17" s="162">
        <v>44576</v>
      </c>
      <c r="X17" s="163">
        <v>163769</v>
      </c>
      <c r="Y17" s="169">
        <f t="shared" si="39"/>
        <v>15</v>
      </c>
      <c r="Z17" s="163">
        <v>8306</v>
      </c>
      <c r="AA17" s="169">
        <f t="shared" si="44"/>
        <v>5</v>
      </c>
      <c r="AB17" s="163">
        <v>19.420000000000002</v>
      </c>
      <c r="AC17" s="169">
        <f t="shared" si="46"/>
        <v>0</v>
      </c>
      <c r="AD17" s="163">
        <v>129</v>
      </c>
      <c r="AE17" s="169">
        <f t="shared" si="37"/>
        <v>3</v>
      </c>
      <c r="AF17" s="163">
        <v>5413</v>
      </c>
      <c r="AG17" s="169">
        <f t="shared" si="38"/>
        <v>10</v>
      </c>
    </row>
    <row r="18" spans="1:33" ht="16.5" thickBot="1" x14ac:dyDescent="0.25">
      <c r="A18" s="10">
        <v>44577</v>
      </c>
      <c r="B18" s="165">
        <v>22820.095000000001</v>
      </c>
      <c r="C18" s="48">
        <f t="shared" si="23"/>
        <v>1.2190000000009604</v>
      </c>
      <c r="D18" s="32">
        <f t="shared" si="24"/>
        <v>2316.1000000018248</v>
      </c>
      <c r="E18" s="1">
        <v>4093.1210000000001</v>
      </c>
      <c r="F18" s="48">
        <f t="shared" si="25"/>
        <v>0.75700000000006185</v>
      </c>
      <c r="G18" s="32">
        <f t="shared" si="26"/>
        <v>1438.3000000001173</v>
      </c>
      <c r="H18" s="1">
        <v>4621</v>
      </c>
      <c r="I18" s="48">
        <f t="shared" si="27"/>
        <v>3</v>
      </c>
      <c r="J18" s="32">
        <f t="shared" si="28"/>
        <v>5699.9999999999991</v>
      </c>
      <c r="K18" s="7">
        <f t="shared" ref="K18:K33" si="63">K17</f>
        <v>13889.7</v>
      </c>
      <c r="L18" s="48">
        <f t="shared" si="29"/>
        <v>0</v>
      </c>
      <c r="M18" s="32">
        <f t="shared" si="30"/>
        <v>0</v>
      </c>
      <c r="N18" s="7">
        <v>3386.8589999999999</v>
      </c>
      <c r="O18" s="48">
        <f t="shared" si="31"/>
        <v>0.88799999999991996</v>
      </c>
      <c r="P18" s="32">
        <f t="shared" si="32"/>
        <v>1687.1999999998479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5.8640000000009422</v>
      </c>
      <c r="U18" s="34">
        <f t="shared" si="35"/>
        <v>11141.600000001788</v>
      </c>
      <c r="W18" s="162">
        <v>44577</v>
      </c>
      <c r="X18" s="163">
        <v>163785</v>
      </c>
      <c r="Y18" s="169">
        <f t="shared" si="39"/>
        <v>16</v>
      </c>
      <c r="Z18" s="163">
        <v>8311</v>
      </c>
      <c r="AA18" s="169">
        <f t="shared" si="44"/>
        <v>5</v>
      </c>
      <c r="AB18" s="163">
        <f t="shared" si="43"/>
        <v>19.420000000000002</v>
      </c>
      <c r="AC18" s="169">
        <f t="shared" si="46"/>
        <v>0</v>
      </c>
      <c r="AD18" s="163">
        <v>131</v>
      </c>
      <c r="AE18" s="169">
        <f t="shared" si="37"/>
        <v>2</v>
      </c>
      <c r="AF18" s="163">
        <f t="shared" ref="AF18:AF33" si="64">AF17</f>
        <v>5413</v>
      </c>
      <c r="AG18" s="169">
        <v>18</v>
      </c>
    </row>
    <row r="19" spans="1:33" ht="16.5" thickBot="1" x14ac:dyDescent="0.25">
      <c r="A19" s="10">
        <v>44578</v>
      </c>
      <c r="B19" s="165">
        <v>22822.395</v>
      </c>
      <c r="C19" s="48">
        <f t="shared" si="23"/>
        <v>2.2999999999992724</v>
      </c>
      <c r="D19" s="32">
        <f t="shared" si="24"/>
        <v>4369.9999999986176</v>
      </c>
      <c r="E19" s="1">
        <v>4093.4050000000002</v>
      </c>
      <c r="F19" s="48">
        <f t="shared" si="25"/>
        <v>0.2840000000001055</v>
      </c>
      <c r="G19" s="32">
        <f t="shared" si="26"/>
        <v>539.60000000020045</v>
      </c>
      <c r="H19" s="1">
        <v>4627</v>
      </c>
      <c r="I19" s="48">
        <f t="shared" si="27"/>
        <v>6</v>
      </c>
      <c r="J19" s="32">
        <f t="shared" si="28"/>
        <v>11399.999999999998</v>
      </c>
      <c r="K19" s="7">
        <v>13889.7</v>
      </c>
      <c r="L19" s="48">
        <f t="shared" si="29"/>
        <v>0</v>
      </c>
      <c r="M19" s="32">
        <f t="shared" si="30"/>
        <v>0</v>
      </c>
      <c r="N19" s="7">
        <v>3388.2330000000002</v>
      </c>
      <c r="O19" s="48">
        <f t="shared" si="31"/>
        <v>1.374000000000251</v>
      </c>
      <c r="P19" s="32">
        <f t="shared" si="32"/>
        <v>2610.6000000004769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9.9579999999996289</v>
      </c>
      <c r="U19" s="34">
        <f t="shared" si="35"/>
        <v>18920.199999999295</v>
      </c>
      <c r="W19" s="162">
        <v>44578</v>
      </c>
      <c r="X19" s="163">
        <v>163818</v>
      </c>
      <c r="Y19" s="169">
        <f t="shared" si="39"/>
        <v>33</v>
      </c>
      <c r="Z19" s="163">
        <v>8318</v>
      </c>
      <c r="AA19" s="169">
        <f t="shared" si="44"/>
        <v>7</v>
      </c>
      <c r="AB19" s="163">
        <f t="shared" si="43"/>
        <v>19.420000000000002</v>
      </c>
      <c r="AC19" s="169">
        <f t="shared" si="46"/>
        <v>0</v>
      </c>
      <c r="AD19" s="163">
        <v>133</v>
      </c>
      <c r="AE19" s="169">
        <f t="shared" si="37"/>
        <v>2</v>
      </c>
      <c r="AF19" s="163">
        <v>5433</v>
      </c>
      <c r="AG19" s="169">
        <v>17</v>
      </c>
    </row>
    <row r="20" spans="1:33" ht="16.5" thickBot="1" x14ac:dyDescent="0.25">
      <c r="A20" s="10">
        <v>44579</v>
      </c>
      <c r="B20" s="165">
        <v>22823.999</v>
      </c>
      <c r="C20" s="48">
        <f t="shared" si="23"/>
        <v>1.6039999999993597</v>
      </c>
      <c r="D20" s="32">
        <f t="shared" si="24"/>
        <v>3047.5999999987835</v>
      </c>
      <c r="E20" s="1">
        <v>4093.8890000000001</v>
      </c>
      <c r="F20" s="48">
        <f t="shared" si="25"/>
        <v>0.4839999999999236</v>
      </c>
      <c r="G20" s="32">
        <f t="shared" si="26"/>
        <v>919.59999999985473</v>
      </c>
      <c r="H20" s="1">
        <v>4631</v>
      </c>
      <c r="I20" s="48">
        <f t="shared" si="27"/>
        <v>4</v>
      </c>
      <c r="J20" s="32">
        <f t="shared" si="28"/>
        <v>7600</v>
      </c>
      <c r="K20" s="7">
        <v>13889.7</v>
      </c>
      <c r="L20" s="48">
        <f t="shared" si="29"/>
        <v>0</v>
      </c>
      <c r="M20" s="32">
        <f t="shared" si="30"/>
        <v>0</v>
      </c>
      <c r="N20" s="7">
        <v>3389.2660000000001</v>
      </c>
      <c r="O20" s="48">
        <f t="shared" si="31"/>
        <v>1.0329999999999018</v>
      </c>
      <c r="P20" s="32">
        <f t="shared" si="32"/>
        <v>1962.6999999998134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7.1209999999991851</v>
      </c>
      <c r="U20" s="34">
        <f t="shared" si="35"/>
        <v>13529.89999999845</v>
      </c>
      <c r="W20" s="162">
        <v>44579</v>
      </c>
      <c r="X20" s="163">
        <v>163898</v>
      </c>
      <c r="Y20" s="169">
        <f t="shared" si="39"/>
        <v>80</v>
      </c>
      <c r="Z20" s="163">
        <v>8327</v>
      </c>
      <c r="AA20" s="169">
        <f t="shared" si="44"/>
        <v>9</v>
      </c>
      <c r="AB20" s="163">
        <v>19.420000000000002</v>
      </c>
      <c r="AC20" s="169">
        <f t="shared" si="46"/>
        <v>0</v>
      </c>
      <c r="AD20" s="163">
        <v>136</v>
      </c>
      <c r="AE20" s="169">
        <v>2</v>
      </c>
      <c r="AF20" s="163">
        <v>5451</v>
      </c>
      <c r="AG20" s="169">
        <f t="shared" si="38"/>
        <v>18</v>
      </c>
    </row>
    <row r="21" spans="1:33" ht="16.5" thickBot="1" x14ac:dyDescent="0.25">
      <c r="A21" s="10">
        <v>44580</v>
      </c>
      <c r="B21" s="165">
        <v>22826.005000000001</v>
      </c>
      <c r="C21" s="48">
        <f t="shared" si="23"/>
        <v>2.0060000000012224</v>
      </c>
      <c r="D21" s="32">
        <f t="shared" si="24"/>
        <v>3811.4000000023225</v>
      </c>
      <c r="E21" s="1">
        <v>4094.6190000000001</v>
      </c>
      <c r="F21" s="48">
        <f t="shared" si="25"/>
        <v>0.73000000000001819</v>
      </c>
      <c r="G21" s="32">
        <f t="shared" si="26"/>
        <v>1387.0000000000343</v>
      </c>
      <c r="H21" s="1">
        <v>4636</v>
      </c>
      <c r="I21" s="48">
        <f t="shared" si="27"/>
        <v>5</v>
      </c>
      <c r="J21" s="32">
        <f t="shared" si="28"/>
        <v>9500</v>
      </c>
      <c r="K21" s="7">
        <v>13889.7</v>
      </c>
      <c r="L21" s="48">
        <f t="shared" si="29"/>
        <v>0</v>
      </c>
      <c r="M21" s="32">
        <f t="shared" si="30"/>
        <v>0</v>
      </c>
      <c r="N21" s="7">
        <v>3390.5189999999998</v>
      </c>
      <c r="O21" s="48">
        <f t="shared" si="31"/>
        <v>1.2529999999997017</v>
      </c>
      <c r="P21" s="32">
        <f t="shared" si="32"/>
        <v>2380.6999999994327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8.9890000000009422</v>
      </c>
      <c r="U21" s="34">
        <f t="shared" si="35"/>
        <v>17079.100000001792</v>
      </c>
      <c r="W21" s="162">
        <v>44580</v>
      </c>
      <c r="X21" s="163">
        <v>163899</v>
      </c>
      <c r="Y21" s="169">
        <f t="shared" si="39"/>
        <v>1</v>
      </c>
      <c r="Z21" s="163">
        <v>8332</v>
      </c>
      <c r="AA21" s="169">
        <f t="shared" si="44"/>
        <v>5</v>
      </c>
      <c r="AB21" s="163">
        <f t="shared" si="43"/>
        <v>19.420000000000002</v>
      </c>
      <c r="AC21" s="169">
        <f t="shared" si="46"/>
        <v>0</v>
      </c>
      <c r="AD21" s="163">
        <v>140</v>
      </c>
      <c r="AE21" s="169">
        <f t="shared" si="37"/>
        <v>4</v>
      </c>
      <c r="AF21" s="163">
        <v>5469</v>
      </c>
      <c r="AG21" s="169">
        <f t="shared" si="38"/>
        <v>18</v>
      </c>
    </row>
    <row r="22" spans="1:33" ht="16.5" thickBot="1" x14ac:dyDescent="0.25">
      <c r="A22" s="10">
        <v>44581</v>
      </c>
      <c r="B22" s="165">
        <v>22827.526999999998</v>
      </c>
      <c r="C22" s="48">
        <f t="shared" si="23"/>
        <v>1.521999999997206</v>
      </c>
      <c r="D22" s="32">
        <f t="shared" si="24"/>
        <v>2891.7999999946915</v>
      </c>
      <c r="E22" s="1">
        <v>4094.9870000000001</v>
      </c>
      <c r="F22" s="48">
        <f t="shared" si="25"/>
        <v>0.36799999999993815</v>
      </c>
      <c r="G22" s="32">
        <f t="shared" si="26"/>
        <v>699.19999999988249</v>
      </c>
      <c r="H22" s="1">
        <v>4640</v>
      </c>
      <c r="I22" s="48">
        <f t="shared" si="27"/>
        <v>4</v>
      </c>
      <c r="J22" s="32">
        <f t="shared" si="28"/>
        <v>7600</v>
      </c>
      <c r="K22" s="7">
        <v>13889.7</v>
      </c>
      <c r="L22" s="48">
        <f t="shared" si="29"/>
        <v>0</v>
      </c>
      <c r="M22" s="32">
        <f t="shared" si="30"/>
        <v>0</v>
      </c>
      <c r="N22" s="7">
        <v>3391.4549999999999</v>
      </c>
      <c r="O22" s="48">
        <f t="shared" si="31"/>
        <v>0.93600000000014916</v>
      </c>
      <c r="P22" s="32">
        <f t="shared" si="32"/>
        <v>1778.4000000002834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6.8259999999972933</v>
      </c>
      <c r="U22" s="34">
        <f t="shared" si="35"/>
        <v>12969.399999994856</v>
      </c>
      <c r="W22" s="162">
        <v>44581</v>
      </c>
      <c r="X22" s="163">
        <v>163906</v>
      </c>
      <c r="Y22" s="169">
        <f t="shared" si="39"/>
        <v>7</v>
      </c>
      <c r="Z22" s="163">
        <v>8333</v>
      </c>
      <c r="AA22" s="169">
        <f t="shared" si="44"/>
        <v>1</v>
      </c>
      <c r="AB22" s="163">
        <v>19.54</v>
      </c>
      <c r="AC22" s="169">
        <f t="shared" si="46"/>
        <v>0.11999999999999744</v>
      </c>
      <c r="AD22" s="163">
        <v>143</v>
      </c>
      <c r="AE22" s="169">
        <f t="shared" si="37"/>
        <v>3</v>
      </c>
      <c r="AF22" s="163">
        <v>5481</v>
      </c>
      <c r="AG22" s="169">
        <f t="shared" si="38"/>
        <v>12</v>
      </c>
    </row>
    <row r="23" spans="1:33" ht="16.5" thickBot="1" x14ac:dyDescent="0.25">
      <c r="A23" s="10">
        <v>44582</v>
      </c>
      <c r="B23" s="165">
        <v>22829.080999999998</v>
      </c>
      <c r="C23" s="48">
        <f t="shared" si="23"/>
        <v>1.5540000000000873</v>
      </c>
      <c r="D23" s="32">
        <f t="shared" si="24"/>
        <v>2952.6000000001654</v>
      </c>
      <c r="E23" s="1">
        <v>4095.2689999999998</v>
      </c>
      <c r="F23" s="48">
        <f t="shared" si="25"/>
        <v>0.28199999999969805</v>
      </c>
      <c r="G23" s="32">
        <f t="shared" si="26"/>
        <v>535.79999999942629</v>
      </c>
      <c r="H23" s="1">
        <v>4644</v>
      </c>
      <c r="I23" s="48">
        <f t="shared" si="27"/>
        <v>4</v>
      </c>
      <c r="J23" s="32">
        <f t="shared" si="28"/>
        <v>7600</v>
      </c>
      <c r="K23" s="7">
        <v>13889.7</v>
      </c>
      <c r="L23" s="48">
        <f t="shared" si="29"/>
        <v>0</v>
      </c>
      <c r="M23" s="32">
        <f t="shared" si="30"/>
        <v>0</v>
      </c>
      <c r="N23" s="7">
        <v>3392.3969999999999</v>
      </c>
      <c r="O23" s="48">
        <f t="shared" si="31"/>
        <v>0.94200000000000728</v>
      </c>
      <c r="P23" s="32">
        <f t="shared" si="32"/>
        <v>1789.8000000000138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6.7779999999997926</v>
      </c>
      <c r="U23" s="34">
        <f t="shared" si="35"/>
        <v>12878.199999999606</v>
      </c>
      <c r="W23" s="162">
        <v>44582</v>
      </c>
      <c r="X23" s="163">
        <v>163920</v>
      </c>
      <c r="Y23" s="169">
        <f t="shared" si="39"/>
        <v>14</v>
      </c>
      <c r="Z23" s="163">
        <v>8336</v>
      </c>
      <c r="AA23" s="169">
        <f t="shared" si="44"/>
        <v>3</v>
      </c>
      <c r="AB23" s="163">
        <f t="shared" si="43"/>
        <v>19.54</v>
      </c>
      <c r="AC23" s="169">
        <f t="shared" si="46"/>
        <v>0</v>
      </c>
      <c r="AD23" s="163">
        <v>147</v>
      </c>
      <c r="AE23" s="169">
        <f t="shared" si="37"/>
        <v>4</v>
      </c>
      <c r="AF23" s="163">
        <f t="shared" si="64"/>
        <v>5481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v>22831.205000000002</v>
      </c>
      <c r="C24" s="48">
        <f t="shared" si="23"/>
        <v>2.1240000000034343</v>
      </c>
      <c r="D24" s="32">
        <f t="shared" si="24"/>
        <v>4035.6000000065251</v>
      </c>
      <c r="E24" s="1">
        <v>4095.5880000000002</v>
      </c>
      <c r="F24" s="48">
        <f t="shared" si="25"/>
        <v>0.31900000000041473</v>
      </c>
      <c r="G24" s="32">
        <f t="shared" si="26"/>
        <v>606.10000000078799</v>
      </c>
      <c r="H24" s="1">
        <v>4649</v>
      </c>
      <c r="I24" s="48">
        <f t="shared" si="27"/>
        <v>5</v>
      </c>
      <c r="J24" s="32">
        <f t="shared" si="28"/>
        <v>9500</v>
      </c>
      <c r="K24" s="7">
        <v>13889.7</v>
      </c>
      <c r="L24" s="48">
        <f t="shared" si="29"/>
        <v>0</v>
      </c>
      <c r="M24" s="32">
        <f t="shared" si="30"/>
        <v>0</v>
      </c>
      <c r="N24" s="7">
        <v>3393.4459999999999</v>
      </c>
      <c r="O24" s="48">
        <f t="shared" si="31"/>
        <v>1.0489999999999782</v>
      </c>
      <c r="P24" s="32">
        <f t="shared" si="32"/>
        <v>1993.0999999999583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8.4920000000038272</v>
      </c>
      <c r="U24" s="34">
        <f t="shared" si="35"/>
        <v>16134.800000007272</v>
      </c>
      <c r="W24" s="162">
        <v>44583</v>
      </c>
      <c r="X24" s="163">
        <v>163942</v>
      </c>
      <c r="Y24" s="169">
        <f t="shared" si="39"/>
        <v>22</v>
      </c>
      <c r="Z24" s="163">
        <v>8339</v>
      </c>
      <c r="AA24" s="169">
        <f t="shared" si="44"/>
        <v>3</v>
      </c>
      <c r="AB24" s="163">
        <f t="shared" si="43"/>
        <v>19.54</v>
      </c>
      <c r="AC24" s="169">
        <f t="shared" si="46"/>
        <v>0</v>
      </c>
      <c r="AD24" s="163">
        <v>149</v>
      </c>
      <c r="AE24" s="169">
        <f t="shared" si="37"/>
        <v>2</v>
      </c>
      <c r="AF24" s="163">
        <v>5519</v>
      </c>
      <c r="AG24" s="169">
        <f t="shared" si="38"/>
        <v>38</v>
      </c>
    </row>
    <row r="25" spans="1:33" ht="16.5" thickBot="1" x14ac:dyDescent="0.25">
      <c r="A25" s="10">
        <v>44584</v>
      </c>
      <c r="B25" s="165">
        <v>22833.771000000001</v>
      </c>
      <c r="C25" s="48">
        <f t="shared" si="23"/>
        <v>2.5659999999988941</v>
      </c>
      <c r="D25" s="32">
        <f t="shared" si="24"/>
        <v>4875.3999999978987</v>
      </c>
      <c r="E25" s="1">
        <v>4096.1719999999996</v>
      </c>
      <c r="F25" s="48">
        <f t="shared" si="25"/>
        <v>0.58399999999937791</v>
      </c>
      <c r="G25" s="32">
        <f t="shared" si="26"/>
        <v>1109.599999998818</v>
      </c>
      <c r="H25" s="1">
        <v>4654</v>
      </c>
      <c r="I25" s="48">
        <f t="shared" si="27"/>
        <v>5</v>
      </c>
      <c r="J25" s="32">
        <f t="shared" si="28"/>
        <v>9500</v>
      </c>
      <c r="K25" s="7">
        <f t="shared" si="63"/>
        <v>13889.7</v>
      </c>
      <c r="L25" s="48">
        <f t="shared" si="29"/>
        <v>0</v>
      </c>
      <c r="M25" s="32">
        <f t="shared" si="30"/>
        <v>0</v>
      </c>
      <c r="N25" s="7">
        <v>3394.6559999999999</v>
      </c>
      <c r="O25" s="48">
        <f t="shared" si="31"/>
        <v>1.2100000000000364</v>
      </c>
      <c r="P25" s="32">
        <f t="shared" si="32"/>
        <v>2299.0000000000691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9.3599999999983083</v>
      </c>
      <c r="U25" s="34">
        <f t="shared" si="35"/>
        <v>17783.999999996784</v>
      </c>
      <c r="W25" s="162">
        <v>44584</v>
      </c>
      <c r="X25" s="163">
        <v>163974</v>
      </c>
      <c r="Y25" s="169">
        <f t="shared" si="39"/>
        <v>32</v>
      </c>
      <c r="Z25" s="163">
        <v>8345</v>
      </c>
      <c r="AA25" s="169">
        <f t="shared" si="44"/>
        <v>6</v>
      </c>
      <c r="AB25" s="163">
        <v>19.54</v>
      </c>
      <c r="AC25" s="169">
        <f t="shared" si="46"/>
        <v>0</v>
      </c>
      <c r="AD25" s="163">
        <v>151</v>
      </c>
      <c r="AE25" s="169">
        <f t="shared" si="37"/>
        <v>2</v>
      </c>
      <c r="AF25" s="163">
        <f t="shared" si="64"/>
        <v>5519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v>22835.151999999998</v>
      </c>
      <c r="C26" s="48">
        <f t="shared" si="23"/>
        <v>1.3809999999975844</v>
      </c>
      <c r="D26" s="32">
        <f t="shared" si="24"/>
        <v>2623.8999999954103</v>
      </c>
      <c r="E26" s="1">
        <v>4096.55</v>
      </c>
      <c r="F26" s="48">
        <f t="shared" si="25"/>
        <v>0.37800000000061118</v>
      </c>
      <c r="G26" s="32">
        <f t="shared" si="26"/>
        <v>718.20000000116124</v>
      </c>
      <c r="H26" s="1">
        <v>4657</v>
      </c>
      <c r="I26" s="48">
        <f t="shared" si="27"/>
        <v>3</v>
      </c>
      <c r="J26" s="32">
        <f t="shared" si="28"/>
        <v>5699.9999999999991</v>
      </c>
      <c r="K26" s="7">
        <f t="shared" si="63"/>
        <v>13889.7</v>
      </c>
      <c r="L26" s="48">
        <f>IF((K26-K25)&lt;0,"0",(K26-K25))</f>
        <v>0</v>
      </c>
      <c r="M26" s="32">
        <f t="shared" si="30"/>
        <v>0</v>
      </c>
      <c r="N26" s="7">
        <v>3395.277</v>
      </c>
      <c r="O26" s="48">
        <f t="shared" si="31"/>
        <v>0.62100000000009459</v>
      </c>
      <c r="P26" s="32">
        <f t="shared" si="32"/>
        <v>1179.9000000001795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5.3799999999982901</v>
      </c>
      <c r="U26" s="34">
        <f t="shared" si="35"/>
        <v>10221.999999996751</v>
      </c>
      <c r="V26" t="s">
        <v>12</v>
      </c>
      <c r="W26" s="162">
        <v>44585</v>
      </c>
      <c r="X26" s="163">
        <v>164010</v>
      </c>
      <c r="Y26" s="169">
        <f t="shared" si="39"/>
        <v>36</v>
      </c>
      <c r="Z26" s="163">
        <v>8347</v>
      </c>
      <c r="AA26" s="169">
        <f t="shared" si="44"/>
        <v>2</v>
      </c>
      <c r="AB26" s="163">
        <v>19.54</v>
      </c>
      <c r="AC26" s="169">
        <f t="shared" si="46"/>
        <v>0</v>
      </c>
      <c r="AD26" s="163">
        <v>154</v>
      </c>
      <c r="AE26" s="169">
        <f t="shared" si="37"/>
        <v>3</v>
      </c>
      <c r="AF26" s="163">
        <v>5531</v>
      </c>
      <c r="AG26" s="169">
        <f t="shared" si="38"/>
        <v>12</v>
      </c>
    </row>
    <row r="27" spans="1:33" ht="16.5" thickBot="1" x14ac:dyDescent="0.25">
      <c r="A27" s="10">
        <v>44586</v>
      </c>
      <c r="B27" s="165">
        <f t="shared" ref="B26:B33" si="65">B26</f>
        <v>22835.151999999998</v>
      </c>
      <c r="C27" s="48">
        <f t="shared" si="23"/>
        <v>0</v>
      </c>
      <c r="D27" s="32">
        <f t="shared" si="24"/>
        <v>0</v>
      </c>
      <c r="E27" s="1">
        <f t="shared" ref="E26:E33" si="66">E26</f>
        <v>4096.55</v>
      </c>
      <c r="F27" s="48">
        <f t="shared" si="25"/>
        <v>0</v>
      </c>
      <c r="G27" s="32">
        <f t="shared" si="26"/>
        <v>0</v>
      </c>
      <c r="H27" s="1">
        <f t="shared" ref="H26:H33" si="67">H26</f>
        <v>4657</v>
      </c>
      <c r="I27" s="48">
        <f t="shared" si="27"/>
        <v>0</v>
      </c>
      <c r="J27" s="32">
        <f t="shared" si="28"/>
        <v>0</v>
      </c>
      <c r="K27" s="7">
        <f t="shared" si="63"/>
        <v>13889.7</v>
      </c>
      <c r="L27" s="48">
        <f t="shared" si="29"/>
        <v>0</v>
      </c>
      <c r="M27" s="32">
        <f t="shared" si="30"/>
        <v>0</v>
      </c>
      <c r="N27" s="7">
        <f t="shared" ref="N26:N33" si="68">N26</f>
        <v>3395.277</v>
      </c>
      <c r="O27" s="48">
        <f t="shared" si="31"/>
        <v>0</v>
      </c>
      <c r="P27" s="32">
        <f t="shared" si="32"/>
        <v>0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ref="X26:X33" si="69">X26</f>
        <v>164010</v>
      </c>
      <c r="Y27" s="169">
        <f t="shared" si="39"/>
        <v>0</v>
      </c>
      <c r="Z27" s="163">
        <f t="shared" ref="Z26:Z33" si="70">Z26</f>
        <v>8347</v>
      </c>
      <c r="AA27" s="169">
        <f t="shared" si="44"/>
        <v>0</v>
      </c>
      <c r="AB27" s="163">
        <f t="shared" si="43"/>
        <v>19.54</v>
      </c>
      <c r="AC27" s="169">
        <f t="shared" si="46"/>
        <v>0</v>
      </c>
      <c r="AD27" s="163">
        <f t="shared" si="45"/>
        <v>154</v>
      </c>
      <c r="AE27" s="169">
        <f t="shared" si="37"/>
        <v>0</v>
      </c>
      <c r="AF27" s="163">
        <f t="shared" si="64"/>
        <v>5531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65"/>
        <v>22835.151999999998</v>
      </c>
      <c r="C28" s="48">
        <f t="shared" si="23"/>
        <v>0</v>
      </c>
      <c r="D28" s="32">
        <f t="shared" si="24"/>
        <v>0</v>
      </c>
      <c r="E28" s="1">
        <f t="shared" si="66"/>
        <v>4096.55</v>
      </c>
      <c r="F28" s="48">
        <f t="shared" si="25"/>
        <v>0</v>
      </c>
      <c r="G28" s="32">
        <f t="shared" si="26"/>
        <v>0</v>
      </c>
      <c r="H28" s="1">
        <f t="shared" si="67"/>
        <v>4657</v>
      </c>
      <c r="I28" s="48">
        <f t="shared" si="27"/>
        <v>0</v>
      </c>
      <c r="J28" s="32">
        <f t="shared" si="28"/>
        <v>0</v>
      </c>
      <c r="K28" s="7">
        <f t="shared" si="63"/>
        <v>13889.7</v>
      </c>
      <c r="L28" s="48">
        <f t="shared" si="29"/>
        <v>0</v>
      </c>
      <c r="M28" s="32">
        <f t="shared" si="30"/>
        <v>0</v>
      </c>
      <c r="N28" s="7">
        <f t="shared" si="68"/>
        <v>3395.277</v>
      </c>
      <c r="O28" s="48">
        <f t="shared" si="31"/>
        <v>0</v>
      </c>
      <c r="P28" s="32">
        <f t="shared" si="32"/>
        <v>0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69"/>
        <v>164010</v>
      </c>
      <c r="Y28" s="169">
        <f t="shared" si="39"/>
        <v>0</v>
      </c>
      <c r="Z28" s="163">
        <f t="shared" si="70"/>
        <v>8347</v>
      </c>
      <c r="AA28" s="169">
        <f t="shared" si="44"/>
        <v>0</v>
      </c>
      <c r="AB28" s="163">
        <f t="shared" si="43"/>
        <v>19.54</v>
      </c>
      <c r="AC28" s="169">
        <f t="shared" si="46"/>
        <v>0</v>
      </c>
      <c r="AD28" s="163">
        <f t="shared" si="45"/>
        <v>154</v>
      </c>
      <c r="AE28" s="169">
        <f t="shared" si="37"/>
        <v>0</v>
      </c>
      <c r="AF28" s="163">
        <f t="shared" si="64"/>
        <v>5531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65"/>
        <v>22835.151999999998</v>
      </c>
      <c r="C29" s="48">
        <f t="shared" si="23"/>
        <v>0</v>
      </c>
      <c r="D29" s="32">
        <f t="shared" si="24"/>
        <v>0</v>
      </c>
      <c r="E29" s="1">
        <f t="shared" si="66"/>
        <v>4096.55</v>
      </c>
      <c r="F29" s="48">
        <f t="shared" si="25"/>
        <v>0</v>
      </c>
      <c r="G29" s="32">
        <f t="shared" si="26"/>
        <v>0</v>
      </c>
      <c r="H29" s="1">
        <f t="shared" si="67"/>
        <v>4657</v>
      </c>
      <c r="I29" s="48">
        <f t="shared" si="27"/>
        <v>0</v>
      </c>
      <c r="J29" s="32">
        <f t="shared" si="28"/>
        <v>0</v>
      </c>
      <c r="K29" s="7">
        <f t="shared" si="63"/>
        <v>13889.7</v>
      </c>
      <c r="L29" s="48">
        <f t="shared" si="29"/>
        <v>0</v>
      </c>
      <c r="M29" s="32">
        <f t="shared" si="30"/>
        <v>0</v>
      </c>
      <c r="N29" s="7">
        <f t="shared" si="68"/>
        <v>3395.277</v>
      </c>
      <c r="O29" s="48">
        <f t="shared" si="31"/>
        <v>0</v>
      </c>
      <c r="P29" s="32">
        <f t="shared" si="32"/>
        <v>0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69"/>
        <v>164010</v>
      </c>
      <c r="Y29" s="169">
        <f t="shared" si="39"/>
        <v>0</v>
      </c>
      <c r="Z29" s="163">
        <f t="shared" si="70"/>
        <v>8347</v>
      </c>
      <c r="AA29" s="169">
        <f t="shared" si="44"/>
        <v>0</v>
      </c>
      <c r="AB29" s="163">
        <f t="shared" si="43"/>
        <v>19.54</v>
      </c>
      <c r="AC29" s="169">
        <f t="shared" si="46"/>
        <v>0</v>
      </c>
      <c r="AD29" s="163">
        <f t="shared" si="45"/>
        <v>154</v>
      </c>
      <c r="AE29" s="169">
        <f t="shared" si="37"/>
        <v>0</v>
      </c>
      <c r="AF29" s="163">
        <f t="shared" si="64"/>
        <v>5531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65"/>
        <v>22835.151999999998</v>
      </c>
      <c r="C30" s="48">
        <f t="shared" si="23"/>
        <v>0</v>
      </c>
      <c r="D30" s="32">
        <f t="shared" si="24"/>
        <v>0</v>
      </c>
      <c r="E30" s="1">
        <f t="shared" si="66"/>
        <v>4096.55</v>
      </c>
      <c r="F30" s="48">
        <f t="shared" si="25"/>
        <v>0</v>
      </c>
      <c r="G30" s="32">
        <f t="shared" si="26"/>
        <v>0</v>
      </c>
      <c r="H30" s="1">
        <f t="shared" si="67"/>
        <v>4657</v>
      </c>
      <c r="I30" s="48">
        <f t="shared" si="27"/>
        <v>0</v>
      </c>
      <c r="J30" s="32">
        <f t="shared" si="28"/>
        <v>0</v>
      </c>
      <c r="K30" s="7">
        <f t="shared" si="63"/>
        <v>13889.7</v>
      </c>
      <c r="L30" s="48">
        <f t="shared" si="29"/>
        <v>0</v>
      </c>
      <c r="M30" s="32">
        <f t="shared" si="30"/>
        <v>0</v>
      </c>
      <c r="N30" s="7">
        <f t="shared" si="68"/>
        <v>3395.277</v>
      </c>
      <c r="O30" s="48">
        <f t="shared" si="31"/>
        <v>0</v>
      </c>
      <c r="P30" s="32">
        <f t="shared" si="32"/>
        <v>0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69"/>
        <v>164010</v>
      </c>
      <c r="Y30" s="169">
        <f t="shared" si="39"/>
        <v>0</v>
      </c>
      <c r="Z30" s="163">
        <f t="shared" si="70"/>
        <v>8347</v>
      </c>
      <c r="AA30" s="169">
        <f>Z30-Z29</f>
        <v>0</v>
      </c>
      <c r="AB30" s="163">
        <f t="shared" si="43"/>
        <v>19.54</v>
      </c>
      <c r="AC30" s="169">
        <f t="shared" si="46"/>
        <v>0</v>
      </c>
      <c r="AD30" s="163">
        <f t="shared" si="45"/>
        <v>154</v>
      </c>
      <c r="AE30" s="169">
        <f t="shared" si="37"/>
        <v>0</v>
      </c>
      <c r="AF30" s="163">
        <f t="shared" si="64"/>
        <v>5531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65"/>
        <v>22835.151999999998</v>
      </c>
      <c r="C31" s="48">
        <f t="shared" si="23"/>
        <v>0</v>
      </c>
      <c r="D31" s="32">
        <f t="shared" si="24"/>
        <v>0</v>
      </c>
      <c r="E31" s="1">
        <f t="shared" si="66"/>
        <v>4096.55</v>
      </c>
      <c r="F31" s="48">
        <f t="shared" si="25"/>
        <v>0</v>
      </c>
      <c r="G31" s="32">
        <f t="shared" si="26"/>
        <v>0</v>
      </c>
      <c r="H31" s="1">
        <f t="shared" si="67"/>
        <v>4657</v>
      </c>
      <c r="I31" s="48">
        <f t="shared" si="27"/>
        <v>0</v>
      </c>
      <c r="J31" s="32">
        <f t="shared" si="28"/>
        <v>0</v>
      </c>
      <c r="K31" s="7">
        <f t="shared" si="63"/>
        <v>13889.7</v>
      </c>
      <c r="L31" s="48">
        <f t="shared" si="29"/>
        <v>0</v>
      </c>
      <c r="M31" s="32">
        <f t="shared" si="30"/>
        <v>0</v>
      </c>
      <c r="N31" s="7">
        <f t="shared" si="68"/>
        <v>3395.277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69"/>
        <v>164010</v>
      </c>
      <c r="Y31" s="169">
        <f t="shared" si="39"/>
        <v>0</v>
      </c>
      <c r="Z31" s="163">
        <f t="shared" si="70"/>
        <v>8347</v>
      </c>
      <c r="AA31" s="169">
        <f t="shared" si="44"/>
        <v>0</v>
      </c>
      <c r="AB31" s="163">
        <f t="shared" si="43"/>
        <v>19.54</v>
      </c>
      <c r="AC31" s="169">
        <f t="shared" si="46"/>
        <v>0</v>
      </c>
      <c r="AD31" s="163">
        <f t="shared" si="45"/>
        <v>154</v>
      </c>
      <c r="AE31" s="169">
        <f t="shared" si="37"/>
        <v>0</v>
      </c>
      <c r="AF31" s="163">
        <f t="shared" si="64"/>
        <v>5531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65"/>
        <v>22835.151999999998</v>
      </c>
      <c r="C32" s="48">
        <f t="shared" si="23"/>
        <v>0</v>
      </c>
      <c r="D32" s="32">
        <f t="shared" si="24"/>
        <v>0</v>
      </c>
      <c r="E32" s="1">
        <f t="shared" si="66"/>
        <v>4096.55</v>
      </c>
      <c r="F32" s="48">
        <f t="shared" si="25"/>
        <v>0</v>
      </c>
      <c r="G32" s="32">
        <f t="shared" si="26"/>
        <v>0</v>
      </c>
      <c r="H32" s="1">
        <f t="shared" si="67"/>
        <v>4657</v>
      </c>
      <c r="I32" s="48">
        <f t="shared" si="27"/>
        <v>0</v>
      </c>
      <c r="J32" s="32">
        <f t="shared" si="28"/>
        <v>0</v>
      </c>
      <c r="K32" s="7">
        <f t="shared" si="63"/>
        <v>13889.7</v>
      </c>
      <c r="L32" s="48">
        <f t="shared" si="29"/>
        <v>0</v>
      </c>
      <c r="M32" s="32">
        <f t="shared" si="30"/>
        <v>0</v>
      </c>
      <c r="N32" s="7">
        <f t="shared" si="68"/>
        <v>3395.277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69"/>
        <v>164010</v>
      </c>
      <c r="Y32" s="169">
        <f t="shared" si="39"/>
        <v>0</v>
      </c>
      <c r="Z32" s="163">
        <f t="shared" si="70"/>
        <v>8347</v>
      </c>
      <c r="AA32" s="169">
        <f t="shared" si="44"/>
        <v>0</v>
      </c>
      <c r="AB32" s="163">
        <f t="shared" si="43"/>
        <v>19.54</v>
      </c>
      <c r="AC32" s="169">
        <v>0</v>
      </c>
      <c r="AD32" s="163">
        <f t="shared" si="45"/>
        <v>154</v>
      </c>
      <c r="AE32" s="169">
        <f t="shared" si="37"/>
        <v>0</v>
      </c>
      <c r="AF32" s="163">
        <f t="shared" si="64"/>
        <v>5531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65"/>
        <v>22835.151999999998</v>
      </c>
      <c r="C33" s="48">
        <f t="shared" si="23"/>
        <v>0</v>
      </c>
      <c r="D33" s="32">
        <f t="shared" si="24"/>
        <v>0</v>
      </c>
      <c r="E33" s="1">
        <f t="shared" si="66"/>
        <v>4096.55</v>
      </c>
      <c r="F33" s="48">
        <f t="shared" si="25"/>
        <v>0</v>
      </c>
      <c r="G33" s="32">
        <f t="shared" si="26"/>
        <v>0</v>
      </c>
      <c r="H33" s="1">
        <f t="shared" si="67"/>
        <v>4657</v>
      </c>
      <c r="I33" s="48">
        <f t="shared" si="27"/>
        <v>0</v>
      </c>
      <c r="J33" s="32">
        <f t="shared" si="28"/>
        <v>0</v>
      </c>
      <c r="K33" s="7">
        <f t="shared" si="63"/>
        <v>13889.7</v>
      </c>
      <c r="L33" s="48">
        <f t="shared" si="29"/>
        <v>0</v>
      </c>
      <c r="M33" s="32">
        <f t="shared" si="30"/>
        <v>0</v>
      </c>
      <c r="N33" s="7">
        <f t="shared" si="68"/>
        <v>3395.277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69"/>
        <v>164010</v>
      </c>
      <c r="Y33" s="169">
        <f t="shared" si="39"/>
        <v>0</v>
      </c>
      <c r="Z33" s="163">
        <f t="shared" si="70"/>
        <v>8347</v>
      </c>
      <c r="AA33" s="169">
        <f t="shared" si="44"/>
        <v>0</v>
      </c>
      <c r="AB33" s="163">
        <f t="shared" si="43"/>
        <v>19.54</v>
      </c>
      <c r="AC33" s="169">
        <v>0</v>
      </c>
      <c r="AD33" s="163">
        <f t="shared" si="45"/>
        <v>154</v>
      </c>
      <c r="AE33" s="169">
        <f t="shared" si="37"/>
        <v>0</v>
      </c>
      <c r="AF33" s="163">
        <f t="shared" si="64"/>
        <v>5531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47.061999999998079</v>
      </c>
      <c r="D34" s="142">
        <f>SUM(D3:D33)</f>
        <v>93527.499999997235</v>
      </c>
      <c r="E34" s="142">
        <v>0</v>
      </c>
      <c r="F34" s="142">
        <f>SUM(F3:F33)</f>
        <v>12.650000000000091</v>
      </c>
      <c r="G34" s="142">
        <f>SUM(G3:G33)</f>
        <v>24035.000000000167</v>
      </c>
      <c r="H34" s="142"/>
      <c r="I34" s="142">
        <f>SUM(I3:I33)</f>
        <v>104</v>
      </c>
      <c r="J34" s="142">
        <f>SUM(J3:J33)</f>
        <v>197600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49926.300000000083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200.32199999999966</v>
      </c>
      <c r="U34" s="142">
        <f>SUM(U3:U33)</f>
        <v>380611.79999999929</v>
      </c>
      <c r="V34"/>
      <c r="W34" s="142" t="s">
        <v>143</v>
      </c>
      <c r="X34" s="142"/>
      <c r="Y34" s="142">
        <f>SUM(Y5:Y33)</f>
        <v>589</v>
      </c>
      <c r="Z34" s="142"/>
      <c r="AA34" s="142">
        <f>SUM(AA5:AA33)</f>
        <v>96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19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0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0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2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2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1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1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0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0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2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2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1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1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0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0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2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2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1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1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0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0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2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2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1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1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0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0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2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2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1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1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0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0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2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2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1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1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0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0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2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2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1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1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0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0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2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2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1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1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0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0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2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2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1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1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0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0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2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2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1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1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0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0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82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2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1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1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0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0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82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2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1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1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0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0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82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2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1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1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0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0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82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2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1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1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0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0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82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2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0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0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82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2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0">
        <v>23</v>
      </c>
      <c r="D49" s="65" t="s">
        <v>83</v>
      </c>
      <c r="E49" s="80"/>
      <c r="F49" s="80"/>
      <c r="G49" s="67">
        <f t="shared" si="2"/>
        <v>0</v>
      </c>
      <c r="H49" s="68"/>
      <c r="J49" s="180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2"/>
      <c r="D50" s="65" t="s">
        <v>82</v>
      </c>
      <c r="E50" s="80"/>
      <c r="F50" s="80"/>
      <c r="G50" s="67">
        <f t="shared" si="2"/>
        <v>0</v>
      </c>
      <c r="H50" s="68"/>
      <c r="J50" s="182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3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3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4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4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5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5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0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0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1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1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0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0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1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1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0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0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1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1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0">
        <v>28</v>
      </c>
      <c r="D62" s="189" t="s">
        <v>86</v>
      </c>
      <c r="E62" s="66"/>
      <c r="F62" s="66"/>
      <c r="G62" s="67"/>
      <c r="H62" s="191" t="s">
        <v>87</v>
      </c>
      <c r="I62" s="71"/>
      <c r="J62" s="180">
        <v>28</v>
      </c>
      <c r="K62" s="189" t="s">
        <v>86</v>
      </c>
      <c r="L62" s="66"/>
      <c r="M62" s="66"/>
      <c r="N62" s="67"/>
      <c r="O62" s="191" t="s">
        <v>87</v>
      </c>
    </row>
    <row r="63" spans="1:15" ht="15" x14ac:dyDescent="0.2">
      <c r="A63" s="71"/>
      <c r="B63" s="61"/>
      <c r="C63" s="181"/>
      <c r="D63" s="190"/>
      <c r="E63" s="66"/>
      <c r="F63" s="66"/>
      <c r="G63" s="67"/>
      <c r="H63" s="192"/>
      <c r="I63" s="71"/>
      <c r="J63" s="181"/>
      <c r="K63" s="190"/>
      <c r="L63" s="66"/>
      <c r="M63" s="66"/>
      <c r="N63" s="67"/>
      <c r="O63" s="192"/>
    </row>
    <row r="64" spans="1:15" x14ac:dyDescent="0.2">
      <c r="A64" s="71"/>
      <c r="B64" s="61"/>
      <c r="C64" s="193" t="s">
        <v>88</v>
      </c>
      <c r="D64" s="193"/>
      <c r="E64" s="193"/>
      <c r="F64" s="193"/>
      <c r="G64" s="85">
        <f>SUM(G2:G63)</f>
        <v>28925</v>
      </c>
      <c r="H64" s="86"/>
      <c r="I64" s="71"/>
      <c r="J64" s="193" t="s">
        <v>88</v>
      </c>
      <c r="K64" s="193"/>
      <c r="L64" s="193"/>
      <c r="M64" s="193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4">
        <v>44409</v>
      </c>
      <c r="C69" s="195"/>
      <c r="D69" s="195"/>
      <c r="E69" s="196"/>
      <c r="F69" s="89"/>
      <c r="G69" s="194">
        <v>44470</v>
      </c>
      <c r="H69" s="195"/>
      <c r="I69" s="195"/>
      <c r="J69" s="196"/>
      <c r="K69" s="89"/>
      <c r="L69" s="186" t="s">
        <v>25</v>
      </c>
      <c r="M69" s="187"/>
      <c r="N69" s="187"/>
      <c r="O69" s="188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2022-01-24T22:32:31Z</dcterms:modified>
</cp:coreProperties>
</file>