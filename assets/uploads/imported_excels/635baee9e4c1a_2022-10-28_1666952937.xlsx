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6058" documentId="8_{5B502D95-7A37-4D5A-8B6B-374537CC2F26}" xr6:coauthVersionLast="47" xr6:coauthVersionMax="47" xr10:uidLastSave="{1A9B8B8F-7942-4096-AEF8-96CE4A9B6F3E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2" l="1"/>
  <c r="M37" i="2"/>
  <c r="L37" i="2"/>
  <c r="F37" i="2"/>
  <c r="K36" i="6"/>
  <c r="I36" i="6"/>
  <c r="G36" i="6"/>
  <c r="E36" i="6"/>
  <c r="C36" i="6"/>
  <c r="V35" i="2"/>
  <c r="N36" i="2"/>
  <c r="M36" i="2"/>
  <c r="L36" i="2"/>
  <c r="F36" i="2"/>
  <c r="K35" i="6"/>
  <c r="I35" i="6"/>
  <c r="G35" i="6"/>
  <c r="E35" i="6"/>
  <c r="C35" i="6"/>
  <c r="V34" i="2"/>
  <c r="N35" i="2"/>
  <c r="M35" i="2"/>
  <c r="L35" i="2"/>
  <c r="F35" i="2"/>
  <c r="K34" i="6"/>
  <c r="I34" i="6"/>
  <c r="G34" i="6"/>
  <c r="E34" i="6"/>
  <c r="C34" i="6"/>
  <c r="F34" i="2"/>
  <c r="E33" i="6"/>
  <c r="Q39" i="2"/>
  <c r="V33" i="2"/>
  <c r="N34" i="2"/>
  <c r="M34" i="2"/>
  <c r="L34" i="2"/>
  <c r="K33" i="6"/>
  <c r="I33" i="6"/>
  <c r="G33" i="6"/>
  <c r="C33" i="6"/>
  <c r="V30" i="2"/>
  <c r="N30" i="2"/>
  <c r="N31" i="2"/>
  <c r="N32" i="2"/>
  <c r="N33" i="2"/>
  <c r="M30" i="2"/>
  <c r="M31" i="2"/>
  <c r="M32" i="2"/>
  <c r="M33" i="2"/>
  <c r="L31" i="2"/>
  <c r="L32" i="2"/>
  <c r="L33" i="2"/>
  <c r="F30" i="2"/>
  <c r="F31" i="2"/>
  <c r="F32" i="2"/>
  <c r="F33" i="2"/>
  <c r="K30" i="6"/>
  <c r="K31" i="6"/>
  <c r="K32" i="6"/>
  <c r="I30" i="6"/>
  <c r="I31" i="6"/>
  <c r="I32" i="6"/>
  <c r="G30" i="6"/>
  <c r="G31" i="6"/>
  <c r="G32" i="6"/>
  <c r="E30" i="6"/>
  <c r="E31" i="6"/>
  <c r="E32" i="6"/>
  <c r="C32" i="6"/>
  <c r="C30" i="6"/>
  <c r="C31" i="6"/>
  <c r="K29" i="6"/>
  <c r="I29" i="6"/>
  <c r="G29" i="6"/>
  <c r="E29" i="6"/>
  <c r="C29" i="6"/>
  <c r="V28" i="2"/>
  <c r="N29" i="2"/>
  <c r="M29" i="2"/>
  <c r="L29" i="2"/>
  <c r="L30" i="2"/>
  <c r="F29" i="2"/>
  <c r="K28" i="6"/>
  <c r="I28" i="6"/>
  <c r="G28" i="6"/>
  <c r="E28" i="6"/>
  <c r="C28" i="6"/>
  <c r="V26" i="2"/>
  <c r="V27" i="2"/>
  <c r="N27" i="2"/>
  <c r="N28" i="2"/>
  <c r="M27" i="2"/>
  <c r="M28" i="2"/>
  <c r="L27" i="2"/>
  <c r="L28" i="2"/>
  <c r="F27" i="2"/>
  <c r="F28" i="2"/>
  <c r="K27" i="6"/>
  <c r="I27" i="6"/>
  <c r="G27" i="6"/>
  <c r="E27" i="6"/>
  <c r="C27" i="6"/>
  <c r="K26" i="6"/>
  <c r="I26" i="6"/>
  <c r="G26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E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6" i="2"/>
  <c r="V17" i="2"/>
  <c r="V18" i="2"/>
  <c r="V19" i="2"/>
  <c r="V20" i="2"/>
  <c r="N17" i="2"/>
  <c r="N18" i="2"/>
  <c r="N19" i="2"/>
  <c r="N20" i="2"/>
  <c r="N21" i="2"/>
  <c r="M17" i="2"/>
  <c r="M18" i="2"/>
  <c r="M19" i="2"/>
  <c r="M20" i="2"/>
  <c r="M21" i="2"/>
  <c r="L17" i="2"/>
  <c r="L18" i="2"/>
  <c r="L19" i="2"/>
  <c r="L20" i="2"/>
  <c r="L21" i="2"/>
  <c r="F17" i="2"/>
  <c r="F18" i="2"/>
  <c r="F19" i="2"/>
  <c r="F20" i="2"/>
  <c r="F21" i="2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V11" i="2"/>
  <c r="V12" i="2"/>
  <c r="V13" i="2"/>
  <c r="V14" i="2"/>
  <c r="V15" i="2"/>
  <c r="V10" i="2"/>
  <c r="N16" i="2"/>
  <c r="M16" i="2"/>
  <c r="L16" i="2"/>
  <c r="F16" i="2"/>
  <c r="K15" i="6"/>
  <c r="I15" i="6"/>
  <c r="G15" i="6"/>
  <c r="E15" i="6"/>
  <c r="C15" i="6"/>
  <c r="C11" i="6"/>
  <c r="C12" i="6"/>
  <c r="C13" i="6"/>
  <c r="C14" i="6"/>
  <c r="C10" i="6"/>
  <c r="N11" i="2"/>
  <c r="N12" i="2"/>
  <c r="N13" i="2"/>
  <c r="N14" i="2"/>
  <c r="N15" i="2"/>
  <c r="M11" i="2"/>
  <c r="M12" i="2"/>
  <c r="M13" i="2"/>
  <c r="M14" i="2"/>
  <c r="M15" i="2"/>
  <c r="L11" i="2"/>
  <c r="L12" i="2"/>
  <c r="L13" i="2"/>
  <c r="L14" i="2"/>
  <c r="L15" i="2"/>
  <c r="K11" i="6"/>
  <c r="K12" i="6"/>
  <c r="K13" i="6"/>
  <c r="K14" i="6"/>
  <c r="K10" i="6"/>
  <c r="I11" i="6"/>
  <c r="I12" i="6"/>
  <c r="I13" i="6"/>
  <c r="I14" i="6"/>
  <c r="I10" i="6"/>
  <c r="G11" i="6"/>
  <c r="G12" i="6"/>
  <c r="G13" i="6"/>
  <c r="G14" i="6"/>
  <c r="G10" i="6"/>
  <c r="E11" i="6"/>
  <c r="E12" i="6"/>
  <c r="E13" i="6"/>
  <c r="E14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O39" i="2"/>
  <c r="H39" i="2"/>
  <c r="X38" i="2"/>
  <c r="X37" i="2"/>
  <c r="X35" i="2"/>
  <c r="X36" i="2"/>
  <c r="X34" i="2"/>
  <c r="X33" i="2"/>
  <c r="X30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5" i="4"/>
  <c r="P36" i="4"/>
  <c r="P37" i="4"/>
  <c r="P38" i="4"/>
  <c r="P39" i="4"/>
  <c r="P40" i="4"/>
  <c r="X10" i="2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5" i="22"/>
  <c r="G16" i="22"/>
  <c r="G17" i="22"/>
  <c r="G18" i="22"/>
  <c r="G19" i="22"/>
  <c r="G20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25" i="4" l="1"/>
  <c r="V31" i="2"/>
  <c r="P26" i="4"/>
  <c r="V32" i="2"/>
  <c r="P23" i="4"/>
  <c r="V29" i="2"/>
  <c r="P16" i="4"/>
  <c r="V22" i="2"/>
  <c r="C31" i="4"/>
  <c r="G31" i="4"/>
  <c r="E31" i="4"/>
  <c r="X31" i="2"/>
  <c r="X32" i="2"/>
  <c r="E31" i="21"/>
  <c r="E31" i="22" s="1"/>
  <c r="Q40" i="2"/>
  <c r="O40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X29" i="2" l="1"/>
  <c r="G21" i="22"/>
  <c r="X22" i="2"/>
  <c r="G14" i="22"/>
  <c r="G24" i="22"/>
  <c r="G23" i="22"/>
  <c r="I31" i="22"/>
  <c r="H40" i="2"/>
  <c r="F41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<sst xmlns="http://schemas.openxmlformats.org/spreadsheetml/2006/main" count="482" uniqueCount="186">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</sst>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  <c:pt idx="20">
                  <c:v>141.20000000001164</c:v>
                </c:pt>
                <c:pt idx="21">
                  <c:v>139</c:v>
                </c:pt>
                <c:pt idx="22">
                  <c:v>140</c:v>
                </c:pt>
                <c:pt idx="23">
                  <c:v>138</c:v>
                </c:pt>
                <c:pt idx="24">
                  <c:v>184.10000000000582</c:v>
                </c:pt>
                <c:pt idx="25">
                  <c:v>103.89999999999418</c:v>
                </c:pt>
                <c:pt idx="26">
                  <c:v>137</c:v>
                </c:pt>
                <c:pt idx="27">
                  <c:v>151.89999999999418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  <c:pt idx="20">
                  <c:v>5337</c:v>
                </c:pt>
                <c:pt idx="21">
                  <c:v>4940</c:v>
                </c:pt>
                <c:pt idx="22">
                  <c:v>4932</c:v>
                </c:pt>
                <c:pt idx="23">
                  <c:v>4862</c:v>
                </c:pt>
                <c:pt idx="24">
                  <c:v>4727</c:v>
                </c:pt>
                <c:pt idx="25">
                  <c:v>4874</c:v>
                </c:pt>
                <c:pt idx="26">
                  <c:v>4664</c:v>
                </c:pt>
                <c:pt idx="27">
                  <c:v>5421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  <c:pt idx="20">
                  <c:v>8484</c:v>
                </c:pt>
                <c:pt idx="21">
                  <c:v>7519</c:v>
                </c:pt>
                <c:pt idx="22">
                  <c:v>8397</c:v>
                </c:pt>
                <c:pt idx="23">
                  <c:v>7702</c:v>
                </c:pt>
                <c:pt idx="24">
                  <c:v>7499</c:v>
                </c:pt>
                <c:pt idx="25">
                  <c:v>7554</c:v>
                </c:pt>
                <c:pt idx="26">
                  <c:v>7585</c:v>
                </c:pt>
                <c:pt idx="27">
                  <c:v>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  <c:pt idx="20">
                  <c:v>4221</c:v>
                </c:pt>
                <c:pt idx="21">
                  <c:v>3668</c:v>
                </c:pt>
                <c:pt idx="22">
                  <c:v>3987</c:v>
                </c:pt>
                <c:pt idx="23">
                  <c:v>3721</c:v>
                </c:pt>
                <c:pt idx="24">
                  <c:v>3635</c:v>
                </c:pt>
                <c:pt idx="25">
                  <c:v>3817</c:v>
                </c:pt>
                <c:pt idx="26">
                  <c:v>3819</c:v>
                </c:pt>
                <c:pt idx="27">
                  <c:v>3728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479.98815000000002</c:v>
                </c:pt>
                <c:pt idx="20">
                  <c:v>223.99447000000001</c:v>
                </c:pt>
                <c:pt idx="21">
                  <c:v>351.99131</c:v>
                </c:pt>
                <c:pt idx="22">
                  <c:v>319.99209999999999</c:v>
                </c:pt>
                <c:pt idx="23">
                  <c:v>863.97867000000008</c:v>
                </c:pt>
                <c:pt idx="24">
                  <c:v>319.99209999999999</c:v>
                </c:pt>
                <c:pt idx="25">
                  <c:v>319.99209999999999</c:v>
                </c:pt>
                <c:pt idx="26">
                  <c:v>319.99209999999999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1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12.74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19635</v>
      </c>
      <c r="F3" s="134">
        <v>1.05</v>
      </c>
      <c r="G3" s="134">
        <f>'Consommation mensuel énergie'!V11</f>
        <v>447.98894000000001</v>
      </c>
      <c r="H3" s="134">
        <v>12.74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12.74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12.74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12.74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12.74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12.74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12.74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12.74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12.74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12.74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12.74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12.74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12.74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12.74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12.74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12.74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12.74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12.74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479.98815000000002</v>
      </c>
      <c r="H21" s="134">
        <v>12.74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166</v>
      </c>
      <c r="L21" s="137">
        <f>'Consommation mensuel énergie'!E29</f>
        <v>260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18042</v>
      </c>
      <c r="F22" s="134">
        <v>1.05</v>
      </c>
      <c r="G22" s="134">
        <f>'Consommation mensuel énergie'!V30</f>
        <v>223.99447000000001</v>
      </c>
      <c r="H22" s="134">
        <v>12.74</v>
      </c>
      <c r="I22" s="134">
        <f>'Consommation mensuel énergie'!F30</f>
        <v>141.20000000001164</v>
      </c>
      <c r="J22" s="134">
        <v>11.4</v>
      </c>
      <c r="K22" s="137">
        <f>'Consommation mensuel énergie'!D30</f>
        <v>143</v>
      </c>
      <c r="L22" s="137">
        <f>'Consommation mensuel énergie'!E30</f>
        <v>233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16127</v>
      </c>
      <c r="F23" s="134">
        <v>1.05</v>
      </c>
      <c r="G23" s="134">
        <f>'Consommation mensuel énergie'!V31</f>
        <v>351.99131</v>
      </c>
      <c r="H23" s="134">
        <v>12.74</v>
      </c>
      <c r="I23" s="134">
        <f>'Consommation mensuel énergie'!F31</f>
        <v>139</v>
      </c>
      <c r="J23" s="134">
        <v>11.4</v>
      </c>
      <c r="K23" s="137">
        <f>'Consommation mensuel énergie'!D31</f>
        <v>147</v>
      </c>
      <c r="L23" s="137">
        <f>'Consommation mensuel énergie'!E31</f>
        <v>253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17316</v>
      </c>
      <c r="F24" s="134">
        <v>1.05</v>
      </c>
      <c r="G24" s="134">
        <f>'Consommation mensuel énergie'!V32</f>
        <v>319.99209999999999</v>
      </c>
      <c r="H24" s="134">
        <v>12.74</v>
      </c>
      <c r="I24" s="134">
        <f>'Consommation mensuel énergie'!F32</f>
        <v>140</v>
      </c>
      <c r="J24" s="134">
        <v>11.4</v>
      </c>
      <c r="K24" s="137">
        <f>'Consommation mensuel énergie'!D32</f>
        <v>133</v>
      </c>
      <c r="L24" s="137">
        <f>'Consommation mensuel énergie'!E32</f>
        <v>216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16285</v>
      </c>
      <c r="F25" s="134">
        <v>1.05</v>
      </c>
      <c r="G25" s="134">
        <f>'Consommation mensuel énergie'!V33</f>
        <v>863.97867000000008</v>
      </c>
      <c r="H25" s="134">
        <v>12.74</v>
      </c>
      <c r="I25" s="134">
        <f>'Consommation mensuel énergie'!F33</f>
        <v>138</v>
      </c>
      <c r="J25" s="134">
        <v>11.4</v>
      </c>
      <c r="K25" s="137">
        <f>'Consommation mensuel énergie'!D33</f>
        <v>152</v>
      </c>
      <c r="L25" s="137">
        <f>'Consommation mensuel énergie'!E33</f>
        <v>229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15861</v>
      </c>
      <c r="F26" s="134">
        <v>1.05</v>
      </c>
      <c r="G26" s="134">
        <f>'Consommation mensuel énergie'!V34</f>
        <v>319.99209999999999</v>
      </c>
      <c r="H26" s="134">
        <v>12.74</v>
      </c>
      <c r="I26" s="134">
        <f>'Consommation mensuel énergie'!F34</f>
        <v>184.10000000000582</v>
      </c>
      <c r="J26" s="134">
        <v>11.4</v>
      </c>
      <c r="K26" s="137">
        <f>'Consommation mensuel énergie'!D34</f>
        <v>116</v>
      </c>
      <c r="L26" s="137">
        <f>'Consommation mensuel énergie'!E34</f>
        <v>173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submetering!E27+submetering!F27+submetering!G27</f>
        <v>16245</v>
      </c>
      <c r="F27" s="134">
        <v>1.05</v>
      </c>
      <c r="G27" s="134">
        <f>'Consommation mensuel énergie'!V35</f>
        <v>319.99209999999999</v>
      </c>
      <c r="H27" s="134">
        <v>12.74</v>
      </c>
      <c r="I27" s="134">
        <f>'Consommation mensuel énergie'!F35</f>
        <v>103.89999999999418</v>
      </c>
      <c r="J27" s="134">
        <v>11.4</v>
      </c>
      <c r="K27" s="137">
        <f>'Consommation mensuel énergie'!D35</f>
        <v>139</v>
      </c>
      <c r="L27" s="137">
        <f>'Consommation mensuel énergie'!E35</f>
        <v>201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16068</v>
      </c>
      <c r="F28" s="134">
        <v>1.05</v>
      </c>
      <c r="G28" s="134">
        <f>'Consommation mensuel énergie'!V36</f>
        <v>0</v>
      </c>
      <c r="H28" s="134">
        <v>12.74</v>
      </c>
      <c r="I28" s="134">
        <f>'Consommation mensuel énergie'!F36</f>
        <v>137</v>
      </c>
      <c r="J28" s="134">
        <v>11.4</v>
      </c>
      <c r="K28" s="137">
        <f>'Consommation mensuel énergie'!D36</f>
        <v>142</v>
      </c>
      <c r="L28" s="137">
        <f>'Consommation mensuel énergie'!E36</f>
        <v>212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16552</v>
      </c>
      <c r="F29" s="134">
        <v>1.05</v>
      </c>
      <c r="G29" s="134">
        <f>'Consommation mensuel énergie'!V37</f>
        <v>0</v>
      </c>
      <c r="H29" s="134">
        <v>12.74</v>
      </c>
      <c r="I29" s="134">
        <f>'Consommation mensuel énergie'!F37</f>
        <v>151.89999999999418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12.74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12.74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0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énergie'!N14</f>
        <v>4642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166</v>
      </c>
      <c r="I21" s="137">
        <f>'Consommation mensuel énergie'!E29</f>
        <v>260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5337</v>
      </c>
      <c r="F22" s="137">
        <f>'Consommation mensuel énergie'!M30</f>
        <v>8484</v>
      </c>
      <c r="G22" s="137">
        <f>'Consommation mensuel énergie'!N30</f>
        <v>4221</v>
      </c>
      <c r="H22" s="137">
        <f>'Consommation mensuel énergie'!D30</f>
        <v>143</v>
      </c>
      <c r="I22" s="137">
        <f>'Consommation mensuel énergie'!E30</f>
        <v>233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4940</v>
      </c>
      <c r="F23" s="137">
        <f>'Consommation mensuel énergie'!M31</f>
        <v>7519</v>
      </c>
      <c r="G23" s="137">
        <f>'Consommation mensuel énergie'!N31</f>
        <v>3668</v>
      </c>
      <c r="H23" s="137">
        <f>'Consommation mensuel énergie'!D31</f>
        <v>147</v>
      </c>
      <c r="I23" s="137">
        <f>'Consommation mensuel énergie'!E31</f>
        <v>253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4932</v>
      </c>
      <c r="F24" s="137">
        <f>'Consommation mensuel énergie'!M32</f>
        <v>8397</v>
      </c>
      <c r="G24" s="137">
        <f>'Consommation mensuel énergie'!N32</f>
        <v>3987</v>
      </c>
      <c r="H24" s="137">
        <f>'Consommation mensuel énergie'!D32</f>
        <v>133</v>
      </c>
      <c r="I24" s="137">
        <f>'Consommation mensuel énergie'!E32</f>
        <v>216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4862</v>
      </c>
      <c r="F25" s="137">
        <f>'Consommation mensuel énergie'!M33</f>
        <v>7702</v>
      </c>
      <c r="G25" s="137">
        <f>'Consommation mensuel énergie'!N33</f>
        <v>3721</v>
      </c>
      <c r="H25" s="137">
        <f>'Consommation mensuel énergie'!D33</f>
        <v>152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4727</v>
      </c>
      <c r="F26" s="137">
        <f>'Consommation mensuel énergie'!M34</f>
        <v>7499</v>
      </c>
      <c r="G26" s="137">
        <f>'Consommation mensuel énergie'!N34</f>
        <v>3635</v>
      </c>
      <c r="H26" s="137">
        <f>'Consommation mensuel énergie'!D34</f>
        <v>116</v>
      </c>
      <c r="I26" s="137">
        <f>'Consommation mensuel énergie'!E34</f>
        <v>173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'Consommation mensuel énergie'!L35</f>
        <v>4874</v>
      </c>
      <c r="F27" s="137">
        <f>'Consommation mensuel énergie'!M35</f>
        <v>7554</v>
      </c>
      <c r="G27" s="137">
        <f>'Consommation mensuel énergie'!N35</f>
        <v>3817</v>
      </c>
      <c r="H27" s="137">
        <f>'Consommation mensuel énergie'!D35</f>
        <v>139</v>
      </c>
      <c r="I27" s="137">
        <f>'Consommation mensuel énergie'!E35</f>
        <v>201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4664</v>
      </c>
      <c r="F28" s="137">
        <f>'Consommation mensuel énergie'!M36</f>
        <v>7585</v>
      </c>
      <c r="G28" s="137">
        <f>'Consommation mensuel énergie'!N36</f>
        <v>3819</v>
      </c>
      <c r="H28" s="137">
        <f>'Consommation mensuel énergie'!D36</f>
        <v>142</v>
      </c>
      <c r="I28" s="137">
        <f>'Consommation mensuel énergie'!E36</f>
        <v>212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5421</v>
      </c>
      <c r="F29" s="137">
        <f>'Consommation mensuel énergie'!M37</f>
        <v>7403</v>
      </c>
      <c r="G29" s="137">
        <f>'Consommation mensuel énergie'!N37</f>
        <v>3728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énergie'!L40</f>
        <v>0</v>
      </c>
      <c r="F31" s="137">
        <f>'Consommation mensuel énergie'!M40</f>
        <v>0</v>
      </c>
      <c r="G31" s="137">
        <f>'Consommation mensuel énergie'!N40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F10" activePane="bottomRight" state="frozen"/>
      <selection pane="bottomRight" activeCell="Q38" sqref="Q3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1">V11*12.74</f>
        <v>5707.3790956000003</v>
      </c>
    </row>
    <row r="12" spans="1:24" ht="32.25" customHeight="1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>L12+M12+N12</f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1"/>
        <v>4892.0392247999998</v>
      </c>
    </row>
    <row r="13" spans="1:24" ht="32.25" customHeight="1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ref="O13:O36" si="2">L13+M13+N13</f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4901.2869360000004</v>
      </c>
    </row>
    <row r="14" spans="1:24" ht="32.25" customHeight="1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2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4892.0392247999998</v>
      </c>
    </row>
    <row r="15" spans="1:24" ht="32.25" customHeight="1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2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3261.3594832000003</v>
      </c>
    </row>
    <row r="16" spans="1:24" ht="32.25" customHeight="1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2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5299.7091602</v>
      </c>
    </row>
    <row r="17" spans="1:24" s="5" customFormat="1" ht="32.25" customHeight="1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2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4484.3692893999996</v>
      </c>
    </row>
    <row r="18" spans="1:24" ht="32.25" customHeight="1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2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4484.3692893999996</v>
      </c>
    </row>
    <row r="19" spans="1:24" ht="32.25" customHeight="1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2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5299.7091602</v>
      </c>
    </row>
    <row r="20" spans="1:24" ht="32.25" customHeight="1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2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1"/>
        <v>2853.6895478000001</v>
      </c>
    </row>
    <row r="21" spans="1:24" ht="32.25" customHeight="1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>L21+M21+N21</f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2853.6895478000001</v>
      </c>
    </row>
    <row r="22" spans="1:24" ht="32.25" customHeight="1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2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3261.3594832000003</v>
      </c>
    </row>
    <row r="23" spans="1:24" ht="32.25" customHeight="1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>L23+M23+N23</f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1"/>
        <v>5707.3790956000003</v>
      </c>
    </row>
    <row r="24" spans="1:24" ht="32.25" customHeight="1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>L24+M24+N24</f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1"/>
        <v>4892.0392247999998</v>
      </c>
    </row>
    <row r="25" spans="1:24" ht="32.25" customHeight="1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>L25+M25+N25</f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3669.0294186000001</v>
      </c>
    </row>
    <row r="26" spans="1:24" ht="32.25" customHeight="1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>L26+M26+N26</f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1"/>
        <v>3261.3594832000003</v>
      </c>
    </row>
    <row r="27" spans="1:24" ht="32.25" customHeight="1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2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1"/>
        <v>6522.7189664000007</v>
      </c>
    </row>
    <row r="28" spans="1:24" ht="32.25" customHeight="1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2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5299.7091602</v>
      </c>
    </row>
    <row r="29" spans="1:24" ht="32.25" customHeight="1">
      <c r="A29" s="2"/>
      <c r="B29" s="6">
        <v>44854</v>
      </c>
      <c r="C29" s="7"/>
      <c r="D29" s="143">
        <v>166</v>
      </c>
      <c r="E29" s="143">
        <v>260</v>
      </c>
      <c r="F29" s="13">
        <f>'Suivi EAU-ELEC'!E28</f>
        <v>145.39999999999418</v>
      </c>
      <c r="G29" s="11"/>
      <c r="H29" s="168">
        <f t="shared" si="4"/>
        <v>1278.0659999999486</v>
      </c>
      <c r="I29" s="169"/>
      <c r="J29" s="169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>L29+M29+N29</f>
        <v>19465</v>
      </c>
      <c r="P29" s="11"/>
      <c r="Q29" s="34">
        <f t="shared" si="3"/>
        <v>18460.793799999999</v>
      </c>
      <c r="R29" s="11"/>
      <c r="S29" s="28"/>
      <c r="T29" s="11"/>
      <c r="U29" s="28"/>
      <c r="V29" s="146">
        <f>'Suvi Gaz'!O23</f>
        <v>479.98815000000002</v>
      </c>
      <c r="W29" s="11"/>
      <c r="X29" s="34">
        <f t="shared" si="1"/>
        <v>6115.0490310000005</v>
      </c>
    </row>
    <row r="30" spans="1:24" ht="32.25" customHeight="1">
      <c r="A30" s="2"/>
      <c r="B30" s="6">
        <v>44855</v>
      </c>
      <c r="C30" s="7"/>
      <c r="D30" s="143">
        <v>143</v>
      </c>
      <c r="E30" s="143">
        <v>233</v>
      </c>
      <c r="F30" s="13">
        <f>'Suivi EAU-ELEC'!E29</f>
        <v>141.20000000001164</v>
      </c>
      <c r="G30" s="11"/>
      <c r="H30" s="168">
        <f t="shared" si="4"/>
        <v>1241.1480000001022</v>
      </c>
      <c r="I30" s="169"/>
      <c r="J30" s="169"/>
      <c r="K30" s="60">
        <v>42298</v>
      </c>
      <c r="L30" s="90">
        <f>'Suivi EAU-ELEC'!G29</f>
        <v>5337</v>
      </c>
      <c r="M30" s="91">
        <f>'Suivi EAU-ELEC'!I29</f>
        <v>8484</v>
      </c>
      <c r="N30" s="91">
        <f>'Suivi EAU-ELEC'!K29</f>
        <v>4221</v>
      </c>
      <c r="O30" s="91">
        <f>L30+M30+N30</f>
        <v>18042</v>
      </c>
      <c r="P30" s="11"/>
      <c r="Q30" s="34">
        <f>L30*0.6985+M30*0.9514+N30*1.3304</f>
        <v>17415.190500000001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2853.6895478000001</v>
      </c>
    </row>
    <row r="31" spans="1:24" ht="27.75" customHeight="1">
      <c r="A31" s="2"/>
      <c r="B31" s="6">
        <v>44856</v>
      </c>
      <c r="C31" s="7"/>
      <c r="D31" s="143">
        <v>147</v>
      </c>
      <c r="E31" s="143">
        <v>253</v>
      </c>
      <c r="F31" s="13">
        <f>'Suivi EAU-ELEC'!E30</f>
        <v>139</v>
      </c>
      <c r="G31" s="11"/>
      <c r="H31" s="168">
        <f t="shared" si="4"/>
        <v>1221.81</v>
      </c>
      <c r="I31" s="169"/>
      <c r="J31" s="169"/>
      <c r="K31" s="60">
        <v>42299</v>
      </c>
      <c r="L31" s="90">
        <f>'Suivi EAU-ELEC'!G30</f>
        <v>4940</v>
      </c>
      <c r="M31" s="91">
        <f>'Suivi EAU-ELEC'!I30</f>
        <v>7519</v>
      </c>
      <c r="N31" s="91">
        <f>'Suivi EAU-ELEC'!K30</f>
        <v>3668</v>
      </c>
      <c r="O31" s="91">
        <f>L31+M31+N31</f>
        <v>16127</v>
      </c>
      <c r="P31" s="11"/>
      <c r="Q31" s="34">
        <f>L31*0.6985+M31*0.9514+N31*1.3304</f>
        <v>15484.0738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4484.3692893999996</v>
      </c>
    </row>
    <row r="32" spans="1:24" ht="37.5" customHeight="1">
      <c r="A32" s="2"/>
      <c r="B32" s="6">
        <v>44857</v>
      </c>
      <c r="C32" s="7"/>
      <c r="D32" s="143">
        <v>133</v>
      </c>
      <c r="E32" s="143">
        <v>216</v>
      </c>
      <c r="F32" s="13">
        <f>'Suivi EAU-ELEC'!E31</f>
        <v>140</v>
      </c>
      <c r="G32" s="11"/>
      <c r="H32" s="168">
        <f t="shared" si="4"/>
        <v>1230.5999999999999</v>
      </c>
      <c r="I32" s="169"/>
      <c r="J32" s="169"/>
      <c r="K32" s="60">
        <v>42300</v>
      </c>
      <c r="L32" s="90">
        <f>'Suivi EAU-ELEC'!G31</f>
        <v>4932</v>
      </c>
      <c r="M32" s="91">
        <f>'Suivi EAU-ELEC'!I31</f>
        <v>8397</v>
      </c>
      <c r="N32" s="91">
        <f>'Suivi EAU-ELEC'!K31</f>
        <v>3987</v>
      </c>
      <c r="O32" s="91">
        <f t="shared" si="2"/>
        <v>17316</v>
      </c>
      <c r="P32" s="11"/>
      <c r="Q32" s="34">
        <f t="shared" si="3"/>
        <v>16738.212599999999</v>
      </c>
      <c r="R32" s="11"/>
      <c r="S32" s="28"/>
      <c r="T32" s="11"/>
      <c r="U32" s="28"/>
      <c r="V32" s="146">
        <f>'Suvi Gaz'!O26</f>
        <v>319.99209999999999</v>
      </c>
      <c r="W32" s="11"/>
      <c r="X32" s="34">
        <f t="shared" si="1"/>
        <v>4076.6993539999999</v>
      </c>
    </row>
    <row r="33" spans="1:24" ht="37.5" customHeight="1">
      <c r="A33" s="2"/>
      <c r="B33" s="6">
        <v>44858</v>
      </c>
      <c r="C33" s="7"/>
      <c r="D33" s="143">
        <v>152</v>
      </c>
      <c r="E33" s="143">
        <v>229</v>
      </c>
      <c r="F33" s="13">
        <f>'Suivi EAU-ELEC'!E32</f>
        <v>138</v>
      </c>
      <c r="G33" s="11"/>
      <c r="H33" s="168">
        <f t="shared" si="4"/>
        <v>1213.02</v>
      </c>
      <c r="I33" s="169"/>
      <c r="J33" s="169"/>
      <c r="K33" s="60">
        <v>42301</v>
      </c>
      <c r="L33" s="90">
        <f>'Suivi EAU-ELEC'!G32</f>
        <v>4862</v>
      </c>
      <c r="M33" s="91">
        <f>'Suivi EAU-ELEC'!I32</f>
        <v>7702</v>
      </c>
      <c r="N33" s="91">
        <f>'Suivi EAU-ELEC'!K32</f>
        <v>3721</v>
      </c>
      <c r="O33" s="91">
        <f t="shared" si="2"/>
        <v>16285</v>
      </c>
      <c r="P33" s="11"/>
      <c r="Q33" s="34">
        <f t="shared" si="3"/>
        <v>15674.208200000001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1"/>
        <v>11007.088255800001</v>
      </c>
    </row>
    <row r="34" spans="1:24" ht="37.5" customHeight="1">
      <c r="A34" s="2"/>
      <c r="B34" s="6">
        <v>44859</v>
      </c>
      <c r="C34" s="7"/>
      <c r="D34" s="143">
        <v>116</v>
      </c>
      <c r="E34" s="143">
        <v>173</v>
      </c>
      <c r="F34" s="13">
        <f>'Suivi EAU-ELEC'!E33</f>
        <v>184.10000000000582</v>
      </c>
      <c r="G34" s="11"/>
      <c r="H34" s="168">
        <f t="shared" si="4"/>
        <v>1618.239000000051</v>
      </c>
      <c r="I34" s="169"/>
      <c r="J34" s="169"/>
      <c r="K34" s="60">
        <v>42302</v>
      </c>
      <c r="L34" s="90">
        <f>'Suivi EAU-ELEC'!G33</f>
        <v>4727</v>
      </c>
      <c r="M34" s="91">
        <f>'Suivi EAU-ELEC'!I33</f>
        <v>7499</v>
      </c>
      <c r="N34" s="91">
        <f>'Suivi EAU-ELEC'!K33</f>
        <v>3635</v>
      </c>
      <c r="O34" s="91">
        <f t="shared" si="2"/>
        <v>15861</v>
      </c>
      <c r="P34" s="11"/>
      <c r="Q34" s="34">
        <f t="shared" si="3"/>
        <v>15272.362099999998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1"/>
        <v>4076.6993539999999</v>
      </c>
    </row>
    <row r="35" spans="1:24" ht="33.75" customHeight="1">
      <c r="A35" s="2"/>
      <c r="B35" s="6">
        <v>44860</v>
      </c>
      <c r="C35" s="7"/>
      <c r="D35" s="143">
        <v>139</v>
      </c>
      <c r="E35" s="143">
        <v>201</v>
      </c>
      <c r="F35" s="13">
        <f>'Suivi EAU-ELEC'!E34</f>
        <v>103.89999999999418</v>
      </c>
      <c r="G35" s="11"/>
      <c r="H35" s="168">
        <f t="shared" si="4"/>
        <v>913.28099999994879</v>
      </c>
      <c r="I35" s="169"/>
      <c r="J35" s="169"/>
      <c r="K35" s="60">
        <v>42303</v>
      </c>
      <c r="L35" s="90">
        <f>'Suivi EAU-ELEC'!G34</f>
        <v>4874</v>
      </c>
      <c r="M35" s="91">
        <f>'Suivi EAU-ELEC'!I34</f>
        <v>7554</v>
      </c>
      <c r="N35" s="91">
        <f>'Suivi EAU-ELEC'!K34</f>
        <v>3817</v>
      </c>
      <c r="O35" s="91">
        <f t="shared" si="2"/>
        <v>16245</v>
      </c>
      <c r="P35" s="11"/>
      <c r="Q35" s="34">
        <f t="shared" si="3"/>
        <v>15669.501400000001</v>
      </c>
      <c r="R35" s="11"/>
      <c r="S35" s="28"/>
      <c r="T35" s="11"/>
      <c r="U35" s="28"/>
      <c r="V35" s="146">
        <f>'Suvi Gaz'!O29</f>
        <v>319.99209999999999</v>
      </c>
      <c r="W35" s="11"/>
      <c r="X35" s="34">
        <f t="shared" si="1"/>
        <v>4076.6993539999999</v>
      </c>
    </row>
    <row r="36" spans="1:24" ht="33.75" customHeight="1">
      <c r="A36" s="2"/>
      <c r="B36" s="6">
        <v>44861</v>
      </c>
      <c r="C36" s="7"/>
      <c r="D36" s="143">
        <v>142</v>
      </c>
      <c r="E36" s="143">
        <v>212</v>
      </c>
      <c r="F36" s="13">
        <f>'Suivi EAU-ELEC'!E35</f>
        <v>137</v>
      </c>
      <c r="G36" s="11"/>
      <c r="H36" s="168">
        <f t="shared" ref="H36:H37" si="5">F36*8.79</f>
        <v>1204.2299999999998</v>
      </c>
      <c r="I36" s="169"/>
      <c r="J36" s="169"/>
      <c r="K36" s="60"/>
      <c r="L36" s="90">
        <f>'Suivi EAU-ELEC'!G35</f>
        <v>4664</v>
      </c>
      <c r="M36" s="91">
        <f>'Suivi EAU-ELEC'!I35</f>
        <v>7585</v>
      </c>
      <c r="N36" s="91">
        <f>'Suivi EAU-ELEC'!K35</f>
        <v>3819</v>
      </c>
      <c r="O36" s="91">
        <f t="shared" si="2"/>
        <v>16068</v>
      </c>
      <c r="P36" s="11"/>
      <c r="Q36" s="34">
        <f t="shared" si="3"/>
        <v>15554.970600000001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44862</v>
      </c>
      <c r="C37" s="7"/>
      <c r="D37" s="143"/>
      <c r="E37" s="143"/>
      <c r="F37" s="13">
        <f>'Suivi EAU-ELEC'!E36</f>
        <v>151.89999999999418</v>
      </c>
      <c r="G37" s="11"/>
      <c r="H37" s="168">
        <f t="shared" si="5"/>
        <v>1335.2009999999486</v>
      </c>
      <c r="I37" s="169"/>
      <c r="J37" s="169"/>
      <c r="K37" s="60"/>
      <c r="L37" s="90">
        <f>'Suivi EAU-ELEC'!G36</f>
        <v>5421</v>
      </c>
      <c r="M37" s="91">
        <f>'Suivi EAU-ELEC'!I36</f>
        <v>7403</v>
      </c>
      <c r="N37" s="91">
        <f>'Suivi EAU-ELEC'!K36</f>
        <v>3728</v>
      </c>
      <c r="O37" s="91">
        <f>L37+M37+N37</f>
        <v>16552</v>
      </c>
      <c r="P37" s="11"/>
      <c r="Q37" s="34">
        <f>L37*0.6985+M37*0.9514+N37*1.3304</f>
        <v>15789.5139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44863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44864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>L39+M39+N39</f>
        <v>0</v>
      </c>
      <c r="P39" s="11"/>
      <c r="Q39" s="34">
        <f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44865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ref="O40" si="6">L40+M40+N40</f>
        <v>0</v>
      </c>
      <c r="P40" s="11"/>
      <c r="Q40" s="34">
        <f t="shared" ref="Q40" si="7">L40*0.6985+M40*0.9514+N40*1.3304</f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3663</v>
      </c>
      <c r="E41" s="8">
        <f>SUM(E10:E40)</f>
        <v>5613</v>
      </c>
      <c r="F41" s="152">
        <f>SUM(F10:F40)</f>
        <v>3931.1999999999825</v>
      </c>
      <c r="G41" s="1"/>
      <c r="H41" s="206">
        <f>SUM(H10:H40)</f>
        <v>34555.247999999847</v>
      </c>
      <c r="I41" s="207"/>
      <c r="J41" s="208"/>
      <c r="K41" s="1"/>
      <c r="L41" s="53">
        <f>SUM(L10:L40)</f>
        <v>149062</v>
      </c>
      <c r="M41" s="53">
        <f>SUM(M10:M40)</f>
        <v>228114</v>
      </c>
      <c r="N41" s="54">
        <f>SUM(N10:N40)</f>
        <v>111194</v>
      </c>
      <c r="O41" s="55">
        <f>SUM(O10:O40)</f>
        <v>488370</v>
      </c>
      <c r="P41" s="31"/>
      <c r="Q41" s="34">
        <f t="shared" ref="Q41" si="8">L41*0.6985+M41*0.9514+N41*1.3304</f>
        <v>469079.96420000005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9760.4849299999987</v>
      </c>
      <c r="W41" s="31"/>
      <c r="X41" s="32">
        <f>SUM(X10:X40)</f>
        <v>124348.57800819998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149062</v>
      </c>
      <c r="J44" s="221"/>
      <c r="K44" s="222"/>
      <c r="L44" s="204">
        <f>I44*H44</f>
        <v>104119.807</v>
      </c>
      <c r="M44" s="205"/>
      <c r="N44" s="177">
        <f>L44+L45+L46</f>
        <v>469079.96420000005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228114</v>
      </c>
      <c r="J45" s="221"/>
      <c r="K45" s="222"/>
      <c r="L45" s="204">
        <f>I45*H45</f>
        <v>217027.65960000001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111194</v>
      </c>
      <c r="J46" s="196"/>
      <c r="K46" s="197"/>
      <c r="L46" s="204">
        <f>I46*H46</f>
        <v>147932.4976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609803.95346000011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3931.1999999999825</v>
      </c>
      <c r="J48" s="216"/>
      <c r="K48" s="217"/>
      <c r="L48" s="218">
        <f>I48*H48</f>
        <v>34555.24799999984</v>
      </c>
      <c r="M48" s="219"/>
      <c r="N48" s="174">
        <f>L48</f>
        <v>34555.24799999984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>
      <c r="A49" s="189" t="s">
        <v>40</v>
      </c>
      <c r="B49" s="190"/>
      <c r="C49" s="190"/>
      <c r="D49" s="190"/>
      <c r="E49" s="190"/>
      <c r="F49" s="191"/>
      <c r="G49" s="24"/>
      <c r="H49" s="25">
        <v>12.74</v>
      </c>
      <c r="I49" s="192">
        <f>V41</f>
        <v>9760.4849299999987</v>
      </c>
      <c r="J49" s="193"/>
      <c r="K49" s="194"/>
      <c r="L49" s="192">
        <f>I49*H49</f>
        <v>124348.57800819998</v>
      </c>
      <c r="M49" s="194"/>
      <c r="N49" s="171">
        <f>L49</f>
        <v>124348.57800819998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5" activePane="bottomRight" state="frozen"/>
      <selection pane="bottomRight" activeCell="B36" sqref="B36:K3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>
      <c r="A11" s="59">
        <v>44837</v>
      </c>
      <c r="B11" s="116">
        <v>2560</v>
      </c>
      <c r="C11" s="115">
        <f t="shared" ref="C11:C36" si="0">B11-B10</f>
        <v>0</v>
      </c>
      <c r="D11" s="57">
        <v>168386</v>
      </c>
      <c r="E11" s="50">
        <f t="shared" ref="E11:E36" si="1">D11-D10</f>
        <v>134</v>
      </c>
      <c r="F11" s="51">
        <v>12482017</v>
      </c>
      <c r="G11" s="50">
        <f t="shared" ref="G11:H30" si="2">F11-F10</f>
        <v>5388</v>
      </c>
      <c r="H11" s="51">
        <v>21377728</v>
      </c>
      <c r="I11" s="50">
        <f t="shared" ref="I11:I36" si="3">H11-H10</f>
        <v>7402</v>
      </c>
      <c r="J11" s="51">
        <v>9350842</v>
      </c>
      <c r="K11" s="50">
        <f t="shared" ref="K11:L30" si="4">J11-J10</f>
        <v>3620</v>
      </c>
    </row>
    <row r="12" spans="1:12" ht="19.5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>
      <c r="A29" s="59">
        <v>44855</v>
      </c>
      <c r="B29" s="116">
        <v>2569</v>
      </c>
      <c r="C29" s="115">
        <f t="shared" si="0"/>
        <v>0</v>
      </c>
      <c r="D29" s="57">
        <v>170930</v>
      </c>
      <c r="E29" s="50">
        <f t="shared" si="1"/>
        <v>141.20000000001164</v>
      </c>
      <c r="F29" s="51">
        <v>12580043</v>
      </c>
      <c r="G29" s="50">
        <f t="shared" si="2"/>
        <v>5337</v>
      </c>
      <c r="H29" s="51">
        <v>21528148</v>
      </c>
      <c r="I29" s="50">
        <f t="shared" si="3"/>
        <v>8484</v>
      </c>
      <c r="J29" s="51">
        <v>9424032</v>
      </c>
      <c r="K29" s="50">
        <f t="shared" si="4"/>
        <v>4221</v>
      </c>
    </row>
    <row r="30" spans="1:29" ht="19.5">
      <c r="A30" s="59">
        <v>44856</v>
      </c>
      <c r="B30" s="116">
        <v>2569</v>
      </c>
      <c r="C30" s="115">
        <f t="shared" si="0"/>
        <v>0</v>
      </c>
      <c r="D30" s="57">
        <v>171069</v>
      </c>
      <c r="E30" s="50">
        <f t="shared" si="1"/>
        <v>139</v>
      </c>
      <c r="F30" s="51">
        <v>12584983</v>
      </c>
      <c r="G30" s="50">
        <f t="shared" si="2"/>
        <v>4940</v>
      </c>
      <c r="H30" s="51">
        <v>21535667</v>
      </c>
      <c r="I30" s="50">
        <f t="shared" si="3"/>
        <v>7519</v>
      </c>
      <c r="J30" s="51">
        <v>9427700</v>
      </c>
      <c r="K30" s="50">
        <f t="shared" si="4"/>
        <v>3668</v>
      </c>
    </row>
    <row r="31" spans="1:29" ht="19.5">
      <c r="A31" s="59">
        <v>44857</v>
      </c>
      <c r="B31" s="116">
        <v>2569</v>
      </c>
      <c r="C31" s="115">
        <f t="shared" si="0"/>
        <v>0</v>
      </c>
      <c r="D31" s="57">
        <v>171209</v>
      </c>
      <c r="E31" s="50">
        <f t="shared" si="1"/>
        <v>140</v>
      </c>
      <c r="F31" s="51">
        <v>12589915</v>
      </c>
      <c r="G31" s="50">
        <f t="shared" ref="G31:G36" si="5">F31-F30</f>
        <v>4932</v>
      </c>
      <c r="H31" s="51">
        <v>21544064</v>
      </c>
      <c r="I31" s="50">
        <f t="shared" si="3"/>
        <v>8397</v>
      </c>
      <c r="J31" s="51">
        <v>9431687</v>
      </c>
      <c r="K31" s="50">
        <f t="shared" ref="K31:K36" si="6">J31-J30</f>
        <v>3987</v>
      </c>
    </row>
    <row r="32" spans="1:29" ht="19.5">
      <c r="A32" s="59">
        <v>44858</v>
      </c>
      <c r="B32" s="116">
        <v>2569</v>
      </c>
      <c r="C32" s="115">
        <f t="shared" si="0"/>
        <v>0</v>
      </c>
      <c r="D32" s="57">
        <v>171347</v>
      </c>
      <c r="E32" s="50">
        <f t="shared" si="1"/>
        <v>138</v>
      </c>
      <c r="F32" s="51">
        <v>12594777</v>
      </c>
      <c r="G32" s="50">
        <f t="shared" si="5"/>
        <v>4862</v>
      </c>
      <c r="H32" s="51">
        <v>21551766</v>
      </c>
      <c r="I32" s="50">
        <f t="shared" si="3"/>
        <v>7702</v>
      </c>
      <c r="J32" s="51">
        <v>9435408</v>
      </c>
      <c r="K32" s="50">
        <f t="shared" si="6"/>
        <v>3721</v>
      </c>
    </row>
    <row r="33" spans="1:11" ht="19.5">
      <c r="A33" s="59">
        <v>44859</v>
      </c>
      <c r="B33" s="116">
        <v>2569</v>
      </c>
      <c r="C33" s="115">
        <f t="shared" si="0"/>
        <v>0</v>
      </c>
      <c r="D33" s="57">
        <v>171531.1</v>
      </c>
      <c r="E33" s="50">
        <f t="shared" si="1"/>
        <v>184.10000000000582</v>
      </c>
      <c r="F33" s="51">
        <v>12599504</v>
      </c>
      <c r="G33" s="50">
        <f t="shared" si="5"/>
        <v>4727</v>
      </c>
      <c r="H33" s="51">
        <v>21559265</v>
      </c>
      <c r="I33" s="50">
        <f t="shared" si="3"/>
        <v>7499</v>
      </c>
      <c r="J33" s="51">
        <v>9439043</v>
      </c>
      <c r="K33" s="50">
        <f t="shared" si="6"/>
        <v>3635</v>
      </c>
    </row>
    <row r="34" spans="1:11" ht="19.5">
      <c r="A34" s="59">
        <v>44860</v>
      </c>
      <c r="B34" s="116">
        <v>2569</v>
      </c>
      <c r="C34" s="115">
        <f t="shared" si="0"/>
        <v>0</v>
      </c>
      <c r="D34" s="57">
        <v>171635</v>
      </c>
      <c r="E34" s="50">
        <f t="shared" si="1"/>
        <v>103.89999999999418</v>
      </c>
      <c r="F34" s="51">
        <v>12604378</v>
      </c>
      <c r="G34" s="50">
        <f t="shared" si="5"/>
        <v>4874</v>
      </c>
      <c r="H34" s="51">
        <v>21566819</v>
      </c>
      <c r="I34" s="50">
        <f t="shared" si="3"/>
        <v>7554</v>
      </c>
      <c r="J34" s="51">
        <v>9442860</v>
      </c>
      <c r="K34" s="50">
        <f t="shared" si="6"/>
        <v>3817</v>
      </c>
    </row>
    <row r="35" spans="1:11" ht="19.5">
      <c r="A35" s="59">
        <v>44861</v>
      </c>
      <c r="B35" s="116">
        <v>2569</v>
      </c>
      <c r="C35" s="115">
        <f t="shared" si="0"/>
        <v>0</v>
      </c>
      <c r="D35" s="57">
        <v>171772</v>
      </c>
      <c r="E35" s="50">
        <f t="shared" si="1"/>
        <v>137</v>
      </c>
      <c r="F35" s="51">
        <v>12609042</v>
      </c>
      <c r="G35" s="50">
        <f t="shared" si="5"/>
        <v>4664</v>
      </c>
      <c r="H35" s="51">
        <v>21574404</v>
      </c>
      <c r="I35" s="50">
        <f t="shared" si="3"/>
        <v>7585</v>
      </c>
      <c r="J35" s="51">
        <v>9446679</v>
      </c>
      <c r="K35" s="50">
        <f t="shared" si="6"/>
        <v>3819</v>
      </c>
    </row>
    <row r="36" spans="1:11" ht="19.5">
      <c r="A36" s="59">
        <v>44862</v>
      </c>
      <c r="B36" s="116">
        <v>2569</v>
      </c>
      <c r="C36" s="115">
        <f t="shared" si="0"/>
        <v>0</v>
      </c>
      <c r="D36" s="57">
        <v>171923.9</v>
      </c>
      <c r="E36" s="50">
        <f t="shared" si="1"/>
        <v>151.89999999999418</v>
      </c>
      <c r="F36" s="51">
        <v>12614463</v>
      </c>
      <c r="G36" s="50">
        <f t="shared" si="5"/>
        <v>5421</v>
      </c>
      <c r="H36" s="51">
        <v>21581807</v>
      </c>
      <c r="I36" s="50">
        <f t="shared" si="3"/>
        <v>7403</v>
      </c>
      <c r="J36" s="51">
        <v>9450407</v>
      </c>
      <c r="K36" s="50">
        <f t="shared" si="6"/>
        <v>3728</v>
      </c>
    </row>
    <row r="37" spans="1:11" ht="19.5">
      <c r="A37" s="59">
        <v>44863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44864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44865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bottomRight" activeCell="B31" sqref="B31:H3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O4*12.74</f>
        <v>6115.0490310000005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44836</v>
      </c>
      <c r="B5" s="41">
        <v>80</v>
      </c>
      <c r="C5" s="39">
        <f t="shared" ref="C4:C35" si="7">IF(AC5&gt;0,((B5-R5)+(S5-B6)),IF(B6=0, ,(B5-B6)))</f>
        <v>4</v>
      </c>
      <c r="D5" s="41">
        <v>76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3" si="10">O5*12.74</f>
        <v>5707.3790956000003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4892.0392247999998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4901.2869360000004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4892.0392247999998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3261.3594832000003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5299.7091602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4484.3692893999996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4484.3692893999996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5299.7091602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2853.6895478000001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2853.6895478000001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3261.3594832000003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5707.3790956000003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4892.0392247999998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3669.0294186000001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3261.3594832000003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6522.7189664000007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1"/>
        <v>4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5299.7091602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44854</v>
      </c>
      <c r="B23" s="41">
        <v>60</v>
      </c>
      <c r="C23" s="39">
        <f t="shared" si="7"/>
        <v>3</v>
      </c>
      <c r="D23" s="41">
        <v>60</v>
      </c>
      <c r="E23" s="39">
        <f t="shared" si="8"/>
        <v>3</v>
      </c>
      <c r="F23" s="41">
        <v>62</v>
      </c>
      <c r="G23" s="39">
        <f t="shared" si="9"/>
        <v>4</v>
      </c>
      <c r="H23" s="41">
        <v>61</v>
      </c>
      <c r="I23" s="39">
        <f t="shared" si="11"/>
        <v>5</v>
      </c>
      <c r="J23" s="39">
        <f t="shared" si="12"/>
        <v>243</v>
      </c>
      <c r="K23" s="39">
        <f t="shared" si="13"/>
        <v>60.75</v>
      </c>
      <c r="L23" s="39">
        <f t="shared" si="18"/>
        <v>3.75</v>
      </c>
      <c r="M23" s="149">
        <f t="shared" si="17"/>
        <v>24196</v>
      </c>
      <c r="N23" s="39">
        <f t="shared" si="15"/>
        <v>907.35</v>
      </c>
      <c r="O23" s="39">
        <f t="shared" si="16"/>
        <v>479.98815000000002</v>
      </c>
      <c r="P23" s="42">
        <f t="shared" si="10"/>
        <v>6115.0490310000005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44855</v>
      </c>
      <c r="B24" s="41">
        <v>57</v>
      </c>
      <c r="C24" s="39">
        <f t="shared" si="7"/>
        <v>2</v>
      </c>
      <c r="D24" s="41">
        <v>57</v>
      </c>
      <c r="E24" s="39">
        <f t="shared" si="8"/>
        <v>2</v>
      </c>
      <c r="F24" s="41">
        <v>58</v>
      </c>
      <c r="G24" s="39">
        <f t="shared" si="9"/>
        <v>2</v>
      </c>
      <c r="H24" s="41">
        <v>56</v>
      </c>
      <c r="I24" s="39">
        <f t="shared" si="11"/>
        <v>1</v>
      </c>
      <c r="J24" s="39">
        <f t="shared" si="12"/>
        <v>228</v>
      </c>
      <c r="K24" s="39">
        <f t="shared" si="13"/>
        <v>57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2853.6895478000001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44856</v>
      </c>
      <c r="B25" s="41">
        <v>55</v>
      </c>
      <c r="C25" s="39">
        <f t="shared" si="7"/>
        <v>5</v>
      </c>
      <c r="D25" s="41">
        <v>55</v>
      </c>
      <c r="E25" s="39">
        <f t="shared" si="8"/>
        <v>2</v>
      </c>
      <c r="F25" s="41">
        <v>56</v>
      </c>
      <c r="G25" s="39">
        <f t="shared" si="9"/>
        <v>1</v>
      </c>
      <c r="H25" s="41">
        <v>55</v>
      </c>
      <c r="I25" s="39">
        <f t="shared" si="11"/>
        <v>3</v>
      </c>
      <c r="J25" s="39">
        <f t="shared" si="12"/>
        <v>221</v>
      </c>
      <c r="K25" s="39">
        <f t="shared" si="13"/>
        <v>55.25</v>
      </c>
      <c r="L25" s="39">
        <f t="shared" si="18"/>
        <v>2.75</v>
      </c>
      <c r="M25" s="149">
        <f t="shared" si="17"/>
        <v>24196</v>
      </c>
      <c r="N25" s="39">
        <f t="shared" si="15"/>
        <v>665.39</v>
      </c>
      <c r="O25" s="167">
        <f t="shared" si="16"/>
        <v>351.99131</v>
      </c>
      <c r="P25" s="42">
        <f t="shared" si="10"/>
        <v>4484.3692893999996</v>
      </c>
      <c r="Q25" s="39">
        <v>2876</v>
      </c>
      <c r="R25" s="39">
        <v>50</v>
      </c>
      <c r="S25" s="39">
        <v>85</v>
      </c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2876</v>
      </c>
      <c r="AD25" s="38">
        <f t="shared" ref="AD25:AD42" si="19">(R25+U25+X25+AA25)/4</f>
        <v>12.5</v>
      </c>
      <c r="AE25" s="38">
        <f>(S25+V25+Y25+AB25)/4</f>
        <v>21.25</v>
      </c>
    </row>
    <row r="26" spans="1:31" ht="32.25" customHeight="1">
      <c r="A26" s="40">
        <v>44857</v>
      </c>
      <c r="B26" s="41">
        <v>85</v>
      </c>
      <c r="C26" s="39">
        <f t="shared" si="7"/>
        <v>5</v>
      </c>
      <c r="D26" s="41">
        <v>53</v>
      </c>
      <c r="E26" s="39">
        <f t="shared" si="8"/>
        <v>3</v>
      </c>
      <c r="F26" s="41">
        <v>55</v>
      </c>
      <c r="G26" s="39">
        <f t="shared" si="9"/>
        <v>1</v>
      </c>
      <c r="H26" s="41">
        <v>52</v>
      </c>
      <c r="I26" s="39">
        <f t="shared" si="11"/>
        <v>1</v>
      </c>
      <c r="J26" s="39">
        <f t="shared" si="12"/>
        <v>245</v>
      </c>
      <c r="K26" s="39">
        <f t="shared" si="13"/>
        <v>61.25</v>
      </c>
      <c r="L26" s="39">
        <f t="shared" si="18"/>
        <v>2.5</v>
      </c>
      <c r="M26" s="149">
        <f t="shared" si="17"/>
        <v>24196</v>
      </c>
      <c r="N26" s="39">
        <f t="shared" si="15"/>
        <v>604.9</v>
      </c>
      <c r="O26" s="39">
        <f t="shared" si="16"/>
        <v>319.99209999999999</v>
      </c>
      <c r="P26" s="42">
        <f t="shared" si="10"/>
        <v>4076.6993539999999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44858</v>
      </c>
      <c r="B27" s="41">
        <v>80</v>
      </c>
      <c r="C27" s="39">
        <f t="shared" ref="C27" si="21">IF(AC27&gt;0,((B27-R27)+(S27-B28)),IF(B28=0, ,(B27-B28)))</f>
        <v>2</v>
      </c>
      <c r="D27" s="41">
        <v>50</v>
      </c>
      <c r="E27" s="39">
        <f t="shared" ref="E27" si="22">IF(AC27&gt;0,((D27-U27)+(V27-D28)),IF(D28=0, ,(D27-D28)))</f>
        <v>0</v>
      </c>
      <c r="F27" s="41">
        <v>54</v>
      </c>
      <c r="G27" s="39">
        <f t="shared" ref="G27" si="23">IF(AC27&gt;0,((F27-X27)+(Y27-F28)),IF(F28=0, ,(F27-F28)))</f>
        <v>14</v>
      </c>
      <c r="H27" s="41">
        <v>51</v>
      </c>
      <c r="I27" s="39">
        <f t="shared" si="11"/>
        <v>11</v>
      </c>
      <c r="J27" s="39">
        <f t="shared" si="12"/>
        <v>235</v>
      </c>
      <c r="K27" s="39">
        <f t="shared" si="13"/>
        <v>58.75</v>
      </c>
      <c r="L27" s="39">
        <f t="shared" si="18"/>
        <v>6.75</v>
      </c>
      <c r="M27" s="149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0"/>
        <v>11007.088255800001</v>
      </c>
      <c r="Q27" s="39"/>
      <c r="R27" s="39"/>
      <c r="S27" s="39"/>
      <c r="T27" s="39">
        <v>2334</v>
      </c>
      <c r="U27" s="39">
        <v>50</v>
      </c>
      <c r="V27" s="39">
        <v>75</v>
      </c>
      <c r="W27" s="39">
        <v>2334</v>
      </c>
      <c r="X27" s="39">
        <v>50</v>
      </c>
      <c r="Y27" s="39">
        <v>75</v>
      </c>
      <c r="Z27" s="39">
        <v>2334</v>
      </c>
      <c r="AA27" s="39">
        <v>50</v>
      </c>
      <c r="AB27" s="39">
        <v>75</v>
      </c>
      <c r="AC27" s="39">
        <f t="shared" si="20"/>
        <v>7002</v>
      </c>
      <c r="AD27" s="38">
        <f t="shared" si="19"/>
        <v>37.5</v>
      </c>
      <c r="AE27" s="38">
        <f>(S27+V27+Y27+AB27)/4</f>
        <v>56.25</v>
      </c>
    </row>
    <row r="28" spans="1:31" ht="32.25" customHeight="1">
      <c r="A28" s="40">
        <v>44859</v>
      </c>
      <c r="B28" s="41">
        <v>78</v>
      </c>
      <c r="C28" s="39">
        <f t="shared" si="7"/>
        <v>3</v>
      </c>
      <c r="D28" s="41">
        <v>75</v>
      </c>
      <c r="E28" s="39">
        <f t="shared" si="8"/>
        <v>5</v>
      </c>
      <c r="F28" s="41">
        <v>65</v>
      </c>
      <c r="G28" s="39">
        <f t="shared" si="9"/>
        <v>1</v>
      </c>
      <c r="H28" s="41">
        <v>65</v>
      </c>
      <c r="I28" s="39">
        <f>IF(AC28&gt;0,((H28-AA28)+(AB28-H29)),IF(H29=0, ,(H28-H29)))</f>
        <v>1</v>
      </c>
      <c r="J28" s="39">
        <f t="shared" si="12"/>
        <v>283</v>
      </c>
      <c r="K28" s="39">
        <f t="shared" si="13"/>
        <v>70.75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4076.6993539999999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44860</v>
      </c>
      <c r="B29" s="41">
        <v>75</v>
      </c>
      <c r="C29" s="39">
        <f t="shared" si="7"/>
        <v>3</v>
      </c>
      <c r="D29" s="41">
        <v>70</v>
      </c>
      <c r="E29" s="39">
        <f t="shared" si="8"/>
        <v>3</v>
      </c>
      <c r="F29" s="41">
        <v>64</v>
      </c>
      <c r="G29" s="39">
        <f t="shared" si="9"/>
        <v>2</v>
      </c>
      <c r="H29" s="41">
        <v>64</v>
      </c>
      <c r="I29" s="39">
        <f t="shared" si="11"/>
        <v>2</v>
      </c>
      <c r="J29" s="39">
        <f t="shared" si="12"/>
        <v>273</v>
      </c>
      <c r="K29" s="39">
        <f t="shared" si="13"/>
        <v>68.25</v>
      </c>
      <c r="L29" s="39">
        <f t="shared" si="18"/>
        <v>2.5</v>
      </c>
      <c r="M29" s="149">
        <f t="shared" si="17"/>
        <v>24196</v>
      </c>
      <c r="N29" s="39">
        <f t="shared" si="15"/>
        <v>604.9</v>
      </c>
      <c r="O29" s="39">
        <f t="shared" si="16"/>
        <v>319.99209999999999</v>
      </c>
      <c r="P29" s="42">
        <f t="shared" si="10"/>
        <v>4076.6993539999999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44861</v>
      </c>
      <c r="B30" s="41">
        <v>72</v>
      </c>
      <c r="C30" s="39">
        <f t="shared" si="7"/>
        <v>2</v>
      </c>
      <c r="D30" s="41">
        <v>67</v>
      </c>
      <c r="E30" s="39">
        <f t="shared" si="8"/>
        <v>3</v>
      </c>
      <c r="F30" s="41">
        <v>62</v>
      </c>
      <c r="G30" s="39">
        <f t="shared" si="9"/>
        <v>3</v>
      </c>
      <c r="H30" s="41">
        <v>62</v>
      </c>
      <c r="I30" s="39">
        <f t="shared" si="11"/>
        <v>2</v>
      </c>
      <c r="J30" s="39">
        <f t="shared" si="12"/>
        <v>263</v>
      </c>
      <c r="K30" s="39">
        <f t="shared" si="13"/>
        <v>65.75</v>
      </c>
      <c r="L30" s="39">
        <f t="shared" si="18"/>
        <v>2.5</v>
      </c>
      <c r="M30" s="149">
        <f t="shared" si="17"/>
        <v>24196</v>
      </c>
      <c r="N30" s="39">
        <f t="shared" si="15"/>
        <v>604.9</v>
      </c>
      <c r="O30" s="39">
        <f t="shared" si="16"/>
        <v>319.99209999999999</v>
      </c>
      <c r="P30" s="42">
        <f t="shared" si="10"/>
        <v>4076.6993539999999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44862</v>
      </c>
      <c r="B31" s="41">
        <v>70</v>
      </c>
      <c r="C31" s="39">
        <f t="shared" si="7"/>
        <v>0</v>
      </c>
      <c r="D31" s="41">
        <v>64</v>
      </c>
      <c r="E31" s="39">
        <f t="shared" si="8"/>
        <v>0</v>
      </c>
      <c r="F31" s="41">
        <v>59</v>
      </c>
      <c r="G31" s="39">
        <f t="shared" si="9"/>
        <v>0</v>
      </c>
      <c r="H31" s="41">
        <v>60</v>
      </c>
      <c r="I31" s="39">
        <f t="shared" si="11"/>
        <v>0</v>
      </c>
      <c r="J31" s="39">
        <f t="shared" si="12"/>
        <v>253</v>
      </c>
      <c r="K31" s="39">
        <f t="shared" si="13"/>
        <v>63.25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44863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44864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44865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40" si="25">O34*12.84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44866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25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5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5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5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19054.350000000006</v>
      </c>
      <c r="O43" s="39">
        <f>N43*0.529</f>
        <v>10079.751150000004</v>
      </c>
      <c r="P43" s="42">
        <f>O43*12.74</f>
        <v>128416.02965100005</v>
      </c>
      <c r="Q43" s="286">
        <f>SUM(Q4:Q42)</f>
        <v>5692</v>
      </c>
      <c r="R43" s="287"/>
      <c r="S43" s="288"/>
      <c r="T43" s="289">
        <f>SUM(T4:T42)</f>
        <v>4990</v>
      </c>
      <c r="U43" s="287"/>
      <c r="V43" s="288"/>
      <c r="W43" s="289">
        <f>SUM(W4:W42)</f>
        <v>4882</v>
      </c>
      <c r="X43" s="287"/>
      <c r="Y43" s="288"/>
      <c r="Z43" s="289">
        <f>SUM(Z4:Z42)</f>
        <v>4851</v>
      </c>
      <c r="AA43" s="287"/>
      <c r="AB43" s="288"/>
      <c r="AC43" s="39">
        <f t="shared" si="20"/>
        <v>20415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20415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20415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19054.350000000006</v>
      </c>
      <c r="L47" s="46">
        <f>O43</f>
        <v>10079.751150000004</v>
      </c>
      <c r="M47" s="46">
        <f>P43</f>
        <v>128416.02965100005</v>
      </c>
    </row>
    <row r="48" spans="1:31" ht="54.75" customHeight="1" thickBot="1">
      <c r="H48" s="282" t="s">
        <v>86</v>
      </c>
      <c r="I48" s="283"/>
      <c r="J48" s="284"/>
      <c r="K48" s="43">
        <f>AC44</f>
        <v>20415</v>
      </c>
      <c r="L48" s="44">
        <f>K48*0.529</f>
        <v>10799.535</v>
      </c>
      <c r="M48" s="44">
        <f>L48*12.74</f>
        <v>137586.0759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7" workbookViewId="0">
      <selection activeCell="G13" sqref="G13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44691</v>
      </c>
      <c r="D8" s="327"/>
      <c r="E8" s="113">
        <v>44722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1319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21405863</v>
      </c>
      <c r="D17" s="66">
        <v>21396435</v>
      </c>
      <c r="E17" s="67">
        <f>MIN(C17-D17)</f>
        <v>9428</v>
      </c>
      <c r="F17" s="67">
        <f>+E17</f>
        <v>9428</v>
      </c>
      <c r="G17" s="341"/>
      <c r="H17" s="342"/>
      <c r="I17" s="341">
        <f>+E17</f>
        <v>9428</v>
      </c>
      <c r="J17" s="342"/>
    </row>
    <row r="18" spans="1:10">
      <c r="A18" s="339" t="s">
        <v>111</v>
      </c>
      <c r="B18" s="340"/>
      <c r="C18" s="66">
        <v>12500312</v>
      </c>
      <c r="D18" s="66">
        <v>12494016</v>
      </c>
      <c r="E18" s="67">
        <f>MIN(C18-D18)</f>
        <v>6296</v>
      </c>
      <c r="F18" s="67">
        <f>+E18</f>
        <v>6296</v>
      </c>
      <c r="G18" s="341"/>
      <c r="H18" s="342"/>
      <c r="I18" s="341">
        <f>+E18</f>
        <v>6296</v>
      </c>
      <c r="J18" s="342"/>
    </row>
    <row r="19" spans="1:10">
      <c r="A19" s="339" t="s">
        <v>112</v>
      </c>
      <c r="B19" s="340"/>
      <c r="C19" s="66">
        <v>9364545</v>
      </c>
      <c r="D19" s="66">
        <v>9359997</v>
      </c>
      <c r="E19" s="67">
        <f>AVERAGE(C19-D19)</f>
        <v>4548</v>
      </c>
      <c r="F19" s="67">
        <f>+E19</f>
        <v>4548</v>
      </c>
      <c r="G19" s="341"/>
      <c r="H19" s="342"/>
      <c r="I19" s="341">
        <f>+E19</f>
        <v>4548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20272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9428</v>
      </c>
      <c r="E25" s="72">
        <v>0.95140000000000002</v>
      </c>
      <c r="F25" s="73">
        <f>PRODUCT(D25*E25)</f>
        <v>8969.7991999999995</v>
      </c>
      <c r="G25" s="151">
        <v>14</v>
      </c>
      <c r="H25" s="65">
        <f>PRODUCT(0.14,F25)</f>
        <v>1255.771888</v>
      </c>
      <c r="I25" s="346">
        <f>SUM(H25,F25)</f>
        <v>10225.571087999999</v>
      </c>
      <c r="J25" s="347"/>
    </row>
    <row r="26" spans="1:10" ht="15">
      <c r="A26" s="348" t="s">
        <v>124</v>
      </c>
      <c r="B26" s="349"/>
      <c r="C26" s="350"/>
      <c r="D26" s="67">
        <f>+E18</f>
        <v>6296</v>
      </c>
      <c r="E26" s="74">
        <v>0.69850000000000001</v>
      </c>
      <c r="F26" s="73">
        <f>PRODUCT(D26*E26)</f>
        <v>4397.7560000000003</v>
      </c>
      <c r="G26">
        <v>14</v>
      </c>
      <c r="H26" s="67">
        <f>PRODUCT(0.14,F26)</f>
        <v>615.6858400000001</v>
      </c>
      <c r="I26" s="346">
        <f t="shared" ref="I26:I31" si="0">SUM(H26,F26)</f>
        <v>5013.4418400000004</v>
      </c>
      <c r="J26" s="347"/>
    </row>
    <row r="27" spans="1:10" ht="15">
      <c r="A27" s="348" t="s">
        <v>125</v>
      </c>
      <c r="B27" s="349"/>
      <c r="C27" s="350"/>
      <c r="D27" s="67">
        <f>+E19</f>
        <v>4548</v>
      </c>
      <c r="E27" s="74">
        <v>1.3304</v>
      </c>
      <c r="F27" s="73">
        <f>PRODUCT(D27*E27)</f>
        <v>6050.6592000000001</v>
      </c>
      <c r="G27">
        <v>14</v>
      </c>
      <c r="H27" s="67">
        <f>PRODUCT(0.14,F27)</f>
        <v>847.09228800000005</v>
      </c>
      <c r="I27" s="346">
        <f>SUM(H27,F27)</f>
        <v>6897.7514879999999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65632.884399999995</v>
      </c>
      <c r="G32" s="85"/>
      <c r="H32" s="86"/>
      <c r="I32" s="375">
        <f>SUM(I25:J31)</f>
        <v>74767.508216000002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1" zoomScaleNormal="100" workbookViewId="0">
      <selection activeCell="G12" sqref="G12:H1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44467</v>
      </c>
      <c r="D8" s="327"/>
      <c r="E8" s="113">
        <v>44862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1046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41"/>
      <c r="H17" s="342"/>
      <c r="I17" s="341">
        <f>+E17</f>
        <v>244745</v>
      </c>
      <c r="J17" s="342"/>
    </row>
    <row r="18" spans="1:10">
      <c r="A18" s="339" t="s">
        <v>111</v>
      </c>
      <c r="B18" s="340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41"/>
      <c r="H18" s="342"/>
      <c r="I18" s="341">
        <f>+E18</f>
        <v>159595</v>
      </c>
      <c r="J18" s="342"/>
    </row>
    <row r="19" spans="1:10">
      <c r="A19" s="339" t="s">
        <v>112</v>
      </c>
      <c r="B19" s="340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41"/>
      <c r="H19" s="342"/>
      <c r="I19" s="341">
        <f>+E19</f>
        <v>118312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522652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46">
        <f>SUM(H25,F25)</f>
        <v>265449.44802000001</v>
      </c>
      <c r="J25" s="347"/>
    </row>
    <row r="26" spans="1:10" ht="15">
      <c r="A26" s="348" t="s">
        <v>124</v>
      </c>
      <c r="B26" s="349"/>
      <c r="C26" s="350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46">
        <f t="shared" ref="I26:I31" si="0">SUM(H26,F26)</f>
        <v>127083.90255</v>
      </c>
      <c r="J26" s="347"/>
    </row>
    <row r="27" spans="1:10" ht="15">
      <c r="A27" s="348" t="s">
        <v>125</v>
      </c>
      <c r="B27" s="349"/>
      <c r="C27" s="350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46">
        <f>SUM(H27,F27)</f>
        <v>179438.60467199999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46</v>
      </c>
      <c r="E29" s="76">
        <f>E28*1.5</f>
        <v>65.822505000000007</v>
      </c>
      <c r="F29" s="77">
        <f>PRODUCT(D29,E29)</f>
        <v>3027.8352300000001</v>
      </c>
      <c r="G29" s="78">
        <v>14</v>
      </c>
      <c r="H29" s="75">
        <f>PRODUCT(0.14,F29)</f>
        <v>423.89693220000004</v>
      </c>
      <c r="I29" s="379">
        <f t="shared" si="0"/>
        <v>3451.7321621999999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550972.29053</v>
      </c>
      <c r="G32" s="85"/>
      <c r="H32" s="86"/>
      <c r="I32" s="375">
        <f>SUM(I25:J31)</f>
        <v>628054.43120420002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168665.8</v>
      </c>
      <c r="D8" s="97">
        <v>44805</v>
      </c>
      <c r="E8" s="96">
        <v>168812.4</v>
      </c>
      <c r="F8" s="97">
        <v>44835</v>
      </c>
      <c r="G8" s="98">
        <f>E8-C8</f>
        <v>146.60000000000582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146.60000000000582</v>
      </c>
      <c r="C13" s="396"/>
      <c r="D13" s="396">
        <v>8.7899999999999991</v>
      </c>
      <c r="E13" s="396"/>
      <c r="F13" s="400">
        <f>PRODUCT(D13,B13)</f>
        <v>1288.614000000051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146.60000000000582</v>
      </c>
      <c r="C19" s="396"/>
      <c r="D19" s="396">
        <v>2.61</v>
      </c>
      <c r="E19" s="396"/>
      <c r="F19" s="396">
        <f>PRODUCT(D19,B19)</f>
        <v>382.62600000001515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1694.2400000000662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118.59680000000465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326.85680000000463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2021.0968000000707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44839</v>
      </c>
      <c r="E8" s="96">
        <v>153581</v>
      </c>
      <c r="F8" s="97">
        <v>44840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154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44440</v>
      </c>
      <c r="E8" s="96">
        <v>2560</v>
      </c>
      <c r="F8" s="97">
        <v>44835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21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2022-10-28T10:27:23Z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