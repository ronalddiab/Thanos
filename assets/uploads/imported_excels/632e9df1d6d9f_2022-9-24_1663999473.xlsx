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8" l="1"/>
  <c r="E6" i="8"/>
  <c r="E7" i="8"/>
  <c r="E8" i="8"/>
  <c r="E11" i="8"/>
  <c r="E12" i="8"/>
  <c r="E13" i="8"/>
  <c r="E14" i="8"/>
  <c r="E15" i="8"/>
  <c r="E16" i="8"/>
  <c r="E17" i="8"/>
  <c r="E18" i="8"/>
  <c r="E19" i="8"/>
  <c r="E20" i="8"/>
  <c r="E21" i="8"/>
  <c r="E22" i="8"/>
  <c r="E23" i="8"/>
  <c r="E24" i="8"/>
  <c r="E25" i="8"/>
  <c r="E26" i="8"/>
  <c r="E27" i="8"/>
  <c r="E28" i="8"/>
  <c r="E29" i="8"/>
  <c r="E30" i="8"/>
  <c r="E31" i="8"/>
  <c r="E32" i="8"/>
  <c r="E33"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4" i="8"/>
  <c r="AI31" i="5"/>
  <c r="AE31" i="5"/>
  <c r="AC30" i="5"/>
  <c r="Y31" i="5"/>
  <c r="W31" i="5"/>
  <c r="U31" i="5"/>
  <c r="S31" i="5"/>
  <c r="Q31" i="5"/>
  <c r="O31" i="5"/>
  <c r="M31" i="5"/>
  <c r="K31" i="5"/>
  <c r="I31" i="5"/>
  <c r="G31" i="5"/>
  <c r="I34" i="4" l="1"/>
  <c r="K29" i="4"/>
  <c r="I31" i="4"/>
  <c r="I28" i="4"/>
  <c r="G28" i="4"/>
  <c r="I15" i="4"/>
  <c r="I14" i="4"/>
  <c r="I12" i="4"/>
  <c r="G9" i="4"/>
  <c r="G8" i="4"/>
  <c r="G7" i="4"/>
  <c r="C29" i="4"/>
  <c r="AP38" i="5" l="1"/>
  <c r="D30" i="4" l="1"/>
  <c r="F30" i="4"/>
  <c r="H30" i="4"/>
  <c r="J30" i="4"/>
  <c r="L30" i="4"/>
  <c r="M30" i="4" s="1"/>
  <c r="P30" i="4"/>
  <c r="D31" i="4"/>
  <c r="F31" i="4"/>
  <c r="H31" i="4"/>
  <c r="J31" i="4"/>
  <c r="L31" i="4"/>
  <c r="M31" i="4" s="1"/>
  <c r="P31" i="4"/>
  <c r="D32" i="4"/>
  <c r="F32" i="4"/>
  <c r="H32" i="4"/>
  <c r="J32" i="4"/>
  <c r="L32" i="4"/>
  <c r="M32" i="4" s="1"/>
  <c r="P32" i="4"/>
  <c r="D33" i="4"/>
  <c r="F33" i="4"/>
  <c r="H33" i="4"/>
  <c r="J33" i="4"/>
  <c r="L33" i="4"/>
  <c r="M33" i="4" s="1"/>
  <c r="P33" i="4"/>
  <c r="D34" i="4"/>
  <c r="F34" i="4"/>
  <c r="H34" i="4"/>
  <c r="J34" i="4"/>
  <c r="L34" i="4"/>
  <c r="M34" i="4" s="1"/>
  <c r="P34" i="4"/>
  <c r="D35" i="4"/>
  <c r="F35" i="4"/>
  <c r="H35" i="4"/>
  <c r="J35" i="4"/>
  <c r="L35" i="4"/>
  <c r="M35" i="4" s="1"/>
  <c r="P35" i="4"/>
  <c r="D36" i="4"/>
  <c r="F36" i="4"/>
  <c r="H36" i="4"/>
  <c r="J36" i="4"/>
  <c r="L36" i="4"/>
  <c r="M36" i="4" s="1"/>
  <c r="P36" i="4"/>
  <c r="R35" i="4" l="1"/>
  <c r="N36" i="4"/>
  <c r="N35" i="4"/>
  <c r="S35" i="4" s="1"/>
  <c r="N34" i="4"/>
  <c r="N33" i="4"/>
  <c r="N32" i="4"/>
  <c r="N31" i="4"/>
  <c r="N30" i="4"/>
  <c r="T17" i="5"/>
  <c r="AT16" i="5" l="1"/>
  <c r="AJ16" i="5"/>
  <c r="K13" i="3" l="1"/>
  <c r="AP12" i="5" l="1"/>
  <c r="I7" i="3" l="1"/>
  <c r="P7" i="3"/>
  <c r="S7" i="3"/>
  <c r="V7" i="3"/>
  <c r="Y7" i="3"/>
  <c r="BF10" i="5"/>
  <c r="BF17" i="5"/>
  <c r="BD10" i="5"/>
  <c r="BB10" i="5"/>
  <c r="AZ10" i="5"/>
  <c r="AZ9" i="5"/>
  <c r="L10" i="5"/>
  <c r="R10" i="5"/>
  <c r="T10" i="5"/>
  <c r="V10" i="5"/>
  <c r="X10" i="5"/>
  <c r="Z10" i="5"/>
  <c r="AF10" i="5"/>
  <c r="AB10" i="5"/>
  <c r="AD10" i="5"/>
  <c r="AR13" i="5"/>
  <c r="AR12" i="5"/>
  <c r="AR11" i="5"/>
  <c r="AR10" i="5"/>
  <c r="AP10" i="5"/>
  <c r="AN10" i="5"/>
  <c r="AL10" i="5"/>
  <c r="AJ10" i="5"/>
  <c r="AH10" i="5"/>
  <c r="AT10" i="5"/>
  <c r="AX10" i="5"/>
  <c r="AV13" i="5"/>
  <c r="AV12" i="5"/>
  <c r="AV11" i="5"/>
  <c r="AV10" i="5"/>
  <c r="AV9" i="5"/>
  <c r="AP13" i="5"/>
  <c r="AP17" i="5"/>
  <c r="AP11" i="5"/>
  <c r="V11" i="5"/>
  <c r="AJ11" i="5"/>
  <c r="AN11" i="5"/>
  <c r="AN12" i="5"/>
  <c r="AH11" i="5"/>
  <c r="AF11" i="5"/>
  <c r="AD11" i="5"/>
  <c r="L12" i="5"/>
  <c r="L11" i="5"/>
  <c r="P12" i="5"/>
  <c r="P11" i="5"/>
  <c r="R11" i="5"/>
  <c r="T11" i="5"/>
  <c r="X11" i="5"/>
  <c r="J12" i="5"/>
  <c r="J11" i="5"/>
  <c r="J10" i="5"/>
  <c r="L9" i="5"/>
  <c r="P10" i="5"/>
  <c r="N10" i="5"/>
  <c r="H11" i="5"/>
  <c r="H10" i="5"/>
  <c r="D11" i="5"/>
  <c r="F11" i="5" s="1"/>
  <c r="D10" i="5"/>
  <c r="F10" i="5" l="1"/>
  <c r="E10" i="5"/>
  <c r="BH10" i="5"/>
  <c r="BI10" i="5"/>
  <c r="AZ22" i="5"/>
  <c r="AZ21" i="5"/>
  <c r="AZ20" i="5"/>
  <c r="AZ19" i="5"/>
  <c r="AZ18" i="5"/>
  <c r="AZ23" i="5"/>
  <c r="AD19" i="5"/>
  <c r="AR17" i="5" l="1"/>
  <c r="AR16" i="5"/>
  <c r="T15" i="5" l="1"/>
  <c r="AT36" i="5" l="1"/>
  <c r="AJ33" i="5" l="1"/>
  <c r="AT30" i="5" l="1"/>
  <c r="V9" i="5" l="1"/>
  <c r="X26" i="3"/>
  <c r="X27" i="3"/>
  <c r="X28" i="3"/>
  <c r="X29" i="3"/>
  <c r="X30" i="3"/>
  <c r="X31" i="3"/>
  <c r="X32" i="3"/>
  <c r="X33" i="3"/>
  <c r="X34" i="3"/>
  <c r="X35" i="3"/>
  <c r="X36" i="3"/>
  <c r="X37" i="3"/>
  <c r="X9" i="3"/>
  <c r="X10" i="3"/>
  <c r="X11" i="3"/>
  <c r="X12" i="3"/>
  <c r="X13" i="3"/>
  <c r="X14" i="3"/>
  <c r="X15" i="3"/>
  <c r="X16" i="3"/>
  <c r="X17" i="3"/>
  <c r="X18" i="3"/>
  <c r="X19" i="3"/>
  <c r="X20" i="3"/>
  <c r="X21" i="3"/>
  <c r="X22" i="3"/>
  <c r="X23" i="3"/>
  <c r="X24" i="3"/>
  <c r="X25" i="3"/>
  <c r="BF38" i="5" l="1"/>
  <c r="BD38" i="5"/>
  <c r="BB38" i="5"/>
  <c r="AZ38" i="5"/>
  <c r="AX38" i="5"/>
  <c r="AV38" i="5"/>
  <c r="AT38" i="5"/>
  <c r="AR38" i="5"/>
  <c r="AN38" i="5"/>
  <c r="AL38" i="5"/>
  <c r="AJ38" i="5"/>
  <c r="AH38" i="5"/>
  <c r="AF38" i="5"/>
  <c r="AD38" i="5"/>
  <c r="AB38" i="5"/>
  <c r="Z38" i="5"/>
  <c r="X38" i="5"/>
  <c r="V38" i="5"/>
  <c r="T38" i="5"/>
  <c r="R38" i="5"/>
  <c r="P38" i="5"/>
  <c r="N38" i="5"/>
  <c r="L38" i="5"/>
  <c r="J38" i="5"/>
  <c r="H38" i="5"/>
  <c r="D38" i="5"/>
  <c r="F38" i="5" s="1"/>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F37" i="5" s="1"/>
  <c r="BF36" i="5"/>
  <c r="BD36" i="5"/>
  <c r="BB36" i="5"/>
  <c r="AZ36" i="5"/>
  <c r="AX36" i="5"/>
  <c r="AV36" i="5"/>
  <c r="AR36" i="5"/>
  <c r="AP36" i="5"/>
  <c r="AN36" i="5"/>
  <c r="AL36" i="5"/>
  <c r="AJ36" i="5"/>
  <c r="AH36" i="5"/>
  <c r="AF36" i="5"/>
  <c r="AD36" i="5"/>
  <c r="AB36" i="5"/>
  <c r="Z36" i="5"/>
  <c r="X36" i="5"/>
  <c r="V36" i="5"/>
  <c r="T36" i="5"/>
  <c r="R36" i="5"/>
  <c r="P36" i="5"/>
  <c r="N36" i="5"/>
  <c r="L36" i="5"/>
  <c r="J36" i="5"/>
  <c r="H36" i="5"/>
  <c r="D36" i="5"/>
  <c r="F36" i="5" s="1"/>
  <c r="BF35" i="5"/>
  <c r="BD35" i="5"/>
  <c r="BB35" i="5"/>
  <c r="AZ35" i="5"/>
  <c r="AV35" i="5"/>
  <c r="AT35" i="5"/>
  <c r="AR35" i="5"/>
  <c r="AP35" i="5"/>
  <c r="AN35" i="5"/>
  <c r="AL35" i="5"/>
  <c r="AJ35" i="5"/>
  <c r="AH35" i="5"/>
  <c r="AF35" i="5"/>
  <c r="AD35" i="5"/>
  <c r="AB35" i="5"/>
  <c r="Z35" i="5"/>
  <c r="X35" i="5"/>
  <c r="V35" i="5"/>
  <c r="T35" i="5"/>
  <c r="R35" i="5"/>
  <c r="P35" i="5"/>
  <c r="N35" i="5"/>
  <c r="L35" i="5"/>
  <c r="J35" i="5"/>
  <c r="H35" i="5"/>
  <c r="D35" i="5"/>
  <c r="E35" i="5" s="1"/>
  <c r="BF34" i="5"/>
  <c r="BD34" i="5"/>
  <c r="BB34" i="5"/>
  <c r="AZ34" i="5"/>
  <c r="AV34" i="5"/>
  <c r="AT34" i="5"/>
  <c r="AR34" i="5"/>
  <c r="AP34" i="5"/>
  <c r="AN34" i="5"/>
  <c r="AL34" i="5"/>
  <c r="AJ34" i="5"/>
  <c r="AH34" i="5"/>
  <c r="AF34" i="5"/>
  <c r="AD34" i="5"/>
  <c r="AB34" i="5"/>
  <c r="Z34" i="5"/>
  <c r="X34" i="5"/>
  <c r="V34" i="5"/>
  <c r="T34" i="5"/>
  <c r="R34" i="5"/>
  <c r="P34" i="5"/>
  <c r="N34" i="5"/>
  <c r="L34" i="5"/>
  <c r="J34" i="5"/>
  <c r="H34" i="5"/>
  <c r="D34" i="5"/>
  <c r="F34" i="5" s="1"/>
  <c r="BF33" i="5"/>
  <c r="BD33" i="5"/>
  <c r="BB33" i="5"/>
  <c r="AZ33" i="5"/>
  <c r="AX33" i="5"/>
  <c r="AV33" i="5"/>
  <c r="AT33" i="5"/>
  <c r="AR33" i="5"/>
  <c r="AP33" i="5"/>
  <c r="AN33" i="5"/>
  <c r="AL33" i="5"/>
  <c r="AH33" i="5"/>
  <c r="AF33" i="5"/>
  <c r="AD33" i="5"/>
  <c r="AB33" i="5"/>
  <c r="Z33" i="5"/>
  <c r="X33" i="5"/>
  <c r="V33" i="5"/>
  <c r="T33" i="5"/>
  <c r="R33" i="5"/>
  <c r="P33" i="5"/>
  <c r="N33" i="5"/>
  <c r="L33" i="5"/>
  <c r="J33" i="5"/>
  <c r="H33" i="5"/>
  <c r="D33" i="5"/>
  <c r="F33" i="5" s="1"/>
  <c r="BF32" i="5"/>
  <c r="BD32" i="5"/>
  <c r="BB32" i="5"/>
  <c r="AZ32" i="5"/>
  <c r="AX32" i="5"/>
  <c r="AV32" i="5"/>
  <c r="AT32" i="5"/>
  <c r="AR32" i="5"/>
  <c r="AP32" i="5"/>
  <c r="AN32" i="5"/>
  <c r="AL32" i="5"/>
  <c r="AJ32" i="5"/>
  <c r="AH32" i="5"/>
  <c r="AF32" i="5"/>
  <c r="AD32" i="5"/>
  <c r="AB32" i="5"/>
  <c r="Z32" i="5"/>
  <c r="X32" i="5"/>
  <c r="V32" i="5"/>
  <c r="T32" i="5"/>
  <c r="R32" i="5"/>
  <c r="P32" i="5"/>
  <c r="N32" i="5"/>
  <c r="L32" i="5"/>
  <c r="J32" i="5"/>
  <c r="H32" i="5"/>
  <c r="D32" i="5"/>
  <c r="F32" i="5" s="1"/>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E31" i="5" s="1"/>
  <c r="BF30" i="5"/>
  <c r="BD30" i="5"/>
  <c r="BB30" i="5"/>
  <c r="AZ30" i="5"/>
  <c r="AX30" i="5"/>
  <c r="AV30" i="5"/>
  <c r="AR30" i="5"/>
  <c r="AP30" i="5"/>
  <c r="AN30" i="5"/>
  <c r="AL30" i="5"/>
  <c r="AJ30" i="5"/>
  <c r="AH30" i="5"/>
  <c r="AF30" i="5"/>
  <c r="AD30" i="5"/>
  <c r="AB30" i="5"/>
  <c r="Z30" i="5"/>
  <c r="X30" i="5"/>
  <c r="V30" i="5"/>
  <c r="T30" i="5"/>
  <c r="R30" i="5"/>
  <c r="P30" i="5"/>
  <c r="N30" i="5"/>
  <c r="L30" i="5"/>
  <c r="J30" i="5"/>
  <c r="H30" i="5"/>
  <c r="D30" i="5"/>
  <c r="F30" i="5" s="1"/>
  <c r="BF29" i="5"/>
  <c r="BD29" i="5"/>
  <c r="BB29" i="5"/>
  <c r="AZ29" i="5"/>
  <c r="AX29" i="5"/>
  <c r="AV29" i="5"/>
  <c r="AT29" i="5"/>
  <c r="AR29" i="5"/>
  <c r="AP29" i="5"/>
  <c r="AN29" i="5"/>
  <c r="AL29" i="5"/>
  <c r="AJ29" i="5"/>
  <c r="AH29" i="5"/>
  <c r="AF29" i="5"/>
  <c r="AD29" i="5"/>
  <c r="AB29" i="5"/>
  <c r="Z29" i="5"/>
  <c r="X29" i="5"/>
  <c r="V29" i="5"/>
  <c r="T29" i="5"/>
  <c r="R29" i="5"/>
  <c r="P29" i="5"/>
  <c r="N29" i="5"/>
  <c r="L29" i="5"/>
  <c r="J29" i="5"/>
  <c r="H29" i="5"/>
  <c r="D29" i="5"/>
  <c r="F29" i="5" s="1"/>
  <c r="BF28" i="5"/>
  <c r="BD28" i="5"/>
  <c r="BB28" i="5"/>
  <c r="AZ28" i="5"/>
  <c r="AX28" i="5"/>
  <c r="AV28" i="5"/>
  <c r="AT28" i="5"/>
  <c r="AR28" i="5"/>
  <c r="AP28" i="5"/>
  <c r="AN28" i="5"/>
  <c r="AL28" i="5"/>
  <c r="AJ28" i="5"/>
  <c r="AH28" i="5"/>
  <c r="AF28" i="5"/>
  <c r="AD28" i="5"/>
  <c r="AB28" i="5"/>
  <c r="Z28" i="5"/>
  <c r="X28" i="5"/>
  <c r="V28" i="5"/>
  <c r="T28" i="5"/>
  <c r="R28" i="5"/>
  <c r="P28" i="5"/>
  <c r="N28" i="5"/>
  <c r="L28" i="5"/>
  <c r="J28" i="5"/>
  <c r="H28" i="5"/>
  <c r="D28" i="5"/>
  <c r="F28" i="5" s="1"/>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E27" i="5" s="1"/>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F26" i="5" s="1"/>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F25" i="5" s="1"/>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D24" i="5"/>
  <c r="F24" i="5" s="1"/>
  <c r="BF23" i="5"/>
  <c r="BD23" i="5"/>
  <c r="BB23" i="5"/>
  <c r="AX23" i="5"/>
  <c r="AV23" i="5"/>
  <c r="AT23" i="5"/>
  <c r="AR23" i="5"/>
  <c r="AP23" i="5"/>
  <c r="AN23" i="5"/>
  <c r="AL23" i="5"/>
  <c r="AJ23" i="5"/>
  <c r="AH23" i="5"/>
  <c r="AF23" i="5"/>
  <c r="AD23" i="5"/>
  <c r="AB23" i="5"/>
  <c r="Z23" i="5"/>
  <c r="X23" i="5"/>
  <c r="V23" i="5"/>
  <c r="T23" i="5"/>
  <c r="R23" i="5"/>
  <c r="P23" i="5"/>
  <c r="N23" i="5"/>
  <c r="L23" i="5"/>
  <c r="J23" i="5"/>
  <c r="H23" i="5"/>
  <c r="D23" i="5"/>
  <c r="E23" i="5" s="1"/>
  <c r="BF22" i="5"/>
  <c r="BD22" i="5"/>
  <c r="BB22" i="5"/>
  <c r="AX22" i="5"/>
  <c r="AV22" i="5"/>
  <c r="AT22" i="5"/>
  <c r="AR22" i="5"/>
  <c r="AP22" i="5"/>
  <c r="AN22" i="5"/>
  <c r="AL22" i="5"/>
  <c r="AJ22" i="5"/>
  <c r="AH22" i="5"/>
  <c r="AF22" i="5"/>
  <c r="AD22" i="5"/>
  <c r="AB22" i="5"/>
  <c r="Z22" i="5"/>
  <c r="X22" i="5"/>
  <c r="V22" i="5"/>
  <c r="T22" i="5"/>
  <c r="R22" i="5"/>
  <c r="P22" i="5"/>
  <c r="N22" i="5"/>
  <c r="L22" i="5"/>
  <c r="J22" i="5"/>
  <c r="H22" i="5"/>
  <c r="D22" i="5"/>
  <c r="F22" i="5" s="1"/>
  <c r="BF21" i="5"/>
  <c r="BD21" i="5"/>
  <c r="BB21" i="5"/>
  <c r="AX21" i="5"/>
  <c r="AV21" i="5"/>
  <c r="AT21" i="5"/>
  <c r="AR21" i="5"/>
  <c r="AP21" i="5"/>
  <c r="AN21" i="5"/>
  <c r="AL21" i="5"/>
  <c r="AJ21" i="5"/>
  <c r="AH21" i="5"/>
  <c r="AF21" i="5"/>
  <c r="AD21" i="5"/>
  <c r="AB21" i="5"/>
  <c r="Z21" i="5"/>
  <c r="X21" i="5"/>
  <c r="V21" i="5"/>
  <c r="T21" i="5"/>
  <c r="R21" i="5"/>
  <c r="P21" i="5"/>
  <c r="N21" i="5"/>
  <c r="L21" i="5"/>
  <c r="J21" i="5"/>
  <c r="H21" i="5"/>
  <c r="D21" i="5"/>
  <c r="F21" i="5" s="1"/>
  <c r="BF20" i="5"/>
  <c r="BD20" i="5"/>
  <c r="BB20" i="5"/>
  <c r="AX20" i="5"/>
  <c r="AV20" i="5"/>
  <c r="AT20" i="5"/>
  <c r="AR20" i="5"/>
  <c r="AP20" i="5"/>
  <c r="AN20" i="5"/>
  <c r="AL20" i="5"/>
  <c r="AJ20" i="5"/>
  <c r="AH20" i="5"/>
  <c r="AF20" i="5"/>
  <c r="AD20" i="5"/>
  <c r="AB20" i="5"/>
  <c r="Z20" i="5"/>
  <c r="X20" i="5"/>
  <c r="V20" i="5"/>
  <c r="T20" i="5"/>
  <c r="R20" i="5"/>
  <c r="P20" i="5"/>
  <c r="N20" i="5"/>
  <c r="L20" i="5"/>
  <c r="J20" i="5"/>
  <c r="H20" i="5"/>
  <c r="D20" i="5"/>
  <c r="F20" i="5" s="1"/>
  <c r="BF19" i="5"/>
  <c r="BD19" i="5"/>
  <c r="BB19" i="5"/>
  <c r="AX19" i="5"/>
  <c r="AV19" i="5"/>
  <c r="AT19" i="5"/>
  <c r="AR19" i="5"/>
  <c r="AP19" i="5"/>
  <c r="AN19" i="5"/>
  <c r="AL19" i="5"/>
  <c r="AJ19" i="5"/>
  <c r="AH19" i="5"/>
  <c r="AF19" i="5"/>
  <c r="AB19" i="5"/>
  <c r="Z19" i="5"/>
  <c r="X19" i="5"/>
  <c r="V19" i="5"/>
  <c r="T19" i="5"/>
  <c r="R19" i="5"/>
  <c r="P19" i="5"/>
  <c r="N19" i="5"/>
  <c r="L19" i="5"/>
  <c r="J19" i="5"/>
  <c r="H19" i="5"/>
  <c r="D19" i="5"/>
  <c r="E19" i="5" s="1"/>
  <c r="BF18" i="5"/>
  <c r="BD18" i="5"/>
  <c r="BB18" i="5"/>
  <c r="AX18" i="5"/>
  <c r="AV18" i="5"/>
  <c r="AT18" i="5"/>
  <c r="AR18" i="5"/>
  <c r="AP18" i="5"/>
  <c r="AN18" i="5"/>
  <c r="AL18" i="5"/>
  <c r="AJ18" i="5"/>
  <c r="AH18" i="5"/>
  <c r="AF18" i="5"/>
  <c r="AD18" i="5"/>
  <c r="AB18" i="5"/>
  <c r="Z18" i="5"/>
  <c r="X18" i="5"/>
  <c r="V18" i="5"/>
  <c r="T18" i="5"/>
  <c r="R18" i="5"/>
  <c r="P18" i="5"/>
  <c r="N18" i="5"/>
  <c r="L18" i="5"/>
  <c r="J18" i="5"/>
  <c r="H18" i="5"/>
  <c r="D18" i="5"/>
  <c r="F18" i="5" s="1"/>
  <c r="BD17" i="5"/>
  <c r="BB17" i="5"/>
  <c r="AZ17" i="5"/>
  <c r="AX17" i="5"/>
  <c r="AV17" i="5"/>
  <c r="AT17" i="5"/>
  <c r="AN17" i="5"/>
  <c r="AL17" i="5"/>
  <c r="AJ17" i="5"/>
  <c r="AH17" i="5"/>
  <c r="AF17" i="5"/>
  <c r="AD17" i="5"/>
  <c r="AB17" i="5"/>
  <c r="Z17" i="5"/>
  <c r="X17" i="5"/>
  <c r="V17" i="5"/>
  <c r="R17" i="5"/>
  <c r="P17" i="5"/>
  <c r="N17" i="5"/>
  <c r="L17" i="5"/>
  <c r="J17" i="5"/>
  <c r="H17" i="5"/>
  <c r="D17" i="5"/>
  <c r="E17" i="5" s="1"/>
  <c r="BF16" i="5"/>
  <c r="BD16" i="5"/>
  <c r="BB16" i="5"/>
  <c r="AZ16" i="5"/>
  <c r="AX16" i="5"/>
  <c r="AV16" i="5"/>
  <c r="AP16" i="5"/>
  <c r="AN16" i="5"/>
  <c r="AL16" i="5"/>
  <c r="AH16" i="5"/>
  <c r="AF16" i="5"/>
  <c r="AD16" i="5"/>
  <c r="AB16" i="5"/>
  <c r="Z16" i="5"/>
  <c r="X16" i="5"/>
  <c r="V16" i="5"/>
  <c r="T16" i="5"/>
  <c r="R16" i="5"/>
  <c r="P16" i="5"/>
  <c r="N16" i="5"/>
  <c r="L16" i="5"/>
  <c r="J16" i="5"/>
  <c r="H16" i="5"/>
  <c r="D16" i="5"/>
  <c r="F16" i="5" s="1"/>
  <c r="BF15" i="5"/>
  <c r="BD15" i="5"/>
  <c r="BB15" i="5"/>
  <c r="AZ15" i="5"/>
  <c r="AX15" i="5"/>
  <c r="AV15" i="5"/>
  <c r="AT15" i="5"/>
  <c r="AR15" i="5"/>
  <c r="AP15" i="5"/>
  <c r="AN15" i="5"/>
  <c r="AL15" i="5"/>
  <c r="AJ15" i="5"/>
  <c r="AH15" i="5"/>
  <c r="AF15" i="5"/>
  <c r="AD15" i="5"/>
  <c r="AB15" i="5"/>
  <c r="Z15" i="5"/>
  <c r="X15" i="5"/>
  <c r="V15" i="5"/>
  <c r="R15" i="5"/>
  <c r="P15" i="5"/>
  <c r="N15" i="5"/>
  <c r="L15" i="5"/>
  <c r="J15" i="5"/>
  <c r="H15" i="5"/>
  <c r="D15" i="5"/>
  <c r="E15" i="5" s="1"/>
  <c r="BF14" i="5"/>
  <c r="BD14" i="5"/>
  <c r="BB14" i="5"/>
  <c r="AZ14" i="5"/>
  <c r="AX14" i="5"/>
  <c r="AV14" i="5"/>
  <c r="AT14" i="5"/>
  <c r="AR14" i="5"/>
  <c r="AP14" i="5"/>
  <c r="AN14" i="5"/>
  <c r="AL14" i="5"/>
  <c r="AJ14" i="5"/>
  <c r="AH14" i="5"/>
  <c r="AF14" i="5"/>
  <c r="AD14" i="5"/>
  <c r="AB14" i="5"/>
  <c r="Z14" i="5"/>
  <c r="X14" i="5"/>
  <c r="V14" i="5"/>
  <c r="T14" i="5"/>
  <c r="R14" i="5"/>
  <c r="P14" i="5"/>
  <c r="N14" i="5"/>
  <c r="L14" i="5"/>
  <c r="J14" i="5"/>
  <c r="H14" i="5"/>
  <c r="D14" i="5"/>
  <c r="F14" i="5" s="1"/>
  <c r="BF13" i="5"/>
  <c r="BD13" i="5"/>
  <c r="BB13" i="5"/>
  <c r="AZ13" i="5"/>
  <c r="AX13" i="5"/>
  <c r="AT13" i="5"/>
  <c r="AN13" i="5"/>
  <c r="AL13" i="5"/>
  <c r="AJ13" i="5"/>
  <c r="AH13" i="5"/>
  <c r="AF13" i="5"/>
  <c r="AD13" i="5"/>
  <c r="AB13" i="5"/>
  <c r="Z13" i="5"/>
  <c r="X13" i="5"/>
  <c r="V13" i="5"/>
  <c r="T13" i="5"/>
  <c r="R13" i="5"/>
  <c r="P13" i="5"/>
  <c r="N13" i="5"/>
  <c r="L13" i="5"/>
  <c r="J13" i="5"/>
  <c r="H13" i="5"/>
  <c r="D13" i="5"/>
  <c r="E13" i="5" s="1"/>
  <c r="BF12" i="5"/>
  <c r="BD12" i="5"/>
  <c r="BB12" i="5"/>
  <c r="AZ12" i="5"/>
  <c r="AX12" i="5"/>
  <c r="AT12" i="5"/>
  <c r="AL12" i="5"/>
  <c r="AJ12" i="5"/>
  <c r="AH12" i="5"/>
  <c r="AF12" i="5"/>
  <c r="AD12" i="5"/>
  <c r="AB12" i="5"/>
  <c r="Z12" i="5"/>
  <c r="X12" i="5"/>
  <c r="V12" i="5"/>
  <c r="T12" i="5"/>
  <c r="R12" i="5"/>
  <c r="N12" i="5"/>
  <c r="H12" i="5"/>
  <c r="D12" i="5"/>
  <c r="F12" i="5" s="1"/>
  <c r="BF11" i="5"/>
  <c r="BD11" i="5"/>
  <c r="BB11" i="5"/>
  <c r="AZ11" i="5"/>
  <c r="AX11" i="5"/>
  <c r="AT11" i="5"/>
  <c r="AL11" i="5"/>
  <c r="AB11" i="5"/>
  <c r="Z11" i="5"/>
  <c r="N11" i="5"/>
  <c r="E11" i="5"/>
  <c r="BF9" i="5"/>
  <c r="BD9" i="5"/>
  <c r="BB9" i="5"/>
  <c r="AX9" i="5"/>
  <c r="AT9" i="5"/>
  <c r="AR9" i="5"/>
  <c r="AP9" i="5"/>
  <c r="AN9" i="5"/>
  <c r="AL9" i="5"/>
  <c r="AJ9" i="5"/>
  <c r="AH9" i="5"/>
  <c r="AF9" i="5"/>
  <c r="AD9" i="5"/>
  <c r="AB9" i="5"/>
  <c r="Z9" i="5"/>
  <c r="X9" i="5"/>
  <c r="T9" i="5"/>
  <c r="R9" i="5"/>
  <c r="P9" i="5"/>
  <c r="N9" i="5"/>
  <c r="J9" i="5"/>
  <c r="H9" i="5"/>
  <c r="D9" i="5"/>
  <c r="F9" i="5" s="1"/>
  <c r="P29" i="4"/>
  <c r="L29" i="4"/>
  <c r="N29" i="4" s="1"/>
  <c r="J29" i="4"/>
  <c r="H29" i="4"/>
  <c r="F29" i="4"/>
  <c r="D29" i="4"/>
  <c r="P28" i="4"/>
  <c r="L28" i="4"/>
  <c r="N28" i="4" s="1"/>
  <c r="J28" i="4"/>
  <c r="H28" i="4"/>
  <c r="F28" i="4"/>
  <c r="D28" i="4"/>
  <c r="P27" i="4"/>
  <c r="L27" i="4"/>
  <c r="N27" i="4" s="1"/>
  <c r="J27" i="4"/>
  <c r="H27" i="4"/>
  <c r="F27" i="4"/>
  <c r="D27" i="4"/>
  <c r="P26" i="4"/>
  <c r="L26" i="4"/>
  <c r="M26" i="4" s="1"/>
  <c r="J26" i="4"/>
  <c r="H26" i="4"/>
  <c r="F26" i="4"/>
  <c r="D26" i="4"/>
  <c r="P25" i="4"/>
  <c r="L25" i="4"/>
  <c r="M25" i="4" s="1"/>
  <c r="J25" i="4"/>
  <c r="H25" i="4"/>
  <c r="F25" i="4"/>
  <c r="D25" i="4"/>
  <c r="P24" i="4"/>
  <c r="L24" i="4"/>
  <c r="N24" i="4" s="1"/>
  <c r="J24" i="4"/>
  <c r="H24" i="4"/>
  <c r="F24" i="4"/>
  <c r="D24" i="4"/>
  <c r="P23" i="4"/>
  <c r="L23" i="4"/>
  <c r="N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L18" i="4"/>
  <c r="N18" i="4" s="1"/>
  <c r="J18" i="4"/>
  <c r="H18" i="4"/>
  <c r="F18" i="4"/>
  <c r="D18" i="4"/>
  <c r="P17" i="4"/>
  <c r="L17" i="4"/>
  <c r="N17" i="4" s="1"/>
  <c r="J17" i="4"/>
  <c r="H17" i="4"/>
  <c r="F17" i="4"/>
  <c r="D17" i="4"/>
  <c r="P16" i="4"/>
  <c r="L16" i="4"/>
  <c r="M16" i="4" s="1"/>
  <c r="J16" i="4"/>
  <c r="H16" i="4"/>
  <c r="F16" i="4"/>
  <c r="D16" i="4"/>
  <c r="P15" i="4"/>
  <c r="L15" i="4"/>
  <c r="N15" i="4" s="1"/>
  <c r="J15" i="4"/>
  <c r="H15" i="4"/>
  <c r="F15" i="4"/>
  <c r="D15" i="4"/>
  <c r="P14" i="4"/>
  <c r="L14" i="4"/>
  <c r="M14" i="4" s="1"/>
  <c r="J14" i="4"/>
  <c r="H14" i="4"/>
  <c r="F14" i="4"/>
  <c r="D14" i="4"/>
  <c r="P13" i="4"/>
  <c r="L13" i="4"/>
  <c r="N13" i="4" s="1"/>
  <c r="J13" i="4"/>
  <c r="H13" i="4"/>
  <c r="F13" i="4"/>
  <c r="D13" i="4"/>
  <c r="P12" i="4"/>
  <c r="L12" i="4"/>
  <c r="N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P7" i="4"/>
  <c r="L7" i="4"/>
  <c r="N7" i="4" s="1"/>
  <c r="J7" i="4"/>
  <c r="H7" i="4"/>
  <c r="F7" i="4"/>
  <c r="D7" i="4"/>
  <c r="AI37" i="3"/>
  <c r="AG37" i="3"/>
  <c r="AE37" i="3"/>
  <c r="AC37" i="3"/>
  <c r="AA37" i="3"/>
  <c r="Y37" i="3"/>
  <c r="U37" i="3"/>
  <c r="V37" i="3" s="1"/>
  <c r="R37" i="3"/>
  <c r="S37" i="3" s="1"/>
  <c r="O37" i="3"/>
  <c r="P37" i="3" s="1"/>
  <c r="M37" i="3"/>
  <c r="K37" i="3"/>
  <c r="H37" i="3"/>
  <c r="I37" i="3" s="1"/>
  <c r="F37" i="3"/>
  <c r="D37" i="3"/>
  <c r="AI36" i="3"/>
  <c r="AG36" i="3"/>
  <c r="AE36" i="3"/>
  <c r="AC36" i="3"/>
  <c r="AA36" i="3"/>
  <c r="Y36" i="3"/>
  <c r="U36" i="3"/>
  <c r="V36" i="3" s="1"/>
  <c r="R36" i="3"/>
  <c r="S36" i="3" s="1"/>
  <c r="O36" i="3"/>
  <c r="P36" i="3" s="1"/>
  <c r="M36" i="3"/>
  <c r="K36" i="3"/>
  <c r="H36" i="3"/>
  <c r="I36" i="3" s="1"/>
  <c r="F36" i="3"/>
  <c r="D36" i="3"/>
  <c r="AI35" i="3"/>
  <c r="AG35" i="3"/>
  <c r="AE35" i="3"/>
  <c r="AC35" i="3"/>
  <c r="AA35" i="3"/>
  <c r="Y35" i="3"/>
  <c r="U35" i="3"/>
  <c r="V35" i="3" s="1"/>
  <c r="R35" i="3"/>
  <c r="S35" i="3" s="1"/>
  <c r="O35" i="3"/>
  <c r="P35" i="3" s="1"/>
  <c r="M35" i="3"/>
  <c r="K35" i="3"/>
  <c r="H35" i="3"/>
  <c r="I35" i="3" s="1"/>
  <c r="F35" i="3"/>
  <c r="D35" i="3"/>
  <c r="AI34" i="3"/>
  <c r="AG34" i="3"/>
  <c r="AE34" i="3"/>
  <c r="AC34" i="3"/>
  <c r="AA34" i="3"/>
  <c r="Y34" i="3"/>
  <c r="U34" i="3"/>
  <c r="V34" i="3" s="1"/>
  <c r="R34" i="3"/>
  <c r="S34" i="3" s="1"/>
  <c r="O34" i="3"/>
  <c r="P34" i="3" s="1"/>
  <c r="M34" i="3"/>
  <c r="K34" i="3"/>
  <c r="H34" i="3"/>
  <c r="I34" i="3" s="1"/>
  <c r="F34" i="3"/>
  <c r="D34" i="3"/>
  <c r="AI33" i="3"/>
  <c r="AG33" i="3"/>
  <c r="AE33" i="3"/>
  <c r="AC33" i="3"/>
  <c r="AA33" i="3"/>
  <c r="Y33" i="3"/>
  <c r="U33" i="3"/>
  <c r="V33" i="3" s="1"/>
  <c r="R33" i="3"/>
  <c r="S33" i="3" s="1"/>
  <c r="O33" i="3"/>
  <c r="P33" i="3" s="1"/>
  <c r="M33" i="3"/>
  <c r="K33" i="3"/>
  <c r="H33" i="3"/>
  <c r="I33" i="3" s="1"/>
  <c r="F33" i="3"/>
  <c r="D33" i="3"/>
  <c r="AI32" i="3"/>
  <c r="AG32" i="3"/>
  <c r="AE32" i="3"/>
  <c r="AC32" i="3"/>
  <c r="AA32" i="3"/>
  <c r="Y32" i="3"/>
  <c r="U32" i="3"/>
  <c r="V32" i="3" s="1"/>
  <c r="R32" i="3"/>
  <c r="S32" i="3" s="1"/>
  <c r="O32" i="3"/>
  <c r="P32" i="3" s="1"/>
  <c r="M32" i="3"/>
  <c r="K32" i="3"/>
  <c r="H32" i="3"/>
  <c r="I32" i="3" s="1"/>
  <c r="F32" i="3"/>
  <c r="D32" i="3"/>
  <c r="AI31" i="3"/>
  <c r="AG31" i="3"/>
  <c r="AE31" i="3"/>
  <c r="AC31" i="3"/>
  <c r="AA31" i="3"/>
  <c r="Y31" i="3"/>
  <c r="U31" i="3"/>
  <c r="V31" i="3" s="1"/>
  <c r="R31" i="3"/>
  <c r="S31" i="3" s="1"/>
  <c r="O31" i="3"/>
  <c r="P31" i="3" s="1"/>
  <c r="M31" i="3"/>
  <c r="K31" i="3"/>
  <c r="H31" i="3"/>
  <c r="I31" i="3" s="1"/>
  <c r="F31" i="3"/>
  <c r="D31" i="3"/>
  <c r="AI30" i="3"/>
  <c r="AG30" i="3"/>
  <c r="AE30" i="3"/>
  <c r="AC30" i="3"/>
  <c r="AA30" i="3"/>
  <c r="Y30" i="3"/>
  <c r="U30" i="3"/>
  <c r="V30" i="3" s="1"/>
  <c r="R30" i="3"/>
  <c r="S30" i="3" s="1"/>
  <c r="O30" i="3"/>
  <c r="P30" i="3" s="1"/>
  <c r="M30" i="3"/>
  <c r="K30" i="3"/>
  <c r="H30" i="3"/>
  <c r="I30" i="3" s="1"/>
  <c r="F30" i="3"/>
  <c r="D30" i="3"/>
  <c r="AI29" i="3"/>
  <c r="AG29" i="3"/>
  <c r="AE29" i="3"/>
  <c r="AC29" i="3"/>
  <c r="AA29" i="3"/>
  <c r="Y29" i="3"/>
  <c r="U29" i="3"/>
  <c r="V29" i="3" s="1"/>
  <c r="R29" i="3"/>
  <c r="S29" i="3" s="1"/>
  <c r="O29" i="3"/>
  <c r="P29" i="3" s="1"/>
  <c r="M29" i="3"/>
  <c r="K29" i="3"/>
  <c r="H29" i="3"/>
  <c r="I29" i="3" s="1"/>
  <c r="F29" i="3"/>
  <c r="D29" i="3"/>
  <c r="AI28" i="3"/>
  <c r="AG28" i="3"/>
  <c r="AE28" i="3"/>
  <c r="AC28" i="3"/>
  <c r="AA28" i="3"/>
  <c r="Y28" i="3"/>
  <c r="U28" i="3"/>
  <c r="V28" i="3" s="1"/>
  <c r="R28" i="3"/>
  <c r="S28" i="3" s="1"/>
  <c r="O28" i="3"/>
  <c r="P28" i="3" s="1"/>
  <c r="M28" i="3"/>
  <c r="K28" i="3"/>
  <c r="H28" i="3"/>
  <c r="I28" i="3" s="1"/>
  <c r="F28" i="3"/>
  <c r="D28" i="3"/>
  <c r="AI27" i="3"/>
  <c r="AG27" i="3"/>
  <c r="AE27" i="3"/>
  <c r="AC27" i="3"/>
  <c r="AA27" i="3"/>
  <c r="Y27" i="3"/>
  <c r="U27" i="3"/>
  <c r="V27" i="3" s="1"/>
  <c r="R27" i="3"/>
  <c r="S27" i="3" s="1"/>
  <c r="O27" i="3"/>
  <c r="P27" i="3" s="1"/>
  <c r="M27" i="3"/>
  <c r="K27" i="3"/>
  <c r="H27" i="3"/>
  <c r="I27" i="3" s="1"/>
  <c r="F27" i="3"/>
  <c r="D27" i="3"/>
  <c r="AI26" i="3"/>
  <c r="AG26" i="3"/>
  <c r="AE26" i="3"/>
  <c r="AC26" i="3"/>
  <c r="AA26" i="3"/>
  <c r="Y26" i="3"/>
  <c r="U26" i="3"/>
  <c r="V26" i="3" s="1"/>
  <c r="R26" i="3"/>
  <c r="S26" i="3" s="1"/>
  <c r="O26" i="3"/>
  <c r="P26" i="3" s="1"/>
  <c r="M26" i="3"/>
  <c r="K26" i="3"/>
  <c r="H26" i="3"/>
  <c r="I26" i="3" s="1"/>
  <c r="F26" i="3"/>
  <c r="D26" i="3"/>
  <c r="AI25" i="3"/>
  <c r="AG25" i="3"/>
  <c r="AE25" i="3"/>
  <c r="AC25" i="3"/>
  <c r="AA25" i="3"/>
  <c r="Y25" i="3"/>
  <c r="U25" i="3"/>
  <c r="V25" i="3" s="1"/>
  <c r="R25" i="3"/>
  <c r="S25" i="3" s="1"/>
  <c r="O25" i="3"/>
  <c r="P25" i="3" s="1"/>
  <c r="M25" i="3"/>
  <c r="K25" i="3"/>
  <c r="H25" i="3"/>
  <c r="I25" i="3" s="1"/>
  <c r="F25" i="3"/>
  <c r="D25" i="3"/>
  <c r="AI24" i="3"/>
  <c r="AG24" i="3"/>
  <c r="AE24" i="3"/>
  <c r="AC24" i="3"/>
  <c r="AA24" i="3"/>
  <c r="Y24" i="3"/>
  <c r="U24" i="3"/>
  <c r="V24" i="3" s="1"/>
  <c r="R24" i="3"/>
  <c r="S24" i="3" s="1"/>
  <c r="O24" i="3"/>
  <c r="P24" i="3" s="1"/>
  <c r="M24" i="3"/>
  <c r="K24" i="3"/>
  <c r="H24" i="3"/>
  <c r="I24" i="3" s="1"/>
  <c r="F24" i="3"/>
  <c r="D24" i="3"/>
  <c r="AI23" i="3"/>
  <c r="AG23" i="3"/>
  <c r="AE23" i="3"/>
  <c r="AC23" i="3"/>
  <c r="AA23" i="3"/>
  <c r="Y23" i="3"/>
  <c r="U23" i="3"/>
  <c r="V23" i="3" s="1"/>
  <c r="R23" i="3"/>
  <c r="S23" i="3" s="1"/>
  <c r="O23" i="3"/>
  <c r="P23" i="3" s="1"/>
  <c r="M23" i="3"/>
  <c r="K23" i="3"/>
  <c r="H23" i="3"/>
  <c r="I23" i="3" s="1"/>
  <c r="F23" i="3"/>
  <c r="D23" i="3"/>
  <c r="AI22" i="3"/>
  <c r="AG22" i="3"/>
  <c r="AE22" i="3"/>
  <c r="AC22" i="3"/>
  <c r="AA22" i="3"/>
  <c r="Y22" i="3"/>
  <c r="U22" i="3"/>
  <c r="V22" i="3" s="1"/>
  <c r="R22" i="3"/>
  <c r="S22" i="3" s="1"/>
  <c r="O22" i="3"/>
  <c r="P22" i="3" s="1"/>
  <c r="M22" i="3"/>
  <c r="K22" i="3"/>
  <c r="H22" i="3"/>
  <c r="I22" i="3" s="1"/>
  <c r="F22" i="3"/>
  <c r="D22" i="3"/>
  <c r="AI21" i="3"/>
  <c r="AG21" i="3"/>
  <c r="AE21" i="3"/>
  <c r="AC21" i="3"/>
  <c r="AA21" i="3"/>
  <c r="Y21" i="3"/>
  <c r="U21" i="3"/>
  <c r="V21" i="3" s="1"/>
  <c r="R21" i="3"/>
  <c r="S21" i="3" s="1"/>
  <c r="O21" i="3"/>
  <c r="P21" i="3" s="1"/>
  <c r="M21" i="3"/>
  <c r="K21" i="3"/>
  <c r="H21" i="3"/>
  <c r="I21" i="3" s="1"/>
  <c r="F21" i="3"/>
  <c r="D21" i="3"/>
  <c r="AI20" i="3"/>
  <c r="AG20" i="3"/>
  <c r="AE20" i="3"/>
  <c r="AC20" i="3"/>
  <c r="AA20" i="3"/>
  <c r="Y20" i="3"/>
  <c r="U20" i="3"/>
  <c r="V20" i="3" s="1"/>
  <c r="R20" i="3"/>
  <c r="S20" i="3" s="1"/>
  <c r="O20" i="3"/>
  <c r="P20" i="3" s="1"/>
  <c r="M20" i="3"/>
  <c r="K20" i="3"/>
  <c r="H20" i="3"/>
  <c r="I20" i="3" s="1"/>
  <c r="F20" i="3"/>
  <c r="D20" i="3"/>
  <c r="AI19" i="3"/>
  <c r="AG19" i="3"/>
  <c r="AE19" i="3"/>
  <c r="AC19" i="3"/>
  <c r="AA19" i="3"/>
  <c r="Y19" i="3"/>
  <c r="U19" i="3"/>
  <c r="V19" i="3" s="1"/>
  <c r="R19" i="3"/>
  <c r="S19" i="3" s="1"/>
  <c r="O19" i="3"/>
  <c r="P19" i="3" s="1"/>
  <c r="M19" i="3"/>
  <c r="K19" i="3"/>
  <c r="H19" i="3"/>
  <c r="I19" i="3" s="1"/>
  <c r="F19" i="3"/>
  <c r="D19" i="3"/>
  <c r="AI18" i="3"/>
  <c r="AG18" i="3"/>
  <c r="AE18" i="3"/>
  <c r="AC18" i="3"/>
  <c r="AA18" i="3"/>
  <c r="Y18" i="3"/>
  <c r="U18" i="3"/>
  <c r="V18" i="3" s="1"/>
  <c r="R18" i="3"/>
  <c r="S18" i="3" s="1"/>
  <c r="O18" i="3"/>
  <c r="P18" i="3" s="1"/>
  <c r="M18" i="3"/>
  <c r="K18" i="3"/>
  <c r="H18" i="3"/>
  <c r="I18" i="3" s="1"/>
  <c r="F18" i="3"/>
  <c r="D18" i="3"/>
  <c r="AI17" i="3"/>
  <c r="AG17" i="3"/>
  <c r="AE17" i="3"/>
  <c r="AC17" i="3"/>
  <c r="AA17" i="3"/>
  <c r="Y17" i="3"/>
  <c r="U17" i="3"/>
  <c r="V17" i="3" s="1"/>
  <c r="R17" i="3"/>
  <c r="S17" i="3" s="1"/>
  <c r="O17" i="3"/>
  <c r="P17" i="3" s="1"/>
  <c r="M17" i="3"/>
  <c r="K17" i="3"/>
  <c r="H17" i="3"/>
  <c r="I17" i="3" s="1"/>
  <c r="F17" i="3"/>
  <c r="D17" i="3"/>
  <c r="AI16" i="3"/>
  <c r="AG16" i="3"/>
  <c r="AE16" i="3"/>
  <c r="AC16" i="3"/>
  <c r="AA16" i="3"/>
  <c r="Y16" i="3"/>
  <c r="U16" i="3"/>
  <c r="V16" i="3" s="1"/>
  <c r="R16" i="3"/>
  <c r="S16" i="3" s="1"/>
  <c r="O16" i="3"/>
  <c r="P16" i="3" s="1"/>
  <c r="M16" i="3"/>
  <c r="K16" i="3"/>
  <c r="H16" i="3"/>
  <c r="I16" i="3" s="1"/>
  <c r="F16" i="3"/>
  <c r="D16" i="3"/>
  <c r="AI15" i="3"/>
  <c r="AG15" i="3"/>
  <c r="AE15" i="3"/>
  <c r="AC15" i="3"/>
  <c r="AA15" i="3"/>
  <c r="Y15" i="3"/>
  <c r="U15" i="3"/>
  <c r="V15" i="3" s="1"/>
  <c r="R15" i="3"/>
  <c r="S15" i="3" s="1"/>
  <c r="O15" i="3"/>
  <c r="P15" i="3" s="1"/>
  <c r="M15" i="3"/>
  <c r="K15" i="3"/>
  <c r="H15" i="3"/>
  <c r="I15" i="3" s="1"/>
  <c r="F15" i="3"/>
  <c r="D15" i="3"/>
  <c r="AI14" i="3"/>
  <c r="AG14" i="3"/>
  <c r="AE14" i="3"/>
  <c r="AC14" i="3"/>
  <c r="AA14" i="3"/>
  <c r="Y14" i="3"/>
  <c r="U14" i="3"/>
  <c r="V14" i="3" s="1"/>
  <c r="R14" i="3"/>
  <c r="S14" i="3" s="1"/>
  <c r="O14" i="3"/>
  <c r="P14" i="3" s="1"/>
  <c r="M14" i="3"/>
  <c r="K14" i="3"/>
  <c r="H14" i="3"/>
  <c r="I14" i="3" s="1"/>
  <c r="F14" i="3"/>
  <c r="D14" i="3"/>
  <c r="AI13" i="3"/>
  <c r="AG13" i="3"/>
  <c r="AE13" i="3"/>
  <c r="AC13" i="3"/>
  <c r="AA13" i="3"/>
  <c r="Y13" i="3"/>
  <c r="U13" i="3"/>
  <c r="V13" i="3" s="1"/>
  <c r="R13" i="3"/>
  <c r="S13" i="3" s="1"/>
  <c r="O13" i="3"/>
  <c r="P13" i="3" s="1"/>
  <c r="M13" i="3"/>
  <c r="H13" i="3"/>
  <c r="I13" i="3" s="1"/>
  <c r="F13" i="3"/>
  <c r="D13" i="3"/>
  <c r="AI12" i="3"/>
  <c r="AG12" i="3"/>
  <c r="AE12" i="3"/>
  <c r="AC12" i="3"/>
  <c r="AA12" i="3"/>
  <c r="Y12" i="3"/>
  <c r="U12" i="3"/>
  <c r="V12" i="3" s="1"/>
  <c r="R12" i="3"/>
  <c r="S12" i="3" s="1"/>
  <c r="O12" i="3"/>
  <c r="P12" i="3" s="1"/>
  <c r="M12" i="3"/>
  <c r="K12" i="3"/>
  <c r="H12" i="3"/>
  <c r="I12" i="3" s="1"/>
  <c r="F12" i="3"/>
  <c r="D12" i="3"/>
  <c r="AI11" i="3"/>
  <c r="AG11" i="3"/>
  <c r="AE11" i="3"/>
  <c r="AC11" i="3"/>
  <c r="AA11" i="3"/>
  <c r="Y11" i="3"/>
  <c r="U11" i="3"/>
  <c r="V11" i="3" s="1"/>
  <c r="R11" i="3"/>
  <c r="S11" i="3" s="1"/>
  <c r="O11" i="3"/>
  <c r="P11" i="3" s="1"/>
  <c r="M11" i="3"/>
  <c r="K11" i="3"/>
  <c r="H11" i="3"/>
  <c r="I11" i="3" s="1"/>
  <c r="F11" i="3"/>
  <c r="D11" i="3"/>
  <c r="AI10" i="3"/>
  <c r="AG10" i="3"/>
  <c r="AE10" i="3"/>
  <c r="AC10" i="3"/>
  <c r="AA10" i="3"/>
  <c r="Y10" i="3"/>
  <c r="U10" i="3"/>
  <c r="V10" i="3" s="1"/>
  <c r="R10" i="3"/>
  <c r="S10" i="3" s="1"/>
  <c r="O10" i="3"/>
  <c r="P10" i="3" s="1"/>
  <c r="M10" i="3"/>
  <c r="K10" i="3"/>
  <c r="H10" i="3"/>
  <c r="I10" i="3" s="1"/>
  <c r="F10" i="3"/>
  <c r="D10" i="3"/>
  <c r="AI9" i="3"/>
  <c r="AG9" i="3"/>
  <c r="AE9" i="3"/>
  <c r="AC9" i="3"/>
  <c r="AA9" i="3"/>
  <c r="Y9" i="3"/>
  <c r="U9" i="3"/>
  <c r="V9" i="3" s="1"/>
  <c r="R9" i="3"/>
  <c r="S9" i="3" s="1"/>
  <c r="O9" i="3"/>
  <c r="P9" i="3" s="1"/>
  <c r="M9" i="3"/>
  <c r="K9" i="3"/>
  <c r="H9" i="3"/>
  <c r="I9" i="3" s="1"/>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I8" i="3"/>
  <c r="AG8" i="3"/>
  <c r="AE8" i="3"/>
  <c r="AC8" i="3"/>
  <c r="AA8" i="3"/>
  <c r="X8" i="3"/>
  <c r="Y8" i="3" s="1"/>
  <c r="U8" i="3"/>
  <c r="V8" i="3" s="1"/>
  <c r="R8" i="3"/>
  <c r="S8" i="3" s="1"/>
  <c r="O8" i="3"/>
  <c r="P8" i="3" s="1"/>
  <c r="M8" i="3"/>
  <c r="K8" i="3"/>
  <c r="H8" i="3"/>
  <c r="I8" i="3" s="1"/>
  <c r="F8" i="3"/>
  <c r="D8" i="3"/>
  <c r="BI9" i="5" l="1"/>
  <c r="S32" i="4"/>
  <c r="S36" i="4"/>
  <c r="S33" i="4"/>
  <c r="S31" i="4"/>
  <c r="S28" i="4"/>
  <c r="N26" i="4"/>
  <c r="S26" i="4" s="1"/>
  <c r="R36" i="4"/>
  <c r="S12" i="4"/>
  <c r="S18" i="4"/>
  <c r="S7" i="4"/>
  <c r="S13" i="4"/>
  <c r="S23" i="4"/>
  <c r="M17" i="4"/>
  <c r="M18" i="4"/>
  <c r="N25" i="4"/>
  <c r="S25" i="4" s="1"/>
  <c r="S30" i="4"/>
  <c r="R32" i="4"/>
  <c r="R34" i="4"/>
  <c r="R8" i="4"/>
  <c r="R16" i="4"/>
  <c r="R22" i="4"/>
  <c r="AL8" i="3"/>
  <c r="AK15" i="3"/>
  <c r="E10" i="8" s="1"/>
  <c r="AK37" i="3"/>
  <c r="AL36" i="3"/>
  <c r="AK36" i="3"/>
  <c r="S34" i="4"/>
  <c r="AL34" i="3"/>
  <c r="R33" i="4"/>
  <c r="AK32" i="3"/>
  <c r="AK33" i="3"/>
  <c r="AL32" i="3"/>
  <c r="R30" i="4"/>
  <c r="R31" i="4"/>
  <c r="R29" i="4"/>
  <c r="AL30" i="3"/>
  <c r="AK29" i="3"/>
  <c r="S29" i="4"/>
  <c r="M29" i="4"/>
  <c r="R28" i="4"/>
  <c r="AL28" i="3"/>
  <c r="AK28" i="3"/>
  <c r="E30" i="5"/>
  <c r="BH30" i="5" s="1"/>
  <c r="S27" i="4"/>
  <c r="R27" i="4"/>
  <c r="R26" i="4"/>
  <c r="R25" i="4"/>
  <c r="F27" i="5"/>
  <c r="BI27" i="5" s="1"/>
  <c r="S24" i="4"/>
  <c r="R23" i="4"/>
  <c r="R24" i="4"/>
  <c r="AL24" i="3"/>
  <c r="M22" i="4"/>
  <c r="S21" i="4"/>
  <c r="S22" i="4"/>
  <c r="AK23" i="3"/>
  <c r="AL22" i="3"/>
  <c r="M21" i="4"/>
  <c r="S20" i="4"/>
  <c r="S19" i="4"/>
  <c r="R21" i="4"/>
  <c r="R20" i="4"/>
  <c r="R19" i="4"/>
  <c r="R18" i="4"/>
  <c r="E22" i="5"/>
  <c r="BH22" i="5" s="1"/>
  <c r="E21" i="5"/>
  <c r="BH21" i="5" s="1"/>
  <c r="AL17" i="3"/>
  <c r="AL19" i="3"/>
  <c r="E26" i="5"/>
  <c r="BH26" i="5" s="1"/>
  <c r="F35" i="5"/>
  <c r="BI35" i="5" s="1"/>
  <c r="BI22" i="5"/>
  <c r="BI36" i="5"/>
  <c r="E37" i="5"/>
  <c r="BH37" i="5" s="1"/>
  <c r="BH23" i="5"/>
  <c r="S17" i="4"/>
  <c r="R17" i="4"/>
  <c r="E9" i="5"/>
  <c r="BH9" i="5" s="1"/>
  <c r="BI11" i="5"/>
  <c r="F15" i="5"/>
  <c r="BI15" i="5" s="1"/>
  <c r="F23" i="5"/>
  <c r="BI23" i="5" s="1"/>
  <c r="E34" i="5"/>
  <c r="BH34" i="5" s="1"/>
  <c r="E38" i="5"/>
  <c r="BH38" i="5" s="1"/>
  <c r="BI29" i="5"/>
  <c r="BI25" i="5"/>
  <c r="BH27" i="5"/>
  <c r="BI28" i="5"/>
  <c r="BI30" i="5"/>
  <c r="F31" i="5"/>
  <c r="BI31" i="5" s="1"/>
  <c r="BH35" i="5"/>
  <c r="BH31" i="5"/>
  <c r="BH19" i="5"/>
  <c r="S15" i="4"/>
  <c r="R15" i="4"/>
  <c r="E18" i="5"/>
  <c r="BH18" i="5" s="1"/>
  <c r="F19" i="5"/>
  <c r="BI19" i="5" s="1"/>
  <c r="BI18" i="5"/>
  <c r="AL14" i="3"/>
  <c r="BI33" i="5"/>
  <c r="BI37" i="5"/>
  <c r="BI32" i="5"/>
  <c r="BI34" i="5"/>
  <c r="BI38" i="5"/>
  <c r="BI20" i="5"/>
  <c r="BI24" i="5"/>
  <c r="BI26" i="5"/>
  <c r="BI21" i="5"/>
  <c r="BH17" i="5"/>
  <c r="N14" i="4"/>
  <c r="S14" i="4" s="1"/>
  <c r="M13" i="4"/>
  <c r="R14" i="4"/>
  <c r="BI16" i="5"/>
  <c r="R13" i="4"/>
  <c r="BH15" i="5"/>
  <c r="S11" i="4"/>
  <c r="R12" i="4"/>
  <c r="R11" i="4"/>
  <c r="BI14" i="5"/>
  <c r="E14" i="5"/>
  <c r="BH14" i="5" s="1"/>
  <c r="P37" i="4"/>
  <c r="S10" i="4"/>
  <c r="M10" i="4"/>
  <c r="J37" i="4"/>
  <c r="D37" i="4"/>
  <c r="BI12" i="5"/>
  <c r="BH11" i="5"/>
  <c r="BH13" i="5"/>
  <c r="AL26" i="3"/>
  <c r="AK27" i="3"/>
  <c r="AL27" i="3"/>
  <c r="AL11" i="3"/>
  <c r="AL16" i="3"/>
  <c r="AL18" i="3"/>
  <c r="AK21" i="3"/>
  <c r="AL9" i="3"/>
  <c r="AK9" i="3"/>
  <c r="N9" i="4"/>
  <c r="S9" i="4" s="1"/>
  <c r="F37" i="4"/>
  <c r="R10" i="4"/>
  <c r="R9" i="4"/>
  <c r="H37" i="4"/>
  <c r="E25" i="5"/>
  <c r="BH25" i="5" s="1"/>
  <c r="E29" i="5"/>
  <c r="BH29" i="5" s="1"/>
  <c r="E33" i="5"/>
  <c r="BH33" i="5" s="1"/>
  <c r="E36" i="5"/>
  <c r="BH36" i="5" s="1"/>
  <c r="E12" i="5"/>
  <c r="BH12" i="5" s="1"/>
  <c r="F13" i="5"/>
  <c r="BI13" i="5" s="1"/>
  <c r="E16" i="5"/>
  <c r="BH16" i="5" s="1"/>
  <c r="F17" i="5"/>
  <c r="BI17" i="5" s="1"/>
  <c r="E20" i="5"/>
  <c r="BH20" i="5" s="1"/>
  <c r="E24" i="5"/>
  <c r="BH24" i="5" s="1"/>
  <c r="E28" i="5"/>
  <c r="BH28" i="5" s="1"/>
  <c r="E32" i="5"/>
  <c r="BH32" i="5" s="1"/>
  <c r="R7" i="4"/>
  <c r="M12" i="4"/>
  <c r="M20" i="4"/>
  <c r="M24" i="4"/>
  <c r="M28" i="4"/>
  <c r="M7" i="4"/>
  <c r="N8" i="4"/>
  <c r="S8" i="4" s="1"/>
  <c r="M11" i="4"/>
  <c r="M15" i="4"/>
  <c r="N16" i="4"/>
  <c r="S16" i="4" s="1"/>
  <c r="M19" i="4"/>
  <c r="M23" i="4"/>
  <c r="M27" i="4"/>
  <c r="L37" i="4"/>
  <c r="AK11" i="3"/>
  <c r="AK17" i="3"/>
  <c r="AK13" i="3"/>
  <c r="AK19" i="3"/>
  <c r="AK25" i="3"/>
  <c r="AL25" i="3"/>
  <c r="AL12" i="3"/>
  <c r="AL10" i="3"/>
  <c r="AL15" i="3"/>
  <c r="AL20" i="3"/>
  <c r="AK10" i="3"/>
  <c r="AK12" i="3"/>
  <c r="AL13" i="3"/>
  <c r="AK8" i="3"/>
  <c r="AL31" i="3"/>
  <c r="AL35" i="3"/>
  <c r="AK16" i="3"/>
  <c r="AK18" i="3"/>
  <c r="AK20" i="3"/>
  <c r="AK22" i="3"/>
  <c r="AK24" i="3"/>
  <c r="AK30" i="3"/>
  <c r="AK31" i="3"/>
  <c r="AK34" i="3"/>
  <c r="AK35" i="3"/>
  <c r="AK14" i="3"/>
  <c r="E9" i="8" s="1"/>
  <c r="AL21" i="3"/>
  <c r="AL23" i="3"/>
  <c r="AK26" i="3"/>
  <c r="AL29" i="3"/>
  <c r="AL33" i="3"/>
  <c r="AL37" i="3"/>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H4" i="8"/>
  <c r="I31" i="6"/>
  <c r="J31" i="1"/>
  <c r="G31" i="1"/>
  <c r="H31" i="1" s="1"/>
  <c r="G30" i="1"/>
  <c r="H30" i="1" s="1"/>
  <c r="G31" i="6"/>
  <c r="I30" i="6"/>
  <c r="H3" i="8"/>
  <c r="E31" i="1"/>
  <c r="E31" i="6"/>
  <c r="E30" i="6"/>
  <c r="E30" i="1"/>
  <c r="J23" i="1" l="1"/>
  <c r="J19" i="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4" i="8"/>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<sst xmlns="http://schemas.openxmlformats.org/spreadsheetml/2006/main" count="1421" uniqueCount="404">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</sst>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7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3"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31" sqref="G3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5" t="s">
        <v>3</v>
      </c>
      <c r="B1" s="175" t="s">
        <v>4</v>
      </c>
      <c r="C1" s="176" t="s">
        <v>5</v>
      </c>
      <c r="D1" s="175" t="s">
        <v>64</v>
      </c>
      <c r="E1" s="177" t="s">
        <v>395</v>
      </c>
      <c r="F1" s="178" t="s">
        <v>396</v>
      </c>
      <c r="G1" s="177" t="s">
        <v>402</v>
      </c>
      <c r="H1" s="178" t="s">
        <v>397</v>
      </c>
      <c r="I1" s="177" t="s">
        <v>398</v>
      </c>
      <c r="J1" s="179" t="s">
        <v>399</v>
      </c>
      <c r="K1" s="177" t="s">
        <v>400</v>
      </c>
      <c r="L1" s="177" t="s">
        <v>63</v>
      </c>
    </row>
    <row r="2" spans="1:12">
      <c r="A2" s="180" t="s">
        <v>401</v>
      </c>
      <c r="B2" s="181">
        <v>1</v>
      </c>
      <c r="C2" s="182">
        <v>6</v>
      </c>
      <c r="D2" s="181">
        <v>2022</v>
      </c>
      <c r="E2" s="116">
        <f>Combine!G3</f>
        <v>47745</v>
      </c>
      <c r="F2" s="183">
        <v>1.6197722632082889</v>
      </c>
      <c r="G2" s="116">
        <f>Combine!M3</f>
        <v>3180.7714063714056</v>
      </c>
      <c r="H2" s="184">
        <v>9.9048340854917338</v>
      </c>
      <c r="I2" s="116">
        <f>Combine!J3</f>
        <v>513.20559999999932</v>
      </c>
      <c r="J2" s="183">
        <v>8.3284901521915788</v>
      </c>
      <c r="K2" s="116">
        <f>Combine!N3</f>
        <v>111</v>
      </c>
      <c r="L2" s="116">
        <f>Combine!O3</f>
        <v>212</v>
      </c>
    </row>
    <row r="3" spans="1:12">
      <c r="A3" s="180" t="s">
        <v>401</v>
      </c>
      <c r="B3" s="181">
        <v>2</v>
      </c>
      <c r="C3" s="182">
        <v>6</v>
      </c>
      <c r="D3" s="181">
        <v>2022</v>
      </c>
      <c r="E3" s="116">
        <f>Combine!G4</f>
        <v>48895</v>
      </c>
      <c r="F3" s="183">
        <v>1.6197722632082889</v>
      </c>
      <c r="G3" s="116">
        <f>Combine!M4</f>
        <v>2941.9114219114217</v>
      </c>
      <c r="H3" s="184">
        <v>9.9048340854917338</v>
      </c>
      <c r="I3" s="116">
        <f>Combine!J4</f>
        <v>441.42560000000049</v>
      </c>
      <c r="J3" s="183">
        <v>8.3284901521915788</v>
      </c>
      <c r="K3" s="116">
        <f>Combine!N4</f>
        <v>167</v>
      </c>
      <c r="L3" s="116">
        <f>Combine!O4</f>
        <v>375</v>
      </c>
    </row>
    <row r="4" spans="1:12">
      <c r="A4" s="180" t="s">
        <v>401</v>
      </c>
      <c r="B4" s="181">
        <v>3</v>
      </c>
      <c r="C4" s="182">
        <v>6</v>
      </c>
      <c r="D4" s="181">
        <v>2022</v>
      </c>
      <c r="E4" s="116">
        <f>Combine!G5</f>
        <v>50660</v>
      </c>
      <c r="F4" s="183">
        <v>1.6197722632082889</v>
      </c>
      <c r="G4" s="116">
        <f>Combine!M5</f>
        <v>3014.5143745143746</v>
      </c>
      <c r="H4" s="184">
        <v>9.9048340854917338</v>
      </c>
      <c r="I4" s="116">
        <f>Combine!J5</f>
        <v>530.07170000000042</v>
      </c>
      <c r="J4" s="183">
        <v>8.3284901521915788</v>
      </c>
      <c r="K4" s="116">
        <f>Combine!N5</f>
        <v>247</v>
      </c>
      <c r="L4" s="116">
        <f>Combine!O5</f>
        <v>559</v>
      </c>
    </row>
    <row r="5" spans="1:12">
      <c r="A5" s="180" t="s">
        <v>401</v>
      </c>
      <c r="B5" s="181">
        <v>4</v>
      </c>
      <c r="C5" s="182">
        <v>6</v>
      </c>
      <c r="D5" s="181">
        <v>2022</v>
      </c>
      <c r="E5" s="116">
        <f>Combine!G6</f>
        <v>51195</v>
      </c>
      <c r="F5" s="183">
        <v>1.6197722632082889</v>
      </c>
      <c r="G5" s="116">
        <f>Combine!M6</f>
        <v>3209.0243978243975</v>
      </c>
      <c r="H5" s="184">
        <v>9.9048340854917338</v>
      </c>
      <c r="I5" s="116">
        <f>Combine!J6</f>
        <v>610.11949999999888</v>
      </c>
      <c r="J5" s="183">
        <v>8.3284901521915788</v>
      </c>
      <c r="K5" s="116">
        <f>Combine!N6</f>
        <v>186</v>
      </c>
      <c r="L5" s="116">
        <f>Combine!O6</f>
        <v>403</v>
      </c>
    </row>
    <row r="6" spans="1:12">
      <c r="A6" s="180" t="s">
        <v>401</v>
      </c>
      <c r="B6" s="181">
        <v>5</v>
      </c>
      <c r="C6" s="182">
        <v>6</v>
      </c>
      <c r="D6" s="181">
        <v>2022</v>
      </c>
      <c r="E6" s="116">
        <f>Combine!G7</f>
        <v>51985</v>
      </c>
      <c r="F6" s="183">
        <v>1.6197722632082889</v>
      </c>
      <c r="G6" s="116">
        <f>Combine!M7</f>
        <v>3123.1714063714066</v>
      </c>
      <c r="H6" s="184">
        <v>9.9048340854917338</v>
      </c>
      <c r="I6" s="116">
        <f>Combine!J7</f>
        <v>610.08560000000034</v>
      </c>
      <c r="J6" s="183">
        <v>8.3284901521915788</v>
      </c>
      <c r="K6" s="116">
        <f>Combine!N7</f>
        <v>130</v>
      </c>
      <c r="L6" s="116">
        <f>Combine!O7</f>
        <v>258</v>
      </c>
    </row>
    <row r="7" spans="1:12">
      <c r="A7" s="180" t="s">
        <v>401</v>
      </c>
      <c r="B7" s="181">
        <v>6</v>
      </c>
      <c r="C7" s="182">
        <v>6</v>
      </c>
      <c r="D7" s="181">
        <v>2022</v>
      </c>
      <c r="E7" s="116">
        <f>Combine!G8</f>
        <v>50245</v>
      </c>
      <c r="F7" s="183">
        <v>1.6197722632082889</v>
      </c>
      <c r="G7" s="116">
        <f>Combine!M8</f>
        <v>2877.3047397047399</v>
      </c>
      <c r="H7" s="184">
        <v>9.9048340854917338</v>
      </c>
      <c r="I7" s="116">
        <f>Combine!J8</f>
        <v>485.01000000000022</v>
      </c>
      <c r="J7" s="183">
        <v>8.3284901521915788</v>
      </c>
      <c r="K7" s="116">
        <f>Combine!N8</f>
        <v>97</v>
      </c>
      <c r="L7" s="116">
        <f>Combine!O8</f>
        <v>181</v>
      </c>
    </row>
    <row r="8" spans="1:12">
      <c r="A8" s="180" t="s">
        <v>401</v>
      </c>
      <c r="B8" s="181">
        <v>7</v>
      </c>
      <c r="C8" s="182">
        <v>6</v>
      </c>
      <c r="D8" s="181">
        <v>2022</v>
      </c>
      <c r="E8" s="116">
        <f>Combine!G9</f>
        <v>45885</v>
      </c>
      <c r="F8" s="183">
        <v>1.6197722632082889</v>
      </c>
      <c r="G8" s="116">
        <f>Combine!M9</f>
        <v>3067.6114996114998</v>
      </c>
      <c r="H8" s="184">
        <v>9.9048340854917338</v>
      </c>
      <c r="I8" s="116">
        <f>Combine!J9</f>
        <v>474.60499999999956</v>
      </c>
      <c r="J8" s="183">
        <v>8.3284901521915788</v>
      </c>
      <c r="K8" s="116">
        <f>Combine!N9</f>
        <v>83</v>
      </c>
      <c r="L8" s="116">
        <f>Combine!O9</f>
        <v>147</v>
      </c>
    </row>
    <row r="9" spans="1:12">
      <c r="A9" s="180" t="s">
        <v>401</v>
      </c>
      <c r="B9" s="181">
        <v>8</v>
      </c>
      <c r="C9" s="182">
        <v>6</v>
      </c>
      <c r="D9" s="181">
        <v>2022</v>
      </c>
      <c r="E9" s="116">
        <f>Combine!G10</f>
        <v>44920</v>
      </c>
      <c r="F9" s="183">
        <v>1.6197722632082889</v>
      </c>
      <c r="G9" s="116">
        <f>Combine!M10</f>
        <v>2808.9075369075372</v>
      </c>
      <c r="H9" s="184">
        <v>9.9048340854917338</v>
      </c>
      <c r="I9" s="116">
        <f>Combine!J10</f>
        <v>397.32099999999991</v>
      </c>
      <c r="J9" s="183">
        <v>8.3284901521915788</v>
      </c>
      <c r="K9" s="116">
        <f>Combine!N10</f>
        <v>78</v>
      </c>
      <c r="L9" s="116">
        <f>Combine!O10</f>
        <v>138</v>
      </c>
    </row>
    <row r="10" spans="1:12">
      <c r="A10" s="180" t="s">
        <v>401</v>
      </c>
      <c r="B10" s="181">
        <v>9</v>
      </c>
      <c r="C10" s="182">
        <v>6</v>
      </c>
      <c r="D10" s="181">
        <v>2022</v>
      </c>
      <c r="E10" s="116">
        <f>Combine!G11</f>
        <v>47235</v>
      </c>
      <c r="F10" s="183">
        <v>1.6197722632082889</v>
      </c>
      <c r="G10" s="116">
        <f>Combine!M11</f>
        <v>2824.4997668997667</v>
      </c>
      <c r="H10" s="184">
        <v>9.9048340854917338</v>
      </c>
      <c r="I10" s="116">
        <f>Combine!J11</f>
        <v>437.83100000000013</v>
      </c>
      <c r="J10" s="183">
        <v>8.3284901521915788</v>
      </c>
      <c r="K10" s="116">
        <f>Combine!N11</f>
        <v>106</v>
      </c>
      <c r="L10" s="116">
        <f>Combine!O11</f>
        <v>200</v>
      </c>
    </row>
    <row r="11" spans="1:12">
      <c r="A11" s="180" t="s">
        <v>401</v>
      </c>
      <c r="B11" s="181">
        <v>10</v>
      </c>
      <c r="C11" s="182">
        <v>6</v>
      </c>
      <c r="D11" s="181">
        <v>2022</v>
      </c>
      <c r="E11" s="116">
        <f>Combine!G12</f>
        <v>46465</v>
      </c>
      <c r="F11" s="183">
        <v>1.6197722632082889</v>
      </c>
      <c r="G11" s="116">
        <f>Combine!M12</f>
        <v>3069.9860139860134</v>
      </c>
      <c r="H11" s="184">
        <v>9.9048340854917338</v>
      </c>
      <c r="I11" s="116">
        <f>Combine!J12</f>
        <v>481.32500000000073</v>
      </c>
      <c r="J11" s="183">
        <v>8.3284901521915788</v>
      </c>
      <c r="K11" s="116">
        <f>Combine!N12</f>
        <v>165</v>
      </c>
      <c r="L11" s="116">
        <f>Combine!O12</f>
        <v>333</v>
      </c>
    </row>
    <row r="12" spans="1:12">
      <c r="A12" s="180" t="s">
        <v>401</v>
      </c>
      <c r="B12" s="181">
        <v>11</v>
      </c>
      <c r="C12" s="182">
        <v>6</v>
      </c>
      <c r="D12" s="181">
        <v>2022</v>
      </c>
      <c r="E12" s="116">
        <f>Combine!G13</f>
        <v>49565</v>
      </c>
      <c r="F12" s="183">
        <v>1.6197722632082889</v>
      </c>
      <c r="G12" s="116">
        <f>Combine!M13</f>
        <v>3081.4060606060607</v>
      </c>
      <c r="H12" s="184">
        <v>9.9048340854917338</v>
      </c>
      <c r="I12" s="116">
        <f>Combine!J13</f>
        <v>547</v>
      </c>
      <c r="J12" s="183">
        <v>8.3284901521915788</v>
      </c>
      <c r="K12" s="116">
        <f>Combine!N13</f>
        <v>211</v>
      </c>
      <c r="L12" s="116">
        <f>Combine!O13</f>
        <v>455</v>
      </c>
    </row>
    <row r="13" spans="1:12">
      <c r="A13" s="180" t="s">
        <v>401</v>
      </c>
      <c r="B13" s="181">
        <v>12</v>
      </c>
      <c r="C13" s="182">
        <v>6</v>
      </c>
      <c r="D13" s="181">
        <v>2022</v>
      </c>
      <c r="E13" s="116">
        <f>Combine!G14</f>
        <v>38760</v>
      </c>
      <c r="F13" s="183">
        <v>1.6197722632082889</v>
      </c>
      <c r="G13" s="116">
        <f>Combine!M14</f>
        <v>3259.1763791763792</v>
      </c>
      <c r="H13" s="184">
        <v>9.9048340854917338</v>
      </c>
      <c r="I13" s="116">
        <f>Combine!J14</f>
        <v>526</v>
      </c>
      <c r="J13" s="183">
        <v>8.3284901521915788</v>
      </c>
      <c r="K13" s="116">
        <f>Combine!N14</f>
        <v>134</v>
      </c>
      <c r="L13" s="116">
        <f>Combine!O14</f>
        <v>272</v>
      </c>
    </row>
    <row r="14" spans="1:12">
      <c r="A14" s="180" t="s">
        <v>401</v>
      </c>
      <c r="B14" s="181">
        <v>13</v>
      </c>
      <c r="C14" s="182">
        <v>6</v>
      </c>
      <c r="D14" s="181">
        <v>2022</v>
      </c>
      <c r="E14" s="116">
        <f>Combine!G15</f>
        <v>51805</v>
      </c>
      <c r="F14" s="183">
        <v>1.6197722632082889</v>
      </c>
      <c r="G14" s="116">
        <f>Combine!M15</f>
        <v>3098.3061383061386</v>
      </c>
      <c r="H14" s="184">
        <v>9.9048340854917338</v>
      </c>
      <c r="I14" s="116">
        <f>Combine!J15</f>
        <v>519</v>
      </c>
      <c r="J14" s="183">
        <v>8.3284901521915788</v>
      </c>
      <c r="K14" s="116">
        <f>Combine!N15</f>
        <v>110</v>
      </c>
      <c r="L14" s="116">
        <f>Combine!O15</f>
        <v>215</v>
      </c>
    </row>
    <row r="15" spans="1:12">
      <c r="A15" s="180" t="s">
        <v>401</v>
      </c>
      <c r="B15" s="181">
        <v>14</v>
      </c>
      <c r="C15" s="182">
        <v>6</v>
      </c>
      <c r="D15" s="181">
        <v>2022</v>
      </c>
      <c r="E15" s="116">
        <f>Combine!G16</f>
        <v>46480</v>
      </c>
      <c r="F15" s="183">
        <v>1.6197722632082889</v>
      </c>
      <c r="G15" s="116">
        <f>Combine!M16</f>
        <v>2918.0419580419584</v>
      </c>
      <c r="H15" s="184">
        <v>9.9048340854917338</v>
      </c>
      <c r="I15" s="116">
        <f>Combine!J16</f>
        <v>429</v>
      </c>
      <c r="J15" s="183">
        <v>8.3284901521915788</v>
      </c>
      <c r="K15" s="116">
        <f>Combine!N16</f>
        <v>105</v>
      </c>
      <c r="L15" s="116">
        <f>Combine!O16</f>
        <v>209</v>
      </c>
    </row>
    <row r="16" spans="1:12">
      <c r="A16" s="180" t="s">
        <v>401</v>
      </c>
      <c r="B16" s="181">
        <v>15</v>
      </c>
      <c r="C16" s="182">
        <v>6</v>
      </c>
      <c r="D16" s="181">
        <v>2022</v>
      </c>
      <c r="E16" s="116">
        <f>Combine!G17</f>
        <v>44720</v>
      </c>
      <c r="F16" s="183">
        <v>1.6197722632082889</v>
      </c>
      <c r="G16" s="116">
        <f>Combine!M17</f>
        <v>3003.5742035742037</v>
      </c>
      <c r="H16" s="184">
        <v>9.9048340854917338</v>
      </c>
      <c r="I16" s="116">
        <f>Combine!J17</f>
        <v>470</v>
      </c>
      <c r="J16" s="183">
        <v>8.3284901521915788</v>
      </c>
      <c r="K16" s="116">
        <f>Combine!N17</f>
        <v>116</v>
      </c>
      <c r="L16" s="116">
        <f>Combine!O17</f>
        <v>227</v>
      </c>
    </row>
    <row r="17" spans="1:12">
      <c r="A17" s="180" t="s">
        <v>401</v>
      </c>
      <c r="B17" s="181">
        <v>16</v>
      </c>
      <c r="C17" s="182">
        <v>6</v>
      </c>
      <c r="D17" s="181">
        <v>2022</v>
      </c>
      <c r="E17" s="116">
        <f>Combine!G18</f>
        <v>45005</v>
      </c>
      <c r="F17" s="183">
        <v>1.6197722632082889</v>
      </c>
      <c r="G17" s="116">
        <f>Combine!M18</f>
        <v>2926.7443667443667</v>
      </c>
      <c r="H17" s="184">
        <v>9.9048340854917338</v>
      </c>
      <c r="I17" s="116">
        <f>Combine!J18</f>
        <v>467</v>
      </c>
      <c r="J17" s="183">
        <v>8.3284901521915788</v>
      </c>
      <c r="K17" s="116">
        <f>Combine!N18</f>
        <v>114</v>
      </c>
      <c r="L17" s="116">
        <f>Combine!O18</f>
        <v>219</v>
      </c>
    </row>
    <row r="18" spans="1:12">
      <c r="A18" s="180" t="s">
        <v>401</v>
      </c>
      <c r="B18" s="181">
        <v>17</v>
      </c>
      <c r="C18" s="182">
        <v>6</v>
      </c>
      <c r="D18" s="181">
        <v>2022</v>
      </c>
      <c r="E18" s="116">
        <f>Combine!G19</f>
        <v>48820</v>
      </c>
      <c r="F18" s="183">
        <v>1.6197722632082889</v>
      </c>
      <c r="G18" s="116">
        <f>Combine!M19</f>
        <v>2897.4048174048171</v>
      </c>
      <c r="H18" s="184">
        <v>9.9048340854917338</v>
      </c>
      <c r="I18" s="116">
        <f>Combine!J19</f>
        <v>408</v>
      </c>
      <c r="J18" s="183">
        <v>8.3284901521915788</v>
      </c>
      <c r="K18" s="116">
        <f>Combine!N19</f>
        <v>191</v>
      </c>
      <c r="L18" s="116">
        <f>Combine!O19</f>
        <v>392</v>
      </c>
    </row>
    <row r="19" spans="1:12">
      <c r="A19" s="180" t="s">
        <v>401</v>
      </c>
      <c r="B19" s="181">
        <v>18</v>
      </c>
      <c r="C19" s="182">
        <v>6</v>
      </c>
      <c r="D19" s="181">
        <v>2022</v>
      </c>
      <c r="E19" s="116">
        <f>Combine!G20</f>
        <v>50240</v>
      </c>
      <c r="F19" s="183">
        <v>1.6197722632082889</v>
      </c>
      <c r="G19" s="116">
        <f>Combine!M20</f>
        <v>3066.7288267288268</v>
      </c>
      <c r="H19" s="184">
        <v>9.9048340854917338</v>
      </c>
      <c r="I19" s="116">
        <f>Combine!J20</f>
        <v>514</v>
      </c>
      <c r="J19" s="183">
        <v>8.3284901521915788</v>
      </c>
      <c r="K19" s="116">
        <f>Combine!N20</f>
        <v>234</v>
      </c>
      <c r="L19" s="116">
        <f>Combine!O20</f>
        <v>535</v>
      </c>
    </row>
    <row r="20" spans="1:12">
      <c r="A20" s="180" t="s">
        <v>401</v>
      </c>
      <c r="B20" s="181">
        <v>19</v>
      </c>
      <c r="C20" s="182">
        <v>6</v>
      </c>
      <c r="D20" s="181">
        <v>2022</v>
      </c>
      <c r="E20" s="116">
        <f>Combine!G21</f>
        <v>49330</v>
      </c>
      <c r="F20" s="183">
        <v>1.6197722632082889</v>
      </c>
      <c r="G20" s="116">
        <f>Combine!M21</f>
        <v>3270.8624708624711</v>
      </c>
      <c r="H20" s="184">
        <v>9.9048340854917338</v>
      </c>
      <c r="I20" s="116">
        <f>Combine!J21</f>
        <v>617</v>
      </c>
      <c r="J20" s="183">
        <v>8.3284901521915788</v>
      </c>
      <c r="K20" s="116">
        <f>Combine!N21</f>
        <v>158</v>
      </c>
      <c r="L20" s="116">
        <f>Combine!O21</f>
        <v>323</v>
      </c>
    </row>
    <row r="21" spans="1:12">
      <c r="A21" s="180" t="s">
        <v>401</v>
      </c>
      <c r="B21" s="181">
        <v>20</v>
      </c>
      <c r="C21" s="182">
        <v>6</v>
      </c>
      <c r="D21" s="181">
        <v>2022</v>
      </c>
      <c r="E21" s="116">
        <f>Combine!G22</f>
        <v>47530</v>
      </c>
      <c r="F21" s="183">
        <v>1.6197722632082889</v>
      </c>
      <c r="G21" s="116">
        <f>Combine!M22</f>
        <v>3196.2703962703963</v>
      </c>
      <c r="H21" s="184">
        <v>9.9048340854917338</v>
      </c>
      <c r="I21" s="116">
        <f>Combine!J22</f>
        <v>575</v>
      </c>
      <c r="J21" s="183">
        <v>8.3284901521915788</v>
      </c>
      <c r="K21" s="116">
        <f>Combine!N22</f>
        <v>147</v>
      </c>
      <c r="L21" s="116">
        <f>Combine!O22</f>
        <v>285</v>
      </c>
    </row>
    <row r="22" spans="1:12">
      <c r="A22" s="180" t="s">
        <v>401</v>
      </c>
      <c r="B22" s="181">
        <v>21</v>
      </c>
      <c r="C22" s="182">
        <v>6</v>
      </c>
      <c r="D22" s="181">
        <v>2022</v>
      </c>
      <c r="E22" s="116">
        <f>Combine!G23</f>
        <v>54790</v>
      </c>
      <c r="F22" s="183">
        <v>1.6197722632082889</v>
      </c>
      <c r="G22" s="116">
        <f>Combine!M23</f>
        <v>3035.4001554001552</v>
      </c>
      <c r="H22" s="184">
        <v>9.9048340854917338</v>
      </c>
      <c r="I22" s="116">
        <f>Combine!J23</f>
        <v>442</v>
      </c>
      <c r="J22" s="183">
        <v>8.3284901521915788</v>
      </c>
      <c r="K22" s="116">
        <f>Combine!N23</f>
        <v>118</v>
      </c>
      <c r="L22" s="116">
        <f>Combine!O23</f>
        <v>222</v>
      </c>
    </row>
    <row r="23" spans="1:12">
      <c r="A23" s="180" t="s">
        <v>401</v>
      </c>
      <c r="B23" s="181">
        <v>22</v>
      </c>
      <c r="C23" s="182">
        <v>6</v>
      </c>
      <c r="D23" s="181">
        <v>2022</v>
      </c>
      <c r="E23" s="116">
        <f>Combine!G24</f>
        <v>40405</v>
      </c>
      <c r="F23" s="183">
        <v>1.6197722632082889</v>
      </c>
      <c r="G23" s="116">
        <f>Combine!M24</f>
        <v>2877.0163170163173</v>
      </c>
      <c r="H23" s="184">
        <v>9.9048340854917338</v>
      </c>
      <c r="I23" s="116">
        <f>Combine!J24</f>
        <v>453.5</v>
      </c>
      <c r="J23" s="183">
        <v>8.3284901521915788</v>
      </c>
      <c r="K23" s="116">
        <f>Combine!N24</f>
        <v>129</v>
      </c>
      <c r="L23" s="116">
        <f>Combine!O24</f>
        <v>246</v>
      </c>
    </row>
    <row r="24" spans="1:12">
      <c r="A24" s="180" t="s">
        <v>401</v>
      </c>
      <c r="B24" s="181">
        <v>23</v>
      </c>
      <c r="C24" s="182">
        <v>6</v>
      </c>
      <c r="D24" s="181">
        <v>2022</v>
      </c>
      <c r="E24" s="116">
        <f>Combine!G25</f>
        <v>54405</v>
      </c>
      <c r="F24" s="183">
        <v>1.6197722632082889</v>
      </c>
      <c r="G24" s="116">
        <f>Combine!M25</f>
        <v>2965.7808857808855</v>
      </c>
      <c r="H24" s="184">
        <v>9.9048340854917338</v>
      </c>
      <c r="I24" s="116">
        <f>Combine!J25</f>
        <v>812</v>
      </c>
      <c r="J24" s="183">
        <v>8.3284901521915788</v>
      </c>
      <c r="K24" s="116">
        <f>Combine!N25</f>
        <v>151</v>
      </c>
      <c r="L24" s="116">
        <f>Combine!O25</f>
        <v>294</v>
      </c>
    </row>
    <row r="25" spans="1:12">
      <c r="A25" s="180" t="s">
        <v>401</v>
      </c>
      <c r="B25" s="181">
        <v>24</v>
      </c>
      <c r="C25" s="182">
        <v>6</v>
      </c>
      <c r="D25" s="181">
        <v>2022</v>
      </c>
      <c r="E25" s="116">
        <f>Combine!G26</f>
        <v>48375</v>
      </c>
      <c r="F25" s="183">
        <v>1.6197722632082889</v>
      </c>
      <c r="G25" s="116">
        <f>Combine!M26</f>
        <v>3077.4203574203575</v>
      </c>
      <c r="H25" s="184">
        <v>9.9048340854917338</v>
      </c>
      <c r="I25" s="116">
        <f>Combine!J26</f>
        <v>139.5</v>
      </c>
      <c r="J25" s="183">
        <v>8.3284901521915788</v>
      </c>
      <c r="K25" s="116">
        <f>Combine!N26</f>
        <v>218</v>
      </c>
      <c r="L25" s="116">
        <f>Combine!O26</f>
        <v>448</v>
      </c>
    </row>
    <row r="26" spans="1:12">
      <c r="A26" s="180" t="s">
        <v>401</v>
      </c>
      <c r="B26" s="181">
        <v>25</v>
      </c>
      <c r="C26" s="182">
        <v>6</v>
      </c>
      <c r="D26" s="181">
        <v>2022</v>
      </c>
      <c r="E26" s="116">
        <f>Combine!G27</f>
        <v>50830</v>
      </c>
      <c r="F26" s="183">
        <v>1.6197722632082889</v>
      </c>
      <c r="G26" s="116">
        <f>Combine!M27</f>
        <v>2824.5532245532245</v>
      </c>
      <c r="H26" s="184">
        <v>9.9048340854917338</v>
      </c>
      <c r="I26" s="116">
        <f>Combine!J27</f>
        <v>461</v>
      </c>
      <c r="J26" s="183">
        <v>8.3284901521915788</v>
      </c>
      <c r="K26" s="116">
        <f>Combine!N27</f>
        <v>250</v>
      </c>
      <c r="L26" s="116">
        <f>Combine!O27</f>
        <v>545</v>
      </c>
    </row>
    <row r="27" spans="1:12">
      <c r="A27" s="180" t="s">
        <v>401</v>
      </c>
      <c r="B27" s="181">
        <v>26</v>
      </c>
      <c r="C27" s="182">
        <v>6</v>
      </c>
      <c r="D27" s="181">
        <v>2022</v>
      </c>
      <c r="E27" s="116">
        <f>Combine!G28</f>
        <v>52025</v>
      </c>
      <c r="F27" s="183">
        <v>1.6197722632082889</v>
      </c>
      <c r="G27" s="116">
        <f>Combine!M28</f>
        <v>3238.2905982905982</v>
      </c>
      <c r="H27" s="184">
        <v>9.9048340854917338</v>
      </c>
      <c r="I27" s="116">
        <f>Combine!J28</f>
        <v>602</v>
      </c>
      <c r="J27" s="183">
        <v>8.3284901521915788</v>
      </c>
      <c r="K27" s="116">
        <f>Combine!N28</f>
        <v>192</v>
      </c>
      <c r="L27" s="116">
        <f>Combine!O28</f>
        <v>405</v>
      </c>
    </row>
    <row r="28" spans="1:12">
      <c r="A28" s="180" t="s">
        <v>401</v>
      </c>
      <c r="B28" s="181">
        <v>27</v>
      </c>
      <c r="C28" s="182">
        <v>6</v>
      </c>
      <c r="D28" s="181">
        <v>2022</v>
      </c>
      <c r="E28" s="116">
        <f>Combine!G29</f>
        <v>48905</v>
      </c>
      <c r="F28" s="183">
        <v>1.6197722632082889</v>
      </c>
      <c r="G28" s="116">
        <f>Combine!M29</f>
        <v>3228.0963480963483</v>
      </c>
      <c r="H28" s="184">
        <v>9.9048340854917338</v>
      </c>
      <c r="I28" s="116">
        <f>Combine!J29</f>
        <v>561</v>
      </c>
      <c r="J28" s="183">
        <v>8.3284901521915788</v>
      </c>
      <c r="K28" s="116">
        <f>Combine!N29</f>
        <v>163</v>
      </c>
      <c r="L28" s="116">
        <f>Combine!O29</f>
        <v>319</v>
      </c>
    </row>
    <row r="29" spans="1:12">
      <c r="A29" s="180" t="s">
        <v>401</v>
      </c>
      <c r="B29" s="181">
        <v>28</v>
      </c>
      <c r="C29" s="182">
        <v>6</v>
      </c>
      <c r="D29" s="181">
        <v>2022</v>
      </c>
      <c r="E29" s="116">
        <f>Combine!G30</f>
        <v>49985</v>
      </c>
      <c r="F29" s="183">
        <v>1.6197722632082889</v>
      </c>
      <c r="G29" s="116">
        <f>Combine!M30</f>
        <v>3241.5950271950269</v>
      </c>
      <c r="H29" s="184">
        <v>9.9048340854917338</v>
      </c>
      <c r="I29" s="116">
        <f>Combine!J30</f>
        <v>504.36599999999999</v>
      </c>
      <c r="J29" s="183">
        <v>8.3284901521915788</v>
      </c>
      <c r="K29" s="116">
        <f>Combine!N30</f>
        <v>142</v>
      </c>
      <c r="L29" s="116">
        <f>Combine!O30</f>
        <v>246</v>
      </c>
    </row>
    <row r="30" spans="1:12">
      <c r="A30" s="180" t="s">
        <v>401</v>
      </c>
      <c r="B30" s="181">
        <v>29</v>
      </c>
      <c r="C30" s="182">
        <v>6</v>
      </c>
      <c r="D30" s="181">
        <v>2022</v>
      </c>
      <c r="E30" s="116">
        <f>Combine!G31</f>
        <v>51340</v>
      </c>
      <c r="F30" s="183">
        <v>1.6197722632082889</v>
      </c>
      <c r="G30" s="116">
        <f>Combine!M31</f>
        <v>3085.3619269619271</v>
      </c>
      <c r="H30" s="184">
        <v>9.9048340854917338</v>
      </c>
      <c r="I30" s="116">
        <f>Combine!J31</f>
        <v>438.63400000000001</v>
      </c>
      <c r="J30" s="183">
        <v>8.3284901521915788</v>
      </c>
      <c r="K30" s="116">
        <f>Combine!N31</f>
        <v>173</v>
      </c>
      <c r="L30" s="116">
        <f>Combine!O31</f>
        <v>341</v>
      </c>
    </row>
    <row r="31" spans="1:12">
      <c r="A31" s="180" t="s">
        <v>401</v>
      </c>
      <c r="B31" s="181">
        <v>30</v>
      </c>
      <c r="C31" s="182">
        <v>6</v>
      </c>
      <c r="D31" s="181">
        <v>2022</v>
      </c>
      <c r="E31" s="116">
        <f>Combine!G32</f>
        <v>52825</v>
      </c>
      <c r="F31" s="183">
        <v>1.6197722632082889</v>
      </c>
      <c r="G31" s="116">
        <f>Combine!M32</f>
        <v>3032.8727272727269</v>
      </c>
      <c r="H31" s="184">
        <v>9.9048340854917338</v>
      </c>
      <c r="I31" s="116">
        <f>Combine!J32</f>
        <v>488.03199999999924</v>
      </c>
      <c r="J31" s="183">
        <v>8.3284901521915788</v>
      </c>
      <c r="K31" s="116">
        <f>Combine!N32</f>
        <v>205</v>
      </c>
      <c r="L31" s="116">
        <f>Combine!O32</f>
        <v>452</v>
      </c>
    </row>
    <row r="32" spans="1:12">
      <c r="A32" s="180" t="s">
        <v>401</v>
      </c>
      <c r="B32" s="181"/>
      <c r="C32" s="182">
        <v>6</v>
      </c>
      <c r="D32" s="181">
        <v>2022</v>
      </c>
      <c r="E32" s="116"/>
      <c r="F32" s="183">
        <v>1.6197722632082889</v>
      </c>
      <c r="G32" s="116">
        <f>Combine!M33</f>
        <v>0</v>
      </c>
      <c r="H32" s="184">
        <v>9.9048340854917338</v>
      </c>
      <c r="I32" s="116">
        <f>Combine!J33</f>
        <v>0</v>
      </c>
      <c r="J32" s="183">
        <v>8.3284901521915788</v>
      </c>
      <c r="K32" s="116">
        <f>Combine!N33</f>
        <v>0</v>
      </c>
      <c r="L32" s="116">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H3" activePane="bottomRight" state="frozen"/>
      <selection activeCell="B1" sqref="B1"/>
      <selection pane="topRight" activeCell="E1" sqref="E1"/>
      <selection pane="bottomLeft" activeCell="B3" sqref="B3"/>
      <selection pane="bottomRight" activeCell="K19" sqref="K19"/>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3"/>
      <c r="C1" s="113"/>
      <c r="D1" s="113"/>
      <c r="E1" s="117" t="s">
        <v>0</v>
      </c>
      <c r="F1" s="118" t="s">
        <v>1</v>
      </c>
      <c r="G1" s="124" t="s">
        <v>2</v>
      </c>
      <c r="H1" s="117" t="s">
        <v>0</v>
      </c>
      <c r="I1" s="118" t="s">
        <v>1</v>
      </c>
      <c r="J1" s="121" t="s">
        <v>2</v>
      </c>
      <c r="K1" s="117" t="s">
        <v>0</v>
      </c>
      <c r="L1" s="118" t="s">
        <v>1</v>
      </c>
      <c r="M1" s="124" t="s">
        <v>2</v>
      </c>
      <c r="N1" s="193" t="s">
        <v>66</v>
      </c>
      <c r="O1" s="194"/>
      <c r="P1" s="195"/>
    </row>
    <row r="2" spans="1:17" s="2" customFormat="1" ht="60" customHeight="1">
      <c r="A2" s="4" t="s">
        <v>3</v>
      </c>
      <c r="B2" s="5" t="s">
        <v>4</v>
      </c>
      <c r="C2" s="5" t="s">
        <v>5</v>
      </c>
      <c r="D2" s="114"/>
      <c r="E2" s="119" t="s">
        <v>6</v>
      </c>
      <c r="F2" s="140" t="s">
        <v>6</v>
      </c>
      <c r="G2" s="146" t="s">
        <v>6</v>
      </c>
      <c r="H2" s="147" t="s">
        <v>9</v>
      </c>
      <c r="I2" s="141" t="s">
        <v>9</v>
      </c>
      <c r="J2" s="146" t="s">
        <v>9</v>
      </c>
      <c r="K2" s="119" t="s">
        <v>7</v>
      </c>
      <c r="L2" s="119" t="s">
        <v>7</v>
      </c>
      <c r="M2" s="125" t="s">
        <v>8</v>
      </c>
      <c r="N2" s="153" t="s">
        <v>10</v>
      </c>
      <c r="O2" s="5" t="s">
        <v>11</v>
      </c>
      <c r="P2" s="152" t="s">
        <v>12</v>
      </c>
      <c r="Q2" s="142" t="s">
        <v>394</v>
      </c>
    </row>
    <row r="3" spans="1:17" ht="15.75">
      <c r="A3" s="7" t="s">
        <v>14</v>
      </c>
      <c r="B3" s="7">
        <v>1</v>
      </c>
      <c r="C3" s="7">
        <v>6</v>
      </c>
      <c r="D3" s="115">
        <v>2021</v>
      </c>
      <c r="E3" s="143">
        <f>'Athens Daily - EL'!AK8</f>
        <v>47745</v>
      </c>
      <c r="F3" s="144"/>
      <c r="G3" s="126">
        <f>SUM(E3,F3)</f>
        <v>47745</v>
      </c>
      <c r="H3" s="143">
        <f>'Athens Daily - Water'!R7</f>
        <v>513.20559999999932</v>
      </c>
      <c r="I3" s="116"/>
      <c r="J3" s="122">
        <f t="shared" ref="J3:J33" si="0">SUM(H3,I3)</f>
        <v>513.20559999999932</v>
      </c>
      <c r="K3" s="143">
        <f>'Athens Daily - Gas'!BH9</f>
        <v>122809.58399999997</v>
      </c>
      <c r="L3" s="116"/>
      <c r="M3" s="126">
        <f>SUM(K3,L3)/38.61</f>
        <v>3180.7714063714056</v>
      </c>
      <c r="N3" s="151">
        <f>Occ!G10</f>
        <v>111</v>
      </c>
      <c r="O3" s="100">
        <f>Occ!H10</f>
        <v>212</v>
      </c>
      <c r="P3" s="150">
        <v>918</v>
      </c>
      <c r="Q3" s="159"/>
    </row>
    <row r="4" spans="1:17" ht="15.75">
      <c r="A4" s="7" t="s">
        <v>14</v>
      </c>
      <c r="B4" s="7">
        <v>2</v>
      </c>
      <c r="C4" s="7">
        <v>6</v>
      </c>
      <c r="D4" s="115">
        <v>2021</v>
      </c>
      <c r="E4" s="143">
        <f>'Athens Daily - EL'!AK9</f>
        <v>48895</v>
      </c>
      <c r="F4" s="144"/>
      <c r="G4" s="126">
        <f t="shared" ref="G4:G33" si="1">SUM(E4,F4)</f>
        <v>48895</v>
      </c>
      <c r="H4" s="143">
        <f>'Athens Daily - Water'!R8</f>
        <v>441.42560000000049</v>
      </c>
      <c r="I4" s="116"/>
      <c r="J4" s="122">
        <f t="shared" si="0"/>
        <v>441.42560000000049</v>
      </c>
      <c r="K4" s="143">
        <f>'Athens Daily - Gas'!BH10</f>
        <v>113587.2</v>
      </c>
      <c r="L4" s="116"/>
      <c r="M4" s="126">
        <f t="shared" ref="M4:M33" si="2">SUM(K4,L4)/38.61</f>
        <v>2941.9114219114217</v>
      </c>
      <c r="N4" s="151">
        <f>Occ!G11</f>
        <v>167</v>
      </c>
      <c r="O4" s="100">
        <f>Occ!H11</f>
        <v>375</v>
      </c>
      <c r="P4" s="150">
        <v>918</v>
      </c>
      <c r="Q4" s="159"/>
    </row>
    <row r="5" spans="1:17" ht="15.75">
      <c r="A5" s="7" t="s">
        <v>14</v>
      </c>
      <c r="B5" s="7">
        <v>3</v>
      </c>
      <c r="C5" s="7">
        <v>6</v>
      </c>
      <c r="D5" s="115">
        <v>2021</v>
      </c>
      <c r="E5" s="143">
        <f>'Athens Daily - EL'!AK10</f>
        <v>50660</v>
      </c>
      <c r="F5" s="144"/>
      <c r="G5" s="126">
        <f t="shared" si="1"/>
        <v>50660</v>
      </c>
      <c r="H5" s="143">
        <f>'Athens Daily - Water'!R9</f>
        <v>530.07170000000042</v>
      </c>
      <c r="I5" s="116"/>
      <c r="J5" s="122">
        <f t="shared" si="0"/>
        <v>530.07170000000042</v>
      </c>
      <c r="K5" s="143">
        <f>'Athens Daily - Gas'!BH11</f>
        <v>116390.39999999999</v>
      </c>
      <c r="L5" s="116"/>
      <c r="M5" s="126">
        <f t="shared" si="2"/>
        <v>3014.5143745143746</v>
      </c>
      <c r="N5" s="151">
        <f>Occ!G12</f>
        <v>247</v>
      </c>
      <c r="O5" s="100">
        <f>Occ!H12</f>
        <v>559</v>
      </c>
      <c r="P5" s="150">
        <v>918</v>
      </c>
      <c r="Q5" s="159"/>
    </row>
    <row r="6" spans="1:17" ht="15.75">
      <c r="A6" s="7" t="s">
        <v>14</v>
      </c>
      <c r="B6" s="7">
        <v>4</v>
      </c>
      <c r="C6" s="7">
        <v>6</v>
      </c>
      <c r="D6" s="115">
        <v>2021</v>
      </c>
      <c r="E6" s="143">
        <f>'Athens Daily - EL'!AK11</f>
        <v>51195</v>
      </c>
      <c r="F6" s="144"/>
      <c r="G6" s="126">
        <f t="shared" si="1"/>
        <v>51195</v>
      </c>
      <c r="H6" s="143">
        <f>'Athens Daily - Water'!R10</f>
        <v>610.11949999999888</v>
      </c>
      <c r="I6" s="116"/>
      <c r="J6" s="122">
        <f t="shared" si="0"/>
        <v>610.11949999999888</v>
      </c>
      <c r="K6" s="143">
        <f>'Athens Daily - Gas'!BH12</f>
        <v>123900.43199999999</v>
      </c>
      <c r="L6" s="116"/>
      <c r="M6" s="126">
        <f t="shared" si="2"/>
        <v>3209.0243978243975</v>
      </c>
      <c r="N6" s="151">
        <f>Occ!G13</f>
        <v>186</v>
      </c>
      <c r="O6" s="100">
        <f>Occ!H13</f>
        <v>403</v>
      </c>
      <c r="P6" s="150">
        <v>918</v>
      </c>
      <c r="Q6" s="159"/>
    </row>
    <row r="7" spans="1:17" ht="15.75">
      <c r="A7" s="7" t="s">
        <v>14</v>
      </c>
      <c r="B7" s="7">
        <v>5</v>
      </c>
      <c r="C7" s="7">
        <v>6</v>
      </c>
      <c r="D7" s="115">
        <v>2021</v>
      </c>
      <c r="E7" s="143">
        <f>'Athens Daily - EL'!AK12</f>
        <v>51985</v>
      </c>
      <c r="F7" s="144"/>
      <c r="G7" s="126">
        <f t="shared" si="1"/>
        <v>51985</v>
      </c>
      <c r="H7" s="143">
        <f>'Athens Daily - Water'!R11</f>
        <v>610.08560000000034</v>
      </c>
      <c r="I7" s="116"/>
      <c r="J7" s="122">
        <f t="shared" si="0"/>
        <v>610.08560000000034</v>
      </c>
      <c r="K7" s="143">
        <f>'Athens Daily - Gas'!BH13</f>
        <v>120585.64800000002</v>
      </c>
      <c r="L7" s="116"/>
      <c r="M7" s="126">
        <f t="shared" si="2"/>
        <v>3123.1714063714066</v>
      </c>
      <c r="N7" s="151">
        <f>Occ!G14</f>
        <v>130</v>
      </c>
      <c r="O7" s="100">
        <f>Occ!H14</f>
        <v>258</v>
      </c>
      <c r="P7" s="150">
        <v>918</v>
      </c>
      <c r="Q7" s="159"/>
    </row>
    <row r="8" spans="1:17" ht="15.75">
      <c r="A8" s="7" t="s">
        <v>14</v>
      </c>
      <c r="B8" s="7">
        <v>6</v>
      </c>
      <c r="C8" s="7">
        <v>6</v>
      </c>
      <c r="D8" s="115">
        <v>2021</v>
      </c>
      <c r="E8" s="143">
        <f>'Athens Daily - EL'!AK13</f>
        <v>50245</v>
      </c>
      <c r="F8" s="144"/>
      <c r="G8" s="126">
        <f t="shared" si="1"/>
        <v>50245</v>
      </c>
      <c r="H8" s="143">
        <f>'Athens Daily - Water'!R12</f>
        <v>485.01000000000022</v>
      </c>
      <c r="I8" s="116"/>
      <c r="J8" s="122">
        <f t="shared" si="0"/>
        <v>485.01000000000022</v>
      </c>
      <c r="K8" s="143">
        <f>'Athens Daily - Gas'!BH14</f>
        <v>111092.736</v>
      </c>
      <c r="L8" s="116"/>
      <c r="M8" s="126">
        <f t="shared" si="2"/>
        <v>2877.3047397047399</v>
      </c>
      <c r="N8" s="151">
        <f>Occ!G15</f>
        <v>97</v>
      </c>
      <c r="O8" s="100">
        <f>Occ!H15</f>
        <v>181</v>
      </c>
      <c r="P8" s="150">
        <v>918</v>
      </c>
      <c r="Q8" s="159"/>
    </row>
    <row r="9" spans="1:17" ht="15.75">
      <c r="A9" s="7" t="s">
        <v>14</v>
      </c>
      <c r="B9" s="7">
        <v>7</v>
      </c>
      <c r="C9" s="7">
        <v>6</v>
      </c>
      <c r="D9" s="115">
        <v>2021</v>
      </c>
      <c r="E9" s="143">
        <f>'Athens Daily - EL'!AK14</f>
        <v>45885</v>
      </c>
      <c r="F9" s="144"/>
      <c r="G9" s="126">
        <f t="shared" si="1"/>
        <v>45885</v>
      </c>
      <c r="H9" s="143">
        <f>'Athens Daily - Water'!R13</f>
        <v>474.60499999999956</v>
      </c>
      <c r="I9" s="116"/>
      <c r="J9" s="122">
        <f t="shared" si="0"/>
        <v>474.60499999999956</v>
      </c>
      <c r="K9" s="143">
        <f>'Athens Daily - Gas'!BH15</f>
        <v>118440.48</v>
      </c>
      <c r="L9" s="116"/>
      <c r="M9" s="126">
        <f t="shared" si="2"/>
        <v>3067.6114996114998</v>
      </c>
      <c r="N9" s="151">
        <f>Occ!G16</f>
        <v>83</v>
      </c>
      <c r="O9" s="100">
        <f>Occ!H16</f>
        <v>147</v>
      </c>
      <c r="P9" s="150">
        <v>918</v>
      </c>
      <c r="Q9" s="159"/>
    </row>
    <row r="10" spans="1:17">
      <c r="A10" s="7" t="s">
        <v>14</v>
      </c>
      <c r="B10" s="7">
        <v>8</v>
      </c>
      <c r="C10" s="7">
        <v>6</v>
      </c>
      <c r="D10" s="115">
        <v>2021</v>
      </c>
      <c r="E10" s="143">
        <f>'Athens Daily - EL'!AK15</f>
        <v>44920</v>
      </c>
      <c r="F10" s="144"/>
      <c r="G10" s="126">
        <f t="shared" si="1"/>
        <v>44920</v>
      </c>
      <c r="H10" s="143">
        <f>'Athens Daily - Water'!R14</f>
        <v>397.32099999999991</v>
      </c>
      <c r="I10" s="116"/>
      <c r="J10" s="122">
        <f t="shared" si="0"/>
        <v>397.32099999999991</v>
      </c>
      <c r="K10" s="143">
        <f>'Athens Daily - Gas'!BH16</f>
        <v>108451.92000000001</v>
      </c>
      <c r="L10" s="116"/>
      <c r="M10" s="126">
        <f t="shared" si="2"/>
        <v>2808.9075369075372</v>
      </c>
      <c r="N10" s="151">
        <f>Occ!G17</f>
        <v>78</v>
      </c>
      <c r="O10" s="100">
        <f>Occ!H17</f>
        <v>138</v>
      </c>
      <c r="P10" s="150">
        <v>918</v>
      </c>
      <c r="Q10" s="98"/>
    </row>
    <row r="11" spans="1:17">
      <c r="A11" s="7" t="s">
        <v>14</v>
      </c>
      <c r="B11" s="7">
        <v>9</v>
      </c>
      <c r="C11" s="7">
        <v>6</v>
      </c>
      <c r="D11" s="115">
        <v>2021</v>
      </c>
      <c r="E11" s="143">
        <f>'Athens Daily - EL'!AK16</f>
        <v>47235</v>
      </c>
      <c r="F11" s="144"/>
      <c r="G11" s="126">
        <f t="shared" si="1"/>
        <v>47235</v>
      </c>
      <c r="H11" s="143">
        <f>'Athens Daily - Water'!R15</f>
        <v>437.83100000000013</v>
      </c>
      <c r="I11" s="116"/>
      <c r="J11" s="122">
        <f t="shared" si="0"/>
        <v>437.83100000000013</v>
      </c>
      <c r="K11" s="143">
        <f>'Athens Daily - Gas'!BH17</f>
        <v>109053.93599999999</v>
      </c>
      <c r="L11" s="116"/>
      <c r="M11" s="126">
        <f t="shared" si="2"/>
        <v>2824.4997668997667</v>
      </c>
      <c r="N11" s="151">
        <f>Occ!G18</f>
        <v>106</v>
      </c>
      <c r="O11" s="100">
        <f>Occ!H18</f>
        <v>200</v>
      </c>
      <c r="P11" s="150">
        <v>918</v>
      </c>
      <c r="Q11" s="98"/>
    </row>
    <row r="12" spans="1:17" ht="15.75">
      <c r="A12" s="7" t="s">
        <v>14</v>
      </c>
      <c r="B12" s="7">
        <v>10</v>
      </c>
      <c r="C12" s="7">
        <v>6</v>
      </c>
      <c r="D12" s="115">
        <v>2021</v>
      </c>
      <c r="E12" s="143">
        <f>'Athens Daily - EL'!AK17</f>
        <v>46465</v>
      </c>
      <c r="F12" s="144"/>
      <c r="G12" s="126">
        <f t="shared" si="1"/>
        <v>46465</v>
      </c>
      <c r="H12" s="143">
        <f>'Athens Daily - Water'!R16</f>
        <v>481.32500000000073</v>
      </c>
      <c r="I12" s="116"/>
      <c r="J12" s="122">
        <f t="shared" si="0"/>
        <v>481.32500000000073</v>
      </c>
      <c r="K12" s="143">
        <f>'Athens Daily - Gas'!BH18</f>
        <v>118532.15999999997</v>
      </c>
      <c r="L12" s="116"/>
      <c r="M12" s="126">
        <f t="shared" si="2"/>
        <v>3069.9860139860134</v>
      </c>
      <c r="N12" s="151">
        <f>Occ!G19</f>
        <v>165</v>
      </c>
      <c r="O12" s="100">
        <f>Occ!H19</f>
        <v>333</v>
      </c>
      <c r="P12" s="150">
        <v>918</v>
      </c>
      <c r="Q12" s="159"/>
    </row>
    <row r="13" spans="1:17" ht="15.75">
      <c r="A13" s="7" t="s">
        <v>14</v>
      </c>
      <c r="B13" s="7">
        <v>11</v>
      </c>
      <c r="C13" s="7">
        <v>6</v>
      </c>
      <c r="D13" s="115">
        <v>2021</v>
      </c>
      <c r="E13" s="143">
        <f>'Athens Daily - EL'!AK18</f>
        <v>49565</v>
      </c>
      <c r="F13" s="144"/>
      <c r="G13" s="126">
        <f t="shared" si="1"/>
        <v>49565</v>
      </c>
      <c r="H13" s="143">
        <f>'Athens Daily - Water'!R17</f>
        <v>547</v>
      </c>
      <c r="I13" s="116"/>
      <c r="J13" s="122">
        <f t="shared" si="0"/>
        <v>547</v>
      </c>
      <c r="K13" s="143">
        <f>'Athens Daily - Gas'!BH19</f>
        <v>118973.088</v>
      </c>
      <c r="L13" s="116"/>
      <c r="M13" s="126">
        <f t="shared" si="2"/>
        <v>3081.4060606060607</v>
      </c>
      <c r="N13" s="151">
        <f>Occ!G20</f>
        <v>211</v>
      </c>
      <c r="O13" s="100">
        <f>Occ!H20</f>
        <v>455</v>
      </c>
      <c r="P13" s="150">
        <v>918</v>
      </c>
      <c r="Q13" s="159"/>
    </row>
    <row r="14" spans="1:17" ht="15.75">
      <c r="A14" s="7" t="s">
        <v>14</v>
      </c>
      <c r="B14" s="7">
        <v>12</v>
      </c>
      <c r="C14" s="7">
        <v>6</v>
      </c>
      <c r="D14" s="115">
        <v>2021</v>
      </c>
      <c r="E14" s="143">
        <f>'Athens Daily - EL'!AK19</f>
        <v>38760</v>
      </c>
      <c r="F14" s="144"/>
      <c r="G14" s="126">
        <f t="shared" si="1"/>
        <v>38760</v>
      </c>
      <c r="H14" s="143">
        <f>'Athens Daily - Water'!R18</f>
        <v>526</v>
      </c>
      <c r="I14" s="116"/>
      <c r="J14" s="122">
        <f t="shared" si="0"/>
        <v>526</v>
      </c>
      <c r="K14" s="143">
        <f>'Athens Daily - Gas'!BH20</f>
        <v>125836.8</v>
      </c>
      <c r="L14" s="116"/>
      <c r="M14" s="126">
        <f t="shared" si="2"/>
        <v>3259.1763791763792</v>
      </c>
      <c r="N14" s="151">
        <f>Occ!G21</f>
        <v>134</v>
      </c>
      <c r="O14" s="100">
        <f>Occ!H21</f>
        <v>272</v>
      </c>
      <c r="P14" s="150">
        <v>918</v>
      </c>
      <c r="Q14" s="159"/>
    </row>
    <row r="15" spans="1:17">
      <c r="A15" s="7" t="s">
        <v>14</v>
      </c>
      <c r="B15" s="7">
        <v>13</v>
      </c>
      <c r="C15" s="7">
        <v>6</v>
      </c>
      <c r="D15" s="115">
        <v>2021</v>
      </c>
      <c r="E15" s="143">
        <f>'Athens Daily - EL'!AK20</f>
        <v>51805</v>
      </c>
      <c r="F15" s="160"/>
      <c r="G15" s="126">
        <f t="shared" si="1"/>
        <v>51805</v>
      </c>
      <c r="H15" s="143">
        <f>'Athens Daily - Water'!R19</f>
        <v>519</v>
      </c>
      <c r="I15" s="116"/>
      <c r="J15" s="122">
        <f t="shared" si="0"/>
        <v>519</v>
      </c>
      <c r="K15" s="143">
        <f>'Athens Daily - Gas'!BH21</f>
        <v>119625.60000000001</v>
      </c>
      <c r="L15" s="116"/>
      <c r="M15" s="126">
        <f t="shared" si="2"/>
        <v>3098.3061383061386</v>
      </c>
      <c r="N15" s="151">
        <f>Occ!G22</f>
        <v>110</v>
      </c>
      <c r="O15" s="100">
        <f>Occ!H22</f>
        <v>215</v>
      </c>
      <c r="P15" s="150">
        <v>918</v>
      </c>
      <c r="Q15" s="156"/>
    </row>
    <row r="16" spans="1:17">
      <c r="A16" s="7" t="s">
        <v>14</v>
      </c>
      <c r="B16" s="7">
        <v>14</v>
      </c>
      <c r="C16" s="7">
        <v>6</v>
      </c>
      <c r="D16" s="115">
        <v>2021</v>
      </c>
      <c r="E16" s="143">
        <f>'Athens Daily - EL'!AK21</f>
        <v>46480</v>
      </c>
      <c r="F16" s="144"/>
      <c r="G16" s="126">
        <f t="shared" si="1"/>
        <v>46480</v>
      </c>
      <c r="H16" s="143">
        <f>'Athens Daily - Water'!R20</f>
        <v>429</v>
      </c>
      <c r="I16" s="116"/>
      <c r="J16" s="122">
        <f t="shared" si="0"/>
        <v>429</v>
      </c>
      <c r="K16" s="143">
        <f>'Athens Daily - Gas'!BH22</f>
        <v>112665.60000000001</v>
      </c>
      <c r="L16" s="116"/>
      <c r="M16" s="126">
        <f t="shared" si="2"/>
        <v>2918.0419580419584</v>
      </c>
      <c r="N16" s="151">
        <f>Occ!G23</f>
        <v>105</v>
      </c>
      <c r="O16" s="100">
        <f>Occ!H23</f>
        <v>209</v>
      </c>
      <c r="P16" s="150">
        <v>918</v>
      </c>
      <c r="Q16" s="156"/>
    </row>
    <row r="17" spans="1:17">
      <c r="A17" s="7" t="s">
        <v>14</v>
      </c>
      <c r="B17" s="7">
        <v>15</v>
      </c>
      <c r="C17" s="7">
        <v>6</v>
      </c>
      <c r="D17" s="115">
        <v>2021</v>
      </c>
      <c r="E17" s="143">
        <f>'Athens Daily - EL'!AK22</f>
        <v>44720</v>
      </c>
      <c r="F17" s="144"/>
      <c r="G17" s="126">
        <f t="shared" si="1"/>
        <v>44720</v>
      </c>
      <c r="H17" s="143">
        <f>'Athens Daily - Water'!R21</f>
        <v>470</v>
      </c>
      <c r="I17" s="116"/>
      <c r="J17" s="122">
        <f t="shared" si="0"/>
        <v>470</v>
      </c>
      <c r="K17" s="143">
        <f>'Athens Daily - Gas'!BH23</f>
        <v>115968</v>
      </c>
      <c r="L17" s="116"/>
      <c r="M17" s="126">
        <f t="shared" si="2"/>
        <v>3003.5742035742037</v>
      </c>
      <c r="N17" s="151">
        <f>Occ!G24</f>
        <v>116</v>
      </c>
      <c r="O17" s="100">
        <f>Occ!H24</f>
        <v>227</v>
      </c>
      <c r="P17" s="150">
        <v>918</v>
      </c>
      <c r="Q17" s="156"/>
    </row>
    <row r="18" spans="1:17">
      <c r="A18" s="7" t="s">
        <v>14</v>
      </c>
      <c r="B18" s="7">
        <v>16</v>
      </c>
      <c r="C18" s="7">
        <v>6</v>
      </c>
      <c r="D18" s="115">
        <v>2021</v>
      </c>
      <c r="E18" s="143">
        <f>'Athens Daily - EL'!AK23</f>
        <v>45005</v>
      </c>
      <c r="F18" s="144"/>
      <c r="G18" s="126">
        <f t="shared" si="1"/>
        <v>45005</v>
      </c>
      <c r="H18" s="143">
        <f>'Athens Daily - Water'!R22</f>
        <v>467</v>
      </c>
      <c r="I18" s="116"/>
      <c r="J18" s="122">
        <f t="shared" si="0"/>
        <v>467</v>
      </c>
      <c r="K18" s="143">
        <f>'Athens Daily - Gas'!BH24</f>
        <v>113001.60000000001</v>
      </c>
      <c r="L18" s="116"/>
      <c r="M18" s="126">
        <f t="shared" si="2"/>
        <v>2926.7443667443667</v>
      </c>
      <c r="N18" s="151">
        <f>Occ!G25</f>
        <v>114</v>
      </c>
      <c r="O18" s="100">
        <f>Occ!H25</f>
        <v>219</v>
      </c>
      <c r="P18" s="150">
        <v>918</v>
      </c>
      <c r="Q18" s="155"/>
    </row>
    <row r="19" spans="1:17">
      <c r="A19" s="7" t="s">
        <v>14</v>
      </c>
      <c r="B19" s="7">
        <v>17</v>
      </c>
      <c r="C19" s="7">
        <v>6</v>
      </c>
      <c r="D19" s="115">
        <v>2021</v>
      </c>
      <c r="E19" s="143">
        <f>'Athens Daily - EL'!AK24</f>
        <v>48820</v>
      </c>
      <c r="F19" s="144"/>
      <c r="G19" s="126">
        <f t="shared" si="1"/>
        <v>48820</v>
      </c>
      <c r="H19" s="143">
        <f>'Athens Daily - Water'!R23</f>
        <v>408</v>
      </c>
      <c r="I19" s="116"/>
      <c r="J19" s="122">
        <f t="shared" si="0"/>
        <v>408</v>
      </c>
      <c r="K19" s="143">
        <f>'Athens Daily - Gas'!BH25</f>
        <v>111868.79999999999</v>
      </c>
      <c r="L19" s="116"/>
      <c r="M19" s="126">
        <f t="shared" si="2"/>
        <v>2897.4048174048171</v>
      </c>
      <c r="N19" s="151">
        <f>Occ!G26</f>
        <v>191</v>
      </c>
      <c r="O19" s="100">
        <f>Occ!H26</f>
        <v>392</v>
      </c>
      <c r="P19" s="150">
        <v>918</v>
      </c>
      <c r="Q19" s="155"/>
    </row>
    <row r="20" spans="1:17">
      <c r="A20" s="7" t="s">
        <v>14</v>
      </c>
      <c r="B20" s="7">
        <v>18</v>
      </c>
      <c r="C20" s="7">
        <v>6</v>
      </c>
      <c r="D20" s="115">
        <v>2021</v>
      </c>
      <c r="E20" s="143">
        <f>'Athens Daily - EL'!AK25</f>
        <v>50240</v>
      </c>
      <c r="F20" s="144"/>
      <c r="G20" s="126">
        <f t="shared" si="1"/>
        <v>50240</v>
      </c>
      <c r="H20" s="143">
        <f>'Athens Daily - Water'!R24</f>
        <v>514</v>
      </c>
      <c r="I20" s="116"/>
      <c r="J20" s="122">
        <f t="shared" si="0"/>
        <v>514</v>
      </c>
      <c r="K20" s="143">
        <f>'Athens Daily - Gas'!BH26</f>
        <v>118406.39999999999</v>
      </c>
      <c r="L20" s="116"/>
      <c r="M20" s="126">
        <f t="shared" si="2"/>
        <v>3066.7288267288268</v>
      </c>
      <c r="N20" s="151">
        <f>Occ!G27</f>
        <v>234</v>
      </c>
      <c r="O20" s="100">
        <f>Occ!H27</f>
        <v>535</v>
      </c>
      <c r="P20" s="150">
        <v>918</v>
      </c>
      <c r="Q20" s="155"/>
    </row>
    <row r="21" spans="1:17">
      <c r="A21" s="7" t="s">
        <v>14</v>
      </c>
      <c r="B21" s="7">
        <v>19</v>
      </c>
      <c r="C21" s="7">
        <v>6</v>
      </c>
      <c r="D21" s="115">
        <v>2021</v>
      </c>
      <c r="E21" s="143">
        <f>'Athens Daily - EL'!AK26</f>
        <v>49330</v>
      </c>
      <c r="F21" s="144"/>
      <c r="G21" s="126">
        <f t="shared" si="1"/>
        <v>49330</v>
      </c>
      <c r="H21" s="143">
        <f>'Athens Daily - Water'!R25</f>
        <v>617</v>
      </c>
      <c r="I21" s="116"/>
      <c r="J21" s="122">
        <f t="shared" si="0"/>
        <v>617</v>
      </c>
      <c r="K21" s="143">
        <f>'Athens Daily - Gas'!BH27</f>
        <v>126288</v>
      </c>
      <c r="L21" s="163"/>
      <c r="M21" s="126">
        <f t="shared" si="2"/>
        <v>3270.8624708624711</v>
      </c>
      <c r="N21" s="151">
        <f>Occ!G28</f>
        <v>158</v>
      </c>
      <c r="O21" s="100">
        <f>Occ!H28</f>
        <v>323</v>
      </c>
      <c r="P21" s="150">
        <v>918</v>
      </c>
      <c r="Q21" s="155"/>
    </row>
    <row r="22" spans="1:17">
      <c r="A22" s="7" t="s">
        <v>14</v>
      </c>
      <c r="B22" s="7">
        <v>20</v>
      </c>
      <c r="C22" s="7">
        <v>6</v>
      </c>
      <c r="D22" s="115">
        <v>2021</v>
      </c>
      <c r="E22" s="143">
        <f>'Athens Daily - EL'!AK27</f>
        <v>47530</v>
      </c>
      <c r="F22" s="144"/>
      <c r="G22" s="126">
        <f t="shared" si="1"/>
        <v>47530</v>
      </c>
      <c r="H22" s="143">
        <f>'Athens Daily - Water'!R26</f>
        <v>575</v>
      </c>
      <c r="I22" s="116"/>
      <c r="J22" s="122">
        <f t="shared" si="0"/>
        <v>575</v>
      </c>
      <c r="K22" s="143">
        <f>'Athens Daily - Gas'!BH28</f>
        <v>123408</v>
      </c>
      <c r="L22" s="116"/>
      <c r="M22" s="126">
        <f t="shared" si="2"/>
        <v>3196.2703962703963</v>
      </c>
      <c r="N22" s="151">
        <f>Occ!G29</f>
        <v>147</v>
      </c>
      <c r="O22" s="100">
        <f>Occ!H29</f>
        <v>285</v>
      </c>
      <c r="P22" s="150">
        <v>918</v>
      </c>
      <c r="Q22" s="156"/>
    </row>
    <row r="23" spans="1:17">
      <c r="A23" s="7" t="s">
        <v>14</v>
      </c>
      <c r="B23" s="7">
        <v>21</v>
      </c>
      <c r="C23" s="7">
        <v>6</v>
      </c>
      <c r="D23" s="115">
        <v>2021</v>
      </c>
      <c r="E23" s="143">
        <f>'Athens Daily - EL'!AK28</f>
        <v>54790</v>
      </c>
      <c r="F23" s="144"/>
      <c r="G23" s="126">
        <f t="shared" si="1"/>
        <v>54790</v>
      </c>
      <c r="H23" s="143">
        <f>'Athens Daily - Water'!R27</f>
        <v>442</v>
      </c>
      <c r="I23" s="163"/>
      <c r="J23" s="122">
        <f t="shared" si="0"/>
        <v>442</v>
      </c>
      <c r="K23" s="143">
        <f>'Athens Daily - Gas'!BH29</f>
        <v>117196.79999999999</v>
      </c>
      <c r="L23" s="116"/>
      <c r="M23" s="126">
        <f t="shared" si="2"/>
        <v>3035.4001554001552</v>
      </c>
      <c r="N23" s="151">
        <f>Occ!G30</f>
        <v>118</v>
      </c>
      <c r="O23" s="100">
        <f>Occ!H30</f>
        <v>222</v>
      </c>
      <c r="P23" s="150">
        <v>918</v>
      </c>
      <c r="Q23" s="156"/>
    </row>
    <row r="24" spans="1:17">
      <c r="A24" s="7" t="s">
        <v>14</v>
      </c>
      <c r="B24" s="7">
        <v>22</v>
      </c>
      <c r="C24" s="7">
        <v>6</v>
      </c>
      <c r="D24" s="115">
        <v>2021</v>
      </c>
      <c r="E24" s="143">
        <f>'Athens Daily - EL'!AK29</f>
        <v>40405</v>
      </c>
      <c r="F24" s="144"/>
      <c r="G24" s="126">
        <f t="shared" si="1"/>
        <v>40405</v>
      </c>
      <c r="H24" s="143">
        <f>'Athens Daily - Water'!R28</f>
        <v>453.5</v>
      </c>
      <c r="I24" s="163"/>
      <c r="J24" s="122">
        <f t="shared" si="0"/>
        <v>453.5</v>
      </c>
      <c r="K24" s="143">
        <f>'Athens Daily - Gas'!BH30</f>
        <v>111081.60000000001</v>
      </c>
      <c r="L24" s="116"/>
      <c r="M24" s="126">
        <f t="shared" si="2"/>
        <v>2877.0163170163173</v>
      </c>
      <c r="N24" s="151">
        <f>Occ!G31</f>
        <v>129</v>
      </c>
      <c r="O24" s="100">
        <f>Occ!H31</f>
        <v>246</v>
      </c>
      <c r="P24" s="150">
        <v>918</v>
      </c>
      <c r="Q24" s="156"/>
    </row>
    <row r="25" spans="1:17">
      <c r="A25" s="7" t="s">
        <v>14</v>
      </c>
      <c r="B25" s="7">
        <v>23</v>
      </c>
      <c r="C25" s="7">
        <v>6</v>
      </c>
      <c r="D25" s="115">
        <v>2021</v>
      </c>
      <c r="E25" s="143">
        <f>'Athens Daily - EL'!AK30</f>
        <v>54405</v>
      </c>
      <c r="F25" s="144"/>
      <c r="G25" s="126">
        <f t="shared" si="1"/>
        <v>54405</v>
      </c>
      <c r="H25" s="143">
        <f>'Athens Daily - Water'!R29</f>
        <v>812</v>
      </c>
      <c r="I25" s="163"/>
      <c r="J25" s="122">
        <f t="shared" si="0"/>
        <v>812</v>
      </c>
      <c r="K25" s="143">
        <f>'Athens Daily - Gas'!BH31</f>
        <v>114508.79999999999</v>
      </c>
      <c r="L25" s="116"/>
      <c r="M25" s="126">
        <f t="shared" si="2"/>
        <v>2965.7808857808855</v>
      </c>
      <c r="N25" s="151">
        <f>Occ!G32</f>
        <v>151</v>
      </c>
      <c r="O25" s="100">
        <f>Occ!H32</f>
        <v>294</v>
      </c>
      <c r="P25" s="150">
        <v>918</v>
      </c>
      <c r="Q25" s="156"/>
    </row>
    <row r="26" spans="1:17">
      <c r="A26" s="7" t="s">
        <v>14</v>
      </c>
      <c r="B26" s="7">
        <v>24</v>
      </c>
      <c r="C26" s="7">
        <v>6</v>
      </c>
      <c r="D26" s="115">
        <v>2021</v>
      </c>
      <c r="E26" s="143">
        <f>'Athens Daily - EL'!AK31</f>
        <v>48375</v>
      </c>
      <c r="F26" s="144"/>
      <c r="G26" s="126">
        <f t="shared" si="1"/>
        <v>48375</v>
      </c>
      <c r="H26" s="143">
        <f>'Athens Daily - Water'!R30</f>
        <v>139.5</v>
      </c>
      <c r="I26" s="163"/>
      <c r="J26" s="122">
        <f t="shared" si="0"/>
        <v>139.5</v>
      </c>
      <c r="K26" s="143">
        <f>'Athens Daily - Gas'!BH32</f>
        <v>118819.2</v>
      </c>
      <c r="L26" s="116"/>
      <c r="M26" s="126">
        <f t="shared" si="2"/>
        <v>3077.4203574203575</v>
      </c>
      <c r="N26" s="151">
        <f>Occ!G33</f>
        <v>218</v>
      </c>
      <c r="O26" s="100">
        <f>Occ!H33</f>
        <v>448</v>
      </c>
      <c r="P26" s="150">
        <v>918</v>
      </c>
      <c r="Q26" s="156"/>
    </row>
    <row r="27" spans="1:17">
      <c r="A27" s="7" t="s">
        <v>14</v>
      </c>
      <c r="B27" s="7">
        <v>25</v>
      </c>
      <c r="C27" s="7">
        <v>6</v>
      </c>
      <c r="D27" s="115">
        <v>2021</v>
      </c>
      <c r="E27" s="143">
        <f>'Athens Daily - EL'!AK32</f>
        <v>50830</v>
      </c>
      <c r="F27" s="144"/>
      <c r="G27" s="126">
        <f t="shared" si="1"/>
        <v>50830</v>
      </c>
      <c r="H27" s="143">
        <f>'Athens Daily - Water'!R31</f>
        <v>461</v>
      </c>
      <c r="I27" s="116"/>
      <c r="J27" s="122">
        <f t="shared" si="0"/>
        <v>461</v>
      </c>
      <c r="K27" s="143">
        <f>'Athens Daily - Gas'!BH33</f>
        <v>109056</v>
      </c>
      <c r="L27" s="116"/>
      <c r="M27" s="126">
        <f t="shared" si="2"/>
        <v>2824.5532245532245</v>
      </c>
      <c r="N27" s="151">
        <f>Occ!G34</f>
        <v>250</v>
      </c>
      <c r="O27" s="100">
        <f>Occ!H34</f>
        <v>545</v>
      </c>
      <c r="P27" s="150">
        <v>918</v>
      </c>
      <c r="Q27" s="154"/>
    </row>
    <row r="28" spans="1:17">
      <c r="A28" s="7" t="s">
        <v>14</v>
      </c>
      <c r="B28" s="7">
        <v>26</v>
      </c>
      <c r="C28" s="7">
        <v>6</v>
      </c>
      <c r="D28" s="115">
        <v>2021</v>
      </c>
      <c r="E28" s="143">
        <f>'Athens Daily - EL'!AK33</f>
        <v>52025</v>
      </c>
      <c r="F28" s="144"/>
      <c r="G28" s="126">
        <f t="shared" si="1"/>
        <v>52025</v>
      </c>
      <c r="H28" s="143">
        <f>'Athens Daily - Water'!R32</f>
        <v>602</v>
      </c>
      <c r="I28" s="116"/>
      <c r="J28" s="122">
        <f t="shared" si="0"/>
        <v>602</v>
      </c>
      <c r="K28" s="143">
        <f>'Athens Daily - Gas'!BH34</f>
        <v>125030.39999999999</v>
      </c>
      <c r="L28" s="116"/>
      <c r="M28" s="126">
        <f t="shared" si="2"/>
        <v>3238.2905982905982</v>
      </c>
      <c r="N28" s="151">
        <f>Occ!G35</f>
        <v>192</v>
      </c>
      <c r="O28" s="100">
        <f>Occ!H35</f>
        <v>405</v>
      </c>
      <c r="P28" s="150">
        <v>918</v>
      </c>
      <c r="Q28" s="154"/>
    </row>
    <row r="29" spans="1:17">
      <c r="A29" s="7" t="s">
        <v>14</v>
      </c>
      <c r="B29" s="7">
        <v>27</v>
      </c>
      <c r="C29" s="7">
        <v>6</v>
      </c>
      <c r="D29" s="115">
        <v>2021</v>
      </c>
      <c r="E29" s="143">
        <f>'Athens Daily - EL'!AK34</f>
        <v>48905</v>
      </c>
      <c r="F29" s="144"/>
      <c r="G29" s="126">
        <f t="shared" si="1"/>
        <v>48905</v>
      </c>
      <c r="H29" s="143">
        <f>'Athens Daily - Water'!R33</f>
        <v>561</v>
      </c>
      <c r="I29" s="116"/>
      <c r="J29" s="122">
        <f t="shared" si="0"/>
        <v>561</v>
      </c>
      <c r="K29" s="143">
        <f>'Athens Daily - Gas'!BH35</f>
        <v>124636.8</v>
      </c>
      <c r="L29" s="116"/>
      <c r="M29" s="126">
        <f t="shared" si="2"/>
        <v>3228.0963480963483</v>
      </c>
      <c r="N29" s="151">
        <f>Occ!G36</f>
        <v>163</v>
      </c>
      <c r="O29" s="100">
        <f>Occ!H36</f>
        <v>319</v>
      </c>
      <c r="P29" s="150">
        <v>918</v>
      </c>
      <c r="Q29" s="154"/>
    </row>
    <row r="30" spans="1:17">
      <c r="A30" s="7" t="s">
        <v>14</v>
      </c>
      <c r="B30" s="7">
        <v>28</v>
      </c>
      <c r="C30" s="7">
        <v>6</v>
      </c>
      <c r="D30" s="115">
        <v>2021</v>
      </c>
      <c r="E30" s="143">
        <f>'Athens Daily - EL'!AK35</f>
        <v>49985</v>
      </c>
      <c r="F30" s="144"/>
      <c r="G30" s="126">
        <f t="shared" si="1"/>
        <v>49985</v>
      </c>
      <c r="H30" s="143">
        <f>'Athens Daily - Water'!R34</f>
        <v>504.36599999999999</v>
      </c>
      <c r="I30" s="116"/>
      <c r="J30" s="122">
        <f t="shared" si="0"/>
        <v>504.36599999999999</v>
      </c>
      <c r="K30" s="143">
        <f>'Athens Daily - Gas'!BH36</f>
        <v>125157.98399999998</v>
      </c>
      <c r="L30" s="116"/>
      <c r="M30" s="126">
        <f t="shared" si="2"/>
        <v>3241.5950271950269</v>
      </c>
      <c r="N30" s="151">
        <f>Occ!G37</f>
        <v>142</v>
      </c>
      <c r="O30" s="100">
        <f>Occ!H37</f>
        <v>246</v>
      </c>
      <c r="P30" s="150">
        <v>918</v>
      </c>
      <c r="Q30" s="154"/>
    </row>
    <row r="31" spans="1:17">
      <c r="A31" s="7" t="s">
        <v>14</v>
      </c>
      <c r="B31" s="7">
        <v>29</v>
      </c>
      <c r="C31" s="7">
        <v>6</v>
      </c>
      <c r="D31" s="115">
        <v>2021</v>
      </c>
      <c r="E31" s="143">
        <f>'Athens Daily - EL'!AK36</f>
        <v>51340</v>
      </c>
      <c r="F31" s="144"/>
      <c r="G31" s="126">
        <f t="shared" si="1"/>
        <v>51340</v>
      </c>
      <c r="H31" s="143">
        <f>'Athens Daily - Water'!R35</f>
        <v>438.63400000000001</v>
      </c>
      <c r="I31" s="116"/>
      <c r="J31" s="122">
        <f t="shared" si="0"/>
        <v>438.63400000000001</v>
      </c>
      <c r="K31" s="143">
        <f>'Athens Daily - Gas'!BH37</f>
        <v>119125.82400000001</v>
      </c>
      <c r="L31" s="116"/>
      <c r="M31" s="126">
        <f t="shared" si="2"/>
        <v>3085.3619269619271</v>
      </c>
      <c r="N31" s="151">
        <f>Occ!G38</f>
        <v>173</v>
      </c>
      <c r="O31" s="100">
        <f>Occ!H38</f>
        <v>341</v>
      </c>
      <c r="P31" s="150">
        <v>918</v>
      </c>
      <c r="Q31" s="154"/>
    </row>
    <row r="32" spans="1:17">
      <c r="A32" s="7" t="s">
        <v>14</v>
      </c>
      <c r="B32" s="7">
        <v>30</v>
      </c>
      <c r="C32" s="7">
        <v>6</v>
      </c>
      <c r="D32" s="115">
        <v>2021</v>
      </c>
      <c r="E32" s="143">
        <f>'Athens Daily - EL'!AK37</f>
        <v>52825</v>
      </c>
      <c r="F32" s="144"/>
      <c r="G32" s="126">
        <f t="shared" si="1"/>
        <v>52825</v>
      </c>
      <c r="H32" s="143">
        <f>'Athens Daily - Water'!R36</f>
        <v>488.03199999999924</v>
      </c>
      <c r="I32" s="116"/>
      <c r="J32" s="122">
        <f t="shared" si="0"/>
        <v>488.03199999999924</v>
      </c>
      <c r="K32" s="143">
        <f>'Athens Daily - Gas'!BH38</f>
        <v>117099.21599999999</v>
      </c>
      <c r="L32" s="116"/>
      <c r="M32" s="126">
        <f t="shared" si="2"/>
        <v>3032.8727272727269</v>
      </c>
      <c r="N32" s="151">
        <f>Occ!G39</f>
        <v>205</v>
      </c>
      <c r="O32" s="100">
        <f>Occ!H39</f>
        <v>452</v>
      </c>
      <c r="P32" s="150">
        <v>918</v>
      </c>
      <c r="Q32" s="154"/>
    </row>
    <row r="33" spans="1:17" ht="15.75" thickBot="1">
      <c r="A33" s="7" t="s">
        <v>14</v>
      </c>
      <c r="B33" s="7">
        <v>31</v>
      </c>
      <c r="C33" s="7">
        <v>6</v>
      </c>
      <c r="D33" s="115">
        <v>2021</v>
      </c>
      <c r="E33" s="143">
        <f>'Athens Daily - EL'!AK38</f>
        <v>0</v>
      </c>
      <c r="F33" s="145"/>
      <c r="G33" s="127">
        <f t="shared" si="1"/>
        <v>0</v>
      </c>
      <c r="H33" s="143">
        <f>'Athens Daily - Water'!R37</f>
        <v>0</v>
      </c>
      <c r="I33" s="120"/>
      <c r="J33" s="123">
        <f t="shared" si="0"/>
        <v>0</v>
      </c>
      <c r="K33" s="143">
        <f>'Athens Daily - Gas'!BH39</f>
        <v>0</v>
      </c>
      <c r="L33" s="120"/>
      <c r="M33" s="127">
        <f t="shared" si="2"/>
        <v>0</v>
      </c>
      <c r="N33" s="158">
        <f>Occ!G40</f>
        <v>0</v>
      </c>
      <c r="O33" s="149">
        <f>Occ!H40</f>
        <v>0</v>
      </c>
      <c r="P33" s="148">
        <v>918</v>
      </c>
      <c r="Q33" s="154"/>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23" sqref="D2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8" t="s">
        <v>15</v>
      </c>
      <c r="B1" s="128" t="s">
        <v>16</v>
      </c>
      <c r="C1" s="129"/>
      <c r="D1" s="129"/>
      <c r="E1" s="129"/>
      <c r="F1" s="129"/>
      <c r="G1" s="129"/>
      <c r="H1" s="129"/>
      <c r="I1" s="129"/>
      <c r="J1" s="128"/>
      <c r="K1" s="128"/>
      <c r="L1" s="128"/>
      <c r="M1" s="128"/>
      <c r="N1" s="128"/>
    </row>
    <row r="2" spans="1:14">
      <c r="A2" s="128"/>
      <c r="B2" s="128"/>
      <c r="C2" s="129"/>
      <c r="D2" s="129"/>
      <c r="E2" s="129"/>
      <c r="F2" s="129"/>
      <c r="G2" s="129"/>
      <c r="H2" s="129"/>
      <c r="I2" s="129"/>
      <c r="J2" s="128"/>
      <c r="K2" s="128"/>
      <c r="L2" s="128"/>
      <c r="M2" s="128"/>
      <c r="N2" s="128"/>
    </row>
    <row r="3" spans="1:14">
      <c r="A3" s="128"/>
      <c r="B3" s="128"/>
      <c r="C3" s="130" t="s">
        <v>17</v>
      </c>
      <c r="D3" s="130"/>
      <c r="E3" s="130"/>
      <c r="F3" s="130"/>
      <c r="G3" s="130"/>
      <c r="H3" s="130"/>
      <c r="I3" s="130"/>
      <c r="J3" s="131"/>
      <c r="K3" s="131"/>
      <c r="L3" s="131"/>
      <c r="M3" s="131"/>
      <c r="N3" s="131"/>
    </row>
    <row r="4" spans="1:14">
      <c r="A4" s="128"/>
      <c r="B4" s="128"/>
      <c r="C4" s="129" t="s">
        <v>18</v>
      </c>
      <c r="D4" s="129"/>
      <c r="E4" s="129"/>
      <c r="F4" s="129"/>
      <c r="G4" s="129"/>
      <c r="H4" s="129"/>
      <c r="I4" s="129"/>
      <c r="J4" s="128"/>
      <c r="K4" s="128"/>
      <c r="L4" s="128"/>
      <c r="M4" s="128"/>
      <c r="N4" s="128"/>
    </row>
    <row r="5" spans="1:14">
      <c r="A5" s="128"/>
      <c r="B5" s="128"/>
      <c r="C5" s="129" t="s">
        <v>19</v>
      </c>
      <c r="D5" s="129"/>
      <c r="E5" s="129"/>
      <c r="F5" s="129"/>
      <c r="G5" s="129"/>
      <c r="H5" s="129"/>
      <c r="I5" s="129"/>
      <c r="J5" s="128"/>
      <c r="K5" s="128"/>
      <c r="L5" s="128"/>
      <c r="M5" s="128"/>
      <c r="N5" s="128"/>
    </row>
    <row r="6" spans="1:14">
      <c r="A6" s="128"/>
      <c r="B6" s="128"/>
      <c r="C6" s="129" t="s">
        <v>12</v>
      </c>
      <c r="D6" s="129"/>
      <c r="E6" s="129"/>
      <c r="F6" s="129"/>
      <c r="G6" s="129"/>
      <c r="H6" s="129"/>
      <c r="I6" s="129"/>
      <c r="J6" s="128"/>
      <c r="K6" s="128"/>
      <c r="L6" s="128"/>
      <c r="M6" s="128"/>
      <c r="N6" s="128"/>
    </row>
    <row r="7" spans="1:14">
      <c r="A7" s="128"/>
      <c r="B7" s="128" t="s">
        <v>20</v>
      </c>
      <c r="C7" s="129" t="s">
        <v>403</v>
      </c>
      <c r="D7" s="129"/>
      <c r="E7" s="129"/>
      <c r="F7" s="129"/>
      <c r="G7" s="129"/>
      <c r="H7" s="129"/>
      <c r="I7" s="129"/>
      <c r="J7" s="128"/>
      <c r="K7" s="128"/>
      <c r="L7" s="128"/>
      <c r="M7" s="128"/>
      <c r="N7" s="128"/>
    </row>
    <row r="8" spans="1:14" ht="15.75" thickBot="1">
      <c r="A8" s="128"/>
      <c r="B8" s="128" t="s">
        <v>21</v>
      </c>
      <c r="C8" s="132"/>
      <c r="D8" s="132"/>
      <c r="E8" s="132"/>
      <c r="F8" s="132"/>
      <c r="G8" s="196" t="s">
        <v>22</v>
      </c>
      <c r="H8" s="197"/>
      <c r="I8" s="129"/>
      <c r="J8" s="128"/>
      <c r="K8" s="128"/>
      <c r="L8" s="128"/>
      <c r="M8" s="128"/>
      <c r="N8" s="128"/>
    </row>
    <row r="9" spans="1:14">
      <c r="A9" s="128"/>
      <c r="B9" s="133" t="s">
        <v>23</v>
      </c>
      <c r="C9" s="134" t="s">
        <v>24</v>
      </c>
      <c r="D9" s="135" t="s">
        <v>25</v>
      </c>
      <c r="E9" s="134" t="s">
        <v>26</v>
      </c>
      <c r="F9" s="135" t="s">
        <v>25</v>
      </c>
      <c r="G9" s="134" t="s">
        <v>27</v>
      </c>
      <c r="H9" s="135" t="s">
        <v>11</v>
      </c>
      <c r="I9" s="136" t="s">
        <v>12</v>
      </c>
      <c r="J9" s="128"/>
      <c r="K9" s="128"/>
      <c r="L9" s="128"/>
      <c r="M9" s="128"/>
      <c r="N9" s="128"/>
    </row>
    <row r="10" spans="1:14">
      <c r="A10" s="128"/>
      <c r="B10" s="137" t="s">
        <v>28</v>
      </c>
      <c r="C10" s="166">
        <v>111</v>
      </c>
      <c r="D10" s="167">
        <v>212</v>
      </c>
      <c r="E10" s="138"/>
      <c r="F10" s="139"/>
      <c r="G10" s="157">
        <f>SUM(C10+E10)</f>
        <v>111</v>
      </c>
      <c r="H10" s="139">
        <f>D10+F10</f>
        <v>212</v>
      </c>
      <c r="I10" s="136">
        <v>918</v>
      </c>
      <c r="J10" s="128"/>
      <c r="K10" s="128"/>
      <c r="L10" s="128"/>
      <c r="M10" s="128"/>
      <c r="N10" s="128"/>
    </row>
    <row r="11" spans="1:14">
      <c r="A11" s="128"/>
      <c r="B11" s="137" t="s">
        <v>29</v>
      </c>
      <c r="C11" s="166">
        <v>167</v>
      </c>
      <c r="D11" s="167">
        <v>375</v>
      </c>
      <c r="E11" s="138"/>
      <c r="F11" s="139"/>
      <c r="G11" s="157">
        <f t="shared" ref="G11:G40" si="0">SUM(C11+E11)</f>
        <v>167</v>
      </c>
      <c r="H11" s="139">
        <f t="shared" ref="H11:H14" si="1">D11+F11</f>
        <v>375</v>
      </c>
      <c r="I11" s="136">
        <v>918</v>
      </c>
      <c r="J11" s="128"/>
      <c r="K11" s="128"/>
      <c r="L11" s="128"/>
      <c r="M11" s="128"/>
      <c r="N11" s="128"/>
    </row>
    <row r="12" spans="1:14">
      <c r="A12" s="128"/>
      <c r="B12" s="137" t="s">
        <v>30</v>
      </c>
      <c r="C12" s="166">
        <v>247</v>
      </c>
      <c r="D12" s="167">
        <v>559</v>
      </c>
      <c r="E12" s="138"/>
      <c r="F12" s="139"/>
      <c r="G12" s="157">
        <f t="shared" si="0"/>
        <v>247</v>
      </c>
      <c r="H12" s="139">
        <f t="shared" si="1"/>
        <v>559</v>
      </c>
      <c r="I12" s="136">
        <v>918</v>
      </c>
      <c r="J12" s="128"/>
      <c r="K12" s="128"/>
      <c r="L12" s="128"/>
      <c r="M12" s="128"/>
      <c r="N12" s="128"/>
    </row>
    <row r="13" spans="1:14">
      <c r="A13" s="128"/>
      <c r="B13" s="137" t="s">
        <v>31</v>
      </c>
      <c r="C13" s="166">
        <v>186</v>
      </c>
      <c r="D13" s="167">
        <v>403</v>
      </c>
      <c r="E13" s="138"/>
      <c r="F13" s="139"/>
      <c r="G13" s="157">
        <f t="shared" si="0"/>
        <v>186</v>
      </c>
      <c r="H13" s="139">
        <f t="shared" si="1"/>
        <v>403</v>
      </c>
      <c r="I13" s="136">
        <v>918</v>
      </c>
      <c r="J13" s="128"/>
      <c r="K13" s="128"/>
      <c r="L13" s="128"/>
      <c r="M13" s="128"/>
      <c r="N13" s="128"/>
    </row>
    <row r="14" spans="1:14">
      <c r="A14" s="128"/>
      <c r="B14" s="137" t="s">
        <v>32</v>
      </c>
      <c r="C14" s="166">
        <v>130</v>
      </c>
      <c r="D14" s="167">
        <v>258</v>
      </c>
      <c r="E14" s="138"/>
      <c r="F14" s="139"/>
      <c r="G14" s="157">
        <f t="shared" si="0"/>
        <v>130</v>
      </c>
      <c r="H14" s="139">
        <f t="shared" si="1"/>
        <v>258</v>
      </c>
      <c r="I14" s="136">
        <v>918</v>
      </c>
      <c r="J14" s="128"/>
      <c r="K14" s="128"/>
      <c r="L14" s="128"/>
      <c r="M14" s="128"/>
      <c r="N14" s="128"/>
    </row>
    <row r="15" spans="1:14">
      <c r="A15" s="128"/>
      <c r="B15" s="137" t="s">
        <v>33</v>
      </c>
      <c r="C15" s="166">
        <v>97</v>
      </c>
      <c r="D15" s="167">
        <v>181</v>
      </c>
      <c r="E15" s="138"/>
      <c r="F15" s="139"/>
      <c r="G15" s="157">
        <f t="shared" si="0"/>
        <v>97</v>
      </c>
      <c r="H15" s="139">
        <f t="shared" ref="H15:H40" si="2">D15+F15</f>
        <v>181</v>
      </c>
      <c r="I15" s="136">
        <v>918</v>
      </c>
      <c r="J15" s="128"/>
      <c r="K15" s="128"/>
      <c r="L15" s="128"/>
      <c r="M15" s="128"/>
      <c r="N15" s="128"/>
    </row>
    <row r="16" spans="1:14">
      <c r="A16" s="128"/>
      <c r="B16" s="137" t="s">
        <v>34</v>
      </c>
      <c r="C16" s="166">
        <v>83</v>
      </c>
      <c r="D16" s="167">
        <v>147</v>
      </c>
      <c r="E16" s="138"/>
      <c r="F16" s="139"/>
      <c r="G16" s="157">
        <f t="shared" si="0"/>
        <v>83</v>
      </c>
      <c r="H16" s="139">
        <f t="shared" si="2"/>
        <v>147</v>
      </c>
      <c r="I16" s="136">
        <v>918</v>
      </c>
      <c r="J16" s="128"/>
      <c r="K16" s="128"/>
      <c r="L16" s="128"/>
      <c r="M16" s="128"/>
      <c r="N16" s="128"/>
    </row>
    <row r="17" spans="1:14">
      <c r="A17" s="128"/>
      <c r="B17" s="137" t="s">
        <v>35</v>
      </c>
      <c r="C17" s="166">
        <v>78</v>
      </c>
      <c r="D17" s="167">
        <v>138</v>
      </c>
      <c r="E17" s="138"/>
      <c r="F17" s="139"/>
      <c r="G17" s="157">
        <f t="shared" si="0"/>
        <v>78</v>
      </c>
      <c r="H17" s="139">
        <f t="shared" si="2"/>
        <v>138</v>
      </c>
      <c r="I17" s="136">
        <v>918</v>
      </c>
      <c r="J17" s="128"/>
      <c r="K17" s="128"/>
      <c r="L17" s="128"/>
      <c r="M17" s="128"/>
      <c r="N17" s="128"/>
    </row>
    <row r="18" spans="1:14">
      <c r="A18" s="128"/>
      <c r="B18" s="137" t="s">
        <v>36</v>
      </c>
      <c r="C18" s="166">
        <v>106</v>
      </c>
      <c r="D18" s="167">
        <v>200</v>
      </c>
      <c r="E18" s="138"/>
      <c r="F18" s="139"/>
      <c r="G18" s="157">
        <f t="shared" si="0"/>
        <v>106</v>
      </c>
      <c r="H18" s="139">
        <f t="shared" si="2"/>
        <v>200</v>
      </c>
      <c r="I18" s="136">
        <v>918</v>
      </c>
      <c r="J18" s="128"/>
      <c r="K18" s="128"/>
      <c r="L18" s="128"/>
      <c r="M18" s="128"/>
      <c r="N18" s="128"/>
    </row>
    <row r="19" spans="1:14">
      <c r="A19" s="128"/>
      <c r="B19" s="137" t="s">
        <v>37</v>
      </c>
      <c r="C19" s="166">
        <v>165</v>
      </c>
      <c r="D19" s="167">
        <v>333</v>
      </c>
      <c r="E19" s="138"/>
      <c r="F19" s="139"/>
      <c r="G19" s="157">
        <f t="shared" si="0"/>
        <v>165</v>
      </c>
      <c r="H19" s="139">
        <f t="shared" si="2"/>
        <v>333</v>
      </c>
      <c r="I19" s="136">
        <v>918</v>
      </c>
      <c r="J19" s="128"/>
      <c r="K19" s="128"/>
      <c r="L19" s="128"/>
      <c r="M19" s="128"/>
      <c r="N19" s="128"/>
    </row>
    <row r="20" spans="1:14">
      <c r="A20" s="128"/>
      <c r="B20" s="137" t="s">
        <v>38</v>
      </c>
      <c r="C20" s="166">
        <v>211</v>
      </c>
      <c r="D20" s="167">
        <v>455</v>
      </c>
      <c r="E20" s="138"/>
      <c r="F20" s="139"/>
      <c r="G20" s="157">
        <f t="shared" si="0"/>
        <v>211</v>
      </c>
      <c r="H20" s="139">
        <f t="shared" si="2"/>
        <v>455</v>
      </c>
      <c r="I20" s="136">
        <v>918</v>
      </c>
      <c r="J20" s="128"/>
      <c r="K20" s="128"/>
      <c r="L20" s="128"/>
      <c r="M20" s="128"/>
      <c r="N20" s="128"/>
    </row>
    <row r="21" spans="1:14">
      <c r="A21" s="128"/>
      <c r="B21" s="137" t="s">
        <v>39</v>
      </c>
      <c r="C21" s="166">
        <v>134</v>
      </c>
      <c r="D21" s="167">
        <v>272</v>
      </c>
      <c r="E21" s="157"/>
      <c r="F21" s="139"/>
      <c r="G21" s="157">
        <f t="shared" ref="G21:G34" si="3">SUM(C21+E21)</f>
        <v>134</v>
      </c>
      <c r="H21" s="139">
        <f t="shared" ref="H21:H34" si="4">D21+F21</f>
        <v>272</v>
      </c>
      <c r="I21" s="136">
        <v>918</v>
      </c>
      <c r="J21" s="128"/>
      <c r="K21" s="128"/>
      <c r="L21" s="128"/>
      <c r="M21" s="128"/>
      <c r="N21" s="128"/>
    </row>
    <row r="22" spans="1:14">
      <c r="A22" s="128"/>
      <c r="B22" s="137" t="s">
        <v>40</v>
      </c>
      <c r="C22" s="166">
        <v>110</v>
      </c>
      <c r="D22" s="167">
        <v>215</v>
      </c>
      <c r="E22" s="157"/>
      <c r="F22" s="139"/>
      <c r="G22" s="157">
        <f t="shared" si="3"/>
        <v>110</v>
      </c>
      <c r="H22" s="139">
        <f t="shared" si="4"/>
        <v>215</v>
      </c>
      <c r="I22" s="136">
        <v>918</v>
      </c>
      <c r="J22" s="128"/>
      <c r="K22" s="128"/>
      <c r="L22" s="128"/>
      <c r="M22" s="128"/>
      <c r="N22" s="128"/>
    </row>
    <row r="23" spans="1:14">
      <c r="A23" s="128"/>
      <c r="B23" s="137" t="s">
        <v>41</v>
      </c>
      <c r="C23" s="166">
        <v>105</v>
      </c>
      <c r="D23" s="167">
        <v>209</v>
      </c>
      <c r="E23" s="157"/>
      <c r="F23" s="139"/>
      <c r="G23" s="157">
        <f t="shared" si="3"/>
        <v>105</v>
      </c>
      <c r="H23" s="139">
        <f t="shared" si="4"/>
        <v>209</v>
      </c>
      <c r="I23" s="136">
        <v>918</v>
      </c>
      <c r="J23" s="128"/>
      <c r="K23" s="128"/>
      <c r="L23" s="128"/>
      <c r="M23" s="128"/>
      <c r="N23" s="128"/>
    </row>
    <row r="24" spans="1:14">
      <c r="A24" s="128"/>
      <c r="B24" s="137" t="s">
        <v>42</v>
      </c>
      <c r="C24" s="166">
        <v>116</v>
      </c>
      <c r="D24" s="167">
        <v>227</v>
      </c>
      <c r="E24" s="157"/>
      <c r="F24" s="139"/>
      <c r="G24" s="157">
        <f t="shared" si="3"/>
        <v>116</v>
      </c>
      <c r="H24" s="139">
        <f t="shared" si="4"/>
        <v>227</v>
      </c>
      <c r="I24" s="136">
        <v>918</v>
      </c>
      <c r="J24" s="128"/>
      <c r="K24" s="128"/>
      <c r="L24" s="128"/>
      <c r="M24" s="128"/>
      <c r="N24" s="128"/>
    </row>
    <row r="25" spans="1:14">
      <c r="A25" s="128"/>
      <c r="B25" s="137" t="s">
        <v>43</v>
      </c>
      <c r="C25" s="166">
        <v>114</v>
      </c>
      <c r="D25" s="167">
        <v>219</v>
      </c>
      <c r="E25" s="157"/>
      <c r="F25" s="139"/>
      <c r="G25" s="157">
        <f t="shared" si="3"/>
        <v>114</v>
      </c>
      <c r="H25" s="139">
        <f t="shared" si="4"/>
        <v>219</v>
      </c>
      <c r="I25" s="136">
        <v>918</v>
      </c>
      <c r="J25" s="128"/>
      <c r="K25" s="128"/>
      <c r="L25" s="128"/>
      <c r="M25" s="128"/>
      <c r="N25" s="128"/>
    </row>
    <row r="26" spans="1:14">
      <c r="A26" s="128"/>
      <c r="B26" s="137" t="s">
        <v>44</v>
      </c>
      <c r="C26" s="166">
        <v>191</v>
      </c>
      <c r="D26" s="167">
        <v>392</v>
      </c>
      <c r="E26" s="157"/>
      <c r="F26" s="139"/>
      <c r="G26" s="157">
        <f t="shared" si="3"/>
        <v>191</v>
      </c>
      <c r="H26" s="139">
        <f t="shared" si="4"/>
        <v>392</v>
      </c>
      <c r="I26" s="136">
        <v>918</v>
      </c>
      <c r="J26" s="128"/>
      <c r="K26" s="128"/>
      <c r="L26" s="128"/>
      <c r="M26" s="128"/>
      <c r="N26" s="128"/>
    </row>
    <row r="27" spans="1:14">
      <c r="A27" s="128"/>
      <c r="B27" s="137" t="s">
        <v>45</v>
      </c>
      <c r="C27" s="166">
        <v>234</v>
      </c>
      <c r="D27" s="167">
        <v>535</v>
      </c>
      <c r="E27" s="157"/>
      <c r="F27" s="139"/>
      <c r="G27" s="157">
        <f t="shared" si="3"/>
        <v>234</v>
      </c>
      <c r="H27" s="139">
        <f t="shared" si="4"/>
        <v>535</v>
      </c>
      <c r="I27" s="136">
        <v>918</v>
      </c>
      <c r="J27" s="128"/>
      <c r="K27" s="128"/>
      <c r="L27" s="128"/>
      <c r="M27" s="128"/>
      <c r="N27" s="128"/>
    </row>
    <row r="28" spans="1:14">
      <c r="A28" s="128"/>
      <c r="B28" s="137" t="s">
        <v>46</v>
      </c>
      <c r="C28" s="166">
        <v>158</v>
      </c>
      <c r="D28" s="167">
        <v>323</v>
      </c>
      <c r="E28" s="157"/>
      <c r="F28" s="139"/>
      <c r="G28" s="157">
        <f t="shared" si="3"/>
        <v>158</v>
      </c>
      <c r="H28" s="139">
        <f t="shared" si="4"/>
        <v>323</v>
      </c>
      <c r="I28" s="136">
        <v>918</v>
      </c>
      <c r="J28" s="128"/>
      <c r="K28" s="128"/>
      <c r="L28" s="128"/>
      <c r="M28" s="128"/>
      <c r="N28" s="128"/>
    </row>
    <row r="29" spans="1:14">
      <c r="A29" s="128"/>
      <c r="B29" s="137" t="s">
        <v>47</v>
      </c>
      <c r="C29" s="138">
        <v>147</v>
      </c>
      <c r="D29" s="139">
        <v>285</v>
      </c>
      <c r="E29" s="157"/>
      <c r="F29" s="139"/>
      <c r="G29" s="157">
        <f t="shared" si="3"/>
        <v>147</v>
      </c>
      <c r="H29" s="139">
        <f t="shared" si="4"/>
        <v>285</v>
      </c>
      <c r="I29" s="136">
        <v>918</v>
      </c>
      <c r="J29" s="128"/>
      <c r="K29" s="128"/>
      <c r="L29" s="128"/>
      <c r="M29" s="128"/>
      <c r="N29" s="128"/>
    </row>
    <row r="30" spans="1:14">
      <c r="A30" s="128"/>
      <c r="B30" s="137" t="s">
        <v>48</v>
      </c>
      <c r="C30" s="138">
        <v>118</v>
      </c>
      <c r="D30" s="139">
        <v>222</v>
      </c>
      <c r="E30" s="157"/>
      <c r="F30" s="139"/>
      <c r="G30" s="157">
        <f t="shared" si="3"/>
        <v>118</v>
      </c>
      <c r="H30" s="139">
        <f t="shared" si="4"/>
        <v>222</v>
      </c>
      <c r="I30" s="136">
        <v>918</v>
      </c>
      <c r="J30" s="128"/>
      <c r="K30" s="128"/>
      <c r="L30" s="128"/>
      <c r="M30" s="128"/>
      <c r="N30" s="128"/>
    </row>
    <row r="31" spans="1:14">
      <c r="A31" s="128"/>
      <c r="B31" s="137" t="s">
        <v>49</v>
      </c>
      <c r="C31" s="138">
        <v>129</v>
      </c>
      <c r="D31" s="139">
        <v>246</v>
      </c>
      <c r="E31" s="157"/>
      <c r="F31" s="139"/>
      <c r="G31" s="157">
        <f t="shared" si="3"/>
        <v>129</v>
      </c>
      <c r="H31" s="139">
        <f t="shared" si="4"/>
        <v>246</v>
      </c>
      <c r="I31" s="136">
        <v>918</v>
      </c>
      <c r="J31" s="128"/>
      <c r="K31" s="128"/>
      <c r="L31" s="128"/>
      <c r="M31" s="128"/>
      <c r="N31" s="128"/>
    </row>
    <row r="32" spans="1:14">
      <c r="A32" s="128"/>
      <c r="B32" s="137" t="s">
        <v>50</v>
      </c>
      <c r="C32" s="138">
        <v>151</v>
      </c>
      <c r="D32" s="139">
        <v>294</v>
      </c>
      <c r="E32" s="157"/>
      <c r="F32" s="139"/>
      <c r="G32" s="157">
        <f t="shared" si="3"/>
        <v>151</v>
      </c>
      <c r="H32" s="139">
        <f t="shared" si="4"/>
        <v>294</v>
      </c>
      <c r="I32" s="136">
        <v>918</v>
      </c>
      <c r="J32" s="128"/>
      <c r="K32" s="128"/>
      <c r="L32" s="128"/>
      <c r="M32" s="128"/>
      <c r="N32" s="128"/>
    </row>
    <row r="33" spans="1:14">
      <c r="A33" s="128"/>
      <c r="B33" s="137" t="s">
        <v>51</v>
      </c>
      <c r="C33" s="138">
        <v>218</v>
      </c>
      <c r="D33" s="139">
        <v>448</v>
      </c>
      <c r="E33" s="157"/>
      <c r="F33" s="139"/>
      <c r="G33" s="157">
        <f t="shared" si="3"/>
        <v>218</v>
      </c>
      <c r="H33" s="139">
        <f t="shared" si="4"/>
        <v>448</v>
      </c>
      <c r="I33" s="136">
        <v>918</v>
      </c>
      <c r="J33" s="128"/>
      <c r="K33" s="128"/>
      <c r="L33" s="128"/>
      <c r="M33" s="128"/>
      <c r="N33" s="128"/>
    </row>
    <row r="34" spans="1:14">
      <c r="A34" s="128"/>
      <c r="B34" s="137" t="s">
        <v>52</v>
      </c>
      <c r="C34" s="138">
        <v>250</v>
      </c>
      <c r="D34" s="139">
        <v>545</v>
      </c>
      <c r="E34" s="157"/>
      <c r="F34" s="139"/>
      <c r="G34" s="157">
        <f t="shared" si="3"/>
        <v>250</v>
      </c>
      <c r="H34" s="139">
        <f t="shared" si="4"/>
        <v>545</v>
      </c>
      <c r="I34" s="136">
        <v>918</v>
      </c>
      <c r="J34" s="128"/>
      <c r="K34" s="128"/>
      <c r="L34" s="128"/>
      <c r="M34" s="128"/>
      <c r="N34" s="128"/>
    </row>
    <row r="35" spans="1:14">
      <c r="A35" s="128"/>
      <c r="B35" s="137" t="s">
        <v>53</v>
      </c>
      <c r="C35" s="138">
        <v>192</v>
      </c>
      <c r="D35" s="139">
        <v>405</v>
      </c>
      <c r="E35" s="138"/>
      <c r="F35" s="139"/>
      <c r="G35" s="157">
        <f t="shared" si="0"/>
        <v>192</v>
      </c>
      <c r="H35" s="139">
        <f t="shared" si="2"/>
        <v>405</v>
      </c>
      <c r="I35" s="136">
        <v>918</v>
      </c>
      <c r="J35" s="128"/>
      <c r="K35" s="128"/>
      <c r="L35" s="128"/>
      <c r="M35" s="128"/>
      <c r="N35" s="128"/>
    </row>
    <row r="36" spans="1:14">
      <c r="A36" s="128"/>
      <c r="B36" s="137" t="s">
        <v>54</v>
      </c>
      <c r="C36" s="138">
        <v>163</v>
      </c>
      <c r="D36" s="139">
        <v>319</v>
      </c>
      <c r="E36" s="138"/>
      <c r="F36" s="139"/>
      <c r="G36" s="157">
        <f t="shared" si="0"/>
        <v>163</v>
      </c>
      <c r="H36" s="139">
        <f t="shared" si="2"/>
        <v>319</v>
      </c>
      <c r="I36" s="136">
        <v>918</v>
      </c>
      <c r="J36" s="128"/>
      <c r="K36" s="128"/>
      <c r="L36" s="128"/>
      <c r="M36" s="128"/>
      <c r="N36" s="128"/>
    </row>
    <row r="37" spans="1:14">
      <c r="A37" s="128"/>
      <c r="B37" s="137" t="s">
        <v>55</v>
      </c>
      <c r="C37" s="138">
        <v>142</v>
      </c>
      <c r="D37" s="139">
        <v>246</v>
      </c>
      <c r="E37" s="138"/>
      <c r="F37" s="139"/>
      <c r="G37" s="157">
        <f t="shared" si="0"/>
        <v>142</v>
      </c>
      <c r="H37" s="139">
        <f t="shared" si="2"/>
        <v>246</v>
      </c>
      <c r="I37" s="136">
        <v>918</v>
      </c>
      <c r="J37" s="128"/>
      <c r="K37" s="128"/>
      <c r="L37" s="128"/>
      <c r="M37" s="128"/>
      <c r="N37" s="128"/>
    </row>
    <row r="38" spans="1:14" s="170" customFormat="1">
      <c r="A38" s="164"/>
      <c r="B38" s="165" t="s">
        <v>56</v>
      </c>
      <c r="C38" s="166">
        <v>173</v>
      </c>
      <c r="D38" s="139">
        <v>341</v>
      </c>
      <c r="E38" s="166"/>
      <c r="F38" s="167"/>
      <c r="G38" s="168">
        <f t="shared" si="0"/>
        <v>173</v>
      </c>
      <c r="H38" s="167">
        <f t="shared" si="2"/>
        <v>341</v>
      </c>
      <c r="I38" s="169">
        <v>918</v>
      </c>
      <c r="J38" s="164"/>
      <c r="K38" s="164"/>
      <c r="L38" s="164"/>
      <c r="M38" s="164"/>
      <c r="N38" s="164"/>
    </row>
    <row r="39" spans="1:14" s="170" customFormat="1">
      <c r="A39" s="164"/>
      <c r="B39" s="165" t="s">
        <v>57</v>
      </c>
      <c r="C39" s="166">
        <v>205</v>
      </c>
      <c r="D39" s="167">
        <v>452</v>
      </c>
      <c r="E39" s="166"/>
      <c r="F39" s="167"/>
      <c r="G39" s="168">
        <f t="shared" si="0"/>
        <v>205</v>
      </c>
      <c r="H39" s="167">
        <f t="shared" si="2"/>
        <v>452</v>
      </c>
      <c r="I39" s="169">
        <v>918</v>
      </c>
      <c r="J39" s="164"/>
      <c r="K39" s="164"/>
      <c r="L39" s="164"/>
      <c r="M39" s="164"/>
      <c r="N39" s="164"/>
    </row>
    <row r="40" spans="1:14" s="170" customFormat="1" ht="15.75" thickBot="1">
      <c r="A40" s="164"/>
      <c r="B40" s="165" t="s">
        <v>58</v>
      </c>
      <c r="C40" s="171"/>
      <c r="D40" s="172"/>
      <c r="E40" s="171"/>
      <c r="F40" s="172"/>
      <c r="G40" s="173">
        <f t="shared" si="0"/>
        <v>0</v>
      </c>
      <c r="H40" s="172">
        <f t="shared" si="2"/>
        <v>0</v>
      </c>
      <c r="I40" s="169">
        <v>918</v>
      </c>
      <c r="J40" s="164"/>
      <c r="K40" s="164"/>
      <c r="L40" s="164"/>
      <c r="M40" s="164"/>
      <c r="N40" s="164"/>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47745</v>
      </c>
      <c r="F2" s="100"/>
      <c r="G2" s="100">
        <f>'Athens Daily - Gas'!BH9</f>
        <v>122809.58399999997</v>
      </c>
      <c r="H2" s="100">
        <f>G2/38.3</f>
        <v>3206.5165535248038</v>
      </c>
      <c r="I2" s="100"/>
      <c r="J2" s="100">
        <f>'Athens Daily - Water'!R7</f>
        <v>513.20559999999932</v>
      </c>
      <c r="K2" s="100"/>
      <c r="L2" s="101">
        <v>142</v>
      </c>
      <c r="M2" s="100">
        <f>L2*2</f>
        <v>284</v>
      </c>
      <c r="N2" s="98">
        <v>10</v>
      </c>
    </row>
    <row r="3" spans="1:14">
      <c r="A3" s="7" t="s">
        <v>14</v>
      </c>
      <c r="B3" s="7">
        <v>2</v>
      </c>
      <c r="C3" s="7">
        <v>1</v>
      </c>
      <c r="D3" s="7">
        <v>2021</v>
      </c>
      <c r="E3" s="100">
        <f>'Athens Daily - EL'!AK9</f>
        <v>48895</v>
      </c>
      <c r="F3" s="100"/>
      <c r="G3" s="100">
        <f>'Athens Daily - Gas'!BH11</f>
        <v>116390.39999999999</v>
      </c>
      <c r="H3" s="100">
        <f t="shared" ref="H3:H32" si="0">G3/38.3</f>
        <v>3038.9138381201046</v>
      </c>
      <c r="I3" s="100"/>
      <c r="J3" s="100">
        <f>'Athens Daily - Water'!R8</f>
        <v>441.42560000000049</v>
      </c>
      <c r="K3" s="100"/>
      <c r="L3" s="101">
        <v>102</v>
      </c>
      <c r="M3" s="100">
        <f t="shared" ref="M3:M32" si="1">L3*2</f>
        <v>204</v>
      </c>
      <c r="N3" s="98">
        <v>12</v>
      </c>
    </row>
    <row r="4" spans="1:14">
      <c r="A4" s="7" t="s">
        <v>14</v>
      </c>
      <c r="B4" s="7">
        <v>3</v>
      </c>
      <c r="C4" s="7">
        <v>1</v>
      </c>
      <c r="D4" s="7">
        <v>2021</v>
      </c>
      <c r="E4" s="100">
        <f>'Athens Daily - EL'!AK10</f>
        <v>50660</v>
      </c>
      <c r="F4" s="100"/>
      <c r="G4" s="100">
        <f>'Athens Daily - Gas'!BH12</f>
        <v>123900.43199999999</v>
      </c>
      <c r="H4" s="100">
        <f t="shared" si="0"/>
        <v>3234.9982245430806</v>
      </c>
      <c r="I4" s="100"/>
      <c r="J4" s="100">
        <f>'Athens Daily - Water'!R9</f>
        <v>530.07170000000042</v>
      </c>
      <c r="K4" s="100"/>
      <c r="L4" s="101">
        <v>55</v>
      </c>
      <c r="M4" s="100">
        <f t="shared" si="1"/>
        <v>110</v>
      </c>
      <c r="N4" s="98">
        <v>15</v>
      </c>
    </row>
    <row r="5" spans="1:14">
      <c r="A5" s="7" t="s">
        <v>14</v>
      </c>
      <c r="B5" s="7">
        <v>4</v>
      </c>
      <c r="C5" s="7">
        <v>1</v>
      </c>
      <c r="D5" s="7">
        <v>2021</v>
      </c>
      <c r="E5" s="100">
        <f>'Athens Daily - EL'!AK11</f>
        <v>51195</v>
      </c>
      <c r="F5" s="100"/>
      <c r="G5" s="100">
        <f>'Athens Daily - Gas'!BH13</f>
        <v>120585.64800000002</v>
      </c>
      <c r="H5" s="100">
        <f t="shared" si="0"/>
        <v>3148.450339425588</v>
      </c>
      <c r="I5" s="100"/>
      <c r="J5" s="100">
        <f>'Athens Daily - Water'!R10</f>
        <v>610.11949999999888</v>
      </c>
      <c r="K5" s="100"/>
      <c r="L5" s="101">
        <v>45</v>
      </c>
      <c r="M5" s="100">
        <f t="shared" si="1"/>
        <v>90</v>
      </c>
      <c r="N5" s="98">
        <v>17</v>
      </c>
    </row>
    <row r="6" spans="1:14">
      <c r="A6" s="7" t="s">
        <v>14</v>
      </c>
      <c r="B6" s="7">
        <v>5</v>
      </c>
      <c r="C6" s="7">
        <v>1</v>
      </c>
      <c r="D6" s="7">
        <v>2021</v>
      </c>
      <c r="E6" s="100">
        <f>'Athens Daily - EL'!AK12</f>
        <v>51985</v>
      </c>
      <c r="F6" s="100"/>
      <c r="G6" s="100">
        <f>'Athens Daily - Gas'!BH14</f>
        <v>111092.736</v>
      </c>
      <c r="H6" s="100">
        <f t="shared" si="0"/>
        <v>2900.59362924282</v>
      </c>
      <c r="I6" s="100"/>
      <c r="J6" s="100">
        <f>'Athens Daily - Water'!R11</f>
        <v>610.08560000000034</v>
      </c>
      <c r="K6" s="100"/>
      <c r="L6" s="101">
        <v>34</v>
      </c>
      <c r="M6" s="100">
        <f t="shared" si="1"/>
        <v>68</v>
      </c>
      <c r="N6" s="98">
        <v>15</v>
      </c>
    </row>
    <row r="7" spans="1:14">
      <c r="A7" s="7" t="s">
        <v>14</v>
      </c>
      <c r="B7" s="7">
        <v>6</v>
      </c>
      <c r="C7" s="7">
        <v>1</v>
      </c>
      <c r="D7" s="7">
        <v>2021</v>
      </c>
      <c r="E7" s="100">
        <f>'Athens Daily - EL'!AK13</f>
        <v>50245</v>
      </c>
      <c r="F7" s="100"/>
      <c r="G7" s="100">
        <f>'Athens Daily - Gas'!BH15</f>
        <v>118440.48</v>
      </c>
      <c r="H7" s="100">
        <f t="shared" si="0"/>
        <v>3092.440731070496</v>
      </c>
      <c r="I7" s="100"/>
      <c r="J7" s="100">
        <f>'Athens Daily - Water'!R12</f>
        <v>485.01000000000022</v>
      </c>
      <c r="K7" s="100"/>
      <c r="L7" s="101">
        <v>36</v>
      </c>
      <c r="M7" s="100">
        <f t="shared" si="1"/>
        <v>72</v>
      </c>
      <c r="N7" s="98"/>
    </row>
    <row r="8" spans="1:14">
      <c r="A8" s="7" t="s">
        <v>14</v>
      </c>
      <c r="B8" s="7">
        <v>7</v>
      </c>
      <c r="C8" s="7">
        <v>1</v>
      </c>
      <c r="D8" s="7">
        <v>2021</v>
      </c>
      <c r="E8" s="100">
        <f>'Athens Daily - EL'!AK14</f>
        <v>45885</v>
      </c>
      <c r="F8" s="100"/>
      <c r="G8" s="100">
        <f>'Athens Daily - Gas'!BH16</f>
        <v>108451.92000000001</v>
      </c>
      <c r="H8" s="100">
        <f t="shared" si="0"/>
        <v>2831.6428198433427</v>
      </c>
      <c r="I8" s="100"/>
      <c r="J8" s="100">
        <f>'Athens Daily - Water'!R13</f>
        <v>474.60499999999956</v>
      </c>
      <c r="K8" s="100"/>
      <c r="L8" s="101">
        <v>60</v>
      </c>
      <c r="M8" s="100">
        <f t="shared" si="1"/>
        <v>120</v>
      </c>
      <c r="N8" s="98"/>
    </row>
    <row r="9" spans="1:14">
      <c r="A9" s="7" t="s">
        <v>14</v>
      </c>
      <c r="B9" s="7">
        <v>8</v>
      </c>
      <c r="C9" s="7">
        <v>1</v>
      </c>
      <c r="D9" s="7">
        <v>2021</v>
      </c>
      <c r="E9" s="100">
        <f>'Athens Daily - EL'!AK15</f>
        <v>44920</v>
      </c>
      <c r="F9" s="100"/>
      <c r="G9" s="100">
        <f>'Athens Daily - Gas'!BH17</f>
        <v>109053.93599999999</v>
      </c>
      <c r="H9" s="100">
        <f t="shared" si="0"/>
        <v>2847.3612532637076</v>
      </c>
      <c r="I9" s="100"/>
      <c r="J9" s="100">
        <f>'Athens Daily - Water'!R14</f>
        <v>397.32099999999991</v>
      </c>
      <c r="K9" s="100"/>
      <c r="L9" s="101">
        <v>64</v>
      </c>
      <c r="M9" s="100">
        <f t="shared" si="1"/>
        <v>128</v>
      </c>
      <c r="N9" s="98"/>
    </row>
    <row r="10" spans="1:14">
      <c r="A10" s="7" t="s">
        <v>14</v>
      </c>
      <c r="B10" s="7">
        <v>9</v>
      </c>
      <c r="C10" s="7">
        <v>1</v>
      </c>
      <c r="D10" s="7">
        <v>2021</v>
      </c>
      <c r="E10" s="100">
        <f>'Athens Daily - EL'!AK16</f>
        <v>47235</v>
      </c>
      <c r="F10" s="100"/>
      <c r="G10" s="100">
        <f>'Athens Daily - Gas'!BH18</f>
        <v>118532.15999999997</v>
      </c>
      <c r="H10" s="100">
        <f t="shared" si="0"/>
        <v>3094.834464751958</v>
      </c>
      <c r="I10" s="100"/>
      <c r="J10" s="100">
        <f>'Athens Daily - Water'!R15</f>
        <v>437.83100000000013</v>
      </c>
      <c r="K10" s="100"/>
      <c r="L10" s="101">
        <v>100</v>
      </c>
      <c r="M10" s="100">
        <f t="shared" si="1"/>
        <v>200</v>
      </c>
      <c r="N10" s="98">
        <v>9</v>
      </c>
    </row>
    <row r="11" spans="1:14">
      <c r="A11" s="7" t="s">
        <v>14</v>
      </c>
      <c r="B11" s="7">
        <v>10</v>
      </c>
      <c r="C11" s="7">
        <v>1</v>
      </c>
      <c r="D11" s="7">
        <v>2021</v>
      </c>
      <c r="E11" s="100">
        <f>'Athens Daily - EL'!AK17</f>
        <v>46465</v>
      </c>
      <c r="F11" s="100"/>
      <c r="G11" s="100">
        <f>'Athens Daily - Gas'!BH19</f>
        <v>118973.088</v>
      </c>
      <c r="H11" s="100">
        <f t="shared" si="0"/>
        <v>3106.3469451697133</v>
      </c>
      <c r="I11" s="100"/>
      <c r="J11" s="100">
        <f>'Athens Daily - Water'!R16</f>
        <v>481.32500000000073</v>
      </c>
      <c r="K11" s="100"/>
      <c r="L11" s="101">
        <v>63</v>
      </c>
      <c r="M11" s="100">
        <f t="shared" si="1"/>
        <v>126</v>
      </c>
      <c r="N11" s="98">
        <v>12</v>
      </c>
    </row>
    <row r="12" spans="1:14">
      <c r="A12" s="7" t="s">
        <v>14</v>
      </c>
      <c r="B12" s="7">
        <v>11</v>
      </c>
      <c r="C12" s="7">
        <v>1</v>
      </c>
      <c r="D12" s="7">
        <v>2021</v>
      </c>
      <c r="E12" s="100">
        <f>'Athens Daily - EL'!AK18</f>
        <v>49565</v>
      </c>
      <c r="F12" s="100"/>
      <c r="G12" s="100">
        <f>'Athens Daily - Gas'!BH20</f>
        <v>125836.8</v>
      </c>
      <c r="H12" s="100">
        <f t="shared" si="0"/>
        <v>3285.5561357702354</v>
      </c>
      <c r="I12" s="100"/>
      <c r="J12" s="100">
        <f>'Athens Daily - Water'!R17</f>
        <v>547</v>
      </c>
      <c r="K12" s="100"/>
      <c r="L12" s="101">
        <v>39</v>
      </c>
      <c r="M12" s="100">
        <f t="shared" si="1"/>
        <v>78</v>
      </c>
      <c r="N12" s="98">
        <v>12</v>
      </c>
    </row>
    <row r="13" spans="1:14">
      <c r="A13" s="7" t="s">
        <v>14</v>
      </c>
      <c r="B13" s="7">
        <v>12</v>
      </c>
      <c r="C13" s="7">
        <v>1</v>
      </c>
      <c r="D13" s="7">
        <v>2021</v>
      </c>
      <c r="E13" s="100">
        <f>'Athens Daily - EL'!AK19</f>
        <v>38760</v>
      </c>
      <c r="F13" s="100"/>
      <c r="G13" s="100">
        <f>'Athens Daily - Gas'!BH21</f>
        <v>119625.60000000001</v>
      </c>
      <c r="H13" s="100">
        <f t="shared" si="0"/>
        <v>3123.3838120104442</v>
      </c>
      <c r="I13" s="100"/>
      <c r="J13" s="100">
        <f>'Athens Daily - Water'!R18</f>
        <v>526</v>
      </c>
      <c r="K13" s="100"/>
      <c r="L13" s="101">
        <v>43</v>
      </c>
      <c r="M13" s="100">
        <f t="shared" si="1"/>
        <v>86</v>
      </c>
      <c r="N13" s="98">
        <v>10</v>
      </c>
    </row>
    <row r="14" spans="1:14">
      <c r="A14" s="7" t="s">
        <v>14</v>
      </c>
      <c r="B14" s="7">
        <v>13</v>
      </c>
      <c r="C14" s="7">
        <v>1</v>
      </c>
      <c r="D14" s="7">
        <v>2021</v>
      </c>
      <c r="E14" s="100">
        <f>'Athens Daily - EL'!AK20</f>
        <v>51805</v>
      </c>
      <c r="F14" s="100"/>
      <c r="G14" s="100">
        <f>'Athens Daily - Gas'!BH22</f>
        <v>112665.60000000001</v>
      </c>
      <c r="H14" s="100">
        <f t="shared" si="0"/>
        <v>2941.6605744125332</v>
      </c>
      <c r="I14" s="100"/>
      <c r="J14" s="100">
        <f>'Athens Daily - Water'!R19</f>
        <v>519</v>
      </c>
      <c r="K14" s="100"/>
      <c r="L14" s="101">
        <v>46</v>
      </c>
      <c r="M14" s="100">
        <f t="shared" si="1"/>
        <v>92</v>
      </c>
      <c r="N14" s="98">
        <v>12</v>
      </c>
    </row>
    <row r="15" spans="1:14">
      <c r="A15" s="7" t="s">
        <v>14</v>
      </c>
      <c r="B15" s="7">
        <v>14</v>
      </c>
      <c r="C15" s="7">
        <v>1</v>
      </c>
      <c r="D15" s="7">
        <v>2021</v>
      </c>
      <c r="E15" s="100">
        <f>'Athens Daily - EL'!AK21</f>
        <v>46480</v>
      </c>
      <c r="F15" s="100"/>
      <c r="G15" s="100">
        <f>'Athens Daily - Gas'!BH23</f>
        <v>115968</v>
      </c>
      <c r="H15" s="100">
        <f t="shared" si="0"/>
        <v>3027.885117493473</v>
      </c>
      <c r="I15" s="100"/>
      <c r="J15" s="100">
        <f>'Athens Daily - Water'!R20</f>
        <v>429</v>
      </c>
      <c r="K15" s="100"/>
      <c r="L15" s="101">
        <v>55</v>
      </c>
      <c r="M15" s="100">
        <f t="shared" si="1"/>
        <v>110</v>
      </c>
      <c r="N15" s="98">
        <v>13</v>
      </c>
    </row>
    <row r="16" spans="1:14">
      <c r="A16" s="7" t="s">
        <v>14</v>
      </c>
      <c r="B16" s="7">
        <v>15</v>
      </c>
      <c r="C16" s="7">
        <v>1</v>
      </c>
      <c r="D16" s="7">
        <v>2021</v>
      </c>
      <c r="E16" s="100">
        <f>'Athens Daily - EL'!AK22</f>
        <v>44720</v>
      </c>
      <c r="F16" s="100"/>
      <c r="G16" s="100">
        <f>'Athens Daily - Gas'!BH24</f>
        <v>113001.60000000001</v>
      </c>
      <c r="H16" s="100">
        <f t="shared" si="0"/>
        <v>2950.4334203655358</v>
      </c>
      <c r="I16" s="100"/>
      <c r="J16" s="100">
        <f>'Athens Daily - Water'!R21</f>
        <v>470</v>
      </c>
      <c r="K16" s="100"/>
      <c r="L16" s="101">
        <v>74</v>
      </c>
      <c r="M16" s="100">
        <f t="shared" si="1"/>
        <v>148</v>
      </c>
      <c r="N16" s="98">
        <v>13</v>
      </c>
    </row>
    <row r="17" spans="1:14">
      <c r="A17" s="7" t="s">
        <v>14</v>
      </c>
      <c r="B17" s="7">
        <v>16</v>
      </c>
      <c r="C17" s="7">
        <v>1</v>
      </c>
      <c r="D17" s="7">
        <v>2021</v>
      </c>
      <c r="E17" s="100">
        <f>'Athens Daily - EL'!AK23</f>
        <v>45005</v>
      </c>
      <c r="F17" s="100"/>
      <c r="G17" s="100">
        <f>'Athens Daily - Gas'!BH25</f>
        <v>111868.79999999999</v>
      </c>
      <c r="H17" s="100">
        <f t="shared" si="0"/>
        <v>2920.8563968668404</v>
      </c>
      <c r="I17" s="100"/>
      <c r="J17" s="100">
        <f>'Athens Daily - Water'!R22</f>
        <v>467</v>
      </c>
      <c r="K17" s="100"/>
      <c r="L17" s="101">
        <v>149</v>
      </c>
      <c r="M17" s="100">
        <f t="shared" si="1"/>
        <v>298</v>
      </c>
      <c r="N17" s="102"/>
    </row>
    <row r="18" spans="1:14">
      <c r="A18" s="7" t="s">
        <v>14</v>
      </c>
      <c r="B18" s="7">
        <v>17</v>
      </c>
      <c r="C18" s="7">
        <v>1</v>
      </c>
      <c r="D18" s="7">
        <v>2021</v>
      </c>
      <c r="E18" s="100">
        <f>'Athens Daily - EL'!AK24</f>
        <v>48820</v>
      </c>
      <c r="F18" s="100"/>
      <c r="G18" s="100">
        <f>'Athens Daily - Gas'!BH26</f>
        <v>118406.39999999999</v>
      </c>
      <c r="H18" s="100">
        <f t="shared" si="0"/>
        <v>3091.5509138381203</v>
      </c>
      <c r="I18" s="100"/>
      <c r="J18" s="100">
        <f>'Athens Daily - Water'!R23</f>
        <v>408</v>
      </c>
      <c r="K18" s="100"/>
      <c r="L18" s="101">
        <v>64</v>
      </c>
      <c r="M18" s="100">
        <f t="shared" si="1"/>
        <v>128</v>
      </c>
      <c r="N18" s="102"/>
    </row>
    <row r="19" spans="1:14">
      <c r="A19" s="7" t="s">
        <v>14</v>
      </c>
      <c r="B19" s="7">
        <v>18</v>
      </c>
      <c r="C19" s="7">
        <v>1</v>
      </c>
      <c r="D19" s="7">
        <v>2021</v>
      </c>
      <c r="E19" s="100">
        <f>'Athens Daily - EL'!AK25</f>
        <v>50240</v>
      </c>
      <c r="F19" s="100"/>
      <c r="G19" s="100">
        <f>'Athens Daily - Gas'!BH27</f>
        <v>126288</v>
      </c>
      <c r="H19" s="100">
        <f t="shared" si="0"/>
        <v>3297.3368146214102</v>
      </c>
      <c r="I19" s="100"/>
      <c r="J19" s="100">
        <f>'Athens Daily - Water'!R24</f>
        <v>514</v>
      </c>
      <c r="K19" s="100"/>
      <c r="L19" s="101">
        <v>58</v>
      </c>
      <c r="M19" s="100">
        <f t="shared" si="1"/>
        <v>116</v>
      </c>
      <c r="N19" s="102"/>
    </row>
    <row r="20" spans="1:14">
      <c r="A20" s="7" t="s">
        <v>14</v>
      </c>
      <c r="B20" s="7">
        <v>19</v>
      </c>
      <c r="C20" s="7">
        <v>1</v>
      </c>
      <c r="D20" s="7">
        <v>2021</v>
      </c>
      <c r="E20" s="100">
        <f>'Athens Daily - EL'!AK26</f>
        <v>49330</v>
      </c>
      <c r="F20" s="100"/>
      <c r="G20" s="100">
        <f>'Athens Daily - Gas'!BH28</f>
        <v>123408</v>
      </c>
      <c r="H20" s="100">
        <f t="shared" si="0"/>
        <v>3222.140992167102</v>
      </c>
      <c r="I20" s="100"/>
      <c r="J20" s="100">
        <f>'Athens Daily - Water'!R25</f>
        <v>617</v>
      </c>
      <c r="K20" s="100"/>
      <c r="L20" s="101">
        <v>69</v>
      </c>
      <c r="M20" s="100">
        <f t="shared" si="1"/>
        <v>138</v>
      </c>
      <c r="N20" s="102"/>
    </row>
    <row r="21" spans="1:14">
      <c r="A21" s="7" t="s">
        <v>14</v>
      </c>
      <c r="B21" s="7">
        <v>20</v>
      </c>
      <c r="C21" s="7">
        <v>1</v>
      </c>
      <c r="D21" s="7">
        <v>2021</v>
      </c>
      <c r="E21" s="100">
        <f>'Athens Daily - EL'!AK27</f>
        <v>47530</v>
      </c>
      <c r="F21" s="100"/>
      <c r="G21" s="100">
        <f>'Athens Daily - Gas'!BH29</f>
        <v>117196.79999999999</v>
      </c>
      <c r="H21" s="100">
        <f t="shared" si="0"/>
        <v>3059.9686684073108</v>
      </c>
      <c r="I21" s="100"/>
      <c r="J21" s="100">
        <f>'Athens Daily - Water'!R26</f>
        <v>575</v>
      </c>
      <c r="K21" s="100"/>
      <c r="L21" s="101">
        <v>42</v>
      </c>
      <c r="M21" s="100">
        <f t="shared" si="1"/>
        <v>84</v>
      </c>
      <c r="N21" s="98"/>
    </row>
    <row r="22" spans="1:14">
      <c r="A22" s="7" t="s">
        <v>14</v>
      </c>
      <c r="B22" s="7">
        <v>21</v>
      </c>
      <c r="C22" s="7">
        <v>1</v>
      </c>
      <c r="D22" s="7">
        <v>2021</v>
      </c>
      <c r="E22" s="100">
        <f>'Athens Daily - EL'!AK28</f>
        <v>54790</v>
      </c>
      <c r="F22" s="100"/>
      <c r="G22" s="100">
        <f>'Athens Daily - Gas'!BH30</f>
        <v>111081.60000000001</v>
      </c>
      <c r="H22" s="100">
        <f t="shared" si="0"/>
        <v>2900.3028720626635</v>
      </c>
      <c r="I22" s="100"/>
      <c r="J22" s="100">
        <f>'Athens Daily - Water'!R27</f>
        <v>442</v>
      </c>
      <c r="K22" s="100"/>
      <c r="L22" s="101">
        <v>45</v>
      </c>
      <c r="M22" s="100">
        <f t="shared" si="1"/>
        <v>90</v>
      </c>
      <c r="N22" s="98"/>
    </row>
    <row r="23" spans="1:14">
      <c r="A23" s="7" t="s">
        <v>14</v>
      </c>
      <c r="B23" s="7">
        <v>22</v>
      </c>
      <c r="C23" s="7">
        <v>1</v>
      </c>
      <c r="D23" s="7">
        <v>2021</v>
      </c>
      <c r="E23" s="100">
        <f>'Athens Daily - EL'!AK29</f>
        <v>40405</v>
      </c>
      <c r="F23" s="100"/>
      <c r="G23" s="100">
        <f>'Athens Daily - Gas'!BH31</f>
        <v>114508.79999999999</v>
      </c>
      <c r="H23" s="100">
        <f t="shared" si="0"/>
        <v>2989.7859007832899</v>
      </c>
      <c r="I23" s="100"/>
      <c r="J23" s="100">
        <f>'Athens Daily - Water'!R28</f>
        <v>453.5</v>
      </c>
      <c r="K23" s="100"/>
      <c r="L23" s="101">
        <v>82</v>
      </c>
      <c r="M23" s="100">
        <f t="shared" si="1"/>
        <v>164</v>
      </c>
      <c r="N23" s="98">
        <v>19</v>
      </c>
    </row>
    <row r="24" spans="1:14">
      <c r="A24" s="7" t="s">
        <v>14</v>
      </c>
      <c r="B24" s="7">
        <v>23</v>
      </c>
      <c r="C24" s="7">
        <v>1</v>
      </c>
      <c r="D24" s="7">
        <v>2021</v>
      </c>
      <c r="E24" s="100">
        <f>'Athens Daily - EL'!AK30</f>
        <v>54405</v>
      </c>
      <c r="F24" s="100"/>
      <c r="G24" s="100">
        <f>'Athens Daily - Gas'!BH32</f>
        <v>118819.2</v>
      </c>
      <c r="H24" s="100">
        <f t="shared" si="0"/>
        <v>3102.3289817232376</v>
      </c>
      <c r="I24" s="100"/>
      <c r="J24" s="100">
        <f>'Athens Daily - Water'!R29</f>
        <v>812</v>
      </c>
      <c r="K24" s="100"/>
      <c r="L24" s="101">
        <v>170</v>
      </c>
      <c r="M24" s="100">
        <f t="shared" si="1"/>
        <v>340</v>
      </c>
      <c r="N24" s="98">
        <v>20</v>
      </c>
    </row>
    <row r="25" spans="1:14">
      <c r="A25" s="7" t="s">
        <v>14</v>
      </c>
      <c r="B25" s="7">
        <v>24</v>
      </c>
      <c r="C25" s="7">
        <v>1</v>
      </c>
      <c r="D25" s="7">
        <v>2021</v>
      </c>
      <c r="E25" s="100">
        <f>'Athens Daily - EL'!AK31</f>
        <v>48375</v>
      </c>
      <c r="F25" s="100"/>
      <c r="G25" s="100">
        <f>'Athens Daily - Gas'!BH33</f>
        <v>109056</v>
      </c>
      <c r="H25" s="100">
        <f t="shared" si="0"/>
        <v>2847.4151436031334</v>
      </c>
      <c r="I25" s="100"/>
      <c r="J25" s="100">
        <f>'Athens Daily - Water'!R30</f>
        <v>139.5</v>
      </c>
      <c r="K25" s="100"/>
      <c r="L25" s="101">
        <v>91</v>
      </c>
      <c r="M25" s="100">
        <f t="shared" si="1"/>
        <v>182</v>
      </c>
      <c r="N25" s="98">
        <v>19</v>
      </c>
    </row>
    <row r="26" spans="1:14">
      <c r="A26" s="7" t="s">
        <v>14</v>
      </c>
      <c r="B26" s="7">
        <v>25</v>
      </c>
      <c r="C26" s="7">
        <v>1</v>
      </c>
      <c r="D26" s="7">
        <v>2021</v>
      </c>
      <c r="E26" s="100">
        <f>'Athens Daily - EL'!AK32</f>
        <v>50830</v>
      </c>
      <c r="F26" s="100"/>
      <c r="G26" s="100">
        <f>'Athens Daily - Gas'!BH34</f>
        <v>125030.39999999999</v>
      </c>
      <c r="H26" s="100">
        <f t="shared" si="0"/>
        <v>3264.5013054830288</v>
      </c>
      <c r="I26" s="100"/>
      <c r="J26" s="100">
        <f>'Athens Daily - Water'!R31</f>
        <v>461</v>
      </c>
      <c r="K26" s="100"/>
      <c r="L26" s="101">
        <v>56</v>
      </c>
      <c r="M26" s="100">
        <f t="shared" si="1"/>
        <v>112</v>
      </c>
      <c r="N26" s="99"/>
    </row>
    <row r="27" spans="1:14">
      <c r="A27" s="7" t="s">
        <v>14</v>
      </c>
      <c r="B27" s="7">
        <v>26</v>
      </c>
      <c r="C27" s="7">
        <v>1</v>
      </c>
      <c r="D27" s="7">
        <v>2021</v>
      </c>
      <c r="E27" s="100">
        <f>'Athens Daily - EL'!AK33</f>
        <v>52025</v>
      </c>
      <c r="F27" s="100"/>
      <c r="G27" s="100">
        <f>'Athens Daily - Gas'!BH35</f>
        <v>124636.8</v>
      </c>
      <c r="H27" s="100">
        <f t="shared" si="0"/>
        <v>3254.2245430809403</v>
      </c>
      <c r="I27" s="100"/>
      <c r="J27" s="100">
        <f>'Athens Daily - Water'!R32</f>
        <v>602</v>
      </c>
      <c r="K27" s="100"/>
      <c r="L27" s="100"/>
      <c r="M27" s="100">
        <f t="shared" si="1"/>
        <v>0</v>
      </c>
      <c r="N27" s="99"/>
    </row>
    <row r="28" spans="1:14">
      <c r="A28" s="7" t="s">
        <v>14</v>
      </c>
      <c r="B28" s="7">
        <v>27</v>
      </c>
      <c r="C28" s="7">
        <v>1</v>
      </c>
      <c r="D28" s="7">
        <v>2021</v>
      </c>
      <c r="E28" s="100">
        <f>'Athens Daily - EL'!AK34</f>
        <v>48905</v>
      </c>
      <c r="F28" s="100"/>
      <c r="G28" s="100">
        <f>'Athens Daily - Gas'!BH36</f>
        <v>125157.98399999998</v>
      </c>
      <c r="H28" s="100">
        <f t="shared" si="0"/>
        <v>3267.8324804177541</v>
      </c>
      <c r="I28" s="100"/>
      <c r="J28" s="100">
        <f>'Athens Daily - Water'!R33</f>
        <v>561</v>
      </c>
      <c r="K28" s="100"/>
      <c r="L28" s="100"/>
      <c r="M28" s="100">
        <f t="shared" si="1"/>
        <v>0</v>
      </c>
      <c r="N28" s="99"/>
    </row>
    <row r="29" spans="1:14">
      <c r="A29" s="7" t="s">
        <v>14</v>
      </c>
      <c r="B29" s="7">
        <v>28</v>
      </c>
      <c r="C29" s="7">
        <v>1</v>
      </c>
      <c r="D29" s="7">
        <v>2021</v>
      </c>
      <c r="E29" s="100">
        <f>'Athens Daily - EL'!AK35</f>
        <v>49985</v>
      </c>
      <c r="F29" s="100"/>
      <c r="G29" s="100">
        <f>'Athens Daily - Gas'!BH37</f>
        <v>119125.82400000001</v>
      </c>
      <c r="H29" s="100">
        <f t="shared" si="0"/>
        <v>3110.3348302872068</v>
      </c>
      <c r="I29" s="100"/>
      <c r="J29" s="100">
        <f>'Athens Daily - Water'!R34</f>
        <v>504.36599999999999</v>
      </c>
      <c r="K29" s="100"/>
      <c r="L29" s="100"/>
      <c r="M29" s="100">
        <f t="shared" si="1"/>
        <v>0</v>
      </c>
      <c r="N29" s="99"/>
    </row>
    <row r="30" spans="1:14">
      <c r="A30" s="7" t="s">
        <v>14</v>
      </c>
      <c r="B30" s="7">
        <v>29</v>
      </c>
      <c r="C30" s="7">
        <v>1</v>
      </c>
      <c r="D30" s="7">
        <v>2021</v>
      </c>
      <c r="E30" s="100">
        <f>'Athens Daily - EL'!AK36</f>
        <v>51340</v>
      </c>
      <c r="F30" s="100"/>
      <c r="G30" s="100">
        <f>'Athens Daily - Gas'!BH38</f>
        <v>117099.21599999999</v>
      </c>
      <c r="H30" s="100">
        <f t="shared" si="0"/>
        <v>3057.4207832898169</v>
      </c>
      <c r="I30" s="100"/>
      <c r="J30" s="100">
        <f>'Athens Daily - Water'!R36</f>
        <v>488.03199999999924</v>
      </c>
      <c r="K30" s="100"/>
      <c r="L30" s="100"/>
      <c r="M30" s="100">
        <f t="shared" si="1"/>
        <v>0</v>
      </c>
      <c r="N30" s="99"/>
    </row>
    <row r="31" spans="1:14">
      <c r="A31" s="7" t="s">
        <v>14</v>
      </c>
      <c r="B31" s="7">
        <v>30</v>
      </c>
      <c r="C31" s="7">
        <v>1</v>
      </c>
      <c r="D31" s="7">
        <v>2021</v>
      </c>
      <c r="E31" s="100">
        <f>'Athens Daily - EL'!AK37</f>
        <v>52825</v>
      </c>
      <c r="F31" s="100"/>
      <c r="G31" s="100" t="e">
        <f>'Athens Daily - Gas'!#REF!</f>
        <v>#REF!</v>
      </c>
      <c r="H31" s="100" t="e">
        <f t="shared" si="0"/>
        <v>#REF!</v>
      </c>
      <c r="I31" s="100"/>
      <c r="J31" s="100">
        <f>'Athens Daily - Water'!R37</f>
        <v>0</v>
      </c>
      <c r="K31" s="100"/>
      <c r="L31" s="100"/>
      <c r="M31" s="100">
        <f t="shared" si="1"/>
        <v>0</v>
      </c>
      <c r="N31" s="99"/>
    </row>
    <row r="32" spans="1:14">
      <c r="A32" s="7" t="s">
        <v>14</v>
      </c>
      <c r="B32" s="7">
        <v>31</v>
      </c>
      <c r="C32" s="7">
        <v>1</v>
      </c>
      <c r="D32" s="7">
        <v>2021</v>
      </c>
      <c r="E32" s="100" t="e">
        <f>'Athens Daily - EL'!#REF!</f>
        <v>#REF!</v>
      </c>
      <c r="F32" s="100"/>
      <c r="G32" s="100">
        <f>'Athens Daily - Gas'!BH39</f>
        <v>0</v>
      </c>
      <c r="H32" s="100">
        <f t="shared" si="0"/>
        <v>0</v>
      </c>
      <c r="I32" s="100"/>
      <c r="J32" s="100">
        <f>'Athens Daily - Water'!R38</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14617</v>
      </c>
      <c r="F2" s="7"/>
      <c r="G2" s="38">
        <f>'Athens Daily - Gas'!BI9</f>
        <v>68102.399999999994</v>
      </c>
      <c r="H2" s="7"/>
      <c r="I2" s="39">
        <f>'Athens Daily - Water'!S7</f>
        <v>138.55000000000001</v>
      </c>
      <c r="J2" s="7"/>
      <c r="K2" s="7">
        <v>286</v>
      </c>
      <c r="L2" s="7">
        <v>2</v>
      </c>
    </row>
    <row r="3" spans="1:12">
      <c r="A3" s="7" t="s">
        <v>14</v>
      </c>
      <c r="B3" s="7">
        <v>2</v>
      </c>
      <c r="C3" s="7">
        <v>1</v>
      </c>
      <c r="D3" s="7">
        <v>2021</v>
      </c>
      <c r="E3" s="7">
        <f>'Athens Daily - EL'!AL9</f>
        <v>15075</v>
      </c>
      <c r="F3" s="7"/>
      <c r="G3" s="38">
        <f>'Athens Daily - Gas'!BI11</f>
        <v>69801.600000000006</v>
      </c>
      <c r="H3" s="7"/>
      <c r="I3" s="39">
        <f>'Athens Daily - Water'!S8</f>
        <v>146</v>
      </c>
      <c r="J3" s="7"/>
      <c r="K3" s="7">
        <v>285</v>
      </c>
      <c r="L3" s="7">
        <v>2</v>
      </c>
    </row>
    <row r="4" spans="1:12">
      <c r="A4" s="7" t="s">
        <v>14</v>
      </c>
      <c r="B4" s="7">
        <v>3</v>
      </c>
      <c r="C4" s="7">
        <v>1</v>
      </c>
      <c r="D4" s="7">
        <v>2021</v>
      </c>
      <c r="E4" s="7">
        <f>'Athens Daily - EL'!AL10</f>
        <v>15074</v>
      </c>
      <c r="F4" s="7"/>
      <c r="G4" s="38">
        <f>'Athens Daily - Gas'!BI12</f>
        <v>66835.200000000012</v>
      </c>
      <c r="H4" s="7"/>
      <c r="I4" s="39">
        <f>'Athens Daily - Water'!S9</f>
        <v>157</v>
      </c>
      <c r="J4" s="7"/>
      <c r="K4" s="7">
        <v>282</v>
      </c>
      <c r="L4" s="7">
        <v>2</v>
      </c>
    </row>
    <row r="5" spans="1:12">
      <c r="A5" s="7" t="s">
        <v>14</v>
      </c>
      <c r="B5" s="7">
        <v>4</v>
      </c>
      <c r="C5" s="7">
        <v>1</v>
      </c>
      <c r="D5" s="7">
        <v>2021</v>
      </c>
      <c r="E5" s="7">
        <f>'Athens Daily - EL'!AL11</f>
        <v>15443</v>
      </c>
      <c r="F5" s="7"/>
      <c r="G5" s="38">
        <f>'Athens Daily - Gas'!BI13</f>
        <v>68476.800000000003</v>
      </c>
      <c r="H5" s="7"/>
      <c r="I5" s="39">
        <f>'Athens Daily - Water'!S10</f>
        <v>144.25</v>
      </c>
      <c r="J5" s="7"/>
      <c r="K5" s="7">
        <v>284</v>
      </c>
      <c r="L5" s="7">
        <v>2</v>
      </c>
    </row>
    <row r="6" spans="1:12">
      <c r="A6" s="7" t="s">
        <v>14</v>
      </c>
      <c r="B6" s="7">
        <v>5</v>
      </c>
      <c r="C6" s="7">
        <v>1</v>
      </c>
      <c r="D6" s="7">
        <v>2021</v>
      </c>
      <c r="E6" s="7">
        <f>'Athens Daily - EL'!AL12</f>
        <v>17549</v>
      </c>
      <c r="F6" s="7"/>
      <c r="G6" s="38">
        <f>'Athens Daily - Gas'!BI14</f>
        <v>61420.800000000003</v>
      </c>
      <c r="H6" s="7"/>
      <c r="I6" s="39">
        <f>'Athens Daily - Water'!S11</f>
        <v>181.7</v>
      </c>
      <c r="J6" s="7"/>
      <c r="K6" s="7">
        <v>286</v>
      </c>
      <c r="L6" s="7">
        <v>2</v>
      </c>
    </row>
    <row r="7" spans="1:12">
      <c r="A7" s="7" t="s">
        <v>14</v>
      </c>
      <c r="B7" s="7">
        <v>6</v>
      </c>
      <c r="C7" s="7">
        <v>1</v>
      </c>
      <c r="D7" s="7">
        <v>2021</v>
      </c>
      <c r="E7" s="7">
        <f>'Athens Daily - EL'!AL13</f>
        <v>18227</v>
      </c>
      <c r="F7" s="7"/>
      <c r="G7" s="38">
        <f>'Athens Daily - Gas'!BI15</f>
        <v>66211.200000000012</v>
      </c>
      <c r="H7" s="7"/>
      <c r="I7" s="39">
        <f>'Athens Daily - Water'!S12</f>
        <v>153.44999999999999</v>
      </c>
      <c r="J7" s="7"/>
      <c r="K7" s="7">
        <v>288</v>
      </c>
      <c r="L7" s="7">
        <v>2</v>
      </c>
    </row>
    <row r="8" spans="1:12">
      <c r="A8" s="7" t="s">
        <v>14</v>
      </c>
      <c r="B8" s="7">
        <v>7</v>
      </c>
      <c r="C8" s="7">
        <v>1</v>
      </c>
      <c r="D8" s="7">
        <v>2021</v>
      </c>
      <c r="E8" s="7">
        <f>'Athens Daily - EL'!AL14</f>
        <v>13207</v>
      </c>
      <c r="F8" s="7"/>
      <c r="G8" s="38">
        <f>'Athens Daily - Gas'!BI16</f>
        <v>61718.400000000001</v>
      </c>
      <c r="H8" s="7"/>
      <c r="I8" s="39">
        <f>'Athens Daily - Water'!S13</f>
        <v>170.5</v>
      </c>
      <c r="J8" s="7"/>
      <c r="K8" s="7">
        <v>286</v>
      </c>
      <c r="L8" s="7">
        <v>2</v>
      </c>
    </row>
    <row r="9" spans="1:12">
      <c r="A9" s="7" t="s">
        <v>14</v>
      </c>
      <c r="B9" s="7">
        <v>8</v>
      </c>
      <c r="C9" s="7">
        <v>1</v>
      </c>
      <c r="D9" s="7">
        <v>2021</v>
      </c>
      <c r="E9" s="7">
        <f>'Athens Daily - EL'!AL15</f>
        <v>12453</v>
      </c>
      <c r="F9" s="7"/>
      <c r="G9" s="38">
        <f>'Athens Daily - Gas'!BI17</f>
        <v>60700.800000000003</v>
      </c>
      <c r="H9" s="7"/>
      <c r="I9" s="39">
        <f>'Athens Daily - Water'!S14</f>
        <v>161.69999999999999</v>
      </c>
      <c r="J9" s="7"/>
      <c r="K9" s="7">
        <v>287</v>
      </c>
      <c r="L9" s="7">
        <v>2</v>
      </c>
    </row>
    <row r="10" spans="1:12">
      <c r="A10" s="7" t="s">
        <v>14</v>
      </c>
      <c r="B10" s="7">
        <v>9</v>
      </c>
      <c r="C10" s="7">
        <v>1</v>
      </c>
      <c r="D10" s="7">
        <v>2021</v>
      </c>
      <c r="E10" s="7">
        <f>'Athens Daily - EL'!AL16</f>
        <v>13129</v>
      </c>
      <c r="F10" s="7"/>
      <c r="G10" s="38">
        <f>'Athens Daily - Gas'!BI18</f>
        <v>67075.200000000012</v>
      </c>
      <c r="H10" s="7"/>
      <c r="I10" s="39">
        <f>'Athens Daily - Water'!S15</f>
        <v>153.69999999999999</v>
      </c>
      <c r="J10" s="7"/>
      <c r="K10" s="7">
        <v>284</v>
      </c>
      <c r="L10" s="7">
        <v>2</v>
      </c>
    </row>
    <row r="11" spans="1:12">
      <c r="A11" s="7" t="s">
        <v>14</v>
      </c>
      <c r="B11" s="7">
        <v>10</v>
      </c>
      <c r="C11" s="7">
        <v>1</v>
      </c>
      <c r="D11" s="7">
        <v>2021</v>
      </c>
      <c r="E11" s="7">
        <f>'Athens Daily - EL'!AL17</f>
        <v>11987</v>
      </c>
      <c r="F11" s="7"/>
      <c r="G11" s="38">
        <f>'Athens Daily - Gas'!BI19</f>
        <v>69331.200000000012</v>
      </c>
      <c r="H11" s="7"/>
      <c r="I11" s="39">
        <f>'Athens Daily - Water'!S16</f>
        <v>146.4</v>
      </c>
      <c r="J11" s="7"/>
      <c r="K11" s="7">
        <v>284</v>
      </c>
      <c r="L11" s="7">
        <v>2</v>
      </c>
    </row>
    <row r="12" spans="1:12">
      <c r="A12" s="7" t="s">
        <v>14</v>
      </c>
      <c r="B12" s="7">
        <v>11</v>
      </c>
      <c r="C12" s="7">
        <v>1</v>
      </c>
      <c r="D12" s="7">
        <v>2021</v>
      </c>
      <c r="E12" s="7">
        <f>'Athens Daily - EL'!AL18</f>
        <v>12735</v>
      </c>
      <c r="F12" s="7"/>
      <c r="G12" s="38">
        <f>'Athens Daily - Gas'!BI20</f>
        <v>68131.200000000012</v>
      </c>
      <c r="H12" s="7"/>
      <c r="I12" s="39">
        <f>'Athens Daily - Water'!S17</f>
        <v>162.55000000000001</v>
      </c>
      <c r="J12" s="7"/>
      <c r="K12" s="7">
        <v>284</v>
      </c>
      <c r="L12" s="7">
        <v>2</v>
      </c>
    </row>
    <row r="13" spans="1:12">
      <c r="A13" s="7" t="s">
        <v>14</v>
      </c>
      <c r="B13" s="7">
        <v>12</v>
      </c>
      <c r="C13" s="7">
        <v>1</v>
      </c>
      <c r="D13" s="7">
        <v>2021</v>
      </c>
      <c r="E13" s="7">
        <f>'Athens Daily - EL'!AL19</f>
        <v>13617</v>
      </c>
      <c r="F13" s="7"/>
      <c r="G13" s="38">
        <f>'Athens Daily - Gas'!BI21</f>
        <v>65030.400000000001</v>
      </c>
      <c r="H13" s="7"/>
      <c r="I13" s="39">
        <f>'Athens Daily - Water'!S18</f>
        <v>177.10000000000002</v>
      </c>
      <c r="J13" s="7"/>
      <c r="K13" s="7">
        <v>286</v>
      </c>
      <c r="L13" s="7">
        <v>2</v>
      </c>
    </row>
    <row r="14" spans="1:12">
      <c r="A14" s="7" t="s">
        <v>14</v>
      </c>
      <c r="B14" s="7">
        <v>13</v>
      </c>
      <c r="C14" s="7">
        <v>1</v>
      </c>
      <c r="D14" s="7">
        <v>2021</v>
      </c>
      <c r="E14" s="7">
        <f>'Athens Daily - EL'!AL20</f>
        <v>14221</v>
      </c>
      <c r="F14" s="7"/>
      <c r="G14" s="38">
        <f>'Athens Daily - Gas'!BI22</f>
        <v>61286.400000000001</v>
      </c>
      <c r="H14" s="7"/>
      <c r="I14" s="39">
        <f>'Athens Daily - Water'!S19</f>
        <v>167.45</v>
      </c>
      <c r="J14" s="7"/>
      <c r="K14" s="7">
        <v>287</v>
      </c>
      <c r="L14" s="7">
        <v>2</v>
      </c>
    </row>
    <row r="15" spans="1:12">
      <c r="A15" s="7" t="s">
        <v>14</v>
      </c>
      <c r="B15" s="7">
        <v>14</v>
      </c>
      <c r="C15" s="7">
        <v>1</v>
      </c>
      <c r="D15" s="7">
        <v>2021</v>
      </c>
      <c r="E15" s="7">
        <f>'Athens Daily - EL'!AL21</f>
        <v>13598</v>
      </c>
      <c r="F15" s="7"/>
      <c r="G15" s="38">
        <f>'Athens Daily - Gas'!BI23</f>
        <v>64464</v>
      </c>
      <c r="H15" s="7"/>
      <c r="I15" s="39">
        <f>'Athens Daily - Water'!S20</f>
        <v>177.65</v>
      </c>
      <c r="J15" s="7"/>
      <c r="K15" s="7">
        <v>287</v>
      </c>
      <c r="L15" s="7">
        <v>2</v>
      </c>
    </row>
    <row r="16" spans="1:12">
      <c r="A16" s="7" t="s">
        <v>14</v>
      </c>
      <c r="B16" s="7">
        <v>15</v>
      </c>
      <c r="C16" s="7">
        <v>1</v>
      </c>
      <c r="D16" s="7">
        <v>2021</v>
      </c>
      <c r="E16" s="7">
        <f>'Athens Daily - EL'!AL22</f>
        <v>12290</v>
      </c>
      <c r="F16" s="7"/>
      <c r="G16" s="38">
        <f>'Athens Daily - Gas'!BI24</f>
        <v>62438.400000000001</v>
      </c>
      <c r="H16" s="7"/>
      <c r="I16" s="39">
        <f>'Athens Daily - Water'!S21</f>
        <v>145.69999999999999</v>
      </c>
      <c r="J16" s="7"/>
      <c r="K16" s="7">
        <v>288</v>
      </c>
      <c r="L16" s="7">
        <v>2</v>
      </c>
    </row>
    <row r="17" spans="1:12">
      <c r="A17" s="7" t="s">
        <v>14</v>
      </c>
      <c r="B17" s="7">
        <v>16</v>
      </c>
      <c r="C17" s="7">
        <v>1</v>
      </c>
      <c r="D17" s="7">
        <v>2021</v>
      </c>
      <c r="E17" s="7">
        <f>'Athens Daily - EL'!AL23</f>
        <v>12719</v>
      </c>
      <c r="F17" s="7"/>
      <c r="G17" s="38">
        <f>'Athens Daily - Gas'!BI25</f>
        <v>61603.200000000004</v>
      </c>
      <c r="H17" s="7"/>
      <c r="I17" s="39">
        <f>'Athens Daily - Water'!S22</f>
        <v>177.45</v>
      </c>
      <c r="J17" s="7"/>
      <c r="K17" s="7">
        <v>288</v>
      </c>
      <c r="L17" s="7">
        <v>2</v>
      </c>
    </row>
    <row r="18" spans="1:12">
      <c r="A18" s="7" t="s">
        <v>14</v>
      </c>
      <c r="B18" s="7">
        <v>17</v>
      </c>
      <c r="C18" s="7">
        <v>1</v>
      </c>
      <c r="D18" s="7">
        <v>2021</v>
      </c>
      <c r="E18" s="7">
        <f>'Athens Daily - EL'!AL24</f>
        <v>14184</v>
      </c>
      <c r="F18" s="7"/>
      <c r="G18" s="38">
        <f>'Athens Daily - Gas'!BI26</f>
        <v>64809.600000000006</v>
      </c>
      <c r="H18" s="7"/>
      <c r="I18" s="39">
        <f>'Athens Daily - Water'!S23</f>
        <v>168.60000000000002</v>
      </c>
      <c r="J18" s="7"/>
      <c r="K18" s="7">
        <v>288</v>
      </c>
      <c r="L18" s="7">
        <v>2</v>
      </c>
    </row>
    <row r="19" spans="1:12">
      <c r="A19" s="7" t="s">
        <v>14</v>
      </c>
      <c r="B19" s="7">
        <v>18</v>
      </c>
      <c r="C19" s="7">
        <v>1</v>
      </c>
      <c r="D19" s="7">
        <v>2021</v>
      </c>
      <c r="E19" s="7">
        <f>'Athens Daily - EL'!AL25</f>
        <v>14490</v>
      </c>
      <c r="F19" s="7"/>
      <c r="G19" s="38">
        <f>'Athens Daily - Gas'!BI27</f>
        <v>65424</v>
      </c>
      <c r="H19" s="7"/>
      <c r="I19" s="39">
        <f>'Athens Daily - Water'!S24</f>
        <v>179.05</v>
      </c>
      <c r="J19" s="7"/>
      <c r="K19" s="7">
        <v>291</v>
      </c>
      <c r="L19" s="7">
        <v>2</v>
      </c>
    </row>
    <row r="20" spans="1:12">
      <c r="A20" s="7" t="s">
        <v>14</v>
      </c>
      <c r="B20" s="7">
        <v>19</v>
      </c>
      <c r="C20" s="7">
        <v>1</v>
      </c>
      <c r="D20" s="7">
        <v>2021</v>
      </c>
      <c r="E20" s="7">
        <f>'Athens Daily - EL'!AL26</f>
        <v>15048</v>
      </c>
      <c r="F20" s="7"/>
      <c r="G20" s="38">
        <f>'Athens Daily - Gas'!BI28</f>
        <v>69408</v>
      </c>
      <c r="H20" s="7"/>
      <c r="I20" s="39">
        <f>'Athens Daily - Water'!S25</f>
        <v>182.2</v>
      </c>
      <c r="J20" s="7"/>
      <c r="K20" s="7">
        <v>290</v>
      </c>
      <c r="L20" s="7">
        <v>2</v>
      </c>
    </row>
    <row r="21" spans="1:12">
      <c r="A21" s="7" t="s">
        <v>14</v>
      </c>
      <c r="B21" s="7">
        <v>20</v>
      </c>
      <c r="C21" s="7">
        <v>1</v>
      </c>
      <c r="D21" s="7">
        <v>2021</v>
      </c>
      <c r="E21" s="7">
        <f>'Athens Daily - EL'!AL27</f>
        <v>14653</v>
      </c>
      <c r="F21" s="7"/>
      <c r="G21" s="38">
        <f>'Athens Daily - Gas'!BI29</f>
        <v>61651.200000000004</v>
      </c>
      <c r="H21" s="7"/>
      <c r="I21" s="39">
        <f>'Athens Daily - Water'!S26</f>
        <v>170.3</v>
      </c>
      <c r="J21" s="7"/>
      <c r="K21" s="7">
        <v>292</v>
      </c>
      <c r="L21" s="7">
        <v>2</v>
      </c>
    </row>
    <row r="22" spans="1:12">
      <c r="A22" s="7" t="s">
        <v>14</v>
      </c>
      <c r="B22" s="7">
        <v>21</v>
      </c>
      <c r="C22" s="7">
        <v>1</v>
      </c>
      <c r="D22" s="7">
        <v>2021</v>
      </c>
      <c r="E22" s="7">
        <f>'Athens Daily - EL'!AL28</f>
        <v>14709</v>
      </c>
      <c r="F22" s="7"/>
      <c r="G22" s="38">
        <f>'Athens Daily - Gas'!BI30</f>
        <v>64454.400000000001</v>
      </c>
      <c r="H22" s="7"/>
      <c r="I22" s="39">
        <f>'Athens Daily - Water'!S27</f>
        <v>179.45</v>
      </c>
      <c r="J22" s="7"/>
      <c r="K22" s="7">
        <v>293</v>
      </c>
      <c r="L22" s="7">
        <v>2</v>
      </c>
    </row>
    <row r="23" spans="1:12">
      <c r="A23" s="7" t="s">
        <v>14</v>
      </c>
      <c r="B23" s="7">
        <v>22</v>
      </c>
      <c r="C23" s="7">
        <v>1</v>
      </c>
      <c r="D23" s="7">
        <v>2021</v>
      </c>
      <c r="E23" s="7">
        <f>'Athens Daily - EL'!AL29</f>
        <v>15014</v>
      </c>
      <c r="F23" s="7"/>
      <c r="G23" s="38">
        <f>'Athens Daily - Gas'!BI31</f>
        <v>62467.200000000004</v>
      </c>
      <c r="H23" s="7"/>
      <c r="I23" s="39">
        <f>'Athens Daily - Water'!S28</f>
        <v>227.55</v>
      </c>
      <c r="J23" s="7"/>
      <c r="K23" s="7">
        <v>293</v>
      </c>
      <c r="L23" s="7">
        <v>2</v>
      </c>
    </row>
    <row r="24" spans="1:12">
      <c r="A24" s="7" t="s">
        <v>14</v>
      </c>
      <c r="B24" s="7">
        <v>23</v>
      </c>
      <c r="C24" s="7">
        <v>1</v>
      </c>
      <c r="D24" s="7">
        <v>2021</v>
      </c>
      <c r="E24" s="7">
        <f>'Athens Daily - EL'!AL30</f>
        <v>15457</v>
      </c>
      <c r="F24" s="7"/>
      <c r="G24" s="38">
        <f>'Athens Daily - Gas'!BI32</f>
        <v>64972.800000000003</v>
      </c>
      <c r="H24" s="7"/>
      <c r="I24" s="39">
        <f>'Athens Daily - Water'!S29</f>
        <v>267.85000000000002</v>
      </c>
      <c r="J24" s="7"/>
      <c r="K24" s="7">
        <v>294</v>
      </c>
      <c r="L24" s="7">
        <v>2</v>
      </c>
    </row>
    <row r="25" spans="1:12">
      <c r="A25" s="7" t="s">
        <v>14</v>
      </c>
      <c r="B25" s="7">
        <v>24</v>
      </c>
      <c r="C25" s="7">
        <v>1</v>
      </c>
      <c r="D25" s="7">
        <v>2021</v>
      </c>
      <c r="E25" s="7">
        <f>'Athens Daily - EL'!AL31</f>
        <v>15269</v>
      </c>
      <c r="F25" s="7"/>
      <c r="G25" s="38">
        <f>'Athens Daily - Gas'!BI33</f>
        <v>62016</v>
      </c>
      <c r="H25" s="7"/>
      <c r="I25" s="39">
        <f>'Athens Daily - Water'!S30</f>
        <v>68.850000000000009</v>
      </c>
      <c r="J25" s="7"/>
      <c r="K25" s="7">
        <v>294</v>
      </c>
      <c r="L25" s="7">
        <v>2</v>
      </c>
    </row>
    <row r="26" spans="1:12">
      <c r="A26" s="7" t="s">
        <v>14</v>
      </c>
      <c r="B26" s="7">
        <v>25</v>
      </c>
      <c r="C26" s="7">
        <v>1</v>
      </c>
      <c r="D26" s="7">
        <v>2021</v>
      </c>
      <c r="E26" s="7">
        <f>'Athens Daily - EL'!AL32</f>
        <v>15287</v>
      </c>
      <c r="F26" s="7"/>
      <c r="G26" s="38">
        <f>'Athens Daily - Gas'!BI34</f>
        <v>66729.600000000006</v>
      </c>
      <c r="H26" s="7"/>
      <c r="I26" s="39">
        <f>'Athens Daily - Water'!S31</f>
        <v>186.3</v>
      </c>
      <c r="J26" s="7"/>
      <c r="K26" s="7">
        <v>291</v>
      </c>
      <c r="L26" s="7">
        <v>2</v>
      </c>
    </row>
    <row r="27" spans="1:12">
      <c r="A27" s="7" t="s">
        <v>14</v>
      </c>
      <c r="B27" s="7">
        <v>26</v>
      </c>
      <c r="C27" s="7">
        <v>1</v>
      </c>
      <c r="D27" s="7">
        <v>2021</v>
      </c>
      <c r="E27" s="7">
        <f>'Athens Daily - EL'!AL33</f>
        <v>15365</v>
      </c>
      <c r="F27" s="7"/>
      <c r="G27" s="38">
        <f>'Athens Daily - Gas'!BI35</f>
        <v>66355.200000000012</v>
      </c>
      <c r="H27" s="7"/>
      <c r="I27" s="39">
        <f>'Athens Daily - Water'!S32</f>
        <v>186.60000000000002</v>
      </c>
      <c r="J27" s="7"/>
      <c r="K27" s="7">
        <v>291</v>
      </c>
      <c r="L27" s="7">
        <v>2</v>
      </c>
    </row>
    <row r="28" spans="1:12">
      <c r="A28" s="7" t="s">
        <v>14</v>
      </c>
      <c r="B28" s="7">
        <v>27</v>
      </c>
      <c r="C28" s="7">
        <v>1</v>
      </c>
      <c r="D28" s="7">
        <v>2021</v>
      </c>
      <c r="E28" s="7">
        <f>'Athens Daily - EL'!AL34</f>
        <v>16093</v>
      </c>
      <c r="F28" s="7"/>
      <c r="G28" s="38">
        <f>'Athens Daily - Gas'!BI36</f>
        <v>69110.399999999994</v>
      </c>
      <c r="H28" s="7"/>
      <c r="I28" s="39">
        <f>'Athens Daily - Water'!S33</f>
        <v>187.45</v>
      </c>
      <c r="J28" s="7"/>
      <c r="K28" s="7">
        <v>288</v>
      </c>
      <c r="L28" s="7">
        <v>2</v>
      </c>
    </row>
    <row r="29" spans="1:12">
      <c r="A29" s="7" t="s">
        <v>14</v>
      </c>
      <c r="B29" s="7">
        <v>28</v>
      </c>
      <c r="C29" s="7">
        <v>1</v>
      </c>
      <c r="D29" s="7">
        <v>2021</v>
      </c>
      <c r="E29" s="7">
        <f>'Athens Daily - EL'!AL35</f>
        <v>15570</v>
      </c>
      <c r="F29" s="7"/>
      <c r="G29" s="38">
        <f>'Athens Daily - Gas'!BI37</f>
        <v>63763.200000000004</v>
      </c>
      <c r="H29" s="7"/>
      <c r="I29" s="39">
        <f>'Athens Daily - Water'!S34</f>
        <v>195.65</v>
      </c>
      <c r="J29" s="7"/>
      <c r="K29" s="7">
        <v>290</v>
      </c>
      <c r="L29" s="7">
        <v>2</v>
      </c>
    </row>
    <row r="30" spans="1:12">
      <c r="A30" s="7" t="s">
        <v>14</v>
      </c>
      <c r="B30" s="7">
        <v>29</v>
      </c>
      <c r="C30" s="7">
        <v>1</v>
      </c>
      <c r="D30" s="7">
        <v>2021</v>
      </c>
      <c r="E30" s="7">
        <f>'Athens Daily - EL'!AL36</f>
        <v>16522</v>
      </c>
      <c r="F30" s="7"/>
      <c r="G30" s="38">
        <f>'Athens Daily - Gas'!BI38</f>
        <v>66211.200000000012</v>
      </c>
      <c r="H30" s="7"/>
      <c r="I30" s="39">
        <f>'Athens Daily - Water'!S36</f>
        <v>175.35000000000002</v>
      </c>
      <c r="J30" s="7"/>
      <c r="K30" s="7">
        <v>291</v>
      </c>
      <c r="L30" s="7">
        <v>2</v>
      </c>
    </row>
    <row r="31" spans="1:12">
      <c r="A31" s="7" t="s">
        <v>14</v>
      </c>
      <c r="B31" s="7">
        <v>30</v>
      </c>
      <c r="C31" s="7">
        <v>1</v>
      </c>
      <c r="D31" s="7">
        <v>2021</v>
      </c>
      <c r="E31" s="7">
        <f>'Athens Daily - EL'!AL37</f>
        <v>15755</v>
      </c>
      <c r="F31" s="7"/>
      <c r="G31" s="38" t="e">
        <f>'Athens Daily - Gas'!#REF!</f>
        <v>#REF!</v>
      </c>
      <c r="H31" s="7"/>
      <c r="I31" s="39">
        <f>'Athens Daily - Water'!S37</f>
        <v>0</v>
      </c>
      <c r="J31" s="7"/>
      <c r="K31" s="7">
        <v>290</v>
      </c>
      <c r="L31" s="7">
        <v>2</v>
      </c>
    </row>
    <row r="32" spans="1:12">
      <c r="A32" s="7" t="s">
        <v>14</v>
      </c>
      <c r="B32" s="7">
        <v>31</v>
      </c>
      <c r="C32" s="7">
        <v>1</v>
      </c>
      <c r="D32" s="7">
        <v>2021</v>
      </c>
      <c r="E32" s="7" t="e">
        <f>'Athens Daily - EL'!#REF!</f>
        <v>#REF!</v>
      </c>
      <c r="F32" s="7"/>
      <c r="G32" s="38">
        <f>'Athens Daily - Gas'!BI39</f>
        <v>0</v>
      </c>
      <c r="H32" s="7"/>
      <c r="I32" s="39">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8"/>
  <sheetViews>
    <sheetView topLeftCell="A2" zoomScale="70" zoomScaleNormal="70" workbookViewId="0">
      <pane xSplit="2" ySplit="5" topLeftCell="U7" activePane="bottomRight" state="frozen"/>
      <selection pane="topRight" activeCell="C2" sqref="C2"/>
      <selection pane="bottomLeft" activeCell="A7" sqref="A7"/>
      <selection pane="bottomRight" activeCell="AA17" sqref="AA1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89"/>
      <c r="B1" s="189"/>
      <c r="C1" s="214" t="s">
        <v>65</v>
      </c>
      <c r="D1" s="214"/>
      <c r="E1" s="214" t="s">
        <v>65</v>
      </c>
      <c r="F1" s="214"/>
      <c r="G1" s="214" t="s">
        <v>65</v>
      </c>
      <c r="H1" s="214"/>
      <c r="I1" s="189"/>
      <c r="J1" s="214" t="s">
        <v>65</v>
      </c>
      <c r="K1" s="214"/>
      <c r="L1" s="214" t="s">
        <v>65</v>
      </c>
      <c r="M1" s="214"/>
      <c r="N1" s="200" t="s">
        <v>66</v>
      </c>
      <c r="O1" s="201"/>
      <c r="P1" s="202"/>
      <c r="Q1" s="200" t="s">
        <v>66</v>
      </c>
      <c r="R1" s="201"/>
      <c r="S1" s="202"/>
      <c r="T1" s="200" t="s">
        <v>66</v>
      </c>
      <c r="U1" s="201"/>
      <c r="V1" s="202"/>
      <c r="W1" s="200" t="s">
        <v>66</v>
      </c>
      <c r="X1" s="201"/>
      <c r="Y1" s="202"/>
      <c r="Z1" s="214" t="s">
        <v>67</v>
      </c>
      <c r="AA1" s="214"/>
      <c r="AB1" s="214" t="s">
        <v>67</v>
      </c>
      <c r="AC1" s="214"/>
      <c r="AD1" s="214" t="s">
        <v>67</v>
      </c>
      <c r="AE1" s="214"/>
      <c r="AF1" s="214" t="s">
        <v>67</v>
      </c>
      <c r="AG1" s="214"/>
      <c r="AH1" s="214" t="s">
        <v>67</v>
      </c>
      <c r="AI1" s="214"/>
    </row>
    <row r="2" spans="1:45" s="113" customFormat="1" ht="113.25" customHeight="1">
      <c r="A2" s="13"/>
      <c r="B2" s="14"/>
      <c r="C2" s="213" t="s">
        <v>68</v>
      </c>
      <c r="D2" s="213"/>
      <c r="E2" s="213" t="s">
        <v>69</v>
      </c>
      <c r="F2" s="213"/>
      <c r="G2" s="203" t="s">
        <v>70</v>
      </c>
      <c r="H2" s="204"/>
      <c r="I2" s="205"/>
      <c r="J2" s="213" t="s">
        <v>71</v>
      </c>
      <c r="K2" s="213"/>
      <c r="L2" s="213" t="s">
        <v>72</v>
      </c>
      <c r="M2" s="213"/>
      <c r="N2" s="203" t="s">
        <v>73</v>
      </c>
      <c r="O2" s="204"/>
      <c r="P2" s="205"/>
      <c r="Q2" s="203" t="s">
        <v>74</v>
      </c>
      <c r="R2" s="204"/>
      <c r="S2" s="205"/>
      <c r="T2" s="203" t="s">
        <v>75</v>
      </c>
      <c r="U2" s="204"/>
      <c r="V2" s="205"/>
      <c r="W2" s="203" t="s">
        <v>76</v>
      </c>
      <c r="X2" s="204"/>
      <c r="Y2" s="205"/>
      <c r="Z2" s="213" t="s">
        <v>77</v>
      </c>
      <c r="AA2" s="213"/>
      <c r="AB2" s="213" t="s">
        <v>78</v>
      </c>
      <c r="AC2" s="213"/>
      <c r="AD2" s="213" t="s">
        <v>79</v>
      </c>
      <c r="AE2" s="213"/>
      <c r="AF2" s="213" t="s">
        <v>78</v>
      </c>
      <c r="AG2" s="213"/>
      <c r="AH2" s="213" t="s">
        <v>80</v>
      </c>
      <c r="AI2" s="213"/>
    </row>
    <row r="3" spans="1:45" s="24" customFormat="1" ht="30" customHeight="1">
      <c r="A3" s="188"/>
      <c r="B3" s="48"/>
      <c r="C3" s="206">
        <v>5065546</v>
      </c>
      <c r="D3" s="208"/>
      <c r="E3" s="206">
        <v>5065547</v>
      </c>
      <c r="F3" s="208"/>
      <c r="G3" s="206">
        <v>5008272</v>
      </c>
      <c r="H3" s="207"/>
      <c r="I3" s="208"/>
      <c r="J3" s="206">
        <v>5065548</v>
      </c>
      <c r="K3" s="208"/>
      <c r="L3" s="206">
        <v>5465545</v>
      </c>
      <c r="M3" s="208"/>
      <c r="N3" s="206">
        <v>5008273</v>
      </c>
      <c r="O3" s="207"/>
      <c r="P3" s="208"/>
      <c r="Q3" s="206">
        <v>5018351</v>
      </c>
      <c r="R3" s="207"/>
      <c r="S3" s="208"/>
      <c r="T3" s="206">
        <v>5018354</v>
      </c>
      <c r="U3" s="207"/>
      <c r="V3" s="208"/>
      <c r="W3" s="206">
        <v>5018350</v>
      </c>
      <c r="X3" s="207"/>
      <c r="Y3" s="208"/>
      <c r="Z3" s="206">
        <v>5065543</v>
      </c>
      <c r="AA3" s="208"/>
      <c r="AB3" s="206">
        <v>5065544</v>
      </c>
      <c r="AC3" s="208"/>
      <c r="AD3" s="206">
        <v>5065541</v>
      </c>
      <c r="AE3" s="208"/>
      <c r="AF3" s="206">
        <v>5065542</v>
      </c>
      <c r="AG3" s="208"/>
      <c r="AH3" s="206">
        <v>5065540</v>
      </c>
      <c r="AI3" s="208"/>
      <c r="AK3" s="215" t="s">
        <v>81</v>
      </c>
      <c r="AL3" s="215"/>
    </row>
    <row r="4" spans="1:45" s="23" customFormat="1" ht="30" customHeight="1">
      <c r="A4" s="188"/>
      <c r="B4" s="191"/>
      <c r="C4" s="209" t="s">
        <v>82</v>
      </c>
      <c r="D4" s="211"/>
      <c r="E4" s="209" t="s">
        <v>83</v>
      </c>
      <c r="F4" s="211"/>
      <c r="G4" s="209" t="s">
        <v>84</v>
      </c>
      <c r="H4" s="210"/>
      <c r="I4" s="211"/>
      <c r="J4" s="209" t="s">
        <v>85</v>
      </c>
      <c r="K4" s="211"/>
      <c r="L4" s="209" t="s">
        <v>86</v>
      </c>
      <c r="M4" s="211"/>
      <c r="N4" s="209" t="s">
        <v>87</v>
      </c>
      <c r="O4" s="210"/>
      <c r="P4" s="211"/>
      <c r="Q4" s="209" t="s">
        <v>88</v>
      </c>
      <c r="R4" s="210"/>
      <c r="S4" s="211"/>
      <c r="T4" s="209" t="s">
        <v>89</v>
      </c>
      <c r="U4" s="210"/>
      <c r="V4" s="211"/>
      <c r="W4" s="209" t="s">
        <v>90</v>
      </c>
      <c r="X4" s="210"/>
      <c r="Y4" s="211"/>
      <c r="Z4" s="209" t="s">
        <v>91</v>
      </c>
      <c r="AA4" s="211"/>
      <c r="AB4" s="209" t="s">
        <v>92</v>
      </c>
      <c r="AC4" s="211"/>
      <c r="AD4" s="209" t="s">
        <v>93</v>
      </c>
      <c r="AE4" s="211"/>
      <c r="AF4" s="209" t="s">
        <v>94</v>
      </c>
      <c r="AG4" s="211"/>
      <c r="AH4" s="209" t="s">
        <v>95</v>
      </c>
      <c r="AI4" s="211"/>
      <c r="AK4" s="215"/>
      <c r="AL4" s="215"/>
    </row>
    <row r="5" spans="1:45" s="8" customFormat="1" ht="30" customHeight="1">
      <c r="A5" s="188" t="s">
        <v>96</v>
      </c>
      <c r="B5" s="49"/>
      <c r="C5" s="198" t="s">
        <v>97</v>
      </c>
      <c r="D5" s="199"/>
      <c r="E5" s="198" t="s">
        <v>97</v>
      </c>
      <c r="F5" s="199"/>
      <c r="G5" s="198" t="s">
        <v>97</v>
      </c>
      <c r="H5" s="212"/>
      <c r="I5" s="199"/>
      <c r="J5" s="49" t="s">
        <v>97</v>
      </c>
      <c r="K5" s="49"/>
      <c r="L5" s="198" t="s">
        <v>97</v>
      </c>
      <c r="M5" s="199"/>
      <c r="N5" s="198" t="s">
        <v>97</v>
      </c>
      <c r="O5" s="212"/>
      <c r="P5" s="199"/>
      <c r="Q5" s="198" t="s">
        <v>98</v>
      </c>
      <c r="R5" s="212"/>
      <c r="S5" s="199"/>
      <c r="T5" s="198" t="s">
        <v>98</v>
      </c>
      <c r="U5" s="212"/>
      <c r="V5" s="199"/>
      <c r="W5" s="198" t="s">
        <v>98</v>
      </c>
      <c r="X5" s="212"/>
      <c r="Y5" s="199"/>
      <c r="Z5" s="198" t="s">
        <v>97</v>
      </c>
      <c r="AA5" s="199"/>
      <c r="AB5" s="198" t="s">
        <v>97</v>
      </c>
      <c r="AC5" s="199"/>
      <c r="AD5" s="198" t="s">
        <v>97</v>
      </c>
      <c r="AE5" s="199"/>
      <c r="AF5" s="198" t="s">
        <v>97</v>
      </c>
      <c r="AG5" s="199"/>
      <c r="AH5" s="198" t="s">
        <v>97</v>
      </c>
      <c r="AI5" s="199"/>
    </row>
    <row r="6" spans="1:45" s="10" customFormat="1" ht="50.1" customHeight="1">
      <c r="A6" s="188" t="s">
        <v>99</v>
      </c>
      <c r="B6" s="188"/>
      <c r="C6" s="188" t="s">
        <v>100</v>
      </c>
      <c r="D6" s="188" t="s">
        <v>101</v>
      </c>
      <c r="E6" s="188" t="s">
        <v>100</v>
      </c>
      <c r="F6" s="188" t="s">
        <v>101</v>
      </c>
      <c r="G6" s="188" t="s">
        <v>100</v>
      </c>
      <c r="H6" s="188" t="s">
        <v>101</v>
      </c>
      <c r="I6" s="188" t="s">
        <v>102</v>
      </c>
      <c r="J6" s="188" t="s">
        <v>100</v>
      </c>
      <c r="K6" s="188" t="s">
        <v>101</v>
      </c>
      <c r="L6" s="188" t="s">
        <v>100</v>
      </c>
      <c r="M6" s="188" t="s">
        <v>101</v>
      </c>
      <c r="N6" s="188" t="s">
        <v>100</v>
      </c>
      <c r="O6" s="188" t="s">
        <v>101</v>
      </c>
      <c r="P6" s="188" t="s">
        <v>102</v>
      </c>
      <c r="Q6" s="188" t="s">
        <v>100</v>
      </c>
      <c r="R6" s="188" t="s">
        <v>101</v>
      </c>
      <c r="S6" s="188" t="s">
        <v>102</v>
      </c>
      <c r="T6" s="188" t="s">
        <v>100</v>
      </c>
      <c r="U6" s="188" t="s">
        <v>101</v>
      </c>
      <c r="V6" s="188" t="s">
        <v>102</v>
      </c>
      <c r="W6" s="188" t="s">
        <v>100</v>
      </c>
      <c r="X6" s="188" t="s">
        <v>101</v>
      </c>
      <c r="Y6" s="188" t="s">
        <v>102</v>
      </c>
      <c r="Z6" s="188" t="s">
        <v>100</v>
      </c>
      <c r="AA6" s="188" t="s">
        <v>101</v>
      </c>
      <c r="AB6" s="188" t="s">
        <v>100</v>
      </c>
      <c r="AC6" s="188" t="s">
        <v>101</v>
      </c>
      <c r="AD6" s="188" t="s">
        <v>100</v>
      </c>
      <c r="AE6" s="188" t="s">
        <v>101</v>
      </c>
      <c r="AF6" s="188" t="s">
        <v>100</v>
      </c>
      <c r="AG6" s="188" t="s">
        <v>101</v>
      </c>
      <c r="AH6" s="188" t="s">
        <v>100</v>
      </c>
      <c r="AI6" s="188" t="s">
        <v>101</v>
      </c>
      <c r="AK6" s="188" t="s">
        <v>65</v>
      </c>
      <c r="AL6" s="188" t="s">
        <v>67</v>
      </c>
    </row>
    <row r="7" spans="1:45" ht="39.950000000000003" customHeight="1">
      <c r="A7" s="185">
        <v>44712</v>
      </c>
      <c r="B7" s="16"/>
      <c r="C7" s="186">
        <v>258826</v>
      </c>
      <c r="D7" s="17"/>
      <c r="E7" s="186">
        <v>436059</v>
      </c>
      <c r="F7" s="17"/>
      <c r="G7" s="186">
        <v>148472</v>
      </c>
      <c r="H7" s="17"/>
      <c r="I7" s="17">
        <f t="shared" ref="I7" si="0">H7*50%</f>
        <v>0</v>
      </c>
      <c r="J7" s="186">
        <v>379822</v>
      </c>
      <c r="K7" s="17"/>
      <c r="L7" s="186">
        <v>600934</v>
      </c>
      <c r="M7" s="17"/>
      <c r="N7" s="186">
        <v>293736</v>
      </c>
      <c r="O7" s="17"/>
      <c r="P7" s="17">
        <f t="shared" ref="P7" si="1">O7*50%</f>
        <v>0</v>
      </c>
      <c r="Q7" s="186">
        <v>374540</v>
      </c>
      <c r="R7" s="17"/>
      <c r="S7" s="17">
        <f t="shared" ref="S7" si="2">R7*50%</f>
        <v>0</v>
      </c>
      <c r="T7" s="186">
        <v>178440</v>
      </c>
      <c r="U7" s="17"/>
      <c r="V7" s="17">
        <f t="shared" ref="V7" si="3">U7*50%</f>
        <v>0</v>
      </c>
      <c r="W7" s="186">
        <v>256950</v>
      </c>
      <c r="X7" s="17"/>
      <c r="Y7" s="17">
        <f t="shared" ref="Y7" si="4">X7*50%</f>
        <v>0</v>
      </c>
      <c r="Z7" s="186">
        <v>72795</v>
      </c>
      <c r="AA7" s="17"/>
      <c r="AB7" s="186">
        <v>138902</v>
      </c>
      <c r="AC7" s="17"/>
      <c r="AD7" s="186">
        <v>249883</v>
      </c>
      <c r="AE7" s="17"/>
      <c r="AF7" s="186">
        <v>127940</v>
      </c>
      <c r="AG7" s="17"/>
      <c r="AH7" s="186">
        <v>671614</v>
      </c>
      <c r="AI7" s="17"/>
      <c r="AJ7" s="19"/>
      <c r="AK7" s="96"/>
      <c r="AL7" s="97"/>
      <c r="AM7" s="19"/>
      <c r="AN7" s="19"/>
      <c r="AO7" s="19"/>
      <c r="AP7" s="19"/>
      <c r="AQ7" s="19"/>
      <c r="AR7" s="19"/>
      <c r="AS7" s="19"/>
    </row>
    <row r="8" spans="1:45" s="2" customFormat="1" ht="39.950000000000003" customHeight="1">
      <c r="A8" s="185">
        <v>44713</v>
      </c>
      <c r="B8" s="15"/>
      <c r="C8" s="186">
        <v>259244</v>
      </c>
      <c r="D8" s="17">
        <f t="shared" ref="D8:D37" si="5">(C8-C7)*10</f>
        <v>4180</v>
      </c>
      <c r="E8" s="186">
        <v>436816</v>
      </c>
      <c r="F8" s="17">
        <f>(E8-E7)*10</f>
        <v>7570</v>
      </c>
      <c r="G8" s="186">
        <v>149945</v>
      </c>
      <c r="H8" s="17">
        <f>(G8-G7)*10</f>
        <v>14730</v>
      </c>
      <c r="I8" s="17">
        <f>H8*50%</f>
        <v>7365</v>
      </c>
      <c r="J8" s="186">
        <v>380418</v>
      </c>
      <c r="K8" s="17">
        <f>(J8-J7)*10</f>
        <v>5960</v>
      </c>
      <c r="L8" s="186">
        <v>601933</v>
      </c>
      <c r="M8" s="17">
        <f>(L8-L7)*10</f>
        <v>9990</v>
      </c>
      <c r="N8" s="186">
        <v>295302</v>
      </c>
      <c r="O8" s="17">
        <f t="shared" ref="O8:O37" si="6">(N8-N7)*10</f>
        <v>15660</v>
      </c>
      <c r="P8" s="17">
        <f>O8*50%</f>
        <v>7830</v>
      </c>
      <c r="Q8" s="186">
        <v>374715</v>
      </c>
      <c r="R8" s="17">
        <f t="shared" ref="R8:R37" si="7">(Q8-Q7)*10</f>
        <v>1750</v>
      </c>
      <c r="S8" s="17">
        <f>R8*50%</f>
        <v>875</v>
      </c>
      <c r="T8" s="186">
        <v>179189</v>
      </c>
      <c r="U8" s="17">
        <f>(T8-T7)*10</f>
        <v>7490</v>
      </c>
      <c r="V8" s="17">
        <f>U8*50%</f>
        <v>3745</v>
      </c>
      <c r="W8" s="186">
        <v>256996</v>
      </c>
      <c r="X8" s="17">
        <f>(W8-W7)*10</f>
        <v>460</v>
      </c>
      <c r="Y8" s="17">
        <f>X8*50%</f>
        <v>230</v>
      </c>
      <c r="Z8" s="186">
        <v>72907</v>
      </c>
      <c r="AA8" s="17">
        <f>Z8-Z7</f>
        <v>112</v>
      </c>
      <c r="AB8" s="186">
        <v>139120</v>
      </c>
      <c r="AC8" s="17">
        <f>AB8-AB7</f>
        <v>218</v>
      </c>
      <c r="AD8" s="186">
        <v>250282</v>
      </c>
      <c r="AE8" s="17">
        <f>AD8-AD7</f>
        <v>399</v>
      </c>
      <c r="AF8" s="186">
        <v>128125</v>
      </c>
      <c r="AG8" s="17">
        <f>AF8-AF7</f>
        <v>185</v>
      </c>
      <c r="AH8" s="186">
        <v>672637</v>
      </c>
      <c r="AI8" s="17">
        <f>AH8-AH7</f>
        <v>1023</v>
      </c>
      <c r="AK8" s="96">
        <f>SUM(D8,F8,I8,K8,M8,P8,S8,V8,Y8)</f>
        <v>47745</v>
      </c>
      <c r="AL8" s="97">
        <f>SUM(P8,S8,V8,Y8,AA8,AC8,AE8,AG8,AI8)</f>
        <v>14617</v>
      </c>
    </row>
    <row r="9" spans="1:45" ht="39.950000000000003" customHeight="1">
      <c r="A9" s="185">
        <f>SUM(A8+1)</f>
        <v>44714</v>
      </c>
      <c r="B9" s="16"/>
      <c r="C9" s="187">
        <v>259662</v>
      </c>
      <c r="D9" s="17">
        <f t="shared" si="5"/>
        <v>4180</v>
      </c>
      <c r="E9" s="187">
        <v>437579</v>
      </c>
      <c r="F9" s="17">
        <f t="shared" ref="F9:F25" si="8">(E9-E8)*10</f>
        <v>7630</v>
      </c>
      <c r="G9" s="187">
        <v>151450</v>
      </c>
      <c r="H9" s="17">
        <f t="shared" ref="H9:H37" si="9">(G9-G8)*10</f>
        <v>15050</v>
      </c>
      <c r="I9" s="17">
        <f t="shared" ref="I9:I37" si="10">H9*50%</f>
        <v>7525</v>
      </c>
      <c r="J9" s="187">
        <v>381026</v>
      </c>
      <c r="K9" s="17">
        <f t="shared" ref="K9:K37" si="11">(J9-J8)*10</f>
        <v>6080</v>
      </c>
      <c r="L9" s="187">
        <v>602956</v>
      </c>
      <c r="M9" s="17">
        <f t="shared" ref="M9:M37" si="12">(L9-L8)*10</f>
        <v>10230</v>
      </c>
      <c r="N9" s="187">
        <v>296660</v>
      </c>
      <c r="O9" s="17">
        <f t="shared" si="6"/>
        <v>13580</v>
      </c>
      <c r="P9" s="17">
        <f t="shared" ref="P9:P37" si="13">O9*50%</f>
        <v>6790</v>
      </c>
      <c r="Q9" s="187">
        <v>375445</v>
      </c>
      <c r="R9" s="17">
        <f t="shared" si="7"/>
        <v>7300</v>
      </c>
      <c r="S9" s="17">
        <f t="shared" ref="S9:S37" si="14">R9*50%</f>
        <v>3650</v>
      </c>
      <c r="T9" s="187">
        <v>179706</v>
      </c>
      <c r="U9" s="17">
        <f t="shared" ref="U9:U37" si="15">(T9-T8)*10</f>
        <v>5170</v>
      </c>
      <c r="V9" s="17">
        <f t="shared" ref="V9:V37" si="16">U9*50%</f>
        <v>2585</v>
      </c>
      <c r="W9" s="187">
        <v>257041</v>
      </c>
      <c r="X9" s="17">
        <f t="shared" ref="X9:X37" si="17">(W9-W8)*10</f>
        <v>450</v>
      </c>
      <c r="Y9" s="17">
        <f t="shared" ref="Y9:Y37" si="18">X9*50%</f>
        <v>225</v>
      </c>
      <c r="Z9" s="187">
        <v>73018</v>
      </c>
      <c r="AA9" s="17">
        <f t="shared" ref="AA9:AA37" si="19">Z9-Z8</f>
        <v>111</v>
      </c>
      <c r="AB9" s="187">
        <v>139332</v>
      </c>
      <c r="AC9" s="17">
        <f t="shared" ref="AC9:AC37" si="20">AB9-AB8</f>
        <v>212</v>
      </c>
      <c r="AD9" s="187">
        <v>250654</v>
      </c>
      <c r="AE9" s="17">
        <f t="shared" ref="AE9:AE37" si="21">AD9-AD8</f>
        <v>372</v>
      </c>
      <c r="AF9" s="187">
        <v>128296</v>
      </c>
      <c r="AG9" s="17">
        <f t="shared" ref="AG9:AG37" si="22">AF9-AF8</f>
        <v>171</v>
      </c>
      <c r="AH9" s="187">
        <v>673596</v>
      </c>
      <c r="AI9" s="17">
        <f t="shared" ref="AI9:AI37" si="23">AH9-AH8</f>
        <v>959</v>
      </c>
      <c r="AK9" s="96">
        <f t="shared" ref="AK9:AK37" si="24">SUM(D9,F9,I9,K9,M9,P9,S9,V9,Y9)</f>
        <v>48895</v>
      </c>
      <c r="AL9" s="97">
        <f t="shared" ref="AL9:AL37" si="25">SUM(P9,S9,V9,Y9,AA9,AC9,AE9,AG9,AI9)</f>
        <v>15075</v>
      </c>
    </row>
    <row r="10" spans="1:45" ht="39.950000000000003" customHeight="1">
      <c r="A10" s="185">
        <f t="shared" ref="A10:A37" si="26">SUM(A9+1)</f>
        <v>44715</v>
      </c>
      <c r="B10" s="16"/>
      <c r="C10" s="187">
        <v>260123</v>
      </c>
      <c r="D10" s="17">
        <f t="shared" si="5"/>
        <v>4610</v>
      </c>
      <c r="E10" s="187">
        <v>438402</v>
      </c>
      <c r="F10" s="17">
        <f t="shared" si="8"/>
        <v>8230</v>
      </c>
      <c r="G10" s="187">
        <v>153006</v>
      </c>
      <c r="H10" s="17">
        <f t="shared" si="9"/>
        <v>15560</v>
      </c>
      <c r="I10" s="17">
        <f t="shared" si="10"/>
        <v>7780</v>
      </c>
      <c r="J10" s="187">
        <v>381629</v>
      </c>
      <c r="K10" s="17">
        <f t="shared" si="11"/>
        <v>6030</v>
      </c>
      <c r="L10" s="187">
        <v>604035</v>
      </c>
      <c r="M10" s="17">
        <f t="shared" si="12"/>
        <v>10790</v>
      </c>
      <c r="N10" s="187">
        <v>297269</v>
      </c>
      <c r="O10" s="17">
        <f t="shared" si="6"/>
        <v>6090</v>
      </c>
      <c r="P10" s="17">
        <f t="shared" si="13"/>
        <v>3045</v>
      </c>
      <c r="Q10" s="187">
        <v>376621</v>
      </c>
      <c r="R10" s="17">
        <f t="shared" si="7"/>
        <v>11760</v>
      </c>
      <c r="S10" s="17">
        <f t="shared" si="14"/>
        <v>5880</v>
      </c>
      <c r="T10" s="187">
        <v>180517</v>
      </c>
      <c r="U10" s="17">
        <f t="shared" si="15"/>
        <v>8110</v>
      </c>
      <c r="V10" s="17">
        <f t="shared" si="16"/>
        <v>4055</v>
      </c>
      <c r="W10" s="187">
        <v>257089</v>
      </c>
      <c r="X10" s="17">
        <f t="shared" si="17"/>
        <v>480</v>
      </c>
      <c r="Y10" s="17">
        <f t="shared" si="18"/>
        <v>240</v>
      </c>
      <c r="Z10" s="187">
        <v>73131</v>
      </c>
      <c r="AA10" s="17">
        <f t="shared" si="19"/>
        <v>113</v>
      </c>
      <c r="AB10" s="187">
        <v>139543</v>
      </c>
      <c r="AC10" s="17">
        <f t="shared" si="20"/>
        <v>211</v>
      </c>
      <c r="AD10" s="187">
        <v>251020</v>
      </c>
      <c r="AE10" s="17">
        <f t="shared" si="21"/>
        <v>366</v>
      </c>
      <c r="AF10" s="187">
        <v>128473</v>
      </c>
      <c r="AG10" s="17">
        <f t="shared" si="22"/>
        <v>177</v>
      </c>
      <c r="AH10" s="187">
        <v>674583</v>
      </c>
      <c r="AI10" s="17">
        <f t="shared" si="23"/>
        <v>987</v>
      </c>
      <c r="AK10" s="96">
        <f t="shared" si="24"/>
        <v>50660</v>
      </c>
      <c r="AL10" s="97">
        <f t="shared" si="25"/>
        <v>15074</v>
      </c>
    </row>
    <row r="11" spans="1:45" ht="39.950000000000003" customHeight="1">
      <c r="A11" s="185">
        <f t="shared" si="26"/>
        <v>44716</v>
      </c>
      <c r="B11" s="16"/>
      <c r="C11" s="187">
        <v>260576</v>
      </c>
      <c r="D11" s="17">
        <f t="shared" si="5"/>
        <v>4530</v>
      </c>
      <c r="E11" s="187">
        <v>439242</v>
      </c>
      <c r="F11" s="17">
        <f t="shared" si="8"/>
        <v>8400</v>
      </c>
      <c r="G11" s="187">
        <v>154639</v>
      </c>
      <c r="H11" s="17">
        <f t="shared" si="9"/>
        <v>16330</v>
      </c>
      <c r="I11" s="17">
        <f t="shared" si="10"/>
        <v>8165</v>
      </c>
      <c r="J11" s="187">
        <v>382237</v>
      </c>
      <c r="K11" s="17">
        <f t="shared" si="11"/>
        <v>6080</v>
      </c>
      <c r="L11" s="187">
        <v>605073</v>
      </c>
      <c r="M11" s="17">
        <f t="shared" si="12"/>
        <v>10380</v>
      </c>
      <c r="N11" s="187">
        <v>298040</v>
      </c>
      <c r="O11" s="17">
        <f t="shared" si="6"/>
        <v>7710</v>
      </c>
      <c r="P11" s="17">
        <f t="shared" si="13"/>
        <v>3855</v>
      </c>
      <c r="Q11" s="187">
        <v>377751</v>
      </c>
      <c r="R11" s="17">
        <f t="shared" si="7"/>
        <v>11300</v>
      </c>
      <c r="S11" s="17">
        <f t="shared" si="14"/>
        <v>5650</v>
      </c>
      <c r="T11" s="187">
        <v>181291</v>
      </c>
      <c r="U11" s="17">
        <f t="shared" si="15"/>
        <v>7740</v>
      </c>
      <c r="V11" s="17">
        <f t="shared" si="16"/>
        <v>3870</v>
      </c>
      <c r="W11" s="187">
        <v>257142</v>
      </c>
      <c r="X11" s="17">
        <f t="shared" si="17"/>
        <v>530</v>
      </c>
      <c r="Y11" s="17">
        <f t="shared" si="18"/>
        <v>265</v>
      </c>
      <c r="Z11" s="187">
        <v>73250</v>
      </c>
      <c r="AA11" s="17">
        <f t="shared" si="19"/>
        <v>119</v>
      </c>
      <c r="AB11" s="187">
        <v>139741</v>
      </c>
      <c r="AC11" s="17">
        <f t="shared" si="20"/>
        <v>198</v>
      </c>
      <c r="AD11" s="187">
        <v>251389</v>
      </c>
      <c r="AE11" s="17">
        <f t="shared" si="21"/>
        <v>369</v>
      </c>
      <c r="AF11" s="187">
        <v>128645</v>
      </c>
      <c r="AG11" s="17">
        <f t="shared" si="22"/>
        <v>172</v>
      </c>
      <c r="AH11" s="187">
        <v>675528</v>
      </c>
      <c r="AI11" s="17">
        <f t="shared" si="23"/>
        <v>945</v>
      </c>
      <c r="AK11" s="96">
        <f t="shared" si="24"/>
        <v>51195</v>
      </c>
      <c r="AL11" s="97">
        <f t="shared" si="25"/>
        <v>15443</v>
      </c>
    </row>
    <row r="12" spans="1:45" ht="39.950000000000003" customHeight="1">
      <c r="A12" s="185">
        <f t="shared" si="26"/>
        <v>44717</v>
      </c>
      <c r="B12" s="16"/>
      <c r="C12" s="187">
        <v>261033</v>
      </c>
      <c r="D12" s="17">
        <f t="shared" si="5"/>
        <v>4570</v>
      </c>
      <c r="E12" s="187">
        <v>440056</v>
      </c>
      <c r="F12" s="17">
        <f t="shared" si="8"/>
        <v>8140</v>
      </c>
      <c r="G12" s="187">
        <v>155942</v>
      </c>
      <c r="H12" s="17">
        <f t="shared" si="9"/>
        <v>13030</v>
      </c>
      <c r="I12" s="17">
        <f t="shared" si="10"/>
        <v>6515</v>
      </c>
      <c r="J12" s="187">
        <v>382893</v>
      </c>
      <c r="K12" s="17">
        <f t="shared" si="11"/>
        <v>6560</v>
      </c>
      <c r="L12" s="187">
        <v>606127</v>
      </c>
      <c r="M12" s="17">
        <f t="shared" si="12"/>
        <v>10540</v>
      </c>
      <c r="N12" s="187">
        <v>298808</v>
      </c>
      <c r="O12" s="17">
        <f t="shared" si="6"/>
        <v>7680</v>
      </c>
      <c r="P12" s="17">
        <f t="shared" si="13"/>
        <v>3840</v>
      </c>
      <c r="Q12" s="187">
        <v>378916</v>
      </c>
      <c r="R12" s="17">
        <f t="shared" si="7"/>
        <v>11650</v>
      </c>
      <c r="S12" s="17">
        <f t="shared" si="14"/>
        <v>5825</v>
      </c>
      <c r="T12" s="187">
        <v>182428</v>
      </c>
      <c r="U12" s="17">
        <f t="shared" si="15"/>
        <v>11370</v>
      </c>
      <c r="V12" s="17">
        <f t="shared" si="16"/>
        <v>5685</v>
      </c>
      <c r="W12" s="187">
        <v>257204</v>
      </c>
      <c r="X12" s="17">
        <f t="shared" si="17"/>
        <v>620</v>
      </c>
      <c r="Y12" s="17">
        <f t="shared" si="18"/>
        <v>310</v>
      </c>
      <c r="Z12" s="187">
        <v>73374</v>
      </c>
      <c r="AA12" s="17">
        <f t="shared" si="19"/>
        <v>124</v>
      </c>
      <c r="AB12" s="187">
        <v>139952</v>
      </c>
      <c r="AC12" s="17">
        <f t="shared" si="20"/>
        <v>211</v>
      </c>
      <c r="AD12" s="187">
        <v>251774</v>
      </c>
      <c r="AE12" s="17">
        <f t="shared" si="21"/>
        <v>385</v>
      </c>
      <c r="AF12" s="187">
        <v>128826</v>
      </c>
      <c r="AG12" s="17">
        <f t="shared" si="22"/>
        <v>181</v>
      </c>
      <c r="AH12" s="187">
        <v>676516</v>
      </c>
      <c r="AI12" s="17">
        <f t="shared" si="23"/>
        <v>988</v>
      </c>
      <c r="AK12" s="96">
        <f t="shared" si="24"/>
        <v>51985</v>
      </c>
      <c r="AL12" s="97">
        <f t="shared" si="25"/>
        <v>17549</v>
      </c>
    </row>
    <row r="13" spans="1:45" ht="39.950000000000003" customHeight="1">
      <c r="A13" s="185">
        <f t="shared" si="26"/>
        <v>44718</v>
      </c>
      <c r="B13" s="16"/>
      <c r="C13" s="187">
        <v>261486</v>
      </c>
      <c r="D13" s="17">
        <f t="shared" si="5"/>
        <v>4530</v>
      </c>
      <c r="E13" s="187">
        <v>440851</v>
      </c>
      <c r="F13" s="17">
        <f t="shared" si="8"/>
        <v>7950</v>
      </c>
      <c r="G13" s="187">
        <v>157069</v>
      </c>
      <c r="H13" s="17">
        <f t="shared" si="9"/>
        <v>11270</v>
      </c>
      <c r="I13" s="17">
        <f t="shared" si="10"/>
        <v>5635</v>
      </c>
      <c r="J13" s="187">
        <v>383529</v>
      </c>
      <c r="K13" s="17">
        <f t="shared" si="11"/>
        <v>6360</v>
      </c>
      <c r="L13" s="187">
        <v>607075</v>
      </c>
      <c r="M13" s="17">
        <f t="shared" si="12"/>
        <v>9480</v>
      </c>
      <c r="N13" s="187">
        <v>299659</v>
      </c>
      <c r="O13" s="17">
        <f t="shared" si="6"/>
        <v>8510</v>
      </c>
      <c r="P13" s="17">
        <f t="shared" si="13"/>
        <v>4255</v>
      </c>
      <c r="Q13" s="187">
        <v>380103</v>
      </c>
      <c r="R13" s="17">
        <f t="shared" si="7"/>
        <v>11870</v>
      </c>
      <c r="S13" s="17">
        <f t="shared" si="14"/>
        <v>5935</v>
      </c>
      <c r="T13" s="187">
        <v>183582</v>
      </c>
      <c r="U13" s="17">
        <f t="shared" si="15"/>
        <v>11540</v>
      </c>
      <c r="V13" s="17">
        <f t="shared" si="16"/>
        <v>5770</v>
      </c>
      <c r="W13" s="187">
        <v>257270</v>
      </c>
      <c r="X13" s="17">
        <f t="shared" si="17"/>
        <v>660</v>
      </c>
      <c r="Y13" s="17">
        <f t="shared" si="18"/>
        <v>330</v>
      </c>
      <c r="Z13" s="187">
        <v>73494</v>
      </c>
      <c r="AA13" s="17">
        <f t="shared" si="19"/>
        <v>120</v>
      </c>
      <c r="AB13" s="187">
        <v>140170</v>
      </c>
      <c r="AC13" s="17">
        <f t="shared" si="20"/>
        <v>218</v>
      </c>
      <c r="AD13" s="187">
        <v>252179</v>
      </c>
      <c r="AE13" s="17">
        <f t="shared" si="21"/>
        <v>405</v>
      </c>
      <c r="AF13" s="187">
        <v>129008</v>
      </c>
      <c r="AG13" s="17">
        <f t="shared" si="22"/>
        <v>182</v>
      </c>
      <c r="AH13" s="187">
        <v>677528</v>
      </c>
      <c r="AI13" s="17">
        <f t="shared" si="23"/>
        <v>1012</v>
      </c>
      <c r="AK13" s="96">
        <f t="shared" si="24"/>
        <v>50245</v>
      </c>
      <c r="AL13" s="97">
        <f t="shared" si="25"/>
        <v>18227</v>
      </c>
    </row>
    <row r="14" spans="1:45" ht="39.950000000000003" customHeight="1">
      <c r="A14" s="185">
        <f t="shared" si="26"/>
        <v>44719</v>
      </c>
      <c r="B14" s="16"/>
      <c r="C14" s="187">
        <v>261876</v>
      </c>
      <c r="D14" s="17">
        <f t="shared" si="5"/>
        <v>3900</v>
      </c>
      <c r="E14" s="187">
        <v>441580</v>
      </c>
      <c r="F14" s="17">
        <f t="shared" si="8"/>
        <v>7290</v>
      </c>
      <c r="G14" s="187">
        <v>158512</v>
      </c>
      <c r="H14" s="17">
        <f t="shared" si="9"/>
        <v>14430</v>
      </c>
      <c r="I14" s="17">
        <f t="shared" si="10"/>
        <v>7215</v>
      </c>
      <c r="J14" s="187">
        <v>384128</v>
      </c>
      <c r="K14" s="17">
        <f t="shared" si="11"/>
        <v>5990</v>
      </c>
      <c r="L14" s="187">
        <v>608085</v>
      </c>
      <c r="M14" s="17">
        <f t="shared" si="12"/>
        <v>10100</v>
      </c>
      <c r="N14" s="187">
        <v>300125</v>
      </c>
      <c r="O14" s="17">
        <f t="shared" si="6"/>
        <v>4660</v>
      </c>
      <c r="P14" s="17">
        <f t="shared" si="13"/>
        <v>2330</v>
      </c>
      <c r="Q14" s="187">
        <v>380743</v>
      </c>
      <c r="R14" s="17">
        <f t="shared" si="7"/>
        <v>6400</v>
      </c>
      <c r="S14" s="17">
        <f t="shared" si="14"/>
        <v>3200</v>
      </c>
      <c r="T14" s="187">
        <v>184110</v>
      </c>
      <c r="U14" s="17">
        <f t="shared" si="15"/>
        <v>5280</v>
      </c>
      <c r="V14" s="17">
        <f t="shared" si="16"/>
        <v>2640</v>
      </c>
      <c r="W14" s="187">
        <v>257914</v>
      </c>
      <c r="X14" s="17">
        <f t="shared" si="17"/>
        <v>6440</v>
      </c>
      <c r="Y14" s="17">
        <f t="shared" si="18"/>
        <v>3220</v>
      </c>
      <c r="Z14" s="187">
        <v>73609</v>
      </c>
      <c r="AA14" s="17">
        <f t="shared" si="19"/>
        <v>115</v>
      </c>
      <c r="AB14" s="187">
        <v>140385</v>
      </c>
      <c r="AC14" s="17">
        <f t="shared" si="20"/>
        <v>215</v>
      </c>
      <c r="AD14" s="187">
        <v>252553</v>
      </c>
      <c r="AE14" s="17">
        <f t="shared" si="21"/>
        <v>374</v>
      </c>
      <c r="AF14" s="187">
        <v>129177</v>
      </c>
      <c r="AG14" s="17">
        <f t="shared" si="22"/>
        <v>169</v>
      </c>
      <c r="AH14" s="187">
        <v>678472</v>
      </c>
      <c r="AI14" s="17">
        <f t="shared" si="23"/>
        <v>944</v>
      </c>
      <c r="AK14" s="96">
        <f t="shared" si="24"/>
        <v>45885</v>
      </c>
      <c r="AL14" s="97">
        <f t="shared" si="25"/>
        <v>13207</v>
      </c>
    </row>
    <row r="15" spans="1:45" ht="39.950000000000003" customHeight="1">
      <c r="A15" s="185">
        <f t="shared" si="26"/>
        <v>44720</v>
      </c>
      <c r="B15" s="16"/>
      <c r="C15" s="187">
        <v>262254</v>
      </c>
      <c r="D15" s="17">
        <f t="shared" si="5"/>
        <v>3780</v>
      </c>
      <c r="E15" s="187">
        <v>442300</v>
      </c>
      <c r="F15" s="17">
        <f t="shared" si="8"/>
        <v>7200</v>
      </c>
      <c r="G15" s="187">
        <v>159791</v>
      </c>
      <c r="H15" s="17">
        <f t="shared" si="9"/>
        <v>12790</v>
      </c>
      <c r="I15" s="17">
        <f t="shared" si="10"/>
        <v>6395</v>
      </c>
      <c r="J15" s="187">
        <v>384773</v>
      </c>
      <c r="K15" s="17">
        <f t="shared" si="11"/>
        <v>6450</v>
      </c>
      <c r="L15" s="187">
        <v>609131</v>
      </c>
      <c r="M15" s="17">
        <f t="shared" si="12"/>
        <v>10460</v>
      </c>
      <c r="N15" s="187">
        <v>300566</v>
      </c>
      <c r="O15" s="17">
        <f t="shared" si="6"/>
        <v>4410</v>
      </c>
      <c r="P15" s="17">
        <f t="shared" si="13"/>
        <v>2205</v>
      </c>
      <c r="Q15" s="187">
        <v>381398</v>
      </c>
      <c r="R15" s="17">
        <f t="shared" si="7"/>
        <v>6550</v>
      </c>
      <c r="S15" s="17">
        <f t="shared" si="14"/>
        <v>3275</v>
      </c>
      <c r="T15" s="187">
        <v>184131</v>
      </c>
      <c r="U15" s="17">
        <f t="shared" si="15"/>
        <v>210</v>
      </c>
      <c r="V15" s="17">
        <f t="shared" si="16"/>
        <v>105</v>
      </c>
      <c r="W15" s="187">
        <v>258924</v>
      </c>
      <c r="X15" s="17">
        <f t="shared" si="17"/>
        <v>10100</v>
      </c>
      <c r="Y15" s="17">
        <f t="shared" si="18"/>
        <v>5050</v>
      </c>
      <c r="Z15" s="187">
        <v>73735</v>
      </c>
      <c r="AA15" s="17">
        <f t="shared" si="19"/>
        <v>126</v>
      </c>
      <c r="AB15" s="187">
        <v>140610</v>
      </c>
      <c r="AC15" s="17">
        <f t="shared" si="20"/>
        <v>225</v>
      </c>
      <c r="AD15" s="187">
        <v>252929</v>
      </c>
      <c r="AE15" s="17">
        <f t="shared" si="21"/>
        <v>376</v>
      </c>
      <c r="AF15" s="187">
        <v>129356</v>
      </c>
      <c r="AG15" s="17">
        <f t="shared" si="22"/>
        <v>179</v>
      </c>
      <c r="AH15" s="187">
        <v>679384</v>
      </c>
      <c r="AI15" s="17">
        <f t="shared" si="23"/>
        <v>912</v>
      </c>
      <c r="AK15" s="96">
        <f t="shared" si="24"/>
        <v>44920</v>
      </c>
      <c r="AL15" s="97">
        <f t="shared" si="25"/>
        <v>12453</v>
      </c>
    </row>
    <row r="16" spans="1:45" ht="39.950000000000003" customHeight="1">
      <c r="A16" s="185">
        <f t="shared" si="26"/>
        <v>44721</v>
      </c>
      <c r="B16" s="16"/>
      <c r="C16" s="187">
        <v>262664</v>
      </c>
      <c r="D16" s="17">
        <f t="shared" si="5"/>
        <v>4100</v>
      </c>
      <c r="E16" s="187">
        <v>443073</v>
      </c>
      <c r="F16" s="17">
        <f t="shared" si="8"/>
        <v>7730</v>
      </c>
      <c r="G16" s="187">
        <v>161178</v>
      </c>
      <c r="H16" s="17">
        <f t="shared" si="9"/>
        <v>13870</v>
      </c>
      <c r="I16" s="17">
        <f t="shared" si="10"/>
        <v>6935</v>
      </c>
      <c r="J16" s="187">
        <v>385435</v>
      </c>
      <c r="K16" s="17">
        <f t="shared" si="11"/>
        <v>6620</v>
      </c>
      <c r="L16" s="187">
        <v>610192</v>
      </c>
      <c r="M16" s="17">
        <f t="shared" si="12"/>
        <v>10610</v>
      </c>
      <c r="N16" s="187">
        <v>301031</v>
      </c>
      <c r="O16" s="17">
        <f t="shared" si="6"/>
        <v>4650</v>
      </c>
      <c r="P16" s="17">
        <f t="shared" si="13"/>
        <v>2325</v>
      </c>
      <c r="Q16" s="187">
        <v>382167</v>
      </c>
      <c r="R16" s="17">
        <f t="shared" si="7"/>
        <v>7690</v>
      </c>
      <c r="S16" s="17">
        <f t="shared" si="14"/>
        <v>3845</v>
      </c>
      <c r="T16" s="187">
        <v>184133</v>
      </c>
      <c r="U16" s="17">
        <f t="shared" si="15"/>
        <v>20</v>
      </c>
      <c r="V16" s="17">
        <f t="shared" si="16"/>
        <v>10</v>
      </c>
      <c r="W16" s="187">
        <v>259936</v>
      </c>
      <c r="X16" s="17">
        <f t="shared" si="17"/>
        <v>10120</v>
      </c>
      <c r="Y16" s="17">
        <f t="shared" si="18"/>
        <v>5060</v>
      </c>
      <c r="Z16" s="187">
        <v>73862</v>
      </c>
      <c r="AA16" s="17">
        <f t="shared" si="19"/>
        <v>127</v>
      </c>
      <c r="AB16" s="187">
        <v>140844</v>
      </c>
      <c r="AC16" s="17">
        <f t="shared" si="20"/>
        <v>234</v>
      </c>
      <c r="AD16" s="187">
        <v>253322</v>
      </c>
      <c r="AE16" s="17">
        <f t="shared" si="21"/>
        <v>393</v>
      </c>
      <c r="AF16" s="187">
        <v>129539</v>
      </c>
      <c r="AG16" s="17">
        <f t="shared" si="22"/>
        <v>183</v>
      </c>
      <c r="AH16" s="187">
        <v>680336</v>
      </c>
      <c r="AI16" s="17">
        <f t="shared" si="23"/>
        <v>952</v>
      </c>
      <c r="AK16" s="96">
        <f t="shared" si="24"/>
        <v>47235</v>
      </c>
      <c r="AL16" s="97">
        <f t="shared" si="25"/>
        <v>13129</v>
      </c>
    </row>
    <row r="17" spans="1:38" ht="39.950000000000003" customHeight="1">
      <c r="A17" s="185">
        <f t="shared" si="26"/>
        <v>44722</v>
      </c>
      <c r="B17" s="16"/>
      <c r="C17" s="187">
        <v>263073</v>
      </c>
      <c r="D17" s="17">
        <f t="shared" si="5"/>
        <v>4090</v>
      </c>
      <c r="E17" s="187">
        <v>443864</v>
      </c>
      <c r="F17" s="17">
        <f t="shared" si="8"/>
        <v>7910</v>
      </c>
      <c r="G17" s="187">
        <v>162509</v>
      </c>
      <c r="H17" s="17">
        <f t="shared" si="9"/>
        <v>13310</v>
      </c>
      <c r="I17" s="17">
        <f t="shared" si="10"/>
        <v>6655</v>
      </c>
      <c r="J17" s="187">
        <v>386077</v>
      </c>
      <c r="K17" s="17">
        <f t="shared" si="11"/>
        <v>6420</v>
      </c>
      <c r="L17" s="187">
        <v>611257</v>
      </c>
      <c r="M17" s="17">
        <f t="shared" si="12"/>
        <v>10650</v>
      </c>
      <c r="N17" s="187">
        <v>301523</v>
      </c>
      <c r="O17" s="17">
        <f t="shared" si="6"/>
        <v>4920</v>
      </c>
      <c r="P17" s="17">
        <f t="shared" si="13"/>
        <v>2460</v>
      </c>
      <c r="Q17" s="187">
        <v>383141</v>
      </c>
      <c r="R17" s="17">
        <f t="shared" si="7"/>
        <v>9740</v>
      </c>
      <c r="S17" s="17">
        <f t="shared" si="14"/>
        <v>4870</v>
      </c>
      <c r="T17" s="187">
        <v>184136</v>
      </c>
      <c r="U17" s="17">
        <f t="shared" si="15"/>
        <v>30</v>
      </c>
      <c r="V17" s="17">
        <f t="shared" si="16"/>
        <v>15</v>
      </c>
      <c r="W17" s="187">
        <v>260615</v>
      </c>
      <c r="X17" s="17">
        <f t="shared" si="17"/>
        <v>6790</v>
      </c>
      <c r="Y17" s="17">
        <f t="shared" si="18"/>
        <v>3395</v>
      </c>
      <c r="Z17" s="187">
        <v>73989</v>
      </c>
      <c r="AA17" s="17">
        <f t="shared" si="19"/>
        <v>127</v>
      </c>
      <c r="AB17" s="187">
        <v>141062</v>
      </c>
      <c r="AC17" s="17">
        <f t="shared" si="20"/>
        <v>218</v>
      </c>
      <c r="AD17" s="187">
        <v>253113</v>
      </c>
      <c r="AE17" s="17">
        <f t="shared" si="21"/>
        <v>-209</v>
      </c>
      <c r="AF17" s="187">
        <v>129717</v>
      </c>
      <c r="AG17" s="17">
        <f t="shared" si="22"/>
        <v>178</v>
      </c>
      <c r="AH17" s="187">
        <v>681269</v>
      </c>
      <c r="AI17" s="17">
        <f t="shared" si="23"/>
        <v>933</v>
      </c>
      <c r="AK17" s="96">
        <f t="shared" si="24"/>
        <v>46465</v>
      </c>
      <c r="AL17" s="97">
        <f t="shared" si="25"/>
        <v>11987</v>
      </c>
    </row>
    <row r="18" spans="1:38" ht="39.950000000000003" customHeight="1">
      <c r="A18" s="185">
        <f t="shared" si="26"/>
        <v>44723</v>
      </c>
      <c r="B18" s="16"/>
      <c r="C18" s="187">
        <v>263906</v>
      </c>
      <c r="D18" s="17">
        <f t="shared" si="5"/>
        <v>8330</v>
      </c>
      <c r="E18" s="187">
        <v>444641</v>
      </c>
      <c r="F18" s="17">
        <f t="shared" si="8"/>
        <v>7770</v>
      </c>
      <c r="G18" s="187">
        <v>163828</v>
      </c>
      <c r="H18" s="17">
        <f t="shared" si="9"/>
        <v>13190</v>
      </c>
      <c r="I18" s="17">
        <f t="shared" si="10"/>
        <v>6595</v>
      </c>
      <c r="J18" s="187">
        <v>386686</v>
      </c>
      <c r="K18" s="17">
        <f t="shared" si="11"/>
        <v>6090</v>
      </c>
      <c r="L18" s="187">
        <v>612306</v>
      </c>
      <c r="M18" s="17">
        <f t="shared" si="12"/>
        <v>10490</v>
      </c>
      <c r="N18" s="187">
        <v>301981</v>
      </c>
      <c r="O18" s="17">
        <f t="shared" si="6"/>
        <v>4580</v>
      </c>
      <c r="P18" s="17">
        <f t="shared" si="13"/>
        <v>2290</v>
      </c>
      <c r="Q18" s="187">
        <v>384163</v>
      </c>
      <c r="R18" s="17">
        <f t="shared" si="7"/>
        <v>10220</v>
      </c>
      <c r="S18" s="17">
        <f t="shared" si="14"/>
        <v>5110</v>
      </c>
      <c r="T18" s="187">
        <v>184138</v>
      </c>
      <c r="U18" s="17">
        <f t="shared" si="15"/>
        <v>20</v>
      </c>
      <c r="V18" s="17">
        <f t="shared" si="16"/>
        <v>10</v>
      </c>
      <c r="W18" s="187">
        <v>261191</v>
      </c>
      <c r="X18" s="17">
        <f t="shared" si="17"/>
        <v>5760</v>
      </c>
      <c r="Y18" s="17">
        <f t="shared" si="18"/>
        <v>2880</v>
      </c>
      <c r="Z18" s="187">
        <v>74118</v>
      </c>
      <c r="AA18" s="17">
        <f t="shared" si="19"/>
        <v>129</v>
      </c>
      <c r="AB18" s="187">
        <v>141279</v>
      </c>
      <c r="AC18" s="17">
        <f t="shared" si="20"/>
        <v>217</v>
      </c>
      <c r="AD18" s="187">
        <v>254096</v>
      </c>
      <c r="AE18" s="17">
        <f t="shared" si="21"/>
        <v>983</v>
      </c>
      <c r="AF18" s="187">
        <v>129895</v>
      </c>
      <c r="AG18" s="17">
        <f t="shared" si="22"/>
        <v>178</v>
      </c>
      <c r="AH18" s="187">
        <v>682207</v>
      </c>
      <c r="AI18" s="17">
        <f t="shared" si="23"/>
        <v>938</v>
      </c>
      <c r="AK18" s="96">
        <f t="shared" si="24"/>
        <v>49565</v>
      </c>
      <c r="AL18" s="97">
        <f t="shared" si="25"/>
        <v>12735</v>
      </c>
    </row>
    <row r="19" spans="1:38" ht="39.950000000000003" customHeight="1">
      <c r="A19" s="185">
        <f t="shared" si="26"/>
        <v>44724</v>
      </c>
      <c r="B19" s="16"/>
      <c r="C19" s="187">
        <v>263483</v>
      </c>
      <c r="D19" s="17">
        <f t="shared" si="5"/>
        <v>-4230</v>
      </c>
      <c r="E19" s="187">
        <v>445432</v>
      </c>
      <c r="F19" s="17">
        <f t="shared" si="8"/>
        <v>7910</v>
      </c>
      <c r="G19" s="187">
        <v>165254</v>
      </c>
      <c r="H19" s="17">
        <f t="shared" si="9"/>
        <v>14260</v>
      </c>
      <c r="I19" s="17">
        <f t="shared" si="10"/>
        <v>7130</v>
      </c>
      <c r="J19" s="187">
        <v>387284</v>
      </c>
      <c r="K19" s="17">
        <f t="shared" si="11"/>
        <v>5980</v>
      </c>
      <c r="L19" s="187">
        <v>613322</v>
      </c>
      <c r="M19" s="17">
        <f t="shared" si="12"/>
        <v>10160</v>
      </c>
      <c r="N19" s="187">
        <v>302482</v>
      </c>
      <c r="O19" s="17">
        <f t="shared" si="6"/>
        <v>5010</v>
      </c>
      <c r="P19" s="17">
        <f t="shared" si="13"/>
        <v>2505</v>
      </c>
      <c r="Q19" s="187">
        <v>385220</v>
      </c>
      <c r="R19" s="17">
        <f t="shared" si="7"/>
        <v>10570</v>
      </c>
      <c r="S19" s="17">
        <f t="shared" si="14"/>
        <v>5285</v>
      </c>
      <c r="T19" s="187">
        <v>184140</v>
      </c>
      <c r="U19" s="17">
        <f t="shared" si="15"/>
        <v>20</v>
      </c>
      <c r="V19" s="17">
        <f t="shared" si="16"/>
        <v>10</v>
      </c>
      <c r="W19" s="187">
        <v>261993</v>
      </c>
      <c r="X19" s="17">
        <f t="shared" si="17"/>
        <v>8020</v>
      </c>
      <c r="Y19" s="17">
        <f t="shared" si="18"/>
        <v>4010</v>
      </c>
      <c r="Z19" s="187">
        <v>74239</v>
      </c>
      <c r="AA19" s="17">
        <f t="shared" si="19"/>
        <v>121</v>
      </c>
      <c r="AB19" s="187">
        <v>141484</v>
      </c>
      <c r="AC19" s="17">
        <f t="shared" si="20"/>
        <v>205</v>
      </c>
      <c r="AD19" s="187">
        <v>254468</v>
      </c>
      <c r="AE19" s="17">
        <f t="shared" si="21"/>
        <v>372</v>
      </c>
      <c r="AF19" s="187">
        <v>130066</v>
      </c>
      <c r="AG19" s="17">
        <f t="shared" si="22"/>
        <v>171</v>
      </c>
      <c r="AH19" s="187">
        <v>683145</v>
      </c>
      <c r="AI19" s="17">
        <f t="shared" si="23"/>
        <v>938</v>
      </c>
      <c r="AK19" s="96">
        <f t="shared" si="24"/>
        <v>38760</v>
      </c>
      <c r="AL19" s="97">
        <f t="shared" si="25"/>
        <v>13617</v>
      </c>
    </row>
    <row r="20" spans="1:38" ht="39.950000000000003" customHeight="1">
      <c r="A20" s="185">
        <f t="shared" si="26"/>
        <v>44725</v>
      </c>
      <c r="B20" s="16"/>
      <c r="C20" s="187">
        <v>264339</v>
      </c>
      <c r="D20" s="17">
        <f t="shared" si="5"/>
        <v>8560</v>
      </c>
      <c r="E20" s="187">
        <v>446228</v>
      </c>
      <c r="F20" s="17">
        <f t="shared" si="8"/>
        <v>7960</v>
      </c>
      <c r="G20" s="187">
        <v>166786</v>
      </c>
      <c r="H20" s="17">
        <f t="shared" si="9"/>
        <v>15320</v>
      </c>
      <c r="I20" s="17">
        <f t="shared" si="10"/>
        <v>7660</v>
      </c>
      <c r="J20" s="187">
        <v>387895</v>
      </c>
      <c r="K20" s="17">
        <f t="shared" si="11"/>
        <v>6110</v>
      </c>
      <c r="L20" s="187">
        <v>614237</v>
      </c>
      <c r="M20" s="17">
        <f t="shared" si="12"/>
        <v>9150</v>
      </c>
      <c r="N20" s="187">
        <v>302961</v>
      </c>
      <c r="O20" s="17">
        <f t="shared" si="6"/>
        <v>4790</v>
      </c>
      <c r="P20" s="17">
        <f t="shared" si="13"/>
        <v>2395</v>
      </c>
      <c r="Q20" s="187">
        <v>386335</v>
      </c>
      <c r="R20" s="17">
        <f t="shared" si="7"/>
        <v>11150</v>
      </c>
      <c r="S20" s="17">
        <f t="shared" si="14"/>
        <v>5575</v>
      </c>
      <c r="T20" s="187">
        <v>184891</v>
      </c>
      <c r="U20" s="17">
        <f t="shared" si="15"/>
        <v>7510</v>
      </c>
      <c r="V20" s="17">
        <f t="shared" si="16"/>
        <v>3755</v>
      </c>
      <c r="W20" s="187">
        <v>262121</v>
      </c>
      <c r="X20" s="17">
        <f t="shared" si="17"/>
        <v>1280</v>
      </c>
      <c r="Y20" s="17">
        <f t="shared" si="18"/>
        <v>640</v>
      </c>
      <c r="Z20" s="187">
        <v>74363</v>
      </c>
      <c r="AA20" s="17">
        <f t="shared" si="19"/>
        <v>124</v>
      </c>
      <c r="AB20" s="187">
        <v>141703</v>
      </c>
      <c r="AC20" s="17">
        <f t="shared" si="20"/>
        <v>219</v>
      </c>
      <c r="AD20" s="187">
        <v>254857</v>
      </c>
      <c r="AE20" s="17">
        <f t="shared" si="21"/>
        <v>389</v>
      </c>
      <c r="AF20" s="187">
        <v>130242</v>
      </c>
      <c r="AG20" s="17">
        <f t="shared" si="22"/>
        <v>176</v>
      </c>
      <c r="AH20" s="187">
        <v>684093</v>
      </c>
      <c r="AI20" s="17">
        <f t="shared" si="23"/>
        <v>948</v>
      </c>
      <c r="AK20" s="96">
        <f t="shared" si="24"/>
        <v>51805</v>
      </c>
      <c r="AL20" s="97">
        <f t="shared" si="25"/>
        <v>14221</v>
      </c>
    </row>
    <row r="21" spans="1:38" ht="39.950000000000003" customHeight="1">
      <c r="A21" s="185">
        <f t="shared" si="26"/>
        <v>44726</v>
      </c>
      <c r="B21" s="16"/>
      <c r="C21" s="187">
        <v>264735</v>
      </c>
      <c r="D21" s="17">
        <f t="shared" si="5"/>
        <v>3960</v>
      </c>
      <c r="E21" s="187">
        <v>446983</v>
      </c>
      <c r="F21" s="17">
        <f t="shared" si="8"/>
        <v>7550</v>
      </c>
      <c r="G21" s="187">
        <v>168154</v>
      </c>
      <c r="H21" s="17">
        <f t="shared" si="9"/>
        <v>13680</v>
      </c>
      <c r="I21" s="17">
        <f t="shared" si="10"/>
        <v>6840</v>
      </c>
      <c r="J21" s="187">
        <v>388502</v>
      </c>
      <c r="K21" s="17">
        <f t="shared" si="11"/>
        <v>6070</v>
      </c>
      <c r="L21" s="187">
        <v>615268</v>
      </c>
      <c r="M21" s="17">
        <f t="shared" si="12"/>
        <v>10310</v>
      </c>
      <c r="N21" s="187">
        <v>303388</v>
      </c>
      <c r="O21" s="17">
        <f t="shared" si="6"/>
        <v>4270</v>
      </c>
      <c r="P21" s="17">
        <f t="shared" si="13"/>
        <v>2135</v>
      </c>
      <c r="Q21" s="192">
        <v>387335</v>
      </c>
      <c r="R21" s="17">
        <f t="shared" si="7"/>
        <v>10000</v>
      </c>
      <c r="S21" s="17">
        <f t="shared" si="14"/>
        <v>5000</v>
      </c>
      <c r="T21" s="187">
        <v>185555</v>
      </c>
      <c r="U21" s="17">
        <f t="shared" si="15"/>
        <v>6640</v>
      </c>
      <c r="V21" s="17">
        <f t="shared" si="16"/>
        <v>3320</v>
      </c>
      <c r="W21" s="187">
        <v>262380</v>
      </c>
      <c r="X21" s="17">
        <f t="shared" si="17"/>
        <v>2590</v>
      </c>
      <c r="Y21" s="17">
        <f t="shared" si="18"/>
        <v>1295</v>
      </c>
      <c r="Z21" s="187">
        <v>74495</v>
      </c>
      <c r="AA21" s="17">
        <f t="shared" si="19"/>
        <v>132</v>
      </c>
      <c r="AB21" s="187">
        <v>141917</v>
      </c>
      <c r="AC21" s="17">
        <f t="shared" si="20"/>
        <v>214</v>
      </c>
      <c r="AD21" s="187">
        <v>255259</v>
      </c>
      <c r="AE21" s="17">
        <f t="shared" si="21"/>
        <v>402</v>
      </c>
      <c r="AF21" s="187">
        <v>130418</v>
      </c>
      <c r="AG21" s="17">
        <f t="shared" si="22"/>
        <v>176</v>
      </c>
      <c r="AH21" s="187">
        <v>685017</v>
      </c>
      <c r="AI21" s="17">
        <f t="shared" si="23"/>
        <v>924</v>
      </c>
      <c r="AK21" s="96">
        <f t="shared" si="24"/>
        <v>46480</v>
      </c>
      <c r="AL21" s="97">
        <f t="shared" si="25"/>
        <v>13598</v>
      </c>
    </row>
    <row r="22" spans="1:38" ht="39.950000000000003" customHeight="1">
      <c r="A22" s="185">
        <f t="shared" si="26"/>
        <v>44727</v>
      </c>
      <c r="B22" s="16"/>
      <c r="C22" s="187">
        <v>265137</v>
      </c>
      <c r="D22" s="17">
        <f t="shared" si="5"/>
        <v>4020</v>
      </c>
      <c r="E22" s="187">
        <v>447720</v>
      </c>
      <c r="F22" s="17">
        <f t="shared" si="8"/>
        <v>7370</v>
      </c>
      <c r="G22" s="187">
        <v>169531</v>
      </c>
      <c r="H22" s="17">
        <f t="shared" si="9"/>
        <v>13770</v>
      </c>
      <c r="I22" s="17">
        <f t="shared" si="10"/>
        <v>6885</v>
      </c>
      <c r="J22" s="187">
        <v>389100</v>
      </c>
      <c r="K22" s="17">
        <f t="shared" si="11"/>
        <v>5980</v>
      </c>
      <c r="L22" s="187">
        <v>616271</v>
      </c>
      <c r="M22" s="17">
        <f t="shared" si="12"/>
        <v>10030</v>
      </c>
      <c r="N22" s="187">
        <v>303851</v>
      </c>
      <c r="O22" s="17">
        <f t="shared" si="6"/>
        <v>4630</v>
      </c>
      <c r="P22" s="17">
        <f t="shared" si="13"/>
        <v>2315</v>
      </c>
      <c r="Q22" s="187">
        <v>388307</v>
      </c>
      <c r="R22" s="17">
        <f t="shared" si="7"/>
        <v>9720</v>
      </c>
      <c r="S22" s="17">
        <f t="shared" si="14"/>
        <v>4860</v>
      </c>
      <c r="T22" s="187">
        <v>185580</v>
      </c>
      <c r="U22" s="17">
        <f t="shared" si="15"/>
        <v>250</v>
      </c>
      <c r="V22" s="17">
        <f t="shared" si="16"/>
        <v>125</v>
      </c>
      <c r="W22" s="187">
        <v>263007</v>
      </c>
      <c r="X22" s="17">
        <f t="shared" si="17"/>
        <v>6270</v>
      </c>
      <c r="Y22" s="17">
        <f t="shared" si="18"/>
        <v>3135</v>
      </c>
      <c r="Z22" s="187">
        <v>74614</v>
      </c>
      <c r="AA22" s="17">
        <f t="shared" si="19"/>
        <v>119</v>
      </c>
      <c r="AB22" s="187">
        <v>142135</v>
      </c>
      <c r="AC22" s="17">
        <f t="shared" si="20"/>
        <v>218</v>
      </c>
      <c r="AD22" s="187">
        <v>255651</v>
      </c>
      <c r="AE22" s="17">
        <f t="shared" si="21"/>
        <v>392</v>
      </c>
      <c r="AF22" s="187">
        <v>130593</v>
      </c>
      <c r="AG22" s="17">
        <f t="shared" si="22"/>
        <v>175</v>
      </c>
      <c r="AH22" s="187">
        <v>685968</v>
      </c>
      <c r="AI22" s="17">
        <f t="shared" si="23"/>
        <v>951</v>
      </c>
      <c r="AK22" s="96">
        <f t="shared" si="24"/>
        <v>44720</v>
      </c>
      <c r="AL22" s="97">
        <f t="shared" si="25"/>
        <v>12290</v>
      </c>
    </row>
    <row r="23" spans="1:38" ht="39.950000000000003" customHeight="1">
      <c r="A23" s="185">
        <f t="shared" si="26"/>
        <v>44728</v>
      </c>
      <c r="B23" s="16"/>
      <c r="C23" s="187">
        <v>265542</v>
      </c>
      <c r="D23" s="17">
        <f t="shared" si="5"/>
        <v>4050</v>
      </c>
      <c r="E23" s="187">
        <v>448461</v>
      </c>
      <c r="F23" s="17">
        <f t="shared" si="8"/>
        <v>7410</v>
      </c>
      <c r="G23" s="187">
        <v>170896</v>
      </c>
      <c r="H23" s="17">
        <f t="shared" si="9"/>
        <v>13650</v>
      </c>
      <c r="I23" s="17">
        <f t="shared" si="10"/>
        <v>6825</v>
      </c>
      <c r="J23" s="187">
        <v>389687</v>
      </c>
      <c r="K23" s="17">
        <f t="shared" si="11"/>
        <v>5870</v>
      </c>
      <c r="L23" s="187">
        <v>617270</v>
      </c>
      <c r="M23" s="17">
        <f t="shared" si="12"/>
        <v>9990</v>
      </c>
      <c r="N23" s="187">
        <v>304334</v>
      </c>
      <c r="O23" s="17">
        <f t="shared" si="6"/>
        <v>4830</v>
      </c>
      <c r="P23" s="17">
        <f t="shared" si="13"/>
        <v>2415</v>
      </c>
      <c r="Q23" s="187">
        <v>388933</v>
      </c>
      <c r="R23" s="17">
        <f t="shared" si="7"/>
        <v>6260</v>
      </c>
      <c r="S23" s="17">
        <f t="shared" si="14"/>
        <v>3130</v>
      </c>
      <c r="T23" s="187">
        <v>185582</v>
      </c>
      <c r="U23" s="17">
        <f t="shared" si="15"/>
        <v>20</v>
      </c>
      <c r="V23" s="17">
        <f t="shared" si="16"/>
        <v>10</v>
      </c>
      <c r="W23" s="187">
        <v>264068</v>
      </c>
      <c r="X23" s="17">
        <f t="shared" si="17"/>
        <v>10610</v>
      </c>
      <c r="Y23" s="17">
        <f t="shared" si="18"/>
        <v>5305</v>
      </c>
      <c r="Z23" s="187">
        <v>74735</v>
      </c>
      <c r="AA23" s="17">
        <f t="shared" si="19"/>
        <v>121</v>
      </c>
      <c r="AB23" s="187">
        <v>142359</v>
      </c>
      <c r="AC23" s="17">
        <f t="shared" si="20"/>
        <v>224</v>
      </c>
      <c r="AD23" s="187">
        <v>256041</v>
      </c>
      <c r="AE23" s="17">
        <f t="shared" si="21"/>
        <v>390</v>
      </c>
      <c r="AF23" s="187">
        <v>130765</v>
      </c>
      <c r="AG23" s="17">
        <f t="shared" si="22"/>
        <v>172</v>
      </c>
      <c r="AH23" s="187">
        <v>686920</v>
      </c>
      <c r="AI23" s="17">
        <f t="shared" si="23"/>
        <v>952</v>
      </c>
      <c r="AK23" s="96">
        <f t="shared" si="24"/>
        <v>45005</v>
      </c>
      <c r="AL23" s="97">
        <f t="shared" si="25"/>
        <v>12719</v>
      </c>
    </row>
    <row r="24" spans="1:38" ht="39.950000000000003" customHeight="1">
      <c r="A24" s="185">
        <f t="shared" si="26"/>
        <v>44729</v>
      </c>
      <c r="B24" s="16"/>
      <c r="C24" s="187">
        <v>265972</v>
      </c>
      <c r="D24" s="17">
        <f t="shared" si="5"/>
        <v>4300</v>
      </c>
      <c r="E24" s="187">
        <v>449260</v>
      </c>
      <c r="F24" s="17">
        <f t="shared" si="8"/>
        <v>7990</v>
      </c>
      <c r="G24" s="187">
        <v>172395</v>
      </c>
      <c r="H24" s="17">
        <f t="shared" si="9"/>
        <v>14990</v>
      </c>
      <c r="I24" s="17">
        <f t="shared" si="10"/>
        <v>7495</v>
      </c>
      <c r="J24" s="187">
        <v>390314</v>
      </c>
      <c r="K24" s="17">
        <f t="shared" si="11"/>
        <v>6270</v>
      </c>
      <c r="L24" s="187">
        <v>618322</v>
      </c>
      <c r="M24" s="17">
        <f t="shared" si="12"/>
        <v>10520</v>
      </c>
      <c r="N24" s="187">
        <v>304845</v>
      </c>
      <c r="O24" s="17">
        <f t="shared" si="6"/>
        <v>5110</v>
      </c>
      <c r="P24" s="17">
        <f t="shared" si="13"/>
        <v>2555</v>
      </c>
      <c r="Q24" s="187">
        <v>390065</v>
      </c>
      <c r="R24" s="17">
        <f t="shared" si="7"/>
        <v>11320</v>
      </c>
      <c r="S24" s="17">
        <f t="shared" si="14"/>
        <v>5660</v>
      </c>
      <c r="T24" s="187">
        <v>185584</v>
      </c>
      <c r="U24" s="17">
        <f t="shared" si="15"/>
        <v>20</v>
      </c>
      <c r="V24" s="17">
        <f t="shared" si="16"/>
        <v>10</v>
      </c>
      <c r="W24" s="187">
        <v>264872</v>
      </c>
      <c r="X24" s="17">
        <f t="shared" si="17"/>
        <v>8040</v>
      </c>
      <c r="Y24" s="17">
        <f t="shared" si="18"/>
        <v>4020</v>
      </c>
      <c r="Z24" s="187">
        <v>74864</v>
      </c>
      <c r="AA24" s="17">
        <f t="shared" si="19"/>
        <v>129</v>
      </c>
      <c r="AB24" s="187">
        <v>142585</v>
      </c>
      <c r="AC24" s="17">
        <f t="shared" si="20"/>
        <v>226</v>
      </c>
      <c r="AD24" s="187">
        <v>256445</v>
      </c>
      <c r="AE24" s="17">
        <f t="shared" si="21"/>
        <v>404</v>
      </c>
      <c r="AF24" s="187">
        <v>130948</v>
      </c>
      <c r="AG24" s="17">
        <f t="shared" si="22"/>
        <v>183</v>
      </c>
      <c r="AH24" s="187">
        <v>687917</v>
      </c>
      <c r="AI24" s="17">
        <f t="shared" si="23"/>
        <v>997</v>
      </c>
      <c r="AK24" s="96">
        <f t="shared" si="24"/>
        <v>48820</v>
      </c>
      <c r="AL24" s="97">
        <f t="shared" si="25"/>
        <v>14184</v>
      </c>
    </row>
    <row r="25" spans="1:38" ht="39.950000000000003" customHeight="1">
      <c r="A25" s="185">
        <f t="shared" si="26"/>
        <v>44730</v>
      </c>
      <c r="B25" s="16"/>
      <c r="C25" s="187">
        <v>266409</v>
      </c>
      <c r="D25" s="17">
        <f t="shared" si="5"/>
        <v>4370</v>
      </c>
      <c r="E25" s="187">
        <v>450101</v>
      </c>
      <c r="F25" s="17">
        <f t="shared" si="8"/>
        <v>8410</v>
      </c>
      <c r="G25" s="187">
        <v>173883</v>
      </c>
      <c r="H25" s="17">
        <f t="shared" si="9"/>
        <v>14880</v>
      </c>
      <c r="I25" s="17">
        <f t="shared" si="10"/>
        <v>7440</v>
      </c>
      <c r="J25" s="187">
        <v>390968</v>
      </c>
      <c r="K25" s="17">
        <f t="shared" si="11"/>
        <v>6540</v>
      </c>
      <c r="L25" s="187">
        <v>619409</v>
      </c>
      <c r="M25" s="17">
        <f t="shared" si="12"/>
        <v>10870</v>
      </c>
      <c r="N25" s="187">
        <v>305336</v>
      </c>
      <c r="O25" s="17">
        <f t="shared" si="6"/>
        <v>4910</v>
      </c>
      <c r="P25" s="17">
        <f t="shared" si="13"/>
        <v>2455</v>
      </c>
      <c r="Q25" s="187">
        <v>391199</v>
      </c>
      <c r="R25" s="17">
        <f t="shared" si="7"/>
        <v>11340</v>
      </c>
      <c r="S25" s="17">
        <f t="shared" si="14"/>
        <v>5670</v>
      </c>
      <c r="T25" s="187">
        <v>185586</v>
      </c>
      <c r="U25" s="17">
        <f t="shared" si="15"/>
        <v>20</v>
      </c>
      <c r="V25" s="17">
        <f t="shared" si="16"/>
        <v>10</v>
      </c>
      <c r="W25" s="187">
        <v>265767</v>
      </c>
      <c r="X25" s="17">
        <f t="shared" si="17"/>
        <v>8950</v>
      </c>
      <c r="Y25" s="17">
        <f t="shared" si="18"/>
        <v>4475</v>
      </c>
      <c r="Z25" s="187">
        <v>74997</v>
      </c>
      <c r="AA25" s="17">
        <f t="shared" si="19"/>
        <v>133</v>
      </c>
      <c r="AB25" s="187">
        <v>142802</v>
      </c>
      <c r="AC25" s="17">
        <f t="shared" si="20"/>
        <v>217</v>
      </c>
      <c r="AD25" s="187">
        <v>256838</v>
      </c>
      <c r="AE25" s="17">
        <f t="shared" si="21"/>
        <v>393</v>
      </c>
      <c r="AF25" s="187">
        <v>131133</v>
      </c>
      <c r="AG25" s="17">
        <f t="shared" si="22"/>
        <v>185</v>
      </c>
      <c r="AH25" s="187">
        <v>688869</v>
      </c>
      <c r="AI25" s="17">
        <f t="shared" si="23"/>
        <v>952</v>
      </c>
      <c r="AK25" s="96">
        <f t="shared" si="24"/>
        <v>50240</v>
      </c>
      <c r="AL25" s="97">
        <f t="shared" si="25"/>
        <v>14490</v>
      </c>
    </row>
    <row r="26" spans="1:38" ht="39.950000000000003" customHeight="1">
      <c r="A26" s="185">
        <f t="shared" si="26"/>
        <v>44731</v>
      </c>
      <c r="B26" s="16"/>
      <c r="C26" s="187">
        <v>266834</v>
      </c>
      <c r="D26" s="17">
        <f t="shared" si="5"/>
        <v>4250</v>
      </c>
      <c r="E26" s="187">
        <v>450886</v>
      </c>
      <c r="F26" s="17">
        <f t="shared" ref="F26:F37" si="27">(E26-E25)*10</f>
        <v>7850</v>
      </c>
      <c r="G26" s="187">
        <v>175325</v>
      </c>
      <c r="H26" s="17">
        <f t="shared" si="9"/>
        <v>14420</v>
      </c>
      <c r="I26" s="17">
        <f t="shared" si="10"/>
        <v>7210</v>
      </c>
      <c r="J26" s="187">
        <v>391598</v>
      </c>
      <c r="K26" s="17">
        <f t="shared" si="11"/>
        <v>6300</v>
      </c>
      <c r="L26" s="187">
        <v>620464</v>
      </c>
      <c r="M26" s="17">
        <f t="shared" si="12"/>
        <v>10550</v>
      </c>
      <c r="N26" s="187">
        <v>305814</v>
      </c>
      <c r="O26" s="17">
        <f t="shared" si="6"/>
        <v>4780</v>
      </c>
      <c r="P26" s="17">
        <f t="shared" si="13"/>
        <v>2390</v>
      </c>
      <c r="Q26" s="187">
        <v>392330</v>
      </c>
      <c r="R26" s="17">
        <f t="shared" si="7"/>
        <v>11310</v>
      </c>
      <c r="S26" s="17">
        <f t="shared" si="14"/>
        <v>5655</v>
      </c>
      <c r="T26" s="187">
        <v>185913</v>
      </c>
      <c r="U26" s="17">
        <f t="shared" si="15"/>
        <v>3270</v>
      </c>
      <c r="V26" s="17">
        <f t="shared" si="16"/>
        <v>1635</v>
      </c>
      <c r="W26" s="187">
        <v>266465</v>
      </c>
      <c r="X26" s="17">
        <f>(W26-W25)*10</f>
        <v>6980</v>
      </c>
      <c r="Y26" s="17">
        <f t="shared" si="18"/>
        <v>3490</v>
      </c>
      <c r="Z26" s="187">
        <v>75118</v>
      </c>
      <c r="AA26" s="17">
        <f t="shared" si="19"/>
        <v>121</v>
      </c>
      <c r="AB26" s="187">
        <v>143023</v>
      </c>
      <c r="AC26" s="17">
        <f t="shared" si="20"/>
        <v>221</v>
      </c>
      <c r="AD26" s="187">
        <v>257227</v>
      </c>
      <c r="AE26" s="17">
        <f t="shared" si="21"/>
        <v>389</v>
      </c>
      <c r="AF26" s="187">
        <v>131319</v>
      </c>
      <c r="AG26" s="17">
        <f t="shared" si="22"/>
        <v>186</v>
      </c>
      <c r="AH26" s="187">
        <v>689830</v>
      </c>
      <c r="AI26" s="17">
        <f t="shared" si="23"/>
        <v>961</v>
      </c>
      <c r="AK26" s="96">
        <f t="shared" si="24"/>
        <v>49330</v>
      </c>
      <c r="AL26" s="97">
        <f t="shared" si="25"/>
        <v>15048</v>
      </c>
    </row>
    <row r="27" spans="1:38" ht="39.950000000000003" customHeight="1">
      <c r="A27" s="185">
        <f t="shared" si="26"/>
        <v>44732</v>
      </c>
      <c r="B27" s="16"/>
      <c r="C27" s="187">
        <v>267265</v>
      </c>
      <c r="D27" s="17">
        <f t="shared" si="5"/>
        <v>4310</v>
      </c>
      <c r="E27" s="187">
        <v>451658</v>
      </c>
      <c r="F27" s="17">
        <f t="shared" si="27"/>
        <v>7720</v>
      </c>
      <c r="G27" s="187">
        <v>176824</v>
      </c>
      <c r="H27" s="17">
        <f t="shared" si="9"/>
        <v>14990</v>
      </c>
      <c r="I27" s="17">
        <f t="shared" si="10"/>
        <v>7495</v>
      </c>
      <c r="J27" s="187">
        <v>392199</v>
      </c>
      <c r="K27" s="17">
        <f t="shared" si="11"/>
        <v>6010</v>
      </c>
      <c r="L27" s="187">
        <v>621388</v>
      </c>
      <c r="M27" s="17">
        <f t="shared" si="12"/>
        <v>9240</v>
      </c>
      <c r="N27" s="187">
        <v>306283</v>
      </c>
      <c r="O27" s="17">
        <f t="shared" si="6"/>
        <v>4690</v>
      </c>
      <c r="P27" s="17">
        <f t="shared" si="13"/>
        <v>2345</v>
      </c>
      <c r="Q27" s="187">
        <v>393470</v>
      </c>
      <c r="R27" s="17">
        <f t="shared" si="7"/>
        <v>11400</v>
      </c>
      <c r="S27" s="17">
        <f t="shared" si="14"/>
        <v>5700</v>
      </c>
      <c r="T27" s="187">
        <v>185941</v>
      </c>
      <c r="U27" s="17">
        <f t="shared" si="15"/>
        <v>280</v>
      </c>
      <c r="V27" s="17">
        <f t="shared" si="16"/>
        <v>140</v>
      </c>
      <c r="W27" s="187">
        <v>267379</v>
      </c>
      <c r="X27" s="17">
        <f t="shared" si="17"/>
        <v>9140</v>
      </c>
      <c r="Y27" s="17">
        <f t="shared" si="18"/>
        <v>4570</v>
      </c>
      <c r="Z27" s="187">
        <v>75238</v>
      </c>
      <c r="AA27" s="17">
        <f t="shared" si="19"/>
        <v>120</v>
      </c>
      <c r="AB27" s="187">
        <v>143246</v>
      </c>
      <c r="AC27" s="17">
        <f t="shared" si="20"/>
        <v>223</v>
      </c>
      <c r="AD27" s="187">
        <v>257632</v>
      </c>
      <c r="AE27" s="17">
        <f t="shared" si="21"/>
        <v>405</v>
      </c>
      <c r="AF27" s="187">
        <v>131506</v>
      </c>
      <c r="AG27" s="17">
        <f t="shared" si="22"/>
        <v>187</v>
      </c>
      <c r="AH27" s="187">
        <v>690793</v>
      </c>
      <c r="AI27" s="17">
        <f t="shared" si="23"/>
        <v>963</v>
      </c>
      <c r="AK27" s="96">
        <f t="shared" si="24"/>
        <v>47530</v>
      </c>
      <c r="AL27" s="97">
        <f t="shared" si="25"/>
        <v>14653</v>
      </c>
    </row>
    <row r="28" spans="1:38" ht="39.950000000000003" customHeight="1">
      <c r="A28" s="185">
        <f t="shared" si="26"/>
        <v>44733</v>
      </c>
      <c r="B28" s="16"/>
      <c r="C28" s="187">
        <v>268310</v>
      </c>
      <c r="D28" s="17">
        <f t="shared" si="5"/>
        <v>10450</v>
      </c>
      <c r="E28" s="187">
        <v>452413</v>
      </c>
      <c r="F28" s="17">
        <f t="shared" si="27"/>
        <v>7550</v>
      </c>
      <c r="G28" s="187">
        <v>178321</v>
      </c>
      <c r="H28" s="17">
        <f t="shared" si="9"/>
        <v>14970</v>
      </c>
      <c r="I28" s="17">
        <f t="shared" si="10"/>
        <v>7485</v>
      </c>
      <c r="J28" s="187">
        <v>392813</v>
      </c>
      <c r="K28" s="17">
        <f t="shared" si="11"/>
        <v>6140</v>
      </c>
      <c r="L28" s="187">
        <v>622415</v>
      </c>
      <c r="M28" s="17">
        <f t="shared" si="12"/>
        <v>10270</v>
      </c>
      <c r="N28" s="187">
        <v>306784</v>
      </c>
      <c r="O28" s="17">
        <f t="shared" si="6"/>
        <v>5010</v>
      </c>
      <c r="P28" s="17">
        <f t="shared" si="13"/>
        <v>2505</v>
      </c>
      <c r="Q28" s="187">
        <v>394615</v>
      </c>
      <c r="R28" s="17">
        <f t="shared" si="7"/>
        <v>11450</v>
      </c>
      <c r="S28" s="17">
        <f t="shared" si="14"/>
        <v>5725</v>
      </c>
      <c r="T28" s="187">
        <v>185943</v>
      </c>
      <c r="U28" s="17">
        <f t="shared" si="15"/>
        <v>20</v>
      </c>
      <c r="V28" s="17">
        <f t="shared" si="16"/>
        <v>10</v>
      </c>
      <c r="W28" s="187">
        <v>268310</v>
      </c>
      <c r="X28" s="17">
        <f t="shared" si="17"/>
        <v>9310</v>
      </c>
      <c r="Y28" s="17">
        <f t="shared" si="18"/>
        <v>4655</v>
      </c>
      <c r="Z28" s="187">
        <v>75362</v>
      </c>
      <c r="AA28" s="17">
        <f t="shared" si="19"/>
        <v>124</v>
      </c>
      <c r="AB28" s="187">
        <v>143462</v>
      </c>
      <c r="AC28" s="17">
        <f t="shared" si="20"/>
        <v>216</v>
      </c>
      <c r="AD28" s="187">
        <v>258013</v>
      </c>
      <c r="AE28" s="17">
        <f t="shared" si="21"/>
        <v>381</v>
      </c>
      <c r="AF28" s="187">
        <v>131683</v>
      </c>
      <c r="AG28" s="17">
        <f t="shared" si="22"/>
        <v>177</v>
      </c>
      <c r="AH28" s="187">
        <v>691709</v>
      </c>
      <c r="AI28" s="17">
        <f t="shared" si="23"/>
        <v>916</v>
      </c>
      <c r="AK28" s="96">
        <f t="shared" si="24"/>
        <v>54790</v>
      </c>
      <c r="AL28" s="97">
        <f t="shared" si="25"/>
        <v>14709</v>
      </c>
    </row>
    <row r="29" spans="1:38" ht="39.950000000000003" customHeight="1">
      <c r="A29" s="185">
        <f t="shared" si="26"/>
        <v>44734</v>
      </c>
      <c r="B29" s="16"/>
      <c r="C29" s="187">
        <v>268084</v>
      </c>
      <c r="D29" s="17">
        <f t="shared" si="5"/>
        <v>-2260</v>
      </c>
      <c r="E29" s="187">
        <v>453106</v>
      </c>
      <c r="F29" s="17">
        <f t="shared" si="27"/>
        <v>6930</v>
      </c>
      <c r="G29" s="187">
        <v>179756</v>
      </c>
      <c r="H29" s="17">
        <f t="shared" si="9"/>
        <v>14350</v>
      </c>
      <c r="I29" s="17">
        <f t="shared" si="10"/>
        <v>7175</v>
      </c>
      <c r="J29" s="187">
        <v>393395</v>
      </c>
      <c r="K29" s="17">
        <f t="shared" si="11"/>
        <v>5820</v>
      </c>
      <c r="L29" s="187">
        <v>623376</v>
      </c>
      <c r="M29" s="17">
        <f t="shared" si="12"/>
        <v>9610</v>
      </c>
      <c r="N29" s="187">
        <v>307605</v>
      </c>
      <c r="O29" s="17">
        <f t="shared" si="6"/>
        <v>8210</v>
      </c>
      <c r="P29" s="17">
        <f t="shared" si="13"/>
        <v>4105</v>
      </c>
      <c r="Q29" s="187">
        <v>395305</v>
      </c>
      <c r="R29" s="17">
        <f t="shared" si="7"/>
        <v>6900</v>
      </c>
      <c r="S29" s="17">
        <f t="shared" si="14"/>
        <v>3450</v>
      </c>
      <c r="T29" s="187">
        <v>186638</v>
      </c>
      <c r="U29" s="17">
        <f t="shared" si="15"/>
        <v>6950</v>
      </c>
      <c r="V29" s="17">
        <f t="shared" si="16"/>
        <v>3475</v>
      </c>
      <c r="W29" s="187">
        <v>268730</v>
      </c>
      <c r="X29" s="17">
        <f t="shared" si="17"/>
        <v>4200</v>
      </c>
      <c r="Y29" s="17">
        <f t="shared" si="18"/>
        <v>2100</v>
      </c>
      <c r="Z29" s="187">
        <v>75475</v>
      </c>
      <c r="AA29" s="17">
        <f t="shared" si="19"/>
        <v>113</v>
      </c>
      <c r="AB29" s="187">
        <v>143686</v>
      </c>
      <c r="AC29" s="17">
        <f t="shared" si="20"/>
        <v>224</v>
      </c>
      <c r="AD29" s="187">
        <v>258410</v>
      </c>
      <c r="AE29" s="17">
        <f t="shared" si="21"/>
        <v>397</v>
      </c>
      <c r="AF29" s="187">
        <v>131867</v>
      </c>
      <c r="AG29" s="17">
        <f t="shared" si="22"/>
        <v>184</v>
      </c>
      <c r="AH29" s="187">
        <v>692675</v>
      </c>
      <c r="AI29" s="17">
        <f t="shared" si="23"/>
        <v>966</v>
      </c>
      <c r="AK29" s="96">
        <f t="shared" si="24"/>
        <v>40405</v>
      </c>
      <c r="AL29" s="97">
        <f t="shared" si="25"/>
        <v>15014</v>
      </c>
    </row>
    <row r="30" spans="1:38" ht="39.950000000000003" customHeight="1">
      <c r="A30" s="185">
        <f t="shared" si="26"/>
        <v>44735</v>
      </c>
      <c r="B30" s="16"/>
      <c r="C30" s="187">
        <v>268543</v>
      </c>
      <c r="D30" s="17">
        <f t="shared" si="5"/>
        <v>4590</v>
      </c>
      <c r="E30" s="187">
        <v>453932</v>
      </c>
      <c r="F30" s="17">
        <f t="shared" si="27"/>
        <v>8260</v>
      </c>
      <c r="G30" s="187">
        <v>181364</v>
      </c>
      <c r="H30" s="17">
        <f t="shared" si="9"/>
        <v>16080</v>
      </c>
      <c r="I30" s="17">
        <f t="shared" si="10"/>
        <v>8040</v>
      </c>
      <c r="J30" s="187">
        <v>394312</v>
      </c>
      <c r="K30" s="17">
        <f t="shared" si="11"/>
        <v>9170</v>
      </c>
      <c r="L30" s="187">
        <v>624474</v>
      </c>
      <c r="M30" s="17">
        <f t="shared" si="12"/>
        <v>10980</v>
      </c>
      <c r="N30" s="187">
        <v>309020</v>
      </c>
      <c r="O30" s="17">
        <f t="shared" si="6"/>
        <v>14150</v>
      </c>
      <c r="P30" s="17">
        <f t="shared" si="13"/>
        <v>7075</v>
      </c>
      <c r="Q30" s="187">
        <v>395307</v>
      </c>
      <c r="R30" s="17">
        <f t="shared" si="7"/>
        <v>20</v>
      </c>
      <c r="S30" s="17">
        <f t="shared" si="14"/>
        <v>10</v>
      </c>
      <c r="T30" s="187">
        <v>187074</v>
      </c>
      <c r="U30" s="17">
        <f t="shared" si="15"/>
        <v>4360</v>
      </c>
      <c r="V30" s="17">
        <f t="shared" si="16"/>
        <v>2180</v>
      </c>
      <c r="W30" s="187">
        <v>269550</v>
      </c>
      <c r="X30" s="17">
        <f t="shared" si="17"/>
        <v>8200</v>
      </c>
      <c r="Y30" s="17">
        <f t="shared" si="18"/>
        <v>4100</v>
      </c>
      <c r="Z30" s="187">
        <v>75606</v>
      </c>
      <c r="AA30" s="17">
        <f t="shared" si="19"/>
        <v>131</v>
      </c>
      <c r="AB30" s="187">
        <v>143927</v>
      </c>
      <c r="AC30" s="17">
        <f t="shared" si="20"/>
        <v>241</v>
      </c>
      <c r="AD30" s="187">
        <v>258841</v>
      </c>
      <c r="AE30" s="17">
        <f t="shared" si="21"/>
        <v>431</v>
      </c>
      <c r="AF30" s="187">
        <v>132066</v>
      </c>
      <c r="AG30" s="17">
        <f t="shared" si="22"/>
        <v>199</v>
      </c>
      <c r="AH30" s="187">
        <v>693765</v>
      </c>
      <c r="AI30" s="17">
        <f t="shared" si="23"/>
        <v>1090</v>
      </c>
      <c r="AK30" s="96">
        <f t="shared" si="24"/>
        <v>54405</v>
      </c>
      <c r="AL30" s="97">
        <f t="shared" si="25"/>
        <v>15457</v>
      </c>
    </row>
    <row r="31" spans="1:38" ht="39.950000000000003" customHeight="1">
      <c r="A31" s="185">
        <f t="shared" si="26"/>
        <v>44736</v>
      </c>
      <c r="B31" s="16"/>
      <c r="C31" s="187">
        <v>269003</v>
      </c>
      <c r="D31" s="17">
        <f t="shared" si="5"/>
        <v>4600</v>
      </c>
      <c r="E31" s="187">
        <v>454753</v>
      </c>
      <c r="F31" s="17">
        <f t="shared" si="27"/>
        <v>8210</v>
      </c>
      <c r="G31" s="187">
        <v>182936</v>
      </c>
      <c r="H31" s="17">
        <f t="shared" si="9"/>
        <v>15720</v>
      </c>
      <c r="I31" s="17">
        <f t="shared" si="10"/>
        <v>7860</v>
      </c>
      <c r="J31" s="187">
        <v>394697</v>
      </c>
      <c r="K31" s="17">
        <f t="shared" si="11"/>
        <v>3850</v>
      </c>
      <c r="L31" s="187">
        <v>625534</v>
      </c>
      <c r="M31" s="17">
        <f t="shared" si="12"/>
        <v>10600</v>
      </c>
      <c r="N31" s="187">
        <v>310413</v>
      </c>
      <c r="O31" s="17">
        <f t="shared" si="6"/>
        <v>13930</v>
      </c>
      <c r="P31" s="17">
        <f t="shared" si="13"/>
        <v>6965</v>
      </c>
      <c r="Q31" s="187">
        <v>395309</v>
      </c>
      <c r="R31" s="17">
        <f t="shared" si="7"/>
        <v>20</v>
      </c>
      <c r="S31" s="17">
        <f t="shared" si="14"/>
        <v>10</v>
      </c>
      <c r="T31" s="187">
        <v>187077</v>
      </c>
      <c r="U31" s="17">
        <f t="shared" si="15"/>
        <v>30</v>
      </c>
      <c r="V31" s="17">
        <f t="shared" si="16"/>
        <v>15</v>
      </c>
      <c r="W31" s="187">
        <v>270803</v>
      </c>
      <c r="X31" s="17">
        <f t="shared" si="17"/>
        <v>12530</v>
      </c>
      <c r="Y31" s="17">
        <f t="shared" si="18"/>
        <v>6265</v>
      </c>
      <c r="Z31" s="187">
        <v>75726</v>
      </c>
      <c r="AA31" s="17">
        <f t="shared" si="19"/>
        <v>120</v>
      </c>
      <c r="AB31" s="187">
        <v>144155</v>
      </c>
      <c r="AC31" s="17">
        <f t="shared" si="20"/>
        <v>228</v>
      </c>
      <c r="AD31" s="187">
        <v>259261</v>
      </c>
      <c r="AE31" s="17">
        <f t="shared" si="21"/>
        <v>420</v>
      </c>
      <c r="AF31" s="187">
        <v>132260</v>
      </c>
      <c r="AG31" s="17">
        <f t="shared" si="22"/>
        <v>194</v>
      </c>
      <c r="AH31" s="187">
        <v>694817</v>
      </c>
      <c r="AI31" s="17">
        <f t="shared" si="23"/>
        <v>1052</v>
      </c>
      <c r="AK31" s="96">
        <f t="shared" si="24"/>
        <v>48375</v>
      </c>
      <c r="AL31" s="97">
        <f t="shared" si="25"/>
        <v>15269</v>
      </c>
    </row>
    <row r="32" spans="1:38" ht="39.950000000000003" customHeight="1">
      <c r="A32" s="185">
        <f t="shared" si="26"/>
        <v>44737</v>
      </c>
      <c r="B32" s="16"/>
      <c r="C32" s="186">
        <v>269464</v>
      </c>
      <c r="D32" s="17">
        <f t="shared" si="5"/>
        <v>4610</v>
      </c>
      <c r="E32" s="186">
        <v>455590</v>
      </c>
      <c r="F32" s="17">
        <f t="shared" si="27"/>
        <v>8370</v>
      </c>
      <c r="G32" s="186">
        <v>184404</v>
      </c>
      <c r="H32" s="17">
        <f t="shared" si="9"/>
        <v>14680</v>
      </c>
      <c r="I32" s="17">
        <f t="shared" si="10"/>
        <v>7340</v>
      </c>
      <c r="J32" s="186">
        <v>395329</v>
      </c>
      <c r="K32" s="17">
        <f t="shared" si="11"/>
        <v>6320</v>
      </c>
      <c r="L32" s="186">
        <v>626611</v>
      </c>
      <c r="M32" s="17">
        <f t="shared" si="12"/>
        <v>10770</v>
      </c>
      <c r="N32" s="186">
        <v>311679</v>
      </c>
      <c r="O32" s="17">
        <f t="shared" si="6"/>
        <v>12660</v>
      </c>
      <c r="P32" s="17">
        <f t="shared" si="13"/>
        <v>6330</v>
      </c>
      <c r="Q32" s="187">
        <v>395691</v>
      </c>
      <c r="R32" s="17">
        <f t="shared" si="7"/>
        <v>3820</v>
      </c>
      <c r="S32" s="17">
        <f t="shared" si="14"/>
        <v>1910</v>
      </c>
      <c r="T32" s="186">
        <v>187079</v>
      </c>
      <c r="U32" s="17">
        <f t="shared" si="15"/>
        <v>20</v>
      </c>
      <c r="V32" s="17">
        <f t="shared" si="16"/>
        <v>10</v>
      </c>
      <c r="W32" s="186">
        <v>271837</v>
      </c>
      <c r="X32" s="17">
        <f t="shared" si="17"/>
        <v>10340</v>
      </c>
      <c r="Y32" s="17">
        <f t="shared" si="18"/>
        <v>5170</v>
      </c>
      <c r="Z32" s="186">
        <v>75855</v>
      </c>
      <c r="AA32" s="17">
        <f t="shared" si="19"/>
        <v>129</v>
      </c>
      <c r="AB32" s="186">
        <v>144364</v>
      </c>
      <c r="AC32" s="17">
        <f t="shared" si="20"/>
        <v>209</v>
      </c>
      <c r="AD32" s="186">
        <v>259645</v>
      </c>
      <c r="AE32" s="17">
        <f t="shared" si="21"/>
        <v>384</v>
      </c>
      <c r="AF32" s="186">
        <v>132443</v>
      </c>
      <c r="AG32" s="17">
        <f t="shared" si="22"/>
        <v>183</v>
      </c>
      <c r="AH32" s="186">
        <v>695779</v>
      </c>
      <c r="AI32" s="17">
        <f t="shared" si="23"/>
        <v>962</v>
      </c>
      <c r="AK32" s="96">
        <f t="shared" si="24"/>
        <v>50830</v>
      </c>
      <c r="AL32" s="97">
        <f t="shared" si="25"/>
        <v>15287</v>
      </c>
    </row>
    <row r="33" spans="1:38" ht="39.950000000000003" customHeight="1">
      <c r="A33" s="185">
        <f t="shared" si="26"/>
        <v>44738</v>
      </c>
      <c r="B33" s="16"/>
      <c r="C33" s="186">
        <v>269909</v>
      </c>
      <c r="D33" s="17">
        <f t="shared" si="5"/>
        <v>4450</v>
      </c>
      <c r="E33" s="186">
        <v>456377</v>
      </c>
      <c r="F33" s="17">
        <f t="shared" si="27"/>
        <v>7870</v>
      </c>
      <c r="G33" s="186">
        <v>185866</v>
      </c>
      <c r="H33" s="17">
        <f t="shared" si="9"/>
        <v>14620</v>
      </c>
      <c r="I33" s="17">
        <f t="shared" si="10"/>
        <v>7310</v>
      </c>
      <c r="J33" s="186">
        <v>396159</v>
      </c>
      <c r="K33" s="17">
        <f t="shared" si="11"/>
        <v>8300</v>
      </c>
      <c r="L33" s="186">
        <v>627679</v>
      </c>
      <c r="M33" s="17">
        <f t="shared" si="12"/>
        <v>10680</v>
      </c>
      <c r="N33" s="186">
        <v>313129</v>
      </c>
      <c r="O33" s="17">
        <f t="shared" si="6"/>
        <v>14500</v>
      </c>
      <c r="P33" s="17">
        <f t="shared" si="13"/>
        <v>7250</v>
      </c>
      <c r="Q33" s="186">
        <v>396559</v>
      </c>
      <c r="R33" s="17">
        <f t="shared" si="7"/>
        <v>8680</v>
      </c>
      <c r="S33" s="17">
        <f t="shared" si="14"/>
        <v>4340</v>
      </c>
      <c r="T33" s="186">
        <v>187081</v>
      </c>
      <c r="U33" s="17">
        <f t="shared" si="15"/>
        <v>20</v>
      </c>
      <c r="V33" s="17">
        <f t="shared" si="16"/>
        <v>10</v>
      </c>
      <c r="W33" s="186">
        <v>272200</v>
      </c>
      <c r="X33" s="17">
        <f t="shared" si="17"/>
        <v>3630</v>
      </c>
      <c r="Y33" s="17">
        <f t="shared" si="18"/>
        <v>1815</v>
      </c>
      <c r="Z33" s="186">
        <v>75986</v>
      </c>
      <c r="AA33" s="17">
        <f t="shared" si="19"/>
        <v>131</v>
      </c>
      <c r="AB33" s="186">
        <v>144579</v>
      </c>
      <c r="AC33" s="17">
        <f t="shared" si="20"/>
        <v>215</v>
      </c>
      <c r="AD33" s="186">
        <v>260053</v>
      </c>
      <c r="AE33" s="17">
        <f t="shared" si="21"/>
        <v>408</v>
      </c>
      <c r="AF33" s="186">
        <v>132632</v>
      </c>
      <c r="AG33" s="17">
        <f t="shared" si="22"/>
        <v>189</v>
      </c>
      <c r="AH33" s="186">
        <v>696786</v>
      </c>
      <c r="AI33" s="17">
        <f t="shared" si="23"/>
        <v>1007</v>
      </c>
      <c r="AK33" s="96">
        <f t="shared" si="24"/>
        <v>52025</v>
      </c>
      <c r="AL33" s="97">
        <f t="shared" si="25"/>
        <v>15365</v>
      </c>
    </row>
    <row r="34" spans="1:38" ht="39.950000000000003" customHeight="1">
      <c r="A34" s="185">
        <f t="shared" si="26"/>
        <v>44739</v>
      </c>
      <c r="B34" s="16"/>
      <c r="C34" s="186">
        <v>270395</v>
      </c>
      <c r="D34" s="17">
        <f t="shared" si="5"/>
        <v>4860</v>
      </c>
      <c r="E34" s="186">
        <v>457208</v>
      </c>
      <c r="F34" s="17">
        <f t="shared" si="27"/>
        <v>8310</v>
      </c>
      <c r="G34" s="186">
        <v>187424</v>
      </c>
      <c r="H34" s="17">
        <f t="shared" si="9"/>
        <v>15580</v>
      </c>
      <c r="I34" s="17">
        <f t="shared" si="10"/>
        <v>7790</v>
      </c>
      <c r="J34" s="186">
        <v>396599</v>
      </c>
      <c r="K34" s="17">
        <f t="shared" si="11"/>
        <v>4400</v>
      </c>
      <c r="L34" s="186">
        <v>628634</v>
      </c>
      <c r="M34" s="17">
        <f t="shared" si="12"/>
        <v>9550</v>
      </c>
      <c r="N34" s="186">
        <v>314385</v>
      </c>
      <c r="O34" s="17">
        <f t="shared" si="6"/>
        <v>12560</v>
      </c>
      <c r="P34" s="17">
        <f t="shared" si="13"/>
        <v>6280</v>
      </c>
      <c r="Q34" s="186">
        <v>397670</v>
      </c>
      <c r="R34" s="17">
        <f t="shared" si="7"/>
        <v>11110</v>
      </c>
      <c r="S34" s="17">
        <f t="shared" si="14"/>
        <v>5555</v>
      </c>
      <c r="T34" s="186">
        <v>187083</v>
      </c>
      <c r="U34" s="17">
        <f t="shared" si="15"/>
        <v>20</v>
      </c>
      <c r="V34" s="17">
        <f t="shared" si="16"/>
        <v>10</v>
      </c>
      <c r="W34" s="186">
        <v>272630</v>
      </c>
      <c r="X34" s="17">
        <f t="shared" si="17"/>
        <v>4300</v>
      </c>
      <c r="Y34" s="17">
        <f t="shared" si="18"/>
        <v>2150</v>
      </c>
      <c r="Z34" s="186">
        <v>76114</v>
      </c>
      <c r="AA34" s="17">
        <f t="shared" si="19"/>
        <v>128</v>
      </c>
      <c r="AB34" s="186">
        <v>144810</v>
      </c>
      <c r="AC34" s="17">
        <f t="shared" si="20"/>
        <v>231</v>
      </c>
      <c r="AD34" s="186">
        <v>260482</v>
      </c>
      <c r="AE34" s="17">
        <f t="shared" si="21"/>
        <v>429</v>
      </c>
      <c r="AF34" s="186">
        <v>132836</v>
      </c>
      <c r="AG34" s="17">
        <f t="shared" si="22"/>
        <v>204</v>
      </c>
      <c r="AH34" s="186">
        <v>697892</v>
      </c>
      <c r="AI34" s="17">
        <f t="shared" si="23"/>
        <v>1106</v>
      </c>
      <c r="AK34" s="96">
        <f t="shared" si="24"/>
        <v>48905</v>
      </c>
      <c r="AL34" s="97">
        <f t="shared" si="25"/>
        <v>16093</v>
      </c>
    </row>
    <row r="35" spans="1:38" ht="39.950000000000003" customHeight="1">
      <c r="A35" s="185">
        <f t="shared" si="26"/>
        <v>44740</v>
      </c>
      <c r="B35" s="16"/>
      <c r="C35" s="186">
        <v>270840</v>
      </c>
      <c r="D35" s="17">
        <f t="shared" si="5"/>
        <v>4450</v>
      </c>
      <c r="E35" s="186">
        <v>458006</v>
      </c>
      <c r="F35" s="17">
        <f t="shared" si="27"/>
        <v>7980</v>
      </c>
      <c r="G35" s="186">
        <v>188901</v>
      </c>
      <c r="H35" s="17">
        <f t="shared" si="9"/>
        <v>14770</v>
      </c>
      <c r="I35" s="17">
        <f t="shared" si="10"/>
        <v>7385</v>
      </c>
      <c r="J35" s="186">
        <v>397221</v>
      </c>
      <c r="K35" s="17">
        <f t="shared" si="11"/>
        <v>6220</v>
      </c>
      <c r="L35" s="186">
        <v>629667</v>
      </c>
      <c r="M35" s="17">
        <f t="shared" si="12"/>
        <v>10330</v>
      </c>
      <c r="N35" s="186">
        <v>315559</v>
      </c>
      <c r="O35" s="17">
        <f t="shared" si="6"/>
        <v>11740</v>
      </c>
      <c r="P35" s="17">
        <f t="shared" si="13"/>
        <v>5870</v>
      </c>
      <c r="Q35" s="186">
        <v>398743</v>
      </c>
      <c r="R35" s="17">
        <f t="shared" si="7"/>
        <v>10730</v>
      </c>
      <c r="S35" s="17">
        <f t="shared" si="14"/>
        <v>5365</v>
      </c>
      <c r="T35" s="186">
        <v>187085</v>
      </c>
      <c r="U35" s="17">
        <f t="shared" si="15"/>
        <v>20</v>
      </c>
      <c r="V35" s="17">
        <f t="shared" si="16"/>
        <v>10</v>
      </c>
      <c r="W35" s="186">
        <v>273105</v>
      </c>
      <c r="X35" s="17">
        <f t="shared" si="17"/>
        <v>4750</v>
      </c>
      <c r="Y35" s="17">
        <f t="shared" si="18"/>
        <v>2375</v>
      </c>
      <c r="Z35" s="186">
        <v>76236</v>
      </c>
      <c r="AA35" s="17">
        <f t="shared" si="19"/>
        <v>122</v>
      </c>
      <c r="AB35" s="186">
        <v>145034</v>
      </c>
      <c r="AC35" s="17">
        <f t="shared" si="20"/>
        <v>224</v>
      </c>
      <c r="AD35" s="186">
        <v>260898</v>
      </c>
      <c r="AE35" s="17">
        <f t="shared" si="21"/>
        <v>416</v>
      </c>
      <c r="AF35" s="186">
        <v>133023</v>
      </c>
      <c r="AG35" s="17">
        <f t="shared" si="22"/>
        <v>187</v>
      </c>
      <c r="AH35" s="186">
        <v>698893</v>
      </c>
      <c r="AI35" s="17">
        <f t="shared" si="23"/>
        <v>1001</v>
      </c>
      <c r="AK35" s="96">
        <f t="shared" si="24"/>
        <v>49985</v>
      </c>
      <c r="AL35" s="97">
        <f t="shared" si="25"/>
        <v>15570</v>
      </c>
    </row>
    <row r="36" spans="1:38" ht="39.950000000000003" customHeight="1">
      <c r="A36" s="185">
        <f t="shared" si="26"/>
        <v>44741</v>
      </c>
      <c r="B36" s="16"/>
      <c r="C36" s="186">
        <v>271289</v>
      </c>
      <c r="D36" s="17">
        <f t="shared" si="5"/>
        <v>4490</v>
      </c>
      <c r="E36" s="186">
        <v>458811</v>
      </c>
      <c r="F36" s="17">
        <f t="shared" si="27"/>
        <v>8050</v>
      </c>
      <c r="G36" s="186">
        <v>190404</v>
      </c>
      <c r="H36" s="17">
        <f t="shared" si="9"/>
        <v>15030</v>
      </c>
      <c r="I36" s="17">
        <f t="shared" si="10"/>
        <v>7515</v>
      </c>
      <c r="J36" s="186">
        <v>397860</v>
      </c>
      <c r="K36" s="17">
        <f t="shared" si="11"/>
        <v>6390</v>
      </c>
      <c r="L36" s="186">
        <v>630700</v>
      </c>
      <c r="M36" s="17">
        <f t="shared" si="12"/>
        <v>10330</v>
      </c>
      <c r="N36" s="186">
        <v>317034</v>
      </c>
      <c r="O36" s="17">
        <f t="shared" si="6"/>
        <v>14750</v>
      </c>
      <c r="P36" s="17">
        <f t="shared" si="13"/>
        <v>7375</v>
      </c>
      <c r="Q36" s="186">
        <v>399675</v>
      </c>
      <c r="R36" s="17">
        <f t="shared" si="7"/>
        <v>9320</v>
      </c>
      <c r="S36" s="17">
        <f t="shared" si="14"/>
        <v>4660</v>
      </c>
      <c r="T36" s="186">
        <v>187087</v>
      </c>
      <c r="U36" s="17">
        <f t="shared" si="15"/>
        <v>20</v>
      </c>
      <c r="V36" s="17">
        <f t="shared" si="16"/>
        <v>10</v>
      </c>
      <c r="W36" s="186">
        <v>273609</v>
      </c>
      <c r="X36" s="17">
        <f t="shared" si="17"/>
        <v>5040</v>
      </c>
      <c r="Y36" s="17">
        <f t="shared" si="18"/>
        <v>2520</v>
      </c>
      <c r="Z36" s="186">
        <v>76358</v>
      </c>
      <c r="AA36" s="17">
        <f t="shared" si="19"/>
        <v>122</v>
      </c>
      <c r="AB36" s="186">
        <v>145258</v>
      </c>
      <c r="AC36" s="17">
        <f t="shared" si="20"/>
        <v>224</v>
      </c>
      <c r="AD36" s="186">
        <v>261307</v>
      </c>
      <c r="AE36" s="17">
        <f t="shared" si="21"/>
        <v>409</v>
      </c>
      <c r="AF36" s="186">
        <v>133212</v>
      </c>
      <c r="AG36" s="17">
        <f t="shared" si="22"/>
        <v>189</v>
      </c>
      <c r="AH36" s="186">
        <v>699906</v>
      </c>
      <c r="AI36" s="17">
        <f t="shared" si="23"/>
        <v>1013</v>
      </c>
      <c r="AK36" s="96">
        <f t="shared" si="24"/>
        <v>51340</v>
      </c>
      <c r="AL36" s="97">
        <f t="shared" si="25"/>
        <v>16522</v>
      </c>
    </row>
    <row r="37" spans="1:38" ht="39.950000000000003" customHeight="1">
      <c r="A37" s="185">
        <f t="shared" si="26"/>
        <v>44742</v>
      </c>
      <c r="B37" s="16"/>
      <c r="C37" s="186">
        <v>271743</v>
      </c>
      <c r="D37" s="17">
        <f t="shared" si="5"/>
        <v>4540</v>
      </c>
      <c r="E37" s="186">
        <v>459657</v>
      </c>
      <c r="F37" s="17">
        <f t="shared" si="27"/>
        <v>8460</v>
      </c>
      <c r="G37" s="186">
        <v>192030</v>
      </c>
      <c r="H37" s="17">
        <f t="shared" si="9"/>
        <v>16260</v>
      </c>
      <c r="I37" s="17">
        <f t="shared" si="10"/>
        <v>8130</v>
      </c>
      <c r="J37" s="186">
        <v>398533</v>
      </c>
      <c r="K37" s="17">
        <f t="shared" si="11"/>
        <v>6730</v>
      </c>
      <c r="L37" s="186">
        <v>631822</v>
      </c>
      <c r="M37" s="17">
        <f t="shared" si="12"/>
        <v>11220</v>
      </c>
      <c r="N37" s="186">
        <v>318721</v>
      </c>
      <c r="O37" s="17">
        <f t="shared" si="6"/>
        <v>16870</v>
      </c>
      <c r="P37" s="17">
        <f t="shared" si="13"/>
        <v>8435</v>
      </c>
      <c r="Q37" s="186">
        <v>400701</v>
      </c>
      <c r="R37" s="17">
        <f t="shared" si="7"/>
        <v>10260</v>
      </c>
      <c r="S37" s="17">
        <f t="shared" si="14"/>
        <v>5130</v>
      </c>
      <c r="T37" s="186">
        <v>187090</v>
      </c>
      <c r="U37" s="17">
        <f t="shared" si="15"/>
        <v>30</v>
      </c>
      <c r="V37" s="17">
        <f t="shared" si="16"/>
        <v>15</v>
      </c>
      <c r="W37" s="186">
        <v>273642</v>
      </c>
      <c r="X37" s="17">
        <f t="shared" si="17"/>
        <v>330</v>
      </c>
      <c r="Y37" s="17">
        <f t="shared" si="18"/>
        <v>165</v>
      </c>
      <c r="Z37" s="186">
        <v>76485</v>
      </c>
      <c r="AA37" s="17">
        <f t="shared" si="19"/>
        <v>127</v>
      </c>
      <c r="AB37" s="186">
        <v>145492</v>
      </c>
      <c r="AC37" s="17">
        <f t="shared" si="20"/>
        <v>234</v>
      </c>
      <c r="AD37" s="186">
        <v>261722</v>
      </c>
      <c r="AE37" s="17">
        <f t="shared" si="21"/>
        <v>415</v>
      </c>
      <c r="AF37" s="186">
        <v>133408</v>
      </c>
      <c r="AG37" s="17">
        <f t="shared" si="22"/>
        <v>196</v>
      </c>
      <c r="AH37" s="186">
        <v>700944</v>
      </c>
      <c r="AI37" s="17">
        <f t="shared" si="23"/>
        <v>1038</v>
      </c>
      <c r="AK37" s="96">
        <f t="shared" si="24"/>
        <v>52825</v>
      </c>
      <c r="AL37" s="97">
        <f t="shared" si="25"/>
        <v>15755</v>
      </c>
    </row>
    <row r="38" spans="1:38" s="19" customFormat="1" ht="39.950000000000003" customHeight="1">
      <c r="A38" s="18"/>
      <c r="D38" s="20"/>
    </row>
    <row r="39" spans="1:38" s="19" customFormat="1" ht="39.950000000000003" customHeight="1">
      <c r="A39" s="18"/>
      <c r="D39" s="20"/>
    </row>
    <row r="40" spans="1:38" ht="39.950000000000003" customHeight="1">
      <c r="A40" s="11"/>
    </row>
    <row r="41" spans="1:38">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zoomScale="60" zoomScaleNormal="60" workbookViewId="0">
      <pane xSplit="2" ySplit="4" topLeftCell="E5" activePane="bottomRight" state="frozen"/>
      <selection pane="topRight" activeCell="C1" sqref="C1"/>
      <selection pane="bottomLeft" activeCell="A5" sqref="A5"/>
      <selection pane="bottomRight" activeCell="I32" sqref="I32"/>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9"/>
      <c r="B1" s="189"/>
      <c r="C1" s="214" t="s">
        <v>65</v>
      </c>
      <c r="D1" s="214"/>
      <c r="E1" s="214" t="s">
        <v>65</v>
      </c>
      <c r="F1" s="214"/>
      <c r="G1" s="214" t="s">
        <v>65</v>
      </c>
      <c r="H1" s="214"/>
      <c r="I1" s="214" t="s">
        <v>65</v>
      </c>
      <c r="J1" s="214"/>
      <c r="K1" s="200" t="s">
        <v>66</v>
      </c>
      <c r="L1" s="201"/>
      <c r="M1" s="201"/>
      <c r="N1" s="202"/>
      <c r="O1" s="214" t="s">
        <v>67</v>
      </c>
      <c r="P1" s="214"/>
    </row>
    <row r="2" spans="1:19" s="26" customFormat="1" ht="113.25" customHeight="1">
      <c r="A2" s="25"/>
      <c r="B2" s="25"/>
      <c r="C2" s="216" t="s">
        <v>103</v>
      </c>
      <c r="D2" s="217"/>
      <c r="E2" s="216" t="s">
        <v>104</v>
      </c>
      <c r="F2" s="217"/>
      <c r="G2" s="216" t="s">
        <v>105</v>
      </c>
      <c r="H2" s="217"/>
      <c r="I2" s="216" t="s">
        <v>106</v>
      </c>
      <c r="J2" s="217"/>
      <c r="K2" s="218" t="s">
        <v>107</v>
      </c>
      <c r="L2" s="219"/>
      <c r="M2" s="219"/>
      <c r="N2" s="220"/>
      <c r="O2" s="216" t="s">
        <v>108</v>
      </c>
      <c r="P2" s="217"/>
    </row>
    <row r="3" spans="1:19" s="31" customFormat="1" ht="50.1" customHeight="1">
      <c r="A3" s="40"/>
      <c r="B3" s="40"/>
      <c r="C3" s="221" t="s">
        <v>109</v>
      </c>
      <c r="D3" s="222"/>
      <c r="E3" s="223" t="s">
        <v>110</v>
      </c>
      <c r="F3" s="224"/>
      <c r="G3" s="223" t="s">
        <v>111</v>
      </c>
      <c r="H3" s="224"/>
      <c r="I3" s="223" t="s">
        <v>112</v>
      </c>
      <c r="J3" s="224"/>
      <c r="K3" s="225" t="s">
        <v>113</v>
      </c>
      <c r="L3" s="226"/>
      <c r="M3" s="226"/>
      <c r="N3" s="227"/>
      <c r="O3" s="221" t="s">
        <v>114</v>
      </c>
      <c r="P3" s="222"/>
      <c r="R3" s="215" t="s">
        <v>81</v>
      </c>
      <c r="S3" s="215"/>
    </row>
    <row r="4" spans="1:19" s="8" customFormat="1" ht="30" customHeight="1">
      <c r="A4" s="188" t="s">
        <v>96</v>
      </c>
      <c r="B4" s="49"/>
      <c r="C4" s="198"/>
      <c r="D4" s="199"/>
      <c r="E4" s="198"/>
      <c r="F4" s="199"/>
      <c r="G4" s="198"/>
      <c r="H4" s="199"/>
      <c r="I4" s="198"/>
      <c r="J4" s="199"/>
      <c r="K4" s="198"/>
      <c r="L4" s="212"/>
      <c r="M4" s="212"/>
      <c r="N4" s="199"/>
      <c r="O4" s="49"/>
      <c r="P4" s="49"/>
      <c r="R4" s="215"/>
      <c r="S4" s="215"/>
    </row>
    <row r="5" spans="1:19" s="10" customFormat="1" ht="50.1" customHeight="1">
      <c r="A5" s="188" t="s">
        <v>99</v>
      </c>
      <c r="B5" s="188"/>
      <c r="C5" s="188" t="s">
        <v>115</v>
      </c>
      <c r="D5" s="188" t="s">
        <v>116</v>
      </c>
      <c r="E5" s="188" t="s">
        <v>115</v>
      </c>
      <c r="F5" s="188" t="s">
        <v>116</v>
      </c>
      <c r="G5" s="188" t="s">
        <v>115</v>
      </c>
      <c r="H5" s="188" t="s">
        <v>116</v>
      </c>
      <c r="I5" s="188" t="s">
        <v>115</v>
      </c>
      <c r="J5" s="188" t="s">
        <v>116</v>
      </c>
      <c r="K5" s="188" t="s">
        <v>115</v>
      </c>
      <c r="L5" s="188" t="s">
        <v>116</v>
      </c>
      <c r="M5" s="188" t="s">
        <v>65</v>
      </c>
      <c r="N5" s="188" t="s">
        <v>67</v>
      </c>
      <c r="O5" s="188" t="s">
        <v>115</v>
      </c>
      <c r="P5" s="188" t="s">
        <v>116</v>
      </c>
      <c r="R5" s="188"/>
      <c r="S5" s="188"/>
    </row>
    <row r="6" spans="1:19" ht="39.950000000000003" customHeight="1">
      <c r="A6" s="185">
        <v>44712</v>
      </c>
      <c r="B6" s="81"/>
      <c r="C6" s="72">
        <v>58958</v>
      </c>
      <c r="D6" s="74"/>
      <c r="E6" s="72">
        <v>94007</v>
      </c>
      <c r="F6" s="74"/>
      <c r="G6" s="83">
        <v>9330</v>
      </c>
      <c r="H6" s="75"/>
      <c r="I6" s="72">
        <v>19100</v>
      </c>
      <c r="J6" s="74"/>
      <c r="K6" s="72">
        <v>24182</v>
      </c>
      <c r="L6" s="74"/>
      <c r="M6" s="75"/>
      <c r="N6" s="75"/>
      <c r="O6" s="72">
        <v>32665</v>
      </c>
      <c r="P6" s="74"/>
      <c r="R6" s="106"/>
      <c r="S6" s="97"/>
    </row>
    <row r="7" spans="1:19" s="2" customFormat="1" ht="39.950000000000003" customHeight="1">
      <c r="A7" s="185">
        <v>44713</v>
      </c>
      <c r="B7" s="15"/>
      <c r="C7" s="72">
        <v>59126</v>
      </c>
      <c r="D7" s="74">
        <f>(C7-C6)</f>
        <v>168</v>
      </c>
      <c r="E7" s="72">
        <v>94346</v>
      </c>
      <c r="F7" s="74">
        <f>(E7-E6)</f>
        <v>339</v>
      </c>
      <c r="G7" s="83">
        <f>(G10-G6)/4+G6</f>
        <v>9336.2055999999993</v>
      </c>
      <c r="H7" s="75">
        <f>(G7-G6)</f>
        <v>6.2055999999993219</v>
      </c>
      <c r="I7" s="72">
        <v>19101</v>
      </c>
      <c r="J7" s="74">
        <f>(I7-I6)</f>
        <v>1</v>
      </c>
      <c r="K7" s="72">
        <v>24341</v>
      </c>
      <c r="L7" s="74">
        <f>(K7-K6)</f>
        <v>159</v>
      </c>
      <c r="M7" s="75">
        <f>L7*55%</f>
        <v>87.45</v>
      </c>
      <c r="N7" s="75">
        <f>L7*45%</f>
        <v>71.55</v>
      </c>
      <c r="O7" s="72">
        <v>32732</v>
      </c>
      <c r="P7" s="74">
        <f>(O7-O6)</f>
        <v>67</v>
      </c>
      <c r="R7" s="106">
        <f t="shared" ref="R7:R34" si="0">SUM(D7,F7,M70,H7)</f>
        <v>513.20559999999932</v>
      </c>
      <c r="S7" s="97">
        <f>SUM(N7,P7)</f>
        <v>138.55000000000001</v>
      </c>
    </row>
    <row r="8" spans="1:19" ht="39.950000000000003" customHeight="1">
      <c r="A8" s="185">
        <f>SUM(A7+1)</f>
        <v>44714</v>
      </c>
      <c r="B8" s="16"/>
      <c r="C8" s="72">
        <v>59263</v>
      </c>
      <c r="D8" s="74">
        <f t="shared" ref="D8:F29" si="1">(C8-C7)</f>
        <v>137</v>
      </c>
      <c r="E8" s="72">
        <v>94645</v>
      </c>
      <c r="F8" s="74">
        <f t="shared" si="1"/>
        <v>299</v>
      </c>
      <c r="G8" s="83">
        <f>(G11-G7)/4+G7</f>
        <v>9341.6311999999998</v>
      </c>
      <c r="H8" s="75">
        <f t="shared" ref="H8:H36" si="2">(G8-G7)</f>
        <v>5.425600000000486</v>
      </c>
      <c r="I8" s="72">
        <v>19102</v>
      </c>
      <c r="J8" s="74">
        <f t="shared" ref="J8:J36" si="3">(I8-I7)</f>
        <v>1</v>
      </c>
      <c r="K8" s="72">
        <v>24481</v>
      </c>
      <c r="L8" s="74">
        <f t="shared" ref="L8:L36" si="4">(K8-K7)</f>
        <v>140</v>
      </c>
      <c r="M8" s="75">
        <f t="shared" ref="M8:M36" si="5">L8*55%</f>
        <v>77</v>
      </c>
      <c r="N8" s="75">
        <f t="shared" ref="N8:N36" si="6">L8*45%</f>
        <v>63</v>
      </c>
      <c r="O8" s="72">
        <v>32815</v>
      </c>
      <c r="P8" s="74">
        <f t="shared" ref="P8:P36" si="7">(O8-O7)</f>
        <v>83</v>
      </c>
      <c r="R8" s="106">
        <f t="shared" si="0"/>
        <v>441.42560000000049</v>
      </c>
      <c r="S8" s="97">
        <f t="shared" ref="S8:S36" si="8">SUM(N8,P8)</f>
        <v>146</v>
      </c>
    </row>
    <row r="9" spans="1:19" ht="39.950000000000003" customHeight="1">
      <c r="A9" s="185">
        <f t="shared" ref="A9:A36" si="9">SUM(A8+1)</f>
        <v>44715</v>
      </c>
      <c r="B9" s="16"/>
      <c r="C9" s="72">
        <v>59443</v>
      </c>
      <c r="D9" s="74">
        <f t="shared" si="1"/>
        <v>180</v>
      </c>
      <c r="E9" s="72">
        <v>94990</v>
      </c>
      <c r="F9" s="74">
        <f t="shared" si="1"/>
        <v>345</v>
      </c>
      <c r="G9" s="83">
        <f>(G12-G8)/4+G8</f>
        <v>9346.7029000000002</v>
      </c>
      <c r="H9" s="75">
        <f t="shared" si="2"/>
        <v>5.0717000000004191</v>
      </c>
      <c r="I9" s="72">
        <v>19104</v>
      </c>
      <c r="J9" s="74">
        <f t="shared" si="3"/>
        <v>2</v>
      </c>
      <c r="K9" s="72">
        <v>24621</v>
      </c>
      <c r="L9" s="74">
        <f t="shared" si="4"/>
        <v>140</v>
      </c>
      <c r="M9" s="75">
        <f t="shared" si="5"/>
        <v>77</v>
      </c>
      <c r="N9" s="75">
        <f t="shared" si="6"/>
        <v>63</v>
      </c>
      <c r="O9" s="72">
        <v>32909</v>
      </c>
      <c r="P9" s="74">
        <f t="shared" si="7"/>
        <v>94</v>
      </c>
      <c r="R9" s="106">
        <f t="shared" si="0"/>
        <v>530.07170000000042</v>
      </c>
      <c r="S9" s="97">
        <f t="shared" si="8"/>
        <v>157</v>
      </c>
    </row>
    <row r="10" spans="1:19" ht="39.950000000000003" customHeight="1">
      <c r="A10" s="185">
        <f t="shared" si="9"/>
        <v>44716</v>
      </c>
      <c r="B10" s="16"/>
      <c r="C10" s="72">
        <v>59691</v>
      </c>
      <c r="D10" s="74">
        <f t="shared" si="1"/>
        <v>248</v>
      </c>
      <c r="E10" s="72">
        <v>95344</v>
      </c>
      <c r="F10" s="74">
        <f t="shared" si="1"/>
        <v>354</v>
      </c>
      <c r="G10" s="83">
        <v>9354.8223999999991</v>
      </c>
      <c r="H10" s="75">
        <f t="shared" si="2"/>
        <v>8.1194999999988795</v>
      </c>
      <c r="I10" s="72">
        <v>19142</v>
      </c>
      <c r="J10" s="74">
        <f t="shared" si="3"/>
        <v>38</v>
      </c>
      <c r="K10" s="72">
        <v>24786</v>
      </c>
      <c r="L10" s="74">
        <f t="shared" si="4"/>
        <v>165</v>
      </c>
      <c r="M10" s="75">
        <f t="shared" si="5"/>
        <v>90.750000000000014</v>
      </c>
      <c r="N10" s="75">
        <f t="shared" si="6"/>
        <v>74.25</v>
      </c>
      <c r="O10" s="72">
        <v>32979</v>
      </c>
      <c r="P10" s="74">
        <f t="shared" si="7"/>
        <v>70</v>
      </c>
      <c r="R10" s="106">
        <f t="shared" si="0"/>
        <v>610.11949999999888</v>
      </c>
      <c r="S10" s="97">
        <f t="shared" si="8"/>
        <v>144.25</v>
      </c>
    </row>
    <row r="11" spans="1:19" ht="39.950000000000003" customHeight="1">
      <c r="A11" s="185">
        <f t="shared" si="9"/>
        <v>44717</v>
      </c>
      <c r="B11" s="16"/>
      <c r="C11" s="72">
        <v>59913</v>
      </c>
      <c r="D11" s="74">
        <f t="shared" si="1"/>
        <v>222</v>
      </c>
      <c r="E11" s="72">
        <v>95729</v>
      </c>
      <c r="F11" s="74">
        <f t="shared" si="1"/>
        <v>385</v>
      </c>
      <c r="G11" s="83">
        <v>9357.9079999999994</v>
      </c>
      <c r="H11" s="75">
        <f t="shared" si="2"/>
        <v>3.0856000000003405</v>
      </c>
      <c r="I11" s="72">
        <v>19175</v>
      </c>
      <c r="J11" s="74">
        <f t="shared" si="3"/>
        <v>33</v>
      </c>
      <c r="K11" s="72">
        <v>24972</v>
      </c>
      <c r="L11" s="74">
        <f t="shared" si="4"/>
        <v>186</v>
      </c>
      <c r="M11" s="75">
        <f t="shared" si="5"/>
        <v>102.30000000000001</v>
      </c>
      <c r="N11" s="75">
        <f t="shared" si="6"/>
        <v>83.7</v>
      </c>
      <c r="O11" s="72">
        <v>33077</v>
      </c>
      <c r="P11" s="74">
        <f t="shared" si="7"/>
        <v>98</v>
      </c>
      <c r="R11" s="106">
        <f t="shared" si="0"/>
        <v>610.08560000000034</v>
      </c>
      <c r="S11" s="97">
        <f t="shared" si="8"/>
        <v>181.7</v>
      </c>
    </row>
    <row r="12" spans="1:19" ht="39.950000000000003" customHeight="1">
      <c r="A12" s="185">
        <f t="shared" si="9"/>
        <v>44718</v>
      </c>
      <c r="B12" s="16"/>
      <c r="C12" s="72">
        <v>60097</v>
      </c>
      <c r="D12" s="74">
        <f t="shared" si="1"/>
        <v>184</v>
      </c>
      <c r="E12" s="72">
        <v>96026</v>
      </c>
      <c r="F12" s="74">
        <f t="shared" si="1"/>
        <v>297</v>
      </c>
      <c r="G12" s="83">
        <v>9361.9179999999997</v>
      </c>
      <c r="H12" s="75">
        <f t="shared" si="2"/>
        <v>4.0100000000002183</v>
      </c>
      <c r="I12" s="83">
        <f>(I13+I11)/2</f>
        <v>19199.5</v>
      </c>
      <c r="J12" s="174">
        <f t="shared" si="3"/>
        <v>24.5</v>
      </c>
      <c r="K12" s="72">
        <v>25133</v>
      </c>
      <c r="L12" s="74">
        <f t="shared" si="4"/>
        <v>161</v>
      </c>
      <c r="M12" s="75">
        <f t="shared" si="5"/>
        <v>88.550000000000011</v>
      </c>
      <c r="N12" s="75">
        <f t="shared" si="6"/>
        <v>72.45</v>
      </c>
      <c r="O12" s="72">
        <v>33158</v>
      </c>
      <c r="P12" s="74">
        <f t="shared" si="7"/>
        <v>81</v>
      </c>
      <c r="R12" s="106">
        <f t="shared" si="0"/>
        <v>485.01000000000022</v>
      </c>
      <c r="S12" s="97">
        <f t="shared" si="8"/>
        <v>153.44999999999999</v>
      </c>
    </row>
    <row r="13" spans="1:19" ht="39.950000000000003" customHeight="1">
      <c r="A13" s="185">
        <f t="shared" si="9"/>
        <v>44719</v>
      </c>
      <c r="B13" s="16"/>
      <c r="C13" s="72">
        <v>60244</v>
      </c>
      <c r="D13" s="74">
        <f t="shared" si="1"/>
        <v>147</v>
      </c>
      <c r="E13" s="72">
        <v>96350</v>
      </c>
      <c r="F13" s="74">
        <f t="shared" si="1"/>
        <v>324</v>
      </c>
      <c r="G13" s="83">
        <v>9365.5229999999992</v>
      </c>
      <c r="H13" s="75">
        <f t="shared" si="2"/>
        <v>3.6049999999995634</v>
      </c>
      <c r="I13" s="72">
        <v>19224</v>
      </c>
      <c r="J13" s="74">
        <f t="shared" si="3"/>
        <v>24.5</v>
      </c>
      <c r="K13" s="72">
        <v>25303</v>
      </c>
      <c r="L13" s="74">
        <f t="shared" si="4"/>
        <v>170</v>
      </c>
      <c r="M13" s="75">
        <f t="shared" si="5"/>
        <v>93.500000000000014</v>
      </c>
      <c r="N13" s="75">
        <f t="shared" si="6"/>
        <v>76.5</v>
      </c>
      <c r="O13" s="72">
        <v>33252</v>
      </c>
      <c r="P13" s="74">
        <f t="shared" si="7"/>
        <v>94</v>
      </c>
      <c r="R13" s="106">
        <f t="shared" si="0"/>
        <v>474.60499999999956</v>
      </c>
      <c r="S13" s="97">
        <f t="shared" si="8"/>
        <v>170.5</v>
      </c>
    </row>
    <row r="14" spans="1:19" ht="39.950000000000003" customHeight="1">
      <c r="A14" s="185">
        <f t="shared" si="9"/>
        <v>44720</v>
      </c>
      <c r="B14" s="16"/>
      <c r="C14" s="72">
        <v>60361</v>
      </c>
      <c r="D14" s="74">
        <f t="shared" si="1"/>
        <v>117</v>
      </c>
      <c r="E14" s="72">
        <v>96627</v>
      </c>
      <c r="F14" s="74">
        <f t="shared" si="1"/>
        <v>277</v>
      </c>
      <c r="G14" s="83">
        <v>9368.8439999999991</v>
      </c>
      <c r="H14" s="75">
        <f t="shared" si="2"/>
        <v>3.3209999999999127</v>
      </c>
      <c r="I14" s="83">
        <f>(I16-I13)/3+I13</f>
        <v>19239.666666666668</v>
      </c>
      <c r="J14" s="174">
        <f t="shared" si="3"/>
        <v>15.666666666667879</v>
      </c>
      <c r="K14" s="72">
        <v>25449</v>
      </c>
      <c r="L14" s="74">
        <f t="shared" si="4"/>
        <v>146</v>
      </c>
      <c r="M14" s="75">
        <f t="shared" si="5"/>
        <v>80.300000000000011</v>
      </c>
      <c r="N14" s="75">
        <f t="shared" si="6"/>
        <v>65.7</v>
      </c>
      <c r="O14" s="72">
        <v>33348</v>
      </c>
      <c r="P14" s="74">
        <f t="shared" si="7"/>
        <v>96</v>
      </c>
      <c r="R14" s="106">
        <f t="shared" si="0"/>
        <v>397.32099999999991</v>
      </c>
      <c r="S14" s="97">
        <f t="shared" si="8"/>
        <v>161.69999999999999</v>
      </c>
    </row>
    <row r="15" spans="1:19" ht="39.950000000000003" customHeight="1">
      <c r="A15" s="185">
        <f t="shared" si="9"/>
        <v>44721</v>
      </c>
      <c r="B15" s="16"/>
      <c r="C15" s="72">
        <v>60465</v>
      </c>
      <c r="D15" s="74">
        <f t="shared" si="1"/>
        <v>104</v>
      </c>
      <c r="E15" s="72">
        <v>96957</v>
      </c>
      <c r="F15" s="74">
        <f t="shared" si="1"/>
        <v>330</v>
      </c>
      <c r="G15" s="83">
        <v>9372.6749999999993</v>
      </c>
      <c r="H15" s="75">
        <f t="shared" si="2"/>
        <v>3.831000000000131</v>
      </c>
      <c r="I15" s="83">
        <f>(I17-I14)/3+I14</f>
        <v>19254.111111111113</v>
      </c>
      <c r="J15" s="174">
        <f t="shared" si="3"/>
        <v>14.444444444445253</v>
      </c>
      <c r="K15" s="72">
        <v>25595</v>
      </c>
      <c r="L15" s="74">
        <f t="shared" si="4"/>
        <v>146</v>
      </c>
      <c r="M15" s="75">
        <f t="shared" si="5"/>
        <v>80.300000000000011</v>
      </c>
      <c r="N15" s="75">
        <f t="shared" si="6"/>
        <v>65.7</v>
      </c>
      <c r="O15" s="72">
        <v>33436</v>
      </c>
      <c r="P15" s="74">
        <f t="shared" si="7"/>
        <v>88</v>
      </c>
      <c r="R15" s="106">
        <f t="shared" si="0"/>
        <v>437.83100000000013</v>
      </c>
      <c r="S15" s="97">
        <f t="shared" si="8"/>
        <v>153.69999999999999</v>
      </c>
    </row>
    <row r="16" spans="1:19" ht="39.950000000000003" customHeight="1">
      <c r="A16" s="185">
        <f t="shared" si="9"/>
        <v>44722</v>
      </c>
      <c r="B16" s="16"/>
      <c r="C16" s="72">
        <v>60602</v>
      </c>
      <c r="D16" s="74">
        <f t="shared" si="1"/>
        <v>137</v>
      </c>
      <c r="E16" s="72">
        <v>97299</v>
      </c>
      <c r="F16" s="74">
        <f t="shared" si="1"/>
        <v>342</v>
      </c>
      <c r="G16" s="83">
        <v>9375</v>
      </c>
      <c r="H16" s="75">
        <f t="shared" si="2"/>
        <v>2.3250000000007276</v>
      </c>
      <c r="I16" s="72">
        <v>19271</v>
      </c>
      <c r="J16" s="174">
        <f t="shared" si="3"/>
        <v>16.888888888886868</v>
      </c>
      <c r="K16" s="72">
        <v>25747</v>
      </c>
      <c r="L16" s="74">
        <f t="shared" si="4"/>
        <v>152</v>
      </c>
      <c r="M16" s="75">
        <f t="shared" si="5"/>
        <v>83.600000000000009</v>
      </c>
      <c r="N16" s="75">
        <f t="shared" si="6"/>
        <v>68.400000000000006</v>
      </c>
      <c r="O16" s="72">
        <v>33514</v>
      </c>
      <c r="P16" s="74">
        <f t="shared" si="7"/>
        <v>78</v>
      </c>
      <c r="R16" s="106">
        <f t="shared" si="0"/>
        <v>481.32500000000073</v>
      </c>
      <c r="S16" s="97">
        <f t="shared" si="8"/>
        <v>146.4</v>
      </c>
    </row>
    <row r="17" spans="1:19" ht="39.950000000000003" customHeight="1">
      <c r="A17" s="185">
        <f t="shared" si="9"/>
        <v>44723</v>
      </c>
      <c r="B17" s="16"/>
      <c r="C17" s="72">
        <v>60775</v>
      </c>
      <c r="D17" s="74">
        <f t="shared" si="1"/>
        <v>173</v>
      </c>
      <c r="E17" s="72">
        <v>97672</v>
      </c>
      <c r="F17" s="74">
        <f t="shared" si="1"/>
        <v>373</v>
      </c>
      <c r="G17" s="83">
        <v>9376</v>
      </c>
      <c r="H17" s="75">
        <f t="shared" si="2"/>
        <v>1</v>
      </c>
      <c r="I17" s="72">
        <v>19283</v>
      </c>
      <c r="J17" s="74">
        <f t="shared" si="3"/>
        <v>12</v>
      </c>
      <c r="K17" s="72">
        <v>25906</v>
      </c>
      <c r="L17" s="74">
        <f t="shared" si="4"/>
        <v>159</v>
      </c>
      <c r="M17" s="75">
        <f t="shared" si="5"/>
        <v>87.45</v>
      </c>
      <c r="N17" s="75">
        <f t="shared" si="6"/>
        <v>71.55</v>
      </c>
      <c r="O17" s="72">
        <v>33605</v>
      </c>
      <c r="P17" s="174">
        <f t="shared" si="7"/>
        <v>91</v>
      </c>
      <c r="R17" s="106">
        <f t="shared" si="0"/>
        <v>547</v>
      </c>
      <c r="S17" s="97">
        <f t="shared" si="8"/>
        <v>162.55000000000001</v>
      </c>
    </row>
    <row r="18" spans="1:19" ht="39.950000000000003" customHeight="1">
      <c r="A18" s="185">
        <f t="shared" si="9"/>
        <v>44724</v>
      </c>
      <c r="B18" s="16"/>
      <c r="C18" s="72">
        <v>60958</v>
      </c>
      <c r="D18" s="74">
        <f t="shared" si="1"/>
        <v>183</v>
      </c>
      <c r="E18" s="72">
        <v>98014</v>
      </c>
      <c r="F18" s="74">
        <f t="shared" si="1"/>
        <v>342</v>
      </c>
      <c r="G18" s="83">
        <v>9377</v>
      </c>
      <c r="H18" s="75">
        <f t="shared" si="2"/>
        <v>1</v>
      </c>
      <c r="I18" s="72">
        <v>19292</v>
      </c>
      <c r="J18" s="74">
        <f t="shared" si="3"/>
        <v>9</v>
      </c>
      <c r="K18" s="72">
        <v>26084</v>
      </c>
      <c r="L18" s="74">
        <f t="shared" si="4"/>
        <v>178</v>
      </c>
      <c r="M18" s="75">
        <f t="shared" si="5"/>
        <v>97.9</v>
      </c>
      <c r="N18" s="75">
        <f t="shared" si="6"/>
        <v>80.100000000000009</v>
      </c>
      <c r="O18" s="72">
        <v>33702</v>
      </c>
      <c r="P18" s="174">
        <f t="shared" si="7"/>
        <v>97</v>
      </c>
      <c r="R18" s="106">
        <f t="shared" si="0"/>
        <v>526</v>
      </c>
      <c r="S18" s="97">
        <f t="shared" si="8"/>
        <v>177.10000000000002</v>
      </c>
    </row>
    <row r="19" spans="1:19" s="78" customFormat="1" ht="39.950000000000003" customHeight="1">
      <c r="A19" s="185">
        <f t="shared" si="9"/>
        <v>44725</v>
      </c>
      <c r="B19" s="81"/>
      <c r="C19" s="72">
        <v>61140</v>
      </c>
      <c r="D19" s="74">
        <f t="shared" si="1"/>
        <v>182</v>
      </c>
      <c r="E19" s="72">
        <v>98343</v>
      </c>
      <c r="F19" s="74">
        <f t="shared" si="1"/>
        <v>329</v>
      </c>
      <c r="G19" s="83">
        <v>9385</v>
      </c>
      <c r="H19" s="75">
        <f t="shared" si="2"/>
        <v>8</v>
      </c>
      <c r="I19" s="72">
        <v>19316</v>
      </c>
      <c r="J19" s="74">
        <f t="shared" si="3"/>
        <v>24</v>
      </c>
      <c r="K19" s="72">
        <v>26245</v>
      </c>
      <c r="L19" s="74">
        <f t="shared" si="4"/>
        <v>161</v>
      </c>
      <c r="M19" s="75">
        <f t="shared" si="5"/>
        <v>88.550000000000011</v>
      </c>
      <c r="N19" s="75">
        <f t="shared" si="6"/>
        <v>72.45</v>
      </c>
      <c r="O19" s="72">
        <v>33797</v>
      </c>
      <c r="P19" s="174">
        <f t="shared" si="7"/>
        <v>95</v>
      </c>
      <c r="R19" s="161">
        <f t="shared" si="0"/>
        <v>519</v>
      </c>
      <c r="S19" s="105">
        <f t="shared" si="8"/>
        <v>167.45</v>
      </c>
    </row>
    <row r="20" spans="1:19" s="78" customFormat="1" ht="39.950000000000003" customHeight="1">
      <c r="A20" s="185">
        <f t="shared" si="9"/>
        <v>44726</v>
      </c>
      <c r="B20" s="81"/>
      <c r="C20" s="72">
        <v>61291</v>
      </c>
      <c r="D20" s="74">
        <f t="shared" si="1"/>
        <v>151</v>
      </c>
      <c r="E20" s="72">
        <v>98615</v>
      </c>
      <c r="F20" s="74">
        <f t="shared" si="1"/>
        <v>272</v>
      </c>
      <c r="G20" s="83">
        <v>9391</v>
      </c>
      <c r="H20" s="75">
        <f t="shared" si="2"/>
        <v>6</v>
      </c>
      <c r="I20" s="72">
        <v>19359</v>
      </c>
      <c r="J20" s="74">
        <f t="shared" si="3"/>
        <v>43</v>
      </c>
      <c r="K20" s="72">
        <v>26402</v>
      </c>
      <c r="L20" s="74">
        <f t="shared" si="4"/>
        <v>157</v>
      </c>
      <c r="M20" s="75">
        <f t="shared" si="5"/>
        <v>86.350000000000009</v>
      </c>
      <c r="N20" s="75">
        <f t="shared" si="6"/>
        <v>70.650000000000006</v>
      </c>
      <c r="O20" s="72">
        <v>33904</v>
      </c>
      <c r="P20" s="174">
        <f t="shared" si="7"/>
        <v>107</v>
      </c>
      <c r="R20" s="161">
        <f t="shared" si="0"/>
        <v>429</v>
      </c>
      <c r="S20" s="105">
        <f t="shared" si="8"/>
        <v>177.65</v>
      </c>
    </row>
    <row r="21" spans="1:19" s="78" customFormat="1" ht="39.950000000000003" customHeight="1">
      <c r="A21" s="185">
        <f t="shared" si="9"/>
        <v>44727</v>
      </c>
      <c r="B21" s="81"/>
      <c r="C21" s="73">
        <v>61434</v>
      </c>
      <c r="D21" s="74">
        <f t="shared" si="1"/>
        <v>143</v>
      </c>
      <c r="E21" s="73">
        <v>98935</v>
      </c>
      <c r="F21" s="174">
        <f>(E21-E20)</f>
        <v>320</v>
      </c>
      <c r="G21" s="82">
        <v>9398</v>
      </c>
      <c r="H21" s="75">
        <f t="shared" si="2"/>
        <v>7</v>
      </c>
      <c r="I21" s="72">
        <v>19376</v>
      </c>
      <c r="J21" s="74">
        <f t="shared" si="3"/>
        <v>17</v>
      </c>
      <c r="K21" s="73">
        <v>26528</v>
      </c>
      <c r="L21" s="74">
        <f t="shared" si="4"/>
        <v>126</v>
      </c>
      <c r="M21" s="75">
        <f t="shared" si="5"/>
        <v>69.300000000000011</v>
      </c>
      <c r="N21" s="75">
        <f t="shared" si="6"/>
        <v>56.7</v>
      </c>
      <c r="O21" s="73">
        <v>33993</v>
      </c>
      <c r="P21" s="74">
        <f t="shared" si="7"/>
        <v>89</v>
      </c>
      <c r="R21" s="161">
        <f t="shared" si="0"/>
        <v>470</v>
      </c>
      <c r="S21" s="105">
        <f t="shared" si="8"/>
        <v>145.69999999999999</v>
      </c>
    </row>
    <row r="22" spans="1:19" s="78" customFormat="1" ht="39.950000000000003" customHeight="1">
      <c r="A22" s="185">
        <f t="shared" si="9"/>
        <v>44728</v>
      </c>
      <c r="B22" s="81"/>
      <c r="C22" s="73">
        <v>61571</v>
      </c>
      <c r="D22" s="74">
        <f t="shared" si="1"/>
        <v>137</v>
      </c>
      <c r="E22" s="73">
        <v>99255</v>
      </c>
      <c r="F22" s="74">
        <f>(E22-E21)</f>
        <v>320</v>
      </c>
      <c r="G22" s="82">
        <v>9408</v>
      </c>
      <c r="H22" s="75">
        <f t="shared" si="2"/>
        <v>10</v>
      </c>
      <c r="I22" s="72">
        <v>19406</v>
      </c>
      <c r="J22" s="74">
        <f t="shared" si="3"/>
        <v>30</v>
      </c>
      <c r="K22" s="73">
        <v>26689</v>
      </c>
      <c r="L22" s="74">
        <f t="shared" si="4"/>
        <v>161</v>
      </c>
      <c r="M22" s="75">
        <f t="shared" si="5"/>
        <v>88.550000000000011</v>
      </c>
      <c r="N22" s="75">
        <f t="shared" si="6"/>
        <v>72.45</v>
      </c>
      <c r="O22" s="73">
        <v>34098</v>
      </c>
      <c r="P22" s="74">
        <f t="shared" si="7"/>
        <v>105</v>
      </c>
      <c r="R22" s="161">
        <f t="shared" si="0"/>
        <v>467</v>
      </c>
      <c r="S22" s="105">
        <f t="shared" si="8"/>
        <v>177.45</v>
      </c>
    </row>
    <row r="23" spans="1:19" s="78" customFormat="1" ht="39.950000000000003" customHeight="1">
      <c r="A23" s="185">
        <f t="shared" si="9"/>
        <v>44729</v>
      </c>
      <c r="B23" s="81"/>
      <c r="C23" s="73">
        <v>61706</v>
      </c>
      <c r="D23" s="74">
        <f t="shared" si="1"/>
        <v>135</v>
      </c>
      <c r="E23" s="73">
        <v>99515</v>
      </c>
      <c r="F23" s="74">
        <f>(E23-E22)</f>
        <v>260</v>
      </c>
      <c r="G23" s="82">
        <v>9421</v>
      </c>
      <c r="H23" s="75">
        <f t="shared" si="2"/>
        <v>13</v>
      </c>
      <c r="I23" s="72">
        <v>19425</v>
      </c>
      <c r="J23" s="74">
        <f t="shared" si="3"/>
        <v>19</v>
      </c>
      <c r="K23" s="73">
        <v>26837</v>
      </c>
      <c r="L23" s="74">
        <f t="shared" si="4"/>
        <v>148</v>
      </c>
      <c r="M23" s="75">
        <f t="shared" si="5"/>
        <v>81.400000000000006</v>
      </c>
      <c r="N23" s="75">
        <f t="shared" si="6"/>
        <v>66.600000000000009</v>
      </c>
      <c r="O23" s="73">
        <v>34200</v>
      </c>
      <c r="P23" s="74">
        <f t="shared" si="7"/>
        <v>102</v>
      </c>
      <c r="R23" s="161">
        <f t="shared" si="0"/>
        <v>408</v>
      </c>
      <c r="S23" s="105">
        <f t="shared" si="8"/>
        <v>168.60000000000002</v>
      </c>
    </row>
    <row r="24" spans="1:19" s="78" customFormat="1" ht="39.950000000000003" customHeight="1">
      <c r="A24" s="185">
        <f t="shared" si="9"/>
        <v>44730</v>
      </c>
      <c r="B24" s="81"/>
      <c r="C24" s="73">
        <v>61883</v>
      </c>
      <c r="D24" s="74">
        <f t="shared" si="1"/>
        <v>177</v>
      </c>
      <c r="E24" s="73">
        <v>99849</v>
      </c>
      <c r="F24" s="74">
        <f t="shared" si="1"/>
        <v>334</v>
      </c>
      <c r="G24" s="82">
        <v>9424</v>
      </c>
      <c r="H24" s="75">
        <f t="shared" si="2"/>
        <v>3</v>
      </c>
      <c r="I24" s="72">
        <v>19447</v>
      </c>
      <c r="J24" s="74">
        <f t="shared" si="3"/>
        <v>22</v>
      </c>
      <c r="K24" s="73">
        <v>27006</v>
      </c>
      <c r="L24" s="74">
        <f t="shared" si="4"/>
        <v>169</v>
      </c>
      <c r="M24" s="75">
        <f t="shared" si="5"/>
        <v>92.95</v>
      </c>
      <c r="N24" s="75">
        <f t="shared" si="6"/>
        <v>76.05</v>
      </c>
      <c r="O24" s="73">
        <v>34303</v>
      </c>
      <c r="P24" s="74">
        <f t="shared" si="7"/>
        <v>103</v>
      </c>
      <c r="R24" s="161">
        <f t="shared" si="0"/>
        <v>514</v>
      </c>
      <c r="S24" s="105">
        <f t="shared" si="8"/>
        <v>179.05</v>
      </c>
    </row>
    <row r="25" spans="1:19" s="78" customFormat="1" ht="39.950000000000003" customHeight="1">
      <c r="A25" s="185">
        <f t="shared" si="9"/>
        <v>44731</v>
      </c>
      <c r="B25" s="81"/>
      <c r="C25" s="73">
        <v>62136</v>
      </c>
      <c r="D25" s="74">
        <f t="shared" si="1"/>
        <v>253</v>
      </c>
      <c r="E25" s="73">
        <v>100206</v>
      </c>
      <c r="F25" s="74">
        <f t="shared" si="1"/>
        <v>357</v>
      </c>
      <c r="G25" s="82">
        <v>9431</v>
      </c>
      <c r="H25" s="75">
        <f t="shared" si="2"/>
        <v>7</v>
      </c>
      <c r="I25" s="72">
        <v>19487</v>
      </c>
      <c r="J25" s="74">
        <f t="shared" si="3"/>
        <v>40</v>
      </c>
      <c r="K25" s="73">
        <v>27182</v>
      </c>
      <c r="L25" s="74">
        <f t="shared" si="4"/>
        <v>176</v>
      </c>
      <c r="M25" s="75">
        <f t="shared" si="5"/>
        <v>96.800000000000011</v>
      </c>
      <c r="N25" s="75">
        <f t="shared" si="6"/>
        <v>79.2</v>
      </c>
      <c r="O25" s="73">
        <v>34406</v>
      </c>
      <c r="P25" s="74">
        <f t="shared" si="7"/>
        <v>103</v>
      </c>
      <c r="R25" s="161">
        <f t="shared" si="0"/>
        <v>617</v>
      </c>
      <c r="S25" s="105">
        <f t="shared" si="8"/>
        <v>182.2</v>
      </c>
    </row>
    <row r="26" spans="1:19" ht="39.950000000000003" customHeight="1">
      <c r="A26" s="185">
        <f t="shared" si="9"/>
        <v>44732</v>
      </c>
      <c r="B26" s="81"/>
      <c r="C26" s="73">
        <v>62348</v>
      </c>
      <c r="D26" s="74">
        <f t="shared" si="1"/>
        <v>212</v>
      </c>
      <c r="E26" s="73">
        <v>100563</v>
      </c>
      <c r="F26" s="74">
        <f t="shared" si="1"/>
        <v>357</v>
      </c>
      <c r="G26" s="82">
        <v>9437</v>
      </c>
      <c r="H26" s="75">
        <f t="shared" si="2"/>
        <v>6</v>
      </c>
      <c r="I26" s="72">
        <v>19533</v>
      </c>
      <c r="J26" s="74">
        <f t="shared" si="3"/>
        <v>46</v>
      </c>
      <c r="K26" s="73">
        <v>27336</v>
      </c>
      <c r="L26" s="74">
        <f t="shared" si="4"/>
        <v>154</v>
      </c>
      <c r="M26" s="75">
        <f t="shared" si="5"/>
        <v>84.7</v>
      </c>
      <c r="N26" s="75">
        <f t="shared" si="6"/>
        <v>69.3</v>
      </c>
      <c r="O26" s="73">
        <v>34507</v>
      </c>
      <c r="P26" s="74">
        <f t="shared" si="7"/>
        <v>101</v>
      </c>
      <c r="R26" s="106">
        <f t="shared" si="0"/>
        <v>575</v>
      </c>
      <c r="S26" s="97">
        <f t="shared" si="8"/>
        <v>170.3</v>
      </c>
    </row>
    <row r="27" spans="1:19" ht="39.950000000000003" customHeight="1">
      <c r="A27" s="185">
        <f t="shared" si="9"/>
        <v>44733</v>
      </c>
      <c r="B27" s="81"/>
      <c r="C27" s="73">
        <v>62503</v>
      </c>
      <c r="D27" s="74">
        <f t="shared" si="1"/>
        <v>155</v>
      </c>
      <c r="E27" s="73">
        <v>100846</v>
      </c>
      <c r="F27" s="74">
        <f t="shared" si="1"/>
        <v>283</v>
      </c>
      <c r="G27" s="82">
        <v>9441</v>
      </c>
      <c r="H27" s="75">
        <f t="shared" si="2"/>
        <v>4</v>
      </c>
      <c r="I27" s="72">
        <v>19563</v>
      </c>
      <c r="J27" s="74">
        <f t="shared" si="3"/>
        <v>30</v>
      </c>
      <c r="K27" s="73">
        <v>27497</v>
      </c>
      <c r="L27" s="74">
        <f t="shared" si="4"/>
        <v>161</v>
      </c>
      <c r="M27" s="75">
        <f t="shared" si="5"/>
        <v>88.550000000000011</v>
      </c>
      <c r="N27" s="75">
        <f t="shared" si="6"/>
        <v>72.45</v>
      </c>
      <c r="O27" s="73">
        <v>34614</v>
      </c>
      <c r="P27" s="74">
        <f t="shared" si="7"/>
        <v>107</v>
      </c>
      <c r="R27" s="106">
        <f t="shared" si="0"/>
        <v>442</v>
      </c>
      <c r="S27" s="97">
        <f t="shared" si="8"/>
        <v>179.45</v>
      </c>
    </row>
    <row r="28" spans="1:19" ht="39.950000000000003" customHeight="1">
      <c r="A28" s="185">
        <f t="shared" si="9"/>
        <v>44734</v>
      </c>
      <c r="B28" s="81"/>
      <c r="C28" s="73">
        <v>62654</v>
      </c>
      <c r="D28" s="74">
        <f t="shared" si="1"/>
        <v>151</v>
      </c>
      <c r="E28" s="73">
        <v>101143</v>
      </c>
      <c r="F28" s="74">
        <f t="shared" si="1"/>
        <v>297</v>
      </c>
      <c r="G28" s="82">
        <f>(G27+G29)/2</f>
        <v>9446.5</v>
      </c>
      <c r="H28" s="75">
        <f t="shared" si="2"/>
        <v>5.5</v>
      </c>
      <c r="I28" s="82">
        <f>(I27+I29)/2</f>
        <v>19613.5</v>
      </c>
      <c r="J28" s="174">
        <f t="shared" si="3"/>
        <v>50.5</v>
      </c>
      <c r="K28" s="73">
        <v>27656</v>
      </c>
      <c r="L28" s="74">
        <f t="shared" si="4"/>
        <v>159</v>
      </c>
      <c r="M28" s="75">
        <f t="shared" si="5"/>
        <v>87.45</v>
      </c>
      <c r="N28" s="75">
        <f t="shared" si="6"/>
        <v>71.55</v>
      </c>
      <c r="O28" s="73">
        <v>34770</v>
      </c>
      <c r="P28" s="74">
        <f t="shared" si="7"/>
        <v>156</v>
      </c>
      <c r="R28" s="106">
        <f t="shared" si="0"/>
        <v>453.5</v>
      </c>
      <c r="S28" s="97">
        <f t="shared" si="8"/>
        <v>227.55</v>
      </c>
    </row>
    <row r="29" spans="1:19" ht="39.950000000000003" customHeight="1">
      <c r="A29" s="185">
        <f t="shared" si="9"/>
        <v>44735</v>
      </c>
      <c r="B29" s="81"/>
      <c r="C29" s="82">
        <f>(C28+C30)/2</f>
        <v>62793.5</v>
      </c>
      <c r="D29" s="174">
        <f t="shared" si="1"/>
        <v>139.5</v>
      </c>
      <c r="E29" s="73">
        <v>101810</v>
      </c>
      <c r="F29" s="74">
        <f t="shared" si="1"/>
        <v>667</v>
      </c>
      <c r="G29" s="82">
        <v>9452</v>
      </c>
      <c r="H29" s="75">
        <f t="shared" si="2"/>
        <v>5.5</v>
      </c>
      <c r="I29" s="73">
        <v>19664</v>
      </c>
      <c r="J29" s="174">
        <f t="shared" si="3"/>
        <v>50.5</v>
      </c>
      <c r="K29" s="82">
        <f>(K28+K30)/2</f>
        <v>27809</v>
      </c>
      <c r="L29" s="74">
        <f t="shared" si="4"/>
        <v>153</v>
      </c>
      <c r="M29" s="75">
        <f t="shared" si="5"/>
        <v>84.15</v>
      </c>
      <c r="N29" s="75">
        <f t="shared" si="6"/>
        <v>68.850000000000009</v>
      </c>
      <c r="O29" s="73">
        <v>34969</v>
      </c>
      <c r="P29" s="74">
        <f t="shared" si="7"/>
        <v>199</v>
      </c>
      <c r="R29" s="106">
        <f t="shared" si="0"/>
        <v>812</v>
      </c>
      <c r="S29" s="97">
        <f t="shared" si="8"/>
        <v>267.85000000000002</v>
      </c>
    </row>
    <row r="30" spans="1:19" ht="39.950000000000003" customHeight="1">
      <c r="A30" s="185">
        <f t="shared" si="9"/>
        <v>44736</v>
      </c>
      <c r="B30" s="81"/>
      <c r="C30" s="73">
        <v>62933</v>
      </c>
      <c r="D30" s="174">
        <f t="shared" ref="D30:D36" si="10">(C30-C29)</f>
        <v>139.5</v>
      </c>
      <c r="E30" s="73">
        <v>101810</v>
      </c>
      <c r="F30" s="74">
        <f t="shared" ref="F30:F36" si="11">(E30-E29)</f>
        <v>0</v>
      </c>
      <c r="G30" s="82">
        <v>9452</v>
      </c>
      <c r="H30" s="75">
        <f t="shared" ref="H30:H35" si="12">(G30-G29)</f>
        <v>0</v>
      </c>
      <c r="I30" s="73">
        <v>19664</v>
      </c>
      <c r="J30" s="74">
        <f t="shared" ref="J30:J35" si="13">(I30-I29)</f>
        <v>0</v>
      </c>
      <c r="K30" s="73">
        <v>27962</v>
      </c>
      <c r="L30" s="74">
        <f t="shared" ref="L30:L35" si="14">(K30-K29)</f>
        <v>153</v>
      </c>
      <c r="M30" s="75">
        <f t="shared" ref="M30:M35" si="15">L30*55%</f>
        <v>84.15</v>
      </c>
      <c r="N30" s="75">
        <f t="shared" ref="N30:N35" si="16">L30*45%</f>
        <v>68.850000000000009</v>
      </c>
      <c r="O30" s="73">
        <v>34969</v>
      </c>
      <c r="P30" s="74">
        <f t="shared" ref="P30:P35" si="17">(O30-O29)</f>
        <v>0</v>
      </c>
      <c r="R30" s="106">
        <f t="shared" si="0"/>
        <v>139.5</v>
      </c>
      <c r="S30" s="97">
        <f t="shared" si="8"/>
        <v>68.850000000000009</v>
      </c>
    </row>
    <row r="31" spans="1:19" ht="39.950000000000003" customHeight="1">
      <c r="A31" s="185">
        <f t="shared" si="9"/>
        <v>44737</v>
      </c>
      <c r="B31" s="81"/>
      <c r="C31" s="73">
        <v>63110</v>
      </c>
      <c r="D31" s="74">
        <f t="shared" si="10"/>
        <v>177</v>
      </c>
      <c r="E31" s="73">
        <v>102093</v>
      </c>
      <c r="F31" s="74">
        <f t="shared" si="11"/>
        <v>283</v>
      </c>
      <c r="G31" s="82">
        <v>9453</v>
      </c>
      <c r="H31" s="75">
        <f t="shared" si="12"/>
        <v>1</v>
      </c>
      <c r="I31" s="82">
        <f>(I30+I32)/2</f>
        <v>19693</v>
      </c>
      <c r="J31" s="74">
        <f t="shared" si="13"/>
        <v>29</v>
      </c>
      <c r="K31" s="73">
        <v>28116</v>
      </c>
      <c r="L31" s="74">
        <f t="shared" si="14"/>
        <v>154</v>
      </c>
      <c r="M31" s="75">
        <f t="shared" si="15"/>
        <v>84.7</v>
      </c>
      <c r="N31" s="75">
        <f t="shared" si="16"/>
        <v>69.3</v>
      </c>
      <c r="O31" s="73">
        <v>35086</v>
      </c>
      <c r="P31" s="74">
        <f t="shared" si="17"/>
        <v>117</v>
      </c>
      <c r="R31" s="106">
        <f t="shared" si="0"/>
        <v>461</v>
      </c>
      <c r="S31" s="97">
        <f t="shared" si="8"/>
        <v>186.3</v>
      </c>
    </row>
    <row r="32" spans="1:19" ht="39.950000000000003" customHeight="1">
      <c r="A32" s="185">
        <f t="shared" si="9"/>
        <v>44738</v>
      </c>
      <c r="B32" s="81"/>
      <c r="C32" s="73">
        <v>63357</v>
      </c>
      <c r="D32" s="74">
        <f t="shared" si="10"/>
        <v>247</v>
      </c>
      <c r="E32" s="73">
        <v>102445</v>
      </c>
      <c r="F32" s="74">
        <f t="shared" si="11"/>
        <v>352</v>
      </c>
      <c r="G32" s="82">
        <v>9456</v>
      </c>
      <c r="H32" s="75">
        <f t="shared" si="12"/>
        <v>3</v>
      </c>
      <c r="I32" s="73">
        <v>19722</v>
      </c>
      <c r="J32" s="74">
        <f t="shared" si="13"/>
        <v>29</v>
      </c>
      <c r="K32" s="73">
        <v>28284</v>
      </c>
      <c r="L32" s="74">
        <f t="shared" si="14"/>
        <v>168</v>
      </c>
      <c r="M32" s="75">
        <f t="shared" si="15"/>
        <v>92.4</v>
      </c>
      <c r="N32" s="75">
        <f t="shared" si="16"/>
        <v>75.600000000000009</v>
      </c>
      <c r="O32" s="73">
        <v>35197</v>
      </c>
      <c r="P32" s="74">
        <f t="shared" si="17"/>
        <v>111</v>
      </c>
      <c r="R32" s="106">
        <f t="shared" si="0"/>
        <v>602</v>
      </c>
      <c r="S32" s="97">
        <f t="shared" si="8"/>
        <v>186.60000000000002</v>
      </c>
    </row>
    <row r="33" spans="1:19" ht="39.950000000000003" customHeight="1">
      <c r="A33" s="185">
        <f t="shared" si="9"/>
        <v>44739</v>
      </c>
      <c r="B33" s="81"/>
      <c r="C33" s="73">
        <v>63567</v>
      </c>
      <c r="D33" s="74">
        <f t="shared" si="10"/>
        <v>210</v>
      </c>
      <c r="E33" s="73">
        <v>102792</v>
      </c>
      <c r="F33" s="74">
        <f t="shared" si="11"/>
        <v>347</v>
      </c>
      <c r="G33" s="82">
        <v>9460</v>
      </c>
      <c r="H33" s="75">
        <f t="shared" si="12"/>
        <v>4</v>
      </c>
      <c r="I33" s="73">
        <v>19753</v>
      </c>
      <c r="J33" s="74">
        <f t="shared" si="13"/>
        <v>31</v>
      </c>
      <c r="K33" s="73">
        <v>28465</v>
      </c>
      <c r="L33" s="74">
        <f t="shared" si="14"/>
        <v>181</v>
      </c>
      <c r="M33" s="75">
        <f t="shared" si="15"/>
        <v>99.550000000000011</v>
      </c>
      <c r="N33" s="75">
        <f t="shared" si="16"/>
        <v>81.45</v>
      </c>
      <c r="O33" s="73">
        <v>35303</v>
      </c>
      <c r="P33" s="74">
        <f t="shared" si="17"/>
        <v>106</v>
      </c>
      <c r="R33" s="106">
        <f t="shared" si="0"/>
        <v>561</v>
      </c>
      <c r="S33" s="97">
        <f t="shared" si="8"/>
        <v>187.45</v>
      </c>
    </row>
    <row r="34" spans="1:19" ht="39.950000000000003" customHeight="1">
      <c r="A34" s="185">
        <f t="shared" si="9"/>
        <v>44740</v>
      </c>
      <c r="B34" s="81"/>
      <c r="C34" s="73">
        <v>63755</v>
      </c>
      <c r="D34" s="74">
        <f t="shared" si="10"/>
        <v>188</v>
      </c>
      <c r="E34" s="73">
        <v>103103</v>
      </c>
      <c r="F34" s="74">
        <f t="shared" si="11"/>
        <v>311</v>
      </c>
      <c r="G34" s="82">
        <v>9465.366</v>
      </c>
      <c r="H34" s="75">
        <f t="shared" si="12"/>
        <v>5.3659999999999854</v>
      </c>
      <c r="I34" s="73">
        <f>(I36-I33)/3+I33</f>
        <v>19802</v>
      </c>
      <c r="J34" s="74">
        <f t="shared" si="13"/>
        <v>49</v>
      </c>
      <c r="K34" s="73">
        <v>28642</v>
      </c>
      <c r="L34" s="74">
        <f t="shared" si="14"/>
        <v>177</v>
      </c>
      <c r="M34" s="75">
        <f t="shared" si="15"/>
        <v>97.350000000000009</v>
      </c>
      <c r="N34" s="75">
        <f t="shared" si="16"/>
        <v>79.650000000000006</v>
      </c>
      <c r="O34" s="73">
        <v>35419</v>
      </c>
      <c r="P34" s="74">
        <f t="shared" si="17"/>
        <v>116</v>
      </c>
      <c r="R34" s="106">
        <f t="shared" si="0"/>
        <v>504.36599999999999</v>
      </c>
      <c r="S34" s="97">
        <f t="shared" si="8"/>
        <v>195.65</v>
      </c>
    </row>
    <row r="35" spans="1:19" ht="39.950000000000003" customHeight="1">
      <c r="A35" s="185">
        <f t="shared" si="9"/>
        <v>44741</v>
      </c>
      <c r="B35" s="81"/>
      <c r="C35" s="73">
        <v>63903</v>
      </c>
      <c r="D35" s="174">
        <f t="shared" si="10"/>
        <v>148</v>
      </c>
      <c r="E35" s="73">
        <v>103391</v>
      </c>
      <c r="F35" s="74">
        <f t="shared" si="11"/>
        <v>288</v>
      </c>
      <c r="G35" s="82">
        <v>9468</v>
      </c>
      <c r="H35" s="75">
        <f t="shared" si="12"/>
        <v>2.6340000000000146</v>
      </c>
      <c r="I35" s="73">
        <v>19880</v>
      </c>
      <c r="J35" s="74">
        <f t="shared" si="13"/>
        <v>78</v>
      </c>
      <c r="K35" s="73">
        <v>28808</v>
      </c>
      <c r="L35" s="74">
        <f t="shared" si="14"/>
        <v>166</v>
      </c>
      <c r="M35" s="75">
        <f t="shared" si="15"/>
        <v>91.300000000000011</v>
      </c>
      <c r="N35" s="75">
        <f t="shared" si="16"/>
        <v>74.7</v>
      </c>
      <c r="O35" s="73">
        <v>35519</v>
      </c>
      <c r="P35" s="174">
        <f t="shared" si="17"/>
        <v>100</v>
      </c>
      <c r="R35" s="106">
        <f>SUM(D35,F35,M97,H35)</f>
        <v>438.63400000000001</v>
      </c>
      <c r="S35" s="97">
        <f t="shared" ref="S35" si="18">SUM(N35,P35)</f>
        <v>174.7</v>
      </c>
    </row>
    <row r="36" spans="1:19" ht="39.950000000000003" customHeight="1">
      <c r="A36" s="185">
        <f t="shared" si="9"/>
        <v>44742</v>
      </c>
      <c r="B36" s="81"/>
      <c r="C36" s="73">
        <v>64079</v>
      </c>
      <c r="D36" s="74">
        <f t="shared" si="10"/>
        <v>176</v>
      </c>
      <c r="E36" s="73">
        <v>103701</v>
      </c>
      <c r="F36" s="74">
        <f t="shared" si="11"/>
        <v>310</v>
      </c>
      <c r="G36" s="82">
        <v>9470.0319999999992</v>
      </c>
      <c r="H36" s="75">
        <f t="shared" si="2"/>
        <v>2.0319999999992433</v>
      </c>
      <c r="I36" s="73">
        <v>19900</v>
      </c>
      <c r="J36" s="74">
        <f t="shared" si="3"/>
        <v>20</v>
      </c>
      <c r="K36" s="73">
        <v>28951</v>
      </c>
      <c r="L36" s="74">
        <f t="shared" si="4"/>
        <v>143</v>
      </c>
      <c r="M36" s="75">
        <f t="shared" si="5"/>
        <v>78.650000000000006</v>
      </c>
      <c r="N36" s="75">
        <f t="shared" si="6"/>
        <v>64.350000000000009</v>
      </c>
      <c r="O36" s="73">
        <v>35630</v>
      </c>
      <c r="P36" s="74">
        <f t="shared" si="7"/>
        <v>111</v>
      </c>
      <c r="R36" s="106">
        <f>SUM(D36,F36,M98,H36)</f>
        <v>488.03199999999924</v>
      </c>
      <c r="S36" s="97">
        <f t="shared" si="8"/>
        <v>175.35000000000002</v>
      </c>
    </row>
    <row r="37" spans="1:19" s="21" customFormat="1" ht="39.950000000000003" customHeight="1">
      <c r="A37" s="18"/>
      <c r="D37" s="22">
        <f>SUM(D7:D36)</f>
        <v>5121</v>
      </c>
      <c r="F37" s="22">
        <f>SUM(F7:F36)</f>
        <v>9694</v>
      </c>
      <c r="H37" s="22">
        <f>SUM(H7:H36)</f>
        <v>140.03199999999924</v>
      </c>
      <c r="J37" s="22">
        <f>SUM(J7:J36)</f>
        <v>800</v>
      </c>
      <c r="L37" s="22">
        <f>SUM(L7:L36)</f>
        <v>4769</v>
      </c>
      <c r="M37" s="22"/>
      <c r="N37" s="22"/>
      <c r="P37" s="22">
        <f>SUM(P7:P36)</f>
        <v>2965</v>
      </c>
    </row>
    <row r="38" spans="1:19" s="19" customFormat="1" ht="39.950000000000003" customHeight="1">
      <c r="A38" s="18"/>
      <c r="D38" s="20"/>
    </row>
    <row r="39" spans="1:19" s="19" customFormat="1" ht="39.950000000000003" customHeight="1">
      <c r="A39" s="18"/>
      <c r="D39" s="20"/>
    </row>
    <row r="40" spans="1:19" ht="39.950000000000003" customHeight="1">
      <c r="A40" s="11"/>
    </row>
    <row r="41" spans="1:19">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59" zoomScaleNormal="59" workbookViewId="0">
      <pane xSplit="2" ySplit="7" topLeftCell="AV8" activePane="bottomRight" state="frozen"/>
      <selection pane="topRight" activeCell="C1" sqref="C1"/>
      <selection pane="bottomLeft" activeCell="A8" sqref="A8"/>
      <selection pane="bottomRight" activeCell="BH9" sqref="BH9"/>
    </sheetView>
  </sheetViews>
  <sheetFormatPr defaultRowHeight="31.5"/>
  <cols>
    <col min="1" max="1" width="17.855468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89"/>
      <c r="B1" s="189"/>
      <c r="C1" s="214" t="s">
        <v>66</v>
      </c>
      <c r="D1" s="214"/>
      <c r="E1" s="214"/>
      <c r="F1" s="214"/>
      <c r="G1" s="214" t="s">
        <v>65</v>
      </c>
      <c r="H1" s="214"/>
      <c r="I1" s="214" t="s">
        <v>65</v>
      </c>
      <c r="J1" s="214"/>
      <c r="K1" s="214" t="s">
        <v>65</v>
      </c>
      <c r="L1" s="214"/>
      <c r="M1" s="214" t="s">
        <v>65</v>
      </c>
      <c r="N1" s="214"/>
      <c r="O1" s="214" t="s">
        <v>65</v>
      </c>
      <c r="P1" s="214"/>
      <c r="Q1" s="200" t="s">
        <v>65</v>
      </c>
      <c r="R1" s="201"/>
      <c r="S1" s="200" t="s">
        <v>65</v>
      </c>
      <c r="T1" s="201"/>
      <c r="U1" s="200" t="s">
        <v>65</v>
      </c>
      <c r="V1" s="201"/>
      <c r="W1" s="200" t="s">
        <v>65</v>
      </c>
      <c r="X1" s="202"/>
      <c r="Y1" s="214" t="s">
        <v>65</v>
      </c>
      <c r="Z1" s="214"/>
      <c r="AA1" s="200" t="s">
        <v>65</v>
      </c>
      <c r="AB1" s="201"/>
      <c r="AC1" s="214" t="s">
        <v>65</v>
      </c>
      <c r="AD1" s="214"/>
      <c r="AE1" s="214" t="s">
        <v>65</v>
      </c>
      <c r="AF1" s="214"/>
      <c r="AG1" s="214" t="s">
        <v>65</v>
      </c>
      <c r="AH1" s="214"/>
      <c r="AI1" s="214" t="s">
        <v>65</v>
      </c>
      <c r="AJ1" s="214"/>
      <c r="AK1" s="214" t="s">
        <v>65</v>
      </c>
      <c r="AL1" s="214"/>
      <c r="AM1" s="214" t="s">
        <v>67</v>
      </c>
      <c r="AN1" s="214"/>
      <c r="AO1" s="214" t="s">
        <v>67</v>
      </c>
      <c r="AP1" s="214"/>
      <c r="AQ1" s="214" t="s">
        <v>67</v>
      </c>
      <c r="AR1" s="214"/>
      <c r="AS1" s="214" t="s">
        <v>67</v>
      </c>
      <c r="AT1" s="214"/>
      <c r="AU1" s="214" t="s">
        <v>67</v>
      </c>
      <c r="AV1" s="214"/>
      <c r="AW1" s="214" t="s">
        <v>67</v>
      </c>
      <c r="AX1" s="214"/>
      <c r="AY1" s="214" t="s">
        <v>67</v>
      </c>
      <c r="AZ1" s="214"/>
      <c r="BA1" s="214" t="s">
        <v>67</v>
      </c>
      <c r="BB1" s="214"/>
      <c r="BC1" s="214" t="s">
        <v>67</v>
      </c>
      <c r="BD1" s="214"/>
      <c r="BE1" s="214" t="s">
        <v>67</v>
      </c>
      <c r="BF1" s="214"/>
      <c r="BH1" s="32"/>
      <c r="BI1" s="32"/>
    </row>
    <row r="2" spans="1:61" s="24" customFormat="1" ht="75.75" customHeight="1">
      <c r="A2" s="48"/>
      <c r="B2" s="48"/>
      <c r="C2" s="230" t="s">
        <v>117</v>
      </c>
      <c r="D2" s="230"/>
      <c r="E2" s="230"/>
      <c r="F2" s="230"/>
      <c r="G2" s="230" t="s">
        <v>118</v>
      </c>
      <c r="H2" s="230"/>
      <c r="I2" s="230" t="s">
        <v>119</v>
      </c>
      <c r="J2" s="230"/>
      <c r="K2" s="230" t="s">
        <v>120</v>
      </c>
      <c r="L2" s="230"/>
      <c r="M2" s="230" t="s">
        <v>121</v>
      </c>
      <c r="N2" s="230"/>
      <c r="O2" s="228" t="s">
        <v>122</v>
      </c>
      <c r="P2" s="229"/>
      <c r="Q2" s="228" t="s">
        <v>123</v>
      </c>
      <c r="R2" s="229"/>
      <c r="S2" s="228" t="s">
        <v>124</v>
      </c>
      <c r="T2" s="229"/>
      <c r="U2" s="228" t="s">
        <v>125</v>
      </c>
      <c r="V2" s="229"/>
      <c r="W2" s="228" t="s">
        <v>126</v>
      </c>
      <c r="X2" s="231"/>
      <c r="Y2" s="230" t="s">
        <v>127</v>
      </c>
      <c r="Z2" s="230"/>
      <c r="AA2" s="228" t="s">
        <v>128</v>
      </c>
      <c r="AB2" s="229"/>
      <c r="AC2" s="230" t="s">
        <v>129</v>
      </c>
      <c r="AD2" s="230"/>
      <c r="AE2" s="230" t="s">
        <v>130</v>
      </c>
      <c r="AF2" s="230"/>
      <c r="AG2" s="230" t="s">
        <v>130</v>
      </c>
      <c r="AH2" s="230"/>
      <c r="AI2" s="230" t="s">
        <v>130</v>
      </c>
      <c r="AJ2" s="230"/>
      <c r="AK2" s="230" t="s">
        <v>130</v>
      </c>
      <c r="AL2" s="230"/>
      <c r="AM2" s="230" t="s">
        <v>131</v>
      </c>
      <c r="AN2" s="230"/>
      <c r="AO2" s="230" t="s">
        <v>132</v>
      </c>
      <c r="AP2" s="230"/>
      <c r="AQ2" s="230" t="s">
        <v>133</v>
      </c>
      <c r="AR2" s="230"/>
      <c r="AS2" s="230" t="s">
        <v>133</v>
      </c>
      <c r="AT2" s="230"/>
      <c r="AU2" s="230" t="s">
        <v>134</v>
      </c>
      <c r="AV2" s="230"/>
      <c r="AW2" s="230" t="s">
        <v>135</v>
      </c>
      <c r="AX2" s="230"/>
      <c r="AY2" s="230" t="s">
        <v>136</v>
      </c>
      <c r="AZ2" s="230"/>
      <c r="BA2" s="230" t="s">
        <v>136</v>
      </c>
      <c r="BB2" s="230"/>
      <c r="BC2" s="230" t="s">
        <v>137</v>
      </c>
      <c r="BD2" s="230"/>
      <c r="BE2" s="230" t="s">
        <v>137</v>
      </c>
      <c r="BF2" s="230"/>
      <c r="BH2" s="32"/>
      <c r="BI2" s="32"/>
    </row>
    <row r="3" spans="1:61" s="10" customFormat="1" ht="87.75" customHeight="1">
      <c r="A3" s="188"/>
      <c r="B3" s="188"/>
      <c r="C3" s="235" t="s">
        <v>138</v>
      </c>
      <c r="D3" s="236"/>
      <c r="E3" s="188" t="s">
        <v>65</v>
      </c>
      <c r="F3" s="189" t="s">
        <v>67</v>
      </c>
      <c r="G3" s="234" t="s">
        <v>139</v>
      </c>
      <c r="H3" s="233"/>
      <c r="I3" s="234" t="s">
        <v>139</v>
      </c>
      <c r="J3" s="233"/>
      <c r="K3" s="234" t="s">
        <v>139</v>
      </c>
      <c r="L3" s="233"/>
      <c r="M3" s="237" t="s">
        <v>140</v>
      </c>
      <c r="N3" s="238"/>
      <c r="O3" s="234" t="s">
        <v>139</v>
      </c>
      <c r="P3" s="233"/>
      <c r="Q3" s="234" t="s">
        <v>139</v>
      </c>
      <c r="R3" s="233"/>
      <c r="S3" s="241" t="s">
        <v>139</v>
      </c>
      <c r="T3" s="242"/>
      <c r="U3" s="234" t="s">
        <v>139</v>
      </c>
      <c r="V3" s="233"/>
      <c r="W3" s="234" t="s">
        <v>139</v>
      </c>
      <c r="X3" s="233"/>
      <c r="Y3" s="232" t="s">
        <v>141</v>
      </c>
      <c r="Z3" s="233"/>
      <c r="AA3" s="234" t="s">
        <v>142</v>
      </c>
      <c r="AB3" s="233"/>
      <c r="AC3" s="234" t="s">
        <v>143</v>
      </c>
      <c r="AD3" s="233"/>
      <c r="AE3" s="234" t="s">
        <v>143</v>
      </c>
      <c r="AF3" s="233"/>
      <c r="AG3" s="232" t="s">
        <v>144</v>
      </c>
      <c r="AH3" s="233"/>
      <c r="AI3" s="234" t="s">
        <v>145</v>
      </c>
      <c r="AJ3" s="233"/>
      <c r="AK3" s="232" t="s">
        <v>146</v>
      </c>
      <c r="AL3" s="233"/>
      <c r="AM3" s="234" t="s">
        <v>147</v>
      </c>
      <c r="AN3" s="233"/>
      <c r="AO3" s="234" t="s">
        <v>147</v>
      </c>
      <c r="AP3" s="233"/>
      <c r="AQ3" s="232" t="s">
        <v>148</v>
      </c>
      <c r="AR3" s="233"/>
      <c r="AS3" s="234" t="s">
        <v>149</v>
      </c>
      <c r="AT3" s="233"/>
      <c r="AU3" s="232" t="s">
        <v>150</v>
      </c>
      <c r="AV3" s="233"/>
      <c r="AW3" s="232" t="s">
        <v>150</v>
      </c>
      <c r="AX3" s="233"/>
      <c r="AY3" s="234" t="s">
        <v>145</v>
      </c>
      <c r="AZ3" s="233"/>
      <c r="BA3" s="232" t="s">
        <v>146</v>
      </c>
      <c r="BB3" s="233"/>
      <c r="BC3" s="234" t="s">
        <v>145</v>
      </c>
      <c r="BD3" s="233"/>
      <c r="BE3" s="232" t="s">
        <v>146</v>
      </c>
      <c r="BF3" s="233"/>
      <c r="BH3" s="32"/>
      <c r="BI3" s="32"/>
    </row>
    <row r="4" spans="1:61" s="24" customFormat="1" ht="50.1" customHeight="1">
      <c r="A4" s="188"/>
      <c r="B4" s="48"/>
      <c r="C4" s="206" t="s">
        <v>151</v>
      </c>
      <c r="D4" s="208"/>
      <c r="E4" s="239" t="s">
        <v>152</v>
      </c>
      <c r="F4" s="240"/>
      <c r="G4" s="206" t="s">
        <v>153</v>
      </c>
      <c r="H4" s="208"/>
      <c r="I4" s="206" t="s">
        <v>154</v>
      </c>
      <c r="J4" s="208"/>
      <c r="K4" s="206" t="s">
        <v>155</v>
      </c>
      <c r="L4" s="208"/>
      <c r="M4" s="206">
        <v>7092801222</v>
      </c>
      <c r="N4" s="208"/>
      <c r="O4" s="206" t="s">
        <v>156</v>
      </c>
      <c r="P4" s="207"/>
      <c r="Q4" s="206" t="s">
        <v>157</v>
      </c>
      <c r="R4" s="207"/>
      <c r="S4" s="206" t="s">
        <v>158</v>
      </c>
      <c r="T4" s="207"/>
      <c r="U4" s="206" t="s">
        <v>159</v>
      </c>
      <c r="V4" s="207"/>
      <c r="W4" s="206" t="s">
        <v>160</v>
      </c>
      <c r="X4" s="208"/>
      <c r="Y4" s="206" t="s">
        <v>161</v>
      </c>
      <c r="Z4" s="208"/>
      <c r="AA4" s="206" t="s">
        <v>162</v>
      </c>
      <c r="AB4" s="207"/>
      <c r="AC4" s="206" t="s">
        <v>163</v>
      </c>
      <c r="AD4" s="208"/>
      <c r="AE4" s="206" t="s">
        <v>164</v>
      </c>
      <c r="AF4" s="208"/>
      <c r="AG4" s="206" t="s">
        <v>165</v>
      </c>
      <c r="AH4" s="208"/>
      <c r="AI4" s="206">
        <v>7105826734</v>
      </c>
      <c r="AJ4" s="208"/>
      <c r="AK4" s="206">
        <v>7105825932</v>
      </c>
      <c r="AL4" s="208"/>
      <c r="AM4" s="206" t="s">
        <v>166</v>
      </c>
      <c r="AN4" s="208"/>
      <c r="AO4" s="206" t="s">
        <v>167</v>
      </c>
      <c r="AP4" s="208"/>
      <c r="AQ4" s="206" t="s">
        <v>168</v>
      </c>
      <c r="AR4" s="208"/>
      <c r="AS4" s="206" t="s">
        <v>169</v>
      </c>
      <c r="AT4" s="208"/>
      <c r="AU4" s="206" t="s">
        <v>170</v>
      </c>
      <c r="AV4" s="208"/>
      <c r="AW4" s="206" t="s">
        <v>171</v>
      </c>
      <c r="AX4" s="208"/>
      <c r="AY4" s="206">
        <v>7111912486</v>
      </c>
      <c r="AZ4" s="208"/>
      <c r="BA4" s="206">
        <v>7111911842</v>
      </c>
      <c r="BB4" s="208"/>
      <c r="BC4" s="206">
        <v>7111913281</v>
      </c>
      <c r="BD4" s="208"/>
      <c r="BE4" s="206">
        <v>7111912723</v>
      </c>
      <c r="BF4" s="208"/>
      <c r="BH4" s="215" t="s">
        <v>81</v>
      </c>
      <c r="BI4" s="215"/>
    </row>
    <row r="5" spans="1:61" s="24" customFormat="1" ht="50.1" customHeight="1">
      <c r="A5" s="48" t="s">
        <v>172</v>
      </c>
      <c r="B5" s="48"/>
      <c r="C5" s="206" t="s">
        <v>173</v>
      </c>
      <c r="D5" s="208"/>
      <c r="E5" s="79">
        <v>0.6</v>
      </c>
      <c r="F5" s="30">
        <v>0.4</v>
      </c>
      <c r="G5" s="206" t="s">
        <v>174</v>
      </c>
      <c r="H5" s="208"/>
      <c r="I5" s="206" t="s">
        <v>175</v>
      </c>
      <c r="J5" s="208"/>
      <c r="K5" s="206" t="s">
        <v>176</v>
      </c>
      <c r="L5" s="208"/>
      <c r="M5" s="206" t="s">
        <v>177</v>
      </c>
      <c r="N5" s="208"/>
      <c r="O5" s="206" t="s">
        <v>178</v>
      </c>
      <c r="P5" s="207"/>
      <c r="Q5" s="206" t="s">
        <v>179</v>
      </c>
      <c r="R5" s="207"/>
      <c r="S5" s="206" t="s">
        <v>180</v>
      </c>
      <c r="T5" s="207"/>
      <c r="U5" s="206" t="s">
        <v>181</v>
      </c>
      <c r="V5" s="207"/>
      <c r="W5" s="206" t="s">
        <v>182</v>
      </c>
      <c r="X5" s="208"/>
      <c r="Y5" s="206" t="s">
        <v>183</v>
      </c>
      <c r="Z5" s="208"/>
      <c r="AA5" s="206" t="s">
        <v>184</v>
      </c>
      <c r="AB5" s="207"/>
      <c r="AC5" s="206" t="s">
        <v>185</v>
      </c>
      <c r="AD5" s="208"/>
      <c r="AE5" s="206" t="s">
        <v>186</v>
      </c>
      <c r="AF5" s="208"/>
      <c r="AG5" s="206" t="s">
        <v>187</v>
      </c>
      <c r="AH5" s="208"/>
      <c r="AI5" s="206" t="s">
        <v>188</v>
      </c>
      <c r="AJ5" s="208"/>
      <c r="AK5" s="206" t="s">
        <v>189</v>
      </c>
      <c r="AL5" s="208"/>
      <c r="AM5" s="206" t="s">
        <v>190</v>
      </c>
      <c r="AN5" s="208"/>
      <c r="AO5" s="206" t="s">
        <v>191</v>
      </c>
      <c r="AP5" s="208"/>
      <c r="AQ5" s="206" t="s">
        <v>192</v>
      </c>
      <c r="AR5" s="208"/>
      <c r="AS5" s="206" t="s">
        <v>193</v>
      </c>
      <c r="AT5" s="208"/>
      <c r="AU5" s="206" t="s">
        <v>194</v>
      </c>
      <c r="AV5" s="208"/>
      <c r="AW5" s="206" t="s">
        <v>195</v>
      </c>
      <c r="AX5" s="208"/>
      <c r="AY5" s="206">
        <v>744483</v>
      </c>
      <c r="AZ5" s="208"/>
      <c r="BA5" s="206">
        <v>119314</v>
      </c>
      <c r="BB5" s="208"/>
      <c r="BC5" s="206">
        <v>1053229</v>
      </c>
      <c r="BD5" s="208"/>
      <c r="BE5" s="206">
        <v>1053215</v>
      </c>
      <c r="BF5" s="208"/>
      <c r="BH5" s="215"/>
      <c r="BI5" s="215"/>
    </row>
    <row r="6" spans="1:61" s="8" customFormat="1" ht="30" customHeight="1">
      <c r="A6" s="188" t="s">
        <v>96</v>
      </c>
      <c r="B6" s="49"/>
      <c r="C6" s="198"/>
      <c r="D6" s="199"/>
      <c r="E6" s="80"/>
      <c r="F6" s="190"/>
      <c r="G6" s="188"/>
      <c r="H6" s="49"/>
      <c r="I6" s="198"/>
      <c r="J6" s="199"/>
      <c r="K6" s="198"/>
      <c r="L6" s="199"/>
      <c r="M6" s="198"/>
      <c r="N6" s="199"/>
      <c r="O6" s="198"/>
      <c r="P6" s="212"/>
      <c r="Q6" s="198"/>
      <c r="R6" s="212"/>
      <c r="S6" s="198"/>
      <c r="T6" s="212"/>
      <c r="U6" s="198"/>
      <c r="V6" s="212"/>
      <c r="W6" s="198"/>
      <c r="X6" s="199"/>
      <c r="Y6" s="198"/>
      <c r="Z6" s="199"/>
      <c r="AA6" s="198"/>
      <c r="AB6" s="212"/>
      <c r="AC6" s="198"/>
      <c r="AD6" s="199"/>
      <c r="AE6" s="198"/>
      <c r="AF6" s="199"/>
      <c r="AG6" s="198"/>
      <c r="AH6" s="199"/>
      <c r="AI6" s="198"/>
      <c r="AJ6" s="199"/>
      <c r="AK6" s="198"/>
      <c r="AL6" s="199"/>
      <c r="AM6" s="198"/>
      <c r="AN6" s="199"/>
      <c r="AO6" s="198"/>
      <c r="AP6" s="199"/>
      <c r="AQ6" s="198"/>
      <c r="AR6" s="199"/>
      <c r="AS6" s="198"/>
      <c r="AT6" s="199"/>
      <c r="AU6" s="198"/>
      <c r="AV6" s="199"/>
      <c r="AW6" s="198"/>
      <c r="AX6" s="199"/>
      <c r="AY6" s="198"/>
      <c r="AZ6" s="199"/>
      <c r="BA6" s="198"/>
      <c r="BB6" s="199"/>
      <c r="BC6" s="198"/>
      <c r="BD6" s="199"/>
      <c r="BE6" s="198"/>
      <c r="BF6" s="199"/>
      <c r="BH6" s="32"/>
      <c r="BI6" s="32"/>
    </row>
    <row r="7" spans="1:61" s="10" customFormat="1" ht="50.1" customHeight="1">
      <c r="A7" s="188" t="s">
        <v>99</v>
      </c>
      <c r="B7" s="188"/>
      <c r="C7" s="188" t="s">
        <v>115</v>
      </c>
      <c r="D7" s="188" t="s">
        <v>196</v>
      </c>
      <c r="E7" s="188" t="s">
        <v>196</v>
      </c>
      <c r="F7" s="188" t="s">
        <v>196</v>
      </c>
      <c r="G7" s="188" t="s">
        <v>115</v>
      </c>
      <c r="H7" s="188" t="s">
        <v>196</v>
      </c>
      <c r="I7" s="188" t="s">
        <v>115</v>
      </c>
      <c r="J7" s="188" t="s">
        <v>196</v>
      </c>
      <c r="K7" s="188" t="s">
        <v>115</v>
      </c>
      <c r="L7" s="188" t="s">
        <v>196</v>
      </c>
      <c r="M7" s="188" t="s">
        <v>115</v>
      </c>
      <c r="N7" s="188" t="s">
        <v>196</v>
      </c>
      <c r="O7" s="188" t="s">
        <v>115</v>
      </c>
      <c r="P7" s="188" t="s">
        <v>196</v>
      </c>
      <c r="Q7" s="188" t="s">
        <v>115</v>
      </c>
      <c r="R7" s="188" t="s">
        <v>196</v>
      </c>
      <c r="S7" s="188" t="s">
        <v>115</v>
      </c>
      <c r="T7" s="188" t="s">
        <v>196</v>
      </c>
      <c r="U7" s="188" t="s">
        <v>115</v>
      </c>
      <c r="V7" s="188" t="s">
        <v>196</v>
      </c>
      <c r="W7" s="188" t="s">
        <v>115</v>
      </c>
      <c r="X7" s="188" t="s">
        <v>196</v>
      </c>
      <c r="Y7" s="188" t="s">
        <v>115</v>
      </c>
      <c r="Z7" s="188" t="s">
        <v>196</v>
      </c>
      <c r="AA7" s="188" t="s">
        <v>115</v>
      </c>
      <c r="AB7" s="188" t="s">
        <v>196</v>
      </c>
      <c r="AC7" s="188" t="s">
        <v>115</v>
      </c>
      <c r="AD7" s="188" t="s">
        <v>196</v>
      </c>
      <c r="AE7" s="13" t="s">
        <v>115</v>
      </c>
      <c r="AF7" s="188" t="s">
        <v>196</v>
      </c>
      <c r="AG7" s="13" t="s">
        <v>115</v>
      </c>
      <c r="AH7" s="188" t="s">
        <v>196</v>
      </c>
      <c r="AI7" s="13" t="s">
        <v>115</v>
      </c>
      <c r="AJ7" s="188" t="s">
        <v>196</v>
      </c>
      <c r="AK7" s="13" t="s">
        <v>115</v>
      </c>
      <c r="AL7" s="188" t="s">
        <v>196</v>
      </c>
      <c r="AM7" s="13" t="s">
        <v>115</v>
      </c>
      <c r="AN7" s="188" t="s">
        <v>196</v>
      </c>
      <c r="AO7" s="13" t="s">
        <v>115</v>
      </c>
      <c r="AP7" s="188" t="s">
        <v>196</v>
      </c>
      <c r="AQ7" s="13" t="s">
        <v>115</v>
      </c>
      <c r="AR7" s="188" t="s">
        <v>196</v>
      </c>
      <c r="AS7" s="13" t="s">
        <v>115</v>
      </c>
      <c r="AT7" s="188" t="s">
        <v>196</v>
      </c>
      <c r="AU7" s="13" t="s">
        <v>115</v>
      </c>
      <c r="AV7" s="188" t="s">
        <v>196</v>
      </c>
      <c r="AW7" s="13" t="s">
        <v>115</v>
      </c>
      <c r="AX7" s="188" t="s">
        <v>196</v>
      </c>
      <c r="AY7" s="13" t="s">
        <v>115</v>
      </c>
      <c r="AZ7" s="188" t="s">
        <v>196</v>
      </c>
      <c r="BA7" s="13" t="s">
        <v>115</v>
      </c>
      <c r="BB7" s="188" t="s">
        <v>196</v>
      </c>
      <c r="BC7" s="13" t="s">
        <v>115</v>
      </c>
      <c r="BD7" s="188" t="s">
        <v>196</v>
      </c>
      <c r="BE7" s="13" t="s">
        <v>115</v>
      </c>
      <c r="BF7" s="188" t="s">
        <v>196</v>
      </c>
      <c r="BH7" s="188" t="s">
        <v>65</v>
      </c>
      <c r="BI7" s="188" t="s">
        <v>67</v>
      </c>
    </row>
    <row r="8" spans="1:61" s="35" customFormat="1" ht="39.950000000000003" customHeight="1">
      <c r="A8" s="185">
        <v>44712</v>
      </c>
      <c r="B8" s="34"/>
      <c r="C8" s="77">
        <v>6924824</v>
      </c>
      <c r="D8" s="103"/>
      <c r="E8" s="104"/>
      <c r="F8" s="103"/>
      <c r="G8" s="77">
        <v>295381</v>
      </c>
      <c r="H8" s="103"/>
      <c r="I8" s="77">
        <v>188093</v>
      </c>
      <c r="J8" s="37"/>
      <c r="K8" s="77">
        <v>269353</v>
      </c>
      <c r="L8" s="103"/>
      <c r="M8" s="77">
        <v>25325</v>
      </c>
      <c r="N8" s="37"/>
      <c r="O8" s="77">
        <v>331790</v>
      </c>
      <c r="P8" s="37"/>
      <c r="Q8" s="77">
        <v>477563</v>
      </c>
      <c r="R8" s="103"/>
      <c r="S8" s="77">
        <v>764909</v>
      </c>
      <c r="T8" s="103"/>
      <c r="U8" s="82">
        <v>5213.6670000000004</v>
      </c>
      <c r="V8" s="103"/>
      <c r="W8" s="77">
        <v>84932</v>
      </c>
      <c r="X8" s="103"/>
      <c r="Y8" s="77">
        <v>1521850</v>
      </c>
      <c r="Z8" s="103"/>
      <c r="AA8" s="77">
        <v>13886</v>
      </c>
      <c r="AB8" s="103"/>
      <c r="AC8" s="77">
        <v>502616</v>
      </c>
      <c r="AD8" s="103"/>
      <c r="AE8" s="77">
        <v>572105</v>
      </c>
      <c r="AF8" s="103"/>
      <c r="AG8" s="77">
        <v>49788</v>
      </c>
      <c r="AH8" s="103"/>
      <c r="AI8" s="77">
        <v>445352</v>
      </c>
      <c r="AJ8" s="103"/>
      <c r="AK8" s="77">
        <v>102770</v>
      </c>
      <c r="AL8" s="103"/>
      <c r="AM8" s="77">
        <v>608221</v>
      </c>
      <c r="AN8" s="103"/>
      <c r="AO8" s="77">
        <v>997367</v>
      </c>
      <c r="AP8" s="103"/>
      <c r="AQ8" s="77">
        <v>90873</v>
      </c>
      <c r="AR8" s="103"/>
      <c r="AS8" s="77">
        <v>2459</v>
      </c>
      <c r="AT8" s="103"/>
      <c r="AU8" s="77">
        <v>939</v>
      </c>
      <c r="AV8" s="37"/>
      <c r="AW8" s="77">
        <v>3110</v>
      </c>
      <c r="AX8" s="103"/>
      <c r="AY8" s="77">
        <v>348950</v>
      </c>
      <c r="AZ8" s="103"/>
      <c r="BA8" s="77">
        <v>161101</v>
      </c>
      <c r="BB8" s="103"/>
      <c r="BC8" s="77">
        <v>235928</v>
      </c>
      <c r="BD8" s="103"/>
      <c r="BE8" s="77">
        <v>5350</v>
      </c>
      <c r="BF8" s="103"/>
      <c r="BH8" s="105"/>
      <c r="BI8" s="105"/>
    </row>
    <row r="9" spans="1:61" s="28" customFormat="1" ht="39.950000000000003" customHeight="1">
      <c r="A9" s="185">
        <v>44713</v>
      </c>
      <c r="B9" s="27"/>
      <c r="C9" s="77">
        <v>6927116</v>
      </c>
      <c r="D9" s="37">
        <f>(+C9-+C8)*48</f>
        <v>110016</v>
      </c>
      <c r="E9" s="104">
        <f>D9*0.6</f>
        <v>66009.599999999991</v>
      </c>
      <c r="F9" s="103">
        <f>D9*0.4</f>
        <v>44006.400000000001</v>
      </c>
      <c r="G9" s="77">
        <v>295418</v>
      </c>
      <c r="H9" s="37">
        <f>(+G9-+G8)*48</f>
        <v>1776</v>
      </c>
      <c r="I9" s="77">
        <v>188262</v>
      </c>
      <c r="J9" s="37">
        <f>(+I9-+I8)*48</f>
        <v>8112</v>
      </c>
      <c r="K9" s="77">
        <v>269382</v>
      </c>
      <c r="L9" s="37">
        <f t="shared" ref="L9:L38" si="0">(+K9-+K8)*48</f>
        <v>1392</v>
      </c>
      <c r="M9" s="77">
        <v>25328</v>
      </c>
      <c r="N9" s="37">
        <f>(+M9-+M8)*48</f>
        <v>144</v>
      </c>
      <c r="O9" s="77">
        <v>332004</v>
      </c>
      <c r="P9" s="37">
        <f>(+O9-+O8)*48</f>
        <v>10272</v>
      </c>
      <c r="Q9" s="77">
        <v>477667</v>
      </c>
      <c r="R9" s="37">
        <f>(+Q9-+Q8)*48</f>
        <v>4992</v>
      </c>
      <c r="S9" s="77">
        <v>765019</v>
      </c>
      <c r="T9" s="37">
        <f>(+S9-+S8)*48</f>
        <v>5280</v>
      </c>
      <c r="U9" s="82">
        <v>5229</v>
      </c>
      <c r="V9" s="103">
        <f>(+U9-+U8)*48</f>
        <v>735.98399999998219</v>
      </c>
      <c r="W9" s="77">
        <v>84947</v>
      </c>
      <c r="X9" s="37">
        <f>(+W9-+W8)*48</f>
        <v>720</v>
      </c>
      <c r="Y9" s="77">
        <v>1521969</v>
      </c>
      <c r="Z9" s="37">
        <f>(+Y9-+Y8)*48</f>
        <v>5712</v>
      </c>
      <c r="AA9" s="77">
        <v>13886</v>
      </c>
      <c r="AB9" s="37">
        <f>(+AA9-+AA8)*48</f>
        <v>0</v>
      </c>
      <c r="AC9" s="77">
        <v>502757</v>
      </c>
      <c r="AD9" s="37">
        <f>(+AC9-+AC8)*48</f>
        <v>6768</v>
      </c>
      <c r="AE9" s="77">
        <v>572230</v>
      </c>
      <c r="AF9" s="37">
        <f>(+AE9-+AE8)*48</f>
        <v>6000</v>
      </c>
      <c r="AG9" s="77">
        <v>49788</v>
      </c>
      <c r="AH9" s="37">
        <f>(+AG9-+AG8)*48</f>
        <v>0</v>
      </c>
      <c r="AI9" s="77">
        <v>445454</v>
      </c>
      <c r="AJ9" s="37">
        <f>(+AI9-+AI8)*48</f>
        <v>4896</v>
      </c>
      <c r="AK9" s="77">
        <v>102770</v>
      </c>
      <c r="AL9" s="37">
        <f>(+AK9-+AK8)*48</f>
        <v>0</v>
      </c>
      <c r="AM9" s="77">
        <v>608349</v>
      </c>
      <c r="AN9" s="37">
        <f>(+AM9-+AM8)*48</f>
        <v>6144</v>
      </c>
      <c r="AO9" s="77">
        <v>997571</v>
      </c>
      <c r="AP9" s="37">
        <f>(+AO9-+AO8)*48</f>
        <v>9792</v>
      </c>
      <c r="AQ9" s="77">
        <v>90924</v>
      </c>
      <c r="AR9" s="37">
        <f>(+AQ9-+AQ8)*48</f>
        <v>2448</v>
      </c>
      <c r="AS9" s="77">
        <v>2459</v>
      </c>
      <c r="AT9" s="37">
        <f>(+AS9-+AS8)*48</f>
        <v>0</v>
      </c>
      <c r="AU9" s="77">
        <v>939</v>
      </c>
      <c r="AV9" s="37">
        <f t="shared" ref="AV9:AV13" si="1">(+AU9-+AU8)*48</f>
        <v>0</v>
      </c>
      <c r="AW9" s="77">
        <v>3110</v>
      </c>
      <c r="AX9" s="37">
        <f>(+AW9-+AW8)*48</f>
        <v>0</v>
      </c>
      <c r="AY9" s="77">
        <v>349015</v>
      </c>
      <c r="AZ9" s="37">
        <f t="shared" ref="AZ9:AZ10" si="2">(+AY9-+AY8)*48</f>
        <v>3120</v>
      </c>
      <c r="BA9" s="77">
        <v>161101</v>
      </c>
      <c r="BB9" s="37">
        <f>(+BA9-+BA8)*48</f>
        <v>0</v>
      </c>
      <c r="BC9" s="77">
        <v>235982</v>
      </c>
      <c r="BD9" s="37">
        <f>(+BC9-+BC8)*48</f>
        <v>2592</v>
      </c>
      <c r="BE9" s="77">
        <v>5350</v>
      </c>
      <c r="BF9" s="37">
        <f>(+BE9-+BE8)*48</f>
        <v>0</v>
      </c>
      <c r="BH9" s="105">
        <f t="shared" ref="BH9:BH10" si="3">SUM(E9,J9,P9,H9,L9,R9,T9,V9,X9,N9,AB9,Z9,AD9,AF9,AH9,AL9,AJ9)</f>
        <v>122809.58399999997</v>
      </c>
      <c r="BI9" s="105">
        <f t="shared" ref="BI9:BI10" si="4">SUM(F9,AN9,AP9,AT9,AV9,AX9,AR9,AZ9,BB9,BD9,BF9)</f>
        <v>68102.399999999994</v>
      </c>
    </row>
    <row r="10" spans="1:61" s="28" customFormat="1" ht="39.950000000000003" customHeight="1">
      <c r="A10" s="185">
        <v>44714</v>
      </c>
      <c r="B10" s="27"/>
      <c r="C10" s="77">
        <v>6929360</v>
      </c>
      <c r="D10" s="37">
        <f>(+C10-+C9)*48</f>
        <v>107712</v>
      </c>
      <c r="E10" s="104">
        <f t="shared" ref="E10:E38" si="5">D10*0.6</f>
        <v>64627.199999999997</v>
      </c>
      <c r="F10" s="103">
        <f t="shared" ref="F10:F38" si="6">D10*0.4</f>
        <v>43084.800000000003</v>
      </c>
      <c r="G10" s="77">
        <v>295454</v>
      </c>
      <c r="H10" s="37">
        <f>(+G10-+G9)*48</f>
        <v>1728</v>
      </c>
      <c r="I10" s="77">
        <v>188425</v>
      </c>
      <c r="J10" s="37">
        <f t="shared" ref="J10:J38" si="7">(+I10-+I9)*48</f>
        <v>7824</v>
      </c>
      <c r="K10" s="77">
        <v>269382</v>
      </c>
      <c r="L10" s="37">
        <f t="shared" si="0"/>
        <v>0</v>
      </c>
      <c r="M10" s="77">
        <v>25329</v>
      </c>
      <c r="N10" s="37">
        <f>(+M10-+M9)*48</f>
        <v>48</v>
      </c>
      <c r="O10" s="77">
        <v>332184</v>
      </c>
      <c r="P10" s="37">
        <f t="shared" ref="P10:P38" si="8">(+O10-+O9)*48</f>
        <v>8640</v>
      </c>
      <c r="Q10" s="77">
        <v>477749</v>
      </c>
      <c r="R10" s="37">
        <f t="shared" ref="R10:R38" si="9">(+Q10-+Q9)*48</f>
        <v>3936</v>
      </c>
      <c r="S10" s="77">
        <v>765158</v>
      </c>
      <c r="T10" s="37">
        <f t="shared" ref="T10:T38" si="10">(+S10-+S9)*48</f>
        <v>6672</v>
      </c>
      <c r="U10" s="82">
        <v>5245</v>
      </c>
      <c r="V10" s="103">
        <f t="shared" ref="V10" si="11">(+U10-+U9)*48</f>
        <v>768</v>
      </c>
      <c r="W10" s="77">
        <v>84967</v>
      </c>
      <c r="X10" s="37">
        <f t="shared" ref="X10:X38" si="12">(+W10-+W9)*48</f>
        <v>960</v>
      </c>
      <c r="Y10" s="77">
        <v>1521999</v>
      </c>
      <c r="Z10" s="37">
        <f t="shared" ref="Z10:Z35" si="13">(+Y10-+Y9)*48</f>
        <v>1440</v>
      </c>
      <c r="AA10" s="77">
        <v>13886</v>
      </c>
      <c r="AB10" s="37">
        <f t="shared" ref="AB10:AB38" si="14">(+AA10-+AA9)*48</f>
        <v>0</v>
      </c>
      <c r="AC10" s="77">
        <v>502894</v>
      </c>
      <c r="AD10" s="37">
        <f t="shared" ref="AD10:AH37" si="15">(+AC10-+AC9)*48</f>
        <v>6576</v>
      </c>
      <c r="AE10" s="77">
        <v>572354</v>
      </c>
      <c r="AF10" s="37">
        <f t="shared" si="15"/>
        <v>5952</v>
      </c>
      <c r="AG10" s="76">
        <v>49788</v>
      </c>
      <c r="AH10" s="37">
        <f t="shared" ref="AH10:AH37" si="16">(+AG10-+AG9)*48</f>
        <v>0</v>
      </c>
      <c r="AI10" s="77">
        <v>445546</v>
      </c>
      <c r="AJ10" s="37">
        <f t="shared" ref="AJ10:AJ38" si="17">(+AI10-+AI9)*48</f>
        <v>4416</v>
      </c>
      <c r="AK10" s="77">
        <v>102770</v>
      </c>
      <c r="AL10" s="37">
        <f t="shared" ref="AL10:AL38" si="18">(+AK10-+AK9)*48</f>
        <v>0</v>
      </c>
      <c r="AM10" s="77">
        <v>608446</v>
      </c>
      <c r="AN10" s="37">
        <f t="shared" ref="AN10:AN38" si="19">(+AM10-+AM9)*48</f>
        <v>4656</v>
      </c>
      <c r="AO10" s="77">
        <v>997762</v>
      </c>
      <c r="AP10" s="37">
        <f t="shared" ref="AP10:AP38" si="20">(+AO10-+AO9)*48</f>
        <v>9168</v>
      </c>
      <c r="AQ10" s="77">
        <v>90949</v>
      </c>
      <c r="AR10" s="37">
        <f t="shared" ref="AR10" si="21">(+AQ10-+AQ9)*48</f>
        <v>1200</v>
      </c>
      <c r="AS10" s="77">
        <v>2459</v>
      </c>
      <c r="AT10" s="37">
        <f t="shared" ref="AT10:AT34" si="22">(+AS10-+AS9)*48</f>
        <v>0</v>
      </c>
      <c r="AU10" s="77">
        <v>939</v>
      </c>
      <c r="AV10" s="37">
        <f t="shared" si="1"/>
        <v>0</v>
      </c>
      <c r="AW10" s="77">
        <v>3110</v>
      </c>
      <c r="AX10" s="37">
        <f t="shared" ref="AX10:AX33" si="23">(+AW10-+AW9)*48</f>
        <v>0</v>
      </c>
      <c r="AY10" s="77">
        <v>349092</v>
      </c>
      <c r="AZ10" s="37">
        <f t="shared" si="2"/>
        <v>3696</v>
      </c>
      <c r="BA10" s="76">
        <v>161101</v>
      </c>
      <c r="BB10" s="37">
        <f t="shared" ref="BB10" si="24">(+BA10-+BA9)*48</f>
        <v>0</v>
      </c>
      <c r="BC10" s="77">
        <v>236036</v>
      </c>
      <c r="BD10" s="37">
        <f t="shared" ref="BD10:BD38" si="25">(+BC10-+BC9)*48</f>
        <v>2592</v>
      </c>
      <c r="BE10" s="77">
        <v>5350</v>
      </c>
      <c r="BF10" s="37">
        <f t="shared" ref="BF10:BF38" si="26">(+BE10-+BE9)*48</f>
        <v>0</v>
      </c>
      <c r="BH10" s="105">
        <f t="shared" si="3"/>
        <v>113587.2</v>
      </c>
      <c r="BI10" s="105">
        <f t="shared" si="4"/>
        <v>64396.800000000003</v>
      </c>
    </row>
    <row r="11" spans="1:61" s="35" customFormat="1" ht="39.950000000000003" customHeight="1">
      <c r="A11" s="185">
        <v>44715</v>
      </c>
      <c r="B11" s="34"/>
      <c r="C11" s="77">
        <v>6931493</v>
      </c>
      <c r="D11" s="37">
        <f>(+C11-+C10)*48</f>
        <v>102384</v>
      </c>
      <c r="E11" s="104">
        <f t="shared" si="5"/>
        <v>61430.399999999994</v>
      </c>
      <c r="F11" s="103">
        <f t="shared" si="6"/>
        <v>40953.600000000006</v>
      </c>
      <c r="G11" s="77">
        <v>295495</v>
      </c>
      <c r="H11" s="37">
        <f>(+G11-+G10)*48</f>
        <v>1968</v>
      </c>
      <c r="I11" s="77">
        <v>188597</v>
      </c>
      <c r="J11" s="37">
        <f t="shared" si="7"/>
        <v>8256</v>
      </c>
      <c r="K11" s="77">
        <v>269420</v>
      </c>
      <c r="L11" s="37">
        <f t="shared" si="0"/>
        <v>1824</v>
      </c>
      <c r="M11" s="77">
        <v>25329</v>
      </c>
      <c r="N11" s="37">
        <f>(+M11-+M9)*48</f>
        <v>48</v>
      </c>
      <c r="O11" s="77">
        <v>332384</v>
      </c>
      <c r="P11" s="37">
        <f t="shared" si="8"/>
        <v>9600</v>
      </c>
      <c r="Q11" s="77">
        <v>477832</v>
      </c>
      <c r="R11" s="37">
        <f t="shared" si="9"/>
        <v>3984</v>
      </c>
      <c r="S11" s="77">
        <v>765296</v>
      </c>
      <c r="T11" s="37">
        <f t="shared" si="10"/>
        <v>6624</v>
      </c>
      <c r="U11" s="82">
        <v>5270</v>
      </c>
      <c r="V11" s="103">
        <f t="shared" ref="V11" si="27">(+U11-+U10)*48</f>
        <v>1200</v>
      </c>
      <c r="W11" s="77">
        <v>84985</v>
      </c>
      <c r="X11" s="37">
        <f t="shared" si="12"/>
        <v>864</v>
      </c>
      <c r="Y11" s="77">
        <v>1522036</v>
      </c>
      <c r="Z11" s="37">
        <f>(+Y11-+Y9)*48</f>
        <v>3216</v>
      </c>
      <c r="AA11" s="77">
        <v>13886</v>
      </c>
      <c r="AB11" s="37">
        <f>(+AA11-+AA9)*48</f>
        <v>0</v>
      </c>
      <c r="AC11" s="77">
        <v>503032</v>
      </c>
      <c r="AD11" s="37">
        <f t="shared" si="15"/>
        <v>6624</v>
      </c>
      <c r="AE11" s="77">
        <v>572477</v>
      </c>
      <c r="AF11" s="37">
        <f t="shared" si="15"/>
        <v>5904</v>
      </c>
      <c r="AG11" s="76">
        <v>49788</v>
      </c>
      <c r="AH11" s="37">
        <f t="shared" si="15"/>
        <v>0</v>
      </c>
      <c r="AI11" s="77">
        <v>445647</v>
      </c>
      <c r="AJ11" s="37">
        <f t="shared" si="17"/>
        <v>4848</v>
      </c>
      <c r="AK11" s="77">
        <v>102770</v>
      </c>
      <c r="AL11" s="37">
        <f>(+AK11-+AK9)*48</f>
        <v>0</v>
      </c>
      <c r="AM11" s="77">
        <v>608585</v>
      </c>
      <c r="AN11" s="37">
        <f t="shared" si="19"/>
        <v>6672</v>
      </c>
      <c r="AO11" s="77">
        <v>997959</v>
      </c>
      <c r="AP11" s="37">
        <f t="shared" si="20"/>
        <v>9456</v>
      </c>
      <c r="AQ11" s="77">
        <v>90949</v>
      </c>
      <c r="AR11" s="37">
        <f t="shared" ref="AR11:AR38" si="28">(+AQ11-+AQ10)*48</f>
        <v>0</v>
      </c>
      <c r="AS11" s="77">
        <v>2459</v>
      </c>
      <c r="AT11" s="37">
        <f>(+AS11-+AS9)*48</f>
        <v>0</v>
      </c>
      <c r="AU11" s="77">
        <v>939</v>
      </c>
      <c r="AV11" s="37">
        <f t="shared" si="1"/>
        <v>0</v>
      </c>
      <c r="AW11" s="77">
        <v>3110</v>
      </c>
      <c r="AX11" s="37">
        <f>(+AW11-+AW9)*48</f>
        <v>0</v>
      </c>
      <c r="AY11" s="77">
        <v>349172</v>
      </c>
      <c r="AZ11" s="37">
        <f>(+AY11-+AY9)*48</f>
        <v>7536</v>
      </c>
      <c r="BA11" s="76">
        <v>161101</v>
      </c>
      <c r="BB11" s="37">
        <f>(+BA11-+BA9)*48</f>
        <v>0</v>
      </c>
      <c r="BC11" s="77">
        <v>236090</v>
      </c>
      <c r="BD11" s="37">
        <f>(+BC11-+BC9)*48</f>
        <v>5184</v>
      </c>
      <c r="BE11" s="77">
        <v>5350</v>
      </c>
      <c r="BF11" s="37">
        <f>(+BE11-+BE9)*48</f>
        <v>0</v>
      </c>
      <c r="BH11" s="105">
        <f t="shared" ref="BH11:BH38" si="29">SUM(E11,J11,P11,H11,L11,R11,T11,V11,X11,N11,AB11,Z11,AD11,AF11,AH11,AL11,AJ11)</f>
        <v>116390.39999999999</v>
      </c>
      <c r="BI11" s="105">
        <f t="shared" ref="BI11:BI38" si="30">SUM(F11,AN11,AP11,AT11,AV11,AX11,AR11,AZ11,BB11,BD11,BF11)</f>
        <v>69801.600000000006</v>
      </c>
    </row>
    <row r="12" spans="1:61" s="35" customFormat="1" ht="39.950000000000003" customHeight="1">
      <c r="A12" s="185">
        <v>44716</v>
      </c>
      <c r="B12" s="34"/>
      <c r="C12" s="77">
        <v>6933874</v>
      </c>
      <c r="D12" s="37">
        <f t="shared" ref="D12:D38" si="31">(+C12-+C11)*48</f>
        <v>114288</v>
      </c>
      <c r="E12" s="104">
        <f t="shared" si="5"/>
        <v>68572.800000000003</v>
      </c>
      <c r="F12" s="103">
        <f t="shared" si="6"/>
        <v>45715.200000000004</v>
      </c>
      <c r="G12" s="77">
        <v>295532</v>
      </c>
      <c r="H12" s="37">
        <f t="shared" ref="H12:H38" si="32">(+G12-+G11)*48</f>
        <v>1776</v>
      </c>
      <c r="I12" s="77">
        <v>188775</v>
      </c>
      <c r="J12" s="37">
        <f t="shared" si="7"/>
        <v>8544</v>
      </c>
      <c r="K12" s="77">
        <v>269471</v>
      </c>
      <c r="L12" s="37">
        <f t="shared" si="0"/>
        <v>2448</v>
      </c>
      <c r="M12" s="77">
        <v>25329</v>
      </c>
      <c r="N12" s="37">
        <f t="shared" ref="N12:N38" si="33">(+M12-+M11)*48</f>
        <v>0</v>
      </c>
      <c r="O12" s="77">
        <v>332604</v>
      </c>
      <c r="P12" s="37">
        <f t="shared" si="8"/>
        <v>10560</v>
      </c>
      <c r="Q12" s="77">
        <v>477926</v>
      </c>
      <c r="R12" s="37">
        <f t="shared" si="9"/>
        <v>4512</v>
      </c>
      <c r="S12" s="77">
        <v>765460</v>
      </c>
      <c r="T12" s="37">
        <f t="shared" si="10"/>
        <v>7872</v>
      </c>
      <c r="U12" s="82">
        <v>5281.6589999999997</v>
      </c>
      <c r="V12" s="103">
        <f t="shared" ref="V12:V14" si="34">(+U12-+U11)*48</f>
        <v>559.63199999998324</v>
      </c>
      <c r="W12" s="77">
        <v>85003</v>
      </c>
      <c r="X12" s="37">
        <f t="shared" si="12"/>
        <v>864</v>
      </c>
      <c r="Y12" s="77">
        <v>1522036</v>
      </c>
      <c r="Z12" s="37">
        <f t="shared" si="13"/>
        <v>0</v>
      </c>
      <c r="AA12" s="77">
        <v>13886</v>
      </c>
      <c r="AB12" s="37">
        <f t="shared" si="14"/>
        <v>0</v>
      </c>
      <c r="AC12" s="77">
        <v>503172</v>
      </c>
      <c r="AD12" s="37">
        <f t="shared" si="15"/>
        <v>6720</v>
      </c>
      <c r="AE12" s="77">
        <v>572601</v>
      </c>
      <c r="AF12" s="37">
        <f t="shared" si="15"/>
        <v>5952</v>
      </c>
      <c r="AG12" s="76">
        <v>49788</v>
      </c>
      <c r="AH12" s="37">
        <f t="shared" si="16"/>
        <v>0</v>
      </c>
      <c r="AI12" s="77">
        <v>445762</v>
      </c>
      <c r="AJ12" s="37">
        <f t="shared" si="17"/>
        <v>5520</v>
      </c>
      <c r="AK12" s="77">
        <v>102770</v>
      </c>
      <c r="AL12" s="37">
        <f t="shared" si="18"/>
        <v>0</v>
      </c>
      <c r="AM12" s="77">
        <v>608707</v>
      </c>
      <c r="AN12" s="37">
        <f t="shared" si="19"/>
        <v>5856</v>
      </c>
      <c r="AO12" s="77">
        <v>998150</v>
      </c>
      <c r="AP12" s="37">
        <f t="shared" si="20"/>
        <v>9168</v>
      </c>
      <c r="AQ12" s="77">
        <v>90949</v>
      </c>
      <c r="AR12" s="37">
        <f t="shared" si="28"/>
        <v>0</v>
      </c>
      <c r="AS12" s="77">
        <v>2459</v>
      </c>
      <c r="AT12" s="37">
        <f t="shared" si="22"/>
        <v>0</v>
      </c>
      <c r="AU12" s="77">
        <v>939</v>
      </c>
      <c r="AV12" s="37">
        <f t="shared" si="1"/>
        <v>0</v>
      </c>
      <c r="AW12" s="77">
        <v>3110</v>
      </c>
      <c r="AX12" s="37">
        <f t="shared" si="23"/>
        <v>0</v>
      </c>
      <c r="AY12" s="77">
        <v>349248</v>
      </c>
      <c r="AZ12" s="37">
        <f t="shared" ref="AZ12:AZ26" si="35">(+AY12-+AY11)*48</f>
        <v>3648</v>
      </c>
      <c r="BA12" s="76">
        <v>161101</v>
      </c>
      <c r="BB12" s="37">
        <f>(+BA12-+BA11)*48</f>
        <v>0</v>
      </c>
      <c r="BC12" s="77">
        <v>236141</v>
      </c>
      <c r="BD12" s="37">
        <f t="shared" si="25"/>
        <v>2448</v>
      </c>
      <c r="BE12" s="77">
        <v>5350</v>
      </c>
      <c r="BF12" s="37">
        <f t="shared" si="26"/>
        <v>0</v>
      </c>
      <c r="BH12" s="105">
        <f t="shared" si="29"/>
        <v>123900.43199999999</v>
      </c>
      <c r="BI12" s="105">
        <f t="shared" si="30"/>
        <v>66835.200000000012</v>
      </c>
    </row>
    <row r="13" spans="1:61" s="35" customFormat="1" ht="39.950000000000003" customHeight="1">
      <c r="A13" s="185">
        <v>44717</v>
      </c>
      <c r="B13" s="34"/>
      <c r="C13" s="77">
        <v>6936278</v>
      </c>
      <c r="D13" s="37">
        <f t="shared" si="31"/>
        <v>115392</v>
      </c>
      <c r="E13" s="104">
        <f t="shared" si="5"/>
        <v>69235.199999999997</v>
      </c>
      <c r="F13" s="103">
        <f t="shared" si="6"/>
        <v>46156.800000000003</v>
      </c>
      <c r="G13" s="77">
        <v>295562</v>
      </c>
      <c r="H13" s="37">
        <f t="shared" si="32"/>
        <v>1440</v>
      </c>
      <c r="I13" s="77">
        <v>188946</v>
      </c>
      <c r="J13" s="37">
        <f t="shared" si="7"/>
        <v>8208</v>
      </c>
      <c r="K13" s="77">
        <v>269484</v>
      </c>
      <c r="L13" s="37">
        <f t="shared" si="0"/>
        <v>624</v>
      </c>
      <c r="M13" s="77">
        <v>25329</v>
      </c>
      <c r="N13" s="37">
        <f t="shared" si="33"/>
        <v>0</v>
      </c>
      <c r="O13" s="77">
        <v>332809</v>
      </c>
      <c r="P13" s="37">
        <f t="shared" si="8"/>
        <v>9840</v>
      </c>
      <c r="Q13" s="77">
        <v>478035</v>
      </c>
      <c r="R13" s="37">
        <f t="shared" si="9"/>
        <v>5232</v>
      </c>
      <c r="S13" s="77">
        <v>765603</v>
      </c>
      <c r="T13" s="37">
        <f t="shared" si="10"/>
        <v>6864</v>
      </c>
      <c r="U13" s="82">
        <v>5300.46</v>
      </c>
      <c r="V13" s="103">
        <f t="shared" si="34"/>
        <v>902.44800000001851</v>
      </c>
      <c r="W13" s="77">
        <v>85019</v>
      </c>
      <c r="X13" s="37">
        <f t="shared" si="12"/>
        <v>768</v>
      </c>
      <c r="Y13" s="77">
        <v>1522036</v>
      </c>
      <c r="Z13" s="37">
        <f t="shared" si="13"/>
        <v>0</v>
      </c>
      <c r="AA13" s="77">
        <v>13886</v>
      </c>
      <c r="AB13" s="37">
        <f t="shared" si="14"/>
        <v>0</v>
      </c>
      <c r="AC13" s="77">
        <v>503308</v>
      </c>
      <c r="AD13" s="37">
        <f t="shared" si="15"/>
        <v>6528</v>
      </c>
      <c r="AE13" s="77">
        <v>572719</v>
      </c>
      <c r="AF13" s="37">
        <f t="shared" si="15"/>
        <v>5664</v>
      </c>
      <c r="AG13" s="76">
        <v>49788</v>
      </c>
      <c r="AH13" s="37">
        <f t="shared" si="16"/>
        <v>0</v>
      </c>
      <c r="AI13" s="77">
        <v>445872</v>
      </c>
      <c r="AJ13" s="37">
        <f t="shared" si="17"/>
        <v>5280</v>
      </c>
      <c r="AK13" s="77">
        <v>102770</v>
      </c>
      <c r="AL13" s="37">
        <f t="shared" si="18"/>
        <v>0</v>
      </c>
      <c r="AM13" s="77">
        <v>608831</v>
      </c>
      <c r="AN13" s="37">
        <f t="shared" si="19"/>
        <v>5952</v>
      </c>
      <c r="AO13" s="77">
        <v>998351</v>
      </c>
      <c r="AP13" s="37">
        <f t="shared" si="20"/>
        <v>9648</v>
      </c>
      <c r="AQ13" s="77">
        <v>90949</v>
      </c>
      <c r="AR13" s="37">
        <f t="shared" si="28"/>
        <v>0</v>
      </c>
      <c r="AS13" s="77">
        <v>2459</v>
      </c>
      <c r="AT13" s="37">
        <f t="shared" si="22"/>
        <v>0</v>
      </c>
      <c r="AU13" s="77">
        <v>939</v>
      </c>
      <c r="AV13" s="37">
        <f t="shared" si="1"/>
        <v>0</v>
      </c>
      <c r="AW13" s="77">
        <v>3110</v>
      </c>
      <c r="AX13" s="37">
        <f t="shared" si="23"/>
        <v>0</v>
      </c>
      <c r="AY13" s="77">
        <v>349333</v>
      </c>
      <c r="AZ13" s="37">
        <f t="shared" si="35"/>
        <v>4080</v>
      </c>
      <c r="BA13" s="76">
        <v>161101</v>
      </c>
      <c r="BB13" s="37">
        <f t="shared" ref="BB13:BB22" si="36">(+BA13-+BA12)*48</f>
        <v>0</v>
      </c>
      <c r="BC13" s="77">
        <v>236196</v>
      </c>
      <c r="BD13" s="37">
        <f t="shared" si="25"/>
        <v>2640</v>
      </c>
      <c r="BE13" s="77">
        <v>5350</v>
      </c>
      <c r="BF13" s="37">
        <f t="shared" si="26"/>
        <v>0</v>
      </c>
      <c r="BH13" s="105">
        <f t="shared" si="29"/>
        <v>120585.64800000002</v>
      </c>
      <c r="BI13" s="105">
        <f t="shared" si="30"/>
        <v>68476.800000000003</v>
      </c>
    </row>
    <row r="14" spans="1:61" s="35" customFormat="1" ht="39.950000000000003" customHeight="1">
      <c r="A14" s="185">
        <v>44718</v>
      </c>
      <c r="B14" s="34"/>
      <c r="C14" s="77">
        <v>6938412</v>
      </c>
      <c r="D14" s="37">
        <f t="shared" si="31"/>
        <v>102432</v>
      </c>
      <c r="E14" s="104">
        <f t="shared" si="5"/>
        <v>61459.199999999997</v>
      </c>
      <c r="F14" s="103">
        <f t="shared" si="6"/>
        <v>40972.800000000003</v>
      </c>
      <c r="G14" s="77">
        <v>295597</v>
      </c>
      <c r="H14" s="37">
        <f t="shared" si="32"/>
        <v>1680</v>
      </c>
      <c r="I14" s="77">
        <v>189108</v>
      </c>
      <c r="J14" s="37">
        <f t="shared" si="7"/>
        <v>7776</v>
      </c>
      <c r="K14" s="77">
        <v>269505</v>
      </c>
      <c r="L14" s="37">
        <f t="shared" si="0"/>
        <v>1008</v>
      </c>
      <c r="M14" s="77">
        <v>25329</v>
      </c>
      <c r="N14" s="37">
        <f t="shared" si="33"/>
        <v>0</v>
      </c>
      <c r="O14" s="77">
        <v>333006</v>
      </c>
      <c r="P14" s="37">
        <f t="shared" si="8"/>
        <v>9456</v>
      </c>
      <c r="Q14" s="77">
        <v>478121</v>
      </c>
      <c r="R14" s="37">
        <f t="shared" si="9"/>
        <v>4128</v>
      </c>
      <c r="S14" s="77">
        <v>765759</v>
      </c>
      <c r="T14" s="37">
        <f t="shared" si="10"/>
        <v>7488</v>
      </c>
      <c r="U14" s="82">
        <v>5317.4920000000002</v>
      </c>
      <c r="V14" s="103">
        <f t="shared" si="34"/>
        <v>817.53600000000733</v>
      </c>
      <c r="W14" s="77">
        <v>85035</v>
      </c>
      <c r="X14" s="37">
        <f t="shared" si="12"/>
        <v>768</v>
      </c>
      <c r="Y14" s="77">
        <v>1522038</v>
      </c>
      <c r="Z14" s="37">
        <f t="shared" si="13"/>
        <v>96</v>
      </c>
      <c r="AA14" s="77">
        <v>13886</v>
      </c>
      <c r="AB14" s="37">
        <f t="shared" si="14"/>
        <v>0</v>
      </c>
      <c r="AC14" s="77">
        <v>503441</v>
      </c>
      <c r="AD14" s="37">
        <f t="shared" si="15"/>
        <v>6384</v>
      </c>
      <c r="AE14" s="77">
        <v>572825</v>
      </c>
      <c r="AF14" s="37">
        <f t="shared" si="15"/>
        <v>5088</v>
      </c>
      <c r="AG14" s="76">
        <v>49788</v>
      </c>
      <c r="AH14" s="37">
        <f t="shared" si="16"/>
        <v>0</v>
      </c>
      <c r="AI14" s="77">
        <v>445975</v>
      </c>
      <c r="AJ14" s="37">
        <f t="shared" si="17"/>
        <v>4944</v>
      </c>
      <c r="AK14" s="77">
        <v>102770</v>
      </c>
      <c r="AL14" s="37">
        <f t="shared" si="18"/>
        <v>0</v>
      </c>
      <c r="AM14" s="77">
        <v>608942</v>
      </c>
      <c r="AN14" s="37">
        <f t="shared" si="19"/>
        <v>5328</v>
      </c>
      <c r="AO14" s="77">
        <v>998535</v>
      </c>
      <c r="AP14" s="37">
        <f t="shared" si="20"/>
        <v>8832</v>
      </c>
      <c r="AQ14" s="77">
        <v>90949</v>
      </c>
      <c r="AR14" s="37">
        <f t="shared" si="28"/>
        <v>0</v>
      </c>
      <c r="AS14" s="77">
        <v>2459</v>
      </c>
      <c r="AT14" s="37">
        <f t="shared" si="22"/>
        <v>0</v>
      </c>
      <c r="AU14" s="77">
        <v>939</v>
      </c>
      <c r="AV14" s="37">
        <f t="shared" ref="AV14:AV38" si="37">(+AU14-+AU13)*48</f>
        <v>0</v>
      </c>
      <c r="AW14" s="77">
        <v>3110</v>
      </c>
      <c r="AX14" s="37">
        <f t="shared" si="23"/>
        <v>0</v>
      </c>
      <c r="AY14" s="77">
        <v>349411</v>
      </c>
      <c r="AZ14" s="37">
        <f t="shared" si="35"/>
        <v>3744</v>
      </c>
      <c r="BA14" s="76">
        <v>161101</v>
      </c>
      <c r="BB14" s="37">
        <f t="shared" si="36"/>
        <v>0</v>
      </c>
      <c r="BC14" s="77">
        <v>236249</v>
      </c>
      <c r="BD14" s="37">
        <f t="shared" si="25"/>
        <v>2544</v>
      </c>
      <c r="BE14" s="77">
        <v>5350</v>
      </c>
      <c r="BF14" s="37">
        <f t="shared" si="26"/>
        <v>0</v>
      </c>
      <c r="BH14" s="105">
        <f t="shared" si="29"/>
        <v>111092.736</v>
      </c>
      <c r="BI14" s="105">
        <f t="shared" si="30"/>
        <v>61420.800000000003</v>
      </c>
    </row>
    <row r="15" spans="1:61" s="35" customFormat="1" ht="39.950000000000003" customHeight="1">
      <c r="A15" s="185">
        <v>44719</v>
      </c>
      <c r="B15" s="34"/>
      <c r="C15" s="77">
        <v>6940763</v>
      </c>
      <c r="D15" s="37">
        <f t="shared" si="31"/>
        <v>112848</v>
      </c>
      <c r="E15" s="104">
        <f t="shared" si="5"/>
        <v>67708.800000000003</v>
      </c>
      <c r="F15" s="103">
        <f t="shared" si="6"/>
        <v>45139.200000000004</v>
      </c>
      <c r="G15" s="77">
        <v>295631</v>
      </c>
      <c r="H15" s="37">
        <f t="shared" si="32"/>
        <v>1632</v>
      </c>
      <c r="I15" s="77">
        <v>189270</v>
      </c>
      <c r="J15" s="37">
        <f t="shared" si="7"/>
        <v>7776</v>
      </c>
      <c r="K15" s="77">
        <v>269518</v>
      </c>
      <c r="L15" s="37">
        <f t="shared" si="0"/>
        <v>624</v>
      </c>
      <c r="M15" s="77">
        <v>25329</v>
      </c>
      <c r="N15" s="37">
        <f t="shared" si="33"/>
        <v>0</v>
      </c>
      <c r="O15" s="77">
        <v>333211</v>
      </c>
      <c r="P15" s="37">
        <f t="shared" si="8"/>
        <v>9840</v>
      </c>
      <c r="Q15" s="77">
        <v>478214</v>
      </c>
      <c r="R15" s="37">
        <f t="shared" si="9"/>
        <v>4464</v>
      </c>
      <c r="S15" s="77">
        <v>765937</v>
      </c>
      <c r="T15" s="37">
        <f t="shared" si="10"/>
        <v>8544</v>
      </c>
      <c r="U15" s="82">
        <v>5334.402</v>
      </c>
      <c r="V15" s="103">
        <f>(+U15-+U14)*48</f>
        <v>811.67999999999302</v>
      </c>
      <c r="W15" s="77">
        <v>85039</v>
      </c>
      <c r="X15" s="37">
        <f t="shared" si="12"/>
        <v>192</v>
      </c>
      <c r="Y15" s="77">
        <v>1522038</v>
      </c>
      <c r="Z15" s="37">
        <f t="shared" si="13"/>
        <v>0</v>
      </c>
      <c r="AA15" s="77">
        <v>13886</v>
      </c>
      <c r="AB15" s="37">
        <f t="shared" si="14"/>
        <v>0</v>
      </c>
      <c r="AC15" s="77">
        <v>503582</v>
      </c>
      <c r="AD15" s="37">
        <f t="shared" si="15"/>
        <v>6768</v>
      </c>
      <c r="AE15" s="77">
        <v>572949</v>
      </c>
      <c r="AF15" s="37">
        <f t="shared" si="15"/>
        <v>5952</v>
      </c>
      <c r="AG15" s="76">
        <v>49788</v>
      </c>
      <c r="AH15" s="37">
        <f t="shared" si="16"/>
        <v>0</v>
      </c>
      <c r="AI15" s="77">
        <v>446061</v>
      </c>
      <c r="AJ15" s="37">
        <f t="shared" si="17"/>
        <v>4128</v>
      </c>
      <c r="AK15" s="77">
        <v>102770</v>
      </c>
      <c r="AL15" s="37">
        <f t="shared" si="18"/>
        <v>0</v>
      </c>
      <c r="AM15" s="77">
        <v>609068</v>
      </c>
      <c r="AN15" s="37">
        <f t="shared" si="19"/>
        <v>6048</v>
      </c>
      <c r="AO15" s="77">
        <v>998714</v>
      </c>
      <c r="AP15" s="37">
        <f t="shared" si="20"/>
        <v>8592</v>
      </c>
      <c r="AQ15" s="77">
        <v>90949</v>
      </c>
      <c r="AR15" s="37">
        <f t="shared" si="28"/>
        <v>0</v>
      </c>
      <c r="AS15" s="77">
        <v>2459</v>
      </c>
      <c r="AT15" s="37">
        <f t="shared" si="22"/>
        <v>0</v>
      </c>
      <c r="AU15" s="77">
        <v>939</v>
      </c>
      <c r="AV15" s="37">
        <f t="shared" si="37"/>
        <v>0</v>
      </c>
      <c r="AW15" s="77">
        <v>3110</v>
      </c>
      <c r="AX15" s="37">
        <f t="shared" si="23"/>
        <v>0</v>
      </c>
      <c r="AY15" s="77">
        <v>349490</v>
      </c>
      <c r="AZ15" s="37">
        <f t="shared" si="35"/>
        <v>3792</v>
      </c>
      <c r="BA15" s="76">
        <v>161101</v>
      </c>
      <c r="BB15" s="37">
        <f t="shared" si="36"/>
        <v>0</v>
      </c>
      <c r="BC15" s="77">
        <v>236304</v>
      </c>
      <c r="BD15" s="37">
        <f t="shared" si="25"/>
        <v>2640</v>
      </c>
      <c r="BE15" s="77">
        <v>5350</v>
      </c>
      <c r="BF15" s="37">
        <f t="shared" si="26"/>
        <v>0</v>
      </c>
      <c r="BH15" s="105">
        <f t="shared" si="29"/>
        <v>118440.48</v>
      </c>
      <c r="BI15" s="105">
        <f t="shared" si="30"/>
        <v>66211.200000000012</v>
      </c>
    </row>
    <row r="16" spans="1:61" s="35" customFormat="1" ht="39.950000000000003" customHeight="1">
      <c r="A16" s="185">
        <v>44720</v>
      </c>
      <c r="B16" s="34"/>
      <c r="C16" s="77">
        <v>6942835</v>
      </c>
      <c r="D16" s="37">
        <f t="shared" si="31"/>
        <v>99456</v>
      </c>
      <c r="E16" s="104">
        <f t="shared" si="5"/>
        <v>59673.599999999999</v>
      </c>
      <c r="F16" s="103">
        <f t="shared" si="6"/>
        <v>39782.400000000001</v>
      </c>
      <c r="G16" s="77">
        <v>295670</v>
      </c>
      <c r="H16" s="37">
        <f t="shared" si="32"/>
        <v>1872</v>
      </c>
      <c r="I16" s="77">
        <v>189426</v>
      </c>
      <c r="J16" s="37">
        <f t="shared" si="7"/>
        <v>7488</v>
      </c>
      <c r="K16" s="77">
        <v>269532</v>
      </c>
      <c r="L16" s="37">
        <f t="shared" si="0"/>
        <v>672</v>
      </c>
      <c r="M16" s="77">
        <v>25330</v>
      </c>
      <c r="N16" s="37">
        <f t="shared" si="33"/>
        <v>48</v>
      </c>
      <c r="O16" s="77">
        <v>333388</v>
      </c>
      <c r="P16" s="37">
        <f t="shared" si="8"/>
        <v>8496</v>
      </c>
      <c r="Q16" s="77">
        <v>478296</v>
      </c>
      <c r="R16" s="37">
        <f t="shared" si="9"/>
        <v>3936</v>
      </c>
      <c r="S16" s="77">
        <v>766113</v>
      </c>
      <c r="T16" s="37">
        <f t="shared" si="10"/>
        <v>8448</v>
      </c>
      <c r="U16" s="82">
        <v>5352.6170000000002</v>
      </c>
      <c r="V16" s="103">
        <f t="shared" ref="V16:V38" si="38">(+U16-+U15)*48</f>
        <v>874.32000000000698</v>
      </c>
      <c r="W16" s="77">
        <v>85055</v>
      </c>
      <c r="X16" s="37">
        <f t="shared" si="12"/>
        <v>768</v>
      </c>
      <c r="Y16" s="77">
        <v>1522038</v>
      </c>
      <c r="Z16" s="37">
        <f t="shared" si="13"/>
        <v>0</v>
      </c>
      <c r="AA16" s="77">
        <v>13886</v>
      </c>
      <c r="AB16" s="37">
        <f t="shared" si="14"/>
        <v>0</v>
      </c>
      <c r="AC16" s="77">
        <v>503721</v>
      </c>
      <c r="AD16" s="37">
        <f t="shared" si="15"/>
        <v>6672</v>
      </c>
      <c r="AE16" s="77">
        <v>573069</v>
      </c>
      <c r="AF16" s="37">
        <f t="shared" si="15"/>
        <v>5760</v>
      </c>
      <c r="AG16" s="76">
        <v>49788</v>
      </c>
      <c r="AH16" s="37">
        <f t="shared" si="16"/>
        <v>0</v>
      </c>
      <c r="AI16" s="77">
        <v>446139</v>
      </c>
      <c r="AJ16" s="37">
        <f t="shared" si="17"/>
        <v>3744</v>
      </c>
      <c r="AK16" s="77">
        <v>102770</v>
      </c>
      <c r="AL16" s="37">
        <f t="shared" si="18"/>
        <v>0</v>
      </c>
      <c r="AM16" s="77">
        <v>609197</v>
      </c>
      <c r="AN16" s="37">
        <f t="shared" si="19"/>
        <v>6192</v>
      </c>
      <c r="AO16" s="77">
        <v>998903</v>
      </c>
      <c r="AP16" s="37">
        <f t="shared" si="20"/>
        <v>9072</v>
      </c>
      <c r="AQ16" s="77">
        <v>90949</v>
      </c>
      <c r="AR16" s="37">
        <f t="shared" si="28"/>
        <v>0</v>
      </c>
      <c r="AS16" s="77">
        <v>2459</v>
      </c>
      <c r="AT16" s="37">
        <f t="shared" si="22"/>
        <v>0</v>
      </c>
      <c r="AU16" s="77">
        <v>939</v>
      </c>
      <c r="AV16" s="37">
        <f t="shared" si="37"/>
        <v>0</v>
      </c>
      <c r="AW16" s="77">
        <v>3110</v>
      </c>
      <c r="AX16" s="37">
        <f t="shared" si="23"/>
        <v>0</v>
      </c>
      <c r="AY16" s="77">
        <v>349573</v>
      </c>
      <c r="AZ16" s="37">
        <f t="shared" si="35"/>
        <v>3984</v>
      </c>
      <c r="BA16" s="76">
        <v>161101</v>
      </c>
      <c r="BB16" s="37">
        <f t="shared" si="36"/>
        <v>0</v>
      </c>
      <c r="BC16" s="77">
        <v>236360</v>
      </c>
      <c r="BD16" s="37">
        <f t="shared" si="25"/>
        <v>2688</v>
      </c>
      <c r="BE16" s="77">
        <v>5350</v>
      </c>
      <c r="BF16" s="37">
        <f t="shared" si="26"/>
        <v>0</v>
      </c>
      <c r="BH16" s="105">
        <f t="shared" si="29"/>
        <v>108451.92000000001</v>
      </c>
      <c r="BI16" s="105">
        <f t="shared" si="30"/>
        <v>61718.400000000001</v>
      </c>
    </row>
    <row r="17" spans="1:61" s="35" customFormat="1" ht="39.950000000000003" customHeight="1">
      <c r="A17" s="185">
        <v>44721</v>
      </c>
      <c r="B17" s="34"/>
      <c r="C17" s="77">
        <v>6944879</v>
      </c>
      <c r="D17" s="37">
        <f t="shared" si="31"/>
        <v>98112</v>
      </c>
      <c r="E17" s="104">
        <f t="shared" si="5"/>
        <v>58867.199999999997</v>
      </c>
      <c r="F17" s="103">
        <f t="shared" si="6"/>
        <v>39244.800000000003</v>
      </c>
      <c r="G17" s="77">
        <v>295707</v>
      </c>
      <c r="H17" s="37">
        <f t="shared" si="32"/>
        <v>1776</v>
      </c>
      <c r="I17" s="77">
        <v>189587</v>
      </c>
      <c r="J17" s="37">
        <f t="shared" si="7"/>
        <v>7728</v>
      </c>
      <c r="K17" s="77">
        <v>269552</v>
      </c>
      <c r="L17" s="37">
        <f t="shared" si="0"/>
        <v>960</v>
      </c>
      <c r="M17" s="77">
        <v>25330</v>
      </c>
      <c r="N17" s="37">
        <f t="shared" si="33"/>
        <v>0</v>
      </c>
      <c r="O17" s="77">
        <v>333586</v>
      </c>
      <c r="P17" s="37">
        <f t="shared" si="8"/>
        <v>9504</v>
      </c>
      <c r="Q17" s="77">
        <v>478379</v>
      </c>
      <c r="R17" s="37">
        <f t="shared" si="9"/>
        <v>3984</v>
      </c>
      <c r="S17" s="77">
        <v>766289</v>
      </c>
      <c r="T17" s="37">
        <f t="shared" si="10"/>
        <v>8448</v>
      </c>
      <c r="U17" s="82">
        <v>5368.174</v>
      </c>
      <c r="V17" s="103">
        <f t="shared" si="38"/>
        <v>746.73599999998987</v>
      </c>
      <c r="W17" s="77">
        <v>85063</v>
      </c>
      <c r="X17" s="37">
        <f t="shared" si="12"/>
        <v>384</v>
      </c>
      <c r="Y17" s="77">
        <v>1522038</v>
      </c>
      <c r="Z17" s="37">
        <f t="shared" si="13"/>
        <v>0</v>
      </c>
      <c r="AA17" s="77">
        <v>13886</v>
      </c>
      <c r="AB17" s="37">
        <f t="shared" si="14"/>
        <v>0</v>
      </c>
      <c r="AC17" s="77">
        <v>503867</v>
      </c>
      <c r="AD17" s="37">
        <f t="shared" si="15"/>
        <v>7008</v>
      </c>
      <c r="AE17" s="77">
        <v>573195</v>
      </c>
      <c r="AF17" s="37">
        <f t="shared" si="15"/>
        <v>6048</v>
      </c>
      <c r="AG17" s="76">
        <v>49788</v>
      </c>
      <c r="AH17" s="37">
        <f>(+AG17-+AG16)*48</f>
        <v>0</v>
      </c>
      <c r="AI17" s="77">
        <v>446214</v>
      </c>
      <c r="AJ17" s="37">
        <f t="shared" si="17"/>
        <v>3600</v>
      </c>
      <c r="AK17" s="77">
        <v>102770</v>
      </c>
      <c r="AL17" s="37">
        <f t="shared" si="18"/>
        <v>0</v>
      </c>
      <c r="AM17" s="77">
        <v>609327</v>
      </c>
      <c r="AN17" s="37">
        <f t="shared" si="19"/>
        <v>6240</v>
      </c>
      <c r="AO17" s="77">
        <v>999078</v>
      </c>
      <c r="AP17" s="37">
        <f t="shared" si="20"/>
        <v>8400</v>
      </c>
      <c r="AQ17" s="77">
        <v>90949</v>
      </c>
      <c r="AR17" s="37">
        <f t="shared" si="28"/>
        <v>0</v>
      </c>
      <c r="AS17" s="77">
        <v>2459</v>
      </c>
      <c r="AT17" s="37">
        <f t="shared" si="22"/>
        <v>0</v>
      </c>
      <c r="AU17" s="77">
        <v>939</v>
      </c>
      <c r="AV17" s="37">
        <f t="shared" si="37"/>
        <v>0</v>
      </c>
      <c r="AW17" s="77">
        <v>3110</v>
      </c>
      <c r="AX17" s="37">
        <f t="shared" si="23"/>
        <v>0</v>
      </c>
      <c r="AY17" s="77">
        <v>349657</v>
      </c>
      <c r="AZ17" s="37">
        <f t="shared" si="35"/>
        <v>4032</v>
      </c>
      <c r="BA17" s="76">
        <v>161101</v>
      </c>
      <c r="BB17" s="37">
        <f t="shared" si="36"/>
        <v>0</v>
      </c>
      <c r="BC17" s="77">
        <v>236418</v>
      </c>
      <c r="BD17" s="37">
        <f t="shared" si="25"/>
        <v>2784</v>
      </c>
      <c r="BE17" s="77">
        <v>5350</v>
      </c>
      <c r="BF17" s="37">
        <f t="shared" si="26"/>
        <v>0</v>
      </c>
      <c r="BH17" s="105">
        <f t="shared" si="29"/>
        <v>109053.93599999999</v>
      </c>
      <c r="BI17" s="105">
        <f t="shared" si="30"/>
        <v>60700.800000000003</v>
      </c>
    </row>
    <row r="18" spans="1:61" s="35" customFormat="1" ht="39.950000000000003" customHeight="1">
      <c r="A18" s="185">
        <v>44722</v>
      </c>
      <c r="B18" s="34"/>
      <c r="C18" s="77">
        <v>6947035</v>
      </c>
      <c r="D18" s="37">
        <f t="shared" si="31"/>
        <v>103488</v>
      </c>
      <c r="E18" s="104">
        <f t="shared" si="5"/>
        <v>62092.799999999996</v>
      </c>
      <c r="F18" s="103">
        <f t="shared" si="6"/>
        <v>41395.200000000004</v>
      </c>
      <c r="G18" s="77">
        <v>295742</v>
      </c>
      <c r="H18" s="37">
        <f t="shared" si="32"/>
        <v>1680</v>
      </c>
      <c r="I18" s="77">
        <v>189750</v>
      </c>
      <c r="J18" s="37">
        <f t="shared" si="7"/>
        <v>7824</v>
      </c>
      <c r="K18" s="77">
        <v>269574</v>
      </c>
      <c r="L18" s="37">
        <f t="shared" si="0"/>
        <v>1056</v>
      </c>
      <c r="M18" s="77">
        <v>25330</v>
      </c>
      <c r="N18" s="37">
        <f t="shared" si="33"/>
        <v>0</v>
      </c>
      <c r="O18" s="77">
        <v>333773</v>
      </c>
      <c r="P18" s="37">
        <f t="shared" si="8"/>
        <v>8976</v>
      </c>
      <c r="Q18" s="77">
        <v>478470</v>
      </c>
      <c r="R18" s="37">
        <f t="shared" si="9"/>
        <v>4368</v>
      </c>
      <c r="S18" s="77">
        <v>766467</v>
      </c>
      <c r="T18" s="37">
        <f t="shared" si="10"/>
        <v>8544</v>
      </c>
      <c r="U18" s="82">
        <v>5381.9939999999997</v>
      </c>
      <c r="V18" s="103">
        <f t="shared" si="38"/>
        <v>663.35999999998603</v>
      </c>
      <c r="W18" s="77">
        <v>85087</v>
      </c>
      <c r="X18" s="37">
        <f t="shared" si="12"/>
        <v>1152</v>
      </c>
      <c r="Y18" s="77">
        <v>1522153</v>
      </c>
      <c r="Z18" s="37">
        <f t="shared" si="13"/>
        <v>5520</v>
      </c>
      <c r="AA18" s="77">
        <v>13886</v>
      </c>
      <c r="AB18" s="37">
        <f t="shared" si="14"/>
        <v>0</v>
      </c>
      <c r="AC18" s="77">
        <v>504009</v>
      </c>
      <c r="AD18" s="37">
        <f t="shared" si="15"/>
        <v>6816</v>
      </c>
      <c r="AE18" s="77">
        <v>573321</v>
      </c>
      <c r="AF18" s="37">
        <f t="shared" si="15"/>
        <v>6048</v>
      </c>
      <c r="AG18" s="76">
        <v>49788</v>
      </c>
      <c r="AH18" s="37">
        <f>(+AG18-+AG17)*48</f>
        <v>0</v>
      </c>
      <c r="AI18" s="77">
        <v>446293</v>
      </c>
      <c r="AJ18" s="37">
        <f t="shared" si="17"/>
        <v>3792</v>
      </c>
      <c r="AK18" s="77">
        <v>102770</v>
      </c>
      <c r="AL18" s="37">
        <f t="shared" si="18"/>
        <v>0</v>
      </c>
      <c r="AM18" s="77">
        <v>609442</v>
      </c>
      <c r="AN18" s="37">
        <f t="shared" si="19"/>
        <v>5520</v>
      </c>
      <c r="AO18" s="77">
        <v>999214</v>
      </c>
      <c r="AP18" s="37">
        <f t="shared" si="20"/>
        <v>6528</v>
      </c>
      <c r="AQ18" s="77">
        <v>91094</v>
      </c>
      <c r="AR18" s="37">
        <f t="shared" si="28"/>
        <v>6960</v>
      </c>
      <c r="AS18" s="77">
        <v>2459</v>
      </c>
      <c r="AT18" s="37">
        <f t="shared" si="22"/>
        <v>0</v>
      </c>
      <c r="AU18" s="77">
        <v>939</v>
      </c>
      <c r="AV18" s="37">
        <f t="shared" si="37"/>
        <v>0</v>
      </c>
      <c r="AW18" s="77">
        <v>3110</v>
      </c>
      <c r="AX18" s="37">
        <f t="shared" si="23"/>
        <v>0</v>
      </c>
      <c r="AY18" s="77">
        <v>349739</v>
      </c>
      <c r="AZ18" s="37">
        <f t="shared" si="35"/>
        <v>3936</v>
      </c>
      <c r="BA18" s="76">
        <v>161101</v>
      </c>
      <c r="BB18" s="37">
        <f t="shared" si="36"/>
        <v>0</v>
      </c>
      <c r="BC18" s="77">
        <v>236475</v>
      </c>
      <c r="BD18" s="37">
        <f t="shared" si="25"/>
        <v>2736</v>
      </c>
      <c r="BE18" s="77">
        <v>5350</v>
      </c>
      <c r="BF18" s="37">
        <f t="shared" si="26"/>
        <v>0</v>
      </c>
      <c r="BH18" s="105">
        <f t="shared" si="29"/>
        <v>118532.15999999997</v>
      </c>
      <c r="BI18" s="105">
        <f t="shared" si="30"/>
        <v>67075.200000000012</v>
      </c>
    </row>
    <row r="19" spans="1:61" s="35" customFormat="1" ht="39.950000000000003" customHeight="1">
      <c r="A19" s="185">
        <v>44723</v>
      </c>
      <c r="B19" s="34"/>
      <c r="C19" s="77">
        <v>6949206</v>
      </c>
      <c r="D19" s="37">
        <f t="shared" si="31"/>
        <v>104208</v>
      </c>
      <c r="E19" s="104">
        <f t="shared" si="5"/>
        <v>62524.799999999996</v>
      </c>
      <c r="F19" s="103">
        <f t="shared" si="6"/>
        <v>41683.200000000004</v>
      </c>
      <c r="G19" s="77">
        <v>295781</v>
      </c>
      <c r="H19" s="37">
        <f t="shared" si="32"/>
        <v>1872</v>
      </c>
      <c r="I19" s="77">
        <v>189920</v>
      </c>
      <c r="J19" s="37">
        <f t="shared" si="7"/>
        <v>8160</v>
      </c>
      <c r="K19" s="77">
        <v>269610</v>
      </c>
      <c r="L19" s="37">
        <f t="shared" si="0"/>
        <v>1728</v>
      </c>
      <c r="M19" s="77">
        <v>25331</v>
      </c>
      <c r="N19" s="37">
        <f t="shared" si="33"/>
        <v>48</v>
      </c>
      <c r="O19" s="77">
        <v>333965</v>
      </c>
      <c r="P19" s="37">
        <f t="shared" si="8"/>
        <v>9216</v>
      </c>
      <c r="Q19" s="77">
        <v>478564</v>
      </c>
      <c r="R19" s="37">
        <f t="shared" si="9"/>
        <v>4512</v>
      </c>
      <c r="S19" s="77">
        <v>766632</v>
      </c>
      <c r="T19" s="37">
        <f t="shared" si="10"/>
        <v>7920</v>
      </c>
      <c r="U19" s="82">
        <v>5398</v>
      </c>
      <c r="V19" s="103">
        <f t="shared" si="38"/>
        <v>768.28800000001502</v>
      </c>
      <c r="W19" s="77">
        <v>85099</v>
      </c>
      <c r="X19" s="37">
        <f t="shared" si="12"/>
        <v>576</v>
      </c>
      <c r="Y19" s="77">
        <v>1522231</v>
      </c>
      <c r="Z19" s="37">
        <f t="shared" si="13"/>
        <v>3744</v>
      </c>
      <c r="AA19" s="77">
        <v>13886</v>
      </c>
      <c r="AB19" s="37">
        <f t="shared" si="14"/>
        <v>0</v>
      </c>
      <c r="AC19" s="77">
        <v>504156</v>
      </c>
      <c r="AD19" s="37">
        <f t="shared" si="15"/>
        <v>7056</v>
      </c>
      <c r="AE19" s="77">
        <v>573445</v>
      </c>
      <c r="AF19" s="37">
        <f t="shared" si="15"/>
        <v>5952</v>
      </c>
      <c r="AG19" s="76">
        <v>49788</v>
      </c>
      <c r="AH19" s="37">
        <f>(+AG19-+AG18)*48</f>
        <v>0</v>
      </c>
      <c r="AI19" s="77">
        <v>446395</v>
      </c>
      <c r="AJ19" s="37">
        <f t="shared" si="17"/>
        <v>4896</v>
      </c>
      <c r="AK19" s="77">
        <v>102770</v>
      </c>
      <c r="AL19" s="37">
        <f t="shared" si="18"/>
        <v>0</v>
      </c>
      <c r="AM19" s="77">
        <v>609572</v>
      </c>
      <c r="AN19" s="37">
        <f t="shared" si="19"/>
        <v>6240</v>
      </c>
      <c r="AO19" s="77">
        <v>999352</v>
      </c>
      <c r="AP19" s="37">
        <f t="shared" si="20"/>
        <v>6624</v>
      </c>
      <c r="AQ19" s="77">
        <v>91262</v>
      </c>
      <c r="AR19" s="37">
        <f t="shared" si="28"/>
        <v>8064</v>
      </c>
      <c r="AS19" s="77">
        <v>2459</v>
      </c>
      <c r="AT19" s="37">
        <f t="shared" si="22"/>
        <v>0</v>
      </c>
      <c r="AU19" s="77">
        <v>939</v>
      </c>
      <c r="AV19" s="37">
        <f t="shared" si="37"/>
        <v>0</v>
      </c>
      <c r="AW19" s="77">
        <v>3110</v>
      </c>
      <c r="AX19" s="37">
        <f t="shared" si="23"/>
        <v>0</v>
      </c>
      <c r="AY19" s="77">
        <v>349822</v>
      </c>
      <c r="AZ19" s="37">
        <f t="shared" si="35"/>
        <v>3984</v>
      </c>
      <c r="BA19" s="76">
        <v>161101</v>
      </c>
      <c r="BB19" s="37">
        <f t="shared" si="36"/>
        <v>0</v>
      </c>
      <c r="BC19" s="77">
        <v>236532</v>
      </c>
      <c r="BD19" s="37">
        <f t="shared" si="25"/>
        <v>2736</v>
      </c>
      <c r="BE19" s="77">
        <v>5350</v>
      </c>
      <c r="BF19" s="37">
        <f t="shared" si="26"/>
        <v>0</v>
      </c>
      <c r="BH19" s="105">
        <f t="shared" si="29"/>
        <v>118973.088</v>
      </c>
      <c r="BI19" s="105">
        <f t="shared" si="30"/>
        <v>69331.200000000012</v>
      </c>
    </row>
    <row r="20" spans="1:61" s="35" customFormat="1" ht="39.950000000000003" customHeight="1">
      <c r="A20" s="185">
        <v>44724</v>
      </c>
      <c r="B20" s="34"/>
      <c r="C20" s="77">
        <v>6951567</v>
      </c>
      <c r="D20" s="37">
        <f t="shared" si="31"/>
        <v>113328</v>
      </c>
      <c r="E20" s="104">
        <f t="shared" si="5"/>
        <v>67996.800000000003</v>
      </c>
      <c r="F20" s="103">
        <f t="shared" si="6"/>
        <v>45331.200000000004</v>
      </c>
      <c r="G20" s="77">
        <v>295822</v>
      </c>
      <c r="H20" s="37">
        <f t="shared" si="32"/>
        <v>1968</v>
      </c>
      <c r="I20" s="77">
        <v>190096</v>
      </c>
      <c r="J20" s="37">
        <f t="shared" si="7"/>
        <v>8448</v>
      </c>
      <c r="K20" s="77">
        <v>269630</v>
      </c>
      <c r="L20" s="37">
        <f t="shared" si="0"/>
        <v>960</v>
      </c>
      <c r="M20" s="77">
        <v>25331</v>
      </c>
      <c r="N20" s="37">
        <f t="shared" si="33"/>
        <v>0</v>
      </c>
      <c r="O20" s="77">
        <v>334175</v>
      </c>
      <c r="P20" s="37">
        <f t="shared" si="8"/>
        <v>10080</v>
      </c>
      <c r="Q20" s="77">
        <v>478662</v>
      </c>
      <c r="R20" s="37">
        <f t="shared" si="9"/>
        <v>4704</v>
      </c>
      <c r="S20" s="77">
        <v>766792</v>
      </c>
      <c r="T20" s="37">
        <f t="shared" si="10"/>
        <v>7680</v>
      </c>
      <c r="U20" s="82">
        <v>5412</v>
      </c>
      <c r="V20" s="103">
        <f t="shared" si="38"/>
        <v>672</v>
      </c>
      <c r="W20" s="77">
        <v>85120</v>
      </c>
      <c r="X20" s="37">
        <f t="shared" si="12"/>
        <v>1008</v>
      </c>
      <c r="Y20" s="77">
        <v>1522308</v>
      </c>
      <c r="Z20" s="37">
        <f t="shared" si="13"/>
        <v>3696</v>
      </c>
      <c r="AA20" s="77">
        <v>13886</v>
      </c>
      <c r="AB20" s="37">
        <f t="shared" si="14"/>
        <v>0</v>
      </c>
      <c r="AC20" s="77">
        <v>504299</v>
      </c>
      <c r="AD20" s="37">
        <f t="shared" si="15"/>
        <v>6864</v>
      </c>
      <c r="AE20" s="77">
        <v>573568</v>
      </c>
      <c r="AF20" s="37">
        <f t="shared" si="15"/>
        <v>5904</v>
      </c>
      <c r="AG20" s="76">
        <v>49788</v>
      </c>
      <c r="AH20" s="37">
        <f>(+AG20-+AG19)*48</f>
        <v>0</v>
      </c>
      <c r="AI20" s="77">
        <v>446517</v>
      </c>
      <c r="AJ20" s="37">
        <f t="shared" si="17"/>
        <v>5856</v>
      </c>
      <c r="AK20" s="77">
        <v>102770</v>
      </c>
      <c r="AL20" s="37">
        <f t="shared" si="18"/>
        <v>0</v>
      </c>
      <c r="AM20" s="77">
        <v>609711</v>
      </c>
      <c r="AN20" s="37">
        <f t="shared" si="19"/>
        <v>6672</v>
      </c>
      <c r="AO20" s="77">
        <v>999490</v>
      </c>
      <c r="AP20" s="37">
        <f t="shared" si="20"/>
        <v>6624</v>
      </c>
      <c r="AQ20" s="77">
        <v>91320</v>
      </c>
      <c r="AR20" s="37">
        <f t="shared" si="28"/>
        <v>2784</v>
      </c>
      <c r="AS20" s="77">
        <v>2459</v>
      </c>
      <c r="AT20" s="37">
        <f t="shared" si="22"/>
        <v>0</v>
      </c>
      <c r="AU20" s="77">
        <v>939</v>
      </c>
      <c r="AV20" s="37">
        <f t="shared" si="37"/>
        <v>0</v>
      </c>
      <c r="AW20" s="77">
        <v>3110</v>
      </c>
      <c r="AX20" s="37">
        <f t="shared" si="23"/>
        <v>0</v>
      </c>
      <c r="AY20" s="77">
        <v>349903</v>
      </c>
      <c r="AZ20" s="37">
        <f t="shared" si="35"/>
        <v>3888</v>
      </c>
      <c r="BA20" s="76">
        <v>161101</v>
      </c>
      <c r="BB20" s="37">
        <f t="shared" si="36"/>
        <v>0</v>
      </c>
      <c r="BC20" s="77">
        <v>236591</v>
      </c>
      <c r="BD20" s="37">
        <f t="shared" si="25"/>
        <v>2832</v>
      </c>
      <c r="BE20" s="77">
        <v>5350</v>
      </c>
      <c r="BF20" s="37">
        <f t="shared" si="26"/>
        <v>0</v>
      </c>
      <c r="BH20" s="162">
        <f t="shared" si="29"/>
        <v>125836.8</v>
      </c>
      <c r="BI20" s="162">
        <f t="shared" si="30"/>
        <v>68131.200000000012</v>
      </c>
    </row>
    <row r="21" spans="1:61" s="35" customFormat="1" ht="39.950000000000003" customHeight="1">
      <c r="A21" s="185">
        <v>44725</v>
      </c>
      <c r="B21" s="34"/>
      <c r="C21" s="77">
        <v>6953794</v>
      </c>
      <c r="D21" s="37">
        <f t="shared" si="31"/>
        <v>106896</v>
      </c>
      <c r="E21" s="104">
        <f t="shared" si="5"/>
        <v>64137.599999999999</v>
      </c>
      <c r="F21" s="103">
        <f t="shared" si="6"/>
        <v>42758.400000000001</v>
      </c>
      <c r="G21" s="77">
        <v>295856</v>
      </c>
      <c r="H21" s="37">
        <f t="shared" si="32"/>
        <v>1632</v>
      </c>
      <c r="I21" s="77">
        <v>190264</v>
      </c>
      <c r="J21" s="37">
        <f t="shared" si="7"/>
        <v>8064</v>
      </c>
      <c r="K21" s="77">
        <v>269649</v>
      </c>
      <c r="L21" s="37">
        <f t="shared" si="0"/>
        <v>912</v>
      </c>
      <c r="M21" s="77">
        <v>25331</v>
      </c>
      <c r="N21" s="37">
        <f t="shared" si="33"/>
        <v>0</v>
      </c>
      <c r="O21" s="77">
        <v>334404</v>
      </c>
      <c r="P21" s="37">
        <f t="shared" si="8"/>
        <v>10992</v>
      </c>
      <c r="Q21" s="77">
        <v>478762</v>
      </c>
      <c r="R21" s="37">
        <f t="shared" si="9"/>
        <v>4800</v>
      </c>
      <c r="S21" s="77">
        <v>766944</v>
      </c>
      <c r="T21" s="37">
        <f t="shared" si="10"/>
        <v>7296</v>
      </c>
      <c r="U21" s="82">
        <v>5430</v>
      </c>
      <c r="V21" s="103">
        <f t="shared" si="38"/>
        <v>864</v>
      </c>
      <c r="W21" s="77">
        <v>85139</v>
      </c>
      <c r="X21" s="37">
        <f t="shared" si="12"/>
        <v>912</v>
      </c>
      <c r="Y21" s="77">
        <v>1522338</v>
      </c>
      <c r="Z21" s="37">
        <f t="shared" si="13"/>
        <v>1440</v>
      </c>
      <c r="AA21" s="77">
        <v>13886</v>
      </c>
      <c r="AB21" s="37">
        <f t="shared" si="14"/>
        <v>0</v>
      </c>
      <c r="AC21" s="76">
        <v>504443</v>
      </c>
      <c r="AD21" s="37">
        <f t="shared" si="15"/>
        <v>6912</v>
      </c>
      <c r="AE21" s="76">
        <v>573690</v>
      </c>
      <c r="AF21" s="37">
        <f t="shared" si="15"/>
        <v>5856</v>
      </c>
      <c r="AG21" s="76">
        <v>49788</v>
      </c>
      <c r="AH21" s="37">
        <f t="shared" si="16"/>
        <v>0</v>
      </c>
      <c r="AI21" s="76">
        <v>446638</v>
      </c>
      <c r="AJ21" s="37">
        <f t="shared" si="17"/>
        <v>5808</v>
      </c>
      <c r="AK21" s="77">
        <v>102770</v>
      </c>
      <c r="AL21" s="37">
        <f t="shared" si="18"/>
        <v>0</v>
      </c>
      <c r="AM21" s="77">
        <v>609851</v>
      </c>
      <c r="AN21" s="37">
        <f t="shared" si="19"/>
        <v>6720</v>
      </c>
      <c r="AO21" s="77">
        <v>999629</v>
      </c>
      <c r="AP21" s="37">
        <f t="shared" si="20"/>
        <v>6672</v>
      </c>
      <c r="AQ21" s="77">
        <v>91372</v>
      </c>
      <c r="AR21" s="37">
        <f t="shared" si="28"/>
        <v>2496</v>
      </c>
      <c r="AS21" s="77">
        <v>2459</v>
      </c>
      <c r="AT21" s="37">
        <f t="shared" si="22"/>
        <v>0</v>
      </c>
      <c r="AU21" s="77">
        <v>939</v>
      </c>
      <c r="AV21" s="37">
        <f t="shared" si="37"/>
        <v>0</v>
      </c>
      <c r="AW21" s="77">
        <v>3110</v>
      </c>
      <c r="AX21" s="37">
        <f t="shared" si="23"/>
        <v>0</v>
      </c>
      <c r="AY21" s="77">
        <v>349981</v>
      </c>
      <c r="AZ21" s="37">
        <f t="shared" si="35"/>
        <v>3744</v>
      </c>
      <c r="BA21" s="76">
        <v>161101</v>
      </c>
      <c r="BB21" s="37">
        <f t="shared" si="36"/>
        <v>0</v>
      </c>
      <c r="BC21" s="77">
        <v>236646</v>
      </c>
      <c r="BD21" s="37">
        <f t="shared" si="25"/>
        <v>2640</v>
      </c>
      <c r="BE21" s="77">
        <v>5350</v>
      </c>
      <c r="BF21" s="37">
        <f t="shared" si="26"/>
        <v>0</v>
      </c>
      <c r="BH21" s="162">
        <f t="shared" si="29"/>
        <v>119625.60000000001</v>
      </c>
      <c r="BI21" s="162">
        <f t="shared" si="30"/>
        <v>65030.400000000001</v>
      </c>
    </row>
    <row r="22" spans="1:61" s="35" customFormat="1" ht="39.950000000000003" customHeight="1">
      <c r="A22" s="185">
        <v>44726</v>
      </c>
      <c r="B22" s="34"/>
      <c r="C22" s="77">
        <v>6955911</v>
      </c>
      <c r="D22" s="37">
        <f t="shared" si="31"/>
        <v>101616</v>
      </c>
      <c r="E22" s="104">
        <f t="shared" si="5"/>
        <v>60969.599999999999</v>
      </c>
      <c r="F22" s="103">
        <f t="shared" si="6"/>
        <v>40646.400000000001</v>
      </c>
      <c r="G22" s="77">
        <v>295893</v>
      </c>
      <c r="H22" s="37">
        <f t="shared" si="32"/>
        <v>1776</v>
      </c>
      <c r="I22" s="77">
        <v>190429</v>
      </c>
      <c r="J22" s="37">
        <f t="shared" si="7"/>
        <v>7920</v>
      </c>
      <c r="K22" s="77">
        <v>269668</v>
      </c>
      <c r="L22" s="37">
        <f t="shared" si="0"/>
        <v>912</v>
      </c>
      <c r="M22" s="77">
        <v>25331</v>
      </c>
      <c r="N22" s="37">
        <f t="shared" si="33"/>
        <v>0</v>
      </c>
      <c r="O22" s="77">
        <v>334593</v>
      </c>
      <c r="P22" s="37">
        <f t="shared" si="8"/>
        <v>9072</v>
      </c>
      <c r="Q22" s="77">
        <v>478847</v>
      </c>
      <c r="R22" s="37">
        <f t="shared" si="9"/>
        <v>4080</v>
      </c>
      <c r="S22" s="77">
        <v>767116</v>
      </c>
      <c r="T22" s="37">
        <f t="shared" si="10"/>
        <v>8256</v>
      </c>
      <c r="U22" s="82">
        <v>5445</v>
      </c>
      <c r="V22" s="103">
        <f t="shared" si="38"/>
        <v>720</v>
      </c>
      <c r="W22" s="77">
        <v>85139</v>
      </c>
      <c r="X22" s="37">
        <f t="shared" si="12"/>
        <v>0</v>
      </c>
      <c r="Y22" s="77">
        <v>1522379</v>
      </c>
      <c r="Z22" s="37">
        <f t="shared" si="13"/>
        <v>1968</v>
      </c>
      <c r="AA22" s="77">
        <v>13886</v>
      </c>
      <c r="AB22" s="37">
        <f t="shared" si="14"/>
        <v>0</v>
      </c>
      <c r="AC22" s="77">
        <v>504581</v>
      </c>
      <c r="AD22" s="37">
        <f t="shared" si="15"/>
        <v>6624</v>
      </c>
      <c r="AE22" s="77">
        <v>573811</v>
      </c>
      <c r="AF22" s="37">
        <f t="shared" si="15"/>
        <v>5808</v>
      </c>
      <c r="AG22" s="76">
        <v>49788</v>
      </c>
      <c r="AH22" s="37">
        <f t="shared" si="16"/>
        <v>0</v>
      </c>
      <c r="AI22" s="77">
        <v>446733</v>
      </c>
      <c r="AJ22" s="37">
        <f t="shared" si="17"/>
        <v>4560</v>
      </c>
      <c r="AK22" s="77">
        <v>102770</v>
      </c>
      <c r="AL22" s="37">
        <f t="shared" si="18"/>
        <v>0</v>
      </c>
      <c r="AM22" s="76">
        <v>609985</v>
      </c>
      <c r="AN22" s="37">
        <f t="shared" si="19"/>
        <v>6432</v>
      </c>
      <c r="AO22" s="76">
        <v>999763</v>
      </c>
      <c r="AP22" s="37">
        <f t="shared" si="20"/>
        <v>6432</v>
      </c>
      <c r="AQ22" s="77">
        <v>91398</v>
      </c>
      <c r="AR22" s="37">
        <f t="shared" si="28"/>
        <v>1248</v>
      </c>
      <c r="AS22" s="77">
        <v>2459</v>
      </c>
      <c r="AT22" s="37">
        <f t="shared" si="22"/>
        <v>0</v>
      </c>
      <c r="AU22" s="77">
        <v>939</v>
      </c>
      <c r="AV22" s="37">
        <f t="shared" si="37"/>
        <v>0</v>
      </c>
      <c r="AW22" s="77">
        <v>3110</v>
      </c>
      <c r="AX22" s="37">
        <f t="shared" si="23"/>
        <v>0</v>
      </c>
      <c r="AY22" s="77">
        <v>350061</v>
      </c>
      <c r="AZ22" s="37">
        <f t="shared" si="35"/>
        <v>3840</v>
      </c>
      <c r="BA22" s="76">
        <v>161101</v>
      </c>
      <c r="BB22" s="37">
        <f t="shared" si="36"/>
        <v>0</v>
      </c>
      <c r="BC22" s="77">
        <v>236702</v>
      </c>
      <c r="BD22" s="37">
        <f t="shared" si="25"/>
        <v>2688</v>
      </c>
      <c r="BE22" s="77">
        <v>5350</v>
      </c>
      <c r="BF22" s="37">
        <f t="shared" si="26"/>
        <v>0</v>
      </c>
      <c r="BH22" s="162">
        <f t="shared" si="29"/>
        <v>112665.60000000001</v>
      </c>
      <c r="BI22" s="162">
        <f t="shared" si="30"/>
        <v>61286.400000000001</v>
      </c>
    </row>
    <row r="23" spans="1:61" s="35" customFormat="1" ht="39.950000000000003" customHeight="1">
      <c r="A23" s="185">
        <v>44727</v>
      </c>
      <c r="B23" s="34"/>
      <c r="C23" s="77">
        <v>6958071</v>
      </c>
      <c r="D23" s="37">
        <f t="shared" si="31"/>
        <v>103680</v>
      </c>
      <c r="E23" s="104">
        <f t="shared" si="5"/>
        <v>62208</v>
      </c>
      <c r="F23" s="103">
        <f t="shared" si="6"/>
        <v>41472</v>
      </c>
      <c r="G23" s="77">
        <v>295941</v>
      </c>
      <c r="H23" s="37">
        <f t="shared" si="32"/>
        <v>2304</v>
      </c>
      <c r="I23" s="77">
        <v>190595</v>
      </c>
      <c r="J23" s="37">
        <f t="shared" si="7"/>
        <v>7968</v>
      </c>
      <c r="K23" s="77">
        <v>269702</v>
      </c>
      <c r="L23" s="37">
        <f t="shared" si="0"/>
        <v>1632</v>
      </c>
      <c r="M23" s="77">
        <v>25331</v>
      </c>
      <c r="N23" s="37">
        <f t="shared" si="33"/>
        <v>0</v>
      </c>
      <c r="O23" s="77">
        <v>334782</v>
      </c>
      <c r="P23" s="37">
        <f t="shared" si="8"/>
        <v>9072</v>
      </c>
      <c r="Q23" s="77">
        <v>478941</v>
      </c>
      <c r="R23" s="37">
        <f t="shared" si="9"/>
        <v>4512</v>
      </c>
      <c r="S23" s="77">
        <v>767260</v>
      </c>
      <c r="T23" s="37">
        <f t="shared" si="10"/>
        <v>6912</v>
      </c>
      <c r="U23" s="82">
        <v>5454</v>
      </c>
      <c r="V23" s="103">
        <f t="shared" si="38"/>
        <v>432</v>
      </c>
      <c r="W23" s="77">
        <v>85157</v>
      </c>
      <c r="X23" s="37">
        <f t="shared" si="12"/>
        <v>864</v>
      </c>
      <c r="Y23" s="77">
        <v>1522446</v>
      </c>
      <c r="Z23" s="37">
        <f t="shared" si="13"/>
        <v>3216</v>
      </c>
      <c r="AA23" s="77">
        <v>13886</v>
      </c>
      <c r="AB23" s="37">
        <f t="shared" si="14"/>
        <v>0</v>
      </c>
      <c r="AC23" s="77">
        <v>504721</v>
      </c>
      <c r="AD23" s="37">
        <f t="shared" si="15"/>
        <v>6720</v>
      </c>
      <c r="AE23" s="77">
        <v>573934</v>
      </c>
      <c r="AF23" s="37">
        <f t="shared" si="15"/>
        <v>5904</v>
      </c>
      <c r="AG23" s="76">
        <v>49788</v>
      </c>
      <c r="AH23" s="37">
        <f t="shared" si="16"/>
        <v>0</v>
      </c>
      <c r="AI23" s="77">
        <v>446821</v>
      </c>
      <c r="AJ23" s="37">
        <f t="shared" si="17"/>
        <v>4224</v>
      </c>
      <c r="AK23" s="77">
        <v>102770</v>
      </c>
      <c r="AL23" s="37">
        <f t="shared" si="18"/>
        <v>0</v>
      </c>
      <c r="AM23" s="77">
        <v>610120</v>
      </c>
      <c r="AN23" s="37">
        <f t="shared" si="19"/>
        <v>6480</v>
      </c>
      <c r="AO23" s="77">
        <v>999899</v>
      </c>
      <c r="AP23" s="37">
        <f t="shared" si="20"/>
        <v>6528</v>
      </c>
      <c r="AQ23" s="77">
        <v>91469</v>
      </c>
      <c r="AR23" s="37">
        <f t="shared" si="28"/>
        <v>3408</v>
      </c>
      <c r="AS23" s="77">
        <v>2459</v>
      </c>
      <c r="AT23" s="37">
        <f t="shared" si="22"/>
        <v>0</v>
      </c>
      <c r="AU23" s="77">
        <v>939</v>
      </c>
      <c r="AV23" s="37">
        <f t="shared" si="37"/>
        <v>0</v>
      </c>
      <c r="AW23" s="77">
        <v>3110</v>
      </c>
      <c r="AX23" s="37">
        <f t="shared" si="23"/>
        <v>0</v>
      </c>
      <c r="AY23" s="77">
        <v>350141</v>
      </c>
      <c r="AZ23" s="103">
        <f t="shared" si="35"/>
        <v>3840</v>
      </c>
      <c r="BA23" s="76">
        <v>161101</v>
      </c>
      <c r="BB23" s="37">
        <f>(+BA24-+BA22)*48</f>
        <v>0</v>
      </c>
      <c r="BC23" s="77">
        <v>236759</v>
      </c>
      <c r="BD23" s="37">
        <f t="shared" si="25"/>
        <v>2736</v>
      </c>
      <c r="BE23" s="77">
        <v>5350</v>
      </c>
      <c r="BF23" s="37">
        <f t="shared" si="26"/>
        <v>0</v>
      </c>
      <c r="BH23" s="162">
        <f t="shared" si="29"/>
        <v>115968</v>
      </c>
      <c r="BI23" s="162">
        <f t="shared" si="30"/>
        <v>64464</v>
      </c>
    </row>
    <row r="24" spans="1:61" s="35" customFormat="1" ht="39.950000000000003" customHeight="1">
      <c r="A24" s="185">
        <v>44728</v>
      </c>
      <c r="B24" s="34"/>
      <c r="C24" s="77">
        <v>6960158</v>
      </c>
      <c r="D24" s="37">
        <f t="shared" si="31"/>
        <v>100176</v>
      </c>
      <c r="E24" s="104">
        <f t="shared" si="5"/>
        <v>60105.599999999999</v>
      </c>
      <c r="F24" s="103">
        <f t="shared" si="6"/>
        <v>40070.400000000001</v>
      </c>
      <c r="G24" s="77">
        <v>295980</v>
      </c>
      <c r="H24" s="37">
        <f t="shared" si="32"/>
        <v>1872</v>
      </c>
      <c r="I24" s="77">
        <v>190765</v>
      </c>
      <c r="J24" s="37">
        <f t="shared" si="7"/>
        <v>8160</v>
      </c>
      <c r="K24" s="77">
        <v>269714</v>
      </c>
      <c r="L24" s="37">
        <f t="shared" si="0"/>
        <v>576</v>
      </c>
      <c r="M24" s="77">
        <v>25331</v>
      </c>
      <c r="N24" s="37">
        <f>(+M24-+M23)*48</f>
        <v>0</v>
      </c>
      <c r="O24" s="77">
        <v>334985</v>
      </c>
      <c r="P24" s="37">
        <f t="shared" si="8"/>
        <v>9744</v>
      </c>
      <c r="Q24" s="77">
        <v>479031</v>
      </c>
      <c r="R24" s="37">
        <f t="shared" si="9"/>
        <v>4320</v>
      </c>
      <c r="S24" s="77">
        <v>767415</v>
      </c>
      <c r="T24" s="37">
        <f t="shared" si="10"/>
        <v>7440</v>
      </c>
      <c r="U24" s="82">
        <v>5470</v>
      </c>
      <c r="V24" s="103">
        <f t="shared" si="38"/>
        <v>768</v>
      </c>
      <c r="W24" s="77">
        <v>85179</v>
      </c>
      <c r="X24" s="37">
        <f t="shared" si="12"/>
        <v>1056</v>
      </c>
      <c r="Y24" s="77">
        <v>1522482</v>
      </c>
      <c r="Z24" s="37">
        <f t="shared" si="13"/>
        <v>1728</v>
      </c>
      <c r="AA24" s="77">
        <v>13886</v>
      </c>
      <c r="AB24" s="37">
        <f t="shared" si="14"/>
        <v>0</v>
      </c>
      <c r="AC24" s="77">
        <v>504854</v>
      </c>
      <c r="AD24" s="37">
        <f t="shared" si="15"/>
        <v>6384</v>
      </c>
      <c r="AE24" s="77">
        <v>574061</v>
      </c>
      <c r="AF24" s="37">
        <f t="shared" si="15"/>
        <v>6096</v>
      </c>
      <c r="AG24" s="76">
        <v>49788</v>
      </c>
      <c r="AH24" s="37">
        <f t="shared" si="16"/>
        <v>0</v>
      </c>
      <c r="AI24" s="77">
        <v>446920</v>
      </c>
      <c r="AJ24" s="37">
        <f t="shared" si="17"/>
        <v>4752</v>
      </c>
      <c r="AK24" s="77">
        <v>102770</v>
      </c>
      <c r="AL24" s="37">
        <f t="shared" si="18"/>
        <v>0</v>
      </c>
      <c r="AM24" s="77">
        <v>610263</v>
      </c>
      <c r="AN24" s="37">
        <f t="shared" si="19"/>
        <v>6864</v>
      </c>
      <c r="AO24" s="77">
        <v>1000038</v>
      </c>
      <c r="AP24" s="37">
        <f t="shared" si="20"/>
        <v>6672</v>
      </c>
      <c r="AQ24" s="77">
        <v>91513</v>
      </c>
      <c r="AR24" s="37">
        <f t="shared" si="28"/>
        <v>2112</v>
      </c>
      <c r="AS24" s="77">
        <v>2459</v>
      </c>
      <c r="AT24" s="37">
        <f t="shared" si="22"/>
        <v>0</v>
      </c>
      <c r="AU24" s="77">
        <v>939</v>
      </c>
      <c r="AV24" s="37">
        <f t="shared" si="37"/>
        <v>0</v>
      </c>
      <c r="AW24" s="77">
        <v>3110</v>
      </c>
      <c r="AX24" s="37">
        <f t="shared" si="23"/>
        <v>0</v>
      </c>
      <c r="AY24" s="77">
        <v>350223</v>
      </c>
      <c r="AZ24" s="37">
        <f t="shared" si="35"/>
        <v>3936</v>
      </c>
      <c r="BA24" s="76">
        <v>161101</v>
      </c>
      <c r="BB24" s="103">
        <f t="shared" ref="BB24:BB26" si="39">(+BA24-+BA23)*48</f>
        <v>0</v>
      </c>
      <c r="BC24" s="77">
        <v>236817</v>
      </c>
      <c r="BD24" s="37">
        <f t="shared" si="25"/>
        <v>2784</v>
      </c>
      <c r="BE24" s="77">
        <v>5350</v>
      </c>
      <c r="BF24" s="37">
        <f t="shared" si="26"/>
        <v>0</v>
      </c>
      <c r="BH24" s="105">
        <f t="shared" si="29"/>
        <v>113001.60000000001</v>
      </c>
      <c r="BI24" s="105">
        <f t="shared" si="30"/>
        <v>62438.400000000001</v>
      </c>
    </row>
    <row r="25" spans="1:61" s="35" customFormat="1" ht="39.950000000000003" customHeight="1">
      <c r="A25" s="185">
        <v>44729</v>
      </c>
      <c r="B25" s="34"/>
      <c r="C25" s="77">
        <v>6962284</v>
      </c>
      <c r="D25" s="103">
        <f t="shared" si="31"/>
        <v>102048</v>
      </c>
      <c r="E25" s="104">
        <f t="shared" si="5"/>
        <v>61228.799999999996</v>
      </c>
      <c r="F25" s="103">
        <f t="shared" si="6"/>
        <v>40819.200000000004</v>
      </c>
      <c r="G25" s="77">
        <v>296017</v>
      </c>
      <c r="H25" s="103">
        <f t="shared" si="32"/>
        <v>1776</v>
      </c>
      <c r="I25" s="77">
        <v>190933</v>
      </c>
      <c r="J25" s="103">
        <f t="shared" si="7"/>
        <v>8064</v>
      </c>
      <c r="K25" s="77">
        <v>269738</v>
      </c>
      <c r="L25" s="103">
        <f t="shared" si="0"/>
        <v>1152</v>
      </c>
      <c r="M25" s="77">
        <v>25331</v>
      </c>
      <c r="N25" s="37">
        <f>(+M25-+M24)*48</f>
        <v>0</v>
      </c>
      <c r="O25" s="77">
        <v>335158</v>
      </c>
      <c r="P25" s="103">
        <f t="shared" si="8"/>
        <v>8304</v>
      </c>
      <c r="Q25" s="77">
        <v>479124</v>
      </c>
      <c r="R25" s="103">
        <f t="shared" si="9"/>
        <v>4464</v>
      </c>
      <c r="S25" s="77">
        <v>767544</v>
      </c>
      <c r="T25" s="103">
        <f t="shared" si="10"/>
        <v>6192</v>
      </c>
      <c r="U25" s="82">
        <v>5486</v>
      </c>
      <c r="V25" s="103">
        <f t="shared" si="38"/>
        <v>768</v>
      </c>
      <c r="W25" s="77">
        <v>85195</v>
      </c>
      <c r="X25" s="103">
        <f t="shared" si="12"/>
        <v>768</v>
      </c>
      <c r="Y25" s="77">
        <v>1522512</v>
      </c>
      <c r="Z25" s="103">
        <f t="shared" si="13"/>
        <v>1440</v>
      </c>
      <c r="AA25" s="77">
        <v>13886</v>
      </c>
      <c r="AB25" s="103">
        <f t="shared" si="14"/>
        <v>0</v>
      </c>
      <c r="AC25" s="77">
        <v>504984</v>
      </c>
      <c r="AD25" s="103">
        <f t="shared" si="15"/>
        <v>6240</v>
      </c>
      <c r="AE25" s="77">
        <v>574189</v>
      </c>
      <c r="AF25" s="103">
        <f t="shared" si="15"/>
        <v>6144</v>
      </c>
      <c r="AG25" s="77">
        <v>49793</v>
      </c>
      <c r="AH25" s="103">
        <f t="shared" si="16"/>
        <v>240</v>
      </c>
      <c r="AI25" s="77">
        <v>447026</v>
      </c>
      <c r="AJ25" s="103">
        <f t="shared" si="17"/>
        <v>5088</v>
      </c>
      <c r="AK25" s="77">
        <v>102770</v>
      </c>
      <c r="AL25" s="103">
        <f t="shared" si="18"/>
        <v>0</v>
      </c>
      <c r="AM25" s="77">
        <v>610400</v>
      </c>
      <c r="AN25" s="103">
        <f t="shared" si="19"/>
        <v>6576</v>
      </c>
      <c r="AO25" s="77">
        <v>1000173</v>
      </c>
      <c r="AP25" s="103">
        <f t="shared" si="20"/>
        <v>6480</v>
      </c>
      <c r="AQ25" s="77">
        <v>91535</v>
      </c>
      <c r="AR25" s="103">
        <f t="shared" si="28"/>
        <v>1056</v>
      </c>
      <c r="AS25" s="77">
        <v>2459</v>
      </c>
      <c r="AT25" s="103">
        <f t="shared" si="22"/>
        <v>0</v>
      </c>
      <c r="AU25" s="77">
        <v>939</v>
      </c>
      <c r="AV25" s="103">
        <f t="shared" si="37"/>
        <v>0</v>
      </c>
      <c r="AW25" s="77">
        <v>3110</v>
      </c>
      <c r="AX25" s="103">
        <f t="shared" si="23"/>
        <v>0</v>
      </c>
      <c r="AY25" s="77">
        <v>350305</v>
      </c>
      <c r="AZ25" s="103">
        <f t="shared" si="35"/>
        <v>3936</v>
      </c>
      <c r="BA25" s="76">
        <v>161101</v>
      </c>
      <c r="BB25" s="103">
        <f t="shared" si="39"/>
        <v>0</v>
      </c>
      <c r="BC25" s="77">
        <v>236874</v>
      </c>
      <c r="BD25" s="103">
        <f t="shared" si="25"/>
        <v>2736</v>
      </c>
      <c r="BE25" s="77">
        <v>5350</v>
      </c>
      <c r="BF25" s="103">
        <f t="shared" si="26"/>
        <v>0</v>
      </c>
      <c r="BH25" s="105">
        <f t="shared" si="29"/>
        <v>111868.79999999999</v>
      </c>
      <c r="BI25" s="105">
        <f t="shared" si="30"/>
        <v>61603.200000000004</v>
      </c>
    </row>
    <row r="26" spans="1:61" s="35" customFormat="1" ht="39.950000000000003" customHeight="1">
      <c r="A26" s="185">
        <v>44730</v>
      </c>
      <c r="B26" s="34"/>
      <c r="C26" s="77">
        <v>6964502</v>
      </c>
      <c r="D26" s="103">
        <f t="shared" si="31"/>
        <v>106464</v>
      </c>
      <c r="E26" s="104">
        <f t="shared" si="5"/>
        <v>63878.399999999994</v>
      </c>
      <c r="F26" s="103">
        <f t="shared" si="6"/>
        <v>42585.600000000006</v>
      </c>
      <c r="G26" s="77">
        <v>296071</v>
      </c>
      <c r="H26" s="103">
        <f t="shared" si="32"/>
        <v>2592</v>
      </c>
      <c r="I26" s="77">
        <v>191101</v>
      </c>
      <c r="J26" s="103">
        <f t="shared" si="7"/>
        <v>8064</v>
      </c>
      <c r="K26" s="77">
        <v>269784</v>
      </c>
      <c r="L26" s="103">
        <f t="shared" si="0"/>
        <v>2208</v>
      </c>
      <c r="M26" s="77">
        <v>25336</v>
      </c>
      <c r="N26" s="37">
        <f>(+M26-+M25)*48</f>
        <v>240</v>
      </c>
      <c r="O26" s="77">
        <v>335359</v>
      </c>
      <c r="P26" s="103">
        <f t="shared" si="8"/>
        <v>9648</v>
      </c>
      <c r="Q26" s="77">
        <v>479244</v>
      </c>
      <c r="R26" s="103">
        <f t="shared" si="9"/>
        <v>5760</v>
      </c>
      <c r="S26" s="77">
        <v>767667</v>
      </c>
      <c r="T26" s="103">
        <f t="shared" si="10"/>
        <v>5904</v>
      </c>
      <c r="U26" s="82">
        <v>5504</v>
      </c>
      <c r="V26" s="103">
        <f t="shared" si="38"/>
        <v>864</v>
      </c>
      <c r="W26" s="77">
        <v>85211</v>
      </c>
      <c r="X26" s="103">
        <f t="shared" si="12"/>
        <v>768</v>
      </c>
      <c r="Y26" s="77">
        <v>1522529</v>
      </c>
      <c r="Z26" s="103">
        <f t="shared" si="13"/>
        <v>816</v>
      </c>
      <c r="AA26" s="77">
        <v>13886</v>
      </c>
      <c r="AB26" s="103">
        <f t="shared" si="14"/>
        <v>0</v>
      </c>
      <c r="AC26" s="77">
        <v>505109</v>
      </c>
      <c r="AD26" s="103">
        <f t="shared" si="15"/>
        <v>6000</v>
      </c>
      <c r="AE26" s="77">
        <v>574319</v>
      </c>
      <c r="AF26" s="103">
        <f t="shared" si="15"/>
        <v>6240</v>
      </c>
      <c r="AG26" s="77">
        <v>49793</v>
      </c>
      <c r="AH26" s="103">
        <f t="shared" si="16"/>
        <v>0</v>
      </c>
      <c r="AI26" s="77">
        <v>447139</v>
      </c>
      <c r="AJ26" s="103">
        <f t="shared" si="17"/>
        <v>5424</v>
      </c>
      <c r="AK26" s="77">
        <v>102770</v>
      </c>
      <c r="AL26" s="103">
        <f t="shared" si="18"/>
        <v>0</v>
      </c>
      <c r="AM26" s="77">
        <v>610536</v>
      </c>
      <c r="AN26" s="103">
        <f t="shared" si="19"/>
        <v>6528</v>
      </c>
      <c r="AO26" s="77">
        <v>1000309</v>
      </c>
      <c r="AP26" s="103">
        <f t="shared" si="20"/>
        <v>6528</v>
      </c>
      <c r="AQ26" s="77">
        <v>91590</v>
      </c>
      <c r="AR26" s="103">
        <f t="shared" si="28"/>
        <v>2640</v>
      </c>
      <c r="AS26" s="77">
        <v>2459</v>
      </c>
      <c r="AT26" s="103">
        <f t="shared" si="22"/>
        <v>0</v>
      </c>
      <c r="AU26" s="77">
        <v>939</v>
      </c>
      <c r="AV26" s="103">
        <f t="shared" si="37"/>
        <v>0</v>
      </c>
      <c r="AW26" s="77">
        <v>3110</v>
      </c>
      <c r="AX26" s="103">
        <f t="shared" si="23"/>
        <v>0</v>
      </c>
      <c r="AY26" s="77">
        <v>350386</v>
      </c>
      <c r="AZ26" s="103">
        <f t="shared" si="35"/>
        <v>3888</v>
      </c>
      <c r="BA26" s="76">
        <v>161101</v>
      </c>
      <c r="BB26" s="103">
        <f t="shared" si="39"/>
        <v>0</v>
      </c>
      <c r="BC26" s="77">
        <v>236929</v>
      </c>
      <c r="BD26" s="103">
        <f t="shared" si="25"/>
        <v>2640</v>
      </c>
      <c r="BE26" s="77">
        <v>5350</v>
      </c>
      <c r="BF26" s="103">
        <f t="shared" si="26"/>
        <v>0</v>
      </c>
      <c r="BH26" s="105">
        <f t="shared" si="29"/>
        <v>118406.39999999999</v>
      </c>
      <c r="BI26" s="105">
        <f t="shared" si="30"/>
        <v>64809.600000000006</v>
      </c>
    </row>
    <row r="27" spans="1:61" s="35" customFormat="1" ht="39.950000000000003" customHeight="1">
      <c r="A27" s="185">
        <v>44731</v>
      </c>
      <c r="B27" s="34"/>
      <c r="C27" s="77">
        <v>6966862</v>
      </c>
      <c r="D27" s="103">
        <f t="shared" si="31"/>
        <v>113280</v>
      </c>
      <c r="E27" s="104">
        <f t="shared" si="5"/>
        <v>67968</v>
      </c>
      <c r="F27" s="103">
        <f t="shared" si="6"/>
        <v>45312</v>
      </c>
      <c r="G27" s="77">
        <v>296125</v>
      </c>
      <c r="H27" s="103">
        <f t="shared" si="32"/>
        <v>2592</v>
      </c>
      <c r="I27" s="77">
        <v>191277</v>
      </c>
      <c r="J27" s="103">
        <f t="shared" si="7"/>
        <v>8448</v>
      </c>
      <c r="K27" s="77">
        <v>269851</v>
      </c>
      <c r="L27" s="103">
        <f t="shared" si="0"/>
        <v>3216</v>
      </c>
      <c r="M27" s="77">
        <v>25341</v>
      </c>
      <c r="N27" s="37">
        <f t="shared" si="33"/>
        <v>240</v>
      </c>
      <c r="O27" s="77">
        <v>335585</v>
      </c>
      <c r="P27" s="103">
        <f t="shared" si="8"/>
        <v>10848</v>
      </c>
      <c r="Q27" s="77">
        <v>479356</v>
      </c>
      <c r="R27" s="103">
        <f t="shared" si="9"/>
        <v>5376</v>
      </c>
      <c r="S27" s="77">
        <v>767817</v>
      </c>
      <c r="T27" s="103">
        <f t="shared" si="10"/>
        <v>7200</v>
      </c>
      <c r="U27" s="82">
        <v>5522</v>
      </c>
      <c r="V27" s="103">
        <f t="shared" si="38"/>
        <v>864</v>
      </c>
      <c r="W27" s="77">
        <v>85231</v>
      </c>
      <c r="X27" s="103">
        <f t="shared" si="12"/>
        <v>960</v>
      </c>
      <c r="Y27" s="77">
        <v>1522540</v>
      </c>
      <c r="Z27" s="103">
        <f t="shared" si="13"/>
        <v>528</v>
      </c>
      <c r="AA27" s="77">
        <v>13886</v>
      </c>
      <c r="AB27" s="103">
        <f t="shared" si="14"/>
        <v>0</v>
      </c>
      <c r="AC27" s="77">
        <v>505233</v>
      </c>
      <c r="AD27" s="103">
        <f t="shared" si="15"/>
        <v>5952</v>
      </c>
      <c r="AE27" s="77">
        <v>574439</v>
      </c>
      <c r="AF27" s="103">
        <f t="shared" si="15"/>
        <v>5760</v>
      </c>
      <c r="AG27" s="77">
        <v>49793</v>
      </c>
      <c r="AH27" s="103">
        <f t="shared" si="16"/>
        <v>0</v>
      </c>
      <c r="AI27" s="77">
        <v>447271</v>
      </c>
      <c r="AJ27" s="103">
        <f t="shared" si="17"/>
        <v>6336</v>
      </c>
      <c r="AK27" s="77">
        <v>102770</v>
      </c>
      <c r="AL27" s="103">
        <f t="shared" si="18"/>
        <v>0</v>
      </c>
      <c r="AM27" s="77">
        <v>610666</v>
      </c>
      <c r="AN27" s="103">
        <f t="shared" si="19"/>
        <v>6240</v>
      </c>
      <c r="AO27" s="77">
        <v>1000440</v>
      </c>
      <c r="AP27" s="103">
        <f t="shared" si="20"/>
        <v>6288</v>
      </c>
      <c r="AQ27" s="77">
        <v>91613</v>
      </c>
      <c r="AR27" s="103">
        <f t="shared" si="28"/>
        <v>1104</v>
      </c>
      <c r="AS27" s="77">
        <v>2459</v>
      </c>
      <c r="AT27" s="103">
        <f>(+AS27-+AS26)*48</f>
        <v>0</v>
      </c>
      <c r="AU27" s="77">
        <v>939</v>
      </c>
      <c r="AV27" s="103">
        <f t="shared" si="37"/>
        <v>0</v>
      </c>
      <c r="AW27" s="77">
        <v>3110</v>
      </c>
      <c r="AX27" s="103">
        <f t="shared" si="23"/>
        <v>0</v>
      </c>
      <c r="AY27" s="77">
        <v>350464</v>
      </c>
      <c r="AZ27" s="103">
        <f>(+AY27-+AY26)*48</f>
        <v>3744</v>
      </c>
      <c r="BA27" s="76">
        <v>161101</v>
      </c>
      <c r="BB27" s="103">
        <f>(+BA27-+BA26)*48</f>
        <v>0</v>
      </c>
      <c r="BC27" s="77">
        <v>236986</v>
      </c>
      <c r="BD27" s="103">
        <f t="shared" si="25"/>
        <v>2736</v>
      </c>
      <c r="BE27" s="77">
        <v>5350</v>
      </c>
      <c r="BF27" s="103">
        <f t="shared" si="26"/>
        <v>0</v>
      </c>
      <c r="BH27" s="105">
        <f t="shared" si="29"/>
        <v>126288</v>
      </c>
      <c r="BI27" s="105">
        <f t="shared" si="30"/>
        <v>65424</v>
      </c>
    </row>
    <row r="28" spans="1:61" s="35" customFormat="1" ht="39.950000000000003" customHeight="1">
      <c r="A28" s="185">
        <v>44732</v>
      </c>
      <c r="B28" s="34"/>
      <c r="C28" s="77">
        <v>6969312</v>
      </c>
      <c r="D28" s="103">
        <f t="shared" si="31"/>
        <v>117600</v>
      </c>
      <c r="E28" s="104">
        <f t="shared" si="5"/>
        <v>70560</v>
      </c>
      <c r="F28" s="103">
        <f t="shared" si="6"/>
        <v>47040</v>
      </c>
      <c r="G28" s="77">
        <v>296163</v>
      </c>
      <c r="H28" s="103">
        <f t="shared" si="32"/>
        <v>1824</v>
      </c>
      <c r="I28" s="77">
        <v>191444</v>
      </c>
      <c r="J28" s="103">
        <f t="shared" si="7"/>
        <v>8016</v>
      </c>
      <c r="K28" s="77">
        <v>269895</v>
      </c>
      <c r="L28" s="103">
        <f t="shared" si="0"/>
        <v>2112</v>
      </c>
      <c r="M28" s="77">
        <v>25342</v>
      </c>
      <c r="N28" s="37">
        <f t="shared" si="33"/>
        <v>48</v>
      </c>
      <c r="O28" s="77">
        <v>335782</v>
      </c>
      <c r="P28" s="103">
        <f t="shared" si="8"/>
        <v>9456</v>
      </c>
      <c r="Q28" s="77">
        <v>479458</v>
      </c>
      <c r="R28" s="103">
        <f t="shared" si="9"/>
        <v>4896</v>
      </c>
      <c r="S28" s="77">
        <v>767940</v>
      </c>
      <c r="T28" s="103">
        <f t="shared" si="10"/>
        <v>5904</v>
      </c>
      <c r="U28" s="82">
        <v>5540</v>
      </c>
      <c r="V28" s="103">
        <f t="shared" si="38"/>
        <v>864</v>
      </c>
      <c r="W28" s="77">
        <v>85244</v>
      </c>
      <c r="X28" s="103">
        <f t="shared" si="12"/>
        <v>624</v>
      </c>
      <c r="Y28" s="77">
        <v>1522556</v>
      </c>
      <c r="Z28" s="103">
        <f t="shared" si="13"/>
        <v>768</v>
      </c>
      <c r="AA28" s="77">
        <v>13886</v>
      </c>
      <c r="AB28" s="103">
        <f t="shared" si="14"/>
        <v>0</v>
      </c>
      <c r="AC28" s="77">
        <v>505362</v>
      </c>
      <c r="AD28" s="103">
        <f t="shared" si="15"/>
        <v>6192</v>
      </c>
      <c r="AE28" s="77">
        <v>574564</v>
      </c>
      <c r="AF28" s="103">
        <f t="shared" si="15"/>
        <v>6000</v>
      </c>
      <c r="AG28" s="77">
        <v>49793</v>
      </c>
      <c r="AH28" s="103">
        <f t="shared" si="16"/>
        <v>0</v>
      </c>
      <c r="AI28" s="77">
        <v>447399</v>
      </c>
      <c r="AJ28" s="103">
        <f t="shared" si="17"/>
        <v>6144</v>
      </c>
      <c r="AK28" s="77">
        <v>102770</v>
      </c>
      <c r="AL28" s="103">
        <f t="shared" si="18"/>
        <v>0</v>
      </c>
      <c r="AM28" s="77">
        <v>610804</v>
      </c>
      <c r="AN28" s="103">
        <f t="shared" si="19"/>
        <v>6624</v>
      </c>
      <c r="AO28" s="77">
        <v>1000577</v>
      </c>
      <c r="AP28" s="103">
        <f t="shared" si="20"/>
        <v>6576</v>
      </c>
      <c r="AQ28" s="77">
        <v>91666</v>
      </c>
      <c r="AR28" s="103">
        <f t="shared" si="28"/>
        <v>2544</v>
      </c>
      <c r="AS28" s="77">
        <v>2459</v>
      </c>
      <c r="AT28" s="103">
        <f>(+AS28-+AS27)*48</f>
        <v>0</v>
      </c>
      <c r="AU28" s="77">
        <v>939</v>
      </c>
      <c r="AV28" s="103">
        <f t="shared" si="37"/>
        <v>0</v>
      </c>
      <c r="AW28" s="77">
        <v>3110</v>
      </c>
      <c r="AX28" s="103">
        <f t="shared" si="23"/>
        <v>0</v>
      </c>
      <c r="AY28" s="77">
        <v>350548</v>
      </c>
      <c r="AZ28" s="103">
        <f t="shared" ref="AZ28:AZ38" si="40">(+AY28-+AY27)*48</f>
        <v>4032</v>
      </c>
      <c r="BA28" s="76">
        <v>161101</v>
      </c>
      <c r="BB28" s="103">
        <f>(+BA28-+BA27)*48</f>
        <v>0</v>
      </c>
      <c r="BC28" s="77">
        <v>237040</v>
      </c>
      <c r="BD28" s="103">
        <f t="shared" si="25"/>
        <v>2592</v>
      </c>
      <c r="BE28" s="77">
        <v>5350</v>
      </c>
      <c r="BF28" s="103">
        <f t="shared" si="26"/>
        <v>0</v>
      </c>
      <c r="BH28" s="105">
        <f t="shared" si="29"/>
        <v>123408</v>
      </c>
      <c r="BI28" s="105">
        <f t="shared" si="30"/>
        <v>69408</v>
      </c>
    </row>
    <row r="29" spans="1:61" s="35" customFormat="1" ht="39.950000000000003" customHeight="1">
      <c r="A29" s="185">
        <v>44733</v>
      </c>
      <c r="B29" s="34"/>
      <c r="C29" s="77">
        <v>6971433</v>
      </c>
      <c r="D29" s="103">
        <f t="shared" si="31"/>
        <v>101808</v>
      </c>
      <c r="E29" s="104">
        <f t="shared" si="5"/>
        <v>61084.799999999996</v>
      </c>
      <c r="F29" s="103">
        <f t="shared" si="6"/>
        <v>40723.200000000004</v>
      </c>
      <c r="G29" s="77">
        <v>296200</v>
      </c>
      <c r="H29" s="103">
        <f t="shared" si="32"/>
        <v>1776</v>
      </c>
      <c r="I29" s="77">
        <v>191617</v>
      </c>
      <c r="J29" s="103">
        <f t="shared" si="7"/>
        <v>8304</v>
      </c>
      <c r="K29" s="77">
        <v>269905</v>
      </c>
      <c r="L29" s="103">
        <f t="shared" si="0"/>
        <v>480</v>
      </c>
      <c r="M29" s="77">
        <v>25342</v>
      </c>
      <c r="N29" s="37">
        <f t="shared" si="33"/>
        <v>0</v>
      </c>
      <c r="O29" s="77">
        <v>335979</v>
      </c>
      <c r="P29" s="103">
        <f t="shared" si="8"/>
        <v>9456</v>
      </c>
      <c r="Q29" s="77">
        <v>479556</v>
      </c>
      <c r="R29" s="103">
        <f t="shared" si="9"/>
        <v>4704</v>
      </c>
      <c r="S29" s="76">
        <v>768083</v>
      </c>
      <c r="T29" s="103">
        <f t="shared" si="10"/>
        <v>6864</v>
      </c>
      <c r="U29" s="83">
        <v>5558</v>
      </c>
      <c r="V29" s="103">
        <f t="shared" si="38"/>
        <v>864</v>
      </c>
      <c r="W29" s="77">
        <v>85244</v>
      </c>
      <c r="X29" s="103">
        <f t="shared" si="12"/>
        <v>0</v>
      </c>
      <c r="Y29" s="77">
        <v>1522564</v>
      </c>
      <c r="Z29" s="103">
        <f t="shared" si="13"/>
        <v>384</v>
      </c>
      <c r="AA29" s="77">
        <v>13886</v>
      </c>
      <c r="AB29" s="103">
        <f t="shared" si="14"/>
        <v>0</v>
      </c>
      <c r="AC29" s="77">
        <v>505609</v>
      </c>
      <c r="AD29" s="103">
        <f t="shared" si="15"/>
        <v>11856</v>
      </c>
      <c r="AE29" s="77">
        <v>574689</v>
      </c>
      <c r="AF29" s="103">
        <f t="shared" si="15"/>
        <v>6000</v>
      </c>
      <c r="AG29" s="77">
        <v>49793</v>
      </c>
      <c r="AH29" s="103">
        <f t="shared" si="16"/>
        <v>0</v>
      </c>
      <c r="AI29" s="77">
        <v>447512</v>
      </c>
      <c r="AJ29" s="103">
        <f t="shared" si="17"/>
        <v>5424</v>
      </c>
      <c r="AK29" s="77">
        <v>102770</v>
      </c>
      <c r="AL29" s="103">
        <f t="shared" si="18"/>
        <v>0</v>
      </c>
      <c r="AM29" s="77">
        <v>610940</v>
      </c>
      <c r="AN29" s="103">
        <f t="shared" si="19"/>
        <v>6528</v>
      </c>
      <c r="AO29" s="77">
        <v>1000709</v>
      </c>
      <c r="AP29" s="103">
        <f t="shared" si="20"/>
        <v>6336</v>
      </c>
      <c r="AQ29" s="77">
        <v>91690</v>
      </c>
      <c r="AR29" s="103">
        <f t="shared" si="28"/>
        <v>1152</v>
      </c>
      <c r="AS29" s="77">
        <v>2459</v>
      </c>
      <c r="AT29" s="103">
        <f>(+AS29-+AS28)*48</f>
        <v>0</v>
      </c>
      <c r="AU29" s="77">
        <v>939</v>
      </c>
      <c r="AV29" s="103">
        <f t="shared" si="37"/>
        <v>0</v>
      </c>
      <c r="AW29" s="77">
        <v>3110</v>
      </c>
      <c r="AX29" s="103">
        <f t="shared" si="23"/>
        <v>0</v>
      </c>
      <c r="AY29" s="77">
        <v>350631</v>
      </c>
      <c r="AZ29" s="103">
        <f t="shared" si="40"/>
        <v>3984</v>
      </c>
      <c r="BA29" s="76">
        <v>161101</v>
      </c>
      <c r="BB29" s="103">
        <f t="shared" ref="BB29:BB38" si="41">(+BA29-+BA28)*48</f>
        <v>0</v>
      </c>
      <c r="BC29" s="77">
        <v>237101</v>
      </c>
      <c r="BD29" s="103">
        <f t="shared" si="25"/>
        <v>2928</v>
      </c>
      <c r="BE29" s="77">
        <v>5350</v>
      </c>
      <c r="BF29" s="103">
        <f t="shared" si="26"/>
        <v>0</v>
      </c>
      <c r="BH29" s="105">
        <f t="shared" si="29"/>
        <v>117196.79999999999</v>
      </c>
      <c r="BI29" s="105">
        <f t="shared" si="30"/>
        <v>61651.200000000004</v>
      </c>
    </row>
    <row r="30" spans="1:61" s="35" customFormat="1" ht="39.950000000000003" customHeight="1">
      <c r="A30" s="185">
        <v>44734</v>
      </c>
      <c r="B30" s="34"/>
      <c r="C30" s="77">
        <v>6973630</v>
      </c>
      <c r="D30" s="103">
        <f t="shared" si="31"/>
        <v>105456</v>
      </c>
      <c r="E30" s="104">
        <f t="shared" si="5"/>
        <v>63273.599999999999</v>
      </c>
      <c r="F30" s="103">
        <f t="shared" si="6"/>
        <v>42182.400000000001</v>
      </c>
      <c r="G30" s="77">
        <v>296232</v>
      </c>
      <c r="H30" s="103">
        <f t="shared" si="32"/>
        <v>1536</v>
      </c>
      <c r="I30" s="77">
        <v>191784</v>
      </c>
      <c r="J30" s="103">
        <f t="shared" si="7"/>
        <v>8016</v>
      </c>
      <c r="K30" s="77">
        <v>269920</v>
      </c>
      <c r="L30" s="103">
        <f t="shared" si="0"/>
        <v>720</v>
      </c>
      <c r="M30" s="77">
        <v>25342</v>
      </c>
      <c r="N30" s="37">
        <f t="shared" si="33"/>
        <v>0</v>
      </c>
      <c r="O30" s="77">
        <v>336153</v>
      </c>
      <c r="P30" s="103">
        <f t="shared" si="8"/>
        <v>8352</v>
      </c>
      <c r="Q30" s="77">
        <v>479629</v>
      </c>
      <c r="R30" s="103">
        <f t="shared" si="9"/>
        <v>3504</v>
      </c>
      <c r="S30" s="77">
        <v>768231</v>
      </c>
      <c r="T30" s="103">
        <f t="shared" si="10"/>
        <v>7104</v>
      </c>
      <c r="U30" s="82">
        <v>5576</v>
      </c>
      <c r="V30" s="103">
        <f t="shared" si="38"/>
        <v>864</v>
      </c>
      <c r="W30" s="77">
        <v>85259</v>
      </c>
      <c r="X30" s="103">
        <f t="shared" si="12"/>
        <v>720</v>
      </c>
      <c r="Y30" s="77">
        <v>1522576</v>
      </c>
      <c r="Z30" s="103">
        <f t="shared" si="13"/>
        <v>576</v>
      </c>
      <c r="AA30" s="77">
        <v>13886</v>
      </c>
      <c r="AB30" s="103">
        <f t="shared" si="14"/>
        <v>0</v>
      </c>
      <c r="AC30" s="77">
        <f>(AC29+AC31)/2</f>
        <v>505727</v>
      </c>
      <c r="AD30" s="103">
        <f t="shared" si="15"/>
        <v>5664</v>
      </c>
      <c r="AE30" s="77">
        <v>574813</v>
      </c>
      <c r="AF30" s="103">
        <f t="shared" si="15"/>
        <v>5952</v>
      </c>
      <c r="AG30" s="77">
        <v>49793</v>
      </c>
      <c r="AH30" s="103">
        <f t="shared" si="16"/>
        <v>0</v>
      </c>
      <c r="AI30" s="77">
        <v>447612</v>
      </c>
      <c r="AJ30" s="103">
        <f t="shared" si="17"/>
        <v>4800</v>
      </c>
      <c r="AK30" s="77">
        <v>102770</v>
      </c>
      <c r="AL30" s="103">
        <f t="shared" si="18"/>
        <v>0</v>
      </c>
      <c r="AM30" s="77">
        <v>611072</v>
      </c>
      <c r="AN30" s="103">
        <f t="shared" si="19"/>
        <v>6336</v>
      </c>
      <c r="AO30" s="77">
        <v>1000840</v>
      </c>
      <c r="AP30" s="103">
        <f t="shared" si="20"/>
        <v>6288</v>
      </c>
      <c r="AQ30" s="77">
        <v>91756</v>
      </c>
      <c r="AR30" s="103">
        <f t="shared" si="28"/>
        <v>3168</v>
      </c>
      <c r="AS30" s="77">
        <v>2459</v>
      </c>
      <c r="AT30" s="103">
        <f t="shared" si="22"/>
        <v>0</v>
      </c>
      <c r="AU30" s="77">
        <v>939</v>
      </c>
      <c r="AV30" s="103">
        <f t="shared" si="37"/>
        <v>0</v>
      </c>
      <c r="AW30" s="77">
        <v>3110</v>
      </c>
      <c r="AX30" s="103">
        <f t="shared" si="23"/>
        <v>0</v>
      </c>
      <c r="AY30" s="77">
        <v>350711</v>
      </c>
      <c r="AZ30" s="103">
        <f t="shared" si="40"/>
        <v>3840</v>
      </c>
      <c r="BA30" s="76">
        <v>161101</v>
      </c>
      <c r="BB30" s="103">
        <f>(+BA30-+BA29)*48</f>
        <v>0</v>
      </c>
      <c r="BC30" s="77">
        <v>237156</v>
      </c>
      <c r="BD30" s="103">
        <f t="shared" si="25"/>
        <v>2640</v>
      </c>
      <c r="BE30" s="77">
        <v>5350</v>
      </c>
      <c r="BF30" s="103">
        <f t="shared" si="26"/>
        <v>0</v>
      </c>
      <c r="BH30" s="105">
        <f t="shared" si="29"/>
        <v>111081.60000000001</v>
      </c>
      <c r="BI30" s="105">
        <f t="shared" si="30"/>
        <v>64454.400000000001</v>
      </c>
    </row>
    <row r="31" spans="1:61" s="35" customFormat="1" ht="39.950000000000003" customHeight="1">
      <c r="A31" s="185">
        <v>44735</v>
      </c>
      <c r="B31" s="34"/>
      <c r="C31" s="77">
        <v>6975836</v>
      </c>
      <c r="D31" s="103">
        <f t="shared" si="31"/>
        <v>105888</v>
      </c>
      <c r="E31" s="104">
        <f t="shared" si="5"/>
        <v>63532.799999999996</v>
      </c>
      <c r="F31" s="103">
        <f t="shared" si="6"/>
        <v>42355.200000000004</v>
      </c>
      <c r="G31" s="77">
        <f>(G30+G32)/2</f>
        <v>296271</v>
      </c>
      <c r="H31" s="103">
        <f t="shared" si="32"/>
        <v>1872</v>
      </c>
      <c r="I31" s="77">
        <f>(I30+I32)/2</f>
        <v>191952</v>
      </c>
      <c r="J31" s="103">
        <f t="shared" si="7"/>
        <v>8064</v>
      </c>
      <c r="K31" s="77">
        <f>(K30+K32)/2</f>
        <v>269954.5</v>
      </c>
      <c r="L31" s="103">
        <f t="shared" si="0"/>
        <v>1656</v>
      </c>
      <c r="M31" s="77">
        <f>(M30+M32)/2</f>
        <v>25342</v>
      </c>
      <c r="N31" s="37">
        <f t="shared" si="33"/>
        <v>0</v>
      </c>
      <c r="O31" s="77">
        <f>(O30+O32)/2</f>
        <v>336361</v>
      </c>
      <c r="P31" s="103">
        <f t="shared" si="8"/>
        <v>9984</v>
      </c>
      <c r="Q31" s="77">
        <f>(Q30+Q32)/2</f>
        <v>479714</v>
      </c>
      <c r="R31" s="103">
        <f t="shared" si="9"/>
        <v>4080</v>
      </c>
      <c r="S31" s="77">
        <f>(S30+S32)/2</f>
        <v>768370</v>
      </c>
      <c r="T31" s="103">
        <f t="shared" si="10"/>
        <v>6672</v>
      </c>
      <c r="U31" s="77">
        <f>(U30+U32)/2</f>
        <v>5594.5</v>
      </c>
      <c r="V31" s="103">
        <f t="shared" si="38"/>
        <v>888</v>
      </c>
      <c r="W31" s="77">
        <f>(W30+W32)/2</f>
        <v>85281</v>
      </c>
      <c r="X31" s="103">
        <f t="shared" si="12"/>
        <v>1056</v>
      </c>
      <c r="Y31" s="77">
        <f>(Y30+Y32)/2</f>
        <v>1522581</v>
      </c>
      <c r="Z31" s="103">
        <f t="shared" si="13"/>
        <v>240</v>
      </c>
      <c r="AA31" s="77">
        <v>13886</v>
      </c>
      <c r="AB31" s="103">
        <f t="shared" si="14"/>
        <v>0</v>
      </c>
      <c r="AC31" s="77">
        <v>505845</v>
      </c>
      <c r="AD31" s="103">
        <f t="shared" si="15"/>
        <v>5664</v>
      </c>
      <c r="AE31" s="77">
        <f>(AE30+AE32)/2</f>
        <v>574937</v>
      </c>
      <c r="AF31" s="103">
        <f t="shared" si="15"/>
        <v>5952</v>
      </c>
      <c r="AG31" s="77">
        <v>49793</v>
      </c>
      <c r="AH31" s="103">
        <f t="shared" si="16"/>
        <v>0</v>
      </c>
      <c r="AI31" s="77">
        <f>(AI30+AI32)/2</f>
        <v>447713</v>
      </c>
      <c r="AJ31" s="103">
        <f t="shared" si="17"/>
        <v>4848</v>
      </c>
      <c r="AK31" s="77">
        <v>102770</v>
      </c>
      <c r="AL31" s="103">
        <f t="shared" si="18"/>
        <v>0</v>
      </c>
      <c r="AM31" s="77">
        <v>611202</v>
      </c>
      <c r="AN31" s="103">
        <f t="shared" si="19"/>
        <v>6240</v>
      </c>
      <c r="AO31" s="77">
        <v>1000971</v>
      </c>
      <c r="AP31" s="103">
        <f t="shared" si="20"/>
        <v>6288</v>
      </c>
      <c r="AQ31" s="77">
        <v>91778</v>
      </c>
      <c r="AR31" s="103">
        <f t="shared" si="28"/>
        <v>1056</v>
      </c>
      <c r="AS31" s="77">
        <v>2459</v>
      </c>
      <c r="AT31" s="103">
        <f t="shared" si="22"/>
        <v>0</v>
      </c>
      <c r="AU31" s="77">
        <v>939</v>
      </c>
      <c r="AV31" s="103">
        <f t="shared" si="37"/>
        <v>0</v>
      </c>
      <c r="AW31" s="77">
        <v>3110</v>
      </c>
      <c r="AX31" s="103">
        <f t="shared" si="23"/>
        <v>0</v>
      </c>
      <c r="AY31" s="77">
        <v>350791</v>
      </c>
      <c r="AZ31" s="103">
        <f t="shared" si="40"/>
        <v>3840</v>
      </c>
      <c r="BA31" s="76">
        <v>161101</v>
      </c>
      <c r="BB31" s="103">
        <f>(+BA31-+BA30)*48</f>
        <v>0</v>
      </c>
      <c r="BC31" s="77">
        <v>237212</v>
      </c>
      <c r="BD31" s="103">
        <f t="shared" si="25"/>
        <v>2688</v>
      </c>
      <c r="BE31" s="77">
        <v>5350</v>
      </c>
      <c r="BF31" s="103">
        <f t="shared" si="26"/>
        <v>0</v>
      </c>
      <c r="BH31" s="105">
        <f t="shared" si="29"/>
        <v>114508.79999999999</v>
      </c>
      <c r="BI31" s="105">
        <f t="shared" si="30"/>
        <v>62467.200000000004</v>
      </c>
    </row>
    <row r="32" spans="1:61" s="35" customFormat="1" ht="39.950000000000003" customHeight="1">
      <c r="A32" s="185">
        <v>44736</v>
      </c>
      <c r="B32" s="34"/>
      <c r="C32" s="77">
        <v>6978175</v>
      </c>
      <c r="D32" s="103">
        <f t="shared" si="31"/>
        <v>112272</v>
      </c>
      <c r="E32" s="104">
        <f t="shared" si="5"/>
        <v>67363.199999999997</v>
      </c>
      <c r="F32" s="103">
        <f t="shared" si="6"/>
        <v>44908.800000000003</v>
      </c>
      <c r="G32" s="77">
        <v>296310</v>
      </c>
      <c r="H32" s="103">
        <f t="shared" si="32"/>
        <v>1872</v>
      </c>
      <c r="I32" s="77">
        <v>192120</v>
      </c>
      <c r="J32" s="103">
        <f t="shared" si="7"/>
        <v>8064</v>
      </c>
      <c r="K32" s="77">
        <v>269989</v>
      </c>
      <c r="L32" s="103">
        <f t="shared" si="0"/>
        <v>1656</v>
      </c>
      <c r="M32" s="77">
        <v>25342</v>
      </c>
      <c r="N32" s="37">
        <f t="shared" si="33"/>
        <v>0</v>
      </c>
      <c r="O32" s="77">
        <v>336569</v>
      </c>
      <c r="P32" s="103">
        <f t="shared" si="8"/>
        <v>9984</v>
      </c>
      <c r="Q32" s="77">
        <v>479799</v>
      </c>
      <c r="R32" s="103">
        <f t="shared" si="9"/>
        <v>4080</v>
      </c>
      <c r="S32" s="77">
        <v>768509</v>
      </c>
      <c r="T32" s="103">
        <f t="shared" si="10"/>
        <v>6672</v>
      </c>
      <c r="U32" s="82">
        <v>5613</v>
      </c>
      <c r="V32" s="103">
        <f t="shared" si="38"/>
        <v>888</v>
      </c>
      <c r="W32" s="77">
        <v>85303</v>
      </c>
      <c r="X32" s="103">
        <f t="shared" si="12"/>
        <v>1056</v>
      </c>
      <c r="Y32" s="77">
        <v>1522586</v>
      </c>
      <c r="Z32" s="103">
        <f t="shared" si="13"/>
        <v>240</v>
      </c>
      <c r="AA32" s="77">
        <v>13886</v>
      </c>
      <c r="AB32" s="103">
        <f t="shared" si="14"/>
        <v>0</v>
      </c>
      <c r="AC32" s="77">
        <v>505973</v>
      </c>
      <c r="AD32" s="103">
        <f t="shared" si="15"/>
        <v>6144</v>
      </c>
      <c r="AE32" s="77">
        <v>575061</v>
      </c>
      <c r="AF32" s="103">
        <f t="shared" si="15"/>
        <v>5952</v>
      </c>
      <c r="AG32" s="77">
        <v>49793</v>
      </c>
      <c r="AH32" s="103">
        <f>(+AG32-+AG31)*48</f>
        <v>0</v>
      </c>
      <c r="AI32" s="77">
        <v>447814</v>
      </c>
      <c r="AJ32" s="103">
        <f t="shared" si="17"/>
        <v>4848</v>
      </c>
      <c r="AK32" s="77">
        <v>102770</v>
      </c>
      <c r="AL32" s="103">
        <f t="shared" si="18"/>
        <v>0</v>
      </c>
      <c r="AM32" s="77">
        <v>611339</v>
      </c>
      <c r="AN32" s="103">
        <f t="shared" si="19"/>
        <v>6576</v>
      </c>
      <c r="AO32" s="77">
        <v>1001085</v>
      </c>
      <c r="AP32" s="103">
        <f t="shared" si="20"/>
        <v>5472</v>
      </c>
      <c r="AQ32" s="77">
        <v>91801</v>
      </c>
      <c r="AR32" s="103">
        <f t="shared" si="28"/>
        <v>1104</v>
      </c>
      <c r="AS32" s="77">
        <v>2459</v>
      </c>
      <c r="AT32" s="103">
        <f t="shared" si="22"/>
        <v>0</v>
      </c>
      <c r="AU32" s="77">
        <v>939</v>
      </c>
      <c r="AV32" s="103">
        <f t="shared" si="37"/>
        <v>0</v>
      </c>
      <c r="AW32" s="77">
        <v>3110</v>
      </c>
      <c r="AX32" s="103">
        <f t="shared" si="23"/>
        <v>0</v>
      </c>
      <c r="AY32" s="77">
        <v>350877</v>
      </c>
      <c r="AZ32" s="103">
        <f t="shared" si="40"/>
        <v>4128</v>
      </c>
      <c r="BA32" s="76">
        <v>161101</v>
      </c>
      <c r="BB32" s="103">
        <f t="shared" si="41"/>
        <v>0</v>
      </c>
      <c r="BC32" s="77">
        <v>237270</v>
      </c>
      <c r="BD32" s="103">
        <f t="shared" si="25"/>
        <v>2784</v>
      </c>
      <c r="BE32" s="77">
        <v>5350</v>
      </c>
      <c r="BF32" s="103">
        <f t="shared" si="26"/>
        <v>0</v>
      </c>
      <c r="BH32" s="105">
        <f t="shared" si="29"/>
        <v>118819.2</v>
      </c>
      <c r="BI32" s="105">
        <f t="shared" si="30"/>
        <v>64972.800000000003</v>
      </c>
    </row>
    <row r="33" spans="1:61" s="35" customFormat="1" ht="39.950000000000003" customHeight="1">
      <c r="A33" s="185">
        <v>44737</v>
      </c>
      <c r="B33" s="34"/>
      <c r="C33" s="77">
        <v>6980395</v>
      </c>
      <c r="D33" s="103">
        <f t="shared" si="31"/>
        <v>106560</v>
      </c>
      <c r="E33" s="104">
        <f t="shared" si="5"/>
        <v>63936</v>
      </c>
      <c r="F33" s="103">
        <f t="shared" si="6"/>
        <v>42624</v>
      </c>
      <c r="G33" s="77">
        <v>296348</v>
      </c>
      <c r="H33" s="37">
        <f t="shared" si="32"/>
        <v>1824</v>
      </c>
      <c r="I33" s="77">
        <v>192287</v>
      </c>
      <c r="J33" s="37">
        <f t="shared" si="7"/>
        <v>8016</v>
      </c>
      <c r="K33" s="77">
        <v>270005</v>
      </c>
      <c r="L33" s="37">
        <f t="shared" si="0"/>
        <v>768</v>
      </c>
      <c r="M33" s="77">
        <v>25342</v>
      </c>
      <c r="N33" s="37">
        <f t="shared" si="33"/>
        <v>0</v>
      </c>
      <c r="O33" s="77">
        <v>336787</v>
      </c>
      <c r="P33" s="37">
        <f t="shared" si="8"/>
        <v>10464</v>
      </c>
      <c r="Q33" s="77">
        <v>479880</v>
      </c>
      <c r="R33" s="103">
        <f t="shared" si="9"/>
        <v>3888</v>
      </c>
      <c r="S33" s="77">
        <v>768657</v>
      </c>
      <c r="T33" s="103">
        <f t="shared" si="10"/>
        <v>7104</v>
      </c>
      <c r="U33" s="82">
        <v>5632</v>
      </c>
      <c r="V33" s="103">
        <f t="shared" si="38"/>
        <v>912</v>
      </c>
      <c r="W33" s="77">
        <v>85322</v>
      </c>
      <c r="X33" s="103">
        <f t="shared" si="12"/>
        <v>912</v>
      </c>
      <c r="Y33" s="77">
        <v>1522590</v>
      </c>
      <c r="Z33" s="103">
        <f t="shared" si="13"/>
        <v>192</v>
      </c>
      <c r="AA33" s="77">
        <v>13886</v>
      </c>
      <c r="AB33" s="103">
        <f t="shared" si="14"/>
        <v>0</v>
      </c>
      <c r="AC33" s="77">
        <v>505976</v>
      </c>
      <c r="AD33" s="103">
        <f t="shared" si="15"/>
        <v>144</v>
      </c>
      <c r="AE33" s="77">
        <v>575180</v>
      </c>
      <c r="AF33" s="103">
        <f t="shared" si="15"/>
        <v>5712</v>
      </c>
      <c r="AG33" s="77">
        <v>49793</v>
      </c>
      <c r="AH33" s="103">
        <f>(+AG33-+AG32)*48</f>
        <v>0</v>
      </c>
      <c r="AI33" s="77">
        <v>447922</v>
      </c>
      <c r="AJ33" s="103">
        <f t="shared" si="17"/>
        <v>5184</v>
      </c>
      <c r="AK33" s="77">
        <v>102770</v>
      </c>
      <c r="AL33" s="103">
        <f>(+AK33-+AK32)*48</f>
        <v>0</v>
      </c>
      <c r="AM33" s="77">
        <v>611469</v>
      </c>
      <c r="AN33" s="103">
        <f t="shared" si="19"/>
        <v>6240</v>
      </c>
      <c r="AO33" s="77">
        <v>1001201</v>
      </c>
      <c r="AP33" s="103">
        <f t="shared" si="20"/>
        <v>5568</v>
      </c>
      <c r="AQ33" s="77">
        <v>91822</v>
      </c>
      <c r="AR33" s="103">
        <f t="shared" si="28"/>
        <v>1008</v>
      </c>
      <c r="AS33" s="77">
        <v>2459</v>
      </c>
      <c r="AT33" s="103">
        <f t="shared" si="22"/>
        <v>0</v>
      </c>
      <c r="AU33" s="77">
        <v>939</v>
      </c>
      <c r="AV33" s="103">
        <f t="shared" si="37"/>
        <v>0</v>
      </c>
      <c r="AW33" s="77">
        <v>3110</v>
      </c>
      <c r="AX33" s="103">
        <f t="shared" si="23"/>
        <v>0</v>
      </c>
      <c r="AY33" s="77">
        <v>350957</v>
      </c>
      <c r="AZ33" s="103">
        <f t="shared" si="40"/>
        <v>3840</v>
      </c>
      <c r="BA33" s="76">
        <v>161101</v>
      </c>
      <c r="BB33" s="103">
        <f>(+BA33-+BA32)*48</f>
        <v>0</v>
      </c>
      <c r="BC33" s="77">
        <v>237327</v>
      </c>
      <c r="BD33" s="103">
        <f t="shared" si="25"/>
        <v>2736</v>
      </c>
      <c r="BE33" s="77">
        <v>5350</v>
      </c>
      <c r="BF33" s="103">
        <f t="shared" si="26"/>
        <v>0</v>
      </c>
      <c r="BH33" s="105">
        <f t="shared" si="29"/>
        <v>109056</v>
      </c>
      <c r="BI33" s="105">
        <f t="shared" si="30"/>
        <v>62016</v>
      </c>
    </row>
    <row r="34" spans="1:61" s="35" customFormat="1" ht="39.950000000000003" customHeight="1">
      <c r="A34" s="185">
        <v>44738</v>
      </c>
      <c r="B34" s="34"/>
      <c r="C34" s="77">
        <v>6982858</v>
      </c>
      <c r="D34" s="103">
        <f t="shared" si="31"/>
        <v>118224</v>
      </c>
      <c r="E34" s="104">
        <f t="shared" si="5"/>
        <v>70934.399999999994</v>
      </c>
      <c r="F34" s="103">
        <f t="shared" si="6"/>
        <v>47289.600000000006</v>
      </c>
      <c r="G34" s="77">
        <v>296394</v>
      </c>
      <c r="H34" s="37">
        <f t="shared" si="32"/>
        <v>2208</v>
      </c>
      <c r="I34" s="77">
        <v>192462</v>
      </c>
      <c r="J34" s="37">
        <f t="shared" si="7"/>
        <v>8400</v>
      </c>
      <c r="K34" s="77">
        <v>270050</v>
      </c>
      <c r="L34" s="37">
        <f t="shared" si="0"/>
        <v>2160</v>
      </c>
      <c r="M34" s="77">
        <v>25342</v>
      </c>
      <c r="N34" s="37">
        <f t="shared" si="33"/>
        <v>0</v>
      </c>
      <c r="O34" s="77">
        <v>337010</v>
      </c>
      <c r="P34" s="37">
        <f t="shared" si="8"/>
        <v>10704</v>
      </c>
      <c r="Q34" s="77">
        <v>479982</v>
      </c>
      <c r="R34" s="103">
        <f t="shared" si="9"/>
        <v>4896</v>
      </c>
      <c r="S34" s="77">
        <v>768796</v>
      </c>
      <c r="T34" s="103">
        <f t="shared" si="10"/>
        <v>6672</v>
      </c>
      <c r="U34" s="82">
        <v>5651</v>
      </c>
      <c r="V34" s="103">
        <f t="shared" si="38"/>
        <v>912</v>
      </c>
      <c r="W34" s="77">
        <v>85338</v>
      </c>
      <c r="X34" s="103">
        <f t="shared" si="12"/>
        <v>768</v>
      </c>
      <c r="Y34" s="77">
        <v>1522594</v>
      </c>
      <c r="Z34" s="103">
        <f t="shared" si="13"/>
        <v>192</v>
      </c>
      <c r="AA34" s="77">
        <v>13886</v>
      </c>
      <c r="AB34" s="103">
        <f>(+AA34-+AA33)*48</f>
        <v>0</v>
      </c>
      <c r="AC34" s="77">
        <v>506094</v>
      </c>
      <c r="AD34" s="103">
        <f t="shared" si="15"/>
        <v>5664</v>
      </c>
      <c r="AE34" s="77">
        <v>575295</v>
      </c>
      <c r="AF34" s="103">
        <f t="shared" si="15"/>
        <v>5520</v>
      </c>
      <c r="AG34" s="77">
        <v>49793</v>
      </c>
      <c r="AH34" s="103">
        <f>(+AG34-+AG33)*48</f>
        <v>0</v>
      </c>
      <c r="AI34" s="77">
        <v>448047</v>
      </c>
      <c r="AJ34" s="103">
        <f t="shared" si="17"/>
        <v>6000</v>
      </c>
      <c r="AK34" s="77">
        <v>102770</v>
      </c>
      <c r="AL34" s="103">
        <f>(+AK34-+AK33)*48</f>
        <v>0</v>
      </c>
      <c r="AM34" s="77">
        <v>611602</v>
      </c>
      <c r="AN34" s="103">
        <f t="shared" si="19"/>
        <v>6384</v>
      </c>
      <c r="AO34" s="77">
        <v>1001311</v>
      </c>
      <c r="AP34" s="103">
        <f t="shared" si="20"/>
        <v>5280</v>
      </c>
      <c r="AQ34" s="77">
        <v>91844</v>
      </c>
      <c r="AR34" s="103">
        <f t="shared" si="28"/>
        <v>1056</v>
      </c>
      <c r="AS34" s="77">
        <v>2460</v>
      </c>
      <c r="AT34" s="103">
        <f t="shared" si="22"/>
        <v>48</v>
      </c>
      <c r="AU34" s="77">
        <v>939</v>
      </c>
      <c r="AV34" s="103">
        <f t="shared" si="37"/>
        <v>0</v>
      </c>
      <c r="AW34" s="77">
        <v>3110</v>
      </c>
      <c r="AX34" s="103">
        <v>0</v>
      </c>
      <c r="AY34" s="77">
        <v>351041</v>
      </c>
      <c r="AZ34" s="103">
        <f t="shared" si="40"/>
        <v>4032</v>
      </c>
      <c r="BA34" s="76">
        <v>161101</v>
      </c>
      <c r="BB34" s="103">
        <f>(+BA34-+BA33)*48</f>
        <v>0</v>
      </c>
      <c r="BC34" s="77">
        <v>237382</v>
      </c>
      <c r="BD34" s="103">
        <f t="shared" si="25"/>
        <v>2640</v>
      </c>
      <c r="BE34" s="77">
        <v>5350</v>
      </c>
      <c r="BF34" s="103">
        <f t="shared" si="26"/>
        <v>0</v>
      </c>
      <c r="BH34" s="105">
        <f t="shared" si="29"/>
        <v>125030.39999999999</v>
      </c>
      <c r="BI34" s="105">
        <f t="shared" si="30"/>
        <v>66729.600000000006</v>
      </c>
    </row>
    <row r="35" spans="1:61" s="35" customFormat="1" ht="39.950000000000003" customHeight="1">
      <c r="A35" s="185">
        <v>44739</v>
      </c>
      <c r="B35" s="34"/>
      <c r="C35" s="77">
        <v>6985329</v>
      </c>
      <c r="D35" s="103">
        <f t="shared" si="31"/>
        <v>118608</v>
      </c>
      <c r="E35" s="104">
        <f t="shared" si="5"/>
        <v>71164.800000000003</v>
      </c>
      <c r="F35" s="103">
        <f t="shared" si="6"/>
        <v>47443.200000000004</v>
      </c>
      <c r="G35" s="77">
        <v>296443</v>
      </c>
      <c r="H35" s="103">
        <f t="shared" si="32"/>
        <v>2352</v>
      </c>
      <c r="I35" s="77">
        <v>192634</v>
      </c>
      <c r="J35" s="37">
        <f t="shared" si="7"/>
        <v>8256</v>
      </c>
      <c r="K35" s="77">
        <v>270097</v>
      </c>
      <c r="L35" s="103">
        <f t="shared" si="0"/>
        <v>2256</v>
      </c>
      <c r="M35" s="77">
        <v>25344</v>
      </c>
      <c r="N35" s="37">
        <f t="shared" si="33"/>
        <v>96</v>
      </c>
      <c r="O35" s="77">
        <v>337225</v>
      </c>
      <c r="P35" s="37">
        <f t="shared" si="8"/>
        <v>10320</v>
      </c>
      <c r="Q35" s="77">
        <v>480088</v>
      </c>
      <c r="R35" s="103">
        <f t="shared" si="9"/>
        <v>5088</v>
      </c>
      <c r="S35" s="77">
        <v>768904</v>
      </c>
      <c r="T35" s="103">
        <f t="shared" si="10"/>
        <v>5184</v>
      </c>
      <c r="U35" s="82">
        <v>5671</v>
      </c>
      <c r="V35" s="103">
        <f t="shared" si="38"/>
        <v>960</v>
      </c>
      <c r="W35" s="77">
        <v>85354</v>
      </c>
      <c r="X35" s="103">
        <f t="shared" si="12"/>
        <v>768</v>
      </c>
      <c r="Y35" s="77">
        <v>1522599</v>
      </c>
      <c r="Z35" s="103">
        <f t="shared" si="13"/>
        <v>240</v>
      </c>
      <c r="AA35" s="77">
        <v>13886</v>
      </c>
      <c r="AB35" s="103">
        <f>(+AA35-+AA34)*48</f>
        <v>0</v>
      </c>
      <c r="AC35" s="77">
        <v>506212</v>
      </c>
      <c r="AD35" s="103">
        <f t="shared" si="15"/>
        <v>5664</v>
      </c>
      <c r="AE35" s="77">
        <v>575417</v>
      </c>
      <c r="AF35" s="103">
        <f t="shared" si="15"/>
        <v>5856</v>
      </c>
      <c r="AG35" s="77">
        <v>49793</v>
      </c>
      <c r="AH35" s="103">
        <f t="shared" si="16"/>
        <v>0</v>
      </c>
      <c r="AI35" s="77">
        <v>448181</v>
      </c>
      <c r="AJ35" s="103">
        <f t="shared" si="17"/>
        <v>6432</v>
      </c>
      <c r="AK35" s="77">
        <v>102770</v>
      </c>
      <c r="AL35" s="103">
        <f>(+AK35-+AK34)*48</f>
        <v>0</v>
      </c>
      <c r="AM35" s="77">
        <v>611732</v>
      </c>
      <c r="AN35" s="103">
        <f t="shared" si="19"/>
        <v>6240</v>
      </c>
      <c r="AO35" s="77">
        <v>1001420</v>
      </c>
      <c r="AP35" s="103">
        <f t="shared" si="20"/>
        <v>5232</v>
      </c>
      <c r="AQ35" s="77">
        <v>91866</v>
      </c>
      <c r="AR35" s="103">
        <f t="shared" si="28"/>
        <v>1056</v>
      </c>
      <c r="AS35" s="77">
        <v>2460</v>
      </c>
      <c r="AT35" s="103">
        <f>(+AS35-+AS34)*48</f>
        <v>0</v>
      </c>
      <c r="AU35" s="77">
        <v>939</v>
      </c>
      <c r="AV35" s="103">
        <f t="shared" si="37"/>
        <v>0</v>
      </c>
      <c r="AW35" s="77">
        <v>3110</v>
      </c>
      <c r="AX35" s="103">
        <v>0</v>
      </c>
      <c r="AY35" s="77">
        <v>351120</v>
      </c>
      <c r="AZ35" s="103">
        <f t="shared" si="40"/>
        <v>3792</v>
      </c>
      <c r="BA35" s="76">
        <v>161101</v>
      </c>
      <c r="BB35" s="103">
        <f t="shared" si="41"/>
        <v>0</v>
      </c>
      <c r="BC35" s="77">
        <v>237436</v>
      </c>
      <c r="BD35" s="103">
        <f t="shared" si="25"/>
        <v>2592</v>
      </c>
      <c r="BE35" s="77">
        <v>5350</v>
      </c>
      <c r="BF35" s="103">
        <f t="shared" si="26"/>
        <v>0</v>
      </c>
      <c r="BH35" s="105">
        <f t="shared" si="29"/>
        <v>124636.8</v>
      </c>
      <c r="BI35" s="105">
        <f t="shared" si="30"/>
        <v>66355.200000000012</v>
      </c>
    </row>
    <row r="36" spans="1:61" s="35" customFormat="1" ht="39.950000000000003" customHeight="1">
      <c r="A36" s="185">
        <v>44740</v>
      </c>
      <c r="B36" s="34"/>
      <c r="C36" s="77">
        <v>6987841</v>
      </c>
      <c r="D36" s="103">
        <f t="shared" si="31"/>
        <v>120576</v>
      </c>
      <c r="E36" s="104">
        <f t="shared" si="5"/>
        <v>72345.599999999991</v>
      </c>
      <c r="F36" s="103">
        <f t="shared" si="6"/>
        <v>48230.400000000001</v>
      </c>
      <c r="G36" s="77">
        <v>296485</v>
      </c>
      <c r="H36" s="103">
        <f t="shared" si="32"/>
        <v>2016</v>
      </c>
      <c r="I36" s="77">
        <v>192807</v>
      </c>
      <c r="J36" s="37">
        <f t="shared" si="7"/>
        <v>8304</v>
      </c>
      <c r="K36" s="77">
        <v>270135</v>
      </c>
      <c r="L36" s="103">
        <f t="shared" si="0"/>
        <v>1824</v>
      </c>
      <c r="M36" s="77">
        <v>25358</v>
      </c>
      <c r="N36" s="37">
        <f t="shared" si="33"/>
        <v>672</v>
      </c>
      <c r="O36" s="77">
        <v>337413</v>
      </c>
      <c r="P36" s="37">
        <f t="shared" si="8"/>
        <v>9024</v>
      </c>
      <c r="Q36" s="77">
        <v>480185</v>
      </c>
      <c r="R36" s="103">
        <f t="shared" si="9"/>
        <v>4656</v>
      </c>
      <c r="S36" s="77">
        <v>769044</v>
      </c>
      <c r="T36" s="103">
        <f t="shared" si="10"/>
        <v>6720</v>
      </c>
      <c r="U36" s="82">
        <v>5688.2579999999998</v>
      </c>
      <c r="V36" s="103">
        <f t="shared" si="38"/>
        <v>828.38399999999092</v>
      </c>
      <c r="W36" s="77">
        <v>85354</v>
      </c>
      <c r="X36" s="103">
        <f t="shared" si="12"/>
        <v>0</v>
      </c>
      <c r="Y36" s="77">
        <v>1522604</v>
      </c>
      <c r="Z36" s="103">
        <f>(+Y36-+Y35)*48</f>
        <v>240</v>
      </c>
      <c r="AA36" s="77">
        <v>13886</v>
      </c>
      <c r="AB36" s="103">
        <f>(+AA36-+AA35)*48</f>
        <v>0</v>
      </c>
      <c r="AC36" s="77">
        <v>506344</v>
      </c>
      <c r="AD36" s="103">
        <f t="shared" si="15"/>
        <v>6336</v>
      </c>
      <c r="AE36" s="77">
        <v>575552</v>
      </c>
      <c r="AF36" s="103">
        <f t="shared" si="15"/>
        <v>6480</v>
      </c>
      <c r="AG36" s="77">
        <v>49793</v>
      </c>
      <c r="AH36" s="103">
        <f t="shared" si="16"/>
        <v>0</v>
      </c>
      <c r="AI36" s="77">
        <v>448300</v>
      </c>
      <c r="AJ36" s="103">
        <f t="shared" si="17"/>
        <v>5712</v>
      </c>
      <c r="AK36" s="77">
        <v>102770</v>
      </c>
      <c r="AL36" s="103">
        <f t="shared" si="18"/>
        <v>0</v>
      </c>
      <c r="AM36" s="77">
        <v>611879</v>
      </c>
      <c r="AN36" s="103">
        <f t="shared" si="19"/>
        <v>7056</v>
      </c>
      <c r="AO36" s="77">
        <v>1001546</v>
      </c>
      <c r="AP36" s="103">
        <f t="shared" si="20"/>
        <v>6048</v>
      </c>
      <c r="AQ36" s="77">
        <v>91887</v>
      </c>
      <c r="AR36" s="103">
        <f t="shared" si="28"/>
        <v>1008</v>
      </c>
      <c r="AS36" s="77">
        <v>2460</v>
      </c>
      <c r="AT36" s="103">
        <f>(+AS36-+AS35)*48</f>
        <v>0</v>
      </c>
      <c r="AU36" s="77">
        <v>939</v>
      </c>
      <c r="AV36" s="103">
        <f t="shared" si="37"/>
        <v>0</v>
      </c>
      <c r="AW36" s="77">
        <v>3110</v>
      </c>
      <c r="AX36" s="103">
        <f t="shared" ref="AX36:AX38" si="42">(+AW36-+AW35)*48</f>
        <v>0</v>
      </c>
      <c r="AY36" s="77">
        <v>351205</v>
      </c>
      <c r="AZ36" s="103">
        <f t="shared" si="40"/>
        <v>4080</v>
      </c>
      <c r="BA36" s="77">
        <v>161101</v>
      </c>
      <c r="BB36" s="103">
        <f t="shared" si="41"/>
        <v>0</v>
      </c>
      <c r="BC36" s="77">
        <v>237492</v>
      </c>
      <c r="BD36" s="103">
        <f t="shared" si="25"/>
        <v>2688</v>
      </c>
      <c r="BE36" s="77">
        <v>5350</v>
      </c>
      <c r="BF36" s="103">
        <f t="shared" si="26"/>
        <v>0</v>
      </c>
      <c r="BH36" s="105">
        <f t="shared" si="29"/>
        <v>125157.98399999998</v>
      </c>
      <c r="BI36" s="105">
        <f t="shared" si="30"/>
        <v>69110.399999999994</v>
      </c>
    </row>
    <row r="37" spans="1:61" s="35" customFormat="1" ht="39.950000000000003" customHeight="1">
      <c r="A37" s="185">
        <v>44741</v>
      </c>
      <c r="B37" s="34"/>
      <c r="C37" s="77">
        <v>6990267</v>
      </c>
      <c r="D37" s="103">
        <f t="shared" si="31"/>
        <v>116448</v>
      </c>
      <c r="E37" s="104">
        <f t="shared" si="5"/>
        <v>69868.800000000003</v>
      </c>
      <c r="F37" s="103">
        <f t="shared" si="6"/>
        <v>46579.200000000004</v>
      </c>
      <c r="G37" s="77">
        <v>296522</v>
      </c>
      <c r="H37" s="103">
        <f t="shared" si="32"/>
        <v>1776</v>
      </c>
      <c r="I37" s="77">
        <v>192976</v>
      </c>
      <c r="J37" s="37">
        <f t="shared" si="7"/>
        <v>8112</v>
      </c>
      <c r="K37" s="77">
        <v>270146</v>
      </c>
      <c r="L37" s="103">
        <f t="shared" si="0"/>
        <v>528</v>
      </c>
      <c r="M37" s="77">
        <v>25359</v>
      </c>
      <c r="N37" s="37">
        <f t="shared" si="33"/>
        <v>48</v>
      </c>
      <c r="O37" s="77">
        <v>337607</v>
      </c>
      <c r="P37" s="37">
        <f t="shared" si="8"/>
        <v>9312</v>
      </c>
      <c r="Q37" s="77">
        <v>480274</v>
      </c>
      <c r="R37" s="103">
        <f t="shared" si="9"/>
        <v>4272</v>
      </c>
      <c r="S37" s="77">
        <v>769182</v>
      </c>
      <c r="T37" s="103">
        <f t="shared" si="10"/>
        <v>6624</v>
      </c>
      <c r="U37" s="82">
        <v>5703.4459999999999</v>
      </c>
      <c r="V37" s="103">
        <f t="shared" si="38"/>
        <v>729.02400000000489</v>
      </c>
      <c r="W37" s="77">
        <v>85371</v>
      </c>
      <c r="X37" s="103">
        <f t="shared" si="12"/>
        <v>816</v>
      </c>
      <c r="Y37" s="77">
        <v>1522609</v>
      </c>
      <c r="Z37" s="103">
        <f>(+Y37-+Y36)*48</f>
        <v>240</v>
      </c>
      <c r="AA37" s="77">
        <v>13886</v>
      </c>
      <c r="AB37" s="103">
        <f t="shared" si="14"/>
        <v>0</v>
      </c>
      <c r="AC37" s="77">
        <v>506459</v>
      </c>
      <c r="AD37" s="103">
        <f t="shared" si="15"/>
        <v>5520</v>
      </c>
      <c r="AE37" s="77">
        <v>575673</v>
      </c>
      <c r="AF37" s="103">
        <f t="shared" si="15"/>
        <v>5808</v>
      </c>
      <c r="AG37" s="77">
        <v>49793</v>
      </c>
      <c r="AH37" s="103">
        <f t="shared" si="16"/>
        <v>0</v>
      </c>
      <c r="AI37" s="77">
        <v>448414</v>
      </c>
      <c r="AJ37" s="103">
        <f t="shared" si="17"/>
        <v>5472</v>
      </c>
      <c r="AK37" s="77">
        <v>102770</v>
      </c>
      <c r="AL37" s="103">
        <f t="shared" si="18"/>
        <v>0</v>
      </c>
      <c r="AM37" s="77">
        <v>612000</v>
      </c>
      <c r="AN37" s="103">
        <f t="shared" si="19"/>
        <v>5808</v>
      </c>
      <c r="AO37" s="77">
        <v>1001658</v>
      </c>
      <c r="AP37" s="103">
        <f t="shared" si="20"/>
        <v>5376</v>
      </c>
      <c r="AQ37" s="77">
        <v>91909</v>
      </c>
      <c r="AR37" s="103">
        <f t="shared" si="28"/>
        <v>1056</v>
      </c>
      <c r="AS37" s="77">
        <v>2460</v>
      </c>
      <c r="AT37" s="103">
        <f>(+AS37-+AS36)*48</f>
        <v>0</v>
      </c>
      <c r="AU37" s="77">
        <v>939</v>
      </c>
      <c r="AV37" s="103">
        <f t="shared" si="37"/>
        <v>0</v>
      </c>
      <c r="AW37" s="77">
        <v>3110</v>
      </c>
      <c r="AX37" s="103">
        <f t="shared" si="42"/>
        <v>0</v>
      </c>
      <c r="AY37" s="77">
        <v>351252</v>
      </c>
      <c r="AZ37" s="103">
        <f t="shared" si="40"/>
        <v>2256</v>
      </c>
      <c r="BA37" s="77">
        <v>161101</v>
      </c>
      <c r="BB37" s="103">
        <f t="shared" si="41"/>
        <v>0</v>
      </c>
      <c r="BC37" s="77">
        <v>237548</v>
      </c>
      <c r="BD37" s="103">
        <f t="shared" si="25"/>
        <v>2688</v>
      </c>
      <c r="BE37" s="77">
        <v>5350</v>
      </c>
      <c r="BF37" s="103">
        <f t="shared" si="26"/>
        <v>0</v>
      </c>
      <c r="BH37" s="105">
        <f t="shared" si="29"/>
        <v>119125.82400000001</v>
      </c>
      <c r="BI37" s="105">
        <f t="shared" si="30"/>
        <v>63763.200000000004</v>
      </c>
    </row>
    <row r="38" spans="1:61" s="35" customFormat="1" ht="39.950000000000003" customHeight="1">
      <c r="A38" s="185">
        <v>44742</v>
      </c>
      <c r="B38" s="34"/>
      <c r="C38" s="77">
        <v>6992598</v>
      </c>
      <c r="D38" s="103">
        <f t="shared" si="31"/>
        <v>111888</v>
      </c>
      <c r="E38" s="104">
        <f t="shared" si="5"/>
        <v>67132.800000000003</v>
      </c>
      <c r="F38" s="103">
        <f t="shared" si="6"/>
        <v>44755.200000000004</v>
      </c>
      <c r="G38" s="77">
        <v>296568</v>
      </c>
      <c r="H38" s="103">
        <f t="shared" si="32"/>
        <v>2208</v>
      </c>
      <c r="I38" s="77">
        <v>193147</v>
      </c>
      <c r="J38" s="37">
        <f t="shared" si="7"/>
        <v>8208</v>
      </c>
      <c r="K38" s="77">
        <v>270175</v>
      </c>
      <c r="L38" s="103">
        <f t="shared" si="0"/>
        <v>1392</v>
      </c>
      <c r="M38" s="77">
        <v>25359</v>
      </c>
      <c r="N38" s="37">
        <f t="shared" si="33"/>
        <v>0</v>
      </c>
      <c r="O38" s="77">
        <v>337795</v>
      </c>
      <c r="P38" s="37">
        <f t="shared" si="8"/>
        <v>9024</v>
      </c>
      <c r="Q38" s="77">
        <v>480363</v>
      </c>
      <c r="R38" s="103">
        <f t="shared" si="9"/>
        <v>4272</v>
      </c>
      <c r="S38" s="77">
        <v>769315</v>
      </c>
      <c r="T38" s="103">
        <f t="shared" si="10"/>
        <v>6384</v>
      </c>
      <c r="U38" s="82">
        <v>5720.4129999999996</v>
      </c>
      <c r="V38" s="103">
        <f t="shared" si="38"/>
        <v>814.41599999998289</v>
      </c>
      <c r="W38" s="77">
        <v>85387</v>
      </c>
      <c r="X38" s="103">
        <f t="shared" si="12"/>
        <v>768</v>
      </c>
      <c r="Y38" s="77">
        <v>1522613</v>
      </c>
      <c r="Z38" s="103">
        <f>(+Y38-+Y37)*48</f>
        <v>192</v>
      </c>
      <c r="AA38" s="77">
        <v>13886</v>
      </c>
      <c r="AB38" s="103">
        <f t="shared" si="14"/>
        <v>0</v>
      </c>
      <c r="AC38" s="77">
        <v>506580</v>
      </c>
      <c r="AD38" s="103">
        <f t="shared" ref="AD38" si="43">(+AC38-+AC37)*48</f>
        <v>5808</v>
      </c>
      <c r="AE38" s="77">
        <v>575794</v>
      </c>
      <c r="AF38" s="103">
        <f t="shared" ref="AF38" si="44">(+AE38-+AE37)*48</f>
        <v>5808</v>
      </c>
      <c r="AG38" s="77">
        <v>49793</v>
      </c>
      <c r="AH38" s="103">
        <f>(+AG38-+AG37)*48</f>
        <v>0</v>
      </c>
      <c r="AI38" s="77">
        <v>448520</v>
      </c>
      <c r="AJ38" s="103">
        <f t="shared" si="17"/>
        <v>5088</v>
      </c>
      <c r="AK38" s="77">
        <v>102770</v>
      </c>
      <c r="AL38" s="103">
        <f t="shared" si="18"/>
        <v>0</v>
      </c>
      <c r="AM38" s="77">
        <v>612141</v>
      </c>
      <c r="AN38" s="103">
        <f t="shared" si="19"/>
        <v>6768</v>
      </c>
      <c r="AO38" s="77">
        <v>1001767</v>
      </c>
      <c r="AP38" s="103">
        <f t="shared" si="20"/>
        <v>5232</v>
      </c>
      <c r="AQ38" s="77">
        <v>91930</v>
      </c>
      <c r="AR38" s="103">
        <f t="shared" si="28"/>
        <v>1008</v>
      </c>
      <c r="AS38" s="77">
        <v>2460</v>
      </c>
      <c r="AT38" s="103">
        <f>(+AS38-+AS37)*48</f>
        <v>0</v>
      </c>
      <c r="AU38" s="77">
        <v>939</v>
      </c>
      <c r="AV38" s="103">
        <f t="shared" si="37"/>
        <v>0</v>
      </c>
      <c r="AW38" s="77">
        <v>3110</v>
      </c>
      <c r="AX38" s="103">
        <f t="shared" si="42"/>
        <v>0</v>
      </c>
      <c r="AY38" s="77">
        <v>351371</v>
      </c>
      <c r="AZ38" s="103">
        <f t="shared" si="40"/>
        <v>5712</v>
      </c>
      <c r="BA38" s="77">
        <v>161101</v>
      </c>
      <c r="BB38" s="103">
        <f t="shared" si="41"/>
        <v>0</v>
      </c>
      <c r="BC38" s="77">
        <v>237605</v>
      </c>
      <c r="BD38" s="103">
        <f t="shared" si="25"/>
        <v>2736</v>
      </c>
      <c r="BE38" s="77">
        <v>5350</v>
      </c>
      <c r="BF38" s="103">
        <f t="shared" si="26"/>
        <v>0</v>
      </c>
      <c r="BH38" s="105">
        <f t="shared" si="29"/>
        <v>117099.21599999999</v>
      </c>
      <c r="BI38" s="105">
        <f t="shared" si="30"/>
        <v>66211.200000000012</v>
      </c>
    </row>
    <row r="39" spans="1:61" s="35" customFormat="1" ht="39.950000000000003" customHeight="1">
      <c r="A39" s="18"/>
      <c r="AD39" s="29"/>
      <c r="AE39" s="78"/>
      <c r="AG39" s="78"/>
      <c r="AI39" s="78"/>
      <c r="AK39" s="78"/>
      <c r="AM39" s="78"/>
      <c r="AO39" s="78"/>
      <c r="AQ39" s="78"/>
      <c r="AS39" s="78"/>
      <c r="AU39" s="78"/>
      <c r="AW39" s="78"/>
      <c r="AY39" s="78"/>
      <c r="BA39" s="78"/>
      <c r="BC39" s="78"/>
      <c r="BE39" s="78"/>
      <c r="BH39" s="22"/>
      <c r="BI39" s="22"/>
    </row>
    <row r="40" spans="1:61" s="35" customFormat="1" ht="39.950000000000003" customHeight="1">
      <c r="A40" s="18"/>
      <c r="AD40" s="29"/>
      <c r="AE40" s="78"/>
      <c r="AG40" s="78"/>
      <c r="AI40" s="78"/>
      <c r="AK40" s="78"/>
      <c r="AM40" s="78"/>
      <c r="AO40" s="78"/>
      <c r="AQ40" s="78"/>
      <c r="AS40" s="78"/>
      <c r="AU40" s="78"/>
      <c r="AW40" s="78"/>
      <c r="AY40" s="78"/>
      <c r="BA40" s="78"/>
      <c r="BC40" s="78"/>
      <c r="BE40" s="78"/>
      <c r="BH40" s="29"/>
      <c r="BI40" s="29"/>
    </row>
    <row r="41" spans="1:61" s="35" customFormat="1" ht="39.950000000000003" customHeight="1">
      <c r="A41" s="36"/>
      <c r="AD41" s="29"/>
      <c r="AE41" s="78"/>
      <c r="AG41" s="78"/>
      <c r="AI41" s="78"/>
      <c r="AK41" s="78"/>
      <c r="AM41" s="78"/>
      <c r="AO41" s="78"/>
      <c r="AQ41" s="78"/>
      <c r="AS41" s="78"/>
      <c r="AU41" s="78"/>
      <c r="AW41" s="78"/>
      <c r="AY41" s="78"/>
      <c r="BA41" s="78"/>
      <c r="BC41" s="78"/>
      <c r="BE41" s="78"/>
      <c r="BH41" s="29"/>
      <c r="BI41" s="29"/>
    </row>
    <row r="42" spans="1:61" s="35" customFormat="1" ht="2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ht="21">
      <c r="A47" s="11"/>
      <c r="BH47" s="29"/>
      <c r="BI47" s="29"/>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44" t="s">
        <v>197</v>
      </c>
      <c r="C1" s="244"/>
      <c r="D1" s="244" t="s">
        <v>197</v>
      </c>
      <c r="E1" s="244"/>
      <c r="F1" s="244" t="s">
        <v>197</v>
      </c>
      <c r="G1" s="244"/>
      <c r="H1" s="244" t="s">
        <v>198</v>
      </c>
      <c r="I1" s="244"/>
      <c r="J1" s="243"/>
      <c r="K1" s="243"/>
      <c r="L1" s="244" t="s">
        <v>199</v>
      </c>
      <c r="M1" s="244"/>
      <c r="N1" s="244" t="s">
        <v>199</v>
      </c>
      <c r="O1" s="244"/>
      <c r="P1" s="244" t="s">
        <v>199</v>
      </c>
      <c r="Q1" s="244"/>
      <c r="R1" s="244" t="s">
        <v>199</v>
      </c>
      <c r="S1" s="244"/>
      <c r="T1" s="244" t="s">
        <v>200</v>
      </c>
      <c r="U1" s="244"/>
      <c r="V1" s="248" t="s">
        <v>200</v>
      </c>
      <c r="W1" s="248"/>
      <c r="X1" s="244" t="s">
        <v>200</v>
      </c>
      <c r="Y1" s="244"/>
      <c r="Z1" s="244" t="s">
        <v>200</v>
      </c>
      <c r="AA1" s="244"/>
      <c r="AB1" s="243"/>
      <c r="AC1" s="243"/>
      <c r="AD1" s="244" t="s">
        <v>200</v>
      </c>
      <c r="AE1" s="244"/>
      <c r="AF1" s="244" t="s">
        <v>200</v>
      </c>
      <c r="AG1" s="244"/>
      <c r="AH1" s="244" t="s">
        <v>201</v>
      </c>
      <c r="AI1" s="244"/>
      <c r="AJ1" s="244" t="s">
        <v>201</v>
      </c>
      <c r="AK1" s="244"/>
      <c r="AL1" s="247" t="s">
        <v>201</v>
      </c>
      <c r="AM1" s="247"/>
      <c r="AN1" s="244" t="s">
        <v>201</v>
      </c>
      <c r="AO1" s="244"/>
      <c r="AP1" s="243" t="s">
        <v>201</v>
      </c>
      <c r="AQ1" s="243"/>
      <c r="AR1" s="247" t="s">
        <v>201</v>
      </c>
      <c r="AS1" s="247"/>
      <c r="AT1" s="244" t="s">
        <v>201</v>
      </c>
      <c r="AU1" s="244"/>
      <c r="AV1" s="243"/>
      <c r="AW1" s="243"/>
      <c r="AX1" s="244" t="s">
        <v>201</v>
      </c>
      <c r="AY1" s="244"/>
      <c r="AZ1" s="244" t="s">
        <v>201</v>
      </c>
      <c r="BA1" s="244"/>
      <c r="BB1" s="244" t="s">
        <v>201</v>
      </c>
      <c r="BC1" s="244"/>
      <c r="BD1" s="244" t="s">
        <v>202</v>
      </c>
      <c r="BE1" s="244"/>
      <c r="BF1" s="244" t="s">
        <v>202</v>
      </c>
      <c r="BG1" s="244"/>
      <c r="BH1" s="244" t="s">
        <v>202</v>
      </c>
      <c r="BI1" s="244"/>
      <c r="BJ1" s="244" t="s">
        <v>202</v>
      </c>
      <c r="BK1" s="244"/>
      <c r="BL1" s="244" t="s">
        <v>202</v>
      </c>
      <c r="BM1" s="244"/>
      <c r="BN1" s="244" t="s">
        <v>202</v>
      </c>
      <c r="BO1" s="244"/>
      <c r="BP1" s="244" t="s">
        <v>202</v>
      </c>
      <c r="BQ1" s="244"/>
      <c r="BR1" s="244" t="s">
        <v>202</v>
      </c>
      <c r="BS1" s="244"/>
      <c r="BT1" s="244" t="s">
        <v>202</v>
      </c>
      <c r="BU1" s="244"/>
      <c r="BV1" s="244" t="s">
        <v>202</v>
      </c>
      <c r="BW1" s="244"/>
      <c r="BX1" s="244" t="s">
        <v>202</v>
      </c>
      <c r="BY1" s="244"/>
      <c r="BZ1" s="244" t="s">
        <v>203</v>
      </c>
      <c r="CA1" s="244"/>
      <c r="CB1" s="248" t="s">
        <v>203</v>
      </c>
      <c r="CC1" s="248"/>
      <c r="CD1" s="244" t="s">
        <v>203</v>
      </c>
      <c r="CE1" s="244"/>
      <c r="CF1" s="244" t="s">
        <v>203</v>
      </c>
      <c r="CG1" s="244"/>
      <c r="CH1" s="244" t="s">
        <v>204</v>
      </c>
      <c r="CI1" s="244"/>
      <c r="CJ1" s="244" t="s">
        <v>204</v>
      </c>
      <c r="CK1" s="244"/>
      <c r="CL1" s="244" t="s">
        <v>204</v>
      </c>
      <c r="CM1" s="244"/>
      <c r="CN1" s="244" t="s">
        <v>205</v>
      </c>
      <c r="CO1" s="244"/>
      <c r="CP1" s="244" t="s">
        <v>205</v>
      </c>
      <c r="CQ1" s="244"/>
      <c r="CR1" s="248" t="s">
        <v>205</v>
      </c>
      <c r="CS1" s="248"/>
      <c r="CT1" s="244" t="s">
        <v>205</v>
      </c>
      <c r="CU1" s="244"/>
      <c r="CV1" s="244" t="s">
        <v>205</v>
      </c>
      <c r="CW1" s="244"/>
      <c r="CX1" s="244" t="s">
        <v>205</v>
      </c>
      <c r="CY1" s="244"/>
      <c r="CZ1" s="244" t="s">
        <v>205</v>
      </c>
      <c r="DA1" s="244"/>
      <c r="DB1" s="244" t="s">
        <v>205</v>
      </c>
      <c r="DC1" s="244"/>
      <c r="DD1" s="244" t="s">
        <v>205</v>
      </c>
      <c r="DE1" s="244"/>
      <c r="DF1" s="244" t="s">
        <v>205</v>
      </c>
      <c r="DG1" s="244"/>
      <c r="DH1" s="244" t="s">
        <v>205</v>
      </c>
      <c r="DI1" s="244"/>
      <c r="DJ1" s="243" t="s">
        <v>205</v>
      </c>
      <c r="DK1" s="243"/>
      <c r="DL1" s="244" t="s">
        <v>206</v>
      </c>
      <c r="DM1" s="244"/>
      <c r="DN1" s="244" t="s">
        <v>206</v>
      </c>
      <c r="DO1" s="244"/>
      <c r="DP1" s="244" t="s">
        <v>206</v>
      </c>
      <c r="DQ1" s="244"/>
      <c r="DR1" s="244" t="s">
        <v>206</v>
      </c>
      <c r="DS1" s="244"/>
      <c r="DT1" s="244" t="s">
        <v>206</v>
      </c>
      <c r="DU1" s="244"/>
      <c r="DV1" s="244" t="s">
        <v>206</v>
      </c>
      <c r="DW1" s="244"/>
      <c r="DX1" s="244" t="s">
        <v>207</v>
      </c>
      <c r="DY1" s="244"/>
      <c r="DZ1" s="244" t="s">
        <v>207</v>
      </c>
      <c r="EA1" s="244"/>
      <c r="EB1" s="244" t="s">
        <v>207</v>
      </c>
      <c r="EC1" s="244"/>
      <c r="ED1" s="244" t="s">
        <v>207</v>
      </c>
      <c r="EE1" s="244"/>
      <c r="EF1" s="244" t="s">
        <v>207</v>
      </c>
      <c r="EG1" s="244"/>
      <c r="EH1" s="244" t="s">
        <v>207</v>
      </c>
      <c r="EI1" s="244"/>
      <c r="EJ1" s="244" t="s">
        <v>207</v>
      </c>
      <c r="EK1" s="244"/>
      <c r="EL1" s="244" t="s">
        <v>208</v>
      </c>
      <c r="EM1" s="244"/>
      <c r="EN1" s="244" t="s">
        <v>208</v>
      </c>
      <c r="EO1" s="244"/>
      <c r="EP1" s="244" t="s">
        <v>208</v>
      </c>
      <c r="EQ1" s="244"/>
      <c r="ER1" s="244" t="s">
        <v>209</v>
      </c>
      <c r="ES1" s="244"/>
      <c r="ET1" s="244" t="s">
        <v>209</v>
      </c>
      <c r="EU1" s="244"/>
      <c r="EV1" s="244" t="s">
        <v>209</v>
      </c>
      <c r="EW1" s="244"/>
      <c r="EX1" s="244" t="s">
        <v>210</v>
      </c>
      <c r="EY1" s="244"/>
      <c r="EZ1" s="244" t="s">
        <v>211</v>
      </c>
      <c r="FA1" s="244"/>
      <c r="FB1" s="244" t="s">
        <v>211</v>
      </c>
      <c r="FC1" s="244"/>
      <c r="FD1" s="244" t="s">
        <v>211</v>
      </c>
      <c r="FE1" s="244"/>
      <c r="FF1" s="244" t="s">
        <v>212</v>
      </c>
      <c r="FG1" s="244"/>
      <c r="FH1" s="244" t="s">
        <v>212</v>
      </c>
      <c r="FI1" s="244"/>
      <c r="FJ1" s="244" t="s">
        <v>212</v>
      </c>
      <c r="FK1" s="244"/>
      <c r="FL1" s="243" t="s">
        <v>212</v>
      </c>
      <c r="FM1" s="243"/>
    </row>
    <row r="2" spans="1:169" s="23" customFormat="1" ht="49.5" customHeight="1">
      <c r="B2" s="244" t="s">
        <v>213</v>
      </c>
      <c r="C2" s="244"/>
      <c r="D2" s="244" t="s">
        <v>214</v>
      </c>
      <c r="E2" s="244"/>
      <c r="F2" s="244" t="s">
        <v>213</v>
      </c>
      <c r="G2" s="244"/>
      <c r="H2" s="244" t="s">
        <v>214</v>
      </c>
      <c r="I2" s="244"/>
      <c r="J2" s="244" t="s">
        <v>214</v>
      </c>
      <c r="K2" s="244"/>
      <c r="L2" s="244" t="s">
        <v>213</v>
      </c>
      <c r="M2" s="244"/>
      <c r="N2" s="244" t="s">
        <v>213</v>
      </c>
      <c r="O2" s="244"/>
      <c r="P2" s="244" t="s">
        <v>214</v>
      </c>
      <c r="Q2" s="244"/>
      <c r="R2" s="244" t="s">
        <v>214</v>
      </c>
      <c r="S2" s="244"/>
      <c r="T2" s="244" t="s">
        <v>213</v>
      </c>
      <c r="U2" s="244"/>
      <c r="V2" s="244" t="s">
        <v>214</v>
      </c>
      <c r="W2" s="244"/>
      <c r="X2" s="244" t="s">
        <v>214</v>
      </c>
      <c r="Y2" s="244"/>
      <c r="Z2" s="244" t="s">
        <v>214</v>
      </c>
      <c r="AA2" s="244"/>
      <c r="AB2" s="243" t="s">
        <v>214</v>
      </c>
      <c r="AC2" s="243"/>
      <c r="AD2" s="244" t="s">
        <v>213</v>
      </c>
      <c r="AE2" s="244"/>
      <c r="AF2" s="244" t="s">
        <v>214</v>
      </c>
      <c r="AG2" s="244"/>
      <c r="AH2" s="244" t="s">
        <v>214</v>
      </c>
      <c r="AI2" s="244"/>
      <c r="AJ2" s="244" t="s">
        <v>214</v>
      </c>
      <c r="AK2" s="244"/>
      <c r="AL2" s="244" t="s">
        <v>214</v>
      </c>
      <c r="AM2" s="244"/>
      <c r="AN2" s="244" t="s">
        <v>214</v>
      </c>
      <c r="AO2" s="244"/>
      <c r="AP2" s="243" t="s">
        <v>214</v>
      </c>
      <c r="AQ2" s="243"/>
      <c r="AR2" s="244" t="s">
        <v>214</v>
      </c>
      <c r="AS2" s="244"/>
      <c r="AT2" s="244" t="s">
        <v>214</v>
      </c>
      <c r="AU2" s="244"/>
      <c r="AV2" s="243" t="s">
        <v>214</v>
      </c>
      <c r="AW2" s="243"/>
      <c r="AX2" s="244" t="s">
        <v>214</v>
      </c>
      <c r="AY2" s="244"/>
      <c r="AZ2" s="244" t="s">
        <v>214</v>
      </c>
      <c r="BA2" s="244"/>
      <c r="BB2" s="244" t="s">
        <v>214</v>
      </c>
      <c r="BC2" s="244"/>
      <c r="BD2" s="244" t="s">
        <v>213</v>
      </c>
      <c r="BE2" s="244"/>
      <c r="BF2" s="244" t="s">
        <v>215</v>
      </c>
      <c r="BG2" s="244"/>
      <c r="BH2" s="244" t="s">
        <v>214</v>
      </c>
      <c r="BI2" s="244"/>
      <c r="BJ2" s="244" t="s">
        <v>214</v>
      </c>
      <c r="BK2" s="244"/>
      <c r="BL2" s="244" t="s">
        <v>214</v>
      </c>
      <c r="BM2" s="244"/>
      <c r="BN2" s="244" t="s">
        <v>214</v>
      </c>
      <c r="BO2" s="244"/>
      <c r="BP2" s="244" t="s">
        <v>214</v>
      </c>
      <c r="BQ2" s="244"/>
      <c r="BR2" s="244" t="s">
        <v>214</v>
      </c>
      <c r="BS2" s="244"/>
      <c r="BT2" s="244" t="s">
        <v>214</v>
      </c>
      <c r="BU2" s="244"/>
      <c r="BV2" s="244" t="s">
        <v>214</v>
      </c>
      <c r="BW2" s="244"/>
      <c r="BX2" s="244" t="s">
        <v>214</v>
      </c>
      <c r="BY2" s="244"/>
      <c r="BZ2" s="244" t="s">
        <v>213</v>
      </c>
      <c r="CA2" s="244"/>
      <c r="CB2" s="244" t="s">
        <v>213</v>
      </c>
      <c r="CC2" s="244"/>
      <c r="CD2" s="244" t="s">
        <v>213</v>
      </c>
      <c r="CE2" s="244"/>
      <c r="CF2" s="244" t="s">
        <v>213</v>
      </c>
      <c r="CG2" s="244"/>
      <c r="CH2" s="244" t="s">
        <v>214</v>
      </c>
      <c r="CI2" s="244"/>
      <c r="CJ2" s="244" t="s">
        <v>214</v>
      </c>
      <c r="CK2" s="244"/>
      <c r="CL2" s="244" t="s">
        <v>214</v>
      </c>
      <c r="CM2" s="244"/>
      <c r="CN2" s="244" t="s">
        <v>213</v>
      </c>
      <c r="CO2" s="244"/>
      <c r="CP2" s="244" t="s">
        <v>214</v>
      </c>
      <c r="CQ2" s="244"/>
      <c r="CR2" s="244" t="s">
        <v>214</v>
      </c>
      <c r="CS2" s="244"/>
      <c r="CT2" s="244" t="s">
        <v>214</v>
      </c>
      <c r="CU2" s="244"/>
      <c r="CV2" s="244" t="s">
        <v>214</v>
      </c>
      <c r="CW2" s="244"/>
      <c r="CX2" s="244" t="s">
        <v>214</v>
      </c>
      <c r="CY2" s="244"/>
      <c r="CZ2" s="244" t="s">
        <v>214</v>
      </c>
      <c r="DA2" s="244"/>
      <c r="DB2" s="244" t="s">
        <v>213</v>
      </c>
      <c r="DC2" s="244"/>
      <c r="DD2" s="244" t="s">
        <v>214</v>
      </c>
      <c r="DE2" s="244"/>
      <c r="DF2" s="244" t="s">
        <v>214</v>
      </c>
      <c r="DG2" s="244"/>
      <c r="DH2" s="244" t="s">
        <v>214</v>
      </c>
      <c r="DI2" s="244"/>
      <c r="DJ2" s="243" t="s">
        <v>214</v>
      </c>
      <c r="DK2" s="243"/>
      <c r="DL2" s="244" t="s">
        <v>214</v>
      </c>
      <c r="DM2" s="244"/>
      <c r="DN2" s="244" t="s">
        <v>214</v>
      </c>
      <c r="DO2" s="244"/>
      <c r="DP2" s="244" t="s">
        <v>214</v>
      </c>
      <c r="DQ2" s="244"/>
      <c r="DR2" s="244" t="s">
        <v>214</v>
      </c>
      <c r="DS2" s="244"/>
      <c r="DT2" s="244" t="s">
        <v>214</v>
      </c>
      <c r="DU2" s="244"/>
      <c r="DV2" s="244" t="s">
        <v>214</v>
      </c>
      <c r="DW2" s="244"/>
      <c r="DX2" s="244" t="s">
        <v>214</v>
      </c>
      <c r="DY2" s="244"/>
      <c r="DZ2" s="244" t="s">
        <v>214</v>
      </c>
      <c r="EA2" s="244"/>
      <c r="EB2" s="244" t="s">
        <v>214</v>
      </c>
      <c r="EC2" s="244"/>
      <c r="ED2" s="244" t="s">
        <v>214</v>
      </c>
      <c r="EE2" s="244"/>
      <c r="EF2" s="244" t="s">
        <v>214</v>
      </c>
      <c r="EG2" s="244"/>
      <c r="EH2" s="244" t="s">
        <v>214</v>
      </c>
      <c r="EI2" s="244"/>
      <c r="EJ2" s="244" t="s">
        <v>214</v>
      </c>
      <c r="EK2" s="244"/>
      <c r="EL2" s="244" t="s">
        <v>214</v>
      </c>
      <c r="EM2" s="244"/>
      <c r="EN2" s="244" t="s">
        <v>214</v>
      </c>
      <c r="EO2" s="244"/>
      <c r="EP2" s="244" t="s">
        <v>214</v>
      </c>
      <c r="EQ2" s="244"/>
      <c r="ER2" s="244" t="s">
        <v>214</v>
      </c>
      <c r="ES2" s="244"/>
      <c r="ET2" s="244" t="s">
        <v>214</v>
      </c>
      <c r="EU2" s="244"/>
      <c r="EV2" s="244" t="s">
        <v>214</v>
      </c>
      <c r="EW2" s="244"/>
      <c r="EX2" s="244" t="s">
        <v>214</v>
      </c>
      <c r="EY2" s="244"/>
      <c r="EZ2" s="244" t="s">
        <v>214</v>
      </c>
      <c r="FA2" s="244"/>
      <c r="FB2" s="244" t="s">
        <v>214</v>
      </c>
      <c r="FC2" s="244"/>
      <c r="FD2" s="244" t="s">
        <v>214</v>
      </c>
      <c r="FE2" s="244"/>
      <c r="FF2" s="244" t="s">
        <v>214</v>
      </c>
      <c r="FG2" s="244"/>
      <c r="FH2" s="244" t="s">
        <v>214</v>
      </c>
      <c r="FI2" s="244"/>
      <c r="FJ2" s="244" t="s">
        <v>214</v>
      </c>
      <c r="FK2" s="244"/>
      <c r="FL2" s="243" t="s">
        <v>214</v>
      </c>
      <c r="FM2" s="243"/>
    </row>
    <row r="3" spans="1:169" s="23" customFormat="1" ht="49.5" customHeight="1">
      <c r="B3" s="209" t="s">
        <v>67</v>
      </c>
      <c r="C3" s="211"/>
      <c r="D3" s="209" t="s">
        <v>216</v>
      </c>
      <c r="E3" s="211"/>
      <c r="F3" s="209"/>
      <c r="G3" s="211"/>
      <c r="H3" s="209" t="s">
        <v>216</v>
      </c>
      <c r="I3" s="211"/>
      <c r="J3" s="209" t="s">
        <v>216</v>
      </c>
      <c r="K3" s="211"/>
      <c r="L3" s="209"/>
      <c r="M3" s="211"/>
      <c r="N3" s="209"/>
      <c r="O3" s="211"/>
      <c r="P3" s="209" t="s">
        <v>216</v>
      </c>
      <c r="Q3" s="211"/>
      <c r="R3" s="209" t="s">
        <v>216</v>
      </c>
      <c r="S3" s="211"/>
      <c r="T3" s="209"/>
      <c r="U3" s="211"/>
      <c r="V3" s="209" t="s">
        <v>217</v>
      </c>
      <c r="W3" s="211"/>
      <c r="X3" s="209" t="s">
        <v>217</v>
      </c>
      <c r="Y3" s="211"/>
      <c r="Z3" s="209" t="s">
        <v>217</v>
      </c>
      <c r="AA3" s="211"/>
      <c r="AB3" s="245" t="s">
        <v>217</v>
      </c>
      <c r="AC3" s="246"/>
      <c r="AD3" s="209"/>
      <c r="AE3" s="211"/>
      <c r="AF3" s="209" t="s">
        <v>217</v>
      </c>
      <c r="AG3" s="211"/>
      <c r="AH3" s="209" t="s">
        <v>216</v>
      </c>
      <c r="AI3" s="211"/>
      <c r="AJ3" s="209" t="s">
        <v>216</v>
      </c>
      <c r="AK3" s="211"/>
      <c r="AL3" s="209" t="s">
        <v>216</v>
      </c>
      <c r="AM3" s="211"/>
      <c r="AN3" s="209" t="s">
        <v>216</v>
      </c>
      <c r="AO3" s="211"/>
      <c r="AP3" s="245" t="s">
        <v>216</v>
      </c>
      <c r="AQ3" s="246"/>
      <c r="AR3" s="209" t="s">
        <v>216</v>
      </c>
      <c r="AS3" s="211"/>
      <c r="AT3" s="209" t="s">
        <v>216</v>
      </c>
      <c r="AU3" s="211"/>
      <c r="AV3" s="245" t="s">
        <v>216</v>
      </c>
      <c r="AW3" s="246"/>
      <c r="AX3" s="209" t="s">
        <v>216</v>
      </c>
      <c r="AY3" s="211"/>
      <c r="AZ3" s="209" t="s">
        <v>216</v>
      </c>
      <c r="BA3" s="211"/>
      <c r="BB3" s="209" t="s">
        <v>216</v>
      </c>
      <c r="BC3" s="211"/>
      <c r="BD3" s="209"/>
      <c r="BE3" s="211"/>
      <c r="BF3" s="209"/>
      <c r="BG3" s="211"/>
      <c r="BH3" s="209" t="s">
        <v>216</v>
      </c>
      <c r="BI3" s="211"/>
      <c r="BJ3" s="209" t="s">
        <v>216</v>
      </c>
      <c r="BK3" s="211"/>
      <c r="BL3" s="209" t="s">
        <v>216</v>
      </c>
      <c r="BM3" s="211"/>
      <c r="BN3" s="209" t="s">
        <v>216</v>
      </c>
      <c r="BO3" s="211"/>
      <c r="BP3" s="209" t="s">
        <v>216</v>
      </c>
      <c r="BQ3" s="211"/>
      <c r="BR3" s="209" t="s">
        <v>216</v>
      </c>
      <c r="BS3" s="211"/>
      <c r="BT3" s="209" t="s">
        <v>216</v>
      </c>
      <c r="BU3" s="211"/>
      <c r="BV3" s="209" t="s">
        <v>216</v>
      </c>
      <c r="BW3" s="211"/>
      <c r="BX3" s="209" t="s">
        <v>216</v>
      </c>
      <c r="BY3" s="211"/>
      <c r="BZ3" s="209" t="s">
        <v>66</v>
      </c>
      <c r="CA3" s="211"/>
      <c r="CB3" s="209" t="s">
        <v>66</v>
      </c>
      <c r="CC3" s="211"/>
      <c r="CD3" s="209" t="s">
        <v>66</v>
      </c>
      <c r="CE3" s="211"/>
      <c r="CF3" s="110"/>
      <c r="CG3" s="110"/>
      <c r="CH3" s="209" t="s">
        <v>67</v>
      </c>
      <c r="CI3" s="211"/>
      <c r="CJ3" s="209" t="s">
        <v>67</v>
      </c>
      <c r="CK3" s="211"/>
      <c r="CL3" s="209" t="s">
        <v>216</v>
      </c>
      <c r="CM3" s="211"/>
      <c r="CN3" s="209"/>
      <c r="CO3" s="211"/>
      <c r="CP3" s="209" t="s">
        <v>216</v>
      </c>
      <c r="CQ3" s="211"/>
      <c r="CR3" s="209" t="s">
        <v>216</v>
      </c>
      <c r="CS3" s="211"/>
      <c r="CT3" s="209" t="s">
        <v>216</v>
      </c>
      <c r="CU3" s="211"/>
      <c r="CV3" s="209" t="s">
        <v>216</v>
      </c>
      <c r="CW3" s="211"/>
      <c r="CX3" s="209" t="s">
        <v>216</v>
      </c>
      <c r="CY3" s="211"/>
      <c r="CZ3" s="209" t="s">
        <v>216</v>
      </c>
      <c r="DA3" s="211"/>
      <c r="DB3" s="209" t="s">
        <v>216</v>
      </c>
      <c r="DC3" s="211"/>
      <c r="DD3" s="209" t="s">
        <v>216</v>
      </c>
      <c r="DE3" s="211"/>
      <c r="DF3" s="209" t="s">
        <v>216</v>
      </c>
      <c r="DG3" s="211"/>
      <c r="DH3" s="209" t="s">
        <v>216</v>
      </c>
      <c r="DI3" s="211"/>
      <c r="DJ3" s="245" t="s">
        <v>216</v>
      </c>
      <c r="DK3" s="246"/>
      <c r="DL3" s="209" t="s">
        <v>65</v>
      </c>
      <c r="DM3" s="211"/>
      <c r="DN3" s="209" t="s">
        <v>65</v>
      </c>
      <c r="DO3" s="211"/>
      <c r="DP3" s="209" t="s">
        <v>65</v>
      </c>
      <c r="DQ3" s="211"/>
      <c r="DR3" s="209" t="s">
        <v>65</v>
      </c>
      <c r="DS3" s="211"/>
      <c r="DT3" s="209" t="s">
        <v>65</v>
      </c>
      <c r="DU3" s="211"/>
      <c r="DV3" s="209" t="s">
        <v>218</v>
      </c>
      <c r="DW3" s="211"/>
      <c r="DX3" s="209" t="s">
        <v>65</v>
      </c>
      <c r="DY3" s="211"/>
      <c r="DZ3" s="209" t="s">
        <v>217</v>
      </c>
      <c r="EA3" s="211"/>
      <c r="EB3" s="209" t="s">
        <v>65</v>
      </c>
      <c r="EC3" s="211"/>
      <c r="ED3" s="209" t="s">
        <v>65</v>
      </c>
      <c r="EE3" s="211"/>
      <c r="EF3" s="209" t="s">
        <v>65</v>
      </c>
      <c r="EG3" s="211"/>
      <c r="EH3" s="209" t="s">
        <v>65</v>
      </c>
      <c r="EI3" s="211"/>
      <c r="EJ3" s="209" t="s">
        <v>65</v>
      </c>
      <c r="EK3" s="211"/>
      <c r="EL3" s="209" t="s">
        <v>67</v>
      </c>
      <c r="EM3" s="211"/>
      <c r="EN3" s="209" t="s">
        <v>67</v>
      </c>
      <c r="EO3" s="211"/>
      <c r="EP3" s="209" t="s">
        <v>67</v>
      </c>
      <c r="EQ3" s="211"/>
      <c r="ER3" s="209" t="s">
        <v>67</v>
      </c>
      <c r="ES3" s="211"/>
      <c r="ET3" s="209" t="s">
        <v>67</v>
      </c>
      <c r="EU3" s="211"/>
      <c r="EV3" s="209" t="s">
        <v>67</v>
      </c>
      <c r="EW3" s="211"/>
      <c r="EX3" s="209" t="s">
        <v>67</v>
      </c>
      <c r="EY3" s="211"/>
      <c r="EZ3" s="209" t="s">
        <v>67</v>
      </c>
      <c r="FA3" s="211"/>
      <c r="FB3" s="209" t="s">
        <v>67</v>
      </c>
      <c r="FC3" s="211"/>
      <c r="FD3" s="209" t="s">
        <v>67</v>
      </c>
      <c r="FE3" s="211"/>
      <c r="FF3" s="209" t="s">
        <v>67</v>
      </c>
      <c r="FG3" s="211"/>
      <c r="FH3" s="209" t="s">
        <v>67</v>
      </c>
      <c r="FI3" s="211"/>
      <c r="FJ3" s="209" t="s">
        <v>67</v>
      </c>
      <c r="FK3" s="211"/>
      <c r="FL3" s="245" t="s">
        <v>216</v>
      </c>
      <c r="FM3" s="246"/>
    </row>
    <row r="4" spans="1:169" s="23" customFormat="1" ht="30" customHeight="1">
      <c r="B4" s="209" t="s">
        <v>219</v>
      </c>
      <c r="C4" s="211"/>
      <c r="D4" s="209" t="s">
        <v>219</v>
      </c>
      <c r="E4" s="211"/>
      <c r="F4" s="108"/>
      <c r="G4" s="109"/>
      <c r="H4" s="209" t="s">
        <v>219</v>
      </c>
      <c r="I4" s="211"/>
      <c r="J4" s="209" t="s">
        <v>220</v>
      </c>
      <c r="K4" s="211"/>
      <c r="L4" s="108"/>
      <c r="M4" s="109"/>
      <c r="N4" s="209"/>
      <c r="O4" s="211"/>
      <c r="P4" s="209" t="s">
        <v>221</v>
      </c>
      <c r="Q4" s="211"/>
      <c r="R4" s="209" t="s">
        <v>221</v>
      </c>
      <c r="S4" s="211"/>
      <c r="T4" s="108"/>
      <c r="U4" s="109"/>
      <c r="V4" s="209" t="s">
        <v>221</v>
      </c>
      <c r="W4" s="211"/>
      <c r="X4" s="209" t="s">
        <v>221</v>
      </c>
      <c r="Y4" s="211"/>
      <c r="Z4" s="209" t="s">
        <v>221</v>
      </c>
      <c r="AA4" s="211"/>
      <c r="AB4" s="245" t="s">
        <v>221</v>
      </c>
      <c r="AC4" s="246"/>
      <c r="AD4" s="108"/>
      <c r="AE4" s="109"/>
      <c r="AF4" s="209" t="s">
        <v>221</v>
      </c>
      <c r="AG4" s="211"/>
      <c r="AH4" s="209" t="s">
        <v>221</v>
      </c>
      <c r="AI4" s="211"/>
      <c r="AJ4" s="209" t="s">
        <v>219</v>
      </c>
      <c r="AK4" s="211"/>
      <c r="AL4" s="209" t="s">
        <v>219</v>
      </c>
      <c r="AM4" s="211"/>
      <c r="AN4" s="209" t="s">
        <v>219</v>
      </c>
      <c r="AO4" s="211"/>
      <c r="AP4" s="245" t="s">
        <v>220</v>
      </c>
      <c r="AQ4" s="246"/>
      <c r="AR4" s="209" t="s">
        <v>219</v>
      </c>
      <c r="AS4" s="211"/>
      <c r="AT4" s="209" t="s">
        <v>219</v>
      </c>
      <c r="AU4" s="211"/>
      <c r="AV4" s="245" t="s">
        <v>219</v>
      </c>
      <c r="AW4" s="246"/>
      <c r="AX4" s="209" t="s">
        <v>221</v>
      </c>
      <c r="AY4" s="211"/>
      <c r="AZ4" s="209" t="s">
        <v>219</v>
      </c>
      <c r="BA4" s="211"/>
      <c r="BB4" s="209" t="s">
        <v>219</v>
      </c>
      <c r="BC4" s="211"/>
      <c r="BD4" s="108"/>
      <c r="BE4" s="109"/>
      <c r="BF4" s="108"/>
      <c r="BG4" s="109"/>
      <c r="BH4" s="209" t="s">
        <v>220</v>
      </c>
      <c r="BI4" s="211"/>
      <c r="BJ4" s="209" t="s">
        <v>221</v>
      </c>
      <c r="BK4" s="211"/>
      <c r="BL4" s="209" t="s">
        <v>219</v>
      </c>
      <c r="BM4" s="211"/>
      <c r="BN4" s="209" t="s">
        <v>219</v>
      </c>
      <c r="BO4" s="211"/>
      <c r="BP4" s="209" t="s">
        <v>219</v>
      </c>
      <c r="BQ4" s="211"/>
      <c r="BR4" s="209" t="s">
        <v>219</v>
      </c>
      <c r="BS4" s="211"/>
      <c r="BT4" s="209" t="s">
        <v>219</v>
      </c>
      <c r="BU4" s="211"/>
      <c r="BV4" s="209" t="s">
        <v>219</v>
      </c>
      <c r="BW4" s="211"/>
      <c r="BX4" s="209" t="s">
        <v>219</v>
      </c>
      <c r="BY4" s="211"/>
      <c r="BZ4" s="209" t="s">
        <v>221</v>
      </c>
      <c r="CA4" s="211"/>
      <c r="CB4" s="209" t="s">
        <v>221</v>
      </c>
      <c r="CC4" s="211"/>
      <c r="CD4" s="209" t="s">
        <v>221</v>
      </c>
      <c r="CE4" s="211"/>
      <c r="CF4" s="209" t="s">
        <v>219</v>
      </c>
      <c r="CG4" s="211"/>
      <c r="CH4" s="209" t="s">
        <v>219</v>
      </c>
      <c r="CI4" s="211"/>
      <c r="CJ4" s="209" t="s">
        <v>219</v>
      </c>
      <c r="CK4" s="211"/>
      <c r="CL4" s="209" t="s">
        <v>219</v>
      </c>
      <c r="CM4" s="211"/>
      <c r="CN4" s="108"/>
      <c r="CO4" s="109"/>
      <c r="CP4" s="209" t="s">
        <v>220</v>
      </c>
      <c r="CQ4" s="211"/>
      <c r="CR4" s="209" t="s">
        <v>222</v>
      </c>
      <c r="CS4" s="211"/>
      <c r="CT4" s="209" t="s">
        <v>220</v>
      </c>
      <c r="CU4" s="211"/>
      <c r="CV4" s="209" t="s">
        <v>221</v>
      </c>
      <c r="CW4" s="211"/>
      <c r="CX4" s="209" t="s">
        <v>219</v>
      </c>
      <c r="CY4" s="211"/>
      <c r="CZ4" s="209" t="s">
        <v>219</v>
      </c>
      <c r="DA4" s="211"/>
      <c r="DB4" s="108"/>
      <c r="DC4" s="109"/>
      <c r="DD4" s="209" t="s">
        <v>220</v>
      </c>
      <c r="DE4" s="211"/>
      <c r="DF4" s="209" t="s">
        <v>221</v>
      </c>
      <c r="DG4" s="211"/>
      <c r="DH4" s="209" t="s">
        <v>221</v>
      </c>
      <c r="DI4" s="211"/>
      <c r="DJ4" s="245" t="s">
        <v>220</v>
      </c>
      <c r="DK4" s="246"/>
      <c r="DL4" s="209" t="s">
        <v>219</v>
      </c>
      <c r="DM4" s="211"/>
      <c r="DN4" s="209" t="s">
        <v>219</v>
      </c>
      <c r="DO4" s="211"/>
      <c r="DP4" s="209" t="s">
        <v>219</v>
      </c>
      <c r="DQ4" s="211"/>
      <c r="DR4" s="209" t="s">
        <v>219</v>
      </c>
      <c r="DS4" s="211"/>
      <c r="DT4" s="209" t="s">
        <v>221</v>
      </c>
      <c r="DU4" s="211"/>
      <c r="DV4" s="209" t="s">
        <v>221</v>
      </c>
      <c r="DW4" s="211"/>
      <c r="DX4" s="209" t="s">
        <v>223</v>
      </c>
      <c r="DY4" s="211"/>
      <c r="DZ4" s="209" t="s">
        <v>224</v>
      </c>
      <c r="EA4" s="211"/>
      <c r="EB4" s="209" t="s">
        <v>223</v>
      </c>
      <c r="EC4" s="211"/>
      <c r="ED4" s="209" t="s">
        <v>219</v>
      </c>
      <c r="EE4" s="211"/>
      <c r="EF4" s="209" t="s">
        <v>219</v>
      </c>
      <c r="EG4" s="211"/>
      <c r="EH4" s="209" t="s">
        <v>221</v>
      </c>
      <c r="EI4" s="211"/>
      <c r="EJ4" s="209" t="s">
        <v>221</v>
      </c>
      <c r="EK4" s="211"/>
      <c r="EL4" s="209" t="s">
        <v>219</v>
      </c>
      <c r="EM4" s="211"/>
      <c r="EN4" s="209" t="s">
        <v>219</v>
      </c>
      <c r="EO4" s="211"/>
      <c r="EP4" s="209" t="s">
        <v>219</v>
      </c>
      <c r="EQ4" s="211"/>
      <c r="ER4" s="209" t="s">
        <v>219</v>
      </c>
      <c r="ES4" s="211"/>
      <c r="ET4" s="209" t="s">
        <v>219</v>
      </c>
      <c r="EU4" s="211"/>
      <c r="EV4" s="209" t="s">
        <v>219</v>
      </c>
      <c r="EW4" s="211"/>
      <c r="EX4" s="209" t="s">
        <v>219</v>
      </c>
      <c r="EY4" s="211"/>
      <c r="EZ4" s="209" t="s">
        <v>221</v>
      </c>
      <c r="FA4" s="211"/>
      <c r="FB4" s="209" t="s">
        <v>219</v>
      </c>
      <c r="FC4" s="211"/>
      <c r="FD4" s="209" t="s">
        <v>219</v>
      </c>
      <c r="FE4" s="211"/>
      <c r="FF4" s="209" t="s">
        <v>223</v>
      </c>
      <c r="FG4" s="211"/>
      <c r="FH4" s="209" t="s">
        <v>219</v>
      </c>
      <c r="FI4" s="211"/>
      <c r="FJ4" s="209" t="s">
        <v>223</v>
      </c>
      <c r="FK4" s="211"/>
      <c r="FL4" s="245" t="s">
        <v>219</v>
      </c>
      <c r="FM4" s="246"/>
    </row>
    <row r="5" spans="1:169" s="84" customFormat="1" ht="138.75" customHeight="1">
      <c r="B5" s="249" t="s">
        <v>78</v>
      </c>
      <c r="C5" s="249"/>
      <c r="D5" s="249" t="s">
        <v>225</v>
      </c>
      <c r="E5" s="249"/>
      <c r="F5" s="249" t="s">
        <v>79</v>
      </c>
      <c r="G5" s="249"/>
      <c r="H5" s="249" t="s">
        <v>226</v>
      </c>
      <c r="I5" s="249"/>
      <c r="J5" s="249" t="s">
        <v>227</v>
      </c>
      <c r="K5" s="249"/>
      <c r="L5" s="249" t="s">
        <v>78</v>
      </c>
      <c r="M5" s="249"/>
      <c r="N5" s="249" t="s">
        <v>80</v>
      </c>
      <c r="O5" s="249"/>
      <c r="P5" s="249" t="s">
        <v>228</v>
      </c>
      <c r="Q5" s="249"/>
      <c r="R5" s="249" t="s">
        <v>228</v>
      </c>
      <c r="S5" s="249"/>
      <c r="T5" s="249" t="s">
        <v>68</v>
      </c>
      <c r="U5" s="249"/>
      <c r="V5" s="249" t="s">
        <v>229</v>
      </c>
      <c r="W5" s="249"/>
      <c r="X5" s="249" t="s">
        <v>230</v>
      </c>
      <c r="Y5" s="249"/>
      <c r="Z5" s="249" t="s">
        <v>231</v>
      </c>
      <c r="AA5" s="249"/>
      <c r="AB5" s="250" t="s">
        <v>228</v>
      </c>
      <c r="AC5" s="250"/>
      <c r="AD5" s="249" t="s">
        <v>69</v>
      </c>
      <c r="AE5" s="249"/>
      <c r="AF5" s="249" t="s">
        <v>232</v>
      </c>
      <c r="AG5" s="249"/>
      <c r="AH5" s="249" t="s">
        <v>233</v>
      </c>
      <c r="AI5" s="249"/>
      <c r="AJ5" s="249" t="s">
        <v>234</v>
      </c>
      <c r="AK5" s="249"/>
      <c r="AL5" s="249" t="s">
        <v>226</v>
      </c>
      <c r="AM5" s="249"/>
      <c r="AN5" s="249" t="s">
        <v>235</v>
      </c>
      <c r="AO5" s="249"/>
      <c r="AP5" s="250" t="s">
        <v>236</v>
      </c>
      <c r="AQ5" s="250"/>
      <c r="AR5" s="249" t="s">
        <v>237</v>
      </c>
      <c r="AS5" s="249"/>
      <c r="AT5" s="249" t="s">
        <v>238</v>
      </c>
      <c r="AU5" s="249"/>
      <c r="AV5" s="250" t="s">
        <v>239</v>
      </c>
      <c r="AW5" s="250"/>
      <c r="AX5" s="249" t="s">
        <v>228</v>
      </c>
      <c r="AY5" s="249"/>
      <c r="AZ5" s="249" t="s">
        <v>226</v>
      </c>
      <c r="BA5" s="249"/>
      <c r="BB5" s="249" t="s">
        <v>240</v>
      </c>
      <c r="BC5" s="249"/>
      <c r="BD5" s="249" t="s">
        <v>71</v>
      </c>
      <c r="BE5" s="249"/>
      <c r="BF5" s="249" t="s">
        <v>72</v>
      </c>
      <c r="BG5" s="249"/>
      <c r="BH5" s="249" t="s">
        <v>241</v>
      </c>
      <c r="BI5" s="249"/>
      <c r="BJ5" s="249" t="s">
        <v>242</v>
      </c>
      <c r="BK5" s="249"/>
      <c r="BL5" s="249" t="s">
        <v>243</v>
      </c>
      <c r="BM5" s="249"/>
      <c r="BN5" s="249" t="s">
        <v>244</v>
      </c>
      <c r="BO5" s="249"/>
      <c r="BP5" s="249" t="s">
        <v>245</v>
      </c>
      <c r="BQ5" s="249"/>
      <c r="BR5" s="249" t="s">
        <v>246</v>
      </c>
      <c r="BS5" s="249"/>
      <c r="BT5" s="249" t="s">
        <v>247</v>
      </c>
      <c r="BU5" s="249"/>
      <c r="BV5" s="249" t="s">
        <v>248</v>
      </c>
      <c r="BW5" s="249"/>
      <c r="BX5" s="249" t="s">
        <v>246</v>
      </c>
      <c r="BY5" s="249"/>
      <c r="BZ5" s="249" t="s">
        <v>74</v>
      </c>
      <c r="CA5" s="249"/>
      <c r="CB5" s="249" t="s">
        <v>75</v>
      </c>
      <c r="CC5" s="249"/>
      <c r="CD5" s="249" t="s">
        <v>76</v>
      </c>
      <c r="CE5" s="249"/>
      <c r="CF5" s="249" t="s">
        <v>77</v>
      </c>
      <c r="CG5" s="249"/>
      <c r="CH5" s="249" t="s">
        <v>249</v>
      </c>
      <c r="CI5" s="249"/>
      <c r="CJ5" s="249" t="s">
        <v>249</v>
      </c>
      <c r="CK5" s="249"/>
      <c r="CL5" s="249" t="s">
        <v>250</v>
      </c>
      <c r="CM5" s="249"/>
      <c r="CN5" s="249" t="s">
        <v>70</v>
      </c>
      <c r="CO5" s="249"/>
      <c r="CP5" s="251" t="s">
        <v>251</v>
      </c>
      <c r="CQ5" s="251"/>
      <c r="CR5" s="251" t="s">
        <v>222</v>
      </c>
      <c r="CS5" s="251"/>
      <c r="CT5" s="251" t="s">
        <v>252</v>
      </c>
      <c r="CU5" s="251"/>
      <c r="CV5" s="251" t="s">
        <v>253</v>
      </c>
      <c r="CW5" s="251"/>
      <c r="CX5" s="251" t="s">
        <v>254</v>
      </c>
      <c r="CY5" s="251"/>
      <c r="CZ5" s="251" t="s">
        <v>255</v>
      </c>
      <c r="DA5" s="251"/>
      <c r="DB5" s="249" t="s">
        <v>73</v>
      </c>
      <c r="DC5" s="249"/>
      <c r="DD5" s="249" t="s">
        <v>256</v>
      </c>
      <c r="DE5" s="249"/>
      <c r="DF5" s="249" t="s">
        <v>257</v>
      </c>
      <c r="DG5" s="249"/>
      <c r="DH5" s="249" t="s">
        <v>258</v>
      </c>
      <c r="DI5" s="249"/>
      <c r="DJ5" s="250" t="s">
        <v>256</v>
      </c>
      <c r="DK5" s="250"/>
      <c r="DL5" s="249" t="s">
        <v>259</v>
      </c>
      <c r="DM5" s="249"/>
      <c r="DN5" s="249" t="s">
        <v>259</v>
      </c>
      <c r="DO5" s="249"/>
      <c r="DP5" s="249" t="s">
        <v>260</v>
      </c>
      <c r="DQ5" s="249"/>
      <c r="DR5" s="249" t="s">
        <v>260</v>
      </c>
      <c r="DS5" s="249"/>
      <c r="DT5" s="249" t="s">
        <v>232</v>
      </c>
      <c r="DU5" s="249"/>
      <c r="DV5" s="249" t="s">
        <v>261</v>
      </c>
      <c r="DW5" s="249"/>
      <c r="DX5" s="251" t="s">
        <v>262</v>
      </c>
      <c r="DY5" s="251"/>
      <c r="DZ5" s="249" t="s">
        <v>226</v>
      </c>
      <c r="EA5" s="249"/>
      <c r="EB5" s="251" t="s">
        <v>263</v>
      </c>
      <c r="EC5" s="251"/>
      <c r="ED5" s="251" t="s">
        <v>264</v>
      </c>
      <c r="EE5" s="251"/>
      <c r="EF5" s="251" t="s">
        <v>265</v>
      </c>
      <c r="EG5" s="251"/>
      <c r="EH5" s="251" t="s">
        <v>228</v>
      </c>
      <c r="EI5" s="251"/>
      <c r="EJ5" s="251" t="s">
        <v>266</v>
      </c>
      <c r="EK5" s="251"/>
      <c r="EL5" s="249" t="s">
        <v>267</v>
      </c>
      <c r="EM5" s="249"/>
      <c r="EN5" s="249" t="s">
        <v>268</v>
      </c>
      <c r="EO5" s="249"/>
      <c r="EP5" s="249" t="s">
        <v>269</v>
      </c>
      <c r="EQ5" s="249"/>
      <c r="ER5" s="249" t="s">
        <v>270</v>
      </c>
      <c r="ES5" s="249"/>
      <c r="ET5" s="249" t="s">
        <v>268</v>
      </c>
      <c r="EU5" s="249"/>
      <c r="EV5" s="249" t="s">
        <v>269</v>
      </c>
      <c r="EW5" s="249"/>
      <c r="EX5" s="249" t="s">
        <v>271</v>
      </c>
      <c r="EY5" s="249"/>
      <c r="EZ5" s="249" t="s">
        <v>266</v>
      </c>
      <c r="FA5" s="249"/>
      <c r="FB5" s="249" t="s">
        <v>272</v>
      </c>
      <c r="FC5" s="249"/>
      <c r="FD5" s="249" t="s">
        <v>273</v>
      </c>
      <c r="FE5" s="249"/>
      <c r="FF5" s="249" t="s">
        <v>274</v>
      </c>
      <c r="FG5" s="249"/>
      <c r="FH5" s="249" t="s">
        <v>275</v>
      </c>
      <c r="FI5" s="249"/>
      <c r="FJ5" s="249" t="s">
        <v>276</v>
      </c>
      <c r="FK5" s="249"/>
      <c r="FL5" s="250" t="s">
        <v>277</v>
      </c>
      <c r="FM5" s="250"/>
    </row>
    <row r="6" spans="1:169" s="23" customFormat="1" ht="30" customHeight="1">
      <c r="B6" s="244">
        <v>5065544</v>
      </c>
      <c r="C6" s="244"/>
      <c r="D6" s="209"/>
      <c r="E6" s="211"/>
      <c r="F6" s="244">
        <v>5065541</v>
      </c>
      <c r="G6" s="244"/>
      <c r="H6" s="209"/>
      <c r="I6" s="211"/>
      <c r="J6" s="209"/>
      <c r="K6" s="211"/>
      <c r="L6" s="244">
        <v>5065542</v>
      </c>
      <c r="M6" s="244"/>
      <c r="N6" s="244">
        <v>5065540</v>
      </c>
      <c r="O6" s="244"/>
      <c r="P6" s="209"/>
      <c r="Q6" s="211"/>
      <c r="R6" s="209"/>
      <c r="S6" s="211"/>
      <c r="T6" s="244">
        <v>5065546</v>
      </c>
      <c r="U6" s="244"/>
      <c r="V6" s="209"/>
      <c r="W6" s="211"/>
      <c r="X6" s="209"/>
      <c r="Y6" s="211"/>
      <c r="Z6" s="209"/>
      <c r="AA6" s="211"/>
      <c r="AB6" s="209"/>
      <c r="AC6" s="211"/>
      <c r="AD6" s="244">
        <v>5065547</v>
      </c>
      <c r="AE6" s="244"/>
      <c r="AF6" s="209"/>
      <c r="AG6" s="211"/>
      <c r="AH6" s="252"/>
      <c r="AI6" s="253"/>
      <c r="AJ6" s="252"/>
      <c r="AK6" s="253"/>
      <c r="AL6" s="252"/>
      <c r="AM6" s="253"/>
      <c r="AN6" s="252"/>
      <c r="AO6" s="253"/>
      <c r="AP6" s="252"/>
      <c r="AQ6" s="253"/>
      <c r="AR6" s="252"/>
      <c r="AS6" s="253"/>
      <c r="AT6" s="252"/>
      <c r="AU6" s="253"/>
      <c r="AV6" s="252"/>
      <c r="AW6" s="253"/>
      <c r="AX6" s="252"/>
      <c r="AY6" s="253"/>
      <c r="AZ6" s="252"/>
      <c r="BA6" s="253"/>
      <c r="BB6" s="252"/>
      <c r="BC6" s="253"/>
      <c r="BD6" s="244">
        <v>5065548</v>
      </c>
      <c r="BE6" s="244"/>
      <c r="BF6" s="244">
        <v>5465545</v>
      </c>
      <c r="BG6" s="244"/>
      <c r="BH6" s="209"/>
      <c r="BI6" s="211"/>
      <c r="BJ6" s="209"/>
      <c r="BK6" s="211"/>
      <c r="BL6" s="209"/>
      <c r="BM6" s="211"/>
      <c r="BN6" s="209"/>
      <c r="BO6" s="211"/>
      <c r="BP6" s="209"/>
      <c r="BQ6" s="211"/>
      <c r="BR6" s="209"/>
      <c r="BS6" s="211"/>
      <c r="BT6" s="209"/>
      <c r="BU6" s="211"/>
      <c r="BV6" s="209"/>
      <c r="BW6" s="211"/>
      <c r="BX6" s="209"/>
      <c r="BY6" s="211"/>
      <c r="BZ6" s="244">
        <v>5018351</v>
      </c>
      <c r="CA6" s="244"/>
      <c r="CB6" s="244">
        <v>5018354</v>
      </c>
      <c r="CC6" s="244"/>
      <c r="CD6" s="244">
        <v>5018350</v>
      </c>
      <c r="CE6" s="244"/>
      <c r="CF6" s="244">
        <v>5065543</v>
      </c>
      <c r="CG6" s="244"/>
      <c r="CH6" s="209"/>
      <c r="CI6" s="211"/>
      <c r="CJ6" s="209"/>
      <c r="CK6" s="211"/>
      <c r="CL6" s="209"/>
      <c r="CM6" s="211"/>
      <c r="CN6" s="244">
        <v>5008272</v>
      </c>
      <c r="CO6" s="244"/>
      <c r="CP6" s="209"/>
      <c r="CQ6" s="211"/>
      <c r="CR6" s="209"/>
      <c r="CS6" s="211"/>
      <c r="CT6" s="209"/>
      <c r="CU6" s="211"/>
      <c r="CV6" s="209"/>
      <c r="CW6" s="211"/>
      <c r="CX6" s="209"/>
      <c r="CY6" s="211"/>
      <c r="CZ6" s="209"/>
      <c r="DA6" s="211"/>
      <c r="DB6" s="244">
        <v>5008273</v>
      </c>
      <c r="DC6" s="244"/>
      <c r="DD6" s="209"/>
      <c r="DE6" s="211"/>
      <c r="DF6" s="209"/>
      <c r="DG6" s="211"/>
      <c r="DH6" s="209"/>
      <c r="DI6" s="211"/>
      <c r="DJ6" s="209"/>
      <c r="DK6" s="211"/>
      <c r="DL6" s="209"/>
      <c r="DM6" s="211"/>
      <c r="DN6" s="209"/>
      <c r="DO6" s="211"/>
      <c r="DP6" s="209"/>
      <c r="DQ6" s="211"/>
      <c r="DR6" s="209"/>
      <c r="DS6" s="211"/>
      <c r="DT6" s="209"/>
      <c r="DU6" s="211"/>
      <c r="DV6" s="209"/>
      <c r="DW6" s="211"/>
      <c r="DX6" s="209"/>
      <c r="DY6" s="211"/>
      <c r="DZ6" s="209"/>
      <c r="EA6" s="211"/>
      <c r="EB6" s="209"/>
      <c r="EC6" s="211"/>
      <c r="ED6" s="209"/>
      <c r="EE6" s="211"/>
      <c r="EF6" s="209"/>
      <c r="EG6" s="211"/>
      <c r="EH6" s="209"/>
      <c r="EI6" s="211"/>
      <c r="EJ6" s="209"/>
      <c r="EK6" s="211"/>
      <c r="EL6" s="209"/>
      <c r="EM6" s="211"/>
      <c r="EN6" s="209"/>
      <c r="EO6" s="211"/>
      <c r="EP6" s="209"/>
      <c r="EQ6" s="211"/>
      <c r="ER6" s="209"/>
      <c r="ES6" s="211"/>
      <c r="ET6" s="209"/>
      <c r="EU6" s="211"/>
      <c r="EV6" s="209"/>
      <c r="EW6" s="211"/>
      <c r="EX6" s="209"/>
      <c r="EY6" s="211"/>
      <c r="EZ6" s="209"/>
      <c r="FA6" s="211"/>
      <c r="FB6" s="209"/>
      <c r="FC6" s="211"/>
      <c r="FD6" s="209"/>
      <c r="FE6" s="211"/>
      <c r="FF6" s="209"/>
      <c r="FG6" s="211"/>
      <c r="FH6" s="209"/>
      <c r="FI6" s="211"/>
      <c r="FJ6" s="209"/>
      <c r="FK6" s="211"/>
      <c r="FL6" s="209"/>
      <c r="FM6" s="211"/>
    </row>
    <row r="7" spans="1:169" s="23" customFormat="1" ht="30" customHeight="1">
      <c r="B7" s="254" t="s">
        <v>92</v>
      </c>
      <c r="C7" s="254"/>
      <c r="D7" s="254" t="s">
        <v>92</v>
      </c>
      <c r="E7" s="254"/>
      <c r="F7" s="255" t="s">
        <v>93</v>
      </c>
      <c r="G7" s="255"/>
      <c r="H7" s="256" t="s">
        <v>94</v>
      </c>
      <c r="I7" s="256"/>
      <c r="J7" s="256" t="s">
        <v>94</v>
      </c>
      <c r="K7" s="256"/>
      <c r="L7" s="256" t="s">
        <v>94</v>
      </c>
      <c r="M7" s="256"/>
      <c r="N7" s="257" t="s">
        <v>95</v>
      </c>
      <c r="O7" s="257"/>
      <c r="P7" s="257" t="s">
        <v>95</v>
      </c>
      <c r="Q7" s="257"/>
      <c r="R7" s="257" t="s">
        <v>95</v>
      </c>
      <c r="S7" s="257"/>
      <c r="T7" s="258" t="s">
        <v>82</v>
      </c>
      <c r="U7" s="258"/>
      <c r="V7" s="258" t="s">
        <v>82</v>
      </c>
      <c r="W7" s="258"/>
      <c r="X7" s="258" t="s">
        <v>82</v>
      </c>
      <c r="Y7" s="258"/>
      <c r="Z7" s="258" t="s">
        <v>82</v>
      </c>
      <c r="AA7" s="258"/>
      <c r="AB7" s="258" t="s">
        <v>82</v>
      </c>
      <c r="AC7" s="258"/>
      <c r="AD7" s="259" t="s">
        <v>83</v>
      </c>
      <c r="AE7" s="259"/>
      <c r="AF7" s="259" t="s">
        <v>83</v>
      </c>
      <c r="AG7" s="259"/>
      <c r="AH7" s="260" t="s">
        <v>85</v>
      </c>
      <c r="AI7" s="260"/>
      <c r="AJ7" s="260" t="s">
        <v>85</v>
      </c>
      <c r="AK7" s="260"/>
      <c r="AL7" s="260" t="s">
        <v>85</v>
      </c>
      <c r="AM7" s="260"/>
      <c r="AN7" s="260" t="s">
        <v>85</v>
      </c>
      <c r="AO7" s="260"/>
      <c r="AP7" s="260" t="s">
        <v>85</v>
      </c>
      <c r="AQ7" s="260"/>
      <c r="AR7" s="260" t="s">
        <v>85</v>
      </c>
      <c r="AS7" s="260"/>
      <c r="AT7" s="260" t="s">
        <v>85</v>
      </c>
      <c r="AU7" s="260"/>
      <c r="AV7" s="260" t="s">
        <v>85</v>
      </c>
      <c r="AW7" s="260"/>
      <c r="AX7" s="260" t="s">
        <v>85</v>
      </c>
      <c r="AY7" s="260"/>
      <c r="AZ7" s="260" t="s">
        <v>85</v>
      </c>
      <c r="BA7" s="260"/>
      <c r="BB7" s="260" t="s">
        <v>85</v>
      </c>
      <c r="BC7" s="260"/>
      <c r="BD7" s="260" t="s">
        <v>85</v>
      </c>
      <c r="BE7" s="260"/>
      <c r="BF7" s="261" t="s">
        <v>86</v>
      </c>
      <c r="BG7" s="261"/>
      <c r="BH7" s="261" t="s">
        <v>86</v>
      </c>
      <c r="BI7" s="261"/>
      <c r="BJ7" s="261" t="s">
        <v>86</v>
      </c>
      <c r="BK7" s="261"/>
      <c r="BL7" s="261" t="s">
        <v>86</v>
      </c>
      <c r="BM7" s="261"/>
      <c r="BN7" s="261" t="s">
        <v>86</v>
      </c>
      <c r="BO7" s="261"/>
      <c r="BP7" s="261" t="s">
        <v>86</v>
      </c>
      <c r="BQ7" s="261"/>
      <c r="BR7" s="261" t="s">
        <v>86</v>
      </c>
      <c r="BS7" s="261"/>
      <c r="BT7" s="261" t="s">
        <v>86</v>
      </c>
      <c r="BU7" s="261"/>
      <c r="BV7" s="261" t="s">
        <v>86</v>
      </c>
      <c r="BW7" s="261"/>
      <c r="BX7" s="261" t="s">
        <v>86</v>
      </c>
      <c r="BY7" s="261"/>
      <c r="BZ7" s="262" t="s">
        <v>88</v>
      </c>
      <c r="CA7" s="262"/>
      <c r="CB7" s="263" t="s">
        <v>89</v>
      </c>
      <c r="CC7" s="263"/>
      <c r="CD7" s="243" t="s">
        <v>90</v>
      </c>
      <c r="CE7" s="243"/>
      <c r="CF7" s="264" t="s">
        <v>91</v>
      </c>
      <c r="CG7" s="264"/>
      <c r="CH7" s="264" t="s">
        <v>91</v>
      </c>
      <c r="CI7" s="264"/>
      <c r="CJ7" s="264" t="s">
        <v>91</v>
      </c>
      <c r="CK7" s="264"/>
      <c r="CL7" s="264" t="s">
        <v>91</v>
      </c>
      <c r="CM7" s="264"/>
      <c r="CN7" s="265" t="s">
        <v>84</v>
      </c>
      <c r="CO7" s="265"/>
      <c r="CP7" s="265" t="s">
        <v>84</v>
      </c>
      <c r="CQ7" s="265"/>
      <c r="CR7" s="265" t="s">
        <v>84</v>
      </c>
      <c r="CS7" s="265"/>
      <c r="CT7" s="265" t="s">
        <v>84</v>
      </c>
      <c r="CU7" s="265"/>
      <c r="CV7" s="265" t="s">
        <v>84</v>
      </c>
      <c r="CW7" s="265"/>
      <c r="CX7" s="265" t="s">
        <v>84</v>
      </c>
      <c r="CY7" s="265"/>
      <c r="CZ7" s="265" t="s">
        <v>84</v>
      </c>
      <c r="DA7" s="265"/>
      <c r="DB7" s="266" t="s">
        <v>87</v>
      </c>
      <c r="DC7" s="266"/>
      <c r="DD7" s="266" t="s">
        <v>87</v>
      </c>
      <c r="DE7" s="266"/>
      <c r="DF7" s="266" t="s">
        <v>87</v>
      </c>
      <c r="DG7" s="266"/>
      <c r="DH7" s="266" t="s">
        <v>87</v>
      </c>
      <c r="DI7" s="266"/>
      <c r="DJ7" s="266" t="s">
        <v>87</v>
      </c>
      <c r="DK7" s="266"/>
      <c r="DL7" s="259" t="s">
        <v>83</v>
      </c>
      <c r="DM7" s="259"/>
      <c r="DN7" s="259" t="s">
        <v>83</v>
      </c>
      <c r="DO7" s="259"/>
      <c r="DP7" s="259" t="s">
        <v>83</v>
      </c>
      <c r="DQ7" s="259"/>
      <c r="DR7" s="259" t="s">
        <v>83</v>
      </c>
      <c r="DS7" s="259"/>
      <c r="DT7" s="259" t="s">
        <v>83</v>
      </c>
      <c r="DU7" s="259"/>
      <c r="DV7" s="259" t="s">
        <v>83</v>
      </c>
      <c r="DW7" s="259"/>
      <c r="DX7" s="258" t="s">
        <v>82</v>
      </c>
      <c r="DY7" s="258"/>
      <c r="DZ7" s="258" t="s">
        <v>82</v>
      </c>
      <c r="EA7" s="258"/>
      <c r="EB7" s="258" t="s">
        <v>82</v>
      </c>
      <c r="EC7" s="258"/>
      <c r="ED7" s="258" t="s">
        <v>82</v>
      </c>
      <c r="EE7" s="258"/>
      <c r="EF7" s="258" t="s">
        <v>82</v>
      </c>
      <c r="EG7" s="258"/>
      <c r="EH7" s="258" t="s">
        <v>82</v>
      </c>
      <c r="EI7" s="258"/>
      <c r="EJ7" s="258" t="s">
        <v>82</v>
      </c>
      <c r="EK7" s="258"/>
      <c r="EL7" s="256" t="s">
        <v>94</v>
      </c>
      <c r="EM7" s="256"/>
      <c r="EN7" s="256" t="s">
        <v>94</v>
      </c>
      <c r="EO7" s="256"/>
      <c r="EP7" s="256" t="s">
        <v>94</v>
      </c>
      <c r="EQ7" s="256"/>
      <c r="ER7" s="254" t="s">
        <v>92</v>
      </c>
      <c r="ES7" s="254"/>
      <c r="ET7" s="254" t="s">
        <v>92</v>
      </c>
      <c r="EU7" s="254"/>
      <c r="EV7" s="254" t="s">
        <v>92</v>
      </c>
      <c r="EW7" s="254"/>
      <c r="EX7" s="255" t="s">
        <v>93</v>
      </c>
      <c r="EY7" s="255"/>
      <c r="EZ7" s="257" t="s">
        <v>95</v>
      </c>
      <c r="FA7" s="257"/>
      <c r="FB7" s="257" t="s">
        <v>95</v>
      </c>
      <c r="FC7" s="257"/>
      <c r="FD7" s="257" t="s">
        <v>95</v>
      </c>
      <c r="FE7" s="257"/>
      <c r="FF7" s="255" t="s">
        <v>93</v>
      </c>
      <c r="FG7" s="255"/>
      <c r="FH7" s="255" t="s">
        <v>93</v>
      </c>
      <c r="FI7" s="255"/>
      <c r="FJ7" s="255" t="s">
        <v>93</v>
      </c>
      <c r="FK7" s="255"/>
      <c r="FL7" s="255" t="s">
        <v>93</v>
      </c>
      <c r="FM7" s="255"/>
    </row>
    <row r="8" spans="1:169" s="23" customFormat="1" ht="30" customHeight="1">
      <c r="B8" s="267"/>
      <c r="C8" s="267"/>
      <c r="D8" s="268" t="s">
        <v>278</v>
      </c>
      <c r="E8" s="269"/>
      <c r="F8" s="267"/>
      <c r="G8" s="267"/>
      <c r="H8" s="268" t="s">
        <v>279</v>
      </c>
      <c r="I8" s="269"/>
      <c r="J8" s="268" t="s">
        <v>280</v>
      </c>
      <c r="K8" s="269"/>
      <c r="L8" s="267"/>
      <c r="M8" s="267"/>
      <c r="N8" s="267"/>
      <c r="O8" s="267"/>
      <c r="P8" s="268" t="s">
        <v>281</v>
      </c>
      <c r="Q8" s="269"/>
      <c r="R8" s="268" t="s">
        <v>282</v>
      </c>
      <c r="S8" s="269"/>
      <c r="T8" s="267"/>
      <c r="U8" s="267"/>
      <c r="V8" s="268" t="s">
        <v>283</v>
      </c>
      <c r="W8" s="269"/>
      <c r="X8" s="268" t="s">
        <v>284</v>
      </c>
      <c r="Y8" s="269"/>
      <c r="Z8" s="268" t="s">
        <v>285</v>
      </c>
      <c r="AA8" s="269"/>
      <c r="AB8" s="268" t="s">
        <v>286</v>
      </c>
      <c r="AC8" s="269"/>
      <c r="AD8" s="267"/>
      <c r="AE8" s="267"/>
      <c r="AF8" s="268" t="s">
        <v>287</v>
      </c>
      <c r="AG8" s="269"/>
      <c r="AH8" s="268" t="s">
        <v>288</v>
      </c>
      <c r="AI8" s="269"/>
      <c r="AJ8" s="268" t="s">
        <v>289</v>
      </c>
      <c r="AK8" s="269"/>
      <c r="AL8" s="268" t="s">
        <v>290</v>
      </c>
      <c r="AM8" s="269"/>
      <c r="AN8" s="268" t="s">
        <v>291</v>
      </c>
      <c r="AO8" s="269"/>
      <c r="AP8" s="268" t="s">
        <v>292</v>
      </c>
      <c r="AQ8" s="269"/>
      <c r="AR8" s="268" t="s">
        <v>293</v>
      </c>
      <c r="AS8" s="269"/>
      <c r="AT8" s="268" t="s">
        <v>294</v>
      </c>
      <c r="AU8" s="269"/>
      <c r="AV8" s="268" t="s">
        <v>295</v>
      </c>
      <c r="AW8" s="269"/>
      <c r="AX8" s="268" t="s">
        <v>296</v>
      </c>
      <c r="AY8" s="269"/>
      <c r="AZ8" s="268" t="s">
        <v>297</v>
      </c>
      <c r="BA8" s="269"/>
      <c r="BB8" s="268" t="s">
        <v>298</v>
      </c>
      <c r="BC8" s="269"/>
      <c r="BD8" s="268"/>
      <c r="BE8" s="269"/>
      <c r="BF8" s="267"/>
      <c r="BG8" s="267"/>
      <c r="BH8" s="268" t="s">
        <v>299</v>
      </c>
      <c r="BI8" s="269"/>
      <c r="BJ8" s="268" t="s">
        <v>300</v>
      </c>
      <c r="BK8" s="269"/>
      <c r="BL8" s="268" t="s">
        <v>301</v>
      </c>
      <c r="BM8" s="269"/>
      <c r="BN8" s="268" t="s">
        <v>302</v>
      </c>
      <c r="BO8" s="269"/>
      <c r="BP8" s="268" t="s">
        <v>303</v>
      </c>
      <c r="BQ8" s="269"/>
      <c r="BR8" s="268" t="s">
        <v>304</v>
      </c>
      <c r="BS8" s="269"/>
      <c r="BT8" s="268" t="s">
        <v>305</v>
      </c>
      <c r="BU8" s="269"/>
      <c r="BV8" s="268" t="s">
        <v>306</v>
      </c>
      <c r="BW8" s="269"/>
      <c r="BX8" s="268" t="s">
        <v>307</v>
      </c>
      <c r="BY8" s="269"/>
      <c r="BZ8" s="267"/>
      <c r="CA8" s="267"/>
      <c r="CB8" s="267"/>
      <c r="CC8" s="267"/>
      <c r="CD8" s="267"/>
      <c r="CE8" s="267"/>
      <c r="CF8" s="267"/>
      <c r="CG8" s="267"/>
      <c r="CH8" s="268" t="s">
        <v>308</v>
      </c>
      <c r="CI8" s="269"/>
      <c r="CJ8" s="268" t="s">
        <v>309</v>
      </c>
      <c r="CK8" s="269"/>
      <c r="CL8" s="268" t="s">
        <v>310</v>
      </c>
      <c r="CM8" s="269"/>
      <c r="CN8" s="267"/>
      <c r="CO8" s="267"/>
      <c r="CP8" s="268" t="s">
        <v>311</v>
      </c>
      <c r="CQ8" s="269"/>
      <c r="CR8" s="268" t="s">
        <v>312</v>
      </c>
      <c r="CS8" s="269"/>
      <c r="CT8" s="268" t="s">
        <v>313</v>
      </c>
      <c r="CU8" s="269"/>
      <c r="CV8" s="268" t="s">
        <v>314</v>
      </c>
      <c r="CW8" s="269"/>
      <c r="CX8" s="268" t="s">
        <v>315</v>
      </c>
      <c r="CY8" s="269"/>
      <c r="CZ8" s="268" t="s">
        <v>316</v>
      </c>
      <c r="DA8" s="269"/>
      <c r="DB8" s="267"/>
      <c r="DC8" s="267"/>
      <c r="DD8" s="268" t="s">
        <v>317</v>
      </c>
      <c r="DE8" s="269"/>
      <c r="DF8" s="268" t="s">
        <v>318</v>
      </c>
      <c r="DG8" s="269"/>
      <c r="DH8" s="268" t="s">
        <v>319</v>
      </c>
      <c r="DI8" s="269"/>
      <c r="DJ8" s="268" t="s">
        <v>320</v>
      </c>
      <c r="DK8" s="269"/>
      <c r="DL8" s="268" t="s">
        <v>321</v>
      </c>
      <c r="DM8" s="269"/>
      <c r="DN8" s="268" t="s">
        <v>322</v>
      </c>
      <c r="DO8" s="269"/>
      <c r="DP8" s="268" t="s">
        <v>323</v>
      </c>
      <c r="DQ8" s="269"/>
      <c r="DR8" s="268" t="s">
        <v>324</v>
      </c>
      <c r="DS8" s="269"/>
      <c r="DT8" s="268" t="s">
        <v>325</v>
      </c>
      <c r="DU8" s="269"/>
      <c r="DV8" s="268" t="s">
        <v>326</v>
      </c>
      <c r="DW8" s="269"/>
      <c r="DX8" s="268" t="s">
        <v>327</v>
      </c>
      <c r="DY8" s="269"/>
      <c r="DZ8" s="268" t="s">
        <v>328</v>
      </c>
      <c r="EA8" s="269"/>
      <c r="EB8" s="268" t="s">
        <v>329</v>
      </c>
      <c r="EC8" s="269"/>
      <c r="ED8" s="268" t="s">
        <v>330</v>
      </c>
      <c r="EE8" s="269"/>
      <c r="EF8" s="268" t="s">
        <v>331</v>
      </c>
      <c r="EG8" s="269"/>
      <c r="EH8" s="268" t="s">
        <v>332</v>
      </c>
      <c r="EI8" s="269"/>
      <c r="EJ8" s="268" t="s">
        <v>333</v>
      </c>
      <c r="EK8" s="269"/>
      <c r="EL8" s="268" t="s">
        <v>334</v>
      </c>
      <c r="EM8" s="269"/>
      <c r="EN8" s="268" t="s">
        <v>335</v>
      </c>
      <c r="EO8" s="269"/>
      <c r="EP8" s="268" t="s">
        <v>336</v>
      </c>
      <c r="EQ8" s="269"/>
      <c r="ER8" s="268" t="s">
        <v>337</v>
      </c>
      <c r="ES8" s="269"/>
      <c r="ET8" s="268" t="s">
        <v>338</v>
      </c>
      <c r="EU8" s="269"/>
      <c r="EV8" s="268" t="s">
        <v>339</v>
      </c>
      <c r="EW8" s="269"/>
      <c r="EX8" s="268" t="s">
        <v>340</v>
      </c>
      <c r="EY8" s="269"/>
      <c r="EZ8" s="268" t="s">
        <v>341</v>
      </c>
      <c r="FA8" s="269"/>
      <c r="FB8" s="268" t="s">
        <v>342</v>
      </c>
      <c r="FC8" s="269"/>
      <c r="FD8" s="268" t="s">
        <v>343</v>
      </c>
      <c r="FE8" s="269"/>
      <c r="FF8" s="268" t="s">
        <v>344</v>
      </c>
      <c r="FG8" s="269"/>
      <c r="FH8" s="268" t="s">
        <v>345</v>
      </c>
      <c r="FI8" s="269"/>
      <c r="FJ8" s="268" t="s">
        <v>346</v>
      </c>
      <c r="FK8" s="269"/>
      <c r="FL8" s="268" t="s">
        <v>347</v>
      </c>
      <c r="FM8" s="269"/>
    </row>
    <row r="9" spans="1:169" s="84" customFormat="1" ht="50.1" customHeight="1">
      <c r="A9" s="111" t="s">
        <v>99</v>
      </c>
      <c r="B9" s="111" t="s">
        <v>100</v>
      </c>
      <c r="C9" s="111" t="s">
        <v>101</v>
      </c>
      <c r="D9" s="111" t="s">
        <v>100</v>
      </c>
      <c r="E9" s="111" t="s">
        <v>101</v>
      </c>
      <c r="F9" s="111" t="s">
        <v>100</v>
      </c>
      <c r="G9" s="111" t="s">
        <v>101</v>
      </c>
      <c r="H9" s="111" t="s">
        <v>100</v>
      </c>
      <c r="I9" s="111" t="s">
        <v>101</v>
      </c>
      <c r="J9" s="111" t="s">
        <v>100</v>
      </c>
      <c r="K9" s="111" t="s">
        <v>101</v>
      </c>
      <c r="L9" s="111" t="s">
        <v>100</v>
      </c>
      <c r="M9" s="111" t="s">
        <v>101</v>
      </c>
      <c r="N9" s="111" t="s">
        <v>100</v>
      </c>
      <c r="O9" s="111" t="s">
        <v>101</v>
      </c>
      <c r="P9" s="111" t="s">
        <v>100</v>
      </c>
      <c r="Q9" s="111" t="s">
        <v>101</v>
      </c>
      <c r="R9" s="111" t="s">
        <v>100</v>
      </c>
      <c r="S9" s="111" t="s">
        <v>101</v>
      </c>
      <c r="T9" s="111" t="s">
        <v>100</v>
      </c>
      <c r="U9" s="111" t="s">
        <v>101</v>
      </c>
      <c r="V9" s="111" t="s">
        <v>100</v>
      </c>
      <c r="W9" s="111" t="s">
        <v>101</v>
      </c>
      <c r="X9" s="111" t="s">
        <v>100</v>
      </c>
      <c r="Y9" s="111" t="s">
        <v>101</v>
      </c>
      <c r="Z9" s="111" t="s">
        <v>100</v>
      </c>
      <c r="AA9" s="111" t="s">
        <v>101</v>
      </c>
      <c r="AB9" s="111" t="s">
        <v>100</v>
      </c>
      <c r="AC9" s="111" t="s">
        <v>101</v>
      </c>
      <c r="AD9" s="111" t="s">
        <v>100</v>
      </c>
      <c r="AE9" s="111" t="s">
        <v>101</v>
      </c>
      <c r="AF9" s="111" t="s">
        <v>100</v>
      </c>
      <c r="AG9" s="111" t="s">
        <v>101</v>
      </c>
      <c r="AH9" s="111" t="s">
        <v>100</v>
      </c>
      <c r="AI9" s="111" t="s">
        <v>101</v>
      </c>
      <c r="AJ9" s="111" t="s">
        <v>100</v>
      </c>
      <c r="AK9" s="111" t="s">
        <v>101</v>
      </c>
      <c r="AL9" s="111" t="s">
        <v>100</v>
      </c>
      <c r="AM9" s="111" t="s">
        <v>101</v>
      </c>
      <c r="AN9" s="111" t="s">
        <v>100</v>
      </c>
      <c r="AO9" s="111" t="s">
        <v>101</v>
      </c>
      <c r="AP9" s="111" t="s">
        <v>100</v>
      </c>
      <c r="AQ9" s="111" t="s">
        <v>101</v>
      </c>
      <c r="AR9" s="111" t="s">
        <v>100</v>
      </c>
      <c r="AS9" s="111" t="s">
        <v>101</v>
      </c>
      <c r="AT9" s="111" t="s">
        <v>100</v>
      </c>
      <c r="AU9" s="111" t="s">
        <v>101</v>
      </c>
      <c r="AV9" s="111" t="s">
        <v>100</v>
      </c>
      <c r="AW9" s="111" t="s">
        <v>101</v>
      </c>
      <c r="AX9" s="111" t="s">
        <v>100</v>
      </c>
      <c r="AY9" s="111" t="s">
        <v>101</v>
      </c>
      <c r="AZ9" s="111" t="s">
        <v>100</v>
      </c>
      <c r="BA9" s="111" t="s">
        <v>101</v>
      </c>
      <c r="BB9" s="111" t="s">
        <v>100</v>
      </c>
      <c r="BC9" s="111" t="s">
        <v>101</v>
      </c>
      <c r="BD9" s="111" t="s">
        <v>100</v>
      </c>
      <c r="BE9" s="111" t="s">
        <v>101</v>
      </c>
      <c r="BF9" s="111" t="s">
        <v>100</v>
      </c>
      <c r="BG9" s="111" t="s">
        <v>101</v>
      </c>
      <c r="BH9" s="111" t="s">
        <v>100</v>
      </c>
      <c r="BI9" s="111" t="s">
        <v>101</v>
      </c>
      <c r="BJ9" s="111" t="s">
        <v>100</v>
      </c>
      <c r="BK9" s="111" t="s">
        <v>101</v>
      </c>
      <c r="BL9" s="111" t="s">
        <v>100</v>
      </c>
      <c r="BM9" s="111" t="s">
        <v>101</v>
      </c>
      <c r="BN9" s="111" t="s">
        <v>100</v>
      </c>
      <c r="BO9" s="111" t="s">
        <v>101</v>
      </c>
      <c r="BP9" s="111" t="s">
        <v>100</v>
      </c>
      <c r="BQ9" s="111" t="s">
        <v>101</v>
      </c>
      <c r="BR9" s="111" t="s">
        <v>100</v>
      </c>
      <c r="BS9" s="111" t="s">
        <v>101</v>
      </c>
      <c r="BT9" s="111" t="s">
        <v>100</v>
      </c>
      <c r="BU9" s="111" t="s">
        <v>101</v>
      </c>
      <c r="BV9" s="111" t="s">
        <v>100</v>
      </c>
      <c r="BW9" s="111" t="s">
        <v>101</v>
      </c>
      <c r="BX9" s="111" t="s">
        <v>100</v>
      </c>
      <c r="BY9" s="111" t="s">
        <v>101</v>
      </c>
      <c r="BZ9" s="111" t="s">
        <v>100</v>
      </c>
      <c r="CA9" s="111" t="s">
        <v>101</v>
      </c>
      <c r="CB9" s="111" t="s">
        <v>100</v>
      </c>
      <c r="CC9" s="111" t="s">
        <v>101</v>
      </c>
      <c r="CD9" s="111" t="s">
        <v>100</v>
      </c>
      <c r="CE9" s="111" t="s">
        <v>101</v>
      </c>
      <c r="CF9" s="111" t="s">
        <v>100</v>
      </c>
      <c r="CG9" s="111" t="s">
        <v>101</v>
      </c>
      <c r="CH9" s="111" t="s">
        <v>100</v>
      </c>
      <c r="CI9" s="111" t="s">
        <v>101</v>
      </c>
      <c r="CJ9" s="111" t="s">
        <v>100</v>
      </c>
      <c r="CK9" s="111" t="s">
        <v>101</v>
      </c>
      <c r="CL9" s="111" t="s">
        <v>100</v>
      </c>
      <c r="CM9" s="111" t="s">
        <v>101</v>
      </c>
      <c r="CN9" s="111" t="s">
        <v>100</v>
      </c>
      <c r="CO9" s="111" t="s">
        <v>101</v>
      </c>
      <c r="CP9" s="111" t="s">
        <v>100</v>
      </c>
      <c r="CQ9" s="111" t="s">
        <v>101</v>
      </c>
      <c r="CR9" s="111" t="s">
        <v>100</v>
      </c>
      <c r="CS9" s="111" t="s">
        <v>101</v>
      </c>
      <c r="CT9" s="111" t="s">
        <v>100</v>
      </c>
      <c r="CU9" s="111" t="s">
        <v>101</v>
      </c>
      <c r="CV9" s="111" t="s">
        <v>100</v>
      </c>
      <c r="CW9" s="111" t="s">
        <v>101</v>
      </c>
      <c r="CX9" s="111" t="s">
        <v>100</v>
      </c>
      <c r="CY9" s="111" t="s">
        <v>101</v>
      </c>
      <c r="CZ9" s="111" t="s">
        <v>100</v>
      </c>
      <c r="DA9" s="111" t="s">
        <v>101</v>
      </c>
      <c r="DB9" s="111" t="s">
        <v>100</v>
      </c>
      <c r="DC9" s="111" t="s">
        <v>101</v>
      </c>
      <c r="DD9" s="111" t="s">
        <v>100</v>
      </c>
      <c r="DE9" s="111" t="s">
        <v>101</v>
      </c>
      <c r="DF9" s="111" t="s">
        <v>100</v>
      </c>
      <c r="DG9" s="111" t="s">
        <v>101</v>
      </c>
      <c r="DH9" s="111" t="s">
        <v>100</v>
      </c>
      <c r="DI9" s="111" t="s">
        <v>101</v>
      </c>
      <c r="DJ9" s="111" t="s">
        <v>100</v>
      </c>
      <c r="DK9" s="111" t="s">
        <v>101</v>
      </c>
      <c r="DL9" s="111" t="s">
        <v>100</v>
      </c>
      <c r="DM9" s="111" t="s">
        <v>101</v>
      </c>
      <c r="DN9" s="111" t="s">
        <v>100</v>
      </c>
      <c r="DO9" s="111" t="s">
        <v>101</v>
      </c>
      <c r="DP9" s="111" t="s">
        <v>100</v>
      </c>
      <c r="DQ9" s="111" t="s">
        <v>101</v>
      </c>
      <c r="DR9" s="111" t="s">
        <v>100</v>
      </c>
      <c r="DS9" s="111" t="s">
        <v>101</v>
      </c>
      <c r="DT9" s="111" t="s">
        <v>100</v>
      </c>
      <c r="DU9" s="111" t="s">
        <v>101</v>
      </c>
      <c r="DV9" s="111" t="s">
        <v>100</v>
      </c>
      <c r="DW9" s="111" t="s">
        <v>101</v>
      </c>
      <c r="DX9" s="111" t="s">
        <v>100</v>
      </c>
      <c r="DY9" s="111" t="s">
        <v>101</v>
      </c>
      <c r="DZ9" s="111" t="s">
        <v>100</v>
      </c>
      <c r="EA9" s="111" t="s">
        <v>101</v>
      </c>
      <c r="EB9" s="111" t="s">
        <v>100</v>
      </c>
      <c r="EC9" s="111" t="s">
        <v>101</v>
      </c>
      <c r="ED9" s="111" t="s">
        <v>100</v>
      </c>
      <c r="EE9" s="111" t="s">
        <v>101</v>
      </c>
      <c r="EF9" s="111" t="s">
        <v>100</v>
      </c>
      <c r="EG9" s="111" t="s">
        <v>101</v>
      </c>
      <c r="EH9" s="111" t="s">
        <v>100</v>
      </c>
      <c r="EI9" s="111" t="s">
        <v>101</v>
      </c>
      <c r="EJ9" s="111" t="s">
        <v>100</v>
      </c>
      <c r="EK9" s="111" t="s">
        <v>101</v>
      </c>
      <c r="EL9" s="111" t="s">
        <v>100</v>
      </c>
      <c r="EM9" s="111" t="s">
        <v>101</v>
      </c>
      <c r="EN9" s="111" t="s">
        <v>100</v>
      </c>
      <c r="EO9" s="111" t="s">
        <v>101</v>
      </c>
      <c r="EP9" s="111" t="s">
        <v>100</v>
      </c>
      <c r="EQ9" s="111" t="s">
        <v>101</v>
      </c>
      <c r="ER9" s="111" t="s">
        <v>100</v>
      </c>
      <c r="ES9" s="111" t="s">
        <v>101</v>
      </c>
      <c r="ET9" s="111" t="s">
        <v>100</v>
      </c>
      <c r="EU9" s="111" t="s">
        <v>101</v>
      </c>
      <c r="EV9" s="111" t="s">
        <v>100</v>
      </c>
      <c r="EW9" s="111" t="s">
        <v>101</v>
      </c>
      <c r="EX9" s="111" t="s">
        <v>100</v>
      </c>
      <c r="EY9" s="111" t="s">
        <v>101</v>
      </c>
      <c r="EZ9" s="111" t="s">
        <v>100</v>
      </c>
      <c r="FA9" s="111" t="s">
        <v>101</v>
      </c>
      <c r="FB9" s="111" t="s">
        <v>100</v>
      </c>
      <c r="FC9" s="111" t="s">
        <v>101</v>
      </c>
      <c r="FD9" s="111" t="s">
        <v>100</v>
      </c>
      <c r="FE9" s="111" t="s">
        <v>101</v>
      </c>
      <c r="FF9" s="111" t="s">
        <v>100</v>
      </c>
      <c r="FG9" s="111" t="s">
        <v>101</v>
      </c>
      <c r="FH9" s="111" t="s">
        <v>100</v>
      </c>
      <c r="FI9" s="111" t="s">
        <v>101</v>
      </c>
      <c r="FJ9" s="111" t="s">
        <v>100</v>
      </c>
      <c r="FK9" s="111" t="s">
        <v>101</v>
      </c>
      <c r="FL9" s="111" t="s">
        <v>100</v>
      </c>
      <c r="FM9" s="111"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7"/>
      <c r="B1" s="107"/>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72" t="s">
        <v>348</v>
      </c>
      <c r="D2" s="272"/>
      <c r="E2" s="272" t="s">
        <v>349</v>
      </c>
      <c r="F2" s="272"/>
      <c r="G2" s="272" t="s">
        <v>350</v>
      </c>
      <c r="H2" s="272"/>
      <c r="I2" s="272" t="s">
        <v>351</v>
      </c>
      <c r="J2" s="272"/>
      <c r="K2" s="272" t="s">
        <v>352</v>
      </c>
      <c r="L2" s="272"/>
      <c r="M2" s="272" t="s">
        <v>353</v>
      </c>
      <c r="N2" s="272"/>
      <c r="O2" s="272" t="s">
        <v>354</v>
      </c>
      <c r="P2" s="272"/>
      <c r="Q2" s="272" t="s">
        <v>355</v>
      </c>
      <c r="R2" s="272"/>
      <c r="S2" s="272" t="s">
        <v>356</v>
      </c>
      <c r="T2" s="272"/>
      <c r="V2" s="272" t="s">
        <v>357</v>
      </c>
      <c r="W2" s="272"/>
      <c r="X2" s="272" t="s">
        <v>358</v>
      </c>
      <c r="Y2" s="272"/>
      <c r="Z2" s="272" t="s">
        <v>359</v>
      </c>
      <c r="AA2" s="272"/>
      <c r="AB2" s="272" t="s">
        <v>360</v>
      </c>
      <c r="AC2" s="272"/>
      <c r="AD2" s="272" t="s">
        <v>361</v>
      </c>
      <c r="AE2" s="272"/>
      <c r="AF2" s="272" t="s">
        <v>362</v>
      </c>
      <c r="AG2" s="272"/>
      <c r="AH2" s="272" t="s">
        <v>363</v>
      </c>
      <c r="AI2" s="272"/>
      <c r="AJ2" s="272" t="s">
        <v>364</v>
      </c>
      <c r="AK2" s="272"/>
      <c r="AL2" s="272" t="s">
        <v>365</v>
      </c>
      <c r="AM2" s="272"/>
      <c r="AO2" s="272" t="s">
        <v>366</v>
      </c>
      <c r="AP2" s="272"/>
      <c r="AQ2" s="272" t="s">
        <v>367</v>
      </c>
      <c r="AR2" s="272"/>
      <c r="AS2" s="272" t="s">
        <v>368</v>
      </c>
      <c r="AT2" s="272"/>
      <c r="AU2" s="272" t="s">
        <v>369</v>
      </c>
      <c r="AV2" s="272"/>
      <c r="AW2" s="272" t="s">
        <v>370</v>
      </c>
      <c r="AX2" s="272"/>
      <c r="AY2" s="272" t="s">
        <v>371</v>
      </c>
      <c r="AZ2" s="272"/>
      <c r="BA2" s="272" t="s">
        <v>372</v>
      </c>
      <c r="BB2" s="272"/>
      <c r="BC2" s="272" t="s">
        <v>373</v>
      </c>
      <c r="BD2" s="272"/>
      <c r="BE2" s="272" t="s">
        <v>374</v>
      </c>
      <c r="BF2" s="272"/>
      <c r="BH2" s="272" t="s">
        <v>104</v>
      </c>
      <c r="BI2" s="272"/>
      <c r="BJ2" s="272" t="s">
        <v>375</v>
      </c>
      <c r="BK2" s="272"/>
      <c r="BL2" s="272" t="s">
        <v>376</v>
      </c>
      <c r="BM2" s="272"/>
      <c r="BN2" s="272" t="s">
        <v>377</v>
      </c>
      <c r="BO2" s="272"/>
      <c r="BP2" s="272" t="s">
        <v>378</v>
      </c>
      <c r="BQ2" s="272"/>
      <c r="BR2" s="272" t="s">
        <v>379</v>
      </c>
      <c r="BS2" s="272"/>
      <c r="BT2" s="272" t="s">
        <v>380</v>
      </c>
      <c r="BU2" s="272"/>
      <c r="BV2" s="272" t="s">
        <v>381</v>
      </c>
      <c r="BW2" s="272"/>
      <c r="BX2" s="272" t="s">
        <v>382</v>
      </c>
      <c r="BY2" s="272"/>
      <c r="BZ2" s="272" t="s">
        <v>383</v>
      </c>
      <c r="CA2" s="272"/>
      <c r="CB2" s="272" t="s">
        <v>384</v>
      </c>
      <c r="CC2" s="272"/>
      <c r="CD2" s="272" t="s">
        <v>385</v>
      </c>
      <c r="CE2" s="272"/>
      <c r="CF2" s="272" t="s">
        <v>386</v>
      </c>
      <c r="CG2" s="272"/>
      <c r="CH2" s="272" t="s">
        <v>387</v>
      </c>
      <c r="CI2" s="272"/>
      <c r="CJ2" s="272" t="s">
        <v>388</v>
      </c>
      <c r="CK2" s="272"/>
      <c r="CL2" s="272" t="s">
        <v>389</v>
      </c>
      <c r="CM2" s="272"/>
      <c r="CN2" s="272" t="s">
        <v>390</v>
      </c>
      <c r="CO2" s="272"/>
      <c r="CP2" s="272" t="s">
        <v>391</v>
      </c>
      <c r="CQ2" s="272"/>
      <c r="CR2" s="272" t="s">
        <v>392</v>
      </c>
      <c r="CS2" s="272"/>
    </row>
    <row r="3" spans="1:97" s="54" customFormat="1" ht="49.5" customHeight="1">
      <c r="A3" s="112"/>
      <c r="B3" s="68"/>
      <c r="C3" s="270"/>
      <c r="D3" s="270"/>
      <c r="E3" s="273" t="s">
        <v>111</v>
      </c>
      <c r="F3" s="273"/>
      <c r="G3" s="270"/>
      <c r="H3" s="270"/>
      <c r="I3" s="274" t="s">
        <v>113</v>
      </c>
      <c r="J3" s="274"/>
      <c r="K3" s="270"/>
      <c r="L3" s="270"/>
      <c r="M3" s="270"/>
      <c r="N3" s="270"/>
      <c r="O3" s="270"/>
      <c r="P3" s="270"/>
      <c r="Q3" s="271" t="s">
        <v>114</v>
      </c>
      <c r="R3" s="271"/>
      <c r="S3" s="270"/>
      <c r="T3" s="270"/>
      <c r="U3" s="53"/>
      <c r="V3" s="271" t="s">
        <v>109</v>
      </c>
      <c r="W3" s="271"/>
      <c r="X3" s="270"/>
      <c r="Y3" s="270"/>
      <c r="Z3" s="270"/>
      <c r="AA3" s="270"/>
      <c r="AB3" s="270"/>
      <c r="AC3" s="270"/>
      <c r="AD3" s="270"/>
      <c r="AE3" s="270"/>
      <c r="AF3" s="270"/>
      <c r="AG3" s="270"/>
      <c r="AH3" s="270"/>
      <c r="AI3" s="270"/>
      <c r="AJ3" s="270"/>
      <c r="AK3" s="270"/>
      <c r="AL3" s="270"/>
      <c r="AM3" s="270"/>
      <c r="AN3" s="53"/>
      <c r="AO3" s="273" t="s">
        <v>112</v>
      </c>
      <c r="AP3" s="273"/>
      <c r="AQ3" s="270"/>
      <c r="AR3" s="270"/>
      <c r="AS3" s="270"/>
      <c r="AT3" s="270"/>
      <c r="AU3" s="270"/>
      <c r="AV3" s="270"/>
      <c r="AW3" s="270"/>
      <c r="AX3" s="270"/>
      <c r="AY3" s="270"/>
      <c r="AZ3" s="270"/>
      <c r="BA3" s="270"/>
      <c r="BB3" s="270"/>
      <c r="BC3" s="270"/>
      <c r="BD3" s="270"/>
      <c r="BE3" s="270"/>
      <c r="BF3" s="270"/>
      <c r="BG3" s="53"/>
      <c r="BH3" s="273" t="s">
        <v>110</v>
      </c>
      <c r="BI3" s="273"/>
      <c r="BJ3" s="270"/>
      <c r="BK3" s="270"/>
      <c r="BL3" s="270"/>
      <c r="BM3" s="270"/>
      <c r="BN3" s="270"/>
      <c r="BO3" s="270"/>
      <c r="BP3" s="270"/>
      <c r="BQ3" s="270"/>
      <c r="BR3" s="270"/>
      <c r="BS3" s="270"/>
      <c r="BT3" s="270"/>
      <c r="BU3" s="270"/>
      <c r="BV3" s="270"/>
      <c r="BW3" s="270"/>
      <c r="BX3" s="270"/>
      <c r="BY3" s="270"/>
      <c r="BZ3" s="270"/>
      <c r="CA3" s="270"/>
      <c r="CB3" s="270"/>
      <c r="CC3" s="270"/>
      <c r="CD3" s="270"/>
      <c r="CE3" s="270"/>
      <c r="CF3" s="270"/>
      <c r="CG3" s="270"/>
      <c r="CH3" s="270"/>
      <c r="CI3" s="270"/>
      <c r="CJ3" s="270"/>
      <c r="CK3" s="270"/>
      <c r="CL3" s="270"/>
      <c r="CM3" s="270"/>
      <c r="CN3" s="270"/>
      <c r="CO3" s="270"/>
      <c r="CP3" s="270"/>
      <c r="CQ3" s="270"/>
      <c r="CR3" s="270"/>
      <c r="CS3" s="270"/>
    </row>
    <row r="4" spans="1:97" s="57" customFormat="1" ht="50.1" customHeight="1">
      <c r="A4" s="58" t="s">
        <v>99</v>
      </c>
      <c r="B4" s="70"/>
      <c r="C4" s="58" t="s">
        <v>115</v>
      </c>
      <c r="D4" s="58" t="s">
        <v>393</v>
      </c>
      <c r="E4" s="58" t="s">
        <v>115</v>
      </c>
      <c r="F4" s="58" t="s">
        <v>393</v>
      </c>
      <c r="G4" s="58" t="s">
        <v>115</v>
      </c>
      <c r="H4" s="58" t="s">
        <v>393</v>
      </c>
      <c r="I4" s="58" t="s">
        <v>115</v>
      </c>
      <c r="J4" s="58" t="s">
        <v>393</v>
      </c>
      <c r="K4" s="58" t="s">
        <v>115</v>
      </c>
      <c r="L4" s="58" t="s">
        <v>393</v>
      </c>
      <c r="M4" s="58" t="s">
        <v>115</v>
      </c>
      <c r="N4" s="58" t="s">
        <v>393</v>
      </c>
      <c r="O4" s="58" t="s">
        <v>115</v>
      </c>
      <c r="P4" s="58" t="s">
        <v>393</v>
      </c>
      <c r="Q4" s="58" t="s">
        <v>115</v>
      </c>
      <c r="R4" s="58" t="s">
        <v>393</v>
      </c>
      <c r="S4" s="58" t="s">
        <v>115</v>
      </c>
      <c r="T4" s="58" t="s">
        <v>393</v>
      </c>
      <c r="V4" s="58" t="s">
        <v>115</v>
      </c>
      <c r="W4" s="58" t="s">
        <v>393</v>
      </c>
      <c r="X4" s="58" t="s">
        <v>115</v>
      </c>
      <c r="Y4" s="58" t="s">
        <v>393</v>
      </c>
      <c r="Z4" s="58" t="s">
        <v>115</v>
      </c>
      <c r="AA4" s="58" t="s">
        <v>393</v>
      </c>
      <c r="AB4" s="58" t="s">
        <v>115</v>
      </c>
      <c r="AC4" s="58" t="s">
        <v>393</v>
      </c>
      <c r="AD4" s="58" t="s">
        <v>115</v>
      </c>
      <c r="AE4" s="58" t="s">
        <v>393</v>
      </c>
      <c r="AF4" s="58" t="s">
        <v>115</v>
      </c>
      <c r="AG4" s="58" t="s">
        <v>393</v>
      </c>
      <c r="AH4" s="58" t="s">
        <v>115</v>
      </c>
      <c r="AI4" s="58" t="s">
        <v>393</v>
      </c>
      <c r="AJ4" s="58" t="s">
        <v>115</v>
      </c>
      <c r="AK4" s="58" t="s">
        <v>393</v>
      </c>
      <c r="AL4" s="58" t="s">
        <v>115</v>
      </c>
      <c r="AM4" s="58" t="s">
        <v>393</v>
      </c>
      <c r="AO4" s="58" t="s">
        <v>115</v>
      </c>
      <c r="AP4" s="58" t="s">
        <v>393</v>
      </c>
      <c r="AQ4" s="58" t="s">
        <v>115</v>
      </c>
      <c r="AR4" s="58" t="s">
        <v>393</v>
      </c>
      <c r="AS4" s="58" t="s">
        <v>115</v>
      </c>
      <c r="AT4" s="58" t="s">
        <v>393</v>
      </c>
      <c r="AU4" s="58" t="s">
        <v>115</v>
      </c>
      <c r="AV4" s="58" t="s">
        <v>393</v>
      </c>
      <c r="AW4" s="58" t="s">
        <v>115</v>
      </c>
      <c r="AX4" s="58" t="s">
        <v>393</v>
      </c>
      <c r="AY4" s="58" t="s">
        <v>115</v>
      </c>
      <c r="AZ4" s="58" t="s">
        <v>393</v>
      </c>
      <c r="BA4" s="58" t="s">
        <v>115</v>
      </c>
      <c r="BB4" s="58" t="s">
        <v>393</v>
      </c>
      <c r="BC4" s="58" t="s">
        <v>115</v>
      </c>
      <c r="BD4" s="58" t="s">
        <v>393</v>
      </c>
      <c r="BE4" s="58" t="s">
        <v>115</v>
      </c>
      <c r="BF4" s="58" t="s">
        <v>393</v>
      </c>
      <c r="BH4" s="58" t="s">
        <v>115</v>
      </c>
      <c r="BI4" s="58" t="s">
        <v>393</v>
      </c>
      <c r="BJ4" s="58" t="s">
        <v>115</v>
      </c>
      <c r="BK4" s="58" t="s">
        <v>393</v>
      </c>
      <c r="BL4" s="58" t="s">
        <v>115</v>
      </c>
      <c r="BM4" s="58" t="s">
        <v>393</v>
      </c>
      <c r="BN4" s="58" t="s">
        <v>115</v>
      </c>
      <c r="BO4" s="58" t="s">
        <v>393</v>
      </c>
      <c r="BP4" s="58" t="s">
        <v>115</v>
      </c>
      <c r="BQ4" s="58" t="s">
        <v>393</v>
      </c>
      <c r="BR4" s="58" t="s">
        <v>115</v>
      </c>
      <c r="BS4" s="58" t="s">
        <v>393</v>
      </c>
      <c r="BT4" s="58" t="s">
        <v>115</v>
      </c>
      <c r="BU4" s="58" t="s">
        <v>393</v>
      </c>
      <c r="BV4" s="58" t="s">
        <v>115</v>
      </c>
      <c r="BW4" s="58" t="s">
        <v>393</v>
      </c>
      <c r="BX4" s="58" t="s">
        <v>115</v>
      </c>
      <c r="BY4" s="58" t="s">
        <v>393</v>
      </c>
      <c r="BZ4" s="58" t="s">
        <v>115</v>
      </c>
      <c r="CA4" s="58" t="s">
        <v>393</v>
      </c>
      <c r="CB4" s="58" t="s">
        <v>115</v>
      </c>
      <c r="CC4" s="58" t="s">
        <v>393</v>
      </c>
      <c r="CD4" s="58" t="s">
        <v>115</v>
      </c>
      <c r="CE4" s="58" t="s">
        <v>393</v>
      </c>
      <c r="CF4" s="58" t="s">
        <v>115</v>
      </c>
      <c r="CG4" s="58" t="s">
        <v>393</v>
      </c>
      <c r="CH4" s="58" t="s">
        <v>115</v>
      </c>
      <c r="CI4" s="58" t="s">
        <v>393</v>
      </c>
      <c r="CJ4" s="58" t="s">
        <v>115</v>
      </c>
      <c r="CK4" s="58" t="s">
        <v>393</v>
      </c>
      <c r="CL4" s="58" t="s">
        <v>115</v>
      </c>
      <c r="CM4" s="58" t="s">
        <v>393</v>
      </c>
      <c r="CN4" s="58" t="s">
        <v>115</v>
      </c>
      <c r="CO4" s="58" t="s">
        <v>393</v>
      </c>
      <c r="CP4" s="58" t="s">
        <v>115</v>
      </c>
      <c r="CQ4" s="58" t="s">
        <v>393</v>
      </c>
      <c r="CR4" s="58" t="s">
        <v>115</v>
      </c>
      <c r="CS4" s="58" t="s">
        <v>393</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2022-09-24T05:27:46Z</dcterms:modified>
  <cp:category/>
  <cp:contentStatus/>
</cp:coreProperties>
</file>