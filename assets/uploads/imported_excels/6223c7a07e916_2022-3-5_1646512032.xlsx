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Z37" i="7"/>
  <c r="CX37" i="7"/>
  <c r="CV37" i="7"/>
  <c r="CT37" i="7"/>
  <c r="CR37" i="7"/>
  <c r="CN37" i="7"/>
  <c r="CM37" i="7"/>
  <c r="CK37" i="7"/>
  <c r="CI37" i="7"/>
  <c r="CG37" i="7"/>
  <c r="CE37" i="7"/>
  <c r="CC37" i="7"/>
  <c r="CA37" i="7"/>
  <c r="BY37" i="7"/>
  <c r="BW37" i="7"/>
  <c r="BU37" i="7"/>
  <c r="BS37" i="7"/>
  <c r="BQ37" i="7"/>
  <c r="BO37" i="7"/>
  <c r="BM37" i="7"/>
  <c r="BK37" i="7"/>
  <c r="BI37" i="7"/>
  <c r="BG37" i="7"/>
  <c r="BE37" i="7"/>
  <c r="BC37" i="7"/>
  <c r="BA37" i="7"/>
  <c r="AY37" i="7"/>
  <c r="AW37" i="7"/>
  <c r="AU37" i="7"/>
  <c r="AS37" i="7"/>
  <c r="AQ37" i="7"/>
  <c r="AO37" i="7"/>
  <c r="AM37" i="7"/>
  <c r="AK37" i="7"/>
  <c r="AI37" i="7"/>
  <c r="AG37" i="7"/>
  <c r="AE37" i="7"/>
  <c r="AC37" i="7"/>
  <c r="AA37" i="7"/>
  <c r="Y37" i="7"/>
  <c r="W37" i="7"/>
  <c r="U37" i="7"/>
  <c r="S37" i="7"/>
  <c r="Q37" i="7"/>
  <c r="O37" i="7"/>
  <c r="M37" i="7"/>
  <c r="K37" i="7"/>
  <c r="I37" i="7"/>
  <c r="G37" i="7"/>
  <c r="E37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<sst xmlns="http://schemas.openxmlformats.org/spreadsheetml/2006/main" count="315" uniqueCount="148">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</sst>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1" sqref="N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2022</v>
      </c>
      <c r="E2" s="12">
        <f>Submetering!E2+Submetering!F2+Submetering!G2+Submetering!H2+Submetering!J2-Submetering!AV2</f>
        <v>14339.99999999871</v>
      </c>
      <c r="F2" s="11">
        <v>0.58765030286592534</v>
      </c>
      <c r="G2" s="12">
        <f>(Submetering!AX2+Submetering!AY2+Submetering!AZ2+Submetering!BA2+Submetering!BB2)</f>
        <v>27.4725</v>
      </c>
      <c r="H2" s="11">
        <v>0.99</v>
      </c>
      <c r="I2" s="12">
        <f>'FS Desroches Daily'!CM4</f>
        <v>127.70000000000073</v>
      </c>
      <c r="J2" s="11">
        <v>10.487297712684205</v>
      </c>
      <c r="K2" s="13">
        <f>'FS Desroches Daily'!CN4</f>
        <v>41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2022</v>
      </c>
      <c r="E3" s="12">
        <f>Submetering!E3+Submetering!F3+Submetering!G3+Submetering!H3+Submetering!J3-Submetering!AV3</f>
        <v>13420.000000000682</v>
      </c>
      <c r="F3" s="11">
        <f>F2</f>
        <v>0.58765030286592534</v>
      </c>
      <c r="G3" s="12">
        <f>(Submetering!AX3+Submetering!AY3+Submetering!AZ3+Submetering!BA3+Submetering!BB3)</f>
        <v>21.977999999999998</v>
      </c>
      <c r="H3" s="11">
        <f>H2</f>
        <v>0.99</v>
      </c>
      <c r="I3" s="12">
        <f>'FS Desroches Daily'!CM5</f>
        <v>125</v>
      </c>
      <c r="J3" s="11">
        <f>J2</f>
        <v>10.487297712684205</v>
      </c>
      <c r="K3" s="13">
        <f>'FS Desroches Daily'!CN5</f>
        <v>40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2022</v>
      </c>
      <c r="E4" s="12">
        <f>Submetering!E4+Submetering!F4+Submetering!G4+Submetering!H4+Submetering!J4-Submetering!AV4</f>
        <v>13810.000000000902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113.79999999999927</v>
      </c>
      <c r="J4" s="11">
        <f t="shared" ref="J4:J32" si="2">J3</f>
        <v>10.487297712684205</v>
      </c>
      <c r="K4" s="13">
        <f>'FS Desroches Daily'!CN6</f>
        <v>40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2022</v>
      </c>
      <c r="E5" s="12">
        <f>Submetering!E5+Submetering!F5+Submetering!G5+Submetering!H5+Submetering!J5-Submetering!AV5</f>
        <v>14729.999999999611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112.20000000000073</v>
      </c>
      <c r="J5" s="11">
        <f t="shared" si="2"/>
        <v>10.487297712684205</v>
      </c>
      <c r="K5" s="13">
        <f>'FS Desroches Daily'!CN7</f>
        <v>40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2022</v>
      </c>
      <c r="E6" s="12" t="e">
        <f>Submetering!E6+Submetering!F6+Submetering!G6+Submetering!H6+Submetering!J6-Submetering!AV6</f>
        <v>#VALUE!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 t="e">
        <f>'FS Desroches Daily'!CM8</f>
        <v>#VALUE!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21" sqref="E2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2022</v>
      </c>
      <c r="E2" s="31">
        <f>'FS Desroches Daily'!D4</f>
        <v>4199.9999999999818</v>
      </c>
      <c r="F2" s="32">
        <f>'FS Desroches Daily'!F4</f>
        <v>3799.9999999991373</v>
      </c>
      <c r="G2" s="31">
        <f>'FS Desroches Daily'!H4</f>
        <v>3499.9999999998367</v>
      </c>
      <c r="H2" s="32">
        <f>'FS Desroches Daily'!J4</f>
        <v>1800.0000000000239</v>
      </c>
      <c r="I2" s="31">
        <f>'FS Desroches Daily'!L4</f>
        <v>2099.9999999999909</v>
      </c>
      <c r="J2" s="32">
        <f>'FS Desroches Daily'!N4</f>
        <v>1699.9999999998129</v>
      </c>
      <c r="K2" s="13">
        <f>'FS Desroches Daily'!P4</f>
        <v>48</v>
      </c>
      <c r="L2" s="31">
        <f>'FS Desroches Daily'!R4</f>
        <v>7</v>
      </c>
      <c r="M2" s="31">
        <f>'FS Desroches Daily'!T4</f>
        <v>1.7000000000000455</v>
      </c>
      <c r="N2" s="31">
        <f>'FS Desroches Daily'!V4</f>
        <v>501.30000000004657</v>
      </c>
      <c r="O2" s="31">
        <f>'FS Desroches Daily'!X4</f>
        <v>459.99999999997954</v>
      </c>
      <c r="P2" s="31">
        <f>'FS Desroches Daily'!Z4</f>
        <v>3299.9999999998586</v>
      </c>
      <c r="Q2" s="31">
        <f>'FS Desroches Daily'!AB4</f>
        <v>319.99999999999318</v>
      </c>
      <c r="R2" s="31">
        <f>'FS Desroches Daily'!AD4</f>
        <v>449.99999999998863</v>
      </c>
      <c r="S2" s="31">
        <f>'FS Desroches Daily'!AF4</f>
        <v>830.00000000004093</v>
      </c>
      <c r="T2" s="31">
        <f>'FS Desroches Daily'!AH4</f>
        <v>49</v>
      </c>
      <c r="U2" s="35">
        <f>'FS Desroches Daily'!AJ4</f>
        <v>1030.0000000000864</v>
      </c>
      <c r="V2" s="35">
        <f>'FS Desroches Daily'!AL4</f>
        <v>330.00000000004093</v>
      </c>
      <c r="W2" s="35">
        <f>'FS Desroches Daily'!AN4</f>
        <v>340.00000000000341</v>
      </c>
      <c r="X2" s="35">
        <f>'FS Desroches Daily'!AP4</f>
        <v>229.99999999998977</v>
      </c>
      <c r="Y2" s="35">
        <f>'FS Desroches Daily'!AR4</f>
        <v>299.99999999995453</v>
      </c>
      <c r="Z2" s="35">
        <f>'FS Desroches Daily'!AT4</f>
        <v>410.00000000002501</v>
      </c>
      <c r="AA2" s="35">
        <f>'FS Desroches Daily'!AT4</f>
        <v>410.00000000002501</v>
      </c>
      <c r="AB2" s="35">
        <f>'FS Desroches Daily'!AV4</f>
        <v>360.00000000001364</v>
      </c>
      <c r="AC2" s="35">
        <f>'FS Desroches Daily'!AZ4</f>
        <v>290.00000000002046</v>
      </c>
      <c r="AD2" s="35">
        <f>'FS Desroches Daily'!BB4</f>
        <v>269.99999999998181</v>
      </c>
      <c r="AE2" s="35">
        <f>'FS Desroches Daily'!BD4</f>
        <v>69.999999999993179</v>
      </c>
      <c r="AF2" s="31">
        <f>'FS Desroches Daily'!BF4</f>
        <v>10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49.999999999982947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35</v>
      </c>
      <c r="AM2" s="32">
        <f>'FS Desroches Daily'!BT4</f>
        <v>50.000000000011369</v>
      </c>
      <c r="AN2" s="32">
        <f>'FS Desroches Daily'!BV4</f>
        <v>54</v>
      </c>
      <c r="AO2" s="32">
        <f>'FS Desroches Daily'!BX4</f>
        <v>49.999999999982947</v>
      </c>
      <c r="AP2" s="32">
        <f>'FS Desroches Daily'!BZ4</f>
        <v>47</v>
      </c>
      <c r="AQ2" s="31">
        <f>'FS Desroches Daily'!CB4</f>
        <v>68.19999999999709</v>
      </c>
      <c r="AR2" s="31">
        <f>'FS Desroches Daily'!CD4</f>
        <v>25.400000000001455</v>
      </c>
      <c r="AS2" s="31">
        <f>'FS Desroches Daily'!CF4</f>
        <v>4</v>
      </c>
      <c r="AT2" s="31">
        <f>'FS Desroches Daily'!CH4</f>
        <v>45</v>
      </c>
      <c r="AU2" s="31">
        <f>'FS Desroches Daily'!CJ4</f>
        <v>318</v>
      </c>
      <c r="AV2" s="31">
        <f>'FS Desroches Daily'!CL4</f>
        <v>660.00000000008185</v>
      </c>
      <c r="AW2" s="31">
        <f>'FS Desroches Daily'!CM4</f>
        <v>127.70000000000073</v>
      </c>
      <c r="AX2" s="31">
        <f>IF(LPG!F9-LPG!F8&lt;0,"0",(LPG!F9-LPG!F8)*1.8315)</f>
        <v>10.988999999999999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41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2022</v>
      </c>
      <c r="E3" s="31">
        <f>'FS Desroches Daily'!D5</f>
        <v>4100.0000000002146</v>
      </c>
      <c r="F3" s="32">
        <f>'FS Desroches Daily'!F5</f>
        <v>3600.0000000004916</v>
      </c>
      <c r="G3" s="31">
        <f>'FS Desroches Daily'!H5</f>
        <v>3099.9999999998809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1800.0000000000239</v>
      </c>
      <c r="K3" s="13">
        <f>'FS Desroches Daily'!P5</f>
        <v>42</v>
      </c>
      <c r="L3" s="31">
        <f>'FS Desroches Daily'!R5</f>
        <v>6</v>
      </c>
      <c r="M3" s="31">
        <f>'FS Desroches Daily'!T5</f>
        <v>1.2999999999999545</v>
      </c>
      <c r="N3" s="31">
        <f>'FS Desroches Daily'!V5</f>
        <v>422.5</v>
      </c>
      <c r="O3" s="31">
        <f>'FS Desroches Daily'!X6</f>
        <v>490.00000000000909</v>
      </c>
      <c r="P3" s="31">
        <f>'FS Desroches Daily'!Z5</f>
        <v>3200.0000000000919</v>
      </c>
      <c r="Q3" s="31">
        <f>'FS Desroches Daily'!AB5</f>
        <v>439.99999999999773</v>
      </c>
      <c r="R3" s="31">
        <f>'FS Desroches Daily'!AD5</f>
        <v>470.00000000002728</v>
      </c>
      <c r="S3" s="31">
        <f>'FS Desroches Daily'!AF5</f>
        <v>889.99999999998636</v>
      </c>
      <c r="T3" s="31">
        <f>'FS Desroches Daily'!AH5</f>
        <v>46</v>
      </c>
      <c r="U3" s="35">
        <f>'FS Desroches Daily'!AJ5</f>
        <v>1009.9999999999909</v>
      </c>
      <c r="V3" s="35">
        <f>'FS Desroches Daily'!AL5</f>
        <v>319.99999999999318</v>
      </c>
      <c r="W3" s="35">
        <f>'FS Desroches Daily'!AN5</f>
        <v>270.00000000001023</v>
      </c>
      <c r="X3" s="35">
        <f>'FS Desroches Daily'!AP5</f>
        <v>280.00000000000114</v>
      </c>
      <c r="Y3" s="35">
        <f>'FS Desroches Daily'!AR5</f>
        <v>290.00000000002046</v>
      </c>
      <c r="Z3" s="35">
        <f>'FS Desroches Daily'!AT5</f>
        <v>360.00000000001364</v>
      </c>
      <c r="AA3" s="35">
        <f>'FS Desroches Daily'!AT5</f>
        <v>360.00000000001364</v>
      </c>
      <c r="AB3" s="35">
        <f>'FS Desroches Daily'!AV5</f>
        <v>329.99999999998408</v>
      </c>
      <c r="AC3" s="35">
        <f>'FS Desroches Daily'!AZ5</f>
        <v>310.00000000000227</v>
      </c>
      <c r="AD3" s="35">
        <f>'FS Desroches Daily'!BB5</f>
        <v>300.00000000001137</v>
      </c>
      <c r="AE3" s="35">
        <f>'FS Desroches Daily'!BD5</f>
        <v>100.00000000002274</v>
      </c>
      <c r="AF3" s="31">
        <f>'FS Desroches Daily'!BF5</f>
        <v>38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50.000000000011369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36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55.200000000004366</v>
      </c>
      <c r="AR3" s="31">
        <f>'FS Desroches Daily'!CD5</f>
        <v>13.299999999999272</v>
      </c>
      <c r="AS3" s="31">
        <f>'FS Desroches Daily'!CF5</f>
        <v>9</v>
      </c>
      <c r="AT3" s="31">
        <f>'FS Desroches Daily'!CH5</f>
        <v>40</v>
      </c>
      <c r="AU3" s="31">
        <f>'FS Desroches Daily'!CJ5</f>
        <v>305</v>
      </c>
      <c r="AV3" s="31">
        <f>'FS Desroches Daily'!CL5</f>
        <v>779.99999999997272</v>
      </c>
      <c r="AW3" s="31">
        <f>'FS Desroches Daily'!CM5</f>
        <v>125</v>
      </c>
      <c r="AX3" s="31">
        <f>IF(LPG!F10-LPG!F9&lt;0,"0",(LPG!F10-LPG!F9)*1.8315)</f>
        <v>12.820499999999999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40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2022</v>
      </c>
      <c r="E4" s="31">
        <f>'FS Desroches Daily'!D6</f>
        <v>4000.0000000000036</v>
      </c>
      <c r="F4" s="32">
        <f>'FS Desroches Daily'!F6</f>
        <v>3700.0000000002588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1900.0000000000127</v>
      </c>
      <c r="K4" s="13">
        <f>'FS Desroches Daily'!P6</f>
        <v>43</v>
      </c>
      <c r="L4" s="31">
        <f>'FS Desroches Daily'!R6</f>
        <v>6</v>
      </c>
      <c r="M4" s="31">
        <f>'FS Desroches Daily'!T6</f>
        <v>1.2000000000000455</v>
      </c>
      <c r="N4" s="31">
        <f>'FS Desroches Daily'!V6</f>
        <v>438.09999999997672</v>
      </c>
      <c r="O4" s="31">
        <f>'FS Desroches Daily'!X7</f>
        <v>439.99999999999773</v>
      </c>
      <c r="P4" s="31">
        <f>'FS Desroches Daily'!Z6</f>
        <v>3200.0000000000919</v>
      </c>
      <c r="Q4" s="31">
        <f>'FS Desroches Daily'!AB6</f>
        <v>340.00000000003183</v>
      </c>
      <c r="R4" s="31">
        <f>'FS Desroches Daily'!AD6</f>
        <v>469.99999999997044</v>
      </c>
      <c r="S4" s="31">
        <f>'FS Desroches Daily'!AF6</f>
        <v>950.00000000004547</v>
      </c>
      <c r="T4" s="31">
        <f>'FS Desroches Daily'!AH6</f>
        <v>45</v>
      </c>
      <c r="U4" s="35">
        <f>'FS Desroches Daily'!AJ6</f>
        <v>980.00000000001819</v>
      </c>
      <c r="V4" s="35">
        <f>'FS Desroches Daily'!AL6</f>
        <v>290.00000000002046</v>
      </c>
      <c r="W4" s="35">
        <f>'FS Desroches Daily'!AN6</f>
        <v>289.99999999999204</v>
      </c>
      <c r="X4" s="35">
        <f>'FS Desroches Daily'!AP6</f>
        <v>340.00000000000341</v>
      </c>
      <c r="Y4" s="35">
        <f>'FS Desroches Daily'!AR6</f>
        <v>240.00000000000909</v>
      </c>
      <c r="Z4" s="35">
        <f>'FS Desroches Daily'!AT6</f>
        <v>389.99999999998636</v>
      </c>
      <c r="AA4" s="35">
        <f>'FS Desroches Daily'!AT6</f>
        <v>389.99999999998636</v>
      </c>
      <c r="AB4" s="35">
        <f>'FS Desroches Daily'!AV6</f>
        <v>230.00000000001819</v>
      </c>
      <c r="AC4" s="35">
        <f>'FS Desroches Daily'!AZ6</f>
        <v>279.99999999997272</v>
      </c>
      <c r="AD4" s="35">
        <f>'FS Desroches Daily'!BB6</f>
        <v>240.00000000000909</v>
      </c>
      <c r="AE4" s="35">
        <f>'FS Desroches Daily'!BD6</f>
        <v>99.999999999965894</v>
      </c>
      <c r="AF4" s="31">
        <f>'FS Desroches Daily'!BF6</f>
        <v>35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50.000000000011369</v>
      </c>
      <c r="AN4" s="32">
        <f>'FS Desroches Daily'!BV6</f>
        <v>45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33.19999999999709</v>
      </c>
      <c r="AR4" s="31">
        <f>'FS Desroches Daily'!CD6</f>
        <v>10</v>
      </c>
      <c r="AS4" s="31">
        <f>'FS Desroches Daily'!CF6</f>
        <v>1.3999999999996362</v>
      </c>
      <c r="AT4" s="31">
        <f>'FS Desroches Daily'!CH6</f>
        <v>15</v>
      </c>
      <c r="AU4" s="31">
        <f>'FS Desroches Daily'!CJ6</f>
        <v>344</v>
      </c>
      <c r="AV4" s="31">
        <f>'FS Desroches Daily'!CL6</f>
        <v>689.99999999994088</v>
      </c>
      <c r="AW4" s="31">
        <f>'FS Desroches Daily'!CM6</f>
        <v>113.79999999999927</v>
      </c>
      <c r="AX4" s="31">
        <f>IF(LPG!F11-LPG!F10&lt;0,"0",(LPG!F11-LPG!F10)*1.8315)</f>
        <v>10.988999999999999</v>
      </c>
      <c r="AY4" s="31">
        <f>IF(LPG!H11-LPG!H10&lt;0,"0",(LPG!H11-LPG!H10)*1.8315)</f>
        <v>3.6629999999999998</v>
      </c>
      <c r="AZ4" s="31" t="str">
        <f>IF(LPG!J13-LPG!J10&lt;0,"0",(LPG!J13-LPG!J10)*1.8315)</f>
        <v>0</v>
      </c>
      <c r="BA4" s="31">
        <f>IF(LPG!M11-LPG!M10&lt;0,"0",(LPG!M11-LPG!M10)*1.8315)</f>
        <v>7.3259999999999996</v>
      </c>
      <c r="BB4" s="31">
        <f>IF(LPG!Q11-LPG!Q10&lt;0,"0",(LPG!Q11-LPG!Q10)*1.8315)</f>
        <v>5.4944999999999995</v>
      </c>
      <c r="BC4" s="13">
        <f>'FS Desroches Daily'!CN6</f>
        <v>40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2022</v>
      </c>
      <c r="E5" s="31">
        <f>'FS Desroches Daily'!D7</f>
        <v>4099.9999999997708</v>
      </c>
      <c r="F5" s="32">
        <f>'FS Desroches Daily'!F7</f>
        <v>3800.0000000000255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2299.9999999999686</v>
      </c>
      <c r="J5" s="32">
        <f>'FS Desroches Daily'!N7</f>
        <v>2299.9999999999686</v>
      </c>
      <c r="K5" s="13">
        <f>'FS Desroches Daily'!P7</f>
        <v>49</v>
      </c>
      <c r="L5" s="31">
        <f>'FS Desroches Daily'!R7</f>
        <v>8</v>
      </c>
      <c r="M5" s="31">
        <f>'FS Desroches Daily'!T7</f>
        <v>1.4000000000000909</v>
      </c>
      <c r="N5" s="31">
        <f>'FS Desroches Daily'!V7</f>
        <v>461.09999999997672</v>
      </c>
      <c r="O5" s="31" t="str">
        <f>'FS Desroches Daily'!X8</f>
        <v/>
      </c>
      <c r="P5" s="31">
        <f>'FS Desroches Daily'!Z7</f>
        <v>3200.0000000000919</v>
      </c>
      <c r="Q5" s="31">
        <f>'FS Desroches Daily'!AB7</f>
        <v>479.99999999996135</v>
      </c>
      <c r="R5" s="31">
        <f>'FS Desroches Daily'!AD7</f>
        <v>589.99999999997499</v>
      </c>
      <c r="S5" s="31">
        <f>'FS Desroches Daily'!AF7</f>
        <v>1079.9999999999272</v>
      </c>
      <c r="T5" s="31">
        <f>'FS Desroches Daily'!AH7</f>
        <v>45</v>
      </c>
      <c r="U5" s="35">
        <f>'FS Desroches Daily'!AJ7</f>
        <v>1059.9999999999454</v>
      </c>
      <c r="V5" s="35">
        <f>'FS Desroches Daily'!AL7</f>
        <v>339.99999999997499</v>
      </c>
      <c r="W5" s="35">
        <f>'FS Desroches Daily'!AN7</f>
        <v>300.00000000001137</v>
      </c>
      <c r="X5" s="35">
        <f>'FS Desroches Daily'!AP7</f>
        <v>330.00000000001251</v>
      </c>
      <c r="Y5" s="35">
        <f>'FS Desroches Daily'!AR7</f>
        <v>290.00000000002046</v>
      </c>
      <c r="Z5" s="35">
        <f>'FS Desroches Daily'!AT7</f>
        <v>370.00000000000455</v>
      </c>
      <c r="AA5" s="35">
        <f>'FS Desroches Daily'!AT7</f>
        <v>370.00000000000455</v>
      </c>
      <c r="AB5" s="35">
        <f>'FS Desroches Daily'!AV7</f>
        <v>240.00000000000909</v>
      </c>
      <c r="AC5" s="35">
        <f>'FS Desroches Daily'!AZ7</f>
        <v>280.00000000002956</v>
      </c>
      <c r="AD5" s="35">
        <f>'FS Desroches Daily'!BB7</f>
        <v>229.99999999996135</v>
      </c>
      <c r="AE5" s="35">
        <f>'FS Desroches Daily'!BD7</f>
        <v>110.00000000001364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49.999999999982947</v>
      </c>
      <c r="AK5" s="32">
        <f>'FS Desroches Daily'!BP7</f>
        <v>69.999999999993179</v>
      </c>
      <c r="AL5" s="32">
        <f>'FS Desroches Daily'!BR7</f>
        <v>36</v>
      </c>
      <c r="AM5" s="32">
        <f>'FS Desroches Daily'!BT7</f>
        <v>39.999999999992042</v>
      </c>
      <c r="AN5" s="32">
        <f>'FS Desroches Daily'!BV7</f>
        <v>40</v>
      </c>
      <c r="AO5" s="32">
        <f>'FS Desroches Daily'!BX7</f>
        <v>50.000000000011369</v>
      </c>
      <c r="AP5" s="32">
        <f>'FS Desroches Daily'!BZ7</f>
        <v>51</v>
      </c>
      <c r="AQ5" s="31">
        <f>'FS Desroches Daily'!CB7</f>
        <v>56</v>
      </c>
      <c r="AR5" s="31">
        <f>'FS Desroches Daily'!CD7</f>
        <v>10.399999999999636</v>
      </c>
      <c r="AS5" s="31">
        <f>'FS Desroches Daily'!CF7</f>
        <v>5.1000000000003638</v>
      </c>
      <c r="AT5" s="31">
        <f>'FS Desroches Daily'!CH7</f>
        <v>48.69999999999709</v>
      </c>
      <c r="AU5" s="31">
        <f>'FS Desroches Daily'!CJ7</f>
        <v>376</v>
      </c>
      <c r="AV5" s="31">
        <f>'FS Desroches Daily'!CL7</f>
        <v>870.00000000000455</v>
      </c>
      <c r="AW5" s="31">
        <f>'FS Desroches Daily'!CM7</f>
        <v>112.20000000000073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40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2022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16399.999999999971</v>
      </c>
      <c r="F33" s="17">
        <f t="shared" ref="F33:BC33" si="0">SUM(F2:F32)</f>
        <v>14899.999999999913</v>
      </c>
      <c r="G33" s="17">
        <f t="shared" si="0"/>
        <v>13300.000000000091</v>
      </c>
      <c r="H33" s="17">
        <f t="shared" si="0"/>
        <v>7000.0000000001173</v>
      </c>
      <c r="I33" s="17">
        <f t="shared" si="0"/>
        <v>8499.9999999997308</v>
      </c>
      <c r="J33" s="17">
        <f t="shared" si="0"/>
        <v>7699.9999999998181</v>
      </c>
      <c r="K33" s="17">
        <f t="shared" si="0"/>
        <v>182</v>
      </c>
      <c r="L33" s="17">
        <f t="shared" si="0"/>
        <v>27</v>
      </c>
      <c r="M33" s="17">
        <f t="shared" si="0"/>
        <v>5.6000000000001364</v>
      </c>
      <c r="N33" s="17">
        <f t="shared" si="0"/>
        <v>1823</v>
      </c>
      <c r="O33" s="17">
        <f t="shared" si="0"/>
        <v>1389.9999999999864</v>
      </c>
      <c r="P33" s="17">
        <f t="shared" si="0"/>
        <v>12900.000000000135</v>
      </c>
      <c r="Q33" s="17">
        <f t="shared" si="0"/>
        <v>1579.9999999999841</v>
      </c>
      <c r="R33" s="17">
        <f t="shared" si="0"/>
        <v>1979.9999999999613</v>
      </c>
      <c r="S33" s="17">
        <f t="shared" si="0"/>
        <v>3750</v>
      </c>
      <c r="T33" s="17">
        <f t="shared" si="0"/>
        <v>185</v>
      </c>
      <c r="U33" s="35">
        <f t="shared" si="0"/>
        <v>4080.0000000000409</v>
      </c>
      <c r="V33" s="35">
        <f t="shared" si="0"/>
        <v>1280.0000000000296</v>
      </c>
      <c r="W33" s="35">
        <f t="shared" si="0"/>
        <v>1200.0000000000171</v>
      </c>
      <c r="X33" s="35">
        <f t="shared" si="0"/>
        <v>1180.0000000000068</v>
      </c>
      <c r="Y33" s="35">
        <f t="shared" si="0"/>
        <v>1120.0000000000045</v>
      </c>
      <c r="Z33" s="35">
        <f t="shared" si="0"/>
        <v>1530.0000000000296</v>
      </c>
      <c r="AA33" s="35">
        <f t="shared" si="0"/>
        <v>1530.0000000000296</v>
      </c>
      <c r="AB33" s="35">
        <f t="shared" si="0"/>
        <v>1160.000000000025</v>
      </c>
      <c r="AC33" s="35">
        <f t="shared" si="0"/>
        <v>1160.000000000025</v>
      </c>
      <c r="AD33" s="35">
        <f t="shared" si="0"/>
        <v>1039.9999999999636</v>
      </c>
      <c r="AE33" s="35">
        <f t="shared" si="0"/>
        <v>379.99999999999545</v>
      </c>
      <c r="AF33" s="17">
        <f t="shared" si="0"/>
        <v>115</v>
      </c>
      <c r="AG33" s="32">
        <f t="shared" si="0"/>
        <v>210.00000000000796</v>
      </c>
      <c r="AH33" s="32">
        <f t="shared" si="0"/>
        <v>149.99999999997726</v>
      </c>
      <c r="AI33" s="32">
        <f t="shared" si="0"/>
        <v>189.99999999999773</v>
      </c>
      <c r="AJ33" s="32">
        <f t="shared" si="0"/>
        <v>189.99999999999773</v>
      </c>
      <c r="AK33" s="32">
        <f t="shared" si="0"/>
        <v>259.99999999999091</v>
      </c>
      <c r="AL33" s="32">
        <f t="shared" si="0"/>
        <v>141</v>
      </c>
      <c r="AM33" s="32">
        <f t="shared" si="0"/>
        <v>180.00000000000682</v>
      </c>
      <c r="AN33" s="32">
        <f t="shared" si="0"/>
        <v>175</v>
      </c>
      <c r="AO33" s="32">
        <f t="shared" si="0"/>
        <v>189.99999999999773</v>
      </c>
      <c r="AP33" s="32">
        <f t="shared" si="0"/>
        <v>187</v>
      </c>
      <c r="AQ33" s="17">
        <f t="shared" si="0"/>
        <v>212.59999999999854</v>
      </c>
      <c r="AR33" s="17">
        <f t="shared" si="0"/>
        <v>59.100000000000364</v>
      </c>
      <c r="AS33" s="17">
        <f t="shared" si="0"/>
        <v>19.5</v>
      </c>
      <c r="AT33" s="17">
        <f t="shared" si="0"/>
        <v>148.69999999999709</v>
      </c>
      <c r="AU33" s="17">
        <f t="shared" si="0"/>
        <v>1343</v>
      </c>
      <c r="AV33" s="17">
        <f t="shared" si="0"/>
        <v>3000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16.483499999999999</v>
      </c>
      <c r="BC33" s="17">
        <f t="shared" si="0"/>
        <v>161</v>
      </c>
    </row>
    <row r="35" spans="5:55" x14ac:dyDescent="0.25">
      <c r="E35" s="38">
        <f>E33/E37</f>
        <v>0.32515167135889611</v>
      </c>
      <c r="G35" s="29">
        <f>G33-M36</f>
        <v>11471.400000000091</v>
      </c>
      <c r="AE35" s="35">
        <f>SUM(U33:AE33)</f>
        <v>15660.000000000167</v>
      </c>
      <c r="AG35" s="32">
        <f>SUM(AG33:AP33)</f>
        <v>1872.9999999999761</v>
      </c>
    </row>
    <row r="36" spans="5:55" x14ac:dyDescent="0.25">
      <c r="G36" s="29">
        <f>G35-633*14</f>
        <v>2609.4000000000906</v>
      </c>
      <c r="M36" s="29">
        <f>M33+N33</f>
        <v>1828.6000000000001</v>
      </c>
    </row>
    <row r="37" spans="5:55" x14ac:dyDescent="0.25">
      <c r="E37" s="17">
        <f>E33+F33+G33+H33+J33-633*14</f>
        <v>50437.999999999905</v>
      </c>
      <c r="G37" s="37">
        <f>M36/E37</f>
        <v>3.6254411356516983E-2</v>
      </c>
      <c r="M37" s="35">
        <f>AE35</f>
        <v>15660.000000000167</v>
      </c>
    </row>
    <row r="38" spans="5:55" x14ac:dyDescent="0.25">
      <c r="L38" s="27">
        <f>M38/E37</f>
        <v>3.713470002775645E-2</v>
      </c>
      <c r="M38" s="29">
        <f>AG35</f>
        <v>1872.9999999999761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zoomScale="82" zoomScaleNormal="82" workbookViewId="0">
      <pane ySplit="1" topLeftCell="A2" activePane="bottomLeft" state="frozen"/>
      <selection pane="bottomLeft" activeCell="CW8" sqref="CW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44620</v>
      </c>
      <c r="B3" s="68"/>
      <c r="C3" s="58">
        <v>2.9276</v>
      </c>
      <c r="D3" s="64" t="e">
        <f t="shared" ref="D3" si="0">IF((C3-C2&lt;0), "0",(C3-C2)*1000000)</f>
        <v>#VALUE!</v>
      </c>
      <c r="E3" s="58">
        <v>4.0162000000000004</v>
      </c>
      <c r="F3" s="64" t="e">
        <f t="shared" ref="F3" si="1">IF((E3-E2&lt;0), "0",(E3-E2)*1000000)</f>
        <v>#VALUE!</v>
      </c>
      <c r="G3" s="58">
        <v>3.9923000000000002</v>
      </c>
      <c r="H3" s="64" t="e">
        <f t="shared" ref="H3" si="2">IF((G3-G2&lt;0), "0",(G3-G2)*1000000)</f>
        <v>#VALUE!</v>
      </c>
      <c r="I3" s="58">
        <v>1.9962</v>
      </c>
      <c r="J3" s="64" t="e">
        <f t="shared" ref="J3" si="3">IF((I3-I2&lt;0), "0",(I3-I2)*1000000)</f>
        <v>#VALUE!</v>
      </c>
      <c r="K3" s="58">
        <v>3.1474000000000002</v>
      </c>
      <c r="L3" s="64" t="e">
        <f t="shared" ref="L3" si="4">IF((K3-K2&lt;0), "0",(K3-K2)*1000000)</f>
        <v>#VALUE!</v>
      </c>
      <c r="M3" s="58">
        <v>1.7612000000000001</v>
      </c>
      <c r="N3" s="64" t="e">
        <f t="shared" ref="N3" si="5">IF((M3-M2&lt;0), "",(M3-M2)*1000000)</f>
        <v>#VALUE!</v>
      </c>
      <c r="O3" s="58">
        <v>17766</v>
      </c>
      <c r="P3" s="67" t="e">
        <f t="shared" ref="P3" si="6">IF((O3-O2&lt;0), "",O3-O2)</f>
        <v>#VALUE!</v>
      </c>
      <c r="Q3" s="58">
        <v>2053</v>
      </c>
      <c r="R3" s="67" t="e">
        <f t="shared" ref="R3" si="7">IF((Q3-Q2&lt;0), "",Q3-Q2)</f>
        <v>#VALUE!</v>
      </c>
      <c r="S3" s="58">
        <v>1235.8</v>
      </c>
      <c r="T3" s="67" t="e">
        <f t="shared" ref="T3" si="8">IF((S3-S2&lt;0), "",S3-S2)</f>
        <v>#VALUE!</v>
      </c>
      <c r="U3" s="58">
        <v>509608.6</v>
      </c>
      <c r="V3" s="67" t="e">
        <f t="shared" ref="V3" si="9">IF((U3-U2&lt;0), "",U3-U2)</f>
        <v>#VALUE!</v>
      </c>
      <c r="W3" s="58">
        <v>476.1</v>
      </c>
      <c r="X3" s="65" t="e">
        <f t="shared" ref="X3" si="10">IF((W3-W2&lt;0), "",(W3-W2)*1000)</f>
        <v>#VALUE!</v>
      </c>
      <c r="Y3" s="58">
        <v>3.5286</v>
      </c>
      <c r="Z3" s="65" t="e">
        <f t="shared" ref="Z3" si="11">IF((Y3-Y2&lt;0), "",(Y3-Y2)*1000000)</f>
        <v>#VALUE!</v>
      </c>
      <c r="AA3" s="58">
        <v>478.7</v>
      </c>
      <c r="AB3" s="65" t="e">
        <f t="shared" ref="AB3" si="12">IF((AA3-AA2&lt;0), "",(AA3-AA2)*1000)</f>
        <v>#VALUE!</v>
      </c>
      <c r="AC3" s="58">
        <v>463.55</v>
      </c>
      <c r="AD3" s="65" t="e">
        <f t="shared" ref="AD3" si="13">IF((AC3-AC2&lt;0), "",(AC3-AC2)*1000)</f>
        <v>#VALUE!</v>
      </c>
      <c r="AE3" s="58">
        <v>668.79</v>
      </c>
      <c r="AF3" s="65" t="e">
        <f t="shared" ref="AF3" si="14">IF((AE3-AE2&lt;0), "",(AE3-AE2)*1000)</f>
        <v>#VALUE!</v>
      </c>
      <c r="AG3" s="58">
        <v>13754</v>
      </c>
      <c r="AH3" s="67" t="e">
        <f t="shared" ref="AH3" si="15">IF((AG3-AG2&lt;0), "",AG3-AG2)</f>
        <v>#VALUE!</v>
      </c>
      <c r="AI3" s="58">
        <v>782.42</v>
      </c>
      <c r="AJ3" s="65" t="e">
        <f t="shared" ref="AJ3" si="16">IF((AI3-AI2&lt;0), "",(AI3-AI2)*1000)</f>
        <v>#VALUE!</v>
      </c>
      <c r="AK3" s="58">
        <v>261.27999999999997</v>
      </c>
      <c r="AL3" s="65" t="e">
        <f t="shared" ref="AL3" si="17">IF((AK3-AK2&lt;0), "",(AK3-AK2)*1000)</f>
        <v>#VALUE!</v>
      </c>
      <c r="AM3" s="58">
        <v>245.42</v>
      </c>
      <c r="AN3" s="65" t="e">
        <f t="shared" ref="AN3" si="18">IF((AM3-AM2&lt;0), "",(AM3-AM2)*1000)</f>
        <v>#VALUE!</v>
      </c>
      <c r="AO3" s="58">
        <v>236.09</v>
      </c>
      <c r="AP3" s="65" t="e">
        <f t="shared" ref="AP3" si="19">IF((AO3-AO2&lt;0), "",(AO3-AO2)*1000)</f>
        <v>#VALUE!</v>
      </c>
      <c r="AQ3" s="58">
        <v>293.10000000000002</v>
      </c>
      <c r="AR3" s="65" t="e">
        <f t="shared" ref="AR3" si="20">IF((AQ3-AQ2&lt;0), "",(AQ3-AQ2)*1000)</f>
        <v>#VALUE!</v>
      </c>
      <c r="AS3" s="58">
        <v>419.27</v>
      </c>
      <c r="AT3" s="65" t="e">
        <f t="shared" ref="AT3" si="21">IF((AS3-AS2&lt;0), "",(AS3-AS2)*1000)</f>
        <v>#VALUE!</v>
      </c>
      <c r="AU3" s="58">
        <v>324.88</v>
      </c>
      <c r="AV3" s="65" t="e">
        <f t="shared" ref="AV3" si="22">IF((AU3-AU2&lt;0), "",(AU3-AU2)*1000)</f>
        <v>#VALUE!</v>
      </c>
      <c r="AW3" s="58">
        <v>357.59</v>
      </c>
      <c r="AX3" s="65" t="e">
        <f t="shared" ref="AX3" si="23">IF((AW3-AW2&lt;0), "",(AW3-AW2)*1000)</f>
        <v>#VALUE!</v>
      </c>
      <c r="AY3" s="58">
        <v>392</v>
      </c>
      <c r="AZ3" s="65" t="e">
        <f t="shared" ref="AZ3" si="24">IF((AY3-AY2&lt;0), "",(AY3-AY2)*1000)</f>
        <v>#VALUE!</v>
      </c>
      <c r="BA3" s="58">
        <v>411.8</v>
      </c>
      <c r="BB3" s="65" t="e">
        <f t="shared" ref="BB3" si="25">IF((BA3-BA2&lt;0), "",(BA3-BA2)*1000)</f>
        <v>#VALUE!</v>
      </c>
      <c r="BC3" s="58">
        <v>263.94</v>
      </c>
      <c r="BD3" s="65" t="e">
        <f t="shared" ref="BD3" si="26">IF((BC3-BC2&lt;0), "",(BC3-BC2)*1000)</f>
        <v>#VALUE!</v>
      </c>
      <c r="BE3" s="59">
        <v>48587</v>
      </c>
      <c r="BF3" s="67" t="e">
        <f t="shared" ref="BF3" si="27">IF((BE3-BE2&lt;0), "",BE3-BE2)</f>
        <v>#VALUE!</v>
      </c>
      <c r="BG3" s="60">
        <v>244.5</v>
      </c>
      <c r="BH3" s="65" t="e">
        <f t="shared" ref="BH3" si="28">IF((BG3-BG2&lt;0), "",(BG3-BG2)*1000)</f>
        <v>#VALUE!</v>
      </c>
      <c r="BI3" s="60">
        <v>300.18</v>
      </c>
      <c r="BJ3" s="65" t="e">
        <f t="shared" ref="BJ3" si="29">IF((BI3-BI2&lt;0), "",(BI3-BI2)*1000)</f>
        <v>#VALUE!</v>
      </c>
      <c r="BK3" s="60">
        <v>247.12</v>
      </c>
      <c r="BL3" s="65" t="e">
        <f t="shared" ref="BL3" si="30">IF((BK3-BK2&lt;0), "",(BK3-BK2)*1000)</f>
        <v>#VALUE!</v>
      </c>
      <c r="BM3" s="60">
        <v>234.23</v>
      </c>
      <c r="BN3" s="65" t="e">
        <f t="shared" ref="BN3" si="31">IF((BM3-BM2&lt;0), "",(BM3-BM2)*1000)</f>
        <v>#VALUE!</v>
      </c>
      <c r="BO3" s="60">
        <v>300.33</v>
      </c>
      <c r="BP3" s="65" t="e">
        <f t="shared" ref="BP3" si="32">IF((BO3-BO2&lt;0), "",(BO3-BO2)*1000)</f>
        <v>#VALUE!</v>
      </c>
      <c r="BQ3" s="60">
        <v>52945</v>
      </c>
      <c r="BR3" s="65" t="e">
        <f t="shared" ref="BR3" si="33">IF((BQ3-BQ2&lt;0), "",BQ3-BQ2)</f>
        <v>#VALUE!</v>
      </c>
      <c r="BS3" s="60">
        <v>211.2</v>
      </c>
      <c r="BT3" s="65" t="e">
        <f t="shared" ref="BT3" si="34">IF((BS3-BS2&lt;0), "",(BS3-BS2)*1000)</f>
        <v>#VALUE!</v>
      </c>
      <c r="BU3" s="60">
        <v>49986</v>
      </c>
      <c r="BV3" s="65" t="e">
        <f t="shared" ref="BV3" si="35">IF((BU3-BU2&lt;0), "",BU3-BU2)</f>
        <v>#VALUE!</v>
      </c>
      <c r="BW3" s="60">
        <v>239.43</v>
      </c>
      <c r="BX3" s="65" t="e">
        <f t="shared" ref="BX3" si="36">IF((BW3-BW2&lt;0), "",(BW3-BW2)*1000)</f>
        <v>#VALUE!</v>
      </c>
      <c r="BY3" s="60">
        <v>69709</v>
      </c>
      <c r="BZ3" s="67" t="e">
        <f t="shared" ref="BZ3" si="37">IF((BY3-BY2&lt;0), "",BY3-BY2)</f>
        <v>#VALUE!</v>
      </c>
      <c r="CA3" s="60">
        <v>43759.5</v>
      </c>
      <c r="CB3" s="67" t="e">
        <f t="shared" ref="CB3" si="38">IF((CA3-CA2&lt;0), "",CA3-CA2)</f>
        <v>#VALUE!</v>
      </c>
      <c r="CC3" s="60">
        <v>14510.8</v>
      </c>
      <c r="CD3" s="67" t="e">
        <f t="shared" ref="CD3" si="39">IF((CC3-CC2&lt;0), "",CC3-CC2)</f>
        <v>#VALUE!</v>
      </c>
      <c r="CE3" s="60">
        <v>7676.6</v>
      </c>
      <c r="CF3" s="67" t="e">
        <f t="shared" ref="CF3" si="40">IF((CE3-CE2&lt;0), "",CE3-CE2)</f>
        <v>#VALUE!</v>
      </c>
      <c r="CG3" s="60">
        <v>70342</v>
      </c>
      <c r="CH3" s="67" t="e">
        <f t="shared" ref="CH3" si="41">IF((CG3-CG2&lt;0), "",CG3-CG2)</f>
        <v>#VALUE!</v>
      </c>
      <c r="CI3" s="60">
        <v>1019338</v>
      </c>
      <c r="CJ3" s="67" t="e">
        <f t="shared" ref="CJ3" si="42">IF((CI3-CI2&lt;0), "",CI3-CI2)</f>
        <v>#VALUE!</v>
      </c>
      <c r="CK3" s="60">
        <v>921.68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41</v>
      </c>
      <c r="CO3" s="62">
        <v>97</v>
      </c>
      <c r="CP3" s="68">
        <v>23176</v>
      </c>
      <c r="CQ3" s="67" t="e">
        <f t="shared" ref="CQ3" si="45">IF((CP3-CP2&lt;0), "",CP3-CP2)</f>
        <v>#VALUE!</v>
      </c>
      <c r="CR3" s="68">
        <v>19525.3</v>
      </c>
      <c r="CS3" s="67" t="e">
        <f t="shared" ref="CS3" si="46">IF((CR3-CR2&lt;0), "",CR3-CR2)</f>
        <v>#VALUE!</v>
      </c>
      <c r="CT3" s="75">
        <v>9017</v>
      </c>
      <c r="CU3" s="67" t="e">
        <f t="shared" ref="CU3" si="47">IF((CT3-CT2&lt;0), "",CT3-CT2)</f>
        <v>#VALUE!</v>
      </c>
      <c r="CV3" s="68">
        <v>22348</v>
      </c>
      <c r="CW3" s="67" t="e">
        <f t="shared" ref="CW3" si="48">IF((CV3-CV2&lt;0), "",CV3-CV2)</f>
        <v>#VALUE!</v>
      </c>
      <c r="CX3" s="58">
        <v>1982.6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44621</v>
      </c>
      <c r="B4" s="68"/>
      <c r="C4" s="58">
        <v>2.9318</v>
      </c>
      <c r="D4" s="64">
        <f t="shared" ref="D4:D34" si="50">IF((C4-C3&lt;0), "0",(C4-C3)*1000000)</f>
        <v>4199.9999999999818</v>
      </c>
      <c r="E4" s="58">
        <v>4.0199999999999996</v>
      </c>
      <c r="F4" s="64">
        <f t="shared" ref="F4:F34" si="51">IF((E4-E3&lt;0), "0",(E4-E3)*1000000)</f>
        <v>3799.9999999991373</v>
      </c>
      <c r="G4" s="58">
        <v>3.9958</v>
      </c>
      <c r="H4" s="64">
        <f t="shared" ref="H4:H34" si="52">IF((G4-G3&lt;0), "0",(G4-G3)*1000000)</f>
        <v>3499.9999999998367</v>
      </c>
      <c r="I4" s="58">
        <v>1.998</v>
      </c>
      <c r="J4" s="64">
        <f t="shared" ref="J4:J34" si="53">IF((I4-I3&lt;0), "0",(I4-I3)*1000000)</f>
        <v>1800.0000000000239</v>
      </c>
      <c r="K4" s="58">
        <v>3.1495000000000002</v>
      </c>
      <c r="L4" s="64">
        <f t="shared" ref="L4:L34" si="54">IF((K4-K3&lt;0), "0",(K4-K3)*1000000)</f>
        <v>2099.9999999999909</v>
      </c>
      <c r="M4" s="58">
        <v>1.7628999999999999</v>
      </c>
      <c r="N4" s="64">
        <f t="shared" ref="N4:N34" si="55">IF((M4-M3&lt;0), "",(M4-M3)*1000000)</f>
        <v>1699.9999999998129</v>
      </c>
      <c r="O4" s="58">
        <v>17814</v>
      </c>
      <c r="P4" s="67">
        <f t="shared" ref="P4:P34" si="56">IF((O4-O3&lt;0), "",O4-O3)</f>
        <v>48</v>
      </c>
      <c r="Q4" s="58">
        <v>2060</v>
      </c>
      <c r="R4" s="67">
        <f t="shared" ref="R4:R34" si="57">IF((Q4-Q3&lt;0), "",Q4-Q3)</f>
        <v>7</v>
      </c>
      <c r="S4" s="58">
        <v>1237.5</v>
      </c>
      <c r="T4" s="67">
        <f t="shared" ref="T4:T34" si="58">IF((S4-S3&lt;0), "",S4-S3)</f>
        <v>1.7000000000000455</v>
      </c>
      <c r="U4" s="58">
        <v>510109.9</v>
      </c>
      <c r="V4" s="67">
        <f t="shared" ref="V4:V34" si="59">IF((U4-U3&lt;0), "",U4-U3)</f>
        <v>501.30000000004657</v>
      </c>
      <c r="W4" s="58">
        <v>476.56</v>
      </c>
      <c r="X4" s="65">
        <f t="shared" ref="X4:X34" si="60">IF((W4-W3&lt;0), "",(W4-W3)*1000)</f>
        <v>459.99999999997954</v>
      </c>
      <c r="Y4" s="58">
        <v>3.5318999999999998</v>
      </c>
      <c r="Z4" s="65">
        <f t="shared" ref="Z4:Z34" si="61">IF((Y4-Y3&lt;0), "",(Y4-Y3)*1000000)</f>
        <v>3299.9999999998586</v>
      </c>
      <c r="AA4" s="58">
        <v>479.02</v>
      </c>
      <c r="AB4" s="65">
        <f t="shared" ref="AB4:AB34" si="62">IF((AA4-AA3&lt;0), "",(AA4-AA3)*1000)</f>
        <v>319.99999999999318</v>
      </c>
      <c r="AC4" s="58">
        <v>464</v>
      </c>
      <c r="AD4" s="65">
        <f t="shared" ref="AD4:AD34" si="63">IF((AC4-AC3&lt;0), "",(AC4-AC3)*1000)</f>
        <v>449.99999999998863</v>
      </c>
      <c r="AE4" s="58">
        <v>669.62</v>
      </c>
      <c r="AF4" s="65">
        <f t="shared" ref="AF4:AF34" si="64">IF((AE4-AE3&lt;0), "",(AE4-AE3)*1000)</f>
        <v>830.00000000004093</v>
      </c>
      <c r="AG4" s="58">
        <v>13803</v>
      </c>
      <c r="AH4" s="67">
        <f t="shared" ref="AH4:AH34" si="65">IF((AG4-AG3&lt;0), "",AG4-AG3)</f>
        <v>49</v>
      </c>
      <c r="AI4" s="58">
        <v>783.45</v>
      </c>
      <c r="AJ4" s="65">
        <f t="shared" ref="AJ4:AJ34" si="66">IF((AI4-AI3&lt;0), "",(AI4-AI3)*1000)</f>
        <v>1030.0000000000864</v>
      </c>
      <c r="AK4" s="58">
        <v>261.61</v>
      </c>
      <c r="AL4" s="65">
        <f t="shared" ref="AL4:AL34" si="67">IF((AK4-AK3&lt;0), "",(AK4-AK3)*1000)</f>
        <v>330.00000000004093</v>
      </c>
      <c r="AM4" s="58">
        <v>245.76</v>
      </c>
      <c r="AN4" s="65">
        <f t="shared" ref="AN4:AN34" si="68">IF((AM4-AM3&lt;0), "",(AM4-AM3)*1000)</f>
        <v>340.00000000000341</v>
      </c>
      <c r="AO4" s="58">
        <v>236.32</v>
      </c>
      <c r="AP4" s="65">
        <f t="shared" ref="AP4:AP34" si="69">IF((AO4-AO3&lt;0), "",(AO4-AO3)*1000)</f>
        <v>229.99999999998977</v>
      </c>
      <c r="AQ4" s="58">
        <v>293.39999999999998</v>
      </c>
      <c r="AR4" s="65">
        <f t="shared" ref="AR4:AR34" si="70">IF((AQ4-AQ3&lt;0), "",(AQ4-AQ3)*1000)</f>
        <v>299.99999999995453</v>
      </c>
      <c r="AS4" s="58">
        <v>419.68</v>
      </c>
      <c r="AT4" s="65">
        <f t="shared" ref="AT4:AT34" si="71">IF((AS4-AS3&lt;0), "",(AS4-AS3)*1000)</f>
        <v>410.00000000002501</v>
      </c>
      <c r="AU4" s="58">
        <v>325.24</v>
      </c>
      <c r="AV4" s="65">
        <f t="shared" ref="AV4:AV34" si="72">IF((AU4-AU3&lt;0), "",(AU4-AU3)*1000)</f>
        <v>360.00000000001364</v>
      </c>
      <c r="AW4" s="58">
        <v>357.91</v>
      </c>
      <c r="AX4" s="65">
        <f t="shared" ref="AX4:AX34" si="73">IF((AW4-AW3&lt;0), "",(AW4-AW3)*1000)</f>
        <v>320.00000000005002</v>
      </c>
      <c r="AY4" s="58">
        <v>392.29</v>
      </c>
      <c r="AZ4" s="65">
        <f t="shared" ref="AZ4:AZ34" si="74">IF((AY4-AY3&lt;0), "",(AY4-AY3)*1000)</f>
        <v>290.00000000002046</v>
      </c>
      <c r="BA4" s="58">
        <v>412.07</v>
      </c>
      <c r="BB4" s="65">
        <f t="shared" ref="BB4:BB34" si="75">IF((BA4-BA3&lt;0), "",(BA4-BA3)*1000)</f>
        <v>269.99999999998181</v>
      </c>
      <c r="BC4" s="58">
        <v>264.01</v>
      </c>
      <c r="BD4" s="65">
        <f t="shared" ref="BD4:BD34" si="76">IF((BC4-BC3&lt;0), "",(BC4-BC3)*1000)</f>
        <v>69.999999999993179</v>
      </c>
      <c r="BE4" s="59">
        <v>48597</v>
      </c>
      <c r="BF4" s="67">
        <f t="shared" ref="BF4:BF34" si="77">IF((BE4-BE3&lt;0), "",BE4-BE3)</f>
        <v>10</v>
      </c>
      <c r="BG4" s="60">
        <v>244.56</v>
      </c>
      <c r="BH4" s="65">
        <f t="shared" ref="BH4:BH34" si="78">IF((BG4-BG3&lt;0), "",(BG4-BG3)*1000)</f>
        <v>60.000000000002274</v>
      </c>
      <c r="BI4" s="60">
        <v>300.22000000000003</v>
      </c>
      <c r="BJ4" s="65">
        <f t="shared" ref="BJ4:BJ34" si="79">IF((BI4-BI3&lt;0), "",(BI4-BI3)*1000)</f>
        <v>40.000000000020464</v>
      </c>
      <c r="BK4" s="60">
        <v>247.17</v>
      </c>
      <c r="BL4" s="65">
        <f t="shared" ref="BL4:BL34" si="80">IF((BK4-BK3&lt;0), "",(BK4-BK3)*1000)</f>
        <v>49.999999999982947</v>
      </c>
      <c r="BM4" s="60">
        <v>234.28</v>
      </c>
      <c r="BN4" s="65">
        <f t="shared" ref="BN4:BN34" si="81">IF((BM4-BM3&lt;0), "",(BM4-BM3)*1000)</f>
        <v>50.000000000011369</v>
      </c>
      <c r="BO4" s="60">
        <v>300.39999999999998</v>
      </c>
      <c r="BP4" s="65">
        <f t="shared" ref="BP4:BP34" si="82">IF((BO4-BO3&lt;0), "",(BO4-BO3)*1000)</f>
        <v>69.999999999993179</v>
      </c>
      <c r="BQ4" s="60">
        <v>52980</v>
      </c>
      <c r="BR4" s="65">
        <f t="shared" ref="BR4:BR34" si="83">IF((BQ4-BQ3&lt;0), "",BQ4-BQ3)</f>
        <v>35</v>
      </c>
      <c r="BS4" s="60">
        <v>211.25</v>
      </c>
      <c r="BT4" s="65">
        <f t="shared" ref="BT4:BT34" si="84">IF((BS4-BS3&lt;0), "",(BS4-BS3)*1000)</f>
        <v>50.000000000011369</v>
      </c>
      <c r="BU4" s="60">
        <v>50040</v>
      </c>
      <c r="BV4" s="65">
        <f t="shared" ref="BV4:BV34" si="85">IF((BU4-BU3&lt;0), "",BU4-BU3)</f>
        <v>54</v>
      </c>
      <c r="BW4" s="60">
        <v>239.48</v>
      </c>
      <c r="BX4" s="65">
        <f t="shared" ref="BX4:BX34" si="86">IF((BW4-BW3&lt;0), "",(BW4-BW3)*1000)</f>
        <v>49.999999999982947</v>
      </c>
      <c r="BY4" s="60">
        <v>69756</v>
      </c>
      <c r="BZ4" s="67">
        <f t="shared" ref="BZ4:BZ34" si="87">IF((BY4-BY3&lt;0), "",BY4-BY3)</f>
        <v>47</v>
      </c>
      <c r="CA4" s="60">
        <v>43827.7</v>
      </c>
      <c r="CB4" s="67">
        <f t="shared" ref="CB4:CB34" si="88">IF((CA4-CA3&lt;0), "",CA4-CA3)</f>
        <v>68.19999999999709</v>
      </c>
      <c r="CC4" s="60">
        <v>14536.2</v>
      </c>
      <c r="CD4" s="67">
        <f t="shared" ref="CD4:CD34" si="89">IF((CC4-CC3&lt;0), "",CC4-CC3)</f>
        <v>25.400000000001455</v>
      </c>
      <c r="CE4" s="60">
        <v>7680.6</v>
      </c>
      <c r="CF4" s="67">
        <f t="shared" ref="CF4:CF34" si="90">IF((CE4-CE3&lt;0), "",CE4-CE3)</f>
        <v>4</v>
      </c>
      <c r="CG4" s="60">
        <v>70387</v>
      </c>
      <c r="CH4" s="67">
        <f t="shared" ref="CH4:CH34" si="91">IF((CG4-CG3&lt;0), "",CG4-CG3)</f>
        <v>45</v>
      </c>
      <c r="CI4" s="60">
        <v>1019656</v>
      </c>
      <c r="CJ4" s="67">
        <f t="shared" ref="CJ4:CJ34" si="92">IF((CI4-CI3&lt;0), "",CI4-CI3)</f>
        <v>318</v>
      </c>
      <c r="CK4" s="60">
        <v>922.34</v>
      </c>
      <c r="CL4" s="64">
        <f t="shared" ref="CL4:CL34" si="93">IF((CK4-CK3&lt;0), "",(CK4-CK3)*1000)</f>
        <v>660.00000000008185</v>
      </c>
      <c r="CM4" s="65">
        <f t="shared" ref="CM4:CM34" si="94">CQ4+CS4</f>
        <v>127.70000000000073</v>
      </c>
      <c r="CN4" s="62">
        <v>41</v>
      </c>
      <c r="CO4" s="62">
        <v>97</v>
      </c>
      <c r="CP4" s="68">
        <v>23278</v>
      </c>
      <c r="CQ4" s="67">
        <f t="shared" ref="CQ4:CQ34" si="95">IF((CP4-CP3&lt;0), "",CP4-CP3)</f>
        <v>102</v>
      </c>
      <c r="CR4" s="68">
        <v>19551</v>
      </c>
      <c r="CS4" s="67">
        <f t="shared" ref="CS4:CS34" si="96">IF((CR4-CR3&lt;0), "",CR4-CR3)</f>
        <v>25.700000000000728</v>
      </c>
      <c r="CT4" s="75">
        <v>9027</v>
      </c>
      <c r="CU4" s="67">
        <f t="shared" ref="CU4:CU34" si="97">IF((CT4-CT3&lt;0), "",CT4-CT3)</f>
        <v>10</v>
      </c>
      <c r="CV4" s="68">
        <v>22376</v>
      </c>
      <c r="CW4" s="67">
        <f t="shared" ref="CW4:CW34" si="98">IF((CV4-CV3&lt;0), "",CV4-CV3)</f>
        <v>28</v>
      </c>
      <c r="CX4" s="58">
        <v>1995.8</v>
      </c>
      <c r="CY4" s="67">
        <f t="shared" ref="CY4:CY34" si="99">IF((CX4-CX3&lt;0), "",CX4-CX3)</f>
        <v>13.200000000000045</v>
      </c>
    </row>
    <row r="5" spans="1:103" ht="25.5" customHeight="1" thickBot="1" x14ac:dyDescent="0.45">
      <c r="A5" s="63">
        <v>44622</v>
      </c>
      <c r="B5" s="44"/>
      <c r="C5" s="58">
        <v>2.9359000000000002</v>
      </c>
      <c r="D5" s="64">
        <f t="shared" si="50"/>
        <v>4100.0000000002146</v>
      </c>
      <c r="E5" s="58">
        <v>4.0236000000000001</v>
      </c>
      <c r="F5" s="64">
        <f t="shared" si="51"/>
        <v>3600.0000000004916</v>
      </c>
      <c r="G5" s="58">
        <v>3.9988999999999999</v>
      </c>
      <c r="H5" s="64">
        <f t="shared" si="52"/>
        <v>3099.9999999998809</v>
      </c>
      <c r="I5" s="58">
        <v>1.9996</v>
      </c>
      <c r="J5" s="64">
        <f t="shared" si="53"/>
        <v>1600.0000000000459</v>
      </c>
      <c r="K5" s="58">
        <v>3.1515</v>
      </c>
      <c r="L5" s="64">
        <f t="shared" si="54"/>
        <v>1999.9999999997797</v>
      </c>
      <c r="M5" s="58">
        <v>1.7646999999999999</v>
      </c>
      <c r="N5" s="64">
        <f t="shared" si="55"/>
        <v>1800.0000000000239</v>
      </c>
      <c r="O5" s="58">
        <v>17856</v>
      </c>
      <c r="P5" s="67">
        <f t="shared" si="56"/>
        <v>42</v>
      </c>
      <c r="Q5" s="58">
        <v>2066</v>
      </c>
      <c r="R5" s="67">
        <f t="shared" si="57"/>
        <v>6</v>
      </c>
      <c r="S5" s="58">
        <v>1238.8</v>
      </c>
      <c r="T5" s="67">
        <f t="shared" si="58"/>
        <v>1.2999999999999545</v>
      </c>
      <c r="U5" s="58">
        <v>510532.4</v>
      </c>
      <c r="V5" s="67">
        <f t="shared" si="59"/>
        <v>422.5</v>
      </c>
      <c r="W5" s="58">
        <v>477.01</v>
      </c>
      <c r="X5" s="65">
        <f t="shared" si="60"/>
        <v>449.99999999998863</v>
      </c>
      <c r="Y5" s="58">
        <v>3.5350999999999999</v>
      </c>
      <c r="Z5" s="65">
        <f t="shared" si="61"/>
        <v>3200.0000000000919</v>
      </c>
      <c r="AA5" s="58">
        <v>479.46</v>
      </c>
      <c r="AB5" s="65">
        <f t="shared" si="62"/>
        <v>439.99999999999773</v>
      </c>
      <c r="AC5" s="58">
        <v>464.47</v>
      </c>
      <c r="AD5" s="65">
        <f t="shared" si="63"/>
        <v>470.00000000002728</v>
      </c>
      <c r="AE5" s="58">
        <v>670.51</v>
      </c>
      <c r="AF5" s="65">
        <f t="shared" si="64"/>
        <v>889.99999999998636</v>
      </c>
      <c r="AG5" s="58">
        <v>13849</v>
      </c>
      <c r="AH5" s="67">
        <f t="shared" si="65"/>
        <v>46</v>
      </c>
      <c r="AI5" s="58">
        <v>784.46</v>
      </c>
      <c r="AJ5" s="65">
        <f t="shared" si="66"/>
        <v>1009.9999999999909</v>
      </c>
      <c r="AK5" s="58">
        <v>261.93</v>
      </c>
      <c r="AL5" s="65">
        <f t="shared" si="67"/>
        <v>319.99999999999318</v>
      </c>
      <c r="AM5" s="58">
        <v>246.03</v>
      </c>
      <c r="AN5" s="65">
        <f t="shared" si="68"/>
        <v>270.00000000001023</v>
      </c>
      <c r="AO5" s="58">
        <v>236.6</v>
      </c>
      <c r="AP5" s="65">
        <f t="shared" si="69"/>
        <v>280.00000000000114</v>
      </c>
      <c r="AQ5" s="58">
        <v>293.69</v>
      </c>
      <c r="AR5" s="65">
        <f t="shared" si="70"/>
        <v>290.00000000002046</v>
      </c>
      <c r="AS5" s="58">
        <v>420.04</v>
      </c>
      <c r="AT5" s="65">
        <f t="shared" si="71"/>
        <v>360.00000000001364</v>
      </c>
      <c r="AU5" s="58">
        <v>325.57</v>
      </c>
      <c r="AV5" s="65">
        <f t="shared" si="72"/>
        <v>329.99999999998408</v>
      </c>
      <c r="AW5" s="58">
        <v>358.21</v>
      </c>
      <c r="AX5" s="65">
        <f t="shared" si="73"/>
        <v>299.99999999995453</v>
      </c>
      <c r="AY5" s="58">
        <v>392.6</v>
      </c>
      <c r="AZ5" s="65">
        <f t="shared" si="74"/>
        <v>310.00000000000227</v>
      </c>
      <c r="BA5" s="58">
        <v>412.37</v>
      </c>
      <c r="BB5" s="65">
        <f t="shared" si="75"/>
        <v>300.00000000001137</v>
      </c>
      <c r="BC5" s="58">
        <v>264.11</v>
      </c>
      <c r="BD5" s="65">
        <f t="shared" si="76"/>
        <v>100.00000000002274</v>
      </c>
      <c r="BE5" s="59">
        <v>48635</v>
      </c>
      <c r="BF5" s="67">
        <f t="shared" si="77"/>
        <v>38</v>
      </c>
      <c r="BG5" s="60">
        <v>244.61</v>
      </c>
      <c r="BH5" s="65">
        <f t="shared" si="78"/>
        <v>50.000000000011369</v>
      </c>
      <c r="BI5" s="60">
        <v>300.26</v>
      </c>
      <c r="BJ5" s="65">
        <f t="shared" si="79"/>
        <v>39.99999999996362</v>
      </c>
      <c r="BK5" s="60">
        <v>247.22</v>
      </c>
      <c r="BL5" s="65">
        <f t="shared" si="80"/>
        <v>50.000000000011369</v>
      </c>
      <c r="BM5" s="60">
        <v>234.33</v>
      </c>
      <c r="BN5" s="65">
        <f t="shared" si="81"/>
        <v>50.000000000011369</v>
      </c>
      <c r="BO5" s="60">
        <v>300.45999999999998</v>
      </c>
      <c r="BP5" s="65">
        <f t="shared" si="82"/>
        <v>60.000000000002274</v>
      </c>
      <c r="BQ5" s="60">
        <v>53016</v>
      </c>
      <c r="BR5" s="65">
        <f t="shared" si="83"/>
        <v>36</v>
      </c>
      <c r="BS5" s="60">
        <v>211.29</v>
      </c>
      <c r="BT5" s="65">
        <f t="shared" si="84"/>
        <v>39.999999999992042</v>
      </c>
      <c r="BU5" s="60">
        <v>50076</v>
      </c>
      <c r="BV5" s="65">
        <f t="shared" si="85"/>
        <v>36</v>
      </c>
      <c r="BW5" s="60">
        <v>239.53</v>
      </c>
      <c r="BX5" s="65">
        <f t="shared" si="86"/>
        <v>50.000000000011369</v>
      </c>
      <c r="BY5" s="60">
        <v>69800</v>
      </c>
      <c r="BZ5" s="67">
        <f t="shared" si="87"/>
        <v>44</v>
      </c>
      <c r="CA5" s="60">
        <v>43882.9</v>
      </c>
      <c r="CB5" s="67">
        <f t="shared" si="88"/>
        <v>55.200000000004366</v>
      </c>
      <c r="CC5" s="60">
        <v>14549.5</v>
      </c>
      <c r="CD5" s="67">
        <f t="shared" si="89"/>
        <v>13.299999999999272</v>
      </c>
      <c r="CE5" s="60">
        <v>7689.6</v>
      </c>
      <c r="CF5" s="67">
        <f t="shared" si="90"/>
        <v>9</v>
      </c>
      <c r="CG5" s="60">
        <v>70427</v>
      </c>
      <c r="CH5" s="67">
        <f t="shared" si="91"/>
        <v>40</v>
      </c>
      <c r="CI5" s="60">
        <v>1019961</v>
      </c>
      <c r="CJ5" s="67">
        <f t="shared" si="92"/>
        <v>305</v>
      </c>
      <c r="CK5" s="60">
        <v>923.12</v>
      </c>
      <c r="CL5" s="64">
        <f t="shared" si="93"/>
        <v>779.99999999997272</v>
      </c>
      <c r="CM5" s="65">
        <f t="shared" si="94"/>
        <v>125</v>
      </c>
      <c r="CN5" s="62">
        <v>40</v>
      </c>
      <c r="CO5" s="62">
        <v>102</v>
      </c>
      <c r="CP5" s="68">
        <v>23368</v>
      </c>
      <c r="CQ5" s="67">
        <f t="shared" si="95"/>
        <v>90</v>
      </c>
      <c r="CR5" s="68">
        <v>19586</v>
      </c>
      <c r="CS5" s="67">
        <f t="shared" si="96"/>
        <v>35</v>
      </c>
      <c r="CT5" s="75">
        <v>9036</v>
      </c>
      <c r="CU5" s="67">
        <f t="shared" si="97"/>
        <v>9</v>
      </c>
      <c r="CV5" s="68">
        <v>22408</v>
      </c>
      <c r="CW5" s="67">
        <f t="shared" si="98"/>
        <v>32</v>
      </c>
      <c r="CX5" s="58">
        <v>2008.8</v>
      </c>
      <c r="CY5" s="67">
        <f t="shared" si="99"/>
        <v>13</v>
      </c>
    </row>
    <row r="6" spans="1:103" ht="24.75" customHeight="1" thickBot="1" x14ac:dyDescent="0.45">
      <c r="A6" s="63">
        <v>44623</v>
      </c>
      <c r="B6" s="44"/>
      <c r="C6" s="58">
        <v>2.9399000000000002</v>
      </c>
      <c r="D6" s="64">
        <f t="shared" si="50"/>
        <v>4000.0000000000036</v>
      </c>
      <c r="E6" s="58">
        <v>4.0273000000000003</v>
      </c>
      <c r="F6" s="64">
        <f t="shared" si="51"/>
        <v>3700.0000000002588</v>
      </c>
      <c r="G6" s="58">
        <v>4.0021000000000004</v>
      </c>
      <c r="H6" s="64">
        <f t="shared" si="52"/>
        <v>3200.0000000005357</v>
      </c>
      <c r="I6" s="58">
        <v>2.0013000000000001</v>
      </c>
      <c r="J6" s="64">
        <f t="shared" si="53"/>
        <v>1700.0000000000348</v>
      </c>
      <c r="K6" s="58">
        <v>3.1536</v>
      </c>
      <c r="L6" s="64">
        <f t="shared" si="54"/>
        <v>2099.9999999999909</v>
      </c>
      <c r="M6" s="58">
        <v>1.7665999999999999</v>
      </c>
      <c r="N6" s="64">
        <f t="shared" si="55"/>
        <v>1900.0000000000127</v>
      </c>
      <c r="O6" s="58">
        <v>17899</v>
      </c>
      <c r="P6" s="67">
        <f t="shared" si="56"/>
        <v>43</v>
      </c>
      <c r="Q6" s="58">
        <v>2072</v>
      </c>
      <c r="R6" s="67">
        <f t="shared" si="57"/>
        <v>6</v>
      </c>
      <c r="S6" s="58">
        <v>1240</v>
      </c>
      <c r="T6" s="67">
        <f t="shared" si="58"/>
        <v>1.2000000000000455</v>
      </c>
      <c r="U6" s="58">
        <v>510970.5</v>
      </c>
      <c r="V6" s="67">
        <f t="shared" si="59"/>
        <v>438.09999999997672</v>
      </c>
      <c r="W6" s="58">
        <v>477.5</v>
      </c>
      <c r="X6" s="65">
        <f t="shared" si="60"/>
        <v>490.00000000000909</v>
      </c>
      <c r="Y6" s="58">
        <v>3.5383</v>
      </c>
      <c r="Z6" s="65">
        <f t="shared" si="61"/>
        <v>3200.0000000000919</v>
      </c>
      <c r="AA6" s="58">
        <v>479.8</v>
      </c>
      <c r="AB6" s="65">
        <f t="shared" si="62"/>
        <v>340.00000000003183</v>
      </c>
      <c r="AC6" s="58">
        <v>464.94</v>
      </c>
      <c r="AD6" s="65">
        <f t="shared" si="63"/>
        <v>469.99999999997044</v>
      </c>
      <c r="AE6" s="58">
        <v>671.46</v>
      </c>
      <c r="AF6" s="65">
        <f t="shared" si="64"/>
        <v>950.00000000004547</v>
      </c>
      <c r="AG6" s="58">
        <v>13894</v>
      </c>
      <c r="AH6" s="67">
        <f t="shared" si="65"/>
        <v>45</v>
      </c>
      <c r="AI6" s="58">
        <v>785.44</v>
      </c>
      <c r="AJ6" s="65">
        <f t="shared" si="66"/>
        <v>980.00000000001819</v>
      </c>
      <c r="AK6" s="58">
        <v>262.22000000000003</v>
      </c>
      <c r="AL6" s="65">
        <f t="shared" si="67"/>
        <v>290.00000000002046</v>
      </c>
      <c r="AM6" s="58">
        <v>246.32</v>
      </c>
      <c r="AN6" s="65">
        <f t="shared" si="68"/>
        <v>289.99999999999204</v>
      </c>
      <c r="AO6" s="58">
        <v>236.94</v>
      </c>
      <c r="AP6" s="65">
        <f t="shared" si="69"/>
        <v>340.00000000000341</v>
      </c>
      <c r="AQ6" s="58">
        <v>293.93</v>
      </c>
      <c r="AR6" s="65">
        <f t="shared" si="70"/>
        <v>240.00000000000909</v>
      </c>
      <c r="AS6" s="58">
        <v>420.43</v>
      </c>
      <c r="AT6" s="65">
        <f t="shared" si="71"/>
        <v>389.99999999998636</v>
      </c>
      <c r="AU6" s="58">
        <v>325.8</v>
      </c>
      <c r="AV6" s="65">
        <f t="shared" si="72"/>
        <v>230.00000000001819</v>
      </c>
      <c r="AW6" s="58">
        <v>358.47</v>
      </c>
      <c r="AX6" s="65">
        <f t="shared" si="73"/>
        <v>260.00000000004775</v>
      </c>
      <c r="AY6" s="58">
        <v>392.88</v>
      </c>
      <c r="AZ6" s="65">
        <f t="shared" si="74"/>
        <v>279.99999999997272</v>
      </c>
      <c r="BA6" s="58">
        <v>412.61</v>
      </c>
      <c r="BB6" s="65">
        <f t="shared" si="75"/>
        <v>240.00000000000909</v>
      </c>
      <c r="BC6" s="58">
        <v>264.20999999999998</v>
      </c>
      <c r="BD6" s="65">
        <f t="shared" si="76"/>
        <v>99.999999999965894</v>
      </c>
      <c r="BE6" s="59">
        <v>48670</v>
      </c>
      <c r="BF6" s="67">
        <f t="shared" si="77"/>
        <v>35</v>
      </c>
      <c r="BG6" s="60">
        <v>244.66</v>
      </c>
      <c r="BH6" s="65">
        <f t="shared" si="78"/>
        <v>49.999999999982947</v>
      </c>
      <c r="BI6" s="60">
        <v>300.29000000000002</v>
      </c>
      <c r="BJ6" s="65">
        <f t="shared" si="79"/>
        <v>30.000000000029559</v>
      </c>
      <c r="BK6" s="60">
        <v>247.26</v>
      </c>
      <c r="BL6" s="65">
        <f t="shared" si="80"/>
        <v>39.999999999992042</v>
      </c>
      <c r="BM6" s="60">
        <v>234.37</v>
      </c>
      <c r="BN6" s="65">
        <f t="shared" si="81"/>
        <v>39.999999999992042</v>
      </c>
      <c r="BO6" s="60">
        <v>300.52</v>
      </c>
      <c r="BP6" s="65">
        <f t="shared" si="82"/>
        <v>60.000000000002274</v>
      </c>
      <c r="BQ6" s="60">
        <v>53050</v>
      </c>
      <c r="BR6" s="65">
        <f t="shared" si="83"/>
        <v>34</v>
      </c>
      <c r="BS6" s="60">
        <v>211.34</v>
      </c>
      <c r="BT6" s="65">
        <f t="shared" si="84"/>
        <v>50.000000000011369</v>
      </c>
      <c r="BU6" s="60">
        <v>50121</v>
      </c>
      <c r="BV6" s="65">
        <f t="shared" si="85"/>
        <v>45</v>
      </c>
      <c r="BW6" s="60">
        <v>239.57</v>
      </c>
      <c r="BX6" s="65">
        <f t="shared" si="86"/>
        <v>39.999999999992042</v>
      </c>
      <c r="BY6" s="60">
        <v>69845</v>
      </c>
      <c r="BZ6" s="67">
        <f t="shared" si="87"/>
        <v>45</v>
      </c>
      <c r="CA6" s="60">
        <v>43916.1</v>
      </c>
      <c r="CB6" s="67">
        <f t="shared" si="88"/>
        <v>33.19999999999709</v>
      </c>
      <c r="CC6" s="60">
        <v>14559.5</v>
      </c>
      <c r="CD6" s="67">
        <f t="shared" si="89"/>
        <v>10</v>
      </c>
      <c r="CE6" s="60">
        <v>7691</v>
      </c>
      <c r="CF6" s="67">
        <f t="shared" si="90"/>
        <v>1.3999999999996362</v>
      </c>
      <c r="CG6" s="60">
        <v>70442</v>
      </c>
      <c r="CH6" s="67">
        <f t="shared" si="91"/>
        <v>15</v>
      </c>
      <c r="CI6" s="60">
        <v>1020305</v>
      </c>
      <c r="CJ6" s="67">
        <f t="shared" si="92"/>
        <v>344</v>
      </c>
      <c r="CK6" s="60">
        <v>923.81</v>
      </c>
      <c r="CL6" s="64">
        <f t="shared" si="93"/>
        <v>689.99999999994088</v>
      </c>
      <c r="CM6" s="65">
        <f t="shared" si="94"/>
        <v>113.79999999999927</v>
      </c>
      <c r="CN6" s="62">
        <v>40</v>
      </c>
      <c r="CO6" s="62">
        <v>102</v>
      </c>
      <c r="CP6" s="68">
        <v>23459</v>
      </c>
      <c r="CQ6" s="67">
        <f t="shared" si="95"/>
        <v>91</v>
      </c>
      <c r="CR6" s="68">
        <v>19608.8</v>
      </c>
      <c r="CS6" s="67">
        <f t="shared" si="96"/>
        <v>22.799999999999272</v>
      </c>
      <c r="CT6" s="75">
        <v>9045</v>
      </c>
      <c r="CU6" s="67">
        <f t="shared" si="97"/>
        <v>9</v>
      </c>
      <c r="CV6" s="68">
        <v>22434</v>
      </c>
      <c r="CW6" s="67">
        <f t="shared" si="98"/>
        <v>26</v>
      </c>
      <c r="CX6" s="58">
        <v>2021.8</v>
      </c>
      <c r="CY6" s="67">
        <f t="shared" si="99"/>
        <v>13</v>
      </c>
    </row>
    <row r="7" spans="1:103" ht="25.5" customHeight="1" thickBot="1" x14ac:dyDescent="0.45">
      <c r="A7" s="63">
        <v>44624</v>
      </c>
      <c r="B7" s="44"/>
      <c r="C7" s="58">
        <v>2.944</v>
      </c>
      <c r="D7" s="64">
        <f t="shared" si="50"/>
        <v>4099.9999999997708</v>
      </c>
      <c r="E7" s="58">
        <v>4.0311000000000003</v>
      </c>
      <c r="F7" s="64">
        <f t="shared" si="51"/>
        <v>3800.0000000000255</v>
      </c>
      <c r="G7" s="58">
        <v>4.0056000000000003</v>
      </c>
      <c r="H7" s="64">
        <f t="shared" si="52"/>
        <v>3499.9999999998367</v>
      </c>
      <c r="I7" s="58">
        <v>2.0032000000000001</v>
      </c>
      <c r="J7" s="64">
        <f t="shared" si="53"/>
        <v>1900.0000000000127</v>
      </c>
      <c r="K7" s="58">
        <v>3.1558999999999999</v>
      </c>
      <c r="L7" s="64">
        <f t="shared" si="54"/>
        <v>2299.9999999999686</v>
      </c>
      <c r="M7" s="58">
        <v>1.7688999999999999</v>
      </c>
      <c r="N7" s="64">
        <f t="shared" si="55"/>
        <v>2299.9999999999686</v>
      </c>
      <c r="O7" s="58">
        <v>17948</v>
      </c>
      <c r="P7" s="67">
        <f t="shared" si="56"/>
        <v>49</v>
      </c>
      <c r="Q7" s="58">
        <v>2080</v>
      </c>
      <c r="R7" s="67">
        <f t="shared" si="57"/>
        <v>8</v>
      </c>
      <c r="S7" s="58">
        <v>1241.4000000000001</v>
      </c>
      <c r="T7" s="67">
        <f t="shared" si="58"/>
        <v>1.4000000000000909</v>
      </c>
      <c r="U7" s="58">
        <v>511431.6</v>
      </c>
      <c r="V7" s="67">
        <f t="shared" si="59"/>
        <v>461.09999999997672</v>
      </c>
      <c r="W7" s="58">
        <v>477.94</v>
      </c>
      <c r="X7" s="65">
        <f t="shared" si="60"/>
        <v>439.99999999999773</v>
      </c>
      <c r="Y7" s="58">
        <v>3.5415000000000001</v>
      </c>
      <c r="Z7" s="65">
        <f t="shared" si="61"/>
        <v>3200.0000000000919</v>
      </c>
      <c r="AA7" s="58">
        <v>480.28</v>
      </c>
      <c r="AB7" s="65">
        <f t="shared" si="62"/>
        <v>479.99999999996135</v>
      </c>
      <c r="AC7" s="58">
        <v>465.53</v>
      </c>
      <c r="AD7" s="65">
        <f t="shared" si="63"/>
        <v>589.99999999997499</v>
      </c>
      <c r="AE7" s="58">
        <v>672.54</v>
      </c>
      <c r="AF7" s="65">
        <f t="shared" si="64"/>
        <v>1079.9999999999272</v>
      </c>
      <c r="AG7" s="58">
        <v>13939</v>
      </c>
      <c r="AH7" s="67">
        <f t="shared" si="65"/>
        <v>45</v>
      </c>
      <c r="AI7" s="58">
        <v>786.5</v>
      </c>
      <c r="AJ7" s="65">
        <f t="shared" si="66"/>
        <v>1059.9999999999454</v>
      </c>
      <c r="AK7" s="58">
        <v>262.56</v>
      </c>
      <c r="AL7" s="65">
        <f t="shared" si="67"/>
        <v>339.99999999997499</v>
      </c>
      <c r="AM7" s="58">
        <v>246.62</v>
      </c>
      <c r="AN7" s="65">
        <f t="shared" si="68"/>
        <v>300.00000000001137</v>
      </c>
      <c r="AO7" s="58">
        <v>237.27</v>
      </c>
      <c r="AP7" s="65">
        <f t="shared" si="69"/>
        <v>330.00000000001251</v>
      </c>
      <c r="AQ7" s="58">
        <v>294.22000000000003</v>
      </c>
      <c r="AR7" s="65">
        <f t="shared" si="70"/>
        <v>290.00000000002046</v>
      </c>
      <c r="AS7" s="58">
        <v>420.8</v>
      </c>
      <c r="AT7" s="65">
        <f t="shared" si="71"/>
        <v>370.00000000000455</v>
      </c>
      <c r="AU7" s="58">
        <v>326.04000000000002</v>
      </c>
      <c r="AV7" s="65">
        <f t="shared" si="72"/>
        <v>240.00000000000909</v>
      </c>
      <c r="AW7" s="58">
        <v>358.72</v>
      </c>
      <c r="AX7" s="65">
        <f t="shared" si="73"/>
        <v>250</v>
      </c>
      <c r="AY7" s="58">
        <v>393.16</v>
      </c>
      <c r="AZ7" s="65">
        <f t="shared" si="74"/>
        <v>280.00000000002956</v>
      </c>
      <c r="BA7" s="58">
        <v>412.84</v>
      </c>
      <c r="BB7" s="65">
        <f t="shared" si="75"/>
        <v>229.99999999996135</v>
      </c>
      <c r="BC7" s="58">
        <v>264.32</v>
      </c>
      <c r="BD7" s="65">
        <f t="shared" si="76"/>
        <v>110.00000000001364</v>
      </c>
      <c r="BE7" s="59">
        <v>48702</v>
      </c>
      <c r="BF7" s="67">
        <f t="shared" si="77"/>
        <v>32</v>
      </c>
      <c r="BG7" s="60">
        <v>244.71</v>
      </c>
      <c r="BH7" s="65">
        <f t="shared" si="78"/>
        <v>50.000000000011369</v>
      </c>
      <c r="BI7" s="60">
        <v>300.33</v>
      </c>
      <c r="BJ7" s="65">
        <f t="shared" si="79"/>
        <v>39.99999999996362</v>
      </c>
      <c r="BK7" s="60">
        <v>247.31</v>
      </c>
      <c r="BL7" s="65">
        <f t="shared" si="80"/>
        <v>50.000000000011369</v>
      </c>
      <c r="BM7" s="60">
        <v>234.42</v>
      </c>
      <c r="BN7" s="65">
        <f t="shared" si="81"/>
        <v>49.999999999982947</v>
      </c>
      <c r="BO7" s="60">
        <v>300.58999999999997</v>
      </c>
      <c r="BP7" s="65">
        <f t="shared" si="82"/>
        <v>69.999999999993179</v>
      </c>
      <c r="BQ7" s="60">
        <v>53086</v>
      </c>
      <c r="BR7" s="65">
        <f t="shared" si="83"/>
        <v>36</v>
      </c>
      <c r="BS7" s="60">
        <v>211.38</v>
      </c>
      <c r="BT7" s="65">
        <f t="shared" si="84"/>
        <v>39.999999999992042</v>
      </c>
      <c r="BU7" s="60">
        <v>50161</v>
      </c>
      <c r="BV7" s="65">
        <f t="shared" si="85"/>
        <v>40</v>
      </c>
      <c r="BW7" s="60">
        <v>239.62</v>
      </c>
      <c r="BX7" s="65">
        <f t="shared" si="86"/>
        <v>50.000000000011369</v>
      </c>
      <c r="BY7" s="60">
        <v>69896</v>
      </c>
      <c r="BZ7" s="67">
        <f t="shared" si="87"/>
        <v>51</v>
      </c>
      <c r="CA7" s="60">
        <v>43972.1</v>
      </c>
      <c r="CB7" s="67">
        <f t="shared" si="88"/>
        <v>56</v>
      </c>
      <c r="CC7" s="60">
        <v>14569.9</v>
      </c>
      <c r="CD7" s="67">
        <f t="shared" si="89"/>
        <v>10.399999999999636</v>
      </c>
      <c r="CE7" s="60">
        <v>7696.1</v>
      </c>
      <c r="CF7" s="67">
        <f t="shared" si="90"/>
        <v>5.1000000000003638</v>
      </c>
      <c r="CG7" s="60">
        <v>70490.7</v>
      </c>
      <c r="CH7" s="67">
        <f t="shared" si="91"/>
        <v>48.69999999999709</v>
      </c>
      <c r="CI7" s="60">
        <v>1020681</v>
      </c>
      <c r="CJ7" s="67">
        <f t="shared" si="92"/>
        <v>376</v>
      </c>
      <c r="CK7" s="60">
        <v>924.68</v>
      </c>
      <c r="CL7" s="64">
        <f t="shared" si="93"/>
        <v>870.00000000000455</v>
      </c>
      <c r="CM7" s="65">
        <f t="shared" si="94"/>
        <v>112.20000000000073</v>
      </c>
      <c r="CN7" s="62">
        <v>40</v>
      </c>
      <c r="CO7" s="62">
        <v>102</v>
      </c>
      <c r="CP7" s="68">
        <v>23545</v>
      </c>
      <c r="CQ7" s="67">
        <f t="shared" si="95"/>
        <v>86</v>
      </c>
      <c r="CR7" s="68">
        <v>19635</v>
      </c>
      <c r="CS7" s="67">
        <f t="shared" si="96"/>
        <v>26.200000000000728</v>
      </c>
      <c r="CT7" s="75">
        <v>9054</v>
      </c>
      <c r="CU7" s="67">
        <f t="shared" si="97"/>
        <v>9</v>
      </c>
      <c r="CV7" s="68">
        <v>22470</v>
      </c>
      <c r="CW7" s="67">
        <f t="shared" si="98"/>
        <v>36</v>
      </c>
      <c r="CX7" s="58">
        <v>2032.7</v>
      </c>
      <c r="CY7" s="67">
        <f t="shared" si="99"/>
        <v>10.900000000000091</v>
      </c>
    </row>
    <row r="8" spans="1:103" ht="25.5" customHeight="1" thickBot="1" x14ac:dyDescent="0.45">
      <c r="A8" s="63">
        <v>44625</v>
      </c>
      <c r="B8" s="44"/>
      <c r="C8" s="58"/>
      <c r="D8" s="64" t="str">
        <f t="shared" si="50"/>
        <v>0</v>
      </c>
      <c r="E8" s="58"/>
      <c r="F8" s="64" t="str">
        <f t="shared" si="51"/>
        <v>0</v>
      </c>
      <c r="G8" s="58"/>
      <c r="H8" s="64" t="str">
        <f t="shared" si="52"/>
        <v>0</v>
      </c>
      <c r="I8" s="58"/>
      <c r="J8" s="64" t="str">
        <f t="shared" si="53"/>
        <v>0</v>
      </c>
      <c r="K8" s="58"/>
      <c r="L8" s="64" t="str">
        <f t="shared" si="54"/>
        <v>0</v>
      </c>
      <c r="M8" s="58"/>
      <c r="N8" s="64" t="str">
        <f t="shared" si="55"/>
        <v/>
      </c>
      <c r="O8" s="58"/>
      <c r="P8" s="67" t="str">
        <f t="shared" si="56"/>
        <v/>
      </c>
      <c r="Q8" s="58"/>
      <c r="R8" s="67" t="str">
        <f t="shared" si="57"/>
        <v/>
      </c>
      <c r="S8" s="58"/>
      <c r="T8" s="67" t="str">
        <f t="shared" si="58"/>
        <v/>
      </c>
      <c r="U8" s="58"/>
      <c r="V8" s="67" t="str">
        <f t="shared" si="59"/>
        <v/>
      </c>
      <c r="W8" s="58"/>
      <c r="X8" s="65" t="str">
        <f t="shared" si="60"/>
        <v/>
      </c>
      <c r="Y8" s="58"/>
      <c r="Z8" s="65" t="str">
        <f t="shared" si="61"/>
        <v/>
      </c>
      <c r="AA8" s="58"/>
      <c r="AB8" s="65" t="str">
        <f t="shared" si="62"/>
        <v/>
      </c>
      <c r="AC8" s="58"/>
      <c r="AD8" s="65" t="str">
        <f t="shared" si="63"/>
        <v/>
      </c>
      <c r="AE8" s="58"/>
      <c r="AF8" s="65" t="str">
        <f t="shared" si="64"/>
        <v/>
      </c>
      <c r="AG8" s="58"/>
      <c r="AH8" s="67" t="str">
        <f t="shared" si="65"/>
        <v/>
      </c>
      <c r="AI8" s="58"/>
      <c r="AJ8" s="65" t="str">
        <f t="shared" si="66"/>
        <v/>
      </c>
      <c r="AK8" s="58"/>
      <c r="AL8" s="65" t="str">
        <f t="shared" si="67"/>
        <v/>
      </c>
      <c r="AM8" s="58"/>
      <c r="AN8" s="65" t="str">
        <f t="shared" si="68"/>
        <v/>
      </c>
      <c r="AO8" s="58"/>
      <c r="AP8" s="65" t="str">
        <f t="shared" si="69"/>
        <v/>
      </c>
      <c r="AQ8" s="58"/>
      <c r="AR8" s="65" t="str">
        <f t="shared" si="70"/>
        <v/>
      </c>
      <c r="AS8" s="58"/>
      <c r="AT8" s="65" t="str">
        <f t="shared" si="71"/>
        <v/>
      </c>
      <c r="AU8" s="58"/>
      <c r="AV8" s="65" t="str">
        <f t="shared" si="72"/>
        <v/>
      </c>
      <c r="AW8" s="58"/>
      <c r="AX8" s="65" t="str">
        <f t="shared" si="73"/>
        <v/>
      </c>
      <c r="AY8" s="58"/>
      <c r="AZ8" s="65" t="str">
        <f t="shared" si="74"/>
        <v/>
      </c>
      <c r="BA8" s="58"/>
      <c r="BB8" s="65" t="str">
        <f t="shared" si="75"/>
        <v/>
      </c>
      <c r="BC8" s="58"/>
      <c r="BD8" s="65" t="str">
        <f t="shared" si="76"/>
        <v/>
      </c>
      <c r="BE8" s="59"/>
      <c r="BF8" s="67" t="str">
        <f t="shared" si="77"/>
        <v/>
      </c>
      <c r="BG8" s="60"/>
      <c r="BH8" s="65" t="str">
        <f t="shared" si="78"/>
        <v/>
      </c>
      <c r="BI8" s="60"/>
      <c r="BJ8" s="65" t="str">
        <f t="shared" si="79"/>
        <v/>
      </c>
      <c r="BK8" s="60"/>
      <c r="BL8" s="65" t="str">
        <f t="shared" si="80"/>
        <v/>
      </c>
      <c r="BM8" s="60"/>
      <c r="BN8" s="65" t="str">
        <f t="shared" si="81"/>
        <v/>
      </c>
      <c r="BO8" s="60"/>
      <c r="BP8" s="65" t="str">
        <f t="shared" si="82"/>
        <v/>
      </c>
      <c r="BQ8" s="60"/>
      <c r="BR8" s="65" t="str">
        <f t="shared" si="83"/>
        <v/>
      </c>
      <c r="BS8" s="60"/>
      <c r="BT8" s="65" t="str">
        <f t="shared" si="84"/>
        <v/>
      </c>
      <c r="BU8" s="60"/>
      <c r="BV8" s="65" t="str">
        <f t="shared" si="85"/>
        <v/>
      </c>
      <c r="BW8" s="60"/>
      <c r="BX8" s="65" t="str">
        <f t="shared" si="86"/>
        <v/>
      </c>
      <c r="BY8" s="60"/>
      <c r="BZ8" s="67" t="str">
        <f t="shared" si="87"/>
        <v/>
      </c>
      <c r="CA8" s="60"/>
      <c r="CB8" s="67" t="str">
        <f t="shared" si="88"/>
        <v/>
      </c>
      <c r="CC8" s="60"/>
      <c r="CD8" s="67" t="str">
        <f t="shared" si="89"/>
        <v/>
      </c>
      <c r="CE8" s="60"/>
      <c r="CF8" s="67" t="str">
        <f t="shared" si="90"/>
        <v/>
      </c>
      <c r="CG8" s="60"/>
      <c r="CH8" s="67" t="str">
        <f t="shared" si="91"/>
        <v/>
      </c>
      <c r="CI8" s="60"/>
      <c r="CJ8" s="67" t="str">
        <f t="shared" si="92"/>
        <v/>
      </c>
      <c r="CK8" s="60"/>
      <c r="CL8" s="64" t="str">
        <f t="shared" si="93"/>
        <v/>
      </c>
      <c r="CM8" s="65" t="e">
        <f t="shared" si="94"/>
        <v>#VALUE!</v>
      </c>
      <c r="CN8" s="62"/>
      <c r="CO8" s="62"/>
      <c r="CP8" s="68"/>
      <c r="CQ8" s="67" t="str">
        <f t="shared" si="95"/>
        <v/>
      </c>
      <c r="CR8" s="68"/>
      <c r="CS8" s="67" t="str">
        <f t="shared" si="96"/>
        <v/>
      </c>
      <c r="CT8" s="75"/>
      <c r="CU8" s="67" t="str">
        <f t="shared" si="97"/>
        <v/>
      </c>
      <c r="CV8" s="68"/>
      <c r="CW8" s="67" t="str">
        <f t="shared" si="98"/>
        <v/>
      </c>
      <c r="CX8" s="58"/>
      <c r="CY8" s="67" t="str">
        <f t="shared" si="99"/>
        <v/>
      </c>
    </row>
    <row r="9" spans="1:103" ht="25.5" customHeight="1" thickBot="1" x14ac:dyDescent="0.45">
      <c r="A9" s="63">
        <v>44626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74"/>
        <v>0</v>
      </c>
      <c r="BA9" s="58"/>
      <c r="BB9" s="65">
        <f t="shared" si="75"/>
        <v>0</v>
      </c>
      <c r="BC9" s="58"/>
      <c r="BD9" s="65">
        <f t="shared" si="76"/>
        <v>0</v>
      </c>
      <c r="BE9" s="59"/>
      <c r="BF9" s="67">
        <f t="shared" si="77"/>
        <v>0</v>
      </c>
      <c r="BG9" s="60"/>
      <c r="BH9" s="65">
        <f t="shared" si="78"/>
        <v>0</v>
      </c>
      <c r="BI9" s="60"/>
      <c r="BJ9" s="65">
        <f t="shared" si="79"/>
        <v>0</v>
      </c>
      <c r="BK9" s="60"/>
      <c r="BL9" s="65">
        <f t="shared" si="80"/>
        <v>0</v>
      </c>
      <c r="BM9" s="60"/>
      <c r="BN9" s="65">
        <f t="shared" si="81"/>
        <v>0</v>
      </c>
      <c r="BO9" s="60"/>
      <c r="BP9" s="65">
        <f t="shared" si="82"/>
        <v>0</v>
      </c>
      <c r="BQ9" s="60"/>
      <c r="BR9" s="65">
        <f t="shared" si="83"/>
        <v>0</v>
      </c>
      <c r="BS9" s="60"/>
      <c r="BT9" s="65">
        <f t="shared" si="84"/>
        <v>0</v>
      </c>
      <c r="BU9" s="60"/>
      <c r="BV9" s="65">
        <f t="shared" si="85"/>
        <v>0</v>
      </c>
      <c r="BW9" s="60"/>
      <c r="BX9" s="65">
        <f t="shared" si="86"/>
        <v>0</v>
      </c>
      <c r="BY9" s="60"/>
      <c r="BZ9" s="67">
        <f t="shared" si="87"/>
        <v>0</v>
      </c>
      <c r="CA9" s="60"/>
      <c r="CB9" s="67">
        <f t="shared" si="88"/>
        <v>0</v>
      </c>
      <c r="CC9" s="60"/>
      <c r="CD9" s="67">
        <f t="shared" si="89"/>
        <v>0</v>
      </c>
      <c r="CE9" s="60"/>
      <c r="CF9" s="67">
        <f t="shared" si="90"/>
        <v>0</v>
      </c>
      <c r="CG9" s="60"/>
      <c r="CH9" s="67">
        <f t="shared" si="91"/>
        <v>0</v>
      </c>
      <c r="CI9" s="60"/>
      <c r="CJ9" s="67">
        <f t="shared" si="92"/>
        <v>0</v>
      </c>
      <c r="CK9" s="60"/>
      <c r="CL9" s="64">
        <f t="shared" si="93"/>
        <v>0</v>
      </c>
      <c r="CM9" s="65">
        <f t="shared" si="94"/>
        <v>0</v>
      </c>
      <c r="CN9" s="62"/>
      <c r="CO9" s="62"/>
      <c r="CP9" s="68"/>
      <c r="CQ9" s="67">
        <f t="shared" si="95"/>
        <v>0</v>
      </c>
      <c r="CR9" s="68"/>
      <c r="CS9" s="67">
        <f t="shared" si="96"/>
        <v>0</v>
      </c>
      <c r="CT9" s="75"/>
      <c r="CU9" s="67">
        <f t="shared" si="97"/>
        <v>0</v>
      </c>
      <c r="CV9" s="68"/>
      <c r="CW9" s="67">
        <f t="shared" si="98"/>
        <v>0</v>
      </c>
      <c r="CX9" s="58"/>
      <c r="CY9" s="67">
        <f t="shared" si="99"/>
        <v>0</v>
      </c>
    </row>
    <row r="10" spans="1:103" ht="25.5" customHeight="1" thickBot="1" x14ac:dyDescent="0.45">
      <c r="A10" s="63">
        <v>44627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74"/>
        <v>0</v>
      </c>
      <c r="BA10" s="58"/>
      <c r="BB10" s="65">
        <f t="shared" si="75"/>
        <v>0</v>
      </c>
      <c r="BC10" s="58"/>
      <c r="BD10" s="65">
        <f t="shared" si="76"/>
        <v>0</v>
      </c>
      <c r="BE10" s="59"/>
      <c r="BF10" s="67">
        <f t="shared" si="77"/>
        <v>0</v>
      </c>
      <c r="BG10" s="60"/>
      <c r="BH10" s="65">
        <f t="shared" si="78"/>
        <v>0</v>
      </c>
      <c r="BI10" s="60"/>
      <c r="BJ10" s="65">
        <f t="shared" si="79"/>
        <v>0</v>
      </c>
      <c r="BK10" s="60"/>
      <c r="BL10" s="65">
        <f t="shared" si="80"/>
        <v>0</v>
      </c>
      <c r="BM10" s="60"/>
      <c r="BN10" s="65">
        <f t="shared" si="81"/>
        <v>0</v>
      </c>
      <c r="BO10" s="60"/>
      <c r="BP10" s="65">
        <f t="shared" si="82"/>
        <v>0</v>
      </c>
      <c r="BQ10" s="60"/>
      <c r="BR10" s="65">
        <f t="shared" si="83"/>
        <v>0</v>
      </c>
      <c r="BS10" s="60"/>
      <c r="BT10" s="65">
        <f t="shared" si="84"/>
        <v>0</v>
      </c>
      <c r="BU10" s="60"/>
      <c r="BV10" s="65">
        <f t="shared" si="85"/>
        <v>0</v>
      </c>
      <c r="BW10" s="60"/>
      <c r="BX10" s="65">
        <f t="shared" si="86"/>
        <v>0</v>
      </c>
      <c r="BY10" s="60"/>
      <c r="BZ10" s="67">
        <f t="shared" si="87"/>
        <v>0</v>
      </c>
      <c r="CA10" s="60"/>
      <c r="CB10" s="67">
        <f t="shared" si="88"/>
        <v>0</v>
      </c>
      <c r="CC10" s="60"/>
      <c r="CD10" s="67">
        <f t="shared" si="89"/>
        <v>0</v>
      </c>
      <c r="CE10" s="60"/>
      <c r="CF10" s="67">
        <f t="shared" si="90"/>
        <v>0</v>
      </c>
      <c r="CG10" s="60"/>
      <c r="CH10" s="67">
        <f t="shared" si="91"/>
        <v>0</v>
      </c>
      <c r="CI10" s="60"/>
      <c r="CJ10" s="67">
        <f t="shared" si="92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95"/>
        <v>0</v>
      </c>
      <c r="CR10" s="68"/>
      <c r="CS10" s="67">
        <f t="shared" si="96"/>
        <v>0</v>
      </c>
      <c r="CT10" s="75"/>
      <c r="CU10" s="67">
        <f t="shared" si="97"/>
        <v>0</v>
      </c>
      <c r="CV10" s="68"/>
      <c r="CW10" s="67">
        <f t="shared" si="98"/>
        <v>0</v>
      </c>
      <c r="CX10" s="58"/>
      <c r="CY10" s="67">
        <f t="shared" si="99"/>
        <v>0</v>
      </c>
    </row>
    <row r="11" spans="1:103" ht="25.5" customHeight="1" thickBot="1" x14ac:dyDescent="0.45">
      <c r="A11" s="63">
        <v>44628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74"/>
        <v>0</v>
      </c>
      <c r="BA11" s="58"/>
      <c r="BB11" s="65">
        <f t="shared" si="75"/>
        <v>0</v>
      </c>
      <c r="BC11" s="58"/>
      <c r="BD11" s="65">
        <f t="shared" si="76"/>
        <v>0</v>
      </c>
      <c r="BE11" s="59"/>
      <c r="BF11" s="67">
        <f t="shared" si="77"/>
        <v>0</v>
      </c>
      <c r="BG11" s="60"/>
      <c r="BH11" s="65">
        <f t="shared" si="78"/>
        <v>0</v>
      </c>
      <c r="BI11" s="60"/>
      <c r="BJ11" s="65">
        <f t="shared" si="79"/>
        <v>0</v>
      </c>
      <c r="BK11" s="60"/>
      <c r="BL11" s="65">
        <f t="shared" si="80"/>
        <v>0</v>
      </c>
      <c r="BM11" s="60"/>
      <c r="BN11" s="65">
        <f t="shared" si="81"/>
        <v>0</v>
      </c>
      <c r="BO11" s="60"/>
      <c r="BP11" s="65">
        <f t="shared" si="82"/>
        <v>0</v>
      </c>
      <c r="BQ11" s="60"/>
      <c r="BR11" s="65">
        <f t="shared" si="83"/>
        <v>0</v>
      </c>
      <c r="BS11" s="60"/>
      <c r="BT11" s="65">
        <f t="shared" si="84"/>
        <v>0</v>
      </c>
      <c r="BU11" s="60"/>
      <c r="BV11" s="65">
        <f t="shared" si="85"/>
        <v>0</v>
      </c>
      <c r="BW11" s="60"/>
      <c r="BX11" s="65">
        <f t="shared" si="86"/>
        <v>0</v>
      </c>
      <c r="BY11" s="60"/>
      <c r="BZ11" s="67">
        <f t="shared" si="87"/>
        <v>0</v>
      </c>
      <c r="CA11" s="60"/>
      <c r="CB11" s="67">
        <f t="shared" si="88"/>
        <v>0</v>
      </c>
      <c r="CC11" s="60"/>
      <c r="CD11" s="67">
        <f t="shared" si="89"/>
        <v>0</v>
      </c>
      <c r="CE11" s="60"/>
      <c r="CF11" s="67">
        <f t="shared" si="90"/>
        <v>0</v>
      </c>
      <c r="CG11" s="60"/>
      <c r="CH11" s="67">
        <f t="shared" si="91"/>
        <v>0</v>
      </c>
      <c r="CI11" s="60"/>
      <c r="CJ11" s="67">
        <f t="shared" si="92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95"/>
        <v>0</v>
      </c>
      <c r="CR11" s="68"/>
      <c r="CS11" s="67">
        <f t="shared" si="96"/>
        <v>0</v>
      </c>
      <c r="CT11" s="75"/>
      <c r="CU11" s="67">
        <f t="shared" si="97"/>
        <v>0</v>
      </c>
      <c r="CV11" s="68"/>
      <c r="CW11" s="67">
        <f t="shared" si="98"/>
        <v>0</v>
      </c>
      <c r="CX11" s="58"/>
      <c r="CY11" s="67">
        <f t="shared" si="99"/>
        <v>0</v>
      </c>
    </row>
    <row r="12" spans="1:103" ht="25.5" customHeight="1" thickBot="1" x14ac:dyDescent="0.45">
      <c r="A12" s="63">
        <v>44629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6"/>
        <v>0</v>
      </c>
      <c r="CT12" s="75"/>
      <c r="CU12" s="67">
        <f t="shared" si="97"/>
        <v>0</v>
      </c>
      <c r="CV12" s="68"/>
      <c r="CW12" s="67">
        <f t="shared" si="98"/>
        <v>0</v>
      </c>
      <c r="CX12" s="58"/>
      <c r="CY12" s="67">
        <f t="shared" si="99"/>
        <v>0</v>
      </c>
    </row>
    <row r="13" spans="1:103" ht="25.5" customHeight="1" thickBot="1" x14ac:dyDescent="0.45">
      <c r="A13" s="63">
        <v>44630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44631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44632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44633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44634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44635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44636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44637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44638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44639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44640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44641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44642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44643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44644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44645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44646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44647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44648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44649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4" ht="25.5" customHeight="1" thickBot="1" x14ac:dyDescent="0.45">
      <c r="A33" s="63">
        <v>44650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4" ht="25.5" customHeight="1" thickBot="1" x14ac:dyDescent="0.45">
      <c r="A34" s="63">
        <v>44651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4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4" ht="22.5" thickBot="1" x14ac:dyDescent="0.45">
      <c r="Q36" s="71"/>
      <c r="AX36" s="65"/>
    </row>
    <row r="37" spans="1:104" ht="22.5" thickBot="1" x14ac:dyDescent="0.45">
      <c r="D37" s="58">
        <v>2.9276</v>
      </c>
      <c r="E37" s="64">
        <f t="shared" ref="E37" si="100">IF((D37-D36&lt;0), "0",(D37-D36)*1000000)</f>
        <v>2927600</v>
      </c>
      <c r="F37" s="58">
        <v>4.0162000000000004</v>
      </c>
      <c r="G37" s="64">
        <f t="shared" ref="G37" si="101">IF((F37-F36&lt;0), "0",(F37-F36)*1000000)</f>
        <v>4016200.0000000005</v>
      </c>
      <c r="H37" s="58">
        <v>3.9923000000000002</v>
      </c>
      <c r="I37" s="64">
        <f t="shared" ref="I37" si="102">IF((H37-H36&lt;0), "0",(H37-H36)*1000000)</f>
        <v>3992300</v>
      </c>
      <c r="J37" s="58">
        <v>1.9962</v>
      </c>
      <c r="K37" s="64">
        <f t="shared" ref="K37" si="103">IF((J37-J36&lt;0), "0",(J37-J36)*1000000)</f>
        <v>1996200</v>
      </c>
      <c r="L37" s="58">
        <v>3.1474000000000002</v>
      </c>
      <c r="M37" s="64">
        <f t="shared" ref="M37" si="104">IF((L37-L36&lt;0), "0",(L37-L36)*1000000)</f>
        <v>3147400</v>
      </c>
      <c r="N37" s="58">
        <v>1.7612000000000001</v>
      </c>
      <c r="O37" s="64">
        <f t="shared" ref="O37" si="105">IF((N37-N36&lt;0), "",(N37-N36)*1000000)</f>
        <v>1761200</v>
      </c>
      <c r="P37" s="58">
        <v>17766</v>
      </c>
      <c r="Q37" s="67">
        <f t="shared" ref="Q37" si="106">IF((P37-P36&lt;0), "",P37-P36)</f>
        <v>17766</v>
      </c>
      <c r="R37" s="58">
        <v>2053</v>
      </c>
      <c r="S37" s="67">
        <f t="shared" ref="S37" si="107">IF((R37-R36&lt;0), "",R37-R36)</f>
        <v>2053</v>
      </c>
      <c r="T37" s="58">
        <v>1235.8</v>
      </c>
      <c r="U37" s="67">
        <f t="shared" ref="U37" si="108">IF((T37-T36&lt;0), "",T37-T36)</f>
        <v>1235.8</v>
      </c>
      <c r="V37" s="58">
        <v>509608.6</v>
      </c>
      <c r="W37" s="67">
        <f t="shared" ref="W37" si="109">IF((V37-V36&lt;0), "",V37-V36)</f>
        <v>509608.6</v>
      </c>
      <c r="X37" s="58">
        <v>476.1</v>
      </c>
      <c r="Y37" s="65">
        <f t="shared" ref="Y37" si="110">IF((X37-X36&lt;0), "",(X37-X36)*1000)</f>
        <v>476100</v>
      </c>
      <c r="Z37" s="58">
        <v>3.5286</v>
      </c>
      <c r="AA37" s="65">
        <f t="shared" ref="AA37" si="111">IF((Z37-Z36&lt;0), "",(Z37-Z36)*1000000)</f>
        <v>3528600</v>
      </c>
      <c r="AB37" s="58">
        <v>478.7</v>
      </c>
      <c r="AC37" s="65">
        <f t="shared" ref="AC37" si="112">IF((AB37-AB36&lt;0), "",(AB37-AB36)*1000)</f>
        <v>478700</v>
      </c>
      <c r="AD37" s="58">
        <v>463.55</v>
      </c>
      <c r="AE37" s="65">
        <f t="shared" ref="AE37" si="113">IF((AD37-AD36&lt;0), "",(AD37-AD36)*1000)</f>
        <v>463550</v>
      </c>
      <c r="AF37" s="58">
        <v>668.79</v>
      </c>
      <c r="AG37" s="65">
        <f t="shared" ref="AG37" si="114">IF((AF37-AF36&lt;0), "",(AF37-AF36)*1000)</f>
        <v>668790</v>
      </c>
      <c r="AH37" s="58">
        <v>13754</v>
      </c>
      <c r="AI37" s="67">
        <f t="shared" ref="AI37" si="115">IF((AH37-AH36&lt;0), "",AH37-AH36)</f>
        <v>13754</v>
      </c>
      <c r="AJ37" s="58">
        <v>782.42</v>
      </c>
      <c r="AK37" s="65">
        <f t="shared" ref="AK37" si="116">IF((AJ37-AJ36&lt;0), "",(AJ37-AJ36)*1000)</f>
        <v>782420</v>
      </c>
      <c r="AL37" s="58">
        <v>261.27999999999997</v>
      </c>
      <c r="AM37" s="65">
        <f t="shared" ref="AM37" si="117">IF((AL37-AL36&lt;0), "",(AL37-AL36)*1000)</f>
        <v>261279.99999999997</v>
      </c>
      <c r="AN37" s="58">
        <v>245.42</v>
      </c>
      <c r="AO37" s="65">
        <f t="shared" ref="AO37" si="118">IF((AN37-AN36&lt;0), "",(AN37-AN36)*1000)</f>
        <v>245420</v>
      </c>
      <c r="AP37" s="58">
        <v>236.09</v>
      </c>
      <c r="AQ37" s="65">
        <f t="shared" ref="AQ37" si="119">IF((AP37-AP36&lt;0), "",(AP37-AP36)*1000)</f>
        <v>236090</v>
      </c>
      <c r="AR37" s="58">
        <v>293.10000000000002</v>
      </c>
      <c r="AS37" s="65">
        <f t="shared" ref="AS37" si="120">IF((AR37-AR36&lt;0), "",(AR37-AR36)*1000)</f>
        <v>293100</v>
      </c>
      <c r="AT37" s="58">
        <v>419.27</v>
      </c>
      <c r="AU37" s="65">
        <f t="shared" ref="AU37" si="121">IF((AT37-AT36&lt;0), "",(AT37-AT36)*1000)</f>
        <v>419270</v>
      </c>
      <c r="AV37" s="58">
        <v>324.88</v>
      </c>
      <c r="AW37" s="65">
        <f t="shared" ref="AW37" si="122">IF((AV37-AV36&lt;0), "",(AV37-AV36)*1000)</f>
        <v>324880</v>
      </c>
      <c r="AX37" s="58">
        <v>357.59</v>
      </c>
      <c r="AY37" s="65">
        <f t="shared" ref="AY37" si="123">IF((AX37-AX36&lt;0), "",(AX37-AX36)*1000)</f>
        <v>357590</v>
      </c>
      <c r="AZ37" s="58">
        <v>392</v>
      </c>
      <c r="BA37" s="65">
        <f t="shared" ref="BA37" si="124">IF((AZ37-AZ36&lt;0), "",(AZ37-AZ36)*1000)</f>
        <v>392000</v>
      </c>
      <c r="BB37" s="58">
        <v>411.8</v>
      </c>
      <c r="BC37" s="65">
        <f t="shared" ref="BC37" si="125">IF((BB37-BB36&lt;0), "",(BB37-BB36)*1000)</f>
        <v>411800</v>
      </c>
      <c r="BD37" s="58">
        <v>263.94</v>
      </c>
      <c r="BE37" s="65">
        <f t="shared" ref="BE37" si="126">IF((BD37-BD36&lt;0), "",(BD37-BD36)*1000)</f>
        <v>263940</v>
      </c>
      <c r="BF37" s="59">
        <v>48602</v>
      </c>
      <c r="BG37" s="67">
        <f t="shared" ref="BG37" si="127">IF((BF37-BF36&lt;0), "",BF37-BF36)</f>
        <v>48602</v>
      </c>
      <c r="BH37" s="60">
        <v>244.5</v>
      </c>
      <c r="BI37" s="65">
        <f t="shared" ref="BI37" si="128">IF((BH37-BH36&lt;0), "",(BH37-BH36)*1000)</f>
        <v>244500</v>
      </c>
      <c r="BJ37" s="60">
        <v>300.18</v>
      </c>
      <c r="BK37" s="65">
        <f t="shared" ref="BK37" si="129">IF((BJ37-BJ36&lt;0), "",(BJ37-BJ36)*1000)</f>
        <v>300180</v>
      </c>
      <c r="BL37" s="60">
        <v>247.12</v>
      </c>
      <c r="BM37" s="65">
        <f t="shared" ref="BM37" si="130">IF((BL37-BL36&lt;0), "",(BL37-BL36)*1000)</f>
        <v>247120</v>
      </c>
      <c r="BN37" s="60">
        <v>234.23</v>
      </c>
      <c r="BO37" s="65">
        <f t="shared" ref="BO37" si="131">IF((BN37-BN36&lt;0), "",(BN37-BN36)*1000)</f>
        <v>234230</v>
      </c>
      <c r="BP37" s="60">
        <v>300.33</v>
      </c>
      <c r="BQ37" s="65">
        <f t="shared" ref="BQ37" si="132">IF((BP37-BP36&lt;0), "",(BP37-BP36)*1000)</f>
        <v>300330</v>
      </c>
      <c r="BR37" s="60">
        <v>52945</v>
      </c>
      <c r="BS37" s="65">
        <f t="shared" ref="BS37" si="133">IF((BR37-BR36&lt;0), "",BR37-BR36)</f>
        <v>52945</v>
      </c>
      <c r="BT37" s="60">
        <v>211.2</v>
      </c>
      <c r="BU37" s="65">
        <f t="shared" ref="BU37" si="134">IF((BT37-BT36&lt;0), "",(BT37-BT36)*1000)</f>
        <v>211200</v>
      </c>
      <c r="BV37" s="60">
        <v>49986</v>
      </c>
      <c r="BW37" s="65">
        <f t="shared" ref="BW37" si="135">IF((BV37-BV36&lt;0), "",BV37-BV36)</f>
        <v>49986</v>
      </c>
      <c r="BX37" s="60">
        <v>239.43</v>
      </c>
      <c r="BY37" s="65">
        <f t="shared" ref="BY37" si="136">IF((BX37-BX36&lt;0), "",(BX37-BX36)*1000)</f>
        <v>239430</v>
      </c>
      <c r="BZ37" s="60">
        <v>69709</v>
      </c>
      <c r="CA37" s="67">
        <f t="shared" ref="CA37" si="137">IF((BZ37-BZ36&lt;0), "",BZ37-BZ36)</f>
        <v>69709</v>
      </c>
      <c r="CB37" s="60">
        <v>43759.5</v>
      </c>
      <c r="CC37" s="67">
        <f t="shared" ref="CC37" si="138">IF((CB37-CB36&lt;0), "",CB37-CB36)</f>
        <v>43759.5</v>
      </c>
      <c r="CD37" s="60">
        <v>14510.8</v>
      </c>
      <c r="CE37" s="67">
        <f t="shared" ref="CE37" si="139">IF((CD37-CD36&lt;0), "",CD37-CD36)</f>
        <v>14510.8</v>
      </c>
      <c r="CF37" s="60">
        <v>7676.6</v>
      </c>
      <c r="CG37" s="67">
        <f t="shared" ref="CG37" si="140">IF((CF37-CF36&lt;0), "",CF37-CF36)</f>
        <v>7676.6</v>
      </c>
      <c r="CH37" s="60">
        <v>70342</v>
      </c>
      <c r="CI37" s="67">
        <f t="shared" ref="CI37" si="141">IF((CH37-CH36&lt;0), "",CH37-CH36)</f>
        <v>70342</v>
      </c>
      <c r="CJ37" s="60">
        <v>1019338</v>
      </c>
      <c r="CK37" s="67">
        <f t="shared" ref="CK37" si="142">IF((CJ37-CJ36&lt;0), "",CJ37-CJ36)</f>
        <v>1019338</v>
      </c>
      <c r="CL37" s="60">
        <v>921.68</v>
      </c>
      <c r="CM37" s="64">
        <f t="shared" ref="CM37" si="143">IF((CL37-CL36&lt;0), "",(CL37-CL36)*1000)</f>
        <v>921680</v>
      </c>
      <c r="CN37" s="65">
        <f t="shared" ref="CN37" si="144">CR37+CT37</f>
        <v>42701.3</v>
      </c>
      <c r="CO37" s="62">
        <v>41</v>
      </c>
      <c r="CP37" s="62">
        <v>97</v>
      </c>
      <c r="CQ37" s="68">
        <v>23176</v>
      </c>
      <c r="CR37" s="67">
        <f t="shared" ref="CR37" si="145">IF((CQ37-CQ36&lt;0), "",CQ37-CQ36)</f>
        <v>23176</v>
      </c>
      <c r="CS37" s="68">
        <v>19525.3</v>
      </c>
      <c r="CT37" s="67">
        <f t="shared" ref="CT37" si="146">IF((CS37-CS36&lt;0), "",CS37-CS36)</f>
        <v>19525.3</v>
      </c>
      <c r="CU37" s="75">
        <v>9017</v>
      </c>
      <c r="CV37" s="67">
        <f t="shared" ref="CV37" si="147">IF((CU37-CU36&lt;0), "",CU37-CU36)</f>
        <v>9017</v>
      </c>
      <c r="CW37" s="68">
        <v>22348</v>
      </c>
      <c r="CX37" s="67">
        <f t="shared" ref="CX37" si="148">IF((CW37-CW36&lt;0), "",CW37-CW36)</f>
        <v>22348</v>
      </c>
      <c r="CY37" s="58">
        <v>1982.6</v>
      </c>
      <c r="CZ37" s="67">
        <f t="shared" ref="CZ37" si="149">IF((CY37-CY36&lt;0), "",CY37-CY36)</f>
        <v>1982.6</v>
      </c>
    </row>
    <row r="38" spans="1:104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4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B12" sqref="B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44620</v>
      </c>
      <c r="B7" s="40">
        <v>0</v>
      </c>
      <c r="C7" s="40">
        <v>41</v>
      </c>
      <c r="D7" s="40">
        <v>97</v>
      </c>
      <c r="E7" s="41">
        <v>85</v>
      </c>
      <c r="F7" s="41">
        <v>6592</v>
      </c>
      <c r="G7" s="41">
        <v>20</v>
      </c>
      <c r="H7" s="41">
        <v>2078</v>
      </c>
      <c r="I7" s="41">
        <v>85</v>
      </c>
      <c r="J7" s="41">
        <v>541</v>
      </c>
      <c r="K7" s="42">
        <v>85</v>
      </c>
      <c r="L7" s="42">
        <v>79</v>
      </c>
      <c r="M7" s="42">
        <v>1603</v>
      </c>
      <c r="N7" s="39">
        <v>85</v>
      </c>
      <c r="O7" s="39">
        <v>73</v>
      </c>
      <c r="P7" s="39">
        <v>83</v>
      </c>
      <c r="Q7" s="39">
        <v>4716</v>
      </c>
      <c r="R7" s="77">
        <v>82</v>
      </c>
      <c r="S7" s="77">
        <v>220</v>
      </c>
      <c r="T7" t="e">
        <f t="shared" ref="T7" si="0">S7-S6</f>
        <v>#VALUE!</v>
      </c>
    </row>
    <row r="8" spans="1:20" x14ac:dyDescent="0.25">
      <c r="A8" s="73">
        <v>44621</v>
      </c>
      <c r="B8" s="40">
        <v>0</v>
      </c>
      <c r="C8" s="40">
        <v>41</v>
      </c>
      <c r="D8" s="40">
        <v>97</v>
      </c>
      <c r="E8" s="41">
        <v>85</v>
      </c>
      <c r="F8" s="41">
        <v>6598</v>
      </c>
      <c r="G8" s="41">
        <v>10</v>
      </c>
      <c r="H8" s="41">
        <v>2080</v>
      </c>
      <c r="I8" s="41">
        <v>85</v>
      </c>
      <c r="J8" s="41">
        <v>541</v>
      </c>
      <c r="K8" s="42">
        <v>85</v>
      </c>
      <c r="L8" s="42">
        <v>79</v>
      </c>
      <c r="M8" s="42">
        <v>1603</v>
      </c>
      <c r="N8" s="39">
        <v>85</v>
      </c>
      <c r="O8" s="39">
        <v>70</v>
      </c>
      <c r="P8" s="39">
        <v>83</v>
      </c>
      <c r="Q8" s="39">
        <v>4719</v>
      </c>
      <c r="R8" s="77">
        <v>82</v>
      </c>
      <c r="S8" s="77">
        <v>220</v>
      </c>
      <c r="T8">
        <f>S8-S7</f>
        <v>0</v>
      </c>
    </row>
    <row r="9" spans="1:20" x14ac:dyDescent="0.25">
      <c r="A9" s="73">
        <v>44622</v>
      </c>
      <c r="B9" s="40">
        <v>0</v>
      </c>
      <c r="C9" s="40">
        <v>40</v>
      </c>
      <c r="D9" s="40">
        <v>102</v>
      </c>
      <c r="E9" s="41">
        <v>85</v>
      </c>
      <c r="F9" s="41">
        <v>6604</v>
      </c>
      <c r="G9" s="41">
        <v>0</v>
      </c>
      <c r="H9" s="41">
        <v>2083</v>
      </c>
      <c r="I9" s="41">
        <v>85</v>
      </c>
      <c r="J9" s="41">
        <v>541</v>
      </c>
      <c r="K9" s="42">
        <v>85</v>
      </c>
      <c r="L9" s="42">
        <v>75</v>
      </c>
      <c r="M9" s="42">
        <v>1605</v>
      </c>
      <c r="N9" s="39">
        <v>85</v>
      </c>
      <c r="O9" s="39">
        <v>65</v>
      </c>
      <c r="P9" s="39">
        <v>83</v>
      </c>
      <c r="Q9" s="39">
        <v>4723</v>
      </c>
      <c r="R9" s="77">
        <v>82</v>
      </c>
      <c r="S9" s="77">
        <v>220</v>
      </c>
      <c r="T9">
        <f t="shared" ref="T9:T39" si="1">S9-S8</f>
        <v>0</v>
      </c>
    </row>
    <row r="10" spans="1:20" x14ac:dyDescent="0.25">
      <c r="A10" s="73">
        <v>44623</v>
      </c>
      <c r="B10" s="40">
        <v>0</v>
      </c>
      <c r="C10" s="40">
        <v>40</v>
      </c>
      <c r="D10" s="40">
        <v>102</v>
      </c>
      <c r="E10" s="41">
        <v>85</v>
      </c>
      <c r="F10" s="41">
        <v>6611</v>
      </c>
      <c r="G10" s="41">
        <v>0</v>
      </c>
      <c r="H10" s="41">
        <v>2086</v>
      </c>
      <c r="I10" s="41">
        <v>85</v>
      </c>
      <c r="J10" s="41">
        <v>541</v>
      </c>
      <c r="K10" s="42">
        <v>85</v>
      </c>
      <c r="L10" s="42">
        <v>75</v>
      </c>
      <c r="M10" s="42">
        <v>1605</v>
      </c>
      <c r="N10" s="39">
        <v>85</v>
      </c>
      <c r="O10" s="39">
        <v>60</v>
      </c>
      <c r="P10" s="39">
        <v>83</v>
      </c>
      <c r="Q10" s="39">
        <v>4725</v>
      </c>
      <c r="R10" s="77">
        <v>82</v>
      </c>
      <c r="S10" s="77">
        <v>220</v>
      </c>
      <c r="T10">
        <f t="shared" si="1"/>
        <v>0</v>
      </c>
    </row>
    <row r="11" spans="1:20" x14ac:dyDescent="0.25">
      <c r="A11" s="73">
        <v>44624</v>
      </c>
      <c r="B11" s="40">
        <v>0</v>
      </c>
      <c r="C11" s="40">
        <v>40</v>
      </c>
      <c r="D11" s="40">
        <v>102</v>
      </c>
      <c r="E11" s="41">
        <v>85</v>
      </c>
      <c r="F11" s="41">
        <v>6617</v>
      </c>
      <c r="G11" s="41">
        <v>0</v>
      </c>
      <c r="H11" s="41">
        <v>2088</v>
      </c>
      <c r="I11" s="41">
        <v>70</v>
      </c>
      <c r="J11" s="41">
        <v>541</v>
      </c>
      <c r="K11" s="42">
        <v>85</v>
      </c>
      <c r="L11" s="42">
        <v>70</v>
      </c>
      <c r="M11" s="42">
        <v>1609</v>
      </c>
      <c r="N11" s="39">
        <v>85</v>
      </c>
      <c r="O11" s="39">
        <v>58</v>
      </c>
      <c r="P11" s="39">
        <v>83</v>
      </c>
      <c r="Q11" s="39">
        <v>4728</v>
      </c>
      <c r="R11" s="77">
        <v>82</v>
      </c>
      <c r="S11" s="77">
        <v>220</v>
      </c>
      <c r="T11">
        <f t="shared" si="1"/>
        <v>0</v>
      </c>
    </row>
    <row r="12" spans="1:20" x14ac:dyDescent="0.25">
      <c r="A12" s="73">
        <v>44625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-220</v>
      </c>
    </row>
    <row r="13" spans="1:20" x14ac:dyDescent="0.25">
      <c r="A13" s="73">
        <v>44626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44627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44628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44629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44630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44631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44632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44633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44634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44635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44636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44637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44638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44639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44640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44641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44642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44643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44644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44645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44646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44647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44648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44649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44650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44651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44652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2022-03-05T18:53:37Z</dcterms:modified>
</cp:coreProperties>
</file>