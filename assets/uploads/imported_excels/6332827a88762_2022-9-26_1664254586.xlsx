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9 - 2022" sheetId="5" r:id="rId3"/>
  </sheets>
  <definedNames>
    <definedName name="_xlnm.Print_Area" localSheetId="2">'09 - 2022'!$A$1:$J$35</definedName>
  </definedNames>
  <calcPr calcId="162913"/>
</workbook>
</file>

<file path=xl/calcChain.xml><?xml version="1.0" encoding="utf-8"?>
<calcChain xmlns="http://schemas.openxmlformats.org/spreadsheetml/2006/main">
  <c r="L25" i="3" l="1"/>
  <c r="K25" i="3"/>
  <c r="I25" i="3"/>
  <c r="G25" i="3"/>
  <c r="E25" i="3"/>
  <c r="J28" i="2"/>
  <c r="I28" i="2"/>
  <c r="H28" i="2"/>
  <c r="F28" i="2"/>
  <c r="E28" i="2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E24" i="2" l="1"/>
  <c r="L24" i="3"/>
  <c r="K24" i="3"/>
  <c r="I24" i="3"/>
  <c r="G24" i="3"/>
  <c r="J24" i="2"/>
  <c r="I24" i="2"/>
  <c r="H24" i="2"/>
  <c r="F24" i="2"/>
  <c r="E24" i="3" l="1"/>
  <c r="L18" i="3" l="1"/>
  <c r="J23" i="2"/>
  <c r="I23" i="2"/>
  <c r="H23" i="2"/>
  <c r="F23" i="2"/>
  <c r="E23" i="2"/>
  <c r="L23" i="3"/>
  <c r="K23" i="3"/>
  <c r="I23" i="3"/>
  <c r="G23" i="3"/>
  <c r="E23" i="3"/>
  <c r="L22" i="3" l="1"/>
  <c r="K22" i="3"/>
  <c r="I22" i="3"/>
  <c r="G22" i="3"/>
  <c r="E22" i="3"/>
  <c r="J22" i="2"/>
  <c r="I22" i="2"/>
  <c r="H22" i="2"/>
  <c r="F22" i="2"/>
  <c r="E22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J15" i="2" l="1"/>
  <c r="I15" i="2"/>
  <c r="H15" i="2"/>
  <c r="F15" i="2"/>
  <c r="E15" i="2"/>
  <c r="L15" i="3"/>
  <c r="K15" i="3"/>
  <c r="I15" i="3"/>
  <c r="G15" i="3"/>
  <c r="E15" i="3"/>
  <c r="L14" i="3" l="1"/>
  <c r="K14" i="3"/>
  <c r="I14" i="3"/>
  <c r="G14" i="3"/>
  <c r="E14" i="3"/>
  <c r="J14" i="2"/>
  <c r="I14" i="2"/>
  <c r="H14" i="2"/>
  <c r="F14" i="2"/>
  <c r="E14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L9" i="3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4" i="3" l="1"/>
  <c r="K4" i="3"/>
  <c r="I4" i="3"/>
  <c r="G4" i="3"/>
  <c r="E4" i="3"/>
  <c r="J4" i="2"/>
  <c r="I4" i="2"/>
  <c r="H4" i="2"/>
  <c r="F4" i="2"/>
  <c r="E4" i="2"/>
  <c r="A10" i="5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L3" i="3" l="1"/>
  <c r="K3" i="3"/>
  <c r="I3" i="3"/>
  <c r="G3" i="3"/>
  <c r="E3" i="3"/>
  <c r="J3" i="2"/>
  <c r="I3" i="2"/>
  <c r="H3" i="2"/>
  <c r="F3" i="2"/>
  <c r="E3" i="2"/>
  <c r="A9" i="5"/>
  <c r="A8" i="5" l="1"/>
  <c r="K38" i="5" l="1"/>
  <c r="J38" i="5"/>
  <c r="I38" i="5"/>
  <c r="H38" i="5"/>
  <c r="G38" i="5"/>
  <c r="F38" i="5"/>
  <c r="E38" i="5"/>
  <c r="C38" i="5"/>
  <c r="B38" i="5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L28" i="3"/>
  <c r="K28" i="3"/>
  <c r="I28" i="3"/>
  <c r="G28" i="3"/>
  <c r="E28" i="3"/>
  <c r="L27" i="3" l="1"/>
  <c r="K27" i="3"/>
  <c r="I27" i="3"/>
  <c r="G27" i="3"/>
  <c r="E27" i="3"/>
  <c r="L26" i="3" l="1"/>
  <c r="K26" i="3"/>
  <c r="I26" i="3"/>
  <c r="G26" i="3"/>
  <c r="E26" i="3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K18" i="3" l="1"/>
  <c r="I18" i="3"/>
  <c r="G18" i="3"/>
  <c r="E18" i="3"/>
  <c r="J18" i="2"/>
  <c r="I18" i="2"/>
  <c r="H18" i="2"/>
  <c r="F18" i="2"/>
  <c r="E18" i="2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J10" i="2" l="1"/>
  <c r="I10" i="2"/>
  <c r="H10" i="2"/>
  <c r="F10" i="2"/>
  <c r="E10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J30" i="2" l="1"/>
  <c r="I30" i="2"/>
  <c r="H30" i="2"/>
  <c r="F30" i="2"/>
  <c r="E30" i="2"/>
  <c r="J2" i="2" l="1"/>
  <c r="I2" i="2"/>
  <c r="H2" i="2"/>
  <c r="F2" i="2"/>
  <c r="E2" i="2"/>
  <c r="I39" i="5" l="1"/>
  <c r="H39" i="5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<sst xmlns="http://schemas.openxmlformats.org/spreadsheetml/2006/main" count="105" uniqueCount="38">
  <si>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</si>
  <si>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</si>
  <si>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</si>
  <si>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</si>
  <si>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</si>
  <si>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</si>
  <si>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</si>
  <si>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</si>
  <si>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</si>
  <si>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</si>
  <si>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</si>
  <si>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</si>
  <si>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</si>
  <si>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</si>
  <si>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</si>
  <si>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</si>
  <si>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</si>
  <si>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</si>
  <si>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</si>
  <si>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</si>
  <si>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</si>
  <si>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</si>
  <si>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</si>
  <si>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</si>
  <si>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</si>
  <si>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</si>
  <si>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</si>
  <si>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</si>
  <si>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</si>
  <si>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</si>
  <si>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</si>
  <si>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</si>
  <si>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</si>
  <si>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</si>
  <si>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</si>
  <si>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</si>
  <si>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</si>
  <si>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SEP'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</si>
</sst>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4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43" fontId="0" fillId="0" borderId="1" xfId="2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0" fillId="2" borderId="0" xfId="0" applyFont="1" applyFill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3" fontId="0" fillId="0" borderId="15" xfId="2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43" fontId="0" fillId="0" borderId="15" xfId="2" applyFont="1" applyBorder="1" applyAlignment="1">
      <alignment horizontal="center" vertical="center" wrapText="1"/>
    </xf>
    <xf numFmtId="43" fontId="3" fillId="0" borderId="15" xfId="2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0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vertical="center"/>
    </xf>
    <xf numFmtId="0" fontId="0" fillId="0" borderId="13" xfId="0" applyFont="1" applyBorder="1" applyAlignment="1">
      <alignment horizontal="center"/>
    </xf>
    <xf numFmtId="1" fontId="0" fillId="0" borderId="0" xfId="1" applyNumberFormat="1" applyFont="1" applyBorder="1" applyAlignment="1">
      <alignment horizontal="right"/>
    </xf>
    <xf numFmtId="43" fontId="5" fillId="0" borderId="3" xfId="2" applyFont="1" applyBorder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/>
    </xf>
    <xf numFmtId="43" fontId="5" fillId="0" borderId="4" xfId="2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>
      <alignment horizontal="center" vertical="center"/>
    </xf>
    <xf numFmtId="164" fontId="10" fillId="0" borderId="16" xfId="0" applyNumberFormat="1" applyFont="1" applyBorder="1" applyAlignment="1">
      <alignment horizontal="center"/>
    </xf>
    <xf numFmtId="43" fontId="10" fillId="0" borderId="17" xfId="2" applyFont="1" applyBorder="1" applyAlignment="1">
      <alignment horizontal="center" vertical="center"/>
    </xf>
    <xf numFmtId="43" fontId="10" fillId="2" borderId="17" xfId="2" applyFont="1" applyFill="1" applyBorder="1" applyAlignment="1">
      <alignment horizontal="center" vertical="center"/>
    </xf>
    <xf numFmtId="9" fontId="10" fillId="0" borderId="17" xfId="0" applyNumberFormat="1" applyFont="1" applyBorder="1" applyAlignment="1">
      <alignment horizontal="center" vertical="center"/>
    </xf>
    <xf numFmtId="43" fontId="10" fillId="0" borderId="17" xfId="2" applyFont="1" applyFill="1" applyBorder="1" applyAlignment="1" applyProtection="1">
      <alignment horizontal="center" vertical="center"/>
      <protection locked="0"/>
    </xf>
    <xf numFmtId="43" fontId="10" fillId="0" borderId="17" xfId="2" applyFont="1" applyFill="1" applyBorder="1" applyAlignment="1">
      <alignment horizontal="center" vertical="center"/>
    </xf>
    <xf numFmtId="43" fontId="3" fillId="0" borderId="17" xfId="2" applyFont="1" applyBorder="1" applyAlignment="1">
      <alignment horizontal="center" vertical="center"/>
    </xf>
    <xf numFmtId="0" fontId="10" fillId="0" borderId="19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1" fontId="5" fillId="0" borderId="13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workbookViewId="0">
      <selection activeCell="P22" sqref="P22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9</v>
      </c>
      <c r="D2" s="13">
        <v>2022</v>
      </c>
      <c r="E2" s="15">
        <f>'09 - 2022'!B8-'09 - 2022'!B7+'09 - 2022'!C8-'09 - 2022'!C7</f>
        <v>9785</v>
      </c>
      <c r="F2" s="13">
        <v>0.11799999999999999</v>
      </c>
      <c r="G2" s="15">
        <f>'09 - 2022'!D8-'09 - 2022'!D7+'09 - 2022'!E8-'09 - 2022'!E7</f>
        <v>23.239999999999782</v>
      </c>
      <c r="H2" s="13">
        <v>0.99</v>
      </c>
      <c r="I2" s="15">
        <f>'09 - 2022'!J8-'09 - 2022'!J7</f>
        <v>35362</v>
      </c>
      <c r="J2" s="13">
        <v>8.1000000000000003E-2</v>
      </c>
      <c r="K2" s="21">
        <f>'09 - 2022'!H8-'09 - 2022'!H7</f>
        <v>0</v>
      </c>
      <c r="L2" s="15">
        <f>'09 - 2022'!I8-'09 - 2022'!I7</f>
        <v>120</v>
      </c>
      <c r="M2" s="14">
        <v>4.393629424766913</v>
      </c>
      <c r="N2" s="16">
        <v>61</v>
      </c>
    </row>
    <row r="3" spans="1:23" x14ac:dyDescent="0.25">
      <c r="A3" t="s">
        <v>27</v>
      </c>
      <c r="B3">
        <f>B2+1</f>
        <v>2</v>
      </c>
      <c r="C3" s="13">
        <v>9</v>
      </c>
      <c r="D3" s="13">
        <v>2022</v>
      </c>
      <c r="E3" s="15">
        <f>'09 - 2022'!B9-'09 - 2022'!B8+'09 - 2022'!C9-'09 - 2022'!C8</f>
        <v>10276</v>
      </c>
      <c r="F3" s="13">
        <v>0.11799999999999999</v>
      </c>
      <c r="G3" s="15">
        <f>'09 - 2022'!D9-'09 - 2022'!D8+'09 - 2022'!E9-'09 - 2022'!E8</f>
        <v>27.930000000000291</v>
      </c>
      <c r="H3" s="13">
        <v>0.99</v>
      </c>
      <c r="I3" s="15">
        <f>'09 - 2022'!J9-'09 - 2022'!J8</f>
        <v>39016</v>
      </c>
      <c r="J3" s="13">
        <v>8.1000000000000003E-2</v>
      </c>
      <c r="K3" s="21">
        <f>'09 - 2022'!H9-'09 - 2022'!H8</f>
        <v>0</v>
      </c>
      <c r="L3" s="15">
        <f>'09 - 2022'!I9-'09 - 2022'!I8</f>
        <v>112</v>
      </c>
      <c r="M3" s="14">
        <v>4.393629424766913</v>
      </c>
      <c r="N3" s="55">
        <v>64</v>
      </c>
    </row>
    <row r="4" spans="1:23" x14ac:dyDescent="0.25">
      <c r="A4" t="s">
        <v>27</v>
      </c>
      <c r="B4">
        <f t="shared" ref="B4:B31" si="0">B3+1</f>
        <v>3</v>
      </c>
      <c r="C4" s="13">
        <v>9</v>
      </c>
      <c r="D4" s="13">
        <v>2022</v>
      </c>
      <c r="E4" s="15">
        <f>'09 - 2022'!B10-'09 - 2022'!B9+'09 - 2022'!C10-'09 - 2022'!C9</f>
        <v>9906</v>
      </c>
      <c r="F4" s="13">
        <v>0.11799999999999999</v>
      </c>
      <c r="G4" s="15">
        <f>'09 - 2022'!D10-'09 - 2022'!D9+'09 - 2022'!E10-'09 - 2022'!E9</f>
        <v>25.459999999999127</v>
      </c>
      <c r="H4" s="13">
        <v>0.99</v>
      </c>
      <c r="I4" s="15">
        <f>'09 - 2022'!J10-'09 - 2022'!J9</f>
        <v>38710</v>
      </c>
      <c r="J4" s="13">
        <v>8.1000000000000003E-2</v>
      </c>
      <c r="K4" s="21">
        <f>'09 - 2022'!H10-'09 - 2022'!H9</f>
        <v>0</v>
      </c>
      <c r="L4" s="15">
        <f>'09 - 2022'!I10-'09 - 2022'!I9</f>
        <v>113</v>
      </c>
      <c r="M4" s="14">
        <v>4.393629424766913</v>
      </c>
      <c r="N4" s="16">
        <v>67</v>
      </c>
    </row>
    <row r="5" spans="1:23" x14ac:dyDescent="0.25">
      <c r="A5" t="s">
        <v>27</v>
      </c>
      <c r="B5">
        <f t="shared" si="0"/>
        <v>4</v>
      </c>
      <c r="C5" s="13">
        <v>9</v>
      </c>
      <c r="D5" s="13">
        <v>2022</v>
      </c>
      <c r="E5" s="15">
        <f>'09 - 2022'!B11-'09 - 2022'!B10+'09 - 2022'!C11-'09 - 2022'!C10</f>
        <v>9896</v>
      </c>
      <c r="F5" s="13">
        <v>0.11799999999999999</v>
      </c>
      <c r="G5" s="15">
        <f>'09 - 2022'!D11-'09 - 2022'!D10+'09 - 2022'!E11-'09 - 2022'!E10</f>
        <v>23.460000000000036</v>
      </c>
      <c r="H5" s="13">
        <v>0.99</v>
      </c>
      <c r="I5" s="15">
        <f>'09 - 2022'!J11-'09 - 2022'!J10</f>
        <v>36419</v>
      </c>
      <c r="J5" s="13">
        <v>8.1000000000000003E-2</v>
      </c>
      <c r="K5" s="21">
        <f>'09 - 2022'!H11-'09 - 2022'!H10</f>
        <v>0</v>
      </c>
      <c r="L5" s="15">
        <f>'09 - 2022'!I11-'09 - 2022'!I10</f>
        <v>111</v>
      </c>
      <c r="M5" s="14">
        <v>4.393629424766913</v>
      </c>
      <c r="N5" s="16">
        <v>60</v>
      </c>
      <c r="R5" s="13"/>
    </row>
    <row r="6" spans="1:23" x14ac:dyDescent="0.25">
      <c r="A6" t="s">
        <v>27</v>
      </c>
      <c r="B6">
        <f t="shared" si="0"/>
        <v>5</v>
      </c>
      <c r="C6" s="13">
        <v>9</v>
      </c>
      <c r="D6" s="13">
        <v>2022</v>
      </c>
      <c r="E6" s="15">
        <f>'09 - 2022'!B12-'09 - 2022'!B11+'09 - 2022'!C12-'09 - 2022'!C11</f>
        <v>10075</v>
      </c>
      <c r="F6" s="13">
        <v>0.11799999999999999</v>
      </c>
      <c r="G6" s="15">
        <f>'09 - 2022'!D12-'09 - 2022'!D11+'09 - 2022'!E12-'09 - 2022'!E11</f>
        <v>23.930000000000291</v>
      </c>
      <c r="H6" s="13">
        <v>0.99</v>
      </c>
      <c r="I6" s="15">
        <f>'09 - 2022'!J12-'09 - 2022'!J11</f>
        <v>36283</v>
      </c>
      <c r="J6" s="13">
        <v>8.1000000000000003E-2</v>
      </c>
      <c r="K6" s="21">
        <f>'09 - 2022'!H12-'09 - 2022'!H11</f>
        <v>0</v>
      </c>
      <c r="L6" s="15">
        <f>'09 - 2022'!I12-'09 - 2022'!I11</f>
        <v>113</v>
      </c>
      <c r="M6" s="14">
        <v>4.393629424766913</v>
      </c>
      <c r="N6" s="16">
        <v>52</v>
      </c>
    </row>
    <row r="7" spans="1:23" x14ac:dyDescent="0.25">
      <c r="A7" t="s">
        <v>27</v>
      </c>
      <c r="B7">
        <f t="shared" si="0"/>
        <v>6</v>
      </c>
      <c r="C7" s="13">
        <v>9</v>
      </c>
      <c r="D7" s="13">
        <v>2022</v>
      </c>
      <c r="E7" s="15">
        <f>'09 - 2022'!B13-'09 - 2022'!B12+'09 - 2022'!C13-'09 - 2022'!C12</f>
        <v>9557</v>
      </c>
      <c r="F7" s="13">
        <v>0.11799999999999999</v>
      </c>
      <c r="G7" s="15">
        <f>'09 - 2022'!D13-'09 - 2022'!D12+'09 - 2022'!E13-'09 - 2022'!E12</f>
        <v>22.659999999999854</v>
      </c>
      <c r="H7" s="13">
        <v>0.99</v>
      </c>
      <c r="I7" s="15">
        <f>'09 - 2022'!J13-'09 - 2022'!J12</f>
        <v>34824</v>
      </c>
      <c r="J7" s="13">
        <v>8.1000000000000003E-2</v>
      </c>
      <c r="K7" s="21">
        <f>'09 - 2022'!H13-'09 - 2022'!H12</f>
        <v>0</v>
      </c>
      <c r="L7" s="15">
        <f>'09 - 2022'!I13-'09 - 2022'!I12</f>
        <v>110</v>
      </c>
      <c r="M7" s="14">
        <v>4.393629424766913</v>
      </c>
      <c r="N7" s="16">
        <v>65</v>
      </c>
    </row>
    <row r="8" spans="1:23" x14ac:dyDescent="0.25">
      <c r="A8" t="s">
        <v>27</v>
      </c>
      <c r="B8">
        <f t="shared" si="0"/>
        <v>7</v>
      </c>
      <c r="C8" s="13">
        <v>9</v>
      </c>
      <c r="D8" s="13">
        <v>2022</v>
      </c>
      <c r="E8" s="15">
        <f>'09 - 2022'!B14-'09 - 2022'!B13+'09 - 2022'!C14-'09 - 2022'!C13</f>
        <v>9864</v>
      </c>
      <c r="F8" s="13">
        <v>0.11799999999999999</v>
      </c>
      <c r="G8" s="15">
        <f>'09 - 2022'!D14-'09 - 2022'!D13+'09 - 2022'!E14-'09 - 2022'!E13</f>
        <v>25.210000000000036</v>
      </c>
      <c r="H8" s="13">
        <v>0.99</v>
      </c>
      <c r="I8" s="15">
        <f>'09 - 2022'!J14-'09 - 2022'!J13</f>
        <v>33729</v>
      </c>
      <c r="J8" s="13">
        <v>8.1000000000000003E-2</v>
      </c>
      <c r="K8" s="21">
        <f>'09 - 2022'!H14-'09 - 2022'!H13</f>
        <v>0</v>
      </c>
      <c r="L8" s="15">
        <f>'09 - 2022'!I14-'09 - 2022'!I13</f>
        <v>119</v>
      </c>
      <c r="M8" s="14">
        <v>4.393629424766913</v>
      </c>
      <c r="N8" s="16">
        <v>79</v>
      </c>
      <c r="O8" s="15"/>
    </row>
    <row r="9" spans="1:23" x14ac:dyDescent="0.25">
      <c r="A9" t="s">
        <v>27</v>
      </c>
      <c r="B9">
        <f t="shared" si="0"/>
        <v>8</v>
      </c>
      <c r="C9" s="13">
        <v>9</v>
      </c>
      <c r="D9" s="13">
        <v>2022</v>
      </c>
      <c r="E9" s="15">
        <f>'09 - 2022'!B15-'09 - 2022'!B14+'09 - 2022'!C15-'09 - 2022'!C14</f>
        <v>10021</v>
      </c>
      <c r="F9" s="13">
        <v>0.11799999999999999</v>
      </c>
      <c r="G9" s="15">
        <f>'09 - 2022'!D15-'09 - 2022'!D14+'09 - 2022'!E15-'09 - 2022'!E14</f>
        <v>24.330000000000837</v>
      </c>
      <c r="H9" s="13">
        <v>0.99</v>
      </c>
      <c r="I9" s="15">
        <f>'09 - 2022'!J15-'09 - 2022'!J14</f>
        <v>37649</v>
      </c>
      <c r="J9" s="13">
        <v>8.1000000000000003E-2</v>
      </c>
      <c r="K9" s="21">
        <f>'09 - 2022'!H15-'09 - 2022'!H14</f>
        <v>0</v>
      </c>
      <c r="L9" s="15">
        <f>'09 - 2022'!I15-'09 - 2022'!I14</f>
        <v>114</v>
      </c>
      <c r="M9" s="14">
        <v>4.393629424766913</v>
      </c>
      <c r="N9" s="16">
        <v>85</v>
      </c>
    </row>
    <row r="10" spans="1:23" x14ac:dyDescent="0.25">
      <c r="A10" t="s">
        <v>27</v>
      </c>
      <c r="B10">
        <f t="shared" si="0"/>
        <v>9</v>
      </c>
      <c r="C10" s="13">
        <v>9</v>
      </c>
      <c r="D10" s="13">
        <v>2022</v>
      </c>
      <c r="E10" s="15">
        <f>'09 - 2022'!B16-'09 - 2022'!B15+'09 - 2022'!C16-'09 - 2022'!C15</f>
        <v>10202</v>
      </c>
      <c r="F10" s="13">
        <v>0.11799999999999999</v>
      </c>
      <c r="G10" s="15">
        <f>'09 - 2022'!D16-'09 - 2022'!D15+'09 - 2022'!E16-'09 - 2022'!E15</f>
        <v>23.270000000000437</v>
      </c>
      <c r="H10" s="13">
        <v>0.99</v>
      </c>
      <c r="I10" s="15">
        <f>'09 - 2022'!J16-'09 - 2022'!J15</f>
        <v>36321</v>
      </c>
      <c r="J10" s="13">
        <v>8.1000000000000003E-2</v>
      </c>
      <c r="K10" s="21">
        <f>'09 - 2022'!H16-'09 - 2022'!H15</f>
        <v>0</v>
      </c>
      <c r="L10" s="15">
        <f>'09 - 2022'!I16-'09 - 2022'!I15</f>
        <v>125</v>
      </c>
      <c r="M10" s="14">
        <v>4.393629424766913</v>
      </c>
      <c r="N10" s="16">
        <v>86</v>
      </c>
    </row>
    <row r="11" spans="1:23" x14ac:dyDescent="0.25">
      <c r="A11" t="s">
        <v>27</v>
      </c>
      <c r="B11">
        <f t="shared" si="0"/>
        <v>10</v>
      </c>
      <c r="C11" s="13">
        <v>9</v>
      </c>
      <c r="D11" s="13">
        <v>2022</v>
      </c>
      <c r="E11" s="15">
        <f>'09 - 2022'!B17-'09 - 2022'!B16+'09 - 2022'!C17-'09 - 2022'!C16</f>
        <v>10275</v>
      </c>
      <c r="F11" s="13">
        <v>0.11799999999999999</v>
      </c>
      <c r="G11" s="15">
        <f>'09 - 2022'!D17-'09 - 2022'!D16+'09 - 2022'!E17-'09 - 2022'!E16</f>
        <v>23.960000000000036</v>
      </c>
      <c r="H11" s="13">
        <v>0.99</v>
      </c>
      <c r="I11" s="15">
        <f>'09 - 2022'!J17-'09 - 2022'!J16</f>
        <v>35639</v>
      </c>
      <c r="J11" s="13">
        <v>8.1000000000000003E-2</v>
      </c>
      <c r="K11" s="21">
        <f>'09 - 2022'!H17-'09 - 2022'!H16</f>
        <v>0</v>
      </c>
      <c r="L11" s="15">
        <f>'09 - 2022'!I17-'09 - 2022'!I16</f>
        <v>116</v>
      </c>
      <c r="M11" s="14">
        <v>4.393629424766913</v>
      </c>
      <c r="N11" s="16">
        <v>82</v>
      </c>
    </row>
    <row r="12" spans="1:23" x14ac:dyDescent="0.25">
      <c r="A12" t="s">
        <v>27</v>
      </c>
      <c r="B12">
        <f t="shared" si="0"/>
        <v>11</v>
      </c>
      <c r="C12" s="13">
        <v>9</v>
      </c>
      <c r="D12" s="13">
        <v>2022</v>
      </c>
      <c r="E12" s="15">
        <f>'09 - 2022'!B18-'09 - 2022'!B17+'09 - 2022'!C18-'09 - 2022'!C17</f>
        <v>10175</v>
      </c>
      <c r="F12" s="13">
        <v>0.11799999999999999</v>
      </c>
      <c r="G12" s="15">
        <f>'09 - 2022'!D18-'09 - 2022'!D17+'09 - 2022'!E18-'09 - 2022'!E17</f>
        <v>25.459999999999127</v>
      </c>
      <c r="H12" s="13">
        <v>0.99</v>
      </c>
      <c r="I12" s="15">
        <f>'09 - 2022'!J18-'09 - 2022'!J17</f>
        <v>35919</v>
      </c>
      <c r="J12" s="13">
        <v>8.1000000000000003E-2</v>
      </c>
      <c r="K12" s="21">
        <f>'09 - 2022'!H18-'09 - 2022'!H17</f>
        <v>0</v>
      </c>
      <c r="L12" s="15">
        <f>'09 - 2022'!I18-'09 - 2022'!I17</f>
        <v>120</v>
      </c>
      <c r="M12" s="14">
        <v>4.393629424766913</v>
      </c>
      <c r="N12" s="16">
        <v>68</v>
      </c>
      <c r="W12" s="13"/>
    </row>
    <row r="13" spans="1:23" x14ac:dyDescent="0.25">
      <c r="A13" t="s">
        <v>27</v>
      </c>
      <c r="B13">
        <f t="shared" si="0"/>
        <v>12</v>
      </c>
      <c r="C13" s="13">
        <v>9</v>
      </c>
      <c r="D13" s="13">
        <v>2022</v>
      </c>
      <c r="E13" s="15">
        <f>'09 - 2022'!B19-'09 - 2022'!B18+'09 - 2022'!C19-'09 - 2022'!C18</f>
        <v>10084</v>
      </c>
      <c r="F13" s="13">
        <v>0.11799999999999999</v>
      </c>
      <c r="G13" s="15">
        <f>'09 - 2022'!D19-'09 - 2022'!D18+'09 - 2022'!E19-'09 - 2022'!E18</f>
        <v>24.680000000000291</v>
      </c>
      <c r="H13" s="13">
        <v>0.99</v>
      </c>
      <c r="I13" s="15">
        <f>'09 - 2022'!J19-'09 - 2022'!J18</f>
        <v>35249</v>
      </c>
      <c r="J13" s="13">
        <v>8.1000000000000003E-2</v>
      </c>
      <c r="K13" s="21">
        <f>'09 - 2022'!H19-'09 - 2022'!H18</f>
        <v>0</v>
      </c>
      <c r="L13" s="15">
        <f>'09 - 2022'!I19-'09 - 2022'!I18</f>
        <v>94</v>
      </c>
      <c r="M13" s="14">
        <v>4.393629424766913</v>
      </c>
      <c r="N13" s="16">
        <v>85</v>
      </c>
    </row>
    <row r="14" spans="1:23" x14ac:dyDescent="0.25">
      <c r="A14" t="s">
        <v>27</v>
      </c>
      <c r="B14">
        <f t="shared" si="0"/>
        <v>13</v>
      </c>
      <c r="C14" s="13">
        <v>9</v>
      </c>
      <c r="D14" s="13">
        <v>2022</v>
      </c>
      <c r="E14" s="15">
        <f>'09 - 2022'!B20-'09 - 2022'!B19+'09 - 2022'!C20-'09 - 2022'!C19</f>
        <v>9920</v>
      </c>
      <c r="F14" s="13">
        <v>0.11799999999999999</v>
      </c>
      <c r="G14" s="15">
        <f>'09 - 2022'!D20-'09 - 2022'!D19+'09 - 2022'!E20-'09 - 2022'!E19</f>
        <v>28.359999999999673</v>
      </c>
      <c r="H14" s="13">
        <v>0.99</v>
      </c>
      <c r="I14" s="15">
        <f>'09 - 2022'!J20-'09 - 2022'!J19</f>
        <v>36950</v>
      </c>
      <c r="J14" s="13">
        <v>8.1000000000000003E-2</v>
      </c>
      <c r="K14" s="21">
        <f>'09 - 2022'!H20-'09 - 2022'!H19</f>
        <v>0</v>
      </c>
      <c r="L14" s="15">
        <f>'09 - 2022'!I20-'09 - 2022'!I19</f>
        <v>143</v>
      </c>
      <c r="M14" s="14">
        <v>4.393629424766913</v>
      </c>
      <c r="N14" s="16">
        <v>81</v>
      </c>
      <c r="O14" s="15"/>
    </row>
    <row r="15" spans="1:23" x14ac:dyDescent="0.25">
      <c r="A15" t="s">
        <v>27</v>
      </c>
      <c r="B15">
        <f t="shared" si="0"/>
        <v>14</v>
      </c>
      <c r="C15" s="13">
        <v>9</v>
      </c>
      <c r="D15" s="13">
        <v>2022</v>
      </c>
      <c r="E15" s="15">
        <f>'09 - 2022'!B21-'09 - 2022'!B20+'09 - 2022'!C21-'09 - 2022'!C20</f>
        <v>9794</v>
      </c>
      <c r="F15" s="13">
        <v>0.11799999999999999</v>
      </c>
      <c r="G15" s="15">
        <f>'09 - 2022'!D21-'09 - 2022'!D20+'09 - 2022'!E21-'09 - 2022'!E20</f>
        <v>25.330000000000837</v>
      </c>
      <c r="H15" s="13">
        <v>0.99</v>
      </c>
      <c r="I15" s="15">
        <f>'09 - 2022'!J21-'09 - 2022'!J20</f>
        <v>38843</v>
      </c>
      <c r="J15" s="13">
        <v>8.1000000000000003E-2</v>
      </c>
      <c r="K15" s="21">
        <f>'09 - 2022'!H21-'09 - 2022'!H20</f>
        <v>0</v>
      </c>
      <c r="L15" s="15">
        <f>'09 - 2022'!I21-'09 - 2022'!I20</f>
        <v>101</v>
      </c>
      <c r="M15" s="14">
        <v>4.393629424766913</v>
      </c>
      <c r="N15" s="16">
        <v>85</v>
      </c>
      <c r="R15" s="13"/>
    </row>
    <row r="16" spans="1:23" x14ac:dyDescent="0.25">
      <c r="A16" t="s">
        <v>27</v>
      </c>
      <c r="B16">
        <f t="shared" si="0"/>
        <v>15</v>
      </c>
      <c r="C16" s="13">
        <v>9</v>
      </c>
      <c r="D16" s="13">
        <v>2022</v>
      </c>
      <c r="E16" s="15">
        <f>'09 - 2022'!B22-'09 - 2022'!B21+'09 - 2022'!C22-'09 - 2022'!C21</f>
        <v>10414</v>
      </c>
      <c r="F16" s="13">
        <v>0.11799999999999999</v>
      </c>
      <c r="G16" s="15">
        <f>'09 - 2022'!D22-'09 - 2022'!D21+'09 - 2022'!E22-'09 - 2022'!E21</f>
        <v>24.079999999999018</v>
      </c>
      <c r="H16" s="13">
        <v>0.99</v>
      </c>
      <c r="I16" s="15">
        <f>'09 - 2022'!J22-'09 - 2022'!J21</f>
        <v>42026</v>
      </c>
      <c r="J16" s="13">
        <v>8.1000000000000003E-2</v>
      </c>
      <c r="K16" s="21">
        <f>'09 - 2022'!H22-'09 - 2022'!H21</f>
        <v>0</v>
      </c>
      <c r="L16" s="15">
        <f>'09 - 2022'!I22-'09 - 2022'!I21</f>
        <v>140</v>
      </c>
      <c r="M16" s="14">
        <v>4.393629424766913</v>
      </c>
      <c r="N16" s="16">
        <v>89</v>
      </c>
      <c r="U16" s="13"/>
    </row>
    <row r="17" spans="1:17" x14ac:dyDescent="0.25">
      <c r="A17" t="s">
        <v>27</v>
      </c>
      <c r="B17">
        <f t="shared" si="0"/>
        <v>16</v>
      </c>
      <c r="C17" s="13">
        <v>9</v>
      </c>
      <c r="D17" s="13">
        <v>2022</v>
      </c>
      <c r="E17" s="15">
        <f>'09 - 2022'!B23-'09 - 2022'!B22+'09 - 2022'!C23-'09 - 2022'!C22</f>
        <v>10253</v>
      </c>
      <c r="F17" s="13">
        <v>0.11799999999999999</v>
      </c>
      <c r="G17" s="15">
        <f>'09 - 2022'!D23-'09 - 2022'!D22+'09 - 2022'!E23-'09 - 2022'!E22</f>
        <v>26.010000000000218</v>
      </c>
      <c r="H17" s="13">
        <v>0.99</v>
      </c>
      <c r="I17" s="15">
        <f>'09 - 2022'!J23-'09 - 2022'!J22</f>
        <v>37860</v>
      </c>
      <c r="J17" s="13">
        <v>8.1000000000000003E-2</v>
      </c>
      <c r="K17" s="21">
        <f>'09 - 2022'!H23-'09 - 2022'!H22</f>
        <v>0</v>
      </c>
      <c r="L17" s="15">
        <f>'09 - 2022'!I23-'09 - 2022'!I22</f>
        <v>122</v>
      </c>
      <c r="M17" s="14">
        <v>4.393629424766913</v>
      </c>
      <c r="N17" s="16">
        <v>89</v>
      </c>
      <c r="O17" s="13"/>
    </row>
    <row r="18" spans="1:17" x14ac:dyDescent="0.25">
      <c r="A18" t="s">
        <v>27</v>
      </c>
      <c r="B18">
        <f t="shared" si="0"/>
        <v>17</v>
      </c>
      <c r="C18" s="13">
        <v>9</v>
      </c>
      <c r="D18" s="13">
        <v>2022</v>
      </c>
      <c r="E18" s="15">
        <f>'09 - 2022'!B24-'09 - 2022'!B23+'09 - 2022'!C24-'09 - 2022'!C23</f>
        <v>10076</v>
      </c>
      <c r="F18" s="13">
        <v>0.11799999999999999</v>
      </c>
      <c r="G18" s="15">
        <f>'09 - 2022'!D24-'09 - 2022'!D23+'09 - 2022'!E24-'09 - 2022'!E23</f>
        <v>25.069999999999709</v>
      </c>
      <c r="H18" s="13">
        <v>0.99</v>
      </c>
      <c r="I18" s="15">
        <f>'09 - 2022'!J24-'09 - 2022'!J23</f>
        <v>39637</v>
      </c>
      <c r="J18" s="13">
        <v>8.1000000000000003E-2</v>
      </c>
      <c r="K18" s="21">
        <f>'09 - 2022'!H24-'09 - 2022'!H23</f>
        <v>0</v>
      </c>
      <c r="L18" s="15">
        <f>'09 - 2022'!I24-'09 - 2022'!I23</f>
        <v>131</v>
      </c>
      <c r="M18" s="14">
        <v>4.393629424766913</v>
      </c>
      <c r="N18" s="16">
        <v>70</v>
      </c>
      <c r="Q18" s="13"/>
    </row>
    <row r="19" spans="1:17" x14ac:dyDescent="0.25">
      <c r="A19" t="s">
        <v>27</v>
      </c>
      <c r="B19">
        <f>B18+1</f>
        <v>18</v>
      </c>
      <c r="C19" s="13">
        <v>9</v>
      </c>
      <c r="D19" s="13">
        <v>2022</v>
      </c>
      <c r="E19" s="15">
        <f>'09 - 2022'!B25-'09 - 2022'!B24+'09 - 2022'!C25-'09 - 2022'!C24</f>
        <v>10230</v>
      </c>
      <c r="F19" s="13">
        <v>0.11799999999999999</v>
      </c>
      <c r="G19" s="15">
        <f>'09 - 2022'!D25-'09 - 2022'!D24+'09 - 2022'!E25-'09 - 2022'!E24</f>
        <v>28.349999999999454</v>
      </c>
      <c r="H19" s="13">
        <v>0.99</v>
      </c>
      <c r="I19" s="15">
        <f>'09 - 2022'!J25-'09 - 2022'!J24</f>
        <v>34547</v>
      </c>
      <c r="J19" s="13">
        <v>8.1000000000000003E-2</v>
      </c>
      <c r="K19" s="21">
        <f>'09 - 2022'!H25-'09 - 2022'!H24</f>
        <v>0</v>
      </c>
      <c r="L19" s="15">
        <f>'09 - 2022'!I25-'09 - 2022'!I24</f>
        <v>112</v>
      </c>
      <c r="M19" s="14">
        <v>4.393629424766913</v>
      </c>
      <c r="N19" s="16">
        <v>50</v>
      </c>
    </row>
    <row r="20" spans="1:17" x14ac:dyDescent="0.25">
      <c r="A20" t="s">
        <v>27</v>
      </c>
      <c r="B20">
        <f t="shared" si="0"/>
        <v>19</v>
      </c>
      <c r="C20" s="13">
        <v>9</v>
      </c>
      <c r="D20" s="13">
        <v>2022</v>
      </c>
      <c r="E20" s="15">
        <f>'09 - 2022'!B26-'09 - 2022'!B25+'09 - 2022'!C26-'09 - 2022'!C25</f>
        <v>10107</v>
      </c>
      <c r="F20" s="13">
        <v>0.11799999999999999</v>
      </c>
      <c r="G20" s="15">
        <f>'09 - 2022'!D26-'09 - 2022'!D25+'09 - 2022'!E26-'09 - 2022'!E25</f>
        <v>24.150000000000546</v>
      </c>
      <c r="H20" s="13">
        <v>0.99</v>
      </c>
      <c r="I20" s="15">
        <f>'09 - 2022'!J26-'09 - 2022'!J25</f>
        <v>35773</v>
      </c>
      <c r="J20" s="13">
        <v>8.1000000000000003E-2</v>
      </c>
      <c r="K20" s="21">
        <f>'09 - 2022'!H26-'09 - 2022'!H25</f>
        <v>0</v>
      </c>
      <c r="L20" s="15">
        <f>'09 - 2022'!I26-'09 - 2022'!I25</f>
        <v>106</v>
      </c>
      <c r="M20" s="14">
        <v>4.393629424766913</v>
      </c>
      <c r="N20" s="16">
        <v>69</v>
      </c>
    </row>
    <row r="21" spans="1:17" x14ac:dyDescent="0.25">
      <c r="A21" t="s">
        <v>27</v>
      </c>
      <c r="B21">
        <f t="shared" si="0"/>
        <v>20</v>
      </c>
      <c r="C21" s="13">
        <v>9</v>
      </c>
      <c r="D21" s="13">
        <v>2022</v>
      </c>
      <c r="E21" s="15">
        <f>'09 - 2022'!B27-'09 - 2022'!B26+'09 - 2022'!C27-'09 - 2022'!C26</f>
        <v>10064</v>
      </c>
      <c r="F21" s="13">
        <v>0.11799999999999999</v>
      </c>
      <c r="G21" s="15">
        <f>'09 - 2022'!D27-'09 - 2022'!D26+'09 - 2022'!E27-'09 - 2022'!E26</f>
        <v>26.719999999999345</v>
      </c>
      <c r="H21" s="13">
        <v>0.99</v>
      </c>
      <c r="I21" s="15">
        <f>'09 - 2022'!J27-'09 - 2022'!J26</f>
        <v>35084</v>
      </c>
      <c r="J21" s="13">
        <v>8.1000000000000003E-2</v>
      </c>
      <c r="K21" s="21">
        <f>'09 - 2022'!H27-'09 - 2022'!H26</f>
        <v>0</v>
      </c>
      <c r="L21" s="15">
        <f>'09 - 2022'!I27-'09 - 2022'!I26</f>
        <v>107</v>
      </c>
      <c r="M21" s="14">
        <v>4.393629424766913</v>
      </c>
      <c r="N21" s="55">
        <v>61</v>
      </c>
    </row>
    <row r="22" spans="1:17" x14ac:dyDescent="0.25">
      <c r="A22" t="s">
        <v>27</v>
      </c>
      <c r="B22">
        <f t="shared" si="0"/>
        <v>21</v>
      </c>
      <c r="C22" s="13">
        <v>9</v>
      </c>
      <c r="D22" s="13">
        <v>2022</v>
      </c>
      <c r="E22" s="15">
        <f>'09 - 2022'!B28-'09 - 2022'!B27+'09 - 2022'!C28-'09 - 2022'!C27</f>
        <v>9935</v>
      </c>
      <c r="F22" s="13">
        <v>0.11799999999999999</v>
      </c>
      <c r="G22" s="15">
        <f>'09 - 2022'!D28-'09 - 2022'!D27+'09 - 2022'!E28-'09 - 2022'!E27</f>
        <v>25.890000000000327</v>
      </c>
      <c r="H22" s="13">
        <v>0.99</v>
      </c>
      <c r="I22" s="15">
        <f>'09 - 2022'!J28-'09 - 2022'!J27</f>
        <v>33541</v>
      </c>
      <c r="J22" s="13">
        <v>8.1000000000000003E-2</v>
      </c>
      <c r="K22" s="21">
        <f>'09 - 2022'!H28-'09 - 2022'!H27</f>
        <v>0</v>
      </c>
      <c r="L22" s="15">
        <f>'09 - 2022'!I28-'09 - 2022'!I27</f>
        <v>104</v>
      </c>
      <c r="M22" s="14">
        <v>4.393629424766913</v>
      </c>
      <c r="N22" s="16">
        <v>85</v>
      </c>
    </row>
    <row r="23" spans="1:17" x14ac:dyDescent="0.25">
      <c r="A23" t="s">
        <v>27</v>
      </c>
      <c r="B23">
        <f t="shared" si="0"/>
        <v>22</v>
      </c>
      <c r="C23" s="13">
        <v>9</v>
      </c>
      <c r="D23" s="13">
        <v>2022</v>
      </c>
      <c r="E23" s="15">
        <f>'09 - 2022'!B29-'09 - 2022'!B28+'09 - 2022'!C29-'09 - 2022'!C28</f>
        <v>10387</v>
      </c>
      <c r="F23" s="13">
        <v>0.11799999999999999</v>
      </c>
      <c r="G23" s="15">
        <f>'09 - 2022'!D29-'09 - 2022'!D28+'09 - 2022'!E29-'09 - 2022'!E28</f>
        <v>23.859999999999673</v>
      </c>
      <c r="H23" s="13">
        <v>0.99</v>
      </c>
      <c r="I23" s="15">
        <f>'09 - 2022'!J29-'09 - 2022'!J28</f>
        <v>32877</v>
      </c>
      <c r="J23" s="13">
        <v>8.1000000000000003E-2</v>
      </c>
      <c r="K23" s="21">
        <f>'09 - 2022'!H29-'09 - 2022'!H28</f>
        <v>0</v>
      </c>
      <c r="L23" s="15">
        <f>'09 - 2022'!I29-'09 - 2022'!I28</f>
        <v>120</v>
      </c>
      <c r="M23" s="14">
        <v>4.393629424766913</v>
      </c>
      <c r="N23" s="16">
        <v>83</v>
      </c>
    </row>
    <row r="24" spans="1:17" x14ac:dyDescent="0.25">
      <c r="A24" t="s">
        <v>27</v>
      </c>
      <c r="B24">
        <f t="shared" si="0"/>
        <v>23</v>
      </c>
      <c r="C24" s="13">
        <v>9</v>
      </c>
      <c r="D24" s="13">
        <v>2022</v>
      </c>
      <c r="E24" s="15">
        <f>'09 - 2022'!B30-'09 - 2022'!B29+'09 - 2022'!C30-'09 - 2022'!C29</f>
        <v>10582</v>
      </c>
      <c r="F24" s="13">
        <v>0.11799999999999999</v>
      </c>
      <c r="G24" s="15">
        <f>'09 - 2022'!D30-'09 - 2022'!D29+'09 - 2022'!E30-'09 - 2022'!E29</f>
        <v>26.159999999999854</v>
      </c>
      <c r="H24" s="13">
        <v>0.99</v>
      </c>
      <c r="I24" s="15">
        <f>'09 - 2022'!J30-'09 - 2022'!J29</f>
        <v>34153</v>
      </c>
      <c r="J24" s="13">
        <v>8.1000000000000003E-2</v>
      </c>
      <c r="K24" s="21">
        <f>'09 - 2022'!H30-'09 - 2022'!H29</f>
        <v>0</v>
      </c>
      <c r="L24" s="15">
        <f>'09 - 2022'!I30-'09 - 2022'!I29</f>
        <v>132</v>
      </c>
      <c r="M24" s="14">
        <v>4.393629424766913</v>
      </c>
      <c r="N24" s="16">
        <v>90</v>
      </c>
    </row>
    <row r="25" spans="1:17" x14ac:dyDescent="0.25">
      <c r="A25" t="s">
        <v>27</v>
      </c>
      <c r="B25">
        <f t="shared" si="0"/>
        <v>24</v>
      </c>
      <c r="C25" s="13">
        <v>9</v>
      </c>
      <c r="D25" s="13">
        <v>2022</v>
      </c>
      <c r="E25" s="15">
        <f>'09 - 2022'!B31-'09 - 2022'!B30+'09 - 2022'!C31-'09 - 2022'!C30</f>
        <v>10469</v>
      </c>
      <c r="F25" s="13">
        <v>0.11799999999999999</v>
      </c>
      <c r="G25" s="15">
        <f>'09 - 2022'!D31-'09 - 2022'!D30+'09 - 2022'!E31-'09 - 2022'!E30</f>
        <v>28.509999999999309</v>
      </c>
      <c r="H25" s="13">
        <v>0.99</v>
      </c>
      <c r="I25" s="15">
        <f>'09 - 2022'!J31-'09 - 2022'!J30</f>
        <v>34849</v>
      </c>
      <c r="J25" s="13">
        <v>8.1000000000000003E-2</v>
      </c>
      <c r="K25" s="21">
        <f>'09 - 2022'!H31-'09 - 2022'!H30</f>
        <v>0</v>
      </c>
      <c r="L25" s="15">
        <f>'09 - 2022'!I31-'09 - 2022'!I30</f>
        <v>126</v>
      </c>
      <c r="M25" s="14">
        <v>4.393629424766913</v>
      </c>
      <c r="N25" s="16">
        <v>69</v>
      </c>
      <c r="P25" s="12"/>
    </row>
    <row r="26" spans="1:17" x14ac:dyDescent="0.25">
      <c r="A26" t="s">
        <v>27</v>
      </c>
      <c r="B26">
        <f>B25+1</f>
        <v>25</v>
      </c>
      <c r="C26" s="13">
        <v>9</v>
      </c>
      <c r="D26" s="13">
        <v>2022</v>
      </c>
      <c r="E26" s="15">
        <f>'09 - 2022'!B32-'09 - 2022'!B31+'09 - 2022'!C32-'09 - 2022'!C31</f>
        <v>10146</v>
      </c>
      <c r="F26" s="13">
        <v>0.11799999999999999</v>
      </c>
      <c r="G26" s="15">
        <f>'09 - 2022'!D32-'09 - 2022'!D31+'09 - 2022'!E32-'09 - 2022'!E31</f>
        <v>23.5</v>
      </c>
      <c r="H26" s="13">
        <v>0.99</v>
      </c>
      <c r="I26" s="15">
        <f>'09 - 2022'!J32-'09 - 2022'!J31</f>
        <v>36282</v>
      </c>
      <c r="J26" s="13">
        <v>8.1000000000000003E-2</v>
      </c>
      <c r="K26" s="21">
        <f>'09 - 2022'!H32-'09 - 2022'!H31</f>
        <v>0</v>
      </c>
      <c r="L26" s="15">
        <f>'09 - 2022'!I32-'09 - 2022'!I31</f>
        <v>118</v>
      </c>
      <c r="M26" s="14">
        <v>4.393629424766913</v>
      </c>
      <c r="N26" s="16">
        <v>60</v>
      </c>
    </row>
    <row r="27" spans="1:17" x14ac:dyDescent="0.25">
      <c r="A27" t="s">
        <v>27</v>
      </c>
      <c r="B27">
        <f t="shared" si="0"/>
        <v>26</v>
      </c>
      <c r="C27" s="13">
        <v>9</v>
      </c>
      <c r="D27" s="13">
        <v>2022</v>
      </c>
      <c r="E27" s="15">
        <f>'09 - 2022'!B33-'09 - 2022'!B32+'09 - 2022'!C33-'09 - 2022'!C32</f>
        <v>10023</v>
      </c>
      <c r="F27" s="13">
        <v>0.11799999999999999</v>
      </c>
      <c r="G27" s="15">
        <f>'09 - 2022'!D33-'09 - 2022'!D32+'09 - 2022'!E33-'09 - 2022'!E32</f>
        <v>26.319999999999709</v>
      </c>
      <c r="H27" s="13">
        <v>0.99</v>
      </c>
      <c r="I27" s="15">
        <f>'09 - 2022'!J33-'09 - 2022'!J32</f>
        <v>40147</v>
      </c>
      <c r="J27" s="13">
        <v>8.1000000000000003E-2</v>
      </c>
      <c r="K27" s="21">
        <f>'09 - 2022'!H33-'09 - 2022'!H32</f>
        <v>0</v>
      </c>
      <c r="L27" s="15">
        <f>'09 - 2022'!I33-'09 - 2022'!I32</f>
        <v>102</v>
      </c>
      <c r="M27" s="14">
        <v>4.393629424766913</v>
      </c>
      <c r="N27" s="16">
        <v>50</v>
      </c>
    </row>
    <row r="28" spans="1:17" x14ac:dyDescent="0.25">
      <c r="A28" t="s">
        <v>27</v>
      </c>
      <c r="B28">
        <f t="shared" si="0"/>
        <v>27</v>
      </c>
      <c r="C28" s="13">
        <v>9</v>
      </c>
      <c r="D28" s="13">
        <v>2022</v>
      </c>
      <c r="E28" s="15">
        <f>'09 - 2022'!B34-'09 - 2022'!B33+'09 - 2022'!C34-'09 - 2022'!C33</f>
        <v>10326</v>
      </c>
      <c r="F28" s="13">
        <v>0.11799999999999999</v>
      </c>
      <c r="G28" s="15">
        <f>'09 - 2022'!D34-'09 - 2022'!D33+'09 - 2022'!E34-'09 - 2022'!E33</f>
        <v>22.829999999999927</v>
      </c>
      <c r="H28" s="13">
        <v>0.99</v>
      </c>
      <c r="I28" s="15">
        <f>'09 - 2022'!J34-'09 - 2022'!J33</f>
        <v>40706</v>
      </c>
      <c r="J28" s="13">
        <v>8.1000000000000003E-2</v>
      </c>
      <c r="K28" s="21">
        <f>'09 - 2022'!H34-'09 - 2022'!H33</f>
        <v>0</v>
      </c>
      <c r="L28" s="15">
        <f>'09 - 2022'!I34-'09 - 2022'!I33</f>
        <v>108</v>
      </c>
      <c r="M28" s="14">
        <v>4.393629424766913</v>
      </c>
      <c r="N28" s="15">
        <v>82</v>
      </c>
    </row>
    <row r="29" spans="1:17" x14ac:dyDescent="0.25">
      <c r="A29" t="s">
        <v>27</v>
      </c>
      <c r="B29">
        <f t="shared" si="0"/>
        <v>28</v>
      </c>
      <c r="C29" s="13">
        <v>9</v>
      </c>
      <c r="D29" s="13">
        <v>2022</v>
      </c>
      <c r="E29" s="15">
        <v>0</v>
      </c>
      <c r="F29" s="13">
        <v>0.11799999999999999</v>
      </c>
      <c r="G29" s="15">
        <v>0</v>
      </c>
      <c r="H29" s="13">
        <v>0.99</v>
      </c>
      <c r="I29" s="15">
        <v>0</v>
      </c>
      <c r="J29" s="13">
        <v>8.1000000000000003E-2</v>
      </c>
      <c r="K29" s="21">
        <v>0</v>
      </c>
      <c r="L29" s="15">
        <v>0</v>
      </c>
      <c r="M29" s="14">
        <v>4.393629424766913</v>
      </c>
      <c r="N29" s="17"/>
    </row>
    <row r="30" spans="1:17" x14ac:dyDescent="0.25">
      <c r="A30" s="13" t="s">
        <v>27</v>
      </c>
      <c r="B30" s="13">
        <f t="shared" si="0"/>
        <v>29</v>
      </c>
      <c r="C30" s="13">
        <v>9</v>
      </c>
      <c r="D30" s="13">
        <v>2022</v>
      </c>
      <c r="E30" s="15">
        <f>'09 - 2022'!B36-'09 - 2022'!B35+'09 - 2022'!C36-'09 - 2022'!C35</f>
        <v>0</v>
      </c>
      <c r="F30" s="13">
        <v>0.11799999999999999</v>
      </c>
      <c r="G30" s="15">
        <f>'09 - 2022'!D36-'09 - 2022'!D35+'09 - 2022'!E36-'09 - 2022'!E35</f>
        <v>0</v>
      </c>
      <c r="H30" s="13">
        <v>0.99</v>
      </c>
      <c r="I30" s="15">
        <f>'09 - 2022'!J36-'09 - 2022'!J35</f>
        <v>0</v>
      </c>
      <c r="J30" s="13">
        <v>8.1000000000000003E-2</v>
      </c>
      <c r="K30" s="21">
        <f>'09 - 2022'!H36-'09 - 2022'!H35</f>
        <v>0</v>
      </c>
      <c r="L30" s="15">
        <f>'09 - 2022'!I36-'09 - 2022'!I35</f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9</v>
      </c>
      <c r="D31" s="13">
        <v>2022</v>
      </c>
      <c r="E31" s="15">
        <f>'09 - 2022'!B37-'09 - 2022'!B36+'09 - 2022'!C37-'09 - 2022'!C36</f>
        <v>0</v>
      </c>
      <c r="F31" s="13">
        <v>0.11799999999999999</v>
      </c>
      <c r="G31" s="15">
        <f>'09 - 2022'!D37-'09 - 2022'!D36+'09 - 2022'!E37-'09 - 2022'!E36</f>
        <v>0</v>
      </c>
      <c r="H31" s="13">
        <v>0.99</v>
      </c>
      <c r="I31" s="15">
        <f>'09 - 2022'!J37-'09 - 2022'!J36</f>
        <v>0</v>
      </c>
      <c r="J31" s="13">
        <v>8.1000000000000003E-2</v>
      </c>
      <c r="K31" s="21">
        <f>'09 - 2022'!H37-'09 - 2022'!H36</f>
        <v>0</v>
      </c>
      <c r="L31" s="15">
        <f>'09 - 2022'!I37-'09 - 2022'!I36</f>
        <v>0</v>
      </c>
      <c r="M31" s="1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opLeftCell="A4" workbookViewId="0">
      <selection activeCell="K29" sqref="K2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9</v>
      </c>
      <c r="D2">
        <v>2022</v>
      </c>
      <c r="E2" s="15">
        <f>'09 - 2022'!B8-'09 - 2022'!B7</f>
        <v>3940</v>
      </c>
      <c r="F2" s="15">
        <f>'09 - 2022'!C8-'09 - 2022'!C7</f>
        <v>5845</v>
      </c>
      <c r="G2" s="13">
        <v>0.11799999999999999</v>
      </c>
      <c r="H2" s="15">
        <f>'09 - 2022'!E8-'09 - 2022'!E7</f>
        <v>23.319999999999709</v>
      </c>
      <c r="I2" s="15">
        <f>'09 - 2022'!F8-'09 - 2022'!F7</f>
        <v>9.9100000000003092</v>
      </c>
      <c r="J2" s="15">
        <f>'09 - 2022'!G8-'09 - 2022'!G7</f>
        <v>29.549999999995634</v>
      </c>
      <c r="K2" s="13">
        <v>0.74</v>
      </c>
      <c r="L2" s="16">
        <v>61</v>
      </c>
      <c r="M2" s="10"/>
    </row>
    <row r="3" spans="1:13" x14ac:dyDescent="0.25">
      <c r="A3" t="s">
        <v>27</v>
      </c>
      <c r="B3">
        <f>B2+1</f>
        <v>2</v>
      </c>
      <c r="C3" s="13">
        <v>9</v>
      </c>
      <c r="D3" s="13">
        <v>2022</v>
      </c>
      <c r="E3" s="15">
        <f>'09 - 2022'!B9-'09 - 2022'!B8</f>
        <v>4142</v>
      </c>
      <c r="F3" s="15">
        <f>'09 - 2022'!C9-'09 - 2022'!C8</f>
        <v>6134</v>
      </c>
      <c r="G3" s="13">
        <v>0.11799999999999999</v>
      </c>
      <c r="H3" s="15">
        <f>'09 - 2022'!E9-'09 - 2022'!E8</f>
        <v>28.010000000000218</v>
      </c>
      <c r="I3" s="15">
        <f>'09 - 2022'!F9-'09 - 2022'!F8</f>
        <v>4.8899999999998727</v>
      </c>
      <c r="J3" s="15">
        <f>'09 - 2022'!G9-'09 - 2022'!G8</f>
        <v>28.580000000001746</v>
      </c>
      <c r="K3" s="13">
        <v>0.74</v>
      </c>
      <c r="L3" s="55">
        <v>64</v>
      </c>
      <c r="M3" s="10"/>
    </row>
    <row r="4" spans="1:13" x14ac:dyDescent="0.25">
      <c r="A4" t="s">
        <v>27</v>
      </c>
      <c r="B4">
        <f t="shared" ref="B4:B31" si="0">B3+1</f>
        <v>3</v>
      </c>
      <c r="C4" s="13">
        <v>9</v>
      </c>
      <c r="D4" s="13">
        <v>2022</v>
      </c>
      <c r="E4" s="15">
        <f>'09 - 2022'!B10-'09 - 2022'!B9</f>
        <v>4064</v>
      </c>
      <c r="F4" s="15">
        <f>'09 - 2022'!C10-'09 - 2022'!C9</f>
        <v>5842</v>
      </c>
      <c r="G4" s="13">
        <v>0.11799999999999999</v>
      </c>
      <c r="H4" s="15">
        <f>'09 - 2022'!E10-'09 - 2022'!E9</f>
        <v>25.519999999999527</v>
      </c>
      <c r="I4" s="15">
        <f>'09 - 2022'!F10-'09 - 2022'!F9</f>
        <v>15.949999999999818</v>
      </c>
      <c r="J4" s="15">
        <f>'09 - 2022'!G10-'09 - 2022'!G9</f>
        <v>27.55000000000291</v>
      </c>
      <c r="K4" s="13">
        <v>0.74</v>
      </c>
      <c r="L4" s="16">
        <v>67</v>
      </c>
      <c r="M4" s="10"/>
    </row>
    <row r="5" spans="1:13" x14ac:dyDescent="0.25">
      <c r="A5" t="s">
        <v>27</v>
      </c>
      <c r="B5">
        <f t="shared" si="0"/>
        <v>4</v>
      </c>
      <c r="C5" s="13">
        <v>9</v>
      </c>
      <c r="D5" s="13">
        <v>2022</v>
      </c>
      <c r="E5" s="15">
        <f>'09 - 2022'!B11-'09 - 2022'!B10</f>
        <v>4035</v>
      </c>
      <c r="F5" s="15">
        <f>'09 - 2022'!C11-'09 - 2022'!C10</f>
        <v>5861</v>
      </c>
      <c r="G5" s="13">
        <v>0.11799999999999999</v>
      </c>
      <c r="H5" s="15">
        <f>'09 - 2022'!E11-'09 - 2022'!E10</f>
        <v>23.020000000000437</v>
      </c>
      <c r="I5" s="15">
        <f>'09 - 2022'!F11-'09 - 2022'!F10</f>
        <v>9.7800000000002001</v>
      </c>
      <c r="J5" s="15">
        <f>'09 - 2022'!G11-'09 - 2022'!G10</f>
        <v>30.539999999993597</v>
      </c>
      <c r="K5" s="13">
        <v>0.74</v>
      </c>
      <c r="L5" s="16">
        <v>60</v>
      </c>
      <c r="M5" s="10"/>
    </row>
    <row r="6" spans="1:13" x14ac:dyDescent="0.25">
      <c r="A6" t="s">
        <v>27</v>
      </c>
      <c r="B6">
        <f t="shared" si="0"/>
        <v>5</v>
      </c>
      <c r="C6" s="13">
        <v>9</v>
      </c>
      <c r="D6" s="13">
        <v>2022</v>
      </c>
      <c r="E6" s="15">
        <f>'09 - 2022'!B12-'09 - 2022'!B11</f>
        <v>3989</v>
      </c>
      <c r="F6" s="15">
        <f>'09 - 2022'!C12-'09 - 2022'!C11</f>
        <v>6086</v>
      </c>
      <c r="G6" s="13">
        <v>0.11799999999999999</v>
      </c>
      <c r="H6" s="15">
        <f>'09 - 2022'!E12-'09 - 2022'!E11</f>
        <v>24</v>
      </c>
      <c r="I6" s="15">
        <f>'09 - 2022'!F12-'09 - 2022'!F11</f>
        <v>10.099999999999909</v>
      </c>
      <c r="J6" s="15">
        <f>'09 - 2022'!G12-'09 - 2022'!G11</f>
        <v>25.260000000002037</v>
      </c>
      <c r="K6" s="13">
        <v>0.74</v>
      </c>
      <c r="L6" s="16">
        <v>52</v>
      </c>
      <c r="M6" s="11"/>
    </row>
    <row r="7" spans="1:13" x14ac:dyDescent="0.25">
      <c r="A7" t="s">
        <v>27</v>
      </c>
      <c r="B7">
        <f t="shared" si="0"/>
        <v>6</v>
      </c>
      <c r="C7" s="13">
        <v>9</v>
      </c>
      <c r="D7" s="13">
        <v>2022</v>
      </c>
      <c r="E7" s="15">
        <f>'09 - 2022'!B13-'09 - 2022'!B12</f>
        <v>3933</v>
      </c>
      <c r="F7" s="15">
        <f>'09 - 2022'!C13-'09 - 2022'!C12</f>
        <v>5624</v>
      </c>
      <c r="G7" s="13">
        <v>0.11799999999999999</v>
      </c>
      <c r="H7" s="15">
        <f>'09 - 2022'!E13-'09 - 2022'!E12</f>
        <v>22.739999999999782</v>
      </c>
      <c r="I7" s="15">
        <f>'09 - 2022'!F13-'09 - 2022'!F12</f>
        <v>9.0399999999999636</v>
      </c>
      <c r="J7" s="15">
        <f>'09 - 2022'!G13-'09 - 2022'!G12</f>
        <v>21.400000000001455</v>
      </c>
      <c r="K7" s="13">
        <v>0.74</v>
      </c>
      <c r="L7" s="16">
        <v>65</v>
      </c>
      <c r="M7" s="11"/>
    </row>
    <row r="8" spans="1:13" x14ac:dyDescent="0.25">
      <c r="A8" t="s">
        <v>27</v>
      </c>
      <c r="B8">
        <f t="shared" si="0"/>
        <v>7</v>
      </c>
      <c r="C8" s="13">
        <v>9</v>
      </c>
      <c r="D8" s="13">
        <v>2022</v>
      </c>
      <c r="E8" s="15">
        <f>'09 - 2022'!B14-'09 - 2022'!B13</f>
        <v>4001</v>
      </c>
      <c r="F8" s="15">
        <f>'09 - 2022'!C14-'09 - 2022'!C13</f>
        <v>5863</v>
      </c>
      <c r="G8" s="13">
        <v>0.11799999999999999</v>
      </c>
      <c r="H8" s="15">
        <f>'09 - 2022'!E14-'09 - 2022'!E13</f>
        <v>25.289999999999964</v>
      </c>
      <c r="I8" s="15">
        <f>'09 - 2022'!F14-'09 - 2022'!F13</f>
        <v>9.6300000000001091</v>
      </c>
      <c r="J8" s="15">
        <f>'09 - 2022'!G14-'09 - 2022'!G13</f>
        <v>28.339999999996508</v>
      </c>
      <c r="K8" s="13">
        <v>0.74</v>
      </c>
      <c r="L8" s="16">
        <v>79</v>
      </c>
      <c r="M8" s="11"/>
    </row>
    <row r="9" spans="1:13" x14ac:dyDescent="0.25">
      <c r="A9" t="s">
        <v>27</v>
      </c>
      <c r="B9">
        <f t="shared" si="0"/>
        <v>8</v>
      </c>
      <c r="C9" s="13">
        <v>9</v>
      </c>
      <c r="D9" s="13">
        <v>2022</v>
      </c>
      <c r="E9" s="15">
        <f>'09 - 2022'!B15-'09 - 2022'!B14</f>
        <v>4095</v>
      </c>
      <c r="F9" s="15">
        <f>'09 - 2022'!C15-'09 - 2022'!C14</f>
        <v>5926</v>
      </c>
      <c r="G9" s="13">
        <v>0.11799999999999999</v>
      </c>
      <c r="H9" s="15">
        <f>'09 - 2022'!E15-'09 - 2022'!E14</f>
        <v>24.400000000000546</v>
      </c>
      <c r="I9" s="15">
        <f>'09 - 2022'!F15-'09 - 2022'!F14</f>
        <v>10.269999999999982</v>
      </c>
      <c r="J9" s="15">
        <f>'09 - 2022'!G15-'09 - 2022'!G14</f>
        <v>26.360000000000582</v>
      </c>
      <c r="K9" s="13">
        <v>0.74</v>
      </c>
      <c r="L9" s="16">
        <v>85</v>
      </c>
      <c r="M9" s="11"/>
    </row>
    <row r="10" spans="1:13" x14ac:dyDescent="0.25">
      <c r="A10" t="s">
        <v>27</v>
      </c>
      <c r="B10">
        <f t="shared" si="0"/>
        <v>9</v>
      </c>
      <c r="C10" s="13">
        <v>9</v>
      </c>
      <c r="D10" s="13">
        <v>2022</v>
      </c>
      <c r="E10" s="15">
        <f>'09 - 2022'!B16-'09 - 2022'!B15</f>
        <v>4165</v>
      </c>
      <c r="F10" s="15">
        <f>'09 - 2022'!C16-'09 - 2022'!C15</f>
        <v>6037</v>
      </c>
      <c r="G10" s="13">
        <v>0.11799999999999999</v>
      </c>
      <c r="H10" s="15">
        <f>'09 - 2022'!E16-'09 - 2022'!E15</f>
        <v>23.340000000000146</v>
      </c>
      <c r="I10" s="15">
        <f>'09 - 2022'!F16-'09 - 2022'!F15</f>
        <v>9.9200000000000728</v>
      </c>
      <c r="J10" s="15">
        <f>'09 - 2022'!G16-'09 - 2022'!G15</f>
        <v>29.240000000005239</v>
      </c>
      <c r="K10" s="13">
        <v>0.74</v>
      </c>
      <c r="L10" s="16">
        <v>86</v>
      </c>
      <c r="M10" s="11"/>
    </row>
    <row r="11" spans="1:13" x14ac:dyDescent="0.25">
      <c r="A11" t="s">
        <v>27</v>
      </c>
      <c r="B11">
        <f t="shared" si="0"/>
        <v>10</v>
      </c>
      <c r="C11" s="13">
        <v>9</v>
      </c>
      <c r="D11" s="13">
        <v>2022</v>
      </c>
      <c r="E11" s="15">
        <f>'09 - 2022'!B17-'09 - 2022'!B16</f>
        <v>4215</v>
      </c>
      <c r="F11" s="15">
        <f>'09 - 2022'!C17-'09 - 2022'!C16</f>
        <v>6060</v>
      </c>
      <c r="G11" s="13">
        <v>0.11799999999999999</v>
      </c>
      <c r="H11" s="15">
        <f>'09 - 2022'!E17-'09 - 2022'!E16</f>
        <v>24.029999999999745</v>
      </c>
      <c r="I11" s="15">
        <f>'09 - 2022'!F17-'09 - 2022'!F16</f>
        <v>10.5</v>
      </c>
      <c r="J11" s="15">
        <f>'09 - 2022'!G17-'09 - 2022'!G16</f>
        <v>29.549999999995634</v>
      </c>
      <c r="K11" s="13">
        <v>0.74</v>
      </c>
      <c r="L11" s="16">
        <v>82</v>
      </c>
      <c r="M11" s="11"/>
    </row>
    <row r="12" spans="1:13" x14ac:dyDescent="0.25">
      <c r="A12" t="s">
        <v>27</v>
      </c>
      <c r="B12">
        <f t="shared" si="0"/>
        <v>11</v>
      </c>
      <c r="C12" s="13">
        <v>9</v>
      </c>
      <c r="D12" s="13">
        <v>2022</v>
      </c>
      <c r="E12" s="15">
        <f>'09 - 2022'!B18-'09 - 2022'!B17</f>
        <v>4185</v>
      </c>
      <c r="F12" s="15">
        <f>'09 - 2022'!C18-'09 - 2022'!C17</f>
        <v>5990</v>
      </c>
      <c r="G12" s="13">
        <v>0.11799999999999999</v>
      </c>
      <c r="H12" s="15">
        <f>'09 - 2022'!E18-'09 - 2022'!E17</f>
        <v>25.519999999999527</v>
      </c>
      <c r="I12" s="15">
        <f>'09 - 2022'!F18-'09 - 2022'!F17</f>
        <v>10.069999999999709</v>
      </c>
      <c r="J12" s="15">
        <f>'09 - 2022'!G18-'09 - 2022'!G17</f>
        <v>30.370000000002619</v>
      </c>
      <c r="K12" s="13">
        <v>0.74</v>
      </c>
      <c r="L12" s="16">
        <v>68</v>
      </c>
      <c r="M12" s="11"/>
    </row>
    <row r="13" spans="1:13" x14ac:dyDescent="0.25">
      <c r="A13" t="s">
        <v>27</v>
      </c>
      <c r="B13">
        <f t="shared" si="0"/>
        <v>12</v>
      </c>
      <c r="C13" s="13">
        <v>9</v>
      </c>
      <c r="D13" s="13">
        <v>2022</v>
      </c>
      <c r="E13" s="15">
        <f>'09 - 2022'!B19-'09 - 2022'!B18</f>
        <v>4139</v>
      </c>
      <c r="F13" s="15">
        <f>'09 - 2022'!C19-'09 - 2022'!C18</f>
        <v>5945</v>
      </c>
      <c r="G13" s="13">
        <v>0.11799999999999999</v>
      </c>
      <c r="H13" s="15">
        <f>'09 - 2022'!E19-'09 - 2022'!E18</f>
        <v>24.180000000000291</v>
      </c>
      <c r="I13" s="15">
        <f>'09 - 2022'!F19-'09 - 2022'!F18</f>
        <v>9.8700000000003456</v>
      </c>
      <c r="J13" s="15">
        <f>'09 - 2022'!G19-'09 - 2022'!G18</f>
        <v>27.729999999995925</v>
      </c>
      <c r="K13" s="13">
        <v>0.74</v>
      </c>
      <c r="L13" s="16">
        <v>85</v>
      </c>
      <c r="M13" s="11"/>
    </row>
    <row r="14" spans="1:13" x14ac:dyDescent="0.25">
      <c r="A14" t="s">
        <v>27</v>
      </c>
      <c r="B14">
        <f t="shared" si="0"/>
        <v>13</v>
      </c>
      <c r="C14" s="13">
        <v>9</v>
      </c>
      <c r="D14" s="13">
        <v>2022</v>
      </c>
      <c r="E14" s="15">
        <f>'09 - 2022'!B20-'09 - 2022'!B19</f>
        <v>4126</v>
      </c>
      <c r="F14" s="15">
        <f>'09 - 2022'!C20-'09 - 2022'!C19</f>
        <v>5794</v>
      </c>
      <c r="G14" s="13">
        <v>0.11799999999999999</v>
      </c>
      <c r="H14" s="15">
        <f>'09 - 2022'!E20-'09 - 2022'!E19</f>
        <v>28.409999999999854</v>
      </c>
      <c r="I14" s="15">
        <f>'09 - 2022'!F20-'09 - 2022'!F19</f>
        <v>9.8899999999998727</v>
      </c>
      <c r="J14" s="15">
        <f>'09 - 2022'!G20-'09 - 2022'!G19</f>
        <v>31.270000000004075</v>
      </c>
      <c r="K14" s="13">
        <v>0.74</v>
      </c>
      <c r="L14" s="16">
        <v>81</v>
      </c>
      <c r="M14" s="11"/>
    </row>
    <row r="15" spans="1:13" x14ac:dyDescent="0.25">
      <c r="A15" t="s">
        <v>27</v>
      </c>
      <c r="B15">
        <f t="shared" si="0"/>
        <v>14</v>
      </c>
      <c r="C15" s="13">
        <v>9</v>
      </c>
      <c r="D15" s="13">
        <v>2022</v>
      </c>
      <c r="E15" s="15">
        <f>'09 - 2022'!B21-'09 - 2022'!B20</f>
        <v>4027</v>
      </c>
      <c r="F15" s="15">
        <f>'09 - 2022'!C21-'09 - 2022'!C20</f>
        <v>5767</v>
      </c>
      <c r="G15" s="13">
        <v>0.11799999999999999</v>
      </c>
      <c r="H15" s="15">
        <f>'09 - 2022'!E21-'09 - 2022'!E20</f>
        <v>25.400000000000546</v>
      </c>
      <c r="I15" s="15">
        <f>'09 - 2022'!F21-'09 - 2022'!F20</f>
        <v>10.710000000000036</v>
      </c>
      <c r="J15" s="15">
        <f>'09 - 2022'!G21-'09 - 2022'!G20</f>
        <v>30.400000000001455</v>
      </c>
      <c r="K15" s="13">
        <v>0.74</v>
      </c>
      <c r="L15" s="16">
        <v>85</v>
      </c>
      <c r="M15" s="11"/>
    </row>
    <row r="16" spans="1:13" x14ac:dyDescent="0.25">
      <c r="A16" t="s">
        <v>27</v>
      </c>
      <c r="B16">
        <f t="shared" si="0"/>
        <v>15</v>
      </c>
      <c r="C16" s="13">
        <v>9</v>
      </c>
      <c r="D16" s="13">
        <v>2022</v>
      </c>
      <c r="E16" s="15">
        <f>'09 - 2022'!B22-'09 - 2022'!B21</f>
        <v>4355</v>
      </c>
      <c r="F16" s="15">
        <f>'09 - 2022'!C22-'09 - 2022'!C21</f>
        <v>6059</v>
      </c>
      <c r="G16" s="13">
        <v>0.11799999999999999</v>
      </c>
      <c r="H16" s="15">
        <f>'09 - 2022'!E22-'09 - 2022'!E21</f>
        <v>24.179999999999382</v>
      </c>
      <c r="I16" s="15">
        <f>'09 - 2022'!F22-'09 - 2022'!F21</f>
        <v>10.099999999999909</v>
      </c>
      <c r="J16" s="15">
        <f>'09 - 2022'!G22-'09 - 2022'!G21</f>
        <v>29.82999999999447</v>
      </c>
      <c r="K16" s="13">
        <v>0.74</v>
      </c>
      <c r="L16" s="16">
        <v>89</v>
      </c>
      <c r="M16" s="11"/>
    </row>
    <row r="17" spans="1:13" x14ac:dyDescent="0.25">
      <c r="A17" t="s">
        <v>27</v>
      </c>
      <c r="B17">
        <f t="shared" si="0"/>
        <v>16</v>
      </c>
      <c r="C17" s="13">
        <v>9</v>
      </c>
      <c r="D17" s="13">
        <v>2022</v>
      </c>
      <c r="E17" s="15">
        <f>'09 - 2022'!B23-'09 - 2022'!B22</f>
        <v>4284</v>
      </c>
      <c r="F17" s="15">
        <f>'09 - 2022'!C23-'09 - 2022'!C22</f>
        <v>5969</v>
      </c>
      <c r="G17" s="13">
        <v>0.11799999999999999</v>
      </c>
      <c r="H17" s="15">
        <f>'09 - 2022'!E23-'09 - 2022'!E22</f>
        <v>26.090000000000146</v>
      </c>
      <c r="I17" s="15">
        <f>'09 - 2022'!F23-'09 - 2022'!F22</f>
        <v>10.380000000000109</v>
      </c>
      <c r="J17" s="15">
        <f>'09 - 2022'!G23-'09 - 2022'!G22</f>
        <v>30.55000000000291</v>
      </c>
      <c r="K17" s="13">
        <v>0.74</v>
      </c>
      <c r="L17" s="16">
        <v>89</v>
      </c>
      <c r="M17" s="11"/>
    </row>
    <row r="18" spans="1:13" x14ac:dyDescent="0.25">
      <c r="A18" t="s">
        <v>27</v>
      </c>
      <c r="B18">
        <f t="shared" si="0"/>
        <v>17</v>
      </c>
      <c r="C18" s="13">
        <v>9</v>
      </c>
      <c r="D18" s="13">
        <v>2022</v>
      </c>
      <c r="E18" s="15">
        <f>'09 - 2022'!B24-'09 - 2022'!B23</f>
        <v>4165</v>
      </c>
      <c r="F18" s="15">
        <f>'09 - 2022'!C24-'09 - 2022'!C23</f>
        <v>5911</v>
      </c>
      <c r="G18" s="13">
        <v>0.11799999999999999</v>
      </c>
      <c r="H18" s="15">
        <f>'09 - 2022'!E24-'09 - 2022'!E23</f>
        <v>25.090000000000146</v>
      </c>
      <c r="I18" s="15">
        <f>'09 - 2022'!F24-'09 - 2022'!F23</f>
        <v>9.4800000000000182</v>
      </c>
      <c r="J18" s="15">
        <f>'09 - 2022'!G24-'09 - 2022'!G23</f>
        <v>31.650000000001455</v>
      </c>
      <c r="K18" s="13">
        <v>0.74</v>
      </c>
      <c r="L18" s="16">
        <v>70</v>
      </c>
      <c r="M18" s="11"/>
    </row>
    <row r="19" spans="1:13" x14ac:dyDescent="0.25">
      <c r="A19" t="s">
        <v>27</v>
      </c>
      <c r="B19">
        <f>B18+1</f>
        <v>18</v>
      </c>
      <c r="C19" s="13">
        <v>9</v>
      </c>
      <c r="D19" s="13">
        <v>2022</v>
      </c>
      <c r="E19" s="15">
        <f>'09 - 2022'!B25-'09 - 2022'!B24</f>
        <v>4219</v>
      </c>
      <c r="F19" s="15">
        <f>'09 - 2022'!C25-'09 - 2022'!C24</f>
        <v>6011</v>
      </c>
      <c r="G19" s="13">
        <v>0.11799999999999999</v>
      </c>
      <c r="H19" s="15">
        <f>'09 - 2022'!E25-'09 - 2022'!E24</f>
        <v>28.449999999999818</v>
      </c>
      <c r="I19" s="15">
        <f>'09 - 2022'!F25-'09 - 2022'!F24</f>
        <v>9.7399999999997817</v>
      </c>
      <c r="J19" s="15">
        <f>'09 - 2022'!G25-'09 - 2022'!G24</f>
        <v>29.529999999998836</v>
      </c>
      <c r="K19" s="13">
        <v>0.74</v>
      </c>
      <c r="L19" s="16">
        <v>50</v>
      </c>
      <c r="M19" s="11"/>
    </row>
    <row r="20" spans="1:13" x14ac:dyDescent="0.25">
      <c r="A20" t="s">
        <v>27</v>
      </c>
      <c r="B20">
        <f t="shared" si="0"/>
        <v>19</v>
      </c>
      <c r="C20" s="13">
        <v>9</v>
      </c>
      <c r="D20" s="13">
        <v>2022</v>
      </c>
      <c r="E20" s="15">
        <f>'09 - 2022'!B26-'09 - 2022'!B25</f>
        <v>4138</v>
      </c>
      <c r="F20" s="15">
        <f>'09 - 2022'!C26-'09 - 2022'!C25</f>
        <v>5969</v>
      </c>
      <c r="G20" s="13">
        <v>0.11799999999999999</v>
      </c>
      <c r="H20" s="15">
        <f>'09 - 2022'!E26-'09 - 2022'!E25</f>
        <v>24.230000000000473</v>
      </c>
      <c r="I20" s="15">
        <f>'09 - 2022'!F26-'09 - 2022'!F25</f>
        <v>10.180000000000291</v>
      </c>
      <c r="J20" s="15">
        <f>'09 - 2022'!G26-'09 - 2022'!G25</f>
        <v>26.510000000002037</v>
      </c>
      <c r="K20" s="13">
        <v>0.74</v>
      </c>
      <c r="L20" s="16">
        <v>69</v>
      </c>
      <c r="M20" s="11"/>
    </row>
    <row r="21" spans="1:13" x14ac:dyDescent="0.25">
      <c r="A21" t="s">
        <v>27</v>
      </c>
      <c r="B21">
        <f t="shared" si="0"/>
        <v>20</v>
      </c>
      <c r="C21" s="13">
        <v>9</v>
      </c>
      <c r="D21" s="13">
        <v>2022</v>
      </c>
      <c r="E21" s="15">
        <f>'09 - 2022'!B27-'09 - 2022'!B26</f>
        <v>4156</v>
      </c>
      <c r="F21" s="15">
        <f>'09 - 2022'!C27-'09 - 2022'!C26</f>
        <v>5908</v>
      </c>
      <c r="G21" s="13">
        <v>0.11799999999999999</v>
      </c>
      <c r="H21" s="15">
        <f>'09 - 2022'!E27-'09 - 2022'!E26</f>
        <v>26.219999999999345</v>
      </c>
      <c r="I21" s="15">
        <f>'09 - 2022'!F27-'09 - 2022'!F26</f>
        <v>10.009999999999764</v>
      </c>
      <c r="J21" s="15">
        <f>'09 - 2022'!G27-'09 - 2022'!G26</f>
        <v>28.150000000001455</v>
      </c>
      <c r="K21" s="13">
        <v>0.74</v>
      </c>
      <c r="L21" s="55">
        <v>61</v>
      </c>
      <c r="M21" s="11"/>
    </row>
    <row r="22" spans="1:13" x14ac:dyDescent="0.25">
      <c r="A22" t="s">
        <v>27</v>
      </c>
      <c r="B22">
        <f t="shared" si="0"/>
        <v>21</v>
      </c>
      <c r="C22" s="13">
        <v>9</v>
      </c>
      <c r="D22" s="13">
        <v>2022</v>
      </c>
      <c r="E22" s="15">
        <f>'09 - 2022'!B28-'09 - 2022'!B27</f>
        <v>4175</v>
      </c>
      <c r="F22" s="15">
        <f>'09 - 2022'!C28-'09 - 2022'!C27</f>
        <v>5760</v>
      </c>
      <c r="G22" s="13">
        <v>0.11799999999999999</v>
      </c>
      <c r="H22" s="15">
        <f>'09 - 2022'!E28-'09 - 2022'!E27</f>
        <v>25.950000000000728</v>
      </c>
      <c r="I22" s="15">
        <f>'09 - 2022'!F28-'09 - 2022'!F27</f>
        <v>10.400000000000091</v>
      </c>
      <c r="J22" s="15">
        <f>'09 - 2022'!G28-'09 - 2022'!G27</f>
        <v>27.759999999994761</v>
      </c>
      <c r="K22" s="13">
        <v>0.74</v>
      </c>
      <c r="L22" s="16">
        <v>85</v>
      </c>
      <c r="M22" s="11"/>
    </row>
    <row r="23" spans="1:13" x14ac:dyDescent="0.25">
      <c r="A23" t="s">
        <v>27</v>
      </c>
      <c r="B23">
        <f t="shared" si="0"/>
        <v>22</v>
      </c>
      <c r="C23" s="13">
        <v>9</v>
      </c>
      <c r="D23" s="13">
        <v>2022</v>
      </c>
      <c r="E23" s="15">
        <f>'09 - 2022'!B29-'09 - 2022'!B28</f>
        <v>4315</v>
      </c>
      <c r="F23" s="15">
        <f>'09 - 2022'!C29-'09 - 2022'!C28</f>
        <v>6072</v>
      </c>
      <c r="G23" s="13">
        <v>0.11799999999999999</v>
      </c>
      <c r="H23" s="15">
        <f>'09 - 2022'!E29-'09 - 2022'!E28</f>
        <v>23.949999999999818</v>
      </c>
      <c r="I23" s="15">
        <f>'09 - 2022'!F29-'09 - 2022'!F28</f>
        <v>9.5</v>
      </c>
      <c r="J23" s="15">
        <f>'09 - 2022'!G29-'09 - 2022'!G28</f>
        <v>30.190000000002328</v>
      </c>
      <c r="K23" s="13">
        <v>0.74</v>
      </c>
      <c r="L23" s="16">
        <v>83</v>
      </c>
      <c r="M23" s="11"/>
    </row>
    <row r="24" spans="1:13" x14ac:dyDescent="0.25">
      <c r="A24" t="s">
        <v>27</v>
      </c>
      <c r="B24">
        <f t="shared" si="0"/>
        <v>23</v>
      </c>
      <c r="C24" s="13">
        <v>9</v>
      </c>
      <c r="D24" s="13">
        <v>2022</v>
      </c>
      <c r="E24" s="15">
        <f>'09 - 2022'!B30-'09 - 2022'!B29</f>
        <v>4429</v>
      </c>
      <c r="F24" s="15">
        <f>'09 - 2022'!C30-'09 - 2022'!C29</f>
        <v>6153</v>
      </c>
      <c r="G24" s="13">
        <v>0.11799999999999999</v>
      </c>
      <c r="H24" s="15">
        <f>'09 - 2022'!E30-'09 - 2022'!E29</f>
        <v>26.210000000000036</v>
      </c>
      <c r="I24" s="15">
        <f>'09 - 2022'!F30-'09 - 2022'!F29</f>
        <v>10.210000000000036</v>
      </c>
      <c r="J24" s="15">
        <f>'09 - 2022'!G30-'09 - 2022'!G29</f>
        <v>33.659999999996217</v>
      </c>
      <c r="K24" s="13">
        <v>0.74</v>
      </c>
      <c r="L24" s="16">
        <v>90</v>
      </c>
      <c r="M24" s="11"/>
    </row>
    <row r="25" spans="1:13" x14ac:dyDescent="0.25">
      <c r="A25" t="s">
        <v>27</v>
      </c>
      <c r="B25">
        <f t="shared" si="0"/>
        <v>24</v>
      </c>
      <c r="C25" s="13">
        <v>9</v>
      </c>
      <c r="D25" s="13">
        <v>2022</v>
      </c>
      <c r="E25" s="15">
        <f>'09 - 2022'!B31-'09 - 2022'!B30</f>
        <v>4289</v>
      </c>
      <c r="F25" s="15">
        <f>'09 - 2022'!C31-'09 - 2022'!C30</f>
        <v>6180</v>
      </c>
      <c r="G25" s="13">
        <v>0.11799999999999999</v>
      </c>
      <c r="H25" s="15">
        <f>'09 - 2022'!E31-'09 - 2022'!E30</f>
        <v>28.609999999999673</v>
      </c>
      <c r="I25" s="15">
        <f>'09 - 2022'!F31-'09 - 2022'!F30</f>
        <v>9.7199999999997999</v>
      </c>
      <c r="J25" s="15">
        <f>'09 - 2022'!G31-'09 - 2022'!G30</f>
        <v>35.230000000003201</v>
      </c>
      <c r="K25" s="13">
        <v>0.74</v>
      </c>
      <c r="L25" s="16">
        <v>69</v>
      </c>
      <c r="M25" s="11"/>
    </row>
    <row r="26" spans="1:13" x14ac:dyDescent="0.25">
      <c r="A26" t="s">
        <v>27</v>
      </c>
      <c r="B26">
        <f>B25+1</f>
        <v>25</v>
      </c>
      <c r="C26" s="13">
        <v>9</v>
      </c>
      <c r="D26" s="13">
        <v>2022</v>
      </c>
      <c r="E26" s="15">
        <f>'09 - 2022'!B32-'09 - 2022'!B31</f>
        <v>4184</v>
      </c>
      <c r="F26" s="15">
        <f>'09 - 2022'!C32-'09 - 2022'!C31</f>
        <v>5962</v>
      </c>
      <c r="G26" s="13">
        <v>0.11799999999999999</v>
      </c>
      <c r="H26" s="15">
        <f>'09 - 2022'!E32-'09 - 2022'!E31</f>
        <v>23.550000000000182</v>
      </c>
      <c r="I26" s="15">
        <f>'09 - 2022'!F32-'09 - 2022'!F31</f>
        <v>8.830000000000382</v>
      </c>
      <c r="J26" s="15">
        <f>'09 - 2022'!G32-'09 - 2022'!G31</f>
        <v>32.980000000003201</v>
      </c>
      <c r="K26" s="13">
        <v>0.74</v>
      </c>
      <c r="L26" s="16">
        <v>60</v>
      </c>
      <c r="M26" s="11"/>
    </row>
    <row r="27" spans="1:13" x14ac:dyDescent="0.25">
      <c r="A27" t="s">
        <v>27</v>
      </c>
      <c r="B27">
        <f t="shared" si="0"/>
        <v>26</v>
      </c>
      <c r="C27" s="13">
        <v>9</v>
      </c>
      <c r="D27" s="13">
        <v>2022</v>
      </c>
      <c r="E27" s="15">
        <f>'09 - 2022'!B33-'09 - 2022'!B32</f>
        <v>4032</v>
      </c>
      <c r="F27" s="15">
        <f>'09 - 2022'!C33-'09 - 2022'!C32</f>
        <v>5991</v>
      </c>
      <c r="G27" s="13">
        <v>0.11799999999999999</v>
      </c>
      <c r="H27" s="15">
        <f>'09 - 2022'!E33-'09 - 2022'!E32</f>
        <v>26.389999999999418</v>
      </c>
      <c r="I27" s="15">
        <f>'09 - 2022'!F33-'09 - 2022'!F32</f>
        <v>8.8599999999996726</v>
      </c>
      <c r="J27" s="15">
        <f>'09 - 2022'!G33-'09 - 2022'!G32</f>
        <v>28.129999999997381</v>
      </c>
      <c r="K27" s="13">
        <v>0.74</v>
      </c>
      <c r="L27" s="16">
        <v>50</v>
      </c>
      <c r="M27" s="11"/>
    </row>
    <row r="28" spans="1:13" x14ac:dyDescent="0.25">
      <c r="A28" t="s">
        <v>27</v>
      </c>
      <c r="B28">
        <f t="shared" si="0"/>
        <v>27</v>
      </c>
      <c r="C28" s="13">
        <v>9</v>
      </c>
      <c r="D28" s="13">
        <v>2022</v>
      </c>
      <c r="E28" s="15">
        <f>'09 - 2022'!B34-'09 - 2022'!B33</f>
        <v>4322</v>
      </c>
      <c r="F28" s="15">
        <f>'09 - 2022'!C34-'09 - 2022'!C33</f>
        <v>6004</v>
      </c>
      <c r="G28" s="13">
        <v>0.11799999999999999</v>
      </c>
      <c r="H28" s="15">
        <f>'09 - 2022'!E34-'09 - 2022'!E33</f>
        <v>23.210000000000036</v>
      </c>
      <c r="I28" s="15">
        <f>'09 - 2022'!F34-'09 - 2022'!F33</f>
        <v>9.4000000000000909</v>
      </c>
      <c r="J28" s="15">
        <f>'09 - 2022'!G34-'09 - 2022'!G33</f>
        <v>26.389999999999418</v>
      </c>
      <c r="K28" s="13">
        <v>0.74</v>
      </c>
      <c r="L28" s="15">
        <v>82</v>
      </c>
      <c r="M28" s="11"/>
    </row>
    <row r="29" spans="1:13" x14ac:dyDescent="0.25">
      <c r="A29" t="s">
        <v>27</v>
      </c>
      <c r="B29">
        <f t="shared" si="0"/>
        <v>28</v>
      </c>
      <c r="C29" s="13">
        <v>9</v>
      </c>
      <c r="D29" s="13">
        <v>2022</v>
      </c>
      <c r="E29" s="15">
        <v>0</v>
      </c>
      <c r="F29" s="15">
        <v>0</v>
      </c>
      <c r="G29" s="13">
        <v>0.11799999999999999</v>
      </c>
      <c r="H29" s="15">
        <v>0</v>
      </c>
      <c r="I29" s="15">
        <v>0</v>
      </c>
      <c r="J29" s="15">
        <v>0</v>
      </c>
      <c r="K29" s="13">
        <v>0.74</v>
      </c>
      <c r="L29" s="17"/>
      <c r="M29" s="11"/>
    </row>
    <row r="30" spans="1:13" x14ac:dyDescent="0.25">
      <c r="A30" s="13" t="s">
        <v>27</v>
      </c>
      <c r="B30" s="13">
        <f t="shared" si="0"/>
        <v>29</v>
      </c>
      <c r="C30" s="13">
        <v>9</v>
      </c>
      <c r="D30" s="13">
        <v>2022</v>
      </c>
      <c r="E30" s="15">
        <f>'09 - 2022'!B36-'09 - 2022'!B35</f>
        <v>0</v>
      </c>
      <c r="F30" s="15">
        <f>'09 - 2022'!C36-'09 - 2022'!C35</f>
        <v>0</v>
      </c>
      <c r="G30" s="13">
        <v>0.11799999999999999</v>
      </c>
      <c r="H30" s="15">
        <f>'09 - 2022'!E36-'09 - 2022'!E35</f>
        <v>0</v>
      </c>
      <c r="I30" s="15">
        <f>'09 - 2022'!F36-'09 - 2022'!F35</f>
        <v>0</v>
      </c>
      <c r="J30" s="15">
        <f>'09 - 2022'!G36-'09 - 2022'!G35</f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9</v>
      </c>
      <c r="D31" s="13">
        <v>2022</v>
      </c>
      <c r="E31" s="15">
        <f>'09 - 2022'!B37-'09 - 2022'!B36</f>
        <v>0</v>
      </c>
      <c r="F31" s="15">
        <f>'09 - 2022'!C37-'09 - 2022'!C36</f>
        <v>0</v>
      </c>
      <c r="G31" s="13">
        <v>0.11799999999999999</v>
      </c>
      <c r="H31" s="15">
        <f>'09 - 2022'!E37-'09 - 2022'!E36</f>
        <v>0</v>
      </c>
      <c r="I31" s="15">
        <f>'09 - 2022'!F37-'09 - 2022'!F36</f>
        <v>0</v>
      </c>
      <c r="J31" s="15">
        <f>'09 - 2022'!G37-'09 - 2022'!G36</f>
        <v>0</v>
      </c>
      <c r="K31" s="13">
        <v>0.74</v>
      </c>
      <c r="L31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topLeftCell="A7" zoomScaleNormal="100" workbookViewId="0">
      <selection activeCell="H35" sqref="H35"/>
    </sheetView>
  </sheetViews>
  <sheetFormatPr defaultRowHeight="15" x14ac:dyDescent="0.25"/>
  <cols>
    <col min="1" max="1" width="13.5703125" style="28" customWidth="1"/>
    <col min="2" max="2" width="13.28515625" style="28" customWidth="1"/>
    <col min="3" max="3" width="13.140625" style="28" customWidth="1"/>
    <col min="4" max="4" width="9.85546875" style="28" customWidth="1"/>
    <col min="5" max="5" width="11.42578125" style="28" customWidth="1"/>
    <col min="6" max="6" width="11.7109375" style="28" customWidth="1"/>
    <col min="7" max="7" width="11.28515625" style="28" customWidth="1"/>
    <col min="8" max="8" width="13.5703125" style="28" customWidth="1"/>
    <col min="9" max="9" width="15.140625" style="28" customWidth="1"/>
    <col min="10" max="10" width="14.28515625" style="28" customWidth="1"/>
    <col min="11" max="11" width="16.42578125" style="28" customWidth="1"/>
    <col min="12" max="12" width="39" style="28" customWidth="1"/>
    <col min="13" max="13" width="14.140625" style="28" customWidth="1"/>
    <col min="14" max="16384" width="9.140625" style="28"/>
  </cols>
  <sheetData>
    <row r="1" spans="1:17" x14ac:dyDescent="0.25">
      <c r="H1" s="29"/>
      <c r="I1" s="29"/>
    </row>
    <row r="3" spans="1:17" ht="18.75" x14ac:dyDescent="0.25">
      <c r="A3" s="86" t="s">
        <v>30</v>
      </c>
      <c r="B3" s="86"/>
      <c r="C3" s="86"/>
      <c r="D3" s="86"/>
      <c r="E3" s="86"/>
      <c r="F3" s="86"/>
      <c r="G3" s="86"/>
      <c r="H3" s="86"/>
      <c r="I3" s="86"/>
      <c r="J3" s="86"/>
    </row>
    <row r="4" spans="1:17" ht="16.5" thickBot="1" x14ac:dyDescent="0.3">
      <c r="A4" s="87" t="s">
        <v>37</v>
      </c>
      <c r="B4" s="87"/>
      <c r="C4" s="87"/>
      <c r="D4" s="87"/>
      <c r="E4" s="87"/>
      <c r="F4" s="87"/>
      <c r="G4" s="87"/>
      <c r="H4" s="87"/>
      <c r="I4" s="87"/>
      <c r="J4" s="87"/>
    </row>
    <row r="5" spans="1:17" ht="16.5" thickBot="1" x14ac:dyDescent="0.3">
      <c r="A5" s="30"/>
      <c r="B5" s="88" t="s">
        <v>36</v>
      </c>
      <c r="C5" s="89"/>
      <c r="D5" s="88" t="s">
        <v>0</v>
      </c>
      <c r="E5" s="90"/>
      <c r="F5" s="90"/>
      <c r="G5" s="91"/>
      <c r="H5" s="92" t="s">
        <v>1</v>
      </c>
      <c r="I5" s="93"/>
      <c r="J5" s="31" t="s">
        <v>2</v>
      </c>
      <c r="K5" s="30"/>
    </row>
    <row r="6" spans="1:17" ht="12" customHeight="1" thickBot="1" x14ac:dyDescent="0.3">
      <c r="A6" s="23" t="s">
        <v>3</v>
      </c>
      <c r="B6" s="24" t="s">
        <v>33</v>
      </c>
      <c r="C6" s="25" t="s">
        <v>34</v>
      </c>
      <c r="D6" s="25" t="s">
        <v>4</v>
      </c>
      <c r="E6" s="25" t="s">
        <v>5</v>
      </c>
      <c r="F6" s="25" t="s">
        <v>6</v>
      </c>
      <c r="G6" s="23" t="s">
        <v>7</v>
      </c>
      <c r="H6" s="25" t="s">
        <v>28</v>
      </c>
      <c r="I6" s="25" t="s">
        <v>29</v>
      </c>
      <c r="J6" s="25" t="s">
        <v>8</v>
      </c>
      <c r="K6" s="25" t="s">
        <v>31</v>
      </c>
      <c r="L6" s="26" t="s">
        <v>32</v>
      </c>
    </row>
    <row r="7" spans="1:17" s="33" customFormat="1" ht="12.95" customHeight="1" thickBot="1" x14ac:dyDescent="0.3">
      <c r="A7" s="74">
        <v>44804</v>
      </c>
      <c r="B7" s="75">
        <v>482971</v>
      </c>
      <c r="C7" s="76">
        <v>1440624</v>
      </c>
      <c r="D7" s="77">
        <v>0.57999999999999996</v>
      </c>
      <c r="E7" s="78">
        <v>4142.63</v>
      </c>
      <c r="F7" s="79">
        <v>3056.18</v>
      </c>
      <c r="G7" s="79">
        <v>45214.05</v>
      </c>
      <c r="H7" s="80">
        <v>14528</v>
      </c>
      <c r="I7" s="75">
        <v>168957</v>
      </c>
      <c r="J7" s="75">
        <v>59057187</v>
      </c>
      <c r="K7" s="81"/>
      <c r="L7" s="82"/>
      <c r="M7" s="32"/>
    </row>
    <row r="8" spans="1:17" s="35" customFormat="1" ht="12.95" customHeight="1" x14ac:dyDescent="0.2">
      <c r="A8" s="63">
        <f>A7+1</f>
        <v>44805</v>
      </c>
      <c r="B8" s="56">
        <v>486911</v>
      </c>
      <c r="C8" s="56">
        <v>1446469</v>
      </c>
      <c r="D8" s="57">
        <v>0.5</v>
      </c>
      <c r="E8" s="58">
        <v>4165.95</v>
      </c>
      <c r="F8" s="58">
        <v>3066.09</v>
      </c>
      <c r="G8" s="56">
        <v>45243.6</v>
      </c>
      <c r="H8" s="59">
        <v>14528</v>
      </c>
      <c r="I8" s="56">
        <v>169077</v>
      </c>
      <c r="J8" s="56">
        <v>59092549</v>
      </c>
      <c r="K8" s="83"/>
      <c r="L8" s="84"/>
      <c r="M8" s="34"/>
    </row>
    <row r="9" spans="1:17" s="35" customFormat="1" ht="12.95" customHeight="1" x14ac:dyDescent="0.2">
      <c r="A9" s="63">
        <f t="shared" ref="A9:A37" si="0">A8+1</f>
        <v>44806</v>
      </c>
      <c r="B9" s="59">
        <v>491053</v>
      </c>
      <c r="C9" s="60">
        <v>1452603</v>
      </c>
      <c r="D9" s="61">
        <v>0.42</v>
      </c>
      <c r="E9" s="60">
        <v>4193.96</v>
      </c>
      <c r="F9" s="60">
        <v>3070.98</v>
      </c>
      <c r="G9" s="60">
        <v>45272.18</v>
      </c>
      <c r="H9" s="59">
        <v>14528</v>
      </c>
      <c r="I9" s="62">
        <v>169189</v>
      </c>
      <c r="J9" s="62">
        <v>59131565</v>
      </c>
      <c r="K9" s="36"/>
      <c r="L9" s="37"/>
      <c r="M9" s="34"/>
    </row>
    <row r="10" spans="1:17" s="35" customFormat="1" ht="12.95" customHeight="1" x14ac:dyDescent="0.2">
      <c r="A10" s="63">
        <f t="shared" si="0"/>
        <v>44807</v>
      </c>
      <c r="B10" s="62">
        <v>495117</v>
      </c>
      <c r="C10" s="62">
        <v>1458445</v>
      </c>
      <c r="D10" s="61">
        <v>0.36</v>
      </c>
      <c r="E10" s="60">
        <v>4219.4799999999996</v>
      </c>
      <c r="F10" s="60">
        <v>3086.93</v>
      </c>
      <c r="G10" s="60">
        <v>45299.73</v>
      </c>
      <c r="H10" s="59">
        <v>14528</v>
      </c>
      <c r="I10" s="62">
        <v>169302</v>
      </c>
      <c r="J10" s="64">
        <v>59170275</v>
      </c>
      <c r="K10" s="65">
        <v>3500</v>
      </c>
      <c r="L10" s="38"/>
      <c r="M10" s="34"/>
    </row>
    <row r="11" spans="1:17" s="35" customFormat="1" ht="12.95" customHeight="1" x14ac:dyDescent="0.2">
      <c r="A11" s="63">
        <f t="shared" si="0"/>
        <v>44808</v>
      </c>
      <c r="B11" s="62">
        <v>499152</v>
      </c>
      <c r="C11" s="62">
        <v>1464306</v>
      </c>
      <c r="D11" s="61">
        <v>0.8</v>
      </c>
      <c r="E11" s="60">
        <v>4242.5</v>
      </c>
      <c r="F11" s="60">
        <v>3096.71</v>
      </c>
      <c r="G11" s="60">
        <v>45330.27</v>
      </c>
      <c r="H11" s="59">
        <v>14528</v>
      </c>
      <c r="I11" s="62">
        <v>169413</v>
      </c>
      <c r="J11" s="62">
        <v>59206694</v>
      </c>
      <c r="K11" s="65"/>
      <c r="L11" s="38"/>
      <c r="M11" s="34"/>
    </row>
    <row r="12" spans="1:17" s="35" customFormat="1" ht="12.95" customHeight="1" x14ac:dyDescent="0.2">
      <c r="A12" s="63">
        <f t="shared" si="0"/>
        <v>44809</v>
      </c>
      <c r="B12" s="59">
        <v>503141</v>
      </c>
      <c r="C12" s="59">
        <v>1470392</v>
      </c>
      <c r="D12" s="61">
        <v>0.73</v>
      </c>
      <c r="E12" s="59">
        <v>4266.5</v>
      </c>
      <c r="F12" s="59">
        <v>3106.81</v>
      </c>
      <c r="G12" s="59">
        <v>45355.53</v>
      </c>
      <c r="H12" s="59">
        <v>14528</v>
      </c>
      <c r="I12" s="59">
        <v>169526</v>
      </c>
      <c r="J12" s="59">
        <v>59242977</v>
      </c>
      <c r="K12" s="65"/>
      <c r="L12" s="38"/>
      <c r="M12" s="34"/>
      <c r="N12" s="39"/>
    </row>
    <row r="13" spans="1:17" s="35" customFormat="1" ht="12.95" customHeight="1" x14ac:dyDescent="0.2">
      <c r="A13" s="63">
        <f t="shared" si="0"/>
        <v>44810</v>
      </c>
      <c r="B13" s="66">
        <v>507074</v>
      </c>
      <c r="C13" s="60">
        <v>1476016</v>
      </c>
      <c r="D13" s="61">
        <v>0.65</v>
      </c>
      <c r="E13" s="60">
        <v>4289.24</v>
      </c>
      <c r="F13" s="60">
        <v>3115.85</v>
      </c>
      <c r="G13" s="60">
        <v>45376.93</v>
      </c>
      <c r="H13" s="59">
        <v>14528</v>
      </c>
      <c r="I13" s="60">
        <v>169636</v>
      </c>
      <c r="J13" s="60">
        <v>59277801</v>
      </c>
      <c r="K13" s="36"/>
      <c r="L13" s="38"/>
      <c r="M13" s="34"/>
      <c r="N13" s="40"/>
      <c r="O13" s="40"/>
      <c r="P13" s="40"/>
      <c r="Q13" s="40"/>
    </row>
    <row r="14" spans="1:17" s="35" customFormat="1" ht="12.95" customHeight="1" x14ac:dyDescent="0.2">
      <c r="A14" s="63">
        <f t="shared" si="0"/>
        <v>44811</v>
      </c>
      <c r="B14" s="62">
        <v>511075</v>
      </c>
      <c r="C14" s="62">
        <v>1481879</v>
      </c>
      <c r="D14" s="61">
        <v>0.56999999999999995</v>
      </c>
      <c r="E14" s="60">
        <v>4314.53</v>
      </c>
      <c r="F14" s="60">
        <v>3125.48</v>
      </c>
      <c r="G14" s="60">
        <v>45405.27</v>
      </c>
      <c r="H14" s="59">
        <v>14528</v>
      </c>
      <c r="I14" s="62">
        <v>169755</v>
      </c>
      <c r="J14" s="62">
        <v>59311530</v>
      </c>
      <c r="K14" s="36"/>
      <c r="L14" s="38"/>
      <c r="M14" s="34"/>
      <c r="N14" s="40"/>
      <c r="O14" s="40"/>
      <c r="P14" s="40"/>
      <c r="Q14" s="40"/>
    </row>
    <row r="15" spans="1:17" s="35" customFormat="1" ht="12.95" customHeight="1" x14ac:dyDescent="0.25">
      <c r="A15" s="63">
        <f t="shared" si="0"/>
        <v>44812</v>
      </c>
      <c r="B15" s="62">
        <v>515170</v>
      </c>
      <c r="C15" s="62">
        <v>1487805</v>
      </c>
      <c r="D15" s="61">
        <v>0.5</v>
      </c>
      <c r="E15" s="60">
        <v>4338.93</v>
      </c>
      <c r="F15" s="67">
        <v>3135.75</v>
      </c>
      <c r="G15" s="60">
        <v>45431.63</v>
      </c>
      <c r="H15" s="59">
        <v>14528</v>
      </c>
      <c r="I15" s="62">
        <v>169869</v>
      </c>
      <c r="J15" s="62">
        <v>59349179</v>
      </c>
      <c r="K15" s="54"/>
      <c r="L15" s="38"/>
      <c r="M15" s="34"/>
      <c r="N15" s="40"/>
      <c r="O15" s="40"/>
      <c r="P15" s="40"/>
      <c r="Q15" s="40"/>
    </row>
    <row r="16" spans="1:17" s="35" customFormat="1" ht="12.95" customHeight="1" x14ac:dyDescent="0.25">
      <c r="A16" s="63">
        <f t="shared" si="0"/>
        <v>44813</v>
      </c>
      <c r="B16" s="68">
        <v>519335</v>
      </c>
      <c r="C16" s="62">
        <v>1493842</v>
      </c>
      <c r="D16" s="61">
        <v>0.43</v>
      </c>
      <c r="E16" s="60">
        <v>4362.2700000000004</v>
      </c>
      <c r="F16" s="67">
        <v>3145.67</v>
      </c>
      <c r="G16" s="60">
        <v>45460.87</v>
      </c>
      <c r="H16" s="59">
        <v>14528</v>
      </c>
      <c r="I16" s="62">
        <v>169994</v>
      </c>
      <c r="J16" s="62">
        <v>59385500</v>
      </c>
      <c r="K16" s="54"/>
      <c r="L16" s="38"/>
      <c r="M16" s="34"/>
      <c r="N16" s="40"/>
      <c r="O16" s="40"/>
      <c r="P16" s="40"/>
      <c r="Q16" s="40"/>
    </row>
    <row r="17" spans="1:19" s="35" customFormat="1" ht="12.95" customHeight="1" x14ac:dyDescent="0.2">
      <c r="A17" s="63">
        <f t="shared" si="0"/>
        <v>44814</v>
      </c>
      <c r="B17" s="60">
        <v>523550</v>
      </c>
      <c r="C17" s="60">
        <v>1499902</v>
      </c>
      <c r="D17" s="69">
        <v>0.36</v>
      </c>
      <c r="E17" s="60">
        <v>4386.3</v>
      </c>
      <c r="F17" s="67">
        <v>3156.17</v>
      </c>
      <c r="G17" s="60">
        <v>45490.42</v>
      </c>
      <c r="H17" s="59">
        <v>14528</v>
      </c>
      <c r="I17" s="60">
        <v>170110</v>
      </c>
      <c r="J17" s="60">
        <v>59421139</v>
      </c>
      <c r="K17" s="65"/>
      <c r="L17" s="38"/>
      <c r="M17" s="34"/>
      <c r="N17" s="40"/>
      <c r="O17" s="40"/>
      <c r="P17" s="40"/>
      <c r="Q17" s="40"/>
    </row>
    <row r="18" spans="1:19" s="35" customFormat="1" ht="12.95" customHeight="1" x14ac:dyDescent="0.2">
      <c r="A18" s="63">
        <f t="shared" si="0"/>
        <v>44815</v>
      </c>
      <c r="B18" s="62">
        <v>527735</v>
      </c>
      <c r="C18" s="62">
        <v>1505892</v>
      </c>
      <c r="D18" s="61">
        <v>0.3</v>
      </c>
      <c r="E18" s="60">
        <v>4411.82</v>
      </c>
      <c r="F18" s="60">
        <v>3166.24</v>
      </c>
      <c r="G18" s="60">
        <v>45520.79</v>
      </c>
      <c r="H18" s="59">
        <v>14528</v>
      </c>
      <c r="I18" s="62">
        <v>170230</v>
      </c>
      <c r="J18" s="62">
        <v>59457058</v>
      </c>
      <c r="K18" s="65">
        <v>4000</v>
      </c>
      <c r="L18" s="38"/>
      <c r="M18" s="34"/>
      <c r="N18" s="40"/>
      <c r="O18" s="22"/>
      <c r="P18" s="40"/>
      <c r="Q18" s="40"/>
    </row>
    <row r="19" spans="1:19" s="35" customFormat="1" ht="12.95" customHeight="1" x14ac:dyDescent="0.2">
      <c r="A19" s="63">
        <f t="shared" si="0"/>
        <v>44816</v>
      </c>
      <c r="B19" s="70">
        <v>531874</v>
      </c>
      <c r="C19" s="70">
        <v>1511837</v>
      </c>
      <c r="D19" s="61">
        <v>0.8</v>
      </c>
      <c r="E19" s="60">
        <v>4436</v>
      </c>
      <c r="F19" s="60">
        <v>3176.11</v>
      </c>
      <c r="G19" s="71">
        <v>45548.52</v>
      </c>
      <c r="H19" s="59">
        <v>14528</v>
      </c>
      <c r="I19" s="70">
        <v>170324</v>
      </c>
      <c r="J19" s="70">
        <v>59492307</v>
      </c>
      <c r="K19" s="65"/>
      <c r="L19" s="38"/>
      <c r="M19" s="34"/>
      <c r="N19" s="40"/>
      <c r="O19" s="22"/>
      <c r="P19" s="40"/>
      <c r="Q19" s="40"/>
    </row>
    <row r="20" spans="1:19" s="35" customFormat="1" ht="12.95" customHeight="1" x14ac:dyDescent="0.2">
      <c r="A20" s="63">
        <f t="shared" si="0"/>
        <v>44817</v>
      </c>
      <c r="B20" s="70">
        <v>536000</v>
      </c>
      <c r="C20" s="70">
        <v>1517631</v>
      </c>
      <c r="D20" s="61">
        <v>0.75</v>
      </c>
      <c r="E20" s="59">
        <v>4464.41</v>
      </c>
      <c r="F20" s="59">
        <v>3186</v>
      </c>
      <c r="G20" s="71">
        <v>45579.79</v>
      </c>
      <c r="H20" s="59">
        <v>14528</v>
      </c>
      <c r="I20" s="70">
        <v>170467</v>
      </c>
      <c r="J20" s="70">
        <v>59529257</v>
      </c>
      <c r="K20" s="36"/>
      <c r="L20" s="41"/>
      <c r="M20" s="34"/>
      <c r="N20" s="42"/>
      <c r="O20" s="40"/>
      <c r="P20" s="40"/>
      <c r="Q20" s="40"/>
    </row>
    <row r="21" spans="1:19" s="35" customFormat="1" ht="12.95" customHeight="1" x14ac:dyDescent="0.2">
      <c r="A21" s="63">
        <f t="shared" si="0"/>
        <v>44818</v>
      </c>
      <c r="B21" s="70">
        <v>540027</v>
      </c>
      <c r="C21" s="70">
        <v>1523398</v>
      </c>
      <c r="D21" s="61">
        <v>0.68</v>
      </c>
      <c r="E21" s="71">
        <v>4489.8100000000004</v>
      </c>
      <c r="F21" s="60">
        <v>3196.71</v>
      </c>
      <c r="G21" s="71">
        <v>45610.19</v>
      </c>
      <c r="H21" s="62">
        <v>14528</v>
      </c>
      <c r="I21" s="70">
        <v>170568</v>
      </c>
      <c r="J21" s="70">
        <v>59568100</v>
      </c>
      <c r="K21" s="36"/>
      <c r="L21" s="41"/>
      <c r="M21" s="34"/>
      <c r="N21" s="42"/>
      <c r="O21" s="42"/>
      <c r="P21" s="43"/>
      <c r="Q21" s="43"/>
      <c r="S21" s="39"/>
    </row>
    <row r="22" spans="1:19" s="35" customFormat="1" ht="12.95" customHeight="1" x14ac:dyDescent="0.2">
      <c r="A22" s="63">
        <f t="shared" si="0"/>
        <v>44819</v>
      </c>
      <c r="B22" s="59">
        <v>544382</v>
      </c>
      <c r="C22" s="68">
        <v>1529457</v>
      </c>
      <c r="D22" s="61">
        <v>0.57999999999999996</v>
      </c>
      <c r="E22" s="60">
        <v>4513.99</v>
      </c>
      <c r="F22" s="60">
        <v>3206.81</v>
      </c>
      <c r="G22" s="71">
        <v>45640.02</v>
      </c>
      <c r="H22" s="62">
        <v>14528</v>
      </c>
      <c r="I22" s="71">
        <v>170708</v>
      </c>
      <c r="J22" s="70">
        <v>59610126</v>
      </c>
      <c r="K22" s="36"/>
      <c r="L22" s="41"/>
      <c r="M22" s="34"/>
      <c r="N22" s="42"/>
      <c r="O22" s="42"/>
      <c r="P22" s="40"/>
      <c r="Q22" s="40"/>
    </row>
    <row r="23" spans="1:19" s="35" customFormat="1" ht="12.95" customHeight="1" x14ac:dyDescent="0.2">
      <c r="A23" s="63">
        <f t="shared" si="0"/>
        <v>44820</v>
      </c>
      <c r="B23" s="70">
        <v>548666</v>
      </c>
      <c r="C23" s="70">
        <v>1535426</v>
      </c>
      <c r="D23" s="61">
        <v>0.5</v>
      </c>
      <c r="E23" s="71">
        <v>4540.08</v>
      </c>
      <c r="F23" s="60">
        <v>3217.19</v>
      </c>
      <c r="G23" s="71">
        <v>45670.57</v>
      </c>
      <c r="H23" s="62">
        <v>14528</v>
      </c>
      <c r="I23" s="70">
        <v>170830</v>
      </c>
      <c r="J23" s="70">
        <v>59647986</v>
      </c>
      <c r="K23" s="65"/>
      <c r="L23" s="41"/>
      <c r="M23" s="34"/>
      <c r="N23" s="42"/>
      <c r="O23" s="40"/>
      <c r="P23" s="40"/>
      <c r="Q23" s="40"/>
    </row>
    <row r="24" spans="1:19" s="35" customFormat="1" ht="12.95" customHeight="1" x14ac:dyDescent="0.2">
      <c r="A24" s="63">
        <f t="shared" si="0"/>
        <v>44821</v>
      </c>
      <c r="B24" s="70">
        <v>552831</v>
      </c>
      <c r="C24" s="70">
        <v>1541337</v>
      </c>
      <c r="D24" s="61">
        <v>0.48</v>
      </c>
      <c r="E24" s="71">
        <v>4565.17</v>
      </c>
      <c r="F24" s="60">
        <v>3226.67</v>
      </c>
      <c r="G24" s="71">
        <v>45702.22</v>
      </c>
      <c r="H24" s="62">
        <v>14528</v>
      </c>
      <c r="I24" s="70">
        <v>170961</v>
      </c>
      <c r="J24" s="70">
        <v>59687623</v>
      </c>
      <c r="K24" s="65"/>
      <c r="L24" s="44"/>
      <c r="M24" s="34"/>
      <c r="N24" s="42"/>
      <c r="O24" s="42"/>
      <c r="P24" s="40"/>
      <c r="Q24" s="40"/>
    </row>
    <row r="25" spans="1:19" s="35" customFormat="1" ht="12.95" customHeight="1" x14ac:dyDescent="0.2">
      <c r="A25" s="63">
        <f t="shared" si="0"/>
        <v>44822</v>
      </c>
      <c r="B25" s="71">
        <v>557050</v>
      </c>
      <c r="C25" s="71">
        <v>1547348</v>
      </c>
      <c r="D25" s="61">
        <v>0.38</v>
      </c>
      <c r="E25" s="71">
        <v>4593.62</v>
      </c>
      <c r="F25" s="60">
        <v>3236.41</v>
      </c>
      <c r="G25" s="71">
        <v>45731.75</v>
      </c>
      <c r="H25" s="62">
        <v>14528</v>
      </c>
      <c r="I25" s="70">
        <v>171073</v>
      </c>
      <c r="J25" s="70">
        <v>59722170</v>
      </c>
      <c r="K25" s="85"/>
      <c r="L25" s="44"/>
      <c r="M25" s="34"/>
      <c r="N25" s="42"/>
      <c r="O25" s="42"/>
      <c r="P25" s="40"/>
      <c r="Q25" s="40"/>
    </row>
    <row r="26" spans="1:19" s="35" customFormat="1" ht="12.95" customHeight="1" x14ac:dyDescent="0.2">
      <c r="A26" s="63">
        <f t="shared" si="0"/>
        <v>44823</v>
      </c>
      <c r="B26" s="71">
        <v>561188</v>
      </c>
      <c r="C26" s="71">
        <v>1553317</v>
      </c>
      <c r="D26" s="69">
        <v>0.3</v>
      </c>
      <c r="E26" s="71">
        <v>4617.8500000000004</v>
      </c>
      <c r="F26" s="60">
        <v>3246.59</v>
      </c>
      <c r="G26" s="71">
        <v>45758.26</v>
      </c>
      <c r="H26" s="62">
        <v>14528</v>
      </c>
      <c r="I26" s="70">
        <v>171179</v>
      </c>
      <c r="J26" s="70">
        <v>59757943</v>
      </c>
      <c r="K26" s="65"/>
      <c r="L26" s="44"/>
      <c r="M26" s="34"/>
      <c r="N26" s="42"/>
      <c r="O26" s="42"/>
      <c r="P26" s="40"/>
      <c r="Q26" s="40"/>
    </row>
    <row r="27" spans="1:19" s="35" customFormat="1" ht="12.95" customHeight="1" x14ac:dyDescent="0.2">
      <c r="A27" s="63">
        <f t="shared" si="0"/>
        <v>44824</v>
      </c>
      <c r="B27" s="70">
        <v>565344</v>
      </c>
      <c r="C27" s="70">
        <v>1559225</v>
      </c>
      <c r="D27" s="61">
        <v>0.8</v>
      </c>
      <c r="E27" s="71">
        <v>4644.07</v>
      </c>
      <c r="F27" s="60">
        <v>3256.6</v>
      </c>
      <c r="G27" s="71">
        <v>45786.41</v>
      </c>
      <c r="H27" s="62">
        <v>14528</v>
      </c>
      <c r="I27" s="70">
        <v>171286</v>
      </c>
      <c r="J27" s="70">
        <v>59793027</v>
      </c>
      <c r="K27" s="65">
        <v>4000</v>
      </c>
      <c r="L27" s="41"/>
      <c r="M27" s="34"/>
    </row>
    <row r="28" spans="1:19" s="35" customFormat="1" ht="12.95" customHeight="1" x14ac:dyDescent="0.2">
      <c r="A28" s="63">
        <f t="shared" si="0"/>
        <v>44825</v>
      </c>
      <c r="B28" s="72">
        <v>569519</v>
      </c>
      <c r="C28" s="70">
        <v>1564985</v>
      </c>
      <c r="D28" s="61">
        <v>0.74</v>
      </c>
      <c r="E28" s="71">
        <v>4670.0200000000004</v>
      </c>
      <c r="F28" s="60">
        <v>3267</v>
      </c>
      <c r="G28" s="71">
        <v>45814.17</v>
      </c>
      <c r="H28" s="62">
        <v>14528</v>
      </c>
      <c r="I28" s="70">
        <v>171390</v>
      </c>
      <c r="J28" s="70">
        <v>59826568</v>
      </c>
      <c r="K28" s="36"/>
      <c r="L28" s="41"/>
      <c r="M28" s="34"/>
    </row>
    <row r="29" spans="1:19" s="35" customFormat="1" ht="12.95" customHeight="1" x14ac:dyDescent="0.2">
      <c r="A29" s="63">
        <f t="shared" si="0"/>
        <v>44826</v>
      </c>
      <c r="B29" s="70">
        <v>573834</v>
      </c>
      <c r="C29" s="70">
        <v>1571057</v>
      </c>
      <c r="D29" s="61">
        <v>0.65</v>
      </c>
      <c r="E29" s="71">
        <v>4693.97</v>
      </c>
      <c r="F29" s="60">
        <v>3276.5</v>
      </c>
      <c r="G29" s="71">
        <v>45844.36</v>
      </c>
      <c r="H29" s="62">
        <v>14528</v>
      </c>
      <c r="I29" s="70">
        <v>171510</v>
      </c>
      <c r="J29" s="70">
        <v>59859445</v>
      </c>
      <c r="K29" s="36"/>
      <c r="L29" s="41"/>
      <c r="M29" s="34"/>
      <c r="N29" s="39"/>
    </row>
    <row r="30" spans="1:19" s="35" customFormat="1" ht="12.95" customHeight="1" x14ac:dyDescent="0.25">
      <c r="A30" s="63">
        <f t="shared" si="0"/>
        <v>44827</v>
      </c>
      <c r="B30" s="70">
        <v>578263</v>
      </c>
      <c r="C30" s="70">
        <v>1577210</v>
      </c>
      <c r="D30" s="61">
        <v>0.6</v>
      </c>
      <c r="E30" s="71">
        <v>4720.18</v>
      </c>
      <c r="F30" s="60">
        <v>3286.71</v>
      </c>
      <c r="G30" s="71">
        <v>45878.02</v>
      </c>
      <c r="H30" s="62">
        <v>14528</v>
      </c>
      <c r="I30" s="70">
        <v>171642</v>
      </c>
      <c r="J30" s="70">
        <v>59893598</v>
      </c>
      <c r="K30" s="54"/>
      <c r="L30" s="41"/>
      <c r="M30" s="34"/>
    </row>
    <row r="31" spans="1:19" s="35" customFormat="1" ht="12.95" customHeight="1" x14ac:dyDescent="0.25">
      <c r="A31" s="63">
        <f t="shared" si="0"/>
        <v>44828</v>
      </c>
      <c r="B31" s="70">
        <v>582552</v>
      </c>
      <c r="C31" s="70">
        <v>1583390</v>
      </c>
      <c r="D31" s="61">
        <v>0.5</v>
      </c>
      <c r="E31" s="71">
        <v>4748.79</v>
      </c>
      <c r="F31" s="60">
        <v>3296.43</v>
      </c>
      <c r="G31" s="71">
        <v>45913.25</v>
      </c>
      <c r="H31" s="62">
        <v>14528</v>
      </c>
      <c r="I31" s="70">
        <v>171768</v>
      </c>
      <c r="J31" s="70">
        <v>59928447</v>
      </c>
      <c r="K31" s="54"/>
      <c r="L31" s="41"/>
      <c r="M31" s="34"/>
      <c r="N31" s="39"/>
      <c r="O31" s="39"/>
    </row>
    <row r="32" spans="1:19" s="35" customFormat="1" ht="12.95" customHeight="1" x14ac:dyDescent="0.25">
      <c r="A32" s="63">
        <f t="shared" si="0"/>
        <v>44829</v>
      </c>
      <c r="B32" s="70">
        <v>586736</v>
      </c>
      <c r="C32" s="70">
        <v>1589352</v>
      </c>
      <c r="D32" s="61">
        <v>0.45</v>
      </c>
      <c r="E32" s="71">
        <v>4772.34</v>
      </c>
      <c r="F32" s="60">
        <v>3305.26</v>
      </c>
      <c r="G32" s="71">
        <v>45946.23</v>
      </c>
      <c r="H32" s="62">
        <v>14528</v>
      </c>
      <c r="I32" s="70">
        <v>171886</v>
      </c>
      <c r="J32" s="70">
        <v>59964729</v>
      </c>
      <c r="K32" s="54"/>
      <c r="L32" s="41"/>
      <c r="M32" s="34"/>
      <c r="N32" s="39"/>
      <c r="O32" s="39"/>
    </row>
    <row r="33" spans="1:16" s="35" customFormat="1" ht="12.95" customHeight="1" x14ac:dyDescent="0.2">
      <c r="A33" s="63">
        <f t="shared" si="0"/>
        <v>44830</v>
      </c>
      <c r="B33" s="70">
        <v>590768</v>
      </c>
      <c r="C33" s="70">
        <v>1595343</v>
      </c>
      <c r="D33" s="61">
        <v>0.38</v>
      </c>
      <c r="E33" s="71">
        <v>4798.7299999999996</v>
      </c>
      <c r="F33" s="60">
        <v>3314.12</v>
      </c>
      <c r="G33" s="71">
        <v>45974.36</v>
      </c>
      <c r="H33" s="62">
        <v>14528</v>
      </c>
      <c r="I33" s="70">
        <v>171988</v>
      </c>
      <c r="J33" s="70">
        <v>60004876</v>
      </c>
      <c r="K33" s="36"/>
      <c r="L33" s="45"/>
      <c r="M33" s="46"/>
      <c r="N33" s="39"/>
      <c r="O33" s="39"/>
    </row>
    <row r="34" spans="1:16" s="35" customFormat="1" ht="12.95" customHeight="1" x14ac:dyDescent="0.2">
      <c r="A34" s="63">
        <f t="shared" si="0"/>
        <v>44831</v>
      </c>
      <c r="B34" s="70">
        <v>595090</v>
      </c>
      <c r="C34" s="70">
        <v>1601347</v>
      </c>
      <c r="D34" s="69"/>
      <c r="E34" s="71">
        <v>4821.9399999999996</v>
      </c>
      <c r="F34" s="60">
        <v>3323.52</v>
      </c>
      <c r="G34" s="71">
        <v>46000.75</v>
      </c>
      <c r="H34" s="62">
        <v>14528</v>
      </c>
      <c r="I34" s="71">
        <v>172096</v>
      </c>
      <c r="J34" s="71">
        <v>60045582</v>
      </c>
      <c r="K34" s="65"/>
      <c r="L34" s="38"/>
      <c r="M34" s="46"/>
      <c r="N34" s="39"/>
      <c r="P34" s="39"/>
    </row>
    <row r="35" spans="1:16" s="35" customFormat="1" ht="12.95" customHeight="1" x14ac:dyDescent="0.2">
      <c r="A35" s="63">
        <f t="shared" si="0"/>
        <v>44832</v>
      </c>
      <c r="B35" s="62"/>
      <c r="C35" s="73"/>
      <c r="D35" s="61"/>
      <c r="E35" s="71"/>
      <c r="F35" s="60"/>
      <c r="G35" s="60"/>
      <c r="H35" s="27"/>
      <c r="I35" s="62"/>
      <c r="J35" s="62"/>
      <c r="K35" s="65"/>
      <c r="L35" s="41"/>
      <c r="M35" s="34"/>
      <c r="N35" s="39"/>
      <c r="O35" s="39"/>
    </row>
    <row r="36" spans="1:16" s="35" customFormat="1" ht="12.95" customHeight="1" x14ac:dyDescent="0.2">
      <c r="A36" s="63">
        <f t="shared" si="0"/>
        <v>44833</v>
      </c>
      <c r="B36" s="62"/>
      <c r="C36" s="73"/>
      <c r="D36" s="61"/>
      <c r="E36" s="71"/>
      <c r="F36" s="60"/>
      <c r="G36" s="60"/>
      <c r="H36" s="27"/>
      <c r="I36" s="62"/>
      <c r="J36" s="62"/>
      <c r="K36" s="65"/>
      <c r="L36" s="41"/>
      <c r="M36" s="34"/>
      <c r="N36" s="39"/>
      <c r="O36" s="39"/>
    </row>
    <row r="37" spans="1:16" s="35" customFormat="1" ht="12.95" customHeight="1" x14ac:dyDescent="0.2">
      <c r="A37" s="63">
        <f t="shared" si="0"/>
        <v>44834</v>
      </c>
      <c r="B37" s="62"/>
      <c r="C37" s="73"/>
      <c r="D37" s="61"/>
      <c r="E37" s="71"/>
      <c r="F37" s="60"/>
      <c r="G37" s="60"/>
      <c r="H37" s="27"/>
      <c r="I37" s="62"/>
      <c r="J37" s="62"/>
      <c r="K37" s="36"/>
      <c r="L37" s="41"/>
      <c r="M37" s="34"/>
      <c r="N37" s="39"/>
      <c r="O37" s="39"/>
    </row>
    <row r="38" spans="1:16" s="35" customFormat="1" ht="12.95" customHeight="1" x14ac:dyDescent="0.25">
      <c r="A38" s="47" t="s">
        <v>35</v>
      </c>
      <c r="B38" s="48">
        <f>B37-B7</f>
        <v>-482971</v>
      </c>
      <c r="C38" s="48">
        <f>C37-C7</f>
        <v>-1440624</v>
      </c>
      <c r="D38" s="48"/>
      <c r="E38" s="48">
        <f t="shared" ref="E38:K38" si="1">E37-E7</f>
        <v>-4142.63</v>
      </c>
      <c r="F38" s="48">
        <f t="shared" si="1"/>
        <v>-3056.18</v>
      </c>
      <c r="G38" s="48">
        <f t="shared" si="1"/>
        <v>-45214.05</v>
      </c>
      <c r="H38" s="48">
        <f t="shared" si="1"/>
        <v>-14528</v>
      </c>
      <c r="I38" s="48">
        <f t="shared" si="1"/>
        <v>-168957</v>
      </c>
      <c r="J38" s="48">
        <f t="shared" si="1"/>
        <v>-59057187</v>
      </c>
      <c r="K38" s="48">
        <f t="shared" si="1"/>
        <v>0</v>
      </c>
      <c r="L38" s="28"/>
      <c r="M38" s="28"/>
      <c r="N38" s="39"/>
      <c r="O38" s="39"/>
    </row>
    <row r="39" spans="1:16" s="51" customFormat="1" x14ac:dyDescent="0.25">
      <c r="A39" s="28"/>
      <c r="B39" s="28"/>
      <c r="C39" s="48"/>
      <c r="D39" s="28"/>
      <c r="E39" s="49"/>
      <c r="F39" s="49"/>
      <c r="G39" s="49"/>
      <c r="H39" s="50">
        <f>H38*219.969</f>
        <v>-3195709.6319999998</v>
      </c>
      <c r="I39" s="48">
        <f>I38*219.969</f>
        <v>-37165302.332999997</v>
      </c>
      <c r="J39" s="49"/>
      <c r="K39" s="28"/>
      <c r="L39" s="28"/>
      <c r="M39" s="28"/>
    </row>
    <row r="40" spans="1:16" s="51" customFormat="1" x14ac:dyDescent="0.25">
      <c r="A40" s="28"/>
      <c r="B40" s="28"/>
      <c r="C40" s="48"/>
      <c r="D40" s="28"/>
      <c r="E40" s="49"/>
      <c r="F40" s="49"/>
      <c r="G40" s="49"/>
      <c r="H40" s="50"/>
      <c r="I40" s="48"/>
      <c r="J40" s="49"/>
      <c r="K40" s="28"/>
      <c r="L40" s="28"/>
    </row>
    <row r="41" spans="1:16" x14ac:dyDescent="0.25">
      <c r="C41" s="52"/>
      <c r="I41" s="53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09 - 2022</vt:lpstr>
      <vt:lpstr>'09 - 2022'!Print_Area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2022-09-27T04:53:38Z</dcterms:modified>
</cp:coreProperties>
</file>