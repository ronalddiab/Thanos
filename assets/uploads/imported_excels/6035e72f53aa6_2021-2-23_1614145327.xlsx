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6" i="9" l="1"/>
  <c r="R27" i="9"/>
  <c r="R28" i="9"/>
  <c r="R29" i="9"/>
  <c r="R30" i="9"/>
  <c r="R31" i="9"/>
  <c r="R32" i="9"/>
  <c r="Q26" i="9"/>
  <c r="Q27" i="9"/>
  <c r="Q28" i="9"/>
  <c r="Q29" i="9"/>
  <c r="Q30" i="9"/>
  <c r="Q31" i="9"/>
  <c r="Q32" i="9"/>
  <c r="P26" i="9"/>
  <c r="P27" i="9"/>
  <c r="P28" i="9"/>
  <c r="P29" i="9"/>
  <c r="P30" i="9"/>
  <c r="P31" i="9"/>
  <c r="P32" i="9"/>
  <c r="O26" i="9"/>
  <c r="O27" i="9"/>
  <c r="O28" i="9"/>
  <c r="O29" i="9"/>
  <c r="O30" i="9"/>
  <c r="O31" i="9"/>
  <c r="O32" i="9"/>
  <c r="N26" i="9"/>
  <c r="N27" i="9"/>
  <c r="N28" i="9"/>
  <c r="N29" i="9"/>
  <c r="N30" i="9"/>
  <c r="N31" i="9"/>
  <c r="M26" i="9"/>
  <c r="M27" i="9"/>
  <c r="M28" i="9"/>
  <c r="M29" i="9"/>
  <c r="M30" i="9"/>
  <c r="M31" i="9"/>
  <c r="M32" i="9"/>
  <c r="L26" i="9"/>
  <c r="L27" i="9"/>
  <c r="L28" i="9"/>
  <c r="L29" i="9"/>
  <c r="L30" i="9"/>
  <c r="L31" i="9"/>
  <c r="L32" i="9"/>
  <c r="K26" i="9"/>
  <c r="K27" i="9"/>
  <c r="K28" i="9"/>
  <c r="K29" i="9"/>
  <c r="K30" i="9"/>
  <c r="K31" i="9"/>
  <c r="K32" i="9"/>
  <c r="J26" i="9"/>
  <c r="J27" i="9"/>
  <c r="J28" i="9"/>
  <c r="J29" i="9"/>
  <c r="J30" i="9"/>
  <c r="J31" i="9"/>
  <c r="J32" i="9"/>
  <c r="I26" i="9"/>
  <c r="I27" i="9"/>
  <c r="I28" i="9"/>
  <c r="I29" i="9"/>
  <c r="I30" i="9"/>
  <c r="I31" i="9"/>
  <c r="I32" i="9"/>
  <c r="H26" i="9"/>
  <c r="H27" i="9"/>
  <c r="H28" i="9"/>
  <c r="H29" i="9"/>
  <c r="H30" i="9"/>
  <c r="H31" i="9"/>
  <c r="H32" i="9"/>
  <c r="G26" i="9"/>
  <c r="G27" i="9"/>
  <c r="G28" i="9"/>
  <c r="G29" i="9"/>
  <c r="G30" i="9"/>
  <c r="G31" i="9"/>
  <c r="G32" i="9"/>
  <c r="F26" i="9"/>
  <c r="F27" i="9"/>
  <c r="F28" i="9"/>
  <c r="F29" i="9"/>
  <c r="F30" i="9"/>
  <c r="F31" i="9"/>
  <c r="F32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5" i="9" l="1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C38" i="7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<sst xmlns="http://schemas.openxmlformats.org/spreadsheetml/2006/main" count="128" uniqueCount="49">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</sst>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48326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55474</v>
      </c>
      <c r="F18" s="11">
        <v>5.0000000000000001E-3</v>
      </c>
      <c r="G18" s="12">
        <f>Submetering!R18</f>
        <v>649.19781499999999</v>
      </c>
      <c r="H18" s="11">
        <v>0.52800000000000002</v>
      </c>
      <c r="I18" s="12">
        <f>Hotel!B23</f>
        <v>78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47616</v>
      </c>
      <c r="F19" s="11">
        <v>5.0000000000000001E-3</v>
      </c>
      <c r="G19" s="12">
        <f>Submetering!R19</f>
        <v>515.194301</v>
      </c>
      <c r="H19" s="11">
        <v>0.52800000000000002</v>
      </c>
      <c r="I19" s="12">
        <f>Hotel!B24</f>
        <v>106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49824</v>
      </c>
      <c r="F20" s="11">
        <v>5.0000000000000001E-3</v>
      </c>
      <c r="G20" s="12">
        <f>Submetering!R20</f>
        <v>690.45878399999992</v>
      </c>
      <c r="H20" s="11">
        <v>0.52800000000000002</v>
      </c>
      <c r="I20" s="12">
        <f>Hotel!B25</f>
        <v>135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47890</v>
      </c>
      <c r="F21" s="11">
        <v>5.0000000000000001E-3</v>
      </c>
      <c r="G21" s="12">
        <f>Submetering!R21</f>
        <v>634.81325700000002</v>
      </c>
      <c r="H21" s="11">
        <v>0.52800000000000002</v>
      </c>
      <c r="I21" s="12">
        <f>Hotel!B26</f>
        <v>93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50010</v>
      </c>
      <c r="F22" s="11">
        <v>5.0000000000000001E-3</v>
      </c>
      <c r="G22" s="12">
        <f>Submetering!R22</f>
        <v>888.81426799999997</v>
      </c>
      <c r="H22" s="11">
        <v>0.52800000000000002</v>
      </c>
      <c r="I22" s="12">
        <f>Hotel!B27</f>
        <v>85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50660</v>
      </c>
      <c r="F23" s="11">
        <v>5.0000000000000001E-3</v>
      </c>
      <c r="G23" s="12">
        <f>Submetering!R23</f>
        <v>372.48434399999996</v>
      </c>
      <c r="H23" s="11">
        <v>0.52800000000000002</v>
      </c>
      <c r="I23" s="12">
        <f>Hotel!B28</f>
        <v>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46770</v>
      </c>
      <c r="F24" s="11">
        <v>5.0000000000000001E-3</v>
      </c>
      <c r="G24" s="12">
        <f>Submetering!R24</f>
        <v>598.85186199999998</v>
      </c>
      <c r="H24" s="11">
        <v>0.52800000000000002</v>
      </c>
      <c r="I24" s="12">
        <f>Hotel!B29</f>
        <v>64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3080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570</v>
      </c>
      <c r="F18" s="4">
        <f>Hotel!R23</f>
        <v>2080</v>
      </c>
      <c r="G18" s="4">
        <f>Hotel!S23</f>
        <v>3340</v>
      </c>
      <c r="H18" s="4">
        <f>Hotel!T23</f>
        <v>1570</v>
      </c>
      <c r="I18" s="4">
        <f>Hotel!U23</f>
        <v>8420</v>
      </c>
      <c r="J18" s="4">
        <f>Hotel!V23</f>
        <v>3460</v>
      </c>
      <c r="K18" s="4">
        <f>Hotel!W23</f>
        <v>2500</v>
      </c>
      <c r="L18" s="4">
        <f>Hotel!X23</f>
        <v>4270</v>
      </c>
      <c r="M18" s="4">
        <f>Hotel!Y23</f>
        <v>5570</v>
      </c>
      <c r="N18" s="4">
        <f>Hotel!Z23</f>
        <v>3160</v>
      </c>
      <c r="O18" s="4">
        <f>Hotel!AA23</f>
        <v>3400</v>
      </c>
      <c r="P18" s="4">
        <f>Hotel!AB23</f>
        <v>7280</v>
      </c>
      <c r="Q18" s="4">
        <f>Hotel!AC23</f>
        <v>9854</v>
      </c>
      <c r="R18" s="4">
        <f>Hotel!AV23*0.00378541*100</f>
        <v>649.19781499999999</v>
      </c>
      <c r="S18" s="4">
        <f>Hotel!B23</f>
        <v>78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560</v>
      </c>
      <c r="F19" s="4">
        <f>Hotel!R24</f>
        <v>1940</v>
      </c>
      <c r="G19" s="4">
        <f>Hotel!S24</f>
        <v>2866</v>
      </c>
      <c r="H19" s="4">
        <f>Hotel!T24</f>
        <v>1530</v>
      </c>
      <c r="I19" s="4">
        <f>Hotel!U24</f>
        <v>2250</v>
      </c>
      <c r="J19" s="4">
        <f>Hotel!V24</f>
        <v>3550</v>
      </c>
      <c r="K19" s="4">
        <f>Hotel!W24</f>
        <v>2480</v>
      </c>
      <c r="L19" s="4">
        <f>Hotel!X24</f>
        <v>4300</v>
      </c>
      <c r="M19" s="4">
        <f>Hotel!Y24</f>
        <v>5610</v>
      </c>
      <c r="N19" s="4">
        <f>Hotel!Z24</f>
        <v>2140</v>
      </c>
      <c r="O19" s="4">
        <f>Hotel!AA24</f>
        <v>3420</v>
      </c>
      <c r="P19" s="4">
        <f>Hotel!AB24</f>
        <v>7220</v>
      </c>
      <c r="Q19" s="4">
        <f>Hotel!AC24</f>
        <v>9750</v>
      </c>
      <c r="R19" s="4">
        <f>Hotel!AV24*0.00378541*100</f>
        <v>515.194301</v>
      </c>
      <c r="S19" s="4">
        <f>Hotel!B24</f>
        <v>106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530</v>
      </c>
      <c r="F20" s="4">
        <f>Hotel!R25</f>
        <v>1820</v>
      </c>
      <c r="G20" s="4">
        <f>Hotel!S25</f>
        <v>2564</v>
      </c>
      <c r="H20" s="4">
        <f>Hotel!T25</f>
        <v>1440</v>
      </c>
      <c r="I20" s="4">
        <f>Hotel!U25</f>
        <v>5610</v>
      </c>
      <c r="J20" s="4">
        <f>Hotel!V25</f>
        <v>3420</v>
      </c>
      <c r="K20" s="4">
        <f>Hotel!W25</f>
        <v>2290</v>
      </c>
      <c r="L20" s="4">
        <f>Hotel!X25</f>
        <v>4060</v>
      </c>
      <c r="M20" s="4">
        <f>Hotel!Y25</f>
        <v>5660</v>
      </c>
      <c r="N20" s="4">
        <f>Hotel!Z25</f>
        <v>2660</v>
      </c>
      <c r="O20" s="4">
        <f>Hotel!AA25</f>
        <v>3570</v>
      </c>
      <c r="P20" s="4">
        <f>Hotel!AB25</f>
        <v>6940</v>
      </c>
      <c r="Q20" s="4">
        <f>Hotel!AC25</f>
        <v>9260</v>
      </c>
      <c r="R20" s="4">
        <f>Hotel!AV25*0.00378541*100</f>
        <v>690.45878399999992</v>
      </c>
      <c r="S20" s="4">
        <f>Hotel!B25</f>
        <v>135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520</v>
      </c>
      <c r="F21" s="4">
        <f>Hotel!R26</f>
        <v>1780</v>
      </c>
      <c r="G21" s="4">
        <f>Hotel!S26</f>
        <v>2540</v>
      </c>
      <c r="H21" s="4">
        <f>Hotel!T26</f>
        <v>1400</v>
      </c>
      <c r="I21" s="4">
        <f>Hotel!U26</f>
        <v>4890</v>
      </c>
      <c r="J21" s="4">
        <f>Hotel!V26</f>
        <v>3310</v>
      </c>
      <c r="K21" s="4">
        <f>Hotel!W26</f>
        <v>2240</v>
      </c>
      <c r="L21" s="4">
        <f>Hotel!X26</f>
        <v>3960</v>
      </c>
      <c r="M21" s="4">
        <f>Hotel!Y26</f>
        <v>5480</v>
      </c>
      <c r="N21" s="4">
        <f>Hotel!Z26</f>
        <v>2550</v>
      </c>
      <c r="O21" s="4">
        <f>Hotel!AA26</f>
        <v>3470</v>
      </c>
      <c r="P21" s="4">
        <f>Hotel!AB26</f>
        <v>6720</v>
      </c>
      <c r="Q21" s="4">
        <f>Hotel!AC26</f>
        <v>9030</v>
      </c>
      <c r="R21" s="4">
        <f>Hotel!AV26*0.00378541*100</f>
        <v>634.81325700000002</v>
      </c>
      <c r="S21" s="4">
        <f>Hotel!B26</f>
        <v>93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550</v>
      </c>
      <c r="F22" s="4">
        <f>Hotel!R27</f>
        <v>1890</v>
      </c>
      <c r="G22" s="4">
        <f>Hotel!S27</f>
        <v>2680</v>
      </c>
      <c r="H22" s="4">
        <f>Hotel!T27</f>
        <v>1490</v>
      </c>
      <c r="I22" s="4">
        <f>Hotel!U27</f>
        <v>5140</v>
      </c>
      <c r="J22" s="4">
        <f>Hotel!V27</f>
        <v>3420</v>
      </c>
      <c r="K22" s="4">
        <f>Hotel!W27</f>
        <v>2390</v>
      </c>
      <c r="L22" s="4">
        <f>Hotel!X27</f>
        <v>3890</v>
      </c>
      <c r="M22" s="4">
        <f>Hotel!Y27</f>
        <v>5520</v>
      </c>
      <c r="N22" s="4">
        <f>Hotel!Z27</f>
        <v>2550</v>
      </c>
      <c r="O22" s="4">
        <f>Hotel!AA27</f>
        <v>3700</v>
      </c>
      <c r="P22" s="4">
        <f>Hotel!AB27</f>
        <v>7050</v>
      </c>
      <c r="Q22" s="4">
        <f>Hotel!AC27</f>
        <v>9740</v>
      </c>
      <c r="R22" s="4">
        <f>Hotel!AV27*0.00378541*100</f>
        <v>888.81426799999997</v>
      </c>
      <c r="S22" s="4">
        <f>Hotel!B27</f>
        <v>85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570</v>
      </c>
      <c r="F23" s="4">
        <f>Hotel!R28</f>
        <v>1950</v>
      </c>
      <c r="G23" s="4">
        <f>Hotel!S28</f>
        <v>2720</v>
      </c>
      <c r="H23" s="4">
        <f>Hotel!T28</f>
        <v>1530</v>
      </c>
      <c r="I23" s="4">
        <f>Hotel!U28</f>
        <v>5160</v>
      </c>
      <c r="J23" s="4">
        <f>Hotel!V28</f>
        <v>3550</v>
      </c>
      <c r="K23" s="4">
        <f>Hotel!W28</f>
        <v>2460</v>
      </c>
      <c r="L23" s="4">
        <f>Hotel!X28</f>
        <v>4220</v>
      </c>
      <c r="M23" s="4">
        <f>Hotel!Y28</f>
        <v>5610</v>
      </c>
      <c r="N23" s="4">
        <f>Hotel!Z28</f>
        <v>2540</v>
      </c>
      <c r="O23" s="4">
        <f>Hotel!AA28</f>
        <v>3400</v>
      </c>
      <c r="P23" s="4">
        <f>Hotel!AB28</f>
        <v>7200</v>
      </c>
      <c r="Q23" s="4">
        <f>Hotel!AC28</f>
        <v>9750</v>
      </c>
      <c r="R23" s="4">
        <f>Hotel!AV28*0.00378541*100</f>
        <v>372.48434399999996</v>
      </c>
      <c r="S23" s="4">
        <f>Hotel!B28</f>
        <v>78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480</v>
      </c>
      <c r="F24" s="4">
        <f>Hotel!R29</f>
        <v>1680</v>
      </c>
      <c r="G24" s="4">
        <f>Hotel!S29</f>
        <v>2240</v>
      </c>
      <c r="H24" s="4">
        <f>Hotel!T29</f>
        <v>1320</v>
      </c>
      <c r="I24" s="4">
        <f>Hotel!U29</f>
        <v>7430</v>
      </c>
      <c r="J24" s="4">
        <f>Hotel!V29</f>
        <v>3080</v>
      </c>
      <c r="K24" s="4">
        <f>Hotel!W29</f>
        <v>2130</v>
      </c>
      <c r="L24" s="4">
        <f>Hotel!X29</f>
        <v>3740</v>
      </c>
      <c r="M24" s="4">
        <f>Hotel!Y29</f>
        <v>4850</v>
      </c>
      <c r="N24" s="4">
        <f>Hotel!Z29</f>
        <v>2200</v>
      </c>
      <c r="O24" s="4">
        <f>Hotel!AA29</f>
        <v>2920</v>
      </c>
      <c r="P24" s="4">
        <f>Hotel!AB29</f>
        <v>6230</v>
      </c>
      <c r="Q24" s="4">
        <f>Hotel!AC29</f>
        <v>8470</v>
      </c>
      <c r="R24" s="4">
        <f>Hotel!AV29*0.00378541*100</f>
        <v>598.85186199999998</v>
      </c>
      <c r="S24" s="4">
        <f>Hotel!B29</f>
        <v>64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L22" sqref="AL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2385690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3080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48326</v>
      </c>
      <c r="AF22" s="20">
        <f t="shared" si="1"/>
        <v>2.65</v>
      </c>
      <c r="AG22" s="20">
        <f t="shared" si="2"/>
        <v>8.5</v>
      </c>
      <c r="AH22" s="20">
        <f t="shared" si="3"/>
        <v>15.4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241.63000000000005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>
        <v>78</v>
      </c>
      <c r="C23" s="24">
        <v>6533560</v>
      </c>
      <c r="D23" s="24">
        <v>15125080</v>
      </c>
      <c r="E23" s="24">
        <v>2389030</v>
      </c>
      <c r="F23" s="24">
        <v>3305400</v>
      </c>
      <c r="G23" s="24">
        <v>9958840</v>
      </c>
      <c r="H23" s="24">
        <v>5182170</v>
      </c>
      <c r="I23" s="24">
        <v>4825550</v>
      </c>
      <c r="J23" s="24">
        <v>5574650</v>
      </c>
      <c r="K23" s="24">
        <v>8700160</v>
      </c>
      <c r="L23" s="24">
        <v>3566970</v>
      </c>
      <c r="M23" s="24">
        <v>7548760</v>
      </c>
      <c r="N23" s="24">
        <v>11292390</v>
      </c>
      <c r="O23" s="24">
        <v>15549990</v>
      </c>
      <c r="Q23" s="37">
        <f t="shared" si="17"/>
        <v>570</v>
      </c>
      <c r="R23" s="37">
        <f t="shared" si="18"/>
        <v>2080</v>
      </c>
      <c r="S23" s="37">
        <f t="shared" si="16"/>
        <v>3340</v>
      </c>
      <c r="T23" s="37">
        <f t="shared" si="19"/>
        <v>1570</v>
      </c>
      <c r="U23" s="37">
        <f t="shared" si="20"/>
        <v>8420</v>
      </c>
      <c r="V23" s="37">
        <f t="shared" si="21"/>
        <v>3460</v>
      </c>
      <c r="W23" s="37">
        <f t="shared" si="22"/>
        <v>2500</v>
      </c>
      <c r="X23" s="37">
        <f t="shared" si="23"/>
        <v>4270</v>
      </c>
      <c r="Y23" s="37">
        <f t="shared" si="24"/>
        <v>5570</v>
      </c>
      <c r="Z23" s="37">
        <f t="shared" si="25"/>
        <v>3160</v>
      </c>
      <c r="AA23" s="37">
        <f t="shared" si="26"/>
        <v>3400</v>
      </c>
      <c r="AB23" s="37">
        <f t="shared" si="27"/>
        <v>7280</v>
      </c>
      <c r="AC23" s="37">
        <f t="shared" si="28"/>
        <v>9854</v>
      </c>
      <c r="AD23" s="35">
        <f t="shared" si="29"/>
        <v>55474</v>
      </c>
      <c r="AF23" s="20">
        <f t="shared" si="1"/>
        <v>2.85</v>
      </c>
      <c r="AG23" s="20">
        <f t="shared" si="2"/>
        <v>10.4</v>
      </c>
      <c r="AH23" s="20">
        <f t="shared" si="3"/>
        <v>16.7</v>
      </c>
      <c r="AI23" s="20">
        <f t="shared" si="4"/>
        <v>7.8500000000000005</v>
      </c>
      <c r="AJ23" s="20">
        <f t="shared" si="5"/>
        <v>42.1</v>
      </c>
      <c r="AK23" s="20">
        <f t="shared" si="6"/>
        <v>17.3</v>
      </c>
      <c r="AL23" s="20">
        <f t="shared" si="7"/>
        <v>12.5</v>
      </c>
      <c r="AM23" s="20">
        <f t="shared" si="8"/>
        <v>21.35</v>
      </c>
      <c r="AN23" s="20">
        <f t="shared" si="9"/>
        <v>27.85</v>
      </c>
      <c r="AO23" s="20">
        <f t="shared" si="10"/>
        <v>15.8</v>
      </c>
      <c r="AP23" s="20">
        <f t="shared" si="11"/>
        <v>17</v>
      </c>
      <c r="AQ23" s="20">
        <f t="shared" si="12"/>
        <v>36.4</v>
      </c>
      <c r="AR23" s="20">
        <f t="shared" si="13"/>
        <v>49.27</v>
      </c>
      <c r="AS23" s="35">
        <f t="shared" si="30"/>
        <v>277.37</v>
      </c>
      <c r="AU23" s="47">
        <v>466349</v>
      </c>
      <c r="AV23" s="37">
        <f t="shared" si="31"/>
        <v>1715</v>
      </c>
      <c r="AW23" s="35">
        <f t="shared" si="14"/>
        <v>3.43</v>
      </c>
    </row>
    <row r="24" spans="1:49" x14ac:dyDescent="0.25">
      <c r="A24" s="23">
        <v>44245</v>
      </c>
      <c r="B24" s="40">
        <v>106</v>
      </c>
      <c r="C24" s="24">
        <v>6534120</v>
      </c>
      <c r="D24" s="24">
        <v>15127020</v>
      </c>
      <c r="E24" s="24">
        <v>2391896</v>
      </c>
      <c r="F24" s="24">
        <v>3306930</v>
      </c>
      <c r="G24" s="24">
        <v>9961090</v>
      </c>
      <c r="H24" s="24">
        <v>5185720</v>
      </c>
      <c r="I24" s="24">
        <v>4828030</v>
      </c>
      <c r="J24" s="24">
        <v>5578950</v>
      </c>
      <c r="K24" s="24">
        <v>8705770</v>
      </c>
      <c r="L24" s="24">
        <v>3569110</v>
      </c>
      <c r="M24" s="24">
        <v>7552180</v>
      </c>
      <c r="N24" s="24">
        <v>11299610</v>
      </c>
      <c r="O24" s="24">
        <v>15559740</v>
      </c>
      <c r="Q24" s="37">
        <f t="shared" si="17"/>
        <v>560</v>
      </c>
      <c r="R24" s="37">
        <f t="shared" si="18"/>
        <v>1940</v>
      </c>
      <c r="S24" s="37">
        <f t="shared" si="16"/>
        <v>2866</v>
      </c>
      <c r="T24" s="37">
        <f t="shared" si="19"/>
        <v>1530</v>
      </c>
      <c r="U24" s="37">
        <f t="shared" si="20"/>
        <v>2250</v>
      </c>
      <c r="V24" s="37">
        <f t="shared" si="21"/>
        <v>3550</v>
      </c>
      <c r="W24" s="37">
        <f t="shared" si="22"/>
        <v>2480</v>
      </c>
      <c r="X24" s="37">
        <f t="shared" si="23"/>
        <v>4300</v>
      </c>
      <c r="Y24" s="37">
        <f t="shared" si="24"/>
        <v>5610</v>
      </c>
      <c r="Z24" s="37">
        <f t="shared" si="25"/>
        <v>2140</v>
      </c>
      <c r="AA24" s="37">
        <f t="shared" si="26"/>
        <v>3420</v>
      </c>
      <c r="AB24" s="37">
        <f t="shared" si="27"/>
        <v>7220</v>
      </c>
      <c r="AC24" s="37">
        <f t="shared" si="28"/>
        <v>9750</v>
      </c>
      <c r="AD24" s="35">
        <f t="shared" si="29"/>
        <v>47616</v>
      </c>
      <c r="AF24" s="20">
        <f t="shared" si="1"/>
        <v>2.8000000000000003</v>
      </c>
      <c r="AG24" s="20">
        <f t="shared" si="2"/>
        <v>9.7000000000000011</v>
      </c>
      <c r="AH24" s="20">
        <f t="shared" si="3"/>
        <v>14.33</v>
      </c>
      <c r="AI24" s="20">
        <f t="shared" si="4"/>
        <v>7.65</v>
      </c>
      <c r="AJ24" s="20">
        <f t="shared" si="5"/>
        <v>11.25</v>
      </c>
      <c r="AK24" s="20">
        <f t="shared" si="6"/>
        <v>17.75</v>
      </c>
      <c r="AL24" s="20">
        <f t="shared" si="7"/>
        <v>12.4</v>
      </c>
      <c r="AM24" s="20">
        <f t="shared" si="8"/>
        <v>21.5</v>
      </c>
      <c r="AN24" s="20">
        <f t="shared" si="9"/>
        <v>28.05</v>
      </c>
      <c r="AO24" s="20">
        <f t="shared" si="10"/>
        <v>10.700000000000001</v>
      </c>
      <c r="AP24" s="20">
        <f t="shared" si="11"/>
        <v>17.100000000000001</v>
      </c>
      <c r="AQ24" s="20">
        <f t="shared" si="12"/>
        <v>36.1</v>
      </c>
      <c r="AR24" s="20">
        <f t="shared" si="13"/>
        <v>48.75</v>
      </c>
      <c r="AS24" s="35">
        <f t="shared" si="30"/>
        <v>238.07999999999998</v>
      </c>
      <c r="AU24" s="47">
        <v>467710</v>
      </c>
      <c r="AV24" s="37">
        <f t="shared" si="31"/>
        <v>1361</v>
      </c>
      <c r="AW24" s="35">
        <f t="shared" si="14"/>
        <v>2.722</v>
      </c>
    </row>
    <row r="25" spans="1:49" x14ac:dyDescent="0.25">
      <c r="A25" s="23">
        <v>44246</v>
      </c>
      <c r="B25" s="40">
        <v>135</v>
      </c>
      <c r="C25" s="24">
        <v>6534650</v>
      </c>
      <c r="D25" s="24">
        <v>15128840</v>
      </c>
      <c r="E25" s="24">
        <v>2394460</v>
      </c>
      <c r="F25" s="24">
        <v>3308370</v>
      </c>
      <c r="G25" s="24">
        <v>9966700</v>
      </c>
      <c r="H25" s="24">
        <v>5189140</v>
      </c>
      <c r="I25" s="24">
        <v>4830320</v>
      </c>
      <c r="J25" s="24">
        <v>5583010</v>
      </c>
      <c r="K25" s="24">
        <v>8711430</v>
      </c>
      <c r="L25" s="24">
        <v>3571770</v>
      </c>
      <c r="M25" s="24">
        <v>7555750</v>
      </c>
      <c r="N25" s="24">
        <v>11306550</v>
      </c>
      <c r="O25" s="24">
        <v>15569000</v>
      </c>
      <c r="Q25" s="37">
        <f t="shared" ref="Q25:AC27" si="33">IF((C25-C24&lt;0), "0",C25-C24)</f>
        <v>530</v>
      </c>
      <c r="R25" s="37">
        <f t="shared" si="33"/>
        <v>1820</v>
      </c>
      <c r="S25" s="37">
        <f t="shared" si="33"/>
        <v>2564</v>
      </c>
      <c r="T25" s="37">
        <f t="shared" si="33"/>
        <v>1440</v>
      </c>
      <c r="U25" s="37">
        <f t="shared" si="33"/>
        <v>5610</v>
      </c>
      <c r="V25" s="37">
        <f t="shared" si="33"/>
        <v>3420</v>
      </c>
      <c r="W25" s="37">
        <f t="shared" si="33"/>
        <v>2290</v>
      </c>
      <c r="X25" s="37">
        <f t="shared" si="33"/>
        <v>4060</v>
      </c>
      <c r="Y25" s="37">
        <f t="shared" si="33"/>
        <v>5660</v>
      </c>
      <c r="Z25" s="37">
        <f t="shared" si="33"/>
        <v>2660</v>
      </c>
      <c r="AA25" s="37">
        <f t="shared" si="33"/>
        <v>3570</v>
      </c>
      <c r="AB25" s="37">
        <f t="shared" si="33"/>
        <v>6940</v>
      </c>
      <c r="AC25" s="37">
        <f t="shared" si="33"/>
        <v>9260</v>
      </c>
      <c r="AD25" s="35">
        <f t="shared" si="29"/>
        <v>49824</v>
      </c>
      <c r="AF25" s="20">
        <f t="shared" si="1"/>
        <v>2.65</v>
      </c>
      <c r="AG25" s="20">
        <f t="shared" si="2"/>
        <v>9.1</v>
      </c>
      <c r="AH25" s="20">
        <f t="shared" si="3"/>
        <v>12.82</v>
      </c>
      <c r="AI25" s="20">
        <f t="shared" si="4"/>
        <v>7.2</v>
      </c>
      <c r="AJ25" s="20">
        <f t="shared" si="5"/>
        <v>28.05</v>
      </c>
      <c r="AK25" s="20">
        <f t="shared" si="6"/>
        <v>17.100000000000001</v>
      </c>
      <c r="AL25" s="20">
        <f t="shared" si="7"/>
        <v>11.450000000000001</v>
      </c>
      <c r="AM25" s="20">
        <f t="shared" si="8"/>
        <v>20.3</v>
      </c>
      <c r="AN25" s="20">
        <f t="shared" si="9"/>
        <v>28.3</v>
      </c>
      <c r="AO25" s="20">
        <f t="shared" si="10"/>
        <v>13.3</v>
      </c>
      <c r="AP25" s="20">
        <f t="shared" si="11"/>
        <v>17.850000000000001</v>
      </c>
      <c r="AQ25" s="20">
        <f t="shared" si="12"/>
        <v>34.700000000000003</v>
      </c>
      <c r="AR25" s="20">
        <f t="shared" si="13"/>
        <v>46.300000000000004</v>
      </c>
      <c r="AS25" s="35">
        <f t="shared" si="30"/>
        <v>249.12</v>
      </c>
      <c r="AU25" s="47">
        <v>469534</v>
      </c>
      <c r="AV25" s="37">
        <f t="shared" si="31"/>
        <v>1824</v>
      </c>
      <c r="AW25" s="35">
        <f t="shared" si="14"/>
        <v>3.6480000000000001</v>
      </c>
    </row>
    <row r="26" spans="1:49" x14ac:dyDescent="0.25">
      <c r="A26" s="23">
        <v>44247</v>
      </c>
      <c r="B26" s="40">
        <v>93</v>
      </c>
      <c r="C26" s="24">
        <v>6535170</v>
      </c>
      <c r="D26" s="24">
        <v>15130620</v>
      </c>
      <c r="E26" s="24">
        <v>2397000</v>
      </c>
      <c r="F26" s="24">
        <v>3309770</v>
      </c>
      <c r="G26" s="24">
        <v>9971590</v>
      </c>
      <c r="H26" s="24">
        <v>5192450</v>
      </c>
      <c r="I26" s="24">
        <v>4832560</v>
      </c>
      <c r="J26" s="24">
        <v>5586970</v>
      </c>
      <c r="K26" s="24">
        <v>8716910</v>
      </c>
      <c r="L26" s="24">
        <v>3574320</v>
      </c>
      <c r="M26" s="24">
        <v>7559220</v>
      </c>
      <c r="N26" s="24">
        <v>11313270</v>
      </c>
      <c r="O26" s="24">
        <v>15578030</v>
      </c>
      <c r="Q26" s="37">
        <f t="shared" si="33"/>
        <v>520</v>
      </c>
      <c r="R26" s="37">
        <f t="shared" si="33"/>
        <v>1780</v>
      </c>
      <c r="S26" s="37">
        <f t="shared" si="33"/>
        <v>2540</v>
      </c>
      <c r="T26" s="37">
        <f t="shared" si="33"/>
        <v>1400</v>
      </c>
      <c r="U26" s="37">
        <f t="shared" si="33"/>
        <v>4890</v>
      </c>
      <c r="V26" s="37">
        <f t="shared" si="33"/>
        <v>3310</v>
      </c>
      <c r="W26" s="37">
        <f t="shared" si="33"/>
        <v>2240</v>
      </c>
      <c r="X26" s="37">
        <f t="shared" si="33"/>
        <v>3960</v>
      </c>
      <c r="Y26" s="37">
        <f t="shared" si="33"/>
        <v>5480</v>
      </c>
      <c r="Z26" s="37">
        <f t="shared" si="33"/>
        <v>2550</v>
      </c>
      <c r="AA26" s="37">
        <f t="shared" si="33"/>
        <v>3470</v>
      </c>
      <c r="AB26" s="37">
        <f t="shared" si="33"/>
        <v>6720</v>
      </c>
      <c r="AC26" s="37">
        <f t="shared" si="33"/>
        <v>9030</v>
      </c>
      <c r="AD26" s="35">
        <f t="shared" si="29"/>
        <v>47890</v>
      </c>
      <c r="AF26" s="20">
        <f t="shared" si="1"/>
        <v>2.6</v>
      </c>
      <c r="AG26" s="20">
        <f t="shared" si="2"/>
        <v>8.9</v>
      </c>
      <c r="AH26" s="20">
        <f t="shared" si="3"/>
        <v>12.700000000000001</v>
      </c>
      <c r="AI26" s="20">
        <f t="shared" si="4"/>
        <v>7</v>
      </c>
      <c r="AJ26" s="20">
        <f t="shared" si="5"/>
        <v>24.45</v>
      </c>
      <c r="AK26" s="20">
        <f t="shared" si="6"/>
        <v>16.55</v>
      </c>
      <c r="AL26" s="20">
        <f t="shared" si="7"/>
        <v>11.200000000000001</v>
      </c>
      <c r="AM26" s="20">
        <f t="shared" si="8"/>
        <v>19.8</v>
      </c>
      <c r="AN26" s="20">
        <f t="shared" si="9"/>
        <v>27.400000000000002</v>
      </c>
      <c r="AO26" s="20">
        <f t="shared" si="10"/>
        <v>12.75</v>
      </c>
      <c r="AP26" s="20">
        <f t="shared" si="11"/>
        <v>17.350000000000001</v>
      </c>
      <c r="AQ26" s="20">
        <f t="shared" si="12"/>
        <v>33.6</v>
      </c>
      <c r="AR26" s="20">
        <f t="shared" si="13"/>
        <v>45.15</v>
      </c>
      <c r="AS26" s="35">
        <f t="shared" si="30"/>
        <v>239.45</v>
      </c>
      <c r="AU26" s="47">
        <v>471211</v>
      </c>
      <c r="AV26" s="37">
        <f t="shared" si="31"/>
        <v>1677</v>
      </c>
      <c r="AW26" s="35">
        <f t="shared" si="14"/>
        <v>3.3540000000000001</v>
      </c>
    </row>
    <row r="27" spans="1:49" x14ac:dyDescent="0.25">
      <c r="A27" s="23">
        <v>44248</v>
      </c>
      <c r="B27" s="40">
        <v>85</v>
      </c>
      <c r="C27" s="24">
        <v>6535720</v>
      </c>
      <c r="D27" s="24">
        <v>15132510</v>
      </c>
      <c r="E27" s="24">
        <v>2399680</v>
      </c>
      <c r="F27" s="24">
        <v>3311260</v>
      </c>
      <c r="G27" s="24">
        <v>9976730</v>
      </c>
      <c r="H27" s="24">
        <v>5195870</v>
      </c>
      <c r="I27" s="24">
        <v>4834950</v>
      </c>
      <c r="J27" s="24">
        <v>5590860</v>
      </c>
      <c r="K27" s="24">
        <v>8722430</v>
      </c>
      <c r="L27" s="24">
        <v>3576870</v>
      </c>
      <c r="M27" s="24">
        <v>7562920</v>
      </c>
      <c r="N27" s="24">
        <v>11320320</v>
      </c>
      <c r="O27" s="24">
        <v>15587770</v>
      </c>
      <c r="Q27" s="37">
        <f t="shared" si="33"/>
        <v>550</v>
      </c>
      <c r="R27" s="37">
        <f t="shared" si="33"/>
        <v>1890</v>
      </c>
      <c r="S27" s="37">
        <f t="shared" si="33"/>
        <v>2680</v>
      </c>
      <c r="T27" s="37">
        <f t="shared" si="33"/>
        <v>1490</v>
      </c>
      <c r="U27" s="37">
        <f t="shared" si="33"/>
        <v>5140</v>
      </c>
      <c r="V27" s="37">
        <f t="shared" si="33"/>
        <v>3420</v>
      </c>
      <c r="W27" s="37">
        <f t="shared" si="33"/>
        <v>2390</v>
      </c>
      <c r="X27" s="37">
        <f t="shared" si="33"/>
        <v>3890</v>
      </c>
      <c r="Y27" s="37">
        <f t="shared" si="33"/>
        <v>5520</v>
      </c>
      <c r="Z27" s="37">
        <f t="shared" si="33"/>
        <v>2550</v>
      </c>
      <c r="AA27" s="37">
        <f t="shared" si="33"/>
        <v>3700</v>
      </c>
      <c r="AB27" s="37">
        <f t="shared" si="33"/>
        <v>7050</v>
      </c>
      <c r="AC27" s="37">
        <f t="shared" si="33"/>
        <v>9740</v>
      </c>
      <c r="AD27" s="35">
        <f t="shared" si="29"/>
        <v>50010</v>
      </c>
      <c r="AF27" s="20">
        <f t="shared" si="1"/>
        <v>2.75</v>
      </c>
      <c r="AG27" s="20">
        <f t="shared" si="2"/>
        <v>9.4500000000000011</v>
      </c>
      <c r="AH27" s="20">
        <f t="shared" si="3"/>
        <v>13.4</v>
      </c>
      <c r="AI27" s="20">
        <f t="shared" si="4"/>
        <v>7.45</v>
      </c>
      <c r="AJ27" s="20">
        <f t="shared" si="5"/>
        <v>25.7</v>
      </c>
      <c r="AK27" s="20">
        <f t="shared" si="6"/>
        <v>17.100000000000001</v>
      </c>
      <c r="AL27" s="20">
        <f t="shared" si="7"/>
        <v>11.950000000000001</v>
      </c>
      <c r="AM27" s="20">
        <f t="shared" si="8"/>
        <v>19.45</v>
      </c>
      <c r="AN27" s="20">
        <f t="shared" si="9"/>
        <v>27.6</v>
      </c>
      <c r="AO27" s="20">
        <f t="shared" si="10"/>
        <v>12.75</v>
      </c>
      <c r="AP27" s="20">
        <f t="shared" si="11"/>
        <v>18.5</v>
      </c>
      <c r="AQ27" s="20">
        <f t="shared" si="12"/>
        <v>35.25</v>
      </c>
      <c r="AR27" s="20">
        <f t="shared" si="13"/>
        <v>48.7</v>
      </c>
      <c r="AS27" s="35">
        <f t="shared" si="30"/>
        <v>250.05</v>
      </c>
      <c r="AU27" s="47">
        <v>473559</v>
      </c>
      <c r="AV27" s="37">
        <f>IF((AU27-AU26&lt;0),"0",AU27-AU26)</f>
        <v>2348</v>
      </c>
      <c r="AW27" s="35">
        <f t="shared" si="14"/>
        <v>4.6959999999999997</v>
      </c>
    </row>
    <row r="28" spans="1:49" x14ac:dyDescent="0.25">
      <c r="A28" s="23">
        <v>44249</v>
      </c>
      <c r="B28" s="40">
        <v>78</v>
      </c>
      <c r="C28" s="24">
        <v>6536290</v>
      </c>
      <c r="D28" s="24">
        <v>15134460</v>
      </c>
      <c r="E28" s="24">
        <v>2402400</v>
      </c>
      <c r="F28" s="24">
        <v>3312790</v>
      </c>
      <c r="G28" s="24">
        <v>9981890</v>
      </c>
      <c r="H28" s="24">
        <v>5199420</v>
      </c>
      <c r="I28" s="24">
        <v>4837410</v>
      </c>
      <c r="J28" s="24">
        <v>5595080</v>
      </c>
      <c r="K28" s="24">
        <v>8728040</v>
      </c>
      <c r="L28" s="24">
        <v>3579410</v>
      </c>
      <c r="M28" s="24">
        <v>7566320</v>
      </c>
      <c r="N28" s="24">
        <v>11327520</v>
      </c>
      <c r="O28" s="24">
        <v>15597520</v>
      </c>
      <c r="Q28" s="37">
        <f t="shared" si="17"/>
        <v>570</v>
      </c>
      <c r="R28" s="37">
        <f t="shared" si="18"/>
        <v>1950</v>
      </c>
      <c r="S28" s="37">
        <f t="shared" si="16"/>
        <v>2720</v>
      </c>
      <c r="T28" s="37">
        <f t="shared" si="19"/>
        <v>1530</v>
      </c>
      <c r="U28" s="37">
        <f t="shared" si="20"/>
        <v>5160</v>
      </c>
      <c r="V28" s="37">
        <f t="shared" si="21"/>
        <v>3550</v>
      </c>
      <c r="W28" s="37">
        <f t="shared" si="22"/>
        <v>2460</v>
      </c>
      <c r="X28" s="37">
        <f t="shared" si="23"/>
        <v>4220</v>
      </c>
      <c r="Y28" s="37">
        <f t="shared" si="24"/>
        <v>5610</v>
      </c>
      <c r="Z28" s="37">
        <f t="shared" si="25"/>
        <v>2540</v>
      </c>
      <c r="AA28" s="37">
        <f t="shared" si="26"/>
        <v>3400</v>
      </c>
      <c r="AB28" s="37">
        <f t="shared" si="27"/>
        <v>7200</v>
      </c>
      <c r="AC28" s="37">
        <f t="shared" si="28"/>
        <v>9750</v>
      </c>
      <c r="AD28" s="35">
        <f t="shared" si="29"/>
        <v>50660</v>
      </c>
      <c r="AF28" s="20">
        <f t="shared" si="1"/>
        <v>2.85</v>
      </c>
      <c r="AG28" s="20">
        <f t="shared" si="2"/>
        <v>9.75</v>
      </c>
      <c r="AH28" s="20">
        <f t="shared" si="3"/>
        <v>13.6</v>
      </c>
      <c r="AI28" s="20">
        <f t="shared" si="4"/>
        <v>7.65</v>
      </c>
      <c r="AJ28" s="20">
        <f t="shared" si="5"/>
        <v>25.8</v>
      </c>
      <c r="AK28" s="20">
        <f t="shared" si="6"/>
        <v>17.75</v>
      </c>
      <c r="AL28" s="20">
        <f t="shared" si="7"/>
        <v>12.3</v>
      </c>
      <c r="AM28" s="20">
        <f t="shared" si="8"/>
        <v>21.1</v>
      </c>
      <c r="AN28" s="20">
        <f t="shared" si="9"/>
        <v>28.05</v>
      </c>
      <c r="AO28" s="20">
        <f t="shared" si="10"/>
        <v>12.700000000000001</v>
      </c>
      <c r="AP28" s="20">
        <f t="shared" si="11"/>
        <v>17</v>
      </c>
      <c r="AQ28" s="20">
        <f t="shared" si="12"/>
        <v>36</v>
      </c>
      <c r="AR28" s="20">
        <f t="shared" si="13"/>
        <v>48.75</v>
      </c>
      <c r="AS28" s="35">
        <f t="shared" si="30"/>
        <v>253.3</v>
      </c>
      <c r="AU28" s="47">
        <v>474543</v>
      </c>
      <c r="AV28" s="37">
        <f>IF((AU28-AU27&lt;0),"0",AU28-AU27)</f>
        <v>984</v>
      </c>
      <c r="AW28" s="35">
        <f t="shared" si="14"/>
        <v>1.968</v>
      </c>
    </row>
    <row r="29" spans="1:49" x14ac:dyDescent="0.25">
      <c r="A29" s="23">
        <v>44250</v>
      </c>
      <c r="B29" s="40">
        <v>64</v>
      </c>
      <c r="C29" s="24">
        <v>6536770</v>
      </c>
      <c r="D29" s="24">
        <v>15136140</v>
      </c>
      <c r="E29" s="24">
        <v>2404640</v>
      </c>
      <c r="F29" s="24">
        <v>3314110</v>
      </c>
      <c r="G29" s="24">
        <v>9989320</v>
      </c>
      <c r="H29" s="24">
        <v>5202500</v>
      </c>
      <c r="I29" s="24">
        <v>4839540</v>
      </c>
      <c r="J29" s="24">
        <v>5598820</v>
      </c>
      <c r="K29" s="24">
        <v>8732890</v>
      </c>
      <c r="L29" s="24">
        <v>3581610</v>
      </c>
      <c r="M29" s="24">
        <v>7569240</v>
      </c>
      <c r="N29" s="24">
        <v>11333750</v>
      </c>
      <c r="O29" s="24">
        <v>15605990</v>
      </c>
      <c r="Q29" s="37">
        <f t="shared" si="17"/>
        <v>480</v>
      </c>
      <c r="R29" s="37">
        <f t="shared" si="18"/>
        <v>1680</v>
      </c>
      <c r="S29" s="37">
        <f t="shared" si="16"/>
        <v>2240</v>
      </c>
      <c r="T29" s="37">
        <f t="shared" si="19"/>
        <v>1320</v>
      </c>
      <c r="U29" s="37">
        <f t="shared" si="20"/>
        <v>7430</v>
      </c>
      <c r="V29" s="37">
        <f t="shared" si="21"/>
        <v>3080</v>
      </c>
      <c r="W29" s="37">
        <f t="shared" si="22"/>
        <v>2130</v>
      </c>
      <c r="X29" s="37">
        <f t="shared" si="23"/>
        <v>3740</v>
      </c>
      <c r="Y29" s="37">
        <f t="shared" si="24"/>
        <v>4850</v>
      </c>
      <c r="Z29" s="37">
        <f t="shared" si="25"/>
        <v>2200</v>
      </c>
      <c r="AA29" s="37">
        <f t="shared" si="26"/>
        <v>2920</v>
      </c>
      <c r="AB29" s="37">
        <f t="shared" si="27"/>
        <v>6230</v>
      </c>
      <c r="AC29" s="37">
        <f t="shared" si="28"/>
        <v>8470</v>
      </c>
      <c r="AD29" s="35">
        <f t="shared" si="29"/>
        <v>46770</v>
      </c>
      <c r="AF29" s="20">
        <f t="shared" si="1"/>
        <v>2.4</v>
      </c>
      <c r="AG29" s="20">
        <f t="shared" si="2"/>
        <v>8.4</v>
      </c>
      <c r="AH29" s="20">
        <f t="shared" si="3"/>
        <v>11.200000000000001</v>
      </c>
      <c r="AI29" s="20">
        <f t="shared" si="4"/>
        <v>6.6000000000000005</v>
      </c>
      <c r="AJ29" s="20">
        <f t="shared" si="5"/>
        <v>37.15</v>
      </c>
      <c r="AK29" s="20">
        <f t="shared" si="6"/>
        <v>15.4</v>
      </c>
      <c r="AL29" s="20">
        <f t="shared" si="7"/>
        <v>10.65</v>
      </c>
      <c r="AM29" s="20">
        <f t="shared" si="8"/>
        <v>18.7</v>
      </c>
      <c r="AN29" s="20">
        <f t="shared" si="9"/>
        <v>24.25</v>
      </c>
      <c r="AO29" s="20">
        <f t="shared" si="10"/>
        <v>11</v>
      </c>
      <c r="AP29" s="20">
        <f t="shared" si="11"/>
        <v>14.6</v>
      </c>
      <c r="AQ29" s="20">
        <f t="shared" si="12"/>
        <v>31.150000000000002</v>
      </c>
      <c r="AR29" s="20">
        <f t="shared" si="13"/>
        <v>42.35</v>
      </c>
      <c r="AS29" s="35">
        <f t="shared" si="30"/>
        <v>233.85</v>
      </c>
      <c r="AU29" s="47">
        <v>476125</v>
      </c>
      <c r="AV29" s="37">
        <f t="shared" ref="AV29:AV35" si="34">IF((AU29-AU28&lt;0),"0",AU29-AU28)</f>
        <v>1582</v>
      </c>
      <c r="AW29" s="35">
        <f t="shared" si="14"/>
        <v>3.1640000000000001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7"/>
        <v>0</v>
      </c>
      <c r="R30" s="37" t="str">
        <f t="shared" si="18"/>
        <v>0</v>
      </c>
      <c r="S30" s="37" t="str">
        <f t="shared" si="16"/>
        <v>0</v>
      </c>
      <c r="T30" s="37" t="str">
        <f t="shared" si="19"/>
        <v>0</v>
      </c>
      <c r="U30" s="37" t="str">
        <f t="shared" si="20"/>
        <v>0</v>
      </c>
      <c r="V30" s="37" t="str">
        <f t="shared" si="21"/>
        <v>0</v>
      </c>
      <c r="W30" s="37" t="str">
        <f t="shared" si="22"/>
        <v>0</v>
      </c>
      <c r="X30" s="37" t="str">
        <f t="shared" si="23"/>
        <v>0</v>
      </c>
      <c r="Y30" s="37" t="str">
        <f t="shared" si="24"/>
        <v>0</v>
      </c>
      <c r="Z30" s="37" t="str">
        <f t="shared" si="25"/>
        <v>0</v>
      </c>
      <c r="AA30" s="37" t="str">
        <f t="shared" si="26"/>
        <v>0</v>
      </c>
      <c r="AB30" s="37" t="str">
        <f t="shared" si="27"/>
        <v>0</v>
      </c>
      <c r="AC30" s="37" t="str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 t="str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12440</v>
      </c>
      <c r="R38" s="38">
        <f t="shared" ref="R38:AD38" si="62">SUM(R7:R37)</f>
        <v>42980</v>
      </c>
      <c r="S38" s="38">
        <f t="shared" si="62"/>
        <v>65790</v>
      </c>
      <c r="T38" s="38">
        <f t="shared" si="62"/>
        <v>33850</v>
      </c>
      <c r="U38" s="38">
        <f t="shared" si="62"/>
        <v>121950</v>
      </c>
      <c r="V38" s="38">
        <f t="shared" si="62"/>
        <v>78620</v>
      </c>
      <c r="W38" s="38">
        <f t="shared" si="62"/>
        <v>55270</v>
      </c>
      <c r="X38" s="38">
        <f t="shared" si="62"/>
        <v>90320</v>
      </c>
      <c r="Y38" s="38">
        <f t="shared" si="62"/>
        <v>122440</v>
      </c>
      <c r="Z38" s="38">
        <f t="shared" si="62"/>
        <v>58650</v>
      </c>
      <c r="AA38" s="38">
        <f t="shared" si="62"/>
        <v>79170</v>
      </c>
      <c r="AB38" s="38">
        <f t="shared" si="62"/>
        <v>159010</v>
      </c>
      <c r="AC38" s="38">
        <f t="shared" si="62"/>
        <v>244510</v>
      </c>
      <c r="AD38" s="38">
        <f t="shared" si="62"/>
        <v>1165000</v>
      </c>
      <c r="AF38" s="35">
        <f t="shared" ref="AF38:AS38" si="63">SUM(AF7:AF34)</f>
        <v>62.199999999999989</v>
      </c>
      <c r="AG38" s="35">
        <f t="shared" si="63"/>
        <v>214.89999999999998</v>
      </c>
      <c r="AH38" s="35">
        <f t="shared" si="63"/>
        <v>328.95</v>
      </c>
      <c r="AI38" s="35">
        <f t="shared" si="63"/>
        <v>169.24999999999994</v>
      </c>
      <c r="AJ38" s="35">
        <f t="shared" si="63"/>
        <v>609.75</v>
      </c>
      <c r="AK38" s="35">
        <f t="shared" si="63"/>
        <v>393.1</v>
      </c>
      <c r="AL38" s="35">
        <f t="shared" si="63"/>
        <v>276.34999999999997</v>
      </c>
      <c r="AM38" s="35">
        <f t="shared" si="63"/>
        <v>451.6</v>
      </c>
      <c r="AN38" s="35">
        <f t="shared" si="63"/>
        <v>612.19999999999993</v>
      </c>
      <c r="AO38" s="35">
        <f t="shared" si="63"/>
        <v>293.25</v>
      </c>
      <c r="AP38" s="35">
        <f t="shared" si="63"/>
        <v>395.85000000000008</v>
      </c>
      <c r="AQ38" s="35">
        <f t="shared" si="63"/>
        <v>795.05000000000007</v>
      </c>
      <c r="AR38" s="35">
        <f t="shared" si="63"/>
        <v>1222.5500000000002</v>
      </c>
      <c r="AS38" s="35">
        <f t="shared" si="63"/>
        <v>5825.0000000000009</v>
      </c>
      <c r="AU38" s="48"/>
      <c r="AV38" s="35">
        <f>SUM(AV7:AV34)</f>
        <v>39660</v>
      </c>
      <c r="AW38" s="35">
        <f>SUM(AW7:AW34)</f>
        <v>79.319999999999993</v>
      </c>
    </row>
    <row r="39" spans="1:49" x14ac:dyDescent="0.25">
      <c r="D39">
        <v>5.0000000000000001E-3</v>
      </c>
      <c r="AV39" s="36">
        <f>AV38*0.00378541*1000</f>
        <v>150129.36059999999</v>
      </c>
    </row>
    <row r="40" spans="1:49" x14ac:dyDescent="0.25">
      <c r="D40">
        <v>2E-3</v>
      </c>
      <c r="AV40">
        <f>AV39/31</f>
        <v>4842.8825999999999</v>
      </c>
    </row>
    <row r="41" spans="1:49" x14ac:dyDescent="0.25">
      <c r="AV41">
        <f>AV38*0.00378541</f>
        <v>150.12936059999998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2021-02-24T05:41:16Z</dcterms:modified>
</cp:coreProperties>
</file>