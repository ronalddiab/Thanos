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DFCF6A2F-8521-4C27-B40C-6B3DA33B153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<sst xmlns="http://schemas.openxmlformats.org/spreadsheetml/2006/main" count="205" uniqueCount="131">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</sst>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-585440.00000000012</c:v>
                </c:pt>
                <c:pt idx="1">
                  <c:v>-3254800</c:v>
                </c:pt>
                <c:pt idx="2">
                  <c:v>-313430</c:v>
                </c:pt>
                <c:pt idx="3">
                  <c:v>-1237499.9999999998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0.27020982185593567</c:v>
                </c:pt>
                <c:pt idx="2" formatCode="_(* #,##0.00_);_(* \(#,##0.00\);_(* &quot;-&quot;??_);_(@_)">
                  <c:v>-266268</c:v>
                </c:pt>
                <c:pt idx="3">
                  <c:v>1.1586239306569661</c:v>
                </c:pt>
                <c:pt idx="4" formatCode="0.00">
                  <c:v>-31133</c:v>
                </c:pt>
                <c:pt idx="5">
                  <c:v>0.13547042390802996</c:v>
                </c:pt>
                <c:pt idx="6" formatCode="0.00">
                  <c:v>-44722</c:v>
                </c:pt>
                <c:pt idx="7">
                  <c:v>0.19460085112308215</c:v>
                </c:pt>
                <c:pt idx="8" formatCode="0.00">
                  <c:v>-182</c:v>
                </c:pt>
                <c:pt idx="9">
                  <c:v>7.9194479013463062E-4</c:v>
                </c:pt>
                <c:pt idx="10" formatCode="0.00">
                  <c:v>-1702</c:v>
                </c:pt>
                <c:pt idx="11">
                  <c:v>7.4059891912590181E-3</c:v>
                </c:pt>
                <c:pt idx="12" formatCode="0.00">
                  <c:v>-67184</c:v>
                </c:pt>
                <c:pt idx="13">
                  <c:v>0.29234076252969793</c:v>
                </c:pt>
                <c:pt idx="14" formatCode="_(* #,##0.00_);_(* \(#,##0.00\);_(* &quot;-&quot;??_);_(@_)">
                  <c:v>-270526</c:v>
                </c:pt>
                <c:pt idx="15">
                  <c:v>1.1771519576701159</c:v>
                </c:pt>
                <c:pt idx="16" formatCode="0.00">
                  <c:v>-119680</c:v>
                </c:pt>
                <c:pt idx="17">
                  <c:v>0.5207689696885307</c:v>
                </c:pt>
                <c:pt idx="18" formatCode="0.00">
                  <c:v>-22819</c:v>
                </c:pt>
                <c:pt idx="19">
                  <c:v>9.929334157187987E-2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2" sqref="M2:O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4">
        <v>2022</v>
      </c>
      <c r="E2" s="54"/>
      <c r="F2" s="120"/>
      <c r="G2" s="103"/>
      <c r="H2" s="121"/>
      <c r="I2" s="63"/>
      <c r="J2" s="73"/>
      <c r="K2" s="100"/>
      <c r="L2" s="73"/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4">
        <v>2022</v>
      </c>
      <c r="E3" s="54"/>
      <c r="F3" s="120"/>
      <c r="G3" s="103"/>
      <c r="H3" s="121"/>
      <c r="I3" s="63"/>
      <c r="J3" s="73"/>
      <c r="K3" s="100"/>
      <c r="L3" s="73"/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6</v>
      </c>
      <c r="D4" s="114">
        <v>2022</v>
      </c>
      <c r="E4" s="54"/>
      <c r="F4" s="120"/>
      <c r="G4" s="103"/>
      <c r="H4" s="121"/>
      <c r="I4" s="63"/>
      <c r="J4" s="73"/>
      <c r="K4" s="100"/>
      <c r="L4" s="73"/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4">
        <v>2022</v>
      </c>
      <c r="E5" s="54"/>
      <c r="F5" s="120"/>
      <c r="G5" s="103"/>
      <c r="H5" s="121"/>
      <c r="I5" s="63"/>
      <c r="J5" s="73"/>
      <c r="K5" s="100"/>
      <c r="L5" s="73"/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4">
        <v>2022</v>
      </c>
      <c r="E6" s="54"/>
      <c r="F6" s="120"/>
      <c r="G6" s="103"/>
      <c r="H6" s="121"/>
      <c r="I6" s="63"/>
      <c r="J6" s="73"/>
      <c r="K6" s="100"/>
      <c r="L6" s="73"/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4">
        <v>2022</v>
      </c>
      <c r="E7" s="54"/>
      <c r="F7" s="120"/>
      <c r="G7" s="103"/>
      <c r="H7" s="121"/>
      <c r="I7" s="63"/>
      <c r="J7" s="73"/>
      <c r="K7" s="100"/>
      <c r="L7" s="73"/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4">
        <v>2022</v>
      </c>
      <c r="E8" s="103"/>
      <c r="F8" s="120"/>
      <c r="G8" s="103"/>
      <c r="H8" s="121"/>
      <c r="I8" s="63"/>
      <c r="J8" s="73"/>
      <c r="K8" s="100"/>
      <c r="L8" s="73"/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4">
        <v>2022</v>
      </c>
      <c r="E9" s="103"/>
      <c r="F9" s="120"/>
      <c r="G9" s="103"/>
      <c r="H9" s="121"/>
      <c r="I9" s="63"/>
      <c r="J9" s="73"/>
      <c r="K9" s="100"/>
      <c r="L9" s="73"/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4">
        <v>2022</v>
      </c>
      <c r="E10" s="103"/>
      <c r="F10" s="120"/>
      <c r="G10" s="103"/>
      <c r="H10" s="121"/>
      <c r="I10" s="63"/>
      <c r="J10" s="73"/>
      <c r="K10" s="100"/>
      <c r="L10" s="73"/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4">
        <v>2022</v>
      </c>
      <c r="E11" s="103"/>
      <c r="F11" s="120"/>
      <c r="G11" s="103"/>
      <c r="H11" s="121"/>
      <c r="I11" s="63"/>
      <c r="J11" s="73"/>
      <c r="K11" s="100"/>
      <c r="L11" s="73"/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4">
        <v>2022</v>
      </c>
      <c r="E12" s="103"/>
      <c r="F12" s="120"/>
      <c r="G12" s="103"/>
      <c r="H12" s="121"/>
      <c r="I12" s="63"/>
      <c r="J12" s="73"/>
      <c r="K12" s="100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4">
        <v>2022</v>
      </c>
      <c r="E13" s="103"/>
      <c r="F13" s="120"/>
      <c r="G13" s="103"/>
      <c r="H13" s="121"/>
      <c r="I13" s="63"/>
      <c r="J13" s="73"/>
      <c r="K13" s="100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4">
        <v>2022</v>
      </c>
      <c r="E14" s="103"/>
      <c r="F14" s="120"/>
      <c r="G14" s="103"/>
      <c r="H14" s="121"/>
      <c r="I14" s="63"/>
      <c r="J14" s="73"/>
      <c r="K14" s="100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4">
        <v>2022</v>
      </c>
      <c r="E15" s="103"/>
      <c r="F15" s="120"/>
      <c r="G15" s="103"/>
      <c r="H15" s="121"/>
      <c r="I15" s="63"/>
      <c r="J15" s="73"/>
      <c r="K15" s="100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4">
        <v>2022</v>
      </c>
      <c r="E16" s="103"/>
      <c r="F16" s="120"/>
      <c r="G16" s="103"/>
      <c r="H16" s="121"/>
      <c r="I16" s="63"/>
      <c r="J16" s="73"/>
      <c r="K16" s="100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4">
        <v>2022</v>
      </c>
      <c r="E17" s="103"/>
      <c r="F17" s="120"/>
      <c r="G17" s="103"/>
      <c r="H17" s="121"/>
      <c r="I17" s="63"/>
      <c r="J17" s="73"/>
      <c r="K17" s="100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4">
        <v>2022</v>
      </c>
      <c r="E18" s="103"/>
      <c r="F18" s="120"/>
      <c r="G18" s="103"/>
      <c r="H18" s="121"/>
      <c r="I18" s="63"/>
      <c r="J18" s="73"/>
      <c r="K18" s="100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4">
        <v>2022</v>
      </c>
      <c r="E19" s="103"/>
      <c r="F19" s="120"/>
      <c r="G19" s="103"/>
      <c r="H19" s="121"/>
      <c r="I19" s="63"/>
      <c r="J19" s="73"/>
      <c r="K19" s="100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4">
        <v>2022</v>
      </c>
      <c r="E20" s="103"/>
      <c r="F20" s="120"/>
      <c r="G20" s="103"/>
      <c r="H20" s="121"/>
      <c r="I20" s="63"/>
      <c r="J20" s="73"/>
      <c r="K20" s="100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4">
        <v>2022</v>
      </c>
      <c r="E21" s="103"/>
      <c r="F21" s="120"/>
      <c r="G21" s="103"/>
      <c r="H21" s="121"/>
      <c r="I21" s="63"/>
      <c r="J21" s="73"/>
      <c r="K21" s="100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4">
        <v>2022</v>
      </c>
      <c r="E22" s="103"/>
      <c r="F22" s="120"/>
      <c r="G22" s="103"/>
      <c r="H22" s="121"/>
      <c r="I22" s="63"/>
      <c r="J22" s="73"/>
      <c r="K22" s="100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4">
        <v>2022</v>
      </c>
      <c r="E23" s="103"/>
      <c r="F23" s="120"/>
      <c r="G23" s="103"/>
      <c r="H23" s="121"/>
      <c r="I23" s="63"/>
      <c r="J23" s="73"/>
      <c r="K23" s="100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4">
        <v>2022</v>
      </c>
      <c r="E24" s="103"/>
      <c r="F24" s="120"/>
      <c r="G24" s="103"/>
      <c r="H24" s="121"/>
      <c r="I24" s="63"/>
      <c r="J24" s="73"/>
      <c r="K24" s="100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6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/>
      <c r="F33" s="96">
        <v>0</v>
      </c>
      <c r="G33" s="113"/>
      <c r="H33" s="94">
        <v>0</v>
      </c>
      <c r="I33" s="95"/>
      <c r="J33" s="96">
        <v>0</v>
      </c>
      <c r="K33" s="97">
        <f>SUM(K2:K32)</f>
        <v>0</v>
      </c>
      <c r="L33" s="94">
        <v>0</v>
      </c>
      <c r="M33" s="98"/>
      <c r="N33" s="98"/>
      <c r="O33" s="98"/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44713</v>
      </c>
      <c r="B4" s="105">
        <v>1.3819999999999999</v>
      </c>
      <c r="C4" s="106">
        <v>313.43</v>
      </c>
      <c r="D4" s="106">
        <v>8189226.5300000003</v>
      </c>
      <c r="E4" s="106">
        <v>9144633.5299999993</v>
      </c>
      <c r="F4" s="106">
        <v>3.2547999999999999</v>
      </c>
      <c r="G4" s="106">
        <v>1.0458000000000001</v>
      </c>
      <c r="H4" s="106">
        <v>943.61</v>
      </c>
      <c r="I4" s="106">
        <v>338.16</v>
      </c>
      <c r="J4" s="106">
        <v>467.59</v>
      </c>
      <c r="K4" s="106">
        <v>458.27</v>
      </c>
      <c r="L4" s="106">
        <v>311.64</v>
      </c>
      <c r="M4" s="106">
        <v>776.06</v>
      </c>
      <c r="N4" s="106">
        <v>727.05</v>
      </c>
      <c r="O4" s="106">
        <v>223.53</v>
      </c>
      <c r="P4" s="106">
        <v>948.62</v>
      </c>
      <c r="Q4" s="106">
        <v>704.27</v>
      </c>
      <c r="R4" s="106">
        <v>190.15</v>
      </c>
      <c r="S4" s="106">
        <v>161.04</v>
      </c>
      <c r="T4" s="106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7">
        <v>1.3831</v>
      </c>
      <c r="C5" s="108">
        <v>313.66000000000003</v>
      </c>
      <c r="D5" s="108">
        <v>8191103.9100000001</v>
      </c>
      <c r="E5" s="108">
        <v>9147470.8300000001</v>
      </c>
      <c r="F5" s="108">
        <v>3.2574999999999998</v>
      </c>
      <c r="G5" s="108">
        <v>1.0465</v>
      </c>
      <c r="H5" s="108">
        <v>944.73</v>
      </c>
      <c r="I5" s="108">
        <v>338.5</v>
      </c>
      <c r="J5" s="108">
        <v>468.12</v>
      </c>
      <c r="K5" s="108">
        <v>458.61</v>
      </c>
      <c r="L5" s="108">
        <v>311.88</v>
      </c>
      <c r="M5" s="108">
        <v>776.87</v>
      </c>
      <c r="N5" s="108">
        <v>727.31</v>
      </c>
      <c r="O5" s="108">
        <v>223.74</v>
      </c>
      <c r="P5" s="108">
        <v>949.28</v>
      </c>
      <c r="Q5" s="108">
        <v>704.84</v>
      </c>
      <c r="R5" s="106">
        <v>190.15</v>
      </c>
      <c r="S5" s="108">
        <v>161.18</v>
      </c>
      <c r="T5" s="108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7">
        <v>1.3842000000000001</v>
      </c>
      <c r="C6" s="108">
        <v>313.89999999999998</v>
      </c>
      <c r="D6" s="108">
        <v>8192995.6299999999</v>
      </c>
      <c r="E6" s="108">
        <v>9150608.1799999997</v>
      </c>
      <c r="F6" s="108">
        <v>3.2602000000000002</v>
      </c>
      <c r="G6" s="108">
        <v>1.0474000000000001</v>
      </c>
      <c r="H6" s="108">
        <v>946.02</v>
      </c>
      <c r="I6" s="108">
        <v>338.86</v>
      </c>
      <c r="J6" s="108">
        <v>468.39</v>
      </c>
      <c r="K6" s="108">
        <v>458.86</v>
      </c>
      <c r="L6" s="108">
        <v>312.10000000000002</v>
      </c>
      <c r="M6" s="108">
        <v>777.73</v>
      </c>
      <c r="N6" s="108">
        <v>727.59</v>
      </c>
      <c r="O6" s="108">
        <v>223.94</v>
      </c>
      <c r="P6" s="108">
        <v>950</v>
      </c>
      <c r="Q6" s="108">
        <v>705.55</v>
      </c>
      <c r="R6" s="106">
        <v>190.15</v>
      </c>
      <c r="S6" s="108">
        <v>161.33000000000001</v>
      </c>
      <c r="T6" s="108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7">
        <v>1.3852</v>
      </c>
      <c r="C7" s="108">
        <v>314.14999999999998</v>
      </c>
      <c r="D7" s="108">
        <v>8194961.8300000001</v>
      </c>
      <c r="E7" s="108">
        <v>9153397.5800000001</v>
      </c>
      <c r="F7" s="108">
        <v>3.2629000000000001</v>
      </c>
      <c r="G7" s="108">
        <v>1.0483</v>
      </c>
      <c r="H7" s="108">
        <v>947.37</v>
      </c>
      <c r="I7" s="108">
        <v>339.23</v>
      </c>
      <c r="J7" s="108">
        <v>468.8</v>
      </c>
      <c r="K7" s="108">
        <v>459.17</v>
      </c>
      <c r="L7" s="108">
        <v>312.32</v>
      </c>
      <c r="M7" s="108">
        <v>778.61</v>
      </c>
      <c r="N7" s="108">
        <v>727.85</v>
      </c>
      <c r="O7" s="108">
        <v>224.14</v>
      </c>
      <c r="P7" s="108">
        <v>950.72</v>
      </c>
      <c r="Q7" s="108">
        <v>706.32</v>
      </c>
      <c r="R7" s="108">
        <v>190.15</v>
      </c>
      <c r="S7" s="108">
        <v>161.46</v>
      </c>
      <c r="T7" s="108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7">
        <v>1.3863000000000001</v>
      </c>
      <c r="C8" s="108">
        <v>318.37</v>
      </c>
      <c r="D8" s="108">
        <v>8196793.8499999996</v>
      </c>
      <c r="E8" s="108">
        <v>9156412.1999999993</v>
      </c>
      <c r="F8" s="108">
        <v>3.2656000000000001</v>
      </c>
      <c r="G8" s="108">
        <v>1.0491999999999999</v>
      </c>
      <c r="H8" s="108">
        <v>948.61</v>
      </c>
      <c r="I8" s="108">
        <v>339.59</v>
      </c>
      <c r="J8" s="108">
        <v>469.16</v>
      </c>
      <c r="K8" s="108">
        <v>959.44</v>
      </c>
      <c r="L8" s="108">
        <v>312.52999999999997</v>
      </c>
      <c r="M8" s="108">
        <v>779.5</v>
      </c>
      <c r="N8" s="108">
        <v>728.11</v>
      </c>
      <c r="O8" s="108">
        <v>224.34</v>
      </c>
      <c r="P8" s="108">
        <v>951.42</v>
      </c>
      <c r="Q8" s="108">
        <v>706.96</v>
      </c>
      <c r="R8" s="108">
        <v>190.15</v>
      </c>
      <c r="S8" s="108">
        <v>161.6</v>
      </c>
      <c r="T8" s="108">
        <v>587.20000000000005</v>
      </c>
      <c r="V8" s="102">
        <v>27</v>
      </c>
      <c r="W8" s="102">
        <v>74</v>
      </c>
      <c r="X8" s="124">
        <v>172</v>
      </c>
      <c r="Y8" s="17"/>
    </row>
    <row r="9" spans="1:25" ht="21" customHeight="1" x14ac:dyDescent="0.25">
      <c r="A9" s="8">
        <v>44718</v>
      </c>
      <c r="B9" s="109">
        <v>1.3873</v>
      </c>
      <c r="C9" s="108">
        <v>314.58</v>
      </c>
      <c r="D9" s="108">
        <v>8198744.5899999999</v>
      </c>
      <c r="E9" s="108">
        <v>9159357.3800000008</v>
      </c>
      <c r="F9" s="108">
        <v>3.2684000000000002</v>
      </c>
      <c r="G9" s="108">
        <v>1.0501</v>
      </c>
      <c r="H9" s="108">
        <v>949.71</v>
      </c>
      <c r="I9" s="108">
        <v>339.93</v>
      </c>
      <c r="J9" s="108">
        <v>469.47</v>
      </c>
      <c r="K9" s="108">
        <v>459.71</v>
      </c>
      <c r="L9" s="108">
        <v>312.74</v>
      </c>
      <c r="M9" s="108">
        <v>780.35</v>
      </c>
      <c r="N9" s="108">
        <v>728.37</v>
      </c>
      <c r="O9" s="108">
        <v>224.53</v>
      </c>
      <c r="P9" s="108">
        <v>952.09</v>
      </c>
      <c r="Q9" s="108">
        <v>707.59</v>
      </c>
      <c r="R9" s="108">
        <v>190.15</v>
      </c>
      <c r="S9" s="108">
        <v>161.74</v>
      </c>
      <c r="T9" s="108">
        <v>587.66</v>
      </c>
      <c r="V9" s="102">
        <v>21</v>
      </c>
      <c r="W9" s="102">
        <v>62</v>
      </c>
      <c r="X9" s="124">
        <v>171</v>
      </c>
      <c r="Y9" s="17"/>
    </row>
    <row r="10" spans="1:25" ht="21" customHeight="1" x14ac:dyDescent="0.25">
      <c r="A10" s="8">
        <v>44719</v>
      </c>
      <c r="B10" s="105">
        <v>1.3884000000000001</v>
      </c>
      <c r="C10" s="106">
        <v>314.8</v>
      </c>
      <c r="D10" s="106">
        <v>8200506.2699999996</v>
      </c>
      <c r="E10" s="106">
        <v>9162267.6600000001</v>
      </c>
      <c r="F10" s="106">
        <v>3.2709999999999999</v>
      </c>
      <c r="G10" s="106">
        <v>1.0510999999999999</v>
      </c>
      <c r="H10" s="106">
        <v>950.86</v>
      </c>
      <c r="I10" s="106">
        <v>340.27</v>
      </c>
      <c r="J10" s="108">
        <v>469.91</v>
      </c>
      <c r="K10" s="108">
        <v>459.98</v>
      </c>
      <c r="L10" s="108">
        <v>312.95999999999998</v>
      </c>
      <c r="M10" s="108">
        <v>781.18</v>
      </c>
      <c r="N10" s="108">
        <v>728.63</v>
      </c>
      <c r="O10" s="108">
        <v>224.76</v>
      </c>
      <c r="P10" s="108">
        <v>952.72</v>
      </c>
      <c r="Q10" s="108">
        <v>708.3</v>
      </c>
      <c r="R10" s="108">
        <v>190.15</v>
      </c>
      <c r="S10" s="108">
        <v>161.88</v>
      </c>
      <c r="T10" s="108">
        <v>588.17999999999995</v>
      </c>
      <c r="V10" s="102">
        <v>17</v>
      </c>
      <c r="W10" s="102">
        <v>50</v>
      </c>
      <c r="X10" s="102">
        <v>117</v>
      </c>
      <c r="Y10" s="17"/>
    </row>
    <row r="11" spans="1:25" ht="21" customHeight="1" x14ac:dyDescent="0.25">
      <c r="A11" s="8">
        <v>44720</v>
      </c>
      <c r="B11" s="107">
        <v>1.3894</v>
      </c>
      <c r="C11" s="108">
        <v>315.02</v>
      </c>
      <c r="D11" s="108">
        <v>8202202</v>
      </c>
      <c r="E11" s="108">
        <v>9169140.6600000001</v>
      </c>
      <c r="F11" s="108">
        <v>3.2736000000000001</v>
      </c>
      <c r="G11" s="108">
        <v>1.052</v>
      </c>
      <c r="H11" s="108">
        <v>951.87</v>
      </c>
      <c r="I11" s="108">
        <v>340.64</v>
      </c>
      <c r="J11" s="108">
        <v>470.41</v>
      </c>
      <c r="K11" s="108">
        <v>460.27</v>
      </c>
      <c r="L11" s="108">
        <v>313.16000000000003</v>
      </c>
      <c r="M11" s="108">
        <v>781.9</v>
      </c>
      <c r="N11" s="108">
        <v>728.88</v>
      </c>
      <c r="O11" s="108">
        <v>224.97</v>
      </c>
      <c r="P11" s="108">
        <v>953.35</v>
      </c>
      <c r="Q11" s="108">
        <v>708.94</v>
      </c>
      <c r="R11" s="108">
        <v>190.15</v>
      </c>
      <c r="S11" s="108">
        <v>162.01</v>
      </c>
      <c r="T11" s="108">
        <v>588.66999999999996</v>
      </c>
      <c r="V11" s="102"/>
      <c r="W11" s="102"/>
      <c r="X11" s="102"/>
      <c r="Y11" s="17"/>
    </row>
    <row r="12" spans="1:25" ht="21" customHeight="1" x14ac:dyDescent="0.25">
      <c r="A12" s="8">
        <v>44721</v>
      </c>
      <c r="B12" s="107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V12" s="102"/>
      <c r="W12" s="102"/>
      <c r="X12" s="102"/>
      <c r="Y12" s="17"/>
    </row>
    <row r="13" spans="1:25" ht="21" customHeight="1" x14ac:dyDescent="0.25">
      <c r="A13" s="8">
        <v>44722</v>
      </c>
      <c r="B13" s="107"/>
      <c r="C13" s="109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V13" s="102"/>
      <c r="W13" s="102"/>
      <c r="X13" s="102"/>
      <c r="Y13" s="17"/>
    </row>
    <row r="14" spans="1:25" ht="21" customHeight="1" x14ac:dyDescent="0.25">
      <c r="A14" s="8">
        <v>44723</v>
      </c>
      <c r="B14" s="107"/>
      <c r="C14" s="105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V14" s="102"/>
      <c r="W14" s="102"/>
      <c r="X14" s="102"/>
      <c r="Y14" s="17"/>
    </row>
    <row r="15" spans="1:25" ht="21" customHeight="1" x14ac:dyDescent="0.25">
      <c r="A15" s="8">
        <v>44724</v>
      </c>
      <c r="B15" s="107"/>
      <c r="C15" s="10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/>
      <c r="W15" s="102"/>
      <c r="X15" s="102"/>
      <c r="Y15" s="17"/>
    </row>
    <row r="16" spans="1:25" ht="21" customHeight="1" x14ac:dyDescent="0.25">
      <c r="A16" s="8">
        <v>44725</v>
      </c>
      <c r="B16" s="107"/>
      <c r="C16" s="10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/>
      <c r="W16" s="102"/>
      <c r="X16" s="102"/>
      <c r="Y16" s="17"/>
    </row>
    <row r="17" spans="1:25" ht="21" customHeight="1" x14ac:dyDescent="0.25">
      <c r="A17" s="8">
        <v>44726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44727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44728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44729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44730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44731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44732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44733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44734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44735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44736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44737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44738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44739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44740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44741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44742</v>
      </c>
      <c r="B33" s="105"/>
      <c r="C33" s="118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44743</v>
      </c>
      <c r="B34" s="117"/>
      <c r="C34" s="117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/>
      <c r="B35" s="1"/>
      <c r="C35" s="11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152</v>
      </c>
      <c r="W35" s="75">
        <f>SUM(W4:W34)</f>
        <v>441</v>
      </c>
      <c r="X35" s="75">
        <f>SUM(X4:X34)</f>
        <v>1070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A34" sqref="A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44713</v>
      </c>
      <c r="B4" s="26">
        <f>TOTAL!E2</f>
        <v>0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-15164.680000000741</v>
      </c>
    </row>
    <row r="5" spans="1:22" x14ac:dyDescent="0.25">
      <c r="A5" s="3">
        <f>'Kwh Reading'!A5</f>
        <v>44714</v>
      </c>
      <c r="B5" s="26">
        <f>TOTAL!E3</f>
        <v>0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-15779.069999999945</v>
      </c>
    </row>
    <row r="6" spans="1:22" x14ac:dyDescent="0.25">
      <c r="A6" s="3">
        <f>'Kwh Reading'!A6</f>
        <v>44715</v>
      </c>
      <c r="B6" s="26">
        <f>TOTAL!E4</f>
        <v>0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-15505.600000000364</v>
      </c>
    </row>
    <row r="7" spans="1:22" x14ac:dyDescent="0.25">
      <c r="A7" s="3">
        <f>'Kwh Reading'!A7</f>
        <v>44716</v>
      </c>
      <c r="B7" s="26">
        <f>TOTAL!E5</f>
        <v>0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4220.0000000000273</v>
      </c>
      <c r="F7" s="2">
        <f>('Kwh Reading'!J8-'Kwh Reading'!J7)*1000</f>
        <v>360.00000000001364</v>
      </c>
      <c r="G7" s="2">
        <f>('Kwh Reading'!K8-'Kwh Reading'!K7)*1000</f>
        <v>500270.00000000006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-519516.63999999868</v>
      </c>
    </row>
    <row r="8" spans="1:22" x14ac:dyDescent="0.25">
      <c r="A8" s="3">
        <f>'Kwh Reading'!A8</f>
        <v>44717</v>
      </c>
      <c r="B8" s="26">
        <f>TOTAL!E6</f>
        <v>0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-3790.0000000000205</v>
      </c>
      <c r="F8" s="2">
        <f>('Kwh Reading'!J9-'Kwh Reading'!J8)*1000</f>
        <v>310.00000000000227</v>
      </c>
      <c r="G8" s="2">
        <f>('Kwh Reading'!K9-'Kwh Reading'!K8)*1000</f>
        <v>-499730.00000000006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488764.07999999804</v>
      </c>
    </row>
    <row r="9" spans="1:22" x14ac:dyDescent="0.25">
      <c r="A9" s="3">
        <f>'Kwh Reading'!A9</f>
        <v>44718</v>
      </c>
      <c r="B9" s="26">
        <f>TOTAL!E7</f>
        <v>0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-15331.959999998513</v>
      </c>
    </row>
    <row r="10" spans="1:22" x14ac:dyDescent="0.25">
      <c r="A10" s="3">
        <f>'Kwh Reading'!A10</f>
        <v>44719</v>
      </c>
      <c r="B10" s="26">
        <f>TOTAL!E8</f>
        <v>0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6873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-18728.730000000727</v>
      </c>
    </row>
    <row r="11" spans="1:22" x14ac:dyDescent="0.25">
      <c r="A11" s="3">
        <f>'Kwh Reading'!A11</f>
        <v>44720</v>
      </c>
      <c r="B11" s="26">
        <f>TOTAL!E9</f>
        <v>0</v>
      </c>
      <c r="C11" s="4">
        <f>('Kwh Reading'!T12-'Kwh Reading'!T11)*1000</f>
        <v>-588670</v>
      </c>
      <c r="D11" s="2">
        <f>('Kwh Reading'!F12-'Kwh Reading'!F11)*1000000</f>
        <v>-3273600</v>
      </c>
      <c r="E11" s="2">
        <f>('Kwh Reading'!C12-'Kwh Reading'!C11)*1000</f>
        <v>-315020</v>
      </c>
      <c r="F11" s="2">
        <f>('Kwh Reading'!J12-'Kwh Reading'!J11)*1000</f>
        <v>-470410</v>
      </c>
      <c r="G11" s="2">
        <f>('Kwh Reading'!K12-'Kwh Reading'!K11)*1000</f>
        <v>-460270</v>
      </c>
      <c r="H11" s="2">
        <f>('Kwh Reading'!L12-'Kwh Reading'!L11)*1000</f>
        <v>-313160</v>
      </c>
      <c r="I11" s="2">
        <f>('Kwh Reading'!R12-'Kwh Reading'!R11)*1000</f>
        <v>-190150</v>
      </c>
      <c r="J11" s="2">
        <f>('Kwh Reading'!S12-'Kwh Reading'!S11)*1000</f>
        <v>-162010</v>
      </c>
      <c r="K11" s="2">
        <f>('Kwh Reading'!I12-'Kwh Reading'!I11)*1000</f>
        <v>-340640</v>
      </c>
      <c r="L11" s="2">
        <f>('Kwh Reading'!B12-'Kwh Reading'!B11)*1000000</f>
        <v>-1389400</v>
      </c>
      <c r="M11" s="2">
        <f>('Kwh Reading'!M12-'Kwh Reading'!M11)*1000</f>
        <v>-781900</v>
      </c>
      <c r="N11" s="2">
        <f>('Kwh Reading'!H12-'Kwh Reading'!H11)*1000</f>
        <v>-951870</v>
      </c>
      <c r="O11" s="2">
        <f>('Kwh Reading'!P12-'Kwh Reading'!P11)*1000</f>
        <v>-953350</v>
      </c>
      <c r="P11" s="2">
        <f>('Kwh Reading'!G12-'Kwh Reading'!G11)*1000000</f>
        <v>-1052000</v>
      </c>
      <c r="Q11" s="2">
        <f>('Kwh Reading'!Q12-'Kwh Reading'!Q11)*1000</f>
        <v>-708940</v>
      </c>
      <c r="R11" s="2">
        <f>('Kwh Reading'!N12-'Kwh Reading'!N11)*1000</f>
        <v>-728880</v>
      </c>
      <c r="S11" s="33">
        <f>'Kwh Reading'!E12-'Kwh Reading'!E11</f>
        <v>-9169140.6600000001</v>
      </c>
      <c r="T11" s="33">
        <f>'Kwh Reading'!D12-'Kwh Reading'!D11</f>
        <v>-8202202</v>
      </c>
      <c r="U11" s="27">
        <f>('Kwh Reading'!O12-'Kwh Reading'!O11)*1000</f>
        <v>-224970</v>
      </c>
      <c r="V11" s="16">
        <f t="shared" si="0"/>
        <v>30276582.66</v>
      </c>
    </row>
    <row r="12" spans="1:22" x14ac:dyDescent="0.25">
      <c r="A12" s="3">
        <f>'Kwh Reading'!A12</f>
        <v>44721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44722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44723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44724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44725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44726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44727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44728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44729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44730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44731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44732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44733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44734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44735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44736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44737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44738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44739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44740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44741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44742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44743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0</v>
      </c>
      <c r="C35" s="72">
        <f t="shared" ref="C35" si="2">SUM(C4:C34)</f>
        <v>-585440.00000000012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-458269.99999999994</v>
      </c>
      <c r="H35" s="72">
        <f t="shared" si="6"/>
        <v>-311639.99999999994</v>
      </c>
      <c r="I35" s="72">
        <f t="shared" si="6"/>
        <v>-190150</v>
      </c>
      <c r="J35" s="72">
        <f t="shared" si="6"/>
        <v>-161040</v>
      </c>
      <c r="K35" s="72">
        <f t="shared" si="6"/>
        <v>-338160.00000000006</v>
      </c>
      <c r="L35" s="72">
        <f t="shared" si="6"/>
        <v>-1382000</v>
      </c>
      <c r="M35" s="72">
        <f t="shared" si="6"/>
        <v>-776060</v>
      </c>
      <c r="N35" s="72">
        <f t="shared" si="6"/>
        <v>-943610</v>
      </c>
      <c r="O35" s="72">
        <f t="shared" si="6"/>
        <v>-948620</v>
      </c>
      <c r="P35" s="72">
        <f t="shared" si="6"/>
        <v>-1045800</v>
      </c>
      <c r="Q35" s="72">
        <f t="shared" si="6"/>
        <v>-704269.99999999988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>
        <f>SUM(V4:V34)</f>
        <v>30165320.059999999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0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-15164.680000000739</v>
      </c>
    </row>
    <row r="4" spans="1:12" x14ac:dyDescent="0.25">
      <c r="A4" s="14">
        <f>'Kwh Reading'!A5</f>
        <v>44714</v>
      </c>
      <c r="B4" s="80">
        <f>TOTAL!E3</f>
        <v>0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-15779.069999999942</v>
      </c>
    </row>
    <row r="5" spans="1:12" x14ac:dyDescent="0.25">
      <c r="A5" s="14">
        <f>'Kwh Reading'!A6</f>
        <v>44715</v>
      </c>
      <c r="B5" s="80">
        <f>TOTAL!E4</f>
        <v>0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-15505.600000000366</v>
      </c>
    </row>
    <row r="6" spans="1:12" x14ac:dyDescent="0.25">
      <c r="A6" s="14">
        <f>'Kwh Reading'!A7</f>
        <v>44716</v>
      </c>
      <c r="B6" s="80">
        <f>TOTAL!E5</f>
        <v>0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4220.0000000000273</v>
      </c>
      <c r="F6" s="1">
        <f>('Kwh Consumption'!F7+'Kwh Consumption'!G7+'Kwh Consumption'!H7)</f>
        <v>500840.00000000006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-519516.63999999862</v>
      </c>
    </row>
    <row r="7" spans="1:12" x14ac:dyDescent="0.25">
      <c r="A7" s="14">
        <f>'Kwh Reading'!A8</f>
        <v>44717</v>
      </c>
      <c r="B7" s="80">
        <f>TOTAL!E6</f>
        <v>0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-3790.0000000000205</v>
      </c>
      <c r="F7" s="1">
        <f>('Kwh Consumption'!F8+'Kwh Consumption'!G8+'Kwh Consumption'!H8)</f>
        <v>-499210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488764.07999999798</v>
      </c>
    </row>
    <row r="8" spans="1:12" x14ac:dyDescent="0.25">
      <c r="A8" s="14">
        <f>'Kwh Reading'!A9</f>
        <v>44718</v>
      </c>
      <c r="B8" s="80">
        <f>TOTAL!E7</f>
        <v>0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-15331.959999998515</v>
      </c>
    </row>
    <row r="9" spans="1:12" x14ac:dyDescent="0.25">
      <c r="A9" s="14">
        <f>'Kwh Reading'!A10</f>
        <v>44719</v>
      </c>
      <c r="B9" s="80">
        <f>TOTAL!E8</f>
        <v>0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8568.730000000447</v>
      </c>
      <c r="K9" s="1">
        <f>'Kwh Consumption'!U10</f>
        <v>210.00000000000796</v>
      </c>
      <c r="L9" s="31">
        <f t="shared" si="0"/>
        <v>-18728.730000000727</v>
      </c>
    </row>
    <row r="10" spans="1:12" x14ac:dyDescent="0.25">
      <c r="A10" s="14">
        <f>'Kwh Reading'!A11</f>
        <v>44720</v>
      </c>
      <c r="B10" s="80">
        <f>TOTAL!E9</f>
        <v>0</v>
      </c>
      <c r="C10" s="1">
        <f>'Kwh Consumption'!C11</f>
        <v>-588670</v>
      </c>
      <c r="D10" s="1">
        <f>'Kwh Consumption'!D11</f>
        <v>-3273600</v>
      </c>
      <c r="E10" s="1">
        <f>'Kwh Consumption'!E11</f>
        <v>-315020</v>
      </c>
      <c r="F10" s="1">
        <f>('Kwh Consumption'!F11+'Kwh Consumption'!G11+'Kwh Consumption'!H11)</f>
        <v>-1243840</v>
      </c>
      <c r="G10" s="16">
        <f>('Kwh Consumption'!I11+'Kwh Consumption'!J11)</f>
        <v>-352160</v>
      </c>
      <c r="H10" s="1">
        <f>('Kwh Consumption'!K11+'Kwh Consumption'!L11)</f>
        <v>-1730040</v>
      </c>
      <c r="I10" s="1">
        <f>('Kwh Consumption'!M11+'Kwh Consumption'!N11+'Kwh Consumption'!O11+'Kwh Consumption'!P11+'Kwh Consumption'!Q11+'Kwh Consumption'!R11)</f>
        <v>-5176940</v>
      </c>
      <c r="J10" s="1">
        <f>('Kwh Consumption'!S11+'Kwh Consumption'!T11)</f>
        <v>-17371342.66</v>
      </c>
      <c r="K10" s="1">
        <f>'Kwh Consumption'!U11</f>
        <v>-224970</v>
      </c>
      <c r="L10" s="31">
        <f t="shared" si="0"/>
        <v>30276582.66</v>
      </c>
    </row>
    <row r="11" spans="1:12" x14ac:dyDescent="0.25">
      <c r="A11" s="14">
        <f>'Kwh Reading'!A12</f>
        <v>44721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44722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44723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44724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44725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44726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44727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44728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44729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44730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44731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44732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44733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44734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44735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44736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44737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44738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44739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44740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44741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44742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44743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0</v>
      </c>
      <c r="C34" s="72">
        <f>SUM(C3:C33)</f>
        <v>-585440.00000000012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-1237499.9999999998</v>
      </c>
      <c r="G34" s="72">
        <f t="shared" si="1"/>
        <v>-351190</v>
      </c>
      <c r="H34" s="72">
        <f t="shared" si="1"/>
        <v>-1720160</v>
      </c>
      <c r="I34" s="72">
        <f t="shared" si="1"/>
        <v>-5145410</v>
      </c>
      <c r="J34" s="72">
        <f t="shared" si="1"/>
        <v>-17333860.059999999</v>
      </c>
      <c r="K34" s="72">
        <f t="shared" si="1"/>
        <v>-223530</v>
      </c>
      <c r="L34" s="72">
        <f t="shared" si="1"/>
        <v>30165320.059999999</v>
      </c>
      <c r="M34" s="81">
        <f>C34+D34+E34+F34+G34+H34+I34+J34+K34+L34</f>
        <v>0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Y14" sqref="Y1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75855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3">
        <v>18869</v>
      </c>
      <c r="M4" s="103">
        <v>27535</v>
      </c>
      <c r="N4" s="103">
        <v>8626</v>
      </c>
      <c r="O4" s="103">
        <v>2150</v>
      </c>
      <c r="P4" s="103">
        <v>31134</v>
      </c>
      <c r="Q4" s="103">
        <v>1710</v>
      </c>
      <c r="R4" s="103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3">
        <v>18872</v>
      </c>
      <c r="M5" s="103">
        <v>27542</v>
      </c>
      <c r="N5" s="103">
        <v>8627</v>
      </c>
      <c r="O5" s="103">
        <v>2152</v>
      </c>
      <c r="P5" s="103">
        <v>31134</v>
      </c>
      <c r="Q5" s="103">
        <v>1712</v>
      </c>
      <c r="R5" s="103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3">
        <v>18877</v>
      </c>
      <c r="M6" s="103">
        <v>27547</v>
      </c>
      <c r="N6" s="103">
        <v>8630</v>
      </c>
      <c r="O6" s="103">
        <v>2154</v>
      </c>
      <c r="P6" s="103">
        <v>31143</v>
      </c>
      <c r="Q6" s="103">
        <v>1714</v>
      </c>
      <c r="R6" s="103">
        <v>199</v>
      </c>
    </row>
    <row r="7" spans="1:21" x14ac:dyDescent="0.25">
      <c r="A7" s="52">
        <v>44717</v>
      </c>
      <c r="B7" s="54">
        <v>230509</v>
      </c>
      <c r="C7" s="32"/>
      <c r="D7" s="103">
        <v>268733</v>
      </c>
      <c r="E7" s="103">
        <v>270799</v>
      </c>
      <c r="F7" s="103">
        <v>67186</v>
      </c>
      <c r="G7" s="103">
        <v>119760</v>
      </c>
      <c r="H7" s="103">
        <v>62098</v>
      </c>
      <c r="I7" s="103">
        <v>75455</v>
      </c>
      <c r="J7" s="103">
        <v>22841</v>
      </c>
      <c r="K7" s="103">
        <v>1024</v>
      </c>
      <c r="L7" s="103">
        <v>18880</v>
      </c>
      <c r="M7" s="103">
        <v>27552</v>
      </c>
      <c r="N7" s="103">
        <v>8631</v>
      </c>
      <c r="O7" s="103">
        <v>2156</v>
      </c>
      <c r="P7" s="103">
        <v>31158</v>
      </c>
      <c r="Q7" s="103">
        <v>1718</v>
      </c>
      <c r="R7" s="103">
        <v>205</v>
      </c>
    </row>
    <row r="8" spans="1:21" x14ac:dyDescent="0.25">
      <c r="A8" s="52">
        <v>44718</v>
      </c>
      <c r="B8" s="54">
        <v>230660</v>
      </c>
      <c r="C8" s="32"/>
      <c r="D8" s="103">
        <v>268895</v>
      </c>
      <c r="E8" s="103">
        <v>270877</v>
      </c>
      <c r="F8" s="103">
        <v>67188</v>
      </c>
      <c r="G8" s="103">
        <v>119779</v>
      </c>
      <c r="H8" s="103">
        <v>62099</v>
      </c>
      <c r="I8" s="103">
        <v>75478</v>
      </c>
      <c r="J8" s="103">
        <v>22846</v>
      </c>
      <c r="K8" s="103">
        <v>1024</v>
      </c>
      <c r="L8" s="103">
        <v>18884</v>
      </c>
      <c r="M8" s="103">
        <v>27559</v>
      </c>
      <c r="N8" s="103">
        <v>8639</v>
      </c>
      <c r="O8" s="103">
        <v>2159</v>
      </c>
      <c r="P8" s="103">
        <v>31163</v>
      </c>
      <c r="Q8" s="103">
        <v>1719</v>
      </c>
      <c r="R8" s="103">
        <v>207</v>
      </c>
    </row>
    <row r="9" spans="1:21" x14ac:dyDescent="0.25">
      <c r="A9" s="52">
        <v>44719</v>
      </c>
      <c r="B9" s="54">
        <v>230822</v>
      </c>
      <c r="C9" s="32"/>
      <c r="D9" s="103">
        <v>269051</v>
      </c>
      <c r="E9" s="103">
        <v>270440</v>
      </c>
      <c r="F9" s="103">
        <v>67187</v>
      </c>
      <c r="G9" s="103">
        <v>119800</v>
      </c>
      <c r="H9" s="103">
        <v>62099</v>
      </c>
      <c r="I9" s="103">
        <v>75509</v>
      </c>
      <c r="J9" s="103">
        <v>22851</v>
      </c>
      <c r="K9" s="103">
        <v>1024</v>
      </c>
      <c r="L9" s="103">
        <v>18887</v>
      </c>
      <c r="M9" s="103">
        <v>27564</v>
      </c>
      <c r="N9" s="103">
        <v>8632</v>
      </c>
      <c r="O9" s="103">
        <v>2161</v>
      </c>
      <c r="P9" s="103">
        <v>31174</v>
      </c>
      <c r="Q9" s="103">
        <v>1720</v>
      </c>
      <c r="R9" s="103">
        <v>210</v>
      </c>
    </row>
    <row r="10" spans="1:21" x14ac:dyDescent="0.25">
      <c r="A10" s="52">
        <v>44720</v>
      </c>
      <c r="B10" s="32">
        <v>230962</v>
      </c>
      <c r="C10" s="54"/>
      <c r="D10" s="103">
        <v>269187</v>
      </c>
      <c r="E10" s="103">
        <v>271002</v>
      </c>
      <c r="F10" s="103">
        <v>67188</v>
      </c>
      <c r="G10" s="103">
        <v>119821</v>
      </c>
      <c r="H10" s="103">
        <v>62099</v>
      </c>
      <c r="I10" s="103">
        <v>75548</v>
      </c>
      <c r="J10" s="103">
        <v>22856</v>
      </c>
      <c r="K10" s="103">
        <v>1024</v>
      </c>
      <c r="L10" s="103">
        <v>18891</v>
      </c>
      <c r="M10" s="103">
        <v>27569</v>
      </c>
      <c r="N10" s="103">
        <v>8635</v>
      </c>
      <c r="O10" s="103">
        <v>2163</v>
      </c>
      <c r="P10" s="103">
        <v>31190</v>
      </c>
      <c r="Q10" s="103">
        <v>1724</v>
      </c>
      <c r="R10" s="103">
        <v>215</v>
      </c>
    </row>
    <row r="11" spans="1:21" x14ac:dyDescent="0.25">
      <c r="A11" s="52">
        <v>44721</v>
      </c>
      <c r="B11" s="54"/>
      <c r="C11" s="3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21" x14ac:dyDescent="0.25">
      <c r="A12" s="52">
        <v>44722</v>
      </c>
      <c r="B12" s="32"/>
      <c r="C12" s="5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</row>
    <row r="13" spans="1:21" x14ac:dyDescent="0.25">
      <c r="A13" s="52">
        <v>44723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44724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44725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44726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44727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44728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44729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44730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44731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44732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44733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125</v>
      </c>
    </row>
    <row r="24" spans="1:22" x14ac:dyDescent="0.25">
      <c r="A24" s="52">
        <v>44734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" t="s">
        <v>127</v>
      </c>
    </row>
    <row r="25" spans="1:22" x14ac:dyDescent="0.25">
      <c r="A25" s="52">
        <v>44735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44736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44737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44738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44739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44740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44741</v>
      </c>
      <c r="B31" s="32"/>
      <c r="C31" s="32"/>
      <c r="D31" s="53"/>
      <c r="F31" s="53"/>
      <c r="G31" s="53"/>
      <c r="H31" s="32"/>
      <c r="I31" s="53"/>
      <c r="K31" s="10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44742</v>
      </c>
      <c r="B32" s="32"/>
      <c r="C32" s="54"/>
      <c r="D32" s="53"/>
      <c r="E32" s="53"/>
      <c r="F32" s="53"/>
      <c r="G32" s="53"/>
      <c r="H32" s="54"/>
      <c r="I32" s="32"/>
      <c r="J32" s="53"/>
      <c r="K32" s="10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90" zoomScaleNormal="90" workbookViewId="0">
      <pane ySplit="3" topLeftCell="A4" activePane="bottomLeft" state="frozen"/>
      <selection activeCell="C25" sqref="C25"/>
      <selection pane="bottomLeft" activeCell="K4" sqref="K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0</v>
      </c>
      <c r="C4" s="64">
        <f>('Water Reading'!B4-'Water Reading'!B3)+('Water Reading'!C4-'Water Reading'!C3)</f>
        <v>186</v>
      </c>
      <c r="D4" s="65" t="e">
        <f>C4/B4</f>
        <v>#DIV/0!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-485</v>
      </c>
      <c r="L4" s="66">
        <f>K4/C4</f>
        <v>-2.60752688172043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-216</v>
      </c>
      <c r="Z4" s="65" t="e">
        <f t="shared" ref="Z4:Z35" si="1">Y4/B4</f>
        <v>#DIV/0!</v>
      </c>
    </row>
    <row r="5" spans="1:26" x14ac:dyDescent="0.25">
      <c r="A5" s="8">
        <f>'Water Reading'!A4</f>
        <v>44714</v>
      </c>
      <c r="B5" s="63">
        <f>TOTAL!I3</f>
        <v>0</v>
      </c>
      <c r="C5" s="64">
        <f>('Water Reading'!B5-'Water Reading'!B4)+('Water Reading'!C5-'Water Reading'!C4)</f>
        <v>159</v>
      </c>
      <c r="D5" s="65" t="e">
        <f t="shared" ref="D5:D34" si="2">C5/B5</f>
        <v>#DIV/0!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 t="e">
        <f t="shared" si="1"/>
        <v>#DIV/0!</v>
      </c>
    </row>
    <row r="6" spans="1:26" x14ac:dyDescent="0.25">
      <c r="A6" s="8">
        <f>'Water Reading'!A5</f>
        <v>44715</v>
      </c>
      <c r="B6" s="63">
        <f>TOTAL!I4</f>
        <v>0</v>
      </c>
      <c r="C6" s="64">
        <f>('Water Reading'!B6-'Water Reading'!B5)+('Water Reading'!C6-'Water Reading'!C5)</f>
        <v>161</v>
      </c>
      <c r="D6" s="65" t="e">
        <f t="shared" si="2"/>
        <v>#DIV/0!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 t="e">
        <f t="shared" si="1"/>
        <v>#DIV/0!</v>
      </c>
    </row>
    <row r="7" spans="1:26" x14ac:dyDescent="0.25">
      <c r="A7" s="8">
        <f>'Water Reading'!A6</f>
        <v>44716</v>
      </c>
      <c r="B7" s="63">
        <f>TOTAL!I5</f>
        <v>0</v>
      </c>
      <c r="C7" s="64">
        <f>('Water Reading'!B7-'Water Reading'!B6)+('Water Reading'!C7-'Water Reading'!C6)</f>
        <v>189</v>
      </c>
      <c r="D7" s="65" t="e">
        <f t="shared" si="2"/>
        <v>#DIV/0!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 t="e">
        <f t="shared" si="1"/>
        <v>#DIV/0!</v>
      </c>
    </row>
    <row r="8" spans="1:26" x14ac:dyDescent="0.25">
      <c r="A8" s="8">
        <f>'Water Reading'!A7</f>
        <v>44717</v>
      </c>
      <c r="B8" s="63">
        <f>TOTAL!I6</f>
        <v>0</v>
      </c>
      <c r="C8" s="64">
        <f>('Water Reading'!B8-'Water Reading'!B7)+('Water Reading'!C8-'Water Reading'!C7)</f>
        <v>151</v>
      </c>
      <c r="D8" s="65" t="e">
        <f t="shared" si="2"/>
        <v>#DIV/0!</v>
      </c>
      <c r="E8" s="83">
        <f>'Water Reading'!H8-'Water Reading'!H7</f>
        <v>1</v>
      </c>
      <c r="F8" s="84">
        <f t="shared" si="3"/>
        <v>6.6225165562913907E-3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290</v>
      </c>
      <c r="Z8" s="65" t="e">
        <f t="shared" si="1"/>
        <v>#DIV/0!</v>
      </c>
    </row>
    <row r="9" spans="1:26" x14ac:dyDescent="0.25">
      <c r="A9" s="8">
        <f>'Water Reading'!A8</f>
        <v>44718</v>
      </c>
      <c r="B9" s="63">
        <f>TOTAL!I7</f>
        <v>0</v>
      </c>
      <c r="C9" s="64">
        <f>('Water Reading'!B9-'Water Reading'!B8)+('Water Reading'!C9-'Water Reading'!C8)</f>
        <v>162</v>
      </c>
      <c r="D9" s="65" t="e">
        <f t="shared" si="2"/>
        <v>#DIV/0!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-437</v>
      </c>
      <c r="T9" s="93">
        <f t="shared" si="10"/>
        <v>-2.6975308641975309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-225</v>
      </c>
      <c r="Z9" s="65" t="e">
        <f t="shared" si="1"/>
        <v>#DIV/0!</v>
      </c>
    </row>
    <row r="10" spans="1:26" x14ac:dyDescent="0.25">
      <c r="A10" s="8">
        <f>'Water Reading'!A9</f>
        <v>44719</v>
      </c>
      <c r="B10" s="63">
        <f>TOTAL!I8</f>
        <v>0</v>
      </c>
      <c r="C10" s="64">
        <f>('Water Reading'!B10-'Water Reading'!B9)+('Water Reading'!C10-'Water Reading'!C9)</f>
        <v>140</v>
      </c>
      <c r="D10" s="65" t="e">
        <f t="shared" si="2"/>
        <v>#DIV/0!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562</v>
      </c>
      <c r="T10" s="93">
        <f t="shared" si="10"/>
        <v>4.0142857142857142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764</v>
      </c>
      <c r="Z10" s="65" t="e">
        <f t="shared" si="1"/>
        <v>#DIV/0!</v>
      </c>
    </row>
    <row r="11" spans="1:26" x14ac:dyDescent="0.25">
      <c r="A11" s="8">
        <f>'Water Reading'!A10</f>
        <v>44720</v>
      </c>
      <c r="B11" s="63">
        <f>TOTAL!I9</f>
        <v>0</v>
      </c>
      <c r="C11" s="64">
        <f>('Water Reading'!B11-'Water Reading'!B10)+('Water Reading'!C11-'Water Reading'!C10)</f>
        <v>-230962</v>
      </c>
      <c r="D11" s="65" t="e">
        <f t="shared" si="2"/>
        <v>#DIV/0!</v>
      </c>
      <c r="E11" s="83">
        <f>'Water Reading'!H11-'Water Reading'!H10</f>
        <v>-62099</v>
      </c>
      <c r="F11" s="84">
        <f t="shared" si="3"/>
        <v>0.26887106969977748</v>
      </c>
      <c r="G11" s="88">
        <f>('Water Reading'!D11-'Water Reading'!D10)-('Water Reading'!R11-'Water Reading'!R10)-('Water Reading'!Q11-'Water Reading'!Q10)</f>
        <v>-267248</v>
      </c>
      <c r="H11" s="84">
        <f t="shared" si="4"/>
        <v>1.1571080957040552</v>
      </c>
      <c r="I11" s="85">
        <f>'Water Reading'!P11-'Water Reading'!P10</f>
        <v>-31190</v>
      </c>
      <c r="J11" s="66">
        <f t="shared" si="5"/>
        <v>0.13504386002892252</v>
      </c>
      <c r="K11" s="86">
        <f>('Water Reading'!I11-'Water Reading'!I10)-('Water Reading'!P11-'Water Reading'!P10)</f>
        <v>-44358</v>
      </c>
      <c r="L11" s="66">
        <f t="shared" si="6"/>
        <v>0.1920575679116045</v>
      </c>
      <c r="M11" s="85">
        <f>'Water Reading'!R11-'Water Reading'!R10</f>
        <v>-215</v>
      </c>
      <c r="N11" s="87">
        <f t="shared" si="7"/>
        <v>9.3088906400187038E-4</v>
      </c>
      <c r="O11" s="85">
        <f>'Water Reading'!Q11-'Water Reading'!Q10</f>
        <v>-1724</v>
      </c>
      <c r="P11" s="92">
        <f t="shared" si="8"/>
        <v>7.464431378321975E-3</v>
      </c>
      <c r="Q11" s="86">
        <f>'Water Reading'!F11-'Water Reading'!F10</f>
        <v>-67188</v>
      </c>
      <c r="R11" s="93">
        <f t="shared" si="9"/>
        <v>0.29090499735887287</v>
      </c>
      <c r="S11" s="85">
        <f>'Water Reading'!E11-'Water Reading'!E10</f>
        <v>-271002</v>
      </c>
      <c r="T11" s="93">
        <f t="shared" si="10"/>
        <v>1.1733618517331856</v>
      </c>
      <c r="U11" s="85">
        <f>'Water Reading'!G11-'Water Reading'!G10</f>
        <v>-119821</v>
      </c>
      <c r="V11" s="93">
        <f t="shared" si="11"/>
        <v>0.51879096994310747</v>
      </c>
      <c r="W11" s="86">
        <f>'Water Reading'!J11-'Water Reading'!J10</f>
        <v>-22856</v>
      </c>
      <c r="X11" s="93">
        <f t="shared" si="12"/>
        <v>9.8960002078263956E-2</v>
      </c>
      <c r="Y11" s="64">
        <f t="shared" si="0"/>
        <v>-887701</v>
      </c>
      <c r="Z11" s="65" t="e">
        <f t="shared" si="1"/>
        <v>#DIV/0!</v>
      </c>
    </row>
    <row r="12" spans="1:26" x14ac:dyDescent="0.25">
      <c r="A12" s="8">
        <f>'Water Reading'!A11</f>
        <v>44721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3">
        <f>'Water Reading'!H12-'Water Reading'!H11</f>
        <v>0</v>
      </c>
      <c r="F12" s="84" t="e">
        <f t="shared" si="3"/>
        <v>#DIV/0!</v>
      </c>
      <c r="G12" s="88">
        <f>('Water Reading'!D12-'Water Reading'!D11)-('Water Reading'!R12-'Water Reading'!R11)-('Water Reading'!Q12-'Water Reading'!Q11)</f>
        <v>0</v>
      </c>
      <c r="H12" s="84" t="e">
        <f t="shared" si="4"/>
        <v>#DIV/0!</v>
      </c>
      <c r="I12" s="85">
        <f>'Water Reading'!P12-'Water Reading'!P11</f>
        <v>0</v>
      </c>
      <c r="J12" s="66" t="e">
        <f t="shared" si="5"/>
        <v>#DIV/0!</v>
      </c>
      <c r="K12" s="86">
        <f>('Water Reading'!I12-'Water Reading'!I11)-('Water Reading'!P12-'Water Reading'!P11)</f>
        <v>0</v>
      </c>
      <c r="L12" s="66" t="e">
        <f t="shared" si="6"/>
        <v>#DIV/0!</v>
      </c>
      <c r="M12" s="85">
        <f>'Water Reading'!R12-'Water Reading'!R11</f>
        <v>0</v>
      </c>
      <c r="N12" s="87" t="e">
        <f t="shared" si="7"/>
        <v>#DIV/0!</v>
      </c>
      <c r="O12" s="85">
        <f>'Water Reading'!Q12-'Water Reading'!Q11</f>
        <v>0</v>
      </c>
      <c r="P12" s="92" t="e">
        <f t="shared" si="8"/>
        <v>#DIV/0!</v>
      </c>
      <c r="Q12" s="86">
        <f>'Water Reading'!F12-'Water Reading'!F11</f>
        <v>0</v>
      </c>
      <c r="R12" s="93" t="e">
        <f t="shared" si="9"/>
        <v>#DIV/0!</v>
      </c>
      <c r="S12" s="85">
        <f>'Water Reading'!E12-'Water Reading'!E11</f>
        <v>0</v>
      </c>
      <c r="T12" s="93" t="e">
        <f t="shared" si="10"/>
        <v>#DIV/0!</v>
      </c>
      <c r="U12" s="85">
        <f>'Water Reading'!G12-'Water Reading'!G11</f>
        <v>0</v>
      </c>
      <c r="V12" s="93" t="e">
        <f t="shared" si="11"/>
        <v>#DIV/0!</v>
      </c>
      <c r="W12" s="86">
        <f>'Water Reading'!J12-'Water Reading'!J11</f>
        <v>0</v>
      </c>
      <c r="X12" s="93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44722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3">
        <f>'Water Reading'!H13-'Water Reading'!H12</f>
        <v>0</v>
      </c>
      <c r="F13" s="84" t="e">
        <f t="shared" si="3"/>
        <v>#DIV/0!</v>
      </c>
      <c r="G13" s="88">
        <f>('Water Reading'!D13-'Water Reading'!D12)-('Water Reading'!R13-'Water Reading'!R12)-('Water Reading'!Q13-'Water Reading'!Q12)</f>
        <v>0</v>
      </c>
      <c r="H13" s="84" t="e">
        <f t="shared" si="4"/>
        <v>#DIV/0!</v>
      </c>
      <c r="I13" s="85">
        <f>'Water Reading'!P13-'Water Reading'!P12</f>
        <v>0</v>
      </c>
      <c r="J13" s="66" t="e">
        <f t="shared" si="5"/>
        <v>#DIV/0!</v>
      </c>
      <c r="K13" s="86">
        <f>('Water Reading'!I13-'Water Reading'!I12)-('Water Reading'!P13-'Water Reading'!P12)</f>
        <v>0</v>
      </c>
      <c r="L13" s="66" t="e">
        <f t="shared" si="6"/>
        <v>#DIV/0!</v>
      </c>
      <c r="M13" s="85">
        <f>'Water Reading'!R13-'Water Reading'!R12</f>
        <v>0</v>
      </c>
      <c r="N13" s="87" t="e">
        <f t="shared" si="7"/>
        <v>#DIV/0!</v>
      </c>
      <c r="O13" s="85">
        <f>'Water Reading'!Q13-'Water Reading'!Q12</f>
        <v>0</v>
      </c>
      <c r="P13" s="92" t="e">
        <f t="shared" si="8"/>
        <v>#DIV/0!</v>
      </c>
      <c r="Q13" s="86">
        <f>'Water Reading'!F13-'Water Reading'!F12</f>
        <v>0</v>
      </c>
      <c r="R13" s="93" t="e">
        <f t="shared" si="9"/>
        <v>#DIV/0!</v>
      </c>
      <c r="S13" s="85">
        <f>'Water Reading'!E13-'Water Reading'!E12</f>
        <v>0</v>
      </c>
      <c r="T13" s="93" t="e">
        <f t="shared" si="10"/>
        <v>#DIV/0!</v>
      </c>
      <c r="U13" s="85">
        <f>'Water Reading'!G13-'Water Reading'!G12</f>
        <v>0</v>
      </c>
      <c r="V13" s="93" t="e">
        <f t="shared" si="11"/>
        <v>#DIV/0!</v>
      </c>
      <c r="W13" s="86">
        <f>'Water Reading'!J13-'Water Reading'!J12</f>
        <v>0</v>
      </c>
      <c r="X13" s="93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44723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44724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44725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44726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44727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44728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44729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v>7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86">
        <f>'Water Reading'!J20-'Water Reading'!J19</f>
        <v>0</v>
      </c>
      <c r="X20" s="93" t="e">
        <f t="shared" si="12"/>
        <v>#DIV/0!</v>
      </c>
      <c r="Y20" s="64">
        <f t="shared" si="0"/>
        <v>-3</v>
      </c>
      <c r="Z20" s="65" t="e">
        <f t="shared" si="1"/>
        <v>#DIV/0!</v>
      </c>
    </row>
    <row r="21" spans="1:26" x14ac:dyDescent="0.25">
      <c r="A21" s="8">
        <f>'Water Reading'!A20</f>
        <v>44730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44731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44732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44733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44734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44735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44736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44737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44738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44739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44740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44741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44742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44743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-229814</v>
      </c>
      <c r="D35" s="90" t="e">
        <f>C35/B35</f>
        <v>#VALUE!</v>
      </c>
      <c r="E35" s="7">
        <f>SUM(E4:E34)</f>
        <v>-62098</v>
      </c>
      <c r="F35" s="89">
        <f>E35/C35</f>
        <v>0.27020982185593567</v>
      </c>
      <c r="G35" s="72">
        <f>SUM(G4:G34)</f>
        <v>-266268</v>
      </c>
      <c r="H35" s="89">
        <f>G35/C35</f>
        <v>1.1586239306569661</v>
      </c>
      <c r="I35" s="7">
        <f>SUM(I4:I34)</f>
        <v>-31133</v>
      </c>
      <c r="J35" s="89">
        <f>I35/C35</f>
        <v>0.13547042390802996</v>
      </c>
      <c r="K35" s="7">
        <f>SUM(K4:K34)</f>
        <v>-44722</v>
      </c>
      <c r="L35" s="89">
        <f>K35/C35</f>
        <v>0.19460085112308215</v>
      </c>
      <c r="M35" s="7">
        <f>SUM(M4:M34)</f>
        <v>-182</v>
      </c>
      <c r="N35" s="89">
        <f>M35/C35</f>
        <v>7.9194479013463062E-4</v>
      </c>
      <c r="O35" s="7">
        <f>SUM(O4:O34)</f>
        <v>-1702</v>
      </c>
      <c r="P35" s="89">
        <f>O35/C35</f>
        <v>7.4059891912590181E-3</v>
      </c>
      <c r="Q35" s="7">
        <f>SUM(Q4:Q34)</f>
        <v>-67184</v>
      </c>
      <c r="R35" s="89">
        <f>Q35/C35</f>
        <v>0.29234076252969793</v>
      </c>
      <c r="S35" s="72">
        <f>SUM(S4:S34)</f>
        <v>-270526</v>
      </c>
      <c r="T35" s="89">
        <f>S35/C35</f>
        <v>1.1771519576701159</v>
      </c>
      <c r="U35" s="7">
        <f>SUM(U4:U34)</f>
        <v>-119680</v>
      </c>
      <c r="V35" s="89">
        <f>U35/C35</f>
        <v>0.5207689696885307</v>
      </c>
      <c r="W35" s="7">
        <f>SUM(W4:W34)</f>
        <v>-22819</v>
      </c>
      <c r="X35" s="89">
        <f>W35/C35</f>
        <v>9.929334157187987E-2</v>
      </c>
      <c r="Y35" s="72">
        <f>SUM(Y4:Y34)</f>
        <v>-886314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2022-06-09T03:51:22Z</dcterms:modified>
  <cp:category/>
  <cp:contentStatus/>
</cp:coreProperties>
</file>