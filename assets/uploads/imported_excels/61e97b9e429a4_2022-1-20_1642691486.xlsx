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465E29FB-1A45-4972-8C7B-EF6D5C1932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3" r:id="rId1"/>
    <sheet name="Submetering " sheetId="4" r:id="rId2"/>
    <sheet name="FS Seychelles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Y37" i="1"/>
  <c r="R23" i="1"/>
  <c r="W26" i="1"/>
  <c r="X26" i="1"/>
  <c r="Y26" i="1"/>
  <c r="Z26" i="1"/>
  <c r="AA26" i="1"/>
  <c r="V26" i="1"/>
  <c r="R33" i="1"/>
  <c r="R32" i="1"/>
  <c r="R31" i="1"/>
  <c r="R30" i="1"/>
  <c r="R29" i="1"/>
  <c r="R28" i="1"/>
  <c r="R27" i="1"/>
  <c r="R26" i="1"/>
  <c r="R25" i="1"/>
  <c r="R24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S29" i="1"/>
  <c r="S15" i="1"/>
  <c r="U3" i="1"/>
  <c r="S3" i="1"/>
  <c r="R8" i="1"/>
  <c r="R7" i="1"/>
  <c r="R6" i="1"/>
  <c r="R5" i="1"/>
  <c r="R4" i="1"/>
  <c r="R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" i="1"/>
  <c r="R9" i="1"/>
  <c r="U4" i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S4" i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30" i="1" s="1"/>
  <c r="S31" i="1" s="1"/>
  <c r="S32" i="1" s="1"/>
  <c r="S33" i="1" s="1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2" i="4"/>
  <c r="T27" i="4"/>
  <c r="T28" i="4"/>
  <c r="T25" i="4"/>
  <c r="T13" i="4"/>
  <c r="T14" i="4"/>
  <c r="T22" i="4"/>
  <c r="T21" i="4"/>
  <c r="T20" i="4"/>
  <c r="T19" i="4"/>
  <c r="T9" i="4"/>
  <c r="T12" i="4"/>
  <c r="T11" i="4"/>
  <c r="T8" i="4"/>
  <c r="T7" i="4"/>
  <c r="T5" i="4"/>
  <c r="T4" i="4"/>
  <c r="T2" i="4"/>
  <c r="AE15" i="1"/>
  <c r="AE10" i="1"/>
  <c r="AC21" i="4"/>
  <c r="AC22" i="4"/>
  <c r="AC23" i="4"/>
  <c r="AC24" i="4"/>
  <c r="AC25" i="4"/>
  <c r="AC26" i="4"/>
  <c r="AC27" i="4"/>
  <c r="AC28" i="4"/>
  <c r="AC29" i="4"/>
  <c r="AC30" i="4"/>
  <c r="AC31" i="4"/>
  <c r="AC32" i="4"/>
  <c r="T3" i="4"/>
  <c r="T6" i="4"/>
  <c r="T15" i="4"/>
  <c r="T16" i="4"/>
  <c r="T17" i="4"/>
  <c r="T18" i="4"/>
  <c r="T23" i="4"/>
  <c r="T24" i="4"/>
  <c r="T26" i="4"/>
  <c r="T29" i="4"/>
  <c r="T30" i="4"/>
  <c r="T31" i="4"/>
  <c r="T32" i="4"/>
  <c r="U29" i="1" l="1"/>
  <c r="U30" i="1" s="1"/>
  <c r="U31" i="1" s="1"/>
  <c r="U32" i="1" s="1"/>
  <c r="U33" i="1" s="1"/>
  <c r="AG35" i="1"/>
  <c r="AH35" i="1"/>
  <c r="T10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" i="4"/>
  <c r="O3" i="4"/>
  <c r="P3" i="4"/>
  <c r="Q3" i="4"/>
  <c r="R3" i="4"/>
  <c r="S3" i="4"/>
  <c r="E3" i="3" l="1"/>
  <c r="F3" i="3" s="1"/>
  <c r="AC3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V31" i="4"/>
  <c r="W31" i="4"/>
  <c r="X31" i="4"/>
  <c r="Y31" i="4"/>
  <c r="Z31" i="4"/>
  <c r="AA31" i="4"/>
  <c r="AB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V32" i="4"/>
  <c r="W32" i="4"/>
  <c r="X32" i="4"/>
  <c r="Y32" i="4"/>
  <c r="Z32" i="4"/>
  <c r="AA32" i="4"/>
  <c r="K32" i="3" s="1"/>
  <c r="AB32" i="4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V2" i="4"/>
  <c r="W2" i="4"/>
  <c r="X2" i="4"/>
  <c r="Y2" i="4"/>
  <c r="Z2" i="4"/>
  <c r="AA2" i="4"/>
  <c r="K2" i="3" s="1"/>
  <c r="AB2" i="4"/>
  <c r="B3" i="4"/>
  <c r="E3" i="4"/>
  <c r="F3" i="4"/>
  <c r="G3" i="4"/>
  <c r="H3" i="4"/>
  <c r="I3" i="4"/>
  <c r="J3" i="4"/>
  <c r="K3" i="4"/>
  <c r="L3" i="4"/>
  <c r="N3" i="4"/>
  <c r="V3" i="4"/>
  <c r="W3" i="4"/>
  <c r="X3" i="4"/>
  <c r="Y3" i="4"/>
  <c r="Z3" i="4"/>
  <c r="AA3" i="4"/>
  <c r="K3" i="3" s="1"/>
  <c r="AB3" i="4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V4" i="4"/>
  <c r="W4" i="4"/>
  <c r="X4" i="4"/>
  <c r="Y4" i="4"/>
  <c r="Z4" i="4"/>
  <c r="AA4" i="4"/>
  <c r="K4" i="3" s="1"/>
  <c r="A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V5" i="4"/>
  <c r="W5" i="4"/>
  <c r="X5" i="4"/>
  <c r="Y5" i="4"/>
  <c r="Z5" i="4"/>
  <c r="AA5" i="4"/>
  <c r="K5" i="3" s="1"/>
  <c r="AB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V6" i="4"/>
  <c r="W6" i="4"/>
  <c r="X6" i="4"/>
  <c r="Y6" i="4"/>
  <c r="Z6" i="4"/>
  <c r="AA6" i="4"/>
  <c r="K6" i="3" s="1"/>
  <c r="AB6" i="4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V7" i="4"/>
  <c r="W7" i="4"/>
  <c r="X7" i="4"/>
  <c r="Y7" i="4"/>
  <c r="Z7" i="4"/>
  <c r="AA7" i="4"/>
  <c r="K7" i="3" s="1"/>
  <c r="AB7" i="4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V8" i="4"/>
  <c r="W8" i="4"/>
  <c r="X8" i="4"/>
  <c r="Y8" i="4"/>
  <c r="Z8" i="4"/>
  <c r="AA8" i="4"/>
  <c r="K8" i="3" s="1"/>
  <c r="AB8" i="4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V9" i="4"/>
  <c r="W9" i="4"/>
  <c r="X9" i="4"/>
  <c r="Y9" i="4"/>
  <c r="Z9" i="4"/>
  <c r="AA9" i="4"/>
  <c r="K9" i="3" s="1"/>
  <c r="AB9" i="4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V10" i="4"/>
  <c r="W10" i="4"/>
  <c r="X10" i="4"/>
  <c r="Y10" i="4"/>
  <c r="Z10" i="4"/>
  <c r="AA10" i="4"/>
  <c r="K10" i="3" s="1"/>
  <c r="AB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V11" i="4"/>
  <c r="W11" i="4"/>
  <c r="X11" i="4"/>
  <c r="Y11" i="4"/>
  <c r="Z11" i="4"/>
  <c r="AA11" i="4"/>
  <c r="K11" i="3" s="1"/>
  <c r="AB11" i="4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V12" i="4"/>
  <c r="W12" i="4"/>
  <c r="X12" i="4"/>
  <c r="Y12" i="4"/>
  <c r="Z12" i="4"/>
  <c r="AA12" i="4"/>
  <c r="K12" i="3" s="1"/>
  <c r="AB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V13" i="4"/>
  <c r="W13" i="4"/>
  <c r="X13" i="4"/>
  <c r="Y13" i="4"/>
  <c r="Z13" i="4"/>
  <c r="AA13" i="4"/>
  <c r="K13" i="3" s="1"/>
  <c r="AB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V14" i="4"/>
  <c r="W14" i="4"/>
  <c r="X14" i="4"/>
  <c r="Y14" i="4"/>
  <c r="Z14" i="4"/>
  <c r="AA14" i="4"/>
  <c r="K14" i="3" s="1"/>
  <c r="AB14" i="4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V15" i="4"/>
  <c r="W15" i="4"/>
  <c r="X15" i="4"/>
  <c r="Y15" i="4"/>
  <c r="Z15" i="4"/>
  <c r="AA15" i="4"/>
  <c r="K15" i="3" s="1"/>
  <c r="AB15" i="4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V16" i="4"/>
  <c r="W16" i="4"/>
  <c r="X16" i="4"/>
  <c r="Y16" i="4"/>
  <c r="Z16" i="4"/>
  <c r="AA16" i="4"/>
  <c r="K16" i="3" s="1"/>
  <c r="AB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V17" i="4"/>
  <c r="W17" i="4"/>
  <c r="X17" i="4"/>
  <c r="Y17" i="4"/>
  <c r="Z17" i="4"/>
  <c r="AA17" i="4"/>
  <c r="K17" i="3" s="1"/>
  <c r="AB17" i="4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V18" i="4"/>
  <c r="W18" i="4"/>
  <c r="X18" i="4"/>
  <c r="Y18" i="4"/>
  <c r="Z18" i="4"/>
  <c r="AA18" i="4"/>
  <c r="K18" i="3" s="1"/>
  <c r="AB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V19" i="4"/>
  <c r="W19" i="4"/>
  <c r="X19" i="4"/>
  <c r="Y19" i="4"/>
  <c r="Z19" i="4"/>
  <c r="AA19" i="4"/>
  <c r="K19" i="3" s="1"/>
  <c r="AB19" i="4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V20" i="4"/>
  <c r="W20" i="4"/>
  <c r="X20" i="4"/>
  <c r="Y20" i="4"/>
  <c r="Z20" i="4"/>
  <c r="AA20" i="4"/>
  <c r="K20" i="3" s="1"/>
  <c r="AB20" i="4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V21" i="4"/>
  <c r="W21" i="4"/>
  <c r="X21" i="4"/>
  <c r="Y21" i="4"/>
  <c r="Z21" i="4"/>
  <c r="AA21" i="4"/>
  <c r="K21" i="3" s="1"/>
  <c r="AB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V22" i="4"/>
  <c r="W22" i="4"/>
  <c r="X22" i="4"/>
  <c r="Y22" i="4"/>
  <c r="Z22" i="4"/>
  <c r="AA22" i="4"/>
  <c r="K22" i="3" s="1"/>
  <c r="AB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V23" i="4"/>
  <c r="W23" i="4"/>
  <c r="X23" i="4"/>
  <c r="Y23" i="4"/>
  <c r="Z23" i="4"/>
  <c r="AA23" i="4"/>
  <c r="K23" i="3" s="1"/>
  <c r="AB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V24" i="4"/>
  <c r="W24" i="4"/>
  <c r="X24" i="4"/>
  <c r="Y24" i="4"/>
  <c r="Z24" i="4"/>
  <c r="AA24" i="4"/>
  <c r="K24" i="3" s="1"/>
  <c r="AB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V25" i="4"/>
  <c r="W25" i="4"/>
  <c r="X25" i="4"/>
  <c r="Y25" i="4"/>
  <c r="Z25" i="4"/>
  <c r="AA25" i="4"/>
  <c r="K25" i="3" s="1"/>
  <c r="AB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V26" i="4"/>
  <c r="W26" i="4"/>
  <c r="X26" i="4"/>
  <c r="Y26" i="4"/>
  <c r="Z26" i="4"/>
  <c r="AA26" i="4"/>
  <c r="K26" i="3" s="1"/>
  <c r="AB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V27" i="4"/>
  <c r="W27" i="4"/>
  <c r="X27" i="4"/>
  <c r="Y27" i="4"/>
  <c r="Z27" i="4"/>
  <c r="AA27" i="4"/>
  <c r="K27" i="3" s="1"/>
  <c r="AB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V28" i="4"/>
  <c r="W28" i="4"/>
  <c r="X28" i="4"/>
  <c r="Y28" i="4"/>
  <c r="Z28" i="4"/>
  <c r="AA28" i="4"/>
  <c r="K28" i="3" s="1"/>
  <c r="AB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V29" i="4"/>
  <c r="W29" i="4"/>
  <c r="X29" i="4"/>
  <c r="Y29" i="4"/>
  <c r="Z29" i="4"/>
  <c r="AA29" i="4"/>
  <c r="K29" i="3" s="1"/>
  <c r="AB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V30" i="4"/>
  <c r="W30" i="4"/>
  <c r="X30" i="4"/>
  <c r="Y30" i="4"/>
  <c r="Z30" i="4"/>
  <c r="AA30" i="4"/>
  <c r="K30" i="3" s="1"/>
  <c r="AB30" i="4"/>
  <c r="K31" i="3"/>
  <c r="I2" i="3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E28" i="3" l="1"/>
  <c r="F28" i="3" s="1"/>
  <c r="E26" i="3"/>
  <c r="F26" i="3" s="1"/>
  <c r="E13" i="3"/>
  <c r="F13" i="3" s="1"/>
  <c r="E10" i="3"/>
  <c r="F10" i="3" s="1"/>
  <c r="E17" i="3"/>
  <c r="F17" i="3" s="1"/>
  <c r="E7" i="3"/>
  <c r="F7" i="3" s="1"/>
  <c r="E6" i="3"/>
  <c r="F6" i="3" s="1"/>
  <c r="E29" i="3"/>
  <c r="F29" i="3" s="1"/>
  <c r="E21" i="3"/>
  <c r="F21" i="3" s="1"/>
  <c r="E14" i="3"/>
  <c r="F14" i="3" s="1"/>
  <c r="E11" i="3"/>
  <c r="F11" i="3" s="1"/>
  <c r="E18" i="3"/>
  <c r="F18" i="3" s="1"/>
  <c r="E8" i="3"/>
  <c r="F8" i="3" s="1"/>
  <c r="E4" i="3"/>
  <c r="F4" i="3" s="1"/>
  <c r="E24" i="3"/>
  <c r="F24" i="3" s="1"/>
  <c r="E2" i="3"/>
  <c r="F2" i="3" s="1"/>
  <c r="E27" i="3"/>
  <c r="F27" i="3" s="1"/>
  <c r="E15" i="3"/>
  <c r="F15" i="3" s="1"/>
  <c r="E12" i="3"/>
  <c r="F12" i="3" s="1"/>
  <c r="E5" i="3"/>
  <c r="F5" i="3" s="1"/>
  <c r="E31" i="3"/>
  <c r="F31" i="3" s="1"/>
  <c r="E30" i="3"/>
  <c r="F30" i="3" s="1"/>
  <c r="E22" i="3"/>
  <c r="F22" i="3" s="1"/>
  <c r="E9" i="3"/>
  <c r="F9" i="3" s="1"/>
  <c r="E25" i="3"/>
  <c r="F25" i="3" s="1"/>
  <c r="E19" i="3"/>
  <c r="F19" i="3" s="1"/>
  <c r="E16" i="3"/>
  <c r="F16" i="3" s="1"/>
  <c r="E32" i="3"/>
  <c r="F32" i="3" s="1"/>
  <c r="E23" i="3"/>
  <c r="F23" i="3" s="1"/>
  <c r="E20" i="3"/>
  <c r="F20" i="3" s="1"/>
  <c r="Q33" i="4"/>
  <c r="P33" i="4"/>
  <c r="R33" i="4"/>
  <c r="R35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tc={0D66FB81-A61A-407D-AE84-740430A378B6}</author>
    <author>tc={48612BF3-1537-47BE-8491-A1D2EBBA12D2}</author>
    <author>tc={676BC47D-7E5C-4061-941C-B750CFD7F7ED}</author>
  </authors>
  <commentList>
    <comment ref="U17" authorId="0" shapeId="0" xr:uid="{0D66FB81-A61A-407D-AE84-740430A378B6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average</t>
      </text>
    </comment>
    <comment ref="U26" authorId="1" shapeId="0" xr:uid="{48612BF3-1537-47BE-8491-A1D2EBBA12D2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average</t>
      </text>
    </comment>
    <comment ref="T28" authorId="2" shapeId="0" xr:uid="{676BC47D-7E5C-4061-941C-B750CFD7F7ED}">
      <text>
        <t>[Threaded comment]
Your version of Excel allows you to read this threaded comment; however, any edits to it will get removed if the file is opened in a newer version of Excel. Learn more: https://go.microsoft.com/fwlink/?linkid=870924
Comment:
    Running on Gen now</t>
      </text>
    </comment>
  </commentList>
</comments>
</file>

<file path=xl/sharedStrings.xml><?xml version="1.0" encoding="utf-8"?>
<sst xmlns="http://schemas.openxmlformats.org/spreadsheetml/2006/main" count="147" uniqueCount="71">
  <si>
    <t>Site Name</t>
  </si>
  <si>
    <t>Day</t>
  </si>
  <si>
    <t>Month</t>
  </si>
  <si>
    <t>Year</t>
  </si>
  <si>
    <t>Room Night</t>
  </si>
  <si>
    <t>SS-A (MWH)</t>
  </si>
  <si>
    <t>SS-B (MWH)</t>
  </si>
  <si>
    <t>SS-C (MWH)</t>
  </si>
  <si>
    <t>SS-D1 (MWH)</t>
  </si>
  <si>
    <t>SS-D2 (MWH)</t>
  </si>
  <si>
    <t>SS-E (MWH)</t>
  </si>
  <si>
    <t>FIRE PUMP (MWH)</t>
  </si>
  <si>
    <t>CASINO (MWH)</t>
  </si>
  <si>
    <t>BOH (MWH)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</si>
  <si>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</si>
  <si>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</si>
  <si>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</si>
  <si>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</si>
  <si>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</si>
  <si>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</si>
  <si>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</si>
  <si>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</si>
  <si>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</si>
  <si>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</si>
  <si>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</si>
  <si>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</si>
  <si>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</si>
  <si>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</si>
  <si>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LPG (Kg)</t>
  </si>
  <si>
    <t>Seychelles</t>
  </si>
  <si>
    <t>Total Per day</t>
  </si>
  <si>
    <t>DATE</t>
  </si>
  <si>
    <t>Room Night %</t>
  </si>
  <si>
    <t>Food Covers (Customers)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</si>
  <si>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</si>
  <si>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</si>
  <si>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</si>
  <si>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</si>
  <si>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</si>
  <si>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</si>
  <si>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</si>
  <si>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</si>
  <si>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</si>
  <si>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</si>
  <si>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</si>
  <si>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</si>
  <si>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</si>
  <si>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</si>
  <si>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</si>
  <si>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</si>
  <si>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Generator</t>
  </si>
  <si>
    <t>Water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</si>
  <si>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</si>
  <si>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</si>
  <si>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</si>
  <si>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</si>
  <si>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</si>
  <si>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</si>
  <si>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</si>
  <si>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</si>
  <si>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</si>
  <si>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Per month</t>
  </si>
  <si>
    <t>Total Electricity Kwh</t>
  </si>
  <si>
    <t xml:space="preserve">LPG (Kg) </t>
  </si>
  <si>
    <t>Water Utility Supply (m3) m3</t>
  </si>
  <si>
    <t>Irrigation Water (m3) m3</t>
  </si>
  <si>
    <t>Room Nights</t>
  </si>
  <si>
    <t>Electricity Tariff ($/Kwh)</t>
  </si>
  <si>
    <t>LPG $/Kg</t>
  </si>
  <si>
    <t>Water Utility Supply (m3) $/m3</t>
  </si>
  <si>
    <t>Irrigation water 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</si>
</sst>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7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5" xfId="0" applyFont="1" applyBorder="1"/>
    <xf numFmtId="3" fontId="12" fillId="0" borderId="2" xfId="0" applyNumberFormat="1" applyFont="1" applyBorder="1" applyAlignment="1">
      <alignment horizontal="right"/>
    </xf>
    <xf numFmtId="4" fontId="14" fillId="0" borderId="2" xfId="0" applyNumberFormat="1" applyFont="1" applyBorder="1" applyAlignment="1">
      <alignment horizontal="right"/>
    </xf>
    <xf numFmtId="2" fontId="12" fillId="0" borderId="11" xfId="0" applyNumberFormat="1" applyFont="1" applyBorder="1"/>
    <xf numFmtId="4" fontId="14" fillId="0" borderId="7" xfId="0" applyNumberFormat="1" applyFont="1" applyBorder="1" applyAlignment="1">
      <alignment horizontal="right"/>
    </xf>
    <xf numFmtId="4" fontId="14" fillId="0" borderId="12" xfId="0" applyNumberFormat="1" applyFont="1" applyBorder="1" applyAlignment="1">
      <alignment horizontal="right"/>
    </xf>
    <xf numFmtId="4" fontId="14" fillId="0" borderId="10" xfId="0" applyNumberFormat="1" applyFont="1" applyBorder="1" applyAlignment="1">
      <alignment horizontal="right"/>
    </xf>
    <xf numFmtId="2" fontId="14" fillId="0" borderId="13" xfId="0" applyNumberFormat="1" applyFont="1" applyBorder="1"/>
    <xf numFmtId="2" fontId="14" fillId="0" borderId="11" xfId="0" applyNumberFormat="1" applyFont="1" applyBorder="1"/>
    <xf numFmtId="2" fontId="14" fillId="0" borderId="6" xfId="0" applyNumberFormat="1" applyFont="1" applyBorder="1"/>
    <xf numFmtId="2" fontId="14" fillId="0" borderId="9" xfId="0" applyNumberFormat="1" applyFont="1" applyBorder="1"/>
    <xf numFmtId="3" fontId="12" fillId="0" borderId="9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7" xfId="0" applyNumberFormat="1" applyFont="1" applyBorder="1" applyAlignment="1">
      <alignment horizontal="right"/>
    </xf>
    <xf numFmtId="0" fontId="13" fillId="3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4" fontId="14" fillId="0" borderId="11" xfId="0" applyNumberFormat="1" applyFont="1" applyBorder="1" applyAlignment="1">
      <alignment horizontal="right"/>
    </xf>
    <xf numFmtId="4" fontId="12" fillId="0" borderId="11" xfId="0" applyNumberFormat="1" applyFont="1" applyBorder="1"/>
    <xf numFmtId="2" fontId="12" fillId="0" borderId="15" xfId="0" applyNumberFormat="1" applyFont="1" applyBorder="1"/>
    <xf numFmtId="4" fontId="12" fillId="0" borderId="11" xfId="0" applyNumberFormat="1" applyFont="1" applyBorder="1" applyAlignment="1">
      <alignment vertical="center" wrapText="1"/>
    </xf>
    <xf numFmtId="2" fontId="12" fillId="0" borderId="17" xfId="0" applyNumberFormat="1" applyFont="1" applyBorder="1"/>
    <xf numFmtId="0" fontId="13" fillId="4" borderId="11" xfId="0" applyFont="1" applyFill="1" applyBorder="1" applyAlignment="1">
      <alignment horizontal="center" vertical="center" wrapText="1"/>
    </xf>
    <xf numFmtId="2" fontId="13" fillId="4" borderId="11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4" fontId="12" fillId="0" borderId="13" xfId="0" applyNumberFormat="1" applyFont="1" applyBorder="1" applyAlignment="1">
      <alignment horizontal="right"/>
    </xf>
    <xf numFmtId="4" fontId="12" fillId="0" borderId="13" xfId="0" applyNumberFormat="1" applyFont="1" applyBorder="1" applyAlignment="1">
      <alignment horizontal="right" vertical="center"/>
    </xf>
    <xf numFmtId="4" fontId="12" fillId="0" borderId="11" xfId="0" applyNumberFormat="1" applyFont="1" applyBorder="1" applyAlignment="1">
      <alignment horizontal="right"/>
    </xf>
    <xf numFmtId="2" fontId="15" fillId="0" borderId="17" xfId="0" applyNumberFormat="1" applyFont="1" applyBorder="1" applyAlignment="1">
      <alignment horizontal="right" wrapText="1"/>
    </xf>
    <xf numFmtId="0" fontId="16" fillId="0" borderId="0" xfId="0" applyFont="1" applyAlignment="1">
      <alignment wrapText="1"/>
    </xf>
    <xf numFmtId="0" fontId="12" fillId="0" borderId="0" xfId="0" applyFont="1" applyAlignment="1">
      <alignment horizontal="right" wrapText="1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3" fontId="12" fillId="0" borderId="0" xfId="0" applyNumberFormat="1" applyFont="1"/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right"/>
    </xf>
    <xf numFmtId="4" fontId="12" fillId="3" borderId="2" xfId="0" applyNumberFormat="1" applyFont="1" applyFill="1" applyBorder="1"/>
    <xf numFmtId="3" fontId="12" fillId="3" borderId="2" xfId="0" applyNumberFormat="1" applyFont="1" applyFill="1" applyBorder="1"/>
    <xf numFmtId="0" fontId="13" fillId="0" borderId="11" xfId="0" applyFont="1" applyBorder="1" applyAlignment="1">
      <alignment horizontal="center" wrapText="1"/>
    </xf>
    <xf numFmtId="2" fontId="13" fillId="0" borderId="11" xfId="0" applyNumberFormat="1" applyFont="1" applyBorder="1" applyAlignment="1">
      <alignment horizontal="center" wrapText="1"/>
    </xf>
    <xf numFmtId="0" fontId="13" fillId="9" borderId="2" xfId="0" applyFont="1" applyFill="1" applyBorder="1" applyAlignment="1">
      <alignment horizontal="center" vertical="center"/>
    </xf>
    <xf numFmtId="0" fontId="12" fillId="0" borderId="4" xfId="0" applyFont="1" applyBorder="1"/>
    <xf numFmtId="0" fontId="12" fillId="0" borderId="8" xfId="0" applyFont="1" applyBorder="1"/>
    <xf numFmtId="0" fontId="12" fillId="0" borderId="1" xfId="0" applyFont="1" applyBorder="1"/>
    <xf numFmtId="0" fontId="12" fillId="0" borderId="6" xfId="0" applyFont="1" applyBorder="1"/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Milliers_Classeur1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trand Morel" id="{3EC5F8ED-3AF7-4A30-B69F-0B57FCBB8A35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17" dT="2022-01-03T07:06:34.77" personId="{3EC5F8ED-3AF7-4A30-B69F-0B57FCBB8A35}" id="{0D66FB81-A61A-407D-AE84-740430A378B6}">
    <text>Calculated average</text>
  </threadedComment>
  <threadedComment ref="U26" dT="2022-01-03T07:05:49.47" personId="{3EC5F8ED-3AF7-4A30-B69F-0B57FCBB8A35}" id="{48612BF3-1537-47BE-8491-A1D2EBBA12D2}">
    <text>Calculated average</text>
  </threadedComment>
  <threadedComment ref="T28" dT="2022-01-03T06:05:42.43" personId="{3EC5F8ED-3AF7-4A30-B69F-0B57FCBB8A35}" id="{676BC47D-7E5C-4061-941C-B750CFD7F7ED}">
    <text>Running on Gen now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L2" sqref="L2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62</v>
      </c>
      <c r="F1" s="6" t="s">
        <v>67</v>
      </c>
      <c r="G1" s="7" t="s">
        <v>63</v>
      </c>
      <c r="H1" s="6" t="s">
        <v>68</v>
      </c>
      <c r="I1" s="8" t="s">
        <v>64</v>
      </c>
      <c r="J1" s="6" t="s">
        <v>69</v>
      </c>
      <c r="K1" s="27" t="s">
        <v>65</v>
      </c>
      <c r="L1" s="6" t="s">
        <v>70</v>
      </c>
      <c r="M1" s="8" t="s">
        <v>66</v>
      </c>
    </row>
    <row r="2" spans="1:13" s="13" customFormat="1" x14ac:dyDescent="0.25">
      <c r="A2" s="1" t="s">
        <v>29</v>
      </c>
      <c r="B2" s="10">
        <v>1</v>
      </c>
      <c r="C2" s="11">
        <v>12</v>
      </c>
      <c r="D2" s="1">
        <v>2021</v>
      </c>
      <c r="E2" s="12">
        <f>'Submetering '!O2+'Submetering '!P2+'Submetering '!Q2+'Submetering '!R2+'Submetering '!S2+'Submetering '!U2</f>
        <v>30153</v>
      </c>
      <c r="F2" s="11">
        <f>(('FS Seychelles'!R3*'FS Seychelles'!S3)+('FS Seychelles'!T3*'FS Seychelles'!U3))/TOTAL!E2</f>
        <v>0.31473322057506714</v>
      </c>
      <c r="G2" s="12">
        <f>('FS Seychelles'!$AE$10+'FS Seychelles'!$AE$15)/31</f>
        <v>398.06451612903226</v>
      </c>
      <c r="H2" s="11">
        <v>1.05</v>
      </c>
      <c r="I2" s="12">
        <f>'FS Seychelles'!V3+'FS Seychelles'!X3+'FS Seychelles'!Y3+'FS Seychelles'!Z3</f>
        <v>299</v>
      </c>
      <c r="J2" s="11">
        <v>0</v>
      </c>
      <c r="K2" s="28">
        <f>'Submetering '!AA2</f>
        <v>108</v>
      </c>
      <c r="L2" s="11">
        <v>0</v>
      </c>
      <c r="M2" s="57">
        <f>'FS Seychelles'!B3</f>
        <v>61.84</v>
      </c>
    </row>
    <row r="3" spans="1:13" s="15" customFormat="1" x14ac:dyDescent="0.25">
      <c r="A3" s="1" t="s">
        <v>29</v>
      </c>
      <c r="B3" s="14">
        <f>B2+1</f>
        <v>2</v>
      </c>
      <c r="C3" s="11">
        <v>12</v>
      </c>
      <c r="D3" s="1">
        <v>2021</v>
      </c>
      <c r="E3" s="12">
        <f>'Submetering '!O3+'Submetering '!P3+'Submetering '!Q3+'Submetering '!R3+'Submetering '!S3+'Submetering '!U3</f>
        <v>32532</v>
      </c>
      <c r="F3" s="11">
        <f>(('FS Seychelles'!R4*'FS Seychelles'!S4)+('FS Seychelles'!T4*'FS Seychelles'!U4))/TOTAL!E3</f>
        <v>0.3094963482109922</v>
      </c>
      <c r="G3" s="12">
        <f>('FS Seychelles'!$AE$10+'FS Seychelles'!$AE$15)/31</f>
        <v>398.06451612903226</v>
      </c>
      <c r="H3" s="11">
        <f>H2</f>
        <v>1.05</v>
      </c>
      <c r="I3" s="12">
        <f>'FS Seychelles'!V4+'FS Seychelles'!X4+'FS Seychelles'!Y4+'FS Seychelles'!Z4</f>
        <v>412</v>
      </c>
      <c r="J3" s="11">
        <f>J2</f>
        <v>0</v>
      </c>
      <c r="K3" s="28">
        <f>'Submetering '!AA3</f>
        <v>108</v>
      </c>
      <c r="L3" s="11">
        <f>L2</f>
        <v>0</v>
      </c>
      <c r="M3" s="57">
        <f>'FS Seychelles'!B4</f>
        <v>55.26</v>
      </c>
    </row>
    <row r="4" spans="1:13" s="15" customFormat="1" x14ac:dyDescent="0.25">
      <c r="A4" s="1" t="s">
        <v>29</v>
      </c>
      <c r="B4" s="14">
        <f t="shared" ref="B4:B31" si="0">B3+1</f>
        <v>3</v>
      </c>
      <c r="C4" s="11">
        <v>12</v>
      </c>
      <c r="D4" s="1">
        <v>2021</v>
      </c>
      <c r="E4" s="12">
        <f>'Submetering '!O4+'Submetering '!P4+'Submetering '!Q4+'Submetering '!R4+'Submetering '!S4+'Submetering '!U4</f>
        <v>29841</v>
      </c>
      <c r="F4" s="11">
        <f>(('FS Seychelles'!R5*'FS Seychelles'!S5)+('FS Seychelles'!T5*'FS Seychelles'!U5))/TOTAL!E4</f>
        <v>0.32707984316879457</v>
      </c>
      <c r="G4" s="12">
        <f>('FS Seychelles'!$AE$10+'FS Seychelles'!$AE$15)/31</f>
        <v>398.06451612903226</v>
      </c>
      <c r="H4" s="11">
        <f t="shared" ref="H4:H32" si="1">H3</f>
        <v>1.05</v>
      </c>
      <c r="I4" s="12">
        <f>'FS Seychelles'!V5+'FS Seychelles'!X5+'FS Seychelles'!Y5+'FS Seychelles'!Z5</f>
        <v>478</v>
      </c>
      <c r="J4" s="11">
        <f t="shared" ref="J4:L32" si="2">J3</f>
        <v>0</v>
      </c>
      <c r="K4" s="28">
        <f>'Submetering '!AA4</f>
        <v>106</v>
      </c>
      <c r="L4" s="11">
        <f t="shared" si="2"/>
        <v>0</v>
      </c>
      <c r="M4" s="57">
        <f>'FS Seychelles'!B5</f>
        <v>51.31</v>
      </c>
    </row>
    <row r="5" spans="1:13" s="15" customFormat="1" x14ac:dyDescent="0.25">
      <c r="A5" s="1" t="s">
        <v>29</v>
      </c>
      <c r="B5" s="14">
        <f t="shared" si="0"/>
        <v>4</v>
      </c>
      <c r="C5" s="11">
        <v>12</v>
      </c>
      <c r="D5" s="1">
        <v>2021</v>
      </c>
      <c r="E5" s="12">
        <f>'Submetering '!O5+'Submetering '!P5+'Submetering '!Q5+'Submetering '!R5+'Submetering '!S5+'Submetering '!U5</f>
        <v>31219</v>
      </c>
      <c r="F5" s="11">
        <f>(('FS Seychelles'!R6*'FS Seychelles'!S6)+('FS Seychelles'!T6*'FS Seychelles'!U6))/TOTAL!E5</f>
        <v>0.32153384797719331</v>
      </c>
      <c r="G5" s="12">
        <f>('FS Seychelles'!$AE$10+'FS Seychelles'!$AE$15)/31</f>
        <v>398.06451612903226</v>
      </c>
      <c r="H5" s="11">
        <f t="shared" si="1"/>
        <v>1.05</v>
      </c>
      <c r="I5" s="12">
        <f>'FS Seychelles'!V6+'FS Seychelles'!X6+'FS Seychelles'!Y6+'FS Seychelles'!Z6</f>
        <v>396</v>
      </c>
      <c r="J5" s="11">
        <f t="shared" si="2"/>
        <v>0</v>
      </c>
      <c r="K5" s="28">
        <f>'Submetering '!AA5</f>
        <v>105</v>
      </c>
      <c r="L5" s="11">
        <f t="shared" si="2"/>
        <v>0</v>
      </c>
      <c r="M5" s="57">
        <f>'FS Seychelles'!B6</f>
        <v>46.05</v>
      </c>
    </row>
    <row r="6" spans="1:13" s="15" customFormat="1" x14ac:dyDescent="0.25">
      <c r="A6" s="1" t="s">
        <v>29</v>
      </c>
      <c r="B6" s="14">
        <f t="shared" si="0"/>
        <v>5</v>
      </c>
      <c r="C6" s="11">
        <v>12</v>
      </c>
      <c r="D6" s="1">
        <v>2021</v>
      </c>
      <c r="E6" s="12">
        <f>'Submetering '!O6+'Submetering '!P6+'Submetering '!Q6+'Submetering '!R6+'Submetering '!S6+'Submetering '!U6</f>
        <v>29347</v>
      </c>
      <c r="F6" s="11">
        <f>(('FS Seychelles'!R7*'FS Seychelles'!S7)+('FS Seychelles'!T7*'FS Seychelles'!U7))/TOTAL!E6</f>
        <v>0.30416873956452101</v>
      </c>
      <c r="G6" s="12">
        <f>('FS Seychelles'!$AE$10+'FS Seychelles'!$AE$15)/31</f>
        <v>398.06451612903226</v>
      </c>
      <c r="H6" s="11">
        <f t="shared" si="1"/>
        <v>1.05</v>
      </c>
      <c r="I6" s="12">
        <f>'FS Seychelles'!V7+'FS Seychelles'!X7+'FS Seychelles'!Y7+'FS Seychelles'!Z7</f>
        <v>385</v>
      </c>
      <c r="J6" s="11">
        <f t="shared" si="2"/>
        <v>0</v>
      </c>
      <c r="K6" s="28">
        <f>'Submetering '!AA6</f>
        <v>128</v>
      </c>
      <c r="L6" s="11">
        <f t="shared" si="2"/>
        <v>0</v>
      </c>
      <c r="M6" s="57">
        <f>'FS Seychelles'!B7</f>
        <v>46.05</v>
      </c>
    </row>
    <row r="7" spans="1:13" s="15" customFormat="1" x14ac:dyDescent="0.25">
      <c r="A7" s="1" t="s">
        <v>29</v>
      </c>
      <c r="B7" s="14">
        <f t="shared" si="0"/>
        <v>6</v>
      </c>
      <c r="C7" s="11">
        <v>12</v>
      </c>
      <c r="D7" s="1">
        <v>2021</v>
      </c>
      <c r="E7" s="12">
        <f>'Submetering '!O7+'Submetering '!P7+'Submetering '!Q7+'Submetering '!R7+'Submetering '!S7+'Submetering '!U7</f>
        <v>27256</v>
      </c>
      <c r="F7" s="11">
        <f>(('FS Seychelles'!R8*'FS Seychelles'!S8)+('FS Seychelles'!T8*'FS Seychelles'!U8))/TOTAL!E7</f>
        <v>0.28124938362195478</v>
      </c>
      <c r="G7" s="12">
        <f>('FS Seychelles'!$AE$10+'FS Seychelles'!$AE$15)/31</f>
        <v>398.06451612903226</v>
      </c>
      <c r="H7" s="11">
        <f t="shared" si="1"/>
        <v>1.05</v>
      </c>
      <c r="I7" s="12">
        <f>'FS Seychelles'!V8+'FS Seychelles'!X8+'FS Seychelles'!Y8+'FS Seychelles'!Z8</f>
        <v>389</v>
      </c>
      <c r="J7" s="11">
        <f t="shared" si="2"/>
        <v>0</v>
      </c>
      <c r="K7" s="28">
        <f>'Submetering '!AA7</f>
        <v>73</v>
      </c>
      <c r="L7" s="11">
        <f t="shared" si="2"/>
        <v>0</v>
      </c>
      <c r="M7" s="57">
        <f>'FS Seychelles'!B8</f>
        <v>47.37</v>
      </c>
    </row>
    <row r="8" spans="1:13" s="15" customFormat="1" x14ac:dyDescent="0.25">
      <c r="A8" s="1" t="s">
        <v>29</v>
      </c>
      <c r="B8" s="14">
        <f t="shared" si="0"/>
        <v>7</v>
      </c>
      <c r="C8" s="11">
        <v>12</v>
      </c>
      <c r="D8" s="1">
        <v>2021</v>
      </c>
      <c r="E8" s="12">
        <f>'Submetering '!O8+'Submetering '!P8+'Submetering '!Q8+'Submetering '!R8+'Submetering '!S8+'Submetering '!U8</f>
        <v>31115</v>
      </c>
      <c r="F8" s="11">
        <f>(('FS Seychelles'!R9*'FS Seychelles'!S9)+('FS Seychelles'!T9*'FS Seychelles'!U9))/TOTAL!E8</f>
        <v>0.32119377792061704</v>
      </c>
      <c r="G8" s="12">
        <f>('FS Seychelles'!$AE$10+'FS Seychelles'!$AE$15)/31</f>
        <v>398.06451612903226</v>
      </c>
      <c r="H8" s="11">
        <f t="shared" si="1"/>
        <v>1.05</v>
      </c>
      <c r="I8" s="12">
        <f>'FS Seychelles'!V9+'FS Seychelles'!X9+'FS Seychelles'!Y9+'FS Seychelles'!Z9</f>
        <v>439</v>
      </c>
      <c r="J8" s="11">
        <f t="shared" si="2"/>
        <v>0</v>
      </c>
      <c r="K8" s="28">
        <f>'Submetering '!AA8</f>
        <v>109</v>
      </c>
      <c r="L8" s="11">
        <f t="shared" si="2"/>
        <v>0</v>
      </c>
      <c r="M8" s="57">
        <f>'FS Seychelles'!B9</f>
        <v>46.05</v>
      </c>
    </row>
    <row r="9" spans="1:13" s="15" customFormat="1" x14ac:dyDescent="0.25">
      <c r="A9" s="1" t="s">
        <v>29</v>
      </c>
      <c r="B9" s="14">
        <f t="shared" si="0"/>
        <v>8</v>
      </c>
      <c r="C9" s="11">
        <v>12</v>
      </c>
      <c r="D9" s="1">
        <v>2021</v>
      </c>
      <c r="E9" s="12">
        <f>'Submetering '!O9+'Submetering '!P9+'Submetering '!Q9+'Submetering '!R9+'Submetering '!S9+'Submetering '!U9</f>
        <v>35177</v>
      </c>
      <c r="F9" s="11">
        <f>(('FS Seychelles'!R10*'FS Seychelles'!S10)+('FS Seychelles'!T10*'FS Seychelles'!U10))/TOTAL!E9</f>
        <v>0.274440856241294</v>
      </c>
      <c r="G9" s="12">
        <f>('FS Seychelles'!$AE$10+'FS Seychelles'!$AE$15)/31</f>
        <v>398.06451612903226</v>
      </c>
      <c r="H9" s="11">
        <f t="shared" si="1"/>
        <v>1.05</v>
      </c>
      <c r="I9" s="12">
        <f>'FS Seychelles'!V10+'FS Seychelles'!X10+'FS Seychelles'!Y10+'FS Seychelles'!Z10</f>
        <v>297</v>
      </c>
      <c r="J9" s="11">
        <f t="shared" si="2"/>
        <v>0</v>
      </c>
      <c r="K9" s="28">
        <f>'Submetering '!AA9</f>
        <v>110</v>
      </c>
      <c r="L9" s="11">
        <f t="shared" si="2"/>
        <v>0</v>
      </c>
      <c r="M9" s="57">
        <f>'FS Seychelles'!B10</f>
        <v>58.42</v>
      </c>
    </row>
    <row r="10" spans="1:13" s="15" customFormat="1" x14ac:dyDescent="0.25">
      <c r="A10" s="1" t="s">
        <v>29</v>
      </c>
      <c r="B10" s="14">
        <f t="shared" si="0"/>
        <v>9</v>
      </c>
      <c r="C10" s="11">
        <v>12</v>
      </c>
      <c r="D10" s="1">
        <v>2021</v>
      </c>
      <c r="E10" s="12">
        <f>'Submetering '!O10+'Submetering '!P10+'Submetering '!Q10+'Submetering '!R10+'Submetering '!S10+'Submetering '!U10</f>
        <v>21329</v>
      </c>
      <c r="F10" s="11">
        <f>(('FS Seychelles'!R11*'FS Seychelles'!S11)+('FS Seychelles'!T11*'FS Seychelles'!U11))/TOTAL!E10</f>
        <v>0.27054213512119646</v>
      </c>
      <c r="G10" s="12">
        <f>('FS Seychelles'!$AE$10+'FS Seychelles'!$AE$15)/31</f>
        <v>398.06451612903226</v>
      </c>
      <c r="H10" s="11">
        <f t="shared" si="1"/>
        <v>1.05</v>
      </c>
      <c r="I10" s="12">
        <f>'FS Seychelles'!V11+'FS Seychelles'!X11+'FS Seychelles'!Y11+'FS Seychelles'!Z11</f>
        <v>287</v>
      </c>
      <c r="J10" s="11">
        <f t="shared" si="2"/>
        <v>0</v>
      </c>
      <c r="K10" s="28">
        <f>'Submetering '!AA10</f>
        <v>108</v>
      </c>
      <c r="L10" s="11">
        <f t="shared" si="2"/>
        <v>0</v>
      </c>
      <c r="M10" s="57">
        <f>'FS Seychelles'!B11</f>
        <v>48.68</v>
      </c>
    </row>
    <row r="11" spans="1:13" s="15" customFormat="1" x14ac:dyDescent="0.25">
      <c r="A11" s="1" t="s">
        <v>29</v>
      </c>
      <c r="B11" s="14">
        <f t="shared" si="0"/>
        <v>10</v>
      </c>
      <c r="C11" s="11">
        <v>12</v>
      </c>
      <c r="D11" s="1">
        <v>2021</v>
      </c>
      <c r="E11" s="12">
        <f>'Submetering '!O11+'Submetering '!P11+'Submetering '!Q11+'Submetering '!R11+'Submetering '!S11+'Submetering '!U11</f>
        <v>32285</v>
      </c>
      <c r="F11" s="11">
        <f>(('FS Seychelles'!R12*'FS Seychelles'!S12)+('FS Seychelles'!T12*'FS Seychelles'!U12))/TOTAL!E11</f>
        <v>0.26497471890971036</v>
      </c>
      <c r="G11" s="12">
        <f>('FS Seychelles'!$AE$10+'FS Seychelles'!$AE$15)/31</f>
        <v>398.06451612903226</v>
      </c>
      <c r="H11" s="11">
        <f t="shared" si="1"/>
        <v>1.05</v>
      </c>
      <c r="I11" s="12">
        <f>'FS Seychelles'!V12+'FS Seychelles'!X12+'FS Seychelles'!Y12+'FS Seychelles'!Z12</f>
        <v>341</v>
      </c>
      <c r="J11" s="11">
        <f t="shared" si="2"/>
        <v>0</v>
      </c>
      <c r="K11" s="28">
        <f>'Submetering '!AA11</f>
        <v>107</v>
      </c>
      <c r="L11" s="11">
        <f t="shared" si="2"/>
        <v>0</v>
      </c>
      <c r="M11" s="57">
        <f>'FS Seychelles'!B12</f>
        <v>51.95</v>
      </c>
    </row>
    <row r="12" spans="1:13" s="15" customFormat="1" x14ac:dyDescent="0.25">
      <c r="A12" s="1" t="s">
        <v>29</v>
      </c>
      <c r="B12" s="14">
        <f t="shared" si="0"/>
        <v>11</v>
      </c>
      <c r="C12" s="11">
        <v>12</v>
      </c>
      <c r="D12" s="1">
        <v>2021</v>
      </c>
      <c r="E12" s="12">
        <f>'Submetering '!O12+'Submetering '!P12+'Submetering '!Q12+'Submetering '!R12+'Submetering '!S12+'Submetering '!U12</f>
        <v>29965</v>
      </c>
      <c r="F12" s="11">
        <f>(('FS Seychelles'!R13*'FS Seychelles'!S13)+('FS Seychelles'!T13*'FS Seychelles'!U13))/TOTAL!E12</f>
        <v>0.25345605873519106</v>
      </c>
      <c r="G12" s="12">
        <f>('FS Seychelles'!$AE$10+'FS Seychelles'!$AE$15)/31</f>
        <v>398.06451612903226</v>
      </c>
      <c r="H12" s="11">
        <f t="shared" si="1"/>
        <v>1.05</v>
      </c>
      <c r="I12" s="12">
        <f>'FS Seychelles'!V13+'FS Seychelles'!X13+'FS Seychelles'!Y13+'FS Seychelles'!Z13</f>
        <v>515</v>
      </c>
      <c r="J12" s="11">
        <f t="shared" si="2"/>
        <v>0</v>
      </c>
      <c r="K12" s="28">
        <f>'Submetering '!AA12</f>
        <v>109</v>
      </c>
      <c r="L12" s="11">
        <f t="shared" si="2"/>
        <v>0</v>
      </c>
      <c r="M12" s="57">
        <f>'FS Seychelles'!B13</f>
        <v>51.28</v>
      </c>
    </row>
    <row r="13" spans="1:13" s="15" customFormat="1" x14ac:dyDescent="0.25">
      <c r="A13" s="1" t="s">
        <v>29</v>
      </c>
      <c r="B13" s="14">
        <f t="shared" si="0"/>
        <v>12</v>
      </c>
      <c r="C13" s="11">
        <v>12</v>
      </c>
      <c r="D13" s="1">
        <v>2021</v>
      </c>
      <c r="E13" s="12">
        <f>'Submetering '!O13+'Submetering '!P13+'Submetering '!Q13+'Submetering '!R13+'Submetering '!S13+'Submetering '!U13</f>
        <v>34096</v>
      </c>
      <c r="F13" s="11">
        <f>(('FS Seychelles'!R14*'FS Seychelles'!S14)+('FS Seychelles'!T14*'FS Seychelles'!U14))/TOTAL!E13</f>
        <v>0.26861719849835752</v>
      </c>
      <c r="G13" s="12">
        <f>('FS Seychelles'!$AE$10+'FS Seychelles'!$AE$15)/31</f>
        <v>398.06451612903226</v>
      </c>
      <c r="H13" s="11">
        <f t="shared" si="1"/>
        <v>1.05</v>
      </c>
      <c r="I13" s="12">
        <f>'FS Seychelles'!V14+'FS Seychelles'!X14+'FS Seychelles'!Y14+'FS Seychelles'!Z14</f>
        <v>386</v>
      </c>
      <c r="J13" s="11">
        <f t="shared" si="2"/>
        <v>0</v>
      </c>
      <c r="K13" s="28">
        <f>'Submetering '!AA13</f>
        <v>105</v>
      </c>
      <c r="L13" s="11">
        <f t="shared" si="2"/>
        <v>0</v>
      </c>
      <c r="M13" s="57">
        <f>'FS Seychelles'!B14</f>
        <v>40.51</v>
      </c>
    </row>
    <row r="14" spans="1:13" s="15" customFormat="1" x14ac:dyDescent="0.25">
      <c r="A14" s="1" t="s">
        <v>29</v>
      </c>
      <c r="B14" s="14">
        <f t="shared" si="0"/>
        <v>13</v>
      </c>
      <c r="C14" s="11">
        <v>12</v>
      </c>
      <c r="D14" s="1">
        <v>2021</v>
      </c>
      <c r="E14" s="12">
        <f>'Submetering '!O14+'Submetering '!P14+'Submetering '!Q14+'Submetering '!R14+'Submetering '!S14+'Submetering '!U14</f>
        <v>29021</v>
      </c>
      <c r="F14" s="11">
        <f>(('FS Seychelles'!R15*'FS Seychelles'!S15)+('FS Seychelles'!T15*'FS Seychelles'!U15))/TOTAL!E14</f>
        <v>0.26501202577443916</v>
      </c>
      <c r="G14" s="12">
        <f>('FS Seychelles'!$AE$10+'FS Seychelles'!$AE$15)/31</f>
        <v>398.06451612903226</v>
      </c>
      <c r="H14" s="11">
        <f t="shared" si="1"/>
        <v>1.05</v>
      </c>
      <c r="I14" s="12">
        <f>'FS Seychelles'!V15+'FS Seychelles'!X15+'FS Seychelles'!Y15+'FS Seychelles'!Z15</f>
        <v>363</v>
      </c>
      <c r="J14" s="11">
        <f t="shared" si="2"/>
        <v>0</v>
      </c>
      <c r="K14" s="28">
        <f>'Submetering '!AA14</f>
        <v>105</v>
      </c>
      <c r="L14" s="11">
        <f t="shared" si="2"/>
        <v>0</v>
      </c>
      <c r="M14" s="57">
        <f>'FS Seychelles'!B15</f>
        <v>41.03</v>
      </c>
    </row>
    <row r="15" spans="1:13" s="15" customFormat="1" x14ac:dyDescent="0.25">
      <c r="A15" s="1" t="s">
        <v>29</v>
      </c>
      <c r="B15" s="14">
        <f t="shared" si="0"/>
        <v>14</v>
      </c>
      <c r="C15" s="11">
        <v>12</v>
      </c>
      <c r="D15" s="1">
        <v>2021</v>
      </c>
      <c r="E15" s="12">
        <f>'Submetering '!O15+'Submetering '!P15+'Submetering '!Q15+'Submetering '!R15+'Submetering '!S15+'Submetering '!U15</f>
        <v>42110</v>
      </c>
      <c r="F15" s="11">
        <f>(('FS Seychelles'!R16*'FS Seychelles'!S16)+('FS Seychelles'!T16*'FS Seychelles'!U16))/TOTAL!E15</f>
        <v>0.26744246972215624</v>
      </c>
      <c r="G15" s="12">
        <f>('FS Seychelles'!$AE$10+'FS Seychelles'!$AE$15)/31</f>
        <v>398.06451612903226</v>
      </c>
      <c r="H15" s="11">
        <f t="shared" si="1"/>
        <v>1.05</v>
      </c>
      <c r="I15" s="12">
        <f>'FS Seychelles'!V16+'FS Seychelles'!X16+'FS Seychelles'!Y16+'FS Seychelles'!Z16</f>
        <v>304</v>
      </c>
      <c r="J15" s="11">
        <f t="shared" si="2"/>
        <v>0</v>
      </c>
      <c r="K15" s="28">
        <f>'Submetering '!AA15</f>
        <v>110</v>
      </c>
      <c r="L15" s="11">
        <f t="shared" si="2"/>
        <v>0</v>
      </c>
      <c r="M15" s="57">
        <f>'FS Seychelles'!B16</f>
        <v>48.1</v>
      </c>
    </row>
    <row r="16" spans="1:13" s="15" customFormat="1" x14ac:dyDescent="0.25">
      <c r="A16" s="1" t="s">
        <v>29</v>
      </c>
      <c r="B16" s="14">
        <f t="shared" si="0"/>
        <v>15</v>
      </c>
      <c r="C16" s="11">
        <v>12</v>
      </c>
      <c r="D16" s="1">
        <v>2021</v>
      </c>
      <c r="E16" s="12">
        <f>'Submetering '!O16+'Submetering '!P16+'Submetering '!Q16+'Submetering '!R16+'Submetering '!S16+'Submetering '!U16</f>
        <v>35908</v>
      </c>
      <c r="F16" s="11">
        <f>(('FS Seychelles'!R17*'FS Seychelles'!S17)+('FS Seychelles'!T17*'FS Seychelles'!U17))/TOTAL!E16</f>
        <v>0.26177267461289966</v>
      </c>
      <c r="G16" s="12">
        <f>('FS Seychelles'!$AE$10+'FS Seychelles'!$AE$15)/31</f>
        <v>398.06451612903226</v>
      </c>
      <c r="H16" s="11">
        <f t="shared" si="1"/>
        <v>1.05</v>
      </c>
      <c r="I16" s="12">
        <f>'FS Seychelles'!V17+'FS Seychelles'!X17+'FS Seychelles'!Y17+'FS Seychelles'!Z17</f>
        <v>365.31818181818181</v>
      </c>
      <c r="J16" s="11">
        <f t="shared" si="2"/>
        <v>0</v>
      </c>
      <c r="K16" s="28">
        <f>'Submetering '!AA16</f>
        <v>106.95454545454545</v>
      </c>
      <c r="L16" s="11">
        <f t="shared" si="2"/>
        <v>0</v>
      </c>
      <c r="M16" s="57">
        <f>'FS Seychelles'!B17</f>
        <v>48.05</v>
      </c>
    </row>
    <row r="17" spans="1:13" s="15" customFormat="1" x14ac:dyDescent="0.25">
      <c r="A17" s="1" t="s">
        <v>29</v>
      </c>
      <c r="B17" s="14">
        <f t="shared" si="0"/>
        <v>16</v>
      </c>
      <c r="C17" s="11">
        <v>12</v>
      </c>
      <c r="D17" s="1">
        <v>2021</v>
      </c>
      <c r="E17" s="12">
        <f>'Submetering '!O17+'Submetering '!P17+'Submetering '!Q17+'Submetering '!R17+'Submetering '!S17+'Submetering '!U17</f>
        <v>37698</v>
      </c>
      <c r="F17" s="11">
        <f>(('FS Seychelles'!R18*'FS Seychelles'!S18)+('FS Seychelles'!T18*'FS Seychelles'!U18))/TOTAL!E17</f>
        <v>0.25862377844978512</v>
      </c>
      <c r="G17" s="12">
        <f>('FS Seychelles'!$AE$10+'FS Seychelles'!$AE$15)/31</f>
        <v>398.06451612903226</v>
      </c>
      <c r="H17" s="11">
        <f t="shared" si="1"/>
        <v>1.05</v>
      </c>
      <c r="I17" s="12">
        <f>'FS Seychelles'!V18+'FS Seychelles'!X18+'FS Seychelles'!Y18+'FS Seychelles'!Z18</f>
        <v>352</v>
      </c>
      <c r="J17" s="11">
        <f t="shared" si="2"/>
        <v>0</v>
      </c>
      <c r="K17" s="28">
        <f>'Submetering '!AA17</f>
        <v>109</v>
      </c>
      <c r="L17" s="11">
        <f t="shared" si="2"/>
        <v>0</v>
      </c>
      <c r="M17" s="57">
        <f>'FS Seychelles'!B18</f>
        <v>51.32</v>
      </c>
    </row>
    <row r="18" spans="1:13" s="15" customFormat="1" x14ac:dyDescent="0.25">
      <c r="A18" s="1" t="s">
        <v>29</v>
      </c>
      <c r="B18" s="14">
        <f t="shared" si="0"/>
        <v>17</v>
      </c>
      <c r="C18" s="11">
        <v>12</v>
      </c>
      <c r="D18" s="1">
        <v>2021</v>
      </c>
      <c r="E18" s="12">
        <f>'Submetering '!O18+'Submetering '!P18+'Submetering '!Q18+'Submetering '!R18+'Submetering '!S18+'Submetering '!U18</f>
        <v>36294</v>
      </c>
      <c r="F18" s="11">
        <f>(('FS Seychelles'!R19*'FS Seychelles'!S19)+('FS Seychelles'!T19*'FS Seychelles'!U19))/TOTAL!E18</f>
        <v>0.261119523888246</v>
      </c>
      <c r="G18" s="12">
        <f>('FS Seychelles'!$AE$10+'FS Seychelles'!$AE$15)/31</f>
        <v>398.06451612903226</v>
      </c>
      <c r="H18" s="11">
        <f t="shared" si="1"/>
        <v>1.05</v>
      </c>
      <c r="I18" s="12">
        <f>'FS Seychelles'!V19+'FS Seychelles'!X19+'FS Seychelles'!Y19+'FS Seychelles'!Z19</f>
        <v>414</v>
      </c>
      <c r="J18" s="11">
        <f t="shared" si="2"/>
        <v>0</v>
      </c>
      <c r="K18" s="28">
        <f>'Submetering '!AA18</f>
        <v>100</v>
      </c>
      <c r="L18" s="11">
        <f t="shared" si="2"/>
        <v>0</v>
      </c>
      <c r="M18" s="57">
        <f>'FS Seychelles'!B19</f>
        <v>56.72</v>
      </c>
    </row>
    <row r="19" spans="1:13" s="15" customFormat="1" x14ac:dyDescent="0.25">
      <c r="A19" s="1" t="s">
        <v>29</v>
      </c>
      <c r="B19" s="14">
        <f t="shared" si="0"/>
        <v>18</v>
      </c>
      <c r="C19" s="11">
        <v>12</v>
      </c>
      <c r="D19" s="1">
        <v>2021</v>
      </c>
      <c r="E19" s="12">
        <f>'Submetering '!O19+'Submetering '!P19+'Submetering '!Q19+'Submetering '!R19+'Submetering '!S19+'Submetering '!U19</f>
        <v>37916</v>
      </c>
      <c r="F19" s="11">
        <f>(('FS Seychelles'!R20*'FS Seychelles'!S20)+('FS Seychelles'!T20*'FS Seychelles'!U20))/TOTAL!E19</f>
        <v>0.26633182825192531</v>
      </c>
      <c r="G19" s="12">
        <f>('FS Seychelles'!$AE$10+'FS Seychelles'!$AE$15)/31</f>
        <v>398.06451612903226</v>
      </c>
      <c r="H19" s="11">
        <f t="shared" si="1"/>
        <v>1.05</v>
      </c>
      <c r="I19" s="12">
        <f>'FS Seychelles'!V20+'FS Seychelles'!X20+'FS Seychelles'!Y20+'FS Seychelles'!Z20</f>
        <v>407</v>
      </c>
      <c r="J19" s="11">
        <f t="shared" si="2"/>
        <v>0</v>
      </c>
      <c r="K19" s="28">
        <f>'Submetering '!AA19</f>
        <v>106</v>
      </c>
      <c r="L19" s="11">
        <f t="shared" si="2"/>
        <v>0</v>
      </c>
      <c r="M19" s="57">
        <f>'FS Seychelles'!B20</f>
        <v>57.89</v>
      </c>
    </row>
    <row r="20" spans="1:13" s="15" customFormat="1" x14ac:dyDescent="0.25">
      <c r="A20" s="1" t="s">
        <v>29</v>
      </c>
      <c r="B20" s="14">
        <f t="shared" si="0"/>
        <v>19</v>
      </c>
      <c r="C20" s="11">
        <v>12</v>
      </c>
      <c r="D20" s="1">
        <v>2021</v>
      </c>
      <c r="E20" s="12">
        <f>'Submetering '!O20+'Submetering '!P20+'Submetering '!Q20+'Submetering '!R20+'Submetering '!S20+'Submetering '!U20</f>
        <v>36596</v>
      </c>
      <c r="F20" s="11">
        <f>(('FS Seychelles'!R21*'FS Seychelles'!S21)+('FS Seychelles'!T21*'FS Seychelles'!U21))/TOTAL!E20</f>
        <v>0.25805899005355781</v>
      </c>
      <c r="G20" s="12">
        <f>('FS Seychelles'!$AE$10+'FS Seychelles'!$AE$15)/31</f>
        <v>398.06451612903226</v>
      </c>
      <c r="H20" s="11">
        <f t="shared" si="1"/>
        <v>1.05</v>
      </c>
      <c r="I20" s="12">
        <f>'FS Seychelles'!V21+'FS Seychelles'!X21+'FS Seychelles'!Y21+'FS Seychelles'!Z21</f>
        <v>398</v>
      </c>
      <c r="J20" s="11">
        <f t="shared" si="2"/>
        <v>0</v>
      </c>
      <c r="K20" s="28">
        <f>'Submetering '!AA20</f>
        <v>113</v>
      </c>
      <c r="L20" s="11">
        <f t="shared" si="2"/>
        <v>0</v>
      </c>
      <c r="M20" s="57">
        <f>'FS Seychelles'!B21</f>
        <v>61.84</v>
      </c>
    </row>
    <row r="21" spans="1:13" s="15" customFormat="1" x14ac:dyDescent="0.25">
      <c r="A21" s="1" t="s">
        <v>29</v>
      </c>
      <c r="B21" s="14">
        <f t="shared" si="0"/>
        <v>20</v>
      </c>
      <c r="C21" s="11">
        <v>12</v>
      </c>
      <c r="D21" s="1">
        <v>2021</v>
      </c>
      <c r="E21" s="12">
        <f>'Submetering '!O21+'Submetering '!P21+'Submetering '!Q21+'Submetering '!R21+'Submetering '!S21+'Submetering '!U21</f>
        <v>39660</v>
      </c>
      <c r="F21" s="11">
        <f>(('FS Seychelles'!R22*'FS Seychelles'!S22)+('FS Seychelles'!T22*'FS Seychelles'!U22))/TOTAL!E21</f>
        <v>0.2553011800302572</v>
      </c>
      <c r="G21" s="12">
        <f>('FS Seychelles'!$AE$10+'FS Seychelles'!$AE$15)/31</f>
        <v>398.06451612903226</v>
      </c>
      <c r="H21" s="11">
        <f t="shared" si="1"/>
        <v>1.05</v>
      </c>
      <c r="I21" s="12">
        <f>'FS Seychelles'!V22+'FS Seychelles'!X22+'FS Seychelles'!Y22+'FS Seychelles'!Z22</f>
        <v>258</v>
      </c>
      <c r="J21" s="11">
        <f t="shared" si="2"/>
        <v>0</v>
      </c>
      <c r="K21" s="28">
        <f>'Submetering '!AA21</f>
        <v>109</v>
      </c>
      <c r="L21" s="11">
        <f t="shared" si="2"/>
        <v>0</v>
      </c>
      <c r="M21" s="57">
        <f>'FS Seychelles'!B22</f>
        <v>47.37</v>
      </c>
    </row>
    <row r="22" spans="1:13" s="15" customFormat="1" x14ac:dyDescent="0.25">
      <c r="A22" s="1" t="s">
        <v>29</v>
      </c>
      <c r="B22" s="14">
        <f t="shared" si="0"/>
        <v>21</v>
      </c>
      <c r="C22" s="11">
        <v>12</v>
      </c>
      <c r="D22" s="1">
        <v>2021</v>
      </c>
      <c r="E22" s="12">
        <f>'Submetering '!O22+'Submetering '!P22+'Submetering '!Q22+'Submetering '!R22+'Submetering '!S22+'Submetering '!U22</f>
        <v>38653</v>
      </c>
      <c r="F22" s="11">
        <f>(('FS Seychelles'!R23*'FS Seychelles'!S23)+('FS Seychelles'!T23*'FS Seychelles'!U23))/TOTAL!E22</f>
        <v>0.26487424003311516</v>
      </c>
      <c r="G22" s="12">
        <f>('FS Seychelles'!$AE$10+'FS Seychelles'!$AE$15)/31</f>
        <v>398.06451612903226</v>
      </c>
      <c r="H22" s="11">
        <f t="shared" si="1"/>
        <v>1.05</v>
      </c>
      <c r="I22" s="12">
        <f>'FS Seychelles'!V23+'FS Seychelles'!X23+'FS Seychelles'!Y23+'FS Seychelles'!Z23</f>
        <v>211</v>
      </c>
      <c r="J22" s="11">
        <f t="shared" si="2"/>
        <v>0</v>
      </c>
      <c r="K22" s="28">
        <f>'Submetering '!AA22</f>
        <v>108</v>
      </c>
      <c r="L22" s="11">
        <f t="shared" si="2"/>
        <v>0</v>
      </c>
      <c r="M22" s="57">
        <f>'FS Seychelles'!B23</f>
        <v>32.89</v>
      </c>
    </row>
    <row r="23" spans="1:13" s="15" customFormat="1" x14ac:dyDescent="0.25">
      <c r="A23" s="1" t="s">
        <v>29</v>
      </c>
      <c r="B23" s="14">
        <f t="shared" si="0"/>
        <v>22</v>
      </c>
      <c r="C23" s="11">
        <v>12</v>
      </c>
      <c r="D23" s="1">
        <v>2021</v>
      </c>
      <c r="E23" s="12">
        <f>'Submetering '!O23+'Submetering '!P23+'Submetering '!Q23+'Submetering '!R23+'Submetering '!S23+'Submetering '!U23</f>
        <v>42767</v>
      </c>
      <c r="F23" s="11">
        <f>(('FS Seychelles'!R24*'FS Seychelles'!S24)+('FS Seychelles'!T24*'FS Seychelles'!U24))/TOTAL!E23</f>
        <v>0.23692591016437906</v>
      </c>
      <c r="G23" s="12">
        <f>('FS Seychelles'!$AE$10+'FS Seychelles'!$AE$15)/31</f>
        <v>398.06451612903226</v>
      </c>
      <c r="H23" s="11">
        <f t="shared" si="1"/>
        <v>1.05</v>
      </c>
      <c r="I23" s="12">
        <f>'FS Seychelles'!V24+'FS Seychelles'!X24+'FS Seychelles'!Y24+'FS Seychelles'!Z24</f>
        <v>348</v>
      </c>
      <c r="J23" s="11">
        <f t="shared" si="2"/>
        <v>0</v>
      </c>
      <c r="K23" s="28">
        <f>'Submetering '!AA23</f>
        <v>109</v>
      </c>
      <c r="L23" s="11">
        <f t="shared" si="2"/>
        <v>0</v>
      </c>
      <c r="M23" s="57">
        <f>'FS Seychelles'!B24</f>
        <v>28.95</v>
      </c>
    </row>
    <row r="24" spans="1:13" s="15" customFormat="1" x14ac:dyDescent="0.25">
      <c r="A24" s="1" t="s">
        <v>29</v>
      </c>
      <c r="B24" s="14">
        <f t="shared" si="0"/>
        <v>23</v>
      </c>
      <c r="C24" s="11">
        <v>12</v>
      </c>
      <c r="D24" s="1">
        <v>2021</v>
      </c>
      <c r="E24" s="12">
        <f>'Submetering '!O24+'Submetering '!P24+'Submetering '!Q24+'Submetering '!R24+'Submetering '!S24+'Submetering '!U24</f>
        <v>38930</v>
      </c>
      <c r="F24" s="11">
        <f>(('FS Seychelles'!R25*'FS Seychelles'!S25)+('FS Seychelles'!T25*'FS Seychelles'!U25))/TOTAL!E24</f>
        <v>0.26103449267916773</v>
      </c>
      <c r="G24" s="12">
        <f>('FS Seychelles'!$AE$10+'FS Seychelles'!$AE$15)/31</f>
        <v>398.06451612903226</v>
      </c>
      <c r="H24" s="11">
        <f t="shared" si="1"/>
        <v>1.05</v>
      </c>
      <c r="I24" s="12">
        <f>'FS Seychelles'!V25+'FS Seychelles'!X25+'FS Seychelles'!Y25+'FS Seychelles'!Z25</f>
        <v>358</v>
      </c>
      <c r="J24" s="11">
        <f t="shared" si="2"/>
        <v>0</v>
      </c>
      <c r="K24" s="28">
        <f>'Submetering '!AA24</f>
        <v>108</v>
      </c>
      <c r="L24" s="11">
        <f t="shared" si="2"/>
        <v>0</v>
      </c>
      <c r="M24" s="57">
        <f>'FS Seychelles'!B25</f>
        <v>35.53</v>
      </c>
    </row>
    <row r="25" spans="1:13" s="15" customFormat="1" x14ac:dyDescent="0.25">
      <c r="A25" s="1" t="s">
        <v>29</v>
      </c>
      <c r="B25" s="14">
        <f t="shared" si="0"/>
        <v>24</v>
      </c>
      <c r="C25" s="11">
        <v>12</v>
      </c>
      <c r="D25" s="1">
        <v>2021</v>
      </c>
      <c r="E25" s="12">
        <f>'Submetering '!O25+'Submetering '!P25+'Submetering '!Q25+'Submetering '!R25+'Submetering '!S25+'Submetering '!U25</f>
        <v>39090</v>
      </c>
      <c r="F25" s="11">
        <f>(('FS Seychelles'!R26*'FS Seychelles'!S26)+('FS Seychelles'!T26*'FS Seychelles'!U26))/TOTAL!E25</f>
        <v>0.26687502686108977</v>
      </c>
      <c r="G25" s="12">
        <f>('FS Seychelles'!$AE$10+'FS Seychelles'!$AE$15)/31</f>
        <v>398.06451612903226</v>
      </c>
      <c r="H25" s="11">
        <f t="shared" si="1"/>
        <v>1.05</v>
      </c>
      <c r="I25" s="12">
        <f>'FS Seychelles'!V26+'FS Seychelles'!X26+'FS Seychelles'!Y26+'FS Seychelles'!Z26</f>
        <v>365.31818181818181</v>
      </c>
      <c r="J25" s="11">
        <f t="shared" si="2"/>
        <v>0</v>
      </c>
      <c r="K25" s="28">
        <f>'Submetering '!AA25</f>
        <v>106.95454545454545</v>
      </c>
      <c r="L25" s="11">
        <f t="shared" si="2"/>
        <v>0</v>
      </c>
      <c r="M25" s="57">
        <f>'FS Seychelles'!B26</f>
        <v>51.9</v>
      </c>
    </row>
    <row r="26" spans="1:13" s="15" customFormat="1" x14ac:dyDescent="0.25">
      <c r="A26" s="1" t="s">
        <v>29</v>
      </c>
      <c r="B26" s="14">
        <f>B25+1</f>
        <v>25</v>
      </c>
      <c r="C26" s="11">
        <v>12</v>
      </c>
      <c r="D26" s="1">
        <v>2021</v>
      </c>
      <c r="E26" s="12">
        <f>'Submetering '!O26+'Submetering '!P26+'Submetering '!Q26+'Submetering '!R26+'Submetering '!S26+'Submetering '!U26</f>
        <v>38971</v>
      </c>
      <c r="F26" s="11">
        <f>(('FS Seychelles'!R27*'FS Seychelles'!S27)+('FS Seychelles'!T27*'FS Seychelles'!U27))/TOTAL!E26</f>
        <v>0.26488641297374971</v>
      </c>
      <c r="G26" s="12">
        <f>('FS Seychelles'!$AE$10+'FS Seychelles'!$AE$15)/31</f>
        <v>398.06451612903226</v>
      </c>
      <c r="H26" s="11">
        <f t="shared" si="1"/>
        <v>1.05</v>
      </c>
      <c r="I26" s="12">
        <f>'FS Seychelles'!V27+'FS Seychelles'!X27+'FS Seychelles'!Y27+'FS Seychelles'!Z27</f>
        <v>370</v>
      </c>
      <c r="J26" s="11">
        <f t="shared" si="2"/>
        <v>0</v>
      </c>
      <c r="K26" s="28">
        <f>'Submetering '!AA26</f>
        <v>103</v>
      </c>
      <c r="L26" s="11">
        <f t="shared" si="2"/>
        <v>0</v>
      </c>
      <c r="M26" s="57">
        <f>'FS Seychelles'!B27</f>
        <v>54.43</v>
      </c>
    </row>
    <row r="27" spans="1:13" s="15" customFormat="1" x14ac:dyDescent="0.25">
      <c r="A27" s="1" t="s">
        <v>29</v>
      </c>
      <c r="B27" s="14">
        <f t="shared" si="0"/>
        <v>26</v>
      </c>
      <c r="C27" s="11">
        <v>12</v>
      </c>
      <c r="D27" s="1">
        <v>2021</v>
      </c>
      <c r="E27" s="12">
        <f>'Submetering '!O27+'Submetering '!P27+'Submetering '!Q27+'Submetering '!R27+'Submetering '!S27+'Submetering '!U27</f>
        <v>331989</v>
      </c>
      <c r="F27" s="11">
        <f>(('FS Seychelles'!R28*'FS Seychelles'!S28)+('FS Seychelles'!T28*'FS Seychelles'!U28))/TOTAL!E27</f>
        <v>0.28595475091042172</v>
      </c>
      <c r="G27" s="12">
        <f>('FS Seychelles'!$AE$10+'FS Seychelles'!$AE$15)/31</f>
        <v>398.06451612903226</v>
      </c>
      <c r="H27" s="11">
        <f t="shared" si="1"/>
        <v>1.05</v>
      </c>
      <c r="I27" s="12">
        <f>'FS Seychelles'!V28+'FS Seychelles'!X28+'FS Seychelles'!Y28+'FS Seychelles'!Z28</f>
        <v>387</v>
      </c>
      <c r="J27" s="11">
        <f t="shared" si="2"/>
        <v>0</v>
      </c>
      <c r="K27" s="28">
        <f>'Submetering '!AA27</f>
        <v>106</v>
      </c>
      <c r="L27" s="11">
        <f t="shared" si="2"/>
        <v>0</v>
      </c>
      <c r="M27" s="57">
        <f>'FS Seychelles'!B28</f>
        <v>56.79</v>
      </c>
    </row>
    <row r="28" spans="1:13" s="15" customFormat="1" x14ac:dyDescent="0.25">
      <c r="A28" s="1" t="s">
        <v>29</v>
      </c>
      <c r="B28" s="14">
        <f t="shared" si="0"/>
        <v>27</v>
      </c>
      <c r="C28" s="11">
        <v>12</v>
      </c>
      <c r="D28" s="1">
        <v>2021</v>
      </c>
      <c r="E28" s="12">
        <f>'Submetering '!O28+'Submetering '!P28+'Submetering '!Q28+'Submetering '!R28+'Submetering '!S28+'Submetering '!U28</f>
        <v>333806</v>
      </c>
      <c r="F28" s="11">
        <f>(('FS Seychelles'!R29*'FS Seychelles'!S29)+('FS Seychelles'!T29*'FS Seychelles'!U29))/TOTAL!E28</f>
        <v>0.28480259671785402</v>
      </c>
      <c r="G28" s="12">
        <f>('FS Seychelles'!$AE$10+'FS Seychelles'!$AE$15)/31</f>
        <v>398.06451612903226</v>
      </c>
      <c r="H28" s="11">
        <f t="shared" si="1"/>
        <v>1.05</v>
      </c>
      <c r="I28" s="12">
        <f>'FS Seychelles'!V29+'FS Seychelles'!X29+'FS Seychelles'!Y29+'FS Seychelles'!Z29</f>
        <v>413</v>
      </c>
      <c r="J28" s="11">
        <f t="shared" si="2"/>
        <v>0</v>
      </c>
      <c r="K28" s="28">
        <f>'Submetering '!AA28</f>
        <v>110</v>
      </c>
      <c r="L28" s="11">
        <f t="shared" si="2"/>
        <v>0</v>
      </c>
      <c r="M28" s="57">
        <f>'FS Seychelles'!B29</f>
        <v>56.79</v>
      </c>
    </row>
    <row r="29" spans="1:13" s="15" customFormat="1" x14ac:dyDescent="0.25">
      <c r="A29" s="1" t="s">
        <v>29</v>
      </c>
      <c r="B29" s="14">
        <f t="shared" si="0"/>
        <v>28</v>
      </c>
      <c r="C29" s="11">
        <v>12</v>
      </c>
      <c r="D29" s="1">
        <v>2021</v>
      </c>
      <c r="E29" s="12">
        <f>'Submetering '!O29+'Submetering '!P29+'Submetering '!Q29+'Submetering '!R29+'Submetering '!S29+'Submetering '!U29</f>
        <v>330830</v>
      </c>
      <c r="F29" s="11">
        <f>(('FS Seychelles'!R30*'FS Seychelles'!S30)+('FS Seychelles'!T30*'FS Seychelles'!U30))/TOTAL!E29</f>
        <v>0.28497065018287338</v>
      </c>
      <c r="G29" s="12">
        <f>('FS Seychelles'!$AE$10+'FS Seychelles'!$AE$15)/31</f>
        <v>398.06451612903226</v>
      </c>
      <c r="H29" s="11">
        <f t="shared" si="1"/>
        <v>1.05</v>
      </c>
      <c r="I29" s="12">
        <f>'FS Seychelles'!V30+'FS Seychelles'!X30+'FS Seychelles'!Y30+'FS Seychelles'!Z30</f>
        <v>392</v>
      </c>
      <c r="J29" s="11">
        <f t="shared" si="2"/>
        <v>0</v>
      </c>
      <c r="K29" s="28">
        <f>'Submetering '!AA29</f>
        <v>66</v>
      </c>
      <c r="L29" s="11">
        <f t="shared" si="2"/>
        <v>0</v>
      </c>
      <c r="M29" s="57">
        <f>'FS Seychelles'!B30</f>
        <v>56.79</v>
      </c>
    </row>
    <row r="30" spans="1:13" s="15" customFormat="1" x14ac:dyDescent="0.25">
      <c r="A30" s="1" t="s">
        <v>29</v>
      </c>
      <c r="B30" s="14">
        <f t="shared" si="0"/>
        <v>29</v>
      </c>
      <c r="C30" s="11">
        <v>12</v>
      </c>
      <c r="D30" s="1">
        <v>2021</v>
      </c>
      <c r="E30" s="12">
        <f>'Submetering '!O30+'Submetering '!P30+'Submetering '!Q30+'Submetering '!R30+'Submetering '!S30+'Submetering '!U30</f>
        <v>324995</v>
      </c>
      <c r="F30" s="11">
        <f>(('FS Seychelles'!R31*'FS Seychelles'!S31)+('FS Seychelles'!T31*'FS Seychelles'!U31))/TOTAL!E30</f>
        <v>0.29523785965937932</v>
      </c>
      <c r="G30" s="12">
        <f>('FS Seychelles'!$AE$10+'FS Seychelles'!$AE$15)/31</f>
        <v>398.06451612903226</v>
      </c>
      <c r="H30" s="11">
        <f t="shared" si="1"/>
        <v>1.05</v>
      </c>
      <c r="I30" s="12">
        <f>'FS Seychelles'!V31+'FS Seychelles'!X31+'FS Seychelles'!Y31+'FS Seychelles'!Z31</f>
        <v>426</v>
      </c>
      <c r="J30" s="11">
        <f t="shared" si="2"/>
        <v>0</v>
      </c>
      <c r="K30" s="28">
        <f>'Submetering '!AA30</f>
        <v>103</v>
      </c>
      <c r="L30" s="11">
        <f t="shared" si="2"/>
        <v>0</v>
      </c>
      <c r="M30" s="57">
        <f>'FS Seychelles'!B31</f>
        <v>67.09</v>
      </c>
    </row>
    <row r="31" spans="1:13" s="13" customFormat="1" x14ac:dyDescent="0.25">
      <c r="A31" s="1" t="s">
        <v>29</v>
      </c>
      <c r="B31" s="14">
        <f t="shared" si="0"/>
        <v>30</v>
      </c>
      <c r="C31" s="11">
        <v>12</v>
      </c>
      <c r="D31" s="1">
        <v>2021</v>
      </c>
      <c r="E31" s="12">
        <f>'Submetering '!O31+'Submetering '!P31+'Submetering '!Q31+'Submetering '!R31+'Submetering '!S31+'Submetering '!U31</f>
        <v>335459</v>
      </c>
      <c r="F31" s="11">
        <f>(('FS Seychelles'!R32*'FS Seychelles'!S32)+('FS Seychelles'!T32*'FS Seychelles'!U32))/TOTAL!E31</f>
        <v>0.28494645306878036</v>
      </c>
      <c r="G31" s="12">
        <f>('FS Seychelles'!$AE$10+'FS Seychelles'!$AE$15)/31</f>
        <v>398.06451612903226</v>
      </c>
      <c r="H31" s="11">
        <f t="shared" si="1"/>
        <v>1.05</v>
      </c>
      <c r="I31" s="12">
        <f>'FS Seychelles'!V32+'FS Seychelles'!X32+'FS Seychelles'!Y32+'FS Seychelles'!Z32</f>
        <v>434</v>
      </c>
      <c r="J31" s="11">
        <f t="shared" si="2"/>
        <v>0</v>
      </c>
      <c r="K31" s="28">
        <f>'Submetering '!AA31</f>
        <v>120</v>
      </c>
      <c r="L31" s="11">
        <f t="shared" si="2"/>
        <v>0</v>
      </c>
      <c r="M31" s="57">
        <f>'FS Seychelles'!B32</f>
        <v>68.42</v>
      </c>
    </row>
    <row r="32" spans="1:13" x14ac:dyDescent="0.25">
      <c r="A32" s="1" t="s">
        <v>29</v>
      </c>
      <c r="B32" s="14">
        <v>31</v>
      </c>
      <c r="C32" s="11">
        <v>12</v>
      </c>
      <c r="D32" s="1">
        <v>2021</v>
      </c>
      <c r="E32" s="12">
        <f>'Submetering '!O32+'Submetering '!P32+'Submetering '!Q32+'Submetering '!R32+'Submetering '!S32+'Submetering '!U32</f>
        <v>329991</v>
      </c>
      <c r="F32" s="11">
        <f>(('FS Seychelles'!R33*'FS Seychelles'!S33)+('FS Seychelles'!T33*'FS Seychelles'!U33))/TOTAL!E32</f>
        <v>0.28596487722392427</v>
      </c>
      <c r="G32" s="12">
        <f>('FS Seychelles'!$AE$10+'FS Seychelles'!$AE$15)/31</f>
        <v>398.06451612903226</v>
      </c>
      <c r="H32" s="11">
        <f t="shared" si="1"/>
        <v>1.05</v>
      </c>
      <c r="I32" s="12">
        <f>'FS Seychelles'!V33+'FS Seychelles'!X33+'FS Seychelles'!Y33+'FS Seychelles'!Z33</f>
        <v>444</v>
      </c>
      <c r="J32" s="11">
        <f t="shared" si="2"/>
        <v>0</v>
      </c>
      <c r="K32" s="28">
        <f>'Submetering '!AA32</f>
        <v>140</v>
      </c>
      <c r="L32" s="11">
        <f t="shared" si="2"/>
        <v>0</v>
      </c>
      <c r="M32" s="57">
        <f>'FS Seychelles'!B33</f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5"/>
  <sheetViews>
    <sheetView workbookViewId="0">
      <selection activeCell="F1" sqref="F1:N1"/>
    </sheetView>
  </sheetViews>
  <sheetFormatPr defaultColWidth="11.5703125" defaultRowHeight="15" x14ac:dyDescent="0.25"/>
  <cols>
    <col min="1" max="1" width="22.28515625" style="25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1" width="12.28515625" style="18" customWidth="1"/>
    <col min="22" max="23" width="12.5703125" style="18" customWidth="1"/>
    <col min="24" max="29" width="16.5703125" style="18" customWidth="1"/>
  </cols>
  <sheetData>
    <row r="1" spans="1:29" s="9" customFormat="1" ht="30" x14ac:dyDescent="0.25">
      <c r="A1" s="26" t="s">
        <v>0</v>
      </c>
      <c r="B1" s="23" t="s">
        <v>1</v>
      </c>
      <c r="C1" s="23" t="s">
        <v>2</v>
      </c>
      <c r="D1" s="23" t="s">
        <v>3</v>
      </c>
      <c r="E1" s="24" t="s">
        <v>4</v>
      </c>
      <c r="F1" s="90" t="s">
        <v>5</v>
      </c>
      <c r="G1" s="91" t="s">
        <v>6</v>
      </c>
      <c r="H1" s="91" t="s">
        <v>7</v>
      </c>
      <c r="I1" s="91" t="s">
        <v>8</v>
      </c>
      <c r="J1" s="91" t="s">
        <v>9</v>
      </c>
      <c r="K1" s="91" t="s">
        <v>10</v>
      </c>
      <c r="L1" s="91" t="s">
        <v>11</v>
      </c>
      <c r="M1" s="91" t="s">
        <v>12</v>
      </c>
      <c r="N1" s="91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</row>
    <row r="2" spans="1:29" x14ac:dyDescent="0.25">
      <c r="A2" s="1" t="s">
        <v>29</v>
      </c>
      <c r="B2" s="11">
        <v>1</v>
      </c>
      <c r="C2" s="11">
        <v>12</v>
      </c>
      <c r="D2" s="11">
        <v>2021</v>
      </c>
      <c r="E2" s="18">
        <f>'FS Seychelles'!B3</f>
        <v>61.84</v>
      </c>
      <c r="F2" s="18">
        <f>'FS Seychelles'!D3*1000</f>
        <v>2955.7760000000003</v>
      </c>
      <c r="G2" s="18">
        <f>'FS Seychelles'!E3*1000</f>
        <v>4048.3840000000005</v>
      </c>
      <c r="H2" s="18">
        <f>'FS Seychelles'!F3*1000</f>
        <v>5153.7920000000004</v>
      </c>
      <c r="I2" s="18">
        <f>'FS Seychelles'!G3*1000</f>
        <v>1966.5919999999999</v>
      </c>
      <c r="J2" s="18">
        <f>'FS Seychelles'!H3*1000</f>
        <v>2712.0639999999999</v>
      </c>
      <c r="K2" s="18">
        <f>'FS Seychelles'!I3*1000</f>
        <v>3098.6240000000003</v>
      </c>
      <c r="L2" s="18">
        <f>'FS Seychelles'!J3*1000</f>
        <v>1396.992</v>
      </c>
      <c r="M2" s="18">
        <f>'FS Seychelles'!K3*1000</f>
        <v>1707.008</v>
      </c>
      <c r="N2" s="18">
        <f>'FS Seychelles'!L3*1000</f>
        <v>3747.84</v>
      </c>
      <c r="O2" s="18">
        <f>'FS Seychelles'!M3</f>
        <v>0</v>
      </c>
      <c r="P2" s="18">
        <f>'FS Seychelles'!N3</f>
        <v>13208</v>
      </c>
      <c r="Q2" s="18">
        <f>'FS Seychelles'!O3</f>
        <v>6140</v>
      </c>
      <c r="R2" s="18">
        <f>'FS Seychelles'!P3</f>
        <v>1311</v>
      </c>
      <c r="S2" s="18">
        <f>'FS Seychelles'!Q3</f>
        <v>9494</v>
      </c>
      <c r="T2" s="18">
        <f>'FS Seychelles'!R3</f>
        <v>7761</v>
      </c>
      <c r="U2" s="18">
        <f>'FS Seychelles'!T3</f>
        <v>0</v>
      </c>
      <c r="V2" s="18">
        <f>'FS Seychelles'!V3</f>
        <v>63</v>
      </c>
      <c r="W2" s="18">
        <f>'FS Seychelles'!W3</f>
        <v>42</v>
      </c>
      <c r="X2" s="18">
        <f>'FS Seychelles'!X3</f>
        <v>46</v>
      </c>
      <c r="Y2" s="18">
        <f>'FS Seychelles'!Y3</f>
        <v>102</v>
      </c>
      <c r="Z2" s="18">
        <f>'FS Seychelles'!Z3</f>
        <v>88</v>
      </c>
      <c r="AA2" s="18">
        <f>'FS Seychelles'!AA3</f>
        <v>108</v>
      </c>
      <c r="AB2" s="18">
        <f>'FS Seychelles'!AB3</f>
        <v>0</v>
      </c>
      <c r="AC2" s="18">
        <f>('FS Seychelles'!AE9+'FS Seychelles'!AE15)/30</f>
        <v>358.33333333333331</v>
      </c>
    </row>
    <row r="3" spans="1:29" x14ac:dyDescent="0.25">
      <c r="A3" s="1" t="s">
        <v>29</v>
      </c>
      <c r="B3" s="11">
        <f>B2+1</f>
        <v>2</v>
      </c>
      <c r="C3" s="11">
        <v>12</v>
      </c>
      <c r="D3" s="11">
        <v>2021</v>
      </c>
      <c r="E3" s="18">
        <f>'FS Seychelles'!B4</f>
        <v>55.26</v>
      </c>
      <c r="F3" s="18">
        <f>'FS Seychelles'!D4*1000</f>
        <v>2995.712</v>
      </c>
      <c r="G3" s="18">
        <f>'FS Seychelles'!E4*1000</f>
        <v>4073.4719999999998</v>
      </c>
      <c r="H3" s="18">
        <f>'FS Seychelles'!F4*1000</f>
        <v>5527.04</v>
      </c>
      <c r="I3" s="18">
        <f>'FS Seychelles'!G4*1000</f>
        <v>2119.6799999999998</v>
      </c>
      <c r="J3" s="18">
        <f>'FS Seychelles'!H4*1000</f>
        <v>2924.288</v>
      </c>
      <c r="K3" s="18">
        <f>'FS Seychelles'!I4*1000</f>
        <v>3347.9679999999998</v>
      </c>
      <c r="L3" s="18">
        <f>'FS Seychelles'!J4*1000</f>
        <v>1367.68</v>
      </c>
      <c r="M3" s="18">
        <f>'FS Seychelles'!K4*1000</f>
        <v>1657.856</v>
      </c>
      <c r="N3" s="18">
        <f>'FS Seychelles'!L4*1000</f>
        <v>3687.424</v>
      </c>
      <c r="O3" s="18">
        <f>'FS Seychelles'!M4</f>
        <v>0</v>
      </c>
      <c r="P3" s="18">
        <f>'FS Seychelles'!N4</f>
        <v>0</v>
      </c>
      <c r="Q3" s="18">
        <f>'FS Seychelles'!O4</f>
        <v>14202</v>
      </c>
      <c r="R3" s="18">
        <f>'FS Seychelles'!P4</f>
        <v>10383</v>
      </c>
      <c r="S3" s="18">
        <f>'FS Seychelles'!Q4</f>
        <v>7947</v>
      </c>
      <c r="T3" s="18">
        <f>'FS Seychelles'!R4</f>
        <v>8234</v>
      </c>
      <c r="U3" s="18">
        <f>'FS Seychelles'!T4</f>
        <v>0</v>
      </c>
      <c r="V3" s="18">
        <f>'FS Seychelles'!V4</f>
        <v>52</v>
      </c>
      <c r="W3" s="18">
        <f>'FS Seychelles'!W4</f>
        <v>35</v>
      </c>
      <c r="X3" s="18">
        <f>'FS Seychelles'!X4</f>
        <v>57</v>
      </c>
      <c r="Y3" s="18">
        <f>'FS Seychelles'!Y4</f>
        <v>219</v>
      </c>
      <c r="Z3" s="18">
        <f>'FS Seychelles'!Z4</f>
        <v>84</v>
      </c>
      <c r="AA3" s="18">
        <f>'FS Seychelles'!AA4</f>
        <v>108</v>
      </c>
      <c r="AB3" s="18">
        <f>'FS Seychelles'!AB4</f>
        <v>0</v>
      </c>
      <c r="AC3" s="18">
        <f>('FS Seychelles'!AE10+'FS Seychelles'!AE16)/30</f>
        <v>53</v>
      </c>
    </row>
    <row r="4" spans="1:29" x14ac:dyDescent="0.25">
      <c r="A4" s="1" t="s">
        <v>29</v>
      </c>
      <c r="B4" s="11">
        <f t="shared" ref="B4:B31" si="0">B3+1</f>
        <v>3</v>
      </c>
      <c r="C4" s="11">
        <v>12</v>
      </c>
      <c r="D4" s="11">
        <v>2021</v>
      </c>
      <c r="E4" s="18">
        <f>'FS Seychelles'!B5</f>
        <v>51.31</v>
      </c>
      <c r="F4" s="18">
        <f>'FS Seychelles'!D5*1000</f>
        <v>2854.4</v>
      </c>
      <c r="G4" s="18">
        <f>'FS Seychelles'!E5*1000</f>
        <v>3822.5920000000001</v>
      </c>
      <c r="H4" s="18">
        <f>'FS Seychelles'!F5*1000</f>
        <v>5414.9120000000003</v>
      </c>
      <c r="I4" s="18">
        <f>'FS Seychelles'!G5*1000</f>
        <v>2009.6</v>
      </c>
      <c r="J4" s="18">
        <f>'FS Seychelles'!H5*1000</f>
        <v>2675.2</v>
      </c>
      <c r="K4" s="18">
        <f>'FS Seychelles'!I5*1000</f>
        <v>3264</v>
      </c>
      <c r="L4" s="18">
        <f>'FS Seychelles'!J5*1000</f>
        <v>1496.4480000000001</v>
      </c>
      <c r="M4" s="18">
        <f>'FS Seychelles'!K5*1000</f>
        <v>1700.3520000000001</v>
      </c>
      <c r="N4" s="18">
        <f>'FS Seychelles'!L5*1000</f>
        <v>3748.3520000000003</v>
      </c>
      <c r="O4" s="18">
        <f>'FS Seychelles'!M5</f>
        <v>0</v>
      </c>
      <c r="P4" s="18">
        <f>'FS Seychelles'!N5</f>
        <v>11019</v>
      </c>
      <c r="Q4" s="18">
        <f>'FS Seychelles'!O5</f>
        <v>3933</v>
      </c>
      <c r="R4" s="18">
        <f>'FS Seychelles'!P5</f>
        <v>10970</v>
      </c>
      <c r="S4" s="18">
        <f>'FS Seychelles'!Q5</f>
        <v>3919</v>
      </c>
      <c r="T4" s="18">
        <f>'FS Seychelles'!R5</f>
        <v>7982</v>
      </c>
      <c r="U4" s="18">
        <f>'FS Seychelles'!T5</f>
        <v>0</v>
      </c>
      <c r="V4" s="18">
        <f>'FS Seychelles'!V5</f>
        <v>54</v>
      </c>
      <c r="W4" s="18">
        <f>'FS Seychelles'!W5</f>
        <v>34</v>
      </c>
      <c r="X4" s="18">
        <f>'FS Seychelles'!X5</f>
        <v>54</v>
      </c>
      <c r="Y4" s="18">
        <f>'FS Seychelles'!Y5</f>
        <v>256</v>
      </c>
      <c r="Z4" s="18">
        <f>'FS Seychelles'!Z5</f>
        <v>114</v>
      </c>
      <c r="AA4" s="18">
        <f>'FS Seychelles'!AA5</f>
        <v>106</v>
      </c>
      <c r="AB4" s="18">
        <f>'FS Seychelles'!AB5</f>
        <v>0</v>
      </c>
      <c r="AC4" s="18">
        <f>('FS Seychelles'!AE11+'FS Seychelles'!AE17)/30</f>
        <v>0</v>
      </c>
    </row>
    <row r="5" spans="1:29" x14ac:dyDescent="0.25">
      <c r="A5" s="1" t="s">
        <v>29</v>
      </c>
      <c r="B5" s="11">
        <f t="shared" si="0"/>
        <v>4</v>
      </c>
      <c r="C5" s="11">
        <v>12</v>
      </c>
      <c r="D5" s="11">
        <v>2021</v>
      </c>
      <c r="E5" s="18">
        <f>'FS Seychelles'!B6</f>
        <v>46.05</v>
      </c>
      <c r="F5" s="18">
        <f>'FS Seychelles'!D6*1000</f>
        <v>2876.4159999999997</v>
      </c>
      <c r="G5" s="18">
        <f>'FS Seychelles'!E6*1000</f>
        <v>3983.3599999999997</v>
      </c>
      <c r="H5" s="18">
        <f>'FS Seychelles'!F6*1000</f>
        <v>5349.8879999999999</v>
      </c>
      <c r="I5" s="18">
        <f>'FS Seychelles'!G6*1000</f>
        <v>2078.4639999999999</v>
      </c>
      <c r="J5" s="18">
        <f>'FS Seychelles'!H6*1000</f>
        <v>2461.1839999999997</v>
      </c>
      <c r="K5" s="18">
        <f>'FS Seychelles'!I6*1000</f>
        <v>3554.56</v>
      </c>
      <c r="L5" s="18">
        <f>'FS Seychelles'!J6*1000</f>
        <v>1533.4399999999998</v>
      </c>
      <c r="M5" s="18">
        <f>'FS Seychelles'!K6*1000</f>
        <v>1736.192</v>
      </c>
      <c r="N5" s="18">
        <f>'FS Seychelles'!L6*1000</f>
        <v>3768.32</v>
      </c>
      <c r="O5" s="18">
        <f>'FS Seychelles'!M6</f>
        <v>0</v>
      </c>
      <c r="P5" s="18">
        <f>'FS Seychelles'!N6</f>
        <v>8921</v>
      </c>
      <c r="Q5" s="18">
        <f>'FS Seychelles'!O6</f>
        <v>6677</v>
      </c>
      <c r="R5" s="18">
        <f>'FS Seychelles'!P6</f>
        <v>9073</v>
      </c>
      <c r="S5" s="18">
        <f>'FS Seychelles'!Q6</f>
        <v>6548</v>
      </c>
      <c r="T5" s="18">
        <f>'FS Seychelles'!R6</f>
        <v>8209</v>
      </c>
      <c r="U5" s="18">
        <f>'FS Seychelles'!T6</f>
        <v>0</v>
      </c>
      <c r="V5" s="18">
        <f>'FS Seychelles'!V6</f>
        <v>57</v>
      </c>
      <c r="W5" s="18">
        <f>'FS Seychelles'!W6</f>
        <v>26</v>
      </c>
      <c r="X5" s="18">
        <f>'FS Seychelles'!X6</f>
        <v>83</v>
      </c>
      <c r="Y5" s="18">
        <f>'FS Seychelles'!Y6</f>
        <v>202</v>
      </c>
      <c r="Z5" s="18">
        <f>'FS Seychelles'!Z6</f>
        <v>54</v>
      </c>
      <c r="AA5" s="18">
        <f>'FS Seychelles'!AA6</f>
        <v>105</v>
      </c>
      <c r="AB5" s="18">
        <f>'FS Seychelles'!AB6</f>
        <v>0</v>
      </c>
      <c r="AC5" s="18">
        <f>('FS Seychelles'!AE12+'FS Seychelles'!AE18)/30</f>
        <v>0</v>
      </c>
    </row>
    <row r="6" spans="1:29" x14ac:dyDescent="0.25">
      <c r="A6" s="1" t="s">
        <v>29</v>
      </c>
      <c r="B6" s="11">
        <f t="shared" si="0"/>
        <v>5</v>
      </c>
      <c r="C6" s="11">
        <v>12</v>
      </c>
      <c r="D6" s="11">
        <v>2021</v>
      </c>
      <c r="E6" s="18">
        <f>'FS Seychelles'!B7</f>
        <v>46.05</v>
      </c>
      <c r="F6" s="18">
        <f>'FS Seychelles'!D7*1000</f>
        <v>3171.328</v>
      </c>
      <c r="G6" s="18">
        <f>'FS Seychelles'!E7*1000</f>
        <v>3950.08</v>
      </c>
      <c r="H6" s="18">
        <f>'FS Seychelles'!F7*1000</f>
        <v>5196.7999999999993</v>
      </c>
      <c r="I6" s="18">
        <f>'FS Seychelles'!G7*1000</f>
        <v>2297.8559999999998</v>
      </c>
      <c r="J6" s="18">
        <f>'FS Seychelles'!H7*1000</f>
        <v>2751.232</v>
      </c>
      <c r="K6" s="18">
        <f>'FS Seychelles'!I7*1000</f>
        <v>3625.7280000000001</v>
      </c>
      <c r="L6" s="18">
        <f>'FS Seychelles'!J7*1000</f>
        <v>1442.432</v>
      </c>
      <c r="M6" s="18">
        <f>'FS Seychelles'!K7*1000</f>
        <v>1691.136</v>
      </c>
      <c r="N6" s="18">
        <f>'FS Seychelles'!L7*1000</f>
        <v>3543.04</v>
      </c>
      <c r="O6" s="18">
        <f>'FS Seychelles'!M7</f>
        <v>0</v>
      </c>
      <c r="P6" s="18">
        <f>'FS Seychelles'!N7</f>
        <v>10133</v>
      </c>
      <c r="Q6" s="18">
        <f>'FS Seychelles'!O7</f>
        <v>8450</v>
      </c>
      <c r="R6" s="18">
        <f>'FS Seychelles'!P7</f>
        <v>0</v>
      </c>
      <c r="S6" s="18">
        <f>'FS Seychelles'!Q7</f>
        <v>10764</v>
      </c>
      <c r="T6" s="18">
        <f>'FS Seychelles'!R7</f>
        <v>7300</v>
      </c>
      <c r="U6" s="18">
        <f>'FS Seychelles'!T7</f>
        <v>0</v>
      </c>
      <c r="V6" s="18">
        <f>'FS Seychelles'!V7</f>
        <v>48</v>
      </c>
      <c r="W6" s="18">
        <f>'FS Seychelles'!W7</f>
        <v>30</v>
      </c>
      <c r="X6" s="18">
        <f>'FS Seychelles'!X7</f>
        <v>87</v>
      </c>
      <c r="Y6" s="18">
        <f>'FS Seychelles'!Y7</f>
        <v>174</v>
      </c>
      <c r="Z6" s="18">
        <f>'FS Seychelles'!Z7</f>
        <v>76</v>
      </c>
      <c r="AA6" s="18">
        <f>'FS Seychelles'!AA7</f>
        <v>128</v>
      </c>
      <c r="AB6" s="18">
        <f>'FS Seychelles'!AB7</f>
        <v>0</v>
      </c>
      <c r="AC6" s="18">
        <f>('FS Seychelles'!AE13+'FS Seychelles'!AE19)/30</f>
        <v>0</v>
      </c>
    </row>
    <row r="7" spans="1:29" x14ac:dyDescent="0.25">
      <c r="A7" s="1" t="s">
        <v>29</v>
      </c>
      <c r="B7" s="11">
        <f t="shared" si="0"/>
        <v>6</v>
      </c>
      <c r="C7" s="11">
        <v>12</v>
      </c>
      <c r="D7" s="11">
        <v>2021</v>
      </c>
      <c r="E7" s="18">
        <f>'FS Seychelles'!B8</f>
        <v>47.37</v>
      </c>
      <c r="F7" s="18">
        <f>'FS Seychelles'!D8*1000</f>
        <v>2596.864</v>
      </c>
      <c r="G7" s="18">
        <f>'FS Seychelles'!E8*1000</f>
        <v>3389.44</v>
      </c>
      <c r="H7" s="18">
        <f>'FS Seychelles'!F8*1000</f>
        <v>4950.5280000000002</v>
      </c>
      <c r="I7" s="18">
        <f>'FS Seychelles'!G8*1000</f>
        <v>1919.4880000000001</v>
      </c>
      <c r="J7" s="18">
        <f>'FS Seychelles'!H8*1000</f>
        <v>2407.6799999999998</v>
      </c>
      <c r="K7" s="18">
        <f>'FS Seychelles'!I8*1000</f>
        <v>2953.9840000000004</v>
      </c>
      <c r="L7" s="18">
        <f>'FS Seychelles'!J8*1000</f>
        <v>1436.288</v>
      </c>
      <c r="M7" s="18">
        <f>'FS Seychelles'!K8*1000</f>
        <v>1646.08</v>
      </c>
      <c r="N7" s="18">
        <f>'FS Seychelles'!L8*1000</f>
        <v>3667.9680000000003</v>
      </c>
      <c r="O7" s="18">
        <f>'FS Seychelles'!M8</f>
        <v>0</v>
      </c>
      <c r="P7" s="18">
        <f>'FS Seychelles'!N8</f>
        <v>13618</v>
      </c>
      <c r="Q7" s="18">
        <f>'FS Seychelles'!O8</f>
        <v>4392</v>
      </c>
      <c r="R7" s="18">
        <f>'FS Seychelles'!P8</f>
        <v>0</v>
      </c>
      <c r="S7" s="18">
        <f>'FS Seychelles'!Q8</f>
        <v>9246</v>
      </c>
      <c r="T7" s="18">
        <f>'FS Seychelles'!R8</f>
        <v>6269</v>
      </c>
      <c r="U7" s="18">
        <f>'FS Seychelles'!T8</f>
        <v>0</v>
      </c>
      <c r="V7" s="18">
        <f>'FS Seychelles'!V8</f>
        <v>50</v>
      </c>
      <c r="W7" s="18">
        <f>'FS Seychelles'!W8</f>
        <v>20</v>
      </c>
      <c r="X7" s="18">
        <f>'FS Seychelles'!X8</f>
        <v>55</v>
      </c>
      <c r="Y7" s="18">
        <f>'FS Seychelles'!Y8</f>
        <v>167</v>
      </c>
      <c r="Z7" s="18">
        <f>'FS Seychelles'!Z8</f>
        <v>117</v>
      </c>
      <c r="AA7" s="18">
        <f>'FS Seychelles'!AA8</f>
        <v>73</v>
      </c>
      <c r="AB7" s="18">
        <f>'FS Seychelles'!AB8</f>
        <v>0</v>
      </c>
      <c r="AC7" s="18">
        <f>('FS Seychelles'!AE14+'FS Seychelles'!AE20)/30</f>
        <v>0</v>
      </c>
    </row>
    <row r="8" spans="1:29" x14ac:dyDescent="0.25">
      <c r="A8" s="1" t="s">
        <v>29</v>
      </c>
      <c r="B8" s="11">
        <f t="shared" si="0"/>
        <v>7</v>
      </c>
      <c r="C8" s="11">
        <v>12</v>
      </c>
      <c r="D8" s="11">
        <v>2021</v>
      </c>
      <c r="E8" s="18">
        <f>'FS Seychelles'!B9</f>
        <v>46.05</v>
      </c>
      <c r="F8" s="18">
        <f>'FS Seychelles'!D9*1000</f>
        <v>2971.6480000000001</v>
      </c>
      <c r="G8" s="18">
        <f>'FS Seychelles'!E9*1000</f>
        <v>957.952</v>
      </c>
      <c r="H8" s="18">
        <f>'FS Seychelles'!F9*1000</f>
        <v>4803.0720000000001</v>
      </c>
      <c r="I8" s="18">
        <f>'FS Seychelles'!G9*1000</f>
        <v>2163.4560000000001</v>
      </c>
      <c r="J8" s="18">
        <f>'FS Seychelles'!H9*1000</f>
        <v>2687.4880000000003</v>
      </c>
      <c r="K8" s="18">
        <f>'FS Seychelles'!I9*1000</f>
        <v>3086.08</v>
      </c>
      <c r="L8" s="18">
        <f>'FS Seychelles'!J9*1000</f>
        <v>1229.184</v>
      </c>
      <c r="M8" s="18">
        <f>'FS Seychelles'!K9*1000</f>
        <v>1645.568</v>
      </c>
      <c r="N8" s="18">
        <f>'FS Seychelles'!L9*1000</f>
        <v>3428.3519999999999</v>
      </c>
      <c r="O8" s="18">
        <f>'FS Seychelles'!M9</f>
        <v>0</v>
      </c>
      <c r="P8" s="18">
        <f>'FS Seychelles'!N9</f>
        <v>10738</v>
      </c>
      <c r="Q8" s="18">
        <f>'FS Seychelles'!O9</f>
        <v>7579</v>
      </c>
      <c r="R8" s="18">
        <f>'FS Seychelles'!P9</f>
        <v>0</v>
      </c>
      <c r="S8" s="18">
        <f>'FS Seychelles'!Q9</f>
        <v>12798</v>
      </c>
      <c r="T8" s="18">
        <f>'FS Seychelles'!R9</f>
        <v>8173</v>
      </c>
      <c r="U8" s="18">
        <f>'FS Seychelles'!T9</f>
        <v>0</v>
      </c>
      <c r="V8" s="18">
        <f>'FS Seychelles'!V9</f>
        <v>53</v>
      </c>
      <c r="W8" s="18">
        <f>'FS Seychelles'!W9</f>
        <v>45</v>
      </c>
      <c r="X8" s="18">
        <f>'FS Seychelles'!X9</f>
        <v>50</v>
      </c>
      <c r="Y8" s="18">
        <f>'FS Seychelles'!Y9</f>
        <v>179</v>
      </c>
      <c r="Z8" s="18">
        <f>'FS Seychelles'!Z9</f>
        <v>157</v>
      </c>
      <c r="AA8" s="18">
        <f>'FS Seychelles'!AA9</f>
        <v>109</v>
      </c>
      <c r="AB8" s="18">
        <f>'FS Seychelles'!AB9</f>
        <v>0</v>
      </c>
      <c r="AC8" s="18">
        <f>('FS Seychelles'!AE15+'FS Seychelles'!AE21)/30</f>
        <v>358.33333333333331</v>
      </c>
    </row>
    <row r="9" spans="1:29" x14ac:dyDescent="0.25">
      <c r="A9" s="1" t="s">
        <v>29</v>
      </c>
      <c r="B9" s="11">
        <f t="shared" si="0"/>
        <v>8</v>
      </c>
      <c r="C9" s="11">
        <v>12</v>
      </c>
      <c r="D9" s="11">
        <v>2021</v>
      </c>
      <c r="E9" s="18">
        <f>'FS Seychelles'!B10</f>
        <v>58.42</v>
      </c>
      <c r="F9" s="18">
        <f>'FS Seychelles'!D10*1000</f>
        <v>2105.3440000000001</v>
      </c>
      <c r="G9" s="18">
        <f>'FS Seychelles'!E10*1000</f>
        <v>0</v>
      </c>
      <c r="H9" s="18">
        <f>'FS Seychelles'!F10*1000</f>
        <v>4518.3999999999996</v>
      </c>
      <c r="I9" s="18">
        <f>'FS Seychelles'!G10*1000</f>
        <v>1540.864</v>
      </c>
      <c r="J9" s="18">
        <f>'FS Seychelles'!H10*1000</f>
        <v>1985.7919999999999</v>
      </c>
      <c r="K9" s="18">
        <f>'FS Seychelles'!I10*1000</f>
        <v>2241.0239999999999</v>
      </c>
      <c r="L9" s="18">
        <f>'FS Seychelles'!J10*1000</f>
        <v>1347.5839999999998</v>
      </c>
      <c r="M9" s="18">
        <f>'FS Seychelles'!K10*1000</f>
        <v>1610.2399999999998</v>
      </c>
      <c r="N9" s="18">
        <f>'FS Seychelles'!L10*1000</f>
        <v>3401.2159999999999</v>
      </c>
      <c r="O9" s="18">
        <f>'FS Seychelles'!M10</f>
        <v>0</v>
      </c>
      <c r="P9" s="18">
        <f>'FS Seychelles'!N10</f>
        <v>13865</v>
      </c>
      <c r="Q9" s="18">
        <f>'FS Seychelles'!O10</f>
        <v>9099</v>
      </c>
      <c r="R9" s="18">
        <f>'FS Seychelles'!P10</f>
        <v>7793</v>
      </c>
      <c r="S9" s="18">
        <f>'FS Seychelles'!Q10</f>
        <v>4420</v>
      </c>
      <c r="T9" s="18">
        <f>'FS Seychelles'!R10</f>
        <v>7895</v>
      </c>
      <c r="U9" s="18">
        <f>'FS Seychelles'!T10</f>
        <v>0</v>
      </c>
      <c r="V9" s="18">
        <f>'FS Seychelles'!V10</f>
        <v>45</v>
      </c>
      <c r="W9" s="18">
        <f>'FS Seychelles'!W10</f>
        <v>30</v>
      </c>
      <c r="X9" s="18">
        <f>'FS Seychelles'!X10</f>
        <v>32</v>
      </c>
      <c r="Y9" s="18">
        <f>'FS Seychelles'!Y10</f>
        <v>139</v>
      </c>
      <c r="Z9" s="18">
        <f>'FS Seychelles'!Z10</f>
        <v>81</v>
      </c>
      <c r="AA9" s="18">
        <f>'FS Seychelles'!AA10</f>
        <v>110</v>
      </c>
      <c r="AB9" s="18">
        <f>'FS Seychelles'!AB10</f>
        <v>0</v>
      </c>
      <c r="AC9" s="18">
        <f>('FS Seychelles'!AE16+'FS Seychelles'!AE22)/30</f>
        <v>0</v>
      </c>
    </row>
    <row r="10" spans="1:29" x14ac:dyDescent="0.25">
      <c r="A10" s="1" t="s">
        <v>29</v>
      </c>
      <c r="B10" s="11">
        <f t="shared" si="0"/>
        <v>9</v>
      </c>
      <c r="C10" s="11">
        <v>12</v>
      </c>
      <c r="D10" s="11">
        <v>2021</v>
      </c>
      <c r="E10" s="18">
        <f>'FS Seychelles'!B11</f>
        <v>48.68</v>
      </c>
      <c r="F10" s="18">
        <f>'FS Seychelles'!D11*1000</f>
        <v>2010.624</v>
      </c>
      <c r="G10" s="18">
        <f>'FS Seychelles'!E11*1000</f>
        <v>0</v>
      </c>
      <c r="H10" s="18">
        <f>'FS Seychelles'!F11*1000</f>
        <v>4394.4960000000001</v>
      </c>
      <c r="I10" s="18">
        <f>'FS Seychelles'!G11*1000</f>
        <v>1410.56</v>
      </c>
      <c r="J10" s="18">
        <f>'FS Seychelles'!H11*1000</f>
        <v>1964.288</v>
      </c>
      <c r="K10" s="18">
        <f>'FS Seychelles'!I11*1000</f>
        <v>2153.2159999999999</v>
      </c>
      <c r="L10" s="18">
        <f>'FS Seychelles'!J11*1000</f>
        <v>1332.3520000000001</v>
      </c>
      <c r="M10" s="18">
        <f>'FS Seychelles'!K11*1000</f>
        <v>1529.856</v>
      </c>
      <c r="N10" s="18">
        <f>'FS Seychelles'!L11*1000</f>
        <v>3399.68</v>
      </c>
      <c r="O10" s="18">
        <f>'FS Seychelles'!M11</f>
        <v>0</v>
      </c>
      <c r="P10" s="18">
        <f>'FS Seychelles'!N11</f>
        <v>8494</v>
      </c>
      <c r="Q10" s="18">
        <f>'FS Seychelles'!O11</f>
        <v>4629</v>
      </c>
      <c r="R10" s="18">
        <f>'FS Seychelles'!P11</f>
        <v>8206</v>
      </c>
      <c r="S10" s="18">
        <f>'FS Seychelles'!Q11</f>
        <v>0</v>
      </c>
      <c r="T10" s="18">
        <f>'FS Seychelles'!R11</f>
        <v>4719</v>
      </c>
      <c r="U10" s="18">
        <f>'FS Seychelles'!T11</f>
        <v>0</v>
      </c>
      <c r="V10" s="18">
        <f>'FS Seychelles'!V11</f>
        <v>51</v>
      </c>
      <c r="W10" s="18">
        <f>'FS Seychelles'!W11</f>
        <v>38</v>
      </c>
      <c r="X10" s="18">
        <f>'FS Seychelles'!X11</f>
        <v>27</v>
      </c>
      <c r="Y10" s="18">
        <f>'FS Seychelles'!Y11</f>
        <v>143</v>
      </c>
      <c r="Z10" s="18">
        <f>'FS Seychelles'!Z11</f>
        <v>66</v>
      </c>
      <c r="AA10" s="18">
        <f>'FS Seychelles'!AA11</f>
        <v>108</v>
      </c>
      <c r="AB10" s="18">
        <f>'FS Seychelles'!AB11</f>
        <v>0</v>
      </c>
      <c r="AC10" s="18">
        <f>('FS Seychelles'!AE17+'FS Seychelles'!AE23)/30</f>
        <v>0</v>
      </c>
    </row>
    <row r="11" spans="1:29" x14ac:dyDescent="0.25">
      <c r="A11" s="1" t="s">
        <v>29</v>
      </c>
      <c r="B11" s="11">
        <f t="shared" si="0"/>
        <v>10</v>
      </c>
      <c r="C11" s="11">
        <v>12</v>
      </c>
      <c r="D11" s="11">
        <v>2021</v>
      </c>
      <c r="E11" s="18">
        <f>'FS Seychelles'!B12</f>
        <v>51.95</v>
      </c>
      <c r="F11" s="18">
        <f>'FS Seychelles'!D12*1000</f>
        <v>2400.7679999999996</v>
      </c>
      <c r="G11" s="18">
        <f>'FS Seychelles'!E12*1000</f>
        <v>0</v>
      </c>
      <c r="H11" s="18">
        <f>'FS Seychelles'!F12*1000</f>
        <v>4591.1039999999994</v>
      </c>
      <c r="I11" s="18">
        <f>'FS Seychelles'!G12*1000</f>
        <v>1781.248</v>
      </c>
      <c r="J11" s="18">
        <f>'FS Seychelles'!H12*1000</f>
        <v>2294.2719999999999</v>
      </c>
      <c r="K11" s="18">
        <f>'FS Seychelles'!I12*1000</f>
        <v>2438.4</v>
      </c>
      <c r="L11" s="18">
        <f>'FS Seychelles'!J12*1000</f>
        <v>1357.8239999999998</v>
      </c>
      <c r="M11" s="18">
        <f>'FS Seychelles'!K12*1000</f>
        <v>1609.7280000000001</v>
      </c>
      <c r="N11" s="18">
        <f>'FS Seychelles'!L12*1000</f>
        <v>3516.4160000000002</v>
      </c>
      <c r="O11" s="18">
        <f>'FS Seychelles'!M12</f>
        <v>3995</v>
      </c>
      <c r="P11" s="18">
        <f>'FS Seychelles'!N12</f>
        <v>11388</v>
      </c>
      <c r="Q11" s="18">
        <f>'FS Seychelles'!O12</f>
        <v>5230</v>
      </c>
      <c r="R11" s="18">
        <f>'FS Seychelles'!P12</f>
        <v>11672</v>
      </c>
      <c r="S11" s="18">
        <f>'FS Seychelles'!Q12</f>
        <v>0</v>
      </c>
      <c r="T11" s="18">
        <f>'FS Seychelles'!R12</f>
        <v>6996</v>
      </c>
      <c r="U11" s="18">
        <f>'FS Seychelles'!T12</f>
        <v>0</v>
      </c>
      <c r="V11" s="18">
        <f>'FS Seychelles'!V12</f>
        <v>56</v>
      </c>
      <c r="W11" s="18">
        <f>'FS Seychelles'!W12</f>
        <v>43</v>
      </c>
      <c r="X11" s="18">
        <f>'FS Seychelles'!X12</f>
        <v>25</v>
      </c>
      <c r="Y11" s="18">
        <f>'FS Seychelles'!Y12</f>
        <v>174</v>
      </c>
      <c r="Z11" s="18">
        <f>'FS Seychelles'!Z12</f>
        <v>86</v>
      </c>
      <c r="AA11" s="18">
        <f>'FS Seychelles'!AA12</f>
        <v>107</v>
      </c>
      <c r="AB11" s="18">
        <f>'FS Seychelles'!AB12</f>
        <v>0</v>
      </c>
      <c r="AC11" s="18">
        <f>('FS Seychelles'!AE18+'FS Seychelles'!AE24)/30</f>
        <v>0</v>
      </c>
    </row>
    <row r="12" spans="1:29" x14ac:dyDescent="0.25">
      <c r="A12" s="1" t="s">
        <v>29</v>
      </c>
      <c r="B12" s="11">
        <f t="shared" si="0"/>
        <v>11</v>
      </c>
      <c r="C12" s="11">
        <v>12</v>
      </c>
      <c r="D12" s="11">
        <v>2021</v>
      </c>
      <c r="E12" s="18">
        <f>'FS Seychelles'!B13</f>
        <v>51.28</v>
      </c>
      <c r="F12" s="18">
        <f>'FS Seychelles'!D13*1000</f>
        <v>2906.6239999999998</v>
      </c>
      <c r="G12" s="18">
        <f>'FS Seychelles'!E13*1000</f>
        <v>0</v>
      </c>
      <c r="H12" s="18">
        <f>'FS Seychelles'!F13*1000</f>
        <v>5023.7439999999997</v>
      </c>
      <c r="I12" s="18">
        <f>'FS Seychelles'!G13*1000</f>
        <v>1901.8240000000001</v>
      </c>
      <c r="J12" s="18">
        <f>'FS Seychelles'!H13*1000</f>
        <v>2322.944</v>
      </c>
      <c r="K12" s="18">
        <f>'FS Seychelles'!I13*1000</f>
        <v>2758.9119999999998</v>
      </c>
      <c r="L12" s="18">
        <f>'FS Seychelles'!J13*1000</f>
        <v>1501.184</v>
      </c>
      <c r="M12" s="18">
        <f>'FS Seychelles'!K13*1000</f>
        <v>1728.5119999999999</v>
      </c>
      <c r="N12" s="18">
        <f>'FS Seychelles'!L13*1000</f>
        <v>3586.56</v>
      </c>
      <c r="O12" s="18">
        <f>'FS Seychelles'!M13</f>
        <v>0</v>
      </c>
      <c r="P12" s="18">
        <f>'FS Seychelles'!N13</f>
        <v>11328</v>
      </c>
      <c r="Q12" s="18">
        <f>'FS Seychelles'!O13</f>
        <v>14771</v>
      </c>
      <c r="R12" s="18">
        <f>'FS Seychelles'!P13</f>
        <v>3866</v>
      </c>
      <c r="S12" s="18">
        <f>'FS Seychelles'!Q13</f>
        <v>0</v>
      </c>
      <c r="T12" s="18">
        <f>'FS Seychelles'!R13</f>
        <v>6211</v>
      </c>
      <c r="U12" s="18">
        <f>'FS Seychelles'!T13</f>
        <v>0</v>
      </c>
      <c r="V12" s="18">
        <f>'FS Seychelles'!V13</f>
        <v>53</v>
      </c>
      <c r="W12" s="18">
        <f>'FS Seychelles'!W13</f>
        <v>21</v>
      </c>
      <c r="X12" s="18">
        <f>'FS Seychelles'!X13</f>
        <v>127</v>
      </c>
      <c r="Y12" s="18">
        <f>'FS Seychelles'!Y13</f>
        <v>247</v>
      </c>
      <c r="Z12" s="18">
        <f>'FS Seychelles'!Z13</f>
        <v>88</v>
      </c>
      <c r="AA12" s="18">
        <f>'FS Seychelles'!AA13</f>
        <v>109</v>
      </c>
      <c r="AB12" s="18">
        <f>'FS Seychelles'!AB13</f>
        <v>0</v>
      </c>
      <c r="AC12" s="18">
        <f>('FS Seychelles'!AE19+'FS Seychelles'!AE25)/30</f>
        <v>0</v>
      </c>
    </row>
    <row r="13" spans="1:29" x14ac:dyDescent="0.25">
      <c r="A13" s="1" t="s">
        <v>29</v>
      </c>
      <c r="B13" s="11">
        <f t="shared" si="0"/>
        <v>12</v>
      </c>
      <c r="C13" s="11">
        <v>12</v>
      </c>
      <c r="D13" s="11">
        <v>2021</v>
      </c>
      <c r="E13" s="18">
        <f>'FS Seychelles'!B14</f>
        <v>40.51</v>
      </c>
      <c r="F13" s="18">
        <f>'FS Seychelles'!D14*1000</f>
        <v>3090.4319999999998</v>
      </c>
      <c r="G13" s="18">
        <f>'FS Seychelles'!E14*1000</f>
        <v>0</v>
      </c>
      <c r="H13" s="18">
        <f>'FS Seychelles'!F14*1000</f>
        <v>4895.7439999999997</v>
      </c>
      <c r="I13" s="18">
        <f>'FS Seychelles'!G14*1000</f>
        <v>1937.152</v>
      </c>
      <c r="J13" s="18">
        <f>'FS Seychelles'!H14*1000</f>
        <v>2451.9679999999998</v>
      </c>
      <c r="K13" s="18">
        <f>'FS Seychelles'!I14*1000</f>
        <v>2816.2560000000003</v>
      </c>
      <c r="L13" s="18">
        <f>'FS Seychelles'!J14*1000</f>
        <v>1472.384</v>
      </c>
      <c r="M13" s="18">
        <f>'FS Seychelles'!K14*1000</f>
        <v>1634.048</v>
      </c>
      <c r="N13" s="18">
        <f>'FS Seychelles'!L14*1000</f>
        <v>3492.864</v>
      </c>
      <c r="O13" s="18">
        <f>'FS Seychelles'!M14</f>
        <v>9985</v>
      </c>
      <c r="P13" s="18">
        <f>'FS Seychelles'!N14</f>
        <v>10323</v>
      </c>
      <c r="Q13" s="18">
        <f>'FS Seychelles'!O14</f>
        <v>8766</v>
      </c>
      <c r="R13" s="18">
        <f>'FS Seychelles'!P14</f>
        <v>0</v>
      </c>
      <c r="S13" s="18">
        <f>'FS Seychelles'!Q14</f>
        <v>5022</v>
      </c>
      <c r="T13" s="18">
        <f>'FS Seychelles'!R14</f>
        <v>7490</v>
      </c>
      <c r="U13" s="18">
        <f>'FS Seychelles'!T14</f>
        <v>0</v>
      </c>
      <c r="V13" s="18">
        <f>'FS Seychelles'!V14</f>
        <v>49</v>
      </c>
      <c r="W13" s="18">
        <f>'FS Seychelles'!W14</f>
        <v>21</v>
      </c>
      <c r="X13" s="18">
        <f>'FS Seychelles'!X14</f>
        <v>39</v>
      </c>
      <c r="Y13" s="18">
        <f>'FS Seychelles'!Y14</f>
        <v>206</v>
      </c>
      <c r="Z13" s="18">
        <f>'FS Seychelles'!Z14</f>
        <v>92</v>
      </c>
      <c r="AA13" s="18">
        <f>'FS Seychelles'!AA14</f>
        <v>105</v>
      </c>
      <c r="AB13" s="18">
        <f>'FS Seychelles'!AB14</f>
        <v>0</v>
      </c>
      <c r="AC13" s="18">
        <f>('FS Seychelles'!AE20+'FS Seychelles'!AE26)/30</f>
        <v>0</v>
      </c>
    </row>
    <row r="14" spans="1:29" x14ac:dyDescent="0.25">
      <c r="A14" s="1" t="s">
        <v>29</v>
      </c>
      <c r="B14" s="11">
        <f t="shared" si="0"/>
        <v>13</v>
      </c>
      <c r="C14" s="11">
        <v>12</v>
      </c>
      <c r="D14" s="11">
        <v>2021</v>
      </c>
      <c r="E14" s="18">
        <f>'FS Seychelles'!B15</f>
        <v>41.03</v>
      </c>
      <c r="F14" s="18">
        <f>'FS Seychelles'!D15*1000</f>
        <v>3020.7999999999997</v>
      </c>
      <c r="G14" s="18">
        <f>'FS Seychelles'!E15*1000</f>
        <v>0</v>
      </c>
      <c r="H14" s="18">
        <f>'FS Seychelles'!F15*1000</f>
        <v>5106.1759999999995</v>
      </c>
      <c r="I14" s="18">
        <f>'FS Seychelles'!G15*1000</f>
        <v>2017.7919999999999</v>
      </c>
      <c r="J14" s="18">
        <f>'FS Seychelles'!H15*1000</f>
        <v>2746.88</v>
      </c>
      <c r="K14" s="18">
        <f>'FS Seychelles'!I15*1000</f>
        <v>3138.8159999999998</v>
      </c>
      <c r="L14" s="18">
        <f>'FS Seychelles'!J15*1000</f>
        <v>1328.5119999999999</v>
      </c>
      <c r="M14" s="18">
        <f>'FS Seychelles'!K15*1000</f>
        <v>1514.24</v>
      </c>
      <c r="N14" s="18">
        <f>'FS Seychelles'!L15*1000</f>
        <v>3599.3599999999997</v>
      </c>
      <c r="O14" s="18">
        <f>'FS Seychelles'!M15</f>
        <v>15471</v>
      </c>
      <c r="P14" s="18">
        <f>'FS Seychelles'!N15</f>
        <v>0</v>
      </c>
      <c r="Q14" s="18">
        <f>'FS Seychelles'!O15</f>
        <v>8991</v>
      </c>
      <c r="R14" s="18">
        <f>'FS Seychelles'!P15</f>
        <v>4559</v>
      </c>
      <c r="S14" s="18">
        <f>'FS Seychelles'!Q15</f>
        <v>0</v>
      </c>
      <c r="T14" s="18">
        <f>'FS Seychelles'!R15</f>
        <v>6265</v>
      </c>
      <c r="U14" s="18">
        <f>'FS Seychelles'!T15</f>
        <v>0</v>
      </c>
      <c r="V14" s="18">
        <f>'FS Seychelles'!V15</f>
        <v>56</v>
      </c>
      <c r="W14" s="18">
        <f>'FS Seychelles'!W15</f>
        <v>23</v>
      </c>
      <c r="X14" s="18">
        <f>'FS Seychelles'!X15</f>
        <v>39</v>
      </c>
      <c r="Y14" s="18">
        <f>'FS Seychelles'!Y15</f>
        <v>193</v>
      </c>
      <c r="Z14" s="18">
        <f>'FS Seychelles'!Z15</f>
        <v>75</v>
      </c>
      <c r="AA14" s="18">
        <f>'FS Seychelles'!AA15</f>
        <v>105</v>
      </c>
      <c r="AB14" s="18">
        <f>'FS Seychelles'!AB15</f>
        <v>70</v>
      </c>
      <c r="AC14" s="18">
        <f>('FS Seychelles'!AE21+'FS Seychelles'!AE27)/30</f>
        <v>0</v>
      </c>
    </row>
    <row r="15" spans="1:29" x14ac:dyDescent="0.25">
      <c r="A15" s="1" t="s">
        <v>29</v>
      </c>
      <c r="B15" s="11">
        <f t="shared" si="0"/>
        <v>14</v>
      </c>
      <c r="C15" s="11">
        <v>12</v>
      </c>
      <c r="D15" s="11">
        <v>2021</v>
      </c>
      <c r="E15" s="18">
        <f>'FS Seychelles'!B16</f>
        <v>48.1</v>
      </c>
      <c r="F15" s="18">
        <f>'FS Seychelles'!D16*1000</f>
        <v>2785.7919999999999</v>
      </c>
      <c r="G15" s="18">
        <f>'FS Seychelles'!E16*1000</f>
        <v>0</v>
      </c>
      <c r="H15" s="18">
        <f>'FS Seychelles'!F16*1000</f>
        <v>5372.4160000000002</v>
      </c>
      <c r="I15" s="18">
        <f>'FS Seychelles'!G16*1000</f>
        <v>1975.5519999999999</v>
      </c>
      <c r="J15" s="18">
        <f>'FS Seychelles'!H16*1000</f>
        <v>2854.4</v>
      </c>
      <c r="K15" s="18">
        <f>'FS Seychelles'!I16*1000</f>
        <v>3176.4480000000003</v>
      </c>
      <c r="L15" s="18">
        <f>'FS Seychelles'!J16*1000</f>
        <v>1267.9680000000001</v>
      </c>
      <c r="M15" s="18">
        <f>'FS Seychelles'!K16*1000</f>
        <v>1619.712</v>
      </c>
      <c r="N15" s="18">
        <f>'FS Seychelles'!L16*1000</f>
        <v>3540.48</v>
      </c>
      <c r="O15" s="18">
        <f>'FS Seychelles'!M16</f>
        <v>920</v>
      </c>
      <c r="P15" s="18">
        <f>'FS Seychelles'!N16</f>
        <v>8757</v>
      </c>
      <c r="Q15" s="18">
        <f>'FS Seychelles'!O16</f>
        <v>3421</v>
      </c>
      <c r="R15" s="18">
        <f>'FS Seychelles'!P16</f>
        <v>13401</v>
      </c>
      <c r="S15" s="18">
        <f>'FS Seychelles'!Q16</f>
        <v>15611</v>
      </c>
      <c r="T15" s="18">
        <f>'FS Seychelles'!R16</f>
        <v>9174</v>
      </c>
      <c r="U15" s="18">
        <f>'FS Seychelles'!T16</f>
        <v>0</v>
      </c>
      <c r="V15" s="18">
        <f>'FS Seychelles'!V16</f>
        <v>55</v>
      </c>
      <c r="W15" s="18">
        <f>'FS Seychelles'!W16</f>
        <v>49</v>
      </c>
      <c r="X15" s="18">
        <f>'FS Seychelles'!X16</f>
        <v>36</v>
      </c>
      <c r="Y15" s="18">
        <f>'FS Seychelles'!Y16</f>
        <v>102</v>
      </c>
      <c r="Z15" s="18">
        <f>'FS Seychelles'!Z16</f>
        <v>111</v>
      </c>
      <c r="AA15" s="18">
        <f>'FS Seychelles'!AA16</f>
        <v>110</v>
      </c>
      <c r="AB15" s="18">
        <f>'FS Seychelles'!AB16</f>
        <v>0</v>
      </c>
      <c r="AC15" s="18">
        <f>('FS Seychelles'!AE22+'FS Seychelles'!AE28)/30</f>
        <v>0</v>
      </c>
    </row>
    <row r="16" spans="1:29" x14ac:dyDescent="0.25">
      <c r="A16" s="1" t="s">
        <v>29</v>
      </c>
      <c r="B16" s="11">
        <f t="shared" si="0"/>
        <v>15</v>
      </c>
      <c r="C16" s="11">
        <v>12</v>
      </c>
      <c r="D16" s="11">
        <v>2021</v>
      </c>
      <c r="E16" s="18">
        <f>'FS Seychelles'!B17</f>
        <v>48.05</v>
      </c>
      <c r="F16" s="18">
        <f>'FS Seychelles'!D17*1000</f>
        <v>3011.0720000000001</v>
      </c>
      <c r="G16" s="18">
        <f>'FS Seychelles'!E17*1000</f>
        <v>0</v>
      </c>
      <c r="H16" s="18">
        <f>'FS Seychelles'!F17*1000</f>
        <v>5256.7039999999997</v>
      </c>
      <c r="I16" s="18">
        <f>'FS Seychelles'!G17*1000</f>
        <v>2010.3680000000002</v>
      </c>
      <c r="J16" s="18">
        <f>'FS Seychelles'!H17*1000</f>
        <v>2781.1840000000002</v>
      </c>
      <c r="K16" s="18">
        <f>'FS Seychelles'!I17*1000</f>
        <v>3122.1759999999999</v>
      </c>
      <c r="L16" s="18">
        <f>'FS Seychelles'!J17*1000</f>
        <v>1369.856</v>
      </c>
      <c r="M16" s="18">
        <f>'FS Seychelles'!K17*1000</f>
        <v>1700.864</v>
      </c>
      <c r="N16" s="18">
        <f>'FS Seychelles'!L17*1000</f>
        <v>3706.88</v>
      </c>
      <c r="O16" s="18">
        <f>'FS Seychelles'!M17</f>
        <v>0</v>
      </c>
      <c r="P16" s="18">
        <f>'FS Seychelles'!N17</f>
        <v>7581</v>
      </c>
      <c r="Q16" s="18">
        <f>'FS Seychelles'!O17</f>
        <v>10114</v>
      </c>
      <c r="R16" s="18">
        <f>'FS Seychelles'!P17</f>
        <v>10762</v>
      </c>
      <c r="S16" s="18">
        <f>'FS Seychelles'!Q17</f>
        <v>7451</v>
      </c>
      <c r="T16" s="18">
        <f>'FS Seychelles'!R17</f>
        <v>7657</v>
      </c>
      <c r="U16" s="18">
        <f>'FS Seychelles'!T17</f>
        <v>0</v>
      </c>
      <c r="V16" s="18">
        <f>'FS Seychelles'!V17</f>
        <v>52.68181818181818</v>
      </c>
      <c r="W16" s="18">
        <f>'FS Seychelles'!W17</f>
        <v>35.5</v>
      </c>
      <c r="X16" s="18">
        <f>'FS Seychelles'!X17</f>
        <v>50.272727272727273</v>
      </c>
      <c r="Y16" s="18">
        <f>'FS Seychelles'!Y17</f>
        <v>167.18181818181819</v>
      </c>
      <c r="Z16" s="18">
        <f>'FS Seychelles'!Z17</f>
        <v>95.181818181818187</v>
      </c>
      <c r="AA16" s="18">
        <f>'FS Seychelles'!AA17</f>
        <v>106.95454545454545</v>
      </c>
      <c r="AB16" s="18">
        <f>'FS Seychelles'!AB17</f>
        <v>0</v>
      </c>
      <c r="AC16" s="18">
        <f>('FS Seychelles'!AE23+'FS Seychelles'!AE29)/30</f>
        <v>0</v>
      </c>
    </row>
    <row r="17" spans="1:29" x14ac:dyDescent="0.25">
      <c r="A17" s="1" t="s">
        <v>29</v>
      </c>
      <c r="B17" s="11">
        <f t="shared" si="0"/>
        <v>16</v>
      </c>
      <c r="C17" s="11">
        <v>12</v>
      </c>
      <c r="D17" s="11">
        <v>2021</v>
      </c>
      <c r="E17" s="18">
        <f>'FS Seychelles'!B18</f>
        <v>51.32</v>
      </c>
      <c r="F17" s="18">
        <f>'FS Seychelles'!D18*1000</f>
        <v>3089.4080000000004</v>
      </c>
      <c r="G17" s="18">
        <f>'FS Seychelles'!E18*1000</f>
        <v>0</v>
      </c>
      <c r="H17" s="18">
        <f>'FS Seychelles'!F18*1000</f>
        <v>5441.5360000000001</v>
      </c>
      <c r="I17" s="18">
        <f>'FS Seychelles'!G18*1000</f>
        <v>2172.672</v>
      </c>
      <c r="J17" s="18">
        <f>'FS Seychelles'!H18*1000</f>
        <v>3010.0479999999998</v>
      </c>
      <c r="K17" s="18">
        <f>'FS Seychelles'!I18*1000</f>
        <v>3380.7360000000003</v>
      </c>
      <c r="L17" s="18">
        <f>'FS Seychelles'!J18*1000</f>
        <v>1437.952</v>
      </c>
      <c r="M17" s="18">
        <f>'FS Seychelles'!K18*1000</f>
        <v>1569.0239999999999</v>
      </c>
      <c r="N17" s="18">
        <f>'FS Seychelles'!L18*1000</f>
        <v>3782.1440000000002</v>
      </c>
      <c r="O17" s="18">
        <f>'FS Seychelles'!M18</f>
        <v>0</v>
      </c>
      <c r="P17" s="18">
        <f>'FS Seychelles'!N18</f>
        <v>8391</v>
      </c>
      <c r="Q17" s="18">
        <f>'FS Seychelles'!O18</f>
        <v>15829</v>
      </c>
      <c r="R17" s="18">
        <f>'FS Seychelles'!P18</f>
        <v>13033</v>
      </c>
      <c r="S17" s="18">
        <f>'FS Seychelles'!Q18</f>
        <v>445</v>
      </c>
      <c r="T17" s="18">
        <f>'FS Seychelles'!R18</f>
        <v>7942</v>
      </c>
      <c r="U17" s="18">
        <f>'FS Seychelles'!T18</f>
        <v>0</v>
      </c>
      <c r="V17" s="18">
        <f>'FS Seychelles'!V18</f>
        <v>53</v>
      </c>
      <c r="W17" s="18">
        <f>'FS Seychelles'!W18</f>
        <v>41</v>
      </c>
      <c r="X17" s="18">
        <f>'FS Seychelles'!X18</f>
        <v>37</v>
      </c>
      <c r="Y17" s="18">
        <f>'FS Seychelles'!Y18</f>
        <v>179</v>
      </c>
      <c r="Z17" s="18">
        <f>'FS Seychelles'!Z18</f>
        <v>83</v>
      </c>
      <c r="AA17" s="18">
        <f>'FS Seychelles'!AA18</f>
        <v>109</v>
      </c>
      <c r="AB17" s="18">
        <f>'FS Seychelles'!AB18</f>
        <v>0</v>
      </c>
      <c r="AC17" s="18">
        <f>('FS Seychelles'!AE24+'FS Seychelles'!AE30)/30</f>
        <v>0</v>
      </c>
    </row>
    <row r="18" spans="1:29" x14ac:dyDescent="0.25">
      <c r="A18" s="1" t="s">
        <v>29</v>
      </c>
      <c r="B18" s="11">
        <f t="shared" si="0"/>
        <v>17</v>
      </c>
      <c r="C18" s="11">
        <v>12</v>
      </c>
      <c r="D18" s="11">
        <v>2021</v>
      </c>
      <c r="E18" s="18">
        <f>'FS Seychelles'!B19</f>
        <v>56.72</v>
      </c>
      <c r="F18" s="18">
        <f>'FS Seychelles'!D19*1000</f>
        <v>2719.232</v>
      </c>
      <c r="G18" s="18">
        <f>'FS Seychelles'!E19*1000</f>
        <v>0</v>
      </c>
      <c r="H18" s="18">
        <f>'FS Seychelles'!F19*1000</f>
        <v>5373.9520000000002</v>
      </c>
      <c r="I18" s="18">
        <f>'FS Seychelles'!G19*1000</f>
        <v>2116.6079999999997</v>
      </c>
      <c r="J18" s="18">
        <f>'FS Seychelles'!H19*1000</f>
        <v>2807.2959999999998</v>
      </c>
      <c r="K18" s="18">
        <f>'FS Seychelles'!I19*1000</f>
        <v>3212.0320000000002</v>
      </c>
      <c r="L18" s="18">
        <f>'FS Seychelles'!J19*1000</f>
        <v>1383.1679999999999</v>
      </c>
      <c r="M18" s="18">
        <f>'FS Seychelles'!K19*1000</f>
        <v>1661.184</v>
      </c>
      <c r="N18" s="18">
        <f>'FS Seychelles'!L19*1000</f>
        <v>3693.056</v>
      </c>
      <c r="O18" s="18">
        <f>'FS Seychelles'!M19</f>
        <v>613</v>
      </c>
      <c r="P18" s="18">
        <f>'FS Seychelles'!N19</f>
        <v>11708</v>
      </c>
      <c r="Q18" s="18">
        <f>'FS Seychelles'!O19</f>
        <v>7888</v>
      </c>
      <c r="R18" s="18">
        <f>'FS Seychelles'!P19</f>
        <v>4382</v>
      </c>
      <c r="S18" s="18">
        <f>'FS Seychelles'!Q19</f>
        <v>11703</v>
      </c>
      <c r="T18" s="18">
        <f>'FS Seychelles'!R19</f>
        <v>7720</v>
      </c>
      <c r="U18" s="18">
        <f>'FS Seychelles'!T19</f>
        <v>0</v>
      </c>
      <c r="V18" s="18">
        <f>'FS Seychelles'!V19</f>
        <v>48</v>
      </c>
      <c r="W18" s="18">
        <f>'FS Seychelles'!W19</f>
        <v>26</v>
      </c>
      <c r="X18" s="18">
        <f>'FS Seychelles'!X19</f>
        <v>39</v>
      </c>
      <c r="Y18" s="18">
        <f>'FS Seychelles'!Y19</f>
        <v>211</v>
      </c>
      <c r="Z18" s="18">
        <f>'FS Seychelles'!Z19</f>
        <v>116</v>
      </c>
      <c r="AA18" s="18">
        <f>'FS Seychelles'!AA19</f>
        <v>100</v>
      </c>
      <c r="AB18" s="18">
        <f>'FS Seychelles'!AB19</f>
        <v>0</v>
      </c>
      <c r="AC18" s="18">
        <f>('FS Seychelles'!AE25+'FS Seychelles'!AE31)/30</f>
        <v>0</v>
      </c>
    </row>
    <row r="19" spans="1:29" x14ac:dyDescent="0.25">
      <c r="A19" s="1" t="s">
        <v>29</v>
      </c>
      <c r="B19" s="11">
        <f t="shared" si="0"/>
        <v>18</v>
      </c>
      <c r="C19" s="11">
        <v>12</v>
      </c>
      <c r="D19" s="11">
        <v>2021</v>
      </c>
      <c r="E19" s="18">
        <f>'FS Seychelles'!B20</f>
        <v>57.89</v>
      </c>
      <c r="F19" s="18">
        <f>'FS Seychelles'!D20*1000</f>
        <v>3090.4319999999998</v>
      </c>
      <c r="G19" s="18">
        <f>'FS Seychelles'!E20*1000</f>
        <v>0</v>
      </c>
      <c r="H19" s="18">
        <f>'FS Seychelles'!F20*1000</f>
        <v>5219.8399999999992</v>
      </c>
      <c r="I19" s="18">
        <f>'FS Seychelles'!G20*1000</f>
        <v>2221.8239999999996</v>
      </c>
      <c r="J19" s="18">
        <f>'FS Seychelles'!H20*1000</f>
        <v>2990.08</v>
      </c>
      <c r="K19" s="18">
        <f>'FS Seychelles'!I20*1000</f>
        <v>3404.7999999999997</v>
      </c>
      <c r="L19" s="18">
        <f>'FS Seychelles'!J20*1000</f>
        <v>1384.0639999999999</v>
      </c>
      <c r="M19" s="18">
        <f>'FS Seychelles'!K20*1000</f>
        <v>1851.6479999999999</v>
      </c>
      <c r="N19" s="18">
        <f>'FS Seychelles'!L20*1000</f>
        <v>3645.4399999999996</v>
      </c>
      <c r="O19" s="18">
        <f>'FS Seychelles'!M20</f>
        <v>0</v>
      </c>
      <c r="P19" s="18">
        <f>'FS Seychelles'!N20</f>
        <v>11956</v>
      </c>
      <c r="Q19" s="18">
        <f>'FS Seychelles'!O20</f>
        <v>9340</v>
      </c>
      <c r="R19" s="18">
        <f>'FS Seychelles'!P20</f>
        <v>4643</v>
      </c>
      <c r="S19" s="18">
        <f>'FS Seychelles'!Q20</f>
        <v>11977</v>
      </c>
      <c r="T19" s="18">
        <f>'FS Seychelles'!R20</f>
        <v>8226</v>
      </c>
      <c r="U19" s="18">
        <f>'FS Seychelles'!T20</f>
        <v>0</v>
      </c>
      <c r="V19" s="18">
        <f>'FS Seychelles'!V20</f>
        <v>50</v>
      </c>
      <c r="W19" s="18">
        <f>'FS Seychelles'!W20</f>
        <v>62</v>
      </c>
      <c r="X19" s="18">
        <f>'FS Seychelles'!X20</f>
        <v>59</v>
      </c>
      <c r="Y19" s="18">
        <f>'FS Seychelles'!Y20</f>
        <v>183</v>
      </c>
      <c r="Z19" s="18">
        <f>'FS Seychelles'!Z20</f>
        <v>115</v>
      </c>
      <c r="AA19" s="18">
        <f>'FS Seychelles'!AA20</f>
        <v>106</v>
      </c>
      <c r="AB19" s="18">
        <f>'FS Seychelles'!AB20</f>
        <v>0</v>
      </c>
      <c r="AC19" s="18">
        <f>('FS Seychelles'!AE26+'FS Seychelles'!AE32)/30</f>
        <v>0</v>
      </c>
    </row>
    <row r="20" spans="1:29" x14ac:dyDescent="0.25">
      <c r="A20" s="1" t="s">
        <v>29</v>
      </c>
      <c r="B20" s="11">
        <f t="shared" si="0"/>
        <v>19</v>
      </c>
      <c r="C20" s="11">
        <v>12</v>
      </c>
      <c r="D20" s="11">
        <v>2021</v>
      </c>
      <c r="E20" s="18">
        <f>'FS Seychelles'!B21</f>
        <v>61.84</v>
      </c>
      <c r="F20" s="18">
        <f>'FS Seychelles'!D21*1000</f>
        <v>2574.848</v>
      </c>
      <c r="G20" s="18">
        <f>'FS Seychelles'!E21*1000</f>
        <v>0</v>
      </c>
      <c r="H20" s="18">
        <f>'FS Seychelles'!F21*1000</f>
        <v>4289.5360000000001</v>
      </c>
      <c r="I20" s="18">
        <f>'FS Seychelles'!G21*1000</f>
        <v>1900.0319999999999</v>
      </c>
      <c r="J20" s="18">
        <f>'FS Seychelles'!H21*1000</f>
        <v>2491.3919999999998</v>
      </c>
      <c r="K20" s="18">
        <f>'FS Seychelles'!I21*1000</f>
        <v>2873.6000000000004</v>
      </c>
      <c r="L20" s="18">
        <f>'FS Seychelles'!J21*1000</f>
        <v>1089.5360000000001</v>
      </c>
      <c r="M20" s="18">
        <f>'FS Seychelles'!K21*1000</f>
        <v>1601.28</v>
      </c>
      <c r="N20" s="18">
        <f>'FS Seychelles'!L21*1000</f>
        <v>3097.0879999999997</v>
      </c>
      <c r="O20" s="18">
        <f>'FS Seychelles'!M21</f>
        <v>0</v>
      </c>
      <c r="P20" s="18">
        <f>'FS Seychelles'!N21</f>
        <v>10178</v>
      </c>
      <c r="Q20" s="18">
        <f>'FS Seychelles'!O21</f>
        <v>10754</v>
      </c>
      <c r="R20" s="18">
        <f>'FS Seychelles'!P21</f>
        <v>5684</v>
      </c>
      <c r="S20" s="18">
        <f>'FS Seychelles'!Q21</f>
        <v>9980</v>
      </c>
      <c r="T20" s="18">
        <f>'FS Seychelles'!R21</f>
        <v>7693</v>
      </c>
      <c r="U20" s="18">
        <f>'FS Seychelles'!T21</f>
        <v>0</v>
      </c>
      <c r="V20" s="18">
        <f>'FS Seychelles'!V21</f>
        <v>49</v>
      </c>
      <c r="W20" s="18">
        <f>'FS Seychelles'!W21</f>
        <v>35</v>
      </c>
      <c r="X20" s="18">
        <f>'FS Seychelles'!X21</f>
        <v>56</v>
      </c>
      <c r="Y20" s="18">
        <f>'FS Seychelles'!Y21</f>
        <v>176</v>
      </c>
      <c r="Z20" s="18">
        <f>'FS Seychelles'!Z21</f>
        <v>117</v>
      </c>
      <c r="AA20" s="18">
        <f>'FS Seychelles'!AA21</f>
        <v>113</v>
      </c>
      <c r="AB20" s="18">
        <f>'FS Seychelles'!AB21</f>
        <v>0</v>
      </c>
      <c r="AC20" s="18">
        <f>('FS Seychelles'!AE27+'FS Seychelles'!AE33)/30</f>
        <v>0</v>
      </c>
    </row>
    <row r="21" spans="1:29" x14ac:dyDescent="0.25">
      <c r="A21" s="1" t="s">
        <v>29</v>
      </c>
      <c r="B21" s="11">
        <f t="shared" si="0"/>
        <v>20</v>
      </c>
      <c r="C21" s="11">
        <v>12</v>
      </c>
      <c r="D21" s="11">
        <v>2021</v>
      </c>
      <c r="E21" s="18">
        <f>'FS Seychelles'!B22</f>
        <v>47.37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Seychelles'!J22*1000</f>
        <v>0</v>
      </c>
      <c r="M21" s="18">
        <f>'FS Seychelles'!K22*1000</f>
        <v>0</v>
      </c>
      <c r="N21" s="18">
        <f>'FS Seychelles'!L22*1000</f>
        <v>0</v>
      </c>
      <c r="O21" s="18">
        <f>'FS Seychelles'!M22</f>
        <v>0</v>
      </c>
      <c r="P21" s="18">
        <f>'FS Seychelles'!N22</f>
        <v>10224</v>
      </c>
      <c r="Q21" s="18">
        <f>'FS Seychelles'!O22</f>
        <v>11840</v>
      </c>
      <c r="R21" s="18">
        <f>'FS Seychelles'!P22</f>
        <v>6535</v>
      </c>
      <c r="S21" s="18">
        <f>'FS Seychelles'!Q23</f>
        <v>11061</v>
      </c>
      <c r="T21" s="18">
        <f>'FS Seychelles'!R22</f>
        <v>8248</v>
      </c>
      <c r="U21" s="18">
        <f>'FS Seychelles'!T22</f>
        <v>0</v>
      </c>
      <c r="V21" s="18">
        <f>'FS Seychelles'!V22</f>
        <v>50</v>
      </c>
      <c r="W21" s="18">
        <f>'FS Seychelles'!W22</f>
        <v>38</v>
      </c>
      <c r="X21" s="18">
        <f>'FS Seychelles'!X22</f>
        <v>38</v>
      </c>
      <c r="Y21" s="18">
        <f>'FS Seychelles'!Y22</f>
        <v>85</v>
      </c>
      <c r="Z21" s="18">
        <f>'FS Seychelles'!Z22</f>
        <v>85</v>
      </c>
      <c r="AA21" s="18">
        <f>'FS Seychelles'!AA22</f>
        <v>109</v>
      </c>
      <c r="AB21" s="18">
        <f>'FS Seychelles'!AB22</f>
        <v>0</v>
      </c>
      <c r="AC21" s="18">
        <f>('FS Seychelles'!AE28+'FS Seychelles'!AE34)/30</f>
        <v>0</v>
      </c>
    </row>
    <row r="22" spans="1:29" x14ac:dyDescent="0.25">
      <c r="A22" s="1" t="s">
        <v>29</v>
      </c>
      <c r="B22" s="11">
        <f t="shared" si="0"/>
        <v>21</v>
      </c>
      <c r="C22" s="11">
        <v>12</v>
      </c>
      <c r="D22" s="11">
        <v>2021</v>
      </c>
      <c r="E22" s="18">
        <f>'FS Seychelles'!B23</f>
        <v>32.89</v>
      </c>
      <c r="F22" s="18">
        <f>'FS Seychelles'!D23*1000</f>
        <v>0</v>
      </c>
      <c r="G22" s="18">
        <f>'FS Seychelles'!E23*1000</f>
        <v>0</v>
      </c>
      <c r="H22" s="18">
        <f>'FS Seychelles'!F23*1000</f>
        <v>0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>
        <f>'FS Seychelles'!J23*1000</f>
        <v>0</v>
      </c>
      <c r="M22" s="18">
        <f>'FS Seychelles'!K23*1000</f>
        <v>0</v>
      </c>
      <c r="N22" s="18">
        <f>'FS Seychelles'!L23*1000</f>
        <v>0</v>
      </c>
      <c r="O22" s="18">
        <f>'FS Seychelles'!M23</f>
        <v>11476</v>
      </c>
      <c r="P22" s="18">
        <f>'FS Seychelles'!N23</f>
        <v>11047</v>
      </c>
      <c r="Q22" s="18">
        <f>'FS Seychelles'!O23</f>
        <v>0</v>
      </c>
      <c r="R22" s="18">
        <f>'FS Seychelles'!P23</f>
        <v>5218</v>
      </c>
      <c r="S22" s="18">
        <f>'FS Seychelles'!Q24</f>
        <v>10912</v>
      </c>
      <c r="T22" s="18">
        <f>'FS Seychelles'!R23</f>
        <v>8340</v>
      </c>
      <c r="U22" s="18">
        <f>'FS Seychelles'!T23</f>
        <v>0</v>
      </c>
      <c r="V22" s="18">
        <f>'FS Seychelles'!V23</f>
        <v>54</v>
      </c>
      <c r="W22" s="18">
        <f>'FS Seychelles'!W23</f>
        <v>38</v>
      </c>
      <c r="X22" s="18">
        <f>'FS Seychelles'!X23</f>
        <v>43</v>
      </c>
      <c r="Y22" s="18">
        <f>'FS Seychelles'!Y23</f>
        <v>15</v>
      </c>
      <c r="Z22" s="18">
        <f>'FS Seychelles'!Z23</f>
        <v>99</v>
      </c>
      <c r="AA22" s="18">
        <f>'FS Seychelles'!AA23</f>
        <v>108</v>
      </c>
      <c r="AB22" s="18">
        <f>'FS Seychelles'!AB23</f>
        <v>0</v>
      </c>
      <c r="AC22" s="18">
        <f>('FS Seychelles'!AE29+'FS Seychelles'!AE35)/30</f>
        <v>0</v>
      </c>
    </row>
    <row r="23" spans="1:29" x14ac:dyDescent="0.25">
      <c r="A23" s="1" t="s">
        <v>29</v>
      </c>
      <c r="B23" s="11">
        <f t="shared" si="0"/>
        <v>22</v>
      </c>
      <c r="C23" s="11">
        <v>12</v>
      </c>
      <c r="D23" s="11">
        <v>2021</v>
      </c>
      <c r="E23" s="18">
        <f>'FS Seychelles'!B24</f>
        <v>28.95</v>
      </c>
      <c r="F23" s="18">
        <f>'FS Seychelles'!D24*1000</f>
        <v>0</v>
      </c>
      <c r="G23" s="18">
        <f>'FS Seychelles'!E24*1000</f>
        <v>0</v>
      </c>
      <c r="H23" s="18">
        <f>'FS Seychelles'!F24*1000</f>
        <v>0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>
        <f>'FS Seychelles'!J24*1000</f>
        <v>0</v>
      </c>
      <c r="M23" s="18">
        <f>'FS Seychelles'!K24*1000</f>
        <v>0</v>
      </c>
      <c r="N23" s="18">
        <f>'FS Seychelles'!L24*1000</f>
        <v>0</v>
      </c>
      <c r="O23" s="18">
        <f>'FS Seychelles'!M24</f>
        <v>0</v>
      </c>
      <c r="P23" s="18">
        <f>'FS Seychelles'!N24</f>
        <v>10950</v>
      </c>
      <c r="Q23" s="18">
        <f>'FS Seychelles'!O24</f>
        <v>11323</v>
      </c>
      <c r="R23" s="18">
        <f>'FS Seychelles'!P24</f>
        <v>5756</v>
      </c>
      <c r="S23" s="18">
        <f>'FS Seychelles'!Q25</f>
        <v>14738</v>
      </c>
      <c r="T23" s="18">
        <f>'FS Seychelles'!R24</f>
        <v>8254</v>
      </c>
      <c r="U23" s="18">
        <f>'FS Seychelles'!T24</f>
        <v>0</v>
      </c>
      <c r="V23" s="18">
        <f>'FS Seychelles'!V24</f>
        <v>57</v>
      </c>
      <c r="W23" s="18">
        <f>'FS Seychelles'!W24</f>
        <v>83</v>
      </c>
      <c r="X23" s="18">
        <f>'FS Seychelles'!X24</f>
        <v>41</v>
      </c>
      <c r="Y23" s="18">
        <f>'FS Seychelles'!Y24</f>
        <v>153</v>
      </c>
      <c r="Z23" s="18">
        <f>'FS Seychelles'!Z24</f>
        <v>97</v>
      </c>
      <c r="AA23" s="18">
        <f>'FS Seychelles'!AA24</f>
        <v>109</v>
      </c>
      <c r="AB23" s="18">
        <f>'FS Seychelles'!AB24</f>
        <v>0</v>
      </c>
      <c r="AC23" s="18">
        <f>('FS Seychelles'!AE30+'FS Seychelles'!AE36)/30</f>
        <v>0</v>
      </c>
    </row>
    <row r="24" spans="1:29" x14ac:dyDescent="0.25">
      <c r="A24" s="1" t="s">
        <v>29</v>
      </c>
      <c r="B24" s="11">
        <f t="shared" si="0"/>
        <v>23</v>
      </c>
      <c r="C24" s="11">
        <v>12</v>
      </c>
      <c r="D24" s="11">
        <v>2021</v>
      </c>
      <c r="E24" s="18">
        <f>'FS Seychelles'!B25</f>
        <v>35.53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Seychelles'!J25*1000</f>
        <v>0</v>
      </c>
      <c r="M24" s="18">
        <f>'FS Seychelles'!K25*1000</f>
        <v>0</v>
      </c>
      <c r="N24" s="18">
        <f>'FS Seychelles'!L25*1000</f>
        <v>0</v>
      </c>
      <c r="O24" s="18">
        <f>'FS Seychelles'!M25</f>
        <v>0</v>
      </c>
      <c r="P24" s="18">
        <f>'FS Seychelles'!N25</f>
        <v>10766</v>
      </c>
      <c r="Q24" s="18">
        <f>'FS Seychelles'!O25</f>
        <v>6587</v>
      </c>
      <c r="R24" s="18">
        <f>'FS Seychelles'!P25</f>
        <v>6839</v>
      </c>
      <c r="S24" s="18">
        <f>'FS Seychelles'!Q25</f>
        <v>14738</v>
      </c>
      <c r="T24" s="18">
        <f>'FS Seychelles'!R25</f>
        <v>8278</v>
      </c>
      <c r="U24" s="18">
        <f>'FS Seychelles'!T25</f>
        <v>0</v>
      </c>
      <c r="V24" s="18">
        <f>'FS Seychelles'!V25</f>
        <v>56</v>
      </c>
      <c r="W24" s="18">
        <f>'FS Seychelles'!W25</f>
        <v>1</v>
      </c>
      <c r="X24" s="18">
        <f>'FS Seychelles'!X25</f>
        <v>36</v>
      </c>
      <c r="Y24" s="18">
        <f>'FS Seychelles'!Y25</f>
        <v>173</v>
      </c>
      <c r="Z24" s="18">
        <f>'FS Seychelles'!Z25</f>
        <v>93</v>
      </c>
      <c r="AA24" s="18">
        <f>'FS Seychelles'!AA25</f>
        <v>108</v>
      </c>
      <c r="AB24" s="18">
        <f>'FS Seychelles'!AB25</f>
        <v>0</v>
      </c>
      <c r="AC24" s="18">
        <f>('FS Seychelles'!AE31+'FS Seychelles'!AE37)/30</f>
        <v>0</v>
      </c>
    </row>
    <row r="25" spans="1:29" x14ac:dyDescent="0.25">
      <c r="A25" s="1" t="s">
        <v>29</v>
      </c>
      <c r="B25" s="11">
        <f t="shared" si="0"/>
        <v>24</v>
      </c>
      <c r="C25" s="11">
        <v>12</v>
      </c>
      <c r="D25" s="11">
        <v>2021</v>
      </c>
      <c r="E25" s="18">
        <f>'FS Seychelles'!B26</f>
        <v>51.9</v>
      </c>
      <c r="F25" s="18">
        <f>'FS Seychelles'!D26*1000</f>
        <v>2205.1840000000002</v>
      </c>
      <c r="G25" s="18">
        <f>'FS Seychelles'!E26*1000</f>
        <v>1399.296</v>
      </c>
      <c r="H25" s="18">
        <f>'FS Seychelles'!F26*1000</f>
        <v>3604.9920000000002</v>
      </c>
      <c r="I25" s="18">
        <f>'FS Seychelles'!G26*1000</f>
        <v>1793.5360000000001</v>
      </c>
      <c r="J25" s="18">
        <f>'FS Seychelles'!H26*1000</f>
        <v>1966.0800000000002</v>
      </c>
      <c r="K25" s="18">
        <f>'FS Seychelles'!I26*1000</f>
        <v>2920.192</v>
      </c>
      <c r="L25" s="18">
        <f>'FS Seychelles'!J26*1000</f>
        <v>890.49599999999998</v>
      </c>
      <c r="M25" s="18">
        <f>'FS Seychelles'!K26*1000</f>
        <v>1200.896</v>
      </c>
      <c r="N25" s="18">
        <f>'FS Seychelles'!L26*1000</f>
        <v>2492.4160000000002</v>
      </c>
      <c r="O25" s="18">
        <f>'FS Seychelles'!M26</f>
        <v>91</v>
      </c>
      <c r="P25" s="18">
        <f>'FS Seychelles'!N26</f>
        <v>10387</v>
      </c>
      <c r="Q25" s="18">
        <f>'FS Seychelles'!O26</f>
        <v>9060</v>
      </c>
      <c r="R25" s="18">
        <f>'FS Seychelles'!P26</f>
        <v>11018</v>
      </c>
      <c r="S25" s="18">
        <f>'FS Seychelles'!Q26</f>
        <v>8534</v>
      </c>
      <c r="T25" s="18">
        <f>'FS Seychelles'!R26</f>
        <v>8498</v>
      </c>
      <c r="U25" s="18">
        <f>'FS Seychelles'!T26</f>
        <v>0</v>
      </c>
      <c r="V25" s="18">
        <f>'FS Seychelles'!V26</f>
        <v>52.681818181818173</v>
      </c>
      <c r="W25" s="18">
        <f>'FS Seychelles'!W26</f>
        <v>35.5</v>
      </c>
      <c r="X25" s="18">
        <f>'FS Seychelles'!X26</f>
        <v>50.272727272727273</v>
      </c>
      <c r="Y25" s="18">
        <f>'FS Seychelles'!Y26</f>
        <v>167.18181818181819</v>
      </c>
      <c r="Z25" s="18">
        <f>'FS Seychelles'!Z26</f>
        <v>95.181818181818173</v>
      </c>
      <c r="AA25" s="18">
        <f>'FS Seychelles'!AA26</f>
        <v>106.95454545454545</v>
      </c>
      <c r="AB25" s="18">
        <f>'FS Seychelles'!AB26</f>
        <v>0</v>
      </c>
      <c r="AC25" s="18">
        <f>('FS Seychelles'!AE32+'FS Seychelles'!AE38)/30</f>
        <v>0</v>
      </c>
    </row>
    <row r="26" spans="1:29" x14ac:dyDescent="0.25">
      <c r="A26" s="1" t="s">
        <v>29</v>
      </c>
      <c r="B26" s="11">
        <f>B25+1</f>
        <v>25</v>
      </c>
      <c r="C26" s="11">
        <v>12</v>
      </c>
      <c r="D26" s="11">
        <v>2021</v>
      </c>
      <c r="E26" s="18">
        <f>'FS Seychelles'!B27</f>
        <v>54.43</v>
      </c>
      <c r="F26" s="18">
        <f>'FS Seychelles'!D27*1000</f>
        <v>2817.5360000000001</v>
      </c>
      <c r="G26" s="18">
        <f>'FS Seychelles'!E27*1000</f>
        <v>4238.3360000000002</v>
      </c>
      <c r="H26" s="18">
        <f>'FS Seychelles'!F27*1000</f>
        <v>5446.1440000000002</v>
      </c>
      <c r="I26" s="18">
        <f>'FS Seychelles'!G27*1000</f>
        <v>2552.8319999999999</v>
      </c>
      <c r="J26" s="18">
        <f>'FS Seychelles'!H27*1000</f>
        <v>3046.4</v>
      </c>
      <c r="K26" s="18">
        <f>'FS Seychelles'!I27*1000</f>
        <v>3937.5360000000001</v>
      </c>
      <c r="L26" s="18">
        <f>'FS Seychelles'!J27*1000</f>
        <v>1455.7439999999999</v>
      </c>
      <c r="M26" s="18">
        <f>'FS Seychelles'!K27*1000</f>
        <v>1843.4559999999999</v>
      </c>
      <c r="N26" s="18">
        <f>'FS Seychelles'!L27*1000</f>
        <v>3732.9919999999997</v>
      </c>
      <c r="O26" s="18">
        <f>'FS Seychelles'!M27</f>
        <v>7119</v>
      </c>
      <c r="P26" s="18">
        <f>'FS Seychelles'!N27</f>
        <v>10021</v>
      </c>
      <c r="Q26" s="18">
        <f>'FS Seychelles'!O27</f>
        <v>5898</v>
      </c>
      <c r="R26" s="18">
        <f>'FS Seychelles'!P27</f>
        <v>5889</v>
      </c>
      <c r="S26" s="18">
        <f>'FS Seychelles'!Q27</f>
        <v>10044</v>
      </c>
      <c r="T26" s="18">
        <f>'FS Seychelles'!R27</f>
        <v>8409</v>
      </c>
      <c r="U26" s="18">
        <f>'FS Seychelles'!T27</f>
        <v>0</v>
      </c>
      <c r="V26" s="18">
        <f>'FS Seychelles'!V27</f>
        <v>53</v>
      </c>
      <c r="W26" s="18">
        <f>'FS Seychelles'!W27</f>
        <v>60</v>
      </c>
      <c r="X26" s="18">
        <f>'FS Seychelles'!X27</f>
        <v>40</v>
      </c>
      <c r="Y26" s="18">
        <f>'FS Seychelles'!Y27</f>
        <v>185</v>
      </c>
      <c r="Z26" s="18">
        <f>'FS Seychelles'!Z27</f>
        <v>92</v>
      </c>
      <c r="AA26" s="18">
        <f>'FS Seychelles'!AA27</f>
        <v>103</v>
      </c>
      <c r="AB26" s="18">
        <f>'FS Seychelles'!AB27</f>
        <v>0</v>
      </c>
      <c r="AC26" s="18">
        <f>('FS Seychelles'!AE33+'FS Seychelles'!AE39)/30</f>
        <v>0</v>
      </c>
    </row>
    <row r="27" spans="1:29" x14ac:dyDescent="0.25">
      <c r="A27" s="1" t="s">
        <v>29</v>
      </c>
      <c r="B27" s="11">
        <f t="shared" si="0"/>
        <v>26</v>
      </c>
      <c r="C27" s="11">
        <v>12</v>
      </c>
      <c r="D27" s="11">
        <v>2021</v>
      </c>
      <c r="E27" s="18">
        <f>'FS Seychelles'!B28</f>
        <v>56.79</v>
      </c>
      <c r="F27" s="18">
        <f>'FS Seychelles'!D28*1000</f>
        <v>3024.8960000000002</v>
      </c>
      <c r="G27" s="18">
        <f>'FS Seychelles'!E28*1000</f>
        <v>4179.4560000000001</v>
      </c>
      <c r="H27" s="18">
        <f>'FS Seychelles'!F28*1000</f>
        <v>5767.1679999999997</v>
      </c>
      <c r="I27" s="18">
        <f>'FS Seychelles'!G28*1000</f>
        <v>2483.9679999999998</v>
      </c>
      <c r="J27" s="18">
        <f>'FS Seychelles'!H28*1000</f>
        <v>3206.1440000000002</v>
      </c>
      <c r="K27" s="18">
        <f>'FS Seychelles'!I28*1000</f>
        <v>3554.8160000000003</v>
      </c>
      <c r="L27" s="18">
        <f>'FS Seychelles'!J28*1000</f>
        <v>1460.992</v>
      </c>
      <c r="M27" s="18">
        <f>'FS Seychelles'!K28*1000</f>
        <v>1674.24</v>
      </c>
      <c r="N27" s="18">
        <f>'FS Seychelles'!L28*1000</f>
        <v>3745.28</v>
      </c>
      <c r="O27" s="18">
        <f>'FS Seychelles'!M28</f>
        <v>5808</v>
      </c>
      <c r="P27" s="18">
        <f>'FS Seychelles'!N28</f>
        <v>10098</v>
      </c>
      <c r="Q27" s="18">
        <f>'FS Seychelles'!O28</f>
        <v>6998</v>
      </c>
      <c r="R27" s="18">
        <f>'FS Seychelles'!P28</f>
        <v>6219</v>
      </c>
      <c r="S27" s="18">
        <f>'FS Seychelles'!Q28</f>
        <v>10229</v>
      </c>
      <c r="T27" s="18">
        <f>'FS Seychelles'!R28</f>
        <v>8536</v>
      </c>
      <c r="U27" s="18">
        <f>'FS Seychelles'!T28</f>
        <v>292637</v>
      </c>
      <c r="V27" s="18">
        <f>'FS Seychelles'!V28</f>
        <v>57</v>
      </c>
      <c r="W27" s="18">
        <f>'FS Seychelles'!W28</f>
        <v>37</v>
      </c>
      <c r="X27" s="18">
        <f>'FS Seychelles'!X28</f>
        <v>38</v>
      </c>
      <c r="Y27" s="18">
        <f>'FS Seychelles'!Y28</f>
        <v>179</v>
      </c>
      <c r="Z27" s="18">
        <f>'FS Seychelles'!Z28</f>
        <v>113</v>
      </c>
      <c r="AA27" s="18">
        <f>'FS Seychelles'!AA28</f>
        <v>106</v>
      </c>
      <c r="AB27" s="18">
        <f>'FS Seychelles'!AB28</f>
        <v>0</v>
      </c>
      <c r="AC27" s="18">
        <f>('FS Seychelles'!AE34+'FS Seychelles'!AE40)/30</f>
        <v>0</v>
      </c>
    </row>
    <row r="28" spans="1:29" x14ac:dyDescent="0.25">
      <c r="A28" s="1" t="s">
        <v>29</v>
      </c>
      <c r="B28" s="11">
        <f t="shared" si="0"/>
        <v>27</v>
      </c>
      <c r="C28" s="11">
        <v>12</v>
      </c>
      <c r="D28" s="11">
        <v>2021</v>
      </c>
      <c r="E28" s="18">
        <f>'FS Seychelles'!B29</f>
        <v>56.79</v>
      </c>
      <c r="F28" s="18">
        <f>'FS Seychelles'!D29*1000</f>
        <v>3159.5520000000001</v>
      </c>
      <c r="G28" s="18">
        <f>'FS Seychelles'!E29*1000</f>
        <v>4274.1759999999995</v>
      </c>
      <c r="H28" s="18">
        <f>'FS Seychelles'!F29*1000</f>
        <v>6013.9519999999993</v>
      </c>
      <c r="I28" s="18">
        <f>'FS Seychelles'!G29*1000</f>
        <v>2476.7999999999997</v>
      </c>
      <c r="J28" s="18">
        <f>'FS Seychelles'!H29*1000</f>
        <v>3676.672</v>
      </c>
      <c r="K28" s="18">
        <f>'FS Seychelles'!I29*1000</f>
        <v>3675.904</v>
      </c>
      <c r="L28" s="18">
        <f>'FS Seychelles'!J29*1000</f>
        <v>1482.3679999999999</v>
      </c>
      <c r="M28" s="18">
        <f>'FS Seychelles'!K29*1000</f>
        <v>1660.4159999999999</v>
      </c>
      <c r="N28" s="18">
        <f>'FS Seychelles'!L29*1000</f>
        <v>4063.7439999999997</v>
      </c>
      <c r="O28" s="18">
        <f>'FS Seychelles'!M29</f>
        <v>7896</v>
      </c>
      <c r="P28" s="18">
        <f>'FS Seychelles'!N29</f>
        <v>10920</v>
      </c>
      <c r="Q28" s="18">
        <f>'FS Seychelles'!O29</f>
        <v>10929</v>
      </c>
      <c r="R28" s="18">
        <f>'FS Seychelles'!P29</f>
        <v>5683</v>
      </c>
      <c r="S28" s="18">
        <f>'FS Seychelles'!Q29</f>
        <v>5682</v>
      </c>
      <c r="T28" s="18">
        <f>'FS Seychelles'!R29</f>
        <v>8875</v>
      </c>
      <c r="U28" s="18">
        <f>'FS Seychelles'!T29</f>
        <v>292696</v>
      </c>
      <c r="V28" s="18">
        <f>'FS Seychelles'!V29</f>
        <v>60</v>
      </c>
      <c r="W28" s="18">
        <f>'FS Seychelles'!W29</f>
        <v>43</v>
      </c>
      <c r="X28" s="18">
        <f>'FS Seychelles'!X29</f>
        <v>70</v>
      </c>
      <c r="Y28" s="18">
        <f>'FS Seychelles'!Y29</f>
        <v>196</v>
      </c>
      <c r="Z28" s="18">
        <f>'FS Seychelles'!Z29</f>
        <v>87</v>
      </c>
      <c r="AA28" s="18">
        <f>'FS Seychelles'!AA29</f>
        <v>110</v>
      </c>
      <c r="AB28" s="18">
        <f>'FS Seychelles'!AB29</f>
        <v>0</v>
      </c>
      <c r="AC28" s="18">
        <f>('FS Seychelles'!AE35+'FS Seychelles'!AE41)/30</f>
        <v>0</v>
      </c>
    </row>
    <row r="29" spans="1:29" x14ac:dyDescent="0.25">
      <c r="A29" s="1" t="s">
        <v>29</v>
      </c>
      <c r="B29" s="11">
        <f t="shared" si="0"/>
        <v>28</v>
      </c>
      <c r="C29" s="11">
        <v>12</v>
      </c>
      <c r="D29" s="11">
        <v>2021</v>
      </c>
      <c r="E29" s="18">
        <f>'FS Seychelles'!B30</f>
        <v>56.79</v>
      </c>
      <c r="F29" s="18">
        <f>'FS Seychelles'!D30*1000</f>
        <v>2992.6400000000003</v>
      </c>
      <c r="G29" s="18">
        <f>'FS Seychelles'!E30*1000</f>
        <v>3849.2160000000003</v>
      </c>
      <c r="H29" s="18">
        <f>'FS Seychelles'!F30*1000</f>
        <v>5750.2719999999999</v>
      </c>
      <c r="I29" s="18">
        <f>'FS Seychelles'!G30*1000</f>
        <v>2363.3920000000003</v>
      </c>
      <c r="J29" s="18">
        <f>'FS Seychelles'!H30*1000</f>
        <v>3294.72</v>
      </c>
      <c r="K29" s="18">
        <f>'FS Seychelles'!I30*1000</f>
        <v>3678.2080000000001</v>
      </c>
      <c r="L29" s="18">
        <f>'FS Seychelles'!J30*1000</f>
        <v>1543.6799999999998</v>
      </c>
      <c r="M29" s="18">
        <f>'FS Seychelles'!K30*1000</f>
        <v>1756.4159999999999</v>
      </c>
      <c r="N29" s="18">
        <f>'FS Seychelles'!L30*1000</f>
        <v>4168.7039999999997</v>
      </c>
      <c r="O29" s="18">
        <f>'FS Seychelles'!M30</f>
        <v>8558</v>
      </c>
      <c r="P29" s="18">
        <f>'FS Seychelles'!N30</f>
        <v>10080</v>
      </c>
      <c r="Q29" s="18">
        <f>'FS Seychelles'!O30</f>
        <v>6615</v>
      </c>
      <c r="R29" s="18">
        <f>'FS Seychelles'!P30</f>
        <v>0</v>
      </c>
      <c r="S29" s="18">
        <f>'FS Seychelles'!Q30</f>
        <v>11790</v>
      </c>
      <c r="T29" s="18">
        <f>'FS Seychelles'!R30</f>
        <v>7948</v>
      </c>
      <c r="U29" s="18">
        <f>'FS Seychelles'!T30</f>
        <v>293787</v>
      </c>
      <c r="V29" s="18">
        <f>'FS Seychelles'!V30</f>
        <v>51</v>
      </c>
      <c r="W29" s="18">
        <f>'FS Seychelles'!W30</f>
        <v>0</v>
      </c>
      <c r="X29" s="18">
        <f>'FS Seychelles'!X30</f>
        <v>42</v>
      </c>
      <c r="Y29" s="18">
        <f>'FS Seychelles'!Y30</f>
        <v>181</v>
      </c>
      <c r="Z29" s="18">
        <f>'FS Seychelles'!Z30</f>
        <v>118</v>
      </c>
      <c r="AA29" s="18">
        <f>'FS Seychelles'!AA30</f>
        <v>66</v>
      </c>
      <c r="AB29" s="18">
        <f>'FS Seychelles'!AB30</f>
        <v>0</v>
      </c>
      <c r="AC29" s="18">
        <f>('FS Seychelles'!AE36+'FS Seychelles'!AE42)/30</f>
        <v>0</v>
      </c>
    </row>
    <row r="30" spans="1:29" x14ac:dyDescent="0.25">
      <c r="A30" s="1" t="s">
        <v>29</v>
      </c>
      <c r="B30" s="11">
        <f t="shared" si="0"/>
        <v>29</v>
      </c>
      <c r="C30" s="11">
        <v>12</v>
      </c>
      <c r="D30" s="11">
        <v>2021</v>
      </c>
      <c r="E30" s="18">
        <f>'FS Seychelles'!B31</f>
        <v>67.09</v>
      </c>
      <c r="F30" s="18">
        <f>'FS Seychelles'!D31*1000</f>
        <v>3268.6080000000002</v>
      </c>
      <c r="G30" s="18">
        <f>'FS Seychelles'!E31*1000</f>
        <v>4191.232</v>
      </c>
      <c r="H30" s="18">
        <f>'FS Seychelles'!F31*1000</f>
        <v>6045.1840000000002</v>
      </c>
      <c r="I30" s="18">
        <f>'FS Seychelles'!G31*1000</f>
        <v>2723.84</v>
      </c>
      <c r="J30" s="18">
        <f>'FS Seychelles'!H31*1000</f>
        <v>3629.5679999999998</v>
      </c>
      <c r="K30" s="18">
        <f>'FS Seychelles'!I31*1000</f>
        <v>4033.7919999999999</v>
      </c>
      <c r="L30" s="18">
        <f>'FS Seychelles'!J31*1000</f>
        <v>1574.0160000000001</v>
      </c>
      <c r="M30" s="18">
        <f>'FS Seychelles'!K31*1000</f>
        <v>1656.32</v>
      </c>
      <c r="N30" s="18">
        <f>'FS Seychelles'!L31*1000</f>
        <v>4103.6799999999994</v>
      </c>
      <c r="O30" s="18">
        <f>'FS Seychelles'!M31</f>
        <v>8099</v>
      </c>
      <c r="P30" s="18">
        <f>'FS Seychelles'!N31</f>
        <v>11776</v>
      </c>
      <c r="Q30" s="18">
        <f>'FS Seychelles'!O31</f>
        <v>0</v>
      </c>
      <c r="R30" s="18">
        <f>'FS Seychelles'!P31</f>
        <v>1298</v>
      </c>
      <c r="S30" s="18">
        <f>'FS Seychelles'!Q31</f>
        <v>10035</v>
      </c>
      <c r="T30" s="18">
        <f>'FS Seychelles'!R31</f>
        <v>9350</v>
      </c>
      <c r="U30" s="18">
        <f>'FS Seychelles'!T31</f>
        <v>293787</v>
      </c>
      <c r="V30" s="18">
        <f>'FS Seychelles'!V31</f>
        <v>63</v>
      </c>
      <c r="W30" s="18">
        <f>'FS Seychelles'!W31</f>
        <v>0</v>
      </c>
      <c r="X30" s="18">
        <f>'FS Seychelles'!X31</f>
        <v>41</v>
      </c>
      <c r="Y30" s="18">
        <f>'FS Seychelles'!Y31</f>
        <v>226</v>
      </c>
      <c r="Z30" s="18">
        <f>'FS Seychelles'!Z31</f>
        <v>96</v>
      </c>
      <c r="AA30" s="18">
        <f>'FS Seychelles'!AA31</f>
        <v>103</v>
      </c>
      <c r="AB30" s="18">
        <f>'FS Seychelles'!AB31</f>
        <v>0</v>
      </c>
      <c r="AC30" s="18">
        <f>('FS Seychelles'!AE37+'FS Seychelles'!AE43)/30</f>
        <v>0</v>
      </c>
    </row>
    <row r="31" spans="1:29" x14ac:dyDescent="0.25">
      <c r="A31" s="1" t="s">
        <v>29</v>
      </c>
      <c r="B31" s="11">
        <f t="shared" si="0"/>
        <v>30</v>
      </c>
      <c r="C31" s="11">
        <v>12</v>
      </c>
      <c r="D31" s="11">
        <v>2021</v>
      </c>
      <c r="E31" s="18">
        <f>'FS Seychelles'!B32</f>
        <v>68.42</v>
      </c>
      <c r="F31" s="18">
        <f>'FS Seychelles'!D32*1000</f>
        <v>3347.9679999999998</v>
      </c>
      <c r="G31" s="18">
        <f>'FS Seychelles'!E32*1000</f>
        <v>4456.4480000000003</v>
      </c>
      <c r="H31" s="18">
        <f>'FS Seychelles'!F32*1000</f>
        <v>6085.6320000000005</v>
      </c>
      <c r="I31" s="18">
        <f>'FS Seychelles'!G32*1000</f>
        <v>2966.2719999999999</v>
      </c>
      <c r="J31" s="18">
        <f>'FS Seychelles'!H32*1000</f>
        <v>3904.5120000000002</v>
      </c>
      <c r="K31" s="18">
        <f>'FS Seychelles'!I32*1000</f>
        <v>4194.5600000000004</v>
      </c>
      <c r="L31" s="18">
        <f>'FS Seychelles'!J32*1000</f>
        <v>1482.7520000000002</v>
      </c>
      <c r="M31" s="18">
        <f>'FS Seychelles'!K32*1000</f>
        <v>1694.72</v>
      </c>
      <c r="N31" s="18">
        <f>'FS Seychelles'!L32*1000</f>
        <v>4083.2</v>
      </c>
      <c r="O31" s="18">
        <f>'FS Seychelles'!M32</f>
        <v>13982</v>
      </c>
      <c r="P31" s="18">
        <f>'FS Seychelles'!N32</f>
        <v>10957</v>
      </c>
      <c r="Q31" s="18">
        <f>'FS Seychelles'!O32</f>
        <v>11068</v>
      </c>
      <c r="R31" s="18">
        <f>'FS Seychelles'!P32</f>
        <v>5665</v>
      </c>
      <c r="S31" s="18">
        <f>'FS Seychelles'!Q32</f>
        <v>0</v>
      </c>
      <c r="T31" s="18">
        <f>'FS Seychelles'!R32</f>
        <v>9046</v>
      </c>
      <c r="U31" s="18">
        <f>'FS Seychelles'!T32</f>
        <v>293787</v>
      </c>
      <c r="V31" s="18">
        <f>'FS Seychelles'!V32</f>
        <v>59</v>
      </c>
      <c r="W31" s="18">
        <f>'FS Seychelles'!W32</f>
        <v>41</v>
      </c>
      <c r="X31" s="18">
        <f>'FS Seychelles'!X32</f>
        <v>58</v>
      </c>
      <c r="Y31" s="18">
        <f>'FS Seychelles'!Y32</f>
        <v>216</v>
      </c>
      <c r="Z31" s="18">
        <f>'FS Seychelles'!Z32</f>
        <v>101</v>
      </c>
      <c r="AA31" s="18">
        <f>'FS Seychelles'!AA32</f>
        <v>120</v>
      </c>
      <c r="AB31" s="18">
        <f>'FS Seychelles'!AB32</f>
        <v>0</v>
      </c>
      <c r="AC31" s="18">
        <f>('FS Seychelles'!AE38+'FS Seychelles'!AE44)/30</f>
        <v>0</v>
      </c>
    </row>
    <row r="32" spans="1:29" x14ac:dyDescent="0.25">
      <c r="A32" s="1" t="s">
        <v>29</v>
      </c>
      <c r="B32" s="11">
        <v>31</v>
      </c>
      <c r="C32" s="11">
        <v>12</v>
      </c>
      <c r="D32" s="11">
        <v>2021</v>
      </c>
      <c r="E32" s="18">
        <f>'FS Seychelles'!B33</f>
        <v>75</v>
      </c>
      <c r="F32" s="18">
        <f>'FS Seychelles'!D33*1000</f>
        <v>2444.7999999999997</v>
      </c>
      <c r="G32" s="18">
        <f>'FS Seychelles'!E33*1000</f>
        <v>3769.8559999999998</v>
      </c>
      <c r="H32" s="18">
        <f>'FS Seychelles'!F33*1000</f>
        <v>5526.0160000000005</v>
      </c>
      <c r="I32" s="18">
        <f>'FS Seychelles'!G33*1000</f>
        <v>2585.3440000000001</v>
      </c>
      <c r="J32" s="18">
        <f>'FS Seychelles'!H33*1000</f>
        <v>3165.6959999999999</v>
      </c>
      <c r="K32" s="18">
        <f>'FS Seychelles'!I33*1000</f>
        <v>3318.0160000000001</v>
      </c>
      <c r="L32" s="18">
        <f>'FS Seychelles'!J33*1000</f>
        <v>1406.08</v>
      </c>
      <c r="M32" s="18">
        <f>'FS Seychelles'!K33*1000</f>
        <v>1788.672</v>
      </c>
      <c r="N32" s="18">
        <f>'FS Seychelles'!L33*1000</f>
        <v>4014.08</v>
      </c>
      <c r="O32" s="18">
        <f>'FS Seychelles'!M33</f>
        <v>0</v>
      </c>
      <c r="P32" s="18">
        <f>'FS Seychelles'!N33</f>
        <v>8052</v>
      </c>
      <c r="Q32" s="18">
        <f>'FS Seychelles'!O33</f>
        <v>11583</v>
      </c>
      <c r="R32" s="18">
        <f>'FS Seychelles'!P33</f>
        <v>6927</v>
      </c>
      <c r="S32" s="18">
        <f>'FS Seychelles'!Q33</f>
        <v>9586</v>
      </c>
      <c r="T32" s="18">
        <f>'FS Seychelles'!R33</f>
        <v>8009</v>
      </c>
      <c r="U32" s="18">
        <f>'FS Seychelles'!T33</f>
        <v>293843</v>
      </c>
      <c r="V32" s="18">
        <f>'FS Seychelles'!V33</f>
        <v>57</v>
      </c>
      <c r="W32" s="18">
        <f>'FS Seychelles'!W33</f>
        <v>39</v>
      </c>
      <c r="X32" s="18">
        <f>'FS Seychelles'!X33</f>
        <v>40</v>
      </c>
      <c r="Y32" s="18">
        <f>'FS Seychelles'!Y33</f>
        <v>203</v>
      </c>
      <c r="Z32" s="18">
        <f>'FS Seychelles'!Z33</f>
        <v>144</v>
      </c>
      <c r="AA32" s="18">
        <f>'FS Seychelles'!AA33</f>
        <v>140</v>
      </c>
      <c r="AB32" s="18">
        <f>'FS Seychelles'!AB33</f>
        <v>0</v>
      </c>
      <c r="AC32" s="18">
        <f>('FS Seychelles'!AE39+'FS Seychelles'!AE45)/30</f>
        <v>0</v>
      </c>
    </row>
    <row r="33" spans="16:18" x14ac:dyDescent="0.25">
      <c r="P33" s="18">
        <f>SUM(P2:P32)</f>
        <v>306884</v>
      </c>
      <c r="Q33" s="18">
        <f>SUM(Q2:Q32)</f>
        <v>252106</v>
      </c>
      <c r="R33" s="18">
        <f>SUM(R2:R32)</f>
        <v>186785</v>
      </c>
    </row>
    <row r="35" spans="16:18" x14ac:dyDescent="0.25">
      <c r="R35" s="18">
        <f>SUM(O33:R33)</f>
        <v>745775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9"/>
  <sheetViews>
    <sheetView zoomScaleNormal="100" workbookViewId="0">
      <pane xSplit="1" topLeftCell="Q1" activePane="topRight" state="frozen"/>
      <selection pane="topRight" activeCell="Y38" sqref="Y38"/>
    </sheetView>
  </sheetViews>
  <sheetFormatPr defaultRowHeight="12.75" x14ac:dyDescent="0.2"/>
  <cols>
    <col min="1" max="1" width="10.5703125" style="19" bestFit="1" customWidth="1"/>
    <col min="2" max="3" width="12.7109375" style="19" customWidth="1"/>
    <col min="4" max="4" width="9.140625" style="19"/>
    <col min="5" max="9" width="9.140625" style="39"/>
    <col min="10" max="10" width="10.28515625" style="39" customWidth="1"/>
    <col min="11" max="11" width="9.140625" style="39"/>
    <col min="12" max="12" width="10.7109375" style="39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21" width="12" style="19" customWidth="1"/>
    <col min="22" max="23" width="10.7109375" style="19" customWidth="1"/>
    <col min="24" max="24" width="9.42578125" style="19" bestFit="1" customWidth="1"/>
    <col min="25" max="25" width="9.140625" style="19"/>
    <col min="26" max="26" width="8.140625" style="19" customWidth="1"/>
    <col min="27" max="27" width="9.140625" style="19"/>
    <col min="28" max="28" width="11.85546875" style="19" customWidth="1"/>
    <col min="29" max="29" width="13.5703125" style="35" customWidth="1"/>
    <col min="30" max="32" width="9.140625" style="35"/>
    <col min="33" max="33" width="10.42578125" style="19" customWidth="1"/>
    <col min="34" max="34" width="11.42578125" style="19" customWidth="1"/>
    <col min="35" max="16384" width="9.140625" style="19"/>
  </cols>
  <sheetData>
    <row r="1" spans="1:34" x14ac:dyDescent="0.2">
      <c r="D1" s="98"/>
      <c r="E1" s="98"/>
      <c r="F1" s="98"/>
      <c r="G1" s="98"/>
      <c r="H1" s="98"/>
      <c r="I1" s="98"/>
      <c r="J1" s="98"/>
      <c r="K1" s="98"/>
      <c r="L1" s="98"/>
      <c r="AG1" s="97" t="s">
        <v>30</v>
      </c>
      <c r="AH1" s="97"/>
    </row>
    <row r="2" spans="1:34" s="22" customFormat="1" ht="31.5" customHeight="1" x14ac:dyDescent="0.2">
      <c r="A2" s="92" t="s">
        <v>31</v>
      </c>
      <c r="B2" s="60" t="s">
        <v>32</v>
      </c>
      <c r="C2" s="73" t="s">
        <v>33</v>
      </c>
      <c r="D2" s="71" t="s">
        <v>5</v>
      </c>
      <c r="E2" s="72" t="s">
        <v>6</v>
      </c>
      <c r="F2" s="72" t="s">
        <v>7</v>
      </c>
      <c r="G2" s="72" t="s">
        <v>8</v>
      </c>
      <c r="H2" s="72" t="s">
        <v>9</v>
      </c>
      <c r="I2" s="72" t="s">
        <v>10</v>
      </c>
      <c r="J2" s="72" t="s">
        <v>11</v>
      </c>
      <c r="K2" s="72" t="s">
        <v>12</v>
      </c>
      <c r="L2" s="72" t="s">
        <v>13</v>
      </c>
      <c r="M2" s="74" t="s">
        <v>34</v>
      </c>
      <c r="N2" s="41" t="s">
        <v>35</v>
      </c>
      <c r="O2" s="41" t="s">
        <v>36</v>
      </c>
      <c r="P2" s="41" t="s">
        <v>37</v>
      </c>
      <c r="Q2" s="41" t="s">
        <v>38</v>
      </c>
      <c r="R2" s="42" t="s">
        <v>39</v>
      </c>
      <c r="S2" s="42" t="s">
        <v>40</v>
      </c>
      <c r="T2" s="42" t="s">
        <v>41</v>
      </c>
      <c r="U2" s="42" t="s">
        <v>42</v>
      </c>
      <c r="V2" s="40" t="s">
        <v>43</v>
      </c>
      <c r="W2" s="40" t="s">
        <v>44</v>
      </c>
      <c r="X2" s="40" t="s">
        <v>45</v>
      </c>
      <c r="Y2" s="40" t="s">
        <v>46</v>
      </c>
      <c r="Z2" s="40" t="s">
        <v>47</v>
      </c>
      <c r="AA2" s="40" t="s">
        <v>48</v>
      </c>
      <c r="AB2" s="43" t="s">
        <v>49</v>
      </c>
      <c r="AC2" s="101" t="s">
        <v>28</v>
      </c>
      <c r="AD2" s="101"/>
      <c r="AE2" s="101"/>
      <c r="AF2" s="84"/>
      <c r="AG2" s="87" t="s">
        <v>50</v>
      </c>
      <c r="AH2" s="87" t="s">
        <v>51</v>
      </c>
    </row>
    <row r="3" spans="1:34" ht="15" customHeight="1" x14ac:dyDescent="0.2">
      <c r="A3" s="58">
        <v>44531</v>
      </c>
      <c r="B3" s="68">
        <v>61.84</v>
      </c>
      <c r="C3" s="68">
        <v>293</v>
      </c>
      <c r="D3" s="69">
        <v>2.9557760000000002</v>
      </c>
      <c r="E3" s="67">
        <v>4.0483840000000004</v>
      </c>
      <c r="F3" s="67">
        <v>5.1537920000000002</v>
      </c>
      <c r="G3" s="67">
        <v>1.9665919999999999</v>
      </c>
      <c r="H3" s="67">
        <v>2.7120639999999998</v>
      </c>
      <c r="I3" s="67">
        <v>3.098624</v>
      </c>
      <c r="J3" s="67">
        <v>1.396992</v>
      </c>
      <c r="K3" s="67">
        <v>1.7070080000000001</v>
      </c>
      <c r="L3" s="67">
        <v>3.7478400000000001</v>
      </c>
      <c r="M3" s="75">
        <v>0</v>
      </c>
      <c r="N3" s="59">
        <v>13208</v>
      </c>
      <c r="O3" s="31">
        <v>6140</v>
      </c>
      <c r="P3" s="31">
        <v>1311</v>
      </c>
      <c r="Q3" s="31">
        <v>9494</v>
      </c>
      <c r="R3" s="21">
        <f>3459+1265+486+2551</f>
        <v>7761</v>
      </c>
      <c r="S3" s="21">
        <f>20.38*0.06</f>
        <v>1.2227999999999999</v>
      </c>
      <c r="T3" s="21">
        <v>0</v>
      </c>
      <c r="U3" s="21">
        <f>4.81*0.06</f>
        <v>0.28859999999999997</v>
      </c>
      <c r="V3" s="30">
        <v>63</v>
      </c>
      <c r="W3" s="20">
        <v>42</v>
      </c>
      <c r="X3" s="20">
        <v>46</v>
      </c>
      <c r="Y3" s="20">
        <v>102</v>
      </c>
      <c r="Z3" s="20">
        <v>88</v>
      </c>
      <c r="AA3" s="30">
        <v>108</v>
      </c>
      <c r="AB3" s="34">
        <v>0</v>
      </c>
      <c r="AC3" s="102" t="s">
        <v>52</v>
      </c>
      <c r="AD3" s="102"/>
      <c r="AE3" s="102"/>
      <c r="AF3" s="85"/>
      <c r="AG3" s="83">
        <f>SUM(M3:Q3)</f>
        <v>30153</v>
      </c>
      <c r="AH3" s="83">
        <f>SUM(V3:AB3)</f>
        <v>449</v>
      </c>
    </row>
    <row r="4" spans="1:34" ht="16.5" customHeight="1" x14ac:dyDescent="0.2">
      <c r="A4" s="58">
        <v>44532</v>
      </c>
      <c r="B4" s="68">
        <v>55.26</v>
      </c>
      <c r="C4" s="68">
        <v>258</v>
      </c>
      <c r="D4" s="69">
        <v>2.9957120000000002</v>
      </c>
      <c r="E4" s="67">
        <v>4.0734719999999998</v>
      </c>
      <c r="F4" s="67">
        <v>5.5270400000000004</v>
      </c>
      <c r="G4" s="67">
        <v>2.1196799999999998</v>
      </c>
      <c r="H4" s="67">
        <v>2.9242880000000002</v>
      </c>
      <c r="I4" s="67">
        <v>3.3479679999999998</v>
      </c>
      <c r="J4" s="67">
        <v>1.36768</v>
      </c>
      <c r="K4" s="67">
        <v>1.657856</v>
      </c>
      <c r="L4" s="67">
        <v>3.687424</v>
      </c>
      <c r="M4" s="76">
        <v>0</v>
      </c>
      <c r="N4" s="59">
        <v>0</v>
      </c>
      <c r="O4" s="31">
        <v>14202</v>
      </c>
      <c r="P4" s="31">
        <v>10383</v>
      </c>
      <c r="Q4" s="31">
        <v>7947</v>
      </c>
      <c r="R4" s="21">
        <f>2951+3166+2117</f>
        <v>8234</v>
      </c>
      <c r="S4" s="21">
        <f>S3</f>
        <v>1.2227999999999999</v>
      </c>
      <c r="T4" s="21">
        <v>0</v>
      </c>
      <c r="U4" s="21">
        <f>U3</f>
        <v>0.28859999999999997</v>
      </c>
      <c r="V4" s="30">
        <v>52</v>
      </c>
      <c r="W4" s="20">
        <v>35</v>
      </c>
      <c r="X4" s="20">
        <v>57</v>
      </c>
      <c r="Y4" s="20">
        <v>219</v>
      </c>
      <c r="Z4" s="20">
        <v>84</v>
      </c>
      <c r="AA4" s="30">
        <v>108</v>
      </c>
      <c r="AB4" s="34">
        <v>0</v>
      </c>
      <c r="AC4" s="32" t="s">
        <v>53</v>
      </c>
      <c r="AD4" s="38" t="s">
        <v>54</v>
      </c>
      <c r="AE4" s="32" t="s">
        <v>55</v>
      </c>
      <c r="AF4" s="85"/>
      <c r="AG4" s="83">
        <f t="shared" ref="AG4:AG33" si="0">SUM(M4:Q4)</f>
        <v>32532</v>
      </c>
      <c r="AH4" s="83">
        <f t="shared" ref="AH4:AH33" si="1">SUM(V4:AB4)</f>
        <v>555</v>
      </c>
    </row>
    <row r="5" spans="1:34" ht="15" x14ac:dyDescent="0.2">
      <c r="A5" s="58">
        <v>44533</v>
      </c>
      <c r="B5" s="68">
        <v>51.31</v>
      </c>
      <c r="C5" s="68">
        <v>252</v>
      </c>
      <c r="D5" s="69">
        <v>2.8544</v>
      </c>
      <c r="E5" s="67">
        <v>3.8225920000000002</v>
      </c>
      <c r="F5" s="67">
        <v>5.4149120000000002</v>
      </c>
      <c r="G5" s="67">
        <v>2.0095999999999998</v>
      </c>
      <c r="H5" s="67">
        <v>2.6751999999999998</v>
      </c>
      <c r="I5" s="67">
        <v>3.2639999999999998</v>
      </c>
      <c r="J5" s="67">
        <v>1.496448</v>
      </c>
      <c r="K5" s="67">
        <v>1.7003520000000001</v>
      </c>
      <c r="L5" s="67">
        <v>3.7483520000000001</v>
      </c>
      <c r="M5" s="76">
        <v>0</v>
      </c>
      <c r="N5" s="47">
        <v>11019</v>
      </c>
      <c r="O5" s="47">
        <v>3933</v>
      </c>
      <c r="P5" s="47">
        <v>10970</v>
      </c>
      <c r="Q5" s="47">
        <v>3919</v>
      </c>
      <c r="R5" s="47">
        <f>2806+844+3272+1060</f>
        <v>7982</v>
      </c>
      <c r="S5" s="21">
        <f t="shared" ref="S5:S33" si="2">S4</f>
        <v>1.2227999999999999</v>
      </c>
      <c r="T5" s="21">
        <v>0</v>
      </c>
      <c r="U5" s="21">
        <f t="shared" ref="U5:U33" si="3">U4</f>
        <v>0.28859999999999997</v>
      </c>
      <c r="V5" s="30">
        <v>54</v>
      </c>
      <c r="W5" s="30">
        <v>34</v>
      </c>
      <c r="X5" s="30">
        <v>54</v>
      </c>
      <c r="Y5" s="30">
        <v>256</v>
      </c>
      <c r="Z5" s="30">
        <v>114</v>
      </c>
      <c r="AA5" s="30">
        <v>106</v>
      </c>
      <c r="AB5" s="34">
        <v>0</v>
      </c>
      <c r="AC5" s="33"/>
      <c r="AD5" s="36"/>
      <c r="AE5" s="33"/>
      <c r="AG5" s="83">
        <f t="shared" si="0"/>
        <v>29841</v>
      </c>
      <c r="AH5" s="83">
        <f t="shared" si="1"/>
        <v>618</v>
      </c>
    </row>
    <row r="6" spans="1:34" ht="15" x14ac:dyDescent="0.2">
      <c r="A6" s="58">
        <v>44534</v>
      </c>
      <c r="B6" s="68">
        <v>46.05</v>
      </c>
      <c r="C6" s="68">
        <v>291</v>
      </c>
      <c r="D6" s="69">
        <v>2.8764159999999999</v>
      </c>
      <c r="E6" s="67">
        <v>3.9833599999999998</v>
      </c>
      <c r="F6" s="67">
        <v>5.349888</v>
      </c>
      <c r="G6" s="67">
        <v>2.0784639999999999</v>
      </c>
      <c r="H6" s="67">
        <v>2.4611839999999998</v>
      </c>
      <c r="I6" s="67">
        <v>3.5545599999999999</v>
      </c>
      <c r="J6" s="67">
        <v>1.5334399999999999</v>
      </c>
      <c r="K6" s="67">
        <v>1.736192</v>
      </c>
      <c r="L6" s="67">
        <v>3.7683200000000001</v>
      </c>
      <c r="M6" s="76">
        <v>0</v>
      </c>
      <c r="N6" s="47">
        <v>8921</v>
      </c>
      <c r="O6" s="47">
        <v>6677</v>
      </c>
      <c r="P6" s="47">
        <v>9073</v>
      </c>
      <c r="Q6" s="47">
        <v>6548</v>
      </c>
      <c r="R6" s="47">
        <f>2326+1405+2756+1722</f>
        <v>8209</v>
      </c>
      <c r="S6" s="21">
        <f t="shared" si="2"/>
        <v>1.2227999999999999</v>
      </c>
      <c r="T6" s="21">
        <v>0</v>
      </c>
      <c r="U6" s="21">
        <f t="shared" si="3"/>
        <v>0.28859999999999997</v>
      </c>
      <c r="V6" s="30">
        <v>57</v>
      </c>
      <c r="W6" s="30">
        <v>26</v>
      </c>
      <c r="X6" s="30">
        <v>83</v>
      </c>
      <c r="Y6" s="30">
        <v>202</v>
      </c>
      <c r="Z6" s="30">
        <v>54</v>
      </c>
      <c r="AA6" s="30">
        <v>105</v>
      </c>
      <c r="AB6" s="34">
        <v>0</v>
      </c>
      <c r="AC6" s="33">
        <v>10</v>
      </c>
      <c r="AD6" s="36">
        <v>15</v>
      </c>
      <c r="AE6" s="33">
        <v>150</v>
      </c>
      <c r="AG6" s="83">
        <f t="shared" si="0"/>
        <v>31219</v>
      </c>
      <c r="AH6" s="83">
        <f t="shared" si="1"/>
        <v>527</v>
      </c>
    </row>
    <row r="7" spans="1:34" ht="15" x14ac:dyDescent="0.2">
      <c r="A7" s="58">
        <v>44535</v>
      </c>
      <c r="B7" s="68">
        <v>46.05</v>
      </c>
      <c r="C7" s="68">
        <v>311</v>
      </c>
      <c r="D7" s="69">
        <v>3.1713279999999999</v>
      </c>
      <c r="E7" s="67">
        <v>3.9500799999999998</v>
      </c>
      <c r="F7" s="67">
        <v>5.1967999999999996</v>
      </c>
      <c r="G7" s="67">
        <v>2.2978559999999999</v>
      </c>
      <c r="H7" s="67">
        <v>2.7512319999999999</v>
      </c>
      <c r="I7" s="67">
        <v>3.6257280000000001</v>
      </c>
      <c r="J7" s="67">
        <v>1.4424319999999999</v>
      </c>
      <c r="K7" s="67">
        <v>1.691136</v>
      </c>
      <c r="L7" s="67">
        <v>3.54304</v>
      </c>
      <c r="M7" s="75">
        <v>0</v>
      </c>
      <c r="N7" s="59">
        <v>10133</v>
      </c>
      <c r="O7" s="31">
        <v>8450</v>
      </c>
      <c r="P7" s="31">
        <v>0</v>
      </c>
      <c r="Q7" s="31">
        <v>10764</v>
      </c>
      <c r="R7" s="21">
        <f>2624+1763+2913</f>
        <v>7300</v>
      </c>
      <c r="S7" s="21">
        <f t="shared" si="2"/>
        <v>1.2227999999999999</v>
      </c>
      <c r="T7" s="21">
        <v>0</v>
      </c>
      <c r="U7" s="21">
        <f t="shared" si="3"/>
        <v>0.28859999999999997</v>
      </c>
      <c r="V7" s="30">
        <v>48</v>
      </c>
      <c r="W7" s="30">
        <v>30</v>
      </c>
      <c r="X7" s="30">
        <v>87</v>
      </c>
      <c r="Y7" s="30">
        <v>174</v>
      </c>
      <c r="Z7" s="30">
        <v>76</v>
      </c>
      <c r="AA7" s="30">
        <v>128</v>
      </c>
      <c r="AB7" s="34">
        <v>0</v>
      </c>
      <c r="AC7" s="64">
        <v>20</v>
      </c>
      <c r="AD7" s="63">
        <v>72</v>
      </c>
      <c r="AE7" s="33">
        <v>1440</v>
      </c>
      <c r="AG7" s="83">
        <f t="shared" si="0"/>
        <v>29347</v>
      </c>
      <c r="AH7" s="83">
        <f t="shared" si="1"/>
        <v>543</v>
      </c>
    </row>
    <row r="8" spans="1:34" ht="15" x14ac:dyDescent="0.2">
      <c r="A8" s="58">
        <v>44536</v>
      </c>
      <c r="B8" s="68">
        <v>47.37</v>
      </c>
      <c r="C8" s="68">
        <v>250</v>
      </c>
      <c r="D8" s="69">
        <v>2.5968640000000001</v>
      </c>
      <c r="E8" s="67">
        <v>3.38944</v>
      </c>
      <c r="F8" s="67">
        <v>4.9505280000000003</v>
      </c>
      <c r="G8" s="67">
        <v>1.9194880000000001</v>
      </c>
      <c r="H8" s="67">
        <v>2.40768</v>
      </c>
      <c r="I8" s="67">
        <v>2.9539840000000002</v>
      </c>
      <c r="J8" s="67">
        <v>1.436288</v>
      </c>
      <c r="K8" s="67">
        <v>1.64608</v>
      </c>
      <c r="L8" s="67">
        <v>3.6679680000000001</v>
      </c>
      <c r="M8" s="75">
        <v>0</v>
      </c>
      <c r="N8" s="59">
        <v>13618</v>
      </c>
      <c r="O8" s="31">
        <v>4392</v>
      </c>
      <c r="P8" s="31">
        <v>0</v>
      </c>
      <c r="Q8" s="31">
        <v>9246</v>
      </c>
      <c r="R8" s="21">
        <f>3605+981+1683</f>
        <v>6269</v>
      </c>
      <c r="S8" s="21">
        <f t="shared" si="2"/>
        <v>1.2227999999999999</v>
      </c>
      <c r="T8" s="21">
        <v>0</v>
      </c>
      <c r="U8" s="21">
        <f t="shared" si="3"/>
        <v>0.28859999999999997</v>
      </c>
      <c r="V8" s="46">
        <v>50</v>
      </c>
      <c r="W8" s="46">
        <v>20</v>
      </c>
      <c r="X8" s="46">
        <v>55</v>
      </c>
      <c r="Y8" s="46">
        <v>167</v>
      </c>
      <c r="Z8" s="46">
        <v>117</v>
      </c>
      <c r="AA8" s="46">
        <v>73</v>
      </c>
      <c r="AB8" s="34">
        <v>0</v>
      </c>
      <c r="AC8" s="65"/>
      <c r="AD8" s="63"/>
      <c r="AE8" s="33"/>
      <c r="AG8" s="83">
        <f t="shared" si="0"/>
        <v>27256</v>
      </c>
      <c r="AH8" s="83">
        <f t="shared" si="1"/>
        <v>482</v>
      </c>
    </row>
    <row r="9" spans="1:34" ht="15" customHeight="1" x14ac:dyDescent="0.2">
      <c r="A9" s="58">
        <v>44537</v>
      </c>
      <c r="B9" s="68">
        <v>46.05</v>
      </c>
      <c r="C9" s="68">
        <v>288</v>
      </c>
      <c r="D9" s="69">
        <v>2.9716480000000001</v>
      </c>
      <c r="E9" s="67">
        <v>0.95795200000000003</v>
      </c>
      <c r="F9" s="67">
        <v>4.8030720000000002</v>
      </c>
      <c r="G9" s="67">
        <v>2.163456</v>
      </c>
      <c r="H9" s="67">
        <v>2.6874880000000001</v>
      </c>
      <c r="I9" s="67">
        <v>3.0860799999999999</v>
      </c>
      <c r="J9" s="67">
        <v>1.2291840000000001</v>
      </c>
      <c r="K9" s="67">
        <v>1.6455679999999999</v>
      </c>
      <c r="L9" s="67">
        <v>3.4283519999999998</v>
      </c>
      <c r="M9" s="75">
        <v>0</v>
      </c>
      <c r="N9" s="59">
        <v>10738</v>
      </c>
      <c r="O9" s="31">
        <v>7579</v>
      </c>
      <c r="P9" s="31">
        <v>0</v>
      </c>
      <c r="Q9" s="31">
        <v>12798</v>
      </c>
      <c r="R9" s="21">
        <f>2361+1560+4252</f>
        <v>8173</v>
      </c>
      <c r="S9" s="21">
        <f t="shared" si="2"/>
        <v>1.2227999999999999</v>
      </c>
      <c r="T9" s="21">
        <v>0</v>
      </c>
      <c r="U9" s="21">
        <f t="shared" si="3"/>
        <v>0.28859999999999997</v>
      </c>
      <c r="V9" s="30">
        <v>53</v>
      </c>
      <c r="W9" s="20">
        <v>45</v>
      </c>
      <c r="X9" s="20">
        <v>50</v>
      </c>
      <c r="Y9" s="20">
        <v>179</v>
      </c>
      <c r="Z9" s="20">
        <v>157</v>
      </c>
      <c r="AA9" s="30">
        <v>109</v>
      </c>
      <c r="AB9" s="34">
        <v>0</v>
      </c>
      <c r="AC9" s="65"/>
      <c r="AD9" s="63"/>
      <c r="AE9" s="33"/>
      <c r="AG9" s="83">
        <f t="shared" si="0"/>
        <v>31115</v>
      </c>
      <c r="AH9" s="83">
        <f t="shared" si="1"/>
        <v>593</v>
      </c>
    </row>
    <row r="10" spans="1:34" ht="15.75" customHeight="1" x14ac:dyDescent="0.2">
      <c r="A10" s="58">
        <v>44538</v>
      </c>
      <c r="B10" s="68">
        <v>58.42</v>
      </c>
      <c r="C10" s="68">
        <v>219</v>
      </c>
      <c r="D10" s="69">
        <v>2.1053440000000001</v>
      </c>
      <c r="E10" s="67">
        <v>0</v>
      </c>
      <c r="F10" s="67">
        <v>4.5183999999999997</v>
      </c>
      <c r="G10" s="67">
        <v>1.540864</v>
      </c>
      <c r="H10" s="67">
        <v>1.985792</v>
      </c>
      <c r="I10" s="67">
        <v>2.2410239999999999</v>
      </c>
      <c r="J10" s="67">
        <v>1.3475839999999999</v>
      </c>
      <c r="K10" s="67">
        <v>1.6102399999999999</v>
      </c>
      <c r="L10" s="67">
        <v>3.4012159999999998</v>
      </c>
      <c r="M10" s="75">
        <v>0</v>
      </c>
      <c r="N10" s="59">
        <v>13865</v>
      </c>
      <c r="O10" s="31">
        <v>9099</v>
      </c>
      <c r="P10" s="31">
        <v>7793</v>
      </c>
      <c r="Q10" s="31">
        <v>4420</v>
      </c>
      <c r="R10" s="21">
        <f>2996+1896+1933+1070</f>
        <v>7895</v>
      </c>
      <c r="S10" s="21">
        <f t="shared" si="2"/>
        <v>1.2227999999999999</v>
      </c>
      <c r="T10" s="21">
        <v>0</v>
      </c>
      <c r="U10" s="21">
        <f t="shared" si="3"/>
        <v>0.28859999999999997</v>
      </c>
      <c r="V10" s="30">
        <v>45</v>
      </c>
      <c r="W10" s="30">
        <v>30</v>
      </c>
      <c r="X10" s="30">
        <v>32</v>
      </c>
      <c r="Y10" s="30">
        <v>139</v>
      </c>
      <c r="Z10" s="30">
        <v>81</v>
      </c>
      <c r="AA10" s="30">
        <v>110</v>
      </c>
      <c r="AB10" s="34">
        <v>0</v>
      </c>
      <c r="AC10" s="45"/>
      <c r="AD10" s="61" t="s">
        <v>56</v>
      </c>
      <c r="AE10" s="62">
        <f>SUM(AE6:AE9)</f>
        <v>1590</v>
      </c>
      <c r="AG10" s="83">
        <f t="shared" si="0"/>
        <v>35177</v>
      </c>
      <c r="AH10" s="83">
        <f t="shared" si="1"/>
        <v>437</v>
      </c>
    </row>
    <row r="11" spans="1:34" ht="15" customHeight="1" x14ac:dyDescent="0.2">
      <c r="A11" s="58">
        <v>44539</v>
      </c>
      <c r="B11" s="68">
        <v>48.68</v>
      </c>
      <c r="C11" s="68">
        <v>229</v>
      </c>
      <c r="D11" s="69">
        <v>2.010624</v>
      </c>
      <c r="E11" s="67">
        <v>0</v>
      </c>
      <c r="F11" s="67">
        <v>4.3944960000000002</v>
      </c>
      <c r="G11" s="67">
        <v>1.41056</v>
      </c>
      <c r="H11" s="67">
        <v>1.964288</v>
      </c>
      <c r="I11" s="67">
        <v>2.153216</v>
      </c>
      <c r="J11" s="67">
        <v>1.332352</v>
      </c>
      <c r="K11" s="67">
        <v>1.5298560000000001</v>
      </c>
      <c r="L11" s="67">
        <v>3.39968</v>
      </c>
      <c r="M11" s="75">
        <v>0</v>
      </c>
      <c r="N11" s="75">
        <v>8494</v>
      </c>
      <c r="O11" s="75">
        <v>4629</v>
      </c>
      <c r="P11" s="75">
        <v>8206</v>
      </c>
      <c r="Q11" s="75">
        <v>0</v>
      </c>
      <c r="R11" s="75">
        <f>1786+990+1943</f>
        <v>4719</v>
      </c>
      <c r="S11" s="21">
        <f t="shared" si="2"/>
        <v>1.2227999999999999</v>
      </c>
      <c r="T11" s="21">
        <v>0</v>
      </c>
      <c r="U11" s="21">
        <f t="shared" si="3"/>
        <v>0.28859999999999997</v>
      </c>
      <c r="V11" s="30">
        <v>51</v>
      </c>
      <c r="W11" s="20">
        <v>38</v>
      </c>
      <c r="X11" s="20">
        <v>27</v>
      </c>
      <c r="Y11" s="20">
        <v>143</v>
      </c>
      <c r="Z11" s="20">
        <v>66</v>
      </c>
      <c r="AA11" s="30">
        <v>108</v>
      </c>
      <c r="AB11" s="34">
        <v>0</v>
      </c>
      <c r="AC11" s="103" t="s">
        <v>57</v>
      </c>
      <c r="AD11" s="104"/>
      <c r="AE11" s="104"/>
      <c r="AF11" s="85"/>
      <c r="AG11" s="83">
        <f t="shared" si="0"/>
        <v>21329</v>
      </c>
      <c r="AH11" s="83">
        <f t="shared" si="1"/>
        <v>433</v>
      </c>
    </row>
    <row r="12" spans="1:34" ht="15" customHeight="1" x14ac:dyDescent="0.2">
      <c r="A12" s="58">
        <v>44540</v>
      </c>
      <c r="B12" s="68">
        <v>51.95</v>
      </c>
      <c r="C12" s="68">
        <v>253</v>
      </c>
      <c r="D12" s="69">
        <v>2.4007679999999998</v>
      </c>
      <c r="E12" s="67">
        <v>0</v>
      </c>
      <c r="F12" s="67">
        <v>4.5911039999999996</v>
      </c>
      <c r="G12" s="67">
        <v>1.7812479999999999</v>
      </c>
      <c r="H12" s="67">
        <v>2.2942719999999999</v>
      </c>
      <c r="I12" s="67">
        <v>2.4384000000000001</v>
      </c>
      <c r="J12" s="67">
        <v>1.3578239999999999</v>
      </c>
      <c r="K12" s="67">
        <v>1.609728</v>
      </c>
      <c r="L12" s="67">
        <v>3.516416</v>
      </c>
      <c r="M12" s="75">
        <v>3995</v>
      </c>
      <c r="N12" s="59">
        <v>11388</v>
      </c>
      <c r="O12" s="31">
        <v>5230</v>
      </c>
      <c r="P12" s="31">
        <v>11672</v>
      </c>
      <c r="Q12" s="31"/>
      <c r="R12" s="31">
        <f>901+2477+1115+2503</f>
        <v>6996</v>
      </c>
      <c r="S12" s="21">
        <f t="shared" si="2"/>
        <v>1.2227999999999999</v>
      </c>
      <c r="T12" s="21">
        <v>0</v>
      </c>
      <c r="U12" s="21">
        <f t="shared" si="3"/>
        <v>0.28859999999999997</v>
      </c>
      <c r="V12" s="30">
        <v>56</v>
      </c>
      <c r="W12" s="30">
        <v>43</v>
      </c>
      <c r="X12" s="30">
        <v>25</v>
      </c>
      <c r="Y12" s="30">
        <v>174</v>
      </c>
      <c r="Z12" s="30">
        <v>86</v>
      </c>
      <c r="AA12" s="30">
        <v>107</v>
      </c>
      <c r="AB12" s="34">
        <v>0</v>
      </c>
      <c r="AC12" s="81"/>
      <c r="AD12" s="105" t="s">
        <v>58</v>
      </c>
      <c r="AE12" s="106"/>
      <c r="AF12" s="86"/>
      <c r="AG12" s="83">
        <f t="shared" si="0"/>
        <v>32285</v>
      </c>
      <c r="AH12" s="83">
        <f t="shared" si="1"/>
        <v>491</v>
      </c>
    </row>
    <row r="13" spans="1:34" ht="15" customHeight="1" x14ac:dyDescent="0.2">
      <c r="A13" s="58">
        <v>44541</v>
      </c>
      <c r="B13" s="68">
        <v>51.28</v>
      </c>
      <c r="C13" s="68">
        <v>291</v>
      </c>
      <c r="D13" s="69">
        <v>2.9066239999999999</v>
      </c>
      <c r="E13" s="67">
        <v>0</v>
      </c>
      <c r="F13" s="67">
        <v>5.0237439999999998</v>
      </c>
      <c r="G13" s="67">
        <v>1.901824</v>
      </c>
      <c r="H13" s="67">
        <v>2.3229440000000001</v>
      </c>
      <c r="I13" s="67">
        <v>2.758912</v>
      </c>
      <c r="J13" s="67">
        <v>1.5011840000000001</v>
      </c>
      <c r="K13" s="67">
        <v>1.728512</v>
      </c>
      <c r="L13" s="67">
        <v>3.58656</v>
      </c>
      <c r="M13" s="77">
        <v>0</v>
      </c>
      <c r="N13" s="59">
        <v>11328</v>
      </c>
      <c r="O13" s="59">
        <v>14771</v>
      </c>
      <c r="P13" s="31">
        <v>3866</v>
      </c>
      <c r="Q13" s="31">
        <v>0</v>
      </c>
      <c r="R13" s="21">
        <f>2278+3051+882</f>
        <v>6211</v>
      </c>
      <c r="S13" s="21">
        <f t="shared" si="2"/>
        <v>1.2227999999999999</v>
      </c>
      <c r="T13" s="21">
        <v>0</v>
      </c>
      <c r="U13" s="21">
        <f t="shared" si="3"/>
        <v>0.28859999999999997</v>
      </c>
      <c r="V13" s="30">
        <v>53</v>
      </c>
      <c r="W13" s="30">
        <v>21</v>
      </c>
      <c r="X13" s="30">
        <v>127</v>
      </c>
      <c r="Y13" s="30">
        <v>247</v>
      </c>
      <c r="Z13" s="30">
        <v>88</v>
      </c>
      <c r="AA13" s="30">
        <v>109</v>
      </c>
      <c r="AB13" s="34">
        <v>0</v>
      </c>
      <c r="AC13" s="44" t="s">
        <v>59</v>
      </c>
      <c r="AD13" s="99">
        <v>7200</v>
      </c>
      <c r="AE13" s="100"/>
      <c r="AG13" s="83">
        <f t="shared" si="0"/>
        <v>29965</v>
      </c>
      <c r="AH13" s="83">
        <f t="shared" si="1"/>
        <v>645</v>
      </c>
    </row>
    <row r="14" spans="1:34" ht="15" customHeight="1" x14ac:dyDescent="0.2">
      <c r="A14" s="58">
        <v>44542</v>
      </c>
      <c r="B14" s="68">
        <v>40.51</v>
      </c>
      <c r="C14" s="68">
        <v>290</v>
      </c>
      <c r="D14" s="69">
        <v>3.0904319999999998</v>
      </c>
      <c r="E14" s="67">
        <v>0</v>
      </c>
      <c r="F14" s="67">
        <v>4.8957439999999997</v>
      </c>
      <c r="G14" s="67">
        <v>1.937152</v>
      </c>
      <c r="H14" s="67">
        <v>2.4519679999999999</v>
      </c>
      <c r="I14" s="67">
        <v>2.8162560000000001</v>
      </c>
      <c r="J14" s="67">
        <v>1.4723839999999999</v>
      </c>
      <c r="K14" s="67">
        <v>1.6340479999999999</v>
      </c>
      <c r="L14" s="67">
        <v>3.492864</v>
      </c>
      <c r="M14" s="66">
        <v>9985</v>
      </c>
      <c r="N14" s="49">
        <v>10323</v>
      </c>
      <c r="O14" s="47">
        <v>8766</v>
      </c>
      <c r="P14" s="47">
        <v>0</v>
      </c>
      <c r="Q14" s="47">
        <v>5022</v>
      </c>
      <c r="R14" s="21">
        <f>2239+2295+1839+1117</f>
        <v>7490</v>
      </c>
      <c r="S14" s="21">
        <f t="shared" si="2"/>
        <v>1.2227999999999999</v>
      </c>
      <c r="T14" s="21">
        <v>0</v>
      </c>
      <c r="U14" s="21">
        <f t="shared" si="3"/>
        <v>0.28859999999999997</v>
      </c>
      <c r="V14" s="30">
        <v>49</v>
      </c>
      <c r="W14" s="20">
        <v>21</v>
      </c>
      <c r="X14" s="20">
        <v>39</v>
      </c>
      <c r="Y14" s="20">
        <v>206</v>
      </c>
      <c r="Z14" s="20">
        <v>92</v>
      </c>
      <c r="AA14" s="20">
        <v>105</v>
      </c>
      <c r="AB14" s="34">
        <v>0</v>
      </c>
      <c r="AC14" s="44" t="s">
        <v>60</v>
      </c>
      <c r="AD14" s="99">
        <v>3550</v>
      </c>
      <c r="AE14" s="100"/>
      <c r="AG14" s="83">
        <f t="shared" si="0"/>
        <v>34096</v>
      </c>
      <c r="AH14" s="83">
        <f t="shared" si="1"/>
        <v>512</v>
      </c>
    </row>
    <row r="15" spans="1:34" ht="15" x14ac:dyDescent="0.2">
      <c r="A15" s="58">
        <v>44543</v>
      </c>
      <c r="B15" s="68">
        <v>41.03</v>
      </c>
      <c r="C15" s="68">
        <v>235</v>
      </c>
      <c r="D15" s="69">
        <v>3.0207999999999999</v>
      </c>
      <c r="E15" s="67">
        <v>0</v>
      </c>
      <c r="F15" s="67">
        <v>5.1061759999999996</v>
      </c>
      <c r="G15" s="67">
        <v>2.017792</v>
      </c>
      <c r="H15" s="67">
        <v>2.74688</v>
      </c>
      <c r="I15" s="67">
        <v>3.1388159999999998</v>
      </c>
      <c r="J15" s="67">
        <v>1.3285119999999999</v>
      </c>
      <c r="K15" s="67">
        <v>1.51424</v>
      </c>
      <c r="L15" s="67">
        <v>3.5993599999999999</v>
      </c>
      <c r="M15" s="66">
        <v>15471</v>
      </c>
      <c r="N15" s="49">
        <v>0</v>
      </c>
      <c r="O15" s="47">
        <v>8991</v>
      </c>
      <c r="P15" s="47">
        <v>4559</v>
      </c>
      <c r="Q15" s="47">
        <v>0</v>
      </c>
      <c r="R15" s="21">
        <f>3415+1840+1010</f>
        <v>6265</v>
      </c>
      <c r="S15" s="21">
        <f>20.46*0.06</f>
        <v>1.2276</v>
      </c>
      <c r="T15" s="21">
        <v>0</v>
      </c>
      <c r="U15" s="21">
        <f t="shared" si="3"/>
        <v>0.28859999999999997</v>
      </c>
      <c r="V15" s="30">
        <v>56</v>
      </c>
      <c r="W15" s="30">
        <v>23</v>
      </c>
      <c r="X15" s="20">
        <v>39</v>
      </c>
      <c r="Y15" s="20">
        <v>193</v>
      </c>
      <c r="Z15" s="20">
        <v>75</v>
      </c>
      <c r="AA15" s="20">
        <v>105</v>
      </c>
      <c r="AB15" s="34">
        <v>70</v>
      </c>
      <c r="AC15" s="82"/>
      <c r="AD15" s="37" t="s">
        <v>56</v>
      </c>
      <c r="AE15" s="33">
        <f>SUM(AD13:AE14)</f>
        <v>10750</v>
      </c>
      <c r="AG15" s="83">
        <f t="shared" si="0"/>
        <v>29021</v>
      </c>
      <c r="AH15" s="83">
        <f t="shared" si="1"/>
        <v>561</v>
      </c>
    </row>
    <row r="16" spans="1:34" ht="15" customHeight="1" x14ac:dyDescent="0.2">
      <c r="A16" s="58">
        <v>44544</v>
      </c>
      <c r="B16" s="68">
        <v>48.1</v>
      </c>
      <c r="C16" s="68">
        <v>178</v>
      </c>
      <c r="D16" s="69">
        <v>2.7857919999999998</v>
      </c>
      <c r="E16" s="67">
        <v>0</v>
      </c>
      <c r="F16" s="67">
        <v>5.3724160000000003</v>
      </c>
      <c r="G16" s="67">
        <v>1.975552</v>
      </c>
      <c r="H16" s="67">
        <v>2.8544</v>
      </c>
      <c r="I16" s="67">
        <v>3.1764480000000002</v>
      </c>
      <c r="J16" s="67">
        <v>1.267968</v>
      </c>
      <c r="K16" s="67">
        <v>1.619712</v>
      </c>
      <c r="L16" s="67">
        <v>3.5404800000000001</v>
      </c>
      <c r="M16" s="66">
        <v>920</v>
      </c>
      <c r="N16" s="47">
        <v>8757</v>
      </c>
      <c r="O16" s="47">
        <v>3421</v>
      </c>
      <c r="P16" s="47">
        <v>13401</v>
      </c>
      <c r="Q16" s="47">
        <v>15611</v>
      </c>
      <c r="R16" s="47">
        <f>218+1872+775+2957+3352</f>
        <v>9174</v>
      </c>
      <c r="S16" s="21">
        <f t="shared" si="2"/>
        <v>1.2276</v>
      </c>
      <c r="T16" s="21">
        <v>0</v>
      </c>
      <c r="U16" s="21">
        <f t="shared" si="3"/>
        <v>0.28859999999999997</v>
      </c>
      <c r="V16" s="30">
        <v>55</v>
      </c>
      <c r="W16" s="30">
        <v>49</v>
      </c>
      <c r="X16" s="30">
        <v>36</v>
      </c>
      <c r="Y16" s="30">
        <v>102</v>
      </c>
      <c r="Z16" s="30">
        <v>111</v>
      </c>
      <c r="AA16" s="30">
        <v>110</v>
      </c>
      <c r="AB16" s="34">
        <v>0</v>
      </c>
      <c r="AC16" s="93"/>
      <c r="AD16" s="19"/>
      <c r="AE16" s="94"/>
      <c r="AG16" s="83">
        <f t="shared" si="0"/>
        <v>42110</v>
      </c>
      <c r="AH16" s="83">
        <f t="shared" si="1"/>
        <v>463</v>
      </c>
    </row>
    <row r="17" spans="1:34" ht="15" customHeight="1" x14ac:dyDescent="0.2">
      <c r="A17" s="58">
        <v>44545</v>
      </c>
      <c r="B17" s="68">
        <v>48.05</v>
      </c>
      <c r="C17" s="68">
        <v>343</v>
      </c>
      <c r="D17" s="69">
        <v>3.011072</v>
      </c>
      <c r="E17" s="67">
        <v>0</v>
      </c>
      <c r="F17" s="67">
        <v>5.256704</v>
      </c>
      <c r="G17" s="67">
        <v>2.0103680000000002</v>
      </c>
      <c r="H17" s="67">
        <v>2.7811840000000001</v>
      </c>
      <c r="I17" s="67">
        <v>3.1221760000000001</v>
      </c>
      <c r="J17" s="67">
        <v>1.369856</v>
      </c>
      <c r="K17" s="67">
        <v>1.7008639999999999</v>
      </c>
      <c r="L17" s="67">
        <v>3.70688</v>
      </c>
      <c r="M17" s="66">
        <v>0</v>
      </c>
      <c r="N17" s="49">
        <v>7581</v>
      </c>
      <c r="O17" s="47">
        <v>10114</v>
      </c>
      <c r="P17" s="47">
        <v>10762</v>
      </c>
      <c r="Q17" s="47">
        <v>7451</v>
      </c>
      <c r="R17" s="21">
        <f>1604+2056+2354+1643</f>
        <v>7657</v>
      </c>
      <c r="S17" s="21">
        <f t="shared" si="2"/>
        <v>1.2276</v>
      </c>
      <c r="T17" s="21">
        <v>0</v>
      </c>
      <c r="U17" s="88">
        <v>0.28859999999999997</v>
      </c>
      <c r="V17" s="89">
        <v>52.68181818181818</v>
      </c>
      <c r="W17" s="89">
        <v>35.5</v>
      </c>
      <c r="X17" s="89">
        <v>50.272727272727273</v>
      </c>
      <c r="Y17" s="89">
        <v>167.18181818181819</v>
      </c>
      <c r="Z17" s="89">
        <v>95.181818181818187</v>
      </c>
      <c r="AA17" s="89">
        <v>106.95454545454545</v>
      </c>
      <c r="AB17" s="34">
        <v>0</v>
      </c>
      <c r="AC17" s="93"/>
      <c r="AD17" s="19"/>
      <c r="AE17" s="94"/>
      <c r="AG17" s="83">
        <f t="shared" si="0"/>
        <v>35908</v>
      </c>
      <c r="AH17" s="83">
        <f t="shared" si="1"/>
        <v>507.77272727272725</v>
      </c>
    </row>
    <row r="18" spans="1:34" ht="15" customHeight="1" x14ac:dyDescent="0.2">
      <c r="A18" s="58">
        <v>44546</v>
      </c>
      <c r="B18" s="68">
        <v>51.32</v>
      </c>
      <c r="C18" s="68">
        <v>298</v>
      </c>
      <c r="D18" s="69">
        <v>3.0894080000000002</v>
      </c>
      <c r="E18" s="67">
        <v>0</v>
      </c>
      <c r="F18" s="67">
        <v>5.4415360000000002</v>
      </c>
      <c r="G18" s="67">
        <v>2.1726719999999999</v>
      </c>
      <c r="H18" s="67">
        <v>3.0100479999999998</v>
      </c>
      <c r="I18" s="67">
        <v>3.3807360000000002</v>
      </c>
      <c r="J18" s="67">
        <v>1.4379519999999999</v>
      </c>
      <c r="K18" s="67">
        <v>1.569024</v>
      </c>
      <c r="L18" s="67">
        <v>3.7821440000000002</v>
      </c>
      <c r="M18" s="66">
        <v>0</v>
      </c>
      <c r="N18" s="47">
        <v>8391</v>
      </c>
      <c r="O18" s="47">
        <v>15829</v>
      </c>
      <c r="P18" s="47">
        <v>13033</v>
      </c>
      <c r="Q18" s="47">
        <v>445</v>
      </c>
      <c r="R18" s="21">
        <f>1774+3211+2847+110</f>
        <v>7942</v>
      </c>
      <c r="S18" s="21">
        <f t="shared" si="2"/>
        <v>1.2276</v>
      </c>
      <c r="T18" s="21">
        <v>0</v>
      </c>
      <c r="U18" s="21">
        <f t="shared" si="3"/>
        <v>0.28859999999999997</v>
      </c>
      <c r="V18" s="30">
        <v>53</v>
      </c>
      <c r="W18" s="30">
        <v>41</v>
      </c>
      <c r="X18" s="30">
        <v>37</v>
      </c>
      <c r="Y18" s="30">
        <v>179</v>
      </c>
      <c r="Z18" s="30">
        <v>83</v>
      </c>
      <c r="AA18" s="30">
        <v>109</v>
      </c>
      <c r="AB18" s="34">
        <v>0</v>
      </c>
      <c r="AC18" s="93"/>
      <c r="AD18" s="19"/>
      <c r="AE18" s="94"/>
      <c r="AG18" s="83">
        <f t="shared" si="0"/>
        <v>37698</v>
      </c>
      <c r="AH18" s="83">
        <f t="shared" si="1"/>
        <v>502</v>
      </c>
    </row>
    <row r="19" spans="1:34" ht="15" customHeight="1" x14ac:dyDescent="0.2">
      <c r="A19" s="58">
        <v>44547</v>
      </c>
      <c r="B19" s="68">
        <v>56.72</v>
      </c>
      <c r="C19" s="68">
        <v>289</v>
      </c>
      <c r="D19" s="69">
        <v>2.7192319999999999</v>
      </c>
      <c r="E19" s="67">
        <v>0</v>
      </c>
      <c r="F19" s="67">
        <v>5.3739520000000001</v>
      </c>
      <c r="G19" s="67">
        <v>2.1166079999999998</v>
      </c>
      <c r="H19" s="67">
        <v>2.807296</v>
      </c>
      <c r="I19" s="67">
        <v>3.2120320000000002</v>
      </c>
      <c r="J19" s="67">
        <v>1.383168</v>
      </c>
      <c r="K19" s="67">
        <v>1.661184</v>
      </c>
      <c r="L19" s="67">
        <v>3.6930559999999999</v>
      </c>
      <c r="M19" s="47">
        <v>613</v>
      </c>
      <c r="N19" s="47">
        <v>11708</v>
      </c>
      <c r="O19" s="47">
        <v>7888</v>
      </c>
      <c r="P19" s="47">
        <v>4382</v>
      </c>
      <c r="Q19" s="47">
        <v>11703</v>
      </c>
      <c r="R19" s="21">
        <f>128+2442+1673+1008+2469</f>
        <v>7720</v>
      </c>
      <c r="S19" s="21">
        <f t="shared" si="2"/>
        <v>1.2276</v>
      </c>
      <c r="T19" s="21">
        <v>0</v>
      </c>
      <c r="U19" s="21">
        <f t="shared" si="3"/>
        <v>0.28859999999999997</v>
      </c>
      <c r="V19" s="30">
        <v>48</v>
      </c>
      <c r="W19" s="30">
        <v>26</v>
      </c>
      <c r="X19" s="30">
        <v>39</v>
      </c>
      <c r="Y19" s="30">
        <v>211</v>
      </c>
      <c r="Z19" s="30">
        <v>116</v>
      </c>
      <c r="AA19" s="30">
        <v>100</v>
      </c>
      <c r="AB19" s="34">
        <v>0</v>
      </c>
      <c r="AC19" s="93"/>
      <c r="AD19" s="19"/>
      <c r="AE19" s="94"/>
      <c r="AG19" s="83">
        <f t="shared" si="0"/>
        <v>36294</v>
      </c>
      <c r="AH19" s="83">
        <f t="shared" si="1"/>
        <v>540</v>
      </c>
    </row>
    <row r="20" spans="1:34" ht="15" customHeight="1" x14ac:dyDescent="0.2">
      <c r="A20" s="58">
        <v>44548</v>
      </c>
      <c r="B20" s="68">
        <v>57.89</v>
      </c>
      <c r="C20" s="68">
        <v>301</v>
      </c>
      <c r="D20" s="69">
        <v>3.0904319999999998</v>
      </c>
      <c r="E20" s="67">
        <v>0</v>
      </c>
      <c r="F20" s="67">
        <v>5.2198399999999996</v>
      </c>
      <c r="G20" s="67">
        <v>2.2218239999999998</v>
      </c>
      <c r="H20" s="67">
        <v>2.9900799999999998</v>
      </c>
      <c r="I20" s="67">
        <v>3.4047999999999998</v>
      </c>
      <c r="J20" s="67">
        <v>1.384064</v>
      </c>
      <c r="K20" s="67">
        <v>1.851648</v>
      </c>
      <c r="L20" s="67">
        <v>3.6454399999999998</v>
      </c>
      <c r="M20" s="66">
        <v>0</v>
      </c>
      <c r="N20" s="47">
        <v>11956</v>
      </c>
      <c r="O20" s="47">
        <v>9340</v>
      </c>
      <c r="P20" s="47">
        <v>4643</v>
      </c>
      <c r="Q20" s="47">
        <v>11977</v>
      </c>
      <c r="R20" s="21">
        <f>2560+1974+1009+2683</f>
        <v>8226</v>
      </c>
      <c r="S20" s="21">
        <f t="shared" si="2"/>
        <v>1.2276</v>
      </c>
      <c r="T20" s="21">
        <v>0</v>
      </c>
      <c r="U20" s="21">
        <f t="shared" si="3"/>
        <v>0.28859999999999997</v>
      </c>
      <c r="V20" s="30">
        <v>50</v>
      </c>
      <c r="W20" s="30">
        <v>62</v>
      </c>
      <c r="X20" s="30">
        <v>59</v>
      </c>
      <c r="Y20" s="30">
        <v>183</v>
      </c>
      <c r="Z20" s="30">
        <v>115</v>
      </c>
      <c r="AA20" s="30">
        <v>106</v>
      </c>
      <c r="AB20" s="34">
        <v>0</v>
      </c>
      <c r="AC20" s="93"/>
      <c r="AD20" s="19"/>
      <c r="AE20" s="94"/>
      <c r="AG20" s="83">
        <f t="shared" si="0"/>
        <v>37916</v>
      </c>
      <c r="AH20" s="83">
        <f t="shared" si="1"/>
        <v>575</v>
      </c>
    </row>
    <row r="21" spans="1:34" ht="15" customHeight="1" x14ac:dyDescent="0.2">
      <c r="A21" s="58">
        <v>44549</v>
      </c>
      <c r="B21" s="68">
        <v>61.84</v>
      </c>
      <c r="C21" s="68">
        <v>368</v>
      </c>
      <c r="D21" s="69">
        <v>2.5748479999999998</v>
      </c>
      <c r="E21" s="67">
        <v>0</v>
      </c>
      <c r="F21" s="67">
        <v>4.289536</v>
      </c>
      <c r="G21" s="67">
        <v>1.9000319999999999</v>
      </c>
      <c r="H21" s="67">
        <v>2.4913919999999998</v>
      </c>
      <c r="I21" s="67">
        <v>2.8736000000000002</v>
      </c>
      <c r="J21" s="67">
        <v>1.0895360000000001</v>
      </c>
      <c r="K21" s="67">
        <v>1.60128</v>
      </c>
      <c r="L21" s="67">
        <v>3.0970879999999998</v>
      </c>
      <c r="M21" s="66">
        <v>0</v>
      </c>
      <c r="N21" s="47">
        <v>10178</v>
      </c>
      <c r="O21" s="47">
        <v>10754</v>
      </c>
      <c r="P21" s="47">
        <v>5684</v>
      </c>
      <c r="Q21" s="47">
        <v>9980</v>
      </c>
      <c r="R21" s="21">
        <f>2113+2217+1277+2086</f>
        <v>7693</v>
      </c>
      <c r="S21" s="21">
        <f t="shared" si="2"/>
        <v>1.2276</v>
      </c>
      <c r="T21" s="21">
        <v>0</v>
      </c>
      <c r="U21" s="21">
        <f t="shared" si="3"/>
        <v>0.28859999999999997</v>
      </c>
      <c r="V21" s="30">
        <v>49</v>
      </c>
      <c r="W21" s="30">
        <v>35</v>
      </c>
      <c r="X21" s="30">
        <v>56</v>
      </c>
      <c r="Y21" s="30">
        <v>176</v>
      </c>
      <c r="Z21" s="30">
        <v>117</v>
      </c>
      <c r="AA21" s="30">
        <v>113</v>
      </c>
      <c r="AB21" s="34">
        <v>0</v>
      </c>
      <c r="AC21" s="93"/>
      <c r="AD21" s="19"/>
      <c r="AE21" s="94"/>
      <c r="AG21" s="83">
        <f t="shared" si="0"/>
        <v>36596</v>
      </c>
      <c r="AH21" s="83">
        <f t="shared" si="1"/>
        <v>546</v>
      </c>
    </row>
    <row r="22" spans="1:34" ht="15" customHeight="1" x14ac:dyDescent="0.2">
      <c r="A22" s="58">
        <v>44550</v>
      </c>
      <c r="B22" s="68">
        <v>47.37</v>
      </c>
      <c r="C22" s="68">
        <v>290</v>
      </c>
      <c r="D22" s="69">
        <v>0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6">
        <v>0</v>
      </c>
      <c r="N22" s="47">
        <v>10224</v>
      </c>
      <c r="O22" s="47">
        <v>11840</v>
      </c>
      <c r="P22" s="47">
        <v>6535</v>
      </c>
      <c r="Q22" s="47">
        <v>10188</v>
      </c>
      <c r="R22" s="21">
        <f>2178+2439+1456+2175</f>
        <v>8248</v>
      </c>
      <c r="S22" s="21">
        <f t="shared" si="2"/>
        <v>1.2276</v>
      </c>
      <c r="T22" s="21">
        <v>0</v>
      </c>
      <c r="U22" s="21">
        <f t="shared" si="3"/>
        <v>0.28859999999999997</v>
      </c>
      <c r="V22" s="30">
        <v>50</v>
      </c>
      <c r="W22" s="30">
        <v>38</v>
      </c>
      <c r="X22" s="30">
        <v>38</v>
      </c>
      <c r="Y22" s="30">
        <v>85</v>
      </c>
      <c r="Z22" s="30">
        <v>85</v>
      </c>
      <c r="AA22" s="30">
        <v>109</v>
      </c>
      <c r="AB22" s="34">
        <v>0</v>
      </c>
      <c r="AC22" s="93"/>
      <c r="AD22" s="19"/>
      <c r="AE22" s="94"/>
      <c r="AG22" s="83">
        <f t="shared" si="0"/>
        <v>38787</v>
      </c>
      <c r="AH22" s="83">
        <f t="shared" si="1"/>
        <v>405</v>
      </c>
    </row>
    <row r="23" spans="1:34" ht="15" customHeight="1" x14ac:dyDescent="0.2">
      <c r="A23" s="58">
        <v>44551</v>
      </c>
      <c r="B23" s="68">
        <v>32.89</v>
      </c>
      <c r="C23" s="68">
        <v>312</v>
      </c>
      <c r="D23" s="69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6">
        <v>11476</v>
      </c>
      <c r="N23" s="66">
        <v>11047</v>
      </c>
      <c r="O23" s="66">
        <v>0</v>
      </c>
      <c r="P23" s="66">
        <v>5218</v>
      </c>
      <c r="Q23" s="66">
        <v>11061</v>
      </c>
      <c r="R23" s="66">
        <f>2364+2332+1176+2468</f>
        <v>8340</v>
      </c>
      <c r="S23" s="21">
        <f t="shared" si="2"/>
        <v>1.2276</v>
      </c>
      <c r="T23" s="21">
        <v>0</v>
      </c>
      <c r="U23" s="21">
        <f t="shared" si="3"/>
        <v>0.28859999999999997</v>
      </c>
      <c r="V23" s="30">
        <v>54</v>
      </c>
      <c r="W23" s="30">
        <v>38</v>
      </c>
      <c r="X23" s="30">
        <v>43</v>
      </c>
      <c r="Y23" s="30">
        <v>15</v>
      </c>
      <c r="Z23" s="30">
        <v>99</v>
      </c>
      <c r="AA23" s="30">
        <v>108</v>
      </c>
      <c r="AB23" s="34">
        <v>0</v>
      </c>
      <c r="AC23" s="93"/>
      <c r="AD23" s="19"/>
      <c r="AE23" s="94"/>
      <c r="AG23" s="83">
        <f t="shared" si="0"/>
        <v>38802</v>
      </c>
      <c r="AH23" s="83">
        <f t="shared" si="1"/>
        <v>357</v>
      </c>
    </row>
    <row r="24" spans="1:34" ht="15" customHeight="1" x14ac:dyDescent="0.2">
      <c r="A24" s="58">
        <v>44552</v>
      </c>
      <c r="B24" s="68">
        <v>28.95</v>
      </c>
      <c r="C24" s="68">
        <v>237</v>
      </c>
      <c r="D24" s="69">
        <v>0</v>
      </c>
      <c r="E24" s="67">
        <v>0</v>
      </c>
      <c r="F24" s="67">
        <v>0</v>
      </c>
      <c r="G24" s="67">
        <v>0</v>
      </c>
      <c r="H24" s="67">
        <v>0</v>
      </c>
      <c r="I24" s="67">
        <v>0</v>
      </c>
      <c r="J24" s="67">
        <v>0</v>
      </c>
      <c r="K24" s="67">
        <v>0</v>
      </c>
      <c r="L24" s="67">
        <v>0</v>
      </c>
      <c r="M24" s="66">
        <v>0</v>
      </c>
      <c r="N24" s="49">
        <v>10950</v>
      </c>
      <c r="O24" s="47">
        <v>11323</v>
      </c>
      <c r="P24" s="47">
        <v>5756</v>
      </c>
      <c r="Q24" s="47">
        <v>10912</v>
      </c>
      <c r="R24" s="21">
        <f>2321+2309+1268+2356</f>
        <v>8254</v>
      </c>
      <c r="S24" s="21">
        <f t="shared" si="2"/>
        <v>1.2276</v>
      </c>
      <c r="T24" s="21">
        <v>0</v>
      </c>
      <c r="U24" s="21">
        <f t="shared" si="3"/>
        <v>0.28859999999999997</v>
      </c>
      <c r="V24" s="30">
        <v>57</v>
      </c>
      <c r="W24" s="30">
        <v>83</v>
      </c>
      <c r="X24" s="20">
        <v>41</v>
      </c>
      <c r="Y24" s="20">
        <v>153</v>
      </c>
      <c r="Z24" s="20">
        <v>97</v>
      </c>
      <c r="AA24" s="20">
        <v>109</v>
      </c>
      <c r="AB24" s="34">
        <v>0</v>
      </c>
      <c r="AC24" s="93"/>
      <c r="AD24" s="19"/>
      <c r="AE24" s="94"/>
      <c r="AG24" s="83">
        <f t="shared" si="0"/>
        <v>38941</v>
      </c>
      <c r="AH24" s="83">
        <f t="shared" si="1"/>
        <v>540</v>
      </c>
    </row>
    <row r="25" spans="1:34" ht="15" customHeight="1" x14ac:dyDescent="0.2">
      <c r="A25" s="58">
        <v>44553</v>
      </c>
      <c r="B25" s="68">
        <v>35.53</v>
      </c>
      <c r="C25" s="68">
        <v>207</v>
      </c>
      <c r="D25" s="69">
        <v>0</v>
      </c>
      <c r="E25" s="67">
        <v>0</v>
      </c>
      <c r="F25" s="67">
        <v>0</v>
      </c>
      <c r="G25" s="67">
        <v>0</v>
      </c>
      <c r="H25" s="67">
        <v>0</v>
      </c>
      <c r="I25" s="67">
        <v>0</v>
      </c>
      <c r="J25" s="67">
        <v>0</v>
      </c>
      <c r="K25" s="67">
        <v>0</v>
      </c>
      <c r="L25" s="67">
        <v>0</v>
      </c>
      <c r="M25" s="66">
        <v>0</v>
      </c>
      <c r="N25" s="49">
        <v>10766</v>
      </c>
      <c r="O25" s="47">
        <v>6587</v>
      </c>
      <c r="P25" s="47">
        <v>6839</v>
      </c>
      <c r="Q25" s="47">
        <v>14738</v>
      </c>
      <c r="R25" s="21">
        <f>2279+1356+1520+3123</f>
        <v>8278</v>
      </c>
      <c r="S25" s="21">
        <f t="shared" si="2"/>
        <v>1.2276</v>
      </c>
      <c r="T25" s="21">
        <v>0</v>
      </c>
      <c r="U25" s="21">
        <f t="shared" si="3"/>
        <v>0.28859999999999997</v>
      </c>
      <c r="V25" s="30">
        <v>56</v>
      </c>
      <c r="W25" s="30">
        <v>1</v>
      </c>
      <c r="X25" s="20">
        <v>36</v>
      </c>
      <c r="Y25" s="20">
        <v>173</v>
      </c>
      <c r="Z25" s="20">
        <v>93</v>
      </c>
      <c r="AA25" s="20">
        <v>108</v>
      </c>
      <c r="AB25" s="34">
        <v>0</v>
      </c>
      <c r="AC25" s="93"/>
      <c r="AD25" s="19"/>
      <c r="AE25" s="94"/>
      <c r="AG25" s="83">
        <f t="shared" si="0"/>
        <v>38930</v>
      </c>
      <c r="AH25" s="83">
        <f t="shared" si="1"/>
        <v>467</v>
      </c>
    </row>
    <row r="26" spans="1:34" ht="15" customHeight="1" x14ac:dyDescent="0.2">
      <c r="A26" s="58">
        <v>44554</v>
      </c>
      <c r="B26" s="68">
        <v>51.9</v>
      </c>
      <c r="C26" s="68">
        <v>311</v>
      </c>
      <c r="D26" s="69">
        <v>2.205184</v>
      </c>
      <c r="E26" s="67">
        <v>1.3992960000000001</v>
      </c>
      <c r="F26" s="67">
        <v>3.6049920000000002</v>
      </c>
      <c r="G26" s="67">
        <v>1.793536</v>
      </c>
      <c r="H26" s="67">
        <v>1.96608</v>
      </c>
      <c r="I26" s="67">
        <v>2.9201920000000001</v>
      </c>
      <c r="J26" s="67">
        <v>0.89049599999999995</v>
      </c>
      <c r="K26" s="67">
        <v>1.200896</v>
      </c>
      <c r="L26" s="67">
        <v>2.492416</v>
      </c>
      <c r="M26" s="66">
        <v>91</v>
      </c>
      <c r="N26" s="49">
        <v>10387</v>
      </c>
      <c r="O26" s="47">
        <v>9060</v>
      </c>
      <c r="P26" s="47">
        <v>11018</v>
      </c>
      <c r="Q26" s="47">
        <v>8534</v>
      </c>
      <c r="R26" s="21">
        <f>46+2276+1838+2450+1888</f>
        <v>8498</v>
      </c>
      <c r="S26" s="21">
        <f t="shared" si="2"/>
        <v>1.2276</v>
      </c>
      <c r="T26" s="21">
        <v>0</v>
      </c>
      <c r="U26" s="88">
        <f t="shared" si="3"/>
        <v>0.28859999999999997</v>
      </c>
      <c r="V26" s="89">
        <f>AVERAGE(V3:V25)</f>
        <v>52.681818181818173</v>
      </c>
      <c r="W26" s="89">
        <f t="shared" ref="W26:AA26" si="4">AVERAGE(W3:W25)</f>
        <v>35.5</v>
      </c>
      <c r="X26" s="89">
        <f t="shared" si="4"/>
        <v>50.272727272727273</v>
      </c>
      <c r="Y26" s="89">
        <f t="shared" si="4"/>
        <v>167.18181818181819</v>
      </c>
      <c r="Z26" s="89">
        <f t="shared" si="4"/>
        <v>95.181818181818173</v>
      </c>
      <c r="AA26" s="89">
        <f t="shared" si="4"/>
        <v>106.95454545454545</v>
      </c>
      <c r="AB26" s="34">
        <v>0</v>
      </c>
      <c r="AC26" s="93"/>
      <c r="AD26" s="19"/>
      <c r="AE26" s="94"/>
      <c r="AG26" s="83">
        <f t="shared" si="0"/>
        <v>39090</v>
      </c>
      <c r="AH26" s="83">
        <f t="shared" si="1"/>
        <v>507.77272727272725</v>
      </c>
    </row>
    <row r="27" spans="1:34" ht="15" customHeight="1" x14ac:dyDescent="0.2">
      <c r="A27" s="58">
        <v>44555</v>
      </c>
      <c r="B27" s="68">
        <v>54.43</v>
      </c>
      <c r="C27" s="68">
        <v>347</v>
      </c>
      <c r="D27" s="69">
        <v>2.817536</v>
      </c>
      <c r="E27" s="67">
        <v>4.2383360000000003</v>
      </c>
      <c r="F27" s="67">
        <v>5.4461440000000003</v>
      </c>
      <c r="G27" s="67">
        <v>2.552832</v>
      </c>
      <c r="H27" s="67">
        <v>3.0464000000000002</v>
      </c>
      <c r="I27" s="67">
        <v>3.9375360000000001</v>
      </c>
      <c r="J27" s="67">
        <v>1.4557439999999999</v>
      </c>
      <c r="K27" s="67">
        <v>1.843456</v>
      </c>
      <c r="L27" s="67">
        <v>3.7329919999999999</v>
      </c>
      <c r="M27" s="66">
        <v>7119</v>
      </c>
      <c r="N27" s="49">
        <v>10021</v>
      </c>
      <c r="O27" s="47">
        <v>5898</v>
      </c>
      <c r="P27" s="47">
        <v>5889</v>
      </c>
      <c r="Q27" s="47">
        <v>10044</v>
      </c>
      <c r="R27" s="21">
        <f>1546+2131+1245+1365+2122</f>
        <v>8409</v>
      </c>
      <c r="S27" s="21">
        <f t="shared" si="2"/>
        <v>1.2276</v>
      </c>
      <c r="T27" s="21">
        <v>0</v>
      </c>
      <c r="U27" s="21">
        <f t="shared" si="3"/>
        <v>0.28859999999999997</v>
      </c>
      <c r="V27" s="30">
        <v>53</v>
      </c>
      <c r="W27" s="30">
        <v>60</v>
      </c>
      <c r="X27" s="20">
        <v>40</v>
      </c>
      <c r="Y27" s="20">
        <v>185</v>
      </c>
      <c r="Z27" s="20">
        <v>92</v>
      </c>
      <c r="AA27" s="20">
        <v>103</v>
      </c>
      <c r="AB27" s="34">
        <v>0</v>
      </c>
      <c r="AC27" s="93"/>
      <c r="AD27" s="19"/>
      <c r="AE27" s="94"/>
      <c r="AG27" s="83">
        <f t="shared" si="0"/>
        <v>38971</v>
      </c>
      <c r="AH27" s="83">
        <f t="shared" si="1"/>
        <v>533</v>
      </c>
    </row>
    <row r="28" spans="1:34" ht="15" customHeight="1" x14ac:dyDescent="0.2">
      <c r="A28" s="58">
        <v>44556</v>
      </c>
      <c r="B28" s="68">
        <v>56.79</v>
      </c>
      <c r="C28" s="68">
        <v>351</v>
      </c>
      <c r="D28" s="69">
        <v>3.024896</v>
      </c>
      <c r="E28" s="67">
        <v>4.1794560000000001</v>
      </c>
      <c r="F28" s="67">
        <v>5.7671679999999999</v>
      </c>
      <c r="G28" s="67">
        <v>2.483968</v>
      </c>
      <c r="H28" s="67">
        <v>3.2061440000000001</v>
      </c>
      <c r="I28" s="67">
        <v>3.5548160000000002</v>
      </c>
      <c r="J28" s="67">
        <v>1.4609920000000001</v>
      </c>
      <c r="K28" s="67">
        <v>1.67424</v>
      </c>
      <c r="L28" s="67">
        <v>3.7452800000000002</v>
      </c>
      <c r="M28" s="66">
        <v>5808</v>
      </c>
      <c r="N28" s="49">
        <v>10098</v>
      </c>
      <c r="O28" s="47">
        <v>6998</v>
      </c>
      <c r="P28" s="47">
        <v>6219</v>
      </c>
      <c r="Q28" s="47">
        <v>10229</v>
      </c>
      <c r="R28" s="21">
        <f>1253+2176+1466+1399+2242</f>
        <v>8536</v>
      </c>
      <c r="S28" s="21">
        <f t="shared" si="2"/>
        <v>1.2276</v>
      </c>
      <c r="T28" s="21">
        <v>292637</v>
      </c>
      <c r="U28" s="21">
        <f t="shared" si="3"/>
        <v>0.28859999999999997</v>
      </c>
      <c r="V28" s="30">
        <v>57</v>
      </c>
      <c r="W28" s="30">
        <v>37</v>
      </c>
      <c r="X28" s="20">
        <v>38</v>
      </c>
      <c r="Y28" s="20">
        <v>179</v>
      </c>
      <c r="Z28" s="20">
        <v>113</v>
      </c>
      <c r="AA28" s="20">
        <v>106</v>
      </c>
      <c r="AB28" s="34">
        <v>0</v>
      </c>
      <c r="AC28" s="93"/>
      <c r="AD28" s="19"/>
      <c r="AE28" s="94"/>
      <c r="AG28" s="83">
        <f t="shared" si="0"/>
        <v>39352</v>
      </c>
      <c r="AH28" s="83">
        <f t="shared" si="1"/>
        <v>530</v>
      </c>
    </row>
    <row r="29" spans="1:34" ht="15" customHeight="1" x14ac:dyDescent="0.2">
      <c r="A29" s="58">
        <v>44557</v>
      </c>
      <c r="B29" s="68">
        <v>56.79</v>
      </c>
      <c r="C29" s="68">
        <v>368</v>
      </c>
      <c r="D29" s="69">
        <v>3.1595520000000001</v>
      </c>
      <c r="E29" s="67">
        <v>4.2741759999999998</v>
      </c>
      <c r="F29" s="67">
        <v>6.0139519999999997</v>
      </c>
      <c r="G29" s="67">
        <v>2.4767999999999999</v>
      </c>
      <c r="H29" s="67">
        <v>3.6766719999999999</v>
      </c>
      <c r="I29" s="67">
        <v>3.6759040000000001</v>
      </c>
      <c r="J29" s="67">
        <v>1.4823679999999999</v>
      </c>
      <c r="K29" s="67">
        <v>1.6604159999999999</v>
      </c>
      <c r="L29" s="67">
        <v>4.0637439999999998</v>
      </c>
      <c r="M29" s="66">
        <v>7896</v>
      </c>
      <c r="N29" s="49">
        <v>10920</v>
      </c>
      <c r="O29" s="47">
        <v>10929</v>
      </c>
      <c r="P29" s="47">
        <v>5683</v>
      </c>
      <c r="Q29" s="47">
        <v>5682</v>
      </c>
      <c r="R29" s="21">
        <f>1730+2347+2250+1320+1228</f>
        <v>8875</v>
      </c>
      <c r="S29" s="21">
        <f>19.9*0.06</f>
        <v>1.194</v>
      </c>
      <c r="T29" s="21">
        <v>292696</v>
      </c>
      <c r="U29" s="21">
        <f t="shared" si="3"/>
        <v>0.28859999999999997</v>
      </c>
      <c r="V29" s="30">
        <v>60</v>
      </c>
      <c r="W29" s="30">
        <v>43</v>
      </c>
      <c r="X29" s="20">
        <v>70</v>
      </c>
      <c r="Y29" s="20">
        <v>196</v>
      </c>
      <c r="Z29" s="20">
        <v>87</v>
      </c>
      <c r="AA29" s="20">
        <v>110</v>
      </c>
      <c r="AB29" s="34">
        <v>0</v>
      </c>
      <c r="AC29" s="93"/>
      <c r="AD29" s="19"/>
      <c r="AE29" s="94"/>
      <c r="AG29" s="83">
        <f t="shared" si="0"/>
        <v>41110</v>
      </c>
      <c r="AH29" s="83">
        <f t="shared" si="1"/>
        <v>566</v>
      </c>
    </row>
    <row r="30" spans="1:34" ht="15" customHeight="1" x14ac:dyDescent="0.2">
      <c r="A30" s="58">
        <v>44558</v>
      </c>
      <c r="B30" s="68">
        <v>56.79</v>
      </c>
      <c r="C30" s="68">
        <v>486</v>
      </c>
      <c r="D30" s="69">
        <v>2.9926400000000002</v>
      </c>
      <c r="E30" s="67">
        <v>3.8492160000000002</v>
      </c>
      <c r="F30" s="67">
        <v>5.7502719999999998</v>
      </c>
      <c r="G30" s="67">
        <v>2.3633920000000002</v>
      </c>
      <c r="H30" s="67">
        <v>3.2947199999999999</v>
      </c>
      <c r="I30" s="67">
        <v>3.6782080000000001</v>
      </c>
      <c r="J30" s="67">
        <v>1.5436799999999999</v>
      </c>
      <c r="K30" s="67">
        <v>1.756416</v>
      </c>
      <c r="L30" s="67">
        <v>4.168704</v>
      </c>
      <c r="M30" s="66">
        <v>8558</v>
      </c>
      <c r="N30" s="49">
        <v>10080</v>
      </c>
      <c r="O30" s="47">
        <v>6615</v>
      </c>
      <c r="P30" s="47">
        <v>0</v>
      </c>
      <c r="Q30" s="47">
        <v>11790</v>
      </c>
      <c r="R30" s="21">
        <f>1857+2142+1401+2548</f>
        <v>7948</v>
      </c>
      <c r="S30" s="21">
        <f t="shared" si="2"/>
        <v>1.194</v>
      </c>
      <c r="T30" s="21">
        <v>293787</v>
      </c>
      <c r="U30" s="21">
        <f t="shared" si="3"/>
        <v>0.28859999999999997</v>
      </c>
      <c r="V30" s="30">
        <v>51</v>
      </c>
      <c r="W30" s="30">
        <v>0</v>
      </c>
      <c r="X30" s="30">
        <v>42</v>
      </c>
      <c r="Y30" s="30">
        <v>181</v>
      </c>
      <c r="Z30" s="30">
        <v>118</v>
      </c>
      <c r="AA30" s="30">
        <v>66</v>
      </c>
      <c r="AB30" s="34">
        <v>0</v>
      </c>
      <c r="AC30" s="93"/>
      <c r="AD30" s="19"/>
      <c r="AE30" s="94"/>
      <c r="AG30" s="83">
        <f t="shared" si="0"/>
        <v>37043</v>
      </c>
      <c r="AH30" s="83">
        <f t="shared" si="1"/>
        <v>458</v>
      </c>
    </row>
    <row r="31" spans="1:34" ht="15" customHeight="1" x14ac:dyDescent="0.2">
      <c r="A31" s="58">
        <v>44559</v>
      </c>
      <c r="B31" s="68">
        <v>67.09</v>
      </c>
      <c r="C31" s="68">
        <v>440</v>
      </c>
      <c r="D31" s="69">
        <v>3.268608</v>
      </c>
      <c r="E31" s="67">
        <v>4.1912320000000003</v>
      </c>
      <c r="F31" s="67">
        <v>6.0451839999999999</v>
      </c>
      <c r="G31" s="67">
        <v>2.72384</v>
      </c>
      <c r="H31" s="67">
        <v>3.6295679999999999</v>
      </c>
      <c r="I31" s="67">
        <v>4.033792</v>
      </c>
      <c r="J31" s="67">
        <v>1.5740160000000001</v>
      </c>
      <c r="K31" s="67">
        <v>1.65632</v>
      </c>
      <c r="L31" s="67">
        <v>4.1036799999999998</v>
      </c>
      <c r="M31" s="66">
        <v>8099</v>
      </c>
      <c r="N31" s="50">
        <v>11776</v>
      </c>
      <c r="O31" s="51">
        <v>0</v>
      </c>
      <c r="P31" s="47">
        <v>1298</v>
      </c>
      <c r="Q31" s="47">
        <v>10035</v>
      </c>
      <c r="R31" s="21">
        <f>1747+2507+2839+2257</f>
        <v>9350</v>
      </c>
      <c r="S31" s="21">
        <f t="shared" si="2"/>
        <v>1.194</v>
      </c>
      <c r="T31" s="21">
        <v>293787</v>
      </c>
      <c r="U31" s="21">
        <f t="shared" si="3"/>
        <v>0.28859999999999997</v>
      </c>
      <c r="V31" s="30">
        <v>63</v>
      </c>
      <c r="W31" s="30">
        <v>0</v>
      </c>
      <c r="X31" s="30">
        <v>41</v>
      </c>
      <c r="Y31" s="30">
        <v>226</v>
      </c>
      <c r="Z31" s="30">
        <v>96</v>
      </c>
      <c r="AA31" s="30">
        <v>103</v>
      </c>
      <c r="AB31" s="34">
        <v>0</v>
      </c>
      <c r="AC31" s="93"/>
      <c r="AD31" s="19"/>
      <c r="AE31" s="94"/>
      <c r="AG31" s="83">
        <f t="shared" si="0"/>
        <v>31208</v>
      </c>
      <c r="AH31" s="83">
        <f t="shared" si="1"/>
        <v>529</v>
      </c>
    </row>
    <row r="32" spans="1:34" ht="15" customHeight="1" x14ac:dyDescent="0.2">
      <c r="A32" s="58">
        <v>44560</v>
      </c>
      <c r="B32" s="68">
        <v>68.42</v>
      </c>
      <c r="C32" s="68">
        <v>488</v>
      </c>
      <c r="D32" s="69">
        <v>3.3479679999999998</v>
      </c>
      <c r="E32" s="67">
        <v>4.456448</v>
      </c>
      <c r="F32" s="67">
        <v>6.0856320000000004</v>
      </c>
      <c r="G32" s="67">
        <v>2.966272</v>
      </c>
      <c r="H32" s="67">
        <v>3.904512</v>
      </c>
      <c r="I32" s="67">
        <v>4.1945600000000001</v>
      </c>
      <c r="J32" s="67">
        <v>1.4827520000000001</v>
      </c>
      <c r="K32" s="67">
        <v>1.69472</v>
      </c>
      <c r="L32" s="67">
        <v>4.0831999999999997</v>
      </c>
      <c r="M32" s="66">
        <v>13982</v>
      </c>
      <c r="N32" s="52">
        <v>10957</v>
      </c>
      <c r="O32" s="53">
        <v>11068</v>
      </c>
      <c r="P32" s="53">
        <v>5665</v>
      </c>
      <c r="Q32" s="53">
        <v>0</v>
      </c>
      <c r="R32" s="21">
        <f>3021+2320+2275+1430</f>
        <v>9046</v>
      </c>
      <c r="S32" s="21">
        <f t="shared" si="2"/>
        <v>1.194</v>
      </c>
      <c r="T32" s="21">
        <v>293787</v>
      </c>
      <c r="U32" s="21">
        <f t="shared" si="3"/>
        <v>0.28859999999999997</v>
      </c>
      <c r="V32" s="30">
        <v>59</v>
      </c>
      <c r="W32" s="30">
        <v>41</v>
      </c>
      <c r="X32" s="30">
        <v>58</v>
      </c>
      <c r="Y32" s="30">
        <v>216</v>
      </c>
      <c r="Z32" s="30">
        <v>101</v>
      </c>
      <c r="AA32" s="30">
        <v>120</v>
      </c>
      <c r="AB32" s="34">
        <v>0</v>
      </c>
      <c r="AC32" s="93"/>
      <c r="AD32" s="19"/>
      <c r="AE32" s="94"/>
      <c r="AG32" s="83">
        <f t="shared" si="0"/>
        <v>41672</v>
      </c>
      <c r="AH32" s="83">
        <f t="shared" si="1"/>
        <v>595</v>
      </c>
    </row>
    <row r="33" spans="1:34" ht="12.75" customHeight="1" x14ac:dyDescent="0.2">
      <c r="A33" s="58">
        <v>44561</v>
      </c>
      <c r="B33" s="48">
        <v>75</v>
      </c>
      <c r="C33" s="70">
        <v>565</v>
      </c>
      <c r="D33" s="78">
        <v>2.4447999999999999</v>
      </c>
      <c r="E33" s="78">
        <v>3.7698559999999999</v>
      </c>
      <c r="F33" s="78">
        <v>5.5260160000000003</v>
      </c>
      <c r="G33" s="78">
        <v>2.5853440000000001</v>
      </c>
      <c r="H33" s="78">
        <v>3.1656960000000001</v>
      </c>
      <c r="I33" s="78">
        <v>3.3180160000000001</v>
      </c>
      <c r="J33" s="78">
        <v>1.40608</v>
      </c>
      <c r="K33" s="78">
        <v>1.788672</v>
      </c>
      <c r="L33" s="78">
        <v>4.0140799999999999</v>
      </c>
      <c r="M33" s="66">
        <v>0</v>
      </c>
      <c r="N33" s="53">
        <v>8052</v>
      </c>
      <c r="O33" s="53">
        <v>11583</v>
      </c>
      <c r="P33" s="54">
        <v>6927</v>
      </c>
      <c r="Q33" s="55">
        <v>9586</v>
      </c>
      <c r="R33" s="21">
        <f>1738+2469+1788+2014</f>
        <v>8009</v>
      </c>
      <c r="S33" s="21">
        <f t="shared" si="2"/>
        <v>1.194</v>
      </c>
      <c r="T33" s="21">
        <v>293843</v>
      </c>
      <c r="U33" s="21">
        <f t="shared" si="3"/>
        <v>0.28859999999999997</v>
      </c>
      <c r="V33" s="56">
        <v>57</v>
      </c>
      <c r="W33" s="56">
        <v>39</v>
      </c>
      <c r="X33" s="56">
        <v>40</v>
      </c>
      <c r="Y33" s="56">
        <v>203</v>
      </c>
      <c r="Z33" s="56">
        <v>144</v>
      </c>
      <c r="AA33" s="56">
        <v>140</v>
      </c>
      <c r="AB33" s="34">
        <v>0</v>
      </c>
      <c r="AC33" s="45"/>
      <c r="AD33" s="95"/>
      <c r="AE33" s="96"/>
      <c r="AG33" s="83">
        <f t="shared" si="0"/>
        <v>36148</v>
      </c>
      <c r="AH33" s="83">
        <f t="shared" si="1"/>
        <v>623</v>
      </c>
    </row>
    <row r="34" spans="1:34" x14ac:dyDescent="0.2">
      <c r="Y34" s="80"/>
      <c r="Z34" s="80"/>
      <c r="AG34" s="83"/>
      <c r="AH34" s="83"/>
    </row>
    <row r="35" spans="1:34" x14ac:dyDescent="0.2">
      <c r="V35" s="98"/>
      <c r="W35" s="98"/>
      <c r="X35" s="98"/>
      <c r="AF35" s="85" t="s">
        <v>61</v>
      </c>
      <c r="AG35" s="83">
        <f>SUM(AG3:AG33)</f>
        <v>1079912</v>
      </c>
      <c r="AH35" s="83">
        <f>SUM(AH3:AH33)</f>
        <v>16090.545454545456</v>
      </c>
    </row>
    <row r="37" spans="1:34" x14ac:dyDescent="0.2">
      <c r="Y37" s="83">
        <f>SUM(V3:AA33)</f>
        <v>16020.545454545454</v>
      </c>
    </row>
    <row r="38" spans="1:34" ht="15" x14ac:dyDescent="0.25">
      <c r="P38" s="79"/>
    </row>
    <row r="39" spans="1:34" ht="15" x14ac:dyDescent="0.25">
      <c r="P39" s="79"/>
    </row>
  </sheetData>
  <mergeCells count="9">
    <mergeCell ref="AG1:AH1"/>
    <mergeCell ref="V35:X35"/>
    <mergeCell ref="AD13:AE13"/>
    <mergeCell ref="AD14:AE14"/>
    <mergeCell ref="D1:L1"/>
    <mergeCell ref="AC2:AE2"/>
    <mergeCell ref="AC3:AE3"/>
    <mergeCell ref="AC11:AE11"/>
    <mergeCell ref="AD12:AE12"/>
  </mergeCells>
  <phoneticPr fontId="2" type="noConversion"/>
  <pageMargins left="0.7" right="0.7" top="0.75" bottom="0.75" header="0.3" footer="0.3"/>
  <pageSetup scale="89" orientation="portrait" r:id="rId1"/>
  <colBreaks count="1" manualBreakCount="1">
    <brk id="21" max="32" man="1"/>
  </col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3" ma:contentTypeDescription="Create a new document." ma:contentTypeScope="" ma:versionID="2ca9bf751ef6f50fd99a64eaf45ca73d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013e4f16fe9c7292aa1444a2e64eed71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0F5833-E3D5-4465-B836-0DEADAE27D4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3C1FFEE-54E3-4891-B98C-21C3BE451C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0857ED-EC15-4E2C-B68B-265F3C049A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bb2215-5bf3-43e0-9dce-b3effc6cb50f"/>
    <ds:schemaRef ds:uri="8c44e1e5-30d2-450a-b924-ac87e029a2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Joe J. El Khoury</cp:lastModifiedBy>
  <cp:revision/>
  <dcterms:created xsi:type="dcterms:W3CDTF">2019-08-14T08:16:24Z</dcterms:created>
  <dcterms:modified xsi:type="dcterms:W3CDTF">2022-01-20T15:11:18Z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