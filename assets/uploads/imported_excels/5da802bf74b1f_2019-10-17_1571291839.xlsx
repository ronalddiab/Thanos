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drawings/drawing5.xml" ContentType="application/vnd.openxmlformats-officedocument.drawing+xml"/>
  <Override PartName="/xl/charts/chart26.xml" ContentType="application/vnd.openxmlformats-officedocument.drawingml.chart+xml"/>
  <Override PartName="/xl/drawings/drawing6.xml" ContentType="application/vnd.openxmlformats-officedocument.drawing+xml"/>
  <Override PartName="/xl/charts/chart27.xml" ContentType="application/vnd.openxmlformats-officedocument.drawingml.chart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charts/chart28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/>
  <mc:AlternateContent xmlns:mc="http://schemas.openxmlformats.org/markup-compatibility/2006">
    <mc:Choice Requires="x15">
      <x15ac:absPath xmlns:x15ac="http://schemas.microsoft.com/office/spreadsheetml/2010/11/ac" url="C:\Users\ronal\Downloads\"/>
    </mc:Choice>
  </mc:AlternateContent>
  <xr:revisionPtr revIDLastSave="0" documentId="13_ncr:1_{FF7990C9-C4A3-44C0-9CBB-D0FADD0EFE75}" xr6:coauthVersionLast="45" xr6:coauthVersionMax="45" xr10:uidLastSave="{00000000-0000-0000-0000-000000000000}"/>
  <bookViews>
    <workbookView xWindow="-110" yWindow="-110" windowWidth="19420" windowHeight="10420" tabRatio="593" xr2:uid="{00000000-000D-0000-FFFF-FFFF00000000}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Swimming Pool quality check " sheetId="79" r:id="rId16"/>
    <sheet name="MDB" sheetId="78" r:id="rId17"/>
    <sheet name="Sheet2" sheetId="83" state="hidden" r:id="rId18"/>
    <sheet name="Sheet6" sheetId="84" r:id="rId19"/>
    <sheet name="Sheet7" sheetId="85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4">WATER!$A$3:$C$37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N19" i="1" l="1"/>
  <c r="AP19" i="1"/>
  <c r="AR19" i="1"/>
  <c r="AE19" i="1"/>
  <c r="K15" i="73" l="1"/>
  <c r="G15" i="73"/>
  <c r="AP14" i="5"/>
  <c r="AF12" i="5"/>
  <c r="AH12" i="5"/>
  <c r="AH11" i="5"/>
  <c r="AH13" i="5"/>
  <c r="AE14" i="5"/>
  <c r="AF14" i="5" s="1"/>
  <c r="AI10" i="5"/>
  <c r="AF11" i="5"/>
  <c r="AI11" i="5" s="1"/>
  <c r="Y11" i="5"/>
  <c r="J7" i="82"/>
  <c r="S6" i="2"/>
  <c r="T6" i="2" s="1"/>
  <c r="AD7" i="1"/>
  <c r="N5" i="79"/>
  <c r="O5" i="79"/>
  <c r="M5" i="79"/>
  <c r="I5" i="79"/>
  <c r="H5" i="79"/>
  <c r="K5" i="79"/>
  <c r="G5" i="79"/>
  <c r="F5" i="79"/>
  <c r="E5" i="79"/>
  <c r="D5" i="79"/>
  <c r="C5" i="79"/>
  <c r="B5" i="79"/>
  <c r="D18" i="77"/>
  <c r="D17" i="77"/>
  <c r="D16" i="77"/>
  <c r="E16" i="77" s="1"/>
  <c r="D15" i="77"/>
  <c r="E15" i="77" s="1"/>
  <c r="D14" i="77"/>
  <c r="E14" i="77" s="1"/>
  <c r="J6" i="77"/>
  <c r="J12" i="77" s="1"/>
  <c r="O78" i="74"/>
  <c r="P78" i="74" s="1"/>
  <c r="N78" i="74"/>
  <c r="O77" i="74"/>
  <c r="N77" i="74"/>
  <c r="O76" i="74"/>
  <c r="N76" i="74"/>
  <c r="O75" i="74"/>
  <c r="N75" i="74"/>
  <c r="P75" i="74" s="1"/>
  <c r="O74" i="74"/>
  <c r="P74" i="74" s="1"/>
  <c r="N74" i="74"/>
  <c r="O73" i="74"/>
  <c r="N73" i="74"/>
  <c r="P73" i="74" s="1"/>
  <c r="O72" i="74"/>
  <c r="P72" i="74" s="1"/>
  <c r="N72" i="74"/>
  <c r="O71" i="74"/>
  <c r="N71" i="74"/>
  <c r="P71" i="74" s="1"/>
  <c r="O70" i="74"/>
  <c r="N70" i="74"/>
  <c r="O69" i="74"/>
  <c r="N69" i="74"/>
  <c r="P69" i="74" s="1"/>
  <c r="O68" i="74"/>
  <c r="P68" i="74" s="1"/>
  <c r="N68" i="74"/>
  <c r="O67" i="74"/>
  <c r="N67" i="74"/>
  <c r="O66" i="74"/>
  <c r="N66" i="74"/>
  <c r="O65" i="74"/>
  <c r="N65" i="74"/>
  <c r="P65" i="74" s="1"/>
  <c r="O64" i="74"/>
  <c r="N64" i="74"/>
  <c r="P64" i="74" s="1"/>
  <c r="O63" i="74"/>
  <c r="P63" i="74" s="1"/>
  <c r="N63" i="74"/>
  <c r="O62" i="74"/>
  <c r="N62" i="74"/>
  <c r="O61" i="74"/>
  <c r="N61" i="74"/>
  <c r="O60" i="74"/>
  <c r="N60" i="74"/>
  <c r="O59" i="74"/>
  <c r="P59" i="74" s="1"/>
  <c r="N59" i="74"/>
  <c r="O58" i="74"/>
  <c r="N58" i="74"/>
  <c r="O57" i="74"/>
  <c r="N57" i="74"/>
  <c r="O56" i="74"/>
  <c r="N56" i="74"/>
  <c r="O55" i="74"/>
  <c r="P55" i="74" s="1"/>
  <c r="N55" i="74"/>
  <c r="O54" i="74"/>
  <c r="N54" i="74"/>
  <c r="O53" i="74"/>
  <c r="N53" i="74"/>
  <c r="O52" i="74"/>
  <c r="N52" i="74"/>
  <c r="P52" i="74" s="1"/>
  <c r="O51" i="74"/>
  <c r="P51" i="74" s="1"/>
  <c r="N51" i="74"/>
  <c r="O50" i="74"/>
  <c r="N50" i="74"/>
  <c r="O49" i="74"/>
  <c r="N49" i="74"/>
  <c r="O48" i="74"/>
  <c r="N48" i="74"/>
  <c r="P48" i="74" s="1"/>
  <c r="K78" i="74"/>
  <c r="K77" i="74"/>
  <c r="K76" i="74"/>
  <c r="K75" i="74"/>
  <c r="K74" i="74"/>
  <c r="K73" i="74"/>
  <c r="K72" i="74"/>
  <c r="K71" i="74"/>
  <c r="K70" i="74"/>
  <c r="L70" i="74" s="1"/>
  <c r="K69" i="74"/>
  <c r="K68" i="74"/>
  <c r="K67" i="74"/>
  <c r="K66" i="74"/>
  <c r="L66" i="74" s="1"/>
  <c r="K65" i="74"/>
  <c r="K64" i="74"/>
  <c r="K63" i="74"/>
  <c r="K62" i="74"/>
  <c r="K61" i="74"/>
  <c r="K60" i="74"/>
  <c r="K59" i="74"/>
  <c r="K58" i="74"/>
  <c r="K57" i="74"/>
  <c r="K56" i="74"/>
  <c r="K55" i="74"/>
  <c r="K54" i="74"/>
  <c r="K53" i="74"/>
  <c r="K52" i="74"/>
  <c r="K51" i="74"/>
  <c r="K50" i="74"/>
  <c r="K49" i="74"/>
  <c r="K48" i="74"/>
  <c r="J78" i="74"/>
  <c r="J77" i="74"/>
  <c r="J76" i="74"/>
  <c r="J75" i="74"/>
  <c r="L75" i="74"/>
  <c r="J74" i="74"/>
  <c r="J73" i="74"/>
  <c r="L73" i="74" s="1"/>
  <c r="J72" i="74"/>
  <c r="J71" i="74"/>
  <c r="L71" i="74" s="1"/>
  <c r="J70" i="74"/>
  <c r="J69" i="74"/>
  <c r="L69" i="74" s="1"/>
  <c r="J68" i="74"/>
  <c r="L68" i="74" s="1"/>
  <c r="J67" i="74"/>
  <c r="L67" i="74" s="1"/>
  <c r="J66" i="74"/>
  <c r="J65" i="74"/>
  <c r="L65" i="74" s="1"/>
  <c r="J64" i="74"/>
  <c r="J63" i="74"/>
  <c r="L63" i="74" s="1"/>
  <c r="J62" i="74"/>
  <c r="J61" i="74"/>
  <c r="L61" i="74" s="1"/>
  <c r="J60" i="74"/>
  <c r="J59" i="74"/>
  <c r="L59" i="74"/>
  <c r="J58" i="74"/>
  <c r="J57" i="74"/>
  <c r="L57" i="74" s="1"/>
  <c r="J56" i="74"/>
  <c r="L56" i="74" s="1"/>
  <c r="J55" i="74"/>
  <c r="L55" i="74" s="1"/>
  <c r="J54" i="74"/>
  <c r="L54" i="74" s="1"/>
  <c r="J53" i="74"/>
  <c r="L53" i="74" s="1"/>
  <c r="J52" i="74"/>
  <c r="L52" i="74" s="1"/>
  <c r="J51" i="74"/>
  <c r="J50" i="74"/>
  <c r="J49" i="74"/>
  <c r="J48" i="74"/>
  <c r="L48" i="74" s="1"/>
  <c r="G78" i="74"/>
  <c r="G77" i="74"/>
  <c r="G76" i="74"/>
  <c r="G75" i="74"/>
  <c r="G74" i="74"/>
  <c r="G73" i="74"/>
  <c r="G72" i="74"/>
  <c r="G71" i="74"/>
  <c r="G70" i="74"/>
  <c r="G69" i="74"/>
  <c r="G68" i="74"/>
  <c r="G67" i="74"/>
  <c r="G66" i="74"/>
  <c r="G65" i="74"/>
  <c r="G64" i="74"/>
  <c r="G63" i="74"/>
  <c r="G62" i="74"/>
  <c r="G61" i="74"/>
  <c r="G60" i="74"/>
  <c r="G59" i="74"/>
  <c r="G58" i="74"/>
  <c r="G57" i="74"/>
  <c r="G56" i="74"/>
  <c r="G55" i="74"/>
  <c r="G54" i="74"/>
  <c r="G53" i="74"/>
  <c r="G52" i="74"/>
  <c r="G51" i="74"/>
  <c r="H51" i="74"/>
  <c r="G50" i="74"/>
  <c r="G49" i="74"/>
  <c r="G48" i="74"/>
  <c r="F78" i="74"/>
  <c r="H78" i="74" s="1"/>
  <c r="F77" i="74"/>
  <c r="F76" i="74"/>
  <c r="F75" i="74"/>
  <c r="H75" i="74" s="1"/>
  <c r="F74" i="74"/>
  <c r="H74" i="74" s="1"/>
  <c r="F73" i="74"/>
  <c r="F72" i="74"/>
  <c r="F71" i="74"/>
  <c r="H71" i="74" s="1"/>
  <c r="F70" i="74"/>
  <c r="F69" i="74"/>
  <c r="H69" i="74"/>
  <c r="F68" i="74"/>
  <c r="H68" i="74" s="1"/>
  <c r="F67" i="74"/>
  <c r="F66" i="74"/>
  <c r="F65" i="74"/>
  <c r="H65" i="74"/>
  <c r="F64" i="74"/>
  <c r="F63" i="74"/>
  <c r="F62" i="74"/>
  <c r="F61" i="74"/>
  <c r="H61" i="74" s="1"/>
  <c r="F60" i="74"/>
  <c r="H60" i="74" s="1"/>
  <c r="F59" i="74"/>
  <c r="F58" i="74"/>
  <c r="F57" i="74"/>
  <c r="H57" i="74" s="1"/>
  <c r="F56" i="74"/>
  <c r="F55" i="74"/>
  <c r="H55" i="74" s="1"/>
  <c r="F54" i="74"/>
  <c r="F53" i="74"/>
  <c r="F52" i="74"/>
  <c r="H52" i="74" s="1"/>
  <c r="F51" i="74"/>
  <c r="F50" i="74"/>
  <c r="F49" i="74"/>
  <c r="H49" i="74" s="1"/>
  <c r="F48" i="74"/>
  <c r="C78" i="74"/>
  <c r="C77" i="74"/>
  <c r="C76" i="74"/>
  <c r="C75" i="74"/>
  <c r="C74" i="74"/>
  <c r="C73" i="74"/>
  <c r="C72" i="74"/>
  <c r="C71" i="74"/>
  <c r="C70" i="74"/>
  <c r="C69" i="74"/>
  <c r="D69" i="74"/>
  <c r="C68" i="74"/>
  <c r="C67" i="74"/>
  <c r="C66" i="74"/>
  <c r="C65" i="74"/>
  <c r="C64" i="74"/>
  <c r="C63" i="74"/>
  <c r="C62" i="74"/>
  <c r="C61" i="74"/>
  <c r="C60" i="74"/>
  <c r="C59" i="74"/>
  <c r="C58" i="74"/>
  <c r="C57" i="74"/>
  <c r="C56" i="74"/>
  <c r="C55" i="74"/>
  <c r="C54" i="74"/>
  <c r="AB21" i="74" s="1"/>
  <c r="C53" i="74"/>
  <c r="C52" i="74"/>
  <c r="AB19" i="74"/>
  <c r="C51" i="74"/>
  <c r="C50" i="74"/>
  <c r="C49" i="74"/>
  <c r="AB16" i="74" s="1"/>
  <c r="C48" i="74"/>
  <c r="B78" i="74"/>
  <c r="B77" i="74"/>
  <c r="D77" i="74" s="1"/>
  <c r="B76" i="74"/>
  <c r="B75" i="74"/>
  <c r="D75" i="74" s="1"/>
  <c r="B74" i="74"/>
  <c r="D74" i="74" s="1"/>
  <c r="B73" i="74"/>
  <c r="D73" i="74" s="1"/>
  <c r="B72" i="74"/>
  <c r="B71" i="74"/>
  <c r="B70" i="74"/>
  <c r="D70" i="74" s="1"/>
  <c r="B69" i="74"/>
  <c r="B68" i="74"/>
  <c r="B67" i="74"/>
  <c r="D67" i="74" s="1"/>
  <c r="B66" i="74"/>
  <c r="B65" i="74"/>
  <c r="D65" i="74" s="1"/>
  <c r="B64" i="74"/>
  <c r="B63" i="74"/>
  <c r="D63" i="74" s="1"/>
  <c r="B62" i="74"/>
  <c r="B61" i="74"/>
  <c r="D61" i="74" s="1"/>
  <c r="B60" i="74"/>
  <c r="D60" i="74" s="1"/>
  <c r="B59" i="74"/>
  <c r="D59" i="74" s="1"/>
  <c r="B58" i="74"/>
  <c r="B57" i="74"/>
  <c r="D57" i="74" s="1"/>
  <c r="B56" i="74"/>
  <c r="B55" i="74"/>
  <c r="D55" i="74"/>
  <c r="B54" i="74"/>
  <c r="B53" i="74"/>
  <c r="B52" i="74"/>
  <c r="B51" i="74"/>
  <c r="B50" i="74"/>
  <c r="AA17" i="74" s="1"/>
  <c r="B49" i="74"/>
  <c r="D49" i="74" s="1"/>
  <c r="B48" i="74"/>
  <c r="D48" i="74" s="1"/>
  <c r="V13" i="76"/>
  <c r="V14" i="76"/>
  <c r="V15" i="76"/>
  <c r="V16" i="76"/>
  <c r="W16" i="76"/>
  <c r="W15" i="76"/>
  <c r="W14" i="76"/>
  <c r="X14" i="76"/>
  <c r="Y14" i="76"/>
  <c r="AB19" i="76"/>
  <c r="AB18" i="76"/>
  <c r="AA17" i="76"/>
  <c r="AA12" i="76"/>
  <c r="AA11" i="76"/>
  <c r="AB13" i="76"/>
  <c r="AB14" i="76"/>
  <c r="AC14" i="76"/>
  <c r="AC13" i="76"/>
  <c r="AD11" i="76"/>
  <c r="AD10" i="76"/>
  <c r="AD9" i="76"/>
  <c r="AC11" i="76"/>
  <c r="AC28" i="76" s="1"/>
  <c r="AC10" i="76"/>
  <c r="AC27" i="76" s="1"/>
  <c r="AC9" i="76"/>
  <c r="AB11" i="76"/>
  <c r="AB10" i="76"/>
  <c r="AB9" i="76"/>
  <c r="AA10" i="76"/>
  <c r="AA9" i="76"/>
  <c r="Z11" i="76"/>
  <c r="Z10" i="76"/>
  <c r="Z9" i="76"/>
  <c r="Y11" i="76"/>
  <c r="Y10" i="76"/>
  <c r="Y9" i="76"/>
  <c r="X11" i="76"/>
  <c r="X10" i="76"/>
  <c r="X9" i="76"/>
  <c r="W11" i="76"/>
  <c r="V28" i="76" s="1"/>
  <c r="W10" i="76"/>
  <c r="W9" i="76"/>
  <c r="V26" i="76" s="1"/>
  <c r="V11" i="76"/>
  <c r="V10" i="76"/>
  <c r="V9" i="76"/>
  <c r="T3" i="76"/>
  <c r="S3" i="76"/>
  <c r="R3" i="76"/>
  <c r="Q3" i="76"/>
  <c r="P3" i="76"/>
  <c r="O3" i="76"/>
  <c r="N3" i="76"/>
  <c r="M3" i="76"/>
  <c r="L3" i="76"/>
  <c r="K3" i="76"/>
  <c r="J3" i="76"/>
  <c r="I3" i="76"/>
  <c r="H3" i="76"/>
  <c r="I4" i="76" s="1"/>
  <c r="M4" i="76" s="1"/>
  <c r="G3" i="76"/>
  <c r="F3" i="76"/>
  <c r="E3" i="76"/>
  <c r="D3" i="76"/>
  <c r="C3" i="76"/>
  <c r="B3" i="76"/>
  <c r="C4" i="76" s="1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X3" i="3" s="1"/>
  <c r="W2" i="3"/>
  <c r="V2" i="3"/>
  <c r="U2" i="3"/>
  <c r="T2" i="3"/>
  <c r="U3" i="3" s="1"/>
  <c r="S2" i="3"/>
  <c r="R2" i="3"/>
  <c r="S3" i="3" s="1"/>
  <c r="Q2" i="3"/>
  <c r="P2" i="3"/>
  <c r="P3" i="3" s="1"/>
  <c r="O2" i="3"/>
  <c r="N2" i="3"/>
  <c r="M2" i="3"/>
  <c r="L2" i="3"/>
  <c r="M3" i="3" s="1"/>
  <c r="K2" i="3"/>
  <c r="J2" i="3"/>
  <c r="I2" i="3"/>
  <c r="H2" i="3"/>
  <c r="H3" i="3" s="1"/>
  <c r="G2" i="3"/>
  <c r="F2" i="3"/>
  <c r="E2" i="3"/>
  <c r="D2" i="3"/>
  <c r="E3" i="3" s="1"/>
  <c r="C2" i="3"/>
  <c r="B2" i="3"/>
  <c r="C3" i="3" s="1"/>
  <c r="BB5" i="7"/>
  <c r="BA5" i="7"/>
  <c r="AZ5" i="7"/>
  <c r="AY5" i="7"/>
  <c r="AX5" i="7"/>
  <c r="AW5" i="7"/>
  <c r="AV5" i="7"/>
  <c r="AU5" i="7"/>
  <c r="AT5" i="7"/>
  <c r="AS5" i="7"/>
  <c r="AR5" i="7"/>
  <c r="AQ5" i="7"/>
  <c r="AO5" i="7"/>
  <c r="AM5" i="7"/>
  <c r="AN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A5" i="7"/>
  <c r="O5" i="73"/>
  <c r="N5" i="73"/>
  <c r="M5" i="73"/>
  <c r="L5" i="73"/>
  <c r="K5" i="73"/>
  <c r="J5" i="73"/>
  <c r="I5" i="73"/>
  <c r="H5" i="73"/>
  <c r="G5" i="73"/>
  <c r="F5" i="73"/>
  <c r="E5" i="73"/>
  <c r="D5" i="73"/>
  <c r="C5" i="73"/>
  <c r="B5" i="73"/>
  <c r="BG5" i="5"/>
  <c r="G5" i="65" s="1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S6" i="5" s="1"/>
  <c r="AR5" i="5"/>
  <c r="AQ5" i="5"/>
  <c r="AP5" i="5"/>
  <c r="AO5" i="5"/>
  <c r="AN5" i="5"/>
  <c r="AM5" i="5"/>
  <c r="AL5" i="5"/>
  <c r="AK5" i="5"/>
  <c r="AJ5" i="5"/>
  <c r="AD5" i="5"/>
  <c r="AC5" i="5"/>
  <c r="AC6" i="5"/>
  <c r="AD7" i="5" s="1"/>
  <c r="AB5" i="5"/>
  <c r="AB6" i="5" s="1"/>
  <c r="AA5" i="5"/>
  <c r="Z5" i="5"/>
  <c r="AJ6" i="5" s="1"/>
  <c r="Y5" i="5"/>
  <c r="X5" i="5"/>
  <c r="Y6" i="5" s="1"/>
  <c r="W5" i="5"/>
  <c r="V5" i="5"/>
  <c r="W6" i="5" s="1"/>
  <c r="U5" i="5"/>
  <c r="T5" i="5"/>
  <c r="U6" i="5" s="1"/>
  <c r="S5" i="5"/>
  <c r="R5" i="5"/>
  <c r="Q5" i="5"/>
  <c r="P5" i="5"/>
  <c r="O5" i="5"/>
  <c r="O6" i="5" s="1"/>
  <c r="N5" i="5"/>
  <c r="M5" i="5"/>
  <c r="M6" i="5" s="1"/>
  <c r="L5" i="5"/>
  <c r="K5" i="5"/>
  <c r="J5" i="5"/>
  <c r="I5" i="5"/>
  <c r="H5" i="5"/>
  <c r="G5" i="5"/>
  <c r="H6" i="5" s="1"/>
  <c r="F5" i="5"/>
  <c r="E5" i="5"/>
  <c r="D5" i="5"/>
  <c r="C5" i="5"/>
  <c r="G2" i="63" s="1"/>
  <c r="B5" i="5"/>
  <c r="C6" i="5" s="1"/>
  <c r="D6" i="5" s="1"/>
  <c r="AX4" i="1"/>
  <c r="AX5" i="1" s="1"/>
  <c r="AW4" i="1"/>
  <c r="AV4" i="1"/>
  <c r="AU4" i="1"/>
  <c r="AT4" i="1"/>
  <c r="AS4" i="1"/>
  <c r="AR4" i="1"/>
  <c r="AQ4" i="1"/>
  <c r="AP4" i="1"/>
  <c r="AO4" i="1"/>
  <c r="AN4" i="1"/>
  <c r="AM4" i="1"/>
  <c r="F5" i="75" s="1"/>
  <c r="G5" i="75" s="1"/>
  <c r="AL4" i="1"/>
  <c r="D5" i="75" s="1"/>
  <c r="E5" i="75" s="1"/>
  <c r="AK4" i="1"/>
  <c r="AJ4" i="1"/>
  <c r="AI4" i="1"/>
  <c r="AH4" i="1"/>
  <c r="AG4" i="1"/>
  <c r="AF4" i="1"/>
  <c r="AE4" i="1"/>
  <c r="AD4" i="1"/>
  <c r="AC4" i="1"/>
  <c r="AD5" i="1"/>
  <c r="AB4" i="1"/>
  <c r="AA4" i="1"/>
  <c r="Z4" i="1"/>
  <c r="Y4" i="1"/>
  <c r="X4" i="1"/>
  <c r="Y5" i="1" s="1"/>
  <c r="W4" i="1"/>
  <c r="V4" i="1"/>
  <c r="U4" i="1"/>
  <c r="T4" i="1"/>
  <c r="S4" i="1"/>
  <c r="R4" i="1"/>
  <c r="Q4" i="1"/>
  <c r="R5" i="1" s="1"/>
  <c r="P4" i="1"/>
  <c r="O4" i="1"/>
  <c r="N4" i="1"/>
  <c r="M4" i="1"/>
  <c r="M5" i="1" s="1"/>
  <c r="L4" i="1"/>
  <c r="K4" i="1"/>
  <c r="J4" i="1"/>
  <c r="I4" i="1"/>
  <c r="H4" i="1"/>
  <c r="G4" i="1"/>
  <c r="F4" i="1"/>
  <c r="G5" i="1" s="1"/>
  <c r="E4" i="1"/>
  <c r="D4" i="1"/>
  <c r="C4" i="1"/>
  <c r="B4" i="1"/>
  <c r="AD3" i="2"/>
  <c r="AB3" i="2"/>
  <c r="Z3" i="2"/>
  <c r="V3" i="2"/>
  <c r="T3" i="2"/>
  <c r="K3" i="2"/>
  <c r="G3" i="2"/>
  <c r="I2" i="82" s="1"/>
  <c r="M9" i="79"/>
  <c r="I13" i="76"/>
  <c r="M13" i="76" s="1"/>
  <c r="C12" i="76"/>
  <c r="U11" i="3"/>
  <c r="K7" i="3"/>
  <c r="D4" i="3"/>
  <c r="D5" i="3"/>
  <c r="D6" i="3" s="1"/>
  <c r="D7" i="3" s="1"/>
  <c r="D8" i="3" s="1"/>
  <c r="D9" i="3" s="1"/>
  <c r="D13" i="3"/>
  <c r="D14" i="3" s="1"/>
  <c r="B4" i="3"/>
  <c r="B5" i="3"/>
  <c r="B6" i="3" s="1"/>
  <c r="B13" i="3"/>
  <c r="AC8" i="5"/>
  <c r="AC10" i="5"/>
  <c r="AC11" i="5"/>
  <c r="AC12" i="5" s="1"/>
  <c r="AB8" i="5"/>
  <c r="AB9" i="5"/>
  <c r="AB10" i="5"/>
  <c r="AB11" i="5" s="1"/>
  <c r="AB12" i="5" s="1"/>
  <c r="AB13" i="5" s="1"/>
  <c r="AB14" i="5" s="1"/>
  <c r="AB15" i="5" s="1"/>
  <c r="AB16" i="5" s="1"/>
  <c r="AB17" i="5" s="1"/>
  <c r="AB18" i="5" s="1"/>
  <c r="AB19" i="5" s="1"/>
  <c r="AB20" i="5" s="1"/>
  <c r="AB21" i="5" s="1"/>
  <c r="AB22" i="5" s="1"/>
  <c r="AB23" i="5" s="1"/>
  <c r="AB24" i="5" s="1"/>
  <c r="AB25" i="5" s="1"/>
  <c r="AB26" i="5" s="1"/>
  <c r="AB27" i="5" s="1"/>
  <c r="AB28" i="5" s="1"/>
  <c r="AB29" i="5" s="1"/>
  <c r="AB30" i="5" s="1"/>
  <c r="AB31" i="5" s="1"/>
  <c r="AB32" i="5" s="1"/>
  <c r="AB33" i="5" s="1"/>
  <c r="AB34" i="5" s="1"/>
  <c r="AB35" i="5" s="1"/>
  <c r="AB36" i="5" s="1"/>
  <c r="AJ14" i="5"/>
  <c r="K10" i="82" s="1"/>
  <c r="W14" i="5"/>
  <c r="G8" i="5"/>
  <c r="H8" i="5" s="1"/>
  <c r="H10" i="5"/>
  <c r="AO9" i="1"/>
  <c r="AF13" i="1"/>
  <c r="Z6" i="1"/>
  <c r="Z7" i="1" s="1"/>
  <c r="Z8" i="1" s="1"/>
  <c r="Z15" i="1"/>
  <c r="X6" i="1"/>
  <c r="X7" i="1" s="1"/>
  <c r="X8" i="1" s="1"/>
  <c r="X9" i="1" s="1"/>
  <c r="X10" i="1"/>
  <c r="X11" i="1" s="1"/>
  <c r="X12" i="1" s="1"/>
  <c r="X15" i="1"/>
  <c r="Y15" i="1" s="1"/>
  <c r="AB15" i="1" s="1"/>
  <c r="R13" i="1"/>
  <c r="S10" i="1"/>
  <c r="K5" i="1"/>
  <c r="K6" i="1"/>
  <c r="L6" i="1" s="1"/>
  <c r="H8" i="1"/>
  <c r="H11" i="1"/>
  <c r="F8" i="1"/>
  <c r="F11" i="1"/>
  <c r="U4" i="2"/>
  <c r="S4" i="2"/>
  <c r="S5" i="2"/>
  <c r="F37" i="73"/>
  <c r="W30" i="76" s="1"/>
  <c r="N27" i="79"/>
  <c r="BB18" i="7"/>
  <c r="H34" i="3"/>
  <c r="A11" i="1"/>
  <c r="K9" i="73"/>
  <c r="G9" i="73"/>
  <c r="D9" i="73"/>
  <c r="AM9" i="5"/>
  <c r="X16" i="76"/>
  <c r="X15" i="76"/>
  <c r="X13" i="76"/>
  <c r="W13" i="76"/>
  <c r="Y15" i="76"/>
  <c r="Y13" i="76"/>
  <c r="C6" i="76"/>
  <c r="H56" i="74"/>
  <c r="H72" i="74"/>
  <c r="K4" i="76"/>
  <c r="N4" i="76"/>
  <c r="M34" i="3"/>
  <c r="K3" i="3"/>
  <c r="N3" i="3" s="1"/>
  <c r="AS36" i="1"/>
  <c r="AW38" i="1" s="1"/>
  <c r="AS5" i="1"/>
  <c r="AQ6" i="1"/>
  <c r="AO5" i="1"/>
  <c r="AA5" i="1"/>
  <c r="S6" i="1"/>
  <c r="T6" i="1" s="1"/>
  <c r="S5" i="1"/>
  <c r="B7" i="7"/>
  <c r="D7" i="7" s="1"/>
  <c r="B6" i="7"/>
  <c r="K25" i="73"/>
  <c r="X3" i="2"/>
  <c r="M3" i="2"/>
  <c r="E2" i="82" s="1"/>
  <c r="I3" i="2"/>
  <c r="G2" i="82" s="1"/>
  <c r="A3" i="76"/>
  <c r="A34" i="79"/>
  <c r="L34" i="79" s="1"/>
  <c r="A32" i="1"/>
  <c r="J30" i="63" s="1"/>
  <c r="AP31" i="5"/>
  <c r="AT37" i="7"/>
  <c r="C8" i="77" s="1"/>
  <c r="A13" i="1"/>
  <c r="J11" i="63"/>
  <c r="E7" i="77"/>
  <c r="AB17" i="74"/>
  <c r="AB20" i="74"/>
  <c r="AA19" i="74"/>
  <c r="D53" i="74"/>
  <c r="AC16" i="76"/>
  <c r="AC17" i="76"/>
  <c r="AC18" i="76"/>
  <c r="V27" i="76"/>
  <c r="A34" i="76"/>
  <c r="P34" i="3"/>
  <c r="F2" i="63"/>
  <c r="A33" i="3"/>
  <c r="BB36" i="7"/>
  <c r="N6" i="79"/>
  <c r="N7" i="79"/>
  <c r="N8" i="79"/>
  <c r="N9" i="79"/>
  <c r="N10" i="79"/>
  <c r="O10" i="79" s="1"/>
  <c r="H10" i="79" s="1"/>
  <c r="N11" i="79"/>
  <c r="N12" i="79"/>
  <c r="N13" i="79"/>
  <c r="N14" i="79"/>
  <c r="O14" i="79" s="1"/>
  <c r="H14" i="79" s="1"/>
  <c r="N15" i="79"/>
  <c r="N16" i="79"/>
  <c r="N17" i="79"/>
  <c r="N18" i="79"/>
  <c r="N19" i="79"/>
  <c r="N20" i="79"/>
  <c r="N21" i="79"/>
  <c r="N22" i="79"/>
  <c r="N23" i="79"/>
  <c r="N24" i="79"/>
  <c r="N25" i="79"/>
  <c r="N26" i="79"/>
  <c r="N28" i="79"/>
  <c r="N29" i="79"/>
  <c r="N30" i="79"/>
  <c r="N31" i="79"/>
  <c r="N32" i="79"/>
  <c r="N33" i="79"/>
  <c r="N34" i="79"/>
  <c r="N35" i="79"/>
  <c r="N36" i="79"/>
  <c r="A36" i="79"/>
  <c r="L36" i="79" s="1"/>
  <c r="AK38" i="5"/>
  <c r="F37" i="5"/>
  <c r="B39" i="5"/>
  <c r="A38" i="5"/>
  <c r="AU6" i="5"/>
  <c r="AZ6" i="5" s="1"/>
  <c r="A36" i="5"/>
  <c r="AR36" i="5" s="1"/>
  <c r="AN36" i="5"/>
  <c r="AP36" i="5"/>
  <c r="AV36" i="1"/>
  <c r="AV39" i="1" s="1"/>
  <c r="A35" i="1"/>
  <c r="A35" i="7"/>
  <c r="A36" i="7"/>
  <c r="D36" i="73"/>
  <c r="AM36" i="5"/>
  <c r="A33" i="2"/>
  <c r="BA6" i="5"/>
  <c r="BA7" i="5"/>
  <c r="BA8" i="5"/>
  <c r="BD8" i="5" s="1"/>
  <c r="BA9" i="5"/>
  <c r="BA10" i="5"/>
  <c r="BA13" i="5"/>
  <c r="Y16" i="76"/>
  <c r="AB17" i="76"/>
  <c r="AB16" i="76"/>
  <c r="AB15" i="76"/>
  <c r="A10" i="7"/>
  <c r="W39" i="74"/>
  <c r="V39" i="74"/>
  <c r="W38" i="74"/>
  <c r="V38" i="74"/>
  <c r="W37" i="74"/>
  <c r="V37" i="74"/>
  <c r="X37" i="74" s="1"/>
  <c r="W36" i="74"/>
  <c r="V36" i="74"/>
  <c r="W35" i="74"/>
  <c r="V35" i="74"/>
  <c r="X35" i="74" s="1"/>
  <c r="W34" i="74"/>
  <c r="X34" i="74" s="1"/>
  <c r="V34" i="74"/>
  <c r="W33" i="74"/>
  <c r="V33" i="74"/>
  <c r="W32" i="74"/>
  <c r="V32" i="74"/>
  <c r="W31" i="74"/>
  <c r="V31" i="74"/>
  <c r="X31" i="74" s="1"/>
  <c r="W30" i="74"/>
  <c r="V30" i="74"/>
  <c r="W29" i="74"/>
  <c r="V29" i="74"/>
  <c r="W28" i="74"/>
  <c r="V28" i="74"/>
  <c r="W27" i="74"/>
  <c r="V27" i="74"/>
  <c r="W26" i="74"/>
  <c r="V26" i="74"/>
  <c r="W25" i="74"/>
  <c r="V25" i="74"/>
  <c r="W24" i="74"/>
  <c r="V24" i="74"/>
  <c r="W23" i="74"/>
  <c r="V23" i="74"/>
  <c r="W22" i="74"/>
  <c r="V22" i="74"/>
  <c r="W21" i="74"/>
  <c r="V21" i="74"/>
  <c r="W20" i="74"/>
  <c r="V20" i="74"/>
  <c r="W19" i="74"/>
  <c r="V19" i="74"/>
  <c r="W18" i="74"/>
  <c r="V18" i="74"/>
  <c r="W17" i="74"/>
  <c r="V17" i="74"/>
  <c r="W16" i="74"/>
  <c r="V16" i="74"/>
  <c r="W15" i="74"/>
  <c r="V15" i="74"/>
  <c r="W14" i="74"/>
  <c r="V14" i="74"/>
  <c r="W13" i="74"/>
  <c r="V13" i="74"/>
  <c r="W12" i="74"/>
  <c r="V12" i="74"/>
  <c r="W11" i="74"/>
  <c r="X11" i="74" s="1"/>
  <c r="V11" i="74"/>
  <c r="W10" i="74"/>
  <c r="V10" i="74"/>
  <c r="S40" i="74"/>
  <c r="S39" i="74"/>
  <c r="S38" i="74"/>
  <c r="S37" i="74"/>
  <c r="S36" i="74"/>
  <c r="S35" i="74"/>
  <c r="S34" i="74"/>
  <c r="S33" i="74"/>
  <c r="S32" i="74"/>
  <c r="S31" i="74"/>
  <c r="S30" i="74"/>
  <c r="S29" i="74"/>
  <c r="S28" i="74"/>
  <c r="S27" i="74"/>
  <c r="S26" i="74"/>
  <c r="S25" i="74"/>
  <c r="S24" i="74"/>
  <c r="S23" i="74"/>
  <c r="S22" i="74"/>
  <c r="S21" i="74"/>
  <c r="S20" i="74"/>
  <c r="S19" i="74"/>
  <c r="S18" i="74"/>
  <c r="S17" i="74"/>
  <c r="S16" i="74"/>
  <c r="S15" i="74"/>
  <c r="S14" i="74"/>
  <c r="S13" i="74"/>
  <c r="S12" i="74"/>
  <c r="S11" i="74"/>
  <c r="S10" i="74"/>
  <c r="T10" i="74"/>
  <c r="R40" i="74"/>
  <c r="T40" i="74" s="1"/>
  <c r="R39" i="74"/>
  <c r="R38" i="74"/>
  <c r="T38" i="74" s="1"/>
  <c r="R37" i="74"/>
  <c r="T37" i="74" s="1"/>
  <c r="R36" i="74"/>
  <c r="R35" i="74"/>
  <c r="R34" i="74"/>
  <c r="T34" i="74" s="1"/>
  <c r="R33" i="74"/>
  <c r="T33" i="74" s="1"/>
  <c r="R32" i="74"/>
  <c r="T32" i="74" s="1"/>
  <c r="R31" i="74"/>
  <c r="R30" i="74"/>
  <c r="T30" i="74" s="1"/>
  <c r="R29" i="74"/>
  <c r="R28" i="74"/>
  <c r="R27" i="74"/>
  <c r="R26" i="74"/>
  <c r="T26" i="74" s="1"/>
  <c r="R25" i="74"/>
  <c r="R24" i="74"/>
  <c r="R23" i="74"/>
  <c r="T23" i="74" s="1"/>
  <c r="R22" i="74"/>
  <c r="T22" i="74" s="1"/>
  <c r="R21" i="74"/>
  <c r="R20" i="74"/>
  <c r="R19" i="74"/>
  <c r="T19" i="74" s="1"/>
  <c r="R18" i="74"/>
  <c r="T18" i="74" s="1"/>
  <c r="R17" i="74"/>
  <c r="R16" i="74"/>
  <c r="T16" i="74" s="1"/>
  <c r="R15" i="74"/>
  <c r="T15" i="74" s="1"/>
  <c r="R14" i="74"/>
  <c r="R13" i="74"/>
  <c r="R12" i="74"/>
  <c r="R11" i="74"/>
  <c r="T11" i="74" s="1"/>
  <c r="R10" i="74"/>
  <c r="AA5" i="76"/>
  <c r="Z17" i="76"/>
  <c r="BH5" i="7"/>
  <c r="BG5" i="7"/>
  <c r="BF5" i="7"/>
  <c r="BE5" i="7"/>
  <c r="BD5" i="7"/>
  <c r="BC5" i="7"/>
  <c r="K36" i="73"/>
  <c r="G36" i="73"/>
  <c r="A34" i="1"/>
  <c r="A34" i="65" s="1"/>
  <c r="N43" i="74"/>
  <c r="AA13" i="74" s="1"/>
  <c r="O43" i="74"/>
  <c r="AB13" i="74" s="1"/>
  <c r="O39" i="74"/>
  <c r="P39" i="74" s="1"/>
  <c r="O38" i="74"/>
  <c r="O37" i="74"/>
  <c r="O36" i="74"/>
  <c r="O35" i="74"/>
  <c r="O34" i="74"/>
  <c r="O33" i="74"/>
  <c r="O32" i="74"/>
  <c r="O31" i="74"/>
  <c r="O30" i="74"/>
  <c r="O29" i="74"/>
  <c r="O28" i="74"/>
  <c r="O27" i="74"/>
  <c r="O26" i="74"/>
  <c r="O25" i="74"/>
  <c r="O24" i="74"/>
  <c r="O23" i="74"/>
  <c r="O22" i="74"/>
  <c r="O21" i="74"/>
  <c r="O20" i="74"/>
  <c r="O19" i="74"/>
  <c r="O18" i="74"/>
  <c r="O17" i="74"/>
  <c r="O16" i="74"/>
  <c r="O15" i="74"/>
  <c r="O14" i="74"/>
  <c r="O13" i="74"/>
  <c r="O12" i="74"/>
  <c r="O11" i="74"/>
  <c r="O10" i="74"/>
  <c r="N39" i="74"/>
  <c r="N38" i="74"/>
  <c r="N37" i="74"/>
  <c r="P37" i="74" s="1"/>
  <c r="N36" i="74"/>
  <c r="N35" i="74"/>
  <c r="N34" i="74"/>
  <c r="N33" i="74"/>
  <c r="N32" i="74"/>
  <c r="P32" i="74" s="1"/>
  <c r="N31" i="74"/>
  <c r="N30" i="74"/>
  <c r="P30" i="74" s="1"/>
  <c r="N29" i="74"/>
  <c r="P29" i="74" s="1"/>
  <c r="N28" i="74"/>
  <c r="N27" i="74"/>
  <c r="N26" i="74"/>
  <c r="N25" i="74"/>
  <c r="P25" i="74" s="1"/>
  <c r="N24" i="74"/>
  <c r="N23" i="74"/>
  <c r="N22" i="74"/>
  <c r="P22" i="74" s="1"/>
  <c r="N21" i="74"/>
  <c r="P21" i="74" s="1"/>
  <c r="N20" i="74"/>
  <c r="N19" i="74"/>
  <c r="N18" i="74"/>
  <c r="N17" i="74"/>
  <c r="P17" i="74" s="1"/>
  <c r="N16" i="74"/>
  <c r="N15" i="74"/>
  <c r="N14" i="74"/>
  <c r="P14" i="74" s="1"/>
  <c r="N13" i="74"/>
  <c r="P13" i="74" s="1"/>
  <c r="N12" i="74"/>
  <c r="N11" i="74"/>
  <c r="N10" i="74"/>
  <c r="AP5" i="7"/>
  <c r="D6" i="73"/>
  <c r="G6" i="73"/>
  <c r="K6" i="73"/>
  <c r="D7" i="73"/>
  <c r="AM7" i="5" s="1"/>
  <c r="G7" i="73"/>
  <c r="K7" i="73"/>
  <c r="D8" i="73"/>
  <c r="G8" i="73"/>
  <c r="K8" i="73"/>
  <c r="D10" i="73"/>
  <c r="G10" i="73"/>
  <c r="K10" i="73"/>
  <c r="D11" i="73"/>
  <c r="G11" i="73"/>
  <c r="K11" i="73"/>
  <c r="D12" i="73"/>
  <c r="AM12" i="5"/>
  <c r="G12" i="73"/>
  <c r="K12" i="73"/>
  <c r="D13" i="73"/>
  <c r="G13" i="73"/>
  <c r="K13" i="73"/>
  <c r="D14" i="73"/>
  <c r="G14" i="73"/>
  <c r="D15" i="73"/>
  <c r="BA15" i="7" s="1"/>
  <c r="D16" i="73"/>
  <c r="BA16" i="7" s="1"/>
  <c r="G16" i="73"/>
  <c r="K16" i="73"/>
  <c r="D17" i="73"/>
  <c r="G17" i="73"/>
  <c r="K17" i="73"/>
  <c r="D18" i="73"/>
  <c r="G18" i="73"/>
  <c r="K18" i="73"/>
  <c r="D19" i="73"/>
  <c r="BA19" i="7" s="1"/>
  <c r="G19" i="73"/>
  <c r="K19" i="73"/>
  <c r="D20" i="73"/>
  <c r="BA20" i="7" s="1"/>
  <c r="G20" i="73"/>
  <c r="K20" i="73"/>
  <c r="D21" i="73"/>
  <c r="BA21" i="7" s="1"/>
  <c r="G21" i="73"/>
  <c r="K21" i="73"/>
  <c r="D22" i="73"/>
  <c r="G22" i="73"/>
  <c r="K22" i="73"/>
  <c r="D23" i="73"/>
  <c r="BA23" i="7"/>
  <c r="G23" i="73"/>
  <c r="K23" i="73"/>
  <c r="D24" i="73"/>
  <c r="BA24" i="7"/>
  <c r="G24" i="73"/>
  <c r="K24" i="73"/>
  <c r="D25" i="73"/>
  <c r="G25" i="73"/>
  <c r="D26" i="73"/>
  <c r="BA26" i="7" s="1"/>
  <c r="G26" i="73"/>
  <c r="K26" i="73"/>
  <c r="D27" i="73"/>
  <c r="AM27" i="5" s="1"/>
  <c r="G27" i="73"/>
  <c r="K27" i="73"/>
  <c r="D28" i="73"/>
  <c r="G28" i="73"/>
  <c r="K28" i="73"/>
  <c r="D29" i="73"/>
  <c r="AM29" i="5"/>
  <c r="G29" i="73"/>
  <c r="K29" i="73"/>
  <c r="D30" i="73"/>
  <c r="BA30" i="7"/>
  <c r="AM30" i="5"/>
  <c r="G30" i="73"/>
  <c r="K30" i="73"/>
  <c r="D31" i="73"/>
  <c r="AM31" i="5"/>
  <c r="G31" i="73"/>
  <c r="D32" i="73"/>
  <c r="BA32" i="7"/>
  <c r="G32" i="73"/>
  <c r="K32" i="73"/>
  <c r="D33" i="73"/>
  <c r="AM33" i="5"/>
  <c r="G33" i="73"/>
  <c r="K33" i="73"/>
  <c r="A19" i="1"/>
  <c r="A19" i="65"/>
  <c r="A14" i="5"/>
  <c r="AR14" i="5"/>
  <c r="K40" i="74"/>
  <c r="K39" i="74"/>
  <c r="K38" i="74"/>
  <c r="K37" i="74"/>
  <c r="K36" i="74"/>
  <c r="K35" i="74"/>
  <c r="K34" i="74"/>
  <c r="K33" i="74"/>
  <c r="L33" i="74" s="1"/>
  <c r="K32" i="74"/>
  <c r="K31" i="74"/>
  <c r="K30" i="74"/>
  <c r="K29" i="74"/>
  <c r="L29" i="74" s="1"/>
  <c r="K28" i="74"/>
  <c r="K27" i="74"/>
  <c r="K26" i="74"/>
  <c r="K25" i="74"/>
  <c r="K24" i="74"/>
  <c r="K23" i="74"/>
  <c r="K22" i="74"/>
  <c r="K21" i="74"/>
  <c r="K20" i="74"/>
  <c r="K19" i="74"/>
  <c r="K18" i="74"/>
  <c r="K17" i="74"/>
  <c r="K16" i="74"/>
  <c r="K15" i="74"/>
  <c r="K14" i="74"/>
  <c r="K13" i="74"/>
  <c r="K12" i="74"/>
  <c r="K11" i="74"/>
  <c r="L11" i="74"/>
  <c r="K10" i="74"/>
  <c r="J40" i="74"/>
  <c r="J39" i="74"/>
  <c r="L39" i="74" s="1"/>
  <c r="J38" i="74"/>
  <c r="J37" i="74"/>
  <c r="L37" i="74" s="1"/>
  <c r="J36" i="74"/>
  <c r="J35" i="74"/>
  <c r="L35" i="74" s="1"/>
  <c r="J34" i="74"/>
  <c r="J33" i="74"/>
  <c r="J32" i="74"/>
  <c r="J31" i="74"/>
  <c r="L31" i="74" s="1"/>
  <c r="J30" i="74"/>
  <c r="J29" i="74"/>
  <c r="J28" i="74"/>
  <c r="L28" i="74" s="1"/>
  <c r="J27" i="74"/>
  <c r="L27" i="74" s="1"/>
  <c r="J26" i="74"/>
  <c r="J25" i="74"/>
  <c r="J24" i="74"/>
  <c r="J23" i="74"/>
  <c r="L23" i="74" s="1"/>
  <c r="J22" i="74"/>
  <c r="J21" i="74"/>
  <c r="L21" i="74" s="1"/>
  <c r="J20" i="74"/>
  <c r="J19" i="74"/>
  <c r="L19" i="74" s="1"/>
  <c r="J18" i="74"/>
  <c r="J17" i="74"/>
  <c r="J16" i="74"/>
  <c r="J15" i="74"/>
  <c r="L15" i="74" s="1"/>
  <c r="J14" i="74"/>
  <c r="J13" i="74"/>
  <c r="J12" i="74"/>
  <c r="J11" i="74"/>
  <c r="J10" i="74"/>
  <c r="G40" i="74"/>
  <c r="G39" i="74"/>
  <c r="G38" i="74"/>
  <c r="F40" i="74"/>
  <c r="F39" i="74"/>
  <c r="F38" i="74"/>
  <c r="AP18" i="5"/>
  <c r="AP17" i="5"/>
  <c r="AP13" i="5"/>
  <c r="H37" i="74"/>
  <c r="H36" i="74"/>
  <c r="H35" i="74"/>
  <c r="H34" i="74"/>
  <c r="H33" i="74"/>
  <c r="H32" i="74"/>
  <c r="H31" i="74"/>
  <c r="H30" i="74"/>
  <c r="H29" i="74"/>
  <c r="H28" i="74"/>
  <c r="H27" i="74"/>
  <c r="H26" i="74"/>
  <c r="H25" i="74"/>
  <c r="H24" i="74"/>
  <c r="H23" i="74"/>
  <c r="H22" i="74"/>
  <c r="H21" i="74"/>
  <c r="H20" i="74"/>
  <c r="H19" i="74"/>
  <c r="H18" i="74"/>
  <c r="H17" i="74"/>
  <c r="H16" i="74"/>
  <c r="H15" i="74"/>
  <c r="H14" i="74"/>
  <c r="H13" i="74"/>
  <c r="H12" i="74"/>
  <c r="F43" i="74" s="1"/>
  <c r="AA11" i="74" s="1"/>
  <c r="H11" i="74"/>
  <c r="H10" i="74"/>
  <c r="D40" i="74"/>
  <c r="D39" i="74"/>
  <c r="D38" i="74"/>
  <c r="D37" i="74"/>
  <c r="D36" i="74"/>
  <c r="D35" i="74"/>
  <c r="D34" i="74"/>
  <c r="D33" i="74"/>
  <c r="D32" i="74"/>
  <c r="D31" i="74"/>
  <c r="D30" i="74"/>
  <c r="D29" i="74"/>
  <c r="D28" i="74"/>
  <c r="D27" i="74"/>
  <c r="D26" i="74"/>
  <c r="D25" i="74"/>
  <c r="D24" i="74"/>
  <c r="D23" i="74"/>
  <c r="D22" i="74"/>
  <c r="D21" i="74"/>
  <c r="D20" i="74"/>
  <c r="D19" i="74"/>
  <c r="D18" i="74"/>
  <c r="D17" i="74"/>
  <c r="D16" i="74"/>
  <c r="D15" i="74"/>
  <c r="D14" i="74"/>
  <c r="D13" i="74"/>
  <c r="D12" i="74"/>
  <c r="D11" i="74"/>
  <c r="B43" i="74" s="1"/>
  <c r="AA10" i="74" s="1"/>
  <c r="D10" i="74"/>
  <c r="AB10" i="74"/>
  <c r="W12" i="76"/>
  <c r="V12" i="76"/>
  <c r="I4" i="2"/>
  <c r="G3" i="82" s="1"/>
  <c r="K35" i="73"/>
  <c r="AP26" i="5"/>
  <c r="AP22" i="5"/>
  <c r="AP21" i="5"/>
  <c r="AP12" i="5"/>
  <c r="AP8" i="5"/>
  <c r="I12" i="77"/>
  <c r="A14" i="3"/>
  <c r="AP16" i="5"/>
  <c r="T77" i="74"/>
  <c r="T76" i="74"/>
  <c r="T75" i="74"/>
  <c r="T74" i="74"/>
  <c r="T72" i="74"/>
  <c r="T71" i="74"/>
  <c r="T70" i="74"/>
  <c r="T69" i="74"/>
  <c r="T68" i="74"/>
  <c r="T67" i="74"/>
  <c r="T65" i="74"/>
  <c r="T64" i="74"/>
  <c r="T63" i="74"/>
  <c r="T61" i="74"/>
  <c r="T59" i="74"/>
  <c r="T58" i="74"/>
  <c r="T57" i="74"/>
  <c r="T55" i="74"/>
  <c r="T52" i="74"/>
  <c r="T51" i="74"/>
  <c r="T50" i="74"/>
  <c r="T49" i="74"/>
  <c r="L77" i="74"/>
  <c r="L50" i="74"/>
  <c r="AP7" i="5"/>
  <c r="W49" i="74"/>
  <c r="F39" i="5"/>
  <c r="F38" i="5"/>
  <c r="AP34" i="5"/>
  <c r="AP27" i="5"/>
  <c r="A15" i="76"/>
  <c r="A32" i="3"/>
  <c r="A35" i="5"/>
  <c r="AR35" i="5" s="1"/>
  <c r="AP35" i="5"/>
  <c r="A6" i="79"/>
  <c r="L6" i="79" s="1"/>
  <c r="A7" i="79"/>
  <c r="L7" i="79" s="1"/>
  <c r="A8" i="79"/>
  <c r="L8" i="79"/>
  <c r="A9" i="79"/>
  <c r="L9" i="79" s="1"/>
  <c r="A10" i="79"/>
  <c r="L10" i="79" s="1"/>
  <c r="A11" i="79"/>
  <c r="L11" i="79"/>
  <c r="A12" i="79"/>
  <c r="L12" i="79" s="1"/>
  <c r="A13" i="79"/>
  <c r="L13" i="79" s="1"/>
  <c r="A14" i="79"/>
  <c r="L14" i="79" s="1"/>
  <c r="A15" i="79"/>
  <c r="L15" i="79" s="1"/>
  <c r="A16" i="79"/>
  <c r="L16" i="79"/>
  <c r="A17" i="79"/>
  <c r="L17" i="79" s="1"/>
  <c r="A18" i="79"/>
  <c r="L18" i="79" s="1"/>
  <c r="A19" i="79"/>
  <c r="L19" i="79"/>
  <c r="A20" i="79"/>
  <c r="L20" i="79" s="1"/>
  <c r="A21" i="79"/>
  <c r="L21" i="79" s="1"/>
  <c r="A22" i="79"/>
  <c r="L22" i="79"/>
  <c r="A23" i="79"/>
  <c r="L23" i="79"/>
  <c r="A24" i="79"/>
  <c r="L24" i="79"/>
  <c r="A25" i="79"/>
  <c r="L25" i="79" s="1"/>
  <c r="A26" i="79"/>
  <c r="L26" i="79" s="1"/>
  <c r="A27" i="79"/>
  <c r="L27" i="79"/>
  <c r="A28" i="79"/>
  <c r="L28" i="79"/>
  <c r="A29" i="79"/>
  <c r="L29" i="79" s="1"/>
  <c r="A30" i="79"/>
  <c r="L30" i="79" s="1"/>
  <c r="A31" i="79"/>
  <c r="L31" i="79"/>
  <c r="A32" i="79"/>
  <c r="L32" i="79" s="1"/>
  <c r="A33" i="79"/>
  <c r="L33" i="79" s="1"/>
  <c r="A35" i="79"/>
  <c r="L35" i="79" s="1"/>
  <c r="A31" i="5"/>
  <c r="AR31" i="5" s="1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B4" i="7"/>
  <c r="D4" i="7" s="1"/>
  <c r="F4" i="7" s="1"/>
  <c r="H4" i="7" s="1"/>
  <c r="J4" i="7" s="1"/>
  <c r="L4" i="7" s="1"/>
  <c r="N4" i="7" s="1"/>
  <c r="P4" i="7" s="1"/>
  <c r="R4" i="7" s="1"/>
  <c r="T4" i="7" s="1"/>
  <c r="V4" i="7" s="1"/>
  <c r="A23" i="5"/>
  <c r="AR23" i="5" s="1"/>
  <c r="AH38" i="1"/>
  <c r="AH37" i="1"/>
  <c r="AP9" i="5"/>
  <c r="B3" i="77"/>
  <c r="A4" i="76"/>
  <c r="V4" i="76"/>
  <c r="A5" i="76"/>
  <c r="A6" i="76"/>
  <c r="A7" i="76"/>
  <c r="A8" i="76"/>
  <c r="A9" i="76"/>
  <c r="A10" i="76"/>
  <c r="A11" i="76"/>
  <c r="A12" i="76"/>
  <c r="AC12" i="76"/>
  <c r="A13" i="76"/>
  <c r="A14" i="76"/>
  <c r="A16" i="76"/>
  <c r="A17" i="76"/>
  <c r="A18" i="76"/>
  <c r="A19" i="76"/>
  <c r="A20" i="76"/>
  <c r="A21" i="76"/>
  <c r="A22" i="76"/>
  <c r="A23" i="76"/>
  <c r="A24" i="76"/>
  <c r="A25" i="76"/>
  <c r="A26" i="76"/>
  <c r="A27" i="76"/>
  <c r="A28" i="76"/>
  <c r="A29" i="76"/>
  <c r="A30" i="76"/>
  <c r="A31" i="76"/>
  <c r="A32" i="76"/>
  <c r="A33" i="76"/>
  <c r="D36" i="75"/>
  <c r="E36" i="75"/>
  <c r="F36" i="75"/>
  <c r="G36" i="75" s="1"/>
  <c r="D37" i="75"/>
  <c r="E37" i="75" s="1"/>
  <c r="F37" i="75"/>
  <c r="G37" i="75" s="1"/>
  <c r="G34" i="73"/>
  <c r="G35" i="73"/>
  <c r="B3" i="65"/>
  <c r="C3" i="65"/>
  <c r="H34" i="65"/>
  <c r="I34" i="65"/>
  <c r="J34" i="65"/>
  <c r="F32" i="63"/>
  <c r="G32" i="63"/>
  <c r="I32" i="63" s="1"/>
  <c r="H32" i="63"/>
  <c r="D3" i="7"/>
  <c r="F3" i="7"/>
  <c r="H3" i="7"/>
  <c r="AM3" i="7"/>
  <c r="A6" i="7"/>
  <c r="BB6" i="7"/>
  <c r="A7" i="7"/>
  <c r="BB7" i="7"/>
  <c r="A8" i="7"/>
  <c r="BB8" i="7"/>
  <c r="A9" i="7"/>
  <c r="BB9" i="7"/>
  <c r="BB10" i="7"/>
  <c r="A11" i="7"/>
  <c r="BB11" i="7"/>
  <c r="A12" i="7"/>
  <c r="BB12" i="7"/>
  <c r="A13" i="7"/>
  <c r="BB13" i="7"/>
  <c r="A14" i="7"/>
  <c r="BB14" i="7"/>
  <c r="A15" i="7"/>
  <c r="BB15" i="7"/>
  <c r="A16" i="7"/>
  <c r="BB16" i="7"/>
  <c r="A17" i="7"/>
  <c r="BB17" i="7"/>
  <c r="A18" i="7"/>
  <c r="A19" i="7"/>
  <c r="BB19" i="7"/>
  <c r="A20" i="7"/>
  <c r="BB20" i="7"/>
  <c r="A21" i="7"/>
  <c r="BB21" i="7"/>
  <c r="A22" i="7"/>
  <c r="BB22" i="7"/>
  <c r="A23" i="7"/>
  <c r="BB23" i="7"/>
  <c r="A24" i="7"/>
  <c r="BB24" i="7"/>
  <c r="A25" i="7"/>
  <c r="BB25" i="7"/>
  <c r="A26" i="7"/>
  <c r="BB26" i="7"/>
  <c r="A27" i="7"/>
  <c r="BB27" i="7"/>
  <c r="A28" i="7"/>
  <c r="BB28" i="7"/>
  <c r="A29" i="7"/>
  <c r="BB29" i="7"/>
  <c r="A30" i="7"/>
  <c r="BB30" i="7"/>
  <c r="A31" i="7"/>
  <c r="BB31" i="7"/>
  <c r="A32" i="7"/>
  <c r="BB32" i="7"/>
  <c r="A33" i="7"/>
  <c r="BB33" i="7"/>
  <c r="A34" i="7"/>
  <c r="BB34" i="7"/>
  <c r="BE34" i="7"/>
  <c r="BG34" i="7" s="1"/>
  <c r="BB35" i="7"/>
  <c r="BE35" i="7"/>
  <c r="BG35" i="7" s="1"/>
  <c r="A3" i="3"/>
  <c r="G3" i="3"/>
  <c r="O3" i="3"/>
  <c r="W3" i="3"/>
  <c r="AJ3" i="3"/>
  <c r="A4" i="3"/>
  <c r="AJ4" i="3"/>
  <c r="A5" i="3"/>
  <c r="AJ5" i="3"/>
  <c r="A6" i="3"/>
  <c r="AJ6" i="3"/>
  <c r="A7" i="3"/>
  <c r="AJ7" i="3"/>
  <c r="A8" i="3"/>
  <c r="AJ8" i="3"/>
  <c r="A9" i="3"/>
  <c r="A10" i="3"/>
  <c r="AJ10" i="3"/>
  <c r="A11" i="3"/>
  <c r="AJ11" i="3"/>
  <c r="A12" i="3"/>
  <c r="AJ12" i="3"/>
  <c r="A13" i="3"/>
  <c r="AJ13" i="3"/>
  <c r="AJ14" i="3"/>
  <c r="A15" i="3"/>
  <c r="AJ15" i="3"/>
  <c r="A16" i="3"/>
  <c r="AJ16" i="3"/>
  <c r="A17" i="3"/>
  <c r="AJ17" i="3"/>
  <c r="A18" i="3"/>
  <c r="AJ18" i="3"/>
  <c r="A19" i="3"/>
  <c r="AJ19" i="3"/>
  <c r="A20" i="3"/>
  <c r="AJ20" i="3"/>
  <c r="A21" i="3"/>
  <c r="AJ21" i="3"/>
  <c r="A22" i="3"/>
  <c r="AJ22" i="3"/>
  <c r="A23" i="3"/>
  <c r="AJ23" i="3"/>
  <c r="A24" i="3"/>
  <c r="AJ24" i="3"/>
  <c r="A25" i="3"/>
  <c r="AJ25" i="3"/>
  <c r="A26" i="3"/>
  <c r="AJ26" i="3"/>
  <c r="A27" i="3"/>
  <c r="AJ27" i="3"/>
  <c r="A28" i="3"/>
  <c r="AJ28" i="3"/>
  <c r="A29" i="3"/>
  <c r="AJ29" i="3"/>
  <c r="A30" i="3"/>
  <c r="AJ30" i="3"/>
  <c r="A31" i="3"/>
  <c r="AJ31" i="3"/>
  <c r="AJ32" i="3"/>
  <c r="AY4" i="5"/>
  <c r="AZ4" i="5"/>
  <c r="BA4" i="5"/>
  <c r="A6" i="5"/>
  <c r="AR6" i="5" s="1"/>
  <c r="AN6" i="5"/>
  <c r="AP6" i="5"/>
  <c r="A7" i="5"/>
  <c r="AR7" i="5" s="1"/>
  <c r="AN7" i="5"/>
  <c r="A8" i="5"/>
  <c r="AR8" i="5" s="1"/>
  <c r="AN8" i="5"/>
  <c r="A9" i="5"/>
  <c r="AR9" i="5" s="1"/>
  <c r="AN9" i="5"/>
  <c r="AU9" i="5"/>
  <c r="AZ9" i="5"/>
  <c r="A10" i="5"/>
  <c r="AR10" i="5"/>
  <c r="AN10" i="5"/>
  <c r="AU10" i="5"/>
  <c r="AU11" i="5" s="1"/>
  <c r="A11" i="5"/>
  <c r="AR11" i="5" s="1"/>
  <c r="AN11" i="5"/>
  <c r="A12" i="5"/>
  <c r="AR12" i="5"/>
  <c r="AN12" i="5"/>
  <c r="A13" i="5"/>
  <c r="AR13" i="5" s="1"/>
  <c r="AN14" i="5"/>
  <c r="A15" i="5"/>
  <c r="AR15" i="5" s="1"/>
  <c r="AN15" i="5"/>
  <c r="A16" i="5"/>
  <c r="AR16" i="5"/>
  <c r="AN16" i="5"/>
  <c r="A17" i="5"/>
  <c r="AR17" i="5"/>
  <c r="AN17" i="5"/>
  <c r="A18" i="5"/>
  <c r="AR18" i="5" s="1"/>
  <c r="AN18" i="5"/>
  <c r="A19" i="5"/>
  <c r="AR19" i="5" s="1"/>
  <c r="AN19" i="5"/>
  <c r="A20" i="5"/>
  <c r="AR20" i="5"/>
  <c r="AN20" i="5"/>
  <c r="A21" i="5"/>
  <c r="AR21" i="5" s="1"/>
  <c r="AN21" i="5"/>
  <c r="A22" i="5"/>
  <c r="AR22" i="5" s="1"/>
  <c r="AN22" i="5"/>
  <c r="AN23" i="5"/>
  <c r="AP23" i="5"/>
  <c r="A24" i="5"/>
  <c r="AR24" i="5"/>
  <c r="AN24" i="5"/>
  <c r="AP24" i="5"/>
  <c r="A25" i="5"/>
  <c r="AR25" i="5"/>
  <c r="AN25" i="5"/>
  <c r="A26" i="5"/>
  <c r="AR26" i="5"/>
  <c r="AN26" i="5"/>
  <c r="A27" i="5"/>
  <c r="AR27" i="5" s="1"/>
  <c r="AN27" i="5"/>
  <c r="A28" i="5"/>
  <c r="AR28" i="5" s="1"/>
  <c r="AN28" i="5"/>
  <c r="A29" i="5"/>
  <c r="AR29" i="5" s="1"/>
  <c r="AN29" i="5"/>
  <c r="A30" i="5"/>
  <c r="AR30" i="5" s="1"/>
  <c r="AN30" i="5"/>
  <c r="AN31" i="5"/>
  <c r="A32" i="5"/>
  <c r="AR32" i="5"/>
  <c r="AN32" i="5"/>
  <c r="A33" i="5"/>
  <c r="AR33" i="5" s="1"/>
  <c r="AN33" i="5"/>
  <c r="AP33" i="5"/>
  <c r="A34" i="5"/>
  <c r="AR34" i="5" s="1"/>
  <c r="AN34" i="5"/>
  <c r="AN35" i="5"/>
  <c r="A5" i="1"/>
  <c r="A6" i="1"/>
  <c r="A7" i="1"/>
  <c r="A8" i="1"/>
  <c r="A8" i="65" s="1"/>
  <c r="A9" i="1"/>
  <c r="A9" i="65" s="1"/>
  <c r="A10" i="1"/>
  <c r="A10" i="65"/>
  <c r="J9" i="63"/>
  <c r="A12" i="1"/>
  <c r="A12" i="65"/>
  <c r="A14" i="1"/>
  <c r="A14" i="65" s="1"/>
  <c r="A15" i="1"/>
  <c r="A16" i="1"/>
  <c r="A16" i="65" s="1"/>
  <c r="A17" i="1"/>
  <c r="A18" i="1"/>
  <c r="A18" i="65" s="1"/>
  <c r="A20" i="1"/>
  <c r="J18" i="63" s="1"/>
  <c r="A21" i="1"/>
  <c r="A21" i="65" s="1"/>
  <c r="A22" i="1"/>
  <c r="A23" i="1"/>
  <c r="A23" i="65" s="1"/>
  <c r="A24" i="1"/>
  <c r="A25" i="1"/>
  <c r="A26" i="1"/>
  <c r="A27" i="1"/>
  <c r="A27" i="65" s="1"/>
  <c r="A28" i="1"/>
  <c r="A29" i="1"/>
  <c r="A29" i="65"/>
  <c r="A30" i="1"/>
  <c r="J28" i="63" s="1"/>
  <c r="A31" i="1"/>
  <c r="A33" i="1"/>
  <c r="A33" i="65"/>
  <c r="A3" i="2"/>
  <c r="AZ6" i="7" s="1"/>
  <c r="A4" i="2"/>
  <c r="B4" i="2" s="1"/>
  <c r="L3" i="82" s="1"/>
  <c r="A5" i="2"/>
  <c r="AZ8" i="7"/>
  <c r="A6" i="2"/>
  <c r="A7" i="2"/>
  <c r="AZ10" i="7" s="1"/>
  <c r="A8" i="2"/>
  <c r="AZ11" i="7"/>
  <c r="A9" i="2"/>
  <c r="A10" i="2"/>
  <c r="AZ13" i="7" s="1"/>
  <c r="A11" i="2"/>
  <c r="B11" i="2" s="1"/>
  <c r="L10" i="82" s="1"/>
  <c r="A12" i="2"/>
  <c r="B12" i="2" s="1"/>
  <c r="A13" i="2"/>
  <c r="AZ16" i="7" s="1"/>
  <c r="A14" i="2"/>
  <c r="B14" i="2"/>
  <c r="L13" i="82" s="1"/>
  <c r="A15" i="2"/>
  <c r="AZ18" i="7" s="1"/>
  <c r="A16" i="2"/>
  <c r="B16" i="2" s="1"/>
  <c r="O15" i="81" s="1"/>
  <c r="A17" i="2"/>
  <c r="A18" i="2"/>
  <c r="B18" i="2" s="1"/>
  <c r="A19" i="2"/>
  <c r="AZ22" i="7" s="1"/>
  <c r="A20" i="2"/>
  <c r="A21" i="2"/>
  <c r="B21" i="2" s="1"/>
  <c r="O21" i="2" s="1"/>
  <c r="A22" i="2"/>
  <c r="A23" i="2"/>
  <c r="B23" i="2" s="1"/>
  <c r="A24" i="2"/>
  <c r="A25" i="2"/>
  <c r="A26" i="2"/>
  <c r="AZ29" i="7" s="1"/>
  <c r="A27" i="2"/>
  <c r="A28" i="2"/>
  <c r="A29" i="2"/>
  <c r="AZ32" i="7" s="1"/>
  <c r="A30" i="2"/>
  <c r="AZ33" i="7" s="1"/>
  <c r="A31" i="2"/>
  <c r="AZ34" i="7"/>
  <c r="A32" i="2"/>
  <c r="B3" i="82"/>
  <c r="B4" i="82" s="1"/>
  <c r="B5" i="82" s="1"/>
  <c r="B6" i="82" s="1"/>
  <c r="B7" i="82" s="1"/>
  <c r="B8" i="82" s="1"/>
  <c r="B9" i="82" s="1"/>
  <c r="B10" i="82" s="1"/>
  <c r="B11" i="82" s="1"/>
  <c r="B12" i="82" s="1"/>
  <c r="B13" i="82" s="1"/>
  <c r="B14" i="82" s="1"/>
  <c r="B15" i="82" s="1"/>
  <c r="B16" i="82" s="1"/>
  <c r="B17" i="82" s="1"/>
  <c r="B18" i="82" s="1"/>
  <c r="B19" i="82" s="1"/>
  <c r="B20" i="82" s="1"/>
  <c r="B21" i="82" s="1"/>
  <c r="B22" i="82" s="1"/>
  <c r="B23" i="82" s="1"/>
  <c r="B24" i="82" s="1"/>
  <c r="B25" i="82" s="1"/>
  <c r="B26" i="82" s="1"/>
  <c r="B27" i="82" s="1"/>
  <c r="B28" i="82" s="1"/>
  <c r="B29" i="82" s="1"/>
  <c r="B30" i="82" s="1"/>
  <c r="B31" i="82" s="1"/>
  <c r="B32" i="82" s="1"/>
  <c r="B3" i="81"/>
  <c r="B4" i="81"/>
  <c r="B5" i="81" s="1"/>
  <c r="B6" i="81" s="1"/>
  <c r="B7" i="81" s="1"/>
  <c r="B8" i="81"/>
  <c r="B9" i="81" s="1"/>
  <c r="B10" i="81" s="1"/>
  <c r="B11" i="81" s="1"/>
  <c r="B12" i="81" s="1"/>
  <c r="B13" i="81" s="1"/>
  <c r="B14" i="81" s="1"/>
  <c r="B15" i="81" s="1"/>
  <c r="B16" i="81" s="1"/>
  <c r="B17" i="81" s="1"/>
  <c r="B18" i="81" s="1"/>
  <c r="B19" i="81" s="1"/>
  <c r="B20" i="81" s="1"/>
  <c r="B21" i="81" s="1"/>
  <c r="B22" i="81" s="1"/>
  <c r="B23" i="81" s="1"/>
  <c r="B24" i="81" s="1"/>
  <c r="B25" i="81" s="1"/>
  <c r="B26" i="81" s="1"/>
  <c r="B27" i="81" s="1"/>
  <c r="B28" i="81" s="1"/>
  <c r="B29" i="81" s="1"/>
  <c r="B30" i="81" s="1"/>
  <c r="B31" i="81" s="1"/>
  <c r="B32" i="81" s="1"/>
  <c r="AP20" i="5"/>
  <c r="AP32" i="5"/>
  <c r="AP30" i="5"/>
  <c r="K34" i="73"/>
  <c r="L62" i="74"/>
  <c r="T66" i="74"/>
  <c r="T62" i="74"/>
  <c r="L58" i="74"/>
  <c r="T54" i="74"/>
  <c r="T60" i="74"/>
  <c r="H67" i="74"/>
  <c r="T48" i="74"/>
  <c r="S81" i="74" s="1"/>
  <c r="T53" i="74"/>
  <c r="T56" i="74"/>
  <c r="T73" i="74"/>
  <c r="AZ8" i="5"/>
  <c r="BC9" i="5" s="1"/>
  <c r="AP11" i="5"/>
  <c r="AP19" i="5"/>
  <c r="AP25" i="5"/>
  <c r="AP28" i="5"/>
  <c r="AP29" i="5"/>
  <c r="V49" i="74"/>
  <c r="X49" i="74" s="1"/>
  <c r="W50" i="74"/>
  <c r="W48" i="74"/>
  <c r="V48" i="74"/>
  <c r="V50" i="74"/>
  <c r="X50" i="74" s="1"/>
  <c r="W51" i="74"/>
  <c r="V51" i="74"/>
  <c r="W52" i="74"/>
  <c r="BA9" i="7"/>
  <c r="W53" i="74"/>
  <c r="V52" i="74"/>
  <c r="W54" i="74"/>
  <c r="X54" i="74" s="1"/>
  <c r="V53" i="74"/>
  <c r="V54" i="74"/>
  <c r="W55" i="74"/>
  <c r="W56" i="74"/>
  <c r="V55" i="74"/>
  <c r="X55" i="74" s="1"/>
  <c r="W57" i="74"/>
  <c r="V56" i="74"/>
  <c r="V57" i="74"/>
  <c r="W58" i="74"/>
  <c r="X58" i="74" s="1"/>
  <c r="W59" i="74"/>
  <c r="V58" i="74"/>
  <c r="V59" i="74"/>
  <c r="X59" i="74" s="1"/>
  <c r="W60" i="74"/>
  <c r="X60" i="74" s="1"/>
  <c r="V60" i="74"/>
  <c r="W61" i="74"/>
  <c r="V61" i="74"/>
  <c r="W62" i="74"/>
  <c r="X62" i="74" s="1"/>
  <c r="V62" i="74"/>
  <c r="W63" i="74"/>
  <c r="W64" i="74"/>
  <c r="V63" i="74"/>
  <c r="X63" i="74" s="1"/>
  <c r="W65" i="74"/>
  <c r="V64" i="74"/>
  <c r="W66" i="74"/>
  <c r="V65" i="74"/>
  <c r="W67" i="74"/>
  <c r="V66" i="74"/>
  <c r="AM24" i="5"/>
  <c r="W68" i="74"/>
  <c r="V67" i="74"/>
  <c r="W69" i="74"/>
  <c r="V68" i="74"/>
  <c r="W70" i="74"/>
  <c r="V69" i="74"/>
  <c r="V70" i="74"/>
  <c r="X70" i="74" s="1"/>
  <c r="W71" i="74"/>
  <c r="V71" i="74"/>
  <c r="W72" i="74"/>
  <c r="V72" i="74"/>
  <c r="W73" i="74"/>
  <c r="V73" i="74"/>
  <c r="W74" i="74"/>
  <c r="V74" i="74"/>
  <c r="W75" i="74"/>
  <c r="V75" i="74"/>
  <c r="W76" i="74"/>
  <c r="V76" i="74"/>
  <c r="W77" i="74"/>
  <c r="D34" i="73"/>
  <c r="BA34" i="7"/>
  <c r="V77" i="74"/>
  <c r="W78" i="74"/>
  <c r="D35" i="73"/>
  <c r="BA35" i="7"/>
  <c r="V78" i="74"/>
  <c r="X78" i="74"/>
  <c r="AV6" i="7"/>
  <c r="AV7" i="7" s="1"/>
  <c r="AN13" i="5"/>
  <c r="AP10" i="5"/>
  <c r="F7" i="77"/>
  <c r="H7" i="77" s="1"/>
  <c r="B32" i="63"/>
  <c r="A32" i="63"/>
  <c r="E32" i="63"/>
  <c r="C32" i="63"/>
  <c r="Z43" i="76"/>
  <c r="G37" i="74"/>
  <c r="F37" i="74"/>
  <c r="G36" i="74"/>
  <c r="F36" i="74"/>
  <c r="G35" i="74"/>
  <c r="F35" i="74"/>
  <c r="G34" i="74"/>
  <c r="F34" i="74"/>
  <c r="G33" i="74"/>
  <c r="F33" i="74"/>
  <c r="G32" i="74"/>
  <c r="F32" i="74"/>
  <c r="G31" i="74"/>
  <c r="F31" i="74"/>
  <c r="G30" i="74"/>
  <c r="F30" i="74"/>
  <c r="G29" i="74"/>
  <c r="F29" i="74"/>
  <c r="G28" i="74"/>
  <c r="F28" i="74"/>
  <c r="G27" i="74"/>
  <c r="F27" i="74"/>
  <c r="G26" i="74"/>
  <c r="F26" i="74"/>
  <c r="G25" i="74"/>
  <c r="F25" i="74"/>
  <c r="G24" i="74"/>
  <c r="F24" i="74"/>
  <c r="G23" i="74"/>
  <c r="F23" i="74"/>
  <c r="G22" i="74"/>
  <c r="F22" i="74"/>
  <c r="G21" i="74"/>
  <c r="F21" i="74"/>
  <c r="G20" i="74"/>
  <c r="F20" i="74"/>
  <c r="G19" i="74"/>
  <c r="F19" i="74"/>
  <c r="G18" i="74"/>
  <c r="F18" i="74"/>
  <c r="G17" i="74"/>
  <c r="F17" i="74"/>
  <c r="G16" i="74"/>
  <c r="F16" i="74"/>
  <c r="G15" i="74"/>
  <c r="F15" i="74"/>
  <c r="G14" i="74"/>
  <c r="F14" i="74"/>
  <c r="G13" i="74"/>
  <c r="F13" i="74"/>
  <c r="G12" i="74"/>
  <c r="F12" i="74"/>
  <c r="G11" i="74"/>
  <c r="F11" i="74"/>
  <c r="G10" i="74"/>
  <c r="F10" i="74"/>
  <c r="C40" i="74"/>
  <c r="B40" i="74"/>
  <c r="C39" i="74"/>
  <c r="B39" i="74"/>
  <c r="C38" i="74"/>
  <c r="B38" i="74"/>
  <c r="C37" i="74"/>
  <c r="B37" i="74"/>
  <c r="C36" i="74"/>
  <c r="B36" i="74"/>
  <c r="C35" i="74"/>
  <c r="B35" i="74"/>
  <c r="C34" i="74"/>
  <c r="B34" i="74"/>
  <c r="C33" i="74"/>
  <c r="B33" i="74"/>
  <c r="C32" i="74"/>
  <c r="B32" i="74"/>
  <c r="C31" i="74"/>
  <c r="B31" i="74"/>
  <c r="C30" i="74"/>
  <c r="B30" i="74"/>
  <c r="C29" i="74"/>
  <c r="B29" i="74"/>
  <c r="C28" i="74"/>
  <c r="B28" i="74"/>
  <c r="C27" i="74"/>
  <c r="B27" i="74"/>
  <c r="C26" i="74"/>
  <c r="B26" i="74"/>
  <c r="C25" i="74"/>
  <c r="B25" i="74"/>
  <c r="C24" i="74"/>
  <c r="B24" i="74"/>
  <c r="C23" i="74"/>
  <c r="B23" i="74"/>
  <c r="C22" i="74"/>
  <c r="B22" i="74"/>
  <c r="C21" i="74"/>
  <c r="B21" i="74"/>
  <c r="C20" i="74"/>
  <c r="B20" i="74"/>
  <c r="C19" i="74"/>
  <c r="B19" i="74"/>
  <c r="C18" i="74"/>
  <c r="B18" i="74"/>
  <c r="C17" i="74"/>
  <c r="B17" i="74"/>
  <c r="C16" i="74"/>
  <c r="B16" i="74"/>
  <c r="C15" i="74"/>
  <c r="B15" i="74"/>
  <c r="C14" i="74"/>
  <c r="B14" i="74"/>
  <c r="C13" i="74"/>
  <c r="B13" i="74"/>
  <c r="C12" i="74"/>
  <c r="B12" i="74"/>
  <c r="C11" i="74"/>
  <c r="B11" i="74"/>
  <c r="C10" i="74"/>
  <c r="B10" i="74"/>
  <c r="BA31" i="7"/>
  <c r="BA33" i="7"/>
  <c r="BA36" i="7"/>
  <c r="AM35" i="5"/>
  <c r="H64" i="74"/>
  <c r="D78" i="74"/>
  <c r="AM20" i="5"/>
  <c r="BA12" i="7"/>
  <c r="AA21" i="74"/>
  <c r="L12" i="74"/>
  <c r="L26" i="74"/>
  <c r="L32" i="74"/>
  <c r="L13" i="74"/>
  <c r="L22" i="74"/>
  <c r="L16" i="74"/>
  <c r="L40" i="74"/>
  <c r="L36" i="74"/>
  <c r="L20" i="74"/>
  <c r="M5" i="3"/>
  <c r="AJ7" i="5"/>
  <c r="K3" i="82" s="1"/>
  <c r="AQ5" i="1"/>
  <c r="AT5" i="1" s="1"/>
  <c r="AS6" i="1"/>
  <c r="M4" i="2"/>
  <c r="E3" i="82" s="1"/>
  <c r="K4" i="2"/>
  <c r="F3" i="82"/>
  <c r="E5" i="2"/>
  <c r="H4" i="82" s="1"/>
  <c r="E4" i="2"/>
  <c r="H3" i="82" s="1"/>
  <c r="H76" i="74"/>
  <c r="H48" i="74"/>
  <c r="I6" i="76"/>
  <c r="M6" i="76" s="1"/>
  <c r="I5" i="76"/>
  <c r="M5" i="76"/>
  <c r="G6" i="76"/>
  <c r="G5" i="76"/>
  <c r="L5" i="76"/>
  <c r="G4" i="76"/>
  <c r="L4" i="76" s="1"/>
  <c r="C5" i="76"/>
  <c r="S5" i="3"/>
  <c r="S4" i="3"/>
  <c r="M4" i="3"/>
  <c r="E5" i="3"/>
  <c r="E4" i="3"/>
  <c r="C5" i="3"/>
  <c r="C4" i="3"/>
  <c r="O7" i="79"/>
  <c r="H7" i="79" s="1"/>
  <c r="O8" i="79"/>
  <c r="H8" i="79" s="1"/>
  <c r="O9" i="79"/>
  <c r="H9" i="79" s="1"/>
  <c r="O6" i="79"/>
  <c r="H6" i="79" s="1"/>
  <c r="W8" i="5"/>
  <c r="W7" i="5"/>
  <c r="Y8" i="5"/>
  <c r="J4" i="82"/>
  <c r="Y7" i="5"/>
  <c r="J3" i="82"/>
  <c r="U8" i="5"/>
  <c r="U7" i="5"/>
  <c r="Y7" i="1"/>
  <c r="AB7" i="1" s="1"/>
  <c r="Y6" i="1"/>
  <c r="R7" i="1"/>
  <c r="R6" i="1"/>
  <c r="L5" i="1"/>
  <c r="D7" i="1"/>
  <c r="E7" i="1"/>
  <c r="Z7" i="7"/>
  <c r="AA7" i="7" s="1"/>
  <c r="D6" i="1"/>
  <c r="E6" i="1" s="1"/>
  <c r="D5" i="1"/>
  <c r="E5" i="1" s="1"/>
  <c r="Z6" i="7"/>
  <c r="AB6" i="7" s="1"/>
  <c r="AD6" i="7" s="1"/>
  <c r="AM23" i="5"/>
  <c r="BA7" i="7"/>
  <c r="AM32" i="5"/>
  <c r="BA27" i="7"/>
  <c r="AM26" i="5"/>
  <c r="AM34" i="5"/>
  <c r="AD5" i="2"/>
  <c r="AB5" i="2"/>
  <c r="Z5" i="2"/>
  <c r="Z4" i="2"/>
  <c r="T5" i="2"/>
  <c r="T4" i="2"/>
  <c r="Q5" i="2"/>
  <c r="E4" i="63" s="1"/>
  <c r="Q4" i="2"/>
  <c r="Q3" i="2"/>
  <c r="I5" i="65" s="1"/>
  <c r="I5" i="2"/>
  <c r="G4" i="82"/>
  <c r="G5" i="2"/>
  <c r="I4" i="82" s="1"/>
  <c r="G4" i="2"/>
  <c r="E3" i="2"/>
  <c r="H2" i="82" s="1"/>
  <c r="A2" i="3"/>
  <c r="A5" i="79"/>
  <c r="L5" i="79" s="1"/>
  <c r="A5" i="5"/>
  <c r="A4" i="1"/>
  <c r="J2" i="63" s="1"/>
  <c r="J12" i="63"/>
  <c r="K31" i="73"/>
  <c r="BA29" i="7"/>
  <c r="D66" i="74"/>
  <c r="A11" i="65"/>
  <c r="B7" i="2"/>
  <c r="X39" i="74"/>
  <c r="AB4" i="2"/>
  <c r="AE4" i="2" s="1"/>
  <c r="AG4" i="2" s="1"/>
  <c r="AD6" i="1"/>
  <c r="H7" i="5"/>
  <c r="AD4" i="2"/>
  <c r="I5" i="1"/>
  <c r="AS37" i="7"/>
  <c r="AU37" i="7" s="1"/>
  <c r="AT38" i="7" s="1"/>
  <c r="AF5" i="1"/>
  <c r="AA6" i="5"/>
  <c r="AM16" i="5"/>
  <c r="J16" i="63"/>
  <c r="B5" i="2"/>
  <c r="AZ14" i="7"/>
  <c r="X33" i="74"/>
  <c r="AZ15" i="7"/>
  <c r="J10" i="63"/>
  <c r="AA20" i="74"/>
  <c r="AD8" i="5"/>
  <c r="M6" i="3"/>
  <c r="U5" i="3"/>
  <c r="AA5" i="3" s="1"/>
  <c r="U4" i="3"/>
  <c r="V4" i="3" s="1"/>
  <c r="AA4" i="3"/>
  <c r="K6" i="76"/>
  <c r="N6" i="76" s="1"/>
  <c r="K5" i="76"/>
  <c r="N5" i="76" s="1"/>
  <c r="K4" i="3"/>
  <c r="N4" i="3" s="1"/>
  <c r="K5" i="3"/>
  <c r="Z5" i="3"/>
  <c r="AC5" i="3" s="1"/>
  <c r="AA7" i="5"/>
  <c r="AL7" i="5"/>
  <c r="C8" i="5"/>
  <c r="I8" i="5" s="1"/>
  <c r="K4" i="81" s="1"/>
  <c r="C7" i="5"/>
  <c r="AA7" i="1"/>
  <c r="AO6" i="1"/>
  <c r="AT6" i="1" s="1"/>
  <c r="AA6" i="1"/>
  <c r="AH6" i="1" s="1"/>
  <c r="C6" i="65" s="1"/>
  <c r="AS7" i="1"/>
  <c r="E2" i="63"/>
  <c r="M5" i="2"/>
  <c r="E4" i="82"/>
  <c r="X4" i="2"/>
  <c r="K7" i="76"/>
  <c r="N7" i="76"/>
  <c r="I7" i="76"/>
  <c r="D7" i="76" s="1"/>
  <c r="G7" i="76"/>
  <c r="L6" i="76"/>
  <c r="C7" i="76"/>
  <c r="U6" i="3"/>
  <c r="AA6" i="3" s="1"/>
  <c r="S6" i="3"/>
  <c r="V6" i="3"/>
  <c r="K6" i="3"/>
  <c r="N6" i="3"/>
  <c r="E6" i="3"/>
  <c r="F5" i="3"/>
  <c r="F3" i="3"/>
  <c r="AD9" i="5"/>
  <c r="AA8" i="5"/>
  <c r="AJ8" i="5"/>
  <c r="K4" i="82"/>
  <c r="W9" i="5"/>
  <c r="Y9" i="5"/>
  <c r="J5" i="82" s="1"/>
  <c r="U9" i="5"/>
  <c r="H9" i="5"/>
  <c r="C9" i="5"/>
  <c r="E9" i="5" s="1"/>
  <c r="AQ7" i="1"/>
  <c r="AU5" i="1"/>
  <c r="I2" i="81" s="1"/>
  <c r="AD8" i="1"/>
  <c r="Y8" i="1"/>
  <c r="AM8" i="1" s="1"/>
  <c r="AM7" i="1"/>
  <c r="F8" i="75" s="1"/>
  <c r="G8" i="75"/>
  <c r="R8" i="1"/>
  <c r="S7" i="1"/>
  <c r="T7" i="1" s="1"/>
  <c r="Z8" i="7"/>
  <c r="B8" i="7"/>
  <c r="AD6" i="2"/>
  <c r="AB6" i="2"/>
  <c r="Z6" i="2"/>
  <c r="AD5" i="3"/>
  <c r="AI5" i="3" s="1"/>
  <c r="I7" i="65"/>
  <c r="Q6" i="2"/>
  <c r="K5" i="2"/>
  <c r="F4" i="82"/>
  <c r="I6" i="2"/>
  <c r="G5" i="82" s="1"/>
  <c r="G6" i="2"/>
  <c r="I5" i="82" s="1"/>
  <c r="G6" i="1"/>
  <c r="I6" i="1"/>
  <c r="G7" i="1"/>
  <c r="AF6" i="1"/>
  <c r="AG6" i="1"/>
  <c r="V5" i="3"/>
  <c r="D6" i="76"/>
  <c r="E6" i="76" s="1"/>
  <c r="N5" i="3"/>
  <c r="D8" i="5"/>
  <c r="AL8" i="5"/>
  <c r="AO7" i="1"/>
  <c r="AT7" i="1" s="1"/>
  <c r="X5" i="2"/>
  <c r="E6" i="2"/>
  <c r="H5" i="82" s="1"/>
  <c r="K8" i="76"/>
  <c r="N8" i="76" s="1"/>
  <c r="I8" i="76"/>
  <c r="M8" i="76" s="1"/>
  <c r="G8" i="76"/>
  <c r="L8" i="76"/>
  <c r="M7" i="3"/>
  <c r="E7" i="3"/>
  <c r="F5" i="63"/>
  <c r="AD10" i="5"/>
  <c r="AA9" i="5"/>
  <c r="AJ9" i="5"/>
  <c r="K5" i="82"/>
  <c r="W10" i="5"/>
  <c r="Y10" i="5"/>
  <c r="J6" i="82" s="1"/>
  <c r="C10" i="5"/>
  <c r="D9" i="5"/>
  <c r="AS8" i="1"/>
  <c r="AQ8" i="1"/>
  <c r="AB8" i="1"/>
  <c r="Y9" i="1"/>
  <c r="AB9" i="1" s="1"/>
  <c r="R9" i="1"/>
  <c r="S8" i="1"/>
  <c r="Z9" i="7"/>
  <c r="AB9" i="7" s="1"/>
  <c r="D8" i="1"/>
  <c r="E8" i="1"/>
  <c r="B9" i="7"/>
  <c r="C9" i="7" s="1"/>
  <c r="AD7" i="2"/>
  <c r="AB7" i="2"/>
  <c r="Z7" i="2"/>
  <c r="Q7" i="2"/>
  <c r="I9" i="65" s="1"/>
  <c r="AD7" i="3"/>
  <c r="AI7" i="3" s="1"/>
  <c r="D9" i="65" s="1"/>
  <c r="I8" i="65"/>
  <c r="BE8" i="7"/>
  <c r="BG8" i="7" s="1"/>
  <c r="M6" i="2"/>
  <c r="K6" i="2"/>
  <c r="F5" i="82"/>
  <c r="I7" i="2"/>
  <c r="G7" i="2"/>
  <c r="I6" i="82"/>
  <c r="E7" i="2"/>
  <c r="H6" i="82" s="1"/>
  <c r="I7" i="1"/>
  <c r="Q5" i="3"/>
  <c r="P6" i="3"/>
  <c r="P7" i="3" s="1"/>
  <c r="I5" i="3"/>
  <c r="H6" i="3"/>
  <c r="AF7" i="1"/>
  <c r="AH7" i="1" s="1"/>
  <c r="C7" i="65" s="1"/>
  <c r="G8" i="1"/>
  <c r="AG7" i="1"/>
  <c r="AL9" i="5"/>
  <c r="AO8" i="1"/>
  <c r="AT8" i="1"/>
  <c r="X6" i="2"/>
  <c r="E8" i="3"/>
  <c r="AD11" i="5"/>
  <c r="AJ10" i="5"/>
  <c r="K6" i="82" s="1"/>
  <c r="AA10" i="5"/>
  <c r="W11" i="5"/>
  <c r="C11" i="5"/>
  <c r="D11" i="5" s="1"/>
  <c r="D10" i="5"/>
  <c r="AS9" i="1"/>
  <c r="AQ9" i="1"/>
  <c r="Y10" i="1"/>
  <c r="AB10" i="1" s="1"/>
  <c r="R10" i="1"/>
  <c r="Z10" i="7"/>
  <c r="D9" i="1"/>
  <c r="E9" i="1" s="1"/>
  <c r="B10" i="7"/>
  <c r="AB8" i="2"/>
  <c r="Z8" i="2"/>
  <c r="BE9" i="7"/>
  <c r="BG9" i="7" s="1"/>
  <c r="Q8" i="2"/>
  <c r="BE10" i="7" s="1"/>
  <c r="BG10" i="7" s="1"/>
  <c r="M7" i="2"/>
  <c r="E6" i="82"/>
  <c r="I8" i="1"/>
  <c r="G9" i="1"/>
  <c r="H7" i="3"/>
  <c r="H8" i="3"/>
  <c r="H9" i="3" s="1"/>
  <c r="H10" i="3" s="1"/>
  <c r="H11" i="3" s="1"/>
  <c r="I6" i="3"/>
  <c r="Q6" i="3"/>
  <c r="J8" i="1"/>
  <c r="AF8" i="1"/>
  <c r="X7" i="2"/>
  <c r="AA11" i="5"/>
  <c r="AJ11" i="5"/>
  <c r="K7" i="82"/>
  <c r="C12" i="5"/>
  <c r="D12" i="5" s="1"/>
  <c r="AS10" i="1"/>
  <c r="AQ10" i="1"/>
  <c r="AD11" i="1"/>
  <c r="Y11" i="1"/>
  <c r="R11" i="1"/>
  <c r="B11" i="7"/>
  <c r="AB9" i="2"/>
  <c r="Q9" i="2"/>
  <c r="M8" i="2"/>
  <c r="I9" i="1"/>
  <c r="G10" i="1"/>
  <c r="X8" i="2"/>
  <c r="C13" i="5"/>
  <c r="AB11" i="1"/>
  <c r="Y12" i="1"/>
  <c r="D12" i="1"/>
  <c r="E12" i="1" s="1"/>
  <c r="B12" i="7"/>
  <c r="D12" i="7" s="1"/>
  <c r="I11" i="1"/>
  <c r="I10" i="1"/>
  <c r="X9" i="2"/>
  <c r="C14" i="5"/>
  <c r="E14" i="5" s="1"/>
  <c r="AB12" i="1"/>
  <c r="Y13" i="1"/>
  <c r="D13" i="1"/>
  <c r="E13" i="1" s="1"/>
  <c r="M10" i="2"/>
  <c r="E9" i="82" s="1"/>
  <c r="E12" i="3"/>
  <c r="C12" i="3"/>
  <c r="F12" i="3" s="1"/>
  <c r="Y14" i="1"/>
  <c r="AB14" i="1" s="1"/>
  <c r="AB13" i="1"/>
  <c r="M11" i="2"/>
  <c r="E13" i="3"/>
  <c r="P30" i="3"/>
  <c r="P31" i="3" s="1"/>
  <c r="AC19" i="76"/>
  <c r="AC15" i="76"/>
  <c r="AC26" i="76"/>
  <c r="B31" i="2"/>
  <c r="L30" i="82" s="1"/>
  <c r="X53" i="74"/>
  <c r="AA6" i="7"/>
  <c r="A32" i="65"/>
  <c r="P50" i="74"/>
  <c r="P54" i="74"/>
  <c r="P62" i="74"/>
  <c r="P66" i="74"/>
  <c r="P70" i="74"/>
  <c r="X12" i="74"/>
  <c r="X32" i="74"/>
  <c r="X36" i="74"/>
  <c r="AI12" i="5"/>
  <c r="AF13" i="5"/>
  <c r="AI13" i="5" s="1"/>
  <c r="U13" i="5"/>
  <c r="X16" i="74"/>
  <c r="AA13" i="5"/>
  <c r="AJ13" i="5"/>
  <c r="K9" i="82" s="1"/>
  <c r="W12" i="5"/>
  <c r="AJ12" i="5"/>
  <c r="AA14" i="5"/>
  <c r="AA12" i="5"/>
  <c r="Y13" i="5"/>
  <c r="J9" i="82" s="1"/>
  <c r="Y12" i="5"/>
  <c r="J8" i="82"/>
  <c r="E6" i="5"/>
  <c r="K10" i="76"/>
  <c r="N10" i="76" s="1"/>
  <c r="M11" i="3"/>
  <c r="J10" i="1"/>
  <c r="G14" i="1"/>
  <c r="G13" i="1"/>
  <c r="G12" i="1"/>
  <c r="G11" i="1"/>
  <c r="J11" i="1"/>
  <c r="D11" i="1"/>
  <c r="E11" i="1"/>
  <c r="Z14" i="7"/>
  <c r="AB14" i="7" s="1"/>
  <c r="E8" i="63"/>
  <c r="Q10" i="2"/>
  <c r="BE12" i="7" s="1"/>
  <c r="BG12" i="7" s="1"/>
  <c r="M9" i="2"/>
  <c r="E8" i="82" s="1"/>
  <c r="X15" i="74"/>
  <c r="BD10" i="5"/>
  <c r="AL10" i="5"/>
  <c r="G7" i="63"/>
  <c r="AV38" i="1"/>
  <c r="C9" i="77"/>
  <c r="E9" i="77" s="1"/>
  <c r="K12" i="76"/>
  <c r="N12" i="76" s="1"/>
  <c r="K11" i="76"/>
  <c r="N11" i="76" s="1"/>
  <c r="K9" i="76"/>
  <c r="N9" i="76" s="1"/>
  <c r="I11" i="76"/>
  <c r="I10" i="76"/>
  <c r="I9" i="76"/>
  <c r="M9" i="76"/>
  <c r="I12" i="76"/>
  <c r="M12" i="76" s="1"/>
  <c r="G11" i="76"/>
  <c r="L11" i="76" s="1"/>
  <c r="G12" i="76"/>
  <c r="L12" i="76" s="1"/>
  <c r="G10" i="76"/>
  <c r="L10" i="76" s="1"/>
  <c r="G9" i="76"/>
  <c r="L9" i="76"/>
  <c r="C9" i="76"/>
  <c r="C11" i="76"/>
  <c r="C10" i="76"/>
  <c r="C8" i="76"/>
  <c r="U9" i="3"/>
  <c r="U10" i="3"/>
  <c r="U8" i="3"/>
  <c r="U7" i="3"/>
  <c r="AA7" i="3" s="1"/>
  <c r="S8" i="3"/>
  <c r="S7" i="3"/>
  <c r="M10" i="3"/>
  <c r="M8" i="3"/>
  <c r="M9" i="3"/>
  <c r="BA11" i="5"/>
  <c r="BD11" i="5"/>
  <c r="BD9" i="5"/>
  <c r="BA12" i="5"/>
  <c r="BD12" i="5" s="1"/>
  <c r="AC13" i="5"/>
  <c r="AC14" i="5" s="1"/>
  <c r="AD12" i="5"/>
  <c r="AL11" i="5"/>
  <c r="Y15" i="5"/>
  <c r="J11" i="82" s="1"/>
  <c r="Y14" i="5"/>
  <c r="J10" i="82" s="1"/>
  <c r="W13" i="5"/>
  <c r="U15" i="5"/>
  <c r="U14" i="5"/>
  <c r="U12" i="5"/>
  <c r="U11" i="5"/>
  <c r="U10" i="5"/>
  <c r="AS11" i="1"/>
  <c r="AQ11" i="1"/>
  <c r="AT9" i="1"/>
  <c r="AU9" i="1"/>
  <c r="I6" i="81" s="1"/>
  <c r="AF12" i="1"/>
  <c r="AF9" i="1"/>
  <c r="AF11" i="1"/>
  <c r="AF14" i="1"/>
  <c r="AF10" i="1"/>
  <c r="AG8" i="1"/>
  <c r="AM11" i="1"/>
  <c r="F12" i="75"/>
  <c r="G12" i="75" s="1"/>
  <c r="AD10" i="1"/>
  <c r="AG10" i="1"/>
  <c r="AD9" i="1"/>
  <c r="F9" i="75"/>
  <c r="G9" i="75" s="1"/>
  <c r="AD12" i="1"/>
  <c r="AM12" i="1" s="1"/>
  <c r="F13" i="75" s="1"/>
  <c r="G13" i="75" s="1"/>
  <c r="T10" i="1"/>
  <c r="S9" i="1"/>
  <c r="T9" i="1" s="1"/>
  <c r="D10" i="1"/>
  <c r="E10" i="1" s="1"/>
  <c r="Z13" i="7"/>
  <c r="AA13" i="7" s="1"/>
  <c r="Z12" i="7"/>
  <c r="AA12" i="7" s="1"/>
  <c r="Z11" i="7"/>
  <c r="B14" i="7"/>
  <c r="B13" i="7"/>
  <c r="AD8" i="2"/>
  <c r="AB10" i="2"/>
  <c r="Z9" i="2"/>
  <c r="X10" i="2"/>
  <c r="S7" i="2"/>
  <c r="AE6" i="2"/>
  <c r="K8" i="2"/>
  <c r="F7" i="82"/>
  <c r="K7" i="2"/>
  <c r="F6" i="82" s="1"/>
  <c r="I8" i="2"/>
  <c r="G7" i="82"/>
  <c r="G8" i="2"/>
  <c r="I7" i="82" s="1"/>
  <c r="B26" i="2"/>
  <c r="X75" i="74"/>
  <c r="X29" i="74"/>
  <c r="J19" i="63"/>
  <c r="AE5" i="3"/>
  <c r="AF5" i="3" s="1"/>
  <c r="AG5" i="3" s="1"/>
  <c r="P77" i="74"/>
  <c r="AB7" i="7"/>
  <c r="AC7" i="7" s="1"/>
  <c r="AZ21" i="7"/>
  <c r="X10" i="74"/>
  <c r="J21" i="63"/>
  <c r="J31" i="63"/>
  <c r="B3" i="2"/>
  <c r="J27" i="63"/>
  <c r="B15" i="2"/>
  <c r="O14" i="81" s="1"/>
  <c r="J17" i="63"/>
  <c r="AZ26" i="7"/>
  <c r="A13" i="65"/>
  <c r="X26" i="74"/>
  <c r="AZ17" i="7"/>
  <c r="J6" i="63"/>
  <c r="B8" i="2"/>
  <c r="L7" i="82" s="1"/>
  <c r="B30" i="2"/>
  <c r="X65" i="74"/>
  <c r="X30" i="74"/>
  <c r="AZ7" i="7"/>
  <c r="B29" i="2"/>
  <c r="B13" i="2"/>
  <c r="J7" i="63"/>
  <c r="X14" i="74"/>
  <c r="L22" i="82"/>
  <c r="J8" i="63"/>
  <c r="X51" i="74"/>
  <c r="P16" i="74"/>
  <c r="P11" i="74"/>
  <c r="T12" i="74"/>
  <c r="T24" i="74"/>
  <c r="T13" i="74"/>
  <c r="T17" i="74"/>
  <c r="P20" i="74"/>
  <c r="P24" i="74"/>
  <c r="P26" i="74"/>
  <c r="P34" i="74"/>
  <c r="P33" i="74"/>
  <c r="AX8" i="1"/>
  <c r="AX9" i="1" s="1"/>
  <c r="AM10" i="1"/>
  <c r="F11" i="75" s="1"/>
  <c r="G11" i="75" s="1"/>
  <c r="E5" i="82"/>
  <c r="R14" i="1"/>
  <c r="O11" i="79"/>
  <c r="H11" i="79" s="1"/>
  <c r="H2" i="63"/>
  <c r="F5" i="65"/>
  <c r="J2" i="82"/>
  <c r="H4" i="3"/>
  <c r="I4" i="3" s="1"/>
  <c r="I3" i="3"/>
  <c r="AA18" i="74"/>
  <c r="E10" i="82"/>
  <c r="R12" i="1"/>
  <c r="M10" i="76"/>
  <c r="I10" i="65"/>
  <c r="E7" i="63"/>
  <c r="G6" i="82"/>
  <c r="T8" i="1"/>
  <c r="N7" i="3"/>
  <c r="A4" i="63"/>
  <c r="E12" i="5"/>
  <c r="E7" i="76"/>
  <c r="L7" i="76"/>
  <c r="E8" i="2"/>
  <c r="H7" i="82" s="1"/>
  <c r="J9" i="1"/>
  <c r="K8" i="82"/>
  <c r="A5" i="63"/>
  <c r="BA25" i="7"/>
  <c r="AM25" i="5"/>
  <c r="AM21" i="5"/>
  <c r="BA17" i="7"/>
  <c r="AM17" i="5"/>
  <c r="BA13" i="7"/>
  <c r="AM13" i="5"/>
  <c r="BA8" i="7"/>
  <c r="AM8" i="5"/>
  <c r="BD6" i="5"/>
  <c r="BD7" i="5"/>
  <c r="E13" i="5"/>
  <c r="D13" i="5"/>
  <c r="I11" i="65"/>
  <c r="E10" i="5"/>
  <c r="I10" i="5"/>
  <c r="AU8" i="1"/>
  <c r="I5" i="81" s="1"/>
  <c r="N5" i="2"/>
  <c r="I3" i="82"/>
  <c r="N4" i="2"/>
  <c r="J7" i="1"/>
  <c r="G6" i="63"/>
  <c r="I9" i="5"/>
  <c r="AU7" i="1"/>
  <c r="I4" i="81"/>
  <c r="E8" i="5"/>
  <c r="J8" i="5" s="1"/>
  <c r="L4" i="81" s="1"/>
  <c r="G5" i="63"/>
  <c r="AZ30" i="7"/>
  <c r="B27" i="2"/>
  <c r="O13" i="81"/>
  <c r="O10" i="81"/>
  <c r="B6" i="2"/>
  <c r="AZ9" i="7"/>
  <c r="A28" i="65"/>
  <c r="J26" i="63"/>
  <c r="A20" i="65"/>
  <c r="E5" i="63"/>
  <c r="AD6" i="3"/>
  <c r="E7" i="82"/>
  <c r="J6" i="1"/>
  <c r="I7" i="5"/>
  <c r="K3" i="81" s="1"/>
  <c r="K14" i="1"/>
  <c r="U5" i="2"/>
  <c r="V4" i="2"/>
  <c r="AF4" i="2" s="1"/>
  <c r="F4" i="3"/>
  <c r="AB4" i="3" s="1"/>
  <c r="Z4" i="3"/>
  <c r="R81" i="74"/>
  <c r="AZ24" i="7"/>
  <c r="A30" i="65"/>
  <c r="AZ10" i="5"/>
  <c r="BC10" i="5"/>
  <c r="BA22" i="7"/>
  <c r="AM22" i="5"/>
  <c r="BA18" i="7"/>
  <c r="AM18" i="5"/>
  <c r="BA14" i="7"/>
  <c r="AM14" i="5"/>
  <c r="I12" i="1"/>
  <c r="D52" i="74"/>
  <c r="D56" i="74"/>
  <c r="D64" i="74"/>
  <c r="D76" i="74"/>
  <c r="H50" i="74"/>
  <c r="H54" i="74"/>
  <c r="H66" i="74"/>
  <c r="H70" i="74"/>
  <c r="L60" i="74"/>
  <c r="L64" i="74"/>
  <c r="I6" i="65"/>
  <c r="E3" i="63"/>
  <c r="A24" i="65"/>
  <c r="J22" i="63"/>
  <c r="AM15" i="5"/>
  <c r="AM11" i="5"/>
  <c r="BA11" i="7"/>
  <c r="BA6" i="7"/>
  <c r="AM6" i="5"/>
  <c r="T25" i="74"/>
  <c r="T29" i="74"/>
  <c r="AZ36" i="7"/>
  <c r="B33" i="2"/>
  <c r="L32" i="82" s="1"/>
  <c r="O11" i="81"/>
  <c r="L11" i="82"/>
  <c r="A17" i="65"/>
  <c r="J15" i="63"/>
  <c r="L30" i="74"/>
  <c r="L38" i="74"/>
  <c r="O30" i="81"/>
  <c r="O31" i="2"/>
  <c r="AH14" i="5"/>
  <c r="AL12" i="5"/>
  <c r="AG11" i="1"/>
  <c r="AF15" i="5"/>
  <c r="AE17" i="5"/>
  <c r="V8" i="3"/>
  <c r="E9" i="63"/>
  <c r="I12" i="65"/>
  <c r="V7" i="3"/>
  <c r="N7" i="2"/>
  <c r="S8" i="76" s="1"/>
  <c r="D9" i="76"/>
  <c r="E9" i="76"/>
  <c r="D10" i="76"/>
  <c r="E10" i="76"/>
  <c r="AA8" i="3"/>
  <c r="S9" i="3"/>
  <c r="V9" i="3" s="1"/>
  <c r="K8" i="3"/>
  <c r="BD13" i="5"/>
  <c r="AD13" i="5"/>
  <c r="G12" i="5"/>
  <c r="H11" i="5"/>
  <c r="AS12" i="1"/>
  <c r="AQ12" i="1"/>
  <c r="AO10" i="1"/>
  <c r="AT10" i="1" s="1"/>
  <c r="AU10" i="1" s="1"/>
  <c r="I7" i="81" s="1"/>
  <c r="AG9" i="1"/>
  <c r="AM9" i="1"/>
  <c r="F10" i="75"/>
  <c r="G10" i="75" s="1"/>
  <c r="S11" i="1"/>
  <c r="T11" i="1" s="1"/>
  <c r="AB11" i="7"/>
  <c r="AC11" i="7" s="1"/>
  <c r="AA11" i="7"/>
  <c r="AB12" i="7"/>
  <c r="AC12" i="7" s="1"/>
  <c r="AB13" i="7"/>
  <c r="AC13" i="7" s="1"/>
  <c r="AD9" i="2"/>
  <c r="AB13" i="2"/>
  <c r="AB11" i="2"/>
  <c r="Z11" i="2"/>
  <c r="Z10" i="2"/>
  <c r="X11" i="2"/>
  <c r="S8" i="2"/>
  <c r="T7" i="2"/>
  <c r="K9" i="2"/>
  <c r="F8" i="82"/>
  <c r="I9" i="2"/>
  <c r="G8" i="82"/>
  <c r="G9" i="2"/>
  <c r="I8" i="82"/>
  <c r="L25" i="82"/>
  <c r="O26" i="2"/>
  <c r="O25" i="81"/>
  <c r="O2" i="81"/>
  <c r="O29" i="2"/>
  <c r="L14" i="82"/>
  <c r="V5" i="2"/>
  <c r="AF5" i="2" s="1"/>
  <c r="B4" i="63" s="1"/>
  <c r="AZ11" i="5"/>
  <c r="BC11" i="5" s="1"/>
  <c r="AU12" i="5"/>
  <c r="AV9" i="7"/>
  <c r="AV10" i="7" s="1"/>
  <c r="H6" i="81" s="1"/>
  <c r="O5" i="81"/>
  <c r="L5" i="82"/>
  <c r="K6" i="81"/>
  <c r="B3" i="63"/>
  <c r="H6" i="65"/>
  <c r="O12" i="79"/>
  <c r="H12" i="79" s="1"/>
  <c r="P32" i="3"/>
  <c r="E9" i="2"/>
  <c r="H8" i="82" s="1"/>
  <c r="I14" i="1"/>
  <c r="I13" i="1"/>
  <c r="F4" i="63"/>
  <c r="AC4" i="3"/>
  <c r="K15" i="1"/>
  <c r="L14" i="1"/>
  <c r="K5" i="81"/>
  <c r="C3" i="63"/>
  <c r="R4" i="2"/>
  <c r="J6" i="65" s="1"/>
  <c r="O4" i="2"/>
  <c r="E3" i="81"/>
  <c r="S5" i="76"/>
  <c r="E4" i="81"/>
  <c r="S6" i="76"/>
  <c r="R5" i="2"/>
  <c r="C4" i="63"/>
  <c r="D4" i="63" s="1"/>
  <c r="E6" i="81"/>
  <c r="C6" i="63"/>
  <c r="J5" i="81"/>
  <c r="O33" i="2"/>
  <c r="O32" i="81"/>
  <c r="AI6" i="3"/>
  <c r="D8" i="65" s="1"/>
  <c r="AH16" i="5"/>
  <c r="AH15" i="5"/>
  <c r="S10" i="3"/>
  <c r="K9" i="3"/>
  <c r="N8" i="3"/>
  <c r="H12" i="5"/>
  <c r="G9" i="63" s="1"/>
  <c r="G8" i="63"/>
  <c r="I11" i="5"/>
  <c r="K7" i="81" s="1"/>
  <c r="AS13" i="1"/>
  <c r="AQ14" i="1"/>
  <c r="AQ13" i="1"/>
  <c r="AO11" i="1"/>
  <c r="AT11" i="1" s="1"/>
  <c r="AU11" i="1"/>
  <c r="I8" i="81" s="1"/>
  <c r="S12" i="1"/>
  <c r="AD11" i="7"/>
  <c r="AD10" i="2"/>
  <c r="AB12" i="2"/>
  <c r="X12" i="2"/>
  <c r="X13" i="2"/>
  <c r="AE7" i="2"/>
  <c r="A6" i="63"/>
  <c r="T8" i="2"/>
  <c r="S9" i="2"/>
  <c r="S10" i="2" s="1"/>
  <c r="K10" i="2"/>
  <c r="F9" i="82"/>
  <c r="I10" i="2"/>
  <c r="G9" i="82" s="1"/>
  <c r="G10" i="2"/>
  <c r="N9" i="2"/>
  <c r="AZ12" i="5"/>
  <c r="BC12" i="5" s="1"/>
  <c r="AU13" i="5"/>
  <c r="H7" i="65"/>
  <c r="J7" i="65"/>
  <c r="K16" i="1"/>
  <c r="L16" i="1" s="1"/>
  <c r="L15" i="1"/>
  <c r="E11" i="2"/>
  <c r="E10" i="2"/>
  <c r="O13" i="79"/>
  <c r="H13" i="79" s="1"/>
  <c r="U7" i="2"/>
  <c r="V6" i="2"/>
  <c r="AF6" i="2" s="1"/>
  <c r="H8" i="65" s="1"/>
  <c r="P33" i="3"/>
  <c r="S11" i="3"/>
  <c r="K11" i="3"/>
  <c r="K10" i="3"/>
  <c r="N9" i="3"/>
  <c r="H13" i="5"/>
  <c r="I12" i="5"/>
  <c r="K8" i="81" s="1"/>
  <c r="AS14" i="1"/>
  <c r="AO12" i="1"/>
  <c r="S14" i="1"/>
  <c r="T14" i="1" s="1"/>
  <c r="S13" i="1"/>
  <c r="T12" i="1"/>
  <c r="AD12" i="2"/>
  <c r="AD11" i="2"/>
  <c r="AE8" i="2"/>
  <c r="A7" i="63"/>
  <c r="T9" i="2"/>
  <c r="AE9" i="2" s="1"/>
  <c r="AG9" i="2" s="1"/>
  <c r="K13" i="2"/>
  <c r="F12" i="82" s="1"/>
  <c r="K11" i="2"/>
  <c r="F10" i="82" s="1"/>
  <c r="I11" i="2"/>
  <c r="G10" i="82" s="1"/>
  <c r="G11" i="2"/>
  <c r="I10" i="82" s="1"/>
  <c r="G12" i="2"/>
  <c r="I11" i="82" s="1"/>
  <c r="U8" i="2"/>
  <c r="V8" i="2" s="1"/>
  <c r="V7" i="2"/>
  <c r="AF7" i="2"/>
  <c r="AG7" i="2" s="1"/>
  <c r="H9" i="82"/>
  <c r="B5" i="63"/>
  <c r="S12" i="3"/>
  <c r="G10" i="63"/>
  <c r="I13" i="5"/>
  <c r="K9" i="81" s="1"/>
  <c r="H14" i="5"/>
  <c r="I14" i="5" s="1"/>
  <c r="K10" i="81" s="1"/>
  <c r="AS15" i="1"/>
  <c r="AO13" i="1"/>
  <c r="T10" i="2"/>
  <c r="A9" i="63" s="1"/>
  <c r="K12" i="2"/>
  <c r="F11" i="82" s="1"/>
  <c r="I12" i="2"/>
  <c r="G11" i="82" s="1"/>
  <c r="I13" i="2"/>
  <c r="G12" i="82" s="1"/>
  <c r="H9" i="65"/>
  <c r="B6" i="63"/>
  <c r="U9" i="2"/>
  <c r="V9" i="2" s="1"/>
  <c r="AF8" i="2"/>
  <c r="H10" i="65" s="1"/>
  <c r="AG8" i="2"/>
  <c r="G16" i="5"/>
  <c r="H16" i="5" s="1"/>
  <c r="H15" i="5"/>
  <c r="J13" i="5"/>
  <c r="L9" i="81" s="1"/>
  <c r="AO14" i="1"/>
  <c r="T11" i="2"/>
  <c r="AE11" i="2" s="1"/>
  <c r="U10" i="2"/>
  <c r="V11" i="2" s="1"/>
  <c r="AF9" i="2"/>
  <c r="H11" i="65" s="1"/>
  <c r="B7" i="63"/>
  <c r="T12" i="2"/>
  <c r="T14" i="2"/>
  <c r="B8" i="63"/>
  <c r="V12" i="2"/>
  <c r="AX15" i="1"/>
  <c r="J12" i="81" s="1"/>
  <c r="AX16" i="1"/>
  <c r="J13" i="81" s="1"/>
  <c r="AV16" i="7"/>
  <c r="AV17" i="7" s="1"/>
  <c r="R9" i="2" l="1"/>
  <c r="E8" i="81"/>
  <c r="H12" i="3"/>
  <c r="I11" i="3"/>
  <c r="P8" i="3"/>
  <c r="Q7" i="3"/>
  <c r="V10" i="2"/>
  <c r="A8" i="63"/>
  <c r="C8" i="63"/>
  <c r="AU14" i="5"/>
  <c r="AZ13" i="5"/>
  <c r="BC13" i="5" s="1"/>
  <c r="N10" i="2"/>
  <c r="AK5" i="3"/>
  <c r="D7" i="65"/>
  <c r="A10" i="63"/>
  <c r="J12" i="5"/>
  <c r="L8" i="81" s="1"/>
  <c r="S10" i="76"/>
  <c r="AG6" i="2"/>
  <c r="AE11" i="7"/>
  <c r="AF11" i="7"/>
  <c r="AG11" i="7" s="1"/>
  <c r="AC15" i="5"/>
  <c r="AD14" i="5"/>
  <c r="D8" i="63"/>
  <c r="E11" i="5"/>
  <c r="J11" i="5" s="1"/>
  <c r="L7" i="81" s="1"/>
  <c r="AA10" i="7"/>
  <c r="AB10" i="7"/>
  <c r="AC10" i="7" s="1"/>
  <c r="J9" i="5"/>
  <c r="L5" i="81" s="1"/>
  <c r="D7" i="5"/>
  <c r="E7" i="5"/>
  <c r="J7" i="5" s="1"/>
  <c r="L3" i="81" s="1"/>
  <c r="AB6" i="1"/>
  <c r="AM6" i="1"/>
  <c r="F7" i="75" s="1"/>
  <c r="G7" i="75" s="1"/>
  <c r="N6" i="2"/>
  <c r="G4" i="63"/>
  <c r="M7" i="76"/>
  <c r="AD4" i="3"/>
  <c r="BE6" i="7"/>
  <c r="BG6" i="7" s="1"/>
  <c r="AU6" i="1"/>
  <c r="I3" i="81" s="1"/>
  <c r="X68" i="74"/>
  <c r="A6" i="65"/>
  <c r="J4" i="63"/>
  <c r="AH5" i="3"/>
  <c r="J12" i="1"/>
  <c r="BE11" i="7"/>
  <c r="BG11" i="7" s="1"/>
  <c r="AD9" i="3"/>
  <c r="A25" i="65"/>
  <c r="J23" i="63"/>
  <c r="A11" i="63"/>
  <c r="O7" i="81"/>
  <c r="N8" i="2"/>
  <c r="AF10" i="2"/>
  <c r="D3" i="63"/>
  <c r="J10" i="5"/>
  <c r="L6" i="81" s="1"/>
  <c r="AE10" i="2"/>
  <c r="D8" i="76"/>
  <c r="E8" i="76" s="1"/>
  <c r="AD8" i="3"/>
  <c r="AA9" i="7"/>
  <c r="AB5" i="3"/>
  <c r="BE7" i="7"/>
  <c r="BG7" i="7" s="1"/>
  <c r="A3" i="63"/>
  <c r="AE5" i="2"/>
  <c r="AG5" i="2" s="1"/>
  <c r="D10" i="3"/>
  <c r="E9" i="3"/>
  <c r="AA9" i="3" s="1"/>
  <c r="C14" i="7"/>
  <c r="AH5" i="1"/>
  <c r="D5" i="76"/>
  <c r="E5" i="76" s="1"/>
  <c r="X73" i="74"/>
  <c r="X71" i="74"/>
  <c r="X57" i="74"/>
  <c r="O23" i="2"/>
  <c r="O22" i="81"/>
  <c r="AM10" i="5"/>
  <c r="BA10" i="7"/>
  <c r="Z9" i="1"/>
  <c r="AA8" i="1"/>
  <c r="AH8" i="1" s="1"/>
  <c r="C8" i="65" s="1"/>
  <c r="AG5" i="1"/>
  <c r="U5" i="1"/>
  <c r="X77" i="74"/>
  <c r="X76" i="74"/>
  <c r="X48" i="74"/>
  <c r="AZ28" i="7"/>
  <c r="B25" i="2"/>
  <c r="O25" i="2" s="1"/>
  <c r="T28" i="74"/>
  <c r="T36" i="74"/>
  <c r="B7" i="3"/>
  <c r="C6" i="3"/>
  <c r="AF3" i="2"/>
  <c r="D51" i="74"/>
  <c r="AB18" i="74"/>
  <c r="D58" i="74"/>
  <c r="D62" i="74"/>
  <c r="BA28" i="7"/>
  <c r="AM28" i="5"/>
  <c r="D32" i="63"/>
  <c r="X72" i="74"/>
  <c r="X69" i="74"/>
  <c r="X67" i="74"/>
  <c r="X66" i="74"/>
  <c r="P15" i="74"/>
  <c r="P31" i="74"/>
  <c r="T21" i="74"/>
  <c r="BC6" i="5"/>
  <c r="V3" i="3"/>
  <c r="AB3" i="3" s="1"/>
  <c r="H59" i="74"/>
  <c r="H63" i="74"/>
  <c r="L51" i="74"/>
  <c r="E3" i="65"/>
  <c r="L25" i="74"/>
  <c r="P12" i="74"/>
  <c r="P28" i="74"/>
  <c r="P35" i="74"/>
  <c r="T14" i="74"/>
  <c r="X18" i="74"/>
  <c r="X22" i="74"/>
  <c r="X24" i="74"/>
  <c r="X28" i="74"/>
  <c r="A2" i="63"/>
  <c r="D72" i="74"/>
  <c r="H58" i="74"/>
  <c r="H62" i="74"/>
  <c r="L49" i="74"/>
  <c r="J81" i="74" s="1"/>
  <c r="W32" i="76" s="1"/>
  <c r="L72" i="74"/>
  <c r="L76" i="74"/>
  <c r="C43" i="74"/>
  <c r="L14" i="74"/>
  <c r="K43" i="74" s="1"/>
  <c r="AB12" i="74" s="1"/>
  <c r="L18" i="74"/>
  <c r="L34" i="74"/>
  <c r="L10" i="74"/>
  <c r="L17" i="74"/>
  <c r="L24" i="74"/>
  <c r="P36" i="74"/>
  <c r="T27" i="74"/>
  <c r="T31" i="74"/>
  <c r="R43" i="74" s="1"/>
  <c r="AA14" i="74" s="1"/>
  <c r="C15" i="77" s="1"/>
  <c r="F15" i="77" s="1"/>
  <c r="T35" i="74"/>
  <c r="X25" i="74"/>
  <c r="X27" i="74"/>
  <c r="D54" i="74"/>
  <c r="D68" i="74"/>
  <c r="D71" i="74"/>
  <c r="H77" i="74"/>
  <c r="F81" i="74" s="1"/>
  <c r="H53" i="74"/>
  <c r="G81" i="74" s="1"/>
  <c r="H73" i="74"/>
  <c r="L74" i="74"/>
  <c r="P49" i="74"/>
  <c r="P53" i="74"/>
  <c r="P61" i="74"/>
  <c r="X61" i="74"/>
  <c r="AM19" i="5"/>
  <c r="L15" i="82"/>
  <c r="AZ19" i="7"/>
  <c r="I10" i="79"/>
  <c r="K10" i="5"/>
  <c r="AL6" i="1"/>
  <c r="D7" i="75" s="1"/>
  <c r="E7" i="75" s="1"/>
  <c r="U6" i="1"/>
  <c r="N3" i="2"/>
  <c r="F2" i="82"/>
  <c r="AS7" i="5"/>
  <c r="AY6" i="5"/>
  <c r="BB6" i="5" s="1"/>
  <c r="BE6" i="5" s="1"/>
  <c r="I2" i="63" s="1"/>
  <c r="C81" i="74"/>
  <c r="I12" i="79"/>
  <c r="K12" i="5"/>
  <c r="C5" i="65"/>
  <c r="M6" i="1"/>
  <c r="N5" i="1"/>
  <c r="AX6" i="1"/>
  <c r="J2" i="81"/>
  <c r="AA3" i="3"/>
  <c r="O7" i="5"/>
  <c r="P6" i="5"/>
  <c r="Q6" i="5" s="1"/>
  <c r="K81" i="74"/>
  <c r="W33" i="76" s="1"/>
  <c r="I8" i="79"/>
  <c r="K8" i="5"/>
  <c r="I6" i="5"/>
  <c r="G3" i="63"/>
  <c r="B2" i="63"/>
  <c r="H5" i="65"/>
  <c r="M7" i="5"/>
  <c r="N6" i="5"/>
  <c r="X4" i="3"/>
  <c r="Y3" i="3"/>
  <c r="AL5" i="1"/>
  <c r="D6" i="75" s="1"/>
  <c r="E6" i="75" s="1"/>
  <c r="AE3" i="2"/>
  <c r="I7" i="79"/>
  <c r="K7" i="5"/>
  <c r="L8" i="5" s="1"/>
  <c r="K11" i="5"/>
  <c r="I11" i="79"/>
  <c r="AB5" i="1"/>
  <c r="AM5" i="1"/>
  <c r="F6" i="75" s="1"/>
  <c r="G6" i="75" s="1"/>
  <c r="P4" i="3"/>
  <c r="Q4" i="3" s="1"/>
  <c r="Q3" i="3"/>
  <c r="I9" i="79"/>
  <c r="V5" i="1"/>
  <c r="AI5" i="1" s="1"/>
  <c r="AW6" i="7" s="1"/>
  <c r="AX10" i="1"/>
  <c r="J6" i="81"/>
  <c r="I6" i="79"/>
  <c r="K6" i="5"/>
  <c r="L6" i="5" s="1"/>
  <c r="AK6" i="5" s="1"/>
  <c r="AL6" i="5"/>
  <c r="K2" i="82"/>
  <c r="P23" i="74"/>
  <c r="T5" i="1"/>
  <c r="AU7" i="5"/>
  <c r="AZ7" i="5" s="1"/>
  <c r="Z3" i="3"/>
  <c r="D50" i="74"/>
  <c r="B81" i="74" s="1"/>
  <c r="K7" i="1"/>
  <c r="K9" i="5"/>
  <c r="AD3" i="3"/>
  <c r="AI3" i="3" s="1"/>
  <c r="AK3" i="3" s="1"/>
  <c r="H2" i="81"/>
  <c r="T39" i="74"/>
  <c r="H5" i="81"/>
  <c r="P19" i="74"/>
  <c r="D4" i="76"/>
  <c r="E4" i="76" s="1"/>
  <c r="AA16" i="74"/>
  <c r="P10" i="74"/>
  <c r="P18" i="74"/>
  <c r="G43" i="74"/>
  <c r="AB11" i="74" s="1"/>
  <c r="P27" i="74"/>
  <c r="AI5" i="2"/>
  <c r="P38" i="74"/>
  <c r="T20" i="74"/>
  <c r="C17" i="77"/>
  <c r="F17" i="77" s="1"/>
  <c r="P60" i="74"/>
  <c r="X21" i="74"/>
  <c r="H3" i="81"/>
  <c r="AV8" i="7"/>
  <c r="H4" i="81" s="1"/>
  <c r="C13" i="7"/>
  <c r="J3" i="7"/>
  <c r="L3" i="7" s="1"/>
  <c r="N3" i="7" s="1"/>
  <c r="P3" i="7" s="1"/>
  <c r="R3" i="7" s="1"/>
  <c r="T3" i="7" s="1"/>
  <c r="V3" i="7" s="1"/>
  <c r="AH11" i="7"/>
  <c r="AD13" i="7"/>
  <c r="AD10" i="7"/>
  <c r="AC6" i="7"/>
  <c r="C7" i="7"/>
  <c r="E12" i="7"/>
  <c r="C6" i="7"/>
  <c r="AV11" i="7"/>
  <c r="H12" i="81"/>
  <c r="AV18" i="7"/>
  <c r="H13" i="81"/>
  <c r="D8" i="77"/>
  <c r="E8" i="77" s="1"/>
  <c r="AW36" i="1"/>
  <c r="AX17" i="1"/>
  <c r="J14" i="81" s="1"/>
  <c r="G37" i="73"/>
  <c r="P58" i="74"/>
  <c r="X20" i="74"/>
  <c r="AE12" i="2"/>
  <c r="T13" i="2"/>
  <c r="A12" i="63" s="1"/>
  <c r="AP15" i="5"/>
  <c r="P57" i="74"/>
  <c r="S13" i="3"/>
  <c r="S14" i="3"/>
  <c r="M12" i="3"/>
  <c r="D15" i="3"/>
  <c r="E14" i="3"/>
  <c r="C13" i="3"/>
  <c r="B14" i="3"/>
  <c r="J14" i="5"/>
  <c r="L10" i="81" s="1"/>
  <c r="G11" i="63"/>
  <c r="D14" i="5"/>
  <c r="AQ15" i="1"/>
  <c r="AO15" i="1"/>
  <c r="AA14" i="1"/>
  <c r="AH14" i="1" s="1"/>
  <c r="C14" i="65" s="1"/>
  <c r="AA15" i="1"/>
  <c r="Z16" i="1"/>
  <c r="X16" i="1"/>
  <c r="S15" i="1"/>
  <c r="T15" i="1" s="1"/>
  <c r="T13" i="1"/>
  <c r="K17" i="1"/>
  <c r="J13" i="1"/>
  <c r="V13" i="2"/>
  <c r="K14" i="73"/>
  <c r="P56" i="74"/>
  <c r="X56" i="74"/>
  <c r="K14" i="76"/>
  <c r="N14" i="76" s="1"/>
  <c r="K13" i="76"/>
  <c r="N13" i="76" s="1"/>
  <c r="D11" i="76"/>
  <c r="E11" i="76" s="1"/>
  <c r="M11" i="76"/>
  <c r="G13" i="76"/>
  <c r="D12" i="76"/>
  <c r="E12" i="76" s="1"/>
  <c r="V10" i="3"/>
  <c r="V11" i="3"/>
  <c r="M13" i="3"/>
  <c r="N11" i="3"/>
  <c r="N10" i="3"/>
  <c r="BA15" i="5"/>
  <c r="BA14" i="5"/>
  <c r="BD14" i="5" s="1"/>
  <c r="AI15" i="5"/>
  <c r="AI14" i="5"/>
  <c r="AF17" i="5"/>
  <c r="AE18" i="5"/>
  <c r="AF16" i="5"/>
  <c r="AI16" i="5" s="1"/>
  <c r="AL14" i="5"/>
  <c r="AL13" i="5"/>
  <c r="C15" i="5"/>
  <c r="AS16" i="1"/>
  <c r="AT12" i="1"/>
  <c r="AT14" i="1"/>
  <c r="AT13" i="1"/>
  <c r="AU12" i="1"/>
  <c r="AD14" i="1"/>
  <c r="AG12" i="1"/>
  <c r="AD13" i="1"/>
  <c r="I16" i="1"/>
  <c r="H17" i="1"/>
  <c r="I15" i="1"/>
  <c r="AL14" i="1"/>
  <c r="D15" i="75" s="1"/>
  <c r="E15" i="75" s="1"/>
  <c r="U14" i="1"/>
  <c r="J14" i="1"/>
  <c r="AC14" i="7"/>
  <c r="AD14" i="7"/>
  <c r="D14" i="1"/>
  <c r="E14" i="1" s="1"/>
  <c r="Z15" i="7"/>
  <c r="AA14" i="7"/>
  <c r="B15" i="7"/>
  <c r="D15" i="7" s="1"/>
  <c r="D14" i="7"/>
  <c r="F14" i="7" s="1"/>
  <c r="H14" i="7" s="1"/>
  <c r="D13" i="7"/>
  <c r="AF11" i="2"/>
  <c r="H13" i="65" s="1"/>
  <c r="B9" i="63"/>
  <c r="AG10" i="2"/>
  <c r="H12" i="65"/>
  <c r="Q12" i="2"/>
  <c r="AD10" i="3"/>
  <c r="Q11" i="2"/>
  <c r="M12" i="2"/>
  <c r="E11" i="82" s="1"/>
  <c r="E9" i="81"/>
  <c r="S11" i="76"/>
  <c r="G14" i="2"/>
  <c r="I13" i="82" s="1"/>
  <c r="I9" i="82"/>
  <c r="N11" i="2"/>
  <c r="O11" i="2" s="1"/>
  <c r="H10" i="82"/>
  <c r="C9" i="63"/>
  <c r="D9" i="63" s="1"/>
  <c r="R10" i="2"/>
  <c r="X17" i="74"/>
  <c r="I14" i="79"/>
  <c r="K14" i="5"/>
  <c r="I13" i="79"/>
  <c r="K13" i="5"/>
  <c r="O6" i="81"/>
  <c r="O7" i="2"/>
  <c r="L6" i="82"/>
  <c r="E7" i="7"/>
  <c r="F7" i="7"/>
  <c r="AC9" i="7"/>
  <c r="AD9" i="7"/>
  <c r="J20" i="63"/>
  <c r="A22" i="65"/>
  <c r="J13" i="63"/>
  <c r="A15" i="65"/>
  <c r="D8" i="7"/>
  <c r="C8" i="7"/>
  <c r="L17" i="82"/>
  <c r="O18" i="2"/>
  <c r="O17" i="81"/>
  <c r="AE6" i="7"/>
  <c r="AF6" i="7"/>
  <c r="O29" i="81"/>
  <c r="O30" i="2"/>
  <c r="L29" i="82"/>
  <c r="A5" i="65"/>
  <c r="J3" i="63"/>
  <c r="L26" i="82"/>
  <c r="O27" i="2"/>
  <c r="O26" i="81"/>
  <c r="D10" i="7"/>
  <c r="C10" i="7"/>
  <c r="AA8" i="7"/>
  <c r="AB8" i="7"/>
  <c r="AZ27" i="7"/>
  <c r="B24" i="2"/>
  <c r="B17" i="2"/>
  <c r="AZ20" i="7"/>
  <c r="X74" i="74"/>
  <c r="J14" i="63"/>
  <c r="D6" i="7"/>
  <c r="L2" i="82"/>
  <c r="F12" i="7"/>
  <c r="J25" i="63"/>
  <c r="X19" i="74"/>
  <c r="X23" i="74"/>
  <c r="O28" i="81"/>
  <c r="L28" i="82"/>
  <c r="O12" i="81"/>
  <c r="AZ23" i="7"/>
  <c r="B20" i="2"/>
  <c r="D11" i="7"/>
  <c r="C11" i="7"/>
  <c r="O4" i="81"/>
  <c r="O5" i="2"/>
  <c r="B22" i="2"/>
  <c r="AZ25" i="7"/>
  <c r="A31" i="65"/>
  <c r="J29" i="63"/>
  <c r="A7" i="65"/>
  <c r="J5" i="63"/>
  <c r="O3" i="81"/>
  <c r="AD12" i="7"/>
  <c r="L12" i="82"/>
  <c r="P67" i="74"/>
  <c r="L20" i="82"/>
  <c r="AD7" i="7"/>
  <c r="D9" i="7"/>
  <c r="X64" i="74"/>
  <c r="X52" i="74"/>
  <c r="X38" i="74"/>
  <c r="L9" i="5"/>
  <c r="AZ35" i="7"/>
  <c r="B32" i="2"/>
  <c r="AZ31" i="7"/>
  <c r="B28" i="2"/>
  <c r="A26" i="65"/>
  <c r="J24" i="63"/>
  <c r="B19" i="2"/>
  <c r="C12" i="7"/>
  <c r="B10" i="2"/>
  <c r="O20" i="81"/>
  <c r="L4" i="82"/>
  <c r="O24" i="81"/>
  <c r="L24" i="82"/>
  <c r="AZ12" i="7"/>
  <c r="B9" i="2"/>
  <c r="P76" i="74"/>
  <c r="X13" i="74"/>
  <c r="AG3" i="2" l="1"/>
  <c r="E11" i="3"/>
  <c r="AA11" i="3" s="1"/>
  <c r="E10" i="3"/>
  <c r="AA10" i="3" s="1"/>
  <c r="O8" i="2"/>
  <c r="C7" i="63"/>
  <c r="D7" i="63" s="1"/>
  <c r="S9" i="76"/>
  <c r="E7" i="81"/>
  <c r="R8" i="2"/>
  <c r="AZ14" i="5"/>
  <c r="BC14" i="5" s="1"/>
  <c r="AU15" i="5"/>
  <c r="I12" i="3"/>
  <c r="H13" i="3"/>
  <c r="W43" i="74"/>
  <c r="D5" i="65"/>
  <c r="L14" i="5"/>
  <c r="AK14" i="5" s="1"/>
  <c r="W81" i="74"/>
  <c r="S43" i="74"/>
  <c r="AB14" i="74" s="1"/>
  <c r="C14" i="77" s="1"/>
  <c r="F14" i="77" s="1"/>
  <c r="J43" i="74"/>
  <c r="AA12" i="74" s="1"/>
  <c r="L12" i="5"/>
  <c r="AC16" i="5"/>
  <c r="AD15" i="5"/>
  <c r="P9" i="3"/>
  <c r="Q8" i="3"/>
  <c r="L10" i="5"/>
  <c r="AK10" i="5" s="1"/>
  <c r="F6" i="3"/>
  <c r="AB6" i="3" s="1"/>
  <c r="Z6" i="3"/>
  <c r="AI8" i="3"/>
  <c r="AI9" i="3"/>
  <c r="D11" i="65" s="1"/>
  <c r="E5" i="81"/>
  <c r="S7" i="76"/>
  <c r="R6" i="2"/>
  <c r="C5" i="63"/>
  <c r="D5" i="63" s="1"/>
  <c r="O6" i="2"/>
  <c r="B8" i="3"/>
  <c r="C7" i="3"/>
  <c r="I7" i="3"/>
  <c r="Z10" i="1"/>
  <c r="AA9" i="1"/>
  <c r="AH9" i="1" s="1"/>
  <c r="C9" i="65" s="1"/>
  <c r="AI4" i="3"/>
  <c r="AE4" i="3"/>
  <c r="AF4" i="3" s="1"/>
  <c r="AG4" i="3" s="1"/>
  <c r="AH4" i="3" s="1"/>
  <c r="J11" i="65"/>
  <c r="AI9" i="2"/>
  <c r="O81" i="74"/>
  <c r="BG6" i="5"/>
  <c r="G6" i="65" s="1"/>
  <c r="K2" i="81"/>
  <c r="BF6" i="5"/>
  <c r="AK12" i="5"/>
  <c r="H9" i="63"/>
  <c r="F12" i="65"/>
  <c r="G2" i="81"/>
  <c r="AJ5" i="1"/>
  <c r="AK5" i="1" s="1"/>
  <c r="BC7" i="5"/>
  <c r="BC8" i="5"/>
  <c r="J3" i="81"/>
  <c r="AX7" i="1"/>
  <c r="J4" i="81" s="1"/>
  <c r="H7" i="63"/>
  <c r="J6" i="5"/>
  <c r="L2" i="81" s="1"/>
  <c r="AC3" i="3"/>
  <c r="H5" i="75"/>
  <c r="F3" i="63"/>
  <c r="L7" i="1"/>
  <c r="K8" i="1"/>
  <c r="C2" i="63"/>
  <c r="D2" i="63" s="1"/>
  <c r="S4" i="76"/>
  <c r="R3" i="2"/>
  <c r="J5" i="65" s="1"/>
  <c r="E2" i="81"/>
  <c r="W5" i="1"/>
  <c r="B5" i="65"/>
  <c r="E5" i="65" s="1"/>
  <c r="N7" i="5"/>
  <c r="M8" i="5"/>
  <c r="H3" i="63"/>
  <c r="F6" i="65"/>
  <c r="L7" i="5"/>
  <c r="AX11" i="1"/>
  <c r="J7" i="81"/>
  <c r="N6" i="1"/>
  <c r="V6" i="1" s="1"/>
  <c r="M7" i="1"/>
  <c r="AY7" i="5"/>
  <c r="BB7" i="5" s="1"/>
  <c r="AS8" i="5"/>
  <c r="L11" i="5"/>
  <c r="P7" i="5"/>
  <c r="Q7" i="5" s="1"/>
  <c r="M3" i="81" s="1"/>
  <c r="O8" i="5"/>
  <c r="M2" i="81"/>
  <c r="Y4" i="3"/>
  <c r="X5" i="3"/>
  <c r="AE3" i="3"/>
  <c r="AF3" i="3" s="1"/>
  <c r="AG3" i="3" s="1"/>
  <c r="AH3" i="3" s="1"/>
  <c r="F10" i="65"/>
  <c r="L13" i="5"/>
  <c r="H10" i="63" s="1"/>
  <c r="O3" i="2"/>
  <c r="AE13" i="7"/>
  <c r="AF13" i="7"/>
  <c r="W3" i="7"/>
  <c r="AO3" i="7" s="1"/>
  <c r="AJ11" i="7"/>
  <c r="AI11" i="7"/>
  <c r="AE10" i="7"/>
  <c r="AF10" i="7"/>
  <c r="AV12" i="7"/>
  <c r="H7" i="81"/>
  <c r="AV19" i="7"/>
  <c r="H14" i="81"/>
  <c r="AX18" i="1"/>
  <c r="J15" i="81" s="1"/>
  <c r="H17" i="5"/>
  <c r="G18" i="5"/>
  <c r="AE13" i="2"/>
  <c r="E15" i="3"/>
  <c r="F13" i="3"/>
  <c r="C14" i="3"/>
  <c r="F14" i="3" s="1"/>
  <c r="B15" i="3"/>
  <c r="BD15" i="5"/>
  <c r="Y16" i="5"/>
  <c r="J12" i="82" s="1"/>
  <c r="AT15" i="1"/>
  <c r="AU15" i="1" s="1"/>
  <c r="I12" i="81" s="1"/>
  <c r="AO16" i="1"/>
  <c r="Z17" i="1"/>
  <c r="AA16" i="1"/>
  <c r="Y16" i="1"/>
  <c r="AB16" i="1" s="1"/>
  <c r="X17" i="1"/>
  <c r="L17" i="1"/>
  <c r="AG11" i="2"/>
  <c r="T15" i="2"/>
  <c r="G13" i="2"/>
  <c r="I12" i="82" s="1"/>
  <c r="N81" i="74"/>
  <c r="V81" i="74"/>
  <c r="K15" i="76"/>
  <c r="N15" i="76" s="1"/>
  <c r="I14" i="76"/>
  <c r="M14" i="76" s="1"/>
  <c r="L13" i="76"/>
  <c r="D13" i="76"/>
  <c r="E13" i="76" s="1"/>
  <c r="G14" i="76"/>
  <c r="C13" i="76"/>
  <c r="U12" i="3"/>
  <c r="S15" i="3"/>
  <c r="M14" i="3"/>
  <c r="K12" i="3"/>
  <c r="BA16" i="5"/>
  <c r="BD16" i="5" s="1"/>
  <c r="AH17" i="5"/>
  <c r="AI17" i="5" s="1"/>
  <c r="AE19" i="5"/>
  <c r="AF18" i="5"/>
  <c r="AA15" i="5"/>
  <c r="AJ15" i="5"/>
  <c r="W15" i="5"/>
  <c r="U16" i="5"/>
  <c r="C16" i="5"/>
  <c r="G12" i="63"/>
  <c r="E15" i="5"/>
  <c r="I15" i="5"/>
  <c r="D15" i="5"/>
  <c r="AS17" i="1"/>
  <c r="AU14" i="1"/>
  <c r="I11" i="81" s="1"/>
  <c r="AQ16" i="1"/>
  <c r="AU13" i="1"/>
  <c r="I10" i="81" s="1"/>
  <c r="I9" i="81"/>
  <c r="AF15" i="1"/>
  <c r="AH15" i="1" s="1"/>
  <c r="C15" i="65" s="1"/>
  <c r="AM13" i="1"/>
  <c r="F14" i="75" s="1"/>
  <c r="G14" i="75" s="1"/>
  <c r="AG13" i="1"/>
  <c r="AM14" i="1"/>
  <c r="F15" i="75" s="1"/>
  <c r="G15" i="75" s="1"/>
  <c r="AG14" i="1"/>
  <c r="AD15" i="1"/>
  <c r="R15" i="1"/>
  <c r="S16" i="1"/>
  <c r="T16" i="1" s="1"/>
  <c r="I17" i="1"/>
  <c r="G15" i="1"/>
  <c r="Z16" i="7"/>
  <c r="D16" i="1"/>
  <c r="E16" i="1" s="1"/>
  <c r="AE14" i="7"/>
  <c r="AF14" i="7"/>
  <c r="D15" i="1"/>
  <c r="E15" i="1" s="1"/>
  <c r="AA15" i="7"/>
  <c r="AB15" i="7"/>
  <c r="G14" i="7"/>
  <c r="E14" i="7"/>
  <c r="B16" i="7"/>
  <c r="F13" i="7"/>
  <c r="E13" i="7"/>
  <c r="C15" i="7"/>
  <c r="B10" i="63"/>
  <c r="AD13" i="2"/>
  <c r="AB14" i="2"/>
  <c r="AA15" i="2"/>
  <c r="Z12" i="2"/>
  <c r="AF12" i="2" s="1"/>
  <c r="AG12" i="2" s="1"/>
  <c r="X14" i="2"/>
  <c r="AD12" i="3"/>
  <c r="E11" i="63"/>
  <c r="I14" i="65"/>
  <c r="BE14" i="7"/>
  <c r="BG14" i="7" s="1"/>
  <c r="AD11" i="3"/>
  <c r="E10" i="63"/>
  <c r="BE13" i="7"/>
  <c r="BG13" i="7" s="1"/>
  <c r="I13" i="65"/>
  <c r="Q13" i="2"/>
  <c r="AI10" i="3"/>
  <c r="D12" i="65" s="1"/>
  <c r="M13" i="2"/>
  <c r="E12" i="82" s="1"/>
  <c r="K14" i="2"/>
  <c r="F13" i="82" s="1"/>
  <c r="I14" i="2"/>
  <c r="G13" i="82" s="1"/>
  <c r="G15" i="2"/>
  <c r="I14" i="82" s="1"/>
  <c r="J12" i="65"/>
  <c r="AI10" i="2"/>
  <c r="E12" i="2"/>
  <c r="S12" i="76"/>
  <c r="R11" i="2"/>
  <c r="E10" i="81"/>
  <c r="C10" i="63"/>
  <c r="D10" i="63" s="1"/>
  <c r="AK13" i="5"/>
  <c r="F13" i="65"/>
  <c r="O15" i="79"/>
  <c r="H15" i="79" s="1"/>
  <c r="F14" i="65"/>
  <c r="H11" i="63"/>
  <c r="AB15" i="74"/>
  <c r="AB23" i="74" s="1"/>
  <c r="O86" i="74"/>
  <c r="AE9" i="7"/>
  <c r="AF9" i="7"/>
  <c r="AF12" i="7"/>
  <c r="AE12" i="7"/>
  <c r="O27" i="81"/>
  <c r="O28" i="2"/>
  <c r="L27" i="82"/>
  <c r="V43" i="74"/>
  <c r="O32" i="2"/>
  <c r="L31" i="82"/>
  <c r="O31" i="81"/>
  <c r="O19" i="81"/>
  <c r="O20" i="2"/>
  <c r="L19" i="82"/>
  <c r="G12" i="7"/>
  <c r="H12" i="7"/>
  <c r="F6" i="7"/>
  <c r="E6" i="7"/>
  <c r="AH6" i="7"/>
  <c r="AG6" i="7"/>
  <c r="E8" i="7"/>
  <c r="F8" i="7"/>
  <c r="AK8" i="5"/>
  <c r="F8" i="65"/>
  <c r="H5" i="63"/>
  <c r="O10" i="2"/>
  <c r="O9" i="81"/>
  <c r="L9" i="82"/>
  <c r="O22" i="2"/>
  <c r="O21" i="81"/>
  <c r="L21" i="82"/>
  <c r="AC8" i="7"/>
  <c r="AD8" i="7"/>
  <c r="F15" i="7"/>
  <c r="E15" i="7"/>
  <c r="F11" i="7"/>
  <c r="E11" i="7"/>
  <c r="O23" i="81"/>
  <c r="L23" i="82"/>
  <c r="O24" i="2"/>
  <c r="I14" i="7"/>
  <c r="J14" i="7"/>
  <c r="H7" i="7"/>
  <c r="G7" i="7"/>
  <c r="F10" i="7"/>
  <c r="E10" i="7"/>
  <c r="F9" i="65"/>
  <c r="H6" i="63"/>
  <c r="AK9" i="5"/>
  <c r="E9" i="7"/>
  <c r="F9" i="7"/>
  <c r="O9" i="2"/>
  <c r="L8" i="82"/>
  <c r="O8" i="81"/>
  <c r="O19" i="2"/>
  <c r="O18" i="81"/>
  <c r="L18" i="82"/>
  <c r="AF7" i="7"/>
  <c r="AE7" i="7"/>
  <c r="L16" i="82"/>
  <c r="O16" i="81"/>
  <c r="O17" i="2"/>
  <c r="B9" i="3" l="1"/>
  <c r="C8" i="3"/>
  <c r="I8" i="3"/>
  <c r="AC17" i="5"/>
  <c r="AD16" i="5"/>
  <c r="H14" i="3"/>
  <c r="I13" i="3"/>
  <c r="J10" i="65"/>
  <c r="AI8" i="2"/>
  <c r="Z11" i="1"/>
  <c r="AA10" i="1"/>
  <c r="AH10" i="1" s="1"/>
  <c r="C10" i="65" s="1"/>
  <c r="D10" i="65"/>
  <c r="AC6" i="3"/>
  <c r="AE6" i="3"/>
  <c r="AF6" i="3" s="1"/>
  <c r="AG6" i="3" s="1"/>
  <c r="AH6" i="3" s="1"/>
  <c r="F6" i="63"/>
  <c r="AK6" i="3"/>
  <c r="P10" i="3"/>
  <c r="Q9" i="3"/>
  <c r="AU16" i="5"/>
  <c r="AZ15" i="5"/>
  <c r="BC15" i="5" s="1"/>
  <c r="AI11" i="3"/>
  <c r="D13" i="65" s="1"/>
  <c r="AI12" i="3"/>
  <c r="D14" i="65" s="1"/>
  <c r="D6" i="65"/>
  <c r="AK4" i="3"/>
  <c r="F7" i="3"/>
  <c r="AB7" i="3" s="1"/>
  <c r="Z7" i="3"/>
  <c r="J8" i="65"/>
  <c r="AI6" i="2"/>
  <c r="P8" i="5"/>
  <c r="O9" i="5"/>
  <c r="AX12" i="1"/>
  <c r="J8" i="81"/>
  <c r="W6" i="1"/>
  <c r="AI6" i="1"/>
  <c r="AW7" i="7" s="1"/>
  <c r="B6" i="65"/>
  <c r="E6" i="65" s="1"/>
  <c r="U7" i="1"/>
  <c r="AL7" i="1"/>
  <c r="D8" i="75" s="1"/>
  <c r="E8" i="75" s="1"/>
  <c r="N8" i="5"/>
  <c r="M9" i="5"/>
  <c r="X6" i="3"/>
  <c r="Y5" i="3"/>
  <c r="AY8" i="5"/>
  <c r="BB8" i="5" s="1"/>
  <c r="BE8" i="5" s="1"/>
  <c r="BF8" i="5" s="1"/>
  <c r="BG8" i="5" s="1"/>
  <c r="G8" i="65" s="1"/>
  <c r="AS9" i="5"/>
  <c r="BE7" i="5"/>
  <c r="N7" i="1"/>
  <c r="V7" i="1" s="1"/>
  <c r="M8" i="1"/>
  <c r="L8" i="1"/>
  <c r="K9" i="1"/>
  <c r="AK11" i="5"/>
  <c r="F11" i="65"/>
  <c r="H8" i="63"/>
  <c r="H4" i="63"/>
  <c r="F7" i="65"/>
  <c r="AK7" i="5"/>
  <c r="AH13" i="7"/>
  <c r="AG13" i="7"/>
  <c r="AG10" i="7"/>
  <c r="AH10" i="7"/>
  <c r="AK11" i="7"/>
  <c r="AL11" i="7"/>
  <c r="AM11" i="7" s="1"/>
  <c r="H8" i="81"/>
  <c r="AV13" i="7"/>
  <c r="H15" i="81"/>
  <c r="AV20" i="7"/>
  <c r="AX19" i="1"/>
  <c r="AX20" i="1" s="1"/>
  <c r="AA12" i="3"/>
  <c r="V12" i="3"/>
  <c r="H18" i="5"/>
  <c r="D17" i="3"/>
  <c r="E16" i="3"/>
  <c r="C15" i="3"/>
  <c r="AL15" i="5"/>
  <c r="Y17" i="5"/>
  <c r="J13" i="82" s="1"/>
  <c r="AO17" i="1"/>
  <c r="AT16" i="1"/>
  <c r="AU16" i="1" s="1"/>
  <c r="I13" i="81" s="1"/>
  <c r="AA17" i="1"/>
  <c r="Y17" i="1"/>
  <c r="AB17" i="1" s="1"/>
  <c r="L18" i="1"/>
  <c r="K19" i="1"/>
  <c r="V14" i="2"/>
  <c r="V15" i="2"/>
  <c r="S17" i="2"/>
  <c r="T16" i="2"/>
  <c r="K16" i="76"/>
  <c r="N16" i="76" s="1"/>
  <c r="I15" i="76"/>
  <c r="M15" i="76" s="1"/>
  <c r="L14" i="76"/>
  <c r="D14" i="76"/>
  <c r="E14" i="76" s="1"/>
  <c r="G15" i="76"/>
  <c r="C14" i="76"/>
  <c r="U13" i="3"/>
  <c r="S16" i="3"/>
  <c r="R17" i="3"/>
  <c r="M15" i="3"/>
  <c r="K13" i="3"/>
  <c r="Z12" i="3"/>
  <c r="AE12" i="3" s="1"/>
  <c r="AF12" i="3" s="1"/>
  <c r="AG12" i="3" s="1"/>
  <c r="N12" i="3"/>
  <c r="AB12" i="3" s="1"/>
  <c r="BA17" i="5"/>
  <c r="BD17" i="5" s="1"/>
  <c r="AH18" i="5"/>
  <c r="AI18" i="5" s="1"/>
  <c r="AG19" i="5"/>
  <c r="AF19" i="5"/>
  <c r="AE20" i="5"/>
  <c r="K11" i="82"/>
  <c r="AA16" i="5"/>
  <c r="AJ16" i="5"/>
  <c r="K12" i="82" s="1"/>
  <c r="W16" i="5"/>
  <c r="U17" i="5"/>
  <c r="G13" i="63"/>
  <c r="E16" i="5"/>
  <c r="D16" i="5"/>
  <c r="I16" i="5"/>
  <c r="K11" i="81"/>
  <c r="J15" i="5"/>
  <c r="L11" i="81" s="1"/>
  <c r="C17" i="5"/>
  <c r="AS18" i="1"/>
  <c r="AQ17" i="1"/>
  <c r="AF16" i="1"/>
  <c r="AH16" i="1" s="1"/>
  <c r="C16" i="65" s="1"/>
  <c r="AD16" i="1"/>
  <c r="AM15" i="1"/>
  <c r="F16" i="75" s="1"/>
  <c r="G16" i="75" s="1"/>
  <c r="AG15" i="1"/>
  <c r="R16" i="1"/>
  <c r="S17" i="1"/>
  <c r="T17" i="1" s="1"/>
  <c r="H19" i="1"/>
  <c r="I18" i="1"/>
  <c r="J15" i="1"/>
  <c r="AL15" i="1"/>
  <c r="D16" i="75" s="1"/>
  <c r="E16" i="75" s="1"/>
  <c r="U15" i="1"/>
  <c r="G16" i="1"/>
  <c r="F17" i="1"/>
  <c r="AC15" i="7"/>
  <c r="AD15" i="7"/>
  <c r="AB16" i="7"/>
  <c r="AA16" i="7"/>
  <c r="Z17" i="7"/>
  <c r="AH14" i="7"/>
  <c r="AG14" i="7"/>
  <c r="C16" i="7"/>
  <c r="D16" i="7"/>
  <c r="B17" i="7"/>
  <c r="G13" i="7"/>
  <c r="H13" i="7"/>
  <c r="AC15" i="2"/>
  <c r="AD14" i="2"/>
  <c r="AB15" i="2"/>
  <c r="H14" i="65"/>
  <c r="B11" i="63"/>
  <c r="Z13" i="2"/>
  <c r="AF13" i="2" s="1"/>
  <c r="AG13" i="2" s="1"/>
  <c r="AE14" i="2"/>
  <c r="A13" i="63"/>
  <c r="X15" i="2"/>
  <c r="BE15" i="7"/>
  <c r="BG15" i="7" s="1"/>
  <c r="AD13" i="3"/>
  <c r="E12" i="63"/>
  <c r="I15" i="65"/>
  <c r="Q14" i="2"/>
  <c r="M14" i="2"/>
  <c r="E13" i="82" s="1"/>
  <c r="K15" i="2"/>
  <c r="F14" i="82" s="1"/>
  <c r="I15" i="2"/>
  <c r="G14" i="82" s="1"/>
  <c r="G16" i="2"/>
  <c r="I15" i="82" s="1"/>
  <c r="F17" i="2"/>
  <c r="N12" i="2"/>
  <c r="O12" i="2" s="1"/>
  <c r="H11" i="82"/>
  <c r="AI11" i="2"/>
  <c r="J13" i="65"/>
  <c r="E13" i="2"/>
  <c r="K15" i="5"/>
  <c r="L15" i="5" s="1"/>
  <c r="I15" i="79"/>
  <c r="O16" i="79"/>
  <c r="H16" i="79" s="1"/>
  <c r="H10" i="7"/>
  <c r="G10" i="7"/>
  <c r="H11" i="7"/>
  <c r="G11" i="7"/>
  <c r="I12" i="7"/>
  <c r="J12" i="7"/>
  <c r="AI6" i="7"/>
  <c r="AJ6" i="7"/>
  <c r="AH7" i="7"/>
  <c r="AG7" i="7"/>
  <c r="L14" i="7"/>
  <c r="K14" i="7"/>
  <c r="AG9" i="7"/>
  <c r="AH9" i="7"/>
  <c r="AA15" i="74"/>
  <c r="AA23" i="74" s="1"/>
  <c r="N86" i="74"/>
  <c r="I7" i="7"/>
  <c r="J7" i="7"/>
  <c r="AG12" i="7"/>
  <c r="AH12" i="7"/>
  <c r="G9" i="7"/>
  <c r="H9" i="7"/>
  <c r="G6" i="7"/>
  <c r="H6" i="7"/>
  <c r="G15" i="7"/>
  <c r="H15" i="7"/>
  <c r="AE8" i="7"/>
  <c r="AF8" i="7"/>
  <c r="G8" i="7"/>
  <c r="H8" i="7"/>
  <c r="AU17" i="5" l="1"/>
  <c r="AZ16" i="5"/>
  <c r="BC16" i="5" s="1"/>
  <c r="AD17" i="5"/>
  <c r="AC18" i="5"/>
  <c r="AO11" i="7"/>
  <c r="AN11" i="7" s="1"/>
  <c r="Q10" i="3"/>
  <c r="P11" i="3"/>
  <c r="Z12" i="1"/>
  <c r="AA11" i="1"/>
  <c r="AH11" i="1" s="1"/>
  <c r="C11" i="65" s="1"/>
  <c r="H15" i="3"/>
  <c r="I14" i="3"/>
  <c r="F8" i="3"/>
  <c r="AB8" i="3" s="1"/>
  <c r="Z8" i="3"/>
  <c r="AC7" i="3"/>
  <c r="AH7" i="3" s="1"/>
  <c r="F7" i="63"/>
  <c r="AK7" i="3"/>
  <c r="AE7" i="3"/>
  <c r="AF7" i="3" s="1"/>
  <c r="B10" i="3"/>
  <c r="I9" i="3"/>
  <c r="C9" i="3"/>
  <c r="N8" i="1"/>
  <c r="V8" i="1" s="1"/>
  <c r="M9" i="1"/>
  <c r="M10" i="5"/>
  <c r="N9" i="5"/>
  <c r="U8" i="1"/>
  <c r="AL8" i="1"/>
  <c r="D9" i="75" s="1"/>
  <c r="E9" i="75" s="1"/>
  <c r="X7" i="3"/>
  <c r="Y6" i="3"/>
  <c r="O10" i="5"/>
  <c r="P9" i="5"/>
  <c r="K10" i="1"/>
  <c r="L9" i="1"/>
  <c r="J9" i="81"/>
  <c r="AX13" i="1"/>
  <c r="Q8" i="5"/>
  <c r="I4" i="63"/>
  <c r="AY9" i="5"/>
  <c r="BB9" i="5" s="1"/>
  <c r="BE9" i="5" s="1"/>
  <c r="AS10" i="5"/>
  <c r="G3" i="81"/>
  <c r="AJ6" i="1"/>
  <c r="AK6" i="1" s="1"/>
  <c r="BF7" i="5"/>
  <c r="BG7" i="5" s="1"/>
  <c r="G7" i="65" s="1"/>
  <c r="I3" i="63"/>
  <c r="W7" i="1"/>
  <c r="B7" i="65"/>
  <c r="E7" i="65" s="1"/>
  <c r="AI7" i="1"/>
  <c r="AW8" i="7" s="1"/>
  <c r="AI13" i="7"/>
  <c r="AJ13" i="7"/>
  <c r="AJ10" i="7"/>
  <c r="AI10" i="7"/>
  <c r="H9" i="81"/>
  <c r="AV14" i="7"/>
  <c r="AV21" i="7"/>
  <c r="H16" i="81"/>
  <c r="AA13" i="3"/>
  <c r="V13" i="3"/>
  <c r="J16" i="81"/>
  <c r="J17" i="81"/>
  <c r="AX21" i="1"/>
  <c r="G20" i="5"/>
  <c r="H19" i="5"/>
  <c r="E17" i="3"/>
  <c r="D18" i="3"/>
  <c r="B17" i="3"/>
  <c r="C16" i="3"/>
  <c r="F16" i="3" s="1"/>
  <c r="F15" i="3"/>
  <c r="AL16" i="5"/>
  <c r="Y18" i="5"/>
  <c r="J14" i="82" s="1"/>
  <c r="AO18" i="1"/>
  <c r="AT17" i="1"/>
  <c r="AU17" i="1" s="1"/>
  <c r="I14" i="81" s="1"/>
  <c r="Z19" i="1"/>
  <c r="AA18" i="1"/>
  <c r="X19" i="1"/>
  <c r="Y18" i="1"/>
  <c r="AB18" i="1" s="1"/>
  <c r="L19" i="1"/>
  <c r="K20" i="1"/>
  <c r="U17" i="2"/>
  <c r="V16" i="2"/>
  <c r="S18" i="2"/>
  <c r="T17" i="2"/>
  <c r="K17" i="76"/>
  <c r="N17" i="76" s="1"/>
  <c r="J18" i="76"/>
  <c r="I16" i="76"/>
  <c r="M16" i="76" s="1"/>
  <c r="G16" i="76"/>
  <c r="L15" i="76"/>
  <c r="D15" i="76"/>
  <c r="E15" i="76" s="1"/>
  <c r="C15" i="76"/>
  <c r="U14" i="3"/>
  <c r="R18" i="3"/>
  <c r="S17" i="3"/>
  <c r="V17" i="3" s="1"/>
  <c r="M16" i="3"/>
  <c r="L17" i="3"/>
  <c r="K14" i="3"/>
  <c r="N13" i="3"/>
  <c r="Z13" i="3"/>
  <c r="AK12" i="3"/>
  <c r="AC12" i="3"/>
  <c r="AH12" i="3" s="1"/>
  <c r="F12" i="63"/>
  <c r="BA18" i="5"/>
  <c r="BD18" i="5" s="1"/>
  <c r="AH19" i="5"/>
  <c r="AI19" i="5" s="1"/>
  <c r="AG20" i="5"/>
  <c r="AE21" i="5"/>
  <c r="AF20" i="5"/>
  <c r="AJ17" i="5"/>
  <c r="AA17" i="5"/>
  <c r="W17" i="5"/>
  <c r="U18" i="5"/>
  <c r="G14" i="63"/>
  <c r="I17" i="5"/>
  <c r="E17" i="5"/>
  <c r="D17" i="5"/>
  <c r="C18" i="5"/>
  <c r="J16" i="5"/>
  <c r="L12" i="81" s="1"/>
  <c r="K12" i="81"/>
  <c r="AR20" i="1"/>
  <c r="AS19" i="1"/>
  <c r="AQ18" i="1"/>
  <c r="AF17" i="1"/>
  <c r="AH17" i="1" s="1"/>
  <c r="C17" i="65" s="1"/>
  <c r="AD17" i="1"/>
  <c r="AG16" i="1"/>
  <c r="AM16" i="1"/>
  <c r="F17" i="75" s="1"/>
  <c r="G17" i="75" s="1"/>
  <c r="R17" i="1"/>
  <c r="P19" i="1"/>
  <c r="S18" i="1"/>
  <c r="T18" i="1" s="1"/>
  <c r="I19" i="1"/>
  <c r="H20" i="1"/>
  <c r="J16" i="1"/>
  <c r="U16" i="1"/>
  <c r="AL16" i="1"/>
  <c r="D17" i="75" s="1"/>
  <c r="E17" i="75" s="1"/>
  <c r="G17" i="1"/>
  <c r="Z18" i="7"/>
  <c r="AJ14" i="7"/>
  <c r="AI14" i="7"/>
  <c r="AE15" i="7"/>
  <c r="AF15" i="7"/>
  <c r="AD16" i="7"/>
  <c r="AC16" i="7"/>
  <c r="D17" i="1"/>
  <c r="E17" i="1" s="1"/>
  <c r="AB17" i="7"/>
  <c r="AA17" i="7"/>
  <c r="F16" i="7"/>
  <c r="E16" i="7"/>
  <c r="B18" i="7"/>
  <c r="C17" i="7"/>
  <c r="D17" i="7"/>
  <c r="I13" i="7"/>
  <c r="J13" i="7"/>
  <c r="AD15" i="2"/>
  <c r="AB16" i="2"/>
  <c r="AA17" i="2"/>
  <c r="B12" i="63"/>
  <c r="H15" i="65"/>
  <c r="Z14" i="2"/>
  <c r="AF14" i="2" s="1"/>
  <c r="AG14" i="2" s="1"/>
  <c r="X16" i="2"/>
  <c r="W17" i="2"/>
  <c r="A14" i="63"/>
  <c r="AE15" i="2"/>
  <c r="AI13" i="3"/>
  <c r="D15" i="65" s="1"/>
  <c r="I16" i="65"/>
  <c r="BE16" i="7"/>
  <c r="BG16" i="7" s="1"/>
  <c r="E13" i="63"/>
  <c r="AD14" i="3"/>
  <c r="Q15" i="2"/>
  <c r="M15" i="2"/>
  <c r="E14" i="82" s="1"/>
  <c r="J17" i="2"/>
  <c r="K16" i="2"/>
  <c r="F15" i="82" s="1"/>
  <c r="I16" i="2"/>
  <c r="G15" i="82" s="1"/>
  <c r="H17" i="2"/>
  <c r="G17" i="2"/>
  <c r="I16" i="82" s="1"/>
  <c r="F18" i="2"/>
  <c r="E11" i="81"/>
  <c r="S13" i="76"/>
  <c r="R12" i="2"/>
  <c r="C11" i="63"/>
  <c r="D11" i="63" s="1"/>
  <c r="H12" i="82"/>
  <c r="N13" i="2"/>
  <c r="O13" i="2" s="1"/>
  <c r="E14" i="2"/>
  <c r="F15" i="65"/>
  <c r="AK15" i="5"/>
  <c r="H12" i="63"/>
  <c r="K16" i="5"/>
  <c r="L16" i="5" s="1"/>
  <c r="I16" i="79"/>
  <c r="O17" i="79"/>
  <c r="H17" i="79" s="1"/>
  <c r="N14" i="7"/>
  <c r="M14" i="7"/>
  <c r="AJ9" i="7"/>
  <c r="AI9" i="7"/>
  <c r="J8" i="7"/>
  <c r="I8" i="7"/>
  <c r="J6" i="7"/>
  <c r="I6" i="7"/>
  <c r="I9" i="7"/>
  <c r="J9" i="7"/>
  <c r="L7" i="7"/>
  <c r="K7" i="7"/>
  <c r="L12" i="7"/>
  <c r="K12" i="7"/>
  <c r="AG8" i="7"/>
  <c r="AH8" i="7"/>
  <c r="AJ12" i="7"/>
  <c r="AI12" i="7"/>
  <c r="I10" i="7"/>
  <c r="J10" i="7"/>
  <c r="AL6" i="7"/>
  <c r="AM6" i="7" s="1"/>
  <c r="AK6" i="7"/>
  <c r="J15" i="7"/>
  <c r="I15" i="7"/>
  <c r="AJ7" i="7"/>
  <c r="AI7" i="7"/>
  <c r="I11" i="7"/>
  <c r="J11" i="7"/>
  <c r="AO6" i="7"/>
  <c r="AL17" i="5" l="1"/>
  <c r="F9" i="3"/>
  <c r="AB9" i="3" s="1"/>
  <c r="Z9" i="3"/>
  <c r="AA12" i="1"/>
  <c r="AH12" i="1" s="1"/>
  <c r="C12" i="65" s="1"/>
  <c r="AA13" i="1"/>
  <c r="AH13" i="1" s="1"/>
  <c r="C13" i="65" s="1"/>
  <c r="AC19" i="5"/>
  <c r="AD18" i="5"/>
  <c r="P12" i="3"/>
  <c r="Q11" i="3"/>
  <c r="C10" i="3"/>
  <c r="C11" i="3"/>
  <c r="I10" i="3"/>
  <c r="H16" i="3"/>
  <c r="I15" i="3"/>
  <c r="AC8" i="3"/>
  <c r="F8" i="63"/>
  <c r="AE8" i="3"/>
  <c r="AF8" i="3" s="1"/>
  <c r="AG8" i="3" s="1"/>
  <c r="AK8" i="3"/>
  <c r="AU18" i="5"/>
  <c r="AZ17" i="5"/>
  <c r="BC17" i="5" s="1"/>
  <c r="BF9" i="5"/>
  <c r="BG9" i="5" s="1"/>
  <c r="G9" i="65" s="1"/>
  <c r="I5" i="63"/>
  <c r="P10" i="5"/>
  <c r="O11" i="5"/>
  <c r="AI8" i="1"/>
  <c r="AW9" i="7" s="1"/>
  <c r="W8" i="1"/>
  <c r="B8" i="65"/>
  <c r="E8" i="65" s="1"/>
  <c r="AY10" i="5"/>
  <c r="BB10" i="5" s="1"/>
  <c r="BE10" i="5" s="1"/>
  <c r="AS11" i="5"/>
  <c r="N9" i="1"/>
  <c r="V9" i="1" s="1"/>
  <c r="M10" i="1"/>
  <c r="K11" i="1"/>
  <c r="L10" i="1"/>
  <c r="N10" i="5"/>
  <c r="M11" i="5"/>
  <c r="Q9" i="5"/>
  <c r="M5" i="81" s="1"/>
  <c r="U9" i="1"/>
  <c r="AL9" i="1"/>
  <c r="D10" i="75" s="1"/>
  <c r="E10" i="75" s="1"/>
  <c r="AX14" i="1"/>
  <c r="J11" i="81" s="1"/>
  <c r="J10" i="81"/>
  <c r="AJ7" i="1"/>
  <c r="AK7" i="1" s="1"/>
  <c r="G4" i="81"/>
  <c r="M4" i="81"/>
  <c r="X8" i="3"/>
  <c r="Y7" i="3"/>
  <c r="AA14" i="3"/>
  <c r="V14" i="3"/>
  <c r="H10" i="81"/>
  <c r="AV15" i="7"/>
  <c r="H11" i="81" s="1"/>
  <c r="AK13" i="7"/>
  <c r="AL13" i="7"/>
  <c r="AM13" i="7" s="1"/>
  <c r="AL10" i="7"/>
  <c r="AM10" i="7" s="1"/>
  <c r="AK10" i="7"/>
  <c r="H17" i="81"/>
  <c r="AV22" i="7"/>
  <c r="AB13" i="3"/>
  <c r="J18" i="81"/>
  <c r="AX22" i="1"/>
  <c r="H20" i="5"/>
  <c r="G21" i="5"/>
  <c r="E18" i="3"/>
  <c r="D19" i="3"/>
  <c r="B18" i="3"/>
  <c r="C17" i="3"/>
  <c r="Y19" i="5"/>
  <c r="J15" i="82" s="1"/>
  <c r="X20" i="5"/>
  <c r="AN20" i="1"/>
  <c r="AO19" i="1"/>
  <c r="AT18" i="1"/>
  <c r="AU18" i="1" s="1"/>
  <c r="I15" i="81" s="1"/>
  <c r="Z20" i="1"/>
  <c r="AA19" i="1"/>
  <c r="Y19" i="1"/>
  <c r="AB19" i="1" s="1"/>
  <c r="X20" i="1"/>
  <c r="L20" i="1"/>
  <c r="K21" i="1"/>
  <c r="V17" i="2"/>
  <c r="U18" i="2"/>
  <c r="T18" i="2"/>
  <c r="S19" i="2"/>
  <c r="J19" i="76"/>
  <c r="K18" i="76"/>
  <c r="N18" i="76" s="1"/>
  <c r="I17" i="76"/>
  <c r="M17" i="76" s="1"/>
  <c r="H18" i="76"/>
  <c r="G17" i="76"/>
  <c r="F18" i="76"/>
  <c r="L16" i="76"/>
  <c r="D16" i="76"/>
  <c r="E16" i="76" s="1"/>
  <c r="C16" i="76"/>
  <c r="U15" i="3"/>
  <c r="R19" i="3"/>
  <c r="S18" i="3"/>
  <c r="V18" i="3" s="1"/>
  <c r="M17" i="3"/>
  <c r="L18" i="3"/>
  <c r="K15" i="3"/>
  <c r="F13" i="63"/>
  <c r="AC13" i="3"/>
  <c r="AK13" i="3"/>
  <c r="N14" i="3"/>
  <c r="Z14" i="3"/>
  <c r="AE14" i="3" s="1"/>
  <c r="AF14" i="3" s="1"/>
  <c r="AG14" i="3" s="1"/>
  <c r="AE13" i="3"/>
  <c r="AF13" i="3" s="1"/>
  <c r="AG13" i="3" s="1"/>
  <c r="BA19" i="5"/>
  <c r="BD19" i="5" s="1"/>
  <c r="AX20" i="5"/>
  <c r="AV20" i="5"/>
  <c r="AT20" i="5"/>
  <c r="AG21" i="5"/>
  <c r="AH20" i="5"/>
  <c r="AI20" i="5" s="1"/>
  <c r="AE22" i="5"/>
  <c r="AF21" i="5"/>
  <c r="K13" i="82"/>
  <c r="AJ18" i="5"/>
  <c r="K14" i="82" s="1"/>
  <c r="AA18" i="5"/>
  <c r="W18" i="5"/>
  <c r="U19" i="5"/>
  <c r="T20" i="5"/>
  <c r="K13" i="81"/>
  <c r="J17" i="5"/>
  <c r="L13" i="81" s="1"/>
  <c r="E18" i="5"/>
  <c r="G15" i="63"/>
  <c r="I18" i="5"/>
  <c r="D18" i="5"/>
  <c r="C19" i="5"/>
  <c r="B20" i="5"/>
  <c r="AS20" i="1"/>
  <c r="AR21" i="1"/>
  <c r="AQ19" i="1"/>
  <c r="AP20" i="1"/>
  <c r="AF18" i="1"/>
  <c r="AH18" i="1" s="1"/>
  <c r="C18" i="65" s="1"/>
  <c r="AG17" i="1"/>
  <c r="AM17" i="1"/>
  <c r="F18" i="75" s="1"/>
  <c r="G18" i="75" s="1"/>
  <c r="AD18" i="1"/>
  <c r="AC19" i="1"/>
  <c r="Q19" i="1"/>
  <c r="R18" i="1"/>
  <c r="P20" i="1"/>
  <c r="S19" i="1"/>
  <c r="T19" i="1" s="1"/>
  <c r="H21" i="1"/>
  <c r="I20" i="1"/>
  <c r="J17" i="1"/>
  <c r="AL17" i="1"/>
  <c r="D18" i="75" s="1"/>
  <c r="E18" i="75" s="1"/>
  <c r="U17" i="1"/>
  <c r="F19" i="1"/>
  <c r="G18" i="1"/>
  <c r="AG15" i="7"/>
  <c r="AH15" i="7"/>
  <c r="AF16" i="7"/>
  <c r="AE16" i="7"/>
  <c r="C19" i="1"/>
  <c r="Z19" i="7"/>
  <c r="AD17" i="7"/>
  <c r="AC17" i="7"/>
  <c r="AB18" i="7"/>
  <c r="AA18" i="7"/>
  <c r="AK14" i="7"/>
  <c r="AL14" i="7"/>
  <c r="AM14" i="7" s="1"/>
  <c r="D18" i="1"/>
  <c r="E18" i="1" s="1"/>
  <c r="B19" i="7"/>
  <c r="B19" i="1"/>
  <c r="E17" i="7"/>
  <c r="F17" i="7"/>
  <c r="L13" i="7"/>
  <c r="K13" i="7"/>
  <c r="G16" i="7"/>
  <c r="H16" i="7"/>
  <c r="C18" i="7"/>
  <c r="D18" i="7"/>
  <c r="AD16" i="2"/>
  <c r="AC17" i="2"/>
  <c r="AA18" i="2"/>
  <c r="AB17" i="2"/>
  <c r="H16" i="65"/>
  <c r="B13" i="63"/>
  <c r="Z15" i="2"/>
  <c r="AF15" i="2" s="1"/>
  <c r="AG15" i="2" s="1"/>
  <c r="X17" i="2"/>
  <c r="W18" i="2"/>
  <c r="A15" i="63"/>
  <c r="AE16" i="2"/>
  <c r="AI14" i="3"/>
  <c r="D16" i="65" s="1"/>
  <c r="I17" i="65"/>
  <c r="AD15" i="3"/>
  <c r="E14" i="63"/>
  <c r="BE17" i="7"/>
  <c r="BG17" i="7" s="1"/>
  <c r="P17" i="2"/>
  <c r="Q16" i="2"/>
  <c r="M16" i="2"/>
  <c r="E15" i="82" s="1"/>
  <c r="L17" i="2"/>
  <c r="J18" i="2"/>
  <c r="K17" i="2"/>
  <c r="F16" i="82" s="1"/>
  <c r="I17" i="2"/>
  <c r="G16" i="82" s="1"/>
  <c r="H18" i="2"/>
  <c r="F19" i="2"/>
  <c r="G18" i="2"/>
  <c r="I17" i="82" s="1"/>
  <c r="J14" i="65"/>
  <c r="AI12" i="2"/>
  <c r="R13" i="2"/>
  <c r="S14" i="76"/>
  <c r="C12" i="63"/>
  <c r="D12" i="63" s="1"/>
  <c r="E12" i="81"/>
  <c r="E15" i="2"/>
  <c r="H13" i="82"/>
  <c r="N14" i="2"/>
  <c r="O14" i="2" s="1"/>
  <c r="F16" i="65"/>
  <c r="H13" i="63"/>
  <c r="AK16" i="5"/>
  <c r="K17" i="5"/>
  <c r="L17" i="5" s="1"/>
  <c r="I17" i="79"/>
  <c r="O18" i="79"/>
  <c r="H18" i="79" s="1"/>
  <c r="P14" i="7"/>
  <c r="O14" i="7"/>
  <c r="L10" i="7"/>
  <c r="K10" i="7"/>
  <c r="AL12" i="7"/>
  <c r="AM12" i="7" s="1"/>
  <c r="AK12" i="7"/>
  <c r="AN6" i="7"/>
  <c r="N7" i="7"/>
  <c r="M7" i="7"/>
  <c r="AK9" i="7"/>
  <c r="AO9" i="7" s="1"/>
  <c r="AL9" i="7"/>
  <c r="AM9" i="7" s="1"/>
  <c r="AL7" i="7"/>
  <c r="AM7" i="7" s="1"/>
  <c r="AK7" i="7"/>
  <c r="K9" i="7"/>
  <c r="L9" i="7"/>
  <c r="L15" i="7"/>
  <c r="K15" i="7"/>
  <c r="L8" i="7"/>
  <c r="K8" i="7"/>
  <c r="L11" i="7"/>
  <c r="K11" i="7"/>
  <c r="AI8" i="7"/>
  <c r="AJ8" i="7"/>
  <c r="N12" i="7"/>
  <c r="M12" i="7"/>
  <c r="L6" i="7"/>
  <c r="K6" i="7"/>
  <c r="AO10" i="7" l="1"/>
  <c r="AN10" i="7" s="1"/>
  <c r="P13" i="3"/>
  <c r="Q12" i="3"/>
  <c r="Q10" i="5"/>
  <c r="M6" i="81" s="1"/>
  <c r="AU19" i="5"/>
  <c r="AZ18" i="5"/>
  <c r="BC18" i="5" s="1"/>
  <c r="AH8" i="3"/>
  <c r="F11" i="3"/>
  <c r="AB11" i="3" s="1"/>
  <c r="Z11" i="3"/>
  <c r="AC9" i="3"/>
  <c r="F9" i="63"/>
  <c r="AK9" i="3"/>
  <c r="AE9" i="3"/>
  <c r="AF9" i="3" s="1"/>
  <c r="AG9" i="3" s="1"/>
  <c r="AH9" i="3" s="1"/>
  <c r="AO7" i="7"/>
  <c r="F10" i="3"/>
  <c r="AB10" i="3" s="1"/>
  <c r="Z10" i="3"/>
  <c r="AC20" i="5"/>
  <c r="AD19" i="5"/>
  <c r="H17" i="3"/>
  <c r="I16" i="3"/>
  <c r="AY11" i="5"/>
  <c r="BB11" i="5" s="1"/>
  <c r="BE11" i="5" s="1"/>
  <c r="AS12" i="5"/>
  <c r="N10" i="1"/>
  <c r="V10" i="1" s="1"/>
  <c r="M11" i="1"/>
  <c r="L11" i="1"/>
  <c r="K12" i="1"/>
  <c r="P11" i="5"/>
  <c r="O12" i="5"/>
  <c r="U10" i="1"/>
  <c r="AL10" i="1"/>
  <c r="D11" i="75" s="1"/>
  <c r="E11" i="75" s="1"/>
  <c r="G5" i="81"/>
  <c r="AJ8" i="1"/>
  <c r="AK8" i="1" s="1"/>
  <c r="Y8" i="3"/>
  <c r="X9" i="3"/>
  <c r="M12" i="5"/>
  <c r="N11" i="5"/>
  <c r="B9" i="65"/>
  <c r="E9" i="65" s="1"/>
  <c r="W9" i="1"/>
  <c r="AI9" i="1"/>
  <c r="AW10" i="7" s="1"/>
  <c r="I6" i="63"/>
  <c r="BF10" i="5"/>
  <c r="BG10" i="5" s="1"/>
  <c r="G10" i="65" s="1"/>
  <c r="AA15" i="3"/>
  <c r="V15" i="3"/>
  <c r="AB14" i="3"/>
  <c r="AO12" i="7"/>
  <c r="AN12" i="7" s="1"/>
  <c r="AO13" i="7"/>
  <c r="AN13" i="7" s="1"/>
  <c r="H18" i="81"/>
  <c r="AV23" i="7"/>
  <c r="J19" i="81"/>
  <c r="AX23" i="1"/>
  <c r="H21" i="5"/>
  <c r="G22" i="5"/>
  <c r="E19" i="3"/>
  <c r="D20" i="3"/>
  <c r="B19" i="3"/>
  <c r="C18" i="3"/>
  <c r="F18" i="3" s="1"/>
  <c r="F17" i="3"/>
  <c r="Y20" i="5"/>
  <c r="J16" i="82" s="1"/>
  <c r="X21" i="5"/>
  <c r="AO20" i="1"/>
  <c r="AN21" i="1"/>
  <c r="AT19" i="1"/>
  <c r="AU19" i="1" s="1"/>
  <c r="I16" i="81" s="1"/>
  <c r="AA20" i="1"/>
  <c r="Z21" i="1"/>
  <c r="Y20" i="1"/>
  <c r="AB20" i="1" s="1"/>
  <c r="X21" i="1"/>
  <c r="L21" i="1"/>
  <c r="K22" i="1"/>
  <c r="U19" i="2"/>
  <c r="V18" i="2"/>
  <c r="S20" i="2"/>
  <c r="T19" i="2"/>
  <c r="K19" i="76"/>
  <c r="N19" i="76" s="1"/>
  <c r="J20" i="76"/>
  <c r="I18" i="76"/>
  <c r="M18" i="76" s="1"/>
  <c r="H19" i="76"/>
  <c r="L17" i="76"/>
  <c r="D17" i="76"/>
  <c r="E17" i="76" s="1"/>
  <c r="G18" i="76"/>
  <c r="F19" i="76"/>
  <c r="B18" i="76"/>
  <c r="C17" i="76"/>
  <c r="U16" i="3"/>
  <c r="T17" i="3"/>
  <c r="R20" i="3"/>
  <c r="S19" i="3"/>
  <c r="V19" i="3" s="1"/>
  <c r="M18" i="3"/>
  <c r="L19" i="3"/>
  <c r="AH13" i="3"/>
  <c r="N15" i="3"/>
  <c r="Z15" i="3"/>
  <c r="K16" i="3"/>
  <c r="J17" i="3"/>
  <c r="AC14" i="3"/>
  <c r="AH14" i="3" s="1"/>
  <c r="AK14" i="3"/>
  <c r="F14" i="63"/>
  <c r="BA20" i="5"/>
  <c r="BD20" i="5" s="1"/>
  <c r="AX21" i="5"/>
  <c r="AV21" i="5"/>
  <c r="AT21" i="5"/>
  <c r="AH21" i="5"/>
  <c r="AI21" i="5" s="1"/>
  <c r="AG22" i="5"/>
  <c r="AF22" i="5"/>
  <c r="AE23" i="5"/>
  <c r="AA19" i="5"/>
  <c r="Z20" i="5"/>
  <c r="AJ19" i="5"/>
  <c r="AL18" i="5"/>
  <c r="W19" i="5"/>
  <c r="V20" i="5"/>
  <c r="U20" i="5"/>
  <c r="T21" i="5"/>
  <c r="E19" i="5"/>
  <c r="D19" i="5"/>
  <c r="G16" i="63"/>
  <c r="I19" i="5"/>
  <c r="B21" i="5"/>
  <c r="C20" i="5"/>
  <c r="J18" i="5"/>
  <c r="L14" i="81" s="1"/>
  <c r="K14" i="81"/>
  <c r="AS21" i="1"/>
  <c r="AR22" i="1"/>
  <c r="AP21" i="1"/>
  <c r="AQ20" i="1"/>
  <c r="AE20" i="1"/>
  <c r="AF19" i="1"/>
  <c r="AH19" i="1" s="1"/>
  <c r="C19" i="65" s="1"/>
  <c r="AC20" i="1"/>
  <c r="AD19" i="1"/>
  <c r="AM18" i="1"/>
  <c r="F19" i="75" s="1"/>
  <c r="G19" i="75" s="1"/>
  <c r="AG18" i="1"/>
  <c r="R19" i="1"/>
  <c r="Q20" i="1"/>
  <c r="S20" i="1"/>
  <c r="T20" i="1" s="1"/>
  <c r="P21" i="1"/>
  <c r="H22" i="1"/>
  <c r="I21" i="1"/>
  <c r="F20" i="1"/>
  <c r="G19" i="1"/>
  <c r="J18" i="1"/>
  <c r="AL18" i="1"/>
  <c r="D19" i="75" s="1"/>
  <c r="E19" i="75" s="1"/>
  <c r="U18" i="1"/>
  <c r="AA19" i="7"/>
  <c r="AB19" i="7"/>
  <c r="AC18" i="7"/>
  <c r="AD18" i="7"/>
  <c r="AI15" i="7"/>
  <c r="AJ15" i="7"/>
  <c r="AG16" i="7"/>
  <c r="AH16" i="7"/>
  <c r="AO14" i="7"/>
  <c r="AN14" i="7" s="1"/>
  <c r="AE17" i="7"/>
  <c r="AF17" i="7"/>
  <c r="Z20" i="7"/>
  <c r="C20" i="1"/>
  <c r="D20" i="1" s="1"/>
  <c r="E20" i="1" s="1"/>
  <c r="D19" i="1"/>
  <c r="E19" i="1" s="1"/>
  <c r="F18" i="7"/>
  <c r="E18" i="7"/>
  <c r="B20" i="7"/>
  <c r="B20" i="1"/>
  <c r="H17" i="7"/>
  <c r="G17" i="7"/>
  <c r="N13" i="7"/>
  <c r="M13" i="7"/>
  <c r="J16" i="7"/>
  <c r="I16" i="7"/>
  <c r="C19" i="7"/>
  <c r="D19" i="7"/>
  <c r="AC18" i="2"/>
  <c r="AD17" i="2"/>
  <c r="AA19" i="2"/>
  <c r="AB18" i="2"/>
  <c r="B14" i="63"/>
  <c r="H17" i="65"/>
  <c r="Z16" i="2"/>
  <c r="AF16" i="2" s="1"/>
  <c r="AG16" i="2" s="1"/>
  <c r="Y17" i="2"/>
  <c r="AE17" i="2"/>
  <c r="AG17" i="2" s="1"/>
  <c r="A16" i="63"/>
  <c r="W19" i="2"/>
  <c r="X18" i="2"/>
  <c r="AI15" i="3"/>
  <c r="D17" i="65" s="1"/>
  <c r="Q17" i="2"/>
  <c r="P18" i="2"/>
  <c r="BE18" i="7"/>
  <c r="BG18" i="7" s="1"/>
  <c r="AD16" i="3"/>
  <c r="I18" i="65"/>
  <c r="E15" i="63"/>
  <c r="M17" i="2"/>
  <c r="E16" i="82" s="1"/>
  <c r="L18" i="2"/>
  <c r="J19" i="2"/>
  <c r="K18" i="2"/>
  <c r="F17" i="82" s="1"/>
  <c r="I18" i="2"/>
  <c r="G17" i="82" s="1"/>
  <c r="H19" i="2"/>
  <c r="F20" i="2"/>
  <c r="G19" i="2"/>
  <c r="I18" i="82" s="1"/>
  <c r="H14" i="82"/>
  <c r="N15" i="2"/>
  <c r="O15" i="2" s="1"/>
  <c r="E13" i="81"/>
  <c r="C13" i="63"/>
  <c r="D13" i="63" s="1"/>
  <c r="R14" i="2"/>
  <c r="S15" i="76"/>
  <c r="E16" i="2"/>
  <c r="D17" i="2"/>
  <c r="AI13" i="2"/>
  <c r="J15" i="65"/>
  <c r="AK17" i="5"/>
  <c r="F17" i="65"/>
  <c r="H14" i="63"/>
  <c r="M20" i="79"/>
  <c r="O19" i="79"/>
  <c r="H19" i="79" s="1"/>
  <c r="I18" i="79"/>
  <c r="K18" i="5"/>
  <c r="L18" i="5" s="1"/>
  <c r="AN9" i="7"/>
  <c r="Q14" i="7"/>
  <c r="R14" i="7"/>
  <c r="M6" i="7"/>
  <c r="N6" i="7"/>
  <c r="AK8" i="7"/>
  <c r="AL8" i="7"/>
  <c r="AM8" i="7" s="1"/>
  <c r="AN7" i="7"/>
  <c r="N10" i="7"/>
  <c r="M10" i="7"/>
  <c r="M15" i="7"/>
  <c r="N15" i="7"/>
  <c r="M9" i="7"/>
  <c r="N9" i="7"/>
  <c r="N8" i="7"/>
  <c r="M8" i="7"/>
  <c r="O12" i="7"/>
  <c r="P12" i="7"/>
  <c r="O7" i="7"/>
  <c r="P7" i="7"/>
  <c r="M11" i="7"/>
  <c r="N11" i="7"/>
  <c r="AO8" i="7" l="1"/>
  <c r="AK10" i="3"/>
  <c r="AC10" i="3"/>
  <c r="F10" i="63"/>
  <c r="AE10" i="3"/>
  <c r="AF10" i="3" s="1"/>
  <c r="AG10" i="3" s="1"/>
  <c r="AH10" i="3" s="1"/>
  <c r="Q11" i="5"/>
  <c r="H18" i="3"/>
  <c r="I17" i="3"/>
  <c r="P14" i="3"/>
  <c r="Q13" i="3"/>
  <c r="AD20" i="5"/>
  <c r="AC21" i="5"/>
  <c r="AK11" i="3"/>
  <c r="F11" i="63"/>
  <c r="AC11" i="3"/>
  <c r="AE11" i="3"/>
  <c r="AF11" i="3" s="1"/>
  <c r="AG11" i="3" s="1"/>
  <c r="AU20" i="5"/>
  <c r="AZ19" i="5"/>
  <c r="BC19" i="5" s="1"/>
  <c r="AA16" i="3"/>
  <c r="V16" i="3"/>
  <c r="N11" i="1"/>
  <c r="V11" i="1" s="1"/>
  <c r="M12" i="1"/>
  <c r="AL11" i="1"/>
  <c r="D12" i="75" s="1"/>
  <c r="E12" i="75" s="1"/>
  <c r="U11" i="1"/>
  <c r="I7" i="63"/>
  <c r="BF11" i="5"/>
  <c r="BG11" i="5" s="1"/>
  <c r="G11" i="65" s="1"/>
  <c r="W10" i="1"/>
  <c r="B10" i="65"/>
  <c r="E10" i="65" s="1"/>
  <c r="AI10" i="1"/>
  <c r="AW11" i="7" s="1"/>
  <c r="L13" i="1"/>
  <c r="L12" i="1"/>
  <c r="M13" i="5"/>
  <c r="N12" i="5"/>
  <c r="M7" i="81"/>
  <c r="AS13" i="5"/>
  <c r="AY12" i="5"/>
  <c r="BB12" i="5" s="1"/>
  <c r="BE12" i="5" s="1"/>
  <c r="G6" i="81"/>
  <c r="AJ9" i="1"/>
  <c r="AK9" i="1" s="1"/>
  <c r="Y9" i="3"/>
  <c r="X10" i="3"/>
  <c r="P12" i="5"/>
  <c r="O13" i="5"/>
  <c r="AB15" i="3"/>
  <c r="H19" i="81"/>
  <c r="AV24" i="7"/>
  <c r="AX24" i="1"/>
  <c r="J20" i="81"/>
  <c r="H22" i="5"/>
  <c r="G23" i="5"/>
  <c r="D21" i="3"/>
  <c r="E20" i="3"/>
  <c r="B20" i="3"/>
  <c r="C19" i="3"/>
  <c r="X22" i="5"/>
  <c r="Y21" i="5"/>
  <c r="J17" i="82" s="1"/>
  <c r="AO21" i="1"/>
  <c r="AN22" i="1"/>
  <c r="AT20" i="1"/>
  <c r="AU20" i="1" s="1"/>
  <c r="I17" i="81" s="1"/>
  <c r="AA21" i="1"/>
  <c r="Z22" i="1"/>
  <c r="X22" i="1"/>
  <c r="Y21" i="1"/>
  <c r="AB21" i="1" s="1"/>
  <c r="K23" i="1"/>
  <c r="L22" i="1"/>
  <c r="U20" i="2"/>
  <c r="V19" i="2"/>
  <c r="S21" i="2"/>
  <c r="T20" i="2"/>
  <c r="K20" i="76"/>
  <c r="N20" i="76" s="1"/>
  <c r="J21" i="76"/>
  <c r="I19" i="76"/>
  <c r="M19" i="76" s="1"/>
  <c r="H20" i="76"/>
  <c r="D18" i="76"/>
  <c r="E18" i="76" s="1"/>
  <c r="L18" i="76"/>
  <c r="F20" i="76"/>
  <c r="G19" i="76"/>
  <c r="B19" i="76"/>
  <c r="C18" i="76"/>
  <c r="T18" i="3"/>
  <c r="U17" i="3"/>
  <c r="AA17" i="3" s="1"/>
  <c r="S20" i="3"/>
  <c r="V20" i="3" s="1"/>
  <c r="R21" i="3"/>
  <c r="M19" i="3"/>
  <c r="L20" i="3"/>
  <c r="AK15" i="3"/>
  <c r="F15" i="63"/>
  <c r="AC15" i="3"/>
  <c r="N16" i="3"/>
  <c r="Z16" i="3"/>
  <c r="AE16" i="3" s="1"/>
  <c r="AF16" i="3" s="1"/>
  <c r="AG16" i="3" s="1"/>
  <c r="J18" i="3"/>
  <c r="K17" i="3"/>
  <c r="AE15" i="3"/>
  <c r="AF15" i="3" s="1"/>
  <c r="AG15" i="3" s="1"/>
  <c r="AX22" i="5"/>
  <c r="BA21" i="5"/>
  <c r="BD21" i="5" s="1"/>
  <c r="AV22" i="5"/>
  <c r="AT22" i="5"/>
  <c r="AG23" i="5"/>
  <c r="AH22" i="5"/>
  <c r="AI22" i="5" s="1"/>
  <c r="AF23" i="5"/>
  <c r="AE24" i="5"/>
  <c r="Z21" i="5"/>
  <c r="AA20" i="5"/>
  <c r="AJ20" i="5"/>
  <c r="K16" i="82" s="1"/>
  <c r="K15" i="82"/>
  <c r="AL19" i="5"/>
  <c r="V21" i="5"/>
  <c r="W20" i="5"/>
  <c r="T22" i="5"/>
  <c r="U21" i="5"/>
  <c r="J19" i="5"/>
  <c r="L15" i="81" s="1"/>
  <c r="K15" i="81"/>
  <c r="C21" i="5"/>
  <c r="B22" i="5"/>
  <c r="G17" i="63"/>
  <c r="D20" i="5"/>
  <c r="E20" i="5"/>
  <c r="I20" i="5"/>
  <c r="AR23" i="1"/>
  <c r="AS22" i="1"/>
  <c r="AP22" i="1"/>
  <c r="AQ21" i="1"/>
  <c r="AE21" i="1"/>
  <c r="AF20" i="1"/>
  <c r="AH20" i="1" s="1"/>
  <c r="C20" i="65" s="1"/>
  <c r="AD20" i="1"/>
  <c r="AC21" i="1"/>
  <c r="AM19" i="1"/>
  <c r="F20" i="75" s="1"/>
  <c r="G20" i="75" s="1"/>
  <c r="AG19" i="1"/>
  <c r="Q21" i="1"/>
  <c r="R20" i="1"/>
  <c r="P22" i="1"/>
  <c r="S21" i="1"/>
  <c r="T21" i="1" s="1"/>
  <c r="H23" i="1"/>
  <c r="I22" i="1"/>
  <c r="AL19" i="1"/>
  <c r="D20" i="75" s="1"/>
  <c r="E20" i="75" s="1"/>
  <c r="J19" i="1"/>
  <c r="U19" i="1"/>
  <c r="F21" i="1"/>
  <c r="G20" i="1"/>
  <c r="AC19" i="7"/>
  <c r="AD19" i="7"/>
  <c r="AE18" i="7"/>
  <c r="AF18" i="7"/>
  <c r="AK15" i="7"/>
  <c r="AO15" i="7" s="1"/>
  <c r="AN15" i="7" s="1"/>
  <c r="AL15" i="7"/>
  <c r="AM15" i="7" s="1"/>
  <c r="C21" i="1"/>
  <c r="Z21" i="7"/>
  <c r="AG17" i="7"/>
  <c r="AH17" i="7"/>
  <c r="AA20" i="7"/>
  <c r="AB20" i="7"/>
  <c r="AI16" i="7"/>
  <c r="AJ16" i="7"/>
  <c r="C20" i="7"/>
  <c r="D20" i="7"/>
  <c r="F19" i="7"/>
  <c r="E19" i="7"/>
  <c r="B21" i="7"/>
  <c r="B21" i="1"/>
  <c r="I17" i="7"/>
  <c r="J17" i="7"/>
  <c r="P13" i="7"/>
  <c r="O13" i="7"/>
  <c r="L16" i="7"/>
  <c r="K16" i="7"/>
  <c r="G18" i="7"/>
  <c r="H18" i="7"/>
  <c r="AC19" i="2"/>
  <c r="AD18" i="2"/>
  <c r="AB19" i="2"/>
  <c r="AA20" i="2"/>
  <c r="Z17" i="2"/>
  <c r="AF17" i="2" s="1"/>
  <c r="Y18" i="2"/>
  <c r="H18" i="65"/>
  <c r="B15" i="63"/>
  <c r="A17" i="63"/>
  <c r="AE18" i="2"/>
  <c r="AG18" i="2" s="1"/>
  <c r="W20" i="2"/>
  <c r="X19" i="2"/>
  <c r="BE19" i="7"/>
  <c r="BG19" i="7" s="1"/>
  <c r="I19" i="65"/>
  <c r="E16" i="63"/>
  <c r="AD17" i="3"/>
  <c r="P19" i="2"/>
  <c r="Q18" i="2"/>
  <c r="AI16" i="3"/>
  <c r="D18" i="65" s="1"/>
  <c r="L19" i="2"/>
  <c r="M18" i="2"/>
  <c r="E17" i="82" s="1"/>
  <c r="K19" i="2"/>
  <c r="F18" i="82" s="1"/>
  <c r="J20" i="2"/>
  <c r="H20" i="2"/>
  <c r="I19" i="2"/>
  <c r="G18" i="82" s="1"/>
  <c r="F21" i="2"/>
  <c r="G20" i="2"/>
  <c r="I19" i="82" s="1"/>
  <c r="R15" i="2"/>
  <c r="C14" i="63"/>
  <c r="D14" i="63" s="1"/>
  <c r="S16" i="76"/>
  <c r="E14" i="81"/>
  <c r="E17" i="2"/>
  <c r="D18" i="2"/>
  <c r="J16" i="65"/>
  <c r="AI14" i="2"/>
  <c r="N16" i="2"/>
  <c r="O16" i="2" s="1"/>
  <c r="H15" i="82"/>
  <c r="O20" i="79"/>
  <c r="H20" i="79" s="1"/>
  <c r="M21" i="79"/>
  <c r="I19" i="79"/>
  <c r="K19" i="5"/>
  <c r="L19" i="5" s="1"/>
  <c r="AK18" i="5"/>
  <c r="H15" i="63"/>
  <c r="F18" i="65"/>
  <c r="P10" i="7"/>
  <c r="O10" i="7"/>
  <c r="O11" i="7"/>
  <c r="P11" i="7"/>
  <c r="R7" i="7"/>
  <c r="Q7" i="7"/>
  <c r="P8" i="7"/>
  <c r="O8" i="7"/>
  <c r="T14" i="7"/>
  <c r="S14" i="7"/>
  <c r="P6" i="7"/>
  <c r="O6" i="7"/>
  <c r="O9" i="7"/>
  <c r="P9" i="7"/>
  <c r="Q12" i="7"/>
  <c r="R12" i="7"/>
  <c r="P15" i="7"/>
  <c r="O15" i="7"/>
  <c r="AN8" i="7"/>
  <c r="AC22" i="5" l="1"/>
  <c r="AD21" i="5"/>
  <c r="AH11" i="3"/>
  <c r="H19" i="3"/>
  <c r="I18" i="3"/>
  <c r="AU21" i="5"/>
  <c r="AZ20" i="5"/>
  <c r="BC20" i="5" s="1"/>
  <c r="P15" i="3"/>
  <c r="Q14" i="3"/>
  <c r="AB16" i="3"/>
  <c r="AJ10" i="1"/>
  <c r="AK10" i="1" s="1"/>
  <c r="G7" i="81"/>
  <c r="AY13" i="5"/>
  <c r="BB13" i="5" s="1"/>
  <c r="BE13" i="5" s="1"/>
  <c r="AS14" i="5"/>
  <c r="B11" i="65"/>
  <c r="E11" i="65" s="1"/>
  <c r="W11" i="1"/>
  <c r="AI11" i="1"/>
  <c r="AW12" i="7" s="1"/>
  <c r="BF12" i="5"/>
  <c r="BG12" i="5" s="1"/>
  <c r="G12" i="65" s="1"/>
  <c r="I8" i="63"/>
  <c r="AL12" i="1"/>
  <c r="D13" i="75" s="1"/>
  <c r="E13" i="75" s="1"/>
  <c r="U12" i="1"/>
  <c r="Q12" i="5"/>
  <c r="N12" i="1"/>
  <c r="V12" i="1" s="1"/>
  <c r="M13" i="1"/>
  <c r="AL13" i="1"/>
  <c r="D14" i="75" s="1"/>
  <c r="E14" i="75" s="1"/>
  <c r="U13" i="1"/>
  <c r="M14" i="5"/>
  <c r="N13" i="5"/>
  <c r="X11" i="3"/>
  <c r="Y10" i="3"/>
  <c r="O14" i="5"/>
  <c r="P13" i="5"/>
  <c r="AV25" i="7"/>
  <c r="H20" i="81"/>
  <c r="AL20" i="5"/>
  <c r="J21" i="81"/>
  <c r="AX25" i="1"/>
  <c r="H23" i="5"/>
  <c r="G24" i="5"/>
  <c r="D22" i="3"/>
  <c r="E21" i="3"/>
  <c r="F19" i="3"/>
  <c r="C20" i="3"/>
  <c r="F20" i="3" s="1"/>
  <c r="B21" i="3"/>
  <c r="X23" i="5"/>
  <c r="Y22" i="5"/>
  <c r="J18" i="82" s="1"/>
  <c r="AO22" i="1"/>
  <c r="AN23" i="1"/>
  <c r="AT21" i="1"/>
  <c r="AU21" i="1" s="1"/>
  <c r="I18" i="81" s="1"/>
  <c r="AA22" i="1"/>
  <c r="Z23" i="1"/>
  <c r="Y22" i="1"/>
  <c r="AB22" i="1" s="1"/>
  <c r="X23" i="1"/>
  <c r="L23" i="1"/>
  <c r="K24" i="1"/>
  <c r="U21" i="2"/>
  <c r="V20" i="2"/>
  <c r="S22" i="2"/>
  <c r="T21" i="2"/>
  <c r="K21" i="76"/>
  <c r="N21" i="76" s="1"/>
  <c r="J22" i="76"/>
  <c r="I20" i="76"/>
  <c r="M20" i="76" s="1"/>
  <c r="H21" i="76"/>
  <c r="G20" i="76"/>
  <c r="F21" i="76"/>
  <c r="L19" i="76"/>
  <c r="D19" i="76"/>
  <c r="E19" i="76" s="1"/>
  <c r="B20" i="76"/>
  <c r="C19" i="76"/>
  <c r="U18" i="3"/>
  <c r="AA18" i="3" s="1"/>
  <c r="T19" i="3"/>
  <c r="S21" i="3"/>
  <c r="V21" i="3" s="1"/>
  <c r="R22" i="3"/>
  <c r="M20" i="3"/>
  <c r="L21" i="3"/>
  <c r="AH15" i="3"/>
  <c r="J19" i="3"/>
  <c r="Q18" i="3"/>
  <c r="K18" i="3"/>
  <c r="Z17" i="3"/>
  <c r="N17" i="3"/>
  <c r="AB17" i="3" s="1"/>
  <c r="AC16" i="3"/>
  <c r="AH16" i="3" s="1"/>
  <c r="F16" i="63"/>
  <c r="AK16" i="3"/>
  <c r="BA22" i="5"/>
  <c r="BD22" i="5" s="1"/>
  <c r="AX23" i="5"/>
  <c r="AV23" i="5"/>
  <c r="AT23" i="5"/>
  <c r="AH23" i="5"/>
  <c r="AI23" i="5" s="1"/>
  <c r="AG24" i="5"/>
  <c r="AE25" i="5"/>
  <c r="AF24" i="5"/>
  <c r="Z22" i="5"/>
  <c r="AA21" i="5"/>
  <c r="AJ21" i="5"/>
  <c r="W21" i="5"/>
  <c r="V22" i="5"/>
  <c r="U22" i="5"/>
  <c r="T23" i="5"/>
  <c r="D21" i="5"/>
  <c r="G18" i="63"/>
  <c r="I21" i="5"/>
  <c r="E21" i="5"/>
  <c r="J20" i="5"/>
  <c r="L16" i="81" s="1"/>
  <c r="K16" i="81"/>
  <c r="C22" i="5"/>
  <c r="B23" i="5"/>
  <c r="AS23" i="1"/>
  <c r="AR24" i="1"/>
  <c r="AP23" i="1"/>
  <c r="AQ22" i="1"/>
  <c r="AF21" i="1"/>
  <c r="AH21" i="1" s="1"/>
  <c r="C21" i="65" s="1"/>
  <c r="AE22" i="1"/>
  <c r="AM20" i="1"/>
  <c r="F21" i="75" s="1"/>
  <c r="G21" i="75" s="1"/>
  <c r="AG20" i="1"/>
  <c r="AD21" i="1"/>
  <c r="AC22" i="1"/>
  <c r="R21" i="1"/>
  <c r="Q22" i="1"/>
  <c r="S22" i="1"/>
  <c r="T22" i="1" s="1"/>
  <c r="P23" i="1"/>
  <c r="I23" i="1"/>
  <c r="H24" i="1"/>
  <c r="F22" i="1"/>
  <c r="G21" i="1"/>
  <c r="U20" i="1"/>
  <c r="J20" i="1"/>
  <c r="AL20" i="1"/>
  <c r="D21" i="75" s="1"/>
  <c r="E21" i="75" s="1"/>
  <c r="AJ17" i="7"/>
  <c r="AI17" i="7"/>
  <c r="AC20" i="7"/>
  <c r="AD20" i="7"/>
  <c r="AK16" i="7"/>
  <c r="AL16" i="7"/>
  <c r="AM16" i="7" s="1"/>
  <c r="Z22" i="7"/>
  <c r="C22" i="1"/>
  <c r="AA21" i="7"/>
  <c r="AB21" i="7"/>
  <c r="AF19" i="7"/>
  <c r="AE19" i="7"/>
  <c r="D21" i="1"/>
  <c r="E21" i="1" s="1"/>
  <c r="AH18" i="7"/>
  <c r="AG18" i="7"/>
  <c r="N16" i="7"/>
  <c r="M16" i="7"/>
  <c r="Q13" i="7"/>
  <c r="R13" i="7"/>
  <c r="J18" i="7"/>
  <c r="I18" i="7"/>
  <c r="B22" i="7"/>
  <c r="B22" i="1"/>
  <c r="F20" i="7"/>
  <c r="E20" i="7"/>
  <c r="G19" i="7"/>
  <c r="H19" i="7"/>
  <c r="D21" i="7"/>
  <c r="C21" i="7"/>
  <c r="L17" i="7"/>
  <c r="K17" i="7"/>
  <c r="AD19" i="2"/>
  <c r="AC20" i="2"/>
  <c r="AA21" i="2"/>
  <c r="AB20" i="2"/>
  <c r="H19" i="65"/>
  <c r="B16" i="63"/>
  <c r="Y19" i="2"/>
  <c r="Z18" i="2"/>
  <c r="AF18" i="2" s="1"/>
  <c r="W21" i="2"/>
  <c r="X20" i="2"/>
  <c r="A18" i="63"/>
  <c r="AE19" i="2"/>
  <c r="AG19" i="2" s="1"/>
  <c r="I20" i="65"/>
  <c r="E17" i="63"/>
  <c r="BE20" i="7"/>
  <c r="BG20" i="7" s="1"/>
  <c r="AD18" i="3"/>
  <c r="AI17" i="3"/>
  <c r="D19" i="65" s="1"/>
  <c r="Q19" i="2"/>
  <c r="P20" i="2"/>
  <c r="M19" i="2"/>
  <c r="E18" i="82" s="1"/>
  <c r="L20" i="2"/>
  <c r="J21" i="2"/>
  <c r="K20" i="2"/>
  <c r="F19" i="82" s="1"/>
  <c r="I20" i="2"/>
  <c r="G19" i="82" s="1"/>
  <c r="H21" i="2"/>
  <c r="G21" i="2"/>
  <c r="I20" i="82" s="1"/>
  <c r="F22" i="2"/>
  <c r="AI15" i="2"/>
  <c r="J17" i="65"/>
  <c r="C15" i="63"/>
  <c r="D15" i="63" s="1"/>
  <c r="E15" i="81"/>
  <c r="R16" i="2"/>
  <c r="S17" i="76"/>
  <c r="N17" i="2"/>
  <c r="H16" i="82"/>
  <c r="E18" i="2"/>
  <c r="D19" i="2"/>
  <c r="O21" i="79"/>
  <c r="H21" i="79" s="1"/>
  <c r="M22" i="79"/>
  <c r="AK19" i="5"/>
  <c r="H16" i="63"/>
  <c r="F19" i="65"/>
  <c r="I20" i="79"/>
  <c r="K20" i="5"/>
  <c r="L20" i="5" s="1"/>
  <c r="Q6" i="7"/>
  <c r="R6" i="7"/>
  <c r="U14" i="7"/>
  <c r="V14" i="7"/>
  <c r="W14" i="7" s="1"/>
  <c r="R9" i="7"/>
  <c r="Q9" i="7"/>
  <c r="T7" i="7"/>
  <c r="S7" i="7"/>
  <c r="T12" i="7"/>
  <c r="S12" i="7"/>
  <c r="R8" i="7"/>
  <c r="Q8" i="7"/>
  <c r="R11" i="7"/>
  <c r="Q11" i="7"/>
  <c r="Q15" i="7"/>
  <c r="R15" i="7"/>
  <c r="Q10" i="7"/>
  <c r="R10" i="7"/>
  <c r="P16" i="3" l="1"/>
  <c r="Q15" i="3"/>
  <c r="H20" i="3"/>
  <c r="I19" i="3"/>
  <c r="AU22" i="5"/>
  <c r="AZ21" i="5"/>
  <c r="BC21" i="5" s="1"/>
  <c r="AD22" i="5"/>
  <c r="AC23" i="5"/>
  <c r="M15" i="5"/>
  <c r="N14" i="5"/>
  <c r="AS15" i="5"/>
  <c r="AY14" i="5"/>
  <c r="BB14" i="5" s="1"/>
  <c r="BE14" i="5" s="1"/>
  <c r="Y11" i="3"/>
  <c r="X12" i="3"/>
  <c r="M8" i="81"/>
  <c r="BF13" i="5"/>
  <c r="BG13" i="5" s="1"/>
  <c r="G13" i="65" s="1"/>
  <c r="I9" i="63"/>
  <c r="O15" i="5"/>
  <c r="P14" i="5"/>
  <c r="AJ11" i="1"/>
  <c r="AK11" i="1" s="1"/>
  <c r="G8" i="81"/>
  <c r="W12" i="1"/>
  <c r="AI12" i="1"/>
  <c r="AW13" i="7" s="1"/>
  <c r="B12" i="65"/>
  <c r="E12" i="65" s="1"/>
  <c r="N13" i="1"/>
  <c r="V13" i="1" s="1"/>
  <c r="M14" i="1"/>
  <c r="Q13" i="5"/>
  <c r="M9" i="81" s="1"/>
  <c r="AV26" i="7"/>
  <c r="H21" i="81"/>
  <c r="AX26" i="1"/>
  <c r="J22" i="81"/>
  <c r="AL21" i="5"/>
  <c r="G25" i="5"/>
  <c r="H24" i="5"/>
  <c r="D23" i="3"/>
  <c r="E22" i="3"/>
  <c r="C21" i="3"/>
  <c r="B22" i="3"/>
  <c r="X24" i="5"/>
  <c r="Y23" i="5"/>
  <c r="J19" i="82" s="1"/>
  <c r="AT22" i="1"/>
  <c r="AN24" i="1"/>
  <c r="AO23" i="1"/>
  <c r="Z24" i="1"/>
  <c r="AA23" i="1"/>
  <c r="Y23" i="1"/>
  <c r="AB23" i="1" s="1"/>
  <c r="X24" i="1"/>
  <c r="L24" i="1"/>
  <c r="K25" i="1"/>
  <c r="Y14" i="7"/>
  <c r="AR14" i="7" s="1"/>
  <c r="U22" i="2"/>
  <c r="V21" i="2"/>
  <c r="S23" i="2"/>
  <c r="T22" i="2"/>
  <c r="J23" i="76"/>
  <c r="K22" i="76"/>
  <c r="N22" i="76" s="1"/>
  <c r="I21" i="76"/>
  <c r="M21" i="76" s="1"/>
  <c r="H22" i="76"/>
  <c r="D20" i="76"/>
  <c r="E20" i="76" s="1"/>
  <c r="L20" i="76"/>
  <c r="F22" i="76"/>
  <c r="G21" i="76"/>
  <c r="C20" i="76"/>
  <c r="B21" i="76"/>
  <c r="T20" i="3"/>
  <c r="U19" i="3"/>
  <c r="AA19" i="3" s="1"/>
  <c r="S22" i="3"/>
  <c r="V22" i="3" s="1"/>
  <c r="R23" i="3"/>
  <c r="M21" i="3"/>
  <c r="L22" i="3"/>
  <c r="N18" i="3"/>
  <c r="AB18" i="3" s="1"/>
  <c r="Z18" i="3"/>
  <c r="AE18" i="3" s="1"/>
  <c r="AF18" i="3" s="1"/>
  <c r="AG18" i="3" s="1"/>
  <c r="F17" i="63"/>
  <c r="AK17" i="3"/>
  <c r="AC17" i="3"/>
  <c r="K19" i="3"/>
  <c r="J20" i="3"/>
  <c r="AE17" i="3"/>
  <c r="AF17" i="3" s="1"/>
  <c r="AG17" i="3" s="1"/>
  <c r="AX24" i="5"/>
  <c r="BA23" i="5"/>
  <c r="BD23" i="5" s="1"/>
  <c r="AV24" i="5"/>
  <c r="AT24" i="5"/>
  <c r="AH24" i="5"/>
  <c r="AI24" i="5" s="1"/>
  <c r="AG25" i="5"/>
  <c r="AF25" i="5"/>
  <c r="AE26" i="5"/>
  <c r="AA22" i="5"/>
  <c r="Z23" i="5"/>
  <c r="AJ22" i="5"/>
  <c r="K18" i="82" s="1"/>
  <c r="K17" i="82"/>
  <c r="V23" i="5"/>
  <c r="W22" i="5"/>
  <c r="U23" i="5"/>
  <c r="T24" i="5"/>
  <c r="I22" i="5"/>
  <c r="E22" i="5"/>
  <c r="G19" i="63"/>
  <c r="D22" i="5"/>
  <c r="J21" i="5"/>
  <c r="L17" i="81" s="1"/>
  <c r="K17" i="81"/>
  <c r="C23" i="5"/>
  <c r="B24" i="5"/>
  <c r="AR25" i="1"/>
  <c r="AS24" i="1"/>
  <c r="AP24" i="1"/>
  <c r="AQ23" i="1"/>
  <c r="AF22" i="1"/>
  <c r="AH22" i="1" s="1"/>
  <c r="C22" i="65" s="1"/>
  <c r="AE23" i="1"/>
  <c r="AM21" i="1"/>
  <c r="F22" i="75" s="1"/>
  <c r="G22" i="75" s="1"/>
  <c r="AG21" i="1"/>
  <c r="AD22" i="1"/>
  <c r="AC23" i="1"/>
  <c r="R22" i="1"/>
  <c r="Q23" i="1"/>
  <c r="P24" i="1"/>
  <c r="S23" i="1"/>
  <c r="T23" i="1" s="1"/>
  <c r="I24" i="1"/>
  <c r="H25" i="1"/>
  <c r="F23" i="1"/>
  <c r="G22" i="1"/>
  <c r="J21" i="1"/>
  <c r="U21" i="1"/>
  <c r="AL21" i="1"/>
  <c r="D22" i="75" s="1"/>
  <c r="E22" i="75" s="1"/>
  <c r="C23" i="1"/>
  <c r="Z23" i="7"/>
  <c r="AD21" i="7"/>
  <c r="AC21" i="7"/>
  <c r="AG19" i="7"/>
  <c r="AH19" i="7"/>
  <c r="AF20" i="7"/>
  <c r="AE20" i="7"/>
  <c r="AL17" i="7"/>
  <c r="AM17" i="7" s="1"/>
  <c r="AK17" i="7"/>
  <c r="AJ18" i="7"/>
  <c r="AI18" i="7"/>
  <c r="AO16" i="7"/>
  <c r="AN16" i="7" s="1"/>
  <c r="D22" i="1"/>
  <c r="E22" i="1" s="1"/>
  <c r="AB22" i="7"/>
  <c r="AA22" i="7"/>
  <c r="P16" i="7"/>
  <c r="O16" i="7"/>
  <c r="B23" i="7"/>
  <c r="B23" i="1"/>
  <c r="I19" i="7"/>
  <c r="J19" i="7"/>
  <c r="E21" i="7"/>
  <c r="F21" i="7"/>
  <c r="G20" i="7"/>
  <c r="H20" i="7"/>
  <c r="S13" i="7"/>
  <c r="T13" i="7"/>
  <c r="K18" i="7"/>
  <c r="L18" i="7"/>
  <c r="N17" i="7"/>
  <c r="M17" i="7"/>
  <c r="C22" i="7"/>
  <c r="D22" i="7"/>
  <c r="AD20" i="2"/>
  <c r="AC21" i="2"/>
  <c r="AA22" i="2"/>
  <c r="AB21" i="2"/>
  <c r="Y20" i="2"/>
  <c r="Z19" i="2"/>
  <c r="AF19" i="2" s="1"/>
  <c r="H20" i="65"/>
  <c r="B17" i="63"/>
  <c r="AE20" i="2"/>
  <c r="AG20" i="2" s="1"/>
  <c r="A19" i="63"/>
  <c r="W22" i="2"/>
  <c r="X21" i="2"/>
  <c r="AI18" i="3"/>
  <c r="D20" i="65" s="1"/>
  <c r="BE21" i="7"/>
  <c r="BG21" i="7" s="1"/>
  <c r="AD19" i="3"/>
  <c r="I21" i="65"/>
  <c r="E18" i="63"/>
  <c r="P21" i="2"/>
  <c r="Q20" i="2"/>
  <c r="M20" i="2"/>
  <c r="E19" i="82" s="1"/>
  <c r="L21" i="2"/>
  <c r="J22" i="2"/>
  <c r="K21" i="2"/>
  <c r="F20" i="82" s="1"/>
  <c r="H22" i="2"/>
  <c r="I21" i="2"/>
  <c r="G20" i="82" s="1"/>
  <c r="F23" i="2"/>
  <c r="G22" i="2"/>
  <c r="I21" i="82" s="1"/>
  <c r="N18" i="2"/>
  <c r="H17" i="82"/>
  <c r="E19" i="2"/>
  <c r="D20" i="2"/>
  <c r="J18" i="65"/>
  <c r="AI16" i="2"/>
  <c r="R17" i="2"/>
  <c r="S18" i="76"/>
  <c r="T18" i="76" s="1"/>
  <c r="F16" i="81" s="1"/>
  <c r="E16" i="81"/>
  <c r="C16" i="63"/>
  <c r="D16" i="63" s="1"/>
  <c r="F20" i="65"/>
  <c r="AK20" i="5"/>
  <c r="H17" i="63"/>
  <c r="K21" i="5"/>
  <c r="I21" i="79"/>
  <c r="O22" i="79"/>
  <c r="H22" i="79" s="1"/>
  <c r="M23" i="79"/>
  <c r="X14" i="7"/>
  <c r="S6" i="7"/>
  <c r="T6" i="7"/>
  <c r="T11" i="7"/>
  <c r="S11" i="7"/>
  <c r="S10" i="7"/>
  <c r="T10" i="7"/>
  <c r="T8" i="7"/>
  <c r="S8" i="7"/>
  <c r="U7" i="7"/>
  <c r="V7" i="7"/>
  <c r="W7" i="7" s="1"/>
  <c r="V12" i="7"/>
  <c r="W12" i="7" s="1"/>
  <c r="U12" i="7"/>
  <c r="S15" i="7"/>
  <c r="T15" i="7"/>
  <c r="S9" i="7"/>
  <c r="T9" i="7"/>
  <c r="AC24" i="5" l="1"/>
  <c r="AD23" i="5"/>
  <c r="H21" i="3"/>
  <c r="I20" i="3"/>
  <c r="AU23" i="5"/>
  <c r="AZ22" i="5"/>
  <c r="BC22" i="5" s="1"/>
  <c r="P17" i="3"/>
  <c r="Q16" i="3"/>
  <c r="G9" i="81"/>
  <c r="AJ12" i="1"/>
  <c r="AK12" i="1" s="1"/>
  <c r="N15" i="5"/>
  <c r="M16" i="5"/>
  <c r="M15" i="1"/>
  <c r="N14" i="1"/>
  <c r="V14" i="1" s="1"/>
  <c r="AS16" i="5"/>
  <c r="AY15" i="5"/>
  <c r="BB15" i="5" s="1"/>
  <c r="BE15" i="5" s="1"/>
  <c r="BF14" i="5"/>
  <c r="BG14" i="5" s="1"/>
  <c r="G14" i="65" s="1"/>
  <c r="I10" i="63"/>
  <c r="Q14" i="5"/>
  <c r="M10" i="81" s="1"/>
  <c r="B13" i="65"/>
  <c r="E13" i="65" s="1"/>
  <c r="W13" i="1"/>
  <c r="AI13" i="1"/>
  <c r="AW14" i="7" s="1"/>
  <c r="X13" i="3"/>
  <c r="Y12" i="3"/>
  <c r="P15" i="5"/>
  <c r="Q15" i="5" s="1"/>
  <c r="M11" i="81" s="1"/>
  <c r="O16" i="5"/>
  <c r="Y7" i="7"/>
  <c r="AR7" i="7" s="1"/>
  <c r="AV27" i="7"/>
  <c r="H22" i="81"/>
  <c r="AX27" i="1"/>
  <c r="J23" i="81"/>
  <c r="G26" i="5"/>
  <c r="H25" i="5"/>
  <c r="D24" i="3"/>
  <c r="E23" i="3"/>
  <c r="B23" i="3"/>
  <c r="C22" i="3"/>
  <c r="F22" i="3" s="1"/>
  <c r="F21" i="3"/>
  <c r="AL22" i="5"/>
  <c r="X25" i="5"/>
  <c r="Y24" i="5"/>
  <c r="J20" i="82" s="1"/>
  <c r="AO24" i="1"/>
  <c r="AN25" i="1"/>
  <c r="AU22" i="1"/>
  <c r="I19" i="81" s="1"/>
  <c r="AT23" i="1"/>
  <c r="AU23" i="1" s="1"/>
  <c r="I20" i="81" s="1"/>
  <c r="AA24" i="1"/>
  <c r="Z25" i="1"/>
  <c r="Y24" i="1"/>
  <c r="AB24" i="1" s="1"/>
  <c r="X25" i="1"/>
  <c r="L25" i="1"/>
  <c r="K26" i="1"/>
  <c r="U23" i="2"/>
  <c r="V22" i="2"/>
  <c r="T23" i="2"/>
  <c r="S24" i="2"/>
  <c r="K23" i="76"/>
  <c r="N23" i="76" s="1"/>
  <c r="J24" i="76"/>
  <c r="I22" i="76"/>
  <c r="M22" i="76" s="1"/>
  <c r="H23" i="76"/>
  <c r="G22" i="76"/>
  <c r="F23" i="76"/>
  <c r="L21" i="76"/>
  <c r="D21" i="76"/>
  <c r="E21" i="76" s="1"/>
  <c r="B22" i="76"/>
  <c r="C21" i="76"/>
  <c r="U20" i="3"/>
  <c r="AA20" i="3" s="1"/>
  <c r="T21" i="3"/>
  <c r="R24" i="3"/>
  <c r="S23" i="3"/>
  <c r="V23" i="3" s="1"/>
  <c r="L23" i="3"/>
  <c r="M22" i="3"/>
  <c r="K20" i="3"/>
  <c r="J21" i="3"/>
  <c r="F18" i="63"/>
  <c r="AC18" i="3"/>
  <c r="AH18" i="3" s="1"/>
  <c r="AK18" i="3"/>
  <c r="AH17" i="3"/>
  <c r="N19" i="3"/>
  <c r="AB19" i="3" s="1"/>
  <c r="Z19" i="3"/>
  <c r="AE19" i="3" s="1"/>
  <c r="AF19" i="3" s="1"/>
  <c r="AG19" i="3" s="1"/>
  <c r="BA24" i="5"/>
  <c r="BD24" i="5" s="1"/>
  <c r="AX25" i="5"/>
  <c r="AV25" i="5"/>
  <c r="AT25" i="5"/>
  <c r="AG26" i="5"/>
  <c r="AH25" i="5"/>
  <c r="AI25" i="5" s="1"/>
  <c r="AE27" i="5"/>
  <c r="AF26" i="5"/>
  <c r="AA23" i="5"/>
  <c r="AJ23" i="5"/>
  <c r="K19" i="82" s="1"/>
  <c r="Z24" i="5"/>
  <c r="V24" i="5"/>
  <c r="W23" i="5"/>
  <c r="T25" i="5"/>
  <c r="U24" i="5"/>
  <c r="G20" i="63"/>
  <c r="D23" i="5"/>
  <c r="I23" i="5"/>
  <c r="E23" i="5"/>
  <c r="B25" i="5"/>
  <c r="C24" i="5"/>
  <c r="J22" i="5"/>
  <c r="L18" i="81" s="1"/>
  <c r="K18" i="81"/>
  <c r="AS25" i="1"/>
  <c r="AR26" i="1"/>
  <c r="AP25" i="1"/>
  <c r="AQ24" i="1"/>
  <c r="AF23" i="1"/>
  <c r="AH23" i="1" s="1"/>
  <c r="C23" i="65" s="1"/>
  <c r="AE24" i="1"/>
  <c r="AM22" i="1"/>
  <c r="F23" i="75" s="1"/>
  <c r="G23" i="75" s="1"/>
  <c r="AG22" i="1"/>
  <c r="AD23" i="1"/>
  <c r="AC24" i="1"/>
  <c r="R23" i="1"/>
  <c r="Q24" i="1"/>
  <c r="S24" i="1"/>
  <c r="T24" i="1" s="1"/>
  <c r="P25" i="1"/>
  <c r="H26" i="1"/>
  <c r="I25" i="1"/>
  <c r="G23" i="1"/>
  <c r="F24" i="1"/>
  <c r="AL22" i="1"/>
  <c r="D23" i="75" s="1"/>
  <c r="E23" i="75" s="1"/>
  <c r="J22" i="1"/>
  <c r="U22" i="1"/>
  <c r="AI19" i="7"/>
  <c r="AJ19" i="7"/>
  <c r="AC22" i="7"/>
  <c r="AD22" i="7"/>
  <c r="AH20" i="7"/>
  <c r="AG20" i="7"/>
  <c r="C24" i="1"/>
  <c r="D24" i="1" s="1"/>
  <c r="E24" i="1" s="1"/>
  <c r="Z24" i="7"/>
  <c r="AA23" i="7"/>
  <c r="AB23" i="7"/>
  <c r="AE21" i="7"/>
  <c r="AF21" i="7"/>
  <c r="AL18" i="7"/>
  <c r="AM18" i="7" s="1"/>
  <c r="AK18" i="7"/>
  <c r="D23" i="1"/>
  <c r="E23" i="1" s="1"/>
  <c r="AO17" i="7"/>
  <c r="AN17" i="7" s="1"/>
  <c r="P17" i="7"/>
  <c r="O17" i="7"/>
  <c r="H21" i="7"/>
  <c r="G21" i="7"/>
  <c r="R16" i="7"/>
  <c r="Q16" i="7"/>
  <c r="J20" i="7"/>
  <c r="I20" i="7"/>
  <c r="B24" i="7"/>
  <c r="B24" i="1"/>
  <c r="E22" i="7"/>
  <c r="F22" i="7"/>
  <c r="D23" i="7"/>
  <c r="C23" i="7"/>
  <c r="U13" i="7"/>
  <c r="V13" i="7"/>
  <c r="W13" i="7" s="1"/>
  <c r="M18" i="7"/>
  <c r="N18" i="7"/>
  <c r="L19" i="7"/>
  <c r="K19" i="7"/>
  <c r="AC22" i="2"/>
  <c r="AD21" i="2"/>
  <c r="AA23" i="2"/>
  <c r="AB22" i="2"/>
  <c r="B18" i="63"/>
  <c r="H21" i="65"/>
  <c r="Y21" i="2"/>
  <c r="Z20" i="2"/>
  <c r="AF20" i="2" s="1"/>
  <c r="W23" i="2"/>
  <c r="X22" i="2"/>
  <c r="A20" i="63"/>
  <c r="AE21" i="2"/>
  <c r="AG21" i="2" s="1"/>
  <c r="Q21" i="2"/>
  <c r="P22" i="2"/>
  <c r="AD20" i="3"/>
  <c r="E19" i="63"/>
  <c r="I22" i="65"/>
  <c r="BE22" i="7"/>
  <c r="BG22" i="7" s="1"/>
  <c r="AI19" i="3"/>
  <c r="D21" i="65" s="1"/>
  <c r="L22" i="2"/>
  <c r="M21" i="2"/>
  <c r="E20" i="82" s="1"/>
  <c r="K22" i="2"/>
  <c r="F21" i="82" s="1"/>
  <c r="J23" i="2"/>
  <c r="I22" i="2"/>
  <c r="G21" i="82" s="1"/>
  <c r="H23" i="2"/>
  <c r="G23" i="2"/>
  <c r="I22" i="82" s="1"/>
  <c r="F24" i="2"/>
  <c r="J19" i="65"/>
  <c r="AI17" i="2"/>
  <c r="R18" i="2"/>
  <c r="E17" i="81"/>
  <c r="C17" i="63"/>
  <c r="D17" i="63" s="1"/>
  <c r="S19" i="76"/>
  <c r="T19" i="76" s="1"/>
  <c r="F17" i="81" s="1"/>
  <c r="N19" i="2"/>
  <c r="H18" i="82"/>
  <c r="D21" i="2"/>
  <c r="E20" i="2"/>
  <c r="I22" i="79"/>
  <c r="K22" i="5"/>
  <c r="L22" i="5" s="1"/>
  <c r="L21" i="5"/>
  <c r="M24" i="79"/>
  <c r="O23" i="79"/>
  <c r="H23" i="79" s="1"/>
  <c r="Y11" i="7"/>
  <c r="V15" i="7"/>
  <c r="W15" i="7" s="1"/>
  <c r="U15" i="7"/>
  <c r="V10" i="7"/>
  <c r="W10" i="7" s="1"/>
  <c r="U10" i="7"/>
  <c r="U11" i="7"/>
  <c r="V11" i="7"/>
  <c r="W11" i="7" s="1"/>
  <c r="AQ14" i="7"/>
  <c r="U9" i="7"/>
  <c r="Y9" i="7" s="1"/>
  <c r="V9" i="7"/>
  <c r="W9" i="7" s="1"/>
  <c r="U8" i="7"/>
  <c r="V8" i="7"/>
  <c r="W8" i="7" s="1"/>
  <c r="V6" i="7"/>
  <c r="W6" i="7" s="1"/>
  <c r="U6" i="7"/>
  <c r="Y12" i="7"/>
  <c r="P18" i="3" l="1"/>
  <c r="P19" i="3" s="1"/>
  <c r="Q17" i="3"/>
  <c r="H22" i="3"/>
  <c r="I21" i="3"/>
  <c r="AU24" i="5"/>
  <c r="AZ23" i="5"/>
  <c r="BC23" i="5" s="1"/>
  <c r="AD24" i="5"/>
  <c r="AC25" i="5"/>
  <c r="P16" i="5"/>
  <c r="O17" i="5"/>
  <c r="N15" i="1"/>
  <c r="V15" i="1" s="1"/>
  <c r="M16" i="1"/>
  <c r="B14" i="65"/>
  <c r="E14" i="65" s="1"/>
  <c r="W14" i="1"/>
  <c r="AI14" i="1"/>
  <c r="AW15" i="7" s="1"/>
  <c r="N16" i="5"/>
  <c r="M17" i="5"/>
  <c r="G10" i="81"/>
  <c r="AJ13" i="1"/>
  <c r="AK13" i="1" s="1"/>
  <c r="AS17" i="5"/>
  <c r="AY16" i="5"/>
  <c r="BB16" i="5" s="1"/>
  <c r="BE16" i="5" s="1"/>
  <c r="X14" i="3"/>
  <c r="Y13" i="3"/>
  <c r="I11" i="63"/>
  <c r="BF15" i="5"/>
  <c r="BG15" i="5" s="1"/>
  <c r="G15" i="65" s="1"/>
  <c r="AT24" i="1"/>
  <c r="AU24" i="1" s="1"/>
  <c r="I21" i="81" s="1"/>
  <c r="Y8" i="7"/>
  <c r="AR8" i="7" s="1"/>
  <c r="BC8" i="7" s="1"/>
  <c r="X7" i="7"/>
  <c r="Y13" i="7"/>
  <c r="Y10" i="7"/>
  <c r="H23" i="81"/>
  <c r="AV28" i="7"/>
  <c r="AX28" i="1"/>
  <c r="J24" i="81"/>
  <c r="H26" i="5"/>
  <c r="G27" i="5"/>
  <c r="D25" i="3"/>
  <c r="E24" i="3"/>
  <c r="B24" i="3"/>
  <c r="C23" i="3"/>
  <c r="F23" i="3" s="1"/>
  <c r="Y25" i="5"/>
  <c r="J21" i="82" s="1"/>
  <c r="X26" i="5"/>
  <c r="AO25" i="1"/>
  <c r="AN26" i="1"/>
  <c r="AA25" i="1"/>
  <c r="Z26" i="1"/>
  <c r="Y25" i="1"/>
  <c r="AB25" i="1" s="1"/>
  <c r="X26" i="1"/>
  <c r="L26" i="1"/>
  <c r="K27" i="1"/>
  <c r="AO18" i="7"/>
  <c r="AN18" i="7" s="1"/>
  <c r="Y15" i="7"/>
  <c r="AR15" i="7" s="1"/>
  <c r="U24" i="2"/>
  <c r="V23" i="2"/>
  <c r="S25" i="2"/>
  <c r="T24" i="2"/>
  <c r="J25" i="76"/>
  <c r="K24" i="76"/>
  <c r="N24" i="76" s="1"/>
  <c r="I23" i="76"/>
  <c r="M23" i="76" s="1"/>
  <c r="H24" i="76"/>
  <c r="F24" i="76"/>
  <c r="G23" i="76"/>
  <c r="L22" i="76"/>
  <c r="D22" i="76"/>
  <c r="E22" i="76" s="1"/>
  <c r="B23" i="76"/>
  <c r="C22" i="76"/>
  <c r="T22" i="3"/>
  <c r="U21" i="3"/>
  <c r="AA21" i="3" s="1"/>
  <c r="R25" i="3"/>
  <c r="S24" i="3"/>
  <c r="V24" i="3" s="1"/>
  <c r="M23" i="3"/>
  <c r="L24" i="3"/>
  <c r="Z20" i="3"/>
  <c r="N20" i="3"/>
  <c r="AB20" i="3" s="1"/>
  <c r="AK19" i="3"/>
  <c r="AC19" i="3"/>
  <c r="AH19" i="3" s="1"/>
  <c r="F19" i="63"/>
  <c r="K21" i="3"/>
  <c r="J22" i="3"/>
  <c r="BA25" i="5"/>
  <c r="BD25" i="5" s="1"/>
  <c r="AX26" i="5"/>
  <c r="AV26" i="5"/>
  <c r="AT26" i="5"/>
  <c r="AH26" i="5"/>
  <c r="AI26" i="5" s="1"/>
  <c r="AG27" i="5"/>
  <c r="AF27" i="5"/>
  <c r="AE28" i="5"/>
  <c r="AA24" i="5"/>
  <c r="AJ24" i="5"/>
  <c r="K20" i="82" s="1"/>
  <c r="Z25" i="5"/>
  <c r="AL23" i="5"/>
  <c r="V25" i="5"/>
  <c r="W24" i="5"/>
  <c r="T26" i="5"/>
  <c r="U25" i="5"/>
  <c r="K19" i="81"/>
  <c r="J23" i="5"/>
  <c r="L19" i="81" s="1"/>
  <c r="B26" i="5"/>
  <c r="C25" i="5"/>
  <c r="I24" i="5"/>
  <c r="D24" i="5"/>
  <c r="E24" i="5"/>
  <c r="G21" i="63"/>
  <c r="AR27" i="1"/>
  <c r="AS26" i="1"/>
  <c r="AQ25" i="1"/>
  <c r="AP26" i="1"/>
  <c r="AF24" i="1"/>
  <c r="AH24" i="1" s="1"/>
  <c r="C24" i="65" s="1"/>
  <c r="AE25" i="1"/>
  <c r="AM23" i="1"/>
  <c r="F24" i="75" s="1"/>
  <c r="G24" i="75" s="1"/>
  <c r="AG23" i="1"/>
  <c r="AC25" i="1"/>
  <c r="AD24" i="1"/>
  <c r="R24" i="1"/>
  <c r="Q25" i="1"/>
  <c r="P26" i="1"/>
  <c r="S25" i="1"/>
  <c r="T25" i="1" s="1"/>
  <c r="H27" i="1"/>
  <c r="I26" i="1"/>
  <c r="AL23" i="1"/>
  <c r="D24" i="75" s="1"/>
  <c r="E24" i="75" s="1"/>
  <c r="U23" i="1"/>
  <c r="J23" i="1"/>
  <c r="F25" i="1"/>
  <c r="G24" i="1"/>
  <c r="AD23" i="7"/>
  <c r="AC23" i="7"/>
  <c r="AE22" i="7"/>
  <c r="AF22" i="7"/>
  <c r="C25" i="1"/>
  <c r="D25" i="1" s="1"/>
  <c r="E25" i="1" s="1"/>
  <c r="Z25" i="7"/>
  <c r="AA24" i="7"/>
  <c r="AB24" i="7"/>
  <c r="AK19" i="7"/>
  <c r="AL19" i="7"/>
  <c r="AM19" i="7" s="1"/>
  <c r="AG21" i="7"/>
  <c r="AH21" i="7"/>
  <c r="AI20" i="7"/>
  <c r="AJ20" i="7"/>
  <c r="AR13" i="7"/>
  <c r="X13" i="7"/>
  <c r="Q17" i="7"/>
  <c r="R17" i="7"/>
  <c r="O18" i="7"/>
  <c r="P18" i="7"/>
  <c r="G22" i="7"/>
  <c r="H22" i="7"/>
  <c r="E23" i="7"/>
  <c r="F23" i="7"/>
  <c r="C24" i="7"/>
  <c r="D24" i="7"/>
  <c r="B25" i="7"/>
  <c r="B25" i="1"/>
  <c r="J21" i="7"/>
  <c r="I21" i="7"/>
  <c r="M19" i="7"/>
  <c r="N19" i="7"/>
  <c r="T16" i="7"/>
  <c r="S16" i="7"/>
  <c r="K20" i="7"/>
  <c r="L20" i="7"/>
  <c r="AC23" i="2"/>
  <c r="AD22" i="2"/>
  <c r="AA24" i="2"/>
  <c r="AB23" i="2"/>
  <c r="Z21" i="2"/>
  <c r="AF21" i="2" s="1"/>
  <c r="Y22" i="2"/>
  <c r="H22" i="65"/>
  <c r="B19" i="63"/>
  <c r="W24" i="2"/>
  <c r="X23" i="2"/>
  <c r="A21" i="63"/>
  <c r="AE22" i="2"/>
  <c r="AG22" i="2" s="1"/>
  <c r="AD21" i="3"/>
  <c r="I23" i="65"/>
  <c r="BE23" i="7"/>
  <c r="BG23" i="7" s="1"/>
  <c r="E20" i="63"/>
  <c r="Q22" i="2"/>
  <c r="P23" i="2"/>
  <c r="AI20" i="3"/>
  <c r="D22" i="65" s="1"/>
  <c r="M22" i="2"/>
  <c r="E21" i="82" s="1"/>
  <c r="L23" i="2"/>
  <c r="J24" i="2"/>
  <c r="K23" i="2"/>
  <c r="F22" i="82" s="1"/>
  <c r="H24" i="2"/>
  <c r="I23" i="2"/>
  <c r="G22" i="82" s="1"/>
  <c r="G24" i="2"/>
  <c r="I23" i="82" s="1"/>
  <c r="F25" i="2"/>
  <c r="E21" i="2"/>
  <c r="D22" i="2"/>
  <c r="H19" i="82"/>
  <c r="N20" i="2"/>
  <c r="AI18" i="2"/>
  <c r="J20" i="65"/>
  <c r="C18" i="63"/>
  <c r="D18" i="63" s="1"/>
  <c r="E18" i="81"/>
  <c r="S20" i="76"/>
  <c r="T20" i="76" s="1"/>
  <c r="F18" i="81" s="1"/>
  <c r="R19" i="2"/>
  <c r="AK22" i="5"/>
  <c r="H19" i="63"/>
  <c r="F22" i="65"/>
  <c r="O24" i="79"/>
  <c r="H24" i="79" s="1"/>
  <c r="M25" i="79"/>
  <c r="I23" i="79"/>
  <c r="K23" i="5"/>
  <c r="L23" i="5" s="1"/>
  <c r="F21" i="65"/>
  <c r="AK21" i="5"/>
  <c r="H18" i="63"/>
  <c r="X10" i="7"/>
  <c r="AR10" i="7"/>
  <c r="X15" i="7"/>
  <c r="X9" i="7"/>
  <c r="AR9" i="7"/>
  <c r="AQ7" i="7"/>
  <c r="X11" i="7"/>
  <c r="AR11" i="7"/>
  <c r="X12" i="7"/>
  <c r="AR12" i="7"/>
  <c r="Y6" i="7"/>
  <c r="AD25" i="5" l="1"/>
  <c r="AC26" i="5"/>
  <c r="H23" i="3"/>
  <c r="I22" i="3"/>
  <c r="Q16" i="5"/>
  <c r="M12" i="81" s="1"/>
  <c r="AU25" i="5"/>
  <c r="AZ24" i="5"/>
  <c r="BC24" i="5" s="1"/>
  <c r="P20" i="3"/>
  <c r="Q19" i="3"/>
  <c r="N17" i="5"/>
  <c r="M18" i="5"/>
  <c r="B15" i="65"/>
  <c r="E15" i="65" s="1"/>
  <c r="AI15" i="1"/>
  <c r="AW16" i="7" s="1"/>
  <c r="W15" i="1"/>
  <c r="N16" i="1"/>
  <c r="V16" i="1" s="1"/>
  <c r="M17" i="1"/>
  <c r="AS18" i="5"/>
  <c r="AY17" i="5"/>
  <c r="BB17" i="5" s="1"/>
  <c r="BE17" i="5" s="1"/>
  <c r="I12" i="63"/>
  <c r="BF16" i="5"/>
  <c r="BG16" i="5" s="1"/>
  <c r="G16" i="65" s="1"/>
  <c r="P17" i="5"/>
  <c r="Q17" i="5" s="1"/>
  <c r="M13" i="81" s="1"/>
  <c r="O18" i="5"/>
  <c r="X15" i="3"/>
  <c r="Y14" i="3"/>
  <c r="AJ14" i="1"/>
  <c r="AK14" i="1" s="1"/>
  <c r="G11" i="81"/>
  <c r="X8" i="7"/>
  <c r="AO19" i="7"/>
  <c r="AN19" i="7" s="1"/>
  <c r="H24" i="81"/>
  <c r="AV29" i="7"/>
  <c r="J25" i="81"/>
  <c r="AX29" i="1"/>
  <c r="H27" i="5"/>
  <c r="G28" i="5"/>
  <c r="E25" i="3"/>
  <c r="D26" i="3"/>
  <c r="B25" i="3"/>
  <c r="C24" i="3"/>
  <c r="F24" i="3" s="1"/>
  <c r="X27" i="5"/>
  <c r="Y26" i="5"/>
  <c r="J22" i="82" s="1"/>
  <c r="AT25" i="1"/>
  <c r="AU25" i="1" s="1"/>
  <c r="I22" i="81" s="1"/>
  <c r="AN27" i="1"/>
  <c r="AO26" i="1"/>
  <c r="AA26" i="1"/>
  <c r="Z27" i="1"/>
  <c r="Y26" i="1"/>
  <c r="AB26" i="1" s="1"/>
  <c r="X27" i="1"/>
  <c r="L27" i="1"/>
  <c r="K28" i="1"/>
  <c r="U25" i="2"/>
  <c r="V24" i="2"/>
  <c r="S26" i="2"/>
  <c r="T25" i="2"/>
  <c r="J26" i="76"/>
  <c r="K25" i="76"/>
  <c r="N25" i="76" s="1"/>
  <c r="I24" i="76"/>
  <c r="M24" i="76" s="1"/>
  <c r="H25" i="76"/>
  <c r="F25" i="76"/>
  <c r="G24" i="76"/>
  <c r="L23" i="76"/>
  <c r="D23" i="76"/>
  <c r="E23" i="76" s="1"/>
  <c r="C23" i="76"/>
  <c r="B24" i="76"/>
  <c r="U22" i="3"/>
  <c r="AA22" i="3" s="1"/>
  <c r="T23" i="3"/>
  <c r="S25" i="3"/>
  <c r="V25" i="3" s="1"/>
  <c r="R26" i="3"/>
  <c r="M24" i="3"/>
  <c r="L25" i="3"/>
  <c r="J23" i="3"/>
  <c r="K22" i="3"/>
  <c r="AC20" i="3"/>
  <c r="AK20" i="3"/>
  <c r="F20" i="63"/>
  <c r="AE20" i="3"/>
  <c r="AF20" i="3" s="1"/>
  <c r="AG20" i="3" s="1"/>
  <c r="N21" i="3"/>
  <c r="AB21" i="3" s="1"/>
  <c r="Z21" i="3"/>
  <c r="AX27" i="5"/>
  <c r="BA26" i="5"/>
  <c r="BD26" i="5" s="1"/>
  <c r="AV27" i="5"/>
  <c r="AT27" i="5"/>
  <c r="AI27" i="5"/>
  <c r="AH27" i="5"/>
  <c r="AG28" i="5"/>
  <c r="AF28" i="5"/>
  <c r="AE29" i="5"/>
  <c r="AA25" i="5"/>
  <c r="Z26" i="5"/>
  <c r="AJ25" i="5"/>
  <c r="K21" i="82" s="1"/>
  <c r="AL24" i="5"/>
  <c r="W25" i="5"/>
  <c r="V26" i="5"/>
  <c r="U26" i="5"/>
  <c r="T27" i="5"/>
  <c r="C26" i="5"/>
  <c r="B27" i="5"/>
  <c r="D25" i="5"/>
  <c r="G22" i="63"/>
  <c r="E25" i="5"/>
  <c r="I25" i="5"/>
  <c r="K20" i="81"/>
  <c r="J24" i="5"/>
  <c r="L20" i="81" s="1"/>
  <c r="AS27" i="1"/>
  <c r="AR28" i="1"/>
  <c r="AQ26" i="1"/>
  <c r="AP27" i="1"/>
  <c r="AF25" i="1"/>
  <c r="AH25" i="1" s="1"/>
  <c r="C25" i="65" s="1"/>
  <c r="AE26" i="1"/>
  <c r="AM24" i="1"/>
  <c r="F25" i="75" s="1"/>
  <c r="G25" i="75" s="1"/>
  <c r="AG24" i="1"/>
  <c r="AD25" i="1"/>
  <c r="AC26" i="1"/>
  <c r="Q26" i="1"/>
  <c r="R25" i="1"/>
  <c r="S26" i="1"/>
  <c r="T26" i="1" s="1"/>
  <c r="P27" i="1"/>
  <c r="H28" i="1"/>
  <c r="I27" i="1"/>
  <c r="J24" i="1"/>
  <c r="AL24" i="1"/>
  <c r="D25" i="75" s="1"/>
  <c r="E25" i="75" s="1"/>
  <c r="U24" i="1"/>
  <c r="G25" i="1"/>
  <c r="F26" i="1"/>
  <c r="AC24" i="7"/>
  <c r="AD24" i="7"/>
  <c r="AK20" i="7"/>
  <c r="AL20" i="7"/>
  <c r="AM20" i="7" s="1"/>
  <c r="AE23" i="7"/>
  <c r="AF23" i="7"/>
  <c r="AH22" i="7"/>
  <c r="AG22" i="7"/>
  <c r="AJ21" i="7"/>
  <c r="AI21" i="7"/>
  <c r="Z26" i="7"/>
  <c r="C26" i="1"/>
  <c r="D26" i="1" s="1"/>
  <c r="E26" i="1" s="1"/>
  <c r="AA25" i="7"/>
  <c r="AB25" i="7"/>
  <c r="AQ13" i="7"/>
  <c r="BC14" i="7"/>
  <c r="AS14" i="7"/>
  <c r="AX14" i="7" s="1"/>
  <c r="P19" i="7"/>
  <c r="O19" i="7"/>
  <c r="H23" i="7"/>
  <c r="G23" i="7"/>
  <c r="I22" i="7"/>
  <c r="J22" i="7"/>
  <c r="F24" i="7"/>
  <c r="E24" i="7"/>
  <c r="C25" i="7"/>
  <c r="D25" i="7"/>
  <c r="V16" i="7"/>
  <c r="W16" i="7" s="1"/>
  <c r="U16" i="7"/>
  <c r="T17" i="7"/>
  <c r="S17" i="7"/>
  <c r="M20" i="7"/>
  <c r="N20" i="7"/>
  <c r="B26" i="7"/>
  <c r="B26" i="1"/>
  <c r="R18" i="7"/>
  <c r="Q18" i="7"/>
  <c r="L21" i="7"/>
  <c r="K21" i="7"/>
  <c r="AC24" i="2"/>
  <c r="AD23" i="2"/>
  <c r="AB24" i="2"/>
  <c r="AA25" i="2"/>
  <c r="H23" i="65"/>
  <c r="B20" i="63"/>
  <c r="Z22" i="2"/>
  <c r="AF22" i="2" s="1"/>
  <c r="Y23" i="2"/>
  <c r="W25" i="2"/>
  <c r="X24" i="2"/>
  <c r="AE23" i="2"/>
  <c r="AG23" i="2" s="1"/>
  <c r="A22" i="63"/>
  <c r="Q23" i="2"/>
  <c r="P24" i="2"/>
  <c r="AI21" i="3"/>
  <c r="D23" i="65" s="1"/>
  <c r="BE24" i="7"/>
  <c r="BG24" i="7" s="1"/>
  <c r="E21" i="63"/>
  <c r="I24" i="65"/>
  <c r="AD22" i="3"/>
  <c r="L24" i="2"/>
  <c r="M23" i="2"/>
  <c r="E22" i="82" s="1"/>
  <c r="J25" i="2"/>
  <c r="K24" i="2"/>
  <c r="F23" i="82" s="1"/>
  <c r="H25" i="2"/>
  <c r="I24" i="2"/>
  <c r="G23" i="82" s="1"/>
  <c r="F26" i="2"/>
  <c r="G25" i="2"/>
  <c r="I24" i="82" s="1"/>
  <c r="N21" i="2"/>
  <c r="H20" i="82"/>
  <c r="J21" i="65"/>
  <c r="AI19" i="2"/>
  <c r="E22" i="2"/>
  <c r="D23" i="2"/>
  <c r="C19" i="63"/>
  <c r="D19" i="63" s="1"/>
  <c r="R20" i="2"/>
  <c r="E19" i="81"/>
  <c r="S21" i="76"/>
  <c r="T21" i="76" s="1"/>
  <c r="F19" i="81" s="1"/>
  <c r="I24" i="79"/>
  <c r="K24" i="5"/>
  <c r="L24" i="5" s="1"/>
  <c r="M26" i="79"/>
  <c r="O25" i="79"/>
  <c r="H25" i="79" s="1"/>
  <c r="H20" i="63"/>
  <c r="AK23" i="5"/>
  <c r="F23" i="65"/>
  <c r="AS15" i="7"/>
  <c r="AX15" i="7" s="1"/>
  <c r="AQ15" i="7"/>
  <c r="BC15" i="7"/>
  <c r="X6" i="7"/>
  <c r="AR6" i="7"/>
  <c r="BC10" i="7"/>
  <c r="AS9" i="7"/>
  <c r="AX9" i="7" s="1"/>
  <c r="AQ9" i="7"/>
  <c r="AQ8" i="7"/>
  <c r="BC9" i="7"/>
  <c r="AS8" i="7"/>
  <c r="AX8" i="7" s="1"/>
  <c r="AS12" i="7"/>
  <c r="AX12" i="7" s="1"/>
  <c r="AQ12" i="7"/>
  <c r="BC13" i="7"/>
  <c r="AS13" i="7"/>
  <c r="AX13" i="7" s="1"/>
  <c r="AQ10" i="7"/>
  <c r="AS10" i="7"/>
  <c r="AX10" i="7" s="1"/>
  <c r="BC11" i="7"/>
  <c r="AQ11" i="7"/>
  <c r="AS11" i="7"/>
  <c r="AX11" i="7" s="1"/>
  <c r="BC12" i="7"/>
  <c r="P21" i="3" l="1"/>
  <c r="Q20" i="3"/>
  <c r="H24" i="3"/>
  <c r="I23" i="3"/>
  <c r="AU26" i="5"/>
  <c r="AZ25" i="5"/>
  <c r="BC25" i="5" s="1"/>
  <c r="AC27" i="5"/>
  <c r="AD26" i="5"/>
  <c r="N18" i="5"/>
  <c r="M19" i="5"/>
  <c r="I13" i="63"/>
  <c r="BF17" i="5"/>
  <c r="BG17" i="5" s="1"/>
  <c r="G17" i="65" s="1"/>
  <c r="G12" i="81"/>
  <c r="AJ15" i="1"/>
  <c r="AK15" i="1" s="1"/>
  <c r="B16" i="65"/>
  <c r="E16" i="65" s="1"/>
  <c r="AI16" i="1"/>
  <c r="AW17" i="7" s="1"/>
  <c r="W16" i="1"/>
  <c r="O19" i="5"/>
  <c r="P18" i="5"/>
  <c r="Q18" i="5" s="1"/>
  <c r="M14" i="81" s="1"/>
  <c r="X16" i="3"/>
  <c r="Y15" i="3"/>
  <c r="N17" i="1"/>
  <c r="V17" i="1" s="1"/>
  <c r="AS19" i="5"/>
  <c r="AY18" i="5"/>
  <c r="BB18" i="5" s="1"/>
  <c r="BE18" i="5" s="1"/>
  <c r="AV30" i="7"/>
  <c r="H25" i="81"/>
  <c r="AX30" i="1"/>
  <c r="J26" i="81"/>
  <c r="G29" i="5"/>
  <c r="H28" i="5"/>
  <c r="AT26" i="1"/>
  <c r="AU26" i="1" s="1"/>
  <c r="I23" i="81" s="1"/>
  <c r="AO20" i="7"/>
  <c r="AN20" i="7" s="1"/>
  <c r="Y16" i="7"/>
  <c r="X16" i="7" s="1"/>
  <c r="E26" i="3"/>
  <c r="D27" i="3"/>
  <c r="C25" i="3"/>
  <c r="F25" i="3" s="1"/>
  <c r="B26" i="3"/>
  <c r="X28" i="5"/>
  <c r="Y27" i="5"/>
  <c r="J23" i="82" s="1"/>
  <c r="AO27" i="1"/>
  <c r="AN28" i="1"/>
  <c r="Z28" i="1"/>
  <c r="AA27" i="1"/>
  <c r="Y27" i="1"/>
  <c r="AB27" i="1" s="1"/>
  <c r="X28" i="1"/>
  <c r="L28" i="1"/>
  <c r="K29" i="1"/>
  <c r="U26" i="2"/>
  <c r="V25" i="2"/>
  <c r="S27" i="2"/>
  <c r="T26" i="2"/>
  <c r="J27" i="76"/>
  <c r="K26" i="76"/>
  <c r="N26" i="76" s="1"/>
  <c r="I25" i="76"/>
  <c r="M25" i="76" s="1"/>
  <c r="H26" i="76"/>
  <c r="L24" i="76"/>
  <c r="D24" i="76"/>
  <c r="E24" i="76" s="1"/>
  <c r="F26" i="76"/>
  <c r="G25" i="76"/>
  <c r="C24" i="76"/>
  <c r="B25" i="76"/>
  <c r="U23" i="3"/>
  <c r="AA23" i="3" s="1"/>
  <c r="T24" i="3"/>
  <c r="R27" i="3"/>
  <c r="S26" i="3"/>
  <c r="V26" i="3" s="1"/>
  <c r="M25" i="3"/>
  <c r="L26" i="3"/>
  <c r="AC21" i="3"/>
  <c r="AK21" i="3"/>
  <c r="F21" i="63"/>
  <c r="J24" i="3"/>
  <c r="K23" i="3"/>
  <c r="N22" i="3"/>
  <c r="AB22" i="3" s="1"/>
  <c r="Z22" i="3"/>
  <c r="AE22" i="3" s="1"/>
  <c r="AF22" i="3" s="1"/>
  <c r="AG22" i="3" s="1"/>
  <c r="AE21" i="3"/>
  <c r="AF21" i="3" s="1"/>
  <c r="AG21" i="3" s="1"/>
  <c r="AH20" i="3"/>
  <c r="BA27" i="5"/>
  <c r="BD27" i="5" s="1"/>
  <c r="AX28" i="5"/>
  <c r="AV28" i="5"/>
  <c r="AT28" i="5"/>
  <c r="AH28" i="5"/>
  <c r="AI28" i="5" s="1"/>
  <c r="AG29" i="5"/>
  <c r="AF29" i="5"/>
  <c r="AE30" i="5"/>
  <c r="AJ26" i="5"/>
  <c r="K22" i="82" s="1"/>
  <c r="Z27" i="5"/>
  <c r="AA26" i="5"/>
  <c r="AL25" i="5"/>
  <c r="V27" i="5"/>
  <c r="W26" i="5"/>
  <c r="U27" i="5"/>
  <c r="T28" i="5"/>
  <c r="G23" i="63"/>
  <c r="I26" i="5"/>
  <c r="E26" i="5"/>
  <c r="D26" i="5"/>
  <c r="C27" i="5"/>
  <c r="B28" i="5"/>
  <c r="J25" i="5"/>
  <c r="L21" i="81" s="1"/>
  <c r="K21" i="81"/>
  <c r="AR29" i="1"/>
  <c r="AS28" i="1"/>
  <c r="AQ27" i="1"/>
  <c r="AP28" i="1"/>
  <c r="AE27" i="1"/>
  <c r="AF26" i="1"/>
  <c r="AH26" i="1" s="1"/>
  <c r="C26" i="65" s="1"/>
  <c r="AD26" i="1"/>
  <c r="AC27" i="1"/>
  <c r="AG25" i="1"/>
  <c r="AM25" i="1"/>
  <c r="F26" i="75" s="1"/>
  <c r="G26" i="75" s="1"/>
  <c r="R26" i="1"/>
  <c r="Q27" i="1"/>
  <c r="S27" i="1"/>
  <c r="T27" i="1" s="1"/>
  <c r="P28" i="1"/>
  <c r="H29" i="1"/>
  <c r="I28" i="1"/>
  <c r="G26" i="1"/>
  <c r="F27" i="1"/>
  <c r="J25" i="1"/>
  <c r="AL25" i="1"/>
  <c r="D26" i="75" s="1"/>
  <c r="E26" i="75" s="1"/>
  <c r="U25" i="1"/>
  <c r="AC25" i="7"/>
  <c r="AD25" i="7"/>
  <c r="AK21" i="7"/>
  <c r="AL21" i="7"/>
  <c r="AM21" i="7" s="1"/>
  <c r="AJ22" i="7"/>
  <c r="AI22" i="7"/>
  <c r="AA26" i="7"/>
  <c r="AB26" i="7"/>
  <c r="AF24" i="7"/>
  <c r="AE24" i="7"/>
  <c r="C27" i="1"/>
  <c r="D27" i="1" s="1"/>
  <c r="E27" i="1" s="1"/>
  <c r="Z27" i="7"/>
  <c r="AH23" i="7"/>
  <c r="AG23" i="7"/>
  <c r="K22" i="7"/>
  <c r="L22" i="7"/>
  <c r="N21" i="7"/>
  <c r="M21" i="7"/>
  <c r="Q12" i="76"/>
  <c r="AY14" i="7"/>
  <c r="H24" i="7"/>
  <c r="G24" i="7"/>
  <c r="O20" i="7"/>
  <c r="P20" i="7"/>
  <c r="R19" i="7"/>
  <c r="Q19" i="7"/>
  <c r="B27" i="7"/>
  <c r="B27" i="1"/>
  <c r="J23" i="7"/>
  <c r="I23" i="7"/>
  <c r="V17" i="7"/>
  <c r="W17" i="7" s="1"/>
  <c r="U17" i="7"/>
  <c r="D26" i="7"/>
  <c r="C26" i="7"/>
  <c r="E25" i="7"/>
  <c r="F25" i="7"/>
  <c r="S18" i="7"/>
  <c r="T18" i="7"/>
  <c r="AD24" i="2"/>
  <c r="AC25" i="2"/>
  <c r="AA26" i="2"/>
  <c r="AB25" i="2"/>
  <c r="H24" i="65"/>
  <c r="B21" i="63"/>
  <c r="Z23" i="2"/>
  <c r="AF23" i="2" s="1"/>
  <c r="Y24" i="2"/>
  <c r="X25" i="2"/>
  <c r="W26" i="2"/>
  <c r="A23" i="63"/>
  <c r="AE24" i="2"/>
  <c r="AG24" i="2" s="1"/>
  <c r="I25" i="65"/>
  <c r="E22" i="63"/>
  <c r="BE25" i="7"/>
  <c r="BG25" i="7" s="1"/>
  <c r="AD23" i="3"/>
  <c r="P25" i="2"/>
  <c r="Q24" i="2"/>
  <c r="AI22" i="3"/>
  <c r="D24" i="65" s="1"/>
  <c r="L25" i="2"/>
  <c r="M24" i="2"/>
  <c r="E23" i="82" s="1"/>
  <c r="J26" i="2"/>
  <c r="K25" i="2"/>
  <c r="F24" i="82" s="1"/>
  <c r="H26" i="2"/>
  <c r="I25" i="2"/>
  <c r="G24" i="82" s="1"/>
  <c r="G26" i="2"/>
  <c r="I25" i="82" s="1"/>
  <c r="F27" i="2"/>
  <c r="E20" i="81"/>
  <c r="R21" i="2"/>
  <c r="S22" i="76"/>
  <c r="T22" i="76" s="1"/>
  <c r="F20" i="81" s="1"/>
  <c r="C20" i="63"/>
  <c r="D20" i="63" s="1"/>
  <c r="N22" i="2"/>
  <c r="H21" i="82"/>
  <c r="E23" i="2"/>
  <c r="D24" i="2"/>
  <c r="J22" i="65"/>
  <c r="AI20" i="2"/>
  <c r="O26" i="79"/>
  <c r="H26" i="79" s="1"/>
  <c r="M27" i="79"/>
  <c r="AK24" i="5"/>
  <c r="H21" i="63"/>
  <c r="F24" i="65"/>
  <c r="K25" i="5"/>
  <c r="L25" i="5" s="1"/>
  <c r="I25" i="79"/>
  <c r="AY15" i="7"/>
  <c r="Q13" i="76"/>
  <c r="Q9" i="76"/>
  <c r="AY11" i="7"/>
  <c r="AY9" i="7"/>
  <c r="Q7" i="76"/>
  <c r="AY13" i="7"/>
  <c r="Q11" i="76"/>
  <c r="Q8" i="76"/>
  <c r="AY10" i="7"/>
  <c r="BC6" i="7"/>
  <c r="AS6" i="7"/>
  <c r="AQ6" i="7"/>
  <c r="AS7" i="7"/>
  <c r="AX7" i="7" s="1"/>
  <c r="AY12" i="7"/>
  <c r="Q10" i="76"/>
  <c r="Q6" i="76"/>
  <c r="AY8" i="7"/>
  <c r="AD27" i="5" l="1"/>
  <c r="AC28" i="5"/>
  <c r="H25" i="3"/>
  <c r="I24" i="3"/>
  <c r="AU27" i="5"/>
  <c r="AZ26" i="5"/>
  <c r="BC26" i="5" s="1"/>
  <c r="P22" i="3"/>
  <c r="Q21" i="3"/>
  <c r="AS20" i="5"/>
  <c r="AY19" i="5"/>
  <c r="BB19" i="5" s="1"/>
  <c r="BE19" i="5" s="1"/>
  <c r="N19" i="5"/>
  <c r="M20" i="5"/>
  <c r="P19" i="5"/>
  <c r="O20" i="5"/>
  <c r="X17" i="3"/>
  <c r="Y16" i="3"/>
  <c r="I14" i="63"/>
  <c r="BF18" i="5"/>
  <c r="BG18" i="5" s="1"/>
  <c r="G18" i="65" s="1"/>
  <c r="AI17" i="1"/>
  <c r="AW18" i="7" s="1"/>
  <c r="B17" i="65"/>
  <c r="E17" i="65" s="1"/>
  <c r="N18" i="1"/>
  <c r="V18" i="1" s="1"/>
  <c r="M19" i="1"/>
  <c r="AJ16" i="1"/>
  <c r="AK16" i="1" s="1"/>
  <c r="G13" i="81"/>
  <c r="AO21" i="7"/>
  <c r="AN21" i="7" s="1"/>
  <c r="AV31" i="7"/>
  <c r="H26" i="81"/>
  <c r="AX31" i="1"/>
  <c r="J27" i="81"/>
  <c r="AR16" i="7"/>
  <c r="AS16" i="7" s="1"/>
  <c r="AX16" i="7" s="1"/>
  <c r="Y17" i="7"/>
  <c r="H29" i="5"/>
  <c r="G30" i="5"/>
  <c r="E27" i="3"/>
  <c r="D28" i="3"/>
  <c r="B27" i="3"/>
  <c r="C26" i="3"/>
  <c r="F26" i="3" s="1"/>
  <c r="X29" i="5"/>
  <c r="Y28" i="5"/>
  <c r="J24" i="82" s="1"/>
  <c r="AO28" i="1"/>
  <c r="AN29" i="1"/>
  <c r="AT27" i="1"/>
  <c r="AU27" i="1" s="1"/>
  <c r="I24" i="81" s="1"/>
  <c r="AA28" i="1"/>
  <c r="Z29" i="1"/>
  <c r="Y28" i="1"/>
  <c r="AB28" i="1" s="1"/>
  <c r="X29" i="1"/>
  <c r="K30" i="1"/>
  <c r="L29" i="1"/>
  <c r="V26" i="2"/>
  <c r="U27" i="2"/>
  <c r="S28" i="2"/>
  <c r="T27" i="2"/>
  <c r="K27" i="76"/>
  <c r="N27" i="76" s="1"/>
  <c r="J28" i="76"/>
  <c r="I26" i="76"/>
  <c r="M26" i="76" s="1"/>
  <c r="H27" i="76"/>
  <c r="F27" i="76"/>
  <c r="G26" i="76"/>
  <c r="D25" i="76"/>
  <c r="E25" i="76" s="1"/>
  <c r="L25" i="76"/>
  <c r="B26" i="76"/>
  <c r="C25" i="76"/>
  <c r="U24" i="3"/>
  <c r="AA24" i="3" s="1"/>
  <c r="T25" i="3"/>
  <c r="AH21" i="3"/>
  <c r="R28" i="3"/>
  <c r="S27" i="3"/>
  <c r="V27" i="3" s="1"/>
  <c r="M26" i="3"/>
  <c r="L27" i="3"/>
  <c r="J25" i="3"/>
  <c r="K24" i="3"/>
  <c r="Z23" i="3"/>
  <c r="AE23" i="3" s="1"/>
  <c r="AF23" i="3" s="1"/>
  <c r="AG23" i="3" s="1"/>
  <c r="N23" i="3"/>
  <c r="AB23" i="3" s="1"/>
  <c r="AK22" i="3"/>
  <c r="F22" i="63"/>
  <c r="AC22" i="3"/>
  <c r="AH22" i="3" s="1"/>
  <c r="BA28" i="5"/>
  <c r="BD28" i="5" s="1"/>
  <c r="AX29" i="5"/>
  <c r="AV29" i="5"/>
  <c r="AT29" i="5"/>
  <c r="AG30" i="5"/>
  <c r="AH29" i="5"/>
  <c r="AI29" i="5" s="1"/>
  <c r="AE31" i="5"/>
  <c r="AF30" i="5"/>
  <c r="AA27" i="5"/>
  <c r="Z28" i="5"/>
  <c r="AJ27" i="5"/>
  <c r="K23" i="82" s="1"/>
  <c r="AL26" i="5"/>
  <c r="W27" i="5"/>
  <c r="V28" i="5"/>
  <c r="U28" i="5"/>
  <c r="T29" i="5"/>
  <c r="I27" i="5"/>
  <c r="E27" i="5"/>
  <c r="D27" i="5"/>
  <c r="G24" i="63"/>
  <c r="B29" i="5"/>
  <c r="C28" i="5"/>
  <c r="J26" i="5"/>
  <c r="L22" i="81" s="1"/>
  <c r="K22" i="81"/>
  <c r="AS29" i="1"/>
  <c r="AR30" i="1"/>
  <c r="AQ28" i="1"/>
  <c r="AP29" i="1"/>
  <c r="AE28" i="1"/>
  <c r="AF27" i="1"/>
  <c r="AH27" i="1" s="1"/>
  <c r="C27" i="65" s="1"/>
  <c r="AG26" i="1"/>
  <c r="AM26" i="1"/>
  <c r="F27" i="75" s="1"/>
  <c r="G27" i="75" s="1"/>
  <c r="AC28" i="1"/>
  <c r="AD27" i="1"/>
  <c r="R27" i="1"/>
  <c r="Q28" i="1"/>
  <c r="S28" i="1"/>
  <c r="T28" i="1" s="1"/>
  <c r="P29" i="1"/>
  <c r="I29" i="1"/>
  <c r="H30" i="1"/>
  <c r="U26" i="1"/>
  <c r="J26" i="1"/>
  <c r="AL26" i="1"/>
  <c r="D27" i="75" s="1"/>
  <c r="E27" i="75" s="1"/>
  <c r="F28" i="1"/>
  <c r="G27" i="1"/>
  <c r="AB27" i="7"/>
  <c r="AA27" i="7"/>
  <c r="AK22" i="7"/>
  <c r="AL22" i="7"/>
  <c r="AM22" i="7" s="1"/>
  <c r="AJ23" i="7"/>
  <c r="AI23" i="7"/>
  <c r="AD26" i="7"/>
  <c r="AC26" i="7"/>
  <c r="AH24" i="7"/>
  <c r="AG24" i="7"/>
  <c r="AE25" i="7"/>
  <c r="AF25" i="7"/>
  <c r="D28" i="1"/>
  <c r="E28" i="1" s="1"/>
  <c r="Z28" i="7"/>
  <c r="C28" i="1"/>
  <c r="V18" i="7"/>
  <c r="W18" i="7" s="1"/>
  <c r="U18" i="7"/>
  <c r="M22" i="7"/>
  <c r="N22" i="7"/>
  <c r="I24" i="7"/>
  <c r="J24" i="7"/>
  <c r="T19" i="7"/>
  <c r="S19" i="7"/>
  <c r="L23" i="7"/>
  <c r="K23" i="7"/>
  <c r="AR17" i="7"/>
  <c r="X17" i="7"/>
  <c r="Q20" i="7"/>
  <c r="R20" i="7"/>
  <c r="P21" i="7"/>
  <c r="O21" i="7"/>
  <c r="F26" i="7"/>
  <c r="E26" i="7"/>
  <c r="D27" i="7"/>
  <c r="C27" i="7"/>
  <c r="G25" i="7"/>
  <c r="H25" i="7"/>
  <c r="B28" i="1"/>
  <c r="B28" i="7"/>
  <c r="AC26" i="2"/>
  <c r="AD25" i="2"/>
  <c r="AA27" i="2"/>
  <c r="AB26" i="2"/>
  <c r="H25" i="65"/>
  <c r="B22" i="63"/>
  <c r="Z24" i="2"/>
  <c r="AF24" i="2" s="1"/>
  <c r="Y25" i="2"/>
  <c r="A24" i="63"/>
  <c r="AE25" i="2"/>
  <c r="AG25" i="2" s="1"/>
  <c r="W27" i="2"/>
  <c r="X26" i="2"/>
  <c r="AI23" i="3"/>
  <c r="D25" i="65" s="1"/>
  <c r="P26" i="2"/>
  <c r="Q25" i="2"/>
  <c r="BE26" i="7"/>
  <c r="BG26" i="7" s="1"/>
  <c r="E6" i="63"/>
  <c r="D6" i="63" s="1"/>
  <c r="R7" i="2"/>
  <c r="E23" i="63"/>
  <c r="I26" i="65"/>
  <c r="AD24" i="3"/>
  <c r="M25" i="2"/>
  <c r="E24" i="82" s="1"/>
  <c r="L26" i="2"/>
  <c r="J27" i="2"/>
  <c r="K26" i="2"/>
  <c r="F25" i="82" s="1"/>
  <c r="H27" i="2"/>
  <c r="I26" i="2"/>
  <c r="G25" i="82" s="1"/>
  <c r="F28" i="2"/>
  <c r="G27" i="2"/>
  <c r="I26" i="82" s="1"/>
  <c r="AI21" i="2"/>
  <c r="J23" i="65"/>
  <c r="C21" i="63"/>
  <c r="D21" i="63" s="1"/>
  <c r="S23" i="76"/>
  <c r="T23" i="76" s="1"/>
  <c r="F21" i="81" s="1"/>
  <c r="E21" i="81"/>
  <c r="R22" i="2"/>
  <c r="N23" i="2"/>
  <c r="H22" i="82"/>
  <c r="E24" i="2"/>
  <c r="D25" i="2"/>
  <c r="I26" i="79"/>
  <c r="K26" i="5"/>
  <c r="L26" i="5" s="1"/>
  <c r="O27" i="79"/>
  <c r="H27" i="79" s="1"/>
  <c r="M28" i="79"/>
  <c r="F25" i="65"/>
  <c r="H22" i="63"/>
  <c r="AK25" i="5"/>
  <c r="AX6" i="7"/>
  <c r="AY7" i="7"/>
  <c r="Q5" i="76"/>
  <c r="P23" i="3" l="1"/>
  <c r="Q22" i="3"/>
  <c r="H26" i="3"/>
  <c r="I25" i="3"/>
  <c r="AC29" i="5"/>
  <c r="AD28" i="5"/>
  <c r="Q19" i="5"/>
  <c r="M15" i="81" s="1"/>
  <c r="AU28" i="5"/>
  <c r="AZ27" i="5"/>
  <c r="BC27" i="5" s="1"/>
  <c r="X18" i="3"/>
  <c r="Y17" i="3"/>
  <c r="G14" i="81"/>
  <c r="AJ17" i="1"/>
  <c r="AK17" i="1" s="1"/>
  <c r="AS21" i="5"/>
  <c r="AY20" i="5"/>
  <c r="BB20" i="5" s="1"/>
  <c r="BE20" i="5" s="1"/>
  <c r="M21" i="5"/>
  <c r="N20" i="5"/>
  <c r="B18" i="65"/>
  <c r="E18" i="65" s="1"/>
  <c r="AI18" i="1"/>
  <c r="AW19" i="7" s="1"/>
  <c r="I15" i="63"/>
  <c r="BF19" i="5"/>
  <c r="BG19" i="5" s="1"/>
  <c r="G19" i="65" s="1"/>
  <c r="N19" i="1"/>
  <c r="V19" i="1" s="1"/>
  <c r="M20" i="1"/>
  <c r="P20" i="5"/>
  <c r="Q20" i="5" s="1"/>
  <c r="M16" i="81" s="1"/>
  <c r="O21" i="5"/>
  <c r="H27" i="81"/>
  <c r="AV32" i="7"/>
  <c r="J28" i="81"/>
  <c r="AX32" i="1"/>
  <c r="AQ16" i="7"/>
  <c r="BC16" i="7"/>
  <c r="G31" i="5"/>
  <c r="H30" i="5"/>
  <c r="AO22" i="7"/>
  <c r="AN22" i="7" s="1"/>
  <c r="D29" i="3"/>
  <c r="E28" i="3"/>
  <c r="C27" i="3"/>
  <c r="F27" i="3" s="1"/>
  <c r="B28" i="3"/>
  <c r="X30" i="5"/>
  <c r="Y29" i="5"/>
  <c r="J25" i="82" s="1"/>
  <c r="AN30" i="1"/>
  <c r="AO29" i="1"/>
  <c r="AT28" i="1"/>
  <c r="AU28" i="1" s="1"/>
  <c r="I25" i="81" s="1"/>
  <c r="AA29" i="1"/>
  <c r="Z30" i="1"/>
  <c r="Y29" i="1"/>
  <c r="AB29" i="1" s="1"/>
  <c r="X30" i="1"/>
  <c r="L30" i="1"/>
  <c r="K31" i="1"/>
  <c r="Y18" i="7"/>
  <c r="X18" i="7" s="1"/>
  <c r="V27" i="2"/>
  <c r="U28" i="2"/>
  <c r="S29" i="2"/>
  <c r="T28" i="2"/>
  <c r="K28" i="76"/>
  <c r="N28" i="76" s="1"/>
  <c r="J29" i="76"/>
  <c r="I27" i="76"/>
  <c r="M27" i="76" s="1"/>
  <c r="H28" i="76"/>
  <c r="F28" i="76"/>
  <c r="G27" i="76"/>
  <c r="L26" i="76"/>
  <c r="D26" i="76"/>
  <c r="E26" i="76" s="1"/>
  <c r="C26" i="76"/>
  <c r="B27" i="76"/>
  <c r="U25" i="3"/>
  <c r="AA25" i="3" s="1"/>
  <c r="T26" i="3"/>
  <c r="R29" i="3"/>
  <c r="S28" i="3"/>
  <c r="V28" i="3" s="1"/>
  <c r="M27" i="3"/>
  <c r="L28" i="3"/>
  <c r="J26" i="3"/>
  <c r="K25" i="3"/>
  <c r="N24" i="3"/>
  <c r="AB24" i="3" s="1"/>
  <c r="Z24" i="3"/>
  <c r="AE24" i="3" s="1"/>
  <c r="AF24" i="3" s="1"/>
  <c r="AG24" i="3" s="1"/>
  <c r="F23" i="63"/>
  <c r="AC23" i="3"/>
  <c r="AH23" i="3" s="1"/>
  <c r="AK23" i="3"/>
  <c r="BA29" i="5"/>
  <c r="BD29" i="5" s="1"/>
  <c r="AX30" i="5"/>
  <c r="AV30" i="5"/>
  <c r="AT30" i="5"/>
  <c r="AH30" i="5"/>
  <c r="AI30" i="5" s="1"/>
  <c r="AG31" i="5"/>
  <c r="AF31" i="5"/>
  <c r="AE32" i="5"/>
  <c r="AL27" i="5"/>
  <c r="AA28" i="5"/>
  <c r="AJ28" i="5"/>
  <c r="K24" i="82" s="1"/>
  <c r="Z29" i="5"/>
  <c r="V29" i="5"/>
  <c r="W28" i="5"/>
  <c r="U29" i="5"/>
  <c r="T30" i="5"/>
  <c r="J27" i="5"/>
  <c r="L23" i="81" s="1"/>
  <c r="K23" i="81"/>
  <c r="C29" i="5"/>
  <c r="B30" i="5"/>
  <c r="G25" i="63"/>
  <c r="D28" i="5"/>
  <c r="E28" i="5"/>
  <c r="I28" i="5"/>
  <c r="AR31" i="1"/>
  <c r="AS30" i="1"/>
  <c r="AQ29" i="1"/>
  <c r="AP30" i="1"/>
  <c r="AF28" i="1"/>
  <c r="AH28" i="1" s="1"/>
  <c r="C28" i="65" s="1"/>
  <c r="AE29" i="1"/>
  <c r="AD28" i="1"/>
  <c r="AC29" i="1"/>
  <c r="AM27" i="1"/>
  <c r="F28" i="75" s="1"/>
  <c r="G28" i="75" s="1"/>
  <c r="AG27" i="1"/>
  <c r="R28" i="1"/>
  <c r="Q29" i="1"/>
  <c r="P30" i="1"/>
  <c r="S29" i="1"/>
  <c r="T29" i="1" s="1"/>
  <c r="I30" i="1"/>
  <c r="H31" i="1"/>
  <c r="AL27" i="1"/>
  <c r="D28" i="75" s="1"/>
  <c r="E28" i="75" s="1"/>
  <c r="U27" i="1"/>
  <c r="J27" i="1"/>
  <c r="G28" i="1"/>
  <c r="F29" i="1"/>
  <c r="AL23" i="7"/>
  <c r="AM23" i="7" s="1"/>
  <c r="AK23" i="7"/>
  <c r="AC27" i="7"/>
  <c r="AD27" i="7"/>
  <c r="AA28" i="7"/>
  <c r="AB28" i="7"/>
  <c r="AJ24" i="7"/>
  <c r="AI24" i="7"/>
  <c r="AH25" i="7"/>
  <c r="AG25" i="7"/>
  <c r="Z29" i="7"/>
  <c r="C29" i="1"/>
  <c r="AE26" i="7"/>
  <c r="AF26" i="7"/>
  <c r="M23" i="7"/>
  <c r="N23" i="7"/>
  <c r="AQ17" i="7"/>
  <c r="AS17" i="7"/>
  <c r="AY16" i="7"/>
  <c r="Q14" i="76"/>
  <c r="T20" i="7"/>
  <c r="S20" i="7"/>
  <c r="P22" i="7"/>
  <c r="O22" i="7"/>
  <c r="B29" i="7"/>
  <c r="B29" i="1"/>
  <c r="R21" i="7"/>
  <c r="Q21" i="7"/>
  <c r="F27" i="7"/>
  <c r="E27" i="7"/>
  <c r="I25" i="7"/>
  <c r="J25" i="7"/>
  <c r="U19" i="7"/>
  <c r="V19" i="7"/>
  <c r="W19" i="7" s="1"/>
  <c r="C28" i="7"/>
  <c r="D28" i="7"/>
  <c r="BC17" i="7"/>
  <c r="H26" i="7"/>
  <c r="G26" i="7"/>
  <c r="L24" i="7"/>
  <c r="K24" i="7"/>
  <c r="AD26" i="2"/>
  <c r="AC27" i="2"/>
  <c r="AA28" i="2"/>
  <c r="AB27" i="2"/>
  <c r="H26" i="65"/>
  <c r="B23" i="63"/>
  <c r="Z25" i="2"/>
  <c r="AF25" i="2" s="1"/>
  <c r="Y26" i="2"/>
  <c r="W28" i="2"/>
  <c r="X27" i="2"/>
  <c r="AE26" i="2"/>
  <c r="AG26" i="2" s="1"/>
  <c r="A25" i="63"/>
  <c r="AI24" i="3"/>
  <c r="D26" i="65" s="1"/>
  <c r="Q26" i="2"/>
  <c r="P27" i="2"/>
  <c r="I27" i="65"/>
  <c r="AD25" i="3"/>
  <c r="E24" i="63"/>
  <c r="BE27" i="7"/>
  <c r="BG27" i="7" s="1"/>
  <c r="J9" i="65"/>
  <c r="AI7" i="2"/>
  <c r="M26" i="2"/>
  <c r="E25" i="82" s="1"/>
  <c r="L27" i="2"/>
  <c r="J28" i="2"/>
  <c r="K27" i="2"/>
  <c r="F26" i="82" s="1"/>
  <c r="H28" i="2"/>
  <c r="I27" i="2"/>
  <c r="G26" i="82" s="1"/>
  <c r="F29" i="2"/>
  <c r="G28" i="2"/>
  <c r="I27" i="82" s="1"/>
  <c r="N24" i="2"/>
  <c r="H23" i="82"/>
  <c r="E25" i="2"/>
  <c r="D26" i="2"/>
  <c r="J24" i="65"/>
  <c r="AI22" i="2"/>
  <c r="R23" i="2"/>
  <c r="S24" i="76"/>
  <c r="T24" i="76" s="1"/>
  <c r="F22" i="81" s="1"/>
  <c r="E22" i="81"/>
  <c r="C22" i="63"/>
  <c r="D22" i="63" s="1"/>
  <c r="O28" i="79"/>
  <c r="H28" i="79" s="1"/>
  <c r="M29" i="79"/>
  <c r="AK26" i="5"/>
  <c r="F26" i="65"/>
  <c r="H23" i="63"/>
  <c r="K27" i="5"/>
  <c r="L27" i="5" s="1"/>
  <c r="I27" i="79"/>
  <c r="AY6" i="7"/>
  <c r="Q4" i="76"/>
  <c r="AU29" i="5" l="1"/>
  <c r="AZ28" i="5"/>
  <c r="BC28" i="5" s="1"/>
  <c r="H27" i="3"/>
  <c r="I26" i="3"/>
  <c r="AD29" i="5"/>
  <c r="AC30" i="5"/>
  <c r="P24" i="3"/>
  <c r="Q23" i="3"/>
  <c r="X19" i="3"/>
  <c r="Y18" i="3"/>
  <c r="O22" i="5"/>
  <c r="P21" i="5"/>
  <c r="AJ18" i="1"/>
  <c r="AK18" i="1" s="1"/>
  <c r="G15" i="81"/>
  <c r="AS22" i="5"/>
  <c r="AY21" i="5"/>
  <c r="BB21" i="5" s="1"/>
  <c r="BE21" i="5" s="1"/>
  <c r="I16" i="63"/>
  <c r="BF20" i="5"/>
  <c r="BG20" i="5" s="1"/>
  <c r="G20" i="65" s="1"/>
  <c r="B19" i="65"/>
  <c r="E19" i="65" s="1"/>
  <c r="AI19" i="1"/>
  <c r="AW20" i="7" s="1"/>
  <c r="N21" i="5"/>
  <c r="M22" i="5"/>
  <c r="N20" i="1"/>
  <c r="V20" i="1" s="1"/>
  <c r="M21" i="1"/>
  <c r="AV33" i="7"/>
  <c r="H28" i="81"/>
  <c r="J29" i="81"/>
  <c r="AX33" i="1"/>
  <c r="H31" i="5"/>
  <c r="G32" i="5"/>
  <c r="AR18" i="7"/>
  <c r="D30" i="3"/>
  <c r="E29" i="3"/>
  <c r="C28" i="3"/>
  <c r="F28" i="3" s="1"/>
  <c r="B29" i="3"/>
  <c r="Y30" i="5"/>
  <c r="J26" i="82" s="1"/>
  <c r="X31" i="5"/>
  <c r="AO30" i="1"/>
  <c r="AN31" i="1"/>
  <c r="AT29" i="1"/>
  <c r="AU29" i="1" s="1"/>
  <c r="I26" i="81" s="1"/>
  <c r="Z31" i="1"/>
  <c r="AA30" i="1"/>
  <c r="Y30" i="1"/>
  <c r="AB30" i="1" s="1"/>
  <c r="X31" i="1"/>
  <c r="L31" i="1"/>
  <c r="K32" i="1"/>
  <c r="V28" i="2"/>
  <c r="U29" i="2"/>
  <c r="S30" i="2"/>
  <c r="T29" i="2"/>
  <c r="J30" i="76"/>
  <c r="K29" i="76"/>
  <c r="N29" i="76" s="1"/>
  <c r="H29" i="76"/>
  <c r="I28" i="76"/>
  <c r="M28" i="76" s="1"/>
  <c r="D27" i="76"/>
  <c r="E27" i="76" s="1"/>
  <c r="L27" i="76"/>
  <c r="F29" i="76"/>
  <c r="G28" i="76"/>
  <c r="B28" i="76"/>
  <c r="C27" i="76"/>
  <c r="U26" i="3"/>
  <c r="AA26" i="3" s="1"/>
  <c r="T27" i="3"/>
  <c r="R30" i="3"/>
  <c r="S29" i="3"/>
  <c r="V29" i="3" s="1"/>
  <c r="M28" i="3"/>
  <c r="L29" i="3"/>
  <c r="K26" i="3"/>
  <c r="J27" i="3"/>
  <c r="Z25" i="3"/>
  <c r="N25" i="3"/>
  <c r="AB25" i="3" s="1"/>
  <c r="AC24" i="3"/>
  <c r="AH24" i="3" s="1"/>
  <c r="F24" i="63"/>
  <c r="AK24" i="3"/>
  <c r="BA30" i="5"/>
  <c r="BD30" i="5" s="1"/>
  <c r="AX31" i="5"/>
  <c r="AV31" i="5"/>
  <c r="AT31" i="5"/>
  <c r="AH31" i="5"/>
  <c r="AI31" i="5" s="1"/>
  <c r="AG32" i="5"/>
  <c r="AE33" i="5"/>
  <c r="AF32" i="5"/>
  <c r="AA29" i="5"/>
  <c r="AJ29" i="5"/>
  <c r="K25" i="82" s="1"/>
  <c r="Z30" i="5"/>
  <c r="AL28" i="5"/>
  <c r="V30" i="5"/>
  <c r="W29" i="5"/>
  <c r="T31" i="5"/>
  <c r="U30" i="5"/>
  <c r="J28" i="5"/>
  <c r="L24" i="81" s="1"/>
  <c r="K24" i="81"/>
  <c r="D29" i="5"/>
  <c r="G26" i="63"/>
  <c r="E29" i="5"/>
  <c r="I29" i="5"/>
  <c r="B31" i="5"/>
  <c r="C30" i="5"/>
  <c r="AR32" i="1"/>
  <c r="AS31" i="1"/>
  <c r="AQ30" i="1"/>
  <c r="AP31" i="1"/>
  <c r="AE30" i="1"/>
  <c r="AF29" i="1"/>
  <c r="AH29" i="1" s="1"/>
  <c r="C29" i="65" s="1"/>
  <c r="AC30" i="1"/>
  <c r="AD29" i="1"/>
  <c r="AM28" i="1"/>
  <c r="F29" i="75" s="1"/>
  <c r="G29" i="75" s="1"/>
  <c r="AG28" i="1"/>
  <c r="R29" i="1"/>
  <c r="Q30" i="1"/>
  <c r="S30" i="1"/>
  <c r="T30" i="1" s="1"/>
  <c r="P31" i="1"/>
  <c r="I31" i="1"/>
  <c r="H32" i="1"/>
  <c r="F30" i="1"/>
  <c r="G29" i="1"/>
  <c r="U28" i="1"/>
  <c r="J28" i="1"/>
  <c r="AL28" i="1"/>
  <c r="D29" i="75" s="1"/>
  <c r="E29" i="75" s="1"/>
  <c r="AG26" i="7"/>
  <c r="AH26" i="7"/>
  <c r="AL24" i="7"/>
  <c r="AM24" i="7" s="1"/>
  <c r="AK24" i="7"/>
  <c r="AJ25" i="7"/>
  <c r="AI25" i="7"/>
  <c r="Z30" i="7"/>
  <c r="D30" i="1"/>
  <c r="E30" i="1" s="1"/>
  <c r="C30" i="1"/>
  <c r="AF27" i="7"/>
  <c r="AE27" i="7"/>
  <c r="AO23" i="7"/>
  <c r="AN23" i="7" s="1"/>
  <c r="D29" i="1"/>
  <c r="E29" i="1" s="1"/>
  <c r="AB29" i="7"/>
  <c r="AA29" i="7"/>
  <c r="AC28" i="7"/>
  <c r="AD28" i="7"/>
  <c r="M24" i="7"/>
  <c r="N24" i="7"/>
  <c r="BC18" i="7"/>
  <c r="AS18" i="7"/>
  <c r="AX18" i="7" s="1"/>
  <c r="AQ18" i="7"/>
  <c r="G27" i="7"/>
  <c r="H27" i="7"/>
  <c r="R22" i="7"/>
  <c r="Q22" i="7"/>
  <c r="E28" i="7"/>
  <c r="F28" i="7"/>
  <c r="L25" i="7"/>
  <c r="K25" i="7"/>
  <c r="B30" i="1"/>
  <c r="B30" i="7"/>
  <c r="AX17" i="7"/>
  <c r="U20" i="7"/>
  <c r="V20" i="7"/>
  <c r="W20" i="7" s="1"/>
  <c r="O23" i="7"/>
  <c r="P23" i="7"/>
  <c r="D29" i="7"/>
  <c r="C29" i="7"/>
  <c r="J26" i="7"/>
  <c r="I26" i="7"/>
  <c r="S21" i="7"/>
  <c r="T21" i="7"/>
  <c r="Y19" i="7"/>
  <c r="AD27" i="2"/>
  <c r="AC28" i="2"/>
  <c r="AA29" i="2"/>
  <c r="AB28" i="2"/>
  <c r="H27" i="65"/>
  <c r="B24" i="63"/>
  <c r="Y27" i="2"/>
  <c r="Z26" i="2"/>
  <c r="AF26" i="2" s="1"/>
  <c r="X28" i="2"/>
  <c r="W29" i="2"/>
  <c r="AE27" i="2"/>
  <c r="AG27" i="2" s="1"/>
  <c r="A26" i="63"/>
  <c r="Q27" i="2"/>
  <c r="P28" i="2"/>
  <c r="AI25" i="3"/>
  <c r="D27" i="65" s="1"/>
  <c r="AD26" i="3"/>
  <c r="BE28" i="7"/>
  <c r="BG28" i="7" s="1"/>
  <c r="I28" i="65"/>
  <c r="E25" i="63"/>
  <c r="M27" i="2"/>
  <c r="E26" i="82" s="1"/>
  <c r="L28" i="2"/>
  <c r="J29" i="2"/>
  <c r="K28" i="2"/>
  <c r="F27" i="82" s="1"/>
  <c r="H29" i="2"/>
  <c r="I28" i="2"/>
  <c r="G27" i="82" s="1"/>
  <c r="F30" i="2"/>
  <c r="G29" i="2"/>
  <c r="I28" i="82" s="1"/>
  <c r="AI23" i="2"/>
  <c r="J25" i="65"/>
  <c r="C23" i="63"/>
  <c r="D23" i="63" s="1"/>
  <c r="R24" i="2"/>
  <c r="E23" i="81"/>
  <c r="S25" i="76"/>
  <c r="T25" i="76" s="1"/>
  <c r="F23" i="81" s="1"/>
  <c r="H24" i="82"/>
  <c r="N25" i="2"/>
  <c r="D27" i="2"/>
  <c r="E26" i="2"/>
  <c r="F27" i="65"/>
  <c r="H24" i="63"/>
  <c r="AK27" i="5"/>
  <c r="I28" i="79"/>
  <c r="K28" i="5"/>
  <c r="L28" i="5" s="1"/>
  <c r="O29" i="79"/>
  <c r="H29" i="79" s="1"/>
  <c r="M30" i="79"/>
  <c r="P25" i="3" l="1"/>
  <c r="Q24" i="3"/>
  <c r="H28" i="3"/>
  <c r="I27" i="3"/>
  <c r="AC31" i="5"/>
  <c r="AD30" i="5"/>
  <c r="Q21" i="5"/>
  <c r="M17" i="81" s="1"/>
  <c r="AU30" i="5"/>
  <c r="AZ29" i="5"/>
  <c r="BC29" i="5" s="1"/>
  <c r="N21" i="1"/>
  <c r="V21" i="1" s="1"/>
  <c r="M22" i="1"/>
  <c r="O23" i="5"/>
  <c r="P22" i="5"/>
  <c r="AI20" i="1"/>
  <c r="AW21" i="7" s="1"/>
  <c r="B20" i="65"/>
  <c r="E20" i="65" s="1"/>
  <c r="X20" i="3"/>
  <c r="Y19" i="3"/>
  <c r="G16" i="81"/>
  <c r="AJ19" i="1"/>
  <c r="AK19" i="1" s="1"/>
  <c r="M23" i="5"/>
  <c r="N22" i="5"/>
  <c r="AS23" i="5"/>
  <c r="AY22" i="5"/>
  <c r="BB22" i="5" s="1"/>
  <c r="BE22" i="5" s="1"/>
  <c r="I17" i="63"/>
  <c r="BF21" i="5"/>
  <c r="BG21" i="5" s="1"/>
  <c r="G21" i="65" s="1"/>
  <c r="AO24" i="7"/>
  <c r="AN24" i="7" s="1"/>
  <c r="H29" i="81"/>
  <c r="AV34" i="7"/>
  <c r="AX34" i="1"/>
  <c r="J30" i="81"/>
  <c r="H32" i="5"/>
  <c r="G33" i="5"/>
  <c r="AT30" i="1"/>
  <c r="AU30" i="1" s="1"/>
  <c r="I27" i="81" s="1"/>
  <c r="D31" i="3"/>
  <c r="E30" i="3"/>
  <c r="C29" i="3"/>
  <c r="F29" i="3" s="1"/>
  <c r="B30" i="3"/>
  <c r="Y31" i="5"/>
  <c r="J27" i="82" s="1"/>
  <c r="X32" i="5"/>
  <c r="AN32" i="1"/>
  <c r="AO31" i="1"/>
  <c r="AA31" i="1"/>
  <c r="Z32" i="1"/>
  <c r="Y31" i="1"/>
  <c r="AB31" i="1" s="1"/>
  <c r="X32" i="1"/>
  <c r="L32" i="1"/>
  <c r="K33" i="1"/>
  <c r="V29" i="2"/>
  <c r="U30" i="2"/>
  <c r="S31" i="2"/>
  <c r="T30" i="2"/>
  <c r="K30" i="76"/>
  <c r="N30" i="76" s="1"/>
  <c r="J31" i="76"/>
  <c r="I29" i="76"/>
  <c r="M29" i="76" s="1"/>
  <c r="H30" i="76"/>
  <c r="D28" i="76"/>
  <c r="E28" i="76" s="1"/>
  <c r="L28" i="76"/>
  <c r="G29" i="76"/>
  <c r="F30" i="76"/>
  <c r="B29" i="76"/>
  <c r="C28" i="76"/>
  <c r="U27" i="3"/>
  <c r="AA27" i="3" s="1"/>
  <c r="T28" i="3"/>
  <c r="R31" i="3"/>
  <c r="S30" i="3"/>
  <c r="V30" i="3" s="1"/>
  <c r="L30" i="3"/>
  <c r="M29" i="3"/>
  <c r="N26" i="3"/>
  <c r="AB26" i="3" s="1"/>
  <c r="Z26" i="3"/>
  <c r="AE26" i="3" s="1"/>
  <c r="AF26" i="3" s="1"/>
  <c r="AG26" i="3" s="1"/>
  <c r="K27" i="3"/>
  <c r="J28" i="3"/>
  <c r="AC25" i="3"/>
  <c r="F25" i="63"/>
  <c r="AK25" i="3"/>
  <c r="AE25" i="3"/>
  <c r="AF25" i="3" s="1"/>
  <c r="AG25" i="3" s="1"/>
  <c r="AX32" i="5"/>
  <c r="BA31" i="5"/>
  <c r="BD31" i="5" s="1"/>
  <c r="AV32" i="5"/>
  <c r="AT32" i="5"/>
  <c r="AH32" i="5"/>
  <c r="AI32" i="5" s="1"/>
  <c r="AG33" i="5"/>
  <c r="AF33" i="5"/>
  <c r="AE34" i="5"/>
  <c r="AJ30" i="5"/>
  <c r="K26" i="82" s="1"/>
  <c r="Z31" i="5"/>
  <c r="AA30" i="5"/>
  <c r="AL29" i="5"/>
  <c r="W30" i="5"/>
  <c r="V31" i="5"/>
  <c r="U31" i="5"/>
  <c r="T32" i="5"/>
  <c r="B32" i="5"/>
  <c r="C31" i="5"/>
  <c r="E30" i="5"/>
  <c r="D30" i="5"/>
  <c r="I30" i="5"/>
  <c r="G27" i="63"/>
  <c r="K25" i="81"/>
  <c r="J29" i="5"/>
  <c r="L25" i="81" s="1"/>
  <c r="AS32" i="1"/>
  <c r="AR33" i="1"/>
  <c r="AP32" i="1"/>
  <c r="AQ31" i="1"/>
  <c r="AF30" i="1"/>
  <c r="AH30" i="1" s="1"/>
  <c r="C30" i="65" s="1"/>
  <c r="AE31" i="1"/>
  <c r="AM29" i="1"/>
  <c r="F30" i="75" s="1"/>
  <c r="G30" i="75" s="1"/>
  <c r="AG29" i="1"/>
  <c r="AD30" i="1"/>
  <c r="AC31" i="1"/>
  <c r="R30" i="1"/>
  <c r="Q31" i="1"/>
  <c r="S31" i="1"/>
  <c r="T31" i="1" s="1"/>
  <c r="P32" i="1"/>
  <c r="H33" i="1"/>
  <c r="I32" i="1"/>
  <c r="F31" i="1"/>
  <c r="G30" i="1"/>
  <c r="AL29" i="1"/>
  <c r="D30" i="75" s="1"/>
  <c r="E30" i="75" s="1"/>
  <c r="U29" i="1"/>
  <c r="J29" i="1"/>
  <c r="C31" i="1"/>
  <c r="Z31" i="7"/>
  <c r="AH27" i="7"/>
  <c r="AG27" i="7"/>
  <c r="AJ26" i="7"/>
  <c r="AI26" i="7"/>
  <c r="AL25" i="7"/>
  <c r="AM25" i="7" s="1"/>
  <c r="AK25" i="7"/>
  <c r="AF28" i="7"/>
  <c r="AE28" i="7"/>
  <c r="AD29" i="7"/>
  <c r="AC29" i="7"/>
  <c r="AB30" i="7"/>
  <c r="AA30" i="7"/>
  <c r="Y20" i="7"/>
  <c r="X20" i="7" s="1"/>
  <c r="B31" i="7"/>
  <c r="B31" i="1"/>
  <c r="I27" i="7"/>
  <c r="J27" i="7"/>
  <c r="M25" i="7"/>
  <c r="N25" i="7"/>
  <c r="Q23" i="7"/>
  <c r="R23" i="7"/>
  <c r="S22" i="7"/>
  <c r="T22" i="7"/>
  <c r="K26" i="7"/>
  <c r="L26" i="7"/>
  <c r="Q15" i="76"/>
  <c r="AY17" i="7"/>
  <c r="O24" i="7"/>
  <c r="P24" i="7"/>
  <c r="AR19" i="7"/>
  <c r="X19" i="7"/>
  <c r="E29" i="7"/>
  <c r="F29" i="7"/>
  <c r="C30" i="7"/>
  <c r="D30" i="7"/>
  <c r="Q16" i="76"/>
  <c r="AY18" i="7"/>
  <c r="V21" i="7"/>
  <c r="W21" i="7" s="1"/>
  <c r="U21" i="7"/>
  <c r="H28" i="7"/>
  <c r="G28" i="7"/>
  <c r="AD28" i="2"/>
  <c r="AC29" i="2"/>
  <c r="AA30" i="2"/>
  <c r="AB29" i="2"/>
  <c r="Y28" i="2"/>
  <c r="Z27" i="2"/>
  <c r="AF27" i="2" s="1"/>
  <c r="B25" i="63"/>
  <c r="H28" i="65"/>
  <c r="AE28" i="2"/>
  <c r="AG28" i="2" s="1"/>
  <c r="A27" i="63"/>
  <c r="W30" i="2"/>
  <c r="X29" i="2"/>
  <c r="BE29" i="7"/>
  <c r="BG29" i="7" s="1"/>
  <c r="AD27" i="3"/>
  <c r="I29" i="65"/>
  <c r="E26" i="63"/>
  <c r="AI26" i="3"/>
  <c r="D28" i="65" s="1"/>
  <c r="Q28" i="2"/>
  <c r="P29" i="2"/>
  <c r="M28" i="2"/>
  <c r="E27" i="82" s="1"/>
  <c r="L29" i="2"/>
  <c r="J30" i="2"/>
  <c r="K29" i="2"/>
  <c r="F28" i="82" s="1"/>
  <c r="I29" i="2"/>
  <c r="G28" i="82" s="1"/>
  <c r="H30" i="2"/>
  <c r="G30" i="2"/>
  <c r="I29" i="82" s="1"/>
  <c r="F31" i="2"/>
  <c r="D28" i="2"/>
  <c r="E27" i="2"/>
  <c r="H25" i="82"/>
  <c r="N26" i="2"/>
  <c r="J26" i="65"/>
  <c r="AI24" i="2"/>
  <c r="E24" i="81"/>
  <c r="R25" i="2"/>
  <c r="C24" i="63"/>
  <c r="D24" i="63" s="1"/>
  <c r="S26" i="76"/>
  <c r="T26" i="76" s="1"/>
  <c r="F24" i="81" s="1"/>
  <c r="AK28" i="5"/>
  <c r="H25" i="63"/>
  <c r="F28" i="65"/>
  <c r="I29" i="79"/>
  <c r="K29" i="5"/>
  <c r="L29" i="5" s="1"/>
  <c r="M31" i="79"/>
  <c r="O30" i="79"/>
  <c r="H30" i="79" s="1"/>
  <c r="H29" i="3" l="1"/>
  <c r="I28" i="3"/>
  <c r="Q22" i="5"/>
  <c r="M18" i="81" s="1"/>
  <c r="AU31" i="5"/>
  <c r="AZ30" i="5"/>
  <c r="BC30" i="5" s="1"/>
  <c r="AD31" i="5"/>
  <c r="AC32" i="5"/>
  <c r="P26" i="3"/>
  <c r="Q25" i="3"/>
  <c r="AI21" i="1"/>
  <c r="AW22" i="7" s="1"/>
  <c r="B21" i="65"/>
  <c r="E21" i="65" s="1"/>
  <c r="M23" i="1"/>
  <c r="N22" i="1"/>
  <c r="V22" i="1" s="1"/>
  <c r="O24" i="5"/>
  <c r="P23" i="5"/>
  <c r="G17" i="81"/>
  <c r="AJ20" i="1"/>
  <c r="AK20" i="1" s="1"/>
  <c r="AS24" i="5"/>
  <c r="AY23" i="5"/>
  <c r="BB23" i="5" s="1"/>
  <c r="BE23" i="5" s="1"/>
  <c r="M24" i="5"/>
  <c r="N23" i="5"/>
  <c r="I18" i="63"/>
  <c r="BF22" i="5"/>
  <c r="BG22" i="5" s="1"/>
  <c r="G22" i="65" s="1"/>
  <c r="X21" i="3"/>
  <c r="X22" i="3" s="1"/>
  <c r="Y20" i="3"/>
  <c r="Y21" i="3" s="1"/>
  <c r="H30" i="81"/>
  <c r="AV35" i="7"/>
  <c r="J31" i="81"/>
  <c r="AX35" i="1"/>
  <c r="J32" i="81" s="1"/>
  <c r="AT31" i="1"/>
  <c r="AU31" i="1" s="1"/>
  <c r="G34" i="5"/>
  <c r="H33" i="5"/>
  <c r="D32" i="3"/>
  <c r="E31" i="3"/>
  <c r="AH25" i="3"/>
  <c r="C30" i="3"/>
  <c r="F30" i="3" s="1"/>
  <c r="B31" i="3"/>
  <c r="Y32" i="5"/>
  <c r="J28" i="82" s="1"/>
  <c r="X33" i="5"/>
  <c r="AN33" i="1"/>
  <c r="AO32" i="1"/>
  <c r="AA32" i="1"/>
  <c r="Z33" i="1"/>
  <c r="X33" i="1"/>
  <c r="Y32" i="1"/>
  <c r="AB32" i="1" s="1"/>
  <c r="K34" i="1"/>
  <c r="L33" i="1"/>
  <c r="U31" i="2"/>
  <c r="V30" i="2"/>
  <c r="T31" i="2"/>
  <c r="S32" i="2"/>
  <c r="J32" i="76"/>
  <c r="K31" i="76"/>
  <c r="N31" i="76" s="1"/>
  <c r="I30" i="76"/>
  <c r="M30" i="76" s="1"/>
  <c r="H31" i="76"/>
  <c r="L29" i="76"/>
  <c r="D29" i="76"/>
  <c r="E29" i="76" s="1"/>
  <c r="G30" i="76"/>
  <c r="F31" i="76"/>
  <c r="C29" i="76"/>
  <c r="B30" i="76"/>
  <c r="U28" i="3"/>
  <c r="AA28" i="3" s="1"/>
  <c r="T29" i="3"/>
  <c r="R32" i="3"/>
  <c r="S31" i="3"/>
  <c r="V31" i="3" s="1"/>
  <c r="M30" i="3"/>
  <c r="L31" i="3"/>
  <c r="F26" i="63"/>
  <c r="AC26" i="3"/>
  <c r="AH26" i="3" s="1"/>
  <c r="AK26" i="3"/>
  <c r="Z27" i="3"/>
  <c r="AE27" i="3" s="1"/>
  <c r="AF27" i="3" s="1"/>
  <c r="AG27" i="3" s="1"/>
  <c r="N27" i="3"/>
  <c r="AB27" i="3" s="1"/>
  <c r="K28" i="3"/>
  <c r="J29" i="3"/>
  <c r="AX33" i="5"/>
  <c r="BA32" i="5"/>
  <c r="BD32" i="5" s="1"/>
  <c r="AV33" i="5"/>
  <c r="AT33" i="5"/>
  <c r="AH33" i="5"/>
  <c r="AI33" i="5" s="1"/>
  <c r="AG34" i="5"/>
  <c r="AF34" i="5"/>
  <c r="AE35" i="5"/>
  <c r="AJ31" i="5"/>
  <c r="K27" i="82" s="1"/>
  <c r="AA31" i="5"/>
  <c r="Z32" i="5"/>
  <c r="AL30" i="5"/>
  <c r="V32" i="5"/>
  <c r="W31" i="5"/>
  <c r="T33" i="5"/>
  <c r="U32" i="5"/>
  <c r="J30" i="5"/>
  <c r="L26" i="81" s="1"/>
  <c r="K26" i="81"/>
  <c r="G28" i="63"/>
  <c r="E31" i="5"/>
  <c r="D31" i="5"/>
  <c r="I31" i="5"/>
  <c r="B33" i="5"/>
  <c r="C32" i="5"/>
  <c r="AR34" i="1"/>
  <c r="AS33" i="1"/>
  <c r="AP33" i="1"/>
  <c r="AQ32" i="1"/>
  <c r="AE32" i="1"/>
  <c r="AF31" i="1"/>
  <c r="AH31" i="1" s="1"/>
  <c r="C31" i="65" s="1"/>
  <c r="AM30" i="1"/>
  <c r="F31" i="75" s="1"/>
  <c r="G31" i="75" s="1"/>
  <c r="AG30" i="1"/>
  <c r="AC32" i="1"/>
  <c r="AD31" i="1"/>
  <c r="R31" i="1"/>
  <c r="Q32" i="1"/>
  <c r="P33" i="1"/>
  <c r="S32" i="1"/>
  <c r="T32" i="1" s="1"/>
  <c r="I33" i="1"/>
  <c r="H34" i="1"/>
  <c r="F32" i="1"/>
  <c r="G31" i="1"/>
  <c r="U30" i="1"/>
  <c r="J30" i="1"/>
  <c r="AL30" i="1"/>
  <c r="D31" i="75" s="1"/>
  <c r="E31" i="75" s="1"/>
  <c r="AG28" i="7"/>
  <c r="AH28" i="7"/>
  <c r="AA31" i="7"/>
  <c r="AB31" i="7"/>
  <c r="C32" i="1"/>
  <c r="Z32" i="7"/>
  <c r="AK26" i="7"/>
  <c r="AL26" i="7"/>
  <c r="AM26" i="7" s="1"/>
  <c r="D31" i="1"/>
  <c r="E31" i="1" s="1"/>
  <c r="AJ27" i="7"/>
  <c r="AI27" i="7"/>
  <c r="AF29" i="7"/>
  <c r="AE29" i="7"/>
  <c r="AC30" i="7"/>
  <c r="AD30" i="7"/>
  <c r="AO25" i="7"/>
  <c r="AN25" i="7" s="1"/>
  <c r="AR20" i="7"/>
  <c r="AS20" i="7" s="1"/>
  <c r="AX20" i="7" s="1"/>
  <c r="Y21" i="7"/>
  <c r="AR21" i="7" s="1"/>
  <c r="T23" i="7"/>
  <c r="S23" i="7"/>
  <c r="I28" i="7"/>
  <c r="J28" i="7"/>
  <c r="B32" i="7"/>
  <c r="B32" i="1"/>
  <c r="P25" i="7"/>
  <c r="O25" i="7"/>
  <c r="E30" i="7"/>
  <c r="F30" i="7"/>
  <c r="R24" i="7"/>
  <c r="Q24" i="7"/>
  <c r="C31" i="7"/>
  <c r="D31" i="7"/>
  <c r="AQ19" i="7"/>
  <c r="AS19" i="7"/>
  <c r="AX19" i="7" s="1"/>
  <c r="BC19" i="7"/>
  <c r="V22" i="7"/>
  <c r="W22" i="7" s="1"/>
  <c r="U22" i="7"/>
  <c r="M26" i="7"/>
  <c r="N26" i="7"/>
  <c r="L27" i="7"/>
  <c r="K27" i="7"/>
  <c r="H29" i="7"/>
  <c r="G29" i="7"/>
  <c r="AC30" i="2"/>
  <c r="AD29" i="2"/>
  <c r="AB30" i="2"/>
  <c r="AA31" i="2"/>
  <c r="Y29" i="2"/>
  <c r="Z28" i="2"/>
  <c r="AF28" i="2" s="1"/>
  <c r="B26" i="63"/>
  <c r="H29" i="65"/>
  <c r="W31" i="2"/>
  <c r="X30" i="2"/>
  <c r="A28" i="63"/>
  <c r="AE29" i="2"/>
  <c r="AG29" i="2" s="1"/>
  <c r="AI27" i="3"/>
  <c r="D29" i="65" s="1"/>
  <c r="I30" i="65"/>
  <c r="E27" i="63"/>
  <c r="AD28" i="3"/>
  <c r="BE30" i="7"/>
  <c r="BG30" i="7" s="1"/>
  <c r="Q29" i="2"/>
  <c r="P30" i="2"/>
  <c r="L30" i="2"/>
  <c r="M29" i="2"/>
  <c r="E28" i="82" s="1"/>
  <c r="J31" i="2"/>
  <c r="K30" i="2"/>
  <c r="F29" i="82" s="1"/>
  <c r="H31" i="2"/>
  <c r="I30" i="2"/>
  <c r="G29" i="82" s="1"/>
  <c r="G31" i="2"/>
  <c r="I30" i="82" s="1"/>
  <c r="F32" i="2"/>
  <c r="E28" i="2"/>
  <c r="D29" i="2"/>
  <c r="N27" i="2"/>
  <c r="H26" i="82"/>
  <c r="S27" i="76"/>
  <c r="T27" i="76" s="1"/>
  <c r="F25" i="81" s="1"/>
  <c r="E25" i="81"/>
  <c r="C25" i="63"/>
  <c r="D25" i="63" s="1"/>
  <c r="R26" i="2"/>
  <c r="J27" i="65"/>
  <c r="AI25" i="2"/>
  <c r="F29" i="65"/>
  <c r="H26" i="63"/>
  <c r="AK29" i="5"/>
  <c r="O31" i="79"/>
  <c r="H31" i="79" s="1"/>
  <c r="M32" i="79"/>
  <c r="I30" i="79"/>
  <c r="K30" i="5"/>
  <c r="L30" i="5" s="1"/>
  <c r="AC33" i="5" l="1"/>
  <c r="AD32" i="5"/>
  <c r="H30" i="3"/>
  <c r="I29" i="3"/>
  <c r="P27" i="3"/>
  <c r="Q26" i="3"/>
  <c r="AU32" i="5"/>
  <c r="AZ31" i="5"/>
  <c r="BC31" i="5" s="1"/>
  <c r="G18" i="81"/>
  <c r="AJ21" i="1"/>
  <c r="AK21" i="1" s="1"/>
  <c r="AS25" i="5"/>
  <c r="AY24" i="5"/>
  <c r="BB24" i="5" s="1"/>
  <c r="BE24" i="5" s="1"/>
  <c r="I19" i="63"/>
  <c r="BF23" i="5"/>
  <c r="BG23" i="5" s="1"/>
  <c r="G23" i="65" s="1"/>
  <c r="M25" i="5"/>
  <c r="N24" i="5"/>
  <c r="P24" i="5"/>
  <c r="O25" i="5"/>
  <c r="Q23" i="5"/>
  <c r="M19" i="81" s="1"/>
  <c r="M24" i="1"/>
  <c r="N23" i="1"/>
  <c r="V23" i="1" s="1"/>
  <c r="B22" i="65"/>
  <c r="E22" i="65" s="1"/>
  <c r="AI22" i="1"/>
  <c r="AW23" i="7" s="1"/>
  <c r="X23" i="3"/>
  <c r="Y22" i="3"/>
  <c r="AV36" i="7"/>
  <c r="H32" i="81" s="1"/>
  <c r="H31" i="81"/>
  <c r="Y22" i="7"/>
  <c r="AR22" i="7" s="1"/>
  <c r="BC22" i="7" s="1"/>
  <c r="H34" i="5"/>
  <c r="G35" i="5"/>
  <c r="AT32" i="1"/>
  <c r="AU32" i="1" s="1"/>
  <c r="I29" i="81" s="1"/>
  <c r="D33" i="3"/>
  <c r="E33" i="3" s="1"/>
  <c r="E32" i="3"/>
  <c r="C31" i="3"/>
  <c r="F31" i="3" s="1"/>
  <c r="B32" i="3"/>
  <c r="Y33" i="5"/>
  <c r="J29" i="82" s="1"/>
  <c r="X34" i="5"/>
  <c r="AO33" i="1"/>
  <c r="AN34" i="1"/>
  <c r="Z34" i="1"/>
  <c r="AA33" i="1"/>
  <c r="Y33" i="1"/>
  <c r="AB33" i="1" s="1"/>
  <c r="X34" i="1"/>
  <c r="K35" i="1"/>
  <c r="L35" i="1" s="1"/>
  <c r="L34" i="1"/>
  <c r="X21" i="7"/>
  <c r="U32" i="2"/>
  <c r="V31" i="2"/>
  <c r="S33" i="2"/>
  <c r="T33" i="2" s="1"/>
  <c r="T32" i="2"/>
  <c r="K32" i="76"/>
  <c r="N32" i="76" s="1"/>
  <c r="J33" i="76"/>
  <c r="H32" i="76"/>
  <c r="I31" i="76"/>
  <c r="M31" i="76" s="1"/>
  <c r="L30" i="76"/>
  <c r="D30" i="76"/>
  <c r="E30" i="76" s="1"/>
  <c r="F32" i="76"/>
  <c r="G31" i="76"/>
  <c r="B31" i="76"/>
  <c r="C30" i="76"/>
  <c r="U29" i="3"/>
  <c r="AA29" i="3" s="1"/>
  <c r="T30" i="3"/>
  <c r="R33" i="3"/>
  <c r="S32" i="3"/>
  <c r="V32" i="3" s="1"/>
  <c r="L32" i="3"/>
  <c r="M31" i="3"/>
  <c r="F27" i="63"/>
  <c r="AK27" i="3"/>
  <c r="AC27" i="3"/>
  <c r="AH27" i="3" s="1"/>
  <c r="N28" i="3"/>
  <c r="AB28" i="3" s="1"/>
  <c r="Z28" i="3"/>
  <c r="AE28" i="3" s="1"/>
  <c r="AF28" i="3" s="1"/>
  <c r="AG28" i="3" s="1"/>
  <c r="K29" i="3"/>
  <c r="Q29" i="3"/>
  <c r="J30" i="3"/>
  <c r="AX34" i="5"/>
  <c r="BA33" i="5"/>
  <c r="BD33" i="5" s="1"/>
  <c r="AV34" i="5"/>
  <c r="AT34" i="5"/>
  <c r="AH34" i="5"/>
  <c r="AI34" i="5" s="1"/>
  <c r="AG35" i="5"/>
  <c r="AF35" i="5"/>
  <c r="AE36" i="5"/>
  <c r="AF36" i="5" s="1"/>
  <c r="AA32" i="5"/>
  <c r="Z33" i="5"/>
  <c r="AJ32" i="5"/>
  <c r="K28" i="82" s="1"/>
  <c r="AL31" i="5"/>
  <c r="V33" i="5"/>
  <c r="W32" i="5"/>
  <c r="U33" i="5"/>
  <c r="T34" i="5"/>
  <c r="B34" i="5"/>
  <c r="C33" i="5"/>
  <c r="D32" i="5"/>
  <c r="E32" i="5"/>
  <c r="G29" i="63"/>
  <c r="I32" i="5"/>
  <c r="K27" i="81"/>
  <c r="J31" i="5"/>
  <c r="L27" i="81" s="1"/>
  <c r="AR35" i="1"/>
  <c r="AS35" i="1" s="1"/>
  <c r="AS34" i="1"/>
  <c r="AP34" i="1"/>
  <c r="AQ33" i="1"/>
  <c r="I28" i="81"/>
  <c r="AE33" i="1"/>
  <c r="AF32" i="1"/>
  <c r="AH32" i="1" s="1"/>
  <c r="C32" i="65" s="1"/>
  <c r="AC33" i="1"/>
  <c r="AD32" i="1"/>
  <c r="AG31" i="1"/>
  <c r="AM31" i="1"/>
  <c r="F32" i="75" s="1"/>
  <c r="G32" i="75" s="1"/>
  <c r="R32" i="1"/>
  <c r="Q33" i="1"/>
  <c r="S33" i="1"/>
  <c r="T33" i="1" s="1"/>
  <c r="P34" i="1"/>
  <c r="I34" i="1"/>
  <c r="H35" i="1"/>
  <c r="I35" i="1" s="1"/>
  <c r="G32" i="1"/>
  <c r="F33" i="1"/>
  <c r="J31" i="1"/>
  <c r="U31" i="1"/>
  <c r="AL31" i="1"/>
  <c r="D32" i="75" s="1"/>
  <c r="E32" i="75" s="1"/>
  <c r="C33" i="1"/>
  <c r="D33" i="1" s="1"/>
  <c r="E33" i="1" s="1"/>
  <c r="Z33" i="7"/>
  <c r="BC21" i="7"/>
  <c r="D32" i="1"/>
  <c r="E32" i="1" s="1"/>
  <c r="AJ28" i="7"/>
  <c r="AI28" i="7"/>
  <c r="AL27" i="7"/>
  <c r="AM27" i="7" s="1"/>
  <c r="AK27" i="7"/>
  <c r="AC31" i="7"/>
  <c r="AD31" i="7"/>
  <c r="AG29" i="7"/>
  <c r="AH29" i="7"/>
  <c r="AB32" i="7"/>
  <c r="AA32" i="7"/>
  <c r="AF30" i="7"/>
  <c r="AE30" i="7"/>
  <c r="AO26" i="7"/>
  <c r="AN26" i="7" s="1"/>
  <c r="BC20" i="7"/>
  <c r="AQ20" i="7"/>
  <c r="S24" i="7"/>
  <c r="T24" i="7"/>
  <c r="Q18" i="76"/>
  <c r="AY20" i="7"/>
  <c r="AQ21" i="7"/>
  <c r="AS21" i="7"/>
  <c r="AX21" i="7" s="1"/>
  <c r="G30" i="7"/>
  <c r="H30" i="7"/>
  <c r="J29" i="7"/>
  <c r="I29" i="7"/>
  <c r="C32" i="7"/>
  <c r="D32" i="7"/>
  <c r="B33" i="7"/>
  <c r="B33" i="1"/>
  <c r="P26" i="7"/>
  <c r="O26" i="7"/>
  <c r="F31" i="7"/>
  <c r="E31" i="7"/>
  <c r="U23" i="7"/>
  <c r="V23" i="7"/>
  <c r="W23" i="7" s="1"/>
  <c r="M27" i="7"/>
  <c r="N27" i="7"/>
  <c r="R25" i="7"/>
  <c r="Q25" i="7"/>
  <c r="K28" i="7"/>
  <c r="L28" i="7"/>
  <c r="AC31" i="2"/>
  <c r="AD30" i="2"/>
  <c r="AB31" i="2"/>
  <c r="AA32" i="2"/>
  <c r="Y30" i="2"/>
  <c r="Z29" i="2"/>
  <c r="AF29" i="2" s="1"/>
  <c r="B27" i="63"/>
  <c r="H30" i="65"/>
  <c r="X31" i="2"/>
  <c r="W32" i="2"/>
  <c r="AE30" i="2"/>
  <c r="AG30" i="2" s="1"/>
  <c r="A29" i="63"/>
  <c r="I31" i="65"/>
  <c r="E28" i="63"/>
  <c r="AD29" i="3"/>
  <c r="BE31" i="7"/>
  <c r="BG31" i="7" s="1"/>
  <c r="AI28" i="3"/>
  <c r="D30" i="65" s="1"/>
  <c r="Q30" i="2"/>
  <c r="P31" i="2"/>
  <c r="M30" i="2"/>
  <c r="E29" i="82" s="1"/>
  <c r="L31" i="2"/>
  <c r="K31" i="2"/>
  <c r="F30" i="82" s="1"/>
  <c r="J32" i="2"/>
  <c r="H32" i="2"/>
  <c r="I31" i="2"/>
  <c r="G30" i="82" s="1"/>
  <c r="F33" i="2"/>
  <c r="G33" i="2" s="1"/>
  <c r="I32" i="82" s="1"/>
  <c r="G32" i="2"/>
  <c r="I31" i="82" s="1"/>
  <c r="E29" i="2"/>
  <c r="D30" i="2"/>
  <c r="N28" i="2"/>
  <c r="H27" i="82"/>
  <c r="C26" i="63"/>
  <c r="D26" i="63" s="1"/>
  <c r="E26" i="81"/>
  <c r="S28" i="76"/>
  <c r="T28" i="76" s="1"/>
  <c r="F26" i="81" s="1"/>
  <c r="R27" i="2"/>
  <c r="J28" i="65"/>
  <c r="AI26" i="2"/>
  <c r="K31" i="5"/>
  <c r="L31" i="5" s="1"/>
  <c r="I31" i="79"/>
  <c r="O32" i="79"/>
  <c r="H32" i="79" s="1"/>
  <c r="M33" i="79"/>
  <c r="AK30" i="5"/>
  <c r="F30" i="65"/>
  <c r="H27" i="63"/>
  <c r="AU33" i="5" l="1"/>
  <c r="AZ32" i="5"/>
  <c r="BC32" i="5" s="1"/>
  <c r="H31" i="3"/>
  <c r="I30" i="3"/>
  <c r="Q24" i="5"/>
  <c r="M20" i="81" s="1"/>
  <c r="P28" i="3"/>
  <c r="Q28" i="3" s="1"/>
  <c r="Q27" i="3"/>
  <c r="AD33" i="5"/>
  <c r="AC34" i="5"/>
  <c r="X24" i="3"/>
  <c r="Y23" i="3"/>
  <c r="P25" i="5"/>
  <c r="O26" i="5"/>
  <c r="AS26" i="5"/>
  <c r="AY25" i="5"/>
  <c r="BB25" i="5" s="1"/>
  <c r="BE25" i="5" s="1"/>
  <c r="AI23" i="1"/>
  <c r="AW24" i="7" s="1"/>
  <c r="B23" i="65"/>
  <c r="E23" i="65" s="1"/>
  <c r="M25" i="1"/>
  <c r="N24" i="1"/>
  <c r="V24" i="1" s="1"/>
  <c r="I20" i="63"/>
  <c r="BF24" i="5"/>
  <c r="BG24" i="5" s="1"/>
  <c r="G24" i="65" s="1"/>
  <c r="AJ22" i="1"/>
  <c r="AK22" i="1" s="1"/>
  <c r="G19" i="81"/>
  <c r="M26" i="5"/>
  <c r="N25" i="5"/>
  <c r="X22" i="7"/>
  <c r="G36" i="5"/>
  <c r="H36" i="5" s="1"/>
  <c r="H35" i="5"/>
  <c r="D1" i="5"/>
  <c r="AT33" i="1"/>
  <c r="AU33" i="1" s="1"/>
  <c r="AO27" i="7"/>
  <c r="AN27" i="7" s="1"/>
  <c r="C32" i="3"/>
  <c r="F32" i="3" s="1"/>
  <c r="B33" i="3"/>
  <c r="Y34" i="5"/>
  <c r="J30" i="82" s="1"/>
  <c r="X35" i="5"/>
  <c r="AN35" i="1"/>
  <c r="AO35" i="1" s="1"/>
  <c r="AO34" i="1"/>
  <c r="AA34" i="1"/>
  <c r="Z35" i="1"/>
  <c r="AA35" i="1" s="1"/>
  <c r="X35" i="1"/>
  <c r="Y35" i="1" s="1"/>
  <c r="AB35" i="1" s="1"/>
  <c r="Y34" i="1"/>
  <c r="AB34" i="1" s="1"/>
  <c r="Y23" i="7"/>
  <c r="AR23" i="7" s="1"/>
  <c r="BC23" i="7" s="1"/>
  <c r="V32" i="2"/>
  <c r="U33" i="2"/>
  <c r="V33" i="2" s="1"/>
  <c r="K33" i="76"/>
  <c r="N33" i="76" s="1"/>
  <c r="J34" i="76"/>
  <c r="H33" i="76"/>
  <c r="I32" i="76"/>
  <c r="M32" i="76" s="1"/>
  <c r="F33" i="76"/>
  <c r="G32" i="76"/>
  <c r="D31" i="76"/>
  <c r="E31" i="76" s="1"/>
  <c r="L31" i="76"/>
  <c r="B32" i="76"/>
  <c r="C31" i="76"/>
  <c r="U30" i="3"/>
  <c r="AA30" i="3" s="1"/>
  <c r="T31" i="3"/>
  <c r="S33" i="3"/>
  <c r="M32" i="3"/>
  <c r="L33" i="3"/>
  <c r="M33" i="3" s="1"/>
  <c r="K30" i="3"/>
  <c r="J31" i="3"/>
  <c r="Q30" i="3"/>
  <c r="F28" i="63"/>
  <c r="AK28" i="3"/>
  <c r="AC28" i="3"/>
  <c r="AH28" i="3" s="1"/>
  <c r="Z29" i="3"/>
  <c r="AE29" i="3" s="1"/>
  <c r="AF29" i="3" s="1"/>
  <c r="AG29" i="3" s="1"/>
  <c r="N29" i="3"/>
  <c r="AB29" i="3" s="1"/>
  <c r="BA34" i="5"/>
  <c r="BD34" i="5" s="1"/>
  <c r="AX35" i="5"/>
  <c r="AV35" i="5"/>
  <c r="AT35" i="5"/>
  <c r="AI36" i="5"/>
  <c r="AI35" i="5"/>
  <c r="AG36" i="5"/>
  <c r="AH36" i="5" s="1"/>
  <c r="AH35" i="5"/>
  <c r="AA33" i="5"/>
  <c r="Z34" i="5"/>
  <c r="AJ33" i="5"/>
  <c r="K29" i="82" s="1"/>
  <c r="AL32" i="5"/>
  <c r="W33" i="5"/>
  <c r="V34" i="5"/>
  <c r="U34" i="5"/>
  <c r="T35" i="5"/>
  <c r="B35" i="5"/>
  <c r="C34" i="5"/>
  <c r="K28" i="81"/>
  <c r="J32" i="5"/>
  <c r="L28" i="81" s="1"/>
  <c r="G30" i="63"/>
  <c r="D33" i="5"/>
  <c r="E33" i="5"/>
  <c r="I33" i="5"/>
  <c r="AP35" i="1"/>
  <c r="AQ35" i="1" s="1"/>
  <c r="AQ34" i="1"/>
  <c r="AF33" i="1"/>
  <c r="AH33" i="1" s="1"/>
  <c r="C33" i="65" s="1"/>
  <c r="AE34" i="1"/>
  <c r="AC34" i="1"/>
  <c r="AD33" i="1"/>
  <c r="AM32" i="1"/>
  <c r="F33" i="75" s="1"/>
  <c r="G33" i="75" s="1"/>
  <c r="AG32" i="1"/>
  <c r="Q34" i="1"/>
  <c r="R33" i="1"/>
  <c r="S34" i="1"/>
  <c r="T34" i="1" s="1"/>
  <c r="P35" i="1"/>
  <c r="S35" i="1" s="1"/>
  <c r="T35" i="1" s="1"/>
  <c r="G33" i="1"/>
  <c r="F34" i="1"/>
  <c r="AL32" i="1"/>
  <c r="D33" i="75" s="1"/>
  <c r="E33" i="75" s="1"/>
  <c r="U32" i="1"/>
  <c r="J32" i="1"/>
  <c r="AG30" i="7"/>
  <c r="AH30" i="7"/>
  <c r="C34" i="1"/>
  <c r="D34" i="1" s="1"/>
  <c r="E34" i="1" s="1"/>
  <c r="Z34" i="7"/>
  <c r="AF31" i="7"/>
  <c r="AE31" i="7"/>
  <c r="AI29" i="7"/>
  <c r="AJ29" i="7"/>
  <c r="AB33" i="7"/>
  <c r="AA33" i="7"/>
  <c r="AC32" i="7"/>
  <c r="AD32" i="7"/>
  <c r="AL28" i="7"/>
  <c r="AM28" i="7" s="1"/>
  <c r="AK28" i="7"/>
  <c r="D33" i="7"/>
  <c r="C33" i="7"/>
  <c r="AS22" i="7"/>
  <c r="AX22" i="7" s="1"/>
  <c r="AQ22" i="7"/>
  <c r="F32" i="7"/>
  <c r="E32" i="7"/>
  <c r="Q19" i="76"/>
  <c r="AY21" i="7"/>
  <c r="O27" i="7"/>
  <c r="P27" i="7"/>
  <c r="Q26" i="7"/>
  <c r="R26" i="7"/>
  <c r="U24" i="7"/>
  <c r="V24" i="7"/>
  <c r="W24" i="7" s="1"/>
  <c r="S25" i="7"/>
  <c r="T25" i="7"/>
  <c r="J30" i="7"/>
  <c r="I30" i="7"/>
  <c r="M28" i="7"/>
  <c r="N28" i="7"/>
  <c r="B34" i="7"/>
  <c r="B34" i="1"/>
  <c r="H31" i="7"/>
  <c r="G31" i="7"/>
  <c r="K29" i="7"/>
  <c r="L29" i="7"/>
  <c r="Q17" i="76"/>
  <c r="AY19" i="7"/>
  <c r="AD31" i="2"/>
  <c r="AC32" i="2"/>
  <c r="AB32" i="2"/>
  <c r="AA33" i="2"/>
  <c r="AB33" i="2" s="1"/>
  <c r="H31" i="65"/>
  <c r="B28" i="63"/>
  <c r="Y31" i="2"/>
  <c r="Z30" i="2"/>
  <c r="AF30" i="2" s="1"/>
  <c r="A30" i="63"/>
  <c r="AE31" i="2"/>
  <c r="AG31" i="2" s="1"/>
  <c r="X32" i="2"/>
  <c r="W33" i="2"/>
  <c r="X33" i="2" s="1"/>
  <c r="AI29" i="3"/>
  <c r="D31" i="65" s="1"/>
  <c r="AD30" i="3"/>
  <c r="I32" i="65"/>
  <c r="BE32" i="7"/>
  <c r="BG32" i="7" s="1"/>
  <c r="E29" i="63"/>
  <c r="Q31" i="2"/>
  <c r="P32" i="2"/>
  <c r="L32" i="2"/>
  <c r="M31" i="2"/>
  <c r="E30" i="82" s="1"/>
  <c r="J33" i="2"/>
  <c r="K33" i="2" s="1"/>
  <c r="F32" i="82" s="1"/>
  <c r="K32" i="2"/>
  <c r="F31" i="82" s="1"/>
  <c r="I32" i="2"/>
  <c r="G31" i="82" s="1"/>
  <c r="H33" i="2"/>
  <c r="I33" i="2" s="1"/>
  <c r="G32" i="82" s="1"/>
  <c r="J29" i="65"/>
  <c r="AI27" i="2"/>
  <c r="N29" i="2"/>
  <c r="H28" i="82"/>
  <c r="E30" i="2"/>
  <c r="D31" i="2"/>
  <c r="C27" i="63"/>
  <c r="D27" i="63" s="1"/>
  <c r="R28" i="2"/>
  <c r="E27" i="81"/>
  <c r="S29" i="76"/>
  <c r="T29" i="76" s="1"/>
  <c r="F27" i="81" s="1"/>
  <c r="M34" i="79"/>
  <c r="O33" i="79"/>
  <c r="H33" i="79" s="1"/>
  <c r="AK31" i="5"/>
  <c r="H28" i="63"/>
  <c r="F31" i="65"/>
  <c r="K32" i="5"/>
  <c r="L32" i="5" s="1"/>
  <c r="I32" i="79"/>
  <c r="H32" i="3" l="1"/>
  <c r="I31" i="3"/>
  <c r="AD34" i="5"/>
  <c r="AC35" i="5"/>
  <c r="AU34" i="5"/>
  <c r="AZ33" i="5"/>
  <c r="BC33" i="5" s="1"/>
  <c r="O27" i="5"/>
  <c r="P26" i="5"/>
  <c r="Q25" i="5"/>
  <c r="M21" i="81" s="1"/>
  <c r="X25" i="3"/>
  <c r="Y24" i="3"/>
  <c r="N25" i="1"/>
  <c r="V25" i="1" s="1"/>
  <c r="M26" i="1"/>
  <c r="AS27" i="5"/>
  <c r="AY26" i="5"/>
  <c r="BB26" i="5" s="1"/>
  <c r="BE26" i="5" s="1"/>
  <c r="N26" i="5"/>
  <c r="M27" i="5"/>
  <c r="B24" i="65"/>
  <c r="E24" i="65" s="1"/>
  <c r="AI24" i="1"/>
  <c r="AW25" i="7" s="1"/>
  <c r="I21" i="63"/>
  <c r="BF25" i="5"/>
  <c r="BG25" i="5" s="1"/>
  <c r="G25" i="65" s="1"/>
  <c r="AJ23" i="1"/>
  <c r="AK23" i="1" s="1"/>
  <c r="G20" i="81"/>
  <c r="H37" i="5"/>
  <c r="C7" i="77" s="1"/>
  <c r="AT35" i="1"/>
  <c r="Y24" i="7"/>
  <c r="X24" i="7" s="1"/>
  <c r="AT34" i="1"/>
  <c r="AU34" i="1" s="1"/>
  <c r="C33" i="3"/>
  <c r="X36" i="5"/>
  <c r="Y36" i="5" s="1"/>
  <c r="Y35" i="5"/>
  <c r="J31" i="82" s="1"/>
  <c r="X23" i="7"/>
  <c r="W26" i="76"/>
  <c r="AA26" i="76" s="1"/>
  <c r="AB26" i="76" s="1"/>
  <c r="K34" i="76"/>
  <c r="N34" i="76" s="1"/>
  <c r="N35" i="76" s="1"/>
  <c r="N36" i="76" s="1"/>
  <c r="I33" i="76"/>
  <c r="M33" i="76" s="1"/>
  <c r="H34" i="76"/>
  <c r="L32" i="76"/>
  <c r="D32" i="76"/>
  <c r="E32" i="76" s="1"/>
  <c r="F34" i="76"/>
  <c r="G33" i="76"/>
  <c r="C32" i="76"/>
  <c r="B33" i="76"/>
  <c r="T32" i="3"/>
  <c r="U31" i="3"/>
  <c r="AA31" i="3" s="1"/>
  <c r="V33" i="3"/>
  <c r="S35" i="3"/>
  <c r="Z30" i="3"/>
  <c r="AE30" i="3" s="1"/>
  <c r="AF30" i="3" s="1"/>
  <c r="AG30" i="3" s="1"/>
  <c r="N30" i="3"/>
  <c r="AB30" i="3" s="1"/>
  <c r="J32" i="3"/>
  <c r="Q31" i="3"/>
  <c r="K31" i="3"/>
  <c r="AC29" i="3"/>
  <c r="AH29" i="3" s="1"/>
  <c r="F29" i="63"/>
  <c r="AK29" i="3"/>
  <c r="AX36" i="5"/>
  <c r="BA36" i="5" s="1"/>
  <c r="BA35" i="5"/>
  <c r="BD35" i="5" s="1"/>
  <c r="AV36" i="5"/>
  <c r="AT36" i="5"/>
  <c r="AJ34" i="5"/>
  <c r="K30" i="82" s="1"/>
  <c r="AA34" i="5"/>
  <c r="Z35" i="5"/>
  <c r="AL33" i="5"/>
  <c r="W34" i="5"/>
  <c r="V35" i="5"/>
  <c r="T36" i="5"/>
  <c r="U36" i="5" s="1"/>
  <c r="U37" i="5" s="1"/>
  <c r="U35" i="5"/>
  <c r="B36" i="5"/>
  <c r="C36" i="5" s="1"/>
  <c r="C35" i="5"/>
  <c r="D34" i="5"/>
  <c r="I34" i="5"/>
  <c r="E34" i="5"/>
  <c r="G31" i="63"/>
  <c r="K29" i="81"/>
  <c r="J33" i="5"/>
  <c r="L29" i="81" s="1"/>
  <c r="I30" i="81"/>
  <c r="AE35" i="1"/>
  <c r="AF35" i="1" s="1"/>
  <c r="AH35" i="1" s="1"/>
  <c r="AF34" i="1"/>
  <c r="AH34" i="1" s="1"/>
  <c r="C34" i="65" s="1"/>
  <c r="AM33" i="1"/>
  <c r="F34" i="75" s="1"/>
  <c r="G34" i="75" s="1"/>
  <c r="AG33" i="1"/>
  <c r="AC35" i="1"/>
  <c r="AD35" i="1" s="1"/>
  <c r="AD34" i="1"/>
  <c r="Q35" i="1"/>
  <c r="R35" i="1" s="1"/>
  <c r="R34" i="1"/>
  <c r="J33" i="1"/>
  <c r="U33" i="1"/>
  <c r="AL33" i="1"/>
  <c r="D34" i="75" s="1"/>
  <c r="E34" i="75" s="1"/>
  <c r="F35" i="1"/>
  <c r="G35" i="1" s="1"/>
  <c r="G34" i="1"/>
  <c r="AD33" i="7"/>
  <c r="AC33" i="7"/>
  <c r="AJ30" i="7"/>
  <c r="AI30" i="7"/>
  <c r="AF32" i="7"/>
  <c r="AE32" i="7"/>
  <c r="AB34" i="7"/>
  <c r="AA34" i="7"/>
  <c r="AK29" i="7"/>
  <c r="AL29" i="7"/>
  <c r="AM29" i="7" s="1"/>
  <c r="AH31" i="7"/>
  <c r="AG31" i="7"/>
  <c r="Z35" i="7"/>
  <c r="C35" i="1"/>
  <c r="Z36" i="7" s="1"/>
  <c r="AO28" i="7"/>
  <c r="AN28" i="7" s="1"/>
  <c r="E33" i="7"/>
  <c r="F33" i="7"/>
  <c r="H32" i="7"/>
  <c r="G32" i="7"/>
  <c r="I31" i="7"/>
  <c r="J31" i="7"/>
  <c r="U25" i="7"/>
  <c r="V25" i="7"/>
  <c r="W25" i="7" s="1"/>
  <c r="L30" i="7"/>
  <c r="K30" i="7"/>
  <c r="M29" i="7"/>
  <c r="N29" i="7"/>
  <c r="Q27" i="7"/>
  <c r="R27" i="7"/>
  <c r="D34" i="7"/>
  <c r="C34" i="7"/>
  <c r="AS23" i="7"/>
  <c r="AX23" i="7" s="1"/>
  <c r="AQ23" i="7"/>
  <c r="B35" i="7"/>
  <c r="B35" i="1"/>
  <c r="B36" i="7" s="1"/>
  <c r="P28" i="7"/>
  <c r="O28" i="7"/>
  <c r="S26" i="7"/>
  <c r="T26" i="7"/>
  <c r="AD32" i="2"/>
  <c r="AC33" i="2"/>
  <c r="AD33" i="2" s="1"/>
  <c r="AE33" i="2"/>
  <c r="AG33" i="2" s="1"/>
  <c r="B29" i="63"/>
  <c r="H32" i="65"/>
  <c r="Y32" i="2"/>
  <c r="Z31" i="2"/>
  <c r="AF31" i="2" s="1"/>
  <c r="AE32" i="2"/>
  <c r="AG32" i="2" s="1"/>
  <c r="A31" i="63"/>
  <c r="AI30" i="3"/>
  <c r="D32" i="65" s="1"/>
  <c r="E30" i="63"/>
  <c r="AD31" i="3"/>
  <c r="I33" i="65"/>
  <c r="BE33" i="7"/>
  <c r="BG33" i="7" s="1"/>
  <c r="P33" i="2"/>
  <c r="Q33" i="2" s="1"/>
  <c r="AD33" i="3" s="1"/>
  <c r="Q32" i="2"/>
  <c r="L33" i="2"/>
  <c r="M33" i="2" s="1"/>
  <c r="E32" i="82" s="1"/>
  <c r="M32" i="2"/>
  <c r="E31" i="82" s="1"/>
  <c r="C28" i="63"/>
  <c r="D28" i="63" s="1"/>
  <c r="S30" i="76"/>
  <c r="T30" i="76" s="1"/>
  <c r="F28" i="81" s="1"/>
  <c r="E28" i="81"/>
  <c r="R29" i="2"/>
  <c r="N30" i="2"/>
  <c r="H29" i="82"/>
  <c r="E31" i="2"/>
  <c r="D32" i="2"/>
  <c r="J30" i="65"/>
  <c r="AI28" i="2"/>
  <c r="H29" i="63"/>
  <c r="F32" i="65"/>
  <c r="AK32" i="5"/>
  <c r="M35" i="79"/>
  <c r="O34" i="79"/>
  <c r="H34" i="79" s="1"/>
  <c r="I33" i="79"/>
  <c r="K33" i="5"/>
  <c r="L33" i="5" s="1"/>
  <c r="AC36" i="5" l="1"/>
  <c r="AD36" i="5" s="1"/>
  <c r="AD35" i="5"/>
  <c r="Q26" i="5"/>
  <c r="M22" i="81" s="1"/>
  <c r="AU35" i="5"/>
  <c r="AZ34" i="5"/>
  <c r="BC34" i="5" s="1"/>
  <c r="H33" i="3"/>
  <c r="I33" i="3" s="1"/>
  <c r="I32" i="3"/>
  <c r="I22" i="63"/>
  <c r="BF26" i="5"/>
  <c r="BG26" i="5" s="1"/>
  <c r="G26" i="65" s="1"/>
  <c r="O28" i="5"/>
  <c r="P27" i="5"/>
  <c r="X26" i="3"/>
  <c r="Y25" i="3"/>
  <c r="B25" i="65"/>
  <c r="E25" i="65" s="1"/>
  <c r="AI25" i="1"/>
  <c r="AW26" i="7" s="1"/>
  <c r="M28" i="5"/>
  <c r="N27" i="5"/>
  <c r="AJ24" i="1"/>
  <c r="AK24" i="1" s="1"/>
  <c r="G21" i="81"/>
  <c r="N26" i="1"/>
  <c r="V26" i="1" s="1"/>
  <c r="M27" i="1"/>
  <c r="AS28" i="5"/>
  <c r="AY27" i="5"/>
  <c r="BB27" i="5" s="1"/>
  <c r="BE27" i="5" s="1"/>
  <c r="BD36" i="5"/>
  <c r="AR24" i="7"/>
  <c r="BC24" i="7" s="1"/>
  <c r="I31" i="81"/>
  <c r="AU35" i="1"/>
  <c r="I32" i="81" s="1"/>
  <c r="AO29" i="7"/>
  <c r="AN29" i="7" s="1"/>
  <c r="Y25" i="7"/>
  <c r="AR25" i="7" s="1"/>
  <c r="F33" i="3"/>
  <c r="C35" i="3"/>
  <c r="J32" i="82"/>
  <c r="Y37" i="5"/>
  <c r="I34" i="76"/>
  <c r="M34" i="76" s="1"/>
  <c r="M35" i="76" s="1"/>
  <c r="M36" i="76" s="1"/>
  <c r="W27" i="76"/>
  <c r="AA27" i="76" s="1"/>
  <c r="AB27" i="76" s="1"/>
  <c r="W28" i="76"/>
  <c r="AA28" i="76" s="1"/>
  <c r="G34" i="76"/>
  <c r="D33" i="76"/>
  <c r="E33" i="76" s="1"/>
  <c r="L33" i="76"/>
  <c r="B34" i="76"/>
  <c r="C34" i="76" s="1"/>
  <c r="C33" i="76"/>
  <c r="T33" i="3"/>
  <c r="U33" i="3" s="1"/>
  <c r="AA33" i="3" s="1"/>
  <c r="U32" i="3"/>
  <c r="AA32" i="3" s="1"/>
  <c r="AC30" i="3"/>
  <c r="AH30" i="3" s="1"/>
  <c r="F30" i="63"/>
  <c r="AK30" i="3"/>
  <c r="Q32" i="3"/>
  <c r="K32" i="3"/>
  <c r="J33" i="3"/>
  <c r="N31" i="3"/>
  <c r="AB31" i="3" s="1"/>
  <c r="Z31" i="3"/>
  <c r="AJ35" i="5"/>
  <c r="K31" i="82" s="1"/>
  <c r="Z36" i="5"/>
  <c r="AA35" i="5"/>
  <c r="AL34" i="5"/>
  <c r="V36" i="5"/>
  <c r="W36" i="5" s="1"/>
  <c r="W35" i="5"/>
  <c r="D35" i="5"/>
  <c r="D39" i="5" s="1"/>
  <c r="I35" i="5"/>
  <c r="E35" i="5"/>
  <c r="E38" i="5" s="1"/>
  <c r="D36" i="5"/>
  <c r="E36" i="5"/>
  <c r="I36" i="5"/>
  <c r="C37" i="5"/>
  <c r="K30" i="81"/>
  <c r="J34" i="5"/>
  <c r="L30" i="81" s="1"/>
  <c r="AG35" i="1"/>
  <c r="AM35" i="1"/>
  <c r="AM34" i="1"/>
  <c r="F35" i="75" s="1"/>
  <c r="G35" i="75" s="1"/>
  <c r="AG34" i="1"/>
  <c r="AL34" i="1"/>
  <c r="D35" i="75" s="1"/>
  <c r="E35" i="75" s="1"/>
  <c r="U34" i="1"/>
  <c r="J34" i="1"/>
  <c r="J36" i="1" s="1"/>
  <c r="J1" i="1" s="1"/>
  <c r="J35" i="1"/>
  <c r="U35" i="1"/>
  <c r="AL35" i="1"/>
  <c r="AG32" i="7"/>
  <c r="AH32" i="7"/>
  <c r="AA35" i="7"/>
  <c r="AB35" i="7"/>
  <c r="AL30" i="7"/>
  <c r="AM30" i="7" s="1"/>
  <c r="AK30" i="7"/>
  <c r="AA36" i="7"/>
  <c r="AB36" i="7"/>
  <c r="AD34" i="7"/>
  <c r="AC34" i="7"/>
  <c r="AF33" i="7"/>
  <c r="AE33" i="7"/>
  <c r="AI31" i="7"/>
  <c r="AJ31" i="7"/>
  <c r="D35" i="1"/>
  <c r="E35" i="1" s="1"/>
  <c r="I32" i="7"/>
  <c r="J32" i="7"/>
  <c r="R28" i="7"/>
  <c r="Q28" i="7"/>
  <c r="X25" i="7"/>
  <c r="H33" i="7"/>
  <c r="G33" i="7"/>
  <c r="V26" i="7"/>
  <c r="W26" i="7" s="1"/>
  <c r="U26" i="7"/>
  <c r="L31" i="7"/>
  <c r="K31" i="7"/>
  <c r="C35" i="7"/>
  <c r="D35" i="7"/>
  <c r="M30" i="7"/>
  <c r="N30" i="7"/>
  <c r="AY22" i="7"/>
  <c r="Q20" i="76"/>
  <c r="AY23" i="7"/>
  <c r="Q21" i="76"/>
  <c r="P29" i="7"/>
  <c r="O29" i="7"/>
  <c r="S27" i="7"/>
  <c r="T27" i="7"/>
  <c r="E34" i="7"/>
  <c r="F34" i="7"/>
  <c r="C36" i="7"/>
  <c r="D36" i="7"/>
  <c r="Y33" i="2"/>
  <c r="Z33" i="2" s="1"/>
  <c r="AF33" i="2" s="1"/>
  <c r="Z32" i="2"/>
  <c r="AF32" i="2" s="1"/>
  <c r="B31" i="63" s="1"/>
  <c r="H33" i="65"/>
  <c r="B30" i="63"/>
  <c r="AI31" i="3"/>
  <c r="D33" i="65" s="1"/>
  <c r="AD32" i="3"/>
  <c r="E31" i="63"/>
  <c r="AI29" i="2"/>
  <c r="J31" i="65"/>
  <c r="R30" i="2"/>
  <c r="S31" i="76"/>
  <c r="T31" i="76" s="1"/>
  <c r="F29" i="81" s="1"/>
  <c r="C29" i="63"/>
  <c r="D29" i="63" s="1"/>
  <c r="E29" i="81"/>
  <c r="N31" i="2"/>
  <c r="H30" i="82"/>
  <c r="E32" i="2"/>
  <c r="D33" i="2"/>
  <c r="E33" i="2" s="1"/>
  <c r="M36" i="79"/>
  <c r="O36" i="79" s="1"/>
  <c r="H36" i="79" s="1"/>
  <c r="O35" i="79"/>
  <c r="H35" i="79" s="1"/>
  <c r="K34" i="5"/>
  <c r="L34" i="5" s="1"/>
  <c r="I34" i="79"/>
  <c r="H30" i="63"/>
  <c r="AK33" i="5"/>
  <c r="F33" i="65"/>
  <c r="A36" i="76" l="1"/>
  <c r="AU36" i="5"/>
  <c r="AZ36" i="5" s="1"/>
  <c r="AZ35" i="5"/>
  <c r="BC35" i="5" s="1"/>
  <c r="M29" i="5"/>
  <c r="N28" i="5"/>
  <c r="P28" i="5"/>
  <c r="O29" i="5"/>
  <c r="X27" i="3"/>
  <c r="Y26" i="3"/>
  <c r="Q27" i="5"/>
  <c r="M23" i="81" s="1"/>
  <c r="AS29" i="5"/>
  <c r="AY28" i="5"/>
  <c r="BB28" i="5" s="1"/>
  <c r="BE28" i="5" s="1"/>
  <c r="B26" i="65"/>
  <c r="E26" i="65" s="1"/>
  <c r="AI26" i="1"/>
  <c r="AW27" i="7" s="1"/>
  <c r="I23" i="63"/>
  <c r="BF27" i="5"/>
  <c r="BG27" i="5" s="1"/>
  <c r="G27" i="65" s="1"/>
  <c r="N27" i="1"/>
  <c r="V27" i="1" s="1"/>
  <c r="M28" i="1"/>
  <c r="AJ25" i="1"/>
  <c r="AK25" i="1" s="1"/>
  <c r="G22" i="81"/>
  <c r="AU36" i="1"/>
  <c r="AU38" i="1" s="1"/>
  <c r="BC25" i="7"/>
  <c r="Y26" i="7"/>
  <c r="X26" i="7" s="1"/>
  <c r="AQ24" i="7"/>
  <c r="AS24" i="7"/>
  <c r="AO30" i="7"/>
  <c r="AN30" i="7" s="1"/>
  <c r="AB28" i="76"/>
  <c r="AA29" i="76"/>
  <c r="D34" i="76"/>
  <c r="E34" i="76" s="1"/>
  <c r="L34" i="76"/>
  <c r="L35" i="76" s="1"/>
  <c r="L36" i="76" s="1"/>
  <c r="D38" i="73"/>
  <c r="C16" i="77" s="1"/>
  <c r="F16" i="77" s="1"/>
  <c r="G36" i="76"/>
  <c r="C36" i="76"/>
  <c r="I36" i="76"/>
  <c r="AC30" i="76"/>
  <c r="K35" i="76"/>
  <c r="G4" i="77"/>
  <c r="AK31" i="3"/>
  <c r="F31" i="63"/>
  <c r="AC31" i="3"/>
  <c r="Z32" i="3"/>
  <c r="N32" i="3"/>
  <c r="AB32" i="3" s="1"/>
  <c r="Q33" i="3"/>
  <c r="K33" i="3"/>
  <c r="AE31" i="3"/>
  <c r="AF31" i="3" s="1"/>
  <c r="AG31" i="3" s="1"/>
  <c r="AA36" i="5"/>
  <c r="AJ36" i="5"/>
  <c r="AL36" i="5" s="1"/>
  <c r="AL37" i="5" s="1"/>
  <c r="AL35" i="5"/>
  <c r="K31" i="81"/>
  <c r="J35" i="5"/>
  <c r="L31" i="81" s="1"/>
  <c r="K32" i="81"/>
  <c r="J36" i="5"/>
  <c r="L32" i="81" s="1"/>
  <c r="I37" i="5"/>
  <c r="C6" i="77"/>
  <c r="C38" i="5"/>
  <c r="D37" i="5"/>
  <c r="O19" i="1"/>
  <c r="O5" i="1"/>
  <c r="O27" i="1"/>
  <c r="O12" i="1"/>
  <c r="O6" i="1"/>
  <c r="O9" i="1"/>
  <c r="O16" i="1"/>
  <c r="O26" i="1"/>
  <c r="O22" i="1"/>
  <c r="O14" i="1"/>
  <c r="O24" i="1"/>
  <c r="O30" i="1"/>
  <c r="O29" i="1"/>
  <c r="O34" i="1"/>
  <c r="O8" i="1"/>
  <c r="O17" i="1"/>
  <c r="O13" i="1"/>
  <c r="O33" i="1"/>
  <c r="O25" i="1"/>
  <c r="O18" i="1"/>
  <c r="O31" i="1"/>
  <c r="O11" i="1"/>
  <c r="O23" i="1"/>
  <c r="O35" i="1"/>
  <c r="O10" i="1"/>
  <c r="O15" i="1"/>
  <c r="O28" i="1"/>
  <c r="O20" i="1"/>
  <c r="O32" i="1"/>
  <c r="O21" i="1"/>
  <c r="AC36" i="7"/>
  <c r="AD36" i="7"/>
  <c r="AI32" i="7"/>
  <c r="AJ32" i="7"/>
  <c r="AK31" i="7"/>
  <c r="AO31" i="7" s="1"/>
  <c r="AN31" i="7" s="1"/>
  <c r="AL31" i="7"/>
  <c r="AM31" i="7" s="1"/>
  <c r="AF34" i="7"/>
  <c r="AE34" i="7"/>
  <c r="AH33" i="7"/>
  <c r="AG33" i="7"/>
  <c r="AD35" i="7"/>
  <c r="AC35" i="7"/>
  <c r="F35" i="7"/>
  <c r="E35" i="7"/>
  <c r="L32" i="7"/>
  <c r="K32" i="7"/>
  <c r="R29" i="7"/>
  <c r="Q29" i="7"/>
  <c r="P30" i="7"/>
  <c r="O30" i="7"/>
  <c r="F36" i="7"/>
  <c r="E36" i="7"/>
  <c r="I33" i="7"/>
  <c r="J33" i="7"/>
  <c r="N31" i="7"/>
  <c r="M31" i="7"/>
  <c r="G34" i="7"/>
  <c r="H34" i="7"/>
  <c r="AQ25" i="7"/>
  <c r="AS25" i="7"/>
  <c r="AX25" i="7" s="1"/>
  <c r="V27" i="7"/>
  <c r="W27" i="7" s="1"/>
  <c r="U27" i="7"/>
  <c r="S28" i="7"/>
  <c r="T28" i="7"/>
  <c r="AI32" i="3"/>
  <c r="D34" i="65" s="1"/>
  <c r="H31" i="82"/>
  <c r="N32" i="2"/>
  <c r="N33" i="2"/>
  <c r="H32" i="82"/>
  <c r="AI30" i="2"/>
  <c r="J32" i="65"/>
  <c r="R31" i="2"/>
  <c r="E30" i="81"/>
  <c r="C30" i="63"/>
  <c r="D30" i="63" s="1"/>
  <c r="S32" i="76"/>
  <c r="T32" i="76" s="1"/>
  <c r="F30" i="81" s="1"/>
  <c r="K36" i="5"/>
  <c r="I36" i="79"/>
  <c r="I35" i="79"/>
  <c r="K35" i="5"/>
  <c r="L35" i="5" s="1"/>
  <c r="AK35" i="5" s="1"/>
  <c r="F34" i="65"/>
  <c r="H31" i="63"/>
  <c r="AK34" i="5"/>
  <c r="AX24" i="7" l="1"/>
  <c r="AY24" i="7" s="1"/>
  <c r="BC36" i="5"/>
  <c r="I24" i="63"/>
  <c r="BF28" i="5"/>
  <c r="BG28" i="5" s="1"/>
  <c r="G28" i="65" s="1"/>
  <c r="M30" i="5"/>
  <c r="N29" i="5"/>
  <c r="B27" i="65"/>
  <c r="E27" i="65" s="1"/>
  <c r="AI27" i="1"/>
  <c r="AW28" i="7" s="1"/>
  <c r="G23" i="81"/>
  <c r="AJ26" i="1"/>
  <c r="AK26" i="1" s="1"/>
  <c r="X28" i="3"/>
  <c r="Y27" i="3"/>
  <c r="N28" i="1"/>
  <c r="V28" i="1" s="1"/>
  <c r="M29" i="1"/>
  <c r="O30" i="5"/>
  <c r="P29" i="5"/>
  <c r="AS30" i="5"/>
  <c r="AY29" i="5"/>
  <c r="BB29" i="5" s="1"/>
  <c r="BE29" i="5" s="1"/>
  <c r="Q28" i="5"/>
  <c r="M24" i="81" s="1"/>
  <c r="Q22" i="76"/>
  <c r="AR26" i="7"/>
  <c r="BC26" i="7" s="1"/>
  <c r="I37" i="76"/>
  <c r="AD27" i="76" s="1"/>
  <c r="AE28" i="76"/>
  <c r="AF28" i="76" s="1"/>
  <c r="AB30" i="76"/>
  <c r="G37" i="76"/>
  <c r="F9" i="77"/>
  <c r="G7" i="77"/>
  <c r="F8" i="77"/>
  <c r="K37" i="76"/>
  <c r="AD26" i="76" s="1"/>
  <c r="AC31" i="76"/>
  <c r="W39" i="76"/>
  <c r="AH31" i="3"/>
  <c r="AK32" i="3"/>
  <c r="AC32" i="3"/>
  <c r="N33" i="3"/>
  <c r="AB33" i="3" s="1"/>
  <c r="Z33" i="3"/>
  <c r="K35" i="3"/>
  <c r="U34" i="3" s="1"/>
  <c r="W31" i="76" s="1"/>
  <c r="X31" i="76" s="1"/>
  <c r="Y31" i="76" s="1"/>
  <c r="AE32" i="3"/>
  <c r="AF32" i="3" s="1"/>
  <c r="AG32" i="3" s="1"/>
  <c r="K32" i="82"/>
  <c r="AJ37" i="5"/>
  <c r="Z38" i="5" s="1"/>
  <c r="E6" i="77"/>
  <c r="F6" i="77" s="1"/>
  <c r="H6" i="77"/>
  <c r="AJ39" i="5"/>
  <c r="AM39" i="5" s="1"/>
  <c r="H39" i="5"/>
  <c r="G39" i="5"/>
  <c r="I38" i="5"/>
  <c r="AJ33" i="7"/>
  <c r="AI33" i="7"/>
  <c r="AE36" i="7"/>
  <c r="AF36" i="7"/>
  <c r="AF35" i="7"/>
  <c r="AE35" i="7"/>
  <c r="AK32" i="7"/>
  <c r="AL32" i="7"/>
  <c r="AM32" i="7" s="1"/>
  <c r="AH34" i="7"/>
  <c r="AG34" i="7"/>
  <c r="K33" i="7"/>
  <c r="L33" i="7"/>
  <c r="P31" i="7"/>
  <c r="O31" i="7"/>
  <c r="V28" i="7"/>
  <c r="W28" i="7" s="1"/>
  <c r="U28" i="7"/>
  <c r="G35" i="7"/>
  <c r="H35" i="7"/>
  <c r="G36" i="7"/>
  <c r="H36" i="7"/>
  <c r="N32" i="7"/>
  <c r="M32" i="7"/>
  <c r="Y27" i="7"/>
  <c r="I34" i="7"/>
  <c r="J34" i="7"/>
  <c r="S29" i="7"/>
  <c r="T29" i="7"/>
  <c r="R30" i="7"/>
  <c r="Q30" i="7"/>
  <c r="S33" i="76"/>
  <c r="T33" i="76" s="1"/>
  <c r="F31" i="81" s="1"/>
  <c r="R32" i="2"/>
  <c r="AI32" i="2" s="1"/>
  <c r="E31" i="81"/>
  <c r="C31" i="63"/>
  <c r="D31" i="63" s="1"/>
  <c r="E32" i="81"/>
  <c r="R33" i="2"/>
  <c r="AI33" i="2" s="1"/>
  <c r="S34" i="76"/>
  <c r="J33" i="65"/>
  <c r="AI31" i="2"/>
  <c r="L36" i="5"/>
  <c r="X29" i="3" l="1"/>
  <c r="Y28" i="3"/>
  <c r="N30" i="5"/>
  <c r="M31" i="5"/>
  <c r="P30" i="5"/>
  <c r="O31" i="5"/>
  <c r="N29" i="1"/>
  <c r="V29" i="1" s="1"/>
  <c r="M30" i="1"/>
  <c r="Q29" i="5"/>
  <c r="M25" i="81" s="1"/>
  <c r="AI28" i="1"/>
  <c r="AW29" i="7" s="1"/>
  <c r="B28" i="65"/>
  <c r="E28" i="65" s="1"/>
  <c r="AS31" i="5"/>
  <c r="AY30" i="5"/>
  <c r="BB30" i="5" s="1"/>
  <c r="BE30" i="5" s="1"/>
  <c r="I25" i="63"/>
  <c r="BF29" i="5"/>
  <c r="BG29" i="5" s="1"/>
  <c r="G29" i="65" s="1"/>
  <c r="AS26" i="7"/>
  <c r="AQ26" i="7"/>
  <c r="K39" i="5"/>
  <c r="W42" i="76"/>
  <c r="W40" i="76"/>
  <c r="W41" i="76" s="1"/>
  <c r="H9" i="77"/>
  <c r="G9" i="77"/>
  <c r="H8" i="77"/>
  <c r="G8" i="77"/>
  <c r="O8" i="76"/>
  <c r="P8" i="76" s="1"/>
  <c r="R8" i="76" s="1"/>
  <c r="T8" i="76" s="1"/>
  <c r="F6" i="81" s="1"/>
  <c r="O32" i="76"/>
  <c r="P32" i="76" s="1"/>
  <c r="O14" i="76"/>
  <c r="P14" i="76" s="1"/>
  <c r="R14" i="76" s="1"/>
  <c r="T14" i="76" s="1"/>
  <c r="F12" i="81" s="1"/>
  <c r="O22" i="76"/>
  <c r="P22" i="76" s="1"/>
  <c r="R22" i="76" s="1"/>
  <c r="O15" i="76"/>
  <c r="P15" i="76" s="1"/>
  <c r="R15" i="76" s="1"/>
  <c r="T15" i="76" s="1"/>
  <c r="F13" i="81" s="1"/>
  <c r="O18" i="76"/>
  <c r="P18" i="76" s="1"/>
  <c r="R18" i="76" s="1"/>
  <c r="O31" i="76"/>
  <c r="P31" i="76" s="1"/>
  <c r="O5" i="76"/>
  <c r="P5" i="76" s="1"/>
  <c r="R5" i="76" s="1"/>
  <c r="T5" i="76" s="1"/>
  <c r="F3" i="81" s="1"/>
  <c r="O21" i="76"/>
  <c r="P21" i="76" s="1"/>
  <c r="R21" i="76" s="1"/>
  <c r="O7" i="76"/>
  <c r="P7" i="76" s="1"/>
  <c r="R7" i="76" s="1"/>
  <c r="T7" i="76" s="1"/>
  <c r="F5" i="81" s="1"/>
  <c r="O13" i="76"/>
  <c r="P13" i="76" s="1"/>
  <c r="R13" i="76" s="1"/>
  <c r="T13" i="76" s="1"/>
  <c r="F11" i="81" s="1"/>
  <c r="O25" i="76"/>
  <c r="P25" i="76" s="1"/>
  <c r="O23" i="76"/>
  <c r="P23" i="76" s="1"/>
  <c r="O16" i="76"/>
  <c r="P16" i="76" s="1"/>
  <c r="R16" i="76" s="1"/>
  <c r="T16" i="76" s="1"/>
  <c r="F14" i="81" s="1"/>
  <c r="O12" i="76"/>
  <c r="P12" i="76" s="1"/>
  <c r="R12" i="76" s="1"/>
  <c r="T12" i="76" s="1"/>
  <c r="F10" i="81" s="1"/>
  <c r="O30" i="76"/>
  <c r="P30" i="76" s="1"/>
  <c r="O10" i="76"/>
  <c r="P10" i="76" s="1"/>
  <c r="R10" i="76" s="1"/>
  <c r="T10" i="76" s="1"/>
  <c r="F8" i="81" s="1"/>
  <c r="O17" i="76"/>
  <c r="P17" i="76" s="1"/>
  <c r="R17" i="76" s="1"/>
  <c r="T17" i="76" s="1"/>
  <c r="F15" i="81" s="1"/>
  <c r="AB31" i="76"/>
  <c r="O29" i="76"/>
  <c r="P29" i="76" s="1"/>
  <c r="O33" i="76"/>
  <c r="P33" i="76" s="1"/>
  <c r="O24" i="76"/>
  <c r="P24" i="76" s="1"/>
  <c r="O6" i="76"/>
  <c r="P6" i="76" s="1"/>
  <c r="R6" i="76" s="1"/>
  <c r="T6" i="76" s="1"/>
  <c r="F4" i="81" s="1"/>
  <c r="O28" i="76"/>
  <c r="P28" i="76" s="1"/>
  <c r="O34" i="76"/>
  <c r="P34" i="76" s="1"/>
  <c r="O27" i="76"/>
  <c r="P27" i="76" s="1"/>
  <c r="O26" i="76"/>
  <c r="P26" i="76" s="1"/>
  <c r="O9" i="76"/>
  <c r="P9" i="76" s="1"/>
  <c r="R9" i="76" s="1"/>
  <c r="T9" i="76" s="1"/>
  <c r="F7" i="81" s="1"/>
  <c r="O4" i="76"/>
  <c r="O11" i="76"/>
  <c r="P11" i="76" s="1"/>
  <c r="R11" i="76" s="1"/>
  <c r="T11" i="76" s="1"/>
  <c r="F9" i="81" s="1"/>
  <c r="O19" i="76"/>
  <c r="P19" i="76" s="1"/>
  <c r="R19" i="76" s="1"/>
  <c r="O20" i="76"/>
  <c r="P20" i="76" s="1"/>
  <c r="R20" i="76" s="1"/>
  <c r="C37" i="76"/>
  <c r="AD28" i="76"/>
  <c r="AC33" i="3"/>
  <c r="Z34" i="3"/>
  <c r="C18" i="77" s="1"/>
  <c r="AE33" i="3"/>
  <c r="AF33" i="3" s="1"/>
  <c r="AG33" i="3" s="1"/>
  <c r="AH32" i="3"/>
  <c r="G6" i="77"/>
  <c r="AH36" i="7"/>
  <c r="AG36" i="7"/>
  <c r="AG35" i="7"/>
  <c r="AH35" i="7"/>
  <c r="AK33" i="7"/>
  <c r="AL33" i="7"/>
  <c r="AM33" i="7" s="1"/>
  <c r="AJ34" i="7"/>
  <c r="AI34" i="7"/>
  <c r="AO32" i="7"/>
  <c r="AN32" i="7" s="1"/>
  <c r="Y28" i="7"/>
  <c r="AR28" i="7" s="1"/>
  <c r="X27" i="7"/>
  <c r="AR27" i="7"/>
  <c r="M33" i="7"/>
  <c r="N33" i="7"/>
  <c r="K34" i="7"/>
  <c r="L34" i="7"/>
  <c r="R31" i="7"/>
  <c r="Q31" i="7"/>
  <c r="AY25" i="7"/>
  <c r="Q23" i="76"/>
  <c r="P32" i="7"/>
  <c r="O32" i="7"/>
  <c r="I35" i="7"/>
  <c r="J35" i="7"/>
  <c r="V29" i="7"/>
  <c r="W29" i="7" s="1"/>
  <c r="U29" i="7"/>
  <c r="S30" i="7"/>
  <c r="T30" i="7"/>
  <c r="J36" i="7"/>
  <c r="I36" i="7"/>
  <c r="T34" i="76"/>
  <c r="F32" i="81" s="1"/>
  <c r="S35" i="76"/>
  <c r="AK36" i="5"/>
  <c r="L37" i="5"/>
  <c r="AK37" i="5" s="1"/>
  <c r="AX26" i="7" l="1"/>
  <c r="Q24" i="76" s="1"/>
  <c r="R24" i="76" s="1"/>
  <c r="AJ27" i="1"/>
  <c r="AK27" i="1" s="1"/>
  <c r="G24" i="81"/>
  <c r="X30" i="3"/>
  <c r="Y29" i="3"/>
  <c r="AJ28" i="1"/>
  <c r="AK28" i="1" s="1"/>
  <c r="G25" i="81"/>
  <c r="AS32" i="5"/>
  <c r="AY31" i="5"/>
  <c r="BB31" i="5" s="1"/>
  <c r="BE31" i="5" s="1"/>
  <c r="P31" i="5"/>
  <c r="Q31" i="5" s="1"/>
  <c r="M27" i="81" s="1"/>
  <c r="O32" i="5"/>
  <c r="Q30" i="5"/>
  <c r="M26" i="81" s="1"/>
  <c r="N31" i="5"/>
  <c r="M32" i="5"/>
  <c r="I26" i="63"/>
  <c r="BF30" i="5"/>
  <c r="BG30" i="5" s="1"/>
  <c r="G30" i="65" s="1"/>
  <c r="B29" i="65"/>
  <c r="E29" i="65" s="1"/>
  <c r="AI29" i="1"/>
  <c r="M31" i="1"/>
  <c r="N30" i="1"/>
  <c r="V30" i="1" s="1"/>
  <c r="AO33" i="7"/>
  <c r="AN33" i="7" s="1"/>
  <c r="AY26" i="7"/>
  <c r="W43" i="76"/>
  <c r="AB37" i="76"/>
  <c r="AB39" i="76" s="1"/>
  <c r="Z40" i="76" s="1"/>
  <c r="AB35" i="76"/>
  <c r="AB36" i="76" s="1"/>
  <c r="E10" i="77"/>
  <c r="F10" i="77" s="1"/>
  <c r="AA41" i="76"/>
  <c r="O35" i="76"/>
  <c r="O36" i="76" s="1"/>
  <c r="P4" i="76"/>
  <c r="AH33" i="3"/>
  <c r="F18" i="77"/>
  <c r="C19" i="77"/>
  <c r="AJ36" i="7"/>
  <c r="AI36" i="7"/>
  <c r="AJ35" i="7"/>
  <c r="AI35" i="7"/>
  <c r="AK34" i="7"/>
  <c r="AL34" i="7"/>
  <c r="AM34" i="7" s="1"/>
  <c r="X28" i="7"/>
  <c r="AQ28" i="7"/>
  <c r="AS28" i="7"/>
  <c r="AX28" i="7" s="1"/>
  <c r="U30" i="7"/>
  <c r="V30" i="7"/>
  <c r="W30" i="7" s="1"/>
  <c r="K36" i="7"/>
  <c r="L36" i="7"/>
  <c r="R23" i="76"/>
  <c r="Y29" i="7"/>
  <c r="AQ27" i="7"/>
  <c r="BC28" i="7"/>
  <c r="AS27" i="7"/>
  <c r="AX27" i="7" s="1"/>
  <c r="BC27" i="7"/>
  <c r="P33" i="7"/>
  <c r="O33" i="7"/>
  <c r="M34" i="7"/>
  <c r="N34" i="7"/>
  <c r="Q32" i="7"/>
  <c r="R32" i="7"/>
  <c r="K35" i="7"/>
  <c r="L35" i="7"/>
  <c r="S31" i="7"/>
  <c r="T31" i="7"/>
  <c r="I27" i="63" l="1"/>
  <c r="BF31" i="5"/>
  <c r="BG31" i="5" s="1"/>
  <c r="G31" i="65" s="1"/>
  <c r="P32" i="5"/>
  <c r="Q32" i="5" s="1"/>
  <c r="M28" i="81" s="1"/>
  <c r="O33" i="5"/>
  <c r="M33" i="5"/>
  <c r="N32" i="5"/>
  <c r="AW30" i="7"/>
  <c r="N31" i="1"/>
  <c r="V31" i="1" s="1"/>
  <c r="M32" i="1"/>
  <c r="B30" i="65"/>
  <c r="E30" i="65" s="1"/>
  <c r="AI30" i="1"/>
  <c r="AW31" i="7" s="1"/>
  <c r="X31" i="3"/>
  <c r="Y30" i="3"/>
  <c r="AS33" i="5"/>
  <c r="AY32" i="5"/>
  <c r="BB32" i="5" s="1"/>
  <c r="BE32" i="5" s="1"/>
  <c r="Y30" i="7"/>
  <c r="X30" i="7" s="1"/>
  <c r="AO34" i="7"/>
  <c r="AN34" i="7" s="1"/>
  <c r="P35" i="76"/>
  <c r="R4" i="76"/>
  <c r="T4" i="76" s="1"/>
  <c r="F2" i="81" s="1"/>
  <c r="H10" i="77"/>
  <c r="H12" i="77" s="1"/>
  <c r="G10" i="77"/>
  <c r="G12" i="77" s="1"/>
  <c r="F12" i="77"/>
  <c r="AA42" i="76"/>
  <c r="AB41" i="76"/>
  <c r="AB42" i="76" s="1"/>
  <c r="AL36" i="7"/>
  <c r="AM36" i="7" s="1"/>
  <c r="AK36" i="7"/>
  <c r="AK35" i="7"/>
  <c r="AL35" i="7"/>
  <c r="AM35" i="7" s="1"/>
  <c r="Q33" i="7"/>
  <c r="R33" i="7"/>
  <c r="O34" i="7"/>
  <c r="P34" i="7"/>
  <c r="T32" i="7"/>
  <c r="S32" i="7"/>
  <c r="N36" i="7"/>
  <c r="M36" i="7"/>
  <c r="U31" i="7"/>
  <c r="V31" i="7"/>
  <c r="W31" i="7" s="1"/>
  <c r="AR29" i="7"/>
  <c r="X29" i="7"/>
  <c r="AY28" i="7"/>
  <c r="Q26" i="76"/>
  <c r="R26" i="76" s="1"/>
  <c r="AY27" i="7"/>
  <c r="Q25" i="76"/>
  <c r="R25" i="76" s="1"/>
  <c r="N35" i="7"/>
  <c r="M35" i="7"/>
  <c r="AO35" i="7" l="1"/>
  <c r="AN35" i="7" s="1"/>
  <c r="N32" i="1"/>
  <c r="V32" i="1" s="1"/>
  <c r="M33" i="1"/>
  <c r="G27" i="81"/>
  <c r="AJ30" i="1"/>
  <c r="AK30" i="1" s="1"/>
  <c r="O34" i="5"/>
  <c r="P33" i="5"/>
  <c r="Q33" i="5" s="1"/>
  <c r="M29" i="81" s="1"/>
  <c r="M34" i="5"/>
  <c r="N33" i="5"/>
  <c r="I28" i="63"/>
  <c r="BF32" i="5"/>
  <c r="BG32" i="5" s="1"/>
  <c r="G32" i="65" s="1"/>
  <c r="AI31" i="1"/>
  <c r="B31" i="65"/>
  <c r="E31" i="65" s="1"/>
  <c r="X32" i="3"/>
  <c r="Y31" i="3"/>
  <c r="AS34" i="5"/>
  <c r="AY33" i="5"/>
  <c r="BB33" i="5" s="1"/>
  <c r="BE33" i="5" s="1"/>
  <c r="G26" i="81"/>
  <c r="AJ29" i="1"/>
  <c r="AK29" i="1" s="1"/>
  <c r="AR30" i="7"/>
  <c r="AQ30" i="7" s="1"/>
  <c r="Y31" i="7"/>
  <c r="AR31" i="7" s="1"/>
  <c r="J14" i="77"/>
  <c r="I14" i="77"/>
  <c r="AO36" i="7"/>
  <c r="AN36" i="7" s="1"/>
  <c r="O36" i="7"/>
  <c r="P36" i="7"/>
  <c r="P35" i="7"/>
  <c r="O35" i="7"/>
  <c r="Q34" i="7"/>
  <c r="R34" i="7"/>
  <c r="T33" i="7"/>
  <c r="S33" i="7"/>
  <c r="AS29" i="7"/>
  <c r="AX29" i="7" s="1"/>
  <c r="AQ29" i="7"/>
  <c r="BC29" i="7"/>
  <c r="V32" i="7"/>
  <c r="W32" i="7" s="1"/>
  <c r="U32" i="7"/>
  <c r="AI32" i="1" l="1"/>
  <c r="AW33" i="7" s="1"/>
  <c r="B32" i="65"/>
  <c r="E32" i="65" s="1"/>
  <c r="X33" i="3"/>
  <c r="Y33" i="3" s="1"/>
  <c r="Y32" i="3"/>
  <c r="P34" i="5"/>
  <c r="O35" i="5"/>
  <c r="AW32" i="7"/>
  <c r="N33" i="1"/>
  <c r="V33" i="1" s="1"/>
  <c r="M34" i="1"/>
  <c r="AS35" i="5"/>
  <c r="AY34" i="5"/>
  <c r="BB34" i="5" s="1"/>
  <c r="BE34" i="5" s="1"/>
  <c r="M35" i="5"/>
  <c r="N34" i="5"/>
  <c r="I29" i="63"/>
  <c r="BF33" i="5"/>
  <c r="BG33" i="5" s="1"/>
  <c r="G33" i="65" s="1"/>
  <c r="AS30" i="7"/>
  <c r="AX30" i="7" s="1"/>
  <c r="Q28" i="76" s="1"/>
  <c r="R28" i="76" s="1"/>
  <c r="BC30" i="7"/>
  <c r="Y32" i="7"/>
  <c r="X32" i="7" s="1"/>
  <c r="BC31" i="7"/>
  <c r="AS31" i="7"/>
  <c r="AX31" i="7" s="1"/>
  <c r="AY31" i="7" s="1"/>
  <c r="X31" i="7"/>
  <c r="Q27" i="76"/>
  <c r="R27" i="76" s="1"/>
  <c r="AY29" i="7"/>
  <c r="Q36" i="7"/>
  <c r="R36" i="7"/>
  <c r="T34" i="7"/>
  <c r="S34" i="7"/>
  <c r="AQ31" i="7"/>
  <c r="U33" i="7"/>
  <c r="V33" i="7"/>
  <c r="W33" i="7" s="1"/>
  <c r="R35" i="7"/>
  <c r="Q35" i="7"/>
  <c r="AJ32" i="1" l="1"/>
  <c r="AK32" i="1" s="1"/>
  <c r="G29" i="81"/>
  <c r="N34" i="1"/>
  <c r="V34" i="1" s="1"/>
  <c r="M35" i="1"/>
  <c r="N35" i="1" s="1"/>
  <c r="V35" i="1" s="1"/>
  <c r="AI35" i="1" s="1"/>
  <c r="AW36" i="7" s="1"/>
  <c r="AS36" i="5"/>
  <c r="AY36" i="5" s="1"/>
  <c r="AY35" i="5"/>
  <c r="BB35" i="5" s="1"/>
  <c r="BE35" i="5" s="1"/>
  <c r="M36" i="5"/>
  <c r="N36" i="5" s="1"/>
  <c r="N35" i="5"/>
  <c r="Q34" i="5"/>
  <c r="M30" i="81" s="1"/>
  <c r="AI33" i="1"/>
  <c r="B33" i="65"/>
  <c r="E33" i="65" s="1"/>
  <c r="I30" i="63"/>
  <c r="BF34" i="5"/>
  <c r="BG34" i="5" s="1"/>
  <c r="G34" i="65" s="1"/>
  <c r="P35" i="5"/>
  <c r="O36" i="5"/>
  <c r="P36" i="5" s="1"/>
  <c r="G28" i="81"/>
  <c r="AJ31" i="1"/>
  <c r="AK31" i="1" s="1"/>
  <c r="AR32" i="7"/>
  <c r="BC32" i="7" s="1"/>
  <c r="AY30" i="7"/>
  <c r="Q29" i="76"/>
  <c r="R29" i="76" s="1"/>
  <c r="Y33" i="7"/>
  <c r="AR33" i="7" s="1"/>
  <c r="V34" i="7"/>
  <c r="W34" i="7" s="1"/>
  <c r="U34" i="7"/>
  <c r="S36" i="7"/>
  <c r="T36" i="7"/>
  <c r="T35" i="7"/>
  <c r="S35" i="7"/>
  <c r="Q35" i="5" l="1"/>
  <c r="BB36" i="5"/>
  <c r="BE36" i="5" s="1"/>
  <c r="BF36" i="5" s="1"/>
  <c r="BG36" i="5" s="1"/>
  <c r="AI34" i="1"/>
  <c r="AW35" i="7" s="1"/>
  <c r="B34" i="65"/>
  <c r="E34" i="65" s="1"/>
  <c r="M31" i="81"/>
  <c r="Q37" i="5"/>
  <c r="O38" i="5" s="1"/>
  <c r="AW34" i="7"/>
  <c r="G32" i="81"/>
  <c r="AJ35" i="1"/>
  <c r="AK35" i="1" s="1"/>
  <c r="I31" i="63"/>
  <c r="BF35" i="5"/>
  <c r="BG35" i="5" s="1"/>
  <c r="Q36" i="5"/>
  <c r="M32" i="81" s="1"/>
  <c r="AS32" i="7"/>
  <c r="AX32" i="7" s="1"/>
  <c r="AY32" i="7" s="1"/>
  <c r="AQ32" i="7"/>
  <c r="X33" i="7"/>
  <c r="Y34" i="7"/>
  <c r="AR34" i="7" s="1"/>
  <c r="AS33" i="7"/>
  <c r="AX33" i="7" s="1"/>
  <c r="AQ33" i="7"/>
  <c r="U36" i="7"/>
  <c r="V36" i="7"/>
  <c r="W36" i="7" s="1"/>
  <c r="U35" i="7"/>
  <c r="V35" i="7"/>
  <c r="W35" i="7" s="1"/>
  <c r="BC33" i="7"/>
  <c r="Y35" i="7" l="1"/>
  <c r="AI37" i="1"/>
  <c r="AJ34" i="1"/>
  <c r="AK34" i="1" s="1"/>
  <c r="G31" i="81"/>
  <c r="AJ33" i="1"/>
  <c r="AK33" i="1" s="1"/>
  <c r="G30" i="81"/>
  <c r="Y36" i="7"/>
  <c r="X36" i="7" s="1"/>
  <c r="Q30" i="76"/>
  <c r="R30" i="76" s="1"/>
  <c r="X34" i="7"/>
  <c r="AQ34" i="7"/>
  <c r="AS34" i="7"/>
  <c r="AX34" i="7" s="1"/>
  <c r="X35" i="7"/>
  <c r="AR35" i="7"/>
  <c r="BC35" i="7" s="1"/>
  <c r="AY33" i="7"/>
  <c r="Q31" i="76"/>
  <c r="R31" i="76" s="1"/>
  <c r="BC34" i="7"/>
  <c r="AR36" i="7" l="1"/>
  <c r="AS36" i="7" s="1"/>
  <c r="Q32" i="76"/>
  <c r="R32" i="76" s="1"/>
  <c r="AY34" i="7"/>
  <c r="AQ35" i="7"/>
  <c r="AS35" i="7"/>
  <c r="AX35" i="7" s="1"/>
  <c r="AQ36" i="7" l="1"/>
  <c r="AX36" i="7"/>
  <c r="AS40" i="7"/>
  <c r="AY35" i="7"/>
  <c r="Q33" i="76"/>
  <c r="R33" i="76" s="1"/>
  <c r="AY36" i="7" l="1"/>
  <c r="AY37" i="7" s="1"/>
  <c r="Q34" i="76"/>
  <c r="AX37" i="7"/>
  <c r="Z41" i="76" s="1"/>
  <c r="Z42" i="76" s="1"/>
  <c r="Z44" i="76" s="1"/>
  <c r="R34" i="76" l="1"/>
  <c r="R35" i="76" s="1"/>
  <c r="Q35" i="7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Daniel.mouneef</author>
    <author>hussein.saleh</author>
  </authors>
  <commentList>
    <comment ref="BF1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Starwood Mgt Cooperation</author>
  </authors>
  <commentList>
    <comment ref="A7" authorId="0" shapeId="0" xr:uid="{00000000-0006-0000-0D00-000001000000}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Amjad.abouhassan</author>
    <author>hussein.saleh</author>
  </authors>
  <commentList>
    <comment ref="G15" authorId="0" shapeId="0" xr:uid="{00000000-0006-0000-0F00-000001000000}">
      <text>
        <r>
          <rPr>
            <b/>
            <sz val="9"/>
            <color indexed="81"/>
            <rFont val="Tahoma"/>
            <charset val="1"/>
          </rPr>
          <t>Amjad.abouhassan:</t>
        </r>
        <r>
          <rPr>
            <sz val="9"/>
            <color indexed="81"/>
            <rFont val="Tahoma"/>
            <charset val="1"/>
          </rPr>
          <t xml:space="preserve">
Jacuzzi was just refilled </t>
        </r>
      </text>
    </comment>
    <comment ref="Q25" authorId="1" shapeId="0" xr:uid="{00000000-0006-0000-0F00-000002000000}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<sst xmlns="http://schemas.openxmlformats.org/spreadsheetml/2006/main" count="650" uniqueCount="413">
  <si>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</si>
  <si>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</si>
  <si>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</si>
  <si>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</si>
  <si>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</si>
  <si>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</si>
  <si>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</si>
  <si>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</si>
  <si>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</si>
  <si>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</si>
  <si>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</si>
  <si>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</si>
  <si>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</si>
  <si>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</si>
  <si>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</si>
  <si>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</si>
  <si>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</si>
  <si>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</si>
  <si>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</si>
  <si>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</si>
  <si>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</si>
  <si>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</si>
  <si>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</si>
  <si>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</si>
  <si>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</si>
  <si>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</si>
  <si>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</si>
  <si>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</si>
  <si>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</si>
  <si>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</si>
  <si>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</si>
  <si>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</si>
  <si>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</si>
  <si>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</si>
  <si>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</si>
  <si>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</si>
  <si>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</si>
  <si>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</si>
  <si>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</si>
  <si>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</si>
  <si>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</si>
  <si>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</si>
  <si>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</si>
  <si>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</si>
  <si>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</si>
  <si>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</si>
  <si>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</si>
  <si>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</si>
  <si>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</si>
  <si>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</si>
  <si>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</si>
  <si>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</si>
  <si>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</si>
  <si>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</si>
  <si>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</si>
  <si>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</si>
  <si>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</si>
  <si>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</si>
  <si>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</si>
  <si>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</si>
  <si>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</si>
  <si>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</si>
  <si>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</si>
  <si>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</si>
  <si>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</si>
  <si>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</si>
  <si>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</si>
  <si>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</si>
  <si>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</si>
  <si>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</si>
  <si>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</si>
  <si>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</si>
  <si>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</si>
  <si>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</si>
  <si>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</si>
  <si>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</si>
  <si>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</si>
  <si>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</si>
  <si>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</si>
  <si>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</si>
  <si>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</si>
  <si>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</si>
  <si>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</si>
  <si>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</si>
  <si>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</si>
  <si>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</si>
  <si>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</si>
  <si>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</si>
  <si>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</si>
  <si>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</si>
  <si>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</si>
  <si>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</si>
  <si>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</si>
  <si>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</si>
  <si>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</si>
  <si>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</si>
  <si>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</si>
  <si>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</si>
  <si>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</si>
  <si>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</si>
  <si>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</si>
  <si>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</si>
  <si>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</si>
  <si>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</si>
  <si>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</si>
  <si>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</si>
  <si>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</si>
  <si>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</si>
  <si>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</si>
  <si>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</si>
  <si>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</si>
  <si>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</si>
  <si>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</si>
  <si>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</si>
  <si>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</si>
  <si>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</si>
  <si>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</si>
  <si>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</si>
  <si>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</si>
  <si>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</si>
  <si>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</si>
  <si>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</si>
  <si>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</si>
  <si>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</si>
  <si>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</si>
  <si>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</si>
  <si>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</si>
  <si>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</si>
  <si>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</si>
  <si>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</si>
  <si>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</si>
  <si>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</si>
  <si>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</si>
  <si>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</si>
  <si>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</si>
  <si>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</si>
  <si>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</si>
  <si>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</si>
  <si>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</si>
  <si>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</si>
  <si>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</si>
  <si>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</si>
  <si>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</si>
  <si>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</si>
  <si>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</si>
  <si>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</si>
  <si>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</si>
  <si>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</si>
  <si>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</si>
  <si>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</si>
  <si>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</si>
  <si>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</si>
  <si>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</si>
  <si>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</si>
  <si>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</si>
  <si>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</si>
  <si>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</si>
  <si>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</si>
  <si>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</si>
  <si>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</si>
  <si>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</si>
  <si>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</si>
  <si>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</si>
  <si>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</si>
  <si>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</si>
  <si>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</si>
  <si>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</si>
  <si>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</si>
  <si>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</si>
  <si>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</si>
  <si>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</si>
  <si>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</si>
  <si>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</si>
  <si>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</si>
  <si>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</si>
  <si>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</si>
  <si>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</si>
  <si>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</si>
  <si>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</si>
  <si>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</si>
  <si>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</si>
  <si>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</si>
  <si>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</si>
  <si>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</si>
  <si>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</si>
  <si>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</si>
  <si>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</si>
  <si>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</si>
  <si>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</si>
  <si>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</si>
  <si>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</si>
  <si>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</si>
  <si>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</si>
  <si>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</si>
  <si>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</si>
  <si>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</si>
  <si>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</si>
  <si>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</si>
  <si>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</si>
  <si>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</si>
  <si>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</si>
  <si>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</si>
  <si>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</si>
  <si>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</si>
  <si>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</si>
  <si>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</si>
  <si>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</si>
  <si>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</si>
  <si>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</si>
  <si>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</si>
  <si>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</si>
  <si>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</si>
  <si>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</si>
  <si>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</si>
  <si>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</si>
  <si>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</si>
  <si>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</si>
  <si>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</si>
  <si>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</si>
  <si>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</si>
  <si>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</si>
  <si>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</si>
  <si>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</si>
  <si>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</si>
  <si>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</si>
  <si>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</si>
  <si>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</si>
  <si>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</si>
  <si>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</si>
  <si>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</si>
  <si>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</si>
  <si>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</si>
  <si>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</si>
  <si>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</si>
  <si>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</si>
  <si>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</si>
  <si>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</si>
  <si>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</si>
  <si>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</si>
  <si>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</si>
  <si>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</si>
  <si>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</si>
  <si>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</si>
  <si>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</si>
  <si>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</si>
  <si>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</si>
  <si>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</si>
  <si>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</si>
  <si>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</si>
  <si>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</si>
  <si>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</si>
  <si>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</si>
  <si>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</si>
  <si>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</si>
  <si>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</si>
  <si>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</si>
  <si>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</si>
  <si>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</si>
  <si>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</si>
  <si>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</si>
  <si>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</si>
  <si>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</si>
  <si>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</si>
  <si>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</si>
  <si>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</si>
  <si>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</si>
  <si>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</si>
  <si>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</si>
  <si>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</si>
  <si>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</si>
  <si>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</si>
  <si>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</si>
  <si>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</si>
  <si>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</si>
  <si>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</si>
  <si>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</si>
  <si>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</si>
  <si>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</si>
  <si>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</si>
  <si>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</si>
  <si>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</si>
  <si>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</si>
  <si>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</si>
  <si>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</si>
  <si>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</si>
  <si>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</si>
  <si>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</si>
  <si>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</si>
  <si>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</si>
  <si>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</si>
  <si>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</si>
  <si>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</si>
  <si>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</si>
  <si>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</si>
  <si>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</si>
  <si>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</si>
  <si>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</si>
  <si>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</si>
  <si>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</si>
  <si>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</si>
  <si>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</si>
  <si>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</si>
  <si>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</si>
  <si>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</si>
  <si>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</si>
  <si>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</si>
  <si>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</si>
  <si>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</si>
  <si>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</si>
  <si>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</si>
  <si>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</si>
  <si>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</si>
  <si>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</si>
  <si>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</si>
  <si>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</si>
  <si>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</si>
  <si>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</si>
  <si>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</si>
  <si>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</si>
  <si>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</si>
  <si>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</si>
  <si>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</si>
  <si>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</si>
  <si>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</si>
  <si>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</si>
  <si>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</si>
  <si>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</si>
  <si>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</si>
  <si>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</si>
  <si>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</si>
  <si>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</si>
  <si>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</si>
  <si>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</si>
  <si>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</si>
  <si>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</si>
  <si>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</si>
  <si>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</si>
  <si>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</si>
  <si>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</si>
  <si>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</si>
  <si>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</si>
  <si>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</si>
  <si>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</si>
  <si>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</si>
  <si>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</si>
  <si>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</si>
  <si>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</si>
  <si>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</si>
  <si>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</si>
  <si>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</si>
  <si>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</si>
  <si>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</si>
  <si>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</si>
  <si>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</si>
  <si>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</si>
  <si>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</si>
  <si>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</si>
  <si>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</si>
  <si>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</si>
  <si>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</si>
  <si>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</si>
  <si>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</si>
  <si>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</si>
  <si>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</si>
  <si>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</si>
  <si>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</si>
  <si>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</si>
  <si>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</si>
  <si>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</si>
  <si>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</si>
  <si>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</si>
  <si>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</si>
  <si>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</si>
  <si>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</si>
  <si>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</si>
  <si>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</si>
  <si>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</si>
  <si>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</si>
  <si>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</si>
  <si>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</si>
  <si>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</si>
  <si>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</si>
  <si>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</si>
  <si>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</si>
  <si>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</si>
  <si>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</si>
  <si>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</si>
  <si>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</si>
  <si>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</si>
  <si>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</si>
  <si>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</si>
  <si>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</si>
  <si>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( Heating Degree Days / Cooling Degree Days ) 2019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</si>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</sst>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5">
    <xf numFmtId="0" fontId="0" fillId="0" borderId="0"/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</cellStyleXfs>
  <cellXfs count="68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2" fillId="0" borderId="0" xfId="0" applyFont="1" applyBorder="1" applyAlignment="1">
      <alignment vertical="top" wrapText="1"/>
    </xf>
    <xf numFmtId="3" fontId="23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4" fillId="12" borderId="4" xfId="0" applyFont="1" applyFill="1" applyBorder="1"/>
    <xf numFmtId="43" fontId="25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6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7" fillId="5" borderId="0" xfId="0" applyFont="1" applyFill="1"/>
    <xf numFmtId="9" fontId="27" fillId="5" borderId="0" xfId="4" applyFont="1" applyFill="1"/>
    <xf numFmtId="0" fontId="26" fillId="4" borderId="0" xfId="0" applyFont="1" applyFill="1"/>
    <xf numFmtId="9" fontId="26" fillId="4" borderId="0" xfId="4" applyFont="1" applyFill="1"/>
    <xf numFmtId="9" fontId="26" fillId="0" borderId="0" xfId="4" applyFont="1"/>
    <xf numFmtId="1" fontId="26" fillId="0" borderId="0" xfId="0" applyNumberFormat="1" applyFont="1"/>
    <xf numFmtId="1" fontId="0" fillId="0" borderId="1" xfId="0" applyNumberFormat="1" applyBorder="1"/>
    <xf numFmtId="1" fontId="26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20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20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5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20" fillId="5" borderId="15" xfId="1" applyFont="1" applyFill="1" applyBorder="1" applyAlignment="1">
      <alignment horizontal="right"/>
    </xf>
    <xf numFmtId="167" fontId="20" fillId="5" borderId="12" xfId="1" applyNumberFormat="1" applyFont="1" applyFill="1" applyBorder="1" applyAlignment="1">
      <alignment horizontal="right"/>
    </xf>
    <xf numFmtId="43" fontId="20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20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2" fillId="0" borderId="17" xfId="0" applyFont="1" applyBorder="1" applyAlignment="1">
      <alignment vertical="top" wrapText="1"/>
    </xf>
    <xf numFmtId="0" fontId="22" fillId="0" borderId="18" xfId="0" applyFont="1" applyBorder="1" applyAlignment="1">
      <alignment vertical="top" wrapText="1"/>
    </xf>
    <xf numFmtId="0" fontId="22" fillId="0" borderId="19" xfId="0" applyFont="1" applyBorder="1" applyAlignment="1">
      <alignment vertical="top" wrapText="1"/>
    </xf>
    <xf numFmtId="0" fontId="22" fillId="11" borderId="20" xfId="0" applyFont="1" applyFill="1" applyBorder="1" applyAlignment="1">
      <alignment vertical="top" wrapText="1"/>
    </xf>
    <xf numFmtId="0" fontId="22" fillId="11" borderId="21" xfId="0" applyFont="1" applyFill="1" applyBorder="1" applyAlignment="1">
      <alignment vertical="top" wrapText="1"/>
    </xf>
    <xf numFmtId="0" fontId="22" fillId="11" borderId="16" xfId="0" applyFont="1" applyFill="1" applyBorder="1" applyAlignment="1">
      <alignment vertical="top" wrapText="1"/>
    </xf>
    <xf numFmtId="0" fontId="28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20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" xfId="0" applyNumberFormat="1" applyBorder="1"/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6" fillId="0" borderId="29" xfId="0" applyFont="1" applyBorder="1"/>
    <xf numFmtId="0" fontId="29" fillId="0" borderId="23" xfId="0" applyFont="1" applyBorder="1"/>
    <xf numFmtId="0" fontId="29" fillId="0" borderId="25" xfId="0" applyFont="1" applyBorder="1"/>
    <xf numFmtId="0" fontId="0" fillId="0" borderId="24" xfId="0" applyBorder="1"/>
    <xf numFmtId="0" fontId="0" fillId="0" borderId="25" xfId="0" applyBorder="1"/>
    <xf numFmtId="0" fontId="29" fillId="0" borderId="24" xfId="0" applyFont="1" applyBorder="1"/>
    <xf numFmtId="0" fontId="0" fillId="14" borderId="0" xfId="0" applyFill="1"/>
    <xf numFmtId="0" fontId="0" fillId="0" borderId="30" xfId="0" applyFont="1" applyBorder="1"/>
    <xf numFmtId="0" fontId="26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21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6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6" fillId="0" borderId="31" xfId="0" applyFont="1" applyBorder="1" applyAlignment="1">
      <alignment horizontal="center" vertical="center" wrapText="1"/>
    </xf>
    <xf numFmtId="17" fontId="26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6" fillId="0" borderId="32" xfId="0" applyFont="1" applyBorder="1"/>
    <xf numFmtId="0" fontId="0" fillId="0" borderId="1" xfId="0" applyBorder="1" applyAlignment="1">
      <alignment horizontal="center"/>
    </xf>
    <xf numFmtId="0" fontId="27" fillId="0" borderId="15" xfId="0" applyFont="1" applyBorder="1" applyAlignment="1">
      <alignment horizontal="center" vertical="center" wrapText="1"/>
    </xf>
    <xf numFmtId="43" fontId="20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20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6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6" fillId="0" borderId="1" xfId="0" applyNumberFormat="1" applyFont="1" applyBorder="1"/>
    <xf numFmtId="44" fontId="30" fillId="0" borderId="1" xfId="2" applyFont="1" applyBorder="1"/>
    <xf numFmtId="0" fontId="0" fillId="21" borderId="1" xfId="0" applyFill="1" applyBorder="1"/>
    <xf numFmtId="44" fontId="20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20" fillId="3" borderId="1" xfId="2" applyFont="1" applyFill="1" applyBorder="1"/>
    <xf numFmtId="44" fontId="0" fillId="3" borderId="1" xfId="0" applyNumberFormat="1" applyFill="1" applyBorder="1"/>
    <xf numFmtId="43" fontId="20" fillId="3" borderId="1" xfId="1" applyFont="1" applyFill="1" applyBorder="1"/>
    <xf numFmtId="43" fontId="20" fillId="2" borderId="1" xfId="1" applyFont="1" applyFill="1" applyBorder="1"/>
    <xf numFmtId="44" fontId="20" fillId="2" borderId="1" xfId="2" applyFont="1" applyFill="1" applyBorder="1"/>
    <xf numFmtId="0" fontId="0" fillId="22" borderId="1" xfId="0" applyFill="1" applyBorder="1"/>
    <xf numFmtId="43" fontId="20" fillId="22" borderId="1" xfId="1" applyFont="1" applyFill="1" applyBorder="1"/>
    <xf numFmtId="44" fontId="20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20" fillId="0" borderId="1" xfId="1" applyNumberFormat="1" applyFont="1" applyBorder="1"/>
    <xf numFmtId="1" fontId="26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20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20" fillId="6" borderId="0" xfId="1" applyFont="1" applyFill="1" applyBorder="1" applyAlignment="1">
      <alignment horizontal="center" wrapText="1"/>
    </xf>
    <xf numFmtId="43" fontId="20" fillId="0" borderId="22" xfId="1" applyFont="1" applyBorder="1" applyAlignment="1">
      <alignment horizontal="right"/>
    </xf>
    <xf numFmtId="43" fontId="20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20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20" fillId="0" borderId="0" xfId="1" applyNumberFormat="1" applyFont="1" applyBorder="1" applyAlignment="1"/>
    <xf numFmtId="9" fontId="20" fillId="0" borderId="1" xfId="4" applyNumberFormat="1" applyFont="1" applyBorder="1" applyAlignment="1">
      <alignment horizontal="center" vertical="center"/>
    </xf>
    <xf numFmtId="9" fontId="20" fillId="4" borderId="0" xfId="4" applyFont="1" applyFill="1"/>
    <xf numFmtId="10" fontId="20" fillId="16" borderId="0" xfId="4" applyNumberFormat="1" applyFont="1" applyFill="1" applyBorder="1" applyAlignment="1">
      <alignment horizontal="center" vertical="center"/>
    </xf>
    <xf numFmtId="4" fontId="23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2" fillId="0" borderId="63" xfId="0" applyFont="1" applyBorder="1" applyAlignment="1">
      <alignment vertical="top" wrapText="1"/>
    </xf>
    <xf numFmtId="0" fontId="22" fillId="0" borderId="64" xfId="0" applyFont="1" applyBorder="1" applyAlignment="1">
      <alignment vertical="top" wrapText="1"/>
    </xf>
    <xf numFmtId="0" fontId="22" fillId="0" borderId="65" xfId="0" applyFont="1" applyBorder="1" applyAlignment="1">
      <alignment vertical="top" wrapText="1"/>
    </xf>
    <xf numFmtId="0" fontId="22" fillId="0" borderId="66" xfId="0" applyFont="1" applyBorder="1" applyAlignment="1">
      <alignment vertical="top" wrapText="1"/>
    </xf>
    <xf numFmtId="0" fontId="31" fillId="0" borderId="0" xfId="0" applyFont="1" applyBorder="1"/>
    <xf numFmtId="0" fontId="31" fillId="0" borderId="41" xfId="0" applyFont="1" applyBorder="1" applyAlignment="1">
      <alignment horizontal="center" vertical="center"/>
    </xf>
    <xf numFmtId="0" fontId="31" fillId="0" borderId="20" xfId="0" applyFont="1" applyBorder="1"/>
    <xf numFmtId="0" fontId="31" fillId="0" borderId="42" xfId="0" applyFont="1" applyBorder="1" applyAlignment="1">
      <alignment horizontal="center"/>
    </xf>
    <xf numFmtId="0" fontId="31" fillId="0" borderId="4" xfId="0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0" fontId="0" fillId="0" borderId="23" xfId="0" applyBorder="1"/>
    <xf numFmtId="1" fontId="26" fillId="0" borderId="7" xfId="0" applyNumberFormat="1" applyFont="1" applyBorder="1"/>
    <xf numFmtId="0" fontId="0" fillId="0" borderId="12" xfId="0" applyBorder="1"/>
    <xf numFmtId="43" fontId="20" fillId="17" borderId="1" xfId="1" applyFont="1" applyFill="1" applyBorder="1"/>
    <xf numFmtId="0" fontId="31" fillId="0" borderId="6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/>
    </xf>
    <xf numFmtId="0" fontId="31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43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167" fontId="20" fillId="0" borderId="15" xfId="1" applyNumberFormat="1" applyFont="1" applyBorder="1"/>
    <xf numFmtId="0" fontId="26" fillId="0" borderId="0" xfId="0" applyFont="1"/>
    <xf numFmtId="0" fontId="26" fillId="0" borderId="31" xfId="0" applyFont="1" applyBorder="1"/>
    <xf numFmtId="0" fontId="26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6" fillId="0" borderId="44" xfId="0" applyFont="1" applyBorder="1"/>
    <xf numFmtId="0" fontId="26" fillId="0" borderId="23" xfId="0" applyFont="1" applyBorder="1"/>
    <xf numFmtId="43" fontId="26" fillId="0" borderId="33" xfId="0" applyNumberFormat="1" applyFont="1" applyBorder="1"/>
    <xf numFmtId="0" fontId="31" fillId="0" borderId="16" xfId="0" applyFont="1" applyBorder="1" applyAlignment="1">
      <alignment wrapText="1"/>
    </xf>
    <xf numFmtId="0" fontId="31" fillId="0" borderId="6" xfId="0" applyFont="1" applyBorder="1" applyAlignment="1">
      <alignment wrapText="1"/>
    </xf>
    <xf numFmtId="0" fontId="31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6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6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3" fontId="0" fillId="0" borderId="1" xfId="0" applyNumberFormat="1" applyBorder="1"/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20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5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20" fillId="2" borderId="1" xfId="1" applyNumberFormat="1" applyFont="1" applyFill="1" applyBorder="1" applyAlignment="1">
      <alignment horizontal="center" vertical="center"/>
    </xf>
    <xf numFmtId="0" fontId="0" fillId="0" borderId="23" xfId="0" applyFont="1" applyBorder="1" applyAlignment="1"/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20" fillId="0" borderId="1" xfId="4" applyFont="1" applyBorder="1" applyAlignment="1">
      <alignment horizontal="center" vertical="center"/>
    </xf>
    <xf numFmtId="44" fontId="20" fillId="21" borderId="1" xfId="2" applyFont="1" applyFill="1" applyBorder="1"/>
    <xf numFmtId="0" fontId="20" fillId="0" borderId="1" xfId="4" applyNumberFormat="1" applyFont="1" applyBorder="1" applyAlignment="1">
      <alignment horizontal="center" vertical="center"/>
    </xf>
    <xf numFmtId="0" fontId="26" fillId="0" borderId="7" xfId="0" applyFont="1" applyBorder="1"/>
    <xf numFmtId="9" fontId="20" fillId="0" borderId="1" xfId="4" applyFont="1" applyBorder="1"/>
    <xf numFmtId="1" fontId="32" fillId="5" borderId="8" xfId="0" applyNumberFormat="1" applyFont="1" applyFill="1" applyBorder="1" applyAlignment="1">
      <alignment horizontal="right"/>
    </xf>
    <xf numFmtId="1" fontId="32" fillId="0" borderId="6" xfId="0" applyNumberFormat="1" applyFont="1" applyFill="1" applyBorder="1" applyAlignment="1">
      <alignment horizontal="right" wrapText="1"/>
    </xf>
    <xf numFmtId="1" fontId="26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20" fillId="0" borderId="1" xfId="1" applyNumberFormat="1" applyFont="1" applyBorder="1"/>
    <xf numFmtId="0" fontId="0" fillId="2" borderId="12" xfId="0" applyFill="1" applyBorder="1" applyAlignment="1">
      <alignment wrapText="1"/>
    </xf>
    <xf numFmtId="167" fontId="20" fillId="25" borderId="1" xfId="1" applyNumberFormat="1" applyFont="1" applyFill="1" applyBorder="1"/>
    <xf numFmtId="41" fontId="25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20" fillId="0" borderId="1" xfId="1" applyFont="1" applyBorder="1" applyAlignment="1">
      <alignment horizontal="center" vertical="center"/>
    </xf>
    <xf numFmtId="43" fontId="20" fillId="0" borderId="0" xfId="1" applyFont="1" applyAlignment="1">
      <alignment horizontal="right"/>
    </xf>
    <xf numFmtId="43" fontId="20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20" fillId="0" borderId="0" xfId="2" applyFont="1"/>
    <xf numFmtId="167" fontId="20" fillId="0" borderId="0" xfId="1" applyNumberFormat="1" applyFont="1"/>
    <xf numFmtId="44" fontId="20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6" fillId="14" borderId="1" xfId="1" applyFont="1" applyFill="1" applyBorder="1" applyAlignment="1">
      <alignment horizontal="center" vertical="center"/>
    </xf>
    <xf numFmtId="43" fontId="20" fillId="3" borderId="1" xfId="1" applyFont="1" applyFill="1" applyBorder="1" applyAlignment="1">
      <alignment horizontal="center" vertical="center"/>
    </xf>
    <xf numFmtId="43" fontId="20" fillId="3" borderId="0" xfId="1" applyFont="1" applyFill="1" applyBorder="1" applyAlignment="1">
      <alignment horizontal="center" vertical="center"/>
    </xf>
    <xf numFmtId="43" fontId="20" fillId="16" borderId="0" xfId="1" applyFont="1" applyFill="1" applyBorder="1" applyAlignment="1">
      <alignment horizontal="center" vertical="center"/>
    </xf>
    <xf numFmtId="175" fontId="20" fillId="0" borderId="0" xfId="1" applyNumberFormat="1" applyFont="1"/>
    <xf numFmtId="175" fontId="20" fillId="0" borderId="2" xfId="1" applyNumberFormat="1" applyFont="1" applyBorder="1" applyAlignment="1">
      <alignment horizontal="center" vertical="center"/>
    </xf>
    <xf numFmtId="175" fontId="20" fillId="0" borderId="1" xfId="1" applyNumberFormat="1" applyFont="1" applyBorder="1"/>
    <xf numFmtId="175" fontId="20" fillId="25" borderId="1" xfId="1" applyNumberFormat="1" applyFont="1" applyFill="1" applyBorder="1"/>
    <xf numFmtId="43" fontId="20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20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20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20" fillId="0" borderId="35" xfId="1" applyNumberFormat="1" applyFont="1" applyFill="1" applyBorder="1" applyAlignment="1">
      <alignment horizontal="right"/>
    </xf>
    <xf numFmtId="1" fontId="20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20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6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20" fillId="0" borderId="1" xfId="1" applyNumberFormat="1" applyFont="1" applyBorder="1"/>
    <xf numFmtId="0" fontId="0" fillId="24" borderId="0" xfId="0" applyFill="1" applyAlignment="1">
      <alignment horizontal="right"/>
    </xf>
    <xf numFmtId="9" fontId="20" fillId="0" borderId="1" xfId="4" applyFont="1" applyBorder="1"/>
    <xf numFmtId="9" fontId="20" fillId="0" borderId="7" xfId="4" applyFont="1" applyBorder="1"/>
    <xf numFmtId="43" fontId="20" fillId="5" borderId="15" xfId="1" applyNumberFormat="1" applyFont="1" applyFill="1" applyBorder="1" applyAlignment="1">
      <alignment horizontal="right"/>
    </xf>
    <xf numFmtId="43" fontId="25" fillId="26" borderId="0" xfId="0" applyNumberFormat="1" applyFont="1" applyFill="1"/>
    <xf numFmtId="44" fontId="20" fillId="3" borderId="1" xfId="2" applyFont="1" applyFill="1" applyBorder="1"/>
    <xf numFmtId="9" fontId="20" fillId="0" borderId="7" xfId="4" applyFont="1" applyBorder="1"/>
    <xf numFmtId="10" fontId="20" fillId="0" borderId="1" xfId="4" applyNumberFormat="1" applyFont="1" applyBorder="1"/>
    <xf numFmtId="43" fontId="26" fillId="0" borderId="0" xfId="0" applyNumberFormat="1" applyFont="1" applyAlignment="1">
      <alignment horizontal="right"/>
    </xf>
    <xf numFmtId="43" fontId="25" fillId="0" borderId="0" xfId="0" applyNumberFormat="1" applyFont="1" applyFill="1"/>
    <xf numFmtId="9" fontId="20" fillId="0" borderId="0" xfId="4" applyFont="1" applyAlignment="1">
      <alignment horizontal="center"/>
    </xf>
    <xf numFmtId="0" fontId="31" fillId="20" borderId="0" xfId="1" applyNumberFormat="1" applyFont="1" applyFill="1"/>
    <xf numFmtId="0" fontId="26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20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20" fillId="0" borderId="0" xfId="1" applyFont="1" applyAlignment="1">
      <alignment horizontal="right"/>
    </xf>
    <xf numFmtId="0" fontId="22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4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2" fillId="0" borderId="6" xfId="0" applyFont="1" applyBorder="1" applyAlignment="1" applyProtection="1">
      <alignment vertical="top" wrapText="1"/>
      <protection locked="0"/>
    </xf>
    <xf numFmtId="0" fontId="22" fillId="0" borderId="21" xfId="0" applyFont="1" applyBorder="1" applyAlignment="1" applyProtection="1">
      <alignment vertical="top" wrapText="1"/>
      <protection locked="0"/>
    </xf>
    <xf numFmtId="0" fontId="22" fillId="0" borderId="67" xfId="0" applyFont="1" applyBorder="1" applyAlignment="1" applyProtection="1">
      <alignment vertical="top" wrapText="1"/>
      <protection locked="0"/>
    </xf>
    <xf numFmtId="0" fontId="22" fillId="0" borderId="68" xfId="0" applyFont="1" applyBorder="1" applyAlignment="1" applyProtection="1">
      <alignment vertical="top" wrapText="1"/>
      <protection locked="0"/>
    </xf>
    <xf numFmtId="0" fontId="22" fillId="0" borderId="69" xfId="0" applyFont="1" applyBorder="1" applyAlignment="1" applyProtection="1">
      <alignment vertical="top" wrapText="1"/>
      <protection locked="0"/>
    </xf>
    <xf numFmtId="0" fontId="22" fillId="0" borderId="16" xfId="0" applyFont="1" applyBorder="1" applyAlignment="1" applyProtection="1">
      <alignment vertical="top" wrapText="1"/>
      <protection locked="0"/>
    </xf>
    <xf numFmtId="0" fontId="22" fillId="11" borderId="70" xfId="0" applyFont="1" applyFill="1" applyBorder="1" applyAlignment="1" applyProtection="1">
      <alignment vertical="top" wrapText="1"/>
      <protection locked="0"/>
    </xf>
    <xf numFmtId="0" fontId="22" fillId="11" borderId="0" xfId="0" applyFont="1" applyFill="1" applyBorder="1" applyAlignment="1" applyProtection="1">
      <alignment vertical="top" wrapText="1"/>
      <protection locked="0"/>
    </xf>
    <xf numFmtId="0" fontId="33" fillId="12" borderId="6" xfId="0" applyFont="1" applyFill="1" applyBorder="1" applyAlignment="1" applyProtection="1">
      <alignment vertical="top" wrapText="1"/>
      <protection locked="0"/>
    </xf>
    <xf numFmtId="0" fontId="22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0" fontId="0" fillId="24" borderId="48" xfId="0" applyFill="1" applyBorder="1" applyAlignment="1"/>
    <xf numFmtId="0" fontId="0" fillId="24" borderId="2" xfId="0" applyFill="1" applyBorder="1" applyAlignment="1"/>
    <xf numFmtId="0" fontId="0" fillId="24" borderId="1" xfId="0" applyFill="1" applyBorder="1" applyAlignment="1"/>
    <xf numFmtId="172" fontId="0" fillId="0" borderId="6" xfId="0" applyNumberFormat="1" applyBorder="1" applyAlignment="1">
      <alignment horizontal="center" vertical="center"/>
    </xf>
    <xf numFmtId="9" fontId="20" fillId="0" borderId="1" xfId="4" applyFont="1" applyBorder="1"/>
    <xf numFmtId="0" fontId="25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20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20" fillId="5" borderId="35" xfId="1" applyNumberFormat="1" applyFont="1" applyFill="1" applyBorder="1" applyAlignment="1">
      <alignment horizontal="right"/>
    </xf>
    <xf numFmtId="9" fontId="20" fillId="0" borderId="0" xfId="4" applyFont="1" applyBorder="1"/>
    <xf numFmtId="2" fontId="20" fillId="0" borderId="0" xfId="4" applyNumberFormat="1" applyFont="1" applyBorder="1"/>
    <xf numFmtId="0" fontId="29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0" fontId="0" fillId="0" borderId="43" xfId="0" applyBorder="1"/>
    <xf numFmtId="0" fontId="0" fillId="0" borderId="43" xfId="0" applyFill="1" applyBorder="1"/>
    <xf numFmtId="0" fontId="0" fillId="0" borderId="44" xfId="0" applyBorder="1"/>
    <xf numFmtId="0" fontId="0" fillId="0" borderId="44" xfId="0" applyFont="1" applyBorder="1"/>
    <xf numFmtId="172" fontId="0" fillId="0" borderId="4" xfId="0" applyNumberFormat="1" applyBorder="1" applyAlignment="1">
      <alignment horizontal="center" vertical="center"/>
    </xf>
    <xf numFmtId="0" fontId="34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21" fillId="0" borderId="0" xfId="3" applyAlignment="1" applyProtection="1"/>
    <xf numFmtId="0" fontId="32" fillId="0" borderId="0" xfId="0" applyFont="1" applyAlignment="1">
      <alignment horizontal="center"/>
    </xf>
    <xf numFmtId="178" fontId="2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20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20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20" fillId="0" borderId="0" xfId="2" applyFont="1" applyBorder="1"/>
    <xf numFmtId="44" fontId="32" fillId="0" borderId="0" xfId="0" applyNumberFormat="1" applyFont="1" applyBorder="1"/>
    <xf numFmtId="43" fontId="0" fillId="0" borderId="0" xfId="0" applyNumberFormat="1" applyBorder="1"/>
    <xf numFmtId="0" fontId="23" fillId="3" borderId="71" xfId="0" applyNumberFormat="1" applyFont="1" applyFill="1" applyBorder="1" applyAlignment="1">
      <alignment vertical="top" wrapText="1"/>
    </xf>
    <xf numFmtId="4" fontId="23" fillId="3" borderId="71" xfId="0" applyNumberFormat="1" applyFont="1" applyFill="1" applyBorder="1" applyAlignment="1">
      <alignment horizontal="center" vertical="top" wrapText="1"/>
    </xf>
    <xf numFmtId="4" fontId="23" fillId="3" borderId="0" xfId="0" applyNumberFormat="1" applyFont="1" applyFill="1" applyBorder="1" applyAlignment="1">
      <alignment horizontal="center" vertical="top" wrapText="1"/>
    </xf>
    <xf numFmtId="4" fontId="23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20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2" fillId="0" borderId="1" xfId="0" applyNumberFormat="1" applyFont="1" applyBorder="1"/>
    <xf numFmtId="0" fontId="26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20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20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20" fillId="0" borderId="0" xfId="4" applyFont="1"/>
    <xf numFmtId="0" fontId="20" fillId="3" borderId="1" xfId="2" applyNumberFormat="1" applyFont="1" applyFill="1" applyBorder="1"/>
    <xf numFmtId="0" fontId="0" fillId="3" borderId="1" xfId="0" applyNumberFormat="1" applyFill="1" applyBorder="1"/>
    <xf numFmtId="2" fontId="0" fillId="24" borderId="1" xfId="0" applyNumberFormat="1" applyFill="1" applyBorder="1"/>
    <xf numFmtId="0" fontId="22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169" fontId="0" fillId="0" borderId="0" xfId="0" applyNumberFormat="1"/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79" fontId="0" fillId="2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20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20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20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5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20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20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20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20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31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179" fontId="0" fillId="9" borderId="1" xfId="0" applyNumberFormat="1" applyFill="1" applyBorder="1" applyAlignment="1">
      <alignment wrapText="1"/>
    </xf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3" borderId="2" xfId="0" applyFill="1" applyBorder="1" applyAlignment="1" applyProtection="1">
      <alignment horizontal="center" wrapText="1"/>
      <protection locked="0"/>
    </xf>
    <xf numFmtId="2" fontId="20" fillId="3" borderId="12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26" fillId="0" borderId="0" xfId="0" applyNumberFormat="1" applyFont="1" applyAlignment="1">
      <alignment wrapText="1"/>
    </xf>
    <xf numFmtId="0" fontId="32" fillId="0" borderId="0" xfId="0" applyFont="1" applyAlignment="1">
      <alignment wrapText="1"/>
    </xf>
    <xf numFmtId="176" fontId="28" fillId="0" borderId="0" xfId="1" applyNumberFormat="1" applyFont="1"/>
    <xf numFmtId="43" fontId="28" fillId="0" borderId="0" xfId="1" applyFont="1"/>
    <xf numFmtId="9" fontId="20" fillId="5" borderId="0" xfId="4" applyFont="1" applyFill="1"/>
    <xf numFmtId="9" fontId="20" fillId="0" borderId="0" xfId="4" applyFont="1"/>
    <xf numFmtId="10" fontId="20" fillId="0" borderId="1" xfId="4" applyNumberFormat="1" applyFont="1" applyBorder="1" applyAlignment="1">
      <alignment horizontal="left" wrapText="1"/>
    </xf>
    <xf numFmtId="43" fontId="20" fillId="0" borderId="1" xfId="1" applyFont="1" applyBorder="1" applyAlignment="1">
      <alignment horizontal="left" wrapText="1"/>
    </xf>
    <xf numFmtId="9" fontId="20" fillId="14" borderId="1" xfId="4" applyFont="1" applyFill="1" applyBorder="1"/>
    <xf numFmtId="9" fontId="20" fillId="0" borderId="1" xfId="4" applyFont="1" applyBorder="1" applyAlignment="1">
      <alignment horizontal="center" vertical="center"/>
    </xf>
    <xf numFmtId="9" fontId="20" fillId="0" borderId="1" xfId="4" applyFont="1" applyBorder="1" applyAlignment="1">
      <alignment horizontal="center"/>
    </xf>
    <xf numFmtId="169" fontId="0" fillId="2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" borderId="0" xfId="0" applyNumberFormat="1" applyFill="1"/>
    <xf numFmtId="173" fontId="0" fillId="2" borderId="0" xfId="0" applyNumberFormat="1" applyFill="1"/>
    <xf numFmtId="9" fontId="20" fillId="0" borderId="25" xfId="4" applyFont="1" applyBorder="1"/>
    <xf numFmtId="2" fontId="20" fillId="0" borderId="0" xfId="4" applyNumberFormat="1" applyFont="1" applyBorder="1"/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5" fillId="0" borderId="53" xfId="0" applyFont="1" applyBorder="1" applyAlignment="1">
      <alignment horizontal="center" vertical="center"/>
    </xf>
    <xf numFmtId="0" fontId="35" fillId="0" borderId="54" xfId="0" applyFont="1" applyBorder="1" applyAlignment="1">
      <alignment horizontal="center" vertical="center"/>
    </xf>
    <xf numFmtId="0" fontId="35" fillId="0" borderId="42" xfId="0" applyFont="1" applyBorder="1" applyAlignment="1">
      <alignment horizontal="center" vertical="center"/>
    </xf>
    <xf numFmtId="0" fontId="35" fillId="0" borderId="40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2" fillId="2" borderId="1" xfId="0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center" vertical="center"/>
    </xf>
    <xf numFmtId="0" fontId="22" fillId="2" borderId="7" xfId="0" applyFont="1" applyFill="1" applyBorder="1" applyAlignment="1">
      <alignment horizontal="center" vertical="center"/>
    </xf>
    <xf numFmtId="0" fontId="22" fillId="29" borderId="23" xfId="0" applyFont="1" applyFill="1" applyBorder="1" applyAlignment="1">
      <alignment horizontal="center" vertical="center"/>
    </xf>
    <xf numFmtId="0" fontId="22" fillId="29" borderId="7" xfId="0" applyFont="1" applyFill="1" applyBorder="1" applyAlignment="1">
      <alignment horizontal="center" vertical="center"/>
    </xf>
    <xf numFmtId="165" fontId="22" fillId="29" borderId="23" xfId="0" applyNumberFormat="1" applyFont="1" applyFill="1" applyBorder="1" applyAlignment="1">
      <alignment horizontal="center" vertical="center"/>
    </xf>
    <xf numFmtId="165" fontId="22" fillId="29" borderId="7" xfId="0" applyNumberFormat="1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center" vertical="center"/>
    </xf>
    <xf numFmtId="0" fontId="22" fillId="30" borderId="1" xfId="0" applyFont="1" applyFill="1" applyBorder="1" applyAlignment="1">
      <alignment horizontal="center" vertical="center"/>
    </xf>
    <xf numFmtId="0" fontId="22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6" fillId="0" borderId="48" xfId="0" applyFont="1" applyBorder="1" applyAlignment="1">
      <alignment horizontal="center" wrapText="1"/>
    </xf>
    <xf numFmtId="0" fontId="26" fillId="0" borderId="2" xfId="0" applyFont="1" applyBorder="1" applyAlignment="1">
      <alignment horizontal="center" wrapText="1"/>
    </xf>
    <xf numFmtId="0" fontId="26" fillId="0" borderId="12" xfId="0" applyFont="1" applyBorder="1" applyAlignment="1">
      <alignment horizontal="center" wrapText="1"/>
    </xf>
    <xf numFmtId="0" fontId="26" fillId="0" borderId="35" xfId="0" applyFont="1" applyBorder="1" applyAlignment="1">
      <alignment horizontal="center" wrapText="1"/>
    </xf>
    <xf numFmtId="0" fontId="26" fillId="0" borderId="36" xfId="0" applyFont="1" applyBorder="1" applyAlignment="1">
      <alignment horizontal="center"/>
    </xf>
    <xf numFmtId="0" fontId="26" fillId="0" borderId="26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56" xfId="0" applyFont="1" applyBorder="1" applyAlignment="1">
      <alignment horizontal="center"/>
    </xf>
    <xf numFmtId="0" fontId="26" fillId="0" borderId="22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6" fillId="0" borderId="48" xfId="0" applyFont="1" applyBorder="1" applyAlignment="1">
      <alignment horizontal="center" vertical="center" wrapText="1"/>
    </xf>
    <xf numFmtId="0" fontId="26" fillId="0" borderId="2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/>
    </xf>
    <xf numFmtId="0" fontId="26" fillId="0" borderId="35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6" fillId="29" borderId="1" xfId="0" applyFont="1" applyFill="1" applyBorder="1" applyAlignment="1">
      <alignment horizontal="center" wrapText="1"/>
    </xf>
    <xf numFmtId="0" fontId="31" fillId="0" borderId="4" xfId="0" applyFont="1" applyBorder="1" applyAlignment="1">
      <alignment horizontal="center" vertical="center"/>
    </xf>
    <xf numFmtId="0" fontId="31" fillId="0" borderId="3" xfId="0" applyFont="1" applyBorder="1" applyAlignment="1">
      <alignment horizontal="center" vertical="center"/>
    </xf>
    <xf numFmtId="0" fontId="31" fillId="0" borderId="41" xfId="0" applyFont="1" applyBorder="1" applyAlignment="1">
      <alignment horizontal="center" vertical="center"/>
    </xf>
    <xf numFmtId="180" fontId="31" fillId="0" borderId="4" xfId="0" applyNumberFormat="1" applyFont="1" applyBorder="1" applyAlignment="1">
      <alignment horizontal="center" vertical="center"/>
    </xf>
    <xf numFmtId="180" fontId="31" fillId="0" borderId="3" xfId="0" applyNumberFormat="1" applyFont="1" applyBorder="1" applyAlignment="1">
      <alignment horizontal="center" vertical="center"/>
    </xf>
    <xf numFmtId="180" fontId="31" fillId="0" borderId="41" xfId="0" applyNumberFormat="1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top" wrapText="1"/>
    </xf>
    <xf numFmtId="0" fontId="31" fillId="0" borderId="3" xfId="0" applyFont="1" applyBorder="1" applyAlignment="1">
      <alignment horizontal="center" vertical="top" wrapText="1"/>
    </xf>
    <xf numFmtId="0" fontId="31" fillId="0" borderId="41" xfId="0" applyFont="1" applyBorder="1" applyAlignment="1">
      <alignment horizontal="center" vertical="top" wrapText="1"/>
    </xf>
    <xf numFmtId="0" fontId="31" fillId="0" borderId="59" xfId="0" applyFont="1" applyBorder="1" applyAlignment="1">
      <alignment horizontal="center" vertical="center" wrapText="1"/>
    </xf>
    <xf numFmtId="0" fontId="31" fillId="0" borderId="60" xfId="0" applyFont="1" applyBorder="1" applyAlignment="1">
      <alignment horizontal="center" vertical="center" wrapText="1"/>
    </xf>
    <xf numFmtId="0" fontId="31" fillId="0" borderId="61" xfId="0" applyFont="1" applyBorder="1" applyAlignment="1">
      <alignment horizontal="center" vertical="center" wrapText="1"/>
    </xf>
    <xf numFmtId="0" fontId="31" fillId="0" borderId="20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0" fontId="31" fillId="0" borderId="62" xfId="0" applyFont="1" applyBorder="1" applyAlignment="1">
      <alignment horizontal="center"/>
    </xf>
    <xf numFmtId="0" fontId="31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6"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externalLink" Target="externalLinks/externalLink7.xml"/><Relationship Id="rId30" Type="http://schemas.openxmlformats.org/officeDocument/2006/relationships/externalLink" Target="externalLinks/externalLink10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33578.799999999814</c:v>
                </c:pt>
                <c:pt idx="1">
                  <c:v>30214</c:v>
                </c:pt>
                <c:pt idx="2">
                  <c:v>32504</c:v>
                </c:pt>
                <c:pt idx="3">
                  <c:v>29402</c:v>
                </c:pt>
                <c:pt idx="4">
                  <c:v>32164</c:v>
                </c:pt>
                <c:pt idx="5">
                  <c:v>31146</c:v>
                </c:pt>
                <c:pt idx="6">
                  <c:v>26276.799999999814</c:v>
                </c:pt>
                <c:pt idx="7">
                  <c:v>29097.400000000373</c:v>
                </c:pt>
                <c:pt idx="8">
                  <c:v>28488.599999999627</c:v>
                </c:pt>
                <c:pt idx="9">
                  <c:v>30559.400000000373</c:v>
                </c:pt>
                <c:pt idx="10">
                  <c:v>34481.799999999814</c:v>
                </c:pt>
                <c:pt idx="11">
                  <c:v>30373.200000000186</c:v>
                </c:pt>
                <c:pt idx="12">
                  <c:v>30850</c:v>
                </c:pt>
                <c:pt idx="13">
                  <c:v>30370.399999999907</c:v>
                </c:pt>
                <c:pt idx="14">
                  <c:v>29315.399999999907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E-4B37-81FB-23DC49642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73696"/>
        <c:axId val="158575232"/>
      </c:lineChart>
      <c:catAx>
        <c:axId val="15857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75232"/>
        <c:crosses val="autoZero"/>
        <c:auto val="1"/>
        <c:lblAlgn val="ctr"/>
        <c:lblOffset val="100"/>
        <c:noMultiLvlLbl val="0"/>
      </c:catAx>
      <c:valAx>
        <c:axId val="1585752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7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2987"/>
          <c:w val="0.11899800868449716"/>
          <c:h val="4.498269896193788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11957</c:v>
                </c:pt>
                <c:pt idx="1">
                  <c:v>10195</c:v>
                </c:pt>
                <c:pt idx="2">
                  <c:v>11217</c:v>
                </c:pt>
                <c:pt idx="3">
                  <c:v>9688</c:v>
                </c:pt>
                <c:pt idx="4">
                  <c:v>12738</c:v>
                </c:pt>
                <c:pt idx="5">
                  <c:v>13660</c:v>
                </c:pt>
                <c:pt idx="6">
                  <c:v>11241</c:v>
                </c:pt>
                <c:pt idx="7">
                  <c:v>12505</c:v>
                </c:pt>
                <c:pt idx="8">
                  <c:v>12290</c:v>
                </c:pt>
                <c:pt idx="9">
                  <c:v>13380</c:v>
                </c:pt>
                <c:pt idx="10">
                  <c:v>12910</c:v>
                </c:pt>
                <c:pt idx="11">
                  <c:v>10233</c:v>
                </c:pt>
                <c:pt idx="12">
                  <c:v>13503</c:v>
                </c:pt>
                <c:pt idx="13">
                  <c:v>13496</c:v>
                </c:pt>
                <c:pt idx="14">
                  <c:v>9374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0E-417D-826B-7F76EFC2F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13440"/>
        <c:axId val="104419328"/>
      </c:lineChart>
      <c:catAx>
        <c:axId val="104413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19328"/>
        <c:crosses val="autoZero"/>
        <c:auto val="1"/>
        <c:lblAlgn val="ctr"/>
        <c:lblOffset val="100"/>
        <c:noMultiLvlLbl val="0"/>
      </c:catAx>
      <c:valAx>
        <c:axId val="104419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13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29838"/>
          <c:y val="0.61111329833770778"/>
          <c:w val="9.6296451832409855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0.69130000000000003</c:v>
                </c:pt>
                <c:pt idx="1">
                  <c:v>0.70430000000000004</c:v>
                </c:pt>
                <c:pt idx="2">
                  <c:v>0.82169999999999999</c:v>
                </c:pt>
                <c:pt idx="3">
                  <c:v>0.83399999999999996</c:v>
                </c:pt>
                <c:pt idx="4">
                  <c:v>0.76959999999999995</c:v>
                </c:pt>
                <c:pt idx="5">
                  <c:v>0.57389999999999997</c:v>
                </c:pt>
                <c:pt idx="6">
                  <c:v>0.54349999999999998</c:v>
                </c:pt>
                <c:pt idx="7">
                  <c:v>0.65649999999999997</c:v>
                </c:pt>
                <c:pt idx="8">
                  <c:v>0.72170000000000001</c:v>
                </c:pt>
                <c:pt idx="9">
                  <c:v>0.8609</c:v>
                </c:pt>
                <c:pt idx="10">
                  <c:v>0.8478</c:v>
                </c:pt>
                <c:pt idx="11">
                  <c:v>0.58699999999999997</c:v>
                </c:pt>
                <c:pt idx="12">
                  <c:v>0.52610000000000001</c:v>
                </c:pt>
                <c:pt idx="13">
                  <c:v>0.58260000000000001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6B-4926-A3CE-B8D44B4E65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26880"/>
        <c:axId val="104428672"/>
      </c:lineChart>
      <c:catAx>
        <c:axId val="10442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28672"/>
        <c:crosses val="autoZero"/>
        <c:auto val="1"/>
        <c:lblAlgn val="ctr"/>
        <c:lblOffset val="100"/>
        <c:noMultiLvlLbl val="0"/>
      </c:catAx>
      <c:valAx>
        <c:axId val="10442867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2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07455"/>
          <c:y val="0.6297588752962987"/>
          <c:w val="7.9124755870162669E-2"/>
          <c:h val="4.498269896193788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76234708722191202"/>
          <c:y val="0.87969634004082864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158.999</c:v>
                </c:pt>
                <c:pt idx="1">
                  <c:v>161.989</c:v>
                </c:pt>
                <c:pt idx="2">
                  <c:v>188.99099999999999</c:v>
                </c:pt>
                <c:pt idx="3">
                  <c:v>191.82</c:v>
                </c:pt>
                <c:pt idx="4">
                  <c:v>177.00799999999998</c:v>
                </c:pt>
                <c:pt idx="5">
                  <c:v>131.99699999999999</c:v>
                </c:pt>
                <c:pt idx="6">
                  <c:v>125.005</c:v>
                </c:pt>
                <c:pt idx="7">
                  <c:v>150.995</c:v>
                </c:pt>
                <c:pt idx="8">
                  <c:v>165.99100000000001</c:v>
                </c:pt>
                <c:pt idx="9">
                  <c:v>198.00700000000001</c:v>
                </c:pt>
                <c:pt idx="10">
                  <c:v>194.994</c:v>
                </c:pt>
                <c:pt idx="11">
                  <c:v>135.01</c:v>
                </c:pt>
                <c:pt idx="12">
                  <c:v>121.003</c:v>
                </c:pt>
                <c:pt idx="13">
                  <c:v>133.99799999999999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68-4EEB-8A5A-D194B44C5C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440576"/>
        <c:axId val="104442112"/>
      </c:lineChart>
      <c:catAx>
        <c:axId val="104440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42112"/>
        <c:crosses val="autoZero"/>
        <c:auto val="1"/>
        <c:lblAlgn val="ctr"/>
        <c:lblOffset val="100"/>
        <c:noMultiLvlLbl val="0"/>
      </c:catAx>
      <c:valAx>
        <c:axId val="1044421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440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48868"/>
          <c:w val="8.5383502170766998E-2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255.62068965517241</c:v>
                </c:pt>
                <c:pt idx="1">
                  <c:v>225.66666666666666</c:v>
                </c:pt>
                <c:pt idx="2">
                  <c:v>236.03571428571428</c:v>
                </c:pt>
                <c:pt idx="3">
                  <c:v>203</c:v>
                </c:pt>
                <c:pt idx="4">
                  <c:v>228.3</c:v>
                </c:pt>
                <c:pt idx="5">
                  <c:v>205.15151515151516</c:v>
                </c:pt>
                <c:pt idx="6">
                  <c:v>218.20689655172413</c:v>
                </c:pt>
                <c:pt idx="7">
                  <c:v>225.85714285714286</c:v>
                </c:pt>
                <c:pt idx="8">
                  <c:v>232.54545454545453</c:v>
                </c:pt>
                <c:pt idx="9">
                  <c:v>215.29729729729729</c:v>
                </c:pt>
                <c:pt idx="10">
                  <c:v>193.66666666666666</c:v>
                </c:pt>
                <c:pt idx="11">
                  <c:v>225.51724137931035</c:v>
                </c:pt>
                <c:pt idx="12">
                  <c:v>241.35483870967741</c:v>
                </c:pt>
                <c:pt idx="13">
                  <c:v>220.67741935483872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51-4479-9656-946D2BB7F2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255872"/>
        <c:axId val="128257408"/>
      </c:lineChart>
      <c:catAx>
        <c:axId val="128255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57408"/>
        <c:crosses val="autoZero"/>
        <c:auto val="1"/>
        <c:lblAlgn val="ctr"/>
        <c:lblOffset val="100"/>
        <c:noMultiLvlLbl val="0"/>
      </c:catAx>
      <c:valAx>
        <c:axId val="12825740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255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049"/>
          <c:w val="0.1317254174397032"/>
          <c:h val="4.498283868362610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10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A9-4E22-A40F-9CD5F6494E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07616"/>
        <c:axId val="155009408"/>
      </c:lineChart>
      <c:catAx>
        <c:axId val="155007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09408"/>
        <c:crosses val="autoZero"/>
        <c:auto val="1"/>
        <c:lblAlgn val="ctr"/>
        <c:lblOffset val="100"/>
        <c:noMultiLvlLbl val="0"/>
      </c:catAx>
      <c:valAx>
        <c:axId val="1550094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07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132</c:v>
                </c:pt>
                <c:pt idx="1">
                  <c:v>132</c:v>
                </c:pt>
                <c:pt idx="2">
                  <c:v>185</c:v>
                </c:pt>
                <c:pt idx="3">
                  <c:v>133</c:v>
                </c:pt>
                <c:pt idx="4">
                  <c:v>212</c:v>
                </c:pt>
                <c:pt idx="5">
                  <c:v>133</c:v>
                </c:pt>
                <c:pt idx="6">
                  <c:v>212</c:v>
                </c:pt>
                <c:pt idx="7">
                  <c:v>186</c:v>
                </c:pt>
                <c:pt idx="8">
                  <c:v>133</c:v>
                </c:pt>
                <c:pt idx="9">
                  <c:v>186</c:v>
                </c:pt>
                <c:pt idx="10">
                  <c:v>132</c:v>
                </c:pt>
                <c:pt idx="11">
                  <c:v>0</c:v>
                </c:pt>
                <c:pt idx="12">
                  <c:v>133</c:v>
                </c:pt>
                <c:pt idx="13">
                  <c:v>133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1B-4486-A110-42F682B5D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29504"/>
        <c:axId val="155031040"/>
      </c:lineChart>
      <c:catAx>
        <c:axId val="155029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31040"/>
        <c:crosses val="autoZero"/>
        <c:auto val="1"/>
        <c:lblAlgn val="ctr"/>
        <c:lblOffset val="100"/>
        <c:noMultiLvlLbl val="0"/>
      </c:catAx>
      <c:valAx>
        <c:axId val="1550310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29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173</c:v>
                </c:pt>
                <c:pt idx="4">
                  <c:v>0</c:v>
                </c:pt>
                <c:pt idx="5">
                  <c:v>192</c:v>
                </c:pt>
                <c:pt idx="6">
                  <c:v>0</c:v>
                </c:pt>
                <c:pt idx="7">
                  <c:v>169</c:v>
                </c:pt>
                <c:pt idx="8">
                  <c:v>12</c:v>
                </c:pt>
                <c:pt idx="9">
                  <c:v>171</c:v>
                </c:pt>
                <c:pt idx="10">
                  <c:v>0</c:v>
                </c:pt>
                <c:pt idx="11">
                  <c:v>654</c:v>
                </c:pt>
                <c:pt idx="12">
                  <c:v>0</c:v>
                </c:pt>
                <c:pt idx="13">
                  <c:v>110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8B-4612-A556-A0B869454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67520"/>
        <c:axId val="155069056"/>
      </c:lineChart>
      <c:catAx>
        <c:axId val="155067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9056"/>
        <c:crosses val="autoZero"/>
        <c:auto val="1"/>
        <c:lblAlgn val="ctr"/>
        <c:lblOffset val="100"/>
        <c:noMultiLvlLbl val="0"/>
      </c:catAx>
      <c:valAx>
        <c:axId val="15506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675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1"/>
          <c:h val="4.513888888888850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27</c:v>
                </c:pt>
                <c:pt idx="1">
                  <c:v>26.5</c:v>
                </c:pt>
                <c:pt idx="2">
                  <c:v>26</c:v>
                </c:pt>
                <c:pt idx="3">
                  <c:v>25.5</c:v>
                </c:pt>
                <c:pt idx="4">
                  <c:v>26</c:v>
                </c:pt>
                <c:pt idx="5">
                  <c:v>26</c:v>
                </c:pt>
                <c:pt idx="6">
                  <c:v>26.5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  <c:pt idx="10">
                  <c:v>26</c:v>
                </c:pt>
                <c:pt idx="11">
                  <c:v>25.5</c:v>
                </c:pt>
                <c:pt idx="12">
                  <c:v>27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5-4CAC-9335-30B6C5604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85056"/>
        <c:axId val="155090944"/>
      </c:lineChart>
      <c:catAx>
        <c:axId val="155085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90944"/>
        <c:crosses val="autoZero"/>
        <c:auto val="1"/>
        <c:lblAlgn val="ctr"/>
        <c:lblOffset val="100"/>
        <c:noMultiLvlLbl val="0"/>
      </c:catAx>
      <c:valAx>
        <c:axId val="15509094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85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7533"/>
          <c:y val="0.60069663167104248"/>
          <c:w val="0.12724033151770045"/>
          <c:h val="4.5138888888888853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11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12</c:v>
                </c:pt>
                <c:pt idx="5">
                  <c:v>13</c:v>
                </c:pt>
                <c:pt idx="6">
                  <c:v>10</c:v>
                </c:pt>
                <c:pt idx="7">
                  <c:v>12</c:v>
                </c:pt>
                <c:pt idx="8">
                  <c:v>15</c:v>
                </c:pt>
                <c:pt idx="9">
                  <c:v>17</c:v>
                </c:pt>
                <c:pt idx="10">
                  <c:v>14</c:v>
                </c:pt>
                <c:pt idx="11">
                  <c:v>11</c:v>
                </c:pt>
                <c:pt idx="12">
                  <c:v>13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4-4AAB-BD84-E06D23FD0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098496"/>
        <c:axId val="155116672"/>
      </c:lineChart>
      <c:catAx>
        <c:axId val="155098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116672"/>
        <c:crosses val="autoZero"/>
        <c:auto val="1"/>
        <c:lblAlgn val="ctr"/>
        <c:lblOffset val="100"/>
        <c:noMultiLvlLbl val="0"/>
      </c:catAx>
      <c:valAx>
        <c:axId val="155116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09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1481660946227852"/>
          <c:y val="0.46026490066225223"/>
          <c:w val="0.9869304798438655"/>
          <c:h val="0.54304635761589526"/>
        </c:manualLayout>
      </c:layout>
      <c:overlay val="0"/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888.10000000003492</c:v>
                </c:pt>
                <c:pt idx="1">
                  <c:v>839.09999999997672</c:v>
                </c:pt>
                <c:pt idx="2">
                  <c:v>802.59999999997672</c:v>
                </c:pt>
                <c:pt idx="3">
                  <c:v>812.60000000003492</c:v>
                </c:pt>
                <c:pt idx="4">
                  <c:v>932.5</c:v>
                </c:pt>
                <c:pt idx="5">
                  <c:v>1032.5</c:v>
                </c:pt>
                <c:pt idx="6">
                  <c:v>1043.2000000000116</c:v>
                </c:pt>
                <c:pt idx="7">
                  <c:v>861.79999999998836</c:v>
                </c:pt>
                <c:pt idx="8">
                  <c:v>807.79999999998836</c:v>
                </c:pt>
                <c:pt idx="9">
                  <c:v>880.70000000001164</c:v>
                </c:pt>
                <c:pt idx="10">
                  <c:v>839.09999999997672</c:v>
                </c:pt>
                <c:pt idx="11">
                  <c:v>821.90000000002328</c:v>
                </c:pt>
                <c:pt idx="12">
                  <c:v>844.20000000001164</c:v>
                </c:pt>
                <c:pt idx="13">
                  <c:v>925.29999999998836</c:v>
                </c:pt>
                <c:pt idx="14">
                  <c:v>708.29999999998836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C7-4AD5-9A51-505AE7554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33344"/>
        <c:axId val="158234880"/>
      </c:lineChart>
      <c:catAx>
        <c:axId val="15823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4880"/>
        <c:crosses val="autoZero"/>
        <c:auto val="1"/>
        <c:lblAlgn val="ctr"/>
        <c:lblOffset val="100"/>
        <c:noMultiLvlLbl val="0"/>
      </c:catAx>
      <c:valAx>
        <c:axId val="1582348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3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4248"/>
          <c:w val="0.13541688538932647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270</c:v>
                </c:pt>
                <c:pt idx="1">
                  <c:v>240</c:v>
                </c:pt>
                <c:pt idx="2">
                  <c:v>210</c:v>
                </c:pt>
                <c:pt idx="3">
                  <c:v>570</c:v>
                </c:pt>
                <c:pt idx="4">
                  <c:v>450</c:v>
                </c:pt>
                <c:pt idx="5">
                  <c:v>270</c:v>
                </c:pt>
                <c:pt idx="6">
                  <c:v>360</c:v>
                </c:pt>
                <c:pt idx="7">
                  <c:v>239.99999999999909</c:v>
                </c:pt>
                <c:pt idx="8">
                  <c:v>210.00000000000091</c:v>
                </c:pt>
                <c:pt idx="9">
                  <c:v>240</c:v>
                </c:pt>
                <c:pt idx="10">
                  <c:v>720</c:v>
                </c:pt>
                <c:pt idx="11">
                  <c:v>150</c:v>
                </c:pt>
                <c:pt idx="12">
                  <c:v>360</c:v>
                </c:pt>
                <c:pt idx="13">
                  <c:v>120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E-4156-91E5-5633B42D7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59072"/>
        <c:axId val="158260608"/>
      </c:lineChart>
      <c:catAx>
        <c:axId val="158259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60608"/>
        <c:crosses val="autoZero"/>
        <c:auto val="1"/>
        <c:lblAlgn val="ctr"/>
        <c:lblOffset val="100"/>
        <c:noMultiLvlLbl val="0"/>
      </c:catAx>
      <c:valAx>
        <c:axId val="15826060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59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4248"/>
          <c:w val="0.1145835520559925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33578.799999999814</c:v>
                </c:pt>
                <c:pt idx="1">
                  <c:v>30214</c:v>
                </c:pt>
                <c:pt idx="2">
                  <c:v>32504</c:v>
                </c:pt>
                <c:pt idx="3">
                  <c:v>29402</c:v>
                </c:pt>
                <c:pt idx="4">
                  <c:v>32164</c:v>
                </c:pt>
                <c:pt idx="5">
                  <c:v>31146</c:v>
                </c:pt>
                <c:pt idx="6">
                  <c:v>26276.799999999814</c:v>
                </c:pt>
                <c:pt idx="7">
                  <c:v>29097.400000000373</c:v>
                </c:pt>
                <c:pt idx="8">
                  <c:v>28488.599999999627</c:v>
                </c:pt>
                <c:pt idx="9">
                  <c:v>30559.400000000373</c:v>
                </c:pt>
                <c:pt idx="10">
                  <c:v>34481.799999999814</c:v>
                </c:pt>
                <c:pt idx="11">
                  <c:v>30373.200000000186</c:v>
                </c:pt>
                <c:pt idx="12">
                  <c:v>30850</c:v>
                </c:pt>
                <c:pt idx="13">
                  <c:v>30370.399999999907</c:v>
                </c:pt>
                <c:pt idx="14">
                  <c:v>29315.399999999907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FE-4B9C-8EF7-F7801F4B74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272896"/>
        <c:axId val="158274688"/>
      </c:lineChart>
      <c:catAx>
        <c:axId val="158272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74688"/>
        <c:crosses val="autoZero"/>
        <c:auto val="1"/>
        <c:lblAlgn val="ctr"/>
        <c:lblOffset val="100"/>
        <c:noMultiLvlLbl val="0"/>
      </c:catAx>
      <c:valAx>
        <c:axId val="1582746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272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2987"/>
          <c:w val="0.12291688538932598"/>
          <c:h val="4.49826989619378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11957</c:v>
                </c:pt>
                <c:pt idx="1">
                  <c:v>10195</c:v>
                </c:pt>
                <c:pt idx="2">
                  <c:v>11217</c:v>
                </c:pt>
                <c:pt idx="3">
                  <c:v>9688</c:v>
                </c:pt>
                <c:pt idx="4">
                  <c:v>12738</c:v>
                </c:pt>
                <c:pt idx="5">
                  <c:v>13660</c:v>
                </c:pt>
                <c:pt idx="6">
                  <c:v>11241</c:v>
                </c:pt>
                <c:pt idx="7">
                  <c:v>12505</c:v>
                </c:pt>
                <c:pt idx="8">
                  <c:v>12290</c:v>
                </c:pt>
                <c:pt idx="9">
                  <c:v>13380</c:v>
                </c:pt>
                <c:pt idx="10">
                  <c:v>12910</c:v>
                </c:pt>
                <c:pt idx="11">
                  <c:v>10233</c:v>
                </c:pt>
                <c:pt idx="12">
                  <c:v>13503</c:v>
                </c:pt>
                <c:pt idx="13">
                  <c:v>13496</c:v>
                </c:pt>
                <c:pt idx="14">
                  <c:v>9374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45-461D-90EE-900982D81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07072"/>
        <c:axId val="158308608"/>
      </c:lineChart>
      <c:catAx>
        <c:axId val="158307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08608"/>
        <c:crosses val="autoZero"/>
        <c:auto val="1"/>
        <c:lblAlgn val="ctr"/>
        <c:lblOffset val="100"/>
        <c:noMultiLvlLbl val="0"/>
      </c:catAx>
      <c:valAx>
        <c:axId val="158308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07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4248"/>
          <c:w val="0.13541688538932647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17</c:v>
                </c:pt>
                <c:pt idx="3">
                  <c:v>11</c:v>
                </c:pt>
                <c:pt idx="4">
                  <c:v>6</c:v>
                </c:pt>
                <c:pt idx="5">
                  <c:v>6</c:v>
                </c:pt>
                <c:pt idx="6">
                  <c:v>10</c:v>
                </c:pt>
                <c:pt idx="7">
                  <c:v>7</c:v>
                </c:pt>
                <c:pt idx="8">
                  <c:v>7</c:v>
                </c:pt>
                <c:pt idx="9">
                  <c:v>14</c:v>
                </c:pt>
                <c:pt idx="10">
                  <c:v>16</c:v>
                </c:pt>
                <c:pt idx="11">
                  <c:v>6</c:v>
                </c:pt>
                <c:pt idx="12">
                  <c:v>7.25</c:v>
                </c:pt>
                <c:pt idx="13">
                  <c:v>16.239999999999782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9-4309-BA59-34E920B2B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20512"/>
        <c:axId val="158322048"/>
      </c:lineChart>
      <c:catAx>
        <c:axId val="158320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2048"/>
        <c:crosses val="autoZero"/>
        <c:auto val="1"/>
        <c:lblAlgn val="ctr"/>
        <c:lblOffset val="100"/>
        <c:noMultiLvlLbl val="0"/>
      </c:catAx>
      <c:valAx>
        <c:axId val="15832204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20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4501"/>
          <c:y val="0.54325368498487869"/>
          <c:w val="0.11458355205599259"/>
          <c:h val="4.4982698961937427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-5063.4838709677424</c:v>
                </c:pt>
                <c:pt idx="1">
                  <c:v>-4293.4838709677497</c:v>
                </c:pt>
                <c:pt idx="2">
                  <c:v>-4600.1612903225832</c:v>
                </c:pt>
                <c:pt idx="3">
                  <c:v>-1235.5161290322503</c:v>
                </c:pt>
                <c:pt idx="4">
                  <c:v>-2996.7741935483937</c:v>
                </c:pt>
                <c:pt idx="5">
                  <c:v>-2523.4193548386975</c:v>
                </c:pt>
                <c:pt idx="6">
                  <c:v>-2690.0967741935528</c:v>
                </c:pt>
                <c:pt idx="7">
                  <c:v>-2523.4193548387047</c:v>
                </c:pt>
                <c:pt idx="8">
                  <c:v>-2760.0967741935456</c:v>
                </c:pt>
                <c:pt idx="9">
                  <c:v>-3680.129032258068</c:v>
                </c:pt>
                <c:pt idx="10">
                  <c:v>-1619.3548387096889</c:v>
                </c:pt>
                <c:pt idx="11">
                  <c:v>-2453.4193548386975</c:v>
                </c:pt>
                <c:pt idx="12">
                  <c:v>-2453.4193548387193</c:v>
                </c:pt>
                <c:pt idx="13">
                  <c:v>-4293.4838709677206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C9-467F-9466-6B1DFB0D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89600"/>
        <c:axId val="158495488"/>
      </c:lineChart>
      <c:catAx>
        <c:axId val="158489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95488"/>
        <c:crosses val="autoZero"/>
        <c:auto val="1"/>
        <c:lblAlgn val="ctr"/>
        <c:lblOffset val="100"/>
        <c:noMultiLvlLbl val="0"/>
      </c:catAx>
      <c:valAx>
        <c:axId val="15849548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89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3231"/>
          <c:w val="0.15208355205599322"/>
          <c:h val="4.5138888888888951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10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A-41B1-8FAA-8B6E5B74E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520064"/>
        <c:axId val="158521600"/>
      </c:lineChart>
      <c:catAx>
        <c:axId val="158520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21600"/>
        <c:crosses val="autoZero"/>
        <c:auto val="1"/>
        <c:lblAlgn val="ctr"/>
        <c:lblOffset val="100"/>
        <c:noMultiLvlLbl val="0"/>
      </c:catAx>
      <c:valAx>
        <c:axId val="1585216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2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7621"/>
          <c:y val="0.6297588752962987"/>
          <c:w val="0.13541688538932692"/>
          <c:h val="4.49826989619378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0.69130000000000003</c:v>
                </c:pt>
                <c:pt idx="1">
                  <c:v>0.70430000000000004</c:v>
                </c:pt>
                <c:pt idx="2">
                  <c:v>0.82169999999999999</c:v>
                </c:pt>
                <c:pt idx="3">
                  <c:v>0.83399999999999996</c:v>
                </c:pt>
                <c:pt idx="4">
                  <c:v>0.76959999999999995</c:v>
                </c:pt>
                <c:pt idx="5">
                  <c:v>0.57389999999999997</c:v>
                </c:pt>
                <c:pt idx="6">
                  <c:v>0.54349999999999998</c:v>
                </c:pt>
                <c:pt idx="7">
                  <c:v>0.65649999999999997</c:v>
                </c:pt>
                <c:pt idx="8">
                  <c:v>0.72170000000000001</c:v>
                </c:pt>
                <c:pt idx="9">
                  <c:v>0.8609</c:v>
                </c:pt>
                <c:pt idx="10">
                  <c:v>0.8478</c:v>
                </c:pt>
                <c:pt idx="11">
                  <c:v>0.58699999999999997</c:v>
                </c:pt>
                <c:pt idx="12">
                  <c:v>0.52610000000000001</c:v>
                </c:pt>
                <c:pt idx="13">
                  <c:v>0.58260000000000001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09-461C-9E39-BCEA3B26B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947200"/>
        <c:axId val="158948736"/>
      </c:lineChart>
      <c:catAx>
        <c:axId val="158947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8736"/>
        <c:crosses val="autoZero"/>
        <c:auto val="1"/>
        <c:lblAlgn val="ctr"/>
        <c:lblOffset val="100"/>
        <c:noMultiLvlLbl val="0"/>
      </c:catAx>
      <c:valAx>
        <c:axId val="158948736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947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2987"/>
          <c:w val="9.730870597697025E-2"/>
          <c:h val="4.49826989619378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8456931519923701"/>
          <c:y val="4.6204760737087777E-2"/>
        </c:manualLayout>
      </c:layout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158.999</c:v>
                </c:pt>
                <c:pt idx="1">
                  <c:v>161.989</c:v>
                </c:pt>
                <c:pt idx="2">
                  <c:v>188.99099999999999</c:v>
                </c:pt>
                <c:pt idx="3">
                  <c:v>191.82</c:v>
                </c:pt>
                <c:pt idx="4">
                  <c:v>177.00799999999998</c:v>
                </c:pt>
                <c:pt idx="5">
                  <c:v>131.99699999999999</c:v>
                </c:pt>
                <c:pt idx="6">
                  <c:v>125.005</c:v>
                </c:pt>
                <c:pt idx="7">
                  <c:v>150.995</c:v>
                </c:pt>
                <c:pt idx="8">
                  <c:v>165.99100000000001</c:v>
                </c:pt>
                <c:pt idx="9">
                  <c:v>198.00700000000001</c:v>
                </c:pt>
                <c:pt idx="10">
                  <c:v>194.994</c:v>
                </c:pt>
                <c:pt idx="11">
                  <c:v>135.01</c:v>
                </c:pt>
                <c:pt idx="12">
                  <c:v>121.003</c:v>
                </c:pt>
                <c:pt idx="13">
                  <c:v>133.99799999999999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B-41BB-AFB4-FFF38DF58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24480"/>
        <c:axId val="159134464"/>
      </c:lineChart>
      <c:catAx>
        <c:axId val="15912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34464"/>
        <c:crosses val="autoZero"/>
        <c:auto val="1"/>
        <c:lblAlgn val="ctr"/>
        <c:lblOffset val="100"/>
        <c:noMultiLvlLbl val="0"/>
      </c:catAx>
      <c:valAx>
        <c:axId val="1591344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24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2277"/>
          <c:y val="0.61591804484647061"/>
          <c:w val="0.12190104336131478"/>
          <c:h val="4.49826989619378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132</c:v>
                </c:pt>
                <c:pt idx="1">
                  <c:v>132</c:v>
                </c:pt>
                <c:pt idx="2">
                  <c:v>185</c:v>
                </c:pt>
                <c:pt idx="3">
                  <c:v>133</c:v>
                </c:pt>
                <c:pt idx="4">
                  <c:v>212</c:v>
                </c:pt>
                <c:pt idx="5">
                  <c:v>133</c:v>
                </c:pt>
                <c:pt idx="6">
                  <c:v>212</c:v>
                </c:pt>
                <c:pt idx="7">
                  <c:v>186</c:v>
                </c:pt>
                <c:pt idx="8">
                  <c:v>133</c:v>
                </c:pt>
                <c:pt idx="9">
                  <c:v>186</c:v>
                </c:pt>
                <c:pt idx="10">
                  <c:v>132</c:v>
                </c:pt>
                <c:pt idx="11">
                  <c:v>0</c:v>
                </c:pt>
                <c:pt idx="12">
                  <c:v>133</c:v>
                </c:pt>
                <c:pt idx="13">
                  <c:v>133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44-4DA3-B2E5-ED096BBD58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66848"/>
        <c:axId val="159168384"/>
      </c:lineChart>
      <c:catAx>
        <c:axId val="159166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68384"/>
        <c:crosses val="autoZero"/>
        <c:auto val="1"/>
        <c:lblAlgn val="ctr"/>
        <c:lblOffset val="100"/>
        <c:noMultiLvlLbl val="0"/>
      </c:catAx>
      <c:valAx>
        <c:axId val="1591683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66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18906"/>
          <c:y val="0.6297588752962987"/>
          <c:w val="0.13250539334757039"/>
          <c:h val="4.49826989619378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173</c:v>
                </c:pt>
                <c:pt idx="4">
                  <c:v>0</c:v>
                </c:pt>
                <c:pt idx="5">
                  <c:v>192</c:v>
                </c:pt>
                <c:pt idx="6">
                  <c:v>0</c:v>
                </c:pt>
                <c:pt idx="7">
                  <c:v>169</c:v>
                </c:pt>
                <c:pt idx="8">
                  <c:v>12</c:v>
                </c:pt>
                <c:pt idx="9">
                  <c:v>171</c:v>
                </c:pt>
                <c:pt idx="10">
                  <c:v>0</c:v>
                </c:pt>
                <c:pt idx="11">
                  <c:v>654</c:v>
                </c:pt>
                <c:pt idx="12">
                  <c:v>0</c:v>
                </c:pt>
                <c:pt idx="13">
                  <c:v>110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FF-4184-B2D8-B638D983F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180288"/>
        <c:axId val="159181824"/>
      </c:lineChart>
      <c:catAx>
        <c:axId val="15918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81824"/>
        <c:crosses val="autoZero"/>
        <c:auto val="1"/>
        <c:lblAlgn val="ctr"/>
        <c:lblOffset val="100"/>
        <c:noMultiLvlLbl val="0"/>
      </c:catAx>
      <c:valAx>
        <c:axId val="1591818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180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4248"/>
          <c:w val="0.11363658055139769"/>
          <c:h val="4.5138888888888729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</c:v>
                </c:pt>
                <c:pt idx="1">
                  <c:v>26.5</c:v>
                </c:pt>
                <c:pt idx="2">
                  <c:v>26</c:v>
                </c:pt>
                <c:pt idx="3">
                  <c:v>25.5</c:v>
                </c:pt>
                <c:pt idx="4">
                  <c:v>26</c:v>
                </c:pt>
                <c:pt idx="5">
                  <c:v>26</c:v>
                </c:pt>
                <c:pt idx="6">
                  <c:v>26.5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  <c:pt idx="10">
                  <c:v>26</c:v>
                </c:pt>
                <c:pt idx="11">
                  <c:v>25.5</c:v>
                </c:pt>
                <c:pt idx="12">
                  <c:v>27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1D-4457-83CE-392537AAC8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404992"/>
        <c:axId val="162427264"/>
      </c:lineChart>
      <c:catAx>
        <c:axId val="162404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27264"/>
        <c:crosses val="autoZero"/>
        <c:auto val="1"/>
        <c:lblAlgn val="ctr"/>
        <c:lblOffset val="100"/>
        <c:noMultiLvlLbl val="0"/>
      </c:catAx>
      <c:valAx>
        <c:axId val="16242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049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48868"/>
          <c:w val="0.12343118198091384"/>
          <c:h val="4.5138888888888402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0.00_ ;[Red]\-0.00\ 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-292.80000000000007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31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D6-4665-B4FD-8088AA2654CF}"/>
            </c:ext>
          </c:extLst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0.00_ ;[Red]\-0.00\ 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109.80000000000003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25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D6-4665-B4FD-8088AA265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34144"/>
        <c:axId val="162535680"/>
      </c:lineChart>
      <c:catAx>
        <c:axId val="162534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5680"/>
        <c:crosses val="autoZero"/>
        <c:auto val="1"/>
        <c:lblAlgn val="ctr"/>
        <c:lblOffset val="100"/>
        <c:noMultiLvlLbl val="0"/>
      </c:catAx>
      <c:valAx>
        <c:axId val="162535680"/>
        <c:scaling>
          <c:orientation val="minMax"/>
        </c:scaling>
        <c:delete val="0"/>
        <c:axPos val="l"/>
        <c:majorGridlines/>
        <c:numFmt formatCode="0.00_ ;[Red]\-0.00\ 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34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5596"/>
          <c:y val="0.45486256926217655"/>
          <c:w val="0.15690398532819397"/>
          <c:h val="9.027814231554370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255.62068965517241</c:v>
                </c:pt>
                <c:pt idx="1">
                  <c:v>225.66666666666666</c:v>
                </c:pt>
                <c:pt idx="2">
                  <c:v>236.03571428571428</c:v>
                </c:pt>
                <c:pt idx="3">
                  <c:v>203</c:v>
                </c:pt>
                <c:pt idx="4">
                  <c:v>228.3</c:v>
                </c:pt>
                <c:pt idx="5">
                  <c:v>205.15151515151516</c:v>
                </c:pt>
                <c:pt idx="6">
                  <c:v>218.20689655172413</c:v>
                </c:pt>
                <c:pt idx="7">
                  <c:v>225.85714285714286</c:v>
                </c:pt>
                <c:pt idx="8">
                  <c:v>232.54545454545453</c:v>
                </c:pt>
                <c:pt idx="9">
                  <c:v>215.29729729729729</c:v>
                </c:pt>
                <c:pt idx="10">
                  <c:v>193.66666666666666</c:v>
                </c:pt>
                <c:pt idx="11">
                  <c:v>225.51724137931035</c:v>
                </c:pt>
                <c:pt idx="12">
                  <c:v>241.35483870967741</c:v>
                </c:pt>
                <c:pt idx="13">
                  <c:v>220.67741935483872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A6-44BB-9208-06D578B4A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571776"/>
        <c:axId val="162573312"/>
      </c:lineChart>
      <c:catAx>
        <c:axId val="16257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3312"/>
        <c:crosses val="autoZero"/>
        <c:auto val="1"/>
        <c:lblAlgn val="ctr"/>
        <c:lblOffset val="100"/>
        <c:noMultiLvlLbl val="0"/>
      </c:catAx>
      <c:valAx>
        <c:axId val="162573312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571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2987"/>
          <c:w val="0.14853578449137356"/>
          <c:h val="4.498269896193804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27</c:v>
                </c:pt>
                <c:pt idx="1">
                  <c:v>26.5</c:v>
                </c:pt>
                <c:pt idx="2">
                  <c:v>26</c:v>
                </c:pt>
                <c:pt idx="3">
                  <c:v>25.5</c:v>
                </c:pt>
                <c:pt idx="4">
                  <c:v>26</c:v>
                </c:pt>
                <c:pt idx="5">
                  <c:v>26</c:v>
                </c:pt>
                <c:pt idx="6">
                  <c:v>26.5</c:v>
                </c:pt>
                <c:pt idx="7">
                  <c:v>26</c:v>
                </c:pt>
                <c:pt idx="8">
                  <c:v>26</c:v>
                </c:pt>
                <c:pt idx="9">
                  <c:v>25</c:v>
                </c:pt>
                <c:pt idx="10">
                  <c:v>26</c:v>
                </c:pt>
                <c:pt idx="11">
                  <c:v>25.5</c:v>
                </c:pt>
                <c:pt idx="12">
                  <c:v>27</c:v>
                </c:pt>
                <c:pt idx="13">
                  <c:v>27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6A-431C-A99A-AE2973FCC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16608"/>
        <c:axId val="142918400"/>
      </c:lineChart>
      <c:catAx>
        <c:axId val="142916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18400"/>
        <c:crosses val="autoZero"/>
        <c:auto val="1"/>
        <c:lblAlgn val="ctr"/>
        <c:lblOffset val="100"/>
        <c:noMultiLvlLbl val="0"/>
      </c:catAx>
      <c:valAx>
        <c:axId val="142918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2916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0486"/>
          <c:y val="0.6297588752962987"/>
          <c:w val="0.12164948453608192"/>
          <c:h val="4.498269896193804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682008368201263E-2"/>
          <c:y val="0.19444444444450096"/>
          <c:w val="0.68410041841004265"/>
          <c:h val="0.6875"/>
        </c:manualLayout>
      </c:layout>
      <c:lineChart>
        <c:grouping val="standard"/>
        <c:varyColors val="0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17</c:v>
                </c:pt>
                <c:pt idx="3">
                  <c:v>11</c:v>
                </c:pt>
                <c:pt idx="4">
                  <c:v>6</c:v>
                </c:pt>
                <c:pt idx="5">
                  <c:v>6</c:v>
                </c:pt>
                <c:pt idx="6">
                  <c:v>10</c:v>
                </c:pt>
                <c:pt idx="7">
                  <c:v>7</c:v>
                </c:pt>
                <c:pt idx="8">
                  <c:v>7</c:v>
                </c:pt>
                <c:pt idx="9">
                  <c:v>14</c:v>
                </c:pt>
                <c:pt idx="10">
                  <c:v>16</c:v>
                </c:pt>
                <c:pt idx="11">
                  <c:v>6</c:v>
                </c:pt>
                <c:pt idx="12">
                  <c:v>7.25</c:v>
                </c:pt>
                <c:pt idx="13">
                  <c:v>16.239999999999782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7B-45F9-94A5-FAC3A31A0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151808"/>
        <c:axId val="158153344"/>
      </c:lineChart>
      <c:catAx>
        <c:axId val="15815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53344"/>
        <c:crosses val="autoZero"/>
        <c:auto val="1"/>
        <c:lblAlgn val="ctr"/>
        <c:lblOffset val="100"/>
        <c:noMultiLvlLbl val="0"/>
      </c:catAx>
      <c:valAx>
        <c:axId val="158153344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151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11957</c:v>
                </c:pt>
                <c:pt idx="1">
                  <c:v>10195</c:v>
                </c:pt>
                <c:pt idx="2">
                  <c:v>11217</c:v>
                </c:pt>
                <c:pt idx="3">
                  <c:v>9688</c:v>
                </c:pt>
                <c:pt idx="4">
                  <c:v>12738</c:v>
                </c:pt>
                <c:pt idx="5">
                  <c:v>13660</c:v>
                </c:pt>
                <c:pt idx="6">
                  <c:v>11241</c:v>
                </c:pt>
                <c:pt idx="7">
                  <c:v>12505</c:v>
                </c:pt>
                <c:pt idx="8">
                  <c:v>12290</c:v>
                </c:pt>
                <c:pt idx="9">
                  <c:v>13380</c:v>
                </c:pt>
                <c:pt idx="10">
                  <c:v>12910</c:v>
                </c:pt>
                <c:pt idx="11">
                  <c:v>10233</c:v>
                </c:pt>
                <c:pt idx="12">
                  <c:v>13503</c:v>
                </c:pt>
                <c:pt idx="13">
                  <c:v>13496</c:v>
                </c:pt>
                <c:pt idx="14">
                  <c:v>9374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C4-4E47-9F17-EF58686DB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341376"/>
        <c:axId val="158371840"/>
      </c:lineChart>
      <c:catAx>
        <c:axId val="158341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71840"/>
        <c:crosses val="autoZero"/>
        <c:auto val="1"/>
        <c:lblAlgn val="ctr"/>
        <c:lblOffset val="100"/>
        <c:noMultiLvlLbl val="0"/>
      </c:catAx>
      <c:valAx>
        <c:axId val="1583718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341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3896"/>
          <c:w val="5.1419800460475666E-2"/>
          <c:h val="4.436860068259376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varyColors val="0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0.00_ ;[Red]\-0.00\ 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-292.80000000000007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31</c:v>
                </c:pt>
                <c:pt idx="1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90-44F8-B1D6-D0EAEB2C2104}"/>
            </c:ext>
          </c:extLst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0.00_ ;[Red]\-0.00\ 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109.80000000000003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25</c:v>
                </c:pt>
                <c:pt idx="11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90-44F8-B1D6-D0EAEB2C2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231936"/>
        <c:axId val="132233472"/>
      </c:lineChart>
      <c:catAx>
        <c:axId val="1322319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33472"/>
        <c:crosses val="autoZero"/>
        <c:auto val="1"/>
        <c:lblAlgn val="ctr"/>
        <c:lblOffset val="100"/>
        <c:noMultiLvlLbl val="0"/>
      </c:catAx>
      <c:valAx>
        <c:axId val="132233472"/>
        <c:scaling>
          <c:orientation val="minMax"/>
        </c:scaling>
        <c:delete val="0"/>
        <c:axPos val="l"/>
        <c:majorGridlines/>
        <c:numFmt formatCode="0.00_ ;[Red]\-0.00\ 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23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wMode val="edge"/>
          <c:hMode val="edge"/>
          <c:x val="0.82780082987551862"/>
          <c:y val="0.45486256926217655"/>
          <c:w val="0.98340248962655463"/>
          <c:h val="0.54514071157771971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>
          <a:extLst>
            <a:ext uri="{FF2B5EF4-FFF2-40B4-BE49-F238E27FC236}">
              <a16:creationId xmlns:a16="http://schemas.microsoft.com/office/drawing/2014/main" id="{00000000-0008-0000-0200-000001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>
          <a:extLst>
            <a:ext uri="{FF2B5EF4-FFF2-40B4-BE49-F238E27FC236}">
              <a16:creationId xmlns:a16="http://schemas.microsoft.com/office/drawing/2014/main" id="{00000000-0008-0000-0200-000002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>
          <a:extLst>
            <a:ext uri="{FF2B5EF4-FFF2-40B4-BE49-F238E27FC236}">
              <a16:creationId xmlns:a16="http://schemas.microsoft.com/office/drawing/2014/main" id="{00000000-0008-0000-0200-000003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>
          <a:extLst>
            <a:ext uri="{FF2B5EF4-FFF2-40B4-BE49-F238E27FC236}">
              <a16:creationId xmlns:a16="http://schemas.microsoft.com/office/drawing/2014/main" id="{00000000-0008-0000-0200-000004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>
          <a:extLst>
            <a:ext uri="{FF2B5EF4-FFF2-40B4-BE49-F238E27FC236}">
              <a16:creationId xmlns:a16="http://schemas.microsoft.com/office/drawing/2014/main" id="{00000000-0008-0000-0200-0000054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>
          <a:extLst>
            <a:ext uri="{FF2B5EF4-FFF2-40B4-BE49-F238E27FC236}">
              <a16:creationId xmlns:a16="http://schemas.microsoft.com/office/drawing/2014/main" id="{00000000-0008-0000-0400-000007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>
          <a:extLst>
            <a:ext uri="{FF2B5EF4-FFF2-40B4-BE49-F238E27FC236}">
              <a16:creationId xmlns:a16="http://schemas.microsoft.com/office/drawing/2014/main" id="{00000000-0008-0000-0400-000008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>
          <a:extLst>
            <a:ext uri="{FF2B5EF4-FFF2-40B4-BE49-F238E27FC236}">
              <a16:creationId xmlns:a16="http://schemas.microsoft.com/office/drawing/2014/main" id="{00000000-0008-0000-0400-000009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>
          <a:extLst>
            <a:ext uri="{FF2B5EF4-FFF2-40B4-BE49-F238E27FC236}">
              <a16:creationId xmlns:a16="http://schemas.microsoft.com/office/drawing/2014/main" id="{00000000-0008-0000-0400-00000A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>
          <a:extLst>
            <a:ext uri="{FF2B5EF4-FFF2-40B4-BE49-F238E27FC236}">
              <a16:creationId xmlns:a16="http://schemas.microsoft.com/office/drawing/2014/main" id="{00000000-0008-0000-0400-00000B33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>
          <a:extLst>
            <a:ext uri="{FF2B5EF4-FFF2-40B4-BE49-F238E27FC236}">
              <a16:creationId xmlns:a16="http://schemas.microsoft.com/office/drawing/2014/main" id="{00000000-0008-0000-0500-000001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>
          <a:extLst>
            <a:ext uri="{FF2B5EF4-FFF2-40B4-BE49-F238E27FC236}">
              <a16:creationId xmlns:a16="http://schemas.microsoft.com/office/drawing/2014/main" id="{00000000-0008-0000-0500-000002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>
          <a:extLst>
            <a:ext uri="{FF2B5EF4-FFF2-40B4-BE49-F238E27FC236}">
              <a16:creationId xmlns:a16="http://schemas.microsoft.com/office/drawing/2014/main" id="{00000000-0008-0000-0500-000003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>
          <a:extLst>
            <a:ext uri="{FF2B5EF4-FFF2-40B4-BE49-F238E27FC236}">
              <a16:creationId xmlns:a16="http://schemas.microsoft.com/office/drawing/2014/main" id="{00000000-0008-0000-0500-000004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>
          <a:extLst>
            <a:ext uri="{FF2B5EF4-FFF2-40B4-BE49-F238E27FC236}">
              <a16:creationId xmlns:a16="http://schemas.microsoft.com/office/drawing/2014/main" id="{00000000-0008-0000-0500-000005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>
          <a:extLst>
            <a:ext uri="{FF2B5EF4-FFF2-40B4-BE49-F238E27FC236}">
              <a16:creationId xmlns:a16="http://schemas.microsoft.com/office/drawing/2014/main" id="{00000000-0008-0000-0500-000006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>
          <a:extLst>
            <a:ext uri="{FF2B5EF4-FFF2-40B4-BE49-F238E27FC236}">
              <a16:creationId xmlns:a16="http://schemas.microsoft.com/office/drawing/2014/main" id="{00000000-0008-0000-0500-000007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>
          <a:extLst>
            <a:ext uri="{FF2B5EF4-FFF2-40B4-BE49-F238E27FC236}">
              <a16:creationId xmlns:a16="http://schemas.microsoft.com/office/drawing/2014/main" id="{00000000-0008-0000-0500-000008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>
          <a:extLst>
            <a:ext uri="{FF2B5EF4-FFF2-40B4-BE49-F238E27FC236}">
              <a16:creationId xmlns:a16="http://schemas.microsoft.com/office/drawing/2014/main" id="{00000000-0008-0000-0500-000009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>
          <a:extLst>
            <a:ext uri="{FF2B5EF4-FFF2-40B4-BE49-F238E27FC236}">
              <a16:creationId xmlns:a16="http://schemas.microsoft.com/office/drawing/2014/main" id="{00000000-0008-0000-0500-00000A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>
          <a:extLst>
            <a:ext uri="{FF2B5EF4-FFF2-40B4-BE49-F238E27FC236}">
              <a16:creationId xmlns:a16="http://schemas.microsoft.com/office/drawing/2014/main" id="{00000000-0008-0000-0500-00000B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>
          <a:extLst>
            <a:ext uri="{FF2B5EF4-FFF2-40B4-BE49-F238E27FC236}">
              <a16:creationId xmlns:a16="http://schemas.microsoft.com/office/drawing/2014/main" id="{00000000-0008-0000-0500-00000C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>
          <a:extLst>
            <a:ext uri="{FF2B5EF4-FFF2-40B4-BE49-F238E27FC236}">
              <a16:creationId xmlns:a16="http://schemas.microsoft.com/office/drawing/2014/main" id="{00000000-0008-0000-0500-00000D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>
          <a:extLst>
            <a:ext uri="{FF2B5EF4-FFF2-40B4-BE49-F238E27FC236}">
              <a16:creationId xmlns:a16="http://schemas.microsoft.com/office/drawing/2014/main" id="{00000000-0008-0000-0500-00000E7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>
          <a:extLst>
            <a:ext uri="{FF2B5EF4-FFF2-40B4-BE49-F238E27FC236}">
              <a16:creationId xmlns:a16="http://schemas.microsoft.com/office/drawing/2014/main" id="{00000000-0008-0000-0600-000001B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>
          <a:extLst>
            <a:ext uri="{FF2B5EF4-FFF2-40B4-BE49-F238E27FC236}">
              <a16:creationId xmlns:a16="http://schemas.microsoft.com/office/drawing/2014/main" id="{00000000-0008-0000-0800-000001B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>
          <a:extLst>
            <a:ext uri="{FF2B5EF4-FFF2-40B4-BE49-F238E27FC236}">
              <a16:creationId xmlns:a16="http://schemas.microsoft.com/office/drawing/2014/main" id="{00000000-0008-0000-0C00-000001C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>
          <a:extLst>
            <a:ext uri="{FF2B5EF4-FFF2-40B4-BE49-F238E27FC236}">
              <a16:creationId xmlns:a16="http://schemas.microsoft.com/office/drawing/2014/main" id="{00000000-0008-0000-0D00-000002140000}"/>
            </a:ext>
          </a:extLst>
        </xdr:cNvPr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>
          <a:extLst>
            <a:ext uri="{FF2B5EF4-FFF2-40B4-BE49-F238E27FC236}">
              <a16:creationId xmlns:a16="http://schemas.microsoft.com/office/drawing/2014/main" id="{00000000-0008-0000-0D00-0000031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>
          <a:extLst>
            <a:ext uri="{FF2B5EF4-FFF2-40B4-BE49-F238E27FC236}">
              <a16:creationId xmlns:a16="http://schemas.microsoft.com/office/drawing/2014/main" id="{00000000-0008-0000-0D00-000004140000}"/>
            </a:ext>
          </a:extLst>
        </xdr:cNvPr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>
          <a:extLst>
            <a:ext uri="{FF2B5EF4-FFF2-40B4-BE49-F238E27FC236}">
              <a16:creationId xmlns:a16="http://schemas.microsoft.com/office/drawing/2014/main" id="{00000000-0008-0000-0D00-000005140000}"/>
            </a:ext>
          </a:extLst>
        </xdr:cNvPr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>
          <a:extLst>
            <a:ext uri="{FF2B5EF4-FFF2-40B4-BE49-F238E27FC236}">
              <a16:creationId xmlns:a16="http://schemas.microsoft.com/office/drawing/2014/main" id="{00000000-0008-0000-0D00-000006140000}"/>
            </a:ext>
          </a:extLst>
        </xdr:cNvPr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>
          <a:extLst>
            <a:ext uri="{FF2B5EF4-FFF2-40B4-BE49-F238E27FC236}">
              <a16:creationId xmlns:a16="http://schemas.microsoft.com/office/drawing/2014/main" id="{00000000-0008-0000-0D00-000007140000}"/>
            </a:ext>
          </a:extLst>
        </xdr:cNvPr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SEP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Apr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MAY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FE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MAY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Jul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Jun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USSEI~1.SAL/AppData/Local/Temp/notes7C574F/March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8/Oc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 refreshError="1"/>
      <sheetData sheetId="1" refreshError="1"/>
      <sheetData sheetId="2">
        <row r="32">
          <cell r="D32">
            <v>30782304</v>
          </cell>
        </row>
      </sheetData>
      <sheetData sheetId="3">
        <row r="34">
          <cell r="B34">
            <v>202</v>
          </cell>
          <cell r="C34">
            <v>219</v>
          </cell>
          <cell r="D34">
            <v>-29</v>
          </cell>
          <cell r="E34">
            <v>-243.02</v>
          </cell>
          <cell r="F34">
            <v>1128</v>
          </cell>
          <cell r="G34">
            <v>0</v>
          </cell>
          <cell r="H34">
            <v>316410</v>
          </cell>
          <cell r="I34">
            <v>0</v>
          </cell>
          <cell r="J34">
            <v>0</v>
          </cell>
          <cell r="K34">
            <v>1523</v>
          </cell>
          <cell r="L34">
            <v>0</v>
          </cell>
          <cell r="M34">
            <v>111660</v>
          </cell>
          <cell r="N34">
            <v>0</v>
          </cell>
          <cell r="O34">
            <v>0</v>
          </cell>
          <cell r="P34">
            <v>1332</v>
          </cell>
          <cell r="Q34">
            <v>116230</v>
          </cell>
          <cell r="R34">
            <v>271</v>
          </cell>
          <cell r="S34">
            <v>3</v>
          </cell>
          <cell r="T34">
            <v>0</v>
          </cell>
          <cell r="U34">
            <v>3</v>
          </cell>
          <cell r="V34">
            <v>271</v>
          </cell>
          <cell r="X34">
            <v>2185</v>
          </cell>
          <cell r="Y34">
            <v>0</v>
          </cell>
          <cell r="Z34">
            <v>123531.8</v>
          </cell>
          <cell r="AA34">
            <v>0</v>
          </cell>
          <cell r="AB34">
            <v>0</v>
          </cell>
          <cell r="AC34">
            <v>1378</v>
          </cell>
          <cell r="AD34">
            <v>14</v>
          </cell>
          <cell r="AE34">
            <v>337399.4</v>
          </cell>
          <cell r="AF34">
            <v>617.10000000003492</v>
          </cell>
          <cell r="AG34">
            <v>44.078571428573923</v>
          </cell>
          <cell r="AH34">
            <v>617.10000000003492</v>
          </cell>
          <cell r="AI34">
            <v>888.10000000003492</v>
          </cell>
          <cell r="AJ34">
            <v>888.10000000003492</v>
          </cell>
          <cell r="AK34">
            <v>0</v>
          </cell>
          <cell r="AL34">
            <v>3</v>
          </cell>
          <cell r="AM34">
            <v>14</v>
          </cell>
          <cell r="AN34">
            <v>71</v>
          </cell>
          <cell r="AO34">
            <v>2130</v>
          </cell>
          <cell r="AP34">
            <v>69</v>
          </cell>
          <cell r="AQ34">
            <v>2070</v>
          </cell>
          <cell r="AR34">
            <v>69</v>
          </cell>
          <cell r="AS34">
            <v>2070</v>
          </cell>
          <cell r="AT34">
            <v>6270</v>
          </cell>
          <cell r="AU34">
            <v>480</v>
          </cell>
          <cell r="AX34">
            <v>0.7</v>
          </cell>
        </row>
      </sheetData>
      <sheetData sheetId="4">
        <row r="33">
          <cell r="B33">
            <v>103210</v>
          </cell>
          <cell r="C33">
            <v>213</v>
          </cell>
          <cell r="D33">
            <v>7.8888888888888893</v>
          </cell>
          <cell r="E33">
            <v>250</v>
          </cell>
          <cell r="F33">
            <v>8</v>
          </cell>
          <cell r="G33">
            <v>576665</v>
          </cell>
          <cell r="H33">
            <v>197</v>
          </cell>
          <cell r="I33">
            <v>410</v>
          </cell>
          <cell r="J33">
            <v>0.6097560975609756</v>
          </cell>
          <cell r="K33">
            <v>5907</v>
          </cell>
          <cell r="L33">
            <v>2</v>
          </cell>
          <cell r="M33">
            <v>457.44</v>
          </cell>
          <cell r="N33">
            <v>0</v>
          </cell>
          <cell r="O33">
            <v>529.52</v>
          </cell>
          <cell r="P33">
            <v>0</v>
          </cell>
          <cell r="Q33">
            <v>0</v>
          </cell>
          <cell r="T33">
            <v>3756</v>
          </cell>
          <cell r="U33">
            <v>13</v>
          </cell>
          <cell r="V33">
            <v>187</v>
          </cell>
          <cell r="W33">
            <v>2</v>
          </cell>
          <cell r="X33">
            <v>133500</v>
          </cell>
          <cell r="Y33">
            <v>109</v>
          </cell>
          <cell r="Z33">
            <v>86134</v>
          </cell>
          <cell r="AA33">
            <v>111</v>
          </cell>
          <cell r="AB33">
            <v>252</v>
          </cell>
          <cell r="AC33">
            <v>575</v>
          </cell>
          <cell r="AD33">
            <v>0</v>
          </cell>
          <cell r="AE33">
            <v>111</v>
          </cell>
          <cell r="AF33">
            <v>107</v>
          </cell>
          <cell r="AG33">
            <v>109</v>
          </cell>
          <cell r="AH33">
            <v>26.5</v>
          </cell>
          <cell r="AI33">
            <v>400</v>
          </cell>
          <cell r="AK33">
            <v>570</v>
          </cell>
          <cell r="AM33">
            <v>43738</v>
          </cell>
          <cell r="AN33">
            <v>0.9</v>
          </cell>
          <cell r="AO33">
            <v>122</v>
          </cell>
          <cell r="AP33">
            <v>1.1000000000000001</v>
          </cell>
          <cell r="AQ33">
            <v>120</v>
          </cell>
          <cell r="AR33">
            <v>2.9</v>
          </cell>
          <cell r="AS33">
            <v>105</v>
          </cell>
          <cell r="AT33">
            <v>109.8</v>
          </cell>
          <cell r="AU33">
            <v>132</v>
          </cell>
          <cell r="AV33">
            <v>304.5</v>
          </cell>
          <cell r="AW33">
            <v>50.4</v>
          </cell>
          <cell r="AX33">
            <v>9.8999999999999915</v>
          </cell>
          <cell r="AY33">
            <v>17.400000000000034</v>
          </cell>
          <cell r="AZ33">
            <v>77.700000000000017</v>
          </cell>
          <cell r="BA33">
            <v>332.29999999999995</v>
          </cell>
          <cell r="BB33">
            <v>77.700000000000045</v>
          </cell>
        </row>
      </sheetData>
      <sheetData sheetId="5" refreshError="1"/>
      <sheetData sheetId="6">
        <row r="35">
          <cell r="B35">
            <v>28</v>
          </cell>
          <cell r="C35">
            <v>25</v>
          </cell>
          <cell r="D35">
            <v>26.5</v>
          </cell>
          <cell r="E35">
            <v>0.65</v>
          </cell>
          <cell r="F35">
            <v>0.64349999999999996</v>
          </cell>
          <cell r="G35">
            <v>148.005</v>
          </cell>
          <cell r="H35">
            <v>400</v>
          </cell>
          <cell r="J35">
            <v>570</v>
          </cell>
          <cell r="K35">
            <v>970</v>
          </cell>
        </row>
      </sheetData>
      <sheetData sheetId="7">
        <row r="35">
          <cell r="B35">
            <v>202</v>
          </cell>
          <cell r="C35">
            <v>4346.2580645161288</v>
          </cell>
          <cell r="D35">
            <v>202</v>
          </cell>
          <cell r="E35">
            <v>4346.2580645161288</v>
          </cell>
          <cell r="F35">
            <v>202</v>
          </cell>
          <cell r="G35">
            <v>4346.2580645161288</v>
          </cell>
          <cell r="H35">
            <v>202</v>
          </cell>
          <cell r="I35">
            <v>4346.2580645161288</v>
          </cell>
          <cell r="J35">
            <v>202</v>
          </cell>
          <cell r="K35">
            <v>4346.2580645161288</v>
          </cell>
          <cell r="L35">
            <v>202</v>
          </cell>
          <cell r="M35">
            <v>4346.2580645161288</v>
          </cell>
          <cell r="N35">
            <v>202</v>
          </cell>
          <cell r="O35">
            <v>4346.2580645161288</v>
          </cell>
          <cell r="P35">
            <v>202</v>
          </cell>
          <cell r="Q35">
            <v>4346.2580645161288</v>
          </cell>
          <cell r="R35">
            <v>202</v>
          </cell>
          <cell r="S35">
            <v>4346.2580645161288</v>
          </cell>
          <cell r="T35">
            <v>202</v>
          </cell>
          <cell r="U35">
            <v>4346.2580645161288</v>
          </cell>
          <cell r="V35">
            <v>202</v>
          </cell>
          <cell r="W35">
            <v>4346.2580645161288</v>
          </cell>
          <cell r="X35">
            <v>0.65161290322580645</v>
          </cell>
          <cell r="Y35">
            <v>47808.838709677417</v>
          </cell>
          <cell r="Z35">
            <v>219</v>
          </cell>
          <cell r="AA35">
            <v>2190</v>
          </cell>
          <cell r="AB35">
            <v>219</v>
          </cell>
          <cell r="AC35">
            <v>2190</v>
          </cell>
          <cell r="AD35">
            <v>219</v>
          </cell>
          <cell r="AE35">
            <v>2190</v>
          </cell>
          <cell r="AF35">
            <v>219</v>
          </cell>
          <cell r="AG35">
            <v>2190</v>
          </cell>
          <cell r="AH35">
            <v>219</v>
          </cell>
          <cell r="AI35">
            <v>2190</v>
          </cell>
          <cell r="AJ35">
            <v>219</v>
          </cell>
          <cell r="AK35">
            <v>2190</v>
          </cell>
          <cell r="AL35">
            <v>219</v>
          </cell>
          <cell r="AM35">
            <v>2190</v>
          </cell>
          <cell r="AN35">
            <v>0.78214285714285714</v>
          </cell>
          <cell r="AO35">
            <v>15330</v>
          </cell>
          <cell r="AQ35">
            <v>0.67913131880905042</v>
          </cell>
          <cell r="AR35">
            <v>63138.838709677417</v>
          </cell>
          <cell r="AS35">
            <v>-2493.8064516129089</v>
          </cell>
          <cell r="AT35">
            <v>8784</v>
          </cell>
          <cell r="AU35">
            <v>0.54</v>
          </cell>
          <cell r="AV35">
            <v>0.54</v>
          </cell>
          <cell r="AW35">
            <v>-888.10000000003492</v>
          </cell>
          <cell r="AX35">
            <v>-1605.7064516128739</v>
          </cell>
          <cell r="AY35">
            <v>-2493.8064516129089</v>
          </cell>
          <cell r="AZ35">
            <v>0.64349999999999996</v>
          </cell>
          <cell r="BA35">
            <v>26.5</v>
          </cell>
          <cell r="BB35">
            <v>0.65</v>
          </cell>
        </row>
      </sheetData>
      <sheetData sheetId="8">
        <row r="32">
          <cell r="B32">
            <v>8418</v>
          </cell>
          <cell r="C32">
            <v>0</v>
          </cell>
          <cell r="D32">
            <v>108878.3</v>
          </cell>
          <cell r="E32">
            <v>0</v>
          </cell>
          <cell r="F32">
            <v>0</v>
          </cell>
          <cell r="H32">
            <v>8517</v>
          </cell>
          <cell r="I32" t="str">
            <v>ok</v>
          </cell>
          <cell r="J32">
            <v>10377</v>
          </cell>
          <cell r="K32">
            <v>9</v>
          </cell>
          <cell r="L32">
            <v>188897</v>
          </cell>
          <cell r="M32">
            <v>1329.1000000000058</v>
          </cell>
          <cell r="N32">
            <v>147.67777777777843</v>
          </cell>
          <cell r="P32">
            <v>10300</v>
          </cell>
          <cell r="Q32" t="str">
            <v>oil change</v>
          </cell>
          <cell r="R32">
            <v>10698</v>
          </cell>
          <cell r="S32">
            <v>9</v>
          </cell>
          <cell r="T32">
            <v>143730.5</v>
          </cell>
          <cell r="U32">
            <v>1493</v>
          </cell>
          <cell r="V32">
            <v>165.88888888888889</v>
          </cell>
          <cell r="X32">
            <v>10809</v>
          </cell>
          <cell r="Y32" t="str">
            <v>ok</v>
          </cell>
          <cell r="Z32">
            <v>18</v>
          </cell>
          <cell r="AA32">
            <v>2822.1000000000058</v>
          </cell>
          <cell r="AB32">
            <v>313.56666666666729</v>
          </cell>
          <cell r="AC32">
            <v>156.78333333333364</v>
          </cell>
          <cell r="AD32">
            <v>10577.99999999952</v>
          </cell>
          <cell r="AE32">
            <v>587.66666666664003</v>
          </cell>
          <cell r="AF32">
            <v>0.36729166666665003</v>
          </cell>
          <cell r="AG32">
            <v>117.53333333332802</v>
          </cell>
          <cell r="AH32">
            <v>39.250000000005627</v>
          </cell>
          <cell r="AI32">
            <v>2722.6075949365854</v>
          </cell>
          <cell r="AJ32">
            <v>0.25738396624472576</v>
          </cell>
          <cell r="AK32">
            <v>151.25597749647696</v>
          </cell>
        </row>
      </sheetData>
      <sheetData sheetId="9" refreshError="1"/>
      <sheetData sheetId="10" refreshError="1"/>
      <sheetData sheetId="11" refreshError="1"/>
      <sheetData sheetId="12">
        <row r="26">
          <cell r="V26">
            <v>16691706</v>
          </cell>
          <cell r="W26">
            <v>16832530</v>
          </cell>
          <cell r="X26" t="str">
            <v>Night</v>
          </cell>
          <cell r="Y26">
            <v>80</v>
          </cell>
          <cell r="Z26">
            <v>1</v>
          </cell>
          <cell r="AA26">
            <v>140824</v>
          </cell>
          <cell r="AB26">
            <v>11265920</v>
          </cell>
          <cell r="AC26">
            <v>1033333</v>
          </cell>
          <cell r="AD26">
            <v>0.32487300276371822</v>
          </cell>
        </row>
        <row r="27">
          <cell r="V27">
            <v>23691796</v>
          </cell>
          <cell r="W27">
            <v>23918965</v>
          </cell>
          <cell r="X27" t="str">
            <v>day</v>
          </cell>
          <cell r="Y27">
            <v>112</v>
          </cell>
          <cell r="Z27">
            <v>1</v>
          </cell>
          <cell r="AA27">
            <v>227169</v>
          </cell>
          <cell r="AB27">
            <v>25442928</v>
          </cell>
          <cell r="AC27">
            <v>6200000</v>
          </cell>
          <cell r="AD27">
            <v>0.52406603394897966</v>
          </cell>
        </row>
        <row r="28">
          <cell r="V28">
            <v>7728133</v>
          </cell>
          <cell r="W28">
            <v>7793608</v>
          </cell>
          <cell r="X28" t="str">
            <v>Peak</v>
          </cell>
          <cell r="Y28">
            <v>320</v>
          </cell>
          <cell r="Z28">
            <v>1</v>
          </cell>
          <cell r="AA28">
            <v>65475</v>
          </cell>
          <cell r="AB28">
            <v>20952000</v>
          </cell>
          <cell r="AC28">
            <v>1000</v>
          </cell>
          <cell r="AD28">
            <v>0.15104712162667197</v>
          </cell>
        </row>
        <row r="29">
          <cell r="AA29">
            <v>433468</v>
          </cell>
        </row>
        <row r="30">
          <cell r="V30" t="str">
            <v>Occ %</v>
          </cell>
          <cell r="AB30">
            <v>57660848</v>
          </cell>
          <cell r="AC30">
            <v>7234333</v>
          </cell>
        </row>
        <row r="31">
          <cell r="V31" t="str">
            <v>Gen RH</v>
          </cell>
          <cell r="W31">
            <v>208.79999999999927</v>
          </cell>
          <cell r="X31">
            <v>6.959999999999976</v>
          </cell>
          <cell r="Y31">
            <v>3.479999999999988</v>
          </cell>
          <cell r="AB31">
            <v>64895181</v>
          </cell>
          <cell r="AC31">
            <v>7234333</v>
          </cell>
        </row>
        <row r="32">
          <cell r="V32" t="str">
            <v>H Deg</v>
          </cell>
          <cell r="W32">
            <v>0</v>
          </cell>
        </row>
        <row r="33">
          <cell r="B33">
            <v>48545102</v>
          </cell>
          <cell r="C33">
            <v>11957</v>
          </cell>
          <cell r="D33">
            <v>11958</v>
          </cell>
          <cell r="E33">
            <v>48545103</v>
          </cell>
          <cell r="F33">
            <v>7793608</v>
          </cell>
          <cell r="G33">
            <v>1958</v>
          </cell>
          <cell r="H33">
            <v>23918965</v>
          </cell>
          <cell r="I33">
            <v>4611</v>
          </cell>
          <cell r="J33">
            <v>16832530</v>
          </cell>
          <cell r="K33">
            <v>5389</v>
          </cell>
          <cell r="L33">
            <v>415.62852404643451</v>
          </cell>
          <cell r="M33">
            <v>342.57512437810948</v>
          </cell>
          <cell r="N33">
            <v>285.98341625207297</v>
          </cell>
          <cell r="O33">
            <v>159.96313985627418</v>
          </cell>
          <cell r="P33">
            <v>1204.1502045328912</v>
          </cell>
          <cell r="Q33">
            <v>846.74360595482324</v>
          </cell>
          <cell r="R33">
            <v>2050.8938104877143</v>
          </cell>
          <cell r="S33">
            <v>33578.799999999814</v>
          </cell>
          <cell r="T33">
            <v>6.1077042970199225E-2</v>
          </cell>
          <cell r="V33" t="str">
            <v>C Deg</v>
          </cell>
          <cell r="W33">
            <v>286.49999999999983</v>
          </cell>
        </row>
        <row r="34">
          <cell r="AA34">
            <v>0.11</v>
          </cell>
        </row>
        <row r="35">
          <cell r="AB35">
            <v>72033650.909999996</v>
          </cell>
        </row>
        <row r="36">
          <cell r="AB36">
            <v>43048.212935323383</v>
          </cell>
        </row>
      </sheetData>
      <sheetData sheetId="13">
        <row r="48">
          <cell r="B48">
            <v>30</v>
          </cell>
          <cell r="C48">
            <v>27</v>
          </cell>
          <cell r="F48">
            <v>30</v>
          </cell>
          <cell r="G48">
            <v>27</v>
          </cell>
          <cell r="J48">
            <v>33</v>
          </cell>
          <cell r="K48">
            <v>28</v>
          </cell>
        </row>
        <row r="49">
          <cell r="B49">
            <v>31</v>
          </cell>
          <cell r="C49">
            <v>26</v>
          </cell>
          <cell r="F49">
            <v>31</v>
          </cell>
          <cell r="G49">
            <v>26</v>
          </cell>
          <cell r="J49">
            <v>31</v>
          </cell>
          <cell r="K49">
            <v>27</v>
          </cell>
        </row>
        <row r="50">
          <cell r="B50">
            <v>31</v>
          </cell>
          <cell r="C50">
            <v>27</v>
          </cell>
          <cell r="F50">
            <v>31</v>
          </cell>
          <cell r="G50">
            <v>27</v>
          </cell>
          <cell r="J50">
            <v>30</v>
          </cell>
          <cell r="K50">
            <v>26</v>
          </cell>
        </row>
        <row r="51">
          <cell r="B51">
            <v>31</v>
          </cell>
          <cell r="C51">
            <v>26</v>
          </cell>
          <cell r="F51">
            <v>31</v>
          </cell>
          <cell r="G51">
            <v>26</v>
          </cell>
          <cell r="J51">
            <v>30</v>
          </cell>
          <cell r="K51">
            <v>25</v>
          </cell>
        </row>
        <row r="52">
          <cell r="B52">
            <v>32</v>
          </cell>
          <cell r="C52">
            <v>26</v>
          </cell>
          <cell r="F52">
            <v>32</v>
          </cell>
          <cell r="G52">
            <v>26</v>
          </cell>
          <cell r="J52">
            <v>31</v>
          </cell>
          <cell r="K52">
            <v>26</v>
          </cell>
        </row>
        <row r="53">
          <cell r="B53">
            <v>31</v>
          </cell>
          <cell r="C53">
            <v>25</v>
          </cell>
          <cell r="F53">
            <v>31</v>
          </cell>
          <cell r="G53">
            <v>25</v>
          </cell>
          <cell r="J53">
            <v>30</v>
          </cell>
          <cell r="K53">
            <v>27</v>
          </cell>
        </row>
        <row r="54">
          <cell r="B54">
            <v>31</v>
          </cell>
          <cell r="C54">
            <v>26</v>
          </cell>
          <cell r="F54">
            <v>31</v>
          </cell>
          <cell r="G54">
            <v>26</v>
          </cell>
          <cell r="J54">
            <v>31</v>
          </cell>
          <cell r="K54">
            <v>26</v>
          </cell>
        </row>
        <row r="55">
          <cell r="B55">
            <v>31</v>
          </cell>
          <cell r="C55">
            <v>26</v>
          </cell>
          <cell r="F55">
            <v>31</v>
          </cell>
          <cell r="G55">
            <v>26</v>
          </cell>
          <cell r="J55">
            <v>30</v>
          </cell>
          <cell r="K55">
            <v>26</v>
          </cell>
        </row>
        <row r="56">
          <cell r="B56">
            <v>31</v>
          </cell>
          <cell r="C56">
            <v>26</v>
          </cell>
          <cell r="F56">
            <v>31</v>
          </cell>
          <cell r="G56">
            <v>26</v>
          </cell>
          <cell r="J56">
            <v>30</v>
          </cell>
          <cell r="K56">
            <v>27</v>
          </cell>
        </row>
        <row r="57">
          <cell r="B57">
            <v>30</v>
          </cell>
          <cell r="C57">
            <v>27</v>
          </cell>
          <cell r="F57">
            <v>30</v>
          </cell>
          <cell r="G57">
            <v>27</v>
          </cell>
          <cell r="J57">
            <v>30</v>
          </cell>
          <cell r="K57">
            <v>28</v>
          </cell>
        </row>
        <row r="58">
          <cell r="B58">
            <v>31</v>
          </cell>
          <cell r="C58">
            <v>26</v>
          </cell>
          <cell r="F58">
            <v>31</v>
          </cell>
          <cell r="G58">
            <v>26</v>
          </cell>
          <cell r="J58">
            <v>30</v>
          </cell>
          <cell r="K58">
            <v>26</v>
          </cell>
        </row>
        <row r="59">
          <cell r="B59">
            <v>31</v>
          </cell>
          <cell r="C59">
            <v>26</v>
          </cell>
          <cell r="F59">
            <v>31</v>
          </cell>
          <cell r="G59">
            <v>26</v>
          </cell>
          <cell r="J59">
            <v>30</v>
          </cell>
          <cell r="K59">
            <v>26</v>
          </cell>
        </row>
        <row r="60">
          <cell r="B60">
            <v>31</v>
          </cell>
          <cell r="C60">
            <v>26</v>
          </cell>
          <cell r="F60">
            <v>31</v>
          </cell>
          <cell r="G60">
            <v>26</v>
          </cell>
          <cell r="J60">
            <v>30</v>
          </cell>
          <cell r="K60">
            <v>26</v>
          </cell>
        </row>
        <row r="61">
          <cell r="B61">
            <v>32</v>
          </cell>
          <cell r="C61">
            <v>27</v>
          </cell>
          <cell r="F61">
            <v>32</v>
          </cell>
          <cell r="G61">
            <v>27</v>
          </cell>
          <cell r="J61">
            <v>29</v>
          </cell>
          <cell r="K61">
            <v>25</v>
          </cell>
        </row>
        <row r="62">
          <cell r="B62">
            <v>31</v>
          </cell>
          <cell r="C62">
            <v>26</v>
          </cell>
          <cell r="F62">
            <v>31</v>
          </cell>
          <cell r="G62">
            <v>26</v>
          </cell>
          <cell r="J62">
            <v>30</v>
          </cell>
          <cell r="K62">
            <v>25</v>
          </cell>
        </row>
        <row r="63">
          <cell r="B63">
            <v>31</v>
          </cell>
          <cell r="C63">
            <v>28</v>
          </cell>
          <cell r="F63">
            <v>31</v>
          </cell>
          <cell r="G63">
            <v>28</v>
          </cell>
          <cell r="J63">
            <v>30</v>
          </cell>
          <cell r="K63">
            <v>26</v>
          </cell>
        </row>
        <row r="64">
          <cell r="B64">
            <v>30</v>
          </cell>
          <cell r="C64">
            <v>25</v>
          </cell>
          <cell r="F64">
            <v>30</v>
          </cell>
          <cell r="G64">
            <v>25</v>
          </cell>
          <cell r="J64">
            <v>30</v>
          </cell>
          <cell r="K64">
            <v>25</v>
          </cell>
        </row>
        <row r="65">
          <cell r="B65">
            <v>31</v>
          </cell>
          <cell r="C65">
            <v>27</v>
          </cell>
          <cell r="F65">
            <v>31</v>
          </cell>
          <cell r="G65">
            <v>27</v>
          </cell>
          <cell r="J65">
            <v>30</v>
          </cell>
          <cell r="K65">
            <v>25</v>
          </cell>
        </row>
        <row r="66">
          <cell r="B66">
            <v>31</v>
          </cell>
          <cell r="C66">
            <v>26</v>
          </cell>
          <cell r="F66">
            <v>31</v>
          </cell>
          <cell r="G66">
            <v>26</v>
          </cell>
          <cell r="J66">
            <v>31</v>
          </cell>
          <cell r="K66">
            <v>26</v>
          </cell>
        </row>
        <row r="67">
          <cell r="B67">
            <v>30</v>
          </cell>
          <cell r="C67">
            <v>25</v>
          </cell>
          <cell r="F67">
            <v>30</v>
          </cell>
          <cell r="G67">
            <v>25</v>
          </cell>
          <cell r="J67">
            <v>30</v>
          </cell>
          <cell r="K67">
            <v>27</v>
          </cell>
        </row>
        <row r="68">
          <cell r="B68">
            <v>31</v>
          </cell>
          <cell r="C68">
            <v>25</v>
          </cell>
          <cell r="F68">
            <v>31</v>
          </cell>
          <cell r="G68">
            <v>25</v>
          </cell>
          <cell r="J68">
            <v>29</v>
          </cell>
          <cell r="K68">
            <v>25</v>
          </cell>
        </row>
        <row r="69">
          <cell r="B69">
            <v>31</v>
          </cell>
          <cell r="C69">
            <v>26</v>
          </cell>
          <cell r="F69">
            <v>31</v>
          </cell>
          <cell r="G69">
            <v>26</v>
          </cell>
          <cell r="J69">
            <v>30</v>
          </cell>
          <cell r="K69">
            <v>26</v>
          </cell>
        </row>
        <row r="70">
          <cell r="B70">
            <v>31</v>
          </cell>
          <cell r="C70">
            <v>27</v>
          </cell>
          <cell r="F70">
            <v>31</v>
          </cell>
          <cell r="G70">
            <v>27</v>
          </cell>
          <cell r="J70">
            <v>30</v>
          </cell>
          <cell r="K70">
            <v>25</v>
          </cell>
        </row>
        <row r="71">
          <cell r="B71">
            <v>31</v>
          </cell>
          <cell r="C71">
            <v>26</v>
          </cell>
          <cell r="F71">
            <v>31</v>
          </cell>
          <cell r="G71">
            <v>26</v>
          </cell>
          <cell r="J71">
            <v>29</v>
          </cell>
          <cell r="K71">
            <v>24</v>
          </cell>
        </row>
        <row r="72">
          <cell r="B72">
            <v>31</v>
          </cell>
          <cell r="C72">
            <v>26</v>
          </cell>
          <cell r="F72">
            <v>31</v>
          </cell>
          <cell r="G72">
            <v>26</v>
          </cell>
          <cell r="J72">
            <v>28</v>
          </cell>
          <cell r="K72">
            <v>24</v>
          </cell>
        </row>
        <row r="73">
          <cell r="B73">
            <v>31</v>
          </cell>
          <cell r="C73">
            <v>27</v>
          </cell>
          <cell r="F73">
            <v>31</v>
          </cell>
          <cell r="G73">
            <v>27</v>
          </cell>
          <cell r="J73">
            <v>30</v>
          </cell>
          <cell r="K73">
            <v>25</v>
          </cell>
        </row>
        <row r="74">
          <cell r="B74">
            <v>31</v>
          </cell>
          <cell r="C74">
            <v>27</v>
          </cell>
          <cell r="F74">
            <v>31</v>
          </cell>
          <cell r="G74">
            <v>27</v>
          </cell>
          <cell r="J74">
            <v>30</v>
          </cell>
          <cell r="K74">
            <v>24</v>
          </cell>
        </row>
        <row r="75">
          <cell r="B75">
            <v>31</v>
          </cell>
          <cell r="C75">
            <v>27</v>
          </cell>
          <cell r="F75">
            <v>31</v>
          </cell>
          <cell r="G75">
            <v>27</v>
          </cell>
          <cell r="J75">
            <v>31</v>
          </cell>
          <cell r="K75">
            <v>25</v>
          </cell>
        </row>
        <row r="76">
          <cell r="B76">
            <v>31</v>
          </cell>
          <cell r="C76">
            <v>27</v>
          </cell>
          <cell r="F76">
            <v>31</v>
          </cell>
          <cell r="G76">
            <v>27</v>
          </cell>
          <cell r="J76">
            <v>29</v>
          </cell>
          <cell r="K76">
            <v>25</v>
          </cell>
        </row>
        <row r="77">
          <cell r="B77">
            <v>31</v>
          </cell>
          <cell r="C77">
            <v>27</v>
          </cell>
          <cell r="F77">
            <v>31</v>
          </cell>
          <cell r="G77">
            <v>27</v>
          </cell>
          <cell r="J77">
            <v>28</v>
          </cell>
          <cell r="K77">
            <v>25</v>
          </cell>
        </row>
        <row r="78">
          <cell r="B78">
            <v>32</v>
          </cell>
          <cell r="C78">
            <v>28</v>
          </cell>
          <cell r="F78">
            <v>32</v>
          </cell>
          <cell r="G78">
            <v>28</v>
          </cell>
        </row>
      </sheetData>
      <sheetData sheetId="14">
        <row r="34">
          <cell r="B34">
            <v>1.5</v>
          </cell>
          <cell r="C34">
            <v>7.8</v>
          </cell>
          <cell r="D34">
            <v>27</v>
          </cell>
          <cell r="E34">
            <v>2.5</v>
          </cell>
          <cell r="F34">
            <v>8</v>
          </cell>
          <cell r="G34">
            <v>30</v>
          </cell>
          <cell r="H34">
            <v>5907</v>
          </cell>
          <cell r="I34">
            <v>2</v>
          </cell>
          <cell r="M34">
            <v>5539</v>
          </cell>
          <cell r="N34">
            <v>368</v>
          </cell>
          <cell r="O34">
            <v>5907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  <cell r="O10">
            <v>13</v>
          </cell>
        </row>
        <row r="11">
          <cell r="N11">
            <v>18</v>
          </cell>
          <cell r="O11">
            <v>12</v>
          </cell>
        </row>
        <row r="12">
          <cell r="N12">
            <v>18</v>
          </cell>
          <cell r="O12">
            <v>12</v>
          </cell>
        </row>
        <row r="13">
          <cell r="N13">
            <v>19</v>
          </cell>
          <cell r="O13">
            <v>13</v>
          </cell>
        </row>
        <row r="14">
          <cell r="N14">
            <v>19</v>
          </cell>
          <cell r="O14">
            <v>16</v>
          </cell>
        </row>
        <row r="15">
          <cell r="N15">
            <v>19</v>
          </cell>
          <cell r="O15">
            <v>15</v>
          </cell>
        </row>
        <row r="16">
          <cell r="N16">
            <v>25</v>
          </cell>
          <cell r="O16">
            <v>17</v>
          </cell>
        </row>
        <row r="17">
          <cell r="N17">
            <v>24</v>
          </cell>
          <cell r="O17">
            <v>17</v>
          </cell>
        </row>
        <row r="18">
          <cell r="N18">
            <v>23</v>
          </cell>
          <cell r="O18">
            <v>16</v>
          </cell>
        </row>
        <row r="19">
          <cell r="N19">
            <v>20</v>
          </cell>
          <cell r="O19">
            <v>16</v>
          </cell>
        </row>
        <row r="20">
          <cell r="N20">
            <v>19</v>
          </cell>
          <cell r="O20">
            <v>15</v>
          </cell>
        </row>
        <row r="21">
          <cell r="N21">
            <v>20</v>
          </cell>
          <cell r="O21">
            <v>16</v>
          </cell>
        </row>
        <row r="22">
          <cell r="N22">
            <v>29</v>
          </cell>
          <cell r="O22">
            <v>22</v>
          </cell>
        </row>
        <row r="23">
          <cell r="N23">
            <v>30</v>
          </cell>
          <cell r="O23">
            <v>18</v>
          </cell>
        </row>
        <row r="24">
          <cell r="N24">
            <v>19</v>
          </cell>
          <cell r="O24">
            <v>16</v>
          </cell>
        </row>
        <row r="25">
          <cell r="N25">
            <v>18</v>
          </cell>
          <cell r="O25">
            <v>15</v>
          </cell>
        </row>
        <row r="26">
          <cell r="N26">
            <v>19</v>
          </cell>
          <cell r="O26">
            <v>14</v>
          </cell>
        </row>
        <row r="27">
          <cell r="N27">
            <v>18</v>
          </cell>
          <cell r="O27">
            <v>13</v>
          </cell>
        </row>
        <row r="28">
          <cell r="N28">
            <v>17</v>
          </cell>
          <cell r="O28">
            <v>14</v>
          </cell>
        </row>
        <row r="29">
          <cell r="N29">
            <v>19</v>
          </cell>
          <cell r="O29">
            <v>13</v>
          </cell>
        </row>
        <row r="30">
          <cell r="N30">
            <v>15</v>
          </cell>
          <cell r="O30">
            <v>11</v>
          </cell>
        </row>
        <row r="31">
          <cell r="N31">
            <v>18</v>
          </cell>
          <cell r="O31">
            <v>13</v>
          </cell>
        </row>
        <row r="32">
          <cell r="N32">
            <v>19</v>
          </cell>
          <cell r="O32">
            <v>13</v>
          </cell>
        </row>
        <row r="33">
          <cell r="N33">
            <v>22</v>
          </cell>
          <cell r="O33">
            <v>14</v>
          </cell>
        </row>
        <row r="34">
          <cell r="N34">
            <v>24</v>
          </cell>
          <cell r="O34">
            <v>14</v>
          </cell>
        </row>
        <row r="35">
          <cell r="N35">
            <v>24</v>
          </cell>
          <cell r="O35">
            <v>15</v>
          </cell>
        </row>
        <row r="36">
          <cell r="N36">
            <v>23</v>
          </cell>
          <cell r="O36">
            <v>18</v>
          </cell>
        </row>
        <row r="37">
          <cell r="N37">
            <v>23</v>
          </cell>
          <cell r="O37">
            <v>17</v>
          </cell>
        </row>
        <row r="38">
          <cell r="N38">
            <v>27</v>
          </cell>
          <cell r="O38">
            <v>18</v>
          </cell>
        </row>
        <row r="39">
          <cell r="N39">
            <v>27</v>
          </cell>
          <cell r="O39">
            <v>18</v>
          </cell>
        </row>
        <row r="43">
          <cell r="N43">
            <v>-38.700000000000003</v>
          </cell>
          <cell r="O43">
            <v>33.199999999999989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  <cell r="BC36">
            <v>0</v>
          </cell>
          <cell r="BD36">
            <v>19222</v>
          </cell>
          <cell r="BE36" t="e">
            <v>#REF!</v>
          </cell>
          <cell r="BF36">
            <v>0</v>
          </cell>
          <cell r="BG36" t="e">
            <v>#REF!</v>
          </cell>
          <cell r="BH36">
            <v>0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  <row r="32">
          <cell r="AB32">
            <v>0</v>
          </cell>
        </row>
        <row r="33">
          <cell r="Y33">
            <v>0</v>
          </cell>
          <cell r="AB33">
            <v>0</v>
          </cell>
        </row>
        <row r="34">
          <cell r="AB34">
            <v>0</v>
          </cell>
        </row>
      </sheetData>
      <sheetData sheetId="13">
        <row r="10">
          <cell r="R10">
            <v>27</v>
          </cell>
          <cell r="S10">
            <v>17</v>
          </cell>
        </row>
        <row r="11">
          <cell r="R11">
            <v>26</v>
          </cell>
          <cell r="S11">
            <v>20</v>
          </cell>
        </row>
        <row r="12">
          <cell r="R12">
            <v>22</v>
          </cell>
          <cell r="S12">
            <v>18</v>
          </cell>
        </row>
        <row r="13">
          <cell r="R13">
            <v>26</v>
          </cell>
          <cell r="S13">
            <v>22</v>
          </cell>
        </row>
        <row r="14">
          <cell r="R14">
            <v>25</v>
          </cell>
          <cell r="S14">
            <v>17</v>
          </cell>
        </row>
        <row r="15">
          <cell r="R15">
            <v>34</v>
          </cell>
          <cell r="S15">
            <v>20</v>
          </cell>
        </row>
        <row r="16">
          <cell r="R16">
            <v>22</v>
          </cell>
          <cell r="S16">
            <v>17</v>
          </cell>
        </row>
        <row r="17">
          <cell r="R17">
            <v>21</v>
          </cell>
          <cell r="S17">
            <v>18</v>
          </cell>
        </row>
        <row r="18">
          <cell r="R18">
            <v>21</v>
          </cell>
          <cell r="S18">
            <v>17</v>
          </cell>
        </row>
        <row r="19">
          <cell r="R19">
            <v>21</v>
          </cell>
          <cell r="S19">
            <v>16</v>
          </cell>
        </row>
        <row r="20">
          <cell r="R20">
            <v>25</v>
          </cell>
          <cell r="S20">
            <v>22</v>
          </cell>
        </row>
        <row r="21">
          <cell r="R21">
            <v>26</v>
          </cell>
          <cell r="S21">
            <v>23</v>
          </cell>
        </row>
        <row r="22">
          <cell r="R22">
            <v>28</v>
          </cell>
          <cell r="S22">
            <v>18</v>
          </cell>
        </row>
        <row r="23">
          <cell r="R23">
            <v>27</v>
          </cell>
          <cell r="S23">
            <v>17</v>
          </cell>
        </row>
        <row r="24">
          <cell r="R24">
            <v>28</v>
          </cell>
          <cell r="S24">
            <v>18</v>
          </cell>
        </row>
        <row r="25">
          <cell r="R25">
            <v>28</v>
          </cell>
          <cell r="S25">
            <v>21</v>
          </cell>
        </row>
        <row r="26">
          <cell r="R26">
            <v>29</v>
          </cell>
          <cell r="S26">
            <v>22</v>
          </cell>
        </row>
        <row r="27">
          <cell r="R27">
            <v>23</v>
          </cell>
          <cell r="S27">
            <v>19</v>
          </cell>
        </row>
        <row r="28">
          <cell r="R28">
            <v>24</v>
          </cell>
          <cell r="S28">
            <v>18</v>
          </cell>
        </row>
        <row r="29">
          <cell r="R29">
            <v>24</v>
          </cell>
          <cell r="S29">
            <v>17</v>
          </cell>
        </row>
        <row r="30">
          <cell r="R30">
            <v>25</v>
          </cell>
          <cell r="S30">
            <v>22</v>
          </cell>
        </row>
        <row r="31">
          <cell r="R31">
            <v>29</v>
          </cell>
          <cell r="S31">
            <v>21</v>
          </cell>
        </row>
        <row r="32">
          <cell r="R32">
            <v>35</v>
          </cell>
          <cell r="S32">
            <v>25</v>
          </cell>
        </row>
        <row r="33">
          <cell r="R33">
            <v>38</v>
          </cell>
          <cell r="S33">
            <v>25</v>
          </cell>
        </row>
        <row r="34">
          <cell r="R34">
            <v>29</v>
          </cell>
          <cell r="S34">
            <v>17</v>
          </cell>
        </row>
        <row r="35">
          <cell r="R35">
            <v>24</v>
          </cell>
          <cell r="S35">
            <v>18</v>
          </cell>
        </row>
        <row r="36">
          <cell r="R36">
            <v>25</v>
          </cell>
          <cell r="S36">
            <v>21</v>
          </cell>
        </row>
        <row r="37">
          <cell r="R37">
            <v>29</v>
          </cell>
          <cell r="S37">
            <v>22</v>
          </cell>
        </row>
        <row r="38">
          <cell r="R38">
            <v>32</v>
          </cell>
          <cell r="S38">
            <v>22</v>
          </cell>
        </row>
        <row r="39">
          <cell r="R39">
            <v>34</v>
          </cell>
          <cell r="S39">
            <v>23</v>
          </cell>
        </row>
        <row r="40">
          <cell r="R40">
            <v>0</v>
          </cell>
          <cell r="S40">
            <v>0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218283</v>
          </cell>
        </row>
      </sheetData>
      <sheetData sheetId="13">
        <row r="10">
          <cell r="D10">
            <v>-2.8000000000000007</v>
          </cell>
          <cell r="H10">
            <v>-2.8000000000000007</v>
          </cell>
        </row>
        <row r="11">
          <cell r="D11">
            <v>-3.8000000000000007</v>
          </cell>
          <cell r="H11">
            <v>-3.3000000000000007</v>
          </cell>
        </row>
        <row r="12">
          <cell r="D12">
            <v>-3.3000000000000007</v>
          </cell>
          <cell r="H12">
            <v>-3.8000000000000007</v>
          </cell>
        </row>
        <row r="13">
          <cell r="D13">
            <v>-1.8000000000000007</v>
          </cell>
          <cell r="H13">
            <v>1.1999999999999993</v>
          </cell>
        </row>
        <row r="14">
          <cell r="D14">
            <v>-2.8000000000000007</v>
          </cell>
          <cell r="H14">
            <v>0.69999999999999929</v>
          </cell>
        </row>
        <row r="15">
          <cell r="D15">
            <v>-3.8000000000000007</v>
          </cell>
          <cell r="H15">
            <v>-1.8000000000000007</v>
          </cell>
        </row>
        <row r="16">
          <cell r="D16">
            <v>-5.8000000000000007</v>
          </cell>
          <cell r="H16">
            <v>-2.8000000000000007</v>
          </cell>
        </row>
        <row r="17">
          <cell r="D17">
            <v>-6.8000000000000007</v>
          </cell>
          <cell r="H17">
            <v>-2.8000000000000007</v>
          </cell>
        </row>
        <row r="18">
          <cell r="D18">
            <v>-5.3000000000000007</v>
          </cell>
          <cell r="H18">
            <v>-3.3000000000000007</v>
          </cell>
        </row>
        <row r="19">
          <cell r="D19">
            <v>-4.3000000000000007</v>
          </cell>
          <cell r="H19">
            <v>-4.3000000000000007</v>
          </cell>
        </row>
        <row r="20">
          <cell r="D20">
            <v>-4.3000000000000007</v>
          </cell>
          <cell r="H20">
            <v>-3.8000000000000007</v>
          </cell>
        </row>
        <row r="21">
          <cell r="D21">
            <v>-4.3000000000000007</v>
          </cell>
          <cell r="H21">
            <v>-2.3000000000000007</v>
          </cell>
        </row>
        <row r="22">
          <cell r="D22">
            <v>-4.3000000000000007</v>
          </cell>
          <cell r="H22">
            <v>-3.8000000000000007</v>
          </cell>
        </row>
        <row r="23">
          <cell r="D23">
            <v>-3.8000000000000007</v>
          </cell>
          <cell r="H23">
            <v>-4.8000000000000007</v>
          </cell>
        </row>
        <row r="24">
          <cell r="D24">
            <v>-2.8000000000000007</v>
          </cell>
          <cell r="H24">
            <v>-5.3000000000000007</v>
          </cell>
        </row>
        <row r="25">
          <cell r="D25">
            <v>-6.3000000000000007</v>
          </cell>
          <cell r="H25">
            <v>-5.8000000000000007</v>
          </cell>
        </row>
        <row r="26">
          <cell r="D26">
            <v>-5.3000000000000007</v>
          </cell>
          <cell r="H26">
            <v>-4.3000000000000007</v>
          </cell>
        </row>
        <row r="27">
          <cell r="D27">
            <v>-5.3000000000000007</v>
          </cell>
          <cell r="H27">
            <v>-4.3000000000000007</v>
          </cell>
        </row>
        <row r="28">
          <cell r="D28">
            <v>-5.3000000000000007</v>
          </cell>
          <cell r="H28">
            <v>-9.3000000000000007</v>
          </cell>
        </row>
        <row r="29">
          <cell r="D29">
            <v>-2.8000000000000007</v>
          </cell>
          <cell r="H29">
            <v>-4.3000000000000007</v>
          </cell>
        </row>
        <row r="30">
          <cell r="D30">
            <v>-3.3000000000000007</v>
          </cell>
          <cell r="H30">
            <v>-4.3000000000000007</v>
          </cell>
        </row>
        <row r="31">
          <cell r="D31">
            <v>-3.3000000000000007</v>
          </cell>
          <cell r="H31">
            <v>-4.3000000000000007</v>
          </cell>
        </row>
        <row r="32">
          <cell r="D32">
            <v>-1.3000000000000007</v>
          </cell>
          <cell r="H32">
            <v>-3.8000000000000007</v>
          </cell>
        </row>
        <row r="33">
          <cell r="D33">
            <v>-2.3000000000000007</v>
          </cell>
          <cell r="H33">
            <v>0.19999999999999929</v>
          </cell>
        </row>
        <row r="34">
          <cell r="D34">
            <v>-2.8000000000000007</v>
          </cell>
          <cell r="H34">
            <v>0.19999999999999929</v>
          </cell>
        </row>
        <row r="35">
          <cell r="D35">
            <v>-2.8000000000000007</v>
          </cell>
          <cell r="H35">
            <v>-3.8000000000000007</v>
          </cell>
        </row>
        <row r="36">
          <cell r="D36">
            <v>-4.3000000000000007</v>
          </cell>
          <cell r="H36">
            <v>-6.3000000000000007</v>
          </cell>
        </row>
        <row r="37">
          <cell r="D37">
            <v>-3.3000000000000007</v>
          </cell>
          <cell r="H37">
            <v>-5.3000000000000007</v>
          </cell>
        </row>
        <row r="38">
          <cell r="D38">
            <v>-2.8000000000000007</v>
          </cell>
        </row>
        <row r="39">
          <cell r="D39">
            <v>-2.3000000000000007</v>
          </cell>
        </row>
        <row r="40">
          <cell r="D40">
            <v>-3.3000000000000007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>
        <row r="33">
          <cell r="A33">
            <v>0.41299999999999998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</sheetData>
      <sheetData sheetId="13">
        <row r="10">
          <cell r="R10">
            <v>28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>
        <row r="33">
          <cell r="A33">
            <v>0.76519999999999999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W30">
            <v>0.83235161290322568</v>
          </cell>
          <cell r="X30">
            <v>0</v>
          </cell>
          <cell r="Y30" t="str">
            <v>Per G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AC15">
            <v>0</v>
          </cell>
        </row>
        <row r="16">
          <cell r="AC16">
            <v>0</v>
          </cell>
        </row>
        <row r="17">
          <cell r="AC17">
            <v>0</v>
          </cell>
        </row>
        <row r="18">
          <cell r="AC18">
            <v>0</v>
          </cell>
        </row>
        <row r="19">
          <cell r="AC19">
            <v>0</v>
          </cell>
        </row>
      </sheetData>
      <sheetData sheetId="13"/>
      <sheetData sheetId="14">
        <row r="35">
          <cell r="N35">
            <v>368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0">
          <cell r="B10">
            <v>18</v>
          </cell>
          <cell r="C10">
            <v>13</v>
          </cell>
          <cell r="F10">
            <v>18</v>
          </cell>
          <cell r="G10">
            <v>13</v>
          </cell>
          <cell r="J10">
            <v>16</v>
          </cell>
          <cell r="K10">
            <v>8</v>
          </cell>
        </row>
        <row r="11">
          <cell r="B11">
            <v>18</v>
          </cell>
          <cell r="C11">
            <v>11</v>
          </cell>
          <cell r="F11">
            <v>18</v>
          </cell>
          <cell r="G11">
            <v>12</v>
          </cell>
          <cell r="J11">
            <v>18</v>
          </cell>
          <cell r="K11">
            <v>13</v>
          </cell>
        </row>
        <row r="12">
          <cell r="B12">
            <v>18</v>
          </cell>
          <cell r="C12">
            <v>12</v>
          </cell>
          <cell r="F12">
            <v>18</v>
          </cell>
          <cell r="G12">
            <v>11</v>
          </cell>
          <cell r="J12">
            <v>18</v>
          </cell>
          <cell r="K12">
            <v>11</v>
          </cell>
        </row>
        <row r="13">
          <cell r="B13">
            <v>19</v>
          </cell>
          <cell r="C13">
            <v>14</v>
          </cell>
          <cell r="F13">
            <v>22</v>
          </cell>
          <cell r="G13">
            <v>17</v>
          </cell>
          <cell r="J13">
            <v>18</v>
          </cell>
          <cell r="K13">
            <v>13</v>
          </cell>
        </row>
        <row r="14">
          <cell r="B14">
            <v>18</v>
          </cell>
          <cell r="C14">
            <v>13</v>
          </cell>
          <cell r="F14">
            <v>22</v>
          </cell>
          <cell r="G14">
            <v>16</v>
          </cell>
          <cell r="J14">
            <v>17</v>
          </cell>
          <cell r="K14">
            <v>12</v>
          </cell>
        </row>
        <row r="15">
          <cell r="B15">
            <v>16</v>
          </cell>
          <cell r="C15">
            <v>13</v>
          </cell>
          <cell r="F15">
            <v>18</v>
          </cell>
          <cell r="G15">
            <v>15</v>
          </cell>
          <cell r="J15">
            <v>18</v>
          </cell>
          <cell r="K15">
            <v>12</v>
          </cell>
        </row>
        <row r="16">
          <cell r="B16">
            <v>15</v>
          </cell>
          <cell r="C16">
            <v>10</v>
          </cell>
          <cell r="F16">
            <v>18</v>
          </cell>
          <cell r="G16">
            <v>13</v>
          </cell>
          <cell r="J16">
            <v>18</v>
          </cell>
          <cell r="K16">
            <v>12</v>
          </cell>
        </row>
        <row r="17">
          <cell r="B17">
            <v>13</v>
          </cell>
          <cell r="C17">
            <v>10</v>
          </cell>
          <cell r="F17">
            <v>19</v>
          </cell>
          <cell r="G17">
            <v>12</v>
          </cell>
          <cell r="J17">
            <v>18</v>
          </cell>
          <cell r="K17">
            <v>13</v>
          </cell>
        </row>
        <row r="18">
          <cell r="B18">
            <v>16</v>
          </cell>
          <cell r="C18">
            <v>10</v>
          </cell>
          <cell r="F18">
            <v>18</v>
          </cell>
          <cell r="G18">
            <v>12</v>
          </cell>
          <cell r="J18">
            <v>19</v>
          </cell>
          <cell r="K18">
            <v>14</v>
          </cell>
        </row>
        <row r="19">
          <cell r="B19">
            <v>17</v>
          </cell>
          <cell r="C19">
            <v>11</v>
          </cell>
          <cell r="F19">
            <v>17</v>
          </cell>
          <cell r="G19">
            <v>11</v>
          </cell>
          <cell r="J19">
            <v>18</v>
          </cell>
          <cell r="K19">
            <v>12</v>
          </cell>
        </row>
        <row r="20">
          <cell r="B20">
            <v>18</v>
          </cell>
          <cell r="C20">
            <v>10</v>
          </cell>
          <cell r="F20">
            <v>17</v>
          </cell>
          <cell r="G20">
            <v>12</v>
          </cell>
          <cell r="J20">
            <v>18</v>
          </cell>
          <cell r="K20">
            <v>13</v>
          </cell>
        </row>
        <row r="21">
          <cell r="B21">
            <v>17</v>
          </cell>
          <cell r="C21">
            <v>11</v>
          </cell>
          <cell r="F21">
            <v>19</v>
          </cell>
          <cell r="G21">
            <v>13</v>
          </cell>
          <cell r="J21">
            <v>18</v>
          </cell>
          <cell r="K21">
            <v>14</v>
          </cell>
        </row>
        <row r="22">
          <cell r="B22">
            <v>15</v>
          </cell>
          <cell r="C22">
            <v>13</v>
          </cell>
          <cell r="F22">
            <v>17</v>
          </cell>
          <cell r="G22">
            <v>12</v>
          </cell>
          <cell r="J22">
            <v>20</v>
          </cell>
          <cell r="K22">
            <v>15</v>
          </cell>
        </row>
        <row r="23">
          <cell r="B23">
            <v>17</v>
          </cell>
          <cell r="C23">
            <v>12</v>
          </cell>
          <cell r="F23">
            <v>15</v>
          </cell>
          <cell r="G23">
            <v>12</v>
          </cell>
          <cell r="J23">
            <v>16</v>
          </cell>
          <cell r="K23">
            <v>12</v>
          </cell>
        </row>
        <row r="24">
          <cell r="B24">
            <v>17</v>
          </cell>
          <cell r="C24">
            <v>14</v>
          </cell>
          <cell r="F24">
            <v>14</v>
          </cell>
          <cell r="G24">
            <v>12</v>
          </cell>
          <cell r="J24">
            <v>19</v>
          </cell>
          <cell r="K24">
            <v>14</v>
          </cell>
        </row>
        <row r="25">
          <cell r="B25">
            <v>14</v>
          </cell>
          <cell r="C25">
            <v>10</v>
          </cell>
          <cell r="F25">
            <v>13</v>
          </cell>
          <cell r="G25">
            <v>12</v>
          </cell>
          <cell r="J25">
            <v>19</v>
          </cell>
          <cell r="K25">
            <v>11</v>
          </cell>
        </row>
        <row r="26">
          <cell r="B26">
            <v>16</v>
          </cell>
          <cell r="C26">
            <v>10</v>
          </cell>
          <cell r="F26">
            <v>15</v>
          </cell>
          <cell r="G26">
            <v>13</v>
          </cell>
          <cell r="J26">
            <v>18</v>
          </cell>
          <cell r="K26">
            <v>13</v>
          </cell>
        </row>
        <row r="27">
          <cell r="B27">
            <v>16</v>
          </cell>
          <cell r="C27">
            <v>10</v>
          </cell>
          <cell r="F27">
            <v>15</v>
          </cell>
          <cell r="G27">
            <v>13</v>
          </cell>
          <cell r="J27">
            <v>18</v>
          </cell>
          <cell r="K27">
            <v>14</v>
          </cell>
        </row>
        <row r="28">
          <cell r="B28">
            <v>16</v>
          </cell>
          <cell r="C28">
            <v>10</v>
          </cell>
          <cell r="F28">
            <v>16</v>
          </cell>
          <cell r="G28">
            <v>2</v>
          </cell>
          <cell r="J28">
            <v>19</v>
          </cell>
          <cell r="K28">
            <v>13</v>
          </cell>
        </row>
        <row r="29">
          <cell r="B29">
            <v>18</v>
          </cell>
          <cell r="C29">
            <v>13</v>
          </cell>
          <cell r="F29">
            <v>16</v>
          </cell>
          <cell r="G29">
            <v>12</v>
          </cell>
          <cell r="J29">
            <v>19</v>
          </cell>
          <cell r="K29">
            <v>14</v>
          </cell>
        </row>
        <row r="30">
          <cell r="B30">
            <v>18</v>
          </cell>
          <cell r="C30">
            <v>12</v>
          </cell>
          <cell r="F30">
            <v>16</v>
          </cell>
          <cell r="G30">
            <v>12</v>
          </cell>
          <cell r="J30">
            <v>19</v>
          </cell>
          <cell r="K30">
            <v>14</v>
          </cell>
        </row>
        <row r="31">
          <cell r="B31">
            <v>17</v>
          </cell>
          <cell r="C31">
            <v>13</v>
          </cell>
          <cell r="F31">
            <v>16</v>
          </cell>
          <cell r="G31">
            <v>12</v>
          </cell>
          <cell r="J31">
            <v>20</v>
          </cell>
          <cell r="K31">
            <v>14</v>
          </cell>
        </row>
        <row r="32">
          <cell r="B32">
            <v>22</v>
          </cell>
          <cell r="C32">
            <v>12</v>
          </cell>
          <cell r="F32">
            <v>17</v>
          </cell>
          <cell r="G32">
            <v>12</v>
          </cell>
          <cell r="J32">
            <v>19</v>
          </cell>
          <cell r="K32">
            <v>12</v>
          </cell>
        </row>
        <row r="33">
          <cell r="B33">
            <v>18</v>
          </cell>
          <cell r="C33">
            <v>14</v>
          </cell>
          <cell r="F33">
            <v>22</v>
          </cell>
          <cell r="G33">
            <v>15</v>
          </cell>
          <cell r="J33">
            <v>19</v>
          </cell>
          <cell r="K33">
            <v>15</v>
          </cell>
        </row>
        <row r="34">
          <cell r="B34">
            <v>18</v>
          </cell>
          <cell r="C34">
            <v>13</v>
          </cell>
          <cell r="F34">
            <v>24</v>
          </cell>
          <cell r="G34">
            <v>13</v>
          </cell>
          <cell r="J34">
            <v>17</v>
          </cell>
          <cell r="K34">
            <v>13</v>
          </cell>
        </row>
        <row r="35">
          <cell r="B35">
            <v>19</v>
          </cell>
          <cell r="C35">
            <v>12</v>
          </cell>
          <cell r="F35">
            <v>16</v>
          </cell>
          <cell r="G35">
            <v>13</v>
          </cell>
          <cell r="J35">
            <v>18</v>
          </cell>
          <cell r="K35">
            <v>13</v>
          </cell>
        </row>
        <row r="36">
          <cell r="B36">
            <v>15</v>
          </cell>
          <cell r="C36">
            <v>13</v>
          </cell>
          <cell r="F36">
            <v>13</v>
          </cell>
          <cell r="G36">
            <v>11</v>
          </cell>
          <cell r="J36">
            <v>18</v>
          </cell>
          <cell r="K36">
            <v>14</v>
          </cell>
        </row>
        <row r="37">
          <cell r="B37">
            <v>17</v>
          </cell>
          <cell r="C37">
            <v>13</v>
          </cell>
          <cell r="F37">
            <v>15</v>
          </cell>
          <cell r="G37">
            <v>11</v>
          </cell>
          <cell r="J37">
            <v>17</v>
          </cell>
          <cell r="K37">
            <v>13</v>
          </cell>
        </row>
        <row r="38">
          <cell r="B38">
            <v>19</v>
          </cell>
          <cell r="C38">
            <v>12</v>
          </cell>
          <cell r="F38">
            <v>0</v>
          </cell>
          <cell r="G38">
            <v>0</v>
          </cell>
          <cell r="J38">
            <v>18</v>
          </cell>
          <cell r="K38">
            <v>14</v>
          </cell>
        </row>
        <row r="39">
          <cell r="B39">
            <v>18</v>
          </cell>
          <cell r="C39">
            <v>14</v>
          </cell>
          <cell r="F39">
            <v>0</v>
          </cell>
          <cell r="G39">
            <v>0</v>
          </cell>
          <cell r="J39">
            <v>16</v>
          </cell>
          <cell r="K39">
            <v>14</v>
          </cell>
        </row>
        <row r="40">
          <cell r="B40">
            <v>18</v>
          </cell>
          <cell r="C40">
            <v>12</v>
          </cell>
          <cell r="F40">
            <v>0</v>
          </cell>
          <cell r="G40">
            <v>0</v>
          </cell>
          <cell r="J40">
            <v>15</v>
          </cell>
          <cell r="K40">
            <v>12</v>
          </cell>
        </row>
      </sheetData>
      <sheetData sheetId="14"/>
      <sheetData sheetId="15"/>
      <sheetData sheetId="16"/>
      <sheetData sheetId="17"/>
      <sheetData sheetId="18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4">
          <cell r="Z34">
            <v>253</v>
          </cell>
        </row>
      </sheetData>
      <sheetData sheetId="9"/>
      <sheetData sheetId="10"/>
      <sheetData sheetId="11"/>
      <sheetData sheetId="12"/>
      <sheetData sheetId="13"/>
      <sheetData sheetId="14">
        <row r="12">
          <cell r="C12">
            <v>182.19999999999987</v>
          </cell>
        </row>
        <row r="13">
          <cell r="C13">
            <v>0</v>
          </cell>
        </row>
        <row r="14">
          <cell r="C14">
            <v>24.177419354838708</v>
          </cell>
        </row>
        <row r="15">
          <cell r="C15">
            <v>0.65732709677419354</v>
          </cell>
        </row>
      </sheetData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workbookViewId="0">
      <selection activeCell="E2" sqref="E2"/>
    </sheetView>
  </sheetViews>
  <sheetFormatPr defaultColWidth="11.54296875" defaultRowHeight="14.5"/>
  <cols>
    <col min="2" max="2" width="4.26953125" bestFit="1" customWidth="1"/>
    <col min="3" max="3" width="6.81640625" bestFit="1" customWidth="1"/>
    <col min="4" max="4" width="6" bestFit="1" customWidth="1"/>
    <col min="5" max="5" width="10.54296875" bestFit="1" customWidth="1"/>
    <col min="6" max="6" width="9.81640625" bestFit="1" customWidth="1"/>
    <col min="7" max="10" width="11.7265625" bestFit="1" customWidth="1"/>
    <col min="11" max="11" width="14.1796875" bestFit="1" customWidth="1"/>
    <col min="12" max="12" width="12.1796875" style="311" bestFit="1" customWidth="1"/>
    <col min="13" max="13" width="12.1796875" style="311" customWidth="1"/>
    <col min="14" max="14" width="12.1796875" style="565" customWidth="1"/>
    <col min="15" max="15" width="11.7265625" bestFit="1" customWidth="1"/>
  </cols>
  <sheetData>
    <row r="1" spans="1:15" ht="43.5">
      <c r="A1" t="s">
        <v>344</v>
      </c>
      <c r="B1" t="s">
        <v>198</v>
      </c>
      <c r="C1" t="s">
        <v>345</v>
      </c>
      <c r="D1" t="s">
        <v>346</v>
      </c>
      <c r="E1" s="286" t="s">
        <v>356</v>
      </c>
      <c r="F1" s="286" t="s">
        <v>357</v>
      </c>
      <c r="G1" s="286" t="s">
        <v>358</v>
      </c>
      <c r="H1" s="286" t="s">
        <v>359</v>
      </c>
      <c r="I1" s="286" t="s">
        <v>360</v>
      </c>
      <c r="J1" s="286" t="s">
        <v>361</v>
      </c>
      <c r="K1" s="286" t="s">
        <v>362</v>
      </c>
      <c r="L1" s="329" t="s">
        <v>363</v>
      </c>
      <c r="M1" s="562" t="s">
        <v>405</v>
      </c>
      <c r="N1" s="563" t="s">
        <v>406</v>
      </c>
      <c r="O1" s="286" t="s">
        <v>347</v>
      </c>
    </row>
    <row r="2" spans="1:15">
      <c r="A2" t="s">
        <v>348</v>
      </c>
      <c r="B2">
        <v>1</v>
      </c>
      <c r="C2">
        <v>10</v>
      </c>
      <c r="D2">
        <v>2019</v>
      </c>
      <c r="E2" s="209">
        <f>ELEC!N3</f>
        <v>30214</v>
      </c>
      <c r="F2" s="354">
        <f>SUM('EDl log'!T4)</f>
        <v>0.10781691358743292</v>
      </c>
      <c r="G2" s="209">
        <f>-tanks!AW6</f>
        <v>839.09999999997672</v>
      </c>
      <c r="H2" s="354">
        <f>SUM(tanks!AV6)</f>
        <v>0.54</v>
      </c>
      <c r="I2" s="10">
        <f>('B5'!AU5)*0.51</f>
        <v>137.69999999999999</v>
      </c>
      <c r="J2" s="333">
        <f>'B5'!AX5/0.51</f>
        <v>1.3725490196078429</v>
      </c>
      <c r="K2" s="209">
        <f>WATER!I6</f>
        <v>132</v>
      </c>
      <c r="L2" s="355">
        <f>SUM(WATER!J6)</f>
        <v>3.4928445747800581</v>
      </c>
      <c r="M2" s="355">
        <f>WATER!Q6</f>
        <v>0</v>
      </c>
      <c r="N2" s="564">
        <v>0.6</v>
      </c>
      <c r="O2" s="10">
        <f>ELEC!B3</f>
        <v>158.999</v>
      </c>
    </row>
    <row r="3" spans="1:15">
      <c r="A3" t="s">
        <v>348</v>
      </c>
      <c r="B3">
        <f>B2+1</f>
        <v>2</v>
      </c>
      <c r="C3">
        <v>10</v>
      </c>
      <c r="D3">
        <v>2019</v>
      </c>
      <c r="E3" s="209">
        <f>ELEC!N4</f>
        <v>32504</v>
      </c>
      <c r="F3" s="354">
        <f>SUM('EDl log'!T5)</f>
        <v>9.0553990436018986E-2</v>
      </c>
      <c r="G3" s="209">
        <f>-tanks!AW7</f>
        <v>802.59999999997672</v>
      </c>
      <c r="H3" s="354">
        <f>SUM(tanks!AV7)</f>
        <v>0.54</v>
      </c>
      <c r="I3" s="10">
        <f>('B5'!AU6)*0.51</f>
        <v>122.4</v>
      </c>
      <c r="J3" s="333">
        <f>'B5'!AX6/0.51</f>
        <v>1.3725490196078429</v>
      </c>
      <c r="K3" s="209">
        <f>WATER!I7</f>
        <v>132</v>
      </c>
      <c r="L3" s="355">
        <f>SUM(WATER!J7)</f>
        <v>3.4928445747800581</v>
      </c>
      <c r="M3" s="355">
        <f>WATER!Q7</f>
        <v>0</v>
      </c>
      <c r="N3" s="564">
        <v>0.6</v>
      </c>
      <c r="O3" s="10">
        <f>ELEC!B4</f>
        <v>161.989</v>
      </c>
    </row>
    <row r="4" spans="1:15">
      <c r="A4" t="s">
        <v>348</v>
      </c>
      <c r="B4">
        <f t="shared" ref="B4:B32" si="0">B3+1</f>
        <v>3</v>
      </c>
      <c r="C4">
        <v>10</v>
      </c>
      <c r="D4">
        <v>2019</v>
      </c>
      <c r="E4" s="209">
        <f>ELEC!N5</f>
        <v>29402</v>
      </c>
      <c r="F4" s="354">
        <f>SUM('EDl log'!T6)</f>
        <v>0.10218380428513851</v>
      </c>
      <c r="G4" s="209">
        <f>-tanks!AW8</f>
        <v>812.60000000003492</v>
      </c>
      <c r="H4" s="354">
        <f>SUM(tanks!AV8)</f>
        <v>0.54</v>
      </c>
      <c r="I4" s="10">
        <f>('B5'!AU7)*0.51</f>
        <v>107.10000000000001</v>
      </c>
      <c r="J4" s="333">
        <f>'B5'!AX7/0.51</f>
        <v>1.3725490196078429</v>
      </c>
      <c r="K4" s="209">
        <f>WATER!I8</f>
        <v>185</v>
      </c>
      <c r="L4" s="355">
        <f>SUM(WATER!J8)</f>
        <v>2.9677593722755011</v>
      </c>
      <c r="M4" s="355">
        <f>WATER!Q8</f>
        <v>0</v>
      </c>
      <c r="N4" s="564">
        <v>0.6</v>
      </c>
      <c r="O4" s="10">
        <f>ELEC!B5</f>
        <v>188.99099999999999</v>
      </c>
    </row>
    <row r="5" spans="1:15">
      <c r="A5" t="s">
        <v>348</v>
      </c>
      <c r="B5">
        <f t="shared" si="0"/>
        <v>4</v>
      </c>
      <c r="C5">
        <v>10</v>
      </c>
      <c r="D5">
        <v>2019</v>
      </c>
      <c r="E5" s="209">
        <f>ELEC!N6</f>
        <v>32164</v>
      </c>
      <c r="F5" s="354">
        <f>SUM('EDl log'!T7)</f>
        <v>4.6038231193899097E-2</v>
      </c>
      <c r="G5" s="209">
        <f>-tanks!AW9</f>
        <v>932.5</v>
      </c>
      <c r="H5" s="354">
        <f>SUM(tanks!AV9)</f>
        <v>0.54666000000000003</v>
      </c>
      <c r="I5" s="10">
        <f>('B5'!AU8)*0.51</f>
        <v>290.7</v>
      </c>
      <c r="J5" s="333">
        <f>'B5'!AX8/0.51</f>
        <v>1.3725490196078429</v>
      </c>
      <c r="K5" s="209">
        <f>WATER!I9</f>
        <v>306</v>
      </c>
      <c r="L5" s="355">
        <f>SUM(WATER!J9)</f>
        <v>1.5121421041534895</v>
      </c>
      <c r="M5" s="355">
        <f>WATER!Q9</f>
        <v>0</v>
      </c>
      <c r="N5" s="564">
        <v>0.6</v>
      </c>
      <c r="O5" s="10">
        <f>ELEC!B6</f>
        <v>191.82</v>
      </c>
    </row>
    <row r="6" spans="1:15">
      <c r="A6" t="s">
        <v>348</v>
      </c>
      <c r="B6">
        <f t="shared" si="0"/>
        <v>5</v>
      </c>
      <c r="C6">
        <v>10</v>
      </c>
      <c r="D6">
        <v>2019</v>
      </c>
      <c r="E6" s="209">
        <f>ELEC!N7</f>
        <v>31146</v>
      </c>
      <c r="F6" s="354">
        <f>SUM('EDl log'!T8)</f>
        <v>7.7974873140128603E-2</v>
      </c>
      <c r="G6" s="209">
        <f>-tanks!AW10</f>
        <v>1032.5</v>
      </c>
      <c r="H6" s="354">
        <f>SUM(tanks!AV10)</f>
        <v>0.54666000000000003</v>
      </c>
      <c r="I6" s="10">
        <f>('B5'!AU9)*0.51</f>
        <v>229.5</v>
      </c>
      <c r="J6" s="333">
        <f>'B5'!AX9/0.51</f>
        <v>1.3725490196078429</v>
      </c>
      <c r="K6" s="209">
        <f>WATER!I10</f>
        <v>212</v>
      </c>
      <c r="L6" s="355">
        <f>SUM(WATER!J10)</f>
        <v>2.8012051125989039</v>
      </c>
      <c r="M6" s="355">
        <f>WATER!Q10</f>
        <v>0</v>
      </c>
      <c r="N6" s="564">
        <v>0.6</v>
      </c>
      <c r="O6" s="10">
        <f>ELEC!B7</f>
        <v>177.00799999999998</v>
      </c>
    </row>
    <row r="7" spans="1:15">
      <c r="A7" t="s">
        <v>348</v>
      </c>
      <c r="B7">
        <f t="shared" si="0"/>
        <v>6</v>
      </c>
      <c r="C7">
        <v>10</v>
      </c>
      <c r="D7">
        <v>2019</v>
      </c>
      <c r="E7" s="209">
        <f>ELEC!N8</f>
        <v>26276.799999999814</v>
      </c>
      <c r="F7" s="354">
        <f>SUM('EDl log'!T9)</f>
        <v>7.5158299178201576E-2</v>
      </c>
      <c r="G7" s="209">
        <f>-tanks!AW11</f>
        <v>1043.2000000000116</v>
      </c>
      <c r="H7" s="354">
        <f>SUM(tanks!AV11)</f>
        <v>0.54666000000000003</v>
      </c>
      <c r="I7" s="10">
        <f>('B5'!AU10)*0.51</f>
        <v>137.69999999999999</v>
      </c>
      <c r="J7" s="333">
        <f>'B5'!AX10/0.51</f>
        <v>1.3725490196078429</v>
      </c>
      <c r="K7" s="209">
        <f>WATER!I11</f>
        <v>325</v>
      </c>
      <c r="L7" s="355">
        <f>SUM(WATER!J11)</f>
        <v>1.4237399503722086</v>
      </c>
      <c r="M7" s="355">
        <f>WATER!Q11</f>
        <v>0</v>
      </c>
      <c r="N7" s="564">
        <v>0.6</v>
      </c>
      <c r="O7" s="10">
        <f>ELEC!B8</f>
        <v>131.99699999999999</v>
      </c>
    </row>
    <row r="8" spans="1:15">
      <c r="A8" t="s">
        <v>348</v>
      </c>
      <c r="B8">
        <f t="shared" si="0"/>
        <v>7</v>
      </c>
      <c r="C8">
        <v>10</v>
      </c>
      <c r="D8">
        <v>2019</v>
      </c>
      <c r="E8" s="209">
        <f>ELEC!N9</f>
        <v>29097.400000000373</v>
      </c>
      <c r="F8" s="354">
        <f>SUM('EDl log'!T10)</f>
        <v>7.9356749499570736E-2</v>
      </c>
      <c r="G8" s="209">
        <f>-tanks!AW12</f>
        <v>861.79999999998836</v>
      </c>
      <c r="H8" s="354">
        <f>SUM(tanks!AV12)</f>
        <v>0.54666000000000003</v>
      </c>
      <c r="I8" s="10">
        <f>('B5'!AU11)*0.51</f>
        <v>183.6</v>
      </c>
      <c r="J8" s="333">
        <f>'B5'!AX11/0.51</f>
        <v>1.3725490196078429</v>
      </c>
      <c r="K8" s="209">
        <f>WATER!I12</f>
        <v>212</v>
      </c>
      <c r="L8" s="355">
        <f>SUM(WATER!J12)</f>
        <v>2.8012051125989039</v>
      </c>
      <c r="M8" s="355">
        <f>WATER!Q12</f>
        <v>0</v>
      </c>
      <c r="N8" s="564">
        <v>0.6</v>
      </c>
      <c r="O8" s="10">
        <f>ELEC!B9</f>
        <v>125.005</v>
      </c>
    </row>
    <row r="9" spans="1:15">
      <c r="A9" t="s">
        <v>348</v>
      </c>
      <c r="B9">
        <f t="shared" si="0"/>
        <v>8</v>
      </c>
      <c r="C9">
        <v>10</v>
      </c>
      <c r="D9">
        <v>2019</v>
      </c>
      <c r="E9" s="209">
        <f>ELEC!N10</f>
        <v>28488.599999999627</v>
      </c>
      <c r="F9" s="354">
        <f>SUM('EDl log'!T11)</f>
        <v>7.5329673700734318E-2</v>
      </c>
      <c r="G9" s="209">
        <f>-tanks!AW13</f>
        <v>807.79999999998836</v>
      </c>
      <c r="H9" s="354">
        <f>SUM(tanks!AV13)</f>
        <v>0.54666000000000003</v>
      </c>
      <c r="I9" s="10">
        <f>('B5'!AU12)*0.51</f>
        <v>122.39999999999954</v>
      </c>
      <c r="J9" s="333">
        <f>'B5'!AX12/0.51</f>
        <v>1.3725490196078429</v>
      </c>
      <c r="K9" s="209">
        <f>WATER!I13</f>
        <v>355</v>
      </c>
      <c r="L9" s="355">
        <f>SUM(WATER!J13)</f>
        <v>1.5512548841435712</v>
      </c>
      <c r="M9" s="355">
        <f>WATER!Q13</f>
        <v>0</v>
      </c>
      <c r="N9" s="564">
        <v>0.6</v>
      </c>
      <c r="O9" s="10">
        <f>ELEC!B10</f>
        <v>150.995</v>
      </c>
    </row>
    <row r="10" spans="1:15">
      <c r="A10" t="s">
        <v>348</v>
      </c>
      <c r="B10">
        <f t="shared" si="0"/>
        <v>9</v>
      </c>
      <c r="C10">
        <v>10</v>
      </c>
      <c r="D10">
        <v>2019</v>
      </c>
      <c r="E10" s="209">
        <f>ELEC!N11</f>
        <v>30559.400000000373</v>
      </c>
      <c r="F10" s="354">
        <f>SUM('EDl log'!T12)</f>
        <v>7.8051820463541033E-2</v>
      </c>
      <c r="G10" s="209">
        <f>-tanks!AW14</f>
        <v>880.70000000001164</v>
      </c>
      <c r="H10" s="354">
        <f>SUM(tanks!AV14)</f>
        <v>0.54666000000000003</v>
      </c>
      <c r="I10" s="10">
        <f>('B5'!AU13)*0.51</f>
        <v>107.10000000000046</v>
      </c>
      <c r="J10" s="333">
        <f>'B5'!AX13/0.51</f>
        <v>1.3725490196078429</v>
      </c>
      <c r="K10" s="209">
        <f>WATER!I14</f>
        <v>145</v>
      </c>
      <c r="L10" s="355">
        <f>SUM(WATER!J14)</f>
        <v>3.1911412680756399</v>
      </c>
      <c r="M10" s="355">
        <f>WATER!Q14</f>
        <v>0</v>
      </c>
      <c r="N10" s="564">
        <v>0.6</v>
      </c>
      <c r="O10" s="10">
        <f>ELEC!B11</f>
        <v>165.99100000000001</v>
      </c>
    </row>
    <row r="11" spans="1:15">
      <c r="A11" t="s">
        <v>348</v>
      </c>
      <c r="B11">
        <f t="shared" si="0"/>
        <v>10</v>
      </c>
      <c r="C11">
        <v>10</v>
      </c>
      <c r="D11">
        <v>2019</v>
      </c>
      <c r="E11" s="209">
        <f>ELEC!N12</f>
        <v>34481.799999999814</v>
      </c>
      <c r="F11" s="354">
        <f>SUM('EDl log'!T13)</f>
        <v>7.9007136711632231E-2</v>
      </c>
      <c r="G11" s="209">
        <f>-tanks!AW15</f>
        <v>839.09999999997672</v>
      </c>
      <c r="H11" s="354">
        <f>SUM(tanks!AV15)</f>
        <v>0.54666000000000003</v>
      </c>
      <c r="I11" s="10">
        <f>('B5'!AU14)*0.51</f>
        <v>122.4</v>
      </c>
      <c r="J11" s="333">
        <f>'B5'!AX14/0.51</f>
        <v>1.3725490196078429</v>
      </c>
      <c r="K11" s="209">
        <f>WATER!I15</f>
        <v>357</v>
      </c>
      <c r="L11" s="355">
        <f>SUM(WATER!J15)</f>
        <v>1.5425643805909461</v>
      </c>
      <c r="M11" s="355">
        <f>WATER!Q15</f>
        <v>0</v>
      </c>
      <c r="N11" s="564">
        <v>0.6</v>
      </c>
      <c r="O11" s="10">
        <f>ELEC!B12</f>
        <v>198.00700000000001</v>
      </c>
    </row>
    <row r="12" spans="1:15">
      <c r="A12" t="s">
        <v>348</v>
      </c>
      <c r="B12">
        <f t="shared" si="0"/>
        <v>11</v>
      </c>
      <c r="C12">
        <v>10</v>
      </c>
      <c r="D12">
        <v>2019</v>
      </c>
      <c r="E12" s="209">
        <f>ELEC!N13</f>
        <v>30373.200000000186</v>
      </c>
      <c r="F12" s="354">
        <f>SUM('EDl log'!T14)</f>
        <v>4.7027515857305663E-2</v>
      </c>
      <c r="G12" s="209">
        <f>-tanks!AW16</f>
        <v>821.90000000002328</v>
      </c>
      <c r="H12" s="354">
        <f>SUM(tanks!AV16)</f>
        <v>0.55000000000000004</v>
      </c>
      <c r="I12" s="10">
        <f>('B5'!AU15)*0.51</f>
        <v>367.2</v>
      </c>
      <c r="J12" s="333">
        <f>'B5'!AX15/0.51</f>
        <v>1.3725490196078429</v>
      </c>
      <c r="K12" s="209">
        <f>WATER!I16</f>
        <v>132</v>
      </c>
      <c r="L12" s="355">
        <f>SUM(WATER!J16)</f>
        <v>3.4928445747800581</v>
      </c>
      <c r="M12" s="355">
        <f>WATER!Q16</f>
        <v>0</v>
      </c>
      <c r="N12" s="564">
        <v>0.6</v>
      </c>
      <c r="O12" s="10">
        <f>ELEC!B13</f>
        <v>194.994</v>
      </c>
    </row>
    <row r="13" spans="1:15">
      <c r="A13" t="s">
        <v>348</v>
      </c>
      <c r="B13">
        <f t="shared" si="0"/>
        <v>12</v>
      </c>
      <c r="C13">
        <v>10</v>
      </c>
      <c r="D13">
        <v>2019</v>
      </c>
      <c r="E13" s="209">
        <f>ELEC!N14</f>
        <v>30850</v>
      </c>
      <c r="F13" s="354">
        <f>SUM('EDl log'!T15)</f>
        <v>7.2366845513383321E-2</v>
      </c>
      <c r="G13" s="209">
        <f>-tanks!AW17</f>
        <v>844.20000000001164</v>
      </c>
      <c r="H13" s="354">
        <f>SUM(tanks!AV17)</f>
        <v>0.55000000000000004</v>
      </c>
      <c r="I13" s="10">
        <f>('B5'!AU16)*0.51</f>
        <v>76.5</v>
      </c>
      <c r="J13" s="333">
        <f>'B5'!AX16/0.51</f>
        <v>1.3725490196078429</v>
      </c>
      <c r="K13" s="209">
        <f>WATER!I17</f>
        <v>654</v>
      </c>
      <c r="L13" s="355">
        <f>SUM(WATER!J17)</f>
        <v>0.36993193252441553</v>
      </c>
      <c r="M13" s="355">
        <f>WATER!Q17</f>
        <v>0</v>
      </c>
      <c r="N13" s="564">
        <v>0.6</v>
      </c>
      <c r="O13" s="10">
        <f>ELEC!B14</f>
        <v>135.01</v>
      </c>
    </row>
    <row r="14" spans="1:15">
      <c r="A14" t="s">
        <v>348</v>
      </c>
      <c r="B14">
        <f t="shared" si="0"/>
        <v>13</v>
      </c>
      <c r="C14">
        <v>10</v>
      </c>
      <c r="D14">
        <v>2019</v>
      </c>
      <c r="E14" s="209">
        <f>ELEC!N15</f>
        <v>30370.399999999907</v>
      </c>
      <c r="F14" s="354">
        <f>SUM('EDl log'!T16)</f>
        <v>7.1185699508455227E-2</v>
      </c>
      <c r="G14" s="209">
        <f>-tanks!AW18</f>
        <v>925.29999999998836</v>
      </c>
      <c r="H14" s="354">
        <f>SUM(tanks!AV18)</f>
        <v>0.55000000000000004</v>
      </c>
      <c r="I14" s="10">
        <f>('B5'!AU17)*0.51</f>
        <v>183.6</v>
      </c>
      <c r="J14" s="333">
        <f>'B5'!AX17/0.51</f>
        <v>1.3725490196078429</v>
      </c>
      <c r="K14" s="209">
        <f>WATER!I18</f>
        <v>133</v>
      </c>
      <c r="L14" s="355">
        <f>SUM(WATER!J18)</f>
        <v>3.4790637885035172</v>
      </c>
      <c r="M14" s="355">
        <f>WATER!Q18</f>
        <v>0</v>
      </c>
      <c r="N14" s="564">
        <v>0.6</v>
      </c>
      <c r="O14" s="10">
        <f>ELEC!B15</f>
        <v>121.003</v>
      </c>
    </row>
    <row r="15" spans="1:15">
      <c r="A15" t="s">
        <v>348</v>
      </c>
      <c r="B15">
        <f t="shared" si="0"/>
        <v>14</v>
      </c>
      <c r="C15">
        <v>10</v>
      </c>
      <c r="D15">
        <v>2019</v>
      </c>
      <c r="E15" s="209">
        <f>ELEC!N16</f>
        <v>29315.399999999907</v>
      </c>
      <c r="F15" s="354">
        <f>SUM('EDl log'!T17)</f>
        <v>9.8779220742258506E-2</v>
      </c>
      <c r="G15" s="209">
        <f>-tanks!AW19</f>
        <v>708.29999999998836</v>
      </c>
      <c r="H15" s="354">
        <f>SUM(tanks!AV19)</f>
        <v>0.55000000000000004</v>
      </c>
      <c r="I15" s="10">
        <f>('B5'!AU18)*0.51</f>
        <v>61.2</v>
      </c>
      <c r="J15" s="333">
        <f>'B5'!AX18/0.51</f>
        <v>1.3725490196078429</v>
      </c>
      <c r="K15" s="209">
        <f>WATER!I19</f>
        <v>243</v>
      </c>
      <c r="L15" s="355">
        <f>SUM(WATER!J19)</f>
        <v>1.9041789459710607</v>
      </c>
      <c r="M15" s="355">
        <f>WATER!Q19</f>
        <v>0</v>
      </c>
      <c r="N15" s="564">
        <v>0.6</v>
      </c>
      <c r="O15" s="10">
        <f>ELEC!B16</f>
        <v>133.99799999999999</v>
      </c>
    </row>
    <row r="16" spans="1:15">
      <c r="A16" t="s">
        <v>348</v>
      </c>
      <c r="B16">
        <f t="shared" si="0"/>
        <v>15</v>
      </c>
      <c r="C16">
        <v>10</v>
      </c>
      <c r="D16">
        <v>2019</v>
      </c>
      <c r="E16" s="209">
        <f>ELEC!N17</f>
        <v>0</v>
      </c>
      <c r="F16" s="354">
        <f>SUM('EDl log'!T18)</f>
        <v>0</v>
      </c>
      <c r="G16" s="209">
        <f>-tanks!AW20</f>
        <v>0</v>
      </c>
      <c r="H16" s="354">
        <f>SUM(tanks!AV20)</f>
        <v>0.55000000000000004</v>
      </c>
      <c r="I16" s="10">
        <f>('B5'!AU19)*0.51</f>
        <v>0</v>
      </c>
      <c r="J16" s="333">
        <f>'B5'!AX19/0.51</f>
        <v>1.3725490196078429</v>
      </c>
      <c r="K16" s="209">
        <f>WATER!I20</f>
        <v>0</v>
      </c>
      <c r="L16" s="355">
        <f>SUM(WATER!J20)</f>
        <v>0</v>
      </c>
      <c r="M16" s="355">
        <f>WATER!Q20</f>
        <v>0</v>
      </c>
      <c r="N16" s="564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10</v>
      </c>
      <c r="D17">
        <v>2019</v>
      </c>
      <c r="E17" s="209">
        <f>ELEC!N18</f>
        <v>0</v>
      </c>
      <c r="F17" s="354">
        <f>SUM('EDl log'!T19)</f>
        <v>0</v>
      </c>
      <c r="G17" s="209">
        <f>-tanks!AW21</f>
        <v>0</v>
      </c>
      <c r="H17" s="354">
        <f>SUM(tanks!AV21)</f>
        <v>0.55000000000000004</v>
      </c>
      <c r="I17" s="10">
        <f>('B5'!AU20)*0.51</f>
        <v>0</v>
      </c>
      <c r="J17" s="333">
        <f>'B5'!AX20/0.51</f>
        <v>1.3725490196078429</v>
      </c>
      <c r="K17" s="209">
        <f>WATER!I21</f>
        <v>0</v>
      </c>
      <c r="L17" s="355">
        <f>SUM(WATER!J21)</f>
        <v>0</v>
      </c>
      <c r="M17" s="355">
        <f>WATER!Q21</f>
        <v>0</v>
      </c>
      <c r="N17" s="564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10</v>
      </c>
      <c r="D18">
        <v>2019</v>
      </c>
      <c r="E18" s="209">
        <f>ELEC!N19</f>
        <v>0</v>
      </c>
      <c r="F18" s="354">
        <f>SUM('EDl log'!T20)</f>
        <v>0</v>
      </c>
      <c r="G18" s="209">
        <f>-tanks!AW22</f>
        <v>0</v>
      </c>
      <c r="H18" s="354">
        <f>SUM(tanks!AV22)</f>
        <v>0.55000000000000004</v>
      </c>
      <c r="I18" s="10">
        <f>('B5'!AU21)*0.51</f>
        <v>0</v>
      </c>
      <c r="J18" s="333">
        <f>'B5'!AX21/0.51</f>
        <v>1.3725490196078429</v>
      </c>
      <c r="K18" s="209">
        <f>WATER!I22</f>
        <v>0</v>
      </c>
      <c r="L18" s="355">
        <f>SUM(WATER!J22)</f>
        <v>0</v>
      </c>
      <c r="M18" s="355">
        <f>WATER!Q22</f>
        <v>0</v>
      </c>
      <c r="N18" s="564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10</v>
      </c>
      <c r="D19">
        <v>2019</v>
      </c>
      <c r="E19" s="209">
        <f>ELEC!N20</f>
        <v>0</v>
      </c>
      <c r="F19" s="354">
        <f>SUM('EDl log'!T21)</f>
        <v>0</v>
      </c>
      <c r="G19" s="209">
        <f>-tanks!AW23</f>
        <v>0</v>
      </c>
      <c r="H19" s="354">
        <f>SUM(tanks!AV23)</f>
        <v>0.55000000000000004</v>
      </c>
      <c r="I19" s="10">
        <f>('B5'!AU22)*0.51</f>
        <v>0</v>
      </c>
      <c r="J19" s="333">
        <f>'B5'!AX22/0.51</f>
        <v>1.3725490196078429</v>
      </c>
      <c r="K19" s="209">
        <f>WATER!I23</f>
        <v>0</v>
      </c>
      <c r="L19" s="355">
        <f>SUM(WATER!J23)</f>
        <v>0</v>
      </c>
      <c r="M19" s="355">
        <f>WATER!Q23</f>
        <v>0</v>
      </c>
      <c r="N19" s="564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10</v>
      </c>
      <c r="D20">
        <v>2019</v>
      </c>
      <c r="E20" s="209">
        <f>ELEC!N21</f>
        <v>0</v>
      </c>
      <c r="F20" s="354">
        <f>SUM('EDl log'!T22)</f>
        <v>0</v>
      </c>
      <c r="G20" s="209">
        <f>-tanks!AW24</f>
        <v>0</v>
      </c>
      <c r="H20" s="354">
        <f>SUM(tanks!AV24)</f>
        <v>0.55000000000000004</v>
      </c>
      <c r="I20" s="10">
        <f>('B5'!AU23)*0.51</f>
        <v>0</v>
      </c>
      <c r="J20" s="333">
        <f>'B5'!AX23/0.51</f>
        <v>1.3725490196078429</v>
      </c>
      <c r="K20" s="209">
        <f>WATER!I24</f>
        <v>0</v>
      </c>
      <c r="L20" s="355">
        <f>SUM(WATER!J24)</f>
        <v>0</v>
      </c>
      <c r="M20" s="355">
        <f>WATER!Q24</f>
        <v>0</v>
      </c>
      <c r="N20" s="564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10</v>
      </c>
      <c r="D21">
        <v>2019</v>
      </c>
      <c r="E21" s="209">
        <f>ELEC!N22</f>
        <v>0</v>
      </c>
      <c r="F21" s="354">
        <f>SUM('EDl log'!T23)</f>
        <v>0</v>
      </c>
      <c r="G21" s="209">
        <f>-tanks!AW25</f>
        <v>0</v>
      </c>
      <c r="H21" s="354">
        <f>SUM(tanks!AV25)</f>
        <v>0.55000000000000004</v>
      </c>
      <c r="I21" s="10">
        <f>('B5'!AU24)*0.51</f>
        <v>0</v>
      </c>
      <c r="J21" s="333">
        <f>'B5'!AX24/0.51</f>
        <v>1.3725490196078429</v>
      </c>
      <c r="K21" s="209">
        <f>WATER!I25</f>
        <v>0</v>
      </c>
      <c r="L21" s="355">
        <f>SUM(WATER!J25)</f>
        <v>0</v>
      </c>
      <c r="M21" s="355">
        <f>WATER!Q25</f>
        <v>0</v>
      </c>
      <c r="N21" s="564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10</v>
      </c>
      <c r="D22">
        <v>2019</v>
      </c>
      <c r="E22" s="209">
        <f>ELEC!N23</f>
        <v>0</v>
      </c>
      <c r="F22" s="354">
        <f>SUM('EDl log'!T24)</f>
        <v>0</v>
      </c>
      <c r="G22" s="209">
        <f>-tanks!AW26</f>
        <v>0</v>
      </c>
      <c r="H22" s="354">
        <f>SUM(tanks!AV26)</f>
        <v>0.55000000000000004</v>
      </c>
      <c r="I22" s="10">
        <f>('B5'!AU25)*0.51</f>
        <v>0</v>
      </c>
      <c r="J22" s="333">
        <f>'B5'!AX25/0.51</f>
        <v>1.3725490196078429</v>
      </c>
      <c r="K22" s="209">
        <f>WATER!I26</f>
        <v>0</v>
      </c>
      <c r="L22" s="355">
        <f>SUM(WATER!J26)</f>
        <v>0</v>
      </c>
      <c r="M22" s="355">
        <f>WATER!Q26</f>
        <v>0</v>
      </c>
      <c r="N22" s="564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10</v>
      </c>
      <c r="D23">
        <v>2019</v>
      </c>
      <c r="E23" s="209">
        <f>ELEC!N24</f>
        <v>0</v>
      </c>
      <c r="F23" s="354">
        <f>SUM('EDl log'!T25)</f>
        <v>0</v>
      </c>
      <c r="G23" s="209">
        <f>-tanks!AW27</f>
        <v>0</v>
      </c>
      <c r="H23" s="354">
        <f>SUM(tanks!AV27)</f>
        <v>0.55000000000000004</v>
      </c>
      <c r="I23" s="10">
        <f>('B5'!AU26)*0.51</f>
        <v>0</v>
      </c>
      <c r="J23" s="333">
        <f>'B5'!AX26/0.51</f>
        <v>1.3725490196078429</v>
      </c>
      <c r="K23" s="209">
        <f>WATER!I27</f>
        <v>0</v>
      </c>
      <c r="L23" s="355">
        <f>SUM(WATER!J27)</f>
        <v>0</v>
      </c>
      <c r="M23" s="355">
        <f>WATER!Q27</f>
        <v>0</v>
      </c>
      <c r="N23" s="564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10</v>
      </c>
      <c r="D24">
        <v>2019</v>
      </c>
      <c r="E24" s="209">
        <f>ELEC!N25</f>
        <v>0</v>
      </c>
      <c r="F24" s="354">
        <f>SUM('EDl log'!T26)</f>
        <v>0</v>
      </c>
      <c r="G24" s="209">
        <f>-tanks!AW28</f>
        <v>0</v>
      </c>
      <c r="H24" s="354">
        <f>SUM(tanks!AV28)</f>
        <v>0.55000000000000004</v>
      </c>
      <c r="I24" s="10">
        <f>('B5'!AU27)*0.51</f>
        <v>0</v>
      </c>
      <c r="J24" s="333">
        <f>'B5'!AX27/0.51</f>
        <v>1.3725490196078429</v>
      </c>
      <c r="K24" s="209">
        <f>WATER!I28</f>
        <v>0</v>
      </c>
      <c r="L24" s="355">
        <f>SUM(WATER!J28)</f>
        <v>0</v>
      </c>
      <c r="M24" s="355">
        <f>WATER!Q28</f>
        <v>0</v>
      </c>
      <c r="N24" s="564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10</v>
      </c>
      <c r="D25">
        <v>2019</v>
      </c>
      <c r="E25" s="209">
        <f>ELEC!N26</f>
        <v>0</v>
      </c>
      <c r="F25" s="354">
        <f>SUM('EDl log'!T27)</f>
        <v>0</v>
      </c>
      <c r="G25" s="209">
        <f>-tanks!AW29</f>
        <v>0</v>
      </c>
      <c r="H25" s="354">
        <f>SUM(tanks!AV29)</f>
        <v>0.55000000000000004</v>
      </c>
      <c r="I25" s="10">
        <f>('B5'!AU28)*0.51</f>
        <v>0</v>
      </c>
      <c r="J25" s="333">
        <f>'B5'!AX28/0.51</f>
        <v>1.3725490196078429</v>
      </c>
      <c r="K25" s="209">
        <f>WATER!I29</f>
        <v>0</v>
      </c>
      <c r="L25" s="355">
        <f>SUM(WATER!J29)</f>
        <v>0</v>
      </c>
      <c r="M25" s="355">
        <f>WATER!Q29</f>
        <v>0</v>
      </c>
      <c r="N25" s="564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10</v>
      </c>
      <c r="D26">
        <v>2019</v>
      </c>
      <c r="E26" s="209">
        <f>ELEC!N27</f>
        <v>0</v>
      </c>
      <c r="F26" s="354">
        <f>SUM('EDl log'!T28)</f>
        <v>0</v>
      </c>
      <c r="G26" s="209">
        <f>-tanks!AW30</f>
        <v>0</v>
      </c>
      <c r="H26" s="354">
        <f>SUM(tanks!AV30)</f>
        <v>0.55000000000000004</v>
      </c>
      <c r="I26" s="10">
        <f>('B5'!AU29)*0.51</f>
        <v>0</v>
      </c>
      <c r="J26" s="333">
        <f>'B5'!AX29/0.51</f>
        <v>1.3725490196078429</v>
      </c>
      <c r="K26" s="209">
        <f>WATER!I30</f>
        <v>0</v>
      </c>
      <c r="L26" s="355">
        <f>SUM(WATER!J30)</f>
        <v>0</v>
      </c>
      <c r="M26" s="355">
        <f>WATER!Q30</f>
        <v>0</v>
      </c>
      <c r="N26" s="564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10</v>
      </c>
      <c r="D27">
        <v>2019</v>
      </c>
      <c r="E27" s="209">
        <f>ELEC!N28</f>
        <v>0</v>
      </c>
      <c r="F27" s="354">
        <f>SUM('EDl log'!T29)</f>
        <v>0</v>
      </c>
      <c r="G27" s="209">
        <f>-tanks!AW31</f>
        <v>0</v>
      </c>
      <c r="H27" s="354">
        <f>SUM(tanks!AV31)</f>
        <v>0.55000000000000004</v>
      </c>
      <c r="I27" s="10">
        <f>('B5'!AU30)*0.51</f>
        <v>0</v>
      </c>
      <c r="J27" s="333">
        <f>'B5'!AX30/0.51</f>
        <v>1.3725490196078429</v>
      </c>
      <c r="K27" s="209">
        <f>WATER!I31</f>
        <v>0</v>
      </c>
      <c r="L27" s="355">
        <f>SUM(WATER!J31)</f>
        <v>0</v>
      </c>
      <c r="M27" s="355">
        <f>WATER!Q31</f>
        <v>0</v>
      </c>
      <c r="N27" s="564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10</v>
      </c>
      <c r="D28">
        <v>2019</v>
      </c>
      <c r="E28" s="209">
        <f>ELEC!N29</f>
        <v>0</v>
      </c>
      <c r="F28" s="354">
        <f>SUM('EDl log'!T30)</f>
        <v>0</v>
      </c>
      <c r="G28" s="209">
        <f>-tanks!AW32</f>
        <v>0</v>
      </c>
      <c r="H28" s="354">
        <f>SUM(tanks!AV32)</f>
        <v>0.55000000000000004</v>
      </c>
      <c r="I28" s="10">
        <f>('B5'!AU31)*0.51</f>
        <v>0</v>
      </c>
      <c r="J28" s="333">
        <f>'B5'!AX31/0.51</f>
        <v>1.3725490196078429</v>
      </c>
      <c r="K28" s="209">
        <f>WATER!I32</f>
        <v>0</v>
      </c>
      <c r="L28" s="355">
        <f>SUM(WATER!J32)</f>
        <v>0</v>
      </c>
      <c r="M28" s="355">
        <f>WATER!Q32</f>
        <v>0</v>
      </c>
      <c r="N28" s="564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10</v>
      </c>
      <c r="D29">
        <v>2019</v>
      </c>
      <c r="E29" s="209">
        <f>ELEC!N30</f>
        <v>0</v>
      </c>
      <c r="F29" s="354">
        <f>SUM('EDl log'!T31)</f>
        <v>0</v>
      </c>
      <c r="G29" s="209">
        <f>-tanks!AW33</f>
        <v>0</v>
      </c>
      <c r="H29" s="354">
        <f>SUM(tanks!AV33)</f>
        <v>0.55000000000000004</v>
      </c>
      <c r="I29" s="10">
        <f>('B5'!AU32)*0.51</f>
        <v>0</v>
      </c>
      <c r="J29" s="333">
        <f>'B5'!AX32/0.51</f>
        <v>1.3725490196078429</v>
      </c>
      <c r="K29" s="209">
        <f>WATER!I33</f>
        <v>0</v>
      </c>
      <c r="L29" s="355">
        <f>SUM(WATER!J33)</f>
        <v>0</v>
      </c>
      <c r="M29" s="355">
        <f>WATER!Q33</f>
        <v>0</v>
      </c>
      <c r="N29" s="56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10</v>
      </c>
      <c r="D30">
        <v>2019</v>
      </c>
      <c r="E30" s="209">
        <f>ELEC!N31</f>
        <v>0</v>
      </c>
      <c r="F30" s="354">
        <f>SUM('EDl log'!T32)</f>
        <v>0</v>
      </c>
      <c r="G30" s="209">
        <f>-tanks!AW34</f>
        <v>0</v>
      </c>
      <c r="H30" s="354">
        <f>SUM(tanks!AV34)</f>
        <v>0.55000000000000004</v>
      </c>
      <c r="I30" s="10">
        <f>('B5'!AU33)*0.51</f>
        <v>0</v>
      </c>
      <c r="J30" s="333">
        <f>'B5'!AX33/0.51</f>
        <v>1.3725490196078429</v>
      </c>
      <c r="K30" s="209">
        <f>WATER!I34</f>
        <v>0</v>
      </c>
      <c r="L30" s="355">
        <f>SUM(WATER!J34)</f>
        <v>0</v>
      </c>
      <c r="M30" s="355">
        <f>WATER!Q34</f>
        <v>0</v>
      </c>
      <c r="N30" s="56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10</v>
      </c>
      <c r="D31">
        <v>2019</v>
      </c>
      <c r="E31" s="209">
        <f>ELEC!N32</f>
        <v>0</v>
      </c>
      <c r="F31" s="354">
        <f>SUM('EDl log'!T33)</f>
        <v>0</v>
      </c>
      <c r="G31" s="209">
        <f>-tanks!AW35</f>
        <v>0</v>
      </c>
      <c r="H31" s="354">
        <f>SUM(tanks!AV35)</f>
        <v>0.55000000000000004</v>
      </c>
      <c r="I31" s="10">
        <f>('B5'!AU34)*0.51</f>
        <v>0</v>
      </c>
      <c r="J31" s="333">
        <f>'B5'!AX34/0.51</f>
        <v>1.3725490196078429</v>
      </c>
      <c r="K31" s="209">
        <f>WATER!I35</f>
        <v>0</v>
      </c>
      <c r="L31" s="355">
        <f>SUM(WATER!J35)</f>
        <v>0</v>
      </c>
      <c r="M31" s="355">
        <f>WATER!Q35</f>
        <v>0</v>
      </c>
      <c r="N31" s="564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10</v>
      </c>
      <c r="D32">
        <v>2019</v>
      </c>
      <c r="E32" s="209">
        <f>ELEC!N33</f>
        <v>0</v>
      </c>
      <c r="F32" s="354">
        <f>SUM('EDl log'!T34)</f>
        <v>0</v>
      </c>
      <c r="G32" s="209">
        <f>-tanks!AW36</f>
        <v>0</v>
      </c>
      <c r="H32" s="354">
        <f>SUM(tanks!AV36)</f>
        <v>0.55000000000000004</v>
      </c>
      <c r="I32" s="10">
        <f>('B5'!AU35)*0.51</f>
        <v>0</v>
      </c>
      <c r="J32" s="333">
        <f>'B5'!AX35/0.51</f>
        <v>1.3725490196078429</v>
      </c>
      <c r="K32" s="209">
        <f>WATER!I36</f>
        <v>0</v>
      </c>
      <c r="L32" s="355">
        <f>SUM(WATER!J36)</f>
        <v>0</v>
      </c>
      <c r="M32" s="355">
        <f>WATER!Q36</f>
        <v>0</v>
      </c>
      <c r="N32" s="564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workbookViewId="0">
      <selection activeCell="O11" sqref="O11"/>
    </sheetView>
  </sheetViews>
  <sheetFormatPr defaultRowHeight="14.5"/>
  <cols>
    <col min="1" max="1" width="9.7265625" customWidth="1"/>
    <col min="2" max="2" width="4.54296875" customWidth="1"/>
    <col min="3" max="3" width="7" customWidth="1"/>
    <col min="4" max="4" width="7.453125" customWidth="1"/>
    <col min="5" max="6" width="10.54296875" bestFit="1" customWidth="1"/>
    <col min="7" max="7" width="9.81640625" bestFit="1" customWidth="1"/>
    <col min="8" max="9" width="9.54296875" bestFit="1" customWidth="1"/>
    <col min="10" max="10" width="11.453125" bestFit="1" customWidth="1"/>
    <col min="11" max="12" width="9.26953125" bestFit="1" customWidth="1"/>
  </cols>
  <sheetData>
    <row r="1" spans="1:13" ht="43.5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6" t="s">
        <v>347</v>
      </c>
    </row>
    <row r="2" spans="1:13">
      <c r="A2" t="s">
        <v>348</v>
      </c>
      <c r="B2">
        <v>1</v>
      </c>
      <c r="C2">
        <v>10</v>
      </c>
      <c r="D2">
        <v>2019</v>
      </c>
      <c r="E2" s="209">
        <f>ELEC!M3</f>
        <v>5576</v>
      </c>
      <c r="F2" s="209">
        <f>ELEC!K3</f>
        <v>5414</v>
      </c>
      <c r="G2" s="209">
        <f>ELEC!I3</f>
        <v>4010</v>
      </c>
      <c r="H2" s="209">
        <f>ELEC!E3</f>
        <v>11780</v>
      </c>
      <c r="I2" s="209">
        <f>ELEC!G3</f>
        <v>3434</v>
      </c>
      <c r="J2" s="209">
        <f>WATER!Y6</f>
        <v>100</v>
      </c>
      <c r="K2" s="209">
        <f>WATER!AJ6</f>
        <v>48</v>
      </c>
      <c r="L2" s="10">
        <f>ELEC!B3</f>
        <v>158.999</v>
      </c>
      <c r="M2" s="10"/>
    </row>
    <row r="3" spans="1:13">
      <c r="A3" t="s">
        <v>348</v>
      </c>
      <c r="B3">
        <f>B2+1</f>
        <v>2</v>
      </c>
      <c r="C3">
        <v>10</v>
      </c>
      <c r="D3">
        <v>2019</v>
      </c>
      <c r="E3" s="209">
        <f>ELEC!M4</f>
        <v>5830</v>
      </c>
      <c r="F3" s="209">
        <f>ELEC!K4</f>
        <v>6116</v>
      </c>
      <c r="G3" s="209">
        <f>ELEC!I4</f>
        <v>4362</v>
      </c>
      <c r="H3" s="209">
        <f>ELEC!E4</f>
        <v>12412</v>
      </c>
      <c r="I3" s="209">
        <f>ELEC!G4</f>
        <v>3784</v>
      </c>
      <c r="J3" s="209">
        <f>WATER!Y7</f>
        <v>25</v>
      </c>
      <c r="K3" s="209">
        <f>WATER!AJ7</f>
        <v>90</v>
      </c>
      <c r="L3" s="10">
        <f>ELEC!B4</f>
        <v>161.989</v>
      </c>
      <c r="M3" s="10"/>
    </row>
    <row r="4" spans="1:13">
      <c r="A4" t="s">
        <v>348</v>
      </c>
      <c r="B4">
        <f t="shared" ref="B4:B32" si="0">B3+1</f>
        <v>3</v>
      </c>
      <c r="C4">
        <v>10</v>
      </c>
      <c r="D4">
        <v>2019</v>
      </c>
      <c r="E4" s="209">
        <f>ELEC!M5</f>
        <v>5750</v>
      </c>
      <c r="F4" s="209">
        <f>ELEC!K5</f>
        <v>7216</v>
      </c>
      <c r="G4" s="209">
        <f>ELEC!I5</f>
        <v>4016</v>
      </c>
      <c r="H4" s="209">
        <f>ELEC!E5</f>
        <v>8900</v>
      </c>
      <c r="I4" s="209">
        <f>ELEC!G5</f>
        <v>3520</v>
      </c>
      <c r="J4" s="209">
        <f>WATER!Y8</f>
        <v>77</v>
      </c>
      <c r="K4" s="209">
        <f>WATER!AJ8</f>
        <v>102</v>
      </c>
      <c r="L4" s="10">
        <f>ELEC!B5</f>
        <v>188.99099999999999</v>
      </c>
      <c r="M4" s="10"/>
    </row>
    <row r="5" spans="1:13">
      <c r="A5" t="s">
        <v>348</v>
      </c>
      <c r="B5">
        <f t="shared" si="0"/>
        <v>4</v>
      </c>
      <c r="C5">
        <v>10</v>
      </c>
      <c r="D5">
        <v>2019</v>
      </c>
      <c r="E5" s="209">
        <f>ELEC!M6</f>
        <v>5848</v>
      </c>
      <c r="F5" s="209">
        <f>ELEC!K6</f>
        <v>5344</v>
      </c>
      <c r="G5" s="209">
        <f>ELEC!I6</f>
        <v>4342</v>
      </c>
      <c r="H5" s="209">
        <f>ELEC!E6</f>
        <v>12838</v>
      </c>
      <c r="I5" s="209">
        <f>ELEC!G6</f>
        <v>3792</v>
      </c>
      <c r="J5" s="209">
        <f>WATER!Y9</f>
        <v>136</v>
      </c>
      <c r="K5" s="209">
        <f>WATER!AJ9</f>
        <v>134</v>
      </c>
      <c r="L5" s="10">
        <f>ELEC!B6</f>
        <v>191.82</v>
      </c>
      <c r="M5" s="10"/>
    </row>
    <row r="6" spans="1:13">
      <c r="A6" t="s">
        <v>348</v>
      </c>
      <c r="B6">
        <f t="shared" si="0"/>
        <v>5</v>
      </c>
      <c r="C6">
        <v>10</v>
      </c>
      <c r="D6">
        <v>2019</v>
      </c>
      <c r="E6" s="209">
        <f>ELEC!M7</f>
        <v>5596</v>
      </c>
      <c r="F6" s="209">
        <f>ELEC!K7</f>
        <v>5198</v>
      </c>
      <c r="G6" s="209">
        <f>ELEC!I7</f>
        <v>4316</v>
      </c>
      <c r="H6" s="209">
        <f>ELEC!E7</f>
        <v>12226</v>
      </c>
      <c r="I6" s="209">
        <f>ELEC!G7</f>
        <v>3810</v>
      </c>
      <c r="J6" s="209">
        <f>WATER!Y10</f>
        <v>23</v>
      </c>
      <c r="K6" s="209">
        <f>WATER!AJ10</f>
        <v>97</v>
      </c>
      <c r="L6" s="10">
        <f>ELEC!B7</f>
        <v>177.00799999999998</v>
      </c>
      <c r="M6" s="10"/>
    </row>
    <row r="7" spans="1:13">
      <c r="A7" t="s">
        <v>348</v>
      </c>
      <c r="B7">
        <f t="shared" si="0"/>
        <v>6</v>
      </c>
      <c r="C7">
        <v>10</v>
      </c>
      <c r="D7">
        <v>2019</v>
      </c>
      <c r="E7" s="209">
        <f>ELEC!M8</f>
        <v>4540</v>
      </c>
      <c r="F7" s="209">
        <f>ELEC!K8</f>
        <v>4004</v>
      </c>
      <c r="G7" s="209">
        <f>ELEC!I8</f>
        <v>3684</v>
      </c>
      <c r="H7" s="209">
        <f>ELEC!E8</f>
        <v>10966</v>
      </c>
      <c r="I7" s="209">
        <f>ELEC!G8</f>
        <v>3082.7999999998137</v>
      </c>
      <c r="J7" s="209">
        <f>WATER!Y11</f>
        <v>88</v>
      </c>
      <c r="K7" s="209">
        <f>WATER!AJ11</f>
        <v>99</v>
      </c>
      <c r="L7" s="10">
        <f>ELEC!B8</f>
        <v>131.99699999999999</v>
      </c>
      <c r="M7" s="10"/>
    </row>
    <row r="8" spans="1:13">
      <c r="A8" t="s">
        <v>348</v>
      </c>
      <c r="B8">
        <f t="shared" si="0"/>
        <v>7</v>
      </c>
      <c r="C8">
        <v>10</v>
      </c>
      <c r="D8">
        <v>2019</v>
      </c>
      <c r="E8" s="209">
        <f>ELEC!M9</f>
        <v>5220</v>
      </c>
      <c r="F8" s="209">
        <f>ELEC!K9</f>
        <v>5526</v>
      </c>
      <c r="G8" s="209">
        <f>ELEC!I9</f>
        <v>4044</v>
      </c>
      <c r="H8" s="209">
        <f>ELEC!E9</f>
        <v>10792</v>
      </c>
      <c r="I8" s="209">
        <f>ELEC!G9</f>
        <v>3515.4000000003725</v>
      </c>
      <c r="J8" s="209">
        <f>WATER!Y12</f>
        <v>116</v>
      </c>
      <c r="K8" s="209">
        <f>WATER!AJ12</f>
        <v>34</v>
      </c>
      <c r="L8" s="10">
        <f>ELEC!B9</f>
        <v>125.005</v>
      </c>
      <c r="M8" s="10"/>
    </row>
    <row r="9" spans="1:13">
      <c r="A9" t="s">
        <v>348</v>
      </c>
      <c r="B9">
        <f t="shared" si="0"/>
        <v>8</v>
      </c>
      <c r="C9">
        <v>10</v>
      </c>
      <c r="D9">
        <v>2019</v>
      </c>
      <c r="E9" s="209">
        <f>ELEC!M10</f>
        <v>5216</v>
      </c>
      <c r="F9" s="209">
        <f>ELEC!K10</f>
        <v>3636</v>
      </c>
      <c r="G9" s="209">
        <f>ELEC!I10</f>
        <v>4056</v>
      </c>
      <c r="H9" s="209">
        <f>ELEC!E10</f>
        <v>12040</v>
      </c>
      <c r="I9" s="209">
        <f>ELEC!G10</f>
        <v>3540.5999999996275</v>
      </c>
      <c r="J9" s="209">
        <f>WATER!Y13</f>
        <v>97</v>
      </c>
      <c r="K9" s="209">
        <f>WATER!AJ13</f>
        <v>146</v>
      </c>
      <c r="L9" s="10">
        <f>ELEC!B10</f>
        <v>150.995</v>
      </c>
      <c r="M9" s="10"/>
    </row>
    <row r="10" spans="1:13">
      <c r="A10" t="s">
        <v>348</v>
      </c>
      <c r="B10">
        <f t="shared" si="0"/>
        <v>9</v>
      </c>
      <c r="C10">
        <v>10</v>
      </c>
      <c r="D10">
        <v>2019</v>
      </c>
      <c r="E10" s="209">
        <f>ELEC!M11</f>
        <v>7068</v>
      </c>
      <c r="F10" s="209">
        <f>ELEC!K11</f>
        <v>4976</v>
      </c>
      <c r="G10" s="209">
        <f>ELEC!I11</f>
        <v>4182</v>
      </c>
      <c r="H10" s="209">
        <f>ELEC!E11</f>
        <v>10628</v>
      </c>
      <c r="I10" s="209">
        <f>ELEC!G11</f>
        <v>3705.4000000003725</v>
      </c>
      <c r="J10" s="209">
        <f>WATER!Y14</f>
        <v>62</v>
      </c>
      <c r="K10" s="209">
        <f>WATER!AJ14</f>
        <v>119</v>
      </c>
      <c r="L10" s="10">
        <f>ELEC!B11</f>
        <v>165.99100000000001</v>
      </c>
      <c r="M10" s="10"/>
    </row>
    <row r="11" spans="1:13">
      <c r="A11" t="s">
        <v>348</v>
      </c>
      <c r="B11">
        <f t="shared" si="0"/>
        <v>10</v>
      </c>
      <c r="C11">
        <v>10</v>
      </c>
      <c r="D11">
        <v>2019</v>
      </c>
      <c r="E11" s="209">
        <f>ELEC!M12</f>
        <v>11152</v>
      </c>
      <c r="F11" s="209">
        <f>ELEC!K12</f>
        <v>4192</v>
      </c>
      <c r="G11" s="209">
        <f>ELEC!I12</f>
        <v>4536</v>
      </c>
      <c r="H11" s="209">
        <f>ELEC!E12</f>
        <v>10552</v>
      </c>
      <c r="I11" s="209">
        <f>ELEC!G12</f>
        <v>4049.7999999998137</v>
      </c>
      <c r="J11" s="209">
        <f>WATER!Y15</f>
        <v>107</v>
      </c>
      <c r="K11" s="209">
        <f>WATER!AJ15</f>
        <v>134</v>
      </c>
      <c r="L11" s="10">
        <f>ELEC!B12</f>
        <v>198.00700000000001</v>
      </c>
      <c r="M11" s="10"/>
    </row>
    <row r="12" spans="1:13">
      <c r="A12" t="s">
        <v>348</v>
      </c>
      <c r="B12">
        <f t="shared" si="0"/>
        <v>11</v>
      </c>
      <c r="C12">
        <v>10</v>
      </c>
      <c r="D12">
        <v>2019</v>
      </c>
      <c r="E12" s="209">
        <f>ELEC!M13</f>
        <v>6476</v>
      </c>
      <c r="F12" s="209">
        <f>ELEC!K13</f>
        <v>6918</v>
      </c>
      <c r="G12" s="209">
        <f>ELEC!I13</f>
        <v>4046</v>
      </c>
      <c r="H12" s="209">
        <f>ELEC!E13</f>
        <v>9476</v>
      </c>
      <c r="I12" s="209">
        <f>ELEC!G13</f>
        <v>3457.2000000001863</v>
      </c>
      <c r="J12" s="209">
        <f>WATER!Y16</f>
        <v>251</v>
      </c>
      <c r="K12" s="209">
        <f>WATER!AJ16</f>
        <v>103</v>
      </c>
      <c r="L12" s="10">
        <f>ELEC!B13</f>
        <v>194.994</v>
      </c>
      <c r="M12" s="10"/>
    </row>
    <row r="13" spans="1:13">
      <c r="A13" t="s">
        <v>348</v>
      </c>
      <c r="B13">
        <f t="shared" si="0"/>
        <v>12</v>
      </c>
      <c r="C13">
        <v>10</v>
      </c>
      <c r="D13">
        <v>2019</v>
      </c>
      <c r="E13" s="209">
        <f>ELEC!M14</f>
        <v>6960</v>
      </c>
      <c r="F13" s="209">
        <f>ELEC!K14</f>
        <v>8562</v>
      </c>
      <c r="G13" s="209">
        <f>ELEC!I14</f>
        <v>4318</v>
      </c>
      <c r="H13" s="209">
        <f>ELEC!E14</f>
        <v>7284</v>
      </c>
      <c r="I13" s="209">
        <f>ELEC!G14</f>
        <v>3726</v>
      </c>
      <c r="J13" s="209">
        <f>WATER!Y17</f>
        <v>80</v>
      </c>
      <c r="K13" s="209">
        <f>WATER!AJ17</f>
        <v>51</v>
      </c>
      <c r="L13" s="10">
        <f>ELEC!B14</f>
        <v>135.01</v>
      </c>
      <c r="M13" s="10"/>
    </row>
    <row r="14" spans="1:13">
      <c r="A14" t="s">
        <v>348</v>
      </c>
      <c r="B14">
        <f t="shared" si="0"/>
        <v>13</v>
      </c>
      <c r="C14">
        <v>10</v>
      </c>
      <c r="D14">
        <v>2019</v>
      </c>
      <c r="E14" s="209">
        <f>ELEC!M15</f>
        <v>11470</v>
      </c>
      <c r="F14" s="209">
        <f>ELEC!K15</f>
        <v>4040</v>
      </c>
      <c r="G14" s="209">
        <f>ELEC!I15</f>
        <v>4352</v>
      </c>
      <c r="H14" s="209">
        <f>ELEC!E15</f>
        <v>6856</v>
      </c>
      <c r="I14" s="209">
        <f>ELEC!G15</f>
        <v>3652.3999999999069</v>
      </c>
      <c r="J14" s="209">
        <f>WATER!Y18</f>
        <v>19</v>
      </c>
      <c r="K14" s="209">
        <f>WATER!AJ18</f>
        <v>76</v>
      </c>
      <c r="L14" s="10">
        <f>ELEC!B15</f>
        <v>121.003</v>
      </c>
      <c r="M14" s="10"/>
    </row>
    <row r="15" spans="1:13">
      <c r="A15" t="s">
        <v>348</v>
      </c>
      <c r="B15">
        <f t="shared" si="0"/>
        <v>14</v>
      </c>
      <c r="C15">
        <v>10</v>
      </c>
      <c r="D15">
        <v>2019</v>
      </c>
      <c r="E15" s="209">
        <f>ELEC!M16</f>
        <v>7576</v>
      </c>
      <c r="F15" s="209">
        <f>ELEC!K16</f>
        <v>6876</v>
      </c>
      <c r="G15" s="209">
        <f>ELEC!I16</f>
        <v>4012</v>
      </c>
      <c r="H15" s="209">
        <f>ELEC!E16</f>
        <v>7444</v>
      </c>
      <c r="I15" s="209">
        <f>ELEC!G16</f>
        <v>3407.3999999999069</v>
      </c>
      <c r="J15" s="209">
        <f>WATER!Y19</f>
        <v>97</v>
      </c>
      <c r="K15" s="209">
        <f>WATER!AJ19</f>
        <v>86</v>
      </c>
      <c r="L15" s="10">
        <f>ELEC!B16</f>
        <v>133.99799999999999</v>
      </c>
      <c r="M15" s="10"/>
    </row>
    <row r="16" spans="1:13">
      <c r="A16" t="s">
        <v>348</v>
      </c>
      <c r="B16">
        <f t="shared" si="0"/>
        <v>15</v>
      </c>
      <c r="C16">
        <v>10</v>
      </c>
      <c r="D16">
        <v>2019</v>
      </c>
      <c r="E16" s="209">
        <f>ELEC!M17</f>
        <v>0</v>
      </c>
      <c r="F16" s="209">
        <f>ELEC!K17</f>
        <v>0</v>
      </c>
      <c r="G16" s="209">
        <f>ELEC!I17</f>
        <v>0</v>
      </c>
      <c r="H16" s="209">
        <f>ELEC!E17</f>
        <v>0</v>
      </c>
      <c r="I16" s="209">
        <f>ELEC!G17</f>
        <v>0</v>
      </c>
      <c r="J16" s="209">
        <f>WATER!Y20</f>
        <v>0</v>
      </c>
      <c r="K16" s="209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10</v>
      </c>
      <c r="D17">
        <v>2019</v>
      </c>
      <c r="E17" s="209">
        <f>ELEC!M18</f>
        <v>0</v>
      </c>
      <c r="F17" s="209">
        <f>ELEC!K18</f>
        <v>0</v>
      </c>
      <c r="G17" s="209">
        <f>ELEC!I18</f>
        <v>0</v>
      </c>
      <c r="H17" s="209">
        <f>ELEC!E18</f>
        <v>0</v>
      </c>
      <c r="I17" s="209">
        <f>ELEC!G18</f>
        <v>0</v>
      </c>
      <c r="J17" s="209">
        <f>WATER!Y21</f>
        <v>0</v>
      </c>
      <c r="K17" s="209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10</v>
      </c>
      <c r="D18">
        <v>2019</v>
      </c>
      <c r="E18" s="209">
        <f>ELEC!M19</f>
        <v>0</v>
      </c>
      <c r="F18" s="209">
        <f>ELEC!K19</f>
        <v>0</v>
      </c>
      <c r="G18" s="209">
        <f>ELEC!I19</f>
        <v>0</v>
      </c>
      <c r="H18" s="209">
        <f>ELEC!E19</f>
        <v>0</v>
      </c>
      <c r="I18" s="209">
        <f>ELEC!G19</f>
        <v>0</v>
      </c>
      <c r="J18" s="209">
        <f>WATER!Y22</f>
        <v>0</v>
      </c>
      <c r="K18" s="209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10</v>
      </c>
      <c r="D19">
        <v>2019</v>
      </c>
      <c r="E19" s="209">
        <f>ELEC!M20</f>
        <v>0</v>
      </c>
      <c r="F19" s="209">
        <f>ELEC!K20</f>
        <v>0</v>
      </c>
      <c r="G19" s="209">
        <f>ELEC!I20</f>
        <v>0</v>
      </c>
      <c r="H19" s="209">
        <f>ELEC!E20</f>
        <v>0</v>
      </c>
      <c r="I19" s="209">
        <f>ELEC!G20</f>
        <v>0</v>
      </c>
      <c r="J19" s="209">
        <f>WATER!Y23</f>
        <v>0</v>
      </c>
      <c r="K19" s="209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10</v>
      </c>
      <c r="D20">
        <v>2019</v>
      </c>
      <c r="E20" s="209">
        <f>ELEC!M21</f>
        <v>0</v>
      </c>
      <c r="F20" s="209">
        <f>ELEC!K21</f>
        <v>0</v>
      </c>
      <c r="G20" s="209">
        <f>ELEC!I21</f>
        <v>0</v>
      </c>
      <c r="H20" s="209">
        <f>ELEC!E21</f>
        <v>0</v>
      </c>
      <c r="I20" s="209">
        <f>ELEC!G21</f>
        <v>0</v>
      </c>
      <c r="J20" s="209">
        <f>WATER!Y24</f>
        <v>0</v>
      </c>
      <c r="K20" s="209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10</v>
      </c>
      <c r="D21">
        <v>2019</v>
      </c>
      <c r="E21" s="209">
        <f>ELEC!M22</f>
        <v>0</v>
      </c>
      <c r="F21" s="209">
        <f>ELEC!K22</f>
        <v>0</v>
      </c>
      <c r="G21" s="209">
        <f>ELEC!I22</f>
        <v>0</v>
      </c>
      <c r="H21" s="209">
        <f>ELEC!E22</f>
        <v>0</v>
      </c>
      <c r="I21" s="209">
        <f>ELEC!G22</f>
        <v>0</v>
      </c>
      <c r="J21" s="209">
        <f>WATER!Y25</f>
        <v>0</v>
      </c>
      <c r="K21" s="209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10</v>
      </c>
      <c r="D22">
        <v>2019</v>
      </c>
      <c r="E22" s="209">
        <f>ELEC!M23</f>
        <v>0</v>
      </c>
      <c r="F22" s="209">
        <f>ELEC!K23</f>
        <v>0</v>
      </c>
      <c r="G22" s="209">
        <f>ELEC!I23</f>
        <v>0</v>
      </c>
      <c r="H22" s="209">
        <f>ELEC!E23</f>
        <v>0</v>
      </c>
      <c r="I22" s="209">
        <f>ELEC!G23</f>
        <v>0</v>
      </c>
      <c r="J22" s="209">
        <f>WATER!Y26</f>
        <v>0</v>
      </c>
      <c r="K22" s="209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10</v>
      </c>
      <c r="D23">
        <v>2019</v>
      </c>
      <c r="E23" s="209">
        <f>ELEC!M24</f>
        <v>0</v>
      </c>
      <c r="F23" s="209">
        <f>ELEC!K24</f>
        <v>0</v>
      </c>
      <c r="G23" s="209">
        <f>ELEC!I24</f>
        <v>0</v>
      </c>
      <c r="H23" s="209">
        <f>ELEC!E24</f>
        <v>0</v>
      </c>
      <c r="I23" s="209">
        <f>ELEC!G24</f>
        <v>0</v>
      </c>
      <c r="J23" s="209">
        <f>WATER!Y27</f>
        <v>0</v>
      </c>
      <c r="K23" s="209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10</v>
      </c>
      <c r="D24">
        <v>2019</v>
      </c>
      <c r="E24" s="209">
        <f>ELEC!M25</f>
        <v>0</v>
      </c>
      <c r="F24" s="209">
        <f>ELEC!K25</f>
        <v>0</v>
      </c>
      <c r="G24" s="209">
        <f>ELEC!I25</f>
        <v>0</v>
      </c>
      <c r="H24" s="209">
        <f>ELEC!E25</f>
        <v>0</v>
      </c>
      <c r="I24" s="209">
        <f>ELEC!G25</f>
        <v>0</v>
      </c>
      <c r="J24" s="209">
        <f>WATER!Y28</f>
        <v>0</v>
      </c>
      <c r="K24" s="209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10</v>
      </c>
      <c r="D25">
        <v>2019</v>
      </c>
      <c r="E25" s="209">
        <f>ELEC!M26</f>
        <v>0</v>
      </c>
      <c r="F25" s="209">
        <f>ELEC!K26</f>
        <v>0</v>
      </c>
      <c r="G25" s="209">
        <f>ELEC!I26</f>
        <v>0</v>
      </c>
      <c r="H25" s="209">
        <f>ELEC!E26</f>
        <v>0</v>
      </c>
      <c r="I25" s="209">
        <f>ELEC!G26</f>
        <v>0</v>
      </c>
      <c r="J25" s="209">
        <f>WATER!Y29</f>
        <v>0</v>
      </c>
      <c r="K25" s="209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10</v>
      </c>
      <c r="D26">
        <v>2019</v>
      </c>
      <c r="E26" s="209">
        <f>ELEC!M27</f>
        <v>0</v>
      </c>
      <c r="F26" s="209">
        <f>ELEC!K27</f>
        <v>0</v>
      </c>
      <c r="G26" s="209">
        <f>ELEC!I27</f>
        <v>0</v>
      </c>
      <c r="H26" s="209">
        <f>ELEC!E27</f>
        <v>0</v>
      </c>
      <c r="I26" s="209">
        <f>ELEC!G27</f>
        <v>0</v>
      </c>
      <c r="J26" s="209">
        <f>WATER!Y30</f>
        <v>0</v>
      </c>
      <c r="K26" s="209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10</v>
      </c>
      <c r="D27">
        <v>2019</v>
      </c>
      <c r="E27" s="209">
        <f>ELEC!M28</f>
        <v>0</v>
      </c>
      <c r="F27" s="209">
        <f>ELEC!K28</f>
        <v>0</v>
      </c>
      <c r="G27" s="209">
        <f>ELEC!I28</f>
        <v>0</v>
      </c>
      <c r="H27" s="209">
        <f>ELEC!E28</f>
        <v>0</v>
      </c>
      <c r="I27" s="209">
        <f>ELEC!G28</f>
        <v>0</v>
      </c>
      <c r="J27" s="209">
        <f>WATER!Y31</f>
        <v>0</v>
      </c>
      <c r="K27" s="209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10</v>
      </c>
      <c r="D28">
        <v>2019</v>
      </c>
      <c r="E28" s="209">
        <f>ELEC!M29</f>
        <v>0</v>
      </c>
      <c r="F28" s="209">
        <f>ELEC!K29</f>
        <v>0</v>
      </c>
      <c r="G28" s="209">
        <f>ELEC!I29</f>
        <v>0</v>
      </c>
      <c r="H28" s="209">
        <f>ELEC!E29</f>
        <v>0</v>
      </c>
      <c r="I28" s="209">
        <f>ELEC!G29</f>
        <v>0</v>
      </c>
      <c r="J28" s="209">
        <f>WATER!Y32</f>
        <v>0</v>
      </c>
      <c r="K28" s="209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10</v>
      </c>
      <c r="D29">
        <v>2019</v>
      </c>
      <c r="E29" s="209">
        <f>ELEC!M30</f>
        <v>0</v>
      </c>
      <c r="F29" s="209">
        <f>ELEC!K30</f>
        <v>0</v>
      </c>
      <c r="G29" s="209">
        <f>ELEC!I30</f>
        <v>0</v>
      </c>
      <c r="H29" s="209">
        <f>ELEC!E30</f>
        <v>0</v>
      </c>
      <c r="I29" s="209">
        <f>ELEC!G30</f>
        <v>0</v>
      </c>
      <c r="J29" s="209">
        <f>WATER!Y33</f>
        <v>0</v>
      </c>
      <c r="K29" s="209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10</v>
      </c>
      <c r="D30">
        <v>2019</v>
      </c>
      <c r="E30" s="209">
        <f>ELEC!M31</f>
        <v>0</v>
      </c>
      <c r="F30" s="209">
        <f>ELEC!K31</f>
        <v>0</v>
      </c>
      <c r="G30" s="209">
        <f>ELEC!I31</f>
        <v>0</v>
      </c>
      <c r="H30" s="209">
        <f>ELEC!E31</f>
        <v>0</v>
      </c>
      <c r="I30" s="209">
        <f>ELEC!G31</f>
        <v>0</v>
      </c>
      <c r="J30" s="209">
        <f>WATER!Y34</f>
        <v>0</v>
      </c>
      <c r="K30" s="209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10</v>
      </c>
      <c r="D31">
        <v>2019</v>
      </c>
      <c r="E31" s="209">
        <f>ELEC!M32</f>
        <v>0</v>
      </c>
      <c r="F31" s="209">
        <f>ELEC!K32</f>
        <v>0</v>
      </c>
      <c r="G31" s="209">
        <f>ELEC!I32</f>
        <v>0</v>
      </c>
      <c r="H31" s="209">
        <f>ELEC!E32</f>
        <v>0</v>
      </c>
      <c r="I31" s="209">
        <f>ELEC!G32</f>
        <v>0</v>
      </c>
      <c r="J31" s="209">
        <f>WATER!Y35</f>
        <v>0</v>
      </c>
      <c r="K31" s="209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10</v>
      </c>
      <c r="D32">
        <v>2019</v>
      </c>
      <c r="E32" s="209">
        <f>ELEC!M33</f>
        <v>0</v>
      </c>
      <c r="F32" s="209">
        <f>ELEC!K33</f>
        <v>0</v>
      </c>
      <c r="G32" s="209">
        <f>ELEC!I33</f>
        <v>0</v>
      </c>
      <c r="H32" s="209">
        <f>ELEC!E33</f>
        <v>0</v>
      </c>
      <c r="I32" s="209">
        <f>ELEC!G33</f>
        <v>0</v>
      </c>
      <c r="J32" s="209">
        <f>WATER!Y36</f>
        <v>0</v>
      </c>
      <c r="K32" s="209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K34"/>
  <sheetViews>
    <sheetView zoomScaleNormal="100" zoomScaleSheetLayoutView="100" workbookViewId="0">
      <pane ySplit="1" topLeftCell="A2" activePane="bottomLeft" state="frozen"/>
      <selection activeCell="C1" sqref="C1"/>
      <selection pane="bottomLeft" activeCell="G8" sqref="G8"/>
    </sheetView>
  </sheetViews>
  <sheetFormatPr defaultColWidth="9.1796875" defaultRowHeight="14.5"/>
  <cols>
    <col min="1" max="1" width="7.7265625" style="518" bestFit="1" customWidth="1"/>
    <col min="2" max="2" width="10.26953125" style="527" bestFit="1" customWidth="1"/>
    <col min="3" max="3" width="11.54296875" style="518" customWidth="1"/>
    <col min="4" max="4" width="18" style="528" bestFit="1" customWidth="1"/>
    <col min="5" max="5" width="14.453125" style="528" bestFit="1" customWidth="1"/>
    <col min="6" max="6" width="15.26953125" style="528" bestFit="1" customWidth="1"/>
    <col min="7" max="7" width="12" style="528" bestFit="1" customWidth="1"/>
    <col min="8" max="8" width="18" style="528" bestFit="1" customWidth="1"/>
    <col min="9" max="9" width="13" style="528" bestFit="1" customWidth="1"/>
    <col min="10" max="10" width="18" style="528" bestFit="1" customWidth="1"/>
    <col min="11" max="11" width="11.7265625" style="528" bestFit="1" customWidth="1"/>
    <col min="12" max="12" width="18" style="528" bestFit="1" customWidth="1"/>
    <col min="13" max="13" width="12" style="528" bestFit="1" customWidth="1"/>
    <col min="14" max="14" width="15.453125" style="518" bestFit="1" customWidth="1"/>
    <col min="15" max="15" width="13.1796875" style="529" bestFit="1" customWidth="1"/>
    <col min="16" max="16" width="14.26953125" style="518" bestFit="1" customWidth="1"/>
    <col min="17" max="17" width="13.7265625" style="518" bestFit="1" customWidth="1"/>
    <col min="18" max="18" width="12.453125" style="518" bestFit="1" customWidth="1"/>
    <col min="19" max="21" width="11.54296875" style="518" bestFit="1" customWidth="1"/>
    <col min="22" max="22" width="13.1796875" style="518" bestFit="1" customWidth="1"/>
    <col min="23" max="25" width="11.54296875" style="518" bestFit="1" customWidth="1"/>
    <col min="26" max="26" width="13.1796875" style="518" bestFit="1" customWidth="1"/>
    <col min="27" max="29" width="11.54296875" style="518" bestFit="1" customWidth="1"/>
    <col min="30" max="30" width="13.1796875" style="518" bestFit="1" customWidth="1"/>
    <col min="31" max="32" width="11.54296875" style="518" bestFit="1" customWidth="1"/>
    <col min="33" max="33" width="14.453125" style="518" bestFit="1" customWidth="1"/>
    <col min="34" max="34" width="9.1796875" style="518"/>
    <col min="35" max="35" width="9.7265625" style="518" bestFit="1" customWidth="1"/>
    <col min="36" max="16384" width="9.1796875" style="518"/>
  </cols>
  <sheetData>
    <row r="1" spans="1:115" s="502" customFormat="1" ht="18.75" customHeight="1">
      <c r="A1" s="502" t="s">
        <v>19</v>
      </c>
      <c r="B1" s="503" t="s">
        <v>155</v>
      </c>
      <c r="C1" s="504"/>
      <c r="D1" s="505" t="s">
        <v>20</v>
      </c>
      <c r="E1" s="505" t="s">
        <v>21</v>
      </c>
      <c r="F1" s="505" t="s">
        <v>22</v>
      </c>
      <c r="G1" s="505" t="s">
        <v>23</v>
      </c>
      <c r="H1" s="505" t="s">
        <v>24</v>
      </c>
      <c r="I1" s="505" t="s">
        <v>25</v>
      </c>
      <c r="J1" s="505" t="s">
        <v>26</v>
      </c>
      <c r="K1" s="505" t="s">
        <v>27</v>
      </c>
      <c r="L1" s="505" t="s">
        <v>28</v>
      </c>
      <c r="M1" s="505" t="s">
        <v>29</v>
      </c>
      <c r="N1" s="506" t="s">
        <v>30</v>
      </c>
      <c r="O1" s="507" t="s">
        <v>156</v>
      </c>
      <c r="P1" s="508" t="s">
        <v>329</v>
      </c>
      <c r="Q1" s="506" t="s">
        <v>31</v>
      </c>
      <c r="R1" s="506" t="s">
        <v>32</v>
      </c>
      <c r="S1" s="506" t="s">
        <v>364</v>
      </c>
      <c r="T1" s="506" t="s">
        <v>33</v>
      </c>
      <c r="U1" s="506" t="s">
        <v>34</v>
      </c>
      <c r="V1" s="506" t="s">
        <v>35</v>
      </c>
      <c r="W1" s="506" t="s">
        <v>36</v>
      </c>
      <c r="X1" s="506" t="s">
        <v>33</v>
      </c>
      <c r="Y1" s="506" t="s">
        <v>37</v>
      </c>
      <c r="Z1" s="506" t="s">
        <v>38</v>
      </c>
      <c r="AA1" s="506" t="s">
        <v>39</v>
      </c>
      <c r="AB1" s="506" t="s">
        <v>33</v>
      </c>
      <c r="AC1" s="506" t="s">
        <v>77</v>
      </c>
      <c r="AD1" s="506" t="s">
        <v>40</v>
      </c>
      <c r="AE1" s="506" t="s">
        <v>41</v>
      </c>
      <c r="AF1" s="506" t="s">
        <v>42</v>
      </c>
      <c r="AG1" s="502" t="s">
        <v>132</v>
      </c>
    </row>
    <row r="2" spans="1:115" s="501" customFormat="1">
      <c r="A2" s="568">
        <v>0.76519999999999999</v>
      </c>
      <c r="B2" s="569">
        <v>175.99600000000001</v>
      </c>
      <c r="C2" s="510">
        <v>43738</v>
      </c>
      <c r="D2" s="534">
        <v>30782304</v>
      </c>
      <c r="E2" s="534">
        <v>13854</v>
      </c>
      <c r="F2" s="534">
        <v>3199141</v>
      </c>
      <c r="G2" s="534">
        <v>3784.7999999998137</v>
      </c>
      <c r="H2" s="534">
        <v>16972776</v>
      </c>
      <c r="I2" s="534">
        <v>4402</v>
      </c>
      <c r="J2" s="534">
        <v>27970652</v>
      </c>
      <c r="K2" s="534">
        <v>5446</v>
      </c>
      <c r="L2" s="534">
        <v>22059422</v>
      </c>
      <c r="M2" s="534">
        <v>6092</v>
      </c>
      <c r="N2" s="534">
        <v>33578.799999999814</v>
      </c>
      <c r="O2" s="534">
        <v>226.87611905003084</v>
      </c>
      <c r="P2" s="534">
        <v>14905.281999999999</v>
      </c>
      <c r="Q2" s="534">
        <v>10577.99999999952</v>
      </c>
      <c r="R2" s="534">
        <v>23000.800000000294</v>
      </c>
      <c r="S2" s="534">
        <v>7954</v>
      </c>
      <c r="T2" s="534">
        <v>0</v>
      </c>
      <c r="U2" s="534">
        <v>931661</v>
      </c>
      <c r="V2" s="534">
        <v>0</v>
      </c>
      <c r="W2" s="534">
        <v>31411</v>
      </c>
      <c r="X2" s="534">
        <v>10</v>
      </c>
      <c r="Y2" s="534">
        <v>534793</v>
      </c>
      <c r="Z2" s="534">
        <v>2196</v>
      </c>
      <c r="AA2" s="534">
        <v>34291</v>
      </c>
      <c r="AB2" s="534">
        <v>24</v>
      </c>
      <c r="AC2" s="534">
        <v>613447</v>
      </c>
      <c r="AD2" s="534">
        <v>5698</v>
      </c>
      <c r="AE2" s="534">
        <v>34</v>
      </c>
      <c r="AF2" s="534">
        <v>7894</v>
      </c>
      <c r="AG2" s="534">
        <v>232.1764705882353</v>
      </c>
      <c r="AH2" s="534">
        <v>0</v>
      </c>
      <c r="AI2" s="534">
        <v>-47568596</v>
      </c>
      <c r="AJ2" s="534"/>
      <c r="AK2" s="534"/>
      <c r="AL2" s="534"/>
      <c r="AM2" s="534"/>
      <c r="AN2" s="534"/>
      <c r="AO2" s="534"/>
      <c r="AP2" s="534"/>
      <c r="AQ2" s="534"/>
      <c r="AR2" s="534"/>
      <c r="AS2" s="534"/>
      <c r="AT2" s="534"/>
      <c r="AU2" s="534"/>
      <c r="AV2" s="534"/>
      <c r="AW2" s="534"/>
      <c r="AX2" s="534"/>
      <c r="AY2" s="534"/>
      <c r="AZ2" s="534"/>
      <c r="BA2" s="534"/>
      <c r="BB2" s="534"/>
      <c r="BC2" s="534"/>
      <c r="BD2" s="534"/>
      <c r="BE2" s="534"/>
      <c r="BF2" s="534"/>
      <c r="BG2" s="534"/>
      <c r="BH2" s="534"/>
      <c r="BI2" s="534"/>
      <c r="BJ2" s="534"/>
      <c r="BK2" s="534"/>
      <c r="BL2" s="534"/>
      <c r="BM2" s="534"/>
      <c r="BN2" s="534"/>
      <c r="BO2" s="534"/>
      <c r="BP2" s="534"/>
      <c r="BQ2" s="534"/>
      <c r="BR2" s="534"/>
      <c r="BS2" s="534"/>
      <c r="BT2" s="534"/>
      <c r="BU2" s="534"/>
      <c r="BV2" s="534"/>
      <c r="BW2" s="534"/>
      <c r="BX2" s="534"/>
      <c r="BY2" s="534"/>
      <c r="BZ2" s="534"/>
      <c r="CA2" s="534"/>
      <c r="CB2" s="534"/>
      <c r="CC2" s="534"/>
      <c r="CD2" s="534"/>
      <c r="CE2" s="534"/>
      <c r="CF2" s="534"/>
      <c r="CG2" s="534"/>
      <c r="CH2" s="534"/>
      <c r="CI2" s="534"/>
      <c r="CJ2" s="534"/>
      <c r="CK2" s="534"/>
      <c r="CL2" s="534"/>
      <c r="CM2" s="534"/>
      <c r="CN2" s="534"/>
      <c r="CO2" s="534"/>
      <c r="CP2" s="534"/>
      <c r="CQ2" s="534"/>
      <c r="CR2" s="534"/>
      <c r="CS2" s="534"/>
      <c r="CT2" s="534"/>
      <c r="CU2" s="534"/>
      <c r="CV2" s="534"/>
      <c r="CW2" s="534"/>
      <c r="CX2" s="534"/>
      <c r="CY2" s="534"/>
      <c r="CZ2" s="534"/>
      <c r="DA2" s="534"/>
      <c r="DB2" s="534"/>
      <c r="DC2" s="534"/>
      <c r="DD2" s="534"/>
      <c r="DE2" s="534"/>
      <c r="DF2" s="534"/>
      <c r="DG2" s="534"/>
      <c r="DH2" s="534"/>
      <c r="DI2" s="534"/>
      <c r="DJ2" s="534"/>
      <c r="DK2" s="534"/>
    </row>
    <row r="3" spans="1:115">
      <c r="A3" s="509">
        <f>'General information '!F6</f>
        <v>0.69130000000000003</v>
      </c>
      <c r="B3" s="503">
        <f>SUM(230*A3)</f>
        <v>158.999</v>
      </c>
      <c r="C3" s="510">
        <v>43739</v>
      </c>
      <c r="D3" s="497">
        <v>30794084</v>
      </c>
      <c r="E3" s="498">
        <f>D3-D2</f>
        <v>11780</v>
      </c>
      <c r="F3" s="497">
        <v>3202575</v>
      </c>
      <c r="G3" s="499">
        <f t="shared" ref="G3:G31" si="0">F3-F2</f>
        <v>3434</v>
      </c>
      <c r="H3" s="497">
        <v>16976786</v>
      </c>
      <c r="I3" s="499">
        <f>H3-H2</f>
        <v>4010</v>
      </c>
      <c r="J3" s="497">
        <v>27976066</v>
      </c>
      <c r="K3" s="499">
        <f>J3-J2</f>
        <v>5414</v>
      </c>
      <c r="L3" s="497">
        <v>22064998</v>
      </c>
      <c r="M3" s="499">
        <f>L3-L2</f>
        <v>5576</v>
      </c>
      <c r="N3" s="500">
        <f>M3+K3+I3+G3+E3</f>
        <v>30214</v>
      </c>
      <c r="O3" s="511">
        <f t="shared" ref="O3:O9" si="1">IF(B3&gt;0,N3/B3,0)</f>
        <v>190.02635236699604</v>
      </c>
      <c r="P3" s="497">
        <v>14915.716</v>
      </c>
      <c r="Q3" s="512">
        <f>(P3-P2)*1000</f>
        <v>10434.000000001106</v>
      </c>
      <c r="R3" s="513">
        <f>+N3-Q3</f>
        <v>19779.999999998894</v>
      </c>
      <c r="S3" s="497">
        <v>7954</v>
      </c>
      <c r="T3" s="514">
        <f t="shared" ref="T3:T32" si="2">S3-S2</f>
        <v>0</v>
      </c>
      <c r="U3" s="497">
        <v>931661</v>
      </c>
      <c r="V3" s="512">
        <f>U3-U2</f>
        <v>0</v>
      </c>
      <c r="W3" s="497">
        <v>31421</v>
      </c>
      <c r="X3" s="512">
        <f t="shared" ref="X3:X8" si="3">W3-W2</f>
        <v>10</v>
      </c>
      <c r="Y3" s="497">
        <v>537236</v>
      </c>
      <c r="Z3" s="512">
        <f>Y3-Y2</f>
        <v>2443</v>
      </c>
      <c r="AA3" s="497">
        <v>34310</v>
      </c>
      <c r="AB3" s="512">
        <f>AA3-AA2</f>
        <v>19</v>
      </c>
      <c r="AC3" s="497">
        <v>618417</v>
      </c>
      <c r="AD3" s="515">
        <f>AC3-AC2</f>
        <v>4970</v>
      </c>
      <c r="AE3" s="516">
        <f>AB3+X3+T3</f>
        <v>29</v>
      </c>
      <c r="AF3" s="497">
        <f>V3+Z3+AD3</f>
        <v>7413</v>
      </c>
      <c r="AG3" s="517">
        <f t="shared" ref="AG3:AG9" si="4">IF(AE3&gt;0,AF3/AE3,0)</f>
        <v>255.62068965517241</v>
      </c>
    </row>
    <row r="4" spans="1:115">
      <c r="A4" s="509">
        <f>'General information '!F7</f>
        <v>0.70430000000000004</v>
      </c>
      <c r="B4" s="503">
        <f t="shared" ref="B4:B31" si="5">SUM(230*A4)</f>
        <v>161.989</v>
      </c>
      <c r="C4" s="510">
        <v>43740</v>
      </c>
      <c r="D4" s="497">
        <v>30806496</v>
      </c>
      <c r="E4" s="335">
        <f>D4-D3</f>
        <v>12412</v>
      </c>
      <c r="F4" s="497">
        <v>3206359</v>
      </c>
      <c r="G4" s="336">
        <f t="shared" si="0"/>
        <v>3784</v>
      </c>
      <c r="H4" s="497">
        <v>16981148</v>
      </c>
      <c r="I4" s="336">
        <f>H4-H3</f>
        <v>4362</v>
      </c>
      <c r="J4" s="497">
        <v>27982182</v>
      </c>
      <c r="K4" s="336">
        <f>J4-J3</f>
        <v>6116</v>
      </c>
      <c r="L4" s="497">
        <v>22070828</v>
      </c>
      <c r="M4" s="336">
        <f>L4-L3</f>
        <v>5830</v>
      </c>
      <c r="N4" s="334">
        <f>M4+K4+I4+G4+E4</f>
        <v>32504</v>
      </c>
      <c r="O4" s="519">
        <f t="shared" si="1"/>
        <v>200.6556000716098</v>
      </c>
      <c r="P4" s="497">
        <v>14926</v>
      </c>
      <c r="Q4" s="520">
        <f t="shared" ref="Q4:Q12" si="6">(P4-P3)*1000</f>
        <v>10283.999999999651</v>
      </c>
      <c r="R4" s="501">
        <f>N4-Q4</f>
        <v>22220.000000000349</v>
      </c>
      <c r="S4" s="497">
        <f t="shared" ref="S4:S33" si="7">S3</f>
        <v>7954</v>
      </c>
      <c r="T4" s="521">
        <f t="shared" si="2"/>
        <v>0</v>
      </c>
      <c r="U4" s="497">
        <f>U3</f>
        <v>931661</v>
      </c>
      <c r="V4" s="501">
        <f>U4-U3</f>
        <v>0</v>
      </c>
      <c r="W4" s="497">
        <v>31432</v>
      </c>
      <c r="X4" s="501">
        <f t="shared" si="3"/>
        <v>11</v>
      </c>
      <c r="Y4" s="497">
        <v>539496</v>
      </c>
      <c r="Z4" s="501">
        <f>Y4-Y3</f>
        <v>2260</v>
      </c>
      <c r="AA4" s="497">
        <v>34332</v>
      </c>
      <c r="AB4" s="522">
        <f>AA4-AA3</f>
        <v>22</v>
      </c>
      <c r="AC4" s="497">
        <v>623604</v>
      </c>
      <c r="AD4" s="523">
        <f>AC4-AC3</f>
        <v>5187</v>
      </c>
      <c r="AE4" s="524">
        <f t="shared" ref="AE4:AE32" si="8">AB4+X4+T4</f>
        <v>33</v>
      </c>
      <c r="AF4" s="525">
        <f t="shared" ref="AF4:AF31" si="9">V4+Z4+AD4</f>
        <v>7447</v>
      </c>
      <c r="AG4" s="517">
        <f t="shared" si="4"/>
        <v>225.66666666666666</v>
      </c>
    </row>
    <row r="5" spans="1:115">
      <c r="A5" s="509">
        <f>'General information '!F8</f>
        <v>0.82169999999999999</v>
      </c>
      <c r="B5" s="503">
        <f>SUM(230*A5)</f>
        <v>188.99099999999999</v>
      </c>
      <c r="C5" s="510">
        <v>43741</v>
      </c>
      <c r="D5" s="497">
        <v>30815396</v>
      </c>
      <c r="E5" s="335">
        <f t="shared" ref="E5:E32" si="10">D5-D4</f>
        <v>8900</v>
      </c>
      <c r="F5" s="497">
        <v>3209879</v>
      </c>
      <c r="G5" s="336">
        <f t="shared" si="0"/>
        <v>3520</v>
      </c>
      <c r="H5" s="497">
        <v>16985164</v>
      </c>
      <c r="I5" s="336">
        <f t="shared" ref="I5:I31" si="11">H5-H4</f>
        <v>4016</v>
      </c>
      <c r="J5" s="497">
        <v>27989398</v>
      </c>
      <c r="K5" s="336">
        <f t="shared" ref="K5:K31" si="12">J5-J4</f>
        <v>7216</v>
      </c>
      <c r="L5" s="497">
        <v>22076578</v>
      </c>
      <c r="M5" s="336">
        <f t="shared" ref="M5:M31" si="13">L5-L4</f>
        <v>5750</v>
      </c>
      <c r="N5" s="334">
        <f t="shared" ref="N5:N31" si="14">M5+K5+I5+G5+E5</f>
        <v>29402</v>
      </c>
      <c r="O5" s="519">
        <f t="shared" si="1"/>
        <v>155.57354583022473</v>
      </c>
      <c r="P5" s="497">
        <v>14937.112999999999</v>
      </c>
      <c r="Q5" s="520">
        <f>(P5-P4)*1000</f>
        <v>11112.999999999374</v>
      </c>
      <c r="R5" s="501">
        <f>N5-Q5</f>
        <v>18289.000000000626</v>
      </c>
      <c r="S5" s="497">
        <f t="shared" si="7"/>
        <v>7954</v>
      </c>
      <c r="T5" s="521">
        <f t="shared" si="2"/>
        <v>0</v>
      </c>
      <c r="U5" s="497">
        <f>U4</f>
        <v>931661</v>
      </c>
      <c r="V5" s="501">
        <f t="shared" ref="V5:V32" si="15">U5-U4</f>
        <v>0</v>
      </c>
      <c r="W5" s="497">
        <v>31452</v>
      </c>
      <c r="X5" s="501">
        <f t="shared" si="3"/>
        <v>20</v>
      </c>
      <c r="Y5" s="497">
        <v>544350</v>
      </c>
      <c r="Z5" s="501">
        <f>Y5-Y4</f>
        <v>4854</v>
      </c>
      <c r="AA5" s="497">
        <v>34340</v>
      </c>
      <c r="AB5" s="501">
        <f t="shared" ref="AB5:AB32" si="16">AA5-AA4</f>
        <v>8</v>
      </c>
      <c r="AC5" s="497">
        <v>625359</v>
      </c>
      <c r="AD5" s="501">
        <f t="shared" ref="AD5:AD16" si="17">AC5-AC4</f>
        <v>1755</v>
      </c>
      <c r="AE5" s="524">
        <f t="shared" si="8"/>
        <v>28</v>
      </c>
      <c r="AF5" s="525">
        <f t="shared" si="9"/>
        <v>6609</v>
      </c>
      <c r="AG5" s="517">
        <f t="shared" si="4"/>
        <v>236.03571428571428</v>
      </c>
      <c r="AI5" s="518">
        <f>R5-'EDl log'!B3</f>
        <v>-48526813</v>
      </c>
    </row>
    <row r="6" spans="1:115">
      <c r="A6" s="509">
        <f>'General information '!F9</f>
        <v>0.83399999999999996</v>
      </c>
      <c r="B6" s="503">
        <f t="shared" si="5"/>
        <v>191.82</v>
      </c>
      <c r="C6" s="510">
        <v>43742</v>
      </c>
      <c r="D6" s="497">
        <v>30828234</v>
      </c>
      <c r="E6" s="335">
        <f t="shared" si="10"/>
        <v>12838</v>
      </c>
      <c r="F6" s="497">
        <v>3213671</v>
      </c>
      <c r="G6" s="336">
        <f t="shared" si="0"/>
        <v>3792</v>
      </c>
      <c r="H6" s="497">
        <v>16989506</v>
      </c>
      <c r="I6" s="336">
        <f t="shared" si="11"/>
        <v>4342</v>
      </c>
      <c r="J6" s="497">
        <v>27994742</v>
      </c>
      <c r="K6" s="336">
        <f t="shared" si="12"/>
        <v>5344</v>
      </c>
      <c r="L6" s="497">
        <v>22082426</v>
      </c>
      <c r="M6" s="336">
        <f t="shared" si="13"/>
        <v>5848</v>
      </c>
      <c r="N6" s="334">
        <f t="shared" si="14"/>
        <v>32164</v>
      </c>
      <c r="O6" s="519">
        <f t="shared" si="1"/>
        <v>167.67803148785319</v>
      </c>
      <c r="P6" s="497">
        <v>14944.5</v>
      </c>
      <c r="Q6" s="501">
        <f t="shared" si="6"/>
        <v>7387.0000000006257</v>
      </c>
      <c r="R6" s="501">
        <f t="shared" ref="R6:R31" si="18">N6-Q6</f>
        <v>24776.999999999374</v>
      </c>
      <c r="S6" s="497">
        <f t="shared" si="7"/>
        <v>7954</v>
      </c>
      <c r="T6" s="521">
        <f t="shared" si="2"/>
        <v>0</v>
      </c>
      <c r="U6" s="497">
        <v>931661</v>
      </c>
      <c r="V6" s="501">
        <f t="shared" si="15"/>
        <v>0</v>
      </c>
      <c r="W6" s="497">
        <v>31463</v>
      </c>
      <c r="X6" s="501">
        <f t="shared" si="3"/>
        <v>11</v>
      </c>
      <c r="Y6" s="497">
        <v>546324</v>
      </c>
      <c r="Z6" s="501">
        <f t="shared" ref="Z6:Z30" si="19">Y6-Y5</f>
        <v>1974</v>
      </c>
      <c r="AA6" s="497">
        <v>34363</v>
      </c>
      <c r="AB6" s="501">
        <f t="shared" si="16"/>
        <v>23</v>
      </c>
      <c r="AC6" s="497">
        <v>630287</v>
      </c>
      <c r="AD6" s="501">
        <f t="shared" si="17"/>
        <v>4928</v>
      </c>
      <c r="AE6" s="524">
        <f t="shared" si="8"/>
        <v>34</v>
      </c>
      <c r="AF6" s="525">
        <f t="shared" si="9"/>
        <v>6902</v>
      </c>
      <c r="AG6" s="517">
        <f t="shared" si="4"/>
        <v>203</v>
      </c>
      <c r="AI6" s="518">
        <f>R6-'EDl log'!B4</f>
        <v>-48530520</v>
      </c>
    </row>
    <row r="7" spans="1:115">
      <c r="A7" s="509">
        <f>'General information '!F10</f>
        <v>0.76959999999999995</v>
      </c>
      <c r="B7" s="503">
        <f t="shared" si="5"/>
        <v>177.00799999999998</v>
      </c>
      <c r="C7" s="510">
        <v>43743</v>
      </c>
      <c r="D7" s="497">
        <v>30840460</v>
      </c>
      <c r="E7" s="335">
        <f t="shared" si="10"/>
        <v>12226</v>
      </c>
      <c r="F7" s="497">
        <v>3217481</v>
      </c>
      <c r="G7" s="336">
        <f t="shared" si="0"/>
        <v>3810</v>
      </c>
      <c r="H7" s="497">
        <v>16993822</v>
      </c>
      <c r="I7" s="336">
        <f t="shared" si="11"/>
        <v>4316</v>
      </c>
      <c r="J7" s="497">
        <v>27999940</v>
      </c>
      <c r="K7" s="336">
        <f t="shared" si="12"/>
        <v>5198</v>
      </c>
      <c r="L7" s="497">
        <v>22088022</v>
      </c>
      <c r="M7" s="336">
        <f t="shared" si="13"/>
        <v>5596</v>
      </c>
      <c r="N7" s="334">
        <f t="shared" si="14"/>
        <v>31146</v>
      </c>
      <c r="O7" s="519">
        <f t="shared" si="1"/>
        <v>175.95814878423576</v>
      </c>
      <c r="P7" s="497">
        <v>14949.3</v>
      </c>
      <c r="Q7" s="501">
        <f t="shared" si="6"/>
        <v>4799.9999999992724</v>
      </c>
      <c r="R7" s="501">
        <f>N7-Q24</f>
        <v>31146</v>
      </c>
      <c r="S7" s="497">
        <f t="shared" si="7"/>
        <v>7954</v>
      </c>
      <c r="T7" s="521">
        <f t="shared" si="2"/>
        <v>0</v>
      </c>
      <c r="U7" s="497">
        <f t="shared" ref="U7:U33" si="20">U6</f>
        <v>931661</v>
      </c>
      <c r="V7" s="501">
        <f t="shared" si="15"/>
        <v>0</v>
      </c>
      <c r="W7" s="497">
        <v>31472</v>
      </c>
      <c r="X7" s="501">
        <f t="shared" si="3"/>
        <v>9</v>
      </c>
      <c r="Y7" s="497">
        <v>548371</v>
      </c>
      <c r="Z7" s="501">
        <f t="shared" si="19"/>
        <v>2047</v>
      </c>
      <c r="AA7" s="497">
        <v>34384</v>
      </c>
      <c r="AB7" s="501">
        <f t="shared" si="16"/>
        <v>21</v>
      </c>
      <c r="AC7" s="497">
        <v>635089</v>
      </c>
      <c r="AD7" s="501">
        <f t="shared" si="17"/>
        <v>4802</v>
      </c>
      <c r="AE7" s="524">
        <f t="shared" si="8"/>
        <v>30</v>
      </c>
      <c r="AF7" s="525">
        <f t="shared" si="9"/>
        <v>6849</v>
      </c>
      <c r="AG7" s="517">
        <f t="shared" si="4"/>
        <v>228.3</v>
      </c>
      <c r="AI7" s="518">
        <f>R7-'EDl log'!B5</f>
        <v>-48535368</v>
      </c>
    </row>
    <row r="8" spans="1:115">
      <c r="A8" s="509">
        <f>'General information '!F11</f>
        <v>0.57389999999999997</v>
      </c>
      <c r="B8" s="503">
        <f t="shared" si="5"/>
        <v>131.99699999999999</v>
      </c>
      <c r="C8" s="510">
        <v>43744</v>
      </c>
      <c r="D8" s="497">
        <v>30851426</v>
      </c>
      <c r="E8" s="335">
        <f t="shared" si="10"/>
        <v>10966</v>
      </c>
      <c r="F8" s="497">
        <v>3220563.8</v>
      </c>
      <c r="G8" s="336">
        <f t="shared" si="0"/>
        <v>3082.7999999998137</v>
      </c>
      <c r="H8" s="497">
        <v>16997506</v>
      </c>
      <c r="I8" s="336">
        <f t="shared" si="11"/>
        <v>3684</v>
      </c>
      <c r="J8" s="497">
        <v>28003944</v>
      </c>
      <c r="K8" s="336">
        <f t="shared" si="12"/>
        <v>4004</v>
      </c>
      <c r="L8" s="497">
        <v>22092562</v>
      </c>
      <c r="M8" s="336">
        <f t="shared" si="13"/>
        <v>4540</v>
      </c>
      <c r="N8" s="334">
        <f t="shared" si="14"/>
        <v>26276.799999999814</v>
      </c>
      <c r="O8" s="519">
        <f t="shared" si="1"/>
        <v>199.07119101191554</v>
      </c>
      <c r="P8" s="497">
        <v>14953.444</v>
      </c>
      <c r="Q8" s="501">
        <f t="shared" si="6"/>
        <v>4144.0000000002328</v>
      </c>
      <c r="R8" s="501">
        <f t="shared" si="18"/>
        <v>22132.799999999581</v>
      </c>
      <c r="S8" s="497">
        <f t="shared" si="7"/>
        <v>7954</v>
      </c>
      <c r="T8" s="521">
        <f t="shared" si="2"/>
        <v>0</v>
      </c>
      <c r="U8" s="497">
        <f t="shared" si="20"/>
        <v>931661</v>
      </c>
      <c r="V8" s="501">
        <f t="shared" si="15"/>
        <v>0</v>
      </c>
      <c r="W8" s="497">
        <v>31481</v>
      </c>
      <c r="X8" s="501">
        <f t="shared" si="3"/>
        <v>9</v>
      </c>
      <c r="Y8" s="497">
        <v>549937</v>
      </c>
      <c r="Z8" s="501">
        <f t="shared" si="19"/>
        <v>1566</v>
      </c>
      <c r="AA8" s="497">
        <v>34408</v>
      </c>
      <c r="AB8" s="501">
        <f t="shared" si="16"/>
        <v>24</v>
      </c>
      <c r="AC8" s="497">
        <v>640293</v>
      </c>
      <c r="AD8" s="501">
        <f t="shared" si="17"/>
        <v>5204</v>
      </c>
      <c r="AE8" s="524">
        <f t="shared" si="8"/>
        <v>33</v>
      </c>
      <c r="AF8" s="525">
        <f t="shared" si="9"/>
        <v>6770</v>
      </c>
      <c r="AG8" s="517">
        <f t="shared" si="4"/>
        <v>205.15151515151516</v>
      </c>
      <c r="AI8" s="518">
        <f>R8-'EDl log'!B6</f>
        <v>-48554069.200000003</v>
      </c>
    </row>
    <row r="9" spans="1:115">
      <c r="A9" s="509">
        <f>'General information '!F12</f>
        <v>0.54349999999999998</v>
      </c>
      <c r="B9" s="503">
        <f t="shared" si="5"/>
        <v>125.005</v>
      </c>
      <c r="C9" s="510">
        <v>43745</v>
      </c>
      <c r="D9" s="497">
        <v>30862218</v>
      </c>
      <c r="E9" s="335">
        <f t="shared" si="10"/>
        <v>10792</v>
      </c>
      <c r="F9" s="497">
        <v>3224079.2</v>
      </c>
      <c r="G9" s="336">
        <f t="shared" si="0"/>
        <v>3515.4000000003725</v>
      </c>
      <c r="H9" s="497">
        <v>17001550</v>
      </c>
      <c r="I9" s="336">
        <f t="shared" si="11"/>
        <v>4044</v>
      </c>
      <c r="J9" s="497">
        <v>28009470</v>
      </c>
      <c r="K9" s="336">
        <f t="shared" si="12"/>
        <v>5526</v>
      </c>
      <c r="L9" s="497">
        <v>22097782</v>
      </c>
      <c r="M9" s="336">
        <f t="shared" si="13"/>
        <v>5220</v>
      </c>
      <c r="N9" s="334">
        <f t="shared" si="14"/>
        <v>29097.400000000373</v>
      </c>
      <c r="O9" s="519">
        <f t="shared" si="1"/>
        <v>232.7698892044348</v>
      </c>
      <c r="P9" s="497">
        <v>14958.183000000001</v>
      </c>
      <c r="Q9" s="501">
        <f t="shared" si="6"/>
        <v>4739.000000001397</v>
      </c>
      <c r="R9" s="501">
        <f t="shared" si="18"/>
        <v>24358.399999998976</v>
      </c>
      <c r="S9" s="497">
        <f t="shared" si="7"/>
        <v>7954</v>
      </c>
      <c r="T9" s="521">
        <f t="shared" si="2"/>
        <v>0</v>
      </c>
      <c r="U9" s="497">
        <f t="shared" si="20"/>
        <v>931661</v>
      </c>
      <c r="V9" s="501">
        <f t="shared" si="15"/>
        <v>0</v>
      </c>
      <c r="W9" s="497">
        <v>31492</v>
      </c>
      <c r="X9" s="501">
        <f t="shared" ref="X9:X32" si="21">W9-W8</f>
        <v>11</v>
      </c>
      <c r="Y9" s="497">
        <v>552458</v>
      </c>
      <c r="Z9" s="501">
        <f t="shared" si="19"/>
        <v>2521</v>
      </c>
      <c r="AA9" s="497">
        <v>34426</v>
      </c>
      <c r="AB9" s="501">
        <f t="shared" si="16"/>
        <v>18</v>
      </c>
      <c r="AC9" s="497">
        <v>644100</v>
      </c>
      <c r="AD9" s="501">
        <f t="shared" si="17"/>
        <v>3807</v>
      </c>
      <c r="AE9" s="524">
        <f t="shared" si="8"/>
        <v>29</v>
      </c>
      <c r="AF9" s="525">
        <f t="shared" si="9"/>
        <v>6328</v>
      </c>
      <c r="AG9" s="517">
        <f t="shared" si="4"/>
        <v>218.20689655172413</v>
      </c>
      <c r="AI9" s="518">
        <f>R9-'EDl log'!B7</f>
        <v>-48564581.600000001</v>
      </c>
    </row>
    <row r="10" spans="1:115">
      <c r="A10" s="509">
        <f>'General information '!F13</f>
        <v>0.65649999999999997</v>
      </c>
      <c r="B10" s="503">
        <f t="shared" si="5"/>
        <v>150.995</v>
      </c>
      <c r="C10" s="510">
        <v>43746</v>
      </c>
      <c r="D10" s="497">
        <v>30874258</v>
      </c>
      <c r="E10" s="335">
        <f t="shared" si="10"/>
        <v>12040</v>
      </c>
      <c r="F10" s="497">
        <v>3227619.8</v>
      </c>
      <c r="G10" s="336">
        <f t="shared" si="0"/>
        <v>3540.5999999996275</v>
      </c>
      <c r="H10" s="497">
        <v>17005606</v>
      </c>
      <c r="I10" s="336">
        <f t="shared" si="11"/>
        <v>4056</v>
      </c>
      <c r="J10" s="497">
        <v>28013106</v>
      </c>
      <c r="K10" s="336">
        <f t="shared" si="12"/>
        <v>3636</v>
      </c>
      <c r="L10" s="497">
        <v>22102998</v>
      </c>
      <c r="M10" s="336">
        <f t="shared" si="13"/>
        <v>5216</v>
      </c>
      <c r="N10" s="334">
        <f t="shared" si="14"/>
        <v>28488.599999999627</v>
      </c>
      <c r="O10" s="519">
        <f t="shared" ref="O10:O32" si="22">IF(B10&gt;0,N10/B10,0)</f>
        <v>188.67247259842793</v>
      </c>
      <c r="P10" s="497">
        <v>14962.741</v>
      </c>
      <c r="Q10" s="501">
        <f t="shared" si="6"/>
        <v>4557.9999999990832</v>
      </c>
      <c r="R10" s="501">
        <f t="shared" si="18"/>
        <v>23930.600000000544</v>
      </c>
      <c r="S10" s="497">
        <f t="shared" si="7"/>
        <v>7954</v>
      </c>
      <c r="T10" s="521">
        <f t="shared" si="2"/>
        <v>0</v>
      </c>
      <c r="U10" s="497">
        <f t="shared" si="20"/>
        <v>931661</v>
      </c>
      <c r="V10" s="501">
        <f t="shared" si="15"/>
        <v>0</v>
      </c>
      <c r="W10" s="497">
        <v>31496</v>
      </c>
      <c r="X10" s="501">
        <f t="shared" si="21"/>
        <v>4</v>
      </c>
      <c r="Y10" s="497">
        <v>553173</v>
      </c>
      <c r="Z10" s="501">
        <f t="shared" si="19"/>
        <v>715</v>
      </c>
      <c r="AA10" s="497">
        <v>34450</v>
      </c>
      <c r="AB10" s="501">
        <f t="shared" si="16"/>
        <v>24</v>
      </c>
      <c r="AC10" s="497">
        <v>649709</v>
      </c>
      <c r="AD10" s="501">
        <f t="shared" si="17"/>
        <v>5609</v>
      </c>
      <c r="AE10" s="524">
        <f t="shared" si="8"/>
        <v>28</v>
      </c>
      <c r="AF10" s="525">
        <f t="shared" si="9"/>
        <v>6324</v>
      </c>
      <c r="AG10" s="517">
        <f t="shared" ref="AG10:AG33" si="23">IF(AE10&gt;0,AF10/AE10,0)</f>
        <v>225.85714285714286</v>
      </c>
      <c r="AI10" s="518">
        <f>R10-'EDl log'!B8</f>
        <v>-48578669.399999999</v>
      </c>
    </row>
    <row r="11" spans="1:115">
      <c r="A11" s="509">
        <f>'General information '!F14</f>
        <v>0.72170000000000001</v>
      </c>
      <c r="B11" s="503">
        <f>SUM(230*A11)</f>
        <v>165.99100000000001</v>
      </c>
      <c r="C11" s="510">
        <v>43747</v>
      </c>
      <c r="D11" s="497">
        <v>30884886</v>
      </c>
      <c r="E11" s="335">
        <f t="shared" si="10"/>
        <v>10628</v>
      </c>
      <c r="F11" s="497">
        <v>3231325.2</v>
      </c>
      <c r="G11" s="336">
        <f t="shared" si="0"/>
        <v>3705.4000000003725</v>
      </c>
      <c r="H11" s="497">
        <v>17009788</v>
      </c>
      <c r="I11" s="336">
        <f t="shared" si="11"/>
        <v>4182</v>
      </c>
      <c r="J11" s="497">
        <v>28018082</v>
      </c>
      <c r="K11" s="336">
        <f t="shared" si="12"/>
        <v>4976</v>
      </c>
      <c r="L11" s="497">
        <v>22110066</v>
      </c>
      <c r="M11" s="336">
        <f t="shared" si="13"/>
        <v>7068</v>
      </c>
      <c r="N11" s="334">
        <f>M11+K11+I11+G11+E11</f>
        <v>30559.400000000373</v>
      </c>
      <c r="O11" s="519">
        <f t="shared" si="22"/>
        <v>184.10275255887589</v>
      </c>
      <c r="P11" s="497">
        <v>14967.166999999999</v>
      </c>
      <c r="Q11" s="501">
        <f t="shared" si="6"/>
        <v>4425.9999999994761</v>
      </c>
      <c r="R11" s="501">
        <f t="shared" si="18"/>
        <v>26133.400000000896</v>
      </c>
      <c r="S11" s="497">
        <v>7962</v>
      </c>
      <c r="T11" s="521">
        <f t="shared" si="2"/>
        <v>8</v>
      </c>
      <c r="U11" s="497">
        <v>933540</v>
      </c>
      <c r="V11" s="501">
        <f t="shared" si="15"/>
        <v>1879</v>
      </c>
      <c r="W11" s="497">
        <v>31505</v>
      </c>
      <c r="X11" s="501">
        <f t="shared" si="21"/>
        <v>9</v>
      </c>
      <c r="Y11" s="497">
        <v>555087</v>
      </c>
      <c r="Z11" s="501">
        <f t="shared" si="19"/>
        <v>1914</v>
      </c>
      <c r="AA11" s="497">
        <v>34466</v>
      </c>
      <c r="AB11" s="501">
        <f t="shared" si="16"/>
        <v>16</v>
      </c>
      <c r="AC11" s="497">
        <v>653590</v>
      </c>
      <c r="AD11" s="501">
        <f t="shared" si="17"/>
        <v>3881</v>
      </c>
      <c r="AE11" s="524">
        <f t="shared" si="8"/>
        <v>33</v>
      </c>
      <c r="AF11" s="525">
        <f t="shared" si="9"/>
        <v>7674</v>
      </c>
      <c r="AG11" s="517">
        <f t="shared" si="23"/>
        <v>232.54545454545453</v>
      </c>
      <c r="AI11" s="518">
        <f>R11-'EDl log'!B9</f>
        <v>-48587707.600000001</v>
      </c>
    </row>
    <row r="12" spans="1:115">
      <c r="A12" s="509">
        <f>'General information '!F15</f>
        <v>0.8609</v>
      </c>
      <c r="B12" s="503">
        <f t="shared" si="5"/>
        <v>198.00700000000001</v>
      </c>
      <c r="C12" s="510">
        <v>43748</v>
      </c>
      <c r="D12" s="497">
        <v>30895438</v>
      </c>
      <c r="E12" s="335">
        <f t="shared" si="10"/>
        <v>10552</v>
      </c>
      <c r="F12" s="497">
        <v>3235375</v>
      </c>
      <c r="G12" s="336">
        <f t="shared" si="0"/>
        <v>4049.7999999998137</v>
      </c>
      <c r="H12" s="497">
        <v>17014324</v>
      </c>
      <c r="I12" s="336">
        <f t="shared" si="11"/>
        <v>4536</v>
      </c>
      <c r="J12" s="497">
        <v>28022274</v>
      </c>
      <c r="K12" s="336">
        <f t="shared" si="12"/>
        <v>4192</v>
      </c>
      <c r="L12" s="497">
        <v>22121218</v>
      </c>
      <c r="M12" s="336">
        <f t="shared" si="13"/>
        <v>11152</v>
      </c>
      <c r="N12" s="334">
        <f t="shared" si="14"/>
        <v>34481.799999999814</v>
      </c>
      <c r="O12" s="519">
        <f t="shared" si="22"/>
        <v>174.14434843212518</v>
      </c>
      <c r="P12" s="497">
        <v>14976.67</v>
      </c>
      <c r="Q12" s="501">
        <f t="shared" si="6"/>
        <v>9503.0000000006112</v>
      </c>
      <c r="R12" s="501">
        <f t="shared" si="18"/>
        <v>24978.799999999203</v>
      </c>
      <c r="S12" s="497">
        <v>7981</v>
      </c>
      <c r="T12" s="521">
        <f t="shared" si="2"/>
        <v>19</v>
      </c>
      <c r="U12" s="497">
        <v>937922</v>
      </c>
      <c r="V12" s="501">
        <f t="shared" si="15"/>
        <v>4382</v>
      </c>
      <c r="W12" s="497">
        <v>31509</v>
      </c>
      <c r="X12" s="501">
        <f t="shared" si="21"/>
        <v>4</v>
      </c>
      <c r="Y12" s="497">
        <v>555980</v>
      </c>
      <c r="Z12" s="501">
        <f t="shared" si="19"/>
        <v>893</v>
      </c>
      <c r="AA12" s="497">
        <v>34480</v>
      </c>
      <c r="AB12" s="501">
        <f t="shared" si="16"/>
        <v>14</v>
      </c>
      <c r="AC12" s="497">
        <v>656281</v>
      </c>
      <c r="AD12" s="501">
        <f t="shared" si="17"/>
        <v>2691</v>
      </c>
      <c r="AE12" s="524">
        <f t="shared" si="8"/>
        <v>37</v>
      </c>
      <c r="AF12" s="525">
        <f t="shared" si="9"/>
        <v>7966</v>
      </c>
      <c r="AG12" s="517">
        <f t="shared" si="23"/>
        <v>215.29729729729729</v>
      </c>
      <c r="AI12" s="518">
        <f>R12-'EDl log'!B10</f>
        <v>-48601367.200000003</v>
      </c>
    </row>
    <row r="13" spans="1:115">
      <c r="A13" s="509">
        <f>'General information '!F16</f>
        <v>0.8478</v>
      </c>
      <c r="B13" s="503">
        <f t="shared" si="5"/>
        <v>194.994</v>
      </c>
      <c r="C13" s="510">
        <v>43749</v>
      </c>
      <c r="D13" s="497">
        <v>30904914</v>
      </c>
      <c r="E13" s="335">
        <f t="shared" si="10"/>
        <v>9476</v>
      </c>
      <c r="F13" s="497">
        <v>3238832.2</v>
      </c>
      <c r="G13" s="336">
        <f t="shared" si="0"/>
        <v>3457.2000000001863</v>
      </c>
      <c r="H13" s="497">
        <v>17018370</v>
      </c>
      <c r="I13" s="336">
        <f t="shared" si="11"/>
        <v>4046</v>
      </c>
      <c r="J13" s="497">
        <v>28029192</v>
      </c>
      <c r="K13" s="336">
        <f t="shared" si="12"/>
        <v>6918</v>
      </c>
      <c r="L13" s="497">
        <v>22127694</v>
      </c>
      <c r="M13" s="336">
        <f t="shared" si="13"/>
        <v>6476</v>
      </c>
      <c r="N13" s="334">
        <f t="shared" si="14"/>
        <v>30373.200000000186</v>
      </c>
      <c r="O13" s="519">
        <f t="shared" si="22"/>
        <v>155.76479276285519</v>
      </c>
      <c r="P13" s="497">
        <v>14987.311</v>
      </c>
      <c r="Q13" s="501">
        <f t="shared" ref="Q13:Q31" si="24">(P13-P12)*1000</f>
        <v>10640.999999999622</v>
      </c>
      <c r="R13" s="501">
        <f t="shared" si="18"/>
        <v>19732.200000000565</v>
      </c>
      <c r="S13" s="497">
        <v>7988</v>
      </c>
      <c r="T13" s="521">
        <f t="shared" si="2"/>
        <v>7</v>
      </c>
      <c r="U13" s="497">
        <v>939330</v>
      </c>
      <c r="V13" s="501">
        <f t="shared" si="15"/>
        <v>1408</v>
      </c>
      <c r="W13" s="497">
        <v>31527</v>
      </c>
      <c r="X13" s="501">
        <f t="shared" si="21"/>
        <v>18</v>
      </c>
      <c r="Y13" s="497">
        <v>559535</v>
      </c>
      <c r="Z13" s="501">
        <f t="shared" si="19"/>
        <v>3555</v>
      </c>
      <c r="AA13" s="497">
        <v>34491</v>
      </c>
      <c r="AB13" s="501">
        <f t="shared" si="16"/>
        <v>11</v>
      </c>
      <c r="AC13" s="497">
        <v>658290</v>
      </c>
      <c r="AD13" s="501">
        <f t="shared" si="17"/>
        <v>2009</v>
      </c>
      <c r="AE13" s="524">
        <f t="shared" si="8"/>
        <v>36</v>
      </c>
      <c r="AF13" s="525">
        <f t="shared" si="9"/>
        <v>6972</v>
      </c>
      <c r="AG13" s="517">
        <f t="shared" si="23"/>
        <v>193.66666666666666</v>
      </c>
      <c r="AI13" s="518">
        <f>R13-'EDl log'!B11</f>
        <v>-48618903.799999997</v>
      </c>
    </row>
    <row r="14" spans="1:115">
      <c r="A14" s="509">
        <f>'General information '!F17</f>
        <v>0.58699999999999997</v>
      </c>
      <c r="B14" s="503">
        <f t="shared" si="5"/>
        <v>135.01</v>
      </c>
      <c r="C14" s="510">
        <v>43750</v>
      </c>
      <c r="D14" s="497">
        <v>30912198</v>
      </c>
      <c r="E14" s="335">
        <f t="shared" si="10"/>
        <v>7284</v>
      </c>
      <c r="F14" s="497">
        <v>3242558.2</v>
      </c>
      <c r="G14" s="336">
        <f t="shared" si="0"/>
        <v>3726</v>
      </c>
      <c r="H14" s="497">
        <v>17022688</v>
      </c>
      <c r="I14" s="336">
        <f t="shared" si="11"/>
        <v>4318</v>
      </c>
      <c r="J14" s="497">
        <v>28037754</v>
      </c>
      <c r="K14" s="336">
        <f t="shared" si="12"/>
        <v>8562</v>
      </c>
      <c r="L14" s="497">
        <v>22134654</v>
      </c>
      <c r="M14" s="336">
        <f t="shared" si="13"/>
        <v>6960</v>
      </c>
      <c r="N14" s="334">
        <f t="shared" si="14"/>
        <v>30850</v>
      </c>
      <c r="O14" s="519">
        <f t="shared" si="22"/>
        <v>228.50159247463154</v>
      </c>
      <c r="P14" s="497">
        <v>14991.858</v>
      </c>
      <c r="Q14" s="501">
        <f t="shared" si="24"/>
        <v>4547.0000000004802</v>
      </c>
      <c r="R14" s="501">
        <f t="shared" si="18"/>
        <v>26302.99999999952</v>
      </c>
      <c r="S14" s="497">
        <v>7994</v>
      </c>
      <c r="T14" s="521">
        <f t="shared" si="2"/>
        <v>6</v>
      </c>
      <c r="U14" s="497">
        <v>940660</v>
      </c>
      <c r="V14" s="501">
        <f t="shared" si="15"/>
        <v>1330</v>
      </c>
      <c r="W14" s="497">
        <v>31549</v>
      </c>
      <c r="X14" s="501">
        <f t="shared" si="21"/>
        <v>22</v>
      </c>
      <c r="Y14" s="497">
        <v>564560</v>
      </c>
      <c r="Z14" s="501">
        <f t="shared" si="19"/>
        <v>5025</v>
      </c>
      <c r="AA14" s="497">
        <v>34492</v>
      </c>
      <c r="AB14" s="501">
        <f t="shared" si="16"/>
        <v>1</v>
      </c>
      <c r="AC14" s="497">
        <v>658475</v>
      </c>
      <c r="AD14" s="501">
        <f t="shared" si="17"/>
        <v>185</v>
      </c>
      <c r="AE14" s="524">
        <f t="shared" si="8"/>
        <v>29</v>
      </c>
      <c r="AF14" s="525">
        <f t="shared" si="9"/>
        <v>6540</v>
      </c>
      <c r="AG14" s="517">
        <f t="shared" si="23"/>
        <v>225.51724137931035</v>
      </c>
      <c r="AI14" s="518">
        <f>R14-'EDl log'!B12</f>
        <v>-48625713</v>
      </c>
    </row>
    <row r="15" spans="1:115">
      <c r="A15" s="509">
        <f>'General information '!F18</f>
        <v>0.52610000000000001</v>
      </c>
      <c r="B15" s="503">
        <f t="shared" si="5"/>
        <v>121.003</v>
      </c>
      <c r="C15" s="510">
        <v>43751</v>
      </c>
      <c r="D15" s="497">
        <v>30919054</v>
      </c>
      <c r="E15" s="335">
        <f t="shared" si="10"/>
        <v>6856</v>
      </c>
      <c r="F15" s="497">
        <v>3246210.6</v>
      </c>
      <c r="G15" s="336">
        <f t="shared" si="0"/>
        <v>3652.3999999999069</v>
      </c>
      <c r="H15" s="497">
        <v>17027040</v>
      </c>
      <c r="I15" s="336">
        <f t="shared" si="11"/>
        <v>4352</v>
      </c>
      <c r="J15" s="497">
        <v>28041794</v>
      </c>
      <c r="K15" s="336">
        <f t="shared" si="12"/>
        <v>4040</v>
      </c>
      <c r="L15" s="497">
        <v>22146124</v>
      </c>
      <c r="M15" s="336">
        <f t="shared" si="13"/>
        <v>11470</v>
      </c>
      <c r="N15" s="334">
        <f t="shared" si="14"/>
        <v>30370.399999999907</v>
      </c>
      <c r="O15" s="519">
        <f t="shared" si="22"/>
        <v>250.98881845904569</v>
      </c>
      <c r="P15" s="497">
        <v>14995.875</v>
      </c>
      <c r="Q15" s="501">
        <f>(P15-P14)*1000</f>
        <v>4016.9999999998254</v>
      </c>
      <c r="R15" s="501">
        <f t="shared" si="18"/>
        <v>26353.400000000081</v>
      </c>
      <c r="S15" s="497">
        <v>8019</v>
      </c>
      <c r="T15" s="521">
        <f t="shared" si="2"/>
        <v>25</v>
      </c>
      <c r="U15" s="497">
        <v>946922</v>
      </c>
      <c r="V15" s="501">
        <f t="shared" si="15"/>
        <v>6262</v>
      </c>
      <c r="W15" s="497">
        <v>31555</v>
      </c>
      <c r="X15" s="501">
        <f t="shared" si="21"/>
        <v>6</v>
      </c>
      <c r="Y15" s="497">
        <v>565780</v>
      </c>
      <c r="Z15" s="501">
        <f t="shared" si="19"/>
        <v>1220</v>
      </c>
      <c r="AA15" s="497">
        <f t="shared" ref="AA15:AA33" si="25">AA14</f>
        <v>34492</v>
      </c>
      <c r="AB15" s="501">
        <f t="shared" si="16"/>
        <v>0</v>
      </c>
      <c r="AC15" s="497">
        <f t="shared" ref="AC15:AC33" si="26">AC14</f>
        <v>658475</v>
      </c>
      <c r="AD15" s="501">
        <f t="shared" si="17"/>
        <v>0</v>
      </c>
      <c r="AE15" s="524">
        <f t="shared" si="8"/>
        <v>31</v>
      </c>
      <c r="AF15" s="525">
        <f t="shared" si="9"/>
        <v>7482</v>
      </c>
      <c r="AG15" s="517">
        <f t="shared" si="23"/>
        <v>241.35483870967741</v>
      </c>
      <c r="AI15" s="518">
        <f>R15-'EDl log'!B13</f>
        <v>-48638572.600000001</v>
      </c>
    </row>
    <row r="16" spans="1:115">
      <c r="A16" s="509">
        <f>'General information '!F19</f>
        <v>0.58260000000000001</v>
      </c>
      <c r="B16" s="503">
        <f t="shared" si="5"/>
        <v>133.99799999999999</v>
      </c>
      <c r="C16" s="510">
        <v>43752</v>
      </c>
      <c r="D16" s="497">
        <v>30926498</v>
      </c>
      <c r="E16" s="335">
        <f t="shared" si="10"/>
        <v>7444</v>
      </c>
      <c r="F16" s="497">
        <v>3249618</v>
      </c>
      <c r="G16" s="336">
        <f t="shared" si="0"/>
        <v>3407.3999999999069</v>
      </c>
      <c r="H16" s="497">
        <v>17031052</v>
      </c>
      <c r="I16" s="336">
        <f t="shared" si="11"/>
        <v>4012</v>
      </c>
      <c r="J16" s="497">
        <v>28048670</v>
      </c>
      <c r="K16" s="336">
        <f t="shared" si="12"/>
        <v>6876</v>
      </c>
      <c r="L16" s="497">
        <v>22153700</v>
      </c>
      <c r="M16" s="336">
        <f t="shared" si="13"/>
        <v>7576</v>
      </c>
      <c r="N16" s="334">
        <f t="shared" si="14"/>
        <v>29315.399999999907</v>
      </c>
      <c r="O16" s="519">
        <f t="shared" si="22"/>
        <v>218.77490708816481</v>
      </c>
      <c r="P16" s="497">
        <v>15007.06</v>
      </c>
      <c r="Q16" s="501">
        <f>(P16-P15)*1000</f>
        <v>11184.999999999491</v>
      </c>
      <c r="R16" s="501">
        <f t="shared" si="18"/>
        <v>18130.400000000416</v>
      </c>
      <c r="S16" s="497">
        <v>8031</v>
      </c>
      <c r="T16" s="521">
        <f t="shared" si="2"/>
        <v>12</v>
      </c>
      <c r="U16" s="497">
        <v>949426</v>
      </c>
      <c r="V16" s="501">
        <f t="shared" si="15"/>
        <v>2504</v>
      </c>
      <c r="W16" s="497">
        <v>31574</v>
      </c>
      <c r="X16" s="501">
        <f>W16-W15</f>
        <v>19</v>
      </c>
      <c r="Y16" s="497">
        <v>569805</v>
      </c>
      <c r="Z16" s="501">
        <f>Y16-Y15</f>
        <v>4025</v>
      </c>
      <c r="AA16" s="497">
        <v>34492</v>
      </c>
      <c r="AB16" s="501">
        <f>AA16-AA15</f>
        <v>0</v>
      </c>
      <c r="AC16" s="497">
        <v>658787</v>
      </c>
      <c r="AD16" s="501">
        <f t="shared" si="17"/>
        <v>312</v>
      </c>
      <c r="AE16" s="524">
        <f t="shared" si="8"/>
        <v>31</v>
      </c>
      <c r="AF16" s="525">
        <f t="shared" si="9"/>
        <v>6841</v>
      </c>
      <c r="AG16" s="517">
        <f t="shared" si="23"/>
        <v>220.67741935483872</v>
      </c>
      <c r="AI16" s="518">
        <f>R16-'EDl log'!B14</f>
        <v>-48657028.600000001</v>
      </c>
    </row>
    <row r="17" spans="1:35">
      <c r="A17" s="509">
        <f>'General information '!F20</f>
        <v>0</v>
      </c>
      <c r="B17" s="503">
        <f t="shared" si="5"/>
        <v>0</v>
      </c>
      <c r="C17" s="510">
        <v>43753</v>
      </c>
      <c r="D17" s="497">
        <f t="shared" ref="D17:L33" si="27">D16</f>
        <v>30926498</v>
      </c>
      <c r="E17" s="335">
        <f t="shared" si="10"/>
        <v>0</v>
      </c>
      <c r="F17" s="497">
        <f t="shared" si="27"/>
        <v>3249618</v>
      </c>
      <c r="G17" s="336">
        <f t="shared" si="0"/>
        <v>0</v>
      </c>
      <c r="H17" s="497">
        <f t="shared" si="27"/>
        <v>17031052</v>
      </c>
      <c r="I17" s="336">
        <f t="shared" si="11"/>
        <v>0</v>
      </c>
      <c r="J17" s="497">
        <f t="shared" si="27"/>
        <v>28048670</v>
      </c>
      <c r="K17" s="336">
        <f t="shared" si="12"/>
        <v>0</v>
      </c>
      <c r="L17" s="497">
        <f t="shared" si="27"/>
        <v>22153700</v>
      </c>
      <c r="M17" s="336">
        <f t="shared" si="13"/>
        <v>0</v>
      </c>
      <c r="N17" s="334">
        <f t="shared" si="14"/>
        <v>0</v>
      </c>
      <c r="O17" s="519">
        <f t="shared" si="22"/>
        <v>0</v>
      </c>
      <c r="P17" s="497">
        <f t="shared" ref="P17:P33" si="28">P16</f>
        <v>15007.06</v>
      </c>
      <c r="Q17" s="501">
        <f t="shared" si="24"/>
        <v>0</v>
      </c>
      <c r="R17" s="501">
        <f t="shared" si="18"/>
        <v>0</v>
      </c>
      <c r="S17" s="497">
        <f t="shared" si="7"/>
        <v>8031</v>
      </c>
      <c r="T17" s="521">
        <f t="shared" si="2"/>
        <v>0</v>
      </c>
      <c r="U17" s="497">
        <f t="shared" si="20"/>
        <v>949426</v>
      </c>
      <c r="V17" s="501">
        <f t="shared" si="15"/>
        <v>0</v>
      </c>
      <c r="W17" s="497">
        <f t="shared" ref="W17:W33" si="29">W16</f>
        <v>31574</v>
      </c>
      <c r="X17" s="501">
        <f t="shared" si="21"/>
        <v>0</v>
      </c>
      <c r="Y17" s="497">
        <f t="shared" ref="Y17:Y33" si="30">Y16</f>
        <v>569805</v>
      </c>
      <c r="Z17" s="501">
        <f t="shared" si="19"/>
        <v>0</v>
      </c>
      <c r="AA17" s="497">
        <f t="shared" si="25"/>
        <v>34492</v>
      </c>
      <c r="AB17" s="501">
        <f t="shared" si="16"/>
        <v>0</v>
      </c>
      <c r="AC17" s="497">
        <f t="shared" si="26"/>
        <v>658787</v>
      </c>
      <c r="AD17" s="501">
        <f t="shared" ref="AD17:AD32" si="31">AC17-AC16</f>
        <v>0</v>
      </c>
      <c r="AE17" s="524">
        <f t="shared" si="8"/>
        <v>0</v>
      </c>
      <c r="AF17" s="525">
        <f t="shared" si="9"/>
        <v>0</v>
      </c>
      <c r="AG17" s="517">
        <f t="shared" si="23"/>
        <v>0</v>
      </c>
      <c r="AI17" s="518">
        <f>R17-'EDl log'!B15</f>
        <v>-48688662</v>
      </c>
    </row>
    <row r="18" spans="1:35">
      <c r="A18" s="509">
        <f>'General information '!F21</f>
        <v>0</v>
      </c>
      <c r="B18" s="503">
        <f t="shared" si="5"/>
        <v>0</v>
      </c>
      <c r="C18" s="510">
        <v>43754</v>
      </c>
      <c r="D18" s="497">
        <f t="shared" si="27"/>
        <v>30926498</v>
      </c>
      <c r="E18" s="335">
        <f t="shared" si="10"/>
        <v>0</v>
      </c>
      <c r="F18" s="497">
        <f t="shared" si="27"/>
        <v>3249618</v>
      </c>
      <c r="G18" s="336">
        <f t="shared" si="0"/>
        <v>0</v>
      </c>
      <c r="H18" s="497">
        <f t="shared" si="27"/>
        <v>17031052</v>
      </c>
      <c r="I18" s="336">
        <f t="shared" si="11"/>
        <v>0</v>
      </c>
      <c r="J18" s="497">
        <f t="shared" si="27"/>
        <v>28048670</v>
      </c>
      <c r="K18" s="336">
        <f t="shared" si="12"/>
        <v>0</v>
      </c>
      <c r="L18" s="497">
        <f t="shared" si="27"/>
        <v>22153700</v>
      </c>
      <c r="M18" s="336">
        <f t="shared" si="13"/>
        <v>0</v>
      </c>
      <c r="N18" s="334">
        <f t="shared" si="14"/>
        <v>0</v>
      </c>
      <c r="O18" s="519">
        <f t="shared" si="22"/>
        <v>0</v>
      </c>
      <c r="P18" s="497">
        <f t="shared" si="28"/>
        <v>15007.06</v>
      </c>
      <c r="Q18" s="501">
        <f t="shared" si="24"/>
        <v>0</v>
      </c>
      <c r="R18" s="501">
        <f t="shared" si="18"/>
        <v>0</v>
      </c>
      <c r="S18" s="497">
        <f t="shared" si="7"/>
        <v>8031</v>
      </c>
      <c r="T18" s="521">
        <f t="shared" si="2"/>
        <v>0</v>
      </c>
      <c r="U18" s="497">
        <f t="shared" si="20"/>
        <v>949426</v>
      </c>
      <c r="V18" s="501">
        <f t="shared" si="15"/>
        <v>0</v>
      </c>
      <c r="W18" s="497">
        <f t="shared" si="29"/>
        <v>31574</v>
      </c>
      <c r="X18" s="501">
        <f t="shared" si="21"/>
        <v>0</v>
      </c>
      <c r="Y18" s="497">
        <f t="shared" si="30"/>
        <v>569805</v>
      </c>
      <c r="Z18" s="501">
        <f t="shared" si="19"/>
        <v>0</v>
      </c>
      <c r="AA18" s="497">
        <f t="shared" si="25"/>
        <v>34492</v>
      </c>
      <c r="AB18" s="501">
        <f t="shared" si="16"/>
        <v>0</v>
      </c>
      <c r="AC18" s="497">
        <f t="shared" si="26"/>
        <v>658787</v>
      </c>
      <c r="AD18" s="501">
        <f t="shared" si="31"/>
        <v>0</v>
      </c>
      <c r="AE18" s="524">
        <f t="shared" si="8"/>
        <v>0</v>
      </c>
      <c r="AF18" s="525">
        <f t="shared" si="9"/>
        <v>0</v>
      </c>
      <c r="AG18" s="517">
        <f t="shared" si="23"/>
        <v>0</v>
      </c>
      <c r="AI18" s="518">
        <f>R18-'EDl log'!B16</f>
        <v>-48702158</v>
      </c>
    </row>
    <row r="19" spans="1:35">
      <c r="A19" s="509">
        <f>'General information '!F22</f>
        <v>0</v>
      </c>
      <c r="B19" s="503">
        <f t="shared" si="5"/>
        <v>0</v>
      </c>
      <c r="C19" s="510">
        <v>43755</v>
      </c>
      <c r="D19" s="497">
        <f t="shared" si="27"/>
        <v>30926498</v>
      </c>
      <c r="E19" s="335">
        <f t="shared" si="10"/>
        <v>0</v>
      </c>
      <c r="F19" s="497">
        <f t="shared" si="27"/>
        <v>3249618</v>
      </c>
      <c r="G19" s="336">
        <f t="shared" si="0"/>
        <v>0</v>
      </c>
      <c r="H19" s="497">
        <f t="shared" si="27"/>
        <v>17031052</v>
      </c>
      <c r="I19" s="336">
        <f t="shared" si="11"/>
        <v>0</v>
      </c>
      <c r="J19" s="497">
        <f t="shared" si="27"/>
        <v>28048670</v>
      </c>
      <c r="K19" s="336">
        <f t="shared" si="12"/>
        <v>0</v>
      </c>
      <c r="L19" s="497">
        <f t="shared" si="27"/>
        <v>22153700</v>
      </c>
      <c r="M19" s="336">
        <f t="shared" si="13"/>
        <v>0</v>
      </c>
      <c r="N19" s="334">
        <f t="shared" si="14"/>
        <v>0</v>
      </c>
      <c r="O19" s="519">
        <f t="shared" si="22"/>
        <v>0</v>
      </c>
      <c r="P19" s="497">
        <f t="shared" si="28"/>
        <v>15007.06</v>
      </c>
      <c r="Q19" s="501">
        <f t="shared" si="24"/>
        <v>0</v>
      </c>
      <c r="R19" s="501">
        <f t="shared" si="18"/>
        <v>0</v>
      </c>
      <c r="S19" s="497">
        <f t="shared" si="7"/>
        <v>8031</v>
      </c>
      <c r="T19" s="521">
        <f t="shared" si="2"/>
        <v>0</v>
      </c>
      <c r="U19" s="497">
        <f t="shared" si="20"/>
        <v>949426</v>
      </c>
      <c r="V19" s="501">
        <f t="shared" si="15"/>
        <v>0</v>
      </c>
      <c r="W19" s="497">
        <f t="shared" si="29"/>
        <v>31574</v>
      </c>
      <c r="X19" s="501">
        <f t="shared" si="21"/>
        <v>0</v>
      </c>
      <c r="Y19" s="497">
        <f t="shared" si="30"/>
        <v>569805</v>
      </c>
      <c r="Z19" s="501">
        <f t="shared" si="19"/>
        <v>0</v>
      </c>
      <c r="AA19" s="497">
        <f t="shared" si="25"/>
        <v>34492</v>
      </c>
      <c r="AB19" s="501">
        <f t="shared" si="16"/>
        <v>0</v>
      </c>
      <c r="AC19" s="497">
        <f t="shared" si="26"/>
        <v>658787</v>
      </c>
      <c r="AD19" s="501">
        <f t="shared" si="31"/>
        <v>0</v>
      </c>
      <c r="AE19" s="524">
        <f t="shared" si="8"/>
        <v>0</v>
      </c>
      <c r="AF19" s="525">
        <f t="shared" si="9"/>
        <v>0</v>
      </c>
      <c r="AG19" s="517">
        <f t="shared" si="23"/>
        <v>0</v>
      </c>
      <c r="AI19" s="518">
        <f>R19-'EDl log'!B17</f>
        <v>-48711532</v>
      </c>
    </row>
    <row r="20" spans="1:35">
      <c r="A20" s="509">
        <f>'General information '!F23</f>
        <v>0</v>
      </c>
      <c r="B20" s="503">
        <f t="shared" si="5"/>
        <v>0</v>
      </c>
      <c r="C20" s="510">
        <v>43756</v>
      </c>
      <c r="D20" s="497">
        <f t="shared" si="27"/>
        <v>30926498</v>
      </c>
      <c r="E20" s="335">
        <f t="shared" si="10"/>
        <v>0</v>
      </c>
      <c r="F20" s="497">
        <f t="shared" si="27"/>
        <v>3249618</v>
      </c>
      <c r="G20" s="336">
        <f t="shared" si="0"/>
        <v>0</v>
      </c>
      <c r="H20" s="497">
        <f t="shared" si="27"/>
        <v>17031052</v>
      </c>
      <c r="I20" s="336">
        <f t="shared" si="11"/>
        <v>0</v>
      </c>
      <c r="J20" s="497">
        <f t="shared" si="27"/>
        <v>28048670</v>
      </c>
      <c r="K20" s="336">
        <f t="shared" si="12"/>
        <v>0</v>
      </c>
      <c r="L20" s="497">
        <f t="shared" si="27"/>
        <v>22153700</v>
      </c>
      <c r="M20" s="336">
        <f t="shared" si="13"/>
        <v>0</v>
      </c>
      <c r="N20" s="334">
        <f t="shared" si="14"/>
        <v>0</v>
      </c>
      <c r="O20" s="519">
        <f t="shared" si="22"/>
        <v>0</v>
      </c>
      <c r="P20" s="497">
        <f t="shared" si="28"/>
        <v>15007.06</v>
      </c>
      <c r="Q20" s="501">
        <f t="shared" si="24"/>
        <v>0</v>
      </c>
      <c r="R20" s="501">
        <f t="shared" si="18"/>
        <v>0</v>
      </c>
      <c r="S20" s="497">
        <f t="shared" si="7"/>
        <v>8031</v>
      </c>
      <c r="T20" s="521">
        <f t="shared" si="2"/>
        <v>0</v>
      </c>
      <c r="U20" s="497">
        <f t="shared" si="20"/>
        <v>949426</v>
      </c>
      <c r="V20" s="501">
        <f t="shared" si="15"/>
        <v>0</v>
      </c>
      <c r="W20" s="497">
        <f t="shared" si="29"/>
        <v>31574</v>
      </c>
      <c r="X20" s="501">
        <f t="shared" si="21"/>
        <v>0</v>
      </c>
      <c r="Y20" s="497">
        <f t="shared" si="30"/>
        <v>569805</v>
      </c>
      <c r="Z20" s="501">
        <f t="shared" si="19"/>
        <v>0</v>
      </c>
      <c r="AA20" s="497">
        <f t="shared" si="25"/>
        <v>34492</v>
      </c>
      <c r="AB20" s="501">
        <f t="shared" si="16"/>
        <v>0</v>
      </c>
      <c r="AC20" s="497">
        <f t="shared" si="26"/>
        <v>658787</v>
      </c>
      <c r="AD20" s="501">
        <f t="shared" si="31"/>
        <v>0</v>
      </c>
      <c r="AE20" s="524">
        <f t="shared" si="8"/>
        <v>0</v>
      </c>
      <c r="AF20" s="525">
        <f t="shared" si="9"/>
        <v>0</v>
      </c>
      <c r="AG20" s="517">
        <f t="shared" si="23"/>
        <v>0</v>
      </c>
      <c r="AI20" s="518">
        <f>R20-'EDl log'!B18</f>
        <v>-48711532</v>
      </c>
    </row>
    <row r="21" spans="1:35">
      <c r="A21" s="509">
        <f>'General information '!F24</f>
        <v>0</v>
      </c>
      <c r="B21" s="503">
        <f t="shared" si="5"/>
        <v>0</v>
      </c>
      <c r="C21" s="510">
        <v>43757</v>
      </c>
      <c r="D21" s="497">
        <f t="shared" si="27"/>
        <v>30926498</v>
      </c>
      <c r="E21" s="335">
        <f t="shared" si="10"/>
        <v>0</v>
      </c>
      <c r="F21" s="497">
        <f t="shared" si="27"/>
        <v>3249618</v>
      </c>
      <c r="G21" s="336">
        <f t="shared" si="0"/>
        <v>0</v>
      </c>
      <c r="H21" s="497">
        <f t="shared" si="27"/>
        <v>17031052</v>
      </c>
      <c r="I21" s="336">
        <f t="shared" si="11"/>
        <v>0</v>
      </c>
      <c r="J21" s="497">
        <f t="shared" si="27"/>
        <v>28048670</v>
      </c>
      <c r="K21" s="336">
        <f t="shared" si="12"/>
        <v>0</v>
      </c>
      <c r="L21" s="497">
        <f t="shared" si="27"/>
        <v>22153700</v>
      </c>
      <c r="M21" s="336">
        <f t="shared" si="13"/>
        <v>0</v>
      </c>
      <c r="N21" s="334">
        <f t="shared" si="14"/>
        <v>0</v>
      </c>
      <c r="O21" s="519">
        <f t="shared" si="22"/>
        <v>0</v>
      </c>
      <c r="P21" s="497">
        <f t="shared" si="28"/>
        <v>15007.06</v>
      </c>
      <c r="Q21" s="501">
        <f>(P21-P20)*1000</f>
        <v>0</v>
      </c>
      <c r="R21" s="501">
        <f t="shared" si="18"/>
        <v>0</v>
      </c>
      <c r="S21" s="497">
        <f t="shared" si="7"/>
        <v>8031</v>
      </c>
      <c r="T21" s="521">
        <f t="shared" si="2"/>
        <v>0</v>
      </c>
      <c r="U21" s="497">
        <f t="shared" si="20"/>
        <v>949426</v>
      </c>
      <c r="V21" s="501">
        <f t="shared" si="15"/>
        <v>0</v>
      </c>
      <c r="W21" s="497">
        <f t="shared" si="29"/>
        <v>31574</v>
      </c>
      <c r="X21" s="501">
        <f t="shared" si="21"/>
        <v>0</v>
      </c>
      <c r="Y21" s="497">
        <f t="shared" si="30"/>
        <v>569805</v>
      </c>
      <c r="Z21" s="501">
        <f t="shared" si="19"/>
        <v>0</v>
      </c>
      <c r="AA21" s="497">
        <f t="shared" si="25"/>
        <v>34492</v>
      </c>
      <c r="AB21" s="501">
        <f t="shared" si="16"/>
        <v>0</v>
      </c>
      <c r="AC21" s="497">
        <f t="shared" si="26"/>
        <v>658787</v>
      </c>
      <c r="AD21" s="501">
        <f t="shared" si="31"/>
        <v>0</v>
      </c>
      <c r="AE21" s="524">
        <f t="shared" si="8"/>
        <v>0</v>
      </c>
      <c r="AF21" s="525">
        <f t="shared" si="9"/>
        <v>0</v>
      </c>
      <c r="AG21" s="517">
        <f t="shared" si="23"/>
        <v>0</v>
      </c>
      <c r="AI21" s="518">
        <f>R21-'EDl log'!B19</f>
        <v>-48711532</v>
      </c>
    </row>
    <row r="22" spans="1:35">
      <c r="A22" s="509">
        <f>'General information '!F25</f>
        <v>0</v>
      </c>
      <c r="B22" s="503">
        <f t="shared" si="5"/>
        <v>0</v>
      </c>
      <c r="C22" s="510">
        <v>43758</v>
      </c>
      <c r="D22" s="497">
        <f t="shared" si="27"/>
        <v>30926498</v>
      </c>
      <c r="E22" s="335">
        <f t="shared" si="10"/>
        <v>0</v>
      </c>
      <c r="F22" s="497">
        <f t="shared" si="27"/>
        <v>3249618</v>
      </c>
      <c r="G22" s="336">
        <f t="shared" si="0"/>
        <v>0</v>
      </c>
      <c r="H22" s="497">
        <f t="shared" si="27"/>
        <v>17031052</v>
      </c>
      <c r="I22" s="336">
        <f t="shared" si="11"/>
        <v>0</v>
      </c>
      <c r="J22" s="497">
        <f t="shared" si="27"/>
        <v>28048670</v>
      </c>
      <c r="K22" s="336">
        <f t="shared" si="12"/>
        <v>0</v>
      </c>
      <c r="L22" s="497">
        <f t="shared" si="27"/>
        <v>22153700</v>
      </c>
      <c r="M22" s="336">
        <f t="shared" si="13"/>
        <v>0</v>
      </c>
      <c r="N22" s="334">
        <f t="shared" si="14"/>
        <v>0</v>
      </c>
      <c r="O22" s="519">
        <f t="shared" si="22"/>
        <v>0</v>
      </c>
      <c r="P22" s="497">
        <f t="shared" si="28"/>
        <v>15007.06</v>
      </c>
      <c r="Q22" s="501">
        <f t="shared" si="24"/>
        <v>0</v>
      </c>
      <c r="R22" s="501">
        <f t="shared" si="18"/>
        <v>0</v>
      </c>
      <c r="S22" s="497">
        <f t="shared" si="7"/>
        <v>8031</v>
      </c>
      <c r="T22" s="521">
        <f t="shared" si="2"/>
        <v>0</v>
      </c>
      <c r="U22" s="497">
        <f t="shared" si="20"/>
        <v>949426</v>
      </c>
      <c r="V22" s="501">
        <f t="shared" si="15"/>
        <v>0</v>
      </c>
      <c r="W22" s="497">
        <f t="shared" si="29"/>
        <v>31574</v>
      </c>
      <c r="X22" s="501">
        <f t="shared" si="21"/>
        <v>0</v>
      </c>
      <c r="Y22" s="497">
        <f t="shared" si="30"/>
        <v>569805</v>
      </c>
      <c r="Z22" s="501">
        <f t="shared" si="19"/>
        <v>0</v>
      </c>
      <c r="AA22" s="497">
        <f t="shared" si="25"/>
        <v>34492</v>
      </c>
      <c r="AB22" s="501">
        <f t="shared" si="16"/>
        <v>0</v>
      </c>
      <c r="AC22" s="497">
        <f t="shared" si="26"/>
        <v>658787</v>
      </c>
      <c r="AD22" s="501">
        <f t="shared" si="31"/>
        <v>0</v>
      </c>
      <c r="AE22" s="524">
        <f t="shared" si="8"/>
        <v>0</v>
      </c>
      <c r="AF22" s="525">
        <f t="shared" si="9"/>
        <v>0</v>
      </c>
      <c r="AG22" s="517">
        <f t="shared" si="23"/>
        <v>0</v>
      </c>
      <c r="AI22" s="518">
        <f>R22-'EDl log'!B20</f>
        <v>-48711532</v>
      </c>
    </row>
    <row r="23" spans="1:35">
      <c r="A23" s="509">
        <f>'General information '!F26</f>
        <v>0</v>
      </c>
      <c r="B23" s="503">
        <f t="shared" si="5"/>
        <v>0</v>
      </c>
      <c r="C23" s="510">
        <v>43759</v>
      </c>
      <c r="D23" s="497">
        <f t="shared" si="27"/>
        <v>30926498</v>
      </c>
      <c r="E23" s="335">
        <f t="shared" si="10"/>
        <v>0</v>
      </c>
      <c r="F23" s="497">
        <f t="shared" si="27"/>
        <v>3249618</v>
      </c>
      <c r="G23" s="336">
        <f t="shared" si="0"/>
        <v>0</v>
      </c>
      <c r="H23" s="497">
        <f t="shared" si="27"/>
        <v>17031052</v>
      </c>
      <c r="I23" s="488">
        <f t="shared" si="11"/>
        <v>0</v>
      </c>
      <c r="J23" s="497">
        <f t="shared" si="27"/>
        <v>28048670</v>
      </c>
      <c r="K23" s="336">
        <f t="shared" si="12"/>
        <v>0</v>
      </c>
      <c r="L23" s="497">
        <f t="shared" si="27"/>
        <v>22153700</v>
      </c>
      <c r="M23" s="336">
        <f t="shared" si="13"/>
        <v>0</v>
      </c>
      <c r="N23" s="334">
        <f t="shared" si="14"/>
        <v>0</v>
      </c>
      <c r="O23" s="519">
        <f t="shared" si="22"/>
        <v>0</v>
      </c>
      <c r="P23" s="497">
        <f t="shared" si="28"/>
        <v>15007.06</v>
      </c>
      <c r="Q23" s="501">
        <f t="shared" si="24"/>
        <v>0</v>
      </c>
      <c r="R23" s="501">
        <f t="shared" si="18"/>
        <v>0</v>
      </c>
      <c r="S23" s="497">
        <f t="shared" si="7"/>
        <v>8031</v>
      </c>
      <c r="T23" s="521">
        <f t="shared" si="2"/>
        <v>0</v>
      </c>
      <c r="U23" s="497">
        <f t="shared" si="20"/>
        <v>949426</v>
      </c>
      <c r="V23" s="501">
        <f t="shared" si="15"/>
        <v>0</v>
      </c>
      <c r="W23" s="497">
        <f t="shared" si="29"/>
        <v>31574</v>
      </c>
      <c r="X23" s="501">
        <f t="shared" si="21"/>
        <v>0</v>
      </c>
      <c r="Y23" s="497">
        <f t="shared" si="30"/>
        <v>569805</v>
      </c>
      <c r="Z23" s="501">
        <f t="shared" si="19"/>
        <v>0</v>
      </c>
      <c r="AA23" s="497">
        <f t="shared" si="25"/>
        <v>34492</v>
      </c>
      <c r="AB23" s="501">
        <f t="shared" si="16"/>
        <v>0</v>
      </c>
      <c r="AC23" s="497">
        <f t="shared" si="26"/>
        <v>658787</v>
      </c>
      <c r="AD23" s="501">
        <f t="shared" si="31"/>
        <v>0</v>
      </c>
      <c r="AE23" s="524">
        <f t="shared" si="8"/>
        <v>0</v>
      </c>
      <c r="AF23" s="525">
        <f t="shared" si="9"/>
        <v>0</v>
      </c>
      <c r="AG23" s="517">
        <f t="shared" si="23"/>
        <v>0</v>
      </c>
      <c r="AI23" s="518">
        <f>R23-'EDl log'!B21</f>
        <v>-48711532</v>
      </c>
    </row>
    <row r="24" spans="1:35">
      <c r="A24" s="509">
        <f>'General information '!F27</f>
        <v>0</v>
      </c>
      <c r="B24" s="503">
        <f t="shared" si="5"/>
        <v>0</v>
      </c>
      <c r="C24" s="510">
        <v>43760</v>
      </c>
      <c r="D24" s="497">
        <f t="shared" si="27"/>
        <v>30926498</v>
      </c>
      <c r="E24" s="335">
        <f t="shared" si="10"/>
        <v>0</v>
      </c>
      <c r="F24" s="497">
        <f t="shared" si="27"/>
        <v>3249618</v>
      </c>
      <c r="G24" s="336">
        <f t="shared" si="0"/>
        <v>0</v>
      </c>
      <c r="H24" s="497">
        <f t="shared" si="27"/>
        <v>17031052</v>
      </c>
      <c r="I24" s="336">
        <f t="shared" si="11"/>
        <v>0</v>
      </c>
      <c r="J24" s="497">
        <f t="shared" si="27"/>
        <v>28048670</v>
      </c>
      <c r="K24" s="336">
        <f t="shared" si="12"/>
        <v>0</v>
      </c>
      <c r="L24" s="497">
        <f t="shared" si="27"/>
        <v>22153700</v>
      </c>
      <c r="M24" s="336">
        <f t="shared" si="13"/>
        <v>0</v>
      </c>
      <c r="N24" s="334">
        <f t="shared" si="14"/>
        <v>0</v>
      </c>
      <c r="O24" s="519">
        <f t="shared" si="22"/>
        <v>0</v>
      </c>
      <c r="P24" s="497">
        <f t="shared" si="28"/>
        <v>15007.06</v>
      </c>
      <c r="Q24" s="501">
        <f t="shared" si="24"/>
        <v>0</v>
      </c>
      <c r="R24" s="501">
        <f t="shared" si="18"/>
        <v>0</v>
      </c>
      <c r="S24" s="497">
        <f t="shared" si="7"/>
        <v>8031</v>
      </c>
      <c r="T24" s="521">
        <f t="shared" si="2"/>
        <v>0</v>
      </c>
      <c r="U24" s="497">
        <f t="shared" si="20"/>
        <v>949426</v>
      </c>
      <c r="V24" s="501">
        <f t="shared" si="15"/>
        <v>0</v>
      </c>
      <c r="W24" s="497">
        <f t="shared" si="29"/>
        <v>31574</v>
      </c>
      <c r="X24" s="501">
        <f t="shared" si="21"/>
        <v>0</v>
      </c>
      <c r="Y24" s="497">
        <f t="shared" si="30"/>
        <v>569805</v>
      </c>
      <c r="Z24" s="501">
        <f t="shared" si="19"/>
        <v>0</v>
      </c>
      <c r="AA24" s="497">
        <f t="shared" si="25"/>
        <v>34492</v>
      </c>
      <c r="AB24" s="501">
        <f t="shared" si="16"/>
        <v>0</v>
      </c>
      <c r="AC24" s="497">
        <f t="shared" si="26"/>
        <v>658787</v>
      </c>
      <c r="AD24" s="501">
        <f t="shared" si="31"/>
        <v>0</v>
      </c>
      <c r="AE24" s="524">
        <f t="shared" si="8"/>
        <v>0</v>
      </c>
      <c r="AF24" s="525">
        <f t="shared" si="9"/>
        <v>0</v>
      </c>
      <c r="AG24" s="517">
        <f t="shared" si="23"/>
        <v>0</v>
      </c>
      <c r="AI24" s="518">
        <f>R24-'EDl log'!B22</f>
        <v>-48711532</v>
      </c>
    </row>
    <row r="25" spans="1:35">
      <c r="A25" s="509">
        <f>'General information '!F28</f>
        <v>0</v>
      </c>
      <c r="B25" s="503">
        <f t="shared" si="5"/>
        <v>0</v>
      </c>
      <c r="C25" s="510">
        <v>43761</v>
      </c>
      <c r="D25" s="497">
        <f t="shared" si="27"/>
        <v>30926498</v>
      </c>
      <c r="E25" s="335">
        <f t="shared" si="10"/>
        <v>0</v>
      </c>
      <c r="F25" s="497">
        <f t="shared" si="27"/>
        <v>3249618</v>
      </c>
      <c r="G25" s="336">
        <f t="shared" si="0"/>
        <v>0</v>
      </c>
      <c r="H25" s="497">
        <f t="shared" si="27"/>
        <v>17031052</v>
      </c>
      <c r="I25" s="336">
        <f t="shared" si="11"/>
        <v>0</v>
      </c>
      <c r="J25" s="497">
        <f t="shared" si="27"/>
        <v>28048670</v>
      </c>
      <c r="K25" s="336">
        <f t="shared" si="12"/>
        <v>0</v>
      </c>
      <c r="L25" s="497">
        <f t="shared" si="27"/>
        <v>22153700</v>
      </c>
      <c r="M25" s="336">
        <f t="shared" si="13"/>
        <v>0</v>
      </c>
      <c r="N25" s="334">
        <f t="shared" si="14"/>
        <v>0</v>
      </c>
      <c r="O25" s="519">
        <f t="shared" si="22"/>
        <v>0</v>
      </c>
      <c r="P25" s="497">
        <f t="shared" si="28"/>
        <v>15007.06</v>
      </c>
      <c r="Q25" s="501">
        <f t="shared" si="24"/>
        <v>0</v>
      </c>
      <c r="R25" s="501">
        <f t="shared" si="18"/>
        <v>0</v>
      </c>
      <c r="S25" s="497">
        <f t="shared" si="7"/>
        <v>8031</v>
      </c>
      <c r="T25" s="521">
        <f t="shared" si="2"/>
        <v>0</v>
      </c>
      <c r="U25" s="497">
        <f t="shared" si="20"/>
        <v>949426</v>
      </c>
      <c r="V25" s="501">
        <f t="shared" si="15"/>
        <v>0</v>
      </c>
      <c r="W25" s="497">
        <f t="shared" si="29"/>
        <v>31574</v>
      </c>
      <c r="X25" s="501">
        <f t="shared" si="21"/>
        <v>0</v>
      </c>
      <c r="Y25" s="497">
        <f t="shared" si="30"/>
        <v>569805</v>
      </c>
      <c r="Z25" s="501">
        <f t="shared" si="19"/>
        <v>0</v>
      </c>
      <c r="AA25" s="497">
        <f t="shared" si="25"/>
        <v>34492</v>
      </c>
      <c r="AB25" s="501">
        <f t="shared" si="16"/>
        <v>0</v>
      </c>
      <c r="AC25" s="497">
        <f t="shared" si="26"/>
        <v>658787</v>
      </c>
      <c r="AD25" s="501">
        <f t="shared" si="31"/>
        <v>0</v>
      </c>
      <c r="AE25" s="524">
        <f t="shared" si="8"/>
        <v>0</v>
      </c>
      <c r="AF25" s="525">
        <f t="shared" si="9"/>
        <v>0</v>
      </c>
      <c r="AG25" s="517">
        <f t="shared" si="23"/>
        <v>0</v>
      </c>
      <c r="AI25" s="518">
        <f>R25-'EDl log'!B23</f>
        <v>-48711532</v>
      </c>
    </row>
    <row r="26" spans="1:35">
      <c r="A26" s="509">
        <f>'General information '!F29</f>
        <v>0</v>
      </c>
      <c r="B26" s="503">
        <f t="shared" si="5"/>
        <v>0</v>
      </c>
      <c r="C26" s="510">
        <v>43762</v>
      </c>
      <c r="D26" s="497">
        <f t="shared" si="27"/>
        <v>30926498</v>
      </c>
      <c r="E26" s="335">
        <f t="shared" si="10"/>
        <v>0</v>
      </c>
      <c r="F26" s="497">
        <f t="shared" si="27"/>
        <v>3249618</v>
      </c>
      <c r="G26" s="336">
        <f t="shared" si="0"/>
        <v>0</v>
      </c>
      <c r="H26" s="497">
        <f t="shared" si="27"/>
        <v>17031052</v>
      </c>
      <c r="I26" s="336">
        <f t="shared" si="11"/>
        <v>0</v>
      </c>
      <c r="J26" s="497">
        <f t="shared" si="27"/>
        <v>28048670</v>
      </c>
      <c r="K26" s="336">
        <f t="shared" si="12"/>
        <v>0</v>
      </c>
      <c r="L26" s="497">
        <f t="shared" si="27"/>
        <v>22153700</v>
      </c>
      <c r="M26" s="336">
        <f t="shared" si="13"/>
        <v>0</v>
      </c>
      <c r="N26" s="334">
        <f t="shared" si="14"/>
        <v>0</v>
      </c>
      <c r="O26" s="519">
        <f t="shared" si="22"/>
        <v>0</v>
      </c>
      <c r="P26" s="497">
        <f t="shared" si="28"/>
        <v>15007.06</v>
      </c>
      <c r="Q26" s="501">
        <f t="shared" si="24"/>
        <v>0</v>
      </c>
      <c r="R26" s="526">
        <f>N26-Q26</f>
        <v>0</v>
      </c>
      <c r="S26" s="497">
        <f t="shared" si="7"/>
        <v>8031</v>
      </c>
      <c r="T26" s="521">
        <f t="shared" si="2"/>
        <v>0</v>
      </c>
      <c r="U26" s="497">
        <f t="shared" si="20"/>
        <v>949426</v>
      </c>
      <c r="V26" s="501">
        <f t="shared" si="15"/>
        <v>0</v>
      </c>
      <c r="W26" s="497">
        <f t="shared" si="29"/>
        <v>31574</v>
      </c>
      <c r="X26" s="501">
        <f t="shared" si="21"/>
        <v>0</v>
      </c>
      <c r="Y26" s="497">
        <f t="shared" si="30"/>
        <v>569805</v>
      </c>
      <c r="Z26" s="501">
        <f t="shared" si="19"/>
        <v>0</v>
      </c>
      <c r="AA26" s="497">
        <f t="shared" si="25"/>
        <v>34492</v>
      </c>
      <c r="AB26" s="501">
        <f t="shared" si="16"/>
        <v>0</v>
      </c>
      <c r="AC26" s="497">
        <f t="shared" si="26"/>
        <v>658787</v>
      </c>
      <c r="AD26" s="501">
        <f t="shared" si="31"/>
        <v>0</v>
      </c>
      <c r="AE26" s="524">
        <f t="shared" si="8"/>
        <v>0</v>
      </c>
      <c r="AF26" s="525">
        <f t="shared" si="9"/>
        <v>0</v>
      </c>
      <c r="AG26" s="517">
        <f t="shared" si="23"/>
        <v>0</v>
      </c>
      <c r="AI26" s="518">
        <f>R26-'EDl log'!B24</f>
        <v>-48711532</v>
      </c>
    </row>
    <row r="27" spans="1:35">
      <c r="A27" s="509">
        <f>'General information '!F30</f>
        <v>0</v>
      </c>
      <c r="B27" s="503">
        <f t="shared" si="5"/>
        <v>0</v>
      </c>
      <c r="C27" s="510">
        <v>43763</v>
      </c>
      <c r="D27" s="497">
        <f t="shared" si="27"/>
        <v>30926498</v>
      </c>
      <c r="E27" s="335">
        <f t="shared" si="10"/>
        <v>0</v>
      </c>
      <c r="F27" s="497">
        <f t="shared" si="27"/>
        <v>3249618</v>
      </c>
      <c r="G27" s="336">
        <f>F27-F26</f>
        <v>0</v>
      </c>
      <c r="H27" s="497">
        <f t="shared" si="27"/>
        <v>17031052</v>
      </c>
      <c r="I27" s="336">
        <f t="shared" si="11"/>
        <v>0</v>
      </c>
      <c r="J27" s="497">
        <f t="shared" si="27"/>
        <v>28048670</v>
      </c>
      <c r="K27" s="336">
        <f t="shared" si="12"/>
        <v>0</v>
      </c>
      <c r="L27" s="497">
        <f t="shared" si="27"/>
        <v>22153700</v>
      </c>
      <c r="M27" s="336">
        <f t="shared" si="13"/>
        <v>0</v>
      </c>
      <c r="N27" s="334">
        <f t="shared" si="14"/>
        <v>0</v>
      </c>
      <c r="O27" s="519">
        <f t="shared" si="22"/>
        <v>0</v>
      </c>
      <c r="P27" s="497">
        <f t="shared" si="28"/>
        <v>15007.06</v>
      </c>
      <c r="Q27" s="501">
        <f t="shared" si="24"/>
        <v>0</v>
      </c>
      <c r="R27" s="501">
        <f t="shared" si="18"/>
        <v>0</v>
      </c>
      <c r="S27" s="497">
        <f t="shared" si="7"/>
        <v>8031</v>
      </c>
      <c r="T27" s="521">
        <f t="shared" si="2"/>
        <v>0</v>
      </c>
      <c r="U27" s="497">
        <f t="shared" si="20"/>
        <v>949426</v>
      </c>
      <c r="V27" s="501">
        <f t="shared" si="15"/>
        <v>0</v>
      </c>
      <c r="W27" s="497">
        <f t="shared" si="29"/>
        <v>31574</v>
      </c>
      <c r="X27" s="501">
        <f t="shared" si="21"/>
        <v>0</v>
      </c>
      <c r="Y27" s="497">
        <f t="shared" si="30"/>
        <v>569805</v>
      </c>
      <c r="Z27" s="501">
        <f t="shared" si="19"/>
        <v>0</v>
      </c>
      <c r="AA27" s="497">
        <f t="shared" si="25"/>
        <v>34492</v>
      </c>
      <c r="AB27" s="501">
        <f t="shared" si="16"/>
        <v>0</v>
      </c>
      <c r="AC27" s="497">
        <f t="shared" si="26"/>
        <v>658787</v>
      </c>
      <c r="AD27" s="501">
        <f t="shared" si="31"/>
        <v>0</v>
      </c>
      <c r="AE27" s="524">
        <f t="shared" si="8"/>
        <v>0</v>
      </c>
      <c r="AF27" s="525">
        <f t="shared" si="9"/>
        <v>0</v>
      </c>
      <c r="AG27" s="517">
        <f t="shared" si="23"/>
        <v>0</v>
      </c>
      <c r="AI27" s="518">
        <f>R27-'EDl log'!B25</f>
        <v>-48711532</v>
      </c>
    </row>
    <row r="28" spans="1:35">
      <c r="A28" s="509">
        <f>'General information '!F31</f>
        <v>0</v>
      </c>
      <c r="B28" s="503">
        <f t="shared" si="5"/>
        <v>0</v>
      </c>
      <c r="C28" s="510">
        <v>43764</v>
      </c>
      <c r="D28" s="497">
        <f t="shared" si="27"/>
        <v>30926498</v>
      </c>
      <c r="E28" s="335">
        <f t="shared" si="10"/>
        <v>0</v>
      </c>
      <c r="F28" s="497">
        <f t="shared" si="27"/>
        <v>3249618</v>
      </c>
      <c r="G28" s="336">
        <f t="shared" si="0"/>
        <v>0</v>
      </c>
      <c r="H28" s="497">
        <f t="shared" si="27"/>
        <v>17031052</v>
      </c>
      <c r="I28" s="336">
        <f t="shared" si="11"/>
        <v>0</v>
      </c>
      <c r="J28" s="497">
        <f t="shared" si="27"/>
        <v>28048670</v>
      </c>
      <c r="K28" s="336">
        <f t="shared" si="12"/>
        <v>0</v>
      </c>
      <c r="L28" s="497">
        <f t="shared" si="27"/>
        <v>22153700</v>
      </c>
      <c r="M28" s="336">
        <f t="shared" si="13"/>
        <v>0</v>
      </c>
      <c r="N28" s="334">
        <f t="shared" si="14"/>
        <v>0</v>
      </c>
      <c r="O28" s="519">
        <f t="shared" si="22"/>
        <v>0</v>
      </c>
      <c r="P28" s="497">
        <f t="shared" si="28"/>
        <v>15007.06</v>
      </c>
      <c r="Q28" s="501">
        <f t="shared" si="24"/>
        <v>0</v>
      </c>
      <c r="R28" s="501">
        <f>N28-Q28</f>
        <v>0</v>
      </c>
      <c r="S28" s="497">
        <f t="shared" si="7"/>
        <v>8031</v>
      </c>
      <c r="T28" s="521">
        <f t="shared" si="2"/>
        <v>0</v>
      </c>
      <c r="U28" s="497">
        <f t="shared" si="20"/>
        <v>949426</v>
      </c>
      <c r="V28" s="501">
        <f t="shared" si="15"/>
        <v>0</v>
      </c>
      <c r="W28" s="497">
        <f t="shared" si="29"/>
        <v>31574</v>
      </c>
      <c r="X28" s="501">
        <f t="shared" si="21"/>
        <v>0</v>
      </c>
      <c r="Y28" s="497">
        <f t="shared" si="30"/>
        <v>569805</v>
      </c>
      <c r="Z28" s="501">
        <f t="shared" si="19"/>
        <v>0</v>
      </c>
      <c r="AA28" s="497">
        <f t="shared" si="25"/>
        <v>34492</v>
      </c>
      <c r="AB28" s="501">
        <f t="shared" si="16"/>
        <v>0</v>
      </c>
      <c r="AC28" s="497">
        <f t="shared" si="26"/>
        <v>658787</v>
      </c>
      <c r="AD28" s="501">
        <f t="shared" si="31"/>
        <v>0</v>
      </c>
      <c r="AE28" s="524">
        <f t="shared" si="8"/>
        <v>0</v>
      </c>
      <c r="AF28" s="525">
        <f t="shared" si="9"/>
        <v>0</v>
      </c>
      <c r="AG28" s="517">
        <f t="shared" si="23"/>
        <v>0</v>
      </c>
      <c r="AI28" s="518">
        <f>R28-'EDl log'!B26</f>
        <v>-48711532</v>
      </c>
    </row>
    <row r="29" spans="1:35">
      <c r="A29" s="509">
        <f>'General information '!F32</f>
        <v>0</v>
      </c>
      <c r="B29" s="503">
        <f>SUM(230*A29)</f>
        <v>0</v>
      </c>
      <c r="C29" s="510">
        <v>43765</v>
      </c>
      <c r="D29" s="497">
        <f t="shared" si="27"/>
        <v>30926498</v>
      </c>
      <c r="E29" s="335">
        <f t="shared" si="10"/>
        <v>0</v>
      </c>
      <c r="F29" s="497">
        <f t="shared" si="27"/>
        <v>3249618</v>
      </c>
      <c r="G29" s="336">
        <f t="shared" si="0"/>
        <v>0</v>
      </c>
      <c r="H29" s="497">
        <f t="shared" si="27"/>
        <v>17031052</v>
      </c>
      <c r="I29" s="336">
        <f t="shared" si="11"/>
        <v>0</v>
      </c>
      <c r="J29" s="497">
        <f t="shared" si="27"/>
        <v>28048670</v>
      </c>
      <c r="K29" s="336">
        <f t="shared" si="12"/>
        <v>0</v>
      </c>
      <c r="L29" s="497">
        <f t="shared" si="27"/>
        <v>22153700</v>
      </c>
      <c r="M29" s="336">
        <f t="shared" si="13"/>
        <v>0</v>
      </c>
      <c r="N29" s="334">
        <f t="shared" si="14"/>
        <v>0</v>
      </c>
      <c r="O29" s="519">
        <f t="shared" si="22"/>
        <v>0</v>
      </c>
      <c r="P29" s="497">
        <f t="shared" si="28"/>
        <v>15007.06</v>
      </c>
      <c r="Q29" s="501">
        <f t="shared" si="24"/>
        <v>0</v>
      </c>
      <c r="R29" s="501">
        <f t="shared" si="18"/>
        <v>0</v>
      </c>
      <c r="S29" s="497">
        <f t="shared" si="7"/>
        <v>8031</v>
      </c>
      <c r="T29" s="521">
        <f t="shared" si="2"/>
        <v>0</v>
      </c>
      <c r="U29" s="497">
        <f t="shared" si="20"/>
        <v>949426</v>
      </c>
      <c r="V29" s="501">
        <f t="shared" si="15"/>
        <v>0</v>
      </c>
      <c r="W29" s="497">
        <f t="shared" si="29"/>
        <v>31574</v>
      </c>
      <c r="X29" s="501">
        <f t="shared" si="21"/>
        <v>0</v>
      </c>
      <c r="Y29" s="497">
        <f t="shared" si="30"/>
        <v>569805</v>
      </c>
      <c r="Z29" s="501">
        <f t="shared" si="19"/>
        <v>0</v>
      </c>
      <c r="AA29" s="497">
        <f t="shared" si="25"/>
        <v>34492</v>
      </c>
      <c r="AB29" s="501">
        <f t="shared" si="16"/>
        <v>0</v>
      </c>
      <c r="AC29" s="497">
        <f t="shared" si="26"/>
        <v>658787</v>
      </c>
      <c r="AD29" s="501">
        <f t="shared" si="31"/>
        <v>0</v>
      </c>
      <c r="AE29" s="524">
        <f t="shared" si="8"/>
        <v>0</v>
      </c>
      <c r="AF29" s="525">
        <f t="shared" si="9"/>
        <v>0</v>
      </c>
      <c r="AG29" s="517">
        <f t="shared" si="23"/>
        <v>0</v>
      </c>
      <c r="AI29" s="518">
        <f>R29-'EDl log'!B27</f>
        <v>-48711532</v>
      </c>
    </row>
    <row r="30" spans="1:35">
      <c r="A30" s="509">
        <f>'General information '!F33</f>
        <v>0</v>
      </c>
      <c r="B30" s="503">
        <f t="shared" si="5"/>
        <v>0</v>
      </c>
      <c r="C30" s="510">
        <v>43766</v>
      </c>
      <c r="D30" s="497">
        <f t="shared" si="27"/>
        <v>30926498</v>
      </c>
      <c r="E30" s="335">
        <f t="shared" si="10"/>
        <v>0</v>
      </c>
      <c r="F30" s="497">
        <f t="shared" si="27"/>
        <v>3249618</v>
      </c>
      <c r="G30" s="336">
        <f t="shared" si="0"/>
        <v>0</v>
      </c>
      <c r="H30" s="497">
        <f t="shared" si="27"/>
        <v>17031052</v>
      </c>
      <c r="I30" s="336">
        <f t="shared" si="11"/>
        <v>0</v>
      </c>
      <c r="J30" s="497">
        <f t="shared" si="27"/>
        <v>28048670</v>
      </c>
      <c r="K30" s="336">
        <f t="shared" si="12"/>
        <v>0</v>
      </c>
      <c r="L30" s="497">
        <f t="shared" si="27"/>
        <v>22153700</v>
      </c>
      <c r="M30" s="336">
        <f t="shared" si="13"/>
        <v>0</v>
      </c>
      <c r="N30" s="334">
        <f t="shared" si="14"/>
        <v>0</v>
      </c>
      <c r="O30" s="519">
        <f t="shared" si="22"/>
        <v>0</v>
      </c>
      <c r="P30" s="497">
        <f t="shared" si="28"/>
        <v>15007.06</v>
      </c>
      <c r="Q30" s="501">
        <f t="shared" si="24"/>
        <v>0</v>
      </c>
      <c r="R30" s="501">
        <f t="shared" si="18"/>
        <v>0</v>
      </c>
      <c r="S30" s="497">
        <f t="shared" si="7"/>
        <v>8031</v>
      </c>
      <c r="T30" s="521">
        <f t="shared" si="2"/>
        <v>0</v>
      </c>
      <c r="U30" s="497">
        <f t="shared" si="20"/>
        <v>949426</v>
      </c>
      <c r="V30" s="501">
        <f t="shared" si="15"/>
        <v>0</v>
      </c>
      <c r="W30" s="497">
        <f t="shared" si="29"/>
        <v>31574</v>
      </c>
      <c r="X30" s="522">
        <f t="shared" si="21"/>
        <v>0</v>
      </c>
      <c r="Y30" s="497">
        <f t="shared" si="30"/>
        <v>569805</v>
      </c>
      <c r="Z30" s="501">
        <f t="shared" si="19"/>
        <v>0</v>
      </c>
      <c r="AA30" s="497">
        <f t="shared" si="25"/>
        <v>34492</v>
      </c>
      <c r="AB30" s="501">
        <f t="shared" si="16"/>
        <v>0</v>
      </c>
      <c r="AC30" s="497">
        <f t="shared" si="26"/>
        <v>658787</v>
      </c>
      <c r="AD30" s="501">
        <f t="shared" si="31"/>
        <v>0</v>
      </c>
      <c r="AE30" s="524">
        <f t="shared" si="8"/>
        <v>0</v>
      </c>
      <c r="AF30" s="525">
        <f t="shared" si="9"/>
        <v>0</v>
      </c>
      <c r="AG30" s="517">
        <f t="shared" si="23"/>
        <v>0</v>
      </c>
      <c r="AI30" s="518">
        <f>R30-'EDl log'!B28</f>
        <v>-48711532</v>
      </c>
    </row>
    <row r="31" spans="1:35">
      <c r="A31" s="509">
        <f>'General information '!F34</f>
        <v>0</v>
      </c>
      <c r="B31" s="503">
        <f t="shared" si="5"/>
        <v>0</v>
      </c>
      <c r="C31" s="510">
        <v>43767</v>
      </c>
      <c r="D31" s="497">
        <f t="shared" si="27"/>
        <v>30926498</v>
      </c>
      <c r="E31" s="335">
        <f t="shared" si="10"/>
        <v>0</v>
      </c>
      <c r="F31" s="497">
        <f t="shared" si="27"/>
        <v>3249618</v>
      </c>
      <c r="G31" s="336">
        <f t="shared" si="0"/>
        <v>0</v>
      </c>
      <c r="H31" s="497">
        <f t="shared" si="27"/>
        <v>17031052</v>
      </c>
      <c r="I31" s="336">
        <f t="shared" si="11"/>
        <v>0</v>
      </c>
      <c r="J31" s="497">
        <f t="shared" si="27"/>
        <v>28048670</v>
      </c>
      <c r="K31" s="336">
        <f t="shared" si="12"/>
        <v>0</v>
      </c>
      <c r="L31" s="497">
        <f t="shared" si="27"/>
        <v>22153700</v>
      </c>
      <c r="M31" s="336">
        <f t="shared" si="13"/>
        <v>0</v>
      </c>
      <c r="N31" s="334">
        <f t="shared" si="14"/>
        <v>0</v>
      </c>
      <c r="O31" s="519">
        <f t="shared" si="22"/>
        <v>0</v>
      </c>
      <c r="P31" s="497">
        <f t="shared" si="28"/>
        <v>15007.06</v>
      </c>
      <c r="Q31" s="501">
        <f t="shared" si="24"/>
        <v>0</v>
      </c>
      <c r="R31" s="501">
        <f t="shared" si="18"/>
        <v>0</v>
      </c>
      <c r="S31" s="497">
        <f t="shared" si="7"/>
        <v>8031</v>
      </c>
      <c r="T31" s="521">
        <f t="shared" si="2"/>
        <v>0</v>
      </c>
      <c r="U31" s="497">
        <f t="shared" si="20"/>
        <v>949426</v>
      </c>
      <c r="V31" s="501">
        <f t="shared" si="15"/>
        <v>0</v>
      </c>
      <c r="W31" s="497">
        <f t="shared" si="29"/>
        <v>31574</v>
      </c>
      <c r="X31" s="501">
        <f t="shared" si="21"/>
        <v>0</v>
      </c>
      <c r="Y31" s="497">
        <f t="shared" si="30"/>
        <v>569805</v>
      </c>
      <c r="Z31" s="523">
        <f>Y31-Y30</f>
        <v>0</v>
      </c>
      <c r="AA31" s="497">
        <f t="shared" si="25"/>
        <v>34492</v>
      </c>
      <c r="AB31" s="501">
        <f t="shared" si="16"/>
        <v>0</v>
      </c>
      <c r="AC31" s="497">
        <f t="shared" si="26"/>
        <v>658787</v>
      </c>
      <c r="AD31" s="501">
        <f t="shared" si="31"/>
        <v>0</v>
      </c>
      <c r="AE31" s="524">
        <f t="shared" si="8"/>
        <v>0</v>
      </c>
      <c r="AF31" s="525">
        <f t="shared" si="9"/>
        <v>0</v>
      </c>
      <c r="AG31" s="517">
        <f t="shared" si="23"/>
        <v>0</v>
      </c>
      <c r="AI31" s="518">
        <f>R31-'EDl log'!B29</f>
        <v>-48711532</v>
      </c>
    </row>
    <row r="32" spans="1:35">
      <c r="A32" s="509">
        <f>'General information '!F35</f>
        <v>0</v>
      </c>
      <c r="B32" s="503">
        <f>SUM(230*A32)</f>
        <v>0</v>
      </c>
      <c r="C32" s="510">
        <v>43768</v>
      </c>
      <c r="D32" s="497">
        <f t="shared" si="27"/>
        <v>30926498</v>
      </c>
      <c r="E32" s="335">
        <f t="shared" si="10"/>
        <v>0</v>
      </c>
      <c r="F32" s="497">
        <f t="shared" si="27"/>
        <v>3249618</v>
      </c>
      <c r="G32" s="336">
        <f>F32-F31</f>
        <v>0</v>
      </c>
      <c r="H32" s="497">
        <f t="shared" si="27"/>
        <v>17031052</v>
      </c>
      <c r="I32" s="336">
        <f>H32-H31</f>
        <v>0</v>
      </c>
      <c r="J32" s="497">
        <f t="shared" si="27"/>
        <v>28048670</v>
      </c>
      <c r="K32" s="336">
        <f>J32-J31</f>
        <v>0</v>
      </c>
      <c r="L32" s="497">
        <f t="shared" si="27"/>
        <v>22153700</v>
      </c>
      <c r="M32" s="336">
        <f>L32-L31</f>
        <v>0</v>
      </c>
      <c r="N32" s="334">
        <f>M32+K32+I32+G32+E32</f>
        <v>0</v>
      </c>
      <c r="O32" s="519">
        <f t="shared" si="22"/>
        <v>0</v>
      </c>
      <c r="P32" s="497">
        <f t="shared" si="28"/>
        <v>15007.06</v>
      </c>
      <c r="Q32" s="501">
        <f>(P32-P31)*1000</f>
        <v>0</v>
      </c>
      <c r="R32" s="501">
        <f>N32-Q32</f>
        <v>0</v>
      </c>
      <c r="S32" s="497">
        <f t="shared" si="7"/>
        <v>8031</v>
      </c>
      <c r="T32" s="521">
        <f t="shared" si="2"/>
        <v>0</v>
      </c>
      <c r="U32" s="497">
        <f t="shared" si="20"/>
        <v>949426</v>
      </c>
      <c r="V32" s="501">
        <f t="shared" si="15"/>
        <v>0</v>
      </c>
      <c r="W32" s="497">
        <f t="shared" si="29"/>
        <v>31574</v>
      </c>
      <c r="X32" s="501">
        <f t="shared" si="21"/>
        <v>0</v>
      </c>
      <c r="Y32" s="497">
        <f t="shared" si="30"/>
        <v>569805</v>
      </c>
      <c r="Z32" s="523">
        <f>Y32-Y31</f>
        <v>0</v>
      </c>
      <c r="AA32" s="497">
        <f t="shared" si="25"/>
        <v>34492</v>
      </c>
      <c r="AB32" s="501">
        <f t="shared" si="16"/>
        <v>0</v>
      </c>
      <c r="AC32" s="497">
        <f t="shared" si="26"/>
        <v>658787</v>
      </c>
      <c r="AD32" s="501">
        <f t="shared" si="31"/>
        <v>0</v>
      </c>
      <c r="AE32" s="524">
        <f t="shared" si="8"/>
        <v>0</v>
      </c>
      <c r="AF32" s="525">
        <f>V32+Z32+AD32</f>
        <v>0</v>
      </c>
      <c r="AG32" s="517">
        <f t="shared" si="23"/>
        <v>0</v>
      </c>
      <c r="AI32" s="518">
        <f>R32-'EDl log'!B30</f>
        <v>-48711532</v>
      </c>
    </row>
    <row r="33" spans="1:35">
      <c r="A33" s="509">
        <f>'General information '!F36</f>
        <v>0</v>
      </c>
      <c r="B33" s="503">
        <f>SUM(230*A33)</f>
        <v>0</v>
      </c>
      <c r="C33" s="510">
        <v>43769</v>
      </c>
      <c r="D33" s="497">
        <f t="shared" si="27"/>
        <v>30926498</v>
      </c>
      <c r="E33" s="335">
        <f>D33-D32</f>
        <v>0</v>
      </c>
      <c r="F33" s="497">
        <f t="shared" si="27"/>
        <v>3249618</v>
      </c>
      <c r="G33" s="336">
        <f>F33-F32</f>
        <v>0</v>
      </c>
      <c r="H33" s="497">
        <f t="shared" si="27"/>
        <v>17031052</v>
      </c>
      <c r="I33" s="336">
        <f>H33-H32</f>
        <v>0</v>
      </c>
      <c r="J33" s="497">
        <f t="shared" si="27"/>
        <v>28048670</v>
      </c>
      <c r="K33" s="336">
        <f>J33-J32</f>
        <v>0</v>
      </c>
      <c r="L33" s="497">
        <f t="shared" si="27"/>
        <v>22153700</v>
      </c>
      <c r="M33" s="336">
        <f>L33-L32</f>
        <v>0</v>
      </c>
      <c r="N33" s="334">
        <f>M33+K33+I33+G33+E33</f>
        <v>0</v>
      </c>
      <c r="O33" s="519">
        <f>IF(B33&gt;0,N33/B33,0)</f>
        <v>0</v>
      </c>
      <c r="P33" s="497">
        <f t="shared" si="28"/>
        <v>15007.06</v>
      </c>
      <c r="Q33" s="501">
        <f>(P33-P32)*1000</f>
        <v>0</v>
      </c>
      <c r="R33" s="501">
        <f>N33-Q33</f>
        <v>0</v>
      </c>
      <c r="S33" s="497">
        <f t="shared" si="7"/>
        <v>8031</v>
      </c>
      <c r="T33" s="521">
        <f>S33-S32</f>
        <v>0</v>
      </c>
      <c r="U33" s="497">
        <f t="shared" si="20"/>
        <v>949426</v>
      </c>
      <c r="V33" s="501">
        <f>U33-U32</f>
        <v>0</v>
      </c>
      <c r="W33" s="497">
        <f t="shared" si="29"/>
        <v>31574</v>
      </c>
      <c r="X33" s="501">
        <f>W33-W32</f>
        <v>0</v>
      </c>
      <c r="Y33" s="497">
        <f t="shared" si="30"/>
        <v>569805</v>
      </c>
      <c r="Z33" s="523">
        <f>Y33-Y32</f>
        <v>0</v>
      </c>
      <c r="AA33" s="497">
        <f t="shared" si="25"/>
        <v>34492</v>
      </c>
      <c r="AB33" s="501">
        <f>AA33-AA32</f>
        <v>0</v>
      </c>
      <c r="AC33" s="497">
        <f t="shared" si="26"/>
        <v>658787</v>
      </c>
      <c r="AD33" s="501">
        <f>AC33-AC32</f>
        <v>0</v>
      </c>
      <c r="AE33" s="524">
        <f>AB33+X33+T33</f>
        <v>0</v>
      </c>
      <c r="AF33" s="525">
        <f>V33+Z33+AD33</f>
        <v>0</v>
      </c>
      <c r="AG33" s="517">
        <f t="shared" si="23"/>
        <v>0</v>
      </c>
      <c r="AI33" s="518">
        <f>R33-'EDl log'!B31</f>
        <v>-48711532</v>
      </c>
    </row>
    <row r="34" spans="1:35">
      <c r="P34" s="530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43"/>
  <sheetViews>
    <sheetView topLeftCell="AA1" zoomScale="90" zoomScaleNormal="90" workbookViewId="0">
      <pane ySplit="1" topLeftCell="A2" activePane="bottomLeft" state="frozen"/>
      <selection activeCell="K1" sqref="K1"/>
      <selection pane="bottomLeft" activeCell="AR18" sqref="AR18"/>
    </sheetView>
  </sheetViews>
  <sheetFormatPr defaultColWidth="9.1796875" defaultRowHeight="14.5"/>
  <cols>
    <col min="1" max="1" width="11.7265625" style="41" bestFit="1" customWidth="1"/>
    <col min="2" max="2" width="14.1796875" style="42" bestFit="1" customWidth="1"/>
    <col min="3" max="3" width="15.81640625" style="42" customWidth="1"/>
    <col min="4" max="4" width="15.1796875" style="42" bestFit="1" customWidth="1"/>
    <col min="5" max="5" width="12.453125" style="42" bestFit="1" customWidth="1"/>
    <col min="6" max="6" width="8.453125" style="42" bestFit="1" customWidth="1"/>
    <col min="7" max="7" width="8.81640625" style="42" bestFit="1" customWidth="1"/>
    <col min="8" max="8" width="12.54296875" style="42" bestFit="1" customWidth="1"/>
    <col min="9" max="9" width="18.1796875" style="42" customWidth="1"/>
    <col min="10" max="10" width="8.453125" style="42" hidden="1" customWidth="1"/>
    <col min="11" max="11" width="11.54296875" style="42" bestFit="1" customWidth="1"/>
    <col min="12" max="12" width="8" style="42" bestFit="1" customWidth="1"/>
    <col min="13" max="14" width="8" style="42" customWidth="1"/>
    <col min="15" max="15" width="0.26953125" style="69" customWidth="1"/>
    <col min="16" max="16" width="8.1796875" style="42" bestFit="1" customWidth="1"/>
    <col min="17" max="18" width="7.81640625" style="42" customWidth="1"/>
    <col min="19" max="19" width="6.453125" style="42" customWidth="1"/>
    <col min="20" max="20" width="13" style="71" hidden="1" customWidth="1"/>
    <col min="21" max="21" width="13" style="71" customWidth="1"/>
    <col min="22" max="22" width="12.7265625" style="71" customWidth="1"/>
    <col min="23" max="23" width="13" style="71" hidden="1" customWidth="1"/>
    <col min="24" max="24" width="8" style="42" bestFit="1" customWidth="1"/>
    <col min="25" max="25" width="10.1796875" style="42" customWidth="1"/>
    <col min="26" max="26" width="15.1796875" style="42" bestFit="1" customWidth="1"/>
    <col min="27" max="27" width="9.26953125" style="42" customWidth="1"/>
    <col min="28" max="28" width="8.54296875" style="42" hidden="1" customWidth="1"/>
    <col min="29" max="29" width="8.26953125" style="42" customWidth="1"/>
    <col min="30" max="30" width="11.453125" style="42" customWidth="1"/>
    <col min="31" max="31" width="14.7265625" style="72" bestFit="1" customWidth="1"/>
    <col min="32" max="32" width="10" style="42" customWidth="1"/>
    <col min="33" max="33" width="11.7265625" style="69" hidden="1" customWidth="1"/>
    <col min="34" max="34" width="12.54296875" style="71" customWidth="1"/>
    <col min="35" max="37" width="12.7265625" style="345" customWidth="1"/>
    <col min="38" max="38" width="11.1796875" style="345" bestFit="1" customWidth="1"/>
    <col min="39" max="39" width="11.453125" style="345" bestFit="1" customWidth="1"/>
    <col min="40" max="40" width="8.453125" style="72" customWidth="1"/>
    <col min="41" max="41" width="8.1796875" style="72" customWidth="1"/>
    <col min="42" max="45" width="9.1796875" style="72"/>
    <col min="46" max="46" width="10.1796875" style="72" customWidth="1"/>
    <col min="47" max="47" width="10.1796875" style="72" bestFit="1" customWidth="1"/>
    <col min="48" max="49" width="9.1796875" style="42"/>
    <col min="50" max="50" width="9.1796875" style="337"/>
    <col min="51" max="16384" width="9.1796875" style="42"/>
  </cols>
  <sheetData>
    <row r="1" spans="1:50" ht="29.5" thickBot="1">
      <c r="F1" s="587" t="s">
        <v>2</v>
      </c>
      <c r="G1" s="588"/>
      <c r="H1" s="588"/>
      <c r="I1" s="589"/>
      <c r="J1" s="300">
        <f>J36</f>
        <v>76.791666666666657</v>
      </c>
      <c r="K1" s="590" t="s">
        <v>4</v>
      </c>
      <c r="L1" s="591"/>
      <c r="M1" s="591"/>
      <c r="N1" s="591"/>
      <c r="O1" s="592"/>
      <c r="P1" s="581" t="s">
        <v>6</v>
      </c>
      <c r="Q1" s="582"/>
      <c r="R1" s="582"/>
      <c r="S1" s="582"/>
      <c r="T1" s="583"/>
      <c r="U1" s="430"/>
      <c r="V1" s="27" t="s">
        <v>104</v>
      </c>
      <c r="W1" s="431"/>
      <c r="X1" s="581" t="s">
        <v>8</v>
      </c>
      <c r="Y1" s="582"/>
      <c r="Z1" s="582"/>
      <c r="AA1" s="582"/>
      <c r="AB1" s="582"/>
      <c r="AC1" s="584" t="s">
        <v>10</v>
      </c>
      <c r="AD1" s="585"/>
      <c r="AE1" s="585"/>
      <c r="AF1" s="586"/>
      <c r="AG1" s="213"/>
      <c r="AH1" s="86" t="s">
        <v>105</v>
      </c>
      <c r="AI1" s="338" t="s">
        <v>128</v>
      </c>
      <c r="AJ1" s="338"/>
      <c r="AK1" s="338"/>
      <c r="AL1" s="338" t="s">
        <v>133</v>
      </c>
      <c r="AM1" s="338" t="s">
        <v>134</v>
      </c>
      <c r="AN1" s="340" t="s">
        <v>12</v>
      </c>
      <c r="AO1" s="340" t="s">
        <v>13</v>
      </c>
      <c r="AP1" s="340" t="s">
        <v>14</v>
      </c>
      <c r="AQ1" s="340" t="s">
        <v>15</v>
      </c>
      <c r="AR1" s="340" t="s">
        <v>16</v>
      </c>
      <c r="AS1" s="340" t="s">
        <v>17</v>
      </c>
      <c r="AT1" s="340"/>
      <c r="AU1" s="341" t="s">
        <v>18</v>
      </c>
      <c r="AV1" s="182" t="s">
        <v>71</v>
      </c>
      <c r="AW1" s="182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9"/>
      <c r="R2" s="580"/>
      <c r="S2" s="52" t="s">
        <v>7</v>
      </c>
      <c r="T2" s="53"/>
      <c r="U2" s="434" t="s">
        <v>384</v>
      </c>
      <c r="V2" s="54" t="s">
        <v>103</v>
      </c>
      <c r="W2" s="432"/>
      <c r="X2" s="55" t="s">
        <v>8</v>
      </c>
      <c r="Y2" s="46" t="s">
        <v>9</v>
      </c>
      <c r="Z2" s="418" t="s">
        <v>380</v>
      </c>
      <c r="AA2" s="419" t="s">
        <v>381</v>
      </c>
      <c r="AB2" s="299"/>
      <c r="AC2" s="49" t="s">
        <v>10</v>
      </c>
      <c r="AD2" s="56" t="s">
        <v>11</v>
      </c>
      <c r="AE2" s="57" t="s">
        <v>81</v>
      </c>
      <c r="AF2" s="58" t="s">
        <v>82</v>
      </c>
      <c r="AG2" s="214" t="s">
        <v>127</v>
      </c>
      <c r="AH2" s="54" t="s">
        <v>103</v>
      </c>
      <c r="AI2" s="339" t="s">
        <v>103</v>
      </c>
      <c r="AJ2" s="422"/>
      <c r="AK2" s="422"/>
      <c r="AL2" s="422"/>
      <c r="AM2" s="422"/>
      <c r="AN2" s="421"/>
      <c r="AO2" s="421"/>
      <c r="AP2" s="421"/>
      <c r="AQ2" s="421"/>
      <c r="AR2" s="421"/>
      <c r="AS2" s="421"/>
      <c r="AT2" s="421"/>
      <c r="AU2" s="421"/>
      <c r="AV2" s="281"/>
      <c r="AW2" s="281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34"/>
      <c r="V3" s="59"/>
      <c r="W3" s="432"/>
      <c r="X3" s="55"/>
      <c r="Y3" s="52"/>
      <c r="Z3" s="47"/>
      <c r="AA3" s="47"/>
      <c r="AB3" s="47"/>
      <c r="AC3" s="49"/>
      <c r="AD3" s="45"/>
      <c r="AE3" s="60"/>
      <c r="AF3" s="61"/>
      <c r="AG3" s="215"/>
      <c r="AH3" s="62"/>
      <c r="AI3" s="342"/>
      <c r="AJ3" s="343"/>
      <c r="AK3" s="343"/>
      <c r="AL3" s="343"/>
      <c r="AM3" s="343"/>
    </row>
    <row r="4" spans="1:50" s="364" customFormat="1">
      <c r="A4" s="63">
        <f>ELEC!C2</f>
        <v>43738</v>
      </c>
      <c r="B4" s="428">
        <f>[1]B5!B34</f>
        <v>202</v>
      </c>
      <c r="C4" s="428">
        <f>[1]B5!C34</f>
        <v>219</v>
      </c>
      <c r="D4" s="428">
        <f>[1]B5!D34</f>
        <v>-29</v>
      </c>
      <c r="E4" s="428">
        <f>[1]B5!E34</f>
        <v>-243.02</v>
      </c>
      <c r="F4" s="428">
        <f>[1]B5!F34</f>
        <v>1128</v>
      </c>
      <c r="G4" s="428">
        <f>[1]B5!G34</f>
        <v>0</v>
      </c>
      <c r="H4" s="428">
        <f>[1]B5!H34</f>
        <v>316410</v>
      </c>
      <c r="I4" s="428">
        <f>[1]B5!I34</f>
        <v>0</v>
      </c>
      <c r="J4" s="428">
        <f>[1]B5!J34</f>
        <v>0</v>
      </c>
      <c r="K4" s="428">
        <f>[1]B5!K34</f>
        <v>1523</v>
      </c>
      <c r="L4" s="428">
        <f>[1]B5!L34</f>
        <v>0</v>
      </c>
      <c r="M4" s="428">
        <f>[1]B5!M34</f>
        <v>111660</v>
      </c>
      <c r="N4" s="428">
        <f>[1]B5!N34</f>
        <v>0</v>
      </c>
      <c r="O4" s="428">
        <f>[1]B5!O34</f>
        <v>0</v>
      </c>
      <c r="P4" s="428">
        <f>[1]B5!P34</f>
        <v>1332</v>
      </c>
      <c r="Q4" s="428">
        <f>[1]B5!Q34</f>
        <v>116230</v>
      </c>
      <c r="R4" s="428">
        <f>[1]B5!R34</f>
        <v>271</v>
      </c>
      <c r="S4" s="428">
        <f>[1]B5!S34</f>
        <v>3</v>
      </c>
      <c r="T4" s="428">
        <f>[1]B5!T34</f>
        <v>0</v>
      </c>
      <c r="U4" s="428">
        <f>[1]B5!U34</f>
        <v>3</v>
      </c>
      <c r="V4" s="428">
        <f>[1]B5!V34</f>
        <v>271</v>
      </c>
      <c r="W4" s="428">
        <f>[1]B5!W34</f>
        <v>0</v>
      </c>
      <c r="X4" s="428">
        <f>[1]B5!X34</f>
        <v>2185</v>
      </c>
      <c r="Y4" s="428">
        <f>[1]B5!Y34</f>
        <v>0</v>
      </c>
      <c r="Z4" s="428">
        <f>[1]B5!Z34</f>
        <v>123531.8</v>
      </c>
      <c r="AA4" s="428">
        <f>[1]B5!AA34</f>
        <v>0</v>
      </c>
      <c r="AB4" s="428">
        <f>[1]B5!AB34</f>
        <v>0</v>
      </c>
      <c r="AC4" s="428">
        <f>[1]B5!AC34</f>
        <v>1378</v>
      </c>
      <c r="AD4" s="428">
        <f>[1]B5!AD34</f>
        <v>14</v>
      </c>
      <c r="AE4" s="428">
        <f>[1]B5!AE34</f>
        <v>337399.4</v>
      </c>
      <c r="AF4" s="428">
        <f>[1]B5!AF34</f>
        <v>617.10000000003492</v>
      </c>
      <c r="AG4" s="428">
        <f>[1]B5!AG34</f>
        <v>44.078571428573923</v>
      </c>
      <c r="AH4" s="428">
        <f>[1]B5!AH34</f>
        <v>617.10000000003492</v>
      </c>
      <c r="AI4" s="428">
        <f>[1]B5!AI34</f>
        <v>888.10000000003492</v>
      </c>
      <c r="AJ4" s="428">
        <f>[1]B5!AJ34</f>
        <v>888.10000000003492</v>
      </c>
      <c r="AK4" s="428">
        <f>[1]B5!AK34</f>
        <v>0</v>
      </c>
      <c r="AL4" s="428">
        <f>[1]B5!AL34</f>
        <v>3</v>
      </c>
      <c r="AM4" s="428">
        <f>[1]B5!AM34</f>
        <v>14</v>
      </c>
      <c r="AN4" s="428">
        <f>[1]B5!AN34</f>
        <v>71</v>
      </c>
      <c r="AO4" s="428">
        <f>[1]B5!AO34</f>
        <v>2130</v>
      </c>
      <c r="AP4" s="428">
        <f>[1]B5!AP34</f>
        <v>69</v>
      </c>
      <c r="AQ4" s="428">
        <f>[1]B5!AQ34</f>
        <v>2070</v>
      </c>
      <c r="AR4" s="428">
        <f>[1]B5!AR34</f>
        <v>69</v>
      </c>
      <c r="AS4" s="428">
        <f>[1]B5!AS34</f>
        <v>2070</v>
      </c>
      <c r="AT4" s="428">
        <f>[1]B5!AT34</f>
        <v>6270</v>
      </c>
      <c r="AU4" s="428">
        <f>[1]B5!AU34</f>
        <v>480</v>
      </c>
      <c r="AV4" s="428">
        <f>[1]B5!AV34</f>
        <v>0</v>
      </c>
      <c r="AW4" s="428">
        <f>[1]B5!AW34</f>
        <v>0</v>
      </c>
      <c r="AX4" s="428">
        <f>[1]B5!AX34</f>
        <v>0.7</v>
      </c>
    </row>
    <row r="5" spans="1:50">
      <c r="A5" s="63">
        <f>ELEC!C3</f>
        <v>43739</v>
      </c>
      <c r="B5" s="64">
        <v>188</v>
      </c>
      <c r="C5" s="64">
        <v>194</v>
      </c>
      <c r="D5" s="45">
        <f t="shared" ref="D5:D34" si="0">C4-C5</f>
        <v>25</v>
      </c>
      <c r="E5" s="45">
        <f>D5*8.38</f>
        <v>209.50000000000003</v>
      </c>
      <c r="F5" s="64">
        <v>1130</v>
      </c>
      <c r="G5" s="52">
        <f t="shared" ref="G5:G34" si="1">F5-F4</f>
        <v>2</v>
      </c>
      <c r="H5" s="64">
        <v>316537</v>
      </c>
      <c r="I5" s="429">
        <f t="shared" ref="I5:I34" si="2">SUM(H5-H4)</f>
        <v>127</v>
      </c>
      <c r="J5" s="66">
        <v>1</v>
      </c>
      <c r="K5" s="64">
        <f>K4</f>
        <v>1523</v>
      </c>
      <c r="L5" s="52">
        <f t="shared" ref="L5:L34" si="3">K5-K4</f>
        <v>0</v>
      </c>
      <c r="M5" s="64">
        <f>M4</f>
        <v>111660</v>
      </c>
      <c r="N5" s="429">
        <f t="shared" ref="N5:N30" si="4">M5-M4</f>
        <v>0</v>
      </c>
      <c r="O5" s="367">
        <f t="shared" ref="O5:O34" si="5">SUM(L5*$J$1)</f>
        <v>0</v>
      </c>
      <c r="P5" s="64">
        <v>1334</v>
      </c>
      <c r="Q5" s="64">
        <v>116399</v>
      </c>
      <c r="R5" s="428">
        <f t="shared" ref="R5:R10" si="6">Q5-Q4</f>
        <v>169</v>
      </c>
      <c r="S5" s="52">
        <f>SUM(P5-P4)</f>
        <v>2</v>
      </c>
      <c r="T5" s="68">
        <f>SUM(S5*$T$2)</f>
        <v>0</v>
      </c>
      <c r="U5" s="435">
        <f>SUM(G5+L5+S5)</f>
        <v>4</v>
      </c>
      <c r="V5" s="62">
        <f>R5+N5+I5:I5</f>
        <v>296</v>
      </c>
      <c r="W5" s="433">
        <f>SUM(V5/U5)</f>
        <v>74</v>
      </c>
      <c r="X5" s="64">
        <v>2185</v>
      </c>
      <c r="Y5" s="52">
        <f>X5-X4</f>
        <v>0</v>
      </c>
      <c r="Z5" s="64">
        <v>123531.8</v>
      </c>
      <c r="AA5" s="65">
        <f t="shared" ref="AA5:AA34" si="7">Z5-Z4</f>
        <v>0</v>
      </c>
      <c r="AB5" s="302">
        <f>SUM(Y5*$AB$2)</f>
        <v>0</v>
      </c>
      <c r="AC5" s="64">
        <v>1390</v>
      </c>
      <c r="AD5" s="45">
        <f t="shared" ref="AD5:AD34" si="8">AC5-AC4</f>
        <v>12</v>
      </c>
      <c r="AE5" s="64">
        <v>337942.5</v>
      </c>
      <c r="AF5" s="330">
        <f>AE5-AE4</f>
        <v>543.09999999997672</v>
      </c>
      <c r="AG5" s="215">
        <f>IF(AD5&gt;0,AF5/AD5,0)</f>
        <v>45.258333333331393</v>
      </c>
      <c r="AH5" s="62">
        <f>AF5+AA5</f>
        <v>543.09999999997672</v>
      </c>
      <c r="AI5" s="342">
        <f>SUM(AH5+V5)</f>
        <v>839.09999999997672</v>
      </c>
      <c r="AJ5" s="342">
        <f>-tanks!AW6</f>
        <v>839.09999999997672</v>
      </c>
      <c r="AK5" s="342">
        <f>SUM(AJ5-AI5)</f>
        <v>0</v>
      </c>
      <c r="AL5" s="342">
        <f t="shared" ref="AL5:AL18" si="9">S5+L5+G5</f>
        <v>4</v>
      </c>
      <c r="AM5" s="342">
        <f>Y5+AD5</f>
        <v>12</v>
      </c>
      <c r="AN5" s="64">
        <v>68</v>
      </c>
      <c r="AO5" s="344">
        <f>(AN5/100)*3000</f>
        <v>2040.0000000000002</v>
      </c>
      <c r="AP5" s="64">
        <v>66</v>
      </c>
      <c r="AQ5" s="344">
        <f>(AP5/100)*3000</f>
        <v>1980</v>
      </c>
      <c r="AR5" s="64">
        <v>66</v>
      </c>
      <c r="AS5" s="344">
        <f>(AR5/100)*3000</f>
        <v>1980</v>
      </c>
      <c r="AT5" s="344">
        <f>SUM(AO5+AQ5+AS5)</f>
        <v>6000</v>
      </c>
      <c r="AU5" s="344">
        <f>AT4-AT5+AV5</f>
        <v>270</v>
      </c>
      <c r="AV5" s="281">
        <v>0</v>
      </c>
      <c r="AW5" s="281">
        <v>0</v>
      </c>
      <c r="AX5" s="337">
        <f>IF(AV5&gt;0,AW5,AX4)</f>
        <v>0.7</v>
      </c>
    </row>
    <row r="6" spans="1:50">
      <c r="A6" s="63">
        <f>ELEC!C4</f>
        <v>43740</v>
      </c>
      <c r="B6" s="64">
        <v>174</v>
      </c>
      <c r="C6" s="64">
        <v>180</v>
      </c>
      <c r="D6" s="45">
        <f t="shared" si="0"/>
        <v>14</v>
      </c>
      <c r="E6" s="45">
        <f t="shared" ref="E6:E28" si="10">D6*8.38</f>
        <v>117.32000000000001</v>
      </c>
      <c r="F6" s="64">
        <v>1133</v>
      </c>
      <c r="G6" s="52">
        <f t="shared" si="1"/>
        <v>3</v>
      </c>
      <c r="H6" s="64">
        <v>316814</v>
      </c>
      <c r="I6" s="429">
        <f t="shared" si="2"/>
        <v>277</v>
      </c>
      <c r="J6" s="66">
        <f t="shared" ref="J6:J34" si="11">IF(G6&gt;0,I6/G6,0)</f>
        <v>92.333333333333329</v>
      </c>
      <c r="K6" s="64">
        <f t="shared" ref="K6:M35" si="12">K5</f>
        <v>1523</v>
      </c>
      <c r="L6" s="52">
        <f t="shared" si="3"/>
        <v>0</v>
      </c>
      <c r="M6" s="64">
        <f t="shared" si="12"/>
        <v>111660</v>
      </c>
      <c r="N6" s="429">
        <f t="shared" si="4"/>
        <v>0</v>
      </c>
      <c r="O6" s="67">
        <f t="shared" si="5"/>
        <v>0</v>
      </c>
      <c r="P6" s="64">
        <v>1335</v>
      </c>
      <c r="Q6" s="64">
        <v>116416</v>
      </c>
      <c r="R6" s="428">
        <f t="shared" si="6"/>
        <v>17</v>
      </c>
      <c r="S6" s="52">
        <f t="shared" ref="S6:S23" si="13">SUM(P6-P5)</f>
        <v>1</v>
      </c>
      <c r="T6" s="68">
        <f>SUM(S6*$T$2)</f>
        <v>0</v>
      </c>
      <c r="U6" s="435">
        <f t="shared" ref="U6:U34" si="14">SUM(G6+L6+S6)</f>
        <v>4</v>
      </c>
      <c r="V6" s="62">
        <f t="shared" ref="V6:V34" si="15">R6+N6+I6:I6</f>
        <v>294</v>
      </c>
      <c r="W6" s="433">
        <f t="shared" ref="W6:W16" si="16">SUM(V6/U6)</f>
        <v>73.5</v>
      </c>
      <c r="X6" s="64">
        <f t="shared" ref="X6:Z35" si="17">X5</f>
        <v>2185</v>
      </c>
      <c r="Y6" s="52">
        <f t="shared" ref="Y6:Y34" si="18">X6-X5</f>
        <v>0</v>
      </c>
      <c r="Z6" s="64">
        <f t="shared" si="17"/>
        <v>123531.8</v>
      </c>
      <c r="AA6" s="65">
        <f t="shared" si="7"/>
        <v>0</v>
      </c>
      <c r="AB6" s="302">
        <f>SUM(Y6*$AB$2)</f>
        <v>0</v>
      </c>
      <c r="AC6" s="64">
        <v>1401</v>
      </c>
      <c r="AD6" s="45">
        <f t="shared" si="8"/>
        <v>11</v>
      </c>
      <c r="AE6" s="64">
        <v>338451.1</v>
      </c>
      <c r="AF6" s="330">
        <f t="shared" ref="AF6:AF34" si="19">AE6-AE5</f>
        <v>508.59999999997672</v>
      </c>
      <c r="AG6" s="215">
        <f>IF(AD6&gt;0,AF6/AD6,0)</f>
        <v>46.236363636361517</v>
      </c>
      <c r="AH6" s="62">
        <f t="shared" ref="AH6:AH34" si="20">AF6+AA6</f>
        <v>508.59999999997672</v>
      </c>
      <c r="AI6" s="342">
        <f t="shared" ref="AI6:AI34" si="21">SUM(AH6+V6)</f>
        <v>802.59999999997672</v>
      </c>
      <c r="AJ6" s="342">
        <f>-tanks!AW7</f>
        <v>802.59999999997672</v>
      </c>
      <c r="AK6" s="342">
        <f t="shared" ref="AK6:AK34" si="22">SUM(AJ6-AI6)</f>
        <v>0</v>
      </c>
      <c r="AL6" s="342">
        <f t="shared" si="9"/>
        <v>4</v>
      </c>
      <c r="AM6" s="342">
        <f t="shared" ref="AM6:AM33" si="23">Y6+AD6</f>
        <v>11</v>
      </c>
      <c r="AN6" s="64">
        <v>65</v>
      </c>
      <c r="AO6" s="344">
        <f t="shared" ref="AO6:AO26" si="24">(AN6/100)*3000</f>
        <v>1950</v>
      </c>
      <c r="AP6" s="64">
        <v>64</v>
      </c>
      <c r="AQ6" s="344">
        <f t="shared" ref="AQ6:AQ24" si="25">(AP6/100)*3000</f>
        <v>1920</v>
      </c>
      <c r="AR6" s="64">
        <v>63</v>
      </c>
      <c r="AS6" s="344">
        <f>(AR6/100)*3000</f>
        <v>1890</v>
      </c>
      <c r="AT6" s="344">
        <f>SUM(AO6+AQ6+AS6)</f>
        <v>5760</v>
      </c>
      <c r="AU6" s="344">
        <f>AT5-AT6+AV6</f>
        <v>240</v>
      </c>
      <c r="AV6" s="281"/>
      <c r="AW6" s="281"/>
      <c r="AX6" s="337">
        <f t="shared" ref="AX6:AX34" si="26">IF(AV6&gt;0,AW6,AX5)</f>
        <v>0.7</v>
      </c>
    </row>
    <row r="7" spans="1:50">
      <c r="A7" s="63">
        <f>ELEC!C5</f>
        <v>43741</v>
      </c>
      <c r="B7" s="64">
        <v>159</v>
      </c>
      <c r="C7" s="64">
        <v>165</v>
      </c>
      <c r="D7" s="45">
        <f t="shared" si="0"/>
        <v>15</v>
      </c>
      <c r="E7" s="45">
        <f t="shared" si="10"/>
        <v>125.70000000000002</v>
      </c>
      <c r="F7" s="64">
        <v>1135</v>
      </c>
      <c r="G7" s="52">
        <f t="shared" si="1"/>
        <v>2</v>
      </c>
      <c r="H7" s="64">
        <v>316977</v>
      </c>
      <c r="I7" s="429">
        <f t="shared" si="2"/>
        <v>163</v>
      </c>
      <c r="J7" s="66">
        <f t="shared" si="11"/>
        <v>81.5</v>
      </c>
      <c r="K7" s="64">
        <f t="shared" si="12"/>
        <v>1523</v>
      </c>
      <c r="L7" s="52">
        <f t="shared" si="3"/>
        <v>0</v>
      </c>
      <c r="M7" s="64">
        <f t="shared" si="12"/>
        <v>111660</v>
      </c>
      <c r="N7" s="429">
        <f t="shared" si="4"/>
        <v>0</v>
      </c>
      <c r="O7" s="67">
        <v>1</v>
      </c>
      <c r="P7" s="64">
        <v>1336</v>
      </c>
      <c r="Q7" s="64">
        <v>116541</v>
      </c>
      <c r="R7" s="428">
        <f t="shared" si="6"/>
        <v>125</v>
      </c>
      <c r="S7" s="52">
        <f t="shared" si="13"/>
        <v>1</v>
      </c>
      <c r="T7" s="68">
        <f t="shared" ref="T7:T34" si="27">SUM(S7*$T$2)</f>
        <v>0</v>
      </c>
      <c r="U7" s="435">
        <f t="shared" si="14"/>
        <v>3</v>
      </c>
      <c r="V7" s="62">
        <f t="shared" si="15"/>
        <v>288</v>
      </c>
      <c r="W7" s="433">
        <f t="shared" si="16"/>
        <v>96</v>
      </c>
      <c r="X7" s="64">
        <f t="shared" si="17"/>
        <v>2185</v>
      </c>
      <c r="Y7" s="52">
        <f t="shared" si="18"/>
        <v>0</v>
      </c>
      <c r="Z7" s="64">
        <f t="shared" si="17"/>
        <v>123531.8</v>
      </c>
      <c r="AA7" s="65">
        <f t="shared" si="7"/>
        <v>0</v>
      </c>
      <c r="AB7" s="302">
        <f t="shared" ref="AB7:AB17" si="28">SUM(Y7*$AB$2)</f>
        <v>0</v>
      </c>
      <c r="AC7" s="64">
        <v>1412</v>
      </c>
      <c r="AD7" s="45">
        <f t="shared" si="8"/>
        <v>11</v>
      </c>
      <c r="AE7" s="64">
        <v>338975.7</v>
      </c>
      <c r="AF7" s="330">
        <f t="shared" si="19"/>
        <v>524.60000000003492</v>
      </c>
      <c r="AG7" s="215">
        <f t="shared" ref="AG7:AG34" si="29">IF(AD7&gt;0,AF7/AD7,0)</f>
        <v>47.690909090912264</v>
      </c>
      <c r="AH7" s="62">
        <f t="shared" si="20"/>
        <v>524.60000000003492</v>
      </c>
      <c r="AI7" s="342">
        <f t="shared" si="21"/>
        <v>812.60000000003492</v>
      </c>
      <c r="AJ7" s="342">
        <f>-tanks!AW8</f>
        <v>812.60000000003492</v>
      </c>
      <c r="AK7" s="342">
        <f t="shared" si="22"/>
        <v>0</v>
      </c>
      <c r="AL7" s="342">
        <f t="shared" si="9"/>
        <v>3</v>
      </c>
      <c r="AM7" s="342">
        <f t="shared" si="23"/>
        <v>11</v>
      </c>
      <c r="AN7" s="64">
        <v>63</v>
      </c>
      <c r="AO7" s="344">
        <f t="shared" si="24"/>
        <v>1890</v>
      </c>
      <c r="AP7" s="64">
        <v>61</v>
      </c>
      <c r="AQ7" s="344">
        <f t="shared" si="25"/>
        <v>1830</v>
      </c>
      <c r="AR7" s="64">
        <v>61</v>
      </c>
      <c r="AS7" s="344">
        <f t="shared" ref="AS7:AS34" si="30">(AR7/100)*3000</f>
        <v>1830</v>
      </c>
      <c r="AT7" s="344">
        <f t="shared" ref="AT7:AT23" si="31">SUM(AO7+AQ7+AS7)</f>
        <v>5550</v>
      </c>
      <c r="AU7" s="344">
        <f t="shared" ref="AU7:AU34" si="32">AT6-AT7+AV7</f>
        <v>210</v>
      </c>
      <c r="AV7" s="281"/>
      <c r="AW7" s="281"/>
      <c r="AX7" s="337">
        <f t="shared" si="26"/>
        <v>0.7</v>
      </c>
    </row>
    <row r="8" spans="1:50">
      <c r="A8" s="63">
        <f>ELEC!C6</f>
        <v>43742</v>
      </c>
      <c r="B8" s="64">
        <v>204</v>
      </c>
      <c r="C8" s="64">
        <v>210</v>
      </c>
      <c r="D8" s="45">
        <f t="shared" si="0"/>
        <v>-45</v>
      </c>
      <c r="E8" s="45">
        <f t="shared" si="10"/>
        <v>-377.1</v>
      </c>
      <c r="F8" s="64">
        <f t="shared" ref="F8:H35" si="33">F7</f>
        <v>1135</v>
      </c>
      <c r="G8" s="52">
        <f t="shared" si="1"/>
        <v>0</v>
      </c>
      <c r="H8" s="64">
        <f t="shared" si="33"/>
        <v>316977</v>
      </c>
      <c r="I8" s="429">
        <f t="shared" si="2"/>
        <v>0</v>
      </c>
      <c r="J8" s="66">
        <f t="shared" si="11"/>
        <v>0</v>
      </c>
      <c r="K8" s="64">
        <f t="shared" si="12"/>
        <v>1523</v>
      </c>
      <c r="L8" s="52">
        <f t="shared" si="3"/>
        <v>0</v>
      </c>
      <c r="M8" s="64">
        <f t="shared" si="12"/>
        <v>111660</v>
      </c>
      <c r="N8" s="429">
        <f t="shared" si="4"/>
        <v>0</v>
      </c>
      <c r="O8" s="67">
        <f t="shared" si="5"/>
        <v>0</v>
      </c>
      <c r="P8" s="64">
        <v>1339</v>
      </c>
      <c r="Q8" s="64">
        <v>116834</v>
      </c>
      <c r="R8" s="428">
        <f t="shared" si="6"/>
        <v>293</v>
      </c>
      <c r="S8" s="52">
        <f t="shared" si="13"/>
        <v>3</v>
      </c>
      <c r="T8" s="68">
        <f t="shared" si="27"/>
        <v>0</v>
      </c>
      <c r="U8" s="435">
        <f t="shared" si="14"/>
        <v>3</v>
      </c>
      <c r="V8" s="62">
        <f t="shared" si="15"/>
        <v>293</v>
      </c>
      <c r="W8" s="433">
        <f t="shared" si="16"/>
        <v>97.666666666666671</v>
      </c>
      <c r="X8" s="64">
        <f t="shared" si="17"/>
        <v>2185</v>
      </c>
      <c r="Y8" s="52">
        <f t="shared" si="18"/>
        <v>0</v>
      </c>
      <c r="Z8" s="64">
        <f t="shared" si="17"/>
        <v>123531.8</v>
      </c>
      <c r="AA8" s="65">
        <f t="shared" si="7"/>
        <v>0</v>
      </c>
      <c r="AB8" s="302">
        <f t="shared" si="28"/>
        <v>0</v>
      </c>
      <c r="AC8" s="64">
        <v>1426</v>
      </c>
      <c r="AD8" s="45">
        <f t="shared" si="8"/>
        <v>14</v>
      </c>
      <c r="AE8" s="64">
        <v>339615.2</v>
      </c>
      <c r="AF8" s="330">
        <f t="shared" si="19"/>
        <v>639.5</v>
      </c>
      <c r="AG8" s="215">
        <f t="shared" si="29"/>
        <v>45.678571428571431</v>
      </c>
      <c r="AH8" s="62">
        <f t="shared" si="20"/>
        <v>639.5</v>
      </c>
      <c r="AI8" s="342">
        <f t="shared" si="21"/>
        <v>932.5</v>
      </c>
      <c r="AJ8" s="342">
        <f>-tanks!AW9</f>
        <v>932.5</v>
      </c>
      <c r="AK8" s="342">
        <f t="shared" si="22"/>
        <v>0</v>
      </c>
      <c r="AL8" s="342">
        <f t="shared" si="9"/>
        <v>3</v>
      </c>
      <c r="AM8" s="342">
        <f t="shared" si="23"/>
        <v>14</v>
      </c>
      <c r="AN8" s="64">
        <v>80</v>
      </c>
      <c r="AO8" s="344">
        <f t="shared" si="24"/>
        <v>2400</v>
      </c>
      <c r="AP8" s="64">
        <v>83</v>
      </c>
      <c r="AQ8" s="344">
        <f t="shared" si="25"/>
        <v>2490</v>
      </c>
      <c r="AR8" s="64">
        <v>83</v>
      </c>
      <c r="AS8" s="344">
        <f t="shared" si="30"/>
        <v>2490</v>
      </c>
      <c r="AT8" s="344">
        <f t="shared" si="31"/>
        <v>7380</v>
      </c>
      <c r="AU8" s="344">
        <f t="shared" si="32"/>
        <v>570</v>
      </c>
      <c r="AV8" s="281">
        <v>2400</v>
      </c>
      <c r="AW8" s="281">
        <v>0.7</v>
      </c>
      <c r="AX8" s="337">
        <f t="shared" si="26"/>
        <v>0.7</v>
      </c>
    </row>
    <row r="9" spans="1:50">
      <c r="A9" s="63">
        <f>ELEC!C7</f>
        <v>43743</v>
      </c>
      <c r="B9" s="64">
        <v>194</v>
      </c>
      <c r="C9" s="64">
        <v>201</v>
      </c>
      <c r="D9" s="45">
        <f t="shared" si="0"/>
        <v>9</v>
      </c>
      <c r="E9" s="45">
        <f t="shared" si="10"/>
        <v>75.42</v>
      </c>
      <c r="F9" s="64">
        <v>1138</v>
      </c>
      <c r="G9" s="52">
        <f t="shared" si="1"/>
        <v>3</v>
      </c>
      <c r="H9" s="64">
        <v>317190</v>
      </c>
      <c r="I9" s="429">
        <f t="shared" si="2"/>
        <v>213</v>
      </c>
      <c r="J9" s="66">
        <f t="shared" si="11"/>
        <v>71</v>
      </c>
      <c r="K9" s="64">
        <f t="shared" si="12"/>
        <v>1523</v>
      </c>
      <c r="L9" s="52">
        <f t="shared" si="3"/>
        <v>0</v>
      </c>
      <c r="M9" s="64">
        <f t="shared" si="12"/>
        <v>111660</v>
      </c>
      <c r="N9" s="429">
        <f t="shared" si="4"/>
        <v>0</v>
      </c>
      <c r="O9" s="67">
        <f t="shared" si="5"/>
        <v>0</v>
      </c>
      <c r="P9" s="64">
        <v>1342</v>
      </c>
      <c r="Q9" s="64">
        <v>117015</v>
      </c>
      <c r="R9" s="428">
        <f t="shared" si="6"/>
        <v>181</v>
      </c>
      <c r="S9" s="52">
        <f t="shared" si="13"/>
        <v>3</v>
      </c>
      <c r="T9" s="68">
        <f t="shared" si="27"/>
        <v>0</v>
      </c>
      <c r="U9" s="435">
        <f t="shared" si="14"/>
        <v>6</v>
      </c>
      <c r="V9" s="62">
        <f t="shared" si="15"/>
        <v>394</v>
      </c>
      <c r="W9" s="433">
        <f t="shared" si="16"/>
        <v>65.666666666666671</v>
      </c>
      <c r="X9" s="64">
        <f t="shared" si="17"/>
        <v>2185</v>
      </c>
      <c r="Y9" s="52">
        <f t="shared" si="18"/>
        <v>0</v>
      </c>
      <c r="Z9" s="64">
        <f t="shared" si="17"/>
        <v>123531.8</v>
      </c>
      <c r="AA9" s="65">
        <f t="shared" si="7"/>
        <v>0</v>
      </c>
      <c r="AB9" s="302">
        <f t="shared" si="28"/>
        <v>0</v>
      </c>
      <c r="AC9" s="64">
        <v>1440</v>
      </c>
      <c r="AD9" s="45">
        <f t="shared" si="8"/>
        <v>14</v>
      </c>
      <c r="AE9" s="64">
        <v>340253.7</v>
      </c>
      <c r="AF9" s="330">
        <f t="shared" si="19"/>
        <v>638.5</v>
      </c>
      <c r="AG9" s="215">
        <f t="shared" si="29"/>
        <v>45.607142857142854</v>
      </c>
      <c r="AH9" s="62">
        <f t="shared" si="20"/>
        <v>638.5</v>
      </c>
      <c r="AI9" s="342">
        <f t="shared" si="21"/>
        <v>1032.5</v>
      </c>
      <c r="AJ9" s="342">
        <f>-tanks!AW10</f>
        <v>1032.5</v>
      </c>
      <c r="AK9" s="342">
        <f t="shared" si="22"/>
        <v>0</v>
      </c>
      <c r="AL9" s="342">
        <f t="shared" si="9"/>
        <v>6</v>
      </c>
      <c r="AM9" s="342">
        <f t="shared" si="23"/>
        <v>14</v>
      </c>
      <c r="AN9" s="64">
        <v>77</v>
      </c>
      <c r="AO9" s="344">
        <f t="shared" si="24"/>
        <v>2310</v>
      </c>
      <c r="AP9" s="64">
        <v>77</v>
      </c>
      <c r="AQ9" s="344">
        <f t="shared" si="25"/>
        <v>2310</v>
      </c>
      <c r="AR9" s="64">
        <v>77</v>
      </c>
      <c r="AS9" s="344">
        <f>(AR9/100)*3000</f>
        <v>2310</v>
      </c>
      <c r="AT9" s="344">
        <f t="shared" si="31"/>
        <v>6930</v>
      </c>
      <c r="AU9" s="344">
        <f t="shared" si="32"/>
        <v>450</v>
      </c>
      <c r="AV9" s="281"/>
      <c r="AW9" s="281"/>
      <c r="AX9" s="337">
        <f t="shared" si="26"/>
        <v>0.7</v>
      </c>
    </row>
    <row r="10" spans="1:50">
      <c r="A10" s="63">
        <f>ELEC!C8</f>
        <v>43744</v>
      </c>
      <c r="B10" s="64">
        <v>186</v>
      </c>
      <c r="C10" s="64">
        <v>192</v>
      </c>
      <c r="D10" s="45">
        <f t="shared" si="0"/>
        <v>9</v>
      </c>
      <c r="E10" s="45">
        <f t="shared" si="10"/>
        <v>75.42</v>
      </c>
      <c r="F10" s="64">
        <v>1142</v>
      </c>
      <c r="G10" s="52">
        <f t="shared" si="1"/>
        <v>4</v>
      </c>
      <c r="H10" s="64">
        <v>317483</v>
      </c>
      <c r="I10" s="429">
        <f t="shared" si="2"/>
        <v>293</v>
      </c>
      <c r="J10" s="66">
        <f t="shared" si="11"/>
        <v>73.25</v>
      </c>
      <c r="K10" s="64">
        <f t="shared" si="12"/>
        <v>1523</v>
      </c>
      <c r="L10" s="52">
        <f t="shared" si="3"/>
        <v>0</v>
      </c>
      <c r="M10" s="64">
        <f t="shared" si="12"/>
        <v>111660</v>
      </c>
      <c r="N10" s="429">
        <f t="shared" si="4"/>
        <v>0</v>
      </c>
      <c r="O10" s="67">
        <f t="shared" si="5"/>
        <v>0</v>
      </c>
      <c r="P10" s="64">
        <v>1343</v>
      </c>
      <c r="Q10" s="64">
        <v>117137</v>
      </c>
      <c r="R10" s="428">
        <f t="shared" si="6"/>
        <v>122</v>
      </c>
      <c r="S10" s="52">
        <f t="shared" si="13"/>
        <v>1</v>
      </c>
      <c r="T10" s="68">
        <f t="shared" si="27"/>
        <v>0</v>
      </c>
      <c r="U10" s="435">
        <f t="shared" si="14"/>
        <v>5</v>
      </c>
      <c r="V10" s="62">
        <f t="shared" si="15"/>
        <v>415</v>
      </c>
      <c r="W10" s="433">
        <f t="shared" si="16"/>
        <v>83</v>
      </c>
      <c r="X10" s="64">
        <f t="shared" si="17"/>
        <v>2185</v>
      </c>
      <c r="Y10" s="52">
        <f t="shared" si="18"/>
        <v>0</v>
      </c>
      <c r="Z10" s="64">
        <f t="shared" si="17"/>
        <v>123531.8</v>
      </c>
      <c r="AA10" s="65">
        <f t="shared" si="7"/>
        <v>0</v>
      </c>
      <c r="AB10" s="302">
        <f t="shared" si="28"/>
        <v>0</v>
      </c>
      <c r="AC10" s="64">
        <v>1453</v>
      </c>
      <c r="AD10" s="45">
        <f t="shared" si="8"/>
        <v>13</v>
      </c>
      <c r="AE10" s="64">
        <v>340881.9</v>
      </c>
      <c r="AF10" s="330">
        <f t="shared" si="19"/>
        <v>628.20000000001164</v>
      </c>
      <c r="AG10" s="215">
        <f t="shared" si="29"/>
        <v>48.323076923077821</v>
      </c>
      <c r="AH10" s="62">
        <f t="shared" si="20"/>
        <v>628.20000000001164</v>
      </c>
      <c r="AI10" s="342">
        <f>SUM(AH10+V10)</f>
        <v>1043.2000000000116</v>
      </c>
      <c r="AJ10" s="342">
        <f>-tanks!AW11</f>
        <v>1043.2000000000116</v>
      </c>
      <c r="AK10" s="342">
        <f t="shared" si="22"/>
        <v>0</v>
      </c>
      <c r="AL10" s="342">
        <f t="shared" si="9"/>
        <v>5</v>
      </c>
      <c r="AM10" s="342">
        <f t="shared" si="23"/>
        <v>13</v>
      </c>
      <c r="AN10" s="64">
        <v>74</v>
      </c>
      <c r="AO10" s="344">
        <f t="shared" si="24"/>
        <v>2220</v>
      </c>
      <c r="AP10" s="64">
        <v>74</v>
      </c>
      <c r="AQ10" s="344">
        <f t="shared" si="25"/>
        <v>2220</v>
      </c>
      <c r="AR10" s="64">
        <v>74</v>
      </c>
      <c r="AS10" s="344">
        <f t="shared" si="30"/>
        <v>2220</v>
      </c>
      <c r="AT10" s="344">
        <f t="shared" si="31"/>
        <v>6660</v>
      </c>
      <c r="AU10" s="344">
        <f t="shared" si="32"/>
        <v>270</v>
      </c>
      <c r="AV10" s="281"/>
      <c r="AW10" s="281"/>
      <c r="AX10" s="337">
        <f t="shared" si="26"/>
        <v>0.7</v>
      </c>
    </row>
    <row r="11" spans="1:50">
      <c r="A11" s="63">
        <f>ELEC!C9</f>
        <v>43745</v>
      </c>
      <c r="B11" s="64">
        <v>177</v>
      </c>
      <c r="C11" s="64">
        <v>184</v>
      </c>
      <c r="D11" s="45">
        <f t="shared" si="0"/>
        <v>8</v>
      </c>
      <c r="E11" s="45">
        <f t="shared" si="10"/>
        <v>67.040000000000006</v>
      </c>
      <c r="F11" s="64">
        <f t="shared" si="33"/>
        <v>1142</v>
      </c>
      <c r="G11" s="52">
        <f t="shared" si="1"/>
        <v>0</v>
      </c>
      <c r="H11" s="64">
        <f t="shared" si="33"/>
        <v>317483</v>
      </c>
      <c r="I11" s="429">
        <f t="shared" si="2"/>
        <v>0</v>
      </c>
      <c r="J11" s="66">
        <f t="shared" si="11"/>
        <v>0</v>
      </c>
      <c r="K11" s="64">
        <f t="shared" si="12"/>
        <v>1523</v>
      </c>
      <c r="L11" s="52">
        <f t="shared" si="3"/>
        <v>0</v>
      </c>
      <c r="M11" s="64">
        <f t="shared" si="12"/>
        <v>111660</v>
      </c>
      <c r="N11" s="429">
        <f t="shared" si="4"/>
        <v>0</v>
      </c>
      <c r="O11" s="67">
        <f t="shared" si="5"/>
        <v>0</v>
      </c>
      <c r="P11" s="64">
        <v>1346</v>
      </c>
      <c r="Q11" s="64">
        <v>117373</v>
      </c>
      <c r="R11" s="428">
        <f t="shared" ref="R11:R34" si="34">Q11-Q10</f>
        <v>236</v>
      </c>
      <c r="S11" s="52">
        <f t="shared" si="13"/>
        <v>3</v>
      </c>
      <c r="T11" s="68">
        <f t="shared" si="27"/>
        <v>0</v>
      </c>
      <c r="U11" s="435">
        <f t="shared" si="14"/>
        <v>3</v>
      </c>
      <c r="V11" s="62">
        <f t="shared" si="15"/>
        <v>236</v>
      </c>
      <c r="W11" s="433">
        <f t="shared" si="16"/>
        <v>78.666666666666671</v>
      </c>
      <c r="X11" s="64">
        <f t="shared" si="17"/>
        <v>2185</v>
      </c>
      <c r="Y11" s="52">
        <f t="shared" si="18"/>
        <v>0</v>
      </c>
      <c r="Z11" s="64">
        <f t="shared" si="17"/>
        <v>123531.8</v>
      </c>
      <c r="AA11" s="65">
        <f t="shared" si="7"/>
        <v>0</v>
      </c>
      <c r="AB11" s="302">
        <f t="shared" si="28"/>
        <v>0</v>
      </c>
      <c r="AC11" s="64">
        <v>1469</v>
      </c>
      <c r="AD11" s="45">
        <f t="shared" si="8"/>
        <v>16</v>
      </c>
      <c r="AE11" s="64">
        <v>341507.7</v>
      </c>
      <c r="AF11" s="330">
        <f t="shared" si="19"/>
        <v>625.79999999998836</v>
      </c>
      <c r="AG11" s="215">
        <f t="shared" si="29"/>
        <v>39.112499999999272</v>
      </c>
      <c r="AH11" s="62">
        <f>AF11+AA11</f>
        <v>625.79999999998836</v>
      </c>
      <c r="AI11" s="342">
        <f>SUM(AH11+V11)</f>
        <v>861.79999999998836</v>
      </c>
      <c r="AJ11" s="342">
        <f>-tanks!AW12</f>
        <v>861.79999999998836</v>
      </c>
      <c r="AK11" s="342">
        <f t="shared" si="22"/>
        <v>0</v>
      </c>
      <c r="AL11" s="342">
        <f t="shared" si="9"/>
        <v>3</v>
      </c>
      <c r="AM11" s="342">
        <f t="shared" si="23"/>
        <v>16</v>
      </c>
      <c r="AN11" s="64">
        <v>70</v>
      </c>
      <c r="AO11" s="344">
        <f t="shared" si="24"/>
        <v>2100</v>
      </c>
      <c r="AP11" s="64">
        <v>70</v>
      </c>
      <c r="AQ11" s="344">
        <f t="shared" si="25"/>
        <v>2100</v>
      </c>
      <c r="AR11" s="64">
        <v>70</v>
      </c>
      <c r="AS11" s="344">
        <f t="shared" si="30"/>
        <v>2100</v>
      </c>
      <c r="AT11" s="344">
        <f t="shared" si="31"/>
        <v>6300</v>
      </c>
      <c r="AU11" s="344">
        <f t="shared" si="32"/>
        <v>360</v>
      </c>
      <c r="AV11" s="281"/>
      <c r="AW11" s="281"/>
      <c r="AX11" s="337">
        <f t="shared" si="26"/>
        <v>0.7</v>
      </c>
    </row>
    <row r="12" spans="1:50">
      <c r="A12" s="63">
        <f>ELEC!C10</f>
        <v>43746</v>
      </c>
      <c r="B12" s="64">
        <v>169</v>
      </c>
      <c r="C12" s="64">
        <v>175</v>
      </c>
      <c r="D12" s="45">
        <f t="shared" si="0"/>
        <v>9</v>
      </c>
      <c r="E12" s="45">
        <f t="shared" si="10"/>
        <v>75.42</v>
      </c>
      <c r="F12" s="64">
        <v>1143</v>
      </c>
      <c r="G12" s="52">
        <f t="shared" si="1"/>
        <v>1</v>
      </c>
      <c r="H12" s="64">
        <v>317603</v>
      </c>
      <c r="I12" s="429">
        <f t="shared" si="2"/>
        <v>120</v>
      </c>
      <c r="J12" s="66">
        <f t="shared" si="11"/>
        <v>120</v>
      </c>
      <c r="K12" s="64">
        <f t="shared" si="12"/>
        <v>1523</v>
      </c>
      <c r="L12" s="52">
        <f t="shared" si="3"/>
        <v>0</v>
      </c>
      <c r="M12" s="64">
        <f t="shared" si="12"/>
        <v>111660</v>
      </c>
      <c r="N12" s="429">
        <f t="shared" si="4"/>
        <v>0</v>
      </c>
      <c r="O12" s="67">
        <f t="shared" si="5"/>
        <v>0</v>
      </c>
      <c r="P12" s="64">
        <v>1348</v>
      </c>
      <c r="Q12" s="64">
        <v>117536</v>
      </c>
      <c r="R12" s="428">
        <f t="shared" si="34"/>
        <v>163</v>
      </c>
      <c r="S12" s="52">
        <f t="shared" si="13"/>
        <v>2</v>
      </c>
      <c r="T12" s="68">
        <f t="shared" si="27"/>
        <v>0</v>
      </c>
      <c r="U12" s="435">
        <f t="shared" si="14"/>
        <v>3</v>
      </c>
      <c r="V12" s="62">
        <f t="shared" si="15"/>
        <v>283</v>
      </c>
      <c r="W12" s="433">
        <f t="shared" si="16"/>
        <v>94.333333333333329</v>
      </c>
      <c r="X12" s="64">
        <f t="shared" si="17"/>
        <v>2185</v>
      </c>
      <c r="Y12" s="52">
        <f t="shared" si="18"/>
        <v>0</v>
      </c>
      <c r="Z12" s="64">
        <f t="shared" si="17"/>
        <v>123531.8</v>
      </c>
      <c r="AA12" s="65">
        <f t="shared" si="7"/>
        <v>0</v>
      </c>
      <c r="AB12" s="302">
        <f t="shared" si="28"/>
        <v>0</v>
      </c>
      <c r="AC12" s="64">
        <v>1481</v>
      </c>
      <c r="AD12" s="45">
        <f t="shared" si="8"/>
        <v>12</v>
      </c>
      <c r="AE12" s="64">
        <v>342032.5</v>
      </c>
      <c r="AF12" s="330">
        <f t="shared" si="19"/>
        <v>524.79999999998836</v>
      </c>
      <c r="AG12" s="215">
        <f t="shared" si="29"/>
        <v>43.733333333332361</v>
      </c>
      <c r="AH12" s="62">
        <f t="shared" si="20"/>
        <v>524.79999999998836</v>
      </c>
      <c r="AI12" s="342">
        <f t="shared" si="21"/>
        <v>807.79999999998836</v>
      </c>
      <c r="AJ12" s="342">
        <f>-tanks!AW13</f>
        <v>807.79999999998836</v>
      </c>
      <c r="AK12" s="342">
        <f t="shared" si="22"/>
        <v>0</v>
      </c>
      <c r="AL12" s="342">
        <f t="shared" si="9"/>
        <v>3</v>
      </c>
      <c r="AM12" s="342">
        <f t="shared" si="23"/>
        <v>12</v>
      </c>
      <c r="AN12" s="64">
        <v>68</v>
      </c>
      <c r="AO12" s="344">
        <f t="shared" si="24"/>
        <v>2040.0000000000002</v>
      </c>
      <c r="AP12" s="64">
        <v>67</v>
      </c>
      <c r="AQ12" s="344">
        <f t="shared" si="25"/>
        <v>2010.0000000000002</v>
      </c>
      <c r="AR12" s="64">
        <v>67</v>
      </c>
      <c r="AS12" s="344">
        <f t="shared" si="30"/>
        <v>2010.0000000000002</v>
      </c>
      <c r="AT12" s="344">
        <f t="shared" si="31"/>
        <v>6060.0000000000009</v>
      </c>
      <c r="AU12" s="344">
        <f t="shared" si="32"/>
        <v>239.99999999999909</v>
      </c>
      <c r="AV12" s="281"/>
      <c r="AW12" s="281"/>
      <c r="AX12" s="337">
        <f t="shared" si="26"/>
        <v>0.7</v>
      </c>
    </row>
    <row r="13" spans="1:50">
      <c r="A13" s="63">
        <f>ELEC!C11</f>
        <v>43747</v>
      </c>
      <c r="B13" s="64">
        <v>160</v>
      </c>
      <c r="C13" s="64">
        <v>166</v>
      </c>
      <c r="D13" s="45">
        <f t="shared" si="0"/>
        <v>9</v>
      </c>
      <c r="E13" s="45">
        <f t="shared" si="10"/>
        <v>75.42</v>
      </c>
      <c r="F13" s="64">
        <v>1145</v>
      </c>
      <c r="G13" s="52">
        <f t="shared" si="1"/>
        <v>2</v>
      </c>
      <c r="H13" s="64">
        <v>317736</v>
      </c>
      <c r="I13" s="429">
        <f t="shared" si="2"/>
        <v>133</v>
      </c>
      <c r="J13" s="66">
        <f t="shared" si="11"/>
        <v>66.5</v>
      </c>
      <c r="K13" s="64">
        <v>1523</v>
      </c>
      <c r="L13" s="52">
        <f t="shared" si="3"/>
        <v>0</v>
      </c>
      <c r="M13" s="64">
        <f t="shared" si="12"/>
        <v>111660</v>
      </c>
      <c r="N13" s="429">
        <f t="shared" si="4"/>
        <v>0</v>
      </c>
      <c r="O13" s="67">
        <f t="shared" si="5"/>
        <v>0</v>
      </c>
      <c r="P13" s="64">
        <v>1350</v>
      </c>
      <c r="Q13" s="64">
        <v>117720</v>
      </c>
      <c r="R13" s="428">
        <f t="shared" si="34"/>
        <v>184</v>
      </c>
      <c r="S13" s="52">
        <f t="shared" si="13"/>
        <v>2</v>
      </c>
      <c r="T13" s="68">
        <f t="shared" si="27"/>
        <v>0</v>
      </c>
      <c r="U13" s="435">
        <f t="shared" si="14"/>
        <v>4</v>
      </c>
      <c r="V13" s="62">
        <f>R13+N13+I13:I13</f>
        <v>317</v>
      </c>
      <c r="W13" s="433">
        <f t="shared" si="16"/>
        <v>79.25</v>
      </c>
      <c r="X13" s="64">
        <v>2185</v>
      </c>
      <c r="Y13" s="52">
        <f t="shared" si="18"/>
        <v>0</v>
      </c>
      <c r="Z13" s="64">
        <v>123531.8</v>
      </c>
      <c r="AA13" s="65">
        <f t="shared" si="7"/>
        <v>0</v>
      </c>
      <c r="AB13" s="302">
        <f t="shared" si="28"/>
        <v>0</v>
      </c>
      <c r="AC13" s="64">
        <v>1494</v>
      </c>
      <c r="AD13" s="45">
        <f t="shared" si="8"/>
        <v>13</v>
      </c>
      <c r="AE13" s="64">
        <v>342596.2</v>
      </c>
      <c r="AF13" s="330">
        <f t="shared" si="19"/>
        <v>563.70000000001164</v>
      </c>
      <c r="AG13" s="215">
        <f t="shared" si="29"/>
        <v>43.361538461539354</v>
      </c>
      <c r="AH13" s="62">
        <f t="shared" si="20"/>
        <v>563.70000000001164</v>
      </c>
      <c r="AI13" s="342">
        <f t="shared" si="21"/>
        <v>880.70000000001164</v>
      </c>
      <c r="AJ13" s="342">
        <f>-tanks!AW14</f>
        <v>880.70000000001164</v>
      </c>
      <c r="AK13" s="342">
        <f t="shared" si="22"/>
        <v>0</v>
      </c>
      <c r="AL13" s="342">
        <f t="shared" si="9"/>
        <v>4</v>
      </c>
      <c r="AM13" s="342">
        <f t="shared" si="23"/>
        <v>13</v>
      </c>
      <c r="AN13" s="64">
        <v>65</v>
      </c>
      <c r="AO13" s="344">
        <f t="shared" si="24"/>
        <v>1950</v>
      </c>
      <c r="AP13" s="64">
        <v>65</v>
      </c>
      <c r="AQ13" s="344">
        <f t="shared" si="25"/>
        <v>1950</v>
      </c>
      <c r="AR13" s="64">
        <v>65</v>
      </c>
      <c r="AS13" s="344">
        <f t="shared" si="30"/>
        <v>1950</v>
      </c>
      <c r="AT13" s="344">
        <f t="shared" si="31"/>
        <v>5850</v>
      </c>
      <c r="AU13" s="344">
        <f t="shared" si="32"/>
        <v>210.00000000000091</v>
      </c>
      <c r="AV13" s="281"/>
      <c r="AW13" s="281"/>
      <c r="AX13" s="337">
        <f t="shared" si="26"/>
        <v>0.7</v>
      </c>
    </row>
    <row r="14" spans="1:50">
      <c r="A14" s="63">
        <f>ELEC!C12</f>
        <v>43748</v>
      </c>
      <c r="B14" s="64">
        <v>148</v>
      </c>
      <c r="C14" s="64">
        <v>154</v>
      </c>
      <c r="D14" s="45">
        <f t="shared" si="0"/>
        <v>12</v>
      </c>
      <c r="E14" s="45">
        <f t="shared" si="10"/>
        <v>100.56</v>
      </c>
      <c r="F14" s="64">
        <v>1145</v>
      </c>
      <c r="G14" s="52">
        <f t="shared" si="1"/>
        <v>0</v>
      </c>
      <c r="H14" s="64">
        <v>317736</v>
      </c>
      <c r="I14" s="429">
        <f t="shared" si="2"/>
        <v>0</v>
      </c>
      <c r="J14" s="66">
        <f t="shared" si="11"/>
        <v>0</v>
      </c>
      <c r="K14" s="64">
        <f t="shared" si="12"/>
        <v>1523</v>
      </c>
      <c r="L14" s="52">
        <f t="shared" si="3"/>
        <v>0</v>
      </c>
      <c r="M14" s="64">
        <f t="shared" si="12"/>
        <v>111660</v>
      </c>
      <c r="N14" s="429">
        <f t="shared" si="4"/>
        <v>0</v>
      </c>
      <c r="O14" s="67">
        <f t="shared" si="5"/>
        <v>0</v>
      </c>
      <c r="P14" s="64">
        <v>1353</v>
      </c>
      <c r="Q14" s="64">
        <v>117973</v>
      </c>
      <c r="R14" s="428">
        <f t="shared" si="34"/>
        <v>253</v>
      </c>
      <c r="S14" s="52">
        <f t="shared" si="13"/>
        <v>3</v>
      </c>
      <c r="T14" s="68">
        <f t="shared" si="27"/>
        <v>0</v>
      </c>
      <c r="U14" s="435">
        <f t="shared" si="14"/>
        <v>3</v>
      </c>
      <c r="V14" s="62">
        <f t="shared" si="15"/>
        <v>253</v>
      </c>
      <c r="W14" s="433">
        <f t="shared" si="16"/>
        <v>84.333333333333329</v>
      </c>
      <c r="X14" s="64">
        <v>2185</v>
      </c>
      <c r="Y14" s="52">
        <f t="shared" si="18"/>
        <v>0</v>
      </c>
      <c r="Z14" s="64">
        <v>123531.8</v>
      </c>
      <c r="AA14" s="65">
        <f t="shared" si="7"/>
        <v>0</v>
      </c>
      <c r="AB14" s="302">
        <f t="shared" si="28"/>
        <v>0</v>
      </c>
      <c r="AC14" s="64">
        <v>1507</v>
      </c>
      <c r="AD14" s="45">
        <f t="shared" si="8"/>
        <v>13</v>
      </c>
      <c r="AE14" s="64">
        <v>343182.3</v>
      </c>
      <c r="AF14" s="330">
        <f t="shared" si="19"/>
        <v>586.09999999997672</v>
      </c>
      <c r="AG14" s="215">
        <f t="shared" si="29"/>
        <v>45.084615384613592</v>
      </c>
      <c r="AH14" s="62">
        <f t="shared" si="20"/>
        <v>586.09999999997672</v>
      </c>
      <c r="AI14" s="342">
        <f t="shared" si="21"/>
        <v>839.09999999997672</v>
      </c>
      <c r="AJ14" s="342">
        <f>-tanks!AW15</f>
        <v>839.09999999997672</v>
      </c>
      <c r="AK14" s="342">
        <f t="shared" si="22"/>
        <v>0</v>
      </c>
      <c r="AL14" s="342">
        <f t="shared" si="9"/>
        <v>3</v>
      </c>
      <c r="AM14" s="342">
        <f t="shared" si="23"/>
        <v>13</v>
      </c>
      <c r="AN14" s="64">
        <v>63</v>
      </c>
      <c r="AO14" s="344">
        <f t="shared" si="24"/>
        <v>1890</v>
      </c>
      <c r="AP14" s="64">
        <v>62</v>
      </c>
      <c r="AQ14" s="344">
        <f t="shared" si="25"/>
        <v>1860</v>
      </c>
      <c r="AR14" s="64">
        <v>62</v>
      </c>
      <c r="AS14" s="344">
        <f t="shared" si="30"/>
        <v>1860</v>
      </c>
      <c r="AT14" s="344">
        <f t="shared" si="31"/>
        <v>5610</v>
      </c>
      <c r="AU14" s="344">
        <f t="shared" si="32"/>
        <v>240</v>
      </c>
      <c r="AV14" s="281"/>
      <c r="AW14" s="281"/>
      <c r="AX14" s="337">
        <f t="shared" si="26"/>
        <v>0.7</v>
      </c>
    </row>
    <row r="15" spans="1:50" ht="15" customHeight="1">
      <c r="A15" s="63">
        <f>ELEC!C13</f>
        <v>43749</v>
      </c>
      <c r="B15" s="64">
        <v>208</v>
      </c>
      <c r="C15" s="64">
        <v>214</v>
      </c>
      <c r="D15" s="45">
        <f t="shared" si="0"/>
        <v>-60</v>
      </c>
      <c r="E15" s="45">
        <f t="shared" si="10"/>
        <v>-502.80000000000007</v>
      </c>
      <c r="F15" s="64">
        <v>1148</v>
      </c>
      <c r="G15" s="52">
        <f t="shared" si="1"/>
        <v>3</v>
      </c>
      <c r="H15" s="64">
        <v>317932</v>
      </c>
      <c r="I15" s="429">
        <f t="shared" si="2"/>
        <v>196</v>
      </c>
      <c r="J15" s="66">
        <f t="shared" si="11"/>
        <v>65.333333333333329</v>
      </c>
      <c r="K15" s="64">
        <f t="shared" si="12"/>
        <v>1523</v>
      </c>
      <c r="L15" s="52">
        <f t="shared" si="3"/>
        <v>0</v>
      </c>
      <c r="M15" s="64">
        <f t="shared" si="12"/>
        <v>111660</v>
      </c>
      <c r="N15" s="429">
        <f t="shared" si="4"/>
        <v>0</v>
      </c>
      <c r="O15" s="67">
        <f t="shared" si="5"/>
        <v>0</v>
      </c>
      <c r="P15" s="64">
        <v>1355</v>
      </c>
      <c r="Q15" s="64">
        <v>118124</v>
      </c>
      <c r="R15" s="428">
        <f t="shared" si="34"/>
        <v>151</v>
      </c>
      <c r="S15" s="52">
        <f t="shared" si="13"/>
        <v>2</v>
      </c>
      <c r="T15" s="68">
        <f t="shared" si="27"/>
        <v>0</v>
      </c>
      <c r="U15" s="435">
        <f t="shared" si="14"/>
        <v>5</v>
      </c>
      <c r="V15" s="62">
        <f t="shared" si="15"/>
        <v>347</v>
      </c>
      <c r="W15" s="433">
        <f t="shared" si="16"/>
        <v>69.400000000000006</v>
      </c>
      <c r="X15" s="64">
        <f t="shared" si="17"/>
        <v>2185</v>
      </c>
      <c r="Y15" s="52">
        <f t="shared" si="18"/>
        <v>0</v>
      </c>
      <c r="Z15" s="64">
        <f t="shared" si="17"/>
        <v>123531.8</v>
      </c>
      <c r="AA15" s="65">
        <f t="shared" si="7"/>
        <v>0</v>
      </c>
      <c r="AB15" s="302">
        <f t="shared" si="28"/>
        <v>0</v>
      </c>
      <c r="AC15" s="64">
        <v>1517</v>
      </c>
      <c r="AD15" s="45">
        <f t="shared" si="8"/>
        <v>10</v>
      </c>
      <c r="AE15" s="64">
        <v>343657.2</v>
      </c>
      <c r="AF15" s="330">
        <f t="shared" si="19"/>
        <v>474.90000000002328</v>
      </c>
      <c r="AG15" s="215">
        <f t="shared" si="29"/>
        <v>47.490000000002325</v>
      </c>
      <c r="AH15" s="62">
        <f t="shared" si="20"/>
        <v>474.90000000002328</v>
      </c>
      <c r="AI15" s="342">
        <f t="shared" si="21"/>
        <v>821.90000000002328</v>
      </c>
      <c r="AJ15" s="342">
        <f>-tanks!AW16</f>
        <v>821.90000000002328</v>
      </c>
      <c r="AK15" s="342">
        <f t="shared" si="22"/>
        <v>0</v>
      </c>
      <c r="AL15" s="342">
        <f t="shared" si="9"/>
        <v>5</v>
      </c>
      <c r="AM15" s="342">
        <f t="shared" si="23"/>
        <v>10</v>
      </c>
      <c r="AN15" s="64">
        <v>83</v>
      </c>
      <c r="AO15" s="344">
        <f t="shared" si="24"/>
        <v>2490</v>
      </c>
      <c r="AP15" s="64">
        <v>80</v>
      </c>
      <c r="AQ15" s="344">
        <f t="shared" si="25"/>
        <v>2400</v>
      </c>
      <c r="AR15" s="64">
        <v>80</v>
      </c>
      <c r="AS15" s="344">
        <f t="shared" si="30"/>
        <v>2400</v>
      </c>
      <c r="AT15" s="344">
        <f t="shared" si="31"/>
        <v>7290</v>
      </c>
      <c r="AU15" s="344">
        <f t="shared" si="32"/>
        <v>720</v>
      </c>
      <c r="AV15" s="281">
        <v>2400</v>
      </c>
      <c r="AW15" s="281">
        <v>0.7</v>
      </c>
      <c r="AX15" s="337">
        <f t="shared" si="26"/>
        <v>0.7</v>
      </c>
    </row>
    <row r="16" spans="1:50">
      <c r="A16" s="63">
        <f>ELEC!C14</f>
        <v>43750</v>
      </c>
      <c r="B16" s="64">
        <v>200</v>
      </c>
      <c r="C16" s="64">
        <v>206</v>
      </c>
      <c r="D16" s="45">
        <f t="shared" si="0"/>
        <v>8</v>
      </c>
      <c r="E16" s="45">
        <f t="shared" si="10"/>
        <v>67.040000000000006</v>
      </c>
      <c r="F16" s="64">
        <v>1150</v>
      </c>
      <c r="G16" s="52">
        <f t="shared" si="1"/>
        <v>2</v>
      </c>
      <c r="H16" s="64">
        <v>318104</v>
      </c>
      <c r="I16" s="429">
        <f t="shared" si="2"/>
        <v>172</v>
      </c>
      <c r="J16" s="66">
        <f t="shared" si="11"/>
        <v>86</v>
      </c>
      <c r="K16" s="64">
        <f t="shared" si="12"/>
        <v>1523</v>
      </c>
      <c r="L16" s="52">
        <f t="shared" si="3"/>
        <v>0</v>
      </c>
      <c r="M16" s="64">
        <f t="shared" si="12"/>
        <v>111660</v>
      </c>
      <c r="N16" s="429">
        <f t="shared" si="4"/>
        <v>0</v>
      </c>
      <c r="O16" s="67">
        <f t="shared" si="5"/>
        <v>0</v>
      </c>
      <c r="P16" s="64">
        <v>1356</v>
      </c>
      <c r="Q16" s="64">
        <v>118236</v>
      </c>
      <c r="R16" s="428">
        <f t="shared" si="34"/>
        <v>112</v>
      </c>
      <c r="S16" s="52">
        <f t="shared" si="13"/>
        <v>1</v>
      </c>
      <c r="T16" s="68">
        <f t="shared" si="27"/>
        <v>0</v>
      </c>
      <c r="U16" s="435">
        <f t="shared" si="14"/>
        <v>3</v>
      </c>
      <c r="V16" s="62">
        <f t="shared" si="15"/>
        <v>284</v>
      </c>
      <c r="W16" s="433">
        <f t="shared" si="16"/>
        <v>94.666666666666671</v>
      </c>
      <c r="X16" s="64">
        <f t="shared" si="17"/>
        <v>2185</v>
      </c>
      <c r="Y16" s="52">
        <f t="shared" si="18"/>
        <v>0</v>
      </c>
      <c r="Z16" s="64">
        <f t="shared" si="17"/>
        <v>123531.8</v>
      </c>
      <c r="AA16" s="65">
        <f t="shared" si="7"/>
        <v>0</v>
      </c>
      <c r="AB16" s="302">
        <f t="shared" si="28"/>
        <v>0</v>
      </c>
      <c r="AC16" s="64">
        <v>1529</v>
      </c>
      <c r="AD16" s="45">
        <f t="shared" si="8"/>
        <v>12</v>
      </c>
      <c r="AE16" s="64">
        <v>344217.4</v>
      </c>
      <c r="AF16" s="330">
        <f t="shared" si="19"/>
        <v>560.20000000001164</v>
      </c>
      <c r="AG16" s="215">
        <f t="shared" si="29"/>
        <v>46.683333333334303</v>
      </c>
      <c r="AH16" s="62">
        <f t="shared" si="20"/>
        <v>560.20000000001164</v>
      </c>
      <c r="AI16" s="342">
        <f t="shared" si="21"/>
        <v>844.20000000001164</v>
      </c>
      <c r="AJ16" s="342">
        <f>-tanks!AW17</f>
        <v>844.20000000001164</v>
      </c>
      <c r="AK16" s="342">
        <f t="shared" si="22"/>
        <v>0</v>
      </c>
      <c r="AL16" s="342">
        <f t="shared" si="9"/>
        <v>3</v>
      </c>
      <c r="AM16" s="342">
        <f t="shared" si="23"/>
        <v>12</v>
      </c>
      <c r="AN16" s="64">
        <v>80</v>
      </c>
      <c r="AO16" s="344">
        <f t="shared" si="24"/>
        <v>2400</v>
      </c>
      <c r="AP16" s="64">
        <v>79</v>
      </c>
      <c r="AQ16" s="344">
        <f t="shared" si="25"/>
        <v>2370</v>
      </c>
      <c r="AR16" s="64">
        <v>79</v>
      </c>
      <c r="AS16" s="344">
        <f t="shared" si="30"/>
        <v>2370</v>
      </c>
      <c r="AT16" s="344">
        <f t="shared" si="31"/>
        <v>7140</v>
      </c>
      <c r="AU16" s="344">
        <f t="shared" si="32"/>
        <v>150</v>
      </c>
      <c r="AV16" s="281"/>
      <c r="AW16" s="281"/>
      <c r="AX16" s="337">
        <f t="shared" si="26"/>
        <v>0.7</v>
      </c>
    </row>
    <row r="17" spans="1:50">
      <c r="A17" s="63">
        <f>ELEC!C15</f>
        <v>43751</v>
      </c>
      <c r="B17" s="64">
        <v>192</v>
      </c>
      <c r="C17" s="64">
        <v>198</v>
      </c>
      <c r="D17" s="45">
        <f t="shared" si="0"/>
        <v>8</v>
      </c>
      <c r="E17" s="45">
        <f t="shared" si="10"/>
        <v>67.040000000000006</v>
      </c>
      <c r="F17" s="64">
        <f t="shared" si="33"/>
        <v>1150</v>
      </c>
      <c r="G17" s="52">
        <f t="shared" si="1"/>
        <v>0</v>
      </c>
      <c r="H17" s="64">
        <f t="shared" si="33"/>
        <v>318104</v>
      </c>
      <c r="I17" s="429">
        <f t="shared" si="2"/>
        <v>0</v>
      </c>
      <c r="J17" s="66">
        <f t="shared" si="11"/>
        <v>0</v>
      </c>
      <c r="K17" s="64">
        <f t="shared" si="12"/>
        <v>1523</v>
      </c>
      <c r="L17" s="52">
        <f t="shared" si="3"/>
        <v>0</v>
      </c>
      <c r="M17" s="64">
        <f t="shared" si="12"/>
        <v>111660</v>
      </c>
      <c r="N17" s="429">
        <f t="shared" si="4"/>
        <v>0</v>
      </c>
      <c r="O17" s="67">
        <f t="shared" si="5"/>
        <v>0</v>
      </c>
      <c r="P17" s="64">
        <v>1360</v>
      </c>
      <c r="Q17" s="64">
        <v>118540</v>
      </c>
      <c r="R17" s="428">
        <f t="shared" si="34"/>
        <v>304</v>
      </c>
      <c r="S17" s="52">
        <f t="shared" si="13"/>
        <v>4</v>
      </c>
      <c r="T17" s="68">
        <f t="shared" si="27"/>
        <v>0</v>
      </c>
      <c r="U17" s="435">
        <f t="shared" si="14"/>
        <v>4</v>
      </c>
      <c r="V17" s="62">
        <f t="shared" si="15"/>
        <v>304</v>
      </c>
      <c r="W17" s="433"/>
      <c r="X17" s="64">
        <f t="shared" si="17"/>
        <v>2185</v>
      </c>
      <c r="Y17" s="52">
        <f t="shared" si="18"/>
        <v>0</v>
      </c>
      <c r="Z17" s="64">
        <f t="shared" si="17"/>
        <v>123531.8</v>
      </c>
      <c r="AA17" s="65">
        <f t="shared" si="7"/>
        <v>0</v>
      </c>
      <c r="AB17" s="302">
        <f t="shared" si="28"/>
        <v>0</v>
      </c>
      <c r="AC17" s="64">
        <v>1542</v>
      </c>
      <c r="AD17" s="45">
        <f t="shared" si="8"/>
        <v>13</v>
      </c>
      <c r="AE17" s="64">
        <v>344838.7</v>
      </c>
      <c r="AF17" s="330">
        <f t="shared" si="19"/>
        <v>621.29999999998836</v>
      </c>
      <c r="AG17" s="215">
        <f t="shared" si="29"/>
        <v>47.7923076923068</v>
      </c>
      <c r="AH17" s="62">
        <f t="shared" si="20"/>
        <v>621.29999999998836</v>
      </c>
      <c r="AI17" s="342">
        <f t="shared" si="21"/>
        <v>925.29999999998836</v>
      </c>
      <c r="AJ17" s="342">
        <f>-tanks!AW18</f>
        <v>925.29999999998836</v>
      </c>
      <c r="AK17" s="342">
        <f t="shared" si="22"/>
        <v>0</v>
      </c>
      <c r="AL17" s="342">
        <f t="shared" si="9"/>
        <v>4</v>
      </c>
      <c r="AM17" s="342">
        <f t="shared" si="23"/>
        <v>13</v>
      </c>
      <c r="AN17" s="64">
        <v>75</v>
      </c>
      <c r="AO17" s="344">
        <f t="shared" si="24"/>
        <v>2250</v>
      </c>
      <c r="AP17" s="64">
        <v>75</v>
      </c>
      <c r="AQ17" s="344">
        <f t="shared" si="25"/>
        <v>2250</v>
      </c>
      <c r="AR17" s="64">
        <v>76</v>
      </c>
      <c r="AS17" s="344">
        <f t="shared" si="30"/>
        <v>2280</v>
      </c>
      <c r="AT17" s="344">
        <f t="shared" si="31"/>
        <v>6780</v>
      </c>
      <c r="AU17" s="344">
        <f t="shared" si="32"/>
        <v>360</v>
      </c>
      <c r="AV17" s="281"/>
      <c r="AW17" s="281"/>
      <c r="AX17" s="337">
        <f t="shared" si="26"/>
        <v>0.7</v>
      </c>
    </row>
    <row r="18" spans="1:50">
      <c r="A18" s="63">
        <f>ELEC!C16</f>
        <v>43752</v>
      </c>
      <c r="B18" s="64">
        <v>178</v>
      </c>
      <c r="C18" s="64">
        <v>184</v>
      </c>
      <c r="D18" s="45">
        <f t="shared" si="0"/>
        <v>14</v>
      </c>
      <c r="E18" s="45">
        <f t="shared" si="10"/>
        <v>117.32000000000001</v>
      </c>
      <c r="F18" s="64">
        <v>1151</v>
      </c>
      <c r="G18" s="52">
        <f t="shared" si="1"/>
        <v>1</v>
      </c>
      <c r="H18" s="64">
        <v>318215</v>
      </c>
      <c r="I18" s="429">
        <f t="shared" si="2"/>
        <v>111</v>
      </c>
      <c r="J18" s="66">
        <f t="shared" si="11"/>
        <v>111</v>
      </c>
      <c r="K18" s="64">
        <v>1523</v>
      </c>
      <c r="L18" s="52">
        <f t="shared" si="3"/>
        <v>0</v>
      </c>
      <c r="M18" s="64">
        <v>111660</v>
      </c>
      <c r="N18" s="429">
        <f t="shared" si="4"/>
        <v>0</v>
      </c>
      <c r="O18" s="67">
        <f t="shared" si="5"/>
        <v>0</v>
      </c>
      <c r="P18" s="64">
        <v>1361</v>
      </c>
      <c r="Q18" s="64">
        <v>118669</v>
      </c>
      <c r="R18" s="428">
        <f t="shared" si="34"/>
        <v>129</v>
      </c>
      <c r="S18" s="52">
        <f t="shared" si="13"/>
        <v>1</v>
      </c>
      <c r="T18" s="68">
        <f t="shared" si="27"/>
        <v>0</v>
      </c>
      <c r="U18" s="435">
        <f t="shared" si="14"/>
        <v>2</v>
      </c>
      <c r="V18" s="62">
        <f t="shared" si="15"/>
        <v>240</v>
      </c>
      <c r="W18" s="433"/>
      <c r="X18" s="64">
        <v>2185</v>
      </c>
      <c r="Y18" s="52">
        <f t="shared" si="18"/>
        <v>0</v>
      </c>
      <c r="Z18" s="64">
        <v>123531.8</v>
      </c>
      <c r="AA18" s="65">
        <f t="shared" si="7"/>
        <v>0</v>
      </c>
      <c r="AB18" s="302">
        <f t="shared" ref="AB18:AB23" si="35">SUM(Y18*$AB$2)</f>
        <v>0</v>
      </c>
      <c r="AC18" s="64">
        <v>1552</v>
      </c>
      <c r="AD18" s="45">
        <f t="shared" si="8"/>
        <v>10</v>
      </c>
      <c r="AE18" s="64">
        <v>345307</v>
      </c>
      <c r="AF18" s="330">
        <f t="shared" si="19"/>
        <v>468.29999999998836</v>
      </c>
      <c r="AG18" s="215">
        <f t="shared" si="29"/>
        <v>46.829999999998833</v>
      </c>
      <c r="AH18" s="62">
        <f t="shared" si="20"/>
        <v>468.29999999998836</v>
      </c>
      <c r="AI18" s="342">
        <f t="shared" si="21"/>
        <v>708.29999999998836</v>
      </c>
      <c r="AJ18" s="342">
        <f>-tanks!AW19</f>
        <v>708.29999999998836</v>
      </c>
      <c r="AK18" s="342">
        <f t="shared" si="22"/>
        <v>0</v>
      </c>
      <c r="AL18" s="342">
        <f t="shared" si="9"/>
        <v>2</v>
      </c>
      <c r="AM18" s="342">
        <f t="shared" si="23"/>
        <v>10</v>
      </c>
      <c r="AN18" s="64">
        <v>74</v>
      </c>
      <c r="AO18" s="344">
        <f t="shared" si="24"/>
        <v>2220</v>
      </c>
      <c r="AP18" s="64">
        <v>74</v>
      </c>
      <c r="AQ18" s="344">
        <f t="shared" si="25"/>
        <v>2220</v>
      </c>
      <c r="AR18" s="64">
        <v>74</v>
      </c>
      <c r="AS18" s="344">
        <f t="shared" si="30"/>
        <v>2220</v>
      </c>
      <c r="AT18" s="344">
        <f t="shared" si="31"/>
        <v>6660</v>
      </c>
      <c r="AU18" s="344">
        <f t="shared" si="32"/>
        <v>120</v>
      </c>
      <c r="AV18" s="281"/>
      <c r="AW18" s="281"/>
      <c r="AX18" s="337">
        <f t="shared" si="26"/>
        <v>0.7</v>
      </c>
    </row>
    <row r="19" spans="1:50">
      <c r="A19" s="63">
        <f>ELEC!C17</f>
        <v>43753</v>
      </c>
      <c r="B19" s="64">
        <f t="shared" ref="B19:C35" si="36">B18</f>
        <v>178</v>
      </c>
      <c r="C19" s="64">
        <f t="shared" si="36"/>
        <v>184</v>
      </c>
      <c r="D19" s="45">
        <f t="shared" si="0"/>
        <v>0</v>
      </c>
      <c r="E19" s="45">
        <f t="shared" si="10"/>
        <v>0</v>
      </c>
      <c r="F19" s="64">
        <f t="shared" si="33"/>
        <v>1151</v>
      </c>
      <c r="G19" s="52">
        <f t="shared" si="1"/>
        <v>0</v>
      </c>
      <c r="H19" s="64">
        <f t="shared" si="33"/>
        <v>318215</v>
      </c>
      <c r="I19" s="429">
        <f t="shared" si="2"/>
        <v>0</v>
      </c>
      <c r="J19" s="66">
        <f t="shared" si="11"/>
        <v>0</v>
      </c>
      <c r="K19" s="64">
        <f t="shared" si="12"/>
        <v>1523</v>
      </c>
      <c r="L19" s="52">
        <f t="shared" si="3"/>
        <v>0</v>
      </c>
      <c r="M19" s="64">
        <f t="shared" si="12"/>
        <v>111660</v>
      </c>
      <c r="N19" s="429">
        <f t="shared" si="4"/>
        <v>0</v>
      </c>
      <c r="O19" s="67">
        <f t="shared" si="5"/>
        <v>0</v>
      </c>
      <c r="P19" s="64">
        <f t="shared" ref="P19:Q35" si="37">P18</f>
        <v>1361</v>
      </c>
      <c r="Q19" s="64">
        <f t="shared" si="37"/>
        <v>118669</v>
      </c>
      <c r="R19" s="428">
        <f t="shared" si="34"/>
        <v>0</v>
      </c>
      <c r="S19" s="52">
        <f t="shared" si="13"/>
        <v>0</v>
      </c>
      <c r="T19" s="68">
        <f t="shared" si="27"/>
        <v>0</v>
      </c>
      <c r="U19" s="435">
        <f t="shared" si="14"/>
        <v>0</v>
      </c>
      <c r="V19" s="62">
        <f t="shared" si="15"/>
        <v>0</v>
      </c>
      <c r="W19" s="433"/>
      <c r="X19" s="64">
        <f t="shared" si="17"/>
        <v>2185</v>
      </c>
      <c r="Y19" s="52">
        <f t="shared" si="18"/>
        <v>0</v>
      </c>
      <c r="Z19" s="64">
        <f t="shared" si="17"/>
        <v>123531.8</v>
      </c>
      <c r="AA19" s="65">
        <f t="shared" si="7"/>
        <v>0</v>
      </c>
      <c r="AB19" s="302">
        <f t="shared" si="35"/>
        <v>0</v>
      </c>
      <c r="AC19" s="64">
        <f t="shared" ref="AC19:AE35" si="38">AC18</f>
        <v>1552</v>
      </c>
      <c r="AD19" s="45">
        <f t="shared" si="8"/>
        <v>0</v>
      </c>
      <c r="AE19" s="64">
        <f t="shared" si="38"/>
        <v>345307</v>
      </c>
      <c r="AF19" s="330">
        <f t="shared" si="19"/>
        <v>0</v>
      </c>
      <c r="AG19" s="215">
        <f t="shared" si="29"/>
        <v>0</v>
      </c>
      <c r="AH19" s="62">
        <f t="shared" si="20"/>
        <v>0</v>
      </c>
      <c r="AI19" s="342">
        <f t="shared" si="21"/>
        <v>0</v>
      </c>
      <c r="AJ19" s="342">
        <f>-tanks!AW20</f>
        <v>0</v>
      </c>
      <c r="AK19" s="342">
        <f t="shared" si="22"/>
        <v>0</v>
      </c>
      <c r="AL19" s="342">
        <f>S19+L20+G19</f>
        <v>0</v>
      </c>
      <c r="AM19" s="342">
        <f t="shared" si="23"/>
        <v>0</v>
      </c>
      <c r="AN19" s="64">
        <f t="shared" ref="AN19:AR35" si="39">AN18</f>
        <v>74</v>
      </c>
      <c r="AO19" s="344">
        <f t="shared" si="24"/>
        <v>2220</v>
      </c>
      <c r="AP19" s="64">
        <f t="shared" si="39"/>
        <v>74</v>
      </c>
      <c r="AQ19" s="344">
        <f t="shared" si="25"/>
        <v>2220</v>
      </c>
      <c r="AR19" s="64">
        <f t="shared" si="39"/>
        <v>74</v>
      </c>
      <c r="AS19" s="344">
        <f t="shared" si="30"/>
        <v>2220</v>
      </c>
      <c r="AT19" s="344">
        <f t="shared" si="31"/>
        <v>6660</v>
      </c>
      <c r="AU19" s="344">
        <f t="shared" si="32"/>
        <v>0</v>
      </c>
      <c r="AV19" s="281"/>
      <c r="AW19" s="281"/>
      <c r="AX19" s="337">
        <f t="shared" si="26"/>
        <v>0.7</v>
      </c>
    </row>
    <row r="20" spans="1:50">
      <c r="A20" s="63">
        <f>ELEC!C18</f>
        <v>43754</v>
      </c>
      <c r="B20" s="64">
        <f t="shared" si="36"/>
        <v>178</v>
      </c>
      <c r="C20" s="64">
        <f t="shared" si="36"/>
        <v>184</v>
      </c>
      <c r="D20" s="45">
        <f>C19-C20</f>
        <v>0</v>
      </c>
      <c r="E20" s="45">
        <f t="shared" si="10"/>
        <v>0</v>
      </c>
      <c r="F20" s="64">
        <f t="shared" si="33"/>
        <v>1151</v>
      </c>
      <c r="G20" s="52">
        <f t="shared" si="1"/>
        <v>0</v>
      </c>
      <c r="H20" s="64">
        <f t="shared" si="33"/>
        <v>318215</v>
      </c>
      <c r="I20" s="429">
        <f t="shared" si="2"/>
        <v>0</v>
      </c>
      <c r="J20" s="66">
        <f t="shared" si="11"/>
        <v>0</v>
      </c>
      <c r="K20" s="64">
        <f t="shared" si="12"/>
        <v>1523</v>
      </c>
      <c r="L20" s="52">
        <f t="shared" si="3"/>
        <v>0</v>
      </c>
      <c r="M20" s="64">
        <f t="shared" si="12"/>
        <v>111660</v>
      </c>
      <c r="N20" s="429">
        <f t="shared" si="4"/>
        <v>0</v>
      </c>
      <c r="O20" s="67">
        <f t="shared" si="5"/>
        <v>0</v>
      </c>
      <c r="P20" s="64">
        <f t="shared" si="37"/>
        <v>1361</v>
      </c>
      <c r="Q20" s="64">
        <f t="shared" si="37"/>
        <v>118669</v>
      </c>
      <c r="R20" s="428">
        <f t="shared" si="34"/>
        <v>0</v>
      </c>
      <c r="S20" s="52">
        <f t="shared" si="13"/>
        <v>0</v>
      </c>
      <c r="T20" s="68">
        <f t="shared" si="27"/>
        <v>0</v>
      </c>
      <c r="U20" s="435">
        <f t="shared" si="14"/>
        <v>0</v>
      </c>
      <c r="V20" s="62">
        <f t="shared" si="15"/>
        <v>0</v>
      </c>
      <c r="W20" s="433"/>
      <c r="X20" s="64">
        <f t="shared" si="17"/>
        <v>2185</v>
      </c>
      <c r="Y20" s="52">
        <f t="shared" si="18"/>
        <v>0</v>
      </c>
      <c r="Z20" s="64">
        <f t="shared" si="17"/>
        <v>123531.8</v>
      </c>
      <c r="AA20" s="65">
        <f t="shared" si="7"/>
        <v>0</v>
      </c>
      <c r="AB20" s="302">
        <f t="shared" si="35"/>
        <v>0</v>
      </c>
      <c r="AC20" s="64">
        <f t="shared" si="38"/>
        <v>1552</v>
      </c>
      <c r="AD20" s="45">
        <f t="shared" si="8"/>
        <v>0</v>
      </c>
      <c r="AE20" s="64">
        <f t="shared" si="38"/>
        <v>345307</v>
      </c>
      <c r="AF20" s="330">
        <f t="shared" si="19"/>
        <v>0</v>
      </c>
      <c r="AG20" s="215">
        <f t="shared" si="29"/>
        <v>0</v>
      </c>
      <c r="AH20" s="62">
        <f t="shared" si="20"/>
        <v>0</v>
      </c>
      <c r="AI20" s="342">
        <f t="shared" si="21"/>
        <v>0</v>
      </c>
      <c r="AJ20" s="342">
        <f>-tanks!AW21</f>
        <v>0</v>
      </c>
      <c r="AK20" s="342">
        <f t="shared" si="22"/>
        <v>0</v>
      </c>
      <c r="AL20" s="342">
        <f>S20+L21+G20</f>
        <v>0</v>
      </c>
      <c r="AM20" s="342">
        <f t="shared" si="23"/>
        <v>0</v>
      </c>
      <c r="AN20" s="64">
        <f t="shared" si="39"/>
        <v>74</v>
      </c>
      <c r="AO20" s="344">
        <f t="shared" si="24"/>
        <v>2220</v>
      </c>
      <c r="AP20" s="64">
        <f t="shared" si="39"/>
        <v>74</v>
      </c>
      <c r="AQ20" s="344">
        <f t="shared" si="25"/>
        <v>2220</v>
      </c>
      <c r="AR20" s="64">
        <f t="shared" si="39"/>
        <v>74</v>
      </c>
      <c r="AS20" s="344">
        <f t="shared" si="30"/>
        <v>2220</v>
      </c>
      <c r="AT20" s="344">
        <f t="shared" si="31"/>
        <v>6660</v>
      </c>
      <c r="AU20" s="344">
        <f t="shared" si="32"/>
        <v>0</v>
      </c>
      <c r="AV20" s="281"/>
      <c r="AW20" s="281"/>
      <c r="AX20" s="337">
        <f t="shared" si="26"/>
        <v>0.7</v>
      </c>
    </row>
    <row r="21" spans="1:50">
      <c r="A21" s="63">
        <f>ELEC!C19</f>
        <v>43755</v>
      </c>
      <c r="B21" s="64">
        <f t="shared" si="36"/>
        <v>178</v>
      </c>
      <c r="C21" s="64">
        <f t="shared" si="36"/>
        <v>184</v>
      </c>
      <c r="D21" s="45">
        <f t="shared" si="0"/>
        <v>0</v>
      </c>
      <c r="E21" s="45">
        <f t="shared" si="10"/>
        <v>0</v>
      </c>
      <c r="F21" s="64">
        <f t="shared" si="33"/>
        <v>1151</v>
      </c>
      <c r="G21" s="52">
        <f t="shared" si="1"/>
        <v>0</v>
      </c>
      <c r="H21" s="64">
        <f t="shared" si="33"/>
        <v>318215</v>
      </c>
      <c r="I21" s="429">
        <f t="shared" si="2"/>
        <v>0</v>
      </c>
      <c r="J21" s="66">
        <f t="shared" si="11"/>
        <v>0</v>
      </c>
      <c r="K21" s="64">
        <f t="shared" si="12"/>
        <v>1523</v>
      </c>
      <c r="L21" s="52">
        <f t="shared" si="3"/>
        <v>0</v>
      </c>
      <c r="M21" s="64">
        <f t="shared" si="12"/>
        <v>111660</v>
      </c>
      <c r="N21" s="429">
        <f t="shared" si="4"/>
        <v>0</v>
      </c>
      <c r="O21" s="67">
        <f t="shared" si="5"/>
        <v>0</v>
      </c>
      <c r="P21" s="64">
        <f t="shared" si="37"/>
        <v>1361</v>
      </c>
      <c r="Q21" s="64">
        <f t="shared" si="37"/>
        <v>118669</v>
      </c>
      <c r="R21" s="428">
        <f t="shared" si="34"/>
        <v>0</v>
      </c>
      <c r="S21" s="52">
        <f t="shared" si="13"/>
        <v>0</v>
      </c>
      <c r="T21" s="68">
        <f t="shared" si="27"/>
        <v>0</v>
      </c>
      <c r="U21" s="435">
        <f t="shared" si="14"/>
        <v>0</v>
      </c>
      <c r="V21" s="62">
        <f t="shared" si="15"/>
        <v>0</v>
      </c>
      <c r="W21" s="433"/>
      <c r="X21" s="64">
        <f t="shared" si="17"/>
        <v>2185</v>
      </c>
      <c r="Y21" s="52">
        <f t="shared" si="18"/>
        <v>0</v>
      </c>
      <c r="Z21" s="64">
        <f t="shared" si="17"/>
        <v>123531.8</v>
      </c>
      <c r="AA21" s="65">
        <f t="shared" si="7"/>
        <v>0</v>
      </c>
      <c r="AB21" s="302">
        <f t="shared" si="35"/>
        <v>0</v>
      </c>
      <c r="AC21" s="64">
        <f t="shared" si="38"/>
        <v>1552</v>
      </c>
      <c r="AD21" s="45">
        <f t="shared" si="8"/>
        <v>0</v>
      </c>
      <c r="AE21" s="64">
        <f t="shared" si="38"/>
        <v>345307</v>
      </c>
      <c r="AF21" s="330">
        <f t="shared" si="19"/>
        <v>0</v>
      </c>
      <c r="AG21" s="215">
        <f t="shared" si="29"/>
        <v>0</v>
      </c>
      <c r="AH21" s="62">
        <f t="shared" si="20"/>
        <v>0</v>
      </c>
      <c r="AI21" s="342">
        <f t="shared" si="21"/>
        <v>0</v>
      </c>
      <c r="AJ21" s="342">
        <f>-tanks!AW22</f>
        <v>0</v>
      </c>
      <c r="AK21" s="342">
        <f t="shared" si="22"/>
        <v>0</v>
      </c>
      <c r="AL21" s="342">
        <f t="shared" ref="AL21:AL34" si="40">S21+L21+G21</f>
        <v>0</v>
      </c>
      <c r="AM21" s="342">
        <f t="shared" si="23"/>
        <v>0</v>
      </c>
      <c r="AN21" s="64">
        <f t="shared" si="39"/>
        <v>74</v>
      </c>
      <c r="AO21" s="344">
        <f t="shared" si="24"/>
        <v>2220</v>
      </c>
      <c r="AP21" s="64">
        <f t="shared" si="39"/>
        <v>74</v>
      </c>
      <c r="AQ21" s="344">
        <f t="shared" si="25"/>
        <v>2220</v>
      </c>
      <c r="AR21" s="64">
        <f t="shared" si="39"/>
        <v>74</v>
      </c>
      <c r="AS21" s="344">
        <f t="shared" si="30"/>
        <v>2220</v>
      </c>
      <c r="AT21" s="344">
        <f t="shared" si="31"/>
        <v>6660</v>
      </c>
      <c r="AU21" s="344">
        <f t="shared" si="32"/>
        <v>0</v>
      </c>
      <c r="AV21" s="281"/>
      <c r="AW21" s="281"/>
      <c r="AX21" s="337">
        <f t="shared" si="26"/>
        <v>0.7</v>
      </c>
    </row>
    <row r="22" spans="1:50" ht="16.5" customHeight="1">
      <c r="A22" s="63">
        <f>ELEC!C20</f>
        <v>43756</v>
      </c>
      <c r="B22" s="64">
        <f t="shared" si="36"/>
        <v>178</v>
      </c>
      <c r="C22" s="64">
        <f t="shared" si="36"/>
        <v>184</v>
      </c>
      <c r="D22" s="45">
        <f t="shared" si="0"/>
        <v>0</v>
      </c>
      <c r="E22" s="45">
        <f t="shared" si="10"/>
        <v>0</v>
      </c>
      <c r="F22" s="64">
        <f t="shared" si="33"/>
        <v>1151</v>
      </c>
      <c r="G22" s="52">
        <f t="shared" si="1"/>
        <v>0</v>
      </c>
      <c r="H22" s="64">
        <f t="shared" si="33"/>
        <v>318215</v>
      </c>
      <c r="I22" s="429">
        <f t="shared" si="2"/>
        <v>0</v>
      </c>
      <c r="J22" s="66">
        <f t="shared" si="11"/>
        <v>0</v>
      </c>
      <c r="K22" s="64">
        <f t="shared" si="12"/>
        <v>1523</v>
      </c>
      <c r="L22" s="52">
        <f t="shared" si="3"/>
        <v>0</v>
      </c>
      <c r="M22" s="64">
        <f t="shared" si="12"/>
        <v>111660</v>
      </c>
      <c r="N22" s="429">
        <f t="shared" si="4"/>
        <v>0</v>
      </c>
      <c r="O22" s="67">
        <f t="shared" si="5"/>
        <v>0</v>
      </c>
      <c r="P22" s="64">
        <f t="shared" si="37"/>
        <v>1361</v>
      </c>
      <c r="Q22" s="64">
        <f t="shared" si="37"/>
        <v>118669</v>
      </c>
      <c r="R22" s="428">
        <f t="shared" si="34"/>
        <v>0</v>
      </c>
      <c r="S22" s="52">
        <f t="shared" si="13"/>
        <v>0</v>
      </c>
      <c r="T22" s="68">
        <f t="shared" si="27"/>
        <v>0</v>
      </c>
      <c r="U22" s="435">
        <f t="shared" si="14"/>
        <v>0</v>
      </c>
      <c r="V22" s="62">
        <f t="shared" si="15"/>
        <v>0</v>
      </c>
      <c r="W22" s="433"/>
      <c r="X22" s="64">
        <f t="shared" si="17"/>
        <v>2185</v>
      </c>
      <c r="Y22" s="52">
        <f t="shared" si="18"/>
        <v>0</v>
      </c>
      <c r="Z22" s="64">
        <f t="shared" si="17"/>
        <v>123531.8</v>
      </c>
      <c r="AA22" s="65">
        <f t="shared" si="7"/>
        <v>0</v>
      </c>
      <c r="AB22" s="302">
        <f t="shared" si="35"/>
        <v>0</v>
      </c>
      <c r="AC22" s="64">
        <f t="shared" si="38"/>
        <v>1552</v>
      </c>
      <c r="AD22" s="45">
        <f t="shared" si="8"/>
        <v>0</v>
      </c>
      <c r="AE22" s="64">
        <f t="shared" si="38"/>
        <v>345307</v>
      </c>
      <c r="AF22" s="330">
        <f t="shared" si="19"/>
        <v>0</v>
      </c>
      <c r="AG22" s="215">
        <f t="shared" si="29"/>
        <v>0</v>
      </c>
      <c r="AH22" s="62">
        <f t="shared" si="20"/>
        <v>0</v>
      </c>
      <c r="AI22" s="342">
        <f t="shared" si="21"/>
        <v>0</v>
      </c>
      <c r="AJ22" s="342">
        <f>-tanks!AW23</f>
        <v>0</v>
      </c>
      <c r="AK22" s="342">
        <f t="shared" si="22"/>
        <v>0</v>
      </c>
      <c r="AL22" s="342">
        <f t="shared" si="40"/>
        <v>0</v>
      </c>
      <c r="AM22" s="342">
        <f t="shared" si="23"/>
        <v>0</v>
      </c>
      <c r="AN22" s="64">
        <f t="shared" si="39"/>
        <v>74</v>
      </c>
      <c r="AO22" s="344">
        <f t="shared" si="24"/>
        <v>2220</v>
      </c>
      <c r="AP22" s="64">
        <f t="shared" si="39"/>
        <v>74</v>
      </c>
      <c r="AQ22" s="344">
        <f t="shared" si="25"/>
        <v>2220</v>
      </c>
      <c r="AR22" s="64">
        <f t="shared" si="39"/>
        <v>74</v>
      </c>
      <c r="AS22" s="344">
        <f t="shared" si="30"/>
        <v>2220</v>
      </c>
      <c r="AT22" s="344">
        <f t="shared" si="31"/>
        <v>6660</v>
      </c>
      <c r="AU22" s="344">
        <f t="shared" si="32"/>
        <v>0</v>
      </c>
      <c r="AV22" s="281"/>
      <c r="AW22" s="281"/>
      <c r="AX22" s="337">
        <f t="shared" si="26"/>
        <v>0.7</v>
      </c>
    </row>
    <row r="23" spans="1:50">
      <c r="A23" s="63">
        <f>ELEC!C21</f>
        <v>43757</v>
      </c>
      <c r="B23" s="64">
        <f t="shared" si="36"/>
        <v>178</v>
      </c>
      <c r="C23" s="64">
        <f t="shared" si="36"/>
        <v>184</v>
      </c>
      <c r="D23" s="45">
        <f t="shared" si="0"/>
        <v>0</v>
      </c>
      <c r="E23" s="45">
        <f t="shared" si="10"/>
        <v>0</v>
      </c>
      <c r="F23" s="64">
        <f t="shared" si="33"/>
        <v>1151</v>
      </c>
      <c r="G23" s="52">
        <f t="shared" si="1"/>
        <v>0</v>
      </c>
      <c r="H23" s="64">
        <f t="shared" si="33"/>
        <v>318215</v>
      </c>
      <c r="I23" s="429">
        <f t="shared" si="2"/>
        <v>0</v>
      </c>
      <c r="J23" s="66">
        <f t="shared" si="11"/>
        <v>0</v>
      </c>
      <c r="K23" s="64">
        <f t="shared" si="12"/>
        <v>1523</v>
      </c>
      <c r="L23" s="52">
        <f t="shared" si="3"/>
        <v>0</v>
      </c>
      <c r="M23" s="64">
        <f t="shared" si="12"/>
        <v>111660</v>
      </c>
      <c r="N23" s="429">
        <f t="shared" si="4"/>
        <v>0</v>
      </c>
      <c r="O23" s="67">
        <f t="shared" si="5"/>
        <v>0</v>
      </c>
      <c r="P23" s="64">
        <f t="shared" si="37"/>
        <v>1361</v>
      </c>
      <c r="Q23" s="64">
        <f t="shared" si="37"/>
        <v>118669</v>
      </c>
      <c r="R23" s="428">
        <f t="shared" si="34"/>
        <v>0</v>
      </c>
      <c r="S23" s="52">
        <f t="shared" si="13"/>
        <v>0</v>
      </c>
      <c r="T23" s="68">
        <f t="shared" si="27"/>
        <v>0</v>
      </c>
      <c r="U23" s="435">
        <f t="shared" si="14"/>
        <v>0</v>
      </c>
      <c r="V23" s="62">
        <f t="shared" si="15"/>
        <v>0</v>
      </c>
      <c r="W23" s="433"/>
      <c r="X23" s="64">
        <f t="shared" si="17"/>
        <v>2185</v>
      </c>
      <c r="Y23" s="52">
        <f t="shared" si="18"/>
        <v>0</v>
      </c>
      <c r="Z23" s="64">
        <f t="shared" si="17"/>
        <v>123531.8</v>
      </c>
      <c r="AA23" s="65">
        <f t="shared" si="7"/>
        <v>0</v>
      </c>
      <c r="AB23" s="302">
        <f t="shared" si="35"/>
        <v>0</v>
      </c>
      <c r="AC23" s="64">
        <f t="shared" si="38"/>
        <v>1552</v>
      </c>
      <c r="AD23" s="45">
        <f t="shared" si="8"/>
        <v>0</v>
      </c>
      <c r="AE23" s="64">
        <f t="shared" si="38"/>
        <v>345307</v>
      </c>
      <c r="AF23" s="330">
        <f t="shared" si="19"/>
        <v>0</v>
      </c>
      <c r="AG23" s="215">
        <f t="shared" si="29"/>
        <v>0</v>
      </c>
      <c r="AH23" s="62">
        <f t="shared" si="20"/>
        <v>0</v>
      </c>
      <c r="AI23" s="342">
        <f t="shared" si="21"/>
        <v>0</v>
      </c>
      <c r="AJ23" s="342">
        <f>-tanks!AW24</f>
        <v>0</v>
      </c>
      <c r="AK23" s="342">
        <f t="shared" si="22"/>
        <v>0</v>
      </c>
      <c r="AL23" s="342">
        <f t="shared" si="40"/>
        <v>0</v>
      </c>
      <c r="AM23" s="342">
        <f t="shared" si="23"/>
        <v>0</v>
      </c>
      <c r="AN23" s="64">
        <f t="shared" si="39"/>
        <v>74</v>
      </c>
      <c r="AO23" s="344">
        <f t="shared" si="24"/>
        <v>2220</v>
      </c>
      <c r="AP23" s="64">
        <f t="shared" si="39"/>
        <v>74</v>
      </c>
      <c r="AQ23" s="344">
        <f t="shared" si="25"/>
        <v>2220</v>
      </c>
      <c r="AR23" s="64">
        <f t="shared" si="39"/>
        <v>74</v>
      </c>
      <c r="AS23" s="344">
        <f t="shared" si="30"/>
        <v>2220</v>
      </c>
      <c r="AT23" s="344">
        <f t="shared" si="31"/>
        <v>6660</v>
      </c>
      <c r="AU23" s="344">
        <f t="shared" si="32"/>
        <v>0</v>
      </c>
      <c r="AV23" s="281"/>
      <c r="AW23" s="281"/>
      <c r="AX23" s="337">
        <f t="shared" si="26"/>
        <v>0.7</v>
      </c>
    </row>
    <row r="24" spans="1:50">
      <c r="A24" s="63">
        <f>ELEC!C22</f>
        <v>43758</v>
      </c>
      <c r="B24" s="64">
        <f t="shared" si="36"/>
        <v>178</v>
      </c>
      <c r="C24" s="64">
        <f t="shared" si="36"/>
        <v>184</v>
      </c>
      <c r="D24" s="45">
        <f t="shared" si="0"/>
        <v>0</v>
      </c>
      <c r="E24" s="45">
        <f t="shared" si="10"/>
        <v>0</v>
      </c>
      <c r="F24" s="64">
        <f t="shared" si="33"/>
        <v>1151</v>
      </c>
      <c r="G24" s="52">
        <f t="shared" si="1"/>
        <v>0</v>
      </c>
      <c r="H24" s="64">
        <f t="shared" si="33"/>
        <v>318215</v>
      </c>
      <c r="I24" s="429">
        <f t="shared" si="2"/>
        <v>0</v>
      </c>
      <c r="J24" s="66">
        <f t="shared" si="11"/>
        <v>0</v>
      </c>
      <c r="K24" s="64">
        <f t="shared" si="12"/>
        <v>1523</v>
      </c>
      <c r="L24" s="52">
        <f t="shared" si="3"/>
        <v>0</v>
      </c>
      <c r="M24" s="64">
        <f t="shared" si="12"/>
        <v>111660</v>
      </c>
      <c r="N24" s="429">
        <f t="shared" si="4"/>
        <v>0</v>
      </c>
      <c r="O24" s="67">
        <f t="shared" si="5"/>
        <v>0</v>
      </c>
      <c r="P24" s="64">
        <f t="shared" si="37"/>
        <v>1361</v>
      </c>
      <c r="Q24" s="64">
        <f t="shared" si="37"/>
        <v>118669</v>
      </c>
      <c r="R24" s="428">
        <f t="shared" si="34"/>
        <v>0</v>
      </c>
      <c r="S24" s="52">
        <f t="shared" ref="S24:S33" si="41">SUM(P24-P23)</f>
        <v>0</v>
      </c>
      <c r="T24" s="68">
        <f t="shared" si="27"/>
        <v>0</v>
      </c>
      <c r="U24" s="435">
        <f t="shared" si="14"/>
        <v>0</v>
      </c>
      <c r="V24" s="62">
        <f t="shared" si="15"/>
        <v>0</v>
      </c>
      <c r="W24" s="433"/>
      <c r="X24" s="64">
        <f t="shared" si="17"/>
        <v>2185</v>
      </c>
      <c r="Y24" s="52">
        <f t="shared" si="18"/>
        <v>0</v>
      </c>
      <c r="Z24" s="64">
        <f t="shared" si="17"/>
        <v>123531.8</v>
      </c>
      <c r="AA24" s="65">
        <f t="shared" si="7"/>
        <v>0</v>
      </c>
      <c r="AB24" s="302">
        <f t="shared" ref="AB24:AB34" si="42">SUM(Y24*$AB$2)</f>
        <v>0</v>
      </c>
      <c r="AC24" s="64">
        <f t="shared" si="38"/>
        <v>1552</v>
      </c>
      <c r="AD24" s="45">
        <f t="shared" si="8"/>
        <v>0</v>
      </c>
      <c r="AE24" s="64">
        <f t="shared" si="38"/>
        <v>345307</v>
      </c>
      <c r="AF24" s="330">
        <f t="shared" si="19"/>
        <v>0</v>
      </c>
      <c r="AG24" s="215">
        <f t="shared" si="29"/>
        <v>0</v>
      </c>
      <c r="AH24" s="62">
        <f t="shared" si="20"/>
        <v>0</v>
      </c>
      <c r="AI24" s="342">
        <f t="shared" si="21"/>
        <v>0</v>
      </c>
      <c r="AJ24" s="342">
        <f>-tanks!AW25</f>
        <v>0</v>
      </c>
      <c r="AK24" s="342">
        <f t="shared" si="22"/>
        <v>0</v>
      </c>
      <c r="AL24" s="342">
        <f t="shared" si="40"/>
        <v>0</v>
      </c>
      <c r="AM24" s="342">
        <f t="shared" si="23"/>
        <v>0</v>
      </c>
      <c r="AN24" s="64">
        <f t="shared" si="39"/>
        <v>74</v>
      </c>
      <c r="AO24" s="344">
        <f t="shared" si="24"/>
        <v>2220</v>
      </c>
      <c r="AP24" s="64">
        <f t="shared" si="39"/>
        <v>74</v>
      </c>
      <c r="AQ24" s="344">
        <f t="shared" si="25"/>
        <v>2220</v>
      </c>
      <c r="AR24" s="64">
        <f t="shared" si="39"/>
        <v>74</v>
      </c>
      <c r="AS24" s="344">
        <f t="shared" si="30"/>
        <v>2220</v>
      </c>
      <c r="AT24" s="344">
        <f t="shared" ref="AT24:AT34" si="43">SUM(AO24+AQ24+AS24)</f>
        <v>6660</v>
      </c>
      <c r="AU24" s="344">
        <f t="shared" si="32"/>
        <v>0</v>
      </c>
      <c r="AV24" s="281"/>
      <c r="AW24" s="281"/>
      <c r="AX24" s="337">
        <f t="shared" si="26"/>
        <v>0.7</v>
      </c>
    </row>
    <row r="25" spans="1:50" ht="13.5" customHeight="1">
      <c r="A25" s="63">
        <f>ELEC!C23</f>
        <v>43759</v>
      </c>
      <c r="B25" s="64">
        <f t="shared" si="36"/>
        <v>178</v>
      </c>
      <c r="C25" s="64">
        <f t="shared" si="36"/>
        <v>184</v>
      </c>
      <c r="D25" s="45">
        <f t="shared" si="0"/>
        <v>0</v>
      </c>
      <c r="E25" s="45">
        <f t="shared" si="10"/>
        <v>0</v>
      </c>
      <c r="F25" s="64">
        <f t="shared" si="33"/>
        <v>1151</v>
      </c>
      <c r="G25" s="52">
        <f t="shared" si="1"/>
        <v>0</v>
      </c>
      <c r="H25" s="64">
        <f t="shared" si="33"/>
        <v>318215</v>
      </c>
      <c r="I25" s="429">
        <f t="shared" si="2"/>
        <v>0</v>
      </c>
      <c r="J25" s="66">
        <f t="shared" si="11"/>
        <v>0</v>
      </c>
      <c r="K25" s="64">
        <f t="shared" si="12"/>
        <v>1523</v>
      </c>
      <c r="L25" s="52">
        <f t="shared" si="3"/>
        <v>0</v>
      </c>
      <c r="M25" s="64">
        <f t="shared" si="12"/>
        <v>111660</v>
      </c>
      <c r="N25" s="429">
        <f t="shared" si="4"/>
        <v>0</v>
      </c>
      <c r="O25" s="67">
        <f t="shared" si="5"/>
        <v>0</v>
      </c>
      <c r="P25" s="64">
        <f t="shared" si="37"/>
        <v>1361</v>
      </c>
      <c r="Q25" s="64">
        <f t="shared" si="37"/>
        <v>118669</v>
      </c>
      <c r="R25" s="428">
        <f t="shared" si="34"/>
        <v>0</v>
      </c>
      <c r="S25" s="52">
        <f t="shared" si="41"/>
        <v>0</v>
      </c>
      <c r="T25" s="68">
        <f t="shared" si="27"/>
        <v>0</v>
      </c>
      <c r="U25" s="435">
        <f t="shared" si="14"/>
        <v>0</v>
      </c>
      <c r="V25" s="62">
        <f t="shared" si="15"/>
        <v>0</v>
      </c>
      <c r="W25" s="433"/>
      <c r="X25" s="64">
        <f t="shared" si="17"/>
        <v>2185</v>
      </c>
      <c r="Y25" s="52">
        <f t="shared" si="18"/>
        <v>0</v>
      </c>
      <c r="Z25" s="64">
        <f t="shared" si="17"/>
        <v>123531.8</v>
      </c>
      <c r="AA25" s="65">
        <f t="shared" si="7"/>
        <v>0</v>
      </c>
      <c r="AB25" s="302">
        <f t="shared" si="42"/>
        <v>0</v>
      </c>
      <c r="AC25" s="64">
        <f t="shared" si="38"/>
        <v>1552</v>
      </c>
      <c r="AD25" s="45">
        <f t="shared" si="8"/>
        <v>0</v>
      </c>
      <c r="AE25" s="64">
        <f t="shared" si="38"/>
        <v>345307</v>
      </c>
      <c r="AF25" s="330">
        <f t="shared" si="19"/>
        <v>0</v>
      </c>
      <c r="AG25" s="215">
        <f t="shared" si="29"/>
        <v>0</v>
      </c>
      <c r="AH25" s="62">
        <f t="shared" si="20"/>
        <v>0</v>
      </c>
      <c r="AI25" s="342">
        <f t="shared" si="21"/>
        <v>0</v>
      </c>
      <c r="AJ25" s="342">
        <f>-tanks!AW26</f>
        <v>0</v>
      </c>
      <c r="AK25" s="342">
        <f t="shared" si="22"/>
        <v>0</v>
      </c>
      <c r="AL25" s="342">
        <f t="shared" si="40"/>
        <v>0</v>
      </c>
      <c r="AM25" s="342">
        <f t="shared" si="23"/>
        <v>0</v>
      </c>
      <c r="AN25" s="64">
        <f t="shared" si="39"/>
        <v>74</v>
      </c>
      <c r="AO25" s="344">
        <f t="shared" si="24"/>
        <v>2220</v>
      </c>
      <c r="AP25" s="64">
        <f t="shared" si="39"/>
        <v>74</v>
      </c>
      <c r="AQ25" s="344">
        <f t="shared" ref="AQ25:AQ34" si="44">(AP25/100)*3000</f>
        <v>2220</v>
      </c>
      <c r="AR25" s="64">
        <f t="shared" si="39"/>
        <v>74</v>
      </c>
      <c r="AS25" s="344">
        <f t="shared" si="30"/>
        <v>2220</v>
      </c>
      <c r="AT25" s="344">
        <f t="shared" si="43"/>
        <v>6660</v>
      </c>
      <c r="AU25" s="344">
        <f t="shared" si="32"/>
        <v>0</v>
      </c>
      <c r="AV25" s="281"/>
      <c r="AW25" s="281"/>
      <c r="AX25" s="337">
        <f t="shared" si="26"/>
        <v>0.7</v>
      </c>
    </row>
    <row r="26" spans="1:50" ht="14.25" customHeight="1">
      <c r="A26" s="63">
        <f>ELEC!C24</f>
        <v>43760</v>
      </c>
      <c r="B26" s="64">
        <f t="shared" si="36"/>
        <v>178</v>
      </c>
      <c r="C26" s="64">
        <f t="shared" si="36"/>
        <v>184</v>
      </c>
      <c r="D26" s="45">
        <f t="shared" si="0"/>
        <v>0</v>
      </c>
      <c r="E26" s="45">
        <f t="shared" si="10"/>
        <v>0</v>
      </c>
      <c r="F26" s="64">
        <f t="shared" si="33"/>
        <v>1151</v>
      </c>
      <c r="G26" s="52">
        <f t="shared" si="1"/>
        <v>0</v>
      </c>
      <c r="H26" s="64">
        <f t="shared" si="33"/>
        <v>318215</v>
      </c>
      <c r="I26" s="429">
        <f t="shared" si="2"/>
        <v>0</v>
      </c>
      <c r="J26" s="66">
        <f t="shared" si="11"/>
        <v>0</v>
      </c>
      <c r="K26" s="64">
        <f t="shared" si="12"/>
        <v>1523</v>
      </c>
      <c r="L26" s="52">
        <f t="shared" si="3"/>
        <v>0</v>
      </c>
      <c r="M26" s="64">
        <f t="shared" si="12"/>
        <v>111660</v>
      </c>
      <c r="N26" s="429">
        <f t="shared" si="4"/>
        <v>0</v>
      </c>
      <c r="O26" s="67">
        <f t="shared" si="5"/>
        <v>0</v>
      </c>
      <c r="P26" s="64">
        <f t="shared" si="37"/>
        <v>1361</v>
      </c>
      <c r="Q26" s="64">
        <f t="shared" si="37"/>
        <v>118669</v>
      </c>
      <c r="R26" s="428">
        <f t="shared" si="34"/>
        <v>0</v>
      </c>
      <c r="S26" s="52">
        <f t="shared" si="41"/>
        <v>0</v>
      </c>
      <c r="T26" s="68">
        <f t="shared" si="27"/>
        <v>0</v>
      </c>
      <c r="U26" s="435">
        <f t="shared" si="14"/>
        <v>0</v>
      </c>
      <c r="V26" s="62">
        <f t="shared" si="15"/>
        <v>0</v>
      </c>
      <c r="W26" s="433"/>
      <c r="X26" s="64">
        <f t="shared" si="17"/>
        <v>2185</v>
      </c>
      <c r="Y26" s="52">
        <f t="shared" si="18"/>
        <v>0</v>
      </c>
      <c r="Z26" s="64">
        <f t="shared" si="17"/>
        <v>123531.8</v>
      </c>
      <c r="AA26" s="65">
        <f t="shared" si="7"/>
        <v>0</v>
      </c>
      <c r="AB26" s="302">
        <f t="shared" si="42"/>
        <v>0</v>
      </c>
      <c r="AC26" s="64">
        <f t="shared" si="38"/>
        <v>1552</v>
      </c>
      <c r="AD26" s="45">
        <f t="shared" si="8"/>
        <v>0</v>
      </c>
      <c r="AE26" s="64">
        <f t="shared" si="38"/>
        <v>345307</v>
      </c>
      <c r="AF26" s="330">
        <f t="shared" si="19"/>
        <v>0</v>
      </c>
      <c r="AG26" s="215">
        <f t="shared" si="29"/>
        <v>0</v>
      </c>
      <c r="AH26" s="62">
        <f t="shared" si="20"/>
        <v>0</v>
      </c>
      <c r="AI26" s="342">
        <f t="shared" si="21"/>
        <v>0</v>
      </c>
      <c r="AJ26" s="342">
        <f>-tanks!AW27</f>
        <v>0</v>
      </c>
      <c r="AK26" s="342">
        <f t="shared" si="22"/>
        <v>0</v>
      </c>
      <c r="AL26" s="342">
        <f t="shared" si="40"/>
        <v>0</v>
      </c>
      <c r="AM26" s="342">
        <f t="shared" si="23"/>
        <v>0</v>
      </c>
      <c r="AN26" s="64">
        <f t="shared" si="39"/>
        <v>74</v>
      </c>
      <c r="AO26" s="344">
        <f t="shared" si="24"/>
        <v>2220</v>
      </c>
      <c r="AP26" s="64">
        <f t="shared" si="39"/>
        <v>74</v>
      </c>
      <c r="AQ26" s="344">
        <f t="shared" si="44"/>
        <v>2220</v>
      </c>
      <c r="AR26" s="64">
        <f t="shared" si="39"/>
        <v>74</v>
      </c>
      <c r="AS26" s="344">
        <f t="shared" si="30"/>
        <v>2220</v>
      </c>
      <c r="AT26" s="344">
        <f t="shared" si="43"/>
        <v>6660</v>
      </c>
      <c r="AU26" s="344">
        <f t="shared" si="32"/>
        <v>0</v>
      </c>
      <c r="AV26" s="281"/>
      <c r="AW26" s="281"/>
      <c r="AX26" s="337">
        <f t="shared" si="26"/>
        <v>0.7</v>
      </c>
    </row>
    <row r="27" spans="1:50">
      <c r="A27" s="63">
        <f>ELEC!C25</f>
        <v>43761</v>
      </c>
      <c r="B27" s="64">
        <f t="shared" si="36"/>
        <v>178</v>
      </c>
      <c r="C27" s="64">
        <f t="shared" si="36"/>
        <v>184</v>
      </c>
      <c r="D27" s="45">
        <f t="shared" si="0"/>
        <v>0</v>
      </c>
      <c r="E27" s="45">
        <f t="shared" si="10"/>
        <v>0</v>
      </c>
      <c r="F27" s="64">
        <f t="shared" si="33"/>
        <v>1151</v>
      </c>
      <c r="G27" s="52">
        <f t="shared" si="1"/>
        <v>0</v>
      </c>
      <c r="H27" s="64">
        <f t="shared" si="33"/>
        <v>318215</v>
      </c>
      <c r="I27" s="429">
        <f t="shared" si="2"/>
        <v>0</v>
      </c>
      <c r="J27" s="66">
        <f t="shared" si="11"/>
        <v>0</v>
      </c>
      <c r="K27" s="64">
        <f t="shared" si="12"/>
        <v>1523</v>
      </c>
      <c r="L27" s="52">
        <f t="shared" si="3"/>
        <v>0</v>
      </c>
      <c r="M27" s="64">
        <f t="shared" si="12"/>
        <v>111660</v>
      </c>
      <c r="N27" s="429">
        <f t="shared" si="4"/>
        <v>0</v>
      </c>
      <c r="O27" s="67">
        <f t="shared" si="5"/>
        <v>0</v>
      </c>
      <c r="P27" s="64">
        <f t="shared" si="37"/>
        <v>1361</v>
      </c>
      <c r="Q27" s="64">
        <f t="shared" si="37"/>
        <v>118669</v>
      </c>
      <c r="R27" s="428">
        <f t="shared" si="34"/>
        <v>0</v>
      </c>
      <c r="S27" s="52">
        <f t="shared" si="41"/>
        <v>0</v>
      </c>
      <c r="T27" s="68">
        <f t="shared" si="27"/>
        <v>0</v>
      </c>
      <c r="U27" s="435">
        <f t="shared" si="14"/>
        <v>0</v>
      </c>
      <c r="V27" s="62">
        <f t="shared" si="15"/>
        <v>0</v>
      </c>
      <c r="W27" s="433"/>
      <c r="X27" s="64">
        <f t="shared" si="17"/>
        <v>2185</v>
      </c>
      <c r="Y27" s="52">
        <f t="shared" si="18"/>
        <v>0</v>
      </c>
      <c r="Z27" s="64">
        <f t="shared" si="17"/>
        <v>123531.8</v>
      </c>
      <c r="AA27" s="65">
        <f t="shared" si="7"/>
        <v>0</v>
      </c>
      <c r="AB27" s="302">
        <f t="shared" si="42"/>
        <v>0</v>
      </c>
      <c r="AC27" s="64">
        <f t="shared" si="38"/>
        <v>1552</v>
      </c>
      <c r="AD27" s="45">
        <f t="shared" si="8"/>
        <v>0</v>
      </c>
      <c r="AE27" s="64">
        <f t="shared" si="38"/>
        <v>345307</v>
      </c>
      <c r="AF27" s="330">
        <f t="shared" si="19"/>
        <v>0</v>
      </c>
      <c r="AG27" s="215">
        <f t="shared" si="29"/>
        <v>0</v>
      </c>
      <c r="AH27" s="62">
        <f t="shared" si="20"/>
        <v>0</v>
      </c>
      <c r="AI27" s="342">
        <f t="shared" si="21"/>
        <v>0</v>
      </c>
      <c r="AJ27" s="342">
        <f>-tanks!AW28</f>
        <v>0</v>
      </c>
      <c r="AK27" s="342">
        <f t="shared" si="22"/>
        <v>0</v>
      </c>
      <c r="AL27" s="342">
        <f t="shared" si="40"/>
        <v>0</v>
      </c>
      <c r="AM27" s="342">
        <f t="shared" si="23"/>
        <v>0</v>
      </c>
      <c r="AN27" s="64">
        <f t="shared" si="39"/>
        <v>74</v>
      </c>
      <c r="AO27" s="344">
        <f>(AN27/100)*3000</f>
        <v>2220</v>
      </c>
      <c r="AP27" s="64">
        <f t="shared" si="39"/>
        <v>74</v>
      </c>
      <c r="AQ27" s="344">
        <f t="shared" si="44"/>
        <v>2220</v>
      </c>
      <c r="AR27" s="64">
        <f t="shared" si="39"/>
        <v>74</v>
      </c>
      <c r="AS27" s="344">
        <f t="shared" si="30"/>
        <v>2220</v>
      </c>
      <c r="AT27" s="344">
        <f t="shared" si="43"/>
        <v>6660</v>
      </c>
      <c r="AU27" s="344">
        <f t="shared" si="32"/>
        <v>0</v>
      </c>
      <c r="AV27" s="281"/>
      <c r="AW27" s="573"/>
      <c r="AX27" s="337">
        <f t="shared" si="26"/>
        <v>0.7</v>
      </c>
    </row>
    <row r="28" spans="1:50">
      <c r="A28" s="63">
        <f>ELEC!C26</f>
        <v>43762</v>
      </c>
      <c r="B28" s="64">
        <f t="shared" si="36"/>
        <v>178</v>
      </c>
      <c r="C28" s="64">
        <f t="shared" si="36"/>
        <v>184</v>
      </c>
      <c r="D28" s="45">
        <f t="shared" si="0"/>
        <v>0</v>
      </c>
      <c r="E28" s="45">
        <f t="shared" si="10"/>
        <v>0</v>
      </c>
      <c r="F28" s="64">
        <f t="shared" si="33"/>
        <v>1151</v>
      </c>
      <c r="G28" s="52">
        <f t="shared" si="1"/>
        <v>0</v>
      </c>
      <c r="H28" s="64">
        <f t="shared" si="33"/>
        <v>318215</v>
      </c>
      <c r="I28" s="429">
        <f t="shared" si="2"/>
        <v>0</v>
      </c>
      <c r="J28" s="66">
        <f t="shared" si="11"/>
        <v>0</v>
      </c>
      <c r="K28" s="64">
        <f t="shared" si="12"/>
        <v>1523</v>
      </c>
      <c r="L28" s="52">
        <f t="shared" si="3"/>
        <v>0</v>
      </c>
      <c r="M28" s="64">
        <f t="shared" si="12"/>
        <v>111660</v>
      </c>
      <c r="N28" s="429">
        <f t="shared" si="4"/>
        <v>0</v>
      </c>
      <c r="O28" s="67">
        <f t="shared" si="5"/>
        <v>0</v>
      </c>
      <c r="P28" s="64">
        <f t="shared" si="37"/>
        <v>1361</v>
      </c>
      <c r="Q28" s="64">
        <f t="shared" si="37"/>
        <v>118669</v>
      </c>
      <c r="R28" s="428">
        <f t="shared" si="34"/>
        <v>0</v>
      </c>
      <c r="S28" s="52">
        <f t="shared" si="41"/>
        <v>0</v>
      </c>
      <c r="T28" s="68">
        <f t="shared" si="27"/>
        <v>0</v>
      </c>
      <c r="U28" s="435">
        <f t="shared" si="14"/>
        <v>0</v>
      </c>
      <c r="V28" s="62">
        <f t="shared" si="15"/>
        <v>0</v>
      </c>
      <c r="W28" s="433"/>
      <c r="X28" s="64">
        <f t="shared" si="17"/>
        <v>2185</v>
      </c>
      <c r="Y28" s="52">
        <f t="shared" si="18"/>
        <v>0</v>
      </c>
      <c r="Z28" s="64">
        <f t="shared" si="17"/>
        <v>123531.8</v>
      </c>
      <c r="AA28" s="65">
        <f t="shared" si="7"/>
        <v>0</v>
      </c>
      <c r="AB28" s="302">
        <f t="shared" si="42"/>
        <v>0</v>
      </c>
      <c r="AC28" s="64">
        <f t="shared" si="38"/>
        <v>1552</v>
      </c>
      <c r="AD28" s="45">
        <f t="shared" si="8"/>
        <v>0</v>
      </c>
      <c r="AE28" s="64">
        <f t="shared" si="38"/>
        <v>345307</v>
      </c>
      <c r="AF28" s="330">
        <f t="shared" si="19"/>
        <v>0</v>
      </c>
      <c r="AG28" s="215">
        <f t="shared" si="29"/>
        <v>0</v>
      </c>
      <c r="AH28" s="62">
        <f t="shared" si="20"/>
        <v>0</v>
      </c>
      <c r="AI28" s="342">
        <f t="shared" si="21"/>
        <v>0</v>
      </c>
      <c r="AJ28" s="342">
        <f>-tanks!AW29</f>
        <v>0</v>
      </c>
      <c r="AK28" s="342">
        <f t="shared" si="22"/>
        <v>0</v>
      </c>
      <c r="AL28" s="342">
        <f t="shared" si="40"/>
        <v>0</v>
      </c>
      <c r="AM28" s="342">
        <f t="shared" si="23"/>
        <v>0</v>
      </c>
      <c r="AN28" s="64">
        <f t="shared" si="39"/>
        <v>74</v>
      </c>
      <c r="AO28" s="344">
        <f t="shared" ref="AO28:AO34" si="45">(AN28/100)*3000</f>
        <v>2220</v>
      </c>
      <c r="AP28" s="64">
        <f t="shared" si="39"/>
        <v>74</v>
      </c>
      <c r="AQ28" s="344">
        <f t="shared" si="44"/>
        <v>2220</v>
      </c>
      <c r="AR28" s="64">
        <f t="shared" si="39"/>
        <v>74</v>
      </c>
      <c r="AS28" s="344">
        <f t="shared" si="30"/>
        <v>2220</v>
      </c>
      <c r="AT28" s="344">
        <f t="shared" si="43"/>
        <v>6660</v>
      </c>
      <c r="AU28" s="344">
        <f t="shared" si="32"/>
        <v>0</v>
      </c>
      <c r="AV28" s="281"/>
      <c r="AW28" s="281"/>
      <c r="AX28" s="337">
        <f t="shared" si="26"/>
        <v>0.7</v>
      </c>
    </row>
    <row r="29" spans="1:50">
      <c r="A29" s="63">
        <f>ELEC!C27</f>
        <v>43763</v>
      </c>
      <c r="B29" s="64">
        <f t="shared" si="36"/>
        <v>178</v>
      </c>
      <c r="C29" s="64">
        <f t="shared" si="36"/>
        <v>184</v>
      </c>
      <c r="D29" s="45">
        <f t="shared" si="0"/>
        <v>0</v>
      </c>
      <c r="E29" s="45">
        <f t="shared" ref="E29:E34" si="46">D29*8.38</f>
        <v>0</v>
      </c>
      <c r="F29" s="64">
        <f t="shared" si="33"/>
        <v>1151</v>
      </c>
      <c r="G29" s="52">
        <f t="shared" si="1"/>
        <v>0</v>
      </c>
      <c r="H29" s="64">
        <f t="shared" si="33"/>
        <v>318215</v>
      </c>
      <c r="I29" s="429">
        <f t="shared" si="2"/>
        <v>0</v>
      </c>
      <c r="J29" s="66">
        <f t="shared" si="11"/>
        <v>0</v>
      </c>
      <c r="K29" s="64">
        <f t="shared" si="12"/>
        <v>1523</v>
      </c>
      <c r="L29" s="52">
        <f t="shared" si="3"/>
        <v>0</v>
      </c>
      <c r="M29" s="64">
        <f t="shared" si="12"/>
        <v>111660</v>
      </c>
      <c r="N29" s="429">
        <f t="shared" si="4"/>
        <v>0</v>
      </c>
      <c r="O29" s="67">
        <f t="shared" si="5"/>
        <v>0</v>
      </c>
      <c r="P29" s="64">
        <f t="shared" si="37"/>
        <v>1361</v>
      </c>
      <c r="Q29" s="64">
        <f t="shared" si="37"/>
        <v>118669</v>
      </c>
      <c r="R29" s="428">
        <f t="shared" si="34"/>
        <v>0</v>
      </c>
      <c r="S29" s="52">
        <f t="shared" si="41"/>
        <v>0</v>
      </c>
      <c r="T29" s="68">
        <f t="shared" si="27"/>
        <v>0</v>
      </c>
      <c r="U29" s="435">
        <f t="shared" si="14"/>
        <v>0</v>
      </c>
      <c r="V29" s="62">
        <f t="shared" si="15"/>
        <v>0</v>
      </c>
      <c r="W29" s="433"/>
      <c r="X29" s="64">
        <f t="shared" si="17"/>
        <v>2185</v>
      </c>
      <c r="Y29" s="52">
        <f t="shared" si="18"/>
        <v>0</v>
      </c>
      <c r="Z29" s="64">
        <f t="shared" si="17"/>
        <v>123531.8</v>
      </c>
      <c r="AA29" s="65">
        <f t="shared" si="7"/>
        <v>0</v>
      </c>
      <c r="AB29" s="302">
        <f t="shared" si="42"/>
        <v>0</v>
      </c>
      <c r="AC29" s="64">
        <f t="shared" si="38"/>
        <v>1552</v>
      </c>
      <c r="AD29" s="45">
        <f t="shared" si="8"/>
        <v>0</v>
      </c>
      <c r="AE29" s="64">
        <f t="shared" si="38"/>
        <v>345307</v>
      </c>
      <c r="AF29" s="330">
        <f t="shared" si="19"/>
        <v>0</v>
      </c>
      <c r="AG29" s="215">
        <f t="shared" si="29"/>
        <v>0</v>
      </c>
      <c r="AH29" s="62">
        <f t="shared" si="20"/>
        <v>0</v>
      </c>
      <c r="AI29" s="342">
        <f t="shared" si="21"/>
        <v>0</v>
      </c>
      <c r="AJ29" s="342">
        <f>-tanks!AW30</f>
        <v>0</v>
      </c>
      <c r="AK29" s="342">
        <f t="shared" si="22"/>
        <v>0</v>
      </c>
      <c r="AL29" s="342">
        <f t="shared" si="40"/>
        <v>0</v>
      </c>
      <c r="AM29" s="342">
        <f t="shared" si="23"/>
        <v>0</v>
      </c>
      <c r="AN29" s="64">
        <f t="shared" si="39"/>
        <v>74</v>
      </c>
      <c r="AO29" s="344">
        <f t="shared" si="45"/>
        <v>2220</v>
      </c>
      <c r="AP29" s="64">
        <f t="shared" si="39"/>
        <v>74</v>
      </c>
      <c r="AQ29" s="344">
        <f t="shared" si="44"/>
        <v>2220</v>
      </c>
      <c r="AR29" s="64">
        <f t="shared" si="39"/>
        <v>74</v>
      </c>
      <c r="AS29" s="344">
        <f t="shared" si="30"/>
        <v>2220</v>
      </c>
      <c r="AT29" s="344">
        <f>SUM(AO29+AQ29+AS29)</f>
        <v>6660</v>
      </c>
      <c r="AU29" s="344">
        <f>AT28-AT29+AV29</f>
        <v>0</v>
      </c>
      <c r="AV29" s="281"/>
      <c r="AW29" s="281"/>
      <c r="AX29" s="337">
        <f t="shared" si="26"/>
        <v>0.7</v>
      </c>
    </row>
    <row r="30" spans="1:50">
      <c r="A30" s="63">
        <f>ELEC!C28</f>
        <v>43764</v>
      </c>
      <c r="B30" s="64">
        <f t="shared" si="36"/>
        <v>178</v>
      </c>
      <c r="C30" s="64">
        <f t="shared" si="36"/>
        <v>184</v>
      </c>
      <c r="D30" s="45">
        <f t="shared" si="0"/>
        <v>0</v>
      </c>
      <c r="E30" s="45">
        <f t="shared" si="46"/>
        <v>0</v>
      </c>
      <c r="F30" s="64">
        <f t="shared" si="33"/>
        <v>1151</v>
      </c>
      <c r="G30" s="52">
        <f t="shared" si="1"/>
        <v>0</v>
      </c>
      <c r="H30" s="64">
        <f t="shared" si="33"/>
        <v>318215</v>
      </c>
      <c r="I30" s="429">
        <f t="shared" si="2"/>
        <v>0</v>
      </c>
      <c r="J30" s="66">
        <f t="shared" si="11"/>
        <v>0</v>
      </c>
      <c r="K30" s="64">
        <f t="shared" si="12"/>
        <v>1523</v>
      </c>
      <c r="L30" s="52">
        <f t="shared" si="3"/>
        <v>0</v>
      </c>
      <c r="M30" s="64">
        <f t="shared" si="12"/>
        <v>111660</v>
      </c>
      <c r="N30" s="429">
        <f t="shared" si="4"/>
        <v>0</v>
      </c>
      <c r="O30" s="67">
        <f t="shared" si="5"/>
        <v>0</v>
      </c>
      <c r="P30" s="64">
        <f t="shared" si="37"/>
        <v>1361</v>
      </c>
      <c r="Q30" s="64">
        <f t="shared" si="37"/>
        <v>118669</v>
      </c>
      <c r="R30" s="428">
        <f t="shared" si="34"/>
        <v>0</v>
      </c>
      <c r="S30" s="52">
        <f t="shared" si="41"/>
        <v>0</v>
      </c>
      <c r="T30" s="68">
        <f t="shared" si="27"/>
        <v>0</v>
      </c>
      <c r="U30" s="435">
        <f t="shared" si="14"/>
        <v>0</v>
      </c>
      <c r="V30" s="62">
        <f t="shared" si="15"/>
        <v>0</v>
      </c>
      <c r="W30" s="433"/>
      <c r="X30" s="64">
        <f t="shared" si="17"/>
        <v>2185</v>
      </c>
      <c r="Y30" s="52">
        <f t="shared" si="18"/>
        <v>0</v>
      </c>
      <c r="Z30" s="64">
        <f t="shared" si="17"/>
        <v>123531.8</v>
      </c>
      <c r="AA30" s="65">
        <f t="shared" si="7"/>
        <v>0</v>
      </c>
      <c r="AB30" s="302">
        <f t="shared" si="42"/>
        <v>0</v>
      </c>
      <c r="AC30" s="64">
        <f t="shared" si="38"/>
        <v>1552</v>
      </c>
      <c r="AD30" s="45">
        <f t="shared" si="8"/>
        <v>0</v>
      </c>
      <c r="AE30" s="64">
        <f t="shared" si="38"/>
        <v>345307</v>
      </c>
      <c r="AF30" s="330">
        <f t="shared" si="19"/>
        <v>0</v>
      </c>
      <c r="AG30" s="215">
        <f t="shared" si="29"/>
        <v>0</v>
      </c>
      <c r="AH30" s="62">
        <f t="shared" si="20"/>
        <v>0</v>
      </c>
      <c r="AI30" s="342">
        <f t="shared" si="21"/>
        <v>0</v>
      </c>
      <c r="AJ30" s="342">
        <f>-tanks!AW31</f>
        <v>0</v>
      </c>
      <c r="AK30" s="342">
        <f t="shared" si="22"/>
        <v>0</v>
      </c>
      <c r="AL30" s="342">
        <f t="shared" si="40"/>
        <v>0</v>
      </c>
      <c r="AM30" s="342">
        <f t="shared" si="23"/>
        <v>0</v>
      </c>
      <c r="AN30" s="64">
        <f t="shared" si="39"/>
        <v>74</v>
      </c>
      <c r="AO30" s="344">
        <f t="shared" si="45"/>
        <v>2220</v>
      </c>
      <c r="AP30" s="64">
        <f t="shared" si="39"/>
        <v>74</v>
      </c>
      <c r="AQ30" s="344">
        <f t="shared" si="44"/>
        <v>2220</v>
      </c>
      <c r="AR30" s="64">
        <f t="shared" si="39"/>
        <v>74</v>
      </c>
      <c r="AS30" s="344">
        <f t="shared" si="30"/>
        <v>2220</v>
      </c>
      <c r="AT30" s="344">
        <f t="shared" si="43"/>
        <v>6660</v>
      </c>
      <c r="AU30" s="344">
        <f t="shared" si="32"/>
        <v>0</v>
      </c>
      <c r="AV30" s="281"/>
      <c r="AW30" s="281"/>
      <c r="AX30" s="337">
        <f t="shared" si="26"/>
        <v>0.7</v>
      </c>
    </row>
    <row r="31" spans="1:50">
      <c r="A31" s="63">
        <f>ELEC!C29</f>
        <v>43765</v>
      </c>
      <c r="B31" s="64">
        <f t="shared" si="36"/>
        <v>178</v>
      </c>
      <c r="C31" s="64">
        <f t="shared" si="36"/>
        <v>184</v>
      </c>
      <c r="D31" s="45">
        <f t="shared" si="0"/>
        <v>0</v>
      </c>
      <c r="E31" s="45">
        <f t="shared" si="46"/>
        <v>0</v>
      </c>
      <c r="F31" s="64">
        <f t="shared" si="33"/>
        <v>1151</v>
      </c>
      <c r="G31" s="52">
        <f t="shared" si="1"/>
        <v>0</v>
      </c>
      <c r="H31" s="64">
        <f t="shared" si="33"/>
        <v>318215</v>
      </c>
      <c r="I31" s="429">
        <f t="shared" si="2"/>
        <v>0</v>
      </c>
      <c r="J31" s="66">
        <f t="shared" si="11"/>
        <v>0</v>
      </c>
      <c r="K31" s="64">
        <f t="shared" si="12"/>
        <v>1523</v>
      </c>
      <c r="L31" s="52">
        <f t="shared" si="3"/>
        <v>0</v>
      </c>
      <c r="M31" s="64">
        <f t="shared" si="12"/>
        <v>111660</v>
      </c>
      <c r="N31" s="429">
        <f>M31-M30</f>
        <v>0</v>
      </c>
      <c r="O31" s="67">
        <f t="shared" si="5"/>
        <v>0</v>
      </c>
      <c r="P31" s="64">
        <f t="shared" si="37"/>
        <v>1361</v>
      </c>
      <c r="Q31" s="64">
        <f t="shared" si="37"/>
        <v>118669</v>
      </c>
      <c r="R31" s="428">
        <f t="shared" si="34"/>
        <v>0</v>
      </c>
      <c r="S31" s="52">
        <f t="shared" si="41"/>
        <v>0</v>
      </c>
      <c r="T31" s="68">
        <f t="shared" si="27"/>
        <v>0</v>
      </c>
      <c r="U31" s="435">
        <f t="shared" si="14"/>
        <v>0</v>
      </c>
      <c r="V31" s="62">
        <f t="shared" si="15"/>
        <v>0</v>
      </c>
      <c r="W31" s="433"/>
      <c r="X31" s="64">
        <f t="shared" si="17"/>
        <v>2185</v>
      </c>
      <c r="Y31" s="52">
        <f t="shared" si="18"/>
        <v>0</v>
      </c>
      <c r="Z31" s="64">
        <f t="shared" si="17"/>
        <v>123531.8</v>
      </c>
      <c r="AA31" s="65">
        <f t="shared" si="7"/>
        <v>0</v>
      </c>
      <c r="AB31" s="302">
        <f t="shared" si="42"/>
        <v>0</v>
      </c>
      <c r="AC31" s="64">
        <f t="shared" si="38"/>
        <v>1552</v>
      </c>
      <c r="AD31" s="281">
        <f t="shared" si="8"/>
        <v>0</v>
      </c>
      <c r="AE31" s="64">
        <f t="shared" si="38"/>
        <v>345307</v>
      </c>
      <c r="AF31" s="330">
        <f t="shared" si="19"/>
        <v>0</v>
      </c>
      <c r="AG31" s="215">
        <f t="shared" si="29"/>
        <v>0</v>
      </c>
      <c r="AH31" s="62">
        <f t="shared" si="20"/>
        <v>0</v>
      </c>
      <c r="AI31" s="342">
        <f t="shared" si="21"/>
        <v>0</v>
      </c>
      <c r="AJ31" s="342">
        <f>-tanks!AW32</f>
        <v>0</v>
      </c>
      <c r="AK31" s="342">
        <f t="shared" si="22"/>
        <v>0</v>
      </c>
      <c r="AL31" s="342">
        <f t="shared" si="40"/>
        <v>0</v>
      </c>
      <c r="AM31" s="342">
        <f t="shared" si="23"/>
        <v>0</v>
      </c>
      <c r="AN31" s="64">
        <f t="shared" si="39"/>
        <v>74</v>
      </c>
      <c r="AO31" s="344">
        <f t="shared" si="45"/>
        <v>2220</v>
      </c>
      <c r="AP31" s="64">
        <f t="shared" si="39"/>
        <v>74</v>
      </c>
      <c r="AQ31" s="344">
        <f t="shared" si="44"/>
        <v>2220</v>
      </c>
      <c r="AR31" s="64">
        <f t="shared" si="39"/>
        <v>74</v>
      </c>
      <c r="AS31" s="344">
        <f t="shared" si="30"/>
        <v>2220</v>
      </c>
      <c r="AT31" s="344">
        <f t="shared" si="43"/>
        <v>6660</v>
      </c>
      <c r="AU31" s="344">
        <f t="shared" si="32"/>
        <v>0</v>
      </c>
      <c r="AV31" s="281"/>
      <c r="AW31" s="281"/>
      <c r="AX31" s="337">
        <f t="shared" si="26"/>
        <v>0.7</v>
      </c>
    </row>
    <row r="32" spans="1:50">
      <c r="A32" s="63">
        <f>ELEC!C30</f>
        <v>43766</v>
      </c>
      <c r="B32" s="64">
        <f t="shared" si="36"/>
        <v>178</v>
      </c>
      <c r="C32" s="64">
        <f t="shared" si="36"/>
        <v>184</v>
      </c>
      <c r="D32" s="45">
        <f t="shared" si="0"/>
        <v>0</v>
      </c>
      <c r="E32" s="45">
        <f t="shared" si="46"/>
        <v>0</v>
      </c>
      <c r="F32" s="64">
        <f t="shared" si="33"/>
        <v>1151</v>
      </c>
      <c r="G32" s="52">
        <f t="shared" si="1"/>
        <v>0</v>
      </c>
      <c r="H32" s="64">
        <f t="shared" si="33"/>
        <v>318215</v>
      </c>
      <c r="I32" s="429">
        <f t="shared" si="2"/>
        <v>0</v>
      </c>
      <c r="J32" s="66">
        <f t="shared" si="11"/>
        <v>0</v>
      </c>
      <c r="K32" s="64">
        <f t="shared" si="12"/>
        <v>1523</v>
      </c>
      <c r="L32" s="52">
        <f t="shared" si="3"/>
        <v>0</v>
      </c>
      <c r="M32" s="64">
        <f t="shared" si="12"/>
        <v>111660</v>
      </c>
      <c r="N32" s="429">
        <f>M32-M31</f>
        <v>0</v>
      </c>
      <c r="O32" s="67">
        <f t="shared" si="5"/>
        <v>0</v>
      </c>
      <c r="P32" s="64">
        <f t="shared" si="37"/>
        <v>1361</v>
      </c>
      <c r="Q32" s="64">
        <f t="shared" si="37"/>
        <v>118669</v>
      </c>
      <c r="R32" s="428">
        <f t="shared" si="34"/>
        <v>0</v>
      </c>
      <c r="S32" s="52">
        <f t="shared" si="41"/>
        <v>0</v>
      </c>
      <c r="T32" s="68">
        <f t="shared" si="27"/>
        <v>0</v>
      </c>
      <c r="U32" s="435">
        <f t="shared" si="14"/>
        <v>0</v>
      </c>
      <c r="V32" s="62">
        <f t="shared" si="15"/>
        <v>0</v>
      </c>
      <c r="W32" s="433"/>
      <c r="X32" s="64">
        <f t="shared" si="17"/>
        <v>2185</v>
      </c>
      <c r="Y32" s="52">
        <f t="shared" si="18"/>
        <v>0</v>
      </c>
      <c r="Z32" s="64">
        <f t="shared" si="17"/>
        <v>123531.8</v>
      </c>
      <c r="AA32" s="65">
        <f t="shared" si="7"/>
        <v>0</v>
      </c>
      <c r="AB32" s="302">
        <f t="shared" si="42"/>
        <v>0</v>
      </c>
      <c r="AC32" s="64">
        <f t="shared" si="38"/>
        <v>1552</v>
      </c>
      <c r="AD32" s="281">
        <f t="shared" si="8"/>
        <v>0</v>
      </c>
      <c r="AE32" s="64">
        <f t="shared" si="38"/>
        <v>345307</v>
      </c>
      <c r="AF32" s="330">
        <f t="shared" si="19"/>
        <v>0</v>
      </c>
      <c r="AG32" s="215">
        <f t="shared" si="29"/>
        <v>0</v>
      </c>
      <c r="AH32" s="62">
        <f t="shared" si="20"/>
        <v>0</v>
      </c>
      <c r="AI32" s="342">
        <f t="shared" si="21"/>
        <v>0</v>
      </c>
      <c r="AJ32" s="342">
        <f>-tanks!AW33</f>
        <v>0</v>
      </c>
      <c r="AK32" s="342">
        <f t="shared" si="22"/>
        <v>0</v>
      </c>
      <c r="AL32" s="342">
        <f t="shared" si="40"/>
        <v>0</v>
      </c>
      <c r="AM32" s="342">
        <f t="shared" si="23"/>
        <v>0</v>
      </c>
      <c r="AN32" s="64">
        <f t="shared" si="39"/>
        <v>74</v>
      </c>
      <c r="AO32" s="344">
        <f t="shared" si="45"/>
        <v>2220</v>
      </c>
      <c r="AP32" s="64">
        <f t="shared" si="39"/>
        <v>74</v>
      </c>
      <c r="AQ32" s="344">
        <f t="shared" si="44"/>
        <v>2220</v>
      </c>
      <c r="AR32" s="64">
        <f t="shared" si="39"/>
        <v>74</v>
      </c>
      <c r="AS32" s="344">
        <f t="shared" si="30"/>
        <v>2220</v>
      </c>
      <c r="AT32" s="344">
        <f t="shared" si="43"/>
        <v>6660</v>
      </c>
      <c r="AU32" s="344">
        <f t="shared" si="32"/>
        <v>0</v>
      </c>
      <c r="AV32" s="281"/>
      <c r="AW32" s="281"/>
      <c r="AX32" s="337">
        <f t="shared" si="26"/>
        <v>0.7</v>
      </c>
    </row>
    <row r="33" spans="1:50">
      <c r="A33" s="63">
        <f>ELEC!C31</f>
        <v>43767</v>
      </c>
      <c r="B33" s="64">
        <f t="shared" si="36"/>
        <v>178</v>
      </c>
      <c r="C33" s="64">
        <f t="shared" si="36"/>
        <v>184</v>
      </c>
      <c r="D33" s="45">
        <f t="shared" si="0"/>
        <v>0</v>
      </c>
      <c r="E33" s="45">
        <f t="shared" si="46"/>
        <v>0</v>
      </c>
      <c r="F33" s="64">
        <f t="shared" si="33"/>
        <v>1151</v>
      </c>
      <c r="G33" s="52">
        <f t="shared" si="1"/>
        <v>0</v>
      </c>
      <c r="H33" s="64">
        <f t="shared" si="33"/>
        <v>318215</v>
      </c>
      <c r="I33" s="429">
        <f t="shared" si="2"/>
        <v>0</v>
      </c>
      <c r="J33" s="66">
        <f t="shared" si="11"/>
        <v>0</v>
      </c>
      <c r="K33" s="64">
        <f t="shared" si="12"/>
        <v>1523</v>
      </c>
      <c r="L33" s="52">
        <f t="shared" si="3"/>
        <v>0</v>
      </c>
      <c r="M33" s="64">
        <f t="shared" si="12"/>
        <v>111660</v>
      </c>
      <c r="N33" s="429">
        <f>M33-M32</f>
        <v>0</v>
      </c>
      <c r="O33" s="67">
        <f t="shared" si="5"/>
        <v>0</v>
      </c>
      <c r="P33" s="64">
        <f t="shared" si="37"/>
        <v>1361</v>
      </c>
      <c r="Q33" s="64">
        <f t="shared" si="37"/>
        <v>118669</v>
      </c>
      <c r="R33" s="428">
        <f t="shared" si="34"/>
        <v>0</v>
      </c>
      <c r="S33" s="52">
        <f t="shared" si="41"/>
        <v>0</v>
      </c>
      <c r="T33" s="68">
        <f t="shared" si="27"/>
        <v>0</v>
      </c>
      <c r="U33" s="435">
        <f t="shared" si="14"/>
        <v>0</v>
      </c>
      <c r="V33" s="62">
        <f t="shared" si="15"/>
        <v>0</v>
      </c>
      <c r="W33" s="433"/>
      <c r="X33" s="64">
        <f t="shared" si="17"/>
        <v>2185</v>
      </c>
      <c r="Y33" s="52">
        <f t="shared" si="18"/>
        <v>0</v>
      </c>
      <c r="Z33" s="64">
        <f t="shared" si="17"/>
        <v>123531.8</v>
      </c>
      <c r="AA33" s="65">
        <f t="shared" si="7"/>
        <v>0</v>
      </c>
      <c r="AB33" s="302">
        <f t="shared" si="42"/>
        <v>0</v>
      </c>
      <c r="AC33" s="64">
        <f t="shared" si="38"/>
        <v>1552</v>
      </c>
      <c r="AD33" s="45">
        <f t="shared" si="8"/>
        <v>0</v>
      </c>
      <c r="AE33" s="64">
        <f t="shared" si="38"/>
        <v>345307</v>
      </c>
      <c r="AF33" s="330">
        <f t="shared" si="19"/>
        <v>0</v>
      </c>
      <c r="AG33" s="215">
        <f t="shared" si="29"/>
        <v>0</v>
      </c>
      <c r="AH33" s="62">
        <f t="shared" si="20"/>
        <v>0</v>
      </c>
      <c r="AI33" s="342">
        <f t="shared" si="21"/>
        <v>0</v>
      </c>
      <c r="AJ33" s="342">
        <f>-tanks!AW34</f>
        <v>0</v>
      </c>
      <c r="AK33" s="342">
        <f t="shared" si="22"/>
        <v>0</v>
      </c>
      <c r="AL33" s="342">
        <f t="shared" si="40"/>
        <v>0</v>
      </c>
      <c r="AM33" s="342">
        <f t="shared" si="23"/>
        <v>0</v>
      </c>
      <c r="AN33" s="64">
        <f t="shared" si="39"/>
        <v>74</v>
      </c>
      <c r="AO33" s="344">
        <f t="shared" si="45"/>
        <v>2220</v>
      </c>
      <c r="AP33" s="64">
        <f t="shared" si="39"/>
        <v>74</v>
      </c>
      <c r="AQ33" s="344">
        <f t="shared" si="44"/>
        <v>2220</v>
      </c>
      <c r="AR33" s="64">
        <f t="shared" si="39"/>
        <v>74</v>
      </c>
      <c r="AS33" s="344">
        <f t="shared" si="30"/>
        <v>2220</v>
      </c>
      <c r="AT33" s="344">
        <f t="shared" si="43"/>
        <v>6660</v>
      </c>
      <c r="AU33" s="344">
        <f t="shared" si="32"/>
        <v>0</v>
      </c>
      <c r="AV33" s="281"/>
      <c r="AW33" s="281"/>
      <c r="AX33" s="337">
        <f t="shared" si="26"/>
        <v>0.7</v>
      </c>
    </row>
    <row r="34" spans="1:50">
      <c r="A34" s="63">
        <f>ELEC!C32</f>
        <v>43768</v>
      </c>
      <c r="B34" s="64">
        <f t="shared" si="36"/>
        <v>178</v>
      </c>
      <c r="C34" s="64">
        <f t="shared" si="36"/>
        <v>184</v>
      </c>
      <c r="D34" s="45">
        <f t="shared" si="0"/>
        <v>0</v>
      </c>
      <c r="E34" s="45">
        <f t="shared" si="46"/>
        <v>0</v>
      </c>
      <c r="F34" s="64">
        <f t="shared" si="33"/>
        <v>1151</v>
      </c>
      <c r="G34" s="52">
        <f t="shared" si="1"/>
        <v>0</v>
      </c>
      <c r="H34" s="64">
        <f t="shared" si="33"/>
        <v>318215</v>
      </c>
      <c r="I34" s="429">
        <f t="shared" si="2"/>
        <v>0</v>
      </c>
      <c r="J34" s="66">
        <f t="shared" si="11"/>
        <v>0</v>
      </c>
      <c r="K34" s="64">
        <f t="shared" si="12"/>
        <v>1523</v>
      </c>
      <c r="L34" s="52">
        <f t="shared" si="3"/>
        <v>0</v>
      </c>
      <c r="M34" s="64">
        <f t="shared" si="12"/>
        <v>111660</v>
      </c>
      <c r="N34" s="429">
        <f>M34-M33</f>
        <v>0</v>
      </c>
      <c r="O34" s="67">
        <f t="shared" si="5"/>
        <v>0</v>
      </c>
      <c r="P34" s="64">
        <f t="shared" si="37"/>
        <v>1361</v>
      </c>
      <c r="Q34" s="64">
        <f t="shared" si="37"/>
        <v>118669</v>
      </c>
      <c r="R34" s="428">
        <f t="shared" si="34"/>
        <v>0</v>
      </c>
      <c r="S34" s="52">
        <f>SUM(P34-P33)</f>
        <v>0</v>
      </c>
      <c r="T34" s="68">
        <f t="shared" si="27"/>
        <v>0</v>
      </c>
      <c r="U34" s="435">
        <f t="shared" si="14"/>
        <v>0</v>
      </c>
      <c r="V34" s="62">
        <f t="shared" si="15"/>
        <v>0</v>
      </c>
      <c r="W34" s="433"/>
      <c r="X34" s="64">
        <f t="shared" si="17"/>
        <v>2185</v>
      </c>
      <c r="Y34" s="52">
        <f t="shared" si="18"/>
        <v>0</v>
      </c>
      <c r="Z34" s="64">
        <f t="shared" si="17"/>
        <v>123531.8</v>
      </c>
      <c r="AA34" s="65">
        <f t="shared" si="7"/>
        <v>0</v>
      </c>
      <c r="AB34" s="302">
        <f t="shared" si="42"/>
        <v>0</v>
      </c>
      <c r="AC34" s="64">
        <f t="shared" si="38"/>
        <v>1552</v>
      </c>
      <c r="AD34" s="45">
        <f t="shared" si="8"/>
        <v>0</v>
      </c>
      <c r="AE34" s="64">
        <f t="shared" si="38"/>
        <v>345307</v>
      </c>
      <c r="AF34" s="330">
        <f t="shared" si="19"/>
        <v>0</v>
      </c>
      <c r="AG34" s="215">
        <f t="shared" si="29"/>
        <v>0</v>
      </c>
      <c r="AH34" s="62">
        <f t="shared" si="20"/>
        <v>0</v>
      </c>
      <c r="AI34" s="342">
        <f t="shared" si="21"/>
        <v>0</v>
      </c>
      <c r="AJ34" s="342">
        <f>-tanks!AW35</f>
        <v>0</v>
      </c>
      <c r="AK34" s="342">
        <f t="shared" si="22"/>
        <v>0</v>
      </c>
      <c r="AL34" s="342">
        <f t="shared" si="40"/>
        <v>0</v>
      </c>
      <c r="AM34" s="342">
        <f>Y34+AD34</f>
        <v>0</v>
      </c>
      <c r="AN34" s="64">
        <f t="shared" si="39"/>
        <v>74</v>
      </c>
      <c r="AO34" s="344">
        <f t="shared" si="45"/>
        <v>2220</v>
      </c>
      <c r="AP34" s="64">
        <f t="shared" si="39"/>
        <v>74</v>
      </c>
      <c r="AQ34" s="344">
        <f t="shared" si="44"/>
        <v>2220</v>
      </c>
      <c r="AR34" s="64">
        <f t="shared" si="39"/>
        <v>74</v>
      </c>
      <c r="AS34" s="344">
        <f t="shared" si="30"/>
        <v>2220</v>
      </c>
      <c r="AT34" s="344">
        <f t="shared" si="43"/>
        <v>6660</v>
      </c>
      <c r="AU34" s="344">
        <f t="shared" si="32"/>
        <v>0</v>
      </c>
      <c r="AV34" s="281"/>
      <c r="AW34" s="281"/>
      <c r="AX34" s="337">
        <f t="shared" si="26"/>
        <v>0.7</v>
      </c>
    </row>
    <row r="35" spans="1:50">
      <c r="A35" s="63">
        <f>ELEC!C33</f>
        <v>43769</v>
      </c>
      <c r="B35" s="64">
        <f t="shared" si="36"/>
        <v>178</v>
      </c>
      <c r="C35" s="64">
        <f t="shared" si="36"/>
        <v>184</v>
      </c>
      <c r="D35" s="45">
        <f>C34-C35</f>
        <v>0</v>
      </c>
      <c r="E35" s="45">
        <f>D35*8.38</f>
        <v>0</v>
      </c>
      <c r="F35" s="64">
        <f t="shared" si="33"/>
        <v>1151</v>
      </c>
      <c r="G35" s="52">
        <f>F35-F34</f>
        <v>0</v>
      </c>
      <c r="H35" s="64">
        <f t="shared" si="33"/>
        <v>318215</v>
      </c>
      <c r="I35" s="429">
        <f>SUM(H35-H34)</f>
        <v>0</v>
      </c>
      <c r="J35" s="66">
        <f>IF(G35&gt;0,I35/G35,0)</f>
        <v>0</v>
      </c>
      <c r="K35" s="64">
        <f t="shared" si="12"/>
        <v>1523</v>
      </c>
      <c r="L35" s="52">
        <f>K35-K34</f>
        <v>0</v>
      </c>
      <c r="M35" s="64">
        <f t="shared" si="12"/>
        <v>111660</v>
      </c>
      <c r="N35" s="429">
        <f>M35-M34</f>
        <v>0</v>
      </c>
      <c r="O35" s="67">
        <f>SUM(L35*$J$1)</f>
        <v>0</v>
      </c>
      <c r="P35" s="64">
        <f t="shared" si="37"/>
        <v>1361</v>
      </c>
      <c r="Q35" s="64">
        <f t="shared" si="37"/>
        <v>118669</v>
      </c>
      <c r="R35" s="428">
        <f>Q35-Q34</f>
        <v>0</v>
      </c>
      <c r="S35" s="52">
        <f>SUM(P35-P34)</f>
        <v>0</v>
      </c>
      <c r="T35" s="68">
        <f>SUM(S35*$T$2)</f>
        <v>0</v>
      </c>
      <c r="U35" s="435">
        <f>SUM(G35+L35+S35)</f>
        <v>0</v>
      </c>
      <c r="V35" s="62">
        <f>R35+N35+I35:I35</f>
        <v>0</v>
      </c>
      <c r="W35" s="433"/>
      <c r="X35" s="64">
        <f t="shared" si="17"/>
        <v>2185</v>
      </c>
      <c r="Y35" s="52">
        <f>X35-X34</f>
        <v>0</v>
      </c>
      <c r="Z35" s="64">
        <f t="shared" si="17"/>
        <v>123531.8</v>
      </c>
      <c r="AA35" s="65">
        <f>Z35-Z34</f>
        <v>0</v>
      </c>
      <c r="AB35" s="302">
        <f>SUM(Y35*$AB$2)</f>
        <v>0</v>
      </c>
      <c r="AC35" s="64">
        <f t="shared" si="38"/>
        <v>1552</v>
      </c>
      <c r="AD35" s="45">
        <f>AC35-AC34</f>
        <v>0</v>
      </c>
      <c r="AE35" s="64">
        <f t="shared" si="38"/>
        <v>345307</v>
      </c>
      <c r="AF35" s="330">
        <f>AE35-AE34</f>
        <v>0</v>
      </c>
      <c r="AG35" s="215">
        <f>IF(AD35&gt;0,AF35/AD35,0)</f>
        <v>0</v>
      </c>
      <c r="AH35" s="62">
        <f>AF35+AA35</f>
        <v>0</v>
      </c>
      <c r="AI35" s="342">
        <f>SUM(AH35+V35)</f>
        <v>0</v>
      </c>
      <c r="AJ35" s="342">
        <f>-tanks!AW36</f>
        <v>0</v>
      </c>
      <c r="AK35" s="342">
        <f>SUM(AJ35-AI35)</f>
        <v>0</v>
      </c>
      <c r="AL35" s="342">
        <f>S35+L35+G35</f>
        <v>0</v>
      </c>
      <c r="AM35" s="342">
        <f>Y35+AD35</f>
        <v>0</v>
      </c>
      <c r="AN35" s="64">
        <f t="shared" si="39"/>
        <v>74</v>
      </c>
      <c r="AO35" s="344">
        <f>(AN35/100)*3000</f>
        <v>2220</v>
      </c>
      <c r="AP35" s="64">
        <f t="shared" si="39"/>
        <v>74</v>
      </c>
      <c r="AQ35" s="344">
        <f>(AP35/100)*3000</f>
        <v>2220</v>
      </c>
      <c r="AR35" s="64">
        <f t="shared" si="39"/>
        <v>74</v>
      </c>
      <c r="AS35" s="344">
        <f>(AR35/100)*3000</f>
        <v>2220</v>
      </c>
      <c r="AT35" s="344">
        <f>SUM(AO35+AQ35+AS35)</f>
        <v>6660</v>
      </c>
      <c r="AU35" s="344">
        <f>AT34-AT35+AV35</f>
        <v>0</v>
      </c>
      <c r="AV35" s="281"/>
      <c r="AW35" s="281"/>
      <c r="AX35" s="337">
        <f>IF(AV35&gt;0,AW35,AX34)</f>
        <v>0.7</v>
      </c>
    </row>
    <row r="36" spans="1:50">
      <c r="J36" s="301">
        <f>SUM(J5:J34)/(COUNT(J5:J34)-COUNTIF(J5:J34,0))</f>
        <v>76.791666666666657</v>
      </c>
      <c r="AE36" s="72" t="s">
        <v>386</v>
      </c>
      <c r="AG36" s="372"/>
      <c r="AH36" s="62"/>
      <c r="AP36" s="337"/>
      <c r="AQ36" s="337"/>
      <c r="AR36" s="337" t="s">
        <v>225</v>
      </c>
      <c r="AS36" s="337">
        <f>COUNT(AW5:AW35)</f>
        <v>3</v>
      </c>
      <c r="AT36" s="337"/>
      <c r="AU36" s="337">
        <f>SUM(AU5:AU35)</f>
        <v>4410</v>
      </c>
      <c r="AV36" s="72">
        <f>SUM(AV5:AV35)</f>
        <v>4800</v>
      </c>
      <c r="AW36" s="337">
        <f>SUM(AW5:AW35)/AS36</f>
        <v>0.46666666666666662</v>
      </c>
    </row>
    <row r="37" spans="1:50">
      <c r="AH37" s="62">
        <f>AF37+AA37</f>
        <v>0</v>
      </c>
      <c r="AI37" s="345">
        <f>SUM(AI5:AI35)</f>
        <v>12151.599999999977</v>
      </c>
      <c r="AP37" s="337"/>
      <c r="AQ37" s="337"/>
      <c r="AR37" s="337"/>
      <c r="AS37" s="337"/>
      <c r="AT37" s="337"/>
      <c r="AU37" s="337"/>
      <c r="AV37" s="337"/>
      <c r="AW37" s="337"/>
    </row>
    <row r="38" spans="1:50">
      <c r="AH38" s="62">
        <f>AF38+AA38</f>
        <v>0</v>
      </c>
      <c r="AP38" s="337"/>
      <c r="AQ38" s="337"/>
      <c r="AR38" s="337"/>
      <c r="AS38" s="337"/>
      <c r="AT38" s="337"/>
      <c r="AU38" s="337">
        <f>AU36*0.51</f>
        <v>2249.1</v>
      </c>
      <c r="AV38" s="337">
        <f>AV36/0.51</f>
        <v>9411.7647058823532</v>
      </c>
      <c r="AW38" s="337">
        <f>SUM(AW5:AW35)/AS36</f>
        <v>0.46666666666666662</v>
      </c>
    </row>
    <row r="39" spans="1:50">
      <c r="AP39" s="337"/>
      <c r="AQ39" s="337"/>
      <c r="AR39" s="337"/>
      <c r="AS39" s="337"/>
      <c r="AT39" s="337"/>
      <c r="AU39" s="337"/>
      <c r="AV39" s="337">
        <f>AV36*0.51</f>
        <v>2448</v>
      </c>
      <c r="AW39" s="337"/>
    </row>
    <row r="40" spans="1:50">
      <c r="AP40" s="337"/>
      <c r="AQ40" s="337"/>
      <c r="AR40" s="337"/>
      <c r="AS40" s="337"/>
      <c r="AT40" s="337"/>
      <c r="AU40" s="337"/>
      <c r="AV40" s="337"/>
      <c r="AW40" s="337"/>
    </row>
    <row r="41" spans="1:50">
      <c r="P41" s="70"/>
      <c r="Q41" s="70"/>
      <c r="R41" s="70"/>
      <c r="AP41" s="337"/>
      <c r="AQ41" s="337"/>
      <c r="AR41" s="337"/>
      <c r="AS41" s="337"/>
      <c r="AT41" s="337"/>
      <c r="AU41" s="337"/>
      <c r="AV41" s="337"/>
      <c r="AW41" s="337"/>
    </row>
    <row r="43" spans="1:50">
      <c r="AG43" s="385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75"/>
  <sheetViews>
    <sheetView topLeftCell="AP1" zoomScaleNormal="100" workbookViewId="0">
      <pane ySplit="3" topLeftCell="A13" activePane="bottomLeft" state="frozen"/>
      <selection pane="bottomLeft" activeCell="BG19" sqref="BG19"/>
    </sheetView>
  </sheetViews>
  <sheetFormatPr defaultRowHeight="14.5"/>
  <cols>
    <col min="1" max="1" width="10.7265625" bestFit="1" customWidth="1"/>
    <col min="2" max="2" width="9.7265625" style="1" customWidth="1"/>
    <col min="3" max="3" width="11" style="1" customWidth="1"/>
    <col min="4" max="4" width="18" style="1" customWidth="1"/>
    <col min="5" max="6" width="12.26953125" style="356" customWidth="1"/>
    <col min="7" max="7" width="10.1796875" style="1" customWidth="1"/>
    <col min="8" max="8" width="10.7265625" style="1" bestFit="1" customWidth="1"/>
    <col min="9" max="9" width="9.1796875" style="1" customWidth="1"/>
    <col min="10" max="10" width="14.453125" style="356" customWidth="1"/>
    <col min="11" max="11" width="13.54296875" style="1" customWidth="1"/>
    <col min="12" max="12" width="13.26953125" style="1" customWidth="1"/>
    <col min="13" max="13" width="10.7265625" style="556" customWidth="1"/>
    <col min="14" max="14" width="10.7265625" style="558" customWidth="1"/>
    <col min="15" max="15" width="11.1796875" style="556" customWidth="1"/>
    <col min="16" max="16" width="11.1796875" style="558" customWidth="1"/>
    <col min="17" max="17" width="17.26953125" style="556" customWidth="1"/>
    <col min="18" max="18" width="10.81640625" style="556" customWidth="1"/>
    <col min="19" max="19" width="10.7265625" style="556" customWidth="1"/>
    <col min="20" max="20" width="13.26953125" style="439" customWidth="1"/>
    <col min="21" max="21" width="8.7265625" style="447" customWidth="1"/>
    <col min="22" max="22" width="13.26953125" style="346" customWidth="1"/>
    <col min="23" max="23" width="9.7265625" style="346" bestFit="1" customWidth="1"/>
    <col min="24" max="27" width="9.7265625" style="346" customWidth="1"/>
    <col min="28" max="28" width="14.453125" style="346" customWidth="1"/>
    <col min="29" max="32" width="9.7265625" style="346" customWidth="1"/>
    <col min="33" max="33" width="11.26953125" style="346" customWidth="1"/>
    <col min="34" max="36" width="9.7265625" style="346" customWidth="1"/>
    <col min="37" max="37" width="7.453125" style="346" customWidth="1"/>
    <col min="38" max="39" width="8.7265625" style="346" customWidth="1"/>
    <col min="40" max="40" width="6.7265625" style="1" customWidth="1"/>
    <col min="41" max="41" width="7.453125" customWidth="1"/>
    <col min="42" max="42" width="11.54296875" bestFit="1" customWidth="1"/>
    <col min="43" max="43" width="8.7265625" bestFit="1" customWidth="1"/>
    <col min="44" max="44" width="11.7265625" bestFit="1" customWidth="1"/>
    <col min="45" max="46" width="10.26953125" bestFit="1" customWidth="1"/>
    <col min="47" max="47" width="11" customWidth="1"/>
    <col min="48" max="48" width="9.1796875" bestFit="1" customWidth="1"/>
    <col min="49" max="49" width="7.81640625" bestFit="1" customWidth="1"/>
    <col min="50" max="50" width="9.1796875" bestFit="1" customWidth="1"/>
    <col min="51" max="51" width="11" bestFit="1" customWidth="1"/>
    <col min="52" max="52" width="9.7265625" bestFit="1" customWidth="1"/>
    <col min="53" max="53" width="11.26953125" bestFit="1" customWidth="1"/>
    <col min="54" max="54" width="12.453125" customWidth="1"/>
    <col min="55" max="55" width="12.54296875" bestFit="1" customWidth="1"/>
    <col min="56" max="56" width="14.1796875" bestFit="1" customWidth="1"/>
    <col min="57" max="57" width="12.453125" bestFit="1" customWidth="1"/>
    <col min="58" max="58" width="12.81640625" bestFit="1" customWidth="1"/>
    <col min="59" max="59" width="9.26953125" bestFit="1" customWidth="1"/>
  </cols>
  <sheetData>
    <row r="1" spans="1:65" s="387" customFormat="1" ht="15" thickBot="1">
      <c r="B1" s="388"/>
      <c r="C1" s="388"/>
      <c r="D1" s="454">
        <f>SUM(G21:G35)</f>
        <v>8672190</v>
      </c>
      <c r="E1" s="389"/>
      <c r="F1" s="389"/>
      <c r="G1" s="388"/>
      <c r="H1" s="388"/>
      <c r="I1" s="388"/>
      <c r="J1" s="389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90"/>
      <c r="W1" s="390"/>
      <c r="X1" s="390"/>
      <c r="Y1" s="390"/>
      <c r="Z1" s="390"/>
      <c r="AA1" s="390"/>
      <c r="AB1" s="390"/>
      <c r="AC1" s="390"/>
      <c r="AD1" s="390"/>
      <c r="AE1" s="390"/>
      <c r="AF1" s="390"/>
      <c r="AG1" s="390"/>
      <c r="AH1" s="390"/>
      <c r="AI1" s="390"/>
      <c r="AJ1" s="390"/>
      <c r="AK1" s="390"/>
      <c r="AL1" s="390"/>
      <c r="AM1" s="390"/>
      <c r="AN1" s="388"/>
      <c r="AR1" s="391" t="s">
        <v>92</v>
      </c>
      <c r="AS1" s="392"/>
      <c r="AT1" s="392" t="s">
        <v>60</v>
      </c>
      <c r="AU1" s="392"/>
      <c r="AV1" s="393" t="s">
        <v>61</v>
      </c>
    </row>
    <row r="2" spans="1:65" s="387" customFormat="1" ht="15.75" customHeight="1" thickBot="1">
      <c r="B2" s="388"/>
      <c r="C2" s="388"/>
      <c r="D2" s="388"/>
      <c r="E2" s="389"/>
      <c r="F2" s="389"/>
      <c r="G2" s="388"/>
      <c r="H2" s="388"/>
      <c r="I2" s="388"/>
      <c r="J2" s="389"/>
      <c r="K2" s="388"/>
      <c r="L2" s="388"/>
      <c r="M2" s="388"/>
      <c r="N2" s="388"/>
      <c r="O2" s="388"/>
      <c r="P2" s="388"/>
      <c r="Q2" s="388"/>
      <c r="R2" s="388"/>
      <c r="S2" s="388"/>
      <c r="T2" s="388"/>
      <c r="U2" s="388"/>
      <c r="V2" s="390"/>
      <c r="W2" s="390"/>
      <c r="X2" s="390"/>
      <c r="Y2" s="390"/>
      <c r="Z2" s="390"/>
      <c r="AA2" s="390"/>
      <c r="AB2" s="390"/>
      <c r="AC2" s="390"/>
      <c r="AD2" s="390"/>
      <c r="AE2" s="390"/>
      <c r="AF2" s="390"/>
      <c r="AG2" s="390"/>
      <c r="AH2" s="390"/>
      <c r="AI2" s="390"/>
      <c r="AJ2" s="390"/>
      <c r="AK2" s="390"/>
      <c r="AL2" s="390"/>
      <c r="AM2" s="390"/>
      <c r="AN2" s="388"/>
      <c r="AR2" s="596" t="s">
        <v>95</v>
      </c>
      <c r="AS2" s="597"/>
      <c r="AT2" s="597"/>
      <c r="AU2" s="597"/>
      <c r="AV2" s="598"/>
      <c r="AW2" s="596" t="s">
        <v>96</v>
      </c>
      <c r="AX2" s="597"/>
      <c r="AY2" s="598"/>
      <c r="AZ2" s="596" t="s">
        <v>98</v>
      </c>
      <c r="BA2" s="597"/>
      <c r="BB2" s="598"/>
      <c r="BC2" s="394"/>
      <c r="BE2" s="395"/>
    </row>
    <row r="3" spans="1:65" s="387" customFormat="1" ht="48" customHeight="1" thickBot="1">
      <c r="A3" s="396" t="s">
        <v>51</v>
      </c>
      <c r="B3" s="397" t="s">
        <v>52</v>
      </c>
      <c r="C3" s="397" t="s">
        <v>53</v>
      </c>
      <c r="D3" s="397" t="s">
        <v>54</v>
      </c>
      <c r="E3" s="398"/>
      <c r="F3" s="399" t="s">
        <v>80</v>
      </c>
      <c r="G3" s="397" t="s">
        <v>55</v>
      </c>
      <c r="H3" s="397" t="s">
        <v>56</v>
      </c>
      <c r="I3" s="397" t="s">
        <v>100</v>
      </c>
      <c r="J3" s="398"/>
      <c r="K3" s="397" t="s">
        <v>396</v>
      </c>
      <c r="L3" s="400" t="s">
        <v>330</v>
      </c>
      <c r="M3" s="397" t="s">
        <v>403</v>
      </c>
      <c r="N3" s="559"/>
      <c r="O3" s="403" t="s">
        <v>404</v>
      </c>
      <c r="P3" s="403"/>
      <c r="Q3" s="403" t="s">
        <v>400</v>
      </c>
      <c r="R3" s="403" t="s">
        <v>402</v>
      </c>
      <c r="S3" s="403" t="s">
        <v>401</v>
      </c>
      <c r="T3" s="397" t="s">
        <v>383</v>
      </c>
      <c r="U3" s="397" t="s">
        <v>385</v>
      </c>
      <c r="V3" s="401" t="s">
        <v>334</v>
      </c>
      <c r="W3" s="402" t="s">
        <v>335</v>
      </c>
      <c r="X3" s="401" t="s">
        <v>338</v>
      </c>
      <c r="Y3" s="402" t="s">
        <v>339</v>
      </c>
      <c r="Z3" s="403" t="s">
        <v>340</v>
      </c>
      <c r="AA3" s="404" t="s">
        <v>399</v>
      </c>
      <c r="AB3" s="491" t="s">
        <v>398</v>
      </c>
      <c r="AC3" s="489" t="s">
        <v>397</v>
      </c>
      <c r="AD3" s="489"/>
      <c r="AE3" s="405" t="s">
        <v>408</v>
      </c>
      <c r="AF3" s="405" t="s">
        <v>409</v>
      </c>
      <c r="AG3" s="405" t="s">
        <v>410</v>
      </c>
      <c r="AH3" s="405" t="s">
        <v>411</v>
      </c>
      <c r="AI3" s="404" t="s">
        <v>412</v>
      </c>
      <c r="AJ3" s="404" t="s">
        <v>341</v>
      </c>
      <c r="AK3" s="405" t="s">
        <v>343</v>
      </c>
      <c r="AL3" s="405" t="s">
        <v>342</v>
      </c>
      <c r="AM3" s="406" t="s">
        <v>125</v>
      </c>
      <c r="AN3" s="593" t="s">
        <v>126</v>
      </c>
      <c r="AO3" s="594"/>
      <c r="AP3" s="595"/>
      <c r="AR3" s="407" t="s">
        <v>51</v>
      </c>
      <c r="AS3" s="408"/>
      <c r="AT3" s="407" t="s">
        <v>94</v>
      </c>
      <c r="AU3" s="408"/>
      <c r="AV3" s="409" t="s">
        <v>57</v>
      </c>
      <c r="AW3" s="410"/>
      <c r="AX3" s="408" t="s">
        <v>59</v>
      </c>
      <c r="AY3" s="411" t="s">
        <v>93</v>
      </c>
      <c r="AZ3" s="409" t="s">
        <v>57</v>
      </c>
      <c r="BA3" s="412" t="s">
        <v>59</v>
      </c>
      <c r="BB3" s="413" t="s">
        <v>57</v>
      </c>
      <c r="BC3" s="413" t="s">
        <v>58</v>
      </c>
      <c r="BD3" s="414" t="s">
        <v>59</v>
      </c>
      <c r="BE3" s="415" t="s">
        <v>99</v>
      </c>
      <c r="BF3" s="414" t="s">
        <v>97</v>
      </c>
      <c r="BG3" s="416"/>
      <c r="BI3" s="417"/>
      <c r="BJ3" s="417"/>
      <c r="BK3" s="417"/>
      <c r="BL3" s="417"/>
      <c r="BM3" s="417"/>
    </row>
    <row r="4" spans="1:65" ht="16" thickBot="1">
      <c r="A4" s="88"/>
      <c r="B4" s="5"/>
      <c r="C4" s="5"/>
      <c r="D4" s="278"/>
      <c r="E4" s="357">
        <v>1.66</v>
      </c>
      <c r="F4" s="357"/>
      <c r="G4" s="5"/>
      <c r="H4" s="5"/>
      <c r="I4" s="5"/>
      <c r="J4" s="358"/>
      <c r="K4" s="5"/>
      <c r="L4" s="84"/>
      <c r="M4" s="84"/>
      <c r="N4" s="84"/>
      <c r="O4" s="84"/>
      <c r="P4" s="84"/>
      <c r="Q4" s="84"/>
      <c r="R4" s="84"/>
      <c r="S4" s="84"/>
      <c r="T4" s="84"/>
      <c r="U4" s="84"/>
      <c r="V4" s="347"/>
      <c r="W4" s="348"/>
      <c r="X4" s="347"/>
      <c r="Y4" s="348"/>
      <c r="Z4" s="349"/>
      <c r="AA4" s="490"/>
      <c r="AB4" s="492"/>
      <c r="AC4" s="490"/>
      <c r="AD4" s="490"/>
      <c r="AE4" s="490"/>
      <c r="AF4" s="490"/>
      <c r="AG4" s="490"/>
      <c r="AH4" s="490"/>
      <c r="AI4" s="490"/>
      <c r="AJ4" s="350"/>
      <c r="AK4" s="351"/>
      <c r="AL4" s="351"/>
      <c r="AM4" s="352"/>
      <c r="AN4" s="89" t="s">
        <v>129</v>
      </c>
      <c r="AO4" s="89" t="s">
        <v>130</v>
      </c>
      <c r="AP4" s="89" t="s">
        <v>157</v>
      </c>
      <c r="AR4" s="237"/>
      <c r="AS4" s="238"/>
      <c r="AT4" s="237">
        <v>180</v>
      </c>
      <c r="AU4" s="238"/>
      <c r="AV4" s="239">
        <v>220</v>
      </c>
      <c r="AW4" s="240"/>
      <c r="AX4" s="238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f>ELEC!C2</f>
        <v>43738</v>
      </c>
      <c r="B5" s="448">
        <f>[1]WATER!B33</f>
        <v>103210</v>
      </c>
      <c r="C5" s="448">
        <f>[1]WATER!C33</f>
        <v>213</v>
      </c>
      <c r="D5" s="448">
        <f>[1]WATER!D33</f>
        <v>7.8888888888888893</v>
      </c>
      <c r="E5" s="448">
        <f>[1]WATER!E33</f>
        <v>250</v>
      </c>
      <c r="F5" s="448">
        <f>[1]WATER!F33</f>
        <v>8</v>
      </c>
      <c r="G5" s="448">
        <f>[1]WATER!G33</f>
        <v>576665</v>
      </c>
      <c r="H5" s="448">
        <f>[1]WATER!H33</f>
        <v>197</v>
      </c>
      <c r="I5" s="448">
        <f>[1]WATER!I33</f>
        <v>410</v>
      </c>
      <c r="J5" s="448">
        <f>[1]WATER!J33</f>
        <v>0.6097560975609756</v>
      </c>
      <c r="K5" s="448">
        <f>[1]WATER!K33</f>
        <v>5907</v>
      </c>
      <c r="L5" s="448">
        <f>[1]WATER!L33</f>
        <v>2</v>
      </c>
      <c r="M5" s="448">
        <f>[1]WATER!M33</f>
        <v>457.44</v>
      </c>
      <c r="N5" s="448">
        <f>[1]WATER!N33</f>
        <v>0</v>
      </c>
      <c r="O5" s="448">
        <f>[1]WATER!O33</f>
        <v>529.52</v>
      </c>
      <c r="P5" s="448">
        <f>[1]WATER!P33</f>
        <v>0</v>
      </c>
      <c r="Q5" s="448">
        <f>[1]WATER!Q33</f>
        <v>0</v>
      </c>
      <c r="R5" s="448">
        <f>[1]WATER!R33</f>
        <v>0</v>
      </c>
      <c r="S5" s="448">
        <f>[1]WATER!S33</f>
        <v>0</v>
      </c>
      <c r="T5" s="448">
        <f>[1]WATER!T33</f>
        <v>3756</v>
      </c>
      <c r="U5" s="448">
        <f>[1]WATER!U33</f>
        <v>13</v>
      </c>
      <c r="V5" s="448">
        <f>[1]WATER!V33</f>
        <v>187</v>
      </c>
      <c r="W5" s="448">
        <f>[1]WATER!W33</f>
        <v>2</v>
      </c>
      <c r="X5" s="448">
        <f>[1]WATER!X33</f>
        <v>133500</v>
      </c>
      <c r="Y5" s="448">
        <f>[1]WATER!Y33</f>
        <v>109</v>
      </c>
      <c r="Z5" s="448">
        <f>[1]WATER!Z33</f>
        <v>86134</v>
      </c>
      <c r="AA5" s="448">
        <f>[1]WATER!AA33</f>
        <v>111</v>
      </c>
      <c r="AB5" s="448">
        <f>[1]WATER!AB33</f>
        <v>252</v>
      </c>
      <c r="AC5" s="448">
        <f>[1]WATER!AC33</f>
        <v>575</v>
      </c>
      <c r="AD5" s="448">
        <f>[1]WATER!AD33</f>
        <v>0</v>
      </c>
      <c r="AE5" s="448"/>
      <c r="AF5" s="448"/>
      <c r="AG5" s="448"/>
      <c r="AH5" s="448"/>
      <c r="AI5" s="448"/>
      <c r="AJ5" s="448">
        <f>[1]WATER!AE33</f>
        <v>111</v>
      </c>
      <c r="AK5" s="448">
        <f>[1]WATER!AF33</f>
        <v>107</v>
      </c>
      <c r="AL5" s="448">
        <f>[1]WATER!AG33</f>
        <v>109</v>
      </c>
      <c r="AM5" s="448">
        <f>[1]WATER!AH33</f>
        <v>26.5</v>
      </c>
      <c r="AN5" s="448">
        <f>[1]WATER!AI33</f>
        <v>400</v>
      </c>
      <c r="AO5" s="448">
        <f>[1]WATER!AJ33</f>
        <v>0</v>
      </c>
      <c r="AP5" s="448">
        <f>[1]WATER!AK33</f>
        <v>570</v>
      </c>
      <c r="AQ5" s="448">
        <f>[1]WATER!AL33</f>
        <v>0</v>
      </c>
      <c r="AR5" s="448">
        <f>[1]WATER!AM33</f>
        <v>43738</v>
      </c>
      <c r="AS5" s="448">
        <f>[1]WATER!AN33</f>
        <v>0.9</v>
      </c>
      <c r="AT5" s="448">
        <f>[1]WATER!AO33</f>
        <v>122</v>
      </c>
      <c r="AU5" s="448">
        <f>[1]WATER!AP33</f>
        <v>1.1000000000000001</v>
      </c>
      <c r="AV5" s="448">
        <f>[1]WATER!AQ33</f>
        <v>120</v>
      </c>
      <c r="AW5" s="448">
        <f>[1]WATER!AR33</f>
        <v>2.9</v>
      </c>
      <c r="AX5" s="448">
        <f>[1]WATER!AS33</f>
        <v>105</v>
      </c>
      <c r="AY5" s="448">
        <f>[1]WATER!AT33</f>
        <v>109.8</v>
      </c>
      <c r="AZ5" s="448">
        <f>[1]WATER!AU33</f>
        <v>132</v>
      </c>
      <c r="BA5" s="448">
        <f>[1]WATER!AV33</f>
        <v>304.5</v>
      </c>
      <c r="BB5" s="448">
        <f>[1]WATER!AW33</f>
        <v>50.4</v>
      </c>
      <c r="BC5" s="448">
        <f>[1]WATER!AX33</f>
        <v>9.8999999999999915</v>
      </c>
      <c r="BD5" s="448">
        <f>[1]WATER!AY33</f>
        <v>17.400000000000034</v>
      </c>
      <c r="BE5" s="448">
        <f>[1]WATER!AZ33</f>
        <v>77.700000000000017</v>
      </c>
      <c r="BF5" s="448">
        <f>[1]WATER!BA33</f>
        <v>332.29999999999995</v>
      </c>
      <c r="BG5" s="448">
        <f>[1]WATER!BB33</f>
        <v>77.700000000000045</v>
      </c>
    </row>
    <row r="6" spans="1:65" ht="15" thickBot="1">
      <c r="A6" s="6">
        <f>ELEC!C3</f>
        <v>43739</v>
      </c>
      <c r="B6" s="5">
        <v>103342</v>
      </c>
      <c r="C6" s="5">
        <f>B6-B5</f>
        <v>132</v>
      </c>
      <c r="D6" s="457">
        <f>C6/27</f>
        <v>4.8888888888888893</v>
      </c>
      <c r="E6" s="357">
        <f>SUM((C6*$E$4)+(7500/'EDl log'!$A$38))</f>
        <v>461.05548387096769</v>
      </c>
      <c r="F6" s="456">
        <v>5</v>
      </c>
      <c r="G6" s="5">
        <v>576665</v>
      </c>
      <c r="H6" s="5">
        <f>G6-G5</f>
        <v>0</v>
      </c>
      <c r="I6" s="5">
        <f t="shared" ref="I6:I35" si="0">C6+H6</f>
        <v>132</v>
      </c>
      <c r="J6" s="358">
        <f t="shared" ref="J6:J35" si="1">IF(I6&gt;0,E6/I6,0)</f>
        <v>3.4928445747800581</v>
      </c>
      <c r="K6" s="5">
        <f>'Swimming Pool quality check '!H6</f>
        <v>5910</v>
      </c>
      <c r="L6" s="84">
        <f>K6-K5</f>
        <v>3</v>
      </c>
      <c r="M6" s="84">
        <f>M5</f>
        <v>457.44</v>
      </c>
      <c r="N6" s="84">
        <f t="shared" ref="N6:N13" si="2">SUM(M6-M5)</f>
        <v>0</v>
      </c>
      <c r="O6" s="5">
        <f>O5</f>
        <v>529.52</v>
      </c>
      <c r="P6" s="84">
        <f t="shared" ref="P6:P13" si="3">SUM(O6-O5)</f>
        <v>0</v>
      </c>
      <c r="Q6" s="560">
        <f>P6+N6</f>
        <v>0</v>
      </c>
      <c r="R6" s="84"/>
      <c r="S6" s="84"/>
      <c r="T6" s="5">
        <v>3767</v>
      </c>
      <c r="U6" s="5">
        <f t="shared" ref="U6:U35" si="4">SUM(T6-T5)</f>
        <v>11</v>
      </c>
      <c r="V6" s="5">
        <v>189</v>
      </c>
      <c r="W6" s="348">
        <f>+V6-V5</f>
        <v>2</v>
      </c>
      <c r="X6" s="5">
        <v>133600</v>
      </c>
      <c r="Y6" s="348">
        <f>SUM(X6-X5)</f>
        <v>100</v>
      </c>
      <c r="Z6" s="5">
        <v>86182</v>
      </c>
      <c r="AA6" s="84">
        <f>Z6-Z5</f>
        <v>48</v>
      </c>
      <c r="AB6" s="5">
        <f>AB5</f>
        <v>252</v>
      </c>
      <c r="AC6" s="5">
        <f>AC5</f>
        <v>575</v>
      </c>
      <c r="AD6" s="84">
        <v>0</v>
      </c>
      <c r="AE6" s="84"/>
      <c r="AF6" s="84"/>
      <c r="AG6" s="84"/>
      <c r="AH6" s="84"/>
      <c r="AI6" s="84"/>
      <c r="AJ6" s="350">
        <f>+Z6-Z5</f>
        <v>48</v>
      </c>
      <c r="AK6" s="351">
        <f t="shared" ref="AK6:AK38" si="5">SUM(Y6-L6)</f>
        <v>97</v>
      </c>
      <c r="AL6" s="351">
        <f>SUM(AJ6-W6)</f>
        <v>46</v>
      </c>
      <c r="AM6" s="351">
        <f>'General information '!D6</f>
        <v>27</v>
      </c>
      <c r="AN6" s="85">
        <f>'General information '!H6</f>
        <v>230</v>
      </c>
      <c r="AO6" s="85"/>
      <c r="AP6" s="85">
        <f>'General information '!J6</f>
        <v>492</v>
      </c>
      <c r="AQ6" s="82"/>
      <c r="AR6" s="293">
        <f>A6</f>
        <v>43739</v>
      </c>
      <c r="AS6" s="463">
        <f t="shared" ref="AS6:AS21" si="6">AS5</f>
        <v>0.9</v>
      </c>
      <c r="AT6" s="207">
        <v>70</v>
      </c>
      <c r="AU6" s="464">
        <f>AU5</f>
        <v>1.1000000000000001</v>
      </c>
      <c r="AV6" s="207">
        <v>83</v>
      </c>
      <c r="AW6" s="5">
        <v>2.9</v>
      </c>
      <c r="AX6" s="207">
        <v>110</v>
      </c>
      <c r="AY6" s="467">
        <f t="shared" ref="AY6:AY35" si="7">AS6*AT6</f>
        <v>63</v>
      </c>
      <c r="AZ6" s="467">
        <f>AU6*AV6</f>
        <v>91.300000000000011</v>
      </c>
      <c r="BA6" s="467">
        <f>AW6*AX6</f>
        <v>319</v>
      </c>
      <c r="BB6" s="21">
        <f>AY6-AY5</f>
        <v>-46.8</v>
      </c>
      <c r="BC6" s="21">
        <f>AZ6-AZ5</f>
        <v>-40.699999999999989</v>
      </c>
      <c r="BD6" s="21">
        <f>BA6-BA5</f>
        <v>14.5</v>
      </c>
      <c r="BE6" s="24">
        <f>SUM(BB6:BD6)</f>
        <v>-72.999999999999986</v>
      </c>
      <c r="BF6" s="97">
        <f t="shared" ref="BF6:BF35" si="8">SUM(I6-BE6)</f>
        <v>205</v>
      </c>
      <c r="BG6" s="83">
        <f t="shared" ref="BG6:BG35" si="9">SUM(I6-BF6)</f>
        <v>-73</v>
      </c>
      <c r="BI6" s="17"/>
      <c r="BJ6" s="17"/>
      <c r="BK6" s="17"/>
      <c r="BL6" s="17"/>
      <c r="BM6" s="17"/>
    </row>
    <row r="7" spans="1:65" ht="15" thickBot="1">
      <c r="A7" s="6">
        <f>ELEC!C4</f>
        <v>43740</v>
      </c>
      <c r="B7" s="5">
        <v>103474</v>
      </c>
      <c r="C7" s="5">
        <f t="shared" ref="C7:C35" si="10">B7-B6</f>
        <v>132</v>
      </c>
      <c r="D7" s="457">
        <f t="shared" ref="D7:D36" si="11">C7/27</f>
        <v>4.8888888888888893</v>
      </c>
      <c r="E7" s="357">
        <f>SUM((C7*$E$4)+(7500/'EDl log'!$A$38))</f>
        <v>461.05548387096769</v>
      </c>
      <c r="F7" s="456">
        <v>5</v>
      </c>
      <c r="G7" s="5">
        <v>576665</v>
      </c>
      <c r="H7" s="5">
        <f t="shared" ref="H7:H35" si="12">G7-G6</f>
        <v>0</v>
      </c>
      <c r="I7" s="5">
        <f t="shared" si="0"/>
        <v>132</v>
      </c>
      <c r="J7" s="358">
        <f t="shared" si="1"/>
        <v>3.4928445747800581</v>
      </c>
      <c r="K7" s="5">
        <f>'Swimming Pool quality check '!H7</f>
        <v>5913</v>
      </c>
      <c r="L7" s="84">
        <f>K7-K6</f>
        <v>3</v>
      </c>
      <c r="M7" s="84">
        <f t="shared" ref="M7:M36" si="13">M6</f>
        <v>457.44</v>
      </c>
      <c r="N7" s="84">
        <f t="shared" si="2"/>
        <v>0</v>
      </c>
      <c r="O7" s="5">
        <f t="shared" ref="O7:O36" si="14">O6</f>
        <v>529.52</v>
      </c>
      <c r="P7" s="84">
        <f t="shared" si="3"/>
        <v>0</v>
      </c>
      <c r="Q7" s="560">
        <f>P7+N7</f>
        <v>0</v>
      </c>
      <c r="R7" s="84"/>
      <c r="S7" s="84"/>
      <c r="T7" s="5">
        <v>3777</v>
      </c>
      <c r="U7" s="5">
        <f t="shared" si="4"/>
        <v>10</v>
      </c>
      <c r="V7" s="5">
        <v>191</v>
      </c>
      <c r="W7" s="348">
        <f t="shared" ref="W7:W36" si="15">+V7-V6</f>
        <v>2</v>
      </c>
      <c r="X7" s="5">
        <v>133625</v>
      </c>
      <c r="Y7" s="348">
        <f t="shared" ref="Y7:Y35" si="16">SUM(X7-X6)</f>
        <v>25</v>
      </c>
      <c r="Z7" s="5">
        <v>86272</v>
      </c>
      <c r="AA7" s="84">
        <f t="shared" ref="AA7:AA35" si="17">Z7-Z6</f>
        <v>90</v>
      </c>
      <c r="AB7" s="5">
        <v>260</v>
      </c>
      <c r="AC7" s="5">
        <v>643</v>
      </c>
      <c r="AD7" s="84">
        <f>AC7-AC6</f>
        <v>68</v>
      </c>
      <c r="AE7" s="84"/>
      <c r="AF7" s="84"/>
      <c r="AG7" s="84"/>
      <c r="AH7" s="84"/>
      <c r="AI7" s="84"/>
      <c r="AJ7" s="350">
        <f t="shared" ref="AJ7:AJ35" si="18">+Z7-Z6</f>
        <v>90</v>
      </c>
      <c r="AK7" s="351">
        <f t="shared" si="5"/>
        <v>22</v>
      </c>
      <c r="AL7" s="351">
        <f t="shared" ref="AL7:AL35" si="19">SUM(AJ7-W7)</f>
        <v>88</v>
      </c>
      <c r="AM7" s="351">
        <f>'General information '!D7</f>
        <v>26.5</v>
      </c>
      <c r="AN7" s="85">
        <f>'General information '!H7</f>
        <v>180</v>
      </c>
      <c r="AO7" s="85"/>
      <c r="AP7" s="85">
        <f>'General information '!J7</f>
        <v>636</v>
      </c>
      <c r="AQ7" s="82"/>
      <c r="AR7" s="293">
        <f t="shared" ref="AR7:AR35" si="20">A7</f>
        <v>43740</v>
      </c>
      <c r="AS7" s="463">
        <f t="shared" si="6"/>
        <v>0.9</v>
      </c>
      <c r="AT7" s="207">
        <v>79</v>
      </c>
      <c r="AU7" s="464">
        <f>AU6</f>
        <v>1.1000000000000001</v>
      </c>
      <c r="AV7" s="207">
        <v>82</v>
      </c>
      <c r="AW7" s="5">
        <v>2.9</v>
      </c>
      <c r="AX7" s="207">
        <v>91</v>
      </c>
      <c r="AY7" s="467">
        <f t="shared" si="7"/>
        <v>71.100000000000009</v>
      </c>
      <c r="AZ7" s="467">
        <f t="shared" ref="AZ7:AZ35" si="21">AU7*AV7</f>
        <v>90.2</v>
      </c>
      <c r="BA7" s="467">
        <f t="shared" ref="BA7:BA36" si="22">AW7*AX7</f>
        <v>263.89999999999998</v>
      </c>
      <c r="BB7" s="21">
        <f t="shared" ref="BB7:BD35" si="23">AY7-AY6</f>
        <v>8.1000000000000085</v>
      </c>
      <c r="BC7" s="21">
        <f t="shared" ref="BC7:BD21" si="24">AZ7-AZ6</f>
        <v>-1.1000000000000085</v>
      </c>
      <c r="BD7" s="21">
        <f t="shared" si="24"/>
        <v>-55.100000000000023</v>
      </c>
      <c r="BE7" s="24">
        <f t="shared" ref="BE7:BE35" si="25">SUM(BB7:BD7)</f>
        <v>-48.100000000000023</v>
      </c>
      <c r="BF7" s="97">
        <f t="shared" si="8"/>
        <v>180.10000000000002</v>
      </c>
      <c r="BG7" s="83">
        <f t="shared" si="9"/>
        <v>-48.100000000000023</v>
      </c>
      <c r="BI7" s="87"/>
      <c r="BJ7" s="17"/>
      <c r="BK7" s="17"/>
      <c r="BL7" s="17"/>
      <c r="BM7" s="17"/>
    </row>
    <row r="8" spans="1:65" ht="15" thickBot="1">
      <c r="A8" s="6">
        <f>ELEC!C5</f>
        <v>43741</v>
      </c>
      <c r="B8" s="5">
        <v>103659</v>
      </c>
      <c r="C8" s="5">
        <f>B8-B7</f>
        <v>185</v>
      </c>
      <c r="D8" s="457">
        <f t="shared" si="11"/>
        <v>6.8518518518518521</v>
      </c>
      <c r="E8" s="357">
        <f>SUM((C8*$E$4)+(7500/'EDl log'!$A$38))</f>
        <v>549.03548387096771</v>
      </c>
      <c r="F8" s="456">
        <v>7</v>
      </c>
      <c r="G8" s="5">
        <f t="shared" ref="G8:G36" si="26">G7</f>
        <v>576665</v>
      </c>
      <c r="H8" s="5">
        <f t="shared" si="12"/>
        <v>0</v>
      </c>
      <c r="I8" s="5">
        <f t="shared" si="0"/>
        <v>185</v>
      </c>
      <c r="J8" s="358">
        <f t="shared" si="1"/>
        <v>2.9677593722755011</v>
      </c>
      <c r="K8" s="5">
        <f>'Swimming Pool quality check '!H8</f>
        <v>5916</v>
      </c>
      <c r="L8" s="84">
        <f>K8-K7</f>
        <v>3</v>
      </c>
      <c r="M8" s="84">
        <f t="shared" si="13"/>
        <v>457.44</v>
      </c>
      <c r="N8" s="84">
        <f t="shared" si="2"/>
        <v>0</v>
      </c>
      <c r="O8" s="5">
        <f t="shared" si="14"/>
        <v>529.52</v>
      </c>
      <c r="P8" s="84">
        <f t="shared" si="3"/>
        <v>0</v>
      </c>
      <c r="Q8" s="560">
        <f>P8+N8</f>
        <v>0</v>
      </c>
      <c r="R8" s="84"/>
      <c r="S8" s="84"/>
      <c r="T8" s="5">
        <v>3789</v>
      </c>
      <c r="U8" s="5">
        <f t="shared" si="4"/>
        <v>12</v>
      </c>
      <c r="V8" s="5">
        <v>193</v>
      </c>
      <c r="W8" s="348">
        <f t="shared" si="15"/>
        <v>2</v>
      </c>
      <c r="X8" s="5">
        <v>133702</v>
      </c>
      <c r="Y8" s="348">
        <f t="shared" si="16"/>
        <v>77</v>
      </c>
      <c r="Z8" s="5">
        <v>86374</v>
      </c>
      <c r="AA8" s="84">
        <f t="shared" si="17"/>
        <v>102</v>
      </c>
      <c r="AB8" s="5">
        <f t="shared" ref="T8:AC36" si="27">AB7</f>
        <v>260</v>
      </c>
      <c r="AC8" s="5">
        <f t="shared" si="27"/>
        <v>643</v>
      </c>
      <c r="AD8" s="84">
        <f t="shared" ref="AD8:AD35" si="28">AC8-AC7</f>
        <v>0</v>
      </c>
      <c r="AE8" s="84"/>
      <c r="AF8" s="84"/>
      <c r="AG8" s="84"/>
      <c r="AH8" s="84"/>
      <c r="AI8" s="84"/>
      <c r="AJ8" s="350">
        <f t="shared" si="18"/>
        <v>102</v>
      </c>
      <c r="AK8" s="351">
        <f t="shared" si="5"/>
        <v>74</v>
      </c>
      <c r="AL8" s="351">
        <f t="shared" si="19"/>
        <v>100</v>
      </c>
      <c r="AM8" s="351">
        <f>'General information '!D8</f>
        <v>26</v>
      </c>
      <c r="AN8" s="85">
        <f>'General information '!H8</f>
        <v>32</v>
      </c>
      <c r="AO8" s="85"/>
      <c r="AP8" s="85">
        <f>'General information '!J8</f>
        <v>1043</v>
      </c>
      <c r="AQ8" s="82"/>
      <c r="AR8" s="293">
        <f t="shared" si="20"/>
        <v>43741</v>
      </c>
      <c r="AS8" s="463">
        <f t="shared" si="6"/>
        <v>0.9</v>
      </c>
      <c r="AT8" s="207">
        <v>57</v>
      </c>
      <c r="AU8" s="464">
        <v>1.1000000000000001</v>
      </c>
      <c r="AV8" s="207">
        <v>87</v>
      </c>
      <c r="AW8" s="5">
        <v>2.9</v>
      </c>
      <c r="AX8" s="207">
        <v>88</v>
      </c>
      <c r="AY8" s="467">
        <f t="shared" si="7"/>
        <v>51.300000000000004</v>
      </c>
      <c r="AZ8" s="467">
        <f t="shared" si="21"/>
        <v>95.7</v>
      </c>
      <c r="BA8" s="467">
        <f t="shared" si="22"/>
        <v>255.2</v>
      </c>
      <c r="BB8" s="21">
        <f t="shared" si="23"/>
        <v>-19.800000000000004</v>
      </c>
      <c r="BC8" s="21">
        <f t="shared" si="24"/>
        <v>5.5</v>
      </c>
      <c r="BD8" s="21">
        <f t="shared" si="24"/>
        <v>-8.6999999999999886</v>
      </c>
      <c r="BE8" s="24">
        <f t="shared" si="25"/>
        <v>-22.999999999999993</v>
      </c>
      <c r="BF8" s="97">
        <f t="shared" si="8"/>
        <v>208</v>
      </c>
      <c r="BG8" s="83">
        <f t="shared" si="9"/>
        <v>-23</v>
      </c>
      <c r="BI8" s="87"/>
      <c r="BJ8" s="17"/>
      <c r="BK8" s="17"/>
    </row>
    <row r="9" spans="1:65" ht="15" thickBot="1">
      <c r="A9" s="6">
        <f>ELEC!C6</f>
        <v>43742</v>
      </c>
      <c r="B9" s="5">
        <v>103792</v>
      </c>
      <c r="C9" s="5">
        <f t="shared" si="10"/>
        <v>133</v>
      </c>
      <c r="D9" s="457">
        <f t="shared" si="11"/>
        <v>4.9259259259259256</v>
      </c>
      <c r="E9" s="357">
        <f>SUM((C9*$E$4)+(7500/'EDl log'!$A$38))</f>
        <v>462.71548387096777</v>
      </c>
      <c r="F9" s="456">
        <v>5</v>
      </c>
      <c r="G9" s="5">
        <v>576838</v>
      </c>
      <c r="H9" s="5">
        <f t="shared" si="12"/>
        <v>173</v>
      </c>
      <c r="I9" s="5">
        <f t="shared" si="0"/>
        <v>306</v>
      </c>
      <c r="J9" s="358">
        <f t="shared" si="1"/>
        <v>1.5121421041534895</v>
      </c>
      <c r="K9" s="5">
        <f>'Swimming Pool quality check '!H9</f>
        <v>5916</v>
      </c>
      <c r="L9" s="84">
        <f t="shared" ref="L9:L35" si="29">K9-K8</f>
        <v>0</v>
      </c>
      <c r="M9" s="84">
        <f t="shared" si="13"/>
        <v>457.44</v>
      </c>
      <c r="N9" s="84">
        <f t="shared" si="2"/>
        <v>0</v>
      </c>
      <c r="O9" s="5">
        <f t="shared" si="14"/>
        <v>529.52</v>
      </c>
      <c r="P9" s="84">
        <f t="shared" si="3"/>
        <v>0</v>
      </c>
      <c r="Q9" s="560">
        <f>P9+N9</f>
        <v>0</v>
      </c>
      <c r="R9" s="84"/>
      <c r="S9" s="84"/>
      <c r="T9" s="5">
        <v>3799</v>
      </c>
      <c r="U9" s="5">
        <f t="shared" si="4"/>
        <v>10</v>
      </c>
      <c r="V9" s="5">
        <v>208</v>
      </c>
      <c r="W9" s="348">
        <f t="shared" si="15"/>
        <v>15</v>
      </c>
      <c r="X9" s="5">
        <v>133838</v>
      </c>
      <c r="Y9" s="348">
        <f t="shared" si="16"/>
        <v>136</v>
      </c>
      <c r="Z9" s="5">
        <v>86508</v>
      </c>
      <c r="AA9" s="84">
        <f t="shared" si="17"/>
        <v>134</v>
      </c>
      <c r="AB9" s="5">
        <f t="shared" si="27"/>
        <v>260</v>
      </c>
      <c r="AC9" s="5">
        <v>643</v>
      </c>
      <c r="AD9" s="84">
        <f t="shared" si="28"/>
        <v>0</v>
      </c>
      <c r="AE9" s="84"/>
      <c r="AF9" s="84"/>
      <c r="AG9" s="84"/>
      <c r="AH9" s="84"/>
      <c r="AI9" s="84"/>
      <c r="AJ9" s="350">
        <f t="shared" si="18"/>
        <v>134</v>
      </c>
      <c r="AK9" s="351">
        <f t="shared" si="5"/>
        <v>136</v>
      </c>
      <c r="AL9" s="351">
        <f t="shared" si="19"/>
        <v>119</v>
      </c>
      <c r="AM9" s="351">
        <f>'General information '!D9</f>
        <v>25.5</v>
      </c>
      <c r="AN9" s="85">
        <f>'General information '!H9</f>
        <v>491</v>
      </c>
      <c r="AO9" s="85"/>
      <c r="AP9" s="85">
        <f>'General information '!J9</f>
        <v>761</v>
      </c>
      <c r="AQ9" s="82"/>
      <c r="AR9" s="293">
        <f t="shared" si="20"/>
        <v>43742</v>
      </c>
      <c r="AS9" s="463">
        <f t="shared" si="6"/>
        <v>0.9</v>
      </c>
      <c r="AT9" s="207">
        <v>0</v>
      </c>
      <c r="AU9" s="464">
        <f t="shared" ref="AU9:AU36" si="30">AU8</f>
        <v>1.1000000000000001</v>
      </c>
      <c r="AV9" s="207">
        <v>95</v>
      </c>
      <c r="AW9" s="5">
        <v>2.9</v>
      </c>
      <c r="AX9" s="207">
        <v>106</v>
      </c>
      <c r="AY9" s="467">
        <f t="shared" si="7"/>
        <v>0</v>
      </c>
      <c r="AZ9" s="467">
        <f t="shared" si="21"/>
        <v>104.50000000000001</v>
      </c>
      <c r="BA9" s="467">
        <f t="shared" si="22"/>
        <v>307.39999999999998</v>
      </c>
      <c r="BB9" s="21">
        <f t="shared" si="23"/>
        <v>-51.300000000000004</v>
      </c>
      <c r="BC9" s="21">
        <f t="shared" si="24"/>
        <v>8.8000000000000114</v>
      </c>
      <c r="BD9" s="21">
        <f t="shared" si="24"/>
        <v>52.199999999999989</v>
      </c>
      <c r="BE9" s="24">
        <f t="shared" si="25"/>
        <v>9.6999999999999957</v>
      </c>
      <c r="BF9" s="373">
        <f t="shared" si="8"/>
        <v>296.3</v>
      </c>
      <c r="BG9" s="83">
        <f t="shared" si="9"/>
        <v>9.6999999999999886</v>
      </c>
    </row>
    <row r="10" spans="1:65" ht="15" thickBot="1">
      <c r="A10" s="6">
        <f>ELEC!C7</f>
        <v>43743</v>
      </c>
      <c r="B10" s="5">
        <v>104004</v>
      </c>
      <c r="C10" s="5">
        <f t="shared" si="10"/>
        <v>212</v>
      </c>
      <c r="D10" s="457">
        <f t="shared" si="11"/>
        <v>7.8518518518518521</v>
      </c>
      <c r="E10" s="357">
        <f>SUM((C10*$E$4)+(7500/'EDl log'!$A$38))</f>
        <v>593.85548387096765</v>
      </c>
      <c r="F10" s="456">
        <v>8</v>
      </c>
      <c r="G10" s="5">
        <v>576838</v>
      </c>
      <c r="H10" s="5">
        <f t="shared" si="12"/>
        <v>0</v>
      </c>
      <c r="I10" s="5">
        <f t="shared" si="0"/>
        <v>212</v>
      </c>
      <c r="J10" s="358">
        <f t="shared" si="1"/>
        <v>2.8012051125989039</v>
      </c>
      <c r="K10" s="5">
        <f>'Swimming Pool quality check '!H10</f>
        <v>5926</v>
      </c>
      <c r="L10" s="84">
        <f>K10-K9</f>
        <v>10</v>
      </c>
      <c r="M10" s="84">
        <f t="shared" si="13"/>
        <v>457.44</v>
      </c>
      <c r="N10" s="84">
        <f t="shared" si="2"/>
        <v>0</v>
      </c>
      <c r="O10" s="5">
        <f t="shared" si="14"/>
        <v>529.52</v>
      </c>
      <c r="P10" s="84">
        <f t="shared" si="3"/>
        <v>0</v>
      </c>
      <c r="Q10" s="560">
        <f>P10+N10</f>
        <v>0</v>
      </c>
      <c r="R10" s="84"/>
      <c r="S10" s="84"/>
      <c r="T10" s="5">
        <v>3811</v>
      </c>
      <c r="U10" s="5">
        <f t="shared" si="4"/>
        <v>12</v>
      </c>
      <c r="V10" s="5">
        <v>210</v>
      </c>
      <c r="W10" s="348">
        <f t="shared" si="15"/>
        <v>2</v>
      </c>
      <c r="X10" s="5">
        <v>133861</v>
      </c>
      <c r="Y10" s="348">
        <f t="shared" si="16"/>
        <v>23</v>
      </c>
      <c r="Z10" s="5">
        <v>86605</v>
      </c>
      <c r="AA10" s="84">
        <f t="shared" si="17"/>
        <v>97</v>
      </c>
      <c r="AB10" s="5">
        <f t="shared" si="27"/>
        <v>260</v>
      </c>
      <c r="AC10" s="5">
        <f t="shared" si="27"/>
        <v>643</v>
      </c>
      <c r="AD10" s="84">
        <f t="shared" si="28"/>
        <v>0</v>
      </c>
      <c r="AE10" s="84">
        <v>0.16</v>
      </c>
      <c r="AF10" s="84">
        <v>0</v>
      </c>
      <c r="AG10" s="84">
        <v>1.56</v>
      </c>
      <c r="AH10" s="84">
        <v>0</v>
      </c>
      <c r="AI10" s="84">
        <f>AF10+AH10</f>
        <v>0</v>
      </c>
      <c r="AJ10" s="350">
        <f t="shared" si="18"/>
        <v>97</v>
      </c>
      <c r="AK10" s="351">
        <f t="shared" si="5"/>
        <v>13</v>
      </c>
      <c r="AL10" s="351">
        <f t="shared" si="19"/>
        <v>95</v>
      </c>
      <c r="AM10" s="351">
        <f>'General information '!D10</f>
        <v>26</v>
      </c>
      <c r="AN10" s="85">
        <f>'General information '!H10</f>
        <v>140</v>
      </c>
      <c r="AO10" s="85"/>
      <c r="AP10" s="85">
        <f>'General information '!J10</f>
        <v>963</v>
      </c>
      <c r="AQ10" s="82"/>
      <c r="AR10" s="293">
        <f t="shared" si="20"/>
        <v>43743</v>
      </c>
      <c r="AS10" s="463">
        <f t="shared" si="6"/>
        <v>0.9</v>
      </c>
      <c r="AT10" s="207">
        <v>30</v>
      </c>
      <c r="AU10" s="464">
        <f t="shared" si="30"/>
        <v>1.1000000000000001</v>
      </c>
      <c r="AV10" s="207">
        <v>90</v>
      </c>
      <c r="AW10" s="5">
        <v>2.9</v>
      </c>
      <c r="AX10" s="207">
        <v>70</v>
      </c>
      <c r="AY10" s="467">
        <f t="shared" si="7"/>
        <v>27</v>
      </c>
      <c r="AZ10" s="467">
        <f t="shared" si="21"/>
        <v>99.000000000000014</v>
      </c>
      <c r="BA10" s="467">
        <f t="shared" si="22"/>
        <v>203</v>
      </c>
      <c r="BB10" s="21">
        <f t="shared" si="23"/>
        <v>27</v>
      </c>
      <c r="BC10" s="21">
        <f t="shared" si="24"/>
        <v>-5.5</v>
      </c>
      <c r="BD10" s="21">
        <f t="shared" si="24"/>
        <v>-104.39999999999998</v>
      </c>
      <c r="BE10" s="24">
        <f t="shared" si="25"/>
        <v>-82.899999999999977</v>
      </c>
      <c r="BF10" s="97">
        <f t="shared" si="8"/>
        <v>294.89999999999998</v>
      </c>
      <c r="BG10" s="83">
        <f t="shared" si="9"/>
        <v>-82.899999999999977</v>
      </c>
    </row>
    <row r="11" spans="1:65" ht="15" thickBot="1">
      <c r="A11" s="6">
        <f>ELEC!C8</f>
        <v>43744</v>
      </c>
      <c r="B11" s="5">
        <v>104137</v>
      </c>
      <c r="C11" s="5">
        <f t="shared" si="10"/>
        <v>133</v>
      </c>
      <c r="D11" s="457">
        <f t="shared" si="11"/>
        <v>4.9259259259259256</v>
      </c>
      <c r="E11" s="357">
        <f>SUM((C11*$E$4)+(7500/'EDl log'!$A$38))</f>
        <v>462.71548387096777</v>
      </c>
      <c r="F11" s="456">
        <v>5</v>
      </c>
      <c r="G11" s="5">
        <v>577030</v>
      </c>
      <c r="H11" s="5">
        <f t="shared" si="12"/>
        <v>192</v>
      </c>
      <c r="I11" s="5">
        <f t="shared" si="0"/>
        <v>325</v>
      </c>
      <c r="J11" s="358">
        <f t="shared" si="1"/>
        <v>1.4237399503722086</v>
      </c>
      <c r="K11" s="5">
        <f>'Swimming Pool quality check '!H11</f>
        <v>5929</v>
      </c>
      <c r="L11" s="84">
        <f t="shared" si="29"/>
        <v>3</v>
      </c>
      <c r="M11" s="84">
        <f t="shared" si="13"/>
        <v>457.44</v>
      </c>
      <c r="N11" s="84">
        <f t="shared" si="2"/>
        <v>0</v>
      </c>
      <c r="O11" s="5">
        <f t="shared" si="14"/>
        <v>529.52</v>
      </c>
      <c r="P11" s="84">
        <f t="shared" si="3"/>
        <v>0</v>
      </c>
      <c r="Q11" s="84">
        <f>SUM(P11+N11)</f>
        <v>0</v>
      </c>
      <c r="R11" s="84"/>
      <c r="S11" s="84"/>
      <c r="T11" s="5">
        <v>3824</v>
      </c>
      <c r="U11" s="5">
        <f t="shared" si="4"/>
        <v>13</v>
      </c>
      <c r="V11" s="5">
        <v>213</v>
      </c>
      <c r="W11" s="348">
        <f t="shared" si="15"/>
        <v>3</v>
      </c>
      <c r="X11" s="5">
        <v>133949</v>
      </c>
      <c r="Y11" s="348">
        <f t="shared" si="16"/>
        <v>88</v>
      </c>
      <c r="Z11" s="5">
        <v>86704</v>
      </c>
      <c r="AA11" s="84">
        <f t="shared" si="17"/>
        <v>99</v>
      </c>
      <c r="AB11" s="5">
        <f t="shared" si="27"/>
        <v>260</v>
      </c>
      <c r="AC11" s="5">
        <f t="shared" si="27"/>
        <v>643</v>
      </c>
      <c r="AD11" s="84">
        <f t="shared" si="28"/>
        <v>0</v>
      </c>
      <c r="AE11" s="84">
        <v>0.18</v>
      </c>
      <c r="AF11" s="84">
        <f>AE11-AE10</f>
        <v>1.999999999999999E-2</v>
      </c>
      <c r="AG11" s="84">
        <v>1.56</v>
      </c>
      <c r="AH11" s="84">
        <f>AG11-AG10</f>
        <v>0</v>
      </c>
      <c r="AI11" s="84">
        <f>AF11+AH11</f>
        <v>1.999999999999999E-2</v>
      </c>
      <c r="AJ11" s="350">
        <f t="shared" si="18"/>
        <v>99</v>
      </c>
      <c r="AK11" s="351">
        <f t="shared" si="5"/>
        <v>85</v>
      </c>
      <c r="AL11" s="351">
        <f t="shared" si="19"/>
        <v>96</v>
      </c>
      <c r="AM11" s="351">
        <f>'General information '!D11</f>
        <v>26</v>
      </c>
      <c r="AN11" s="85">
        <f>'General information '!H11</f>
        <v>16</v>
      </c>
      <c r="AO11" s="85"/>
      <c r="AP11" s="85">
        <f>'General information '!J11</f>
        <v>564</v>
      </c>
      <c r="AQ11" s="82"/>
      <c r="AR11" s="293">
        <f t="shared" si="20"/>
        <v>43744</v>
      </c>
      <c r="AS11" s="463">
        <f t="shared" si="6"/>
        <v>0.9</v>
      </c>
      <c r="AT11" s="207">
        <v>73</v>
      </c>
      <c r="AU11" s="464">
        <f t="shared" si="30"/>
        <v>1.1000000000000001</v>
      </c>
      <c r="AV11" s="207">
        <v>97</v>
      </c>
      <c r="AW11" s="5">
        <v>2.9</v>
      </c>
      <c r="AX11" s="207">
        <v>66</v>
      </c>
      <c r="AY11" s="467">
        <f t="shared" si="7"/>
        <v>65.7</v>
      </c>
      <c r="AZ11" s="467">
        <f t="shared" si="21"/>
        <v>106.7</v>
      </c>
      <c r="BA11" s="467">
        <f t="shared" si="22"/>
        <v>191.4</v>
      </c>
      <c r="BB11" s="21">
        <f t="shared" si="23"/>
        <v>38.700000000000003</v>
      </c>
      <c r="BC11" s="21">
        <f t="shared" si="24"/>
        <v>7.6999999999999886</v>
      </c>
      <c r="BD11" s="21">
        <f t="shared" si="24"/>
        <v>-11.599999999999994</v>
      </c>
      <c r="BE11" s="24">
        <f t="shared" si="25"/>
        <v>34.799999999999997</v>
      </c>
      <c r="BF11" s="97">
        <f t="shared" si="8"/>
        <v>290.2</v>
      </c>
      <c r="BG11" s="83">
        <f t="shared" si="9"/>
        <v>34.800000000000011</v>
      </c>
    </row>
    <row r="12" spans="1:65" ht="15" thickBot="1">
      <c r="A12" s="6">
        <f>ELEC!C9</f>
        <v>43745</v>
      </c>
      <c r="B12" s="5">
        <v>104349</v>
      </c>
      <c r="C12" s="5">
        <f>B12-B11</f>
        <v>212</v>
      </c>
      <c r="D12" s="457">
        <f t="shared" si="11"/>
        <v>7.8518518518518521</v>
      </c>
      <c r="E12" s="357">
        <f>SUM((C12*$E$4)+(7500/'EDl log'!$A$38))</f>
        <v>593.85548387096765</v>
      </c>
      <c r="F12" s="456">
        <v>8</v>
      </c>
      <c r="G12" s="5">
        <f t="shared" si="26"/>
        <v>577030</v>
      </c>
      <c r="H12" s="5">
        <f t="shared" si="12"/>
        <v>0</v>
      </c>
      <c r="I12" s="5">
        <f t="shared" si="0"/>
        <v>212</v>
      </c>
      <c r="J12" s="358">
        <f t="shared" si="1"/>
        <v>2.8012051125989039</v>
      </c>
      <c r="K12" s="5">
        <f>'Swimming Pool quality check '!H12</f>
        <v>5933</v>
      </c>
      <c r="L12" s="84">
        <f t="shared" si="29"/>
        <v>4</v>
      </c>
      <c r="M12" s="84">
        <f t="shared" si="13"/>
        <v>457.44</v>
      </c>
      <c r="N12" s="84">
        <f t="shared" si="2"/>
        <v>0</v>
      </c>
      <c r="O12" s="5">
        <f t="shared" si="14"/>
        <v>529.52</v>
      </c>
      <c r="P12" s="84">
        <f t="shared" si="3"/>
        <v>0</v>
      </c>
      <c r="Q12" s="84">
        <f>SUM(P12+N12)</f>
        <v>0</v>
      </c>
      <c r="R12" s="84"/>
      <c r="S12" s="84"/>
      <c r="T12" s="5">
        <v>3834</v>
      </c>
      <c r="U12" s="5">
        <f t="shared" si="4"/>
        <v>10</v>
      </c>
      <c r="V12" s="5">
        <v>216</v>
      </c>
      <c r="W12" s="348">
        <f t="shared" si="15"/>
        <v>3</v>
      </c>
      <c r="X12" s="5">
        <v>134065</v>
      </c>
      <c r="Y12" s="348">
        <f t="shared" si="16"/>
        <v>116</v>
      </c>
      <c r="Z12" s="5">
        <v>86738</v>
      </c>
      <c r="AA12" s="84">
        <f t="shared" si="17"/>
        <v>34</v>
      </c>
      <c r="AB12" s="5">
        <f t="shared" si="27"/>
        <v>260</v>
      </c>
      <c r="AC12" s="5">
        <f t="shared" si="27"/>
        <v>643</v>
      </c>
      <c r="AD12" s="84">
        <f t="shared" si="28"/>
        <v>0</v>
      </c>
      <c r="AE12" s="84">
        <v>0.22</v>
      </c>
      <c r="AF12" s="84">
        <f>AE12-AE11</f>
        <v>4.0000000000000008E-2</v>
      </c>
      <c r="AG12" s="84">
        <v>1.57</v>
      </c>
      <c r="AH12" s="84">
        <f t="shared" ref="AH12:AH36" si="31">AG12-AG11</f>
        <v>1.0000000000000009E-2</v>
      </c>
      <c r="AI12" s="84">
        <f t="shared" ref="AI12:AI36" si="32">AF12+AH12</f>
        <v>5.0000000000000017E-2</v>
      </c>
      <c r="AJ12" s="350">
        <f t="shared" si="18"/>
        <v>34</v>
      </c>
      <c r="AK12" s="351">
        <f t="shared" si="5"/>
        <v>112</v>
      </c>
      <c r="AL12" s="351">
        <f t="shared" si="19"/>
        <v>31</v>
      </c>
      <c r="AM12" s="351">
        <f>'General information '!D12</f>
        <v>26.5</v>
      </c>
      <c r="AN12" s="85">
        <f>'General information '!H12</f>
        <v>12</v>
      </c>
      <c r="AO12" s="85"/>
      <c r="AP12" s="85">
        <f>'General information '!J12</f>
        <v>425</v>
      </c>
      <c r="AQ12" s="82"/>
      <c r="AR12" s="293">
        <f t="shared" si="20"/>
        <v>43745</v>
      </c>
      <c r="AS12" s="463">
        <f t="shared" si="6"/>
        <v>0.9</v>
      </c>
      <c r="AT12" s="207">
        <v>80</v>
      </c>
      <c r="AU12" s="464">
        <f t="shared" si="30"/>
        <v>1.1000000000000001</v>
      </c>
      <c r="AV12" s="207">
        <v>57</v>
      </c>
      <c r="AW12" s="5">
        <v>2.9</v>
      </c>
      <c r="AX12" s="207">
        <v>75</v>
      </c>
      <c r="AY12" s="467">
        <f t="shared" si="7"/>
        <v>72</v>
      </c>
      <c r="AZ12" s="467">
        <f t="shared" si="21"/>
        <v>62.7</v>
      </c>
      <c r="BA12" s="467">
        <f t="shared" si="22"/>
        <v>217.5</v>
      </c>
      <c r="BB12" s="21">
        <f t="shared" si="23"/>
        <v>6.2999999999999972</v>
      </c>
      <c r="BC12" s="21">
        <f t="shared" si="24"/>
        <v>-44</v>
      </c>
      <c r="BD12" s="21">
        <f t="shared" si="24"/>
        <v>26.099999999999994</v>
      </c>
      <c r="BE12" s="24">
        <f t="shared" si="25"/>
        <v>-11.600000000000009</v>
      </c>
      <c r="BF12" s="97">
        <f t="shared" si="8"/>
        <v>223.60000000000002</v>
      </c>
      <c r="BG12" s="83">
        <f t="shared" si="9"/>
        <v>-11.600000000000023</v>
      </c>
    </row>
    <row r="13" spans="1:65" ht="15" thickBot="1">
      <c r="A13" s="6">
        <f>ELEC!C10</f>
        <v>43746</v>
      </c>
      <c r="B13" s="5">
        <v>104535</v>
      </c>
      <c r="C13" s="5">
        <f t="shared" si="10"/>
        <v>186</v>
      </c>
      <c r="D13" s="457">
        <f t="shared" si="11"/>
        <v>6.8888888888888893</v>
      </c>
      <c r="E13" s="357">
        <f>SUM((C13*$E$4)+(7500/'EDl log'!$A$38))</f>
        <v>550.69548387096779</v>
      </c>
      <c r="F13" s="456">
        <v>7</v>
      </c>
      <c r="G13" s="5">
        <v>577199</v>
      </c>
      <c r="H13" s="5">
        <f t="shared" si="12"/>
        <v>169</v>
      </c>
      <c r="I13" s="5">
        <f t="shared" si="0"/>
        <v>355</v>
      </c>
      <c r="J13" s="358">
        <f t="shared" si="1"/>
        <v>1.5512548841435712</v>
      </c>
      <c r="K13" s="5">
        <f>'Swimming Pool quality check '!H13</f>
        <v>5936</v>
      </c>
      <c r="L13" s="84">
        <f t="shared" si="29"/>
        <v>3</v>
      </c>
      <c r="M13" s="84">
        <f t="shared" si="13"/>
        <v>457.44</v>
      </c>
      <c r="N13" s="84">
        <f t="shared" si="2"/>
        <v>0</v>
      </c>
      <c r="O13" s="5">
        <f t="shared" si="14"/>
        <v>529.52</v>
      </c>
      <c r="P13" s="84">
        <f t="shared" si="3"/>
        <v>0</v>
      </c>
      <c r="Q13" s="84">
        <f>SUM(P13+N13)</f>
        <v>0</v>
      </c>
      <c r="R13" s="84"/>
      <c r="S13" s="84"/>
      <c r="T13" s="5">
        <v>3846</v>
      </c>
      <c r="U13" s="5">
        <f t="shared" si="4"/>
        <v>12</v>
      </c>
      <c r="V13" s="5">
        <v>217</v>
      </c>
      <c r="W13" s="348">
        <f t="shared" si="15"/>
        <v>1</v>
      </c>
      <c r="X13" s="5">
        <v>134162</v>
      </c>
      <c r="Y13" s="348">
        <f t="shared" si="16"/>
        <v>97</v>
      </c>
      <c r="Z13" s="5">
        <v>86884</v>
      </c>
      <c r="AA13" s="84">
        <f t="shared" si="17"/>
        <v>146</v>
      </c>
      <c r="AB13" s="5">
        <f t="shared" si="27"/>
        <v>260</v>
      </c>
      <c r="AC13" s="5">
        <f t="shared" si="27"/>
        <v>643</v>
      </c>
      <c r="AD13" s="84">
        <f t="shared" si="28"/>
        <v>0</v>
      </c>
      <c r="AE13" s="84">
        <v>0.39</v>
      </c>
      <c r="AF13" s="84">
        <f>AE13-AE12</f>
        <v>0.17</v>
      </c>
      <c r="AG13" s="84">
        <v>1.58</v>
      </c>
      <c r="AH13" s="84">
        <f t="shared" si="31"/>
        <v>1.0000000000000009E-2</v>
      </c>
      <c r="AI13" s="84">
        <f t="shared" si="32"/>
        <v>0.18000000000000002</v>
      </c>
      <c r="AJ13" s="350">
        <f t="shared" si="18"/>
        <v>146</v>
      </c>
      <c r="AK13" s="351">
        <f t="shared" si="5"/>
        <v>94</v>
      </c>
      <c r="AL13" s="351">
        <f t="shared" si="19"/>
        <v>145</v>
      </c>
      <c r="AM13" s="351">
        <f>'General information '!D13</f>
        <v>26</v>
      </c>
      <c r="AN13" s="85">
        <f>'General information '!J13</f>
        <v>407</v>
      </c>
      <c r="AO13" s="85"/>
      <c r="AP13" s="85">
        <f>'General information '!J13</f>
        <v>407</v>
      </c>
      <c r="AQ13" s="96"/>
      <c r="AR13" s="293">
        <f t="shared" si="20"/>
        <v>43746</v>
      </c>
      <c r="AS13" s="463">
        <f t="shared" si="6"/>
        <v>0.9</v>
      </c>
      <c r="AT13" s="207">
        <v>100</v>
      </c>
      <c r="AU13" s="464">
        <f t="shared" si="30"/>
        <v>1.1000000000000001</v>
      </c>
      <c r="AV13" s="207">
        <v>100</v>
      </c>
      <c r="AW13" s="5">
        <v>2.9</v>
      </c>
      <c r="AX13" s="207">
        <v>80</v>
      </c>
      <c r="AY13" s="467">
        <f t="shared" si="7"/>
        <v>90</v>
      </c>
      <c r="AZ13" s="467">
        <f t="shared" si="21"/>
        <v>110.00000000000001</v>
      </c>
      <c r="BA13" s="467">
        <f t="shared" si="22"/>
        <v>232</v>
      </c>
      <c r="BB13" s="21">
        <f t="shared" si="23"/>
        <v>18</v>
      </c>
      <c r="BC13" s="21">
        <f t="shared" si="24"/>
        <v>47.300000000000011</v>
      </c>
      <c r="BD13" s="21">
        <f t="shared" si="24"/>
        <v>14.5</v>
      </c>
      <c r="BE13" s="24">
        <f t="shared" si="25"/>
        <v>79.800000000000011</v>
      </c>
      <c r="BF13" s="97">
        <f t="shared" si="8"/>
        <v>275.2</v>
      </c>
      <c r="BG13" s="83">
        <f t="shared" si="9"/>
        <v>79.800000000000011</v>
      </c>
    </row>
    <row r="14" spans="1:65" ht="15" thickBot="1">
      <c r="A14" s="6">
        <f>ELEC!C11</f>
        <v>43747</v>
      </c>
      <c r="B14" s="5">
        <v>104668</v>
      </c>
      <c r="C14" s="5">
        <f t="shared" si="10"/>
        <v>133</v>
      </c>
      <c r="D14" s="457">
        <f t="shared" si="11"/>
        <v>4.9259259259259256</v>
      </c>
      <c r="E14" s="357">
        <f>SUM((C14*$E$4)+(7500/'EDl log'!$A$38))</f>
        <v>462.71548387096777</v>
      </c>
      <c r="F14" s="456">
        <v>5</v>
      </c>
      <c r="G14" s="5">
        <v>577211</v>
      </c>
      <c r="H14" s="5">
        <f t="shared" si="12"/>
        <v>12</v>
      </c>
      <c r="I14" s="5">
        <f t="shared" si="0"/>
        <v>145</v>
      </c>
      <c r="J14" s="358">
        <f t="shared" si="1"/>
        <v>3.1911412680756399</v>
      </c>
      <c r="K14" s="5">
        <f>'Swimming Pool quality check '!H14</f>
        <v>5939</v>
      </c>
      <c r="L14" s="84">
        <f t="shared" si="29"/>
        <v>3</v>
      </c>
      <c r="M14" s="84">
        <f t="shared" si="13"/>
        <v>457.44</v>
      </c>
      <c r="N14" s="84">
        <f t="shared" ref="N14:N36" si="33">SUM(M14-M13)</f>
        <v>0</v>
      </c>
      <c r="O14" s="5">
        <f t="shared" si="14"/>
        <v>529.52</v>
      </c>
      <c r="P14" s="84">
        <f t="shared" ref="P14:P36" si="34">SUM(O14-O13)</f>
        <v>0</v>
      </c>
      <c r="Q14" s="84">
        <f t="shared" ref="Q14:Q36" si="35">SUM(P14+N14)</f>
        <v>0</v>
      </c>
      <c r="R14" s="84"/>
      <c r="S14" s="84"/>
      <c r="T14" s="5">
        <v>3861</v>
      </c>
      <c r="U14" s="5">
        <f t="shared" si="4"/>
        <v>15</v>
      </c>
      <c r="V14" s="5">
        <v>221</v>
      </c>
      <c r="W14" s="348">
        <f t="shared" si="15"/>
        <v>4</v>
      </c>
      <c r="X14" s="5">
        <v>134224</v>
      </c>
      <c r="Y14" s="348">
        <f t="shared" si="16"/>
        <v>62</v>
      </c>
      <c r="Z14" s="5">
        <v>87003</v>
      </c>
      <c r="AA14" s="84">
        <f t="shared" si="17"/>
        <v>119</v>
      </c>
      <c r="AB14" s="5">
        <f t="shared" si="27"/>
        <v>260</v>
      </c>
      <c r="AC14" s="5">
        <f t="shared" si="27"/>
        <v>643</v>
      </c>
      <c r="AD14" s="84">
        <f t="shared" si="28"/>
        <v>0</v>
      </c>
      <c r="AE14" s="84">
        <f t="shared" ref="AE14:AE36" si="36">AE13</f>
        <v>0.39</v>
      </c>
      <c r="AF14" s="84">
        <f>AE14-AE13</f>
        <v>0</v>
      </c>
      <c r="AG14" s="84">
        <v>1.92</v>
      </c>
      <c r="AH14" s="84">
        <f t="shared" si="31"/>
        <v>0.33999999999999986</v>
      </c>
      <c r="AI14" s="84">
        <f t="shared" si="32"/>
        <v>0.33999999999999986</v>
      </c>
      <c r="AJ14" s="350">
        <f t="shared" si="18"/>
        <v>119</v>
      </c>
      <c r="AK14" s="351">
        <f t="shared" si="5"/>
        <v>59</v>
      </c>
      <c r="AL14" s="351">
        <f t="shared" si="19"/>
        <v>115</v>
      </c>
      <c r="AM14" s="351">
        <f>'General information '!D14</f>
        <v>26</v>
      </c>
      <c r="AN14" s="85">
        <f>'General information '!H14</f>
        <v>71</v>
      </c>
      <c r="AO14" s="85"/>
      <c r="AP14" s="85">
        <f>'General information '!J14</f>
        <v>543</v>
      </c>
      <c r="AQ14" s="82"/>
      <c r="AR14" s="293">
        <f t="shared" si="20"/>
        <v>43747</v>
      </c>
      <c r="AS14" s="463">
        <f t="shared" si="6"/>
        <v>0.9</v>
      </c>
      <c r="AT14" s="207">
        <v>3</v>
      </c>
      <c r="AU14" s="464">
        <f t="shared" si="30"/>
        <v>1.1000000000000001</v>
      </c>
      <c r="AV14" s="207">
        <v>106</v>
      </c>
      <c r="AW14" s="5">
        <v>2.9</v>
      </c>
      <c r="AX14" s="207">
        <v>73</v>
      </c>
      <c r="AY14" s="467">
        <f t="shared" si="7"/>
        <v>2.7</v>
      </c>
      <c r="AZ14" s="467">
        <f t="shared" si="21"/>
        <v>116.60000000000001</v>
      </c>
      <c r="BA14" s="467">
        <f t="shared" si="22"/>
        <v>211.7</v>
      </c>
      <c r="BB14" s="21">
        <f t="shared" si="23"/>
        <v>-87.3</v>
      </c>
      <c r="BC14" s="21">
        <f t="shared" si="24"/>
        <v>6.5999999999999943</v>
      </c>
      <c r="BD14" s="21">
        <f t="shared" si="24"/>
        <v>-20.300000000000011</v>
      </c>
      <c r="BE14" s="24">
        <f t="shared" si="25"/>
        <v>-101.00000000000001</v>
      </c>
      <c r="BF14" s="97">
        <f t="shared" si="8"/>
        <v>246</v>
      </c>
      <c r="BG14" s="83">
        <f t="shared" si="9"/>
        <v>-101</v>
      </c>
    </row>
    <row r="15" spans="1:65" ht="16.5" customHeight="1" thickBot="1">
      <c r="A15" s="6">
        <f>ELEC!C12</f>
        <v>43748</v>
      </c>
      <c r="B15" s="5">
        <v>104854</v>
      </c>
      <c r="C15" s="5">
        <f t="shared" si="10"/>
        <v>186</v>
      </c>
      <c r="D15" s="457">
        <f t="shared" si="11"/>
        <v>6.8888888888888893</v>
      </c>
      <c r="E15" s="357">
        <f>SUM((C15*$E$4)+(7500/'EDl log'!$A$38))</f>
        <v>550.69548387096779</v>
      </c>
      <c r="F15" s="456">
        <v>7</v>
      </c>
      <c r="G15" s="5">
        <v>577382</v>
      </c>
      <c r="H15" s="5">
        <f t="shared" si="12"/>
        <v>171</v>
      </c>
      <c r="I15" s="5">
        <f t="shared" si="0"/>
        <v>357</v>
      </c>
      <c r="J15" s="358">
        <f t="shared" si="1"/>
        <v>1.5425643805909461</v>
      </c>
      <c r="K15" s="5">
        <f>'Swimming Pool quality check '!H15</f>
        <v>5942</v>
      </c>
      <c r="L15" s="84">
        <f t="shared" si="29"/>
        <v>3</v>
      </c>
      <c r="M15" s="84">
        <f t="shared" si="13"/>
        <v>457.44</v>
      </c>
      <c r="N15" s="84">
        <f t="shared" si="33"/>
        <v>0</v>
      </c>
      <c r="O15" s="5">
        <f t="shared" si="14"/>
        <v>529.52</v>
      </c>
      <c r="P15" s="84">
        <f t="shared" si="34"/>
        <v>0</v>
      </c>
      <c r="Q15" s="84">
        <f t="shared" si="35"/>
        <v>0</v>
      </c>
      <c r="R15" s="84"/>
      <c r="S15" s="84"/>
      <c r="T15" s="5">
        <v>3878</v>
      </c>
      <c r="U15" s="5">
        <f t="shared" si="4"/>
        <v>17</v>
      </c>
      <c r="V15" s="5">
        <v>224</v>
      </c>
      <c r="W15" s="348">
        <f t="shared" si="15"/>
        <v>3</v>
      </c>
      <c r="X15" s="5">
        <v>134331</v>
      </c>
      <c r="Y15" s="348">
        <f t="shared" si="16"/>
        <v>107</v>
      </c>
      <c r="Z15" s="5">
        <v>87137</v>
      </c>
      <c r="AA15" s="84">
        <f t="shared" si="17"/>
        <v>134</v>
      </c>
      <c r="AB15" s="5">
        <f t="shared" si="27"/>
        <v>260</v>
      </c>
      <c r="AC15" s="5">
        <f t="shared" si="27"/>
        <v>643</v>
      </c>
      <c r="AD15" s="84">
        <f t="shared" si="28"/>
        <v>0</v>
      </c>
      <c r="AE15" s="84">
        <v>0</v>
      </c>
      <c r="AF15" s="84">
        <f t="shared" ref="AF15:AF36" si="37">AE15-AE14</f>
        <v>-0.39</v>
      </c>
      <c r="AG15" s="84">
        <v>12.58</v>
      </c>
      <c r="AH15" s="84">
        <f t="shared" si="31"/>
        <v>10.66</v>
      </c>
      <c r="AI15" s="84">
        <f t="shared" si="32"/>
        <v>10.27</v>
      </c>
      <c r="AJ15" s="350">
        <f t="shared" si="18"/>
        <v>134</v>
      </c>
      <c r="AK15" s="351">
        <f t="shared" si="5"/>
        <v>104</v>
      </c>
      <c r="AL15" s="351">
        <f t="shared" si="19"/>
        <v>131</v>
      </c>
      <c r="AM15" s="351">
        <f>'General information '!D15</f>
        <v>25</v>
      </c>
      <c r="AN15" s="85">
        <f>'General information '!H15</f>
        <v>345</v>
      </c>
      <c r="AO15" s="85"/>
      <c r="AP15" s="85">
        <f>'General information '!J15</f>
        <v>571</v>
      </c>
      <c r="AQ15" s="82"/>
      <c r="AR15" s="293">
        <f t="shared" si="20"/>
        <v>43748</v>
      </c>
      <c r="AS15" s="463">
        <f t="shared" si="6"/>
        <v>0.9</v>
      </c>
      <c r="AT15" s="207">
        <v>77</v>
      </c>
      <c r="AU15" s="464">
        <f t="shared" si="30"/>
        <v>1.1000000000000001</v>
      </c>
      <c r="AV15" s="207">
        <v>117</v>
      </c>
      <c r="AW15" s="5">
        <v>2.9</v>
      </c>
      <c r="AX15" s="207">
        <v>66</v>
      </c>
      <c r="AY15" s="467">
        <f t="shared" si="7"/>
        <v>69.3</v>
      </c>
      <c r="AZ15" s="467">
        <f t="shared" si="21"/>
        <v>128.70000000000002</v>
      </c>
      <c r="BA15" s="467">
        <f t="shared" si="22"/>
        <v>191.4</v>
      </c>
      <c r="BB15" s="21">
        <f t="shared" si="23"/>
        <v>66.599999999999994</v>
      </c>
      <c r="BC15" s="21">
        <f t="shared" si="24"/>
        <v>12.100000000000009</v>
      </c>
      <c r="BD15" s="21">
        <f t="shared" si="24"/>
        <v>-20.299999999999983</v>
      </c>
      <c r="BE15" s="24">
        <f t="shared" si="25"/>
        <v>58.40000000000002</v>
      </c>
      <c r="BF15" s="97">
        <f t="shared" si="8"/>
        <v>298.59999999999997</v>
      </c>
      <c r="BG15" s="83">
        <f t="shared" si="9"/>
        <v>58.400000000000034</v>
      </c>
    </row>
    <row r="16" spans="1:65" ht="15" thickBot="1">
      <c r="A16" s="6">
        <f>ELEC!C13</f>
        <v>43749</v>
      </c>
      <c r="B16" s="5">
        <v>104986</v>
      </c>
      <c r="C16" s="5">
        <f t="shared" si="10"/>
        <v>132</v>
      </c>
      <c r="D16" s="457">
        <f t="shared" si="11"/>
        <v>4.8888888888888893</v>
      </c>
      <c r="E16" s="357">
        <f>SUM((C16*$E$4)+(7500/'EDl log'!$A$38))</f>
        <v>461.05548387096769</v>
      </c>
      <c r="F16" s="456">
        <v>5</v>
      </c>
      <c r="G16" s="5">
        <f t="shared" si="26"/>
        <v>577382</v>
      </c>
      <c r="H16" s="5">
        <f t="shared" si="12"/>
        <v>0</v>
      </c>
      <c r="I16" s="5">
        <f t="shared" si="0"/>
        <v>132</v>
      </c>
      <c r="J16" s="358">
        <f t="shared" si="1"/>
        <v>3.4928445747800581</v>
      </c>
      <c r="K16" s="5">
        <f>'Swimming Pool quality check '!H16</f>
        <v>5945</v>
      </c>
      <c r="L16" s="287">
        <f t="shared" si="29"/>
        <v>3</v>
      </c>
      <c r="M16" s="84">
        <f t="shared" si="13"/>
        <v>457.44</v>
      </c>
      <c r="N16" s="84">
        <f t="shared" si="33"/>
        <v>0</v>
      </c>
      <c r="O16" s="5">
        <f t="shared" si="14"/>
        <v>529.52</v>
      </c>
      <c r="P16" s="84">
        <f t="shared" si="34"/>
        <v>0</v>
      </c>
      <c r="Q16" s="84">
        <f t="shared" si="35"/>
        <v>0</v>
      </c>
      <c r="R16" s="287"/>
      <c r="S16" s="287"/>
      <c r="T16" s="5">
        <v>3892</v>
      </c>
      <c r="U16" s="5">
        <f t="shared" si="4"/>
        <v>14</v>
      </c>
      <c r="V16" s="5">
        <v>227</v>
      </c>
      <c r="W16" s="348">
        <f t="shared" si="15"/>
        <v>3</v>
      </c>
      <c r="X16" s="5">
        <v>134582</v>
      </c>
      <c r="Y16" s="348">
        <f t="shared" si="16"/>
        <v>251</v>
      </c>
      <c r="Z16" s="5">
        <v>87240</v>
      </c>
      <c r="AA16" s="84">
        <f t="shared" si="17"/>
        <v>103</v>
      </c>
      <c r="AB16" s="5">
        <f t="shared" si="27"/>
        <v>260</v>
      </c>
      <c r="AC16" s="5">
        <f t="shared" si="27"/>
        <v>643</v>
      </c>
      <c r="AD16" s="84">
        <f t="shared" si="28"/>
        <v>0</v>
      </c>
      <c r="AE16" s="84">
        <v>0</v>
      </c>
      <c r="AF16" s="84">
        <f t="shared" si="37"/>
        <v>0</v>
      </c>
      <c r="AG16" s="84">
        <v>39.64</v>
      </c>
      <c r="AH16" s="84">
        <f t="shared" si="31"/>
        <v>27.060000000000002</v>
      </c>
      <c r="AI16" s="84">
        <f t="shared" si="32"/>
        <v>27.060000000000002</v>
      </c>
      <c r="AJ16" s="350">
        <f t="shared" si="18"/>
        <v>103</v>
      </c>
      <c r="AK16" s="351">
        <f t="shared" si="5"/>
        <v>248</v>
      </c>
      <c r="AL16" s="351">
        <f t="shared" si="19"/>
        <v>100</v>
      </c>
      <c r="AM16" s="351">
        <f>'General information '!D16</f>
        <v>26</v>
      </c>
      <c r="AN16" s="85">
        <f>'General information '!H16</f>
        <v>0</v>
      </c>
      <c r="AO16" s="85"/>
      <c r="AP16" s="85">
        <f>'General information '!J16</f>
        <v>708</v>
      </c>
      <c r="AQ16" s="82"/>
      <c r="AR16" s="293">
        <f t="shared" si="20"/>
        <v>43749</v>
      </c>
      <c r="AS16" s="463">
        <f t="shared" si="6"/>
        <v>0.9</v>
      </c>
      <c r="AT16" s="207">
        <v>5</v>
      </c>
      <c r="AU16" s="464">
        <f t="shared" si="30"/>
        <v>1.1000000000000001</v>
      </c>
      <c r="AV16" s="207">
        <v>143</v>
      </c>
      <c r="AW16" s="5">
        <v>2.9</v>
      </c>
      <c r="AX16" s="207">
        <v>102</v>
      </c>
      <c r="AY16" s="467">
        <f t="shared" si="7"/>
        <v>4.5</v>
      </c>
      <c r="AZ16" s="467">
        <f t="shared" si="21"/>
        <v>157.30000000000001</v>
      </c>
      <c r="BA16" s="467">
        <f t="shared" si="22"/>
        <v>295.8</v>
      </c>
      <c r="BB16" s="21">
        <f t="shared" si="23"/>
        <v>-64.8</v>
      </c>
      <c r="BC16" s="21">
        <f t="shared" si="24"/>
        <v>28.599999999999994</v>
      </c>
      <c r="BD16" s="21">
        <f t="shared" si="24"/>
        <v>104.4</v>
      </c>
      <c r="BE16" s="24">
        <f t="shared" si="25"/>
        <v>68.2</v>
      </c>
      <c r="BF16" s="97">
        <f t="shared" si="8"/>
        <v>63.8</v>
      </c>
      <c r="BG16" s="83">
        <f t="shared" si="9"/>
        <v>68.2</v>
      </c>
    </row>
    <row r="17" spans="1:61" ht="15" thickBot="1">
      <c r="A17" s="6">
        <f>ELEC!C14</f>
        <v>43750</v>
      </c>
      <c r="B17" s="5">
        <v>104986</v>
      </c>
      <c r="C17" s="5">
        <f t="shared" si="10"/>
        <v>0</v>
      </c>
      <c r="D17" s="457">
        <f t="shared" si="11"/>
        <v>0</v>
      </c>
      <c r="E17" s="357">
        <f>SUM((C17*$E$4)+(7500/'EDl log'!$A$38))</f>
        <v>241.93548387096774</v>
      </c>
      <c r="F17" s="456">
        <v>0</v>
      </c>
      <c r="G17" s="5">
        <v>578036</v>
      </c>
      <c r="H17" s="5">
        <f t="shared" si="12"/>
        <v>654</v>
      </c>
      <c r="I17" s="5">
        <f t="shared" si="0"/>
        <v>654</v>
      </c>
      <c r="J17" s="358">
        <f t="shared" si="1"/>
        <v>0.36993193252441553</v>
      </c>
      <c r="K17" s="5">
        <f>'Swimming Pool quality check '!H17</f>
        <v>5949</v>
      </c>
      <c r="L17" s="84">
        <f t="shared" si="29"/>
        <v>4</v>
      </c>
      <c r="M17" s="84">
        <f t="shared" si="13"/>
        <v>457.44</v>
      </c>
      <c r="N17" s="84">
        <f t="shared" si="33"/>
        <v>0</v>
      </c>
      <c r="O17" s="5">
        <f t="shared" si="14"/>
        <v>529.52</v>
      </c>
      <c r="P17" s="84">
        <f t="shared" si="34"/>
        <v>0</v>
      </c>
      <c r="Q17" s="84">
        <f t="shared" si="35"/>
        <v>0</v>
      </c>
      <c r="R17" s="84"/>
      <c r="S17" s="84"/>
      <c r="T17" s="5">
        <v>3903</v>
      </c>
      <c r="U17" s="5">
        <f t="shared" si="4"/>
        <v>11</v>
      </c>
      <c r="V17" s="5">
        <v>237</v>
      </c>
      <c r="W17" s="348">
        <f t="shared" si="15"/>
        <v>10</v>
      </c>
      <c r="X17" s="5">
        <v>134662</v>
      </c>
      <c r="Y17" s="348">
        <f t="shared" si="16"/>
        <v>80</v>
      </c>
      <c r="Z17" s="5">
        <v>87291</v>
      </c>
      <c r="AA17" s="84">
        <f t="shared" si="17"/>
        <v>51</v>
      </c>
      <c r="AB17" s="5">
        <f t="shared" si="27"/>
        <v>260</v>
      </c>
      <c r="AC17" s="5">
        <f t="shared" si="27"/>
        <v>643</v>
      </c>
      <c r="AD17" s="84">
        <f t="shared" si="28"/>
        <v>0</v>
      </c>
      <c r="AE17" s="84">
        <f t="shared" si="36"/>
        <v>0</v>
      </c>
      <c r="AF17" s="84">
        <f t="shared" si="37"/>
        <v>0</v>
      </c>
      <c r="AG17" s="84">
        <v>74.38</v>
      </c>
      <c r="AH17" s="84">
        <f t="shared" si="31"/>
        <v>34.739999999999995</v>
      </c>
      <c r="AI17" s="84">
        <f t="shared" si="32"/>
        <v>34.739999999999995</v>
      </c>
      <c r="AJ17" s="350">
        <f t="shared" si="18"/>
        <v>51</v>
      </c>
      <c r="AK17" s="351">
        <f t="shared" si="5"/>
        <v>76</v>
      </c>
      <c r="AL17" s="351">
        <f t="shared" si="19"/>
        <v>41</v>
      </c>
      <c r="AM17" s="351">
        <f>'General information '!D17</f>
        <v>25.5</v>
      </c>
      <c r="AN17" s="85">
        <f>'General information '!H17</f>
        <v>0</v>
      </c>
      <c r="AO17" s="85"/>
      <c r="AP17" s="85">
        <f>'General information '!J17</f>
        <v>668</v>
      </c>
      <c r="AQ17" s="96"/>
      <c r="AR17" s="293">
        <f t="shared" si="20"/>
        <v>43750</v>
      </c>
      <c r="AS17" s="463">
        <f t="shared" si="6"/>
        <v>0.9</v>
      </c>
      <c r="AT17" s="207">
        <v>0</v>
      </c>
      <c r="AU17" s="464">
        <f t="shared" si="30"/>
        <v>1.1000000000000001</v>
      </c>
      <c r="AV17" s="207">
        <v>110</v>
      </c>
      <c r="AW17" s="5">
        <v>2.9</v>
      </c>
      <c r="AX17" s="207">
        <v>94</v>
      </c>
      <c r="AY17" s="467">
        <f t="shared" si="7"/>
        <v>0</v>
      </c>
      <c r="AZ17" s="467">
        <f t="shared" si="21"/>
        <v>121.00000000000001</v>
      </c>
      <c r="BA17" s="467">
        <f t="shared" si="22"/>
        <v>272.59999999999997</v>
      </c>
      <c r="BB17" s="21">
        <f t="shared" si="23"/>
        <v>-4.5</v>
      </c>
      <c r="BC17" s="21">
        <f t="shared" si="24"/>
        <v>-36.299999999999997</v>
      </c>
      <c r="BD17" s="21">
        <f t="shared" si="24"/>
        <v>-23.200000000000045</v>
      </c>
      <c r="BE17" s="24">
        <f t="shared" si="25"/>
        <v>-64.000000000000043</v>
      </c>
      <c r="BF17" s="97">
        <f t="shared" si="8"/>
        <v>718</v>
      </c>
      <c r="BG17" s="83">
        <f t="shared" si="9"/>
        <v>-64</v>
      </c>
    </row>
    <row r="18" spans="1:61" ht="15" thickBot="1">
      <c r="A18" s="6">
        <f>ELEC!C15</f>
        <v>43751</v>
      </c>
      <c r="B18" s="5">
        <v>105119</v>
      </c>
      <c r="C18" s="5">
        <f t="shared" si="10"/>
        <v>133</v>
      </c>
      <c r="D18" s="457">
        <f t="shared" si="11"/>
        <v>4.9259259259259256</v>
      </c>
      <c r="E18" s="357">
        <f>SUM((C18*$E$4)+(7500/'EDl log'!$A$38))</f>
        <v>462.71548387096777</v>
      </c>
      <c r="F18" s="456">
        <v>5</v>
      </c>
      <c r="G18" s="5">
        <f t="shared" si="26"/>
        <v>578036</v>
      </c>
      <c r="H18" s="5">
        <f t="shared" si="12"/>
        <v>0</v>
      </c>
      <c r="I18" s="5">
        <f t="shared" si="0"/>
        <v>133</v>
      </c>
      <c r="J18" s="358">
        <f t="shared" si="1"/>
        <v>3.4790637885035172</v>
      </c>
      <c r="K18" s="5">
        <f>'Swimming Pool quality check '!H18</f>
        <v>5952</v>
      </c>
      <c r="L18" s="84">
        <f t="shared" si="29"/>
        <v>3</v>
      </c>
      <c r="M18" s="84">
        <f t="shared" si="13"/>
        <v>457.44</v>
      </c>
      <c r="N18" s="84">
        <f t="shared" si="33"/>
        <v>0</v>
      </c>
      <c r="O18" s="5">
        <f t="shared" si="14"/>
        <v>529.52</v>
      </c>
      <c r="P18" s="84">
        <f t="shared" si="34"/>
        <v>0</v>
      </c>
      <c r="Q18" s="84">
        <f t="shared" si="35"/>
        <v>0</v>
      </c>
      <c r="R18" s="84"/>
      <c r="S18" s="84"/>
      <c r="T18" s="5">
        <v>3916</v>
      </c>
      <c r="U18" s="5">
        <f t="shared" si="4"/>
        <v>13</v>
      </c>
      <c r="V18" s="5">
        <v>239</v>
      </c>
      <c r="W18" s="348">
        <f t="shared" si="15"/>
        <v>2</v>
      </c>
      <c r="X18" s="5">
        <v>134681</v>
      </c>
      <c r="Y18" s="348">
        <f t="shared" si="16"/>
        <v>19</v>
      </c>
      <c r="Z18" s="5">
        <v>87367</v>
      </c>
      <c r="AA18" s="84">
        <f t="shared" si="17"/>
        <v>76</v>
      </c>
      <c r="AB18" s="5">
        <f t="shared" si="27"/>
        <v>260</v>
      </c>
      <c r="AC18" s="5">
        <f t="shared" si="27"/>
        <v>643</v>
      </c>
      <c r="AD18" s="84">
        <f t="shared" si="28"/>
        <v>0</v>
      </c>
      <c r="AE18" s="84">
        <f t="shared" si="36"/>
        <v>0</v>
      </c>
      <c r="AF18" s="84">
        <f t="shared" si="37"/>
        <v>0</v>
      </c>
      <c r="AG18" s="84">
        <v>111.8</v>
      </c>
      <c r="AH18" s="84">
        <f t="shared" si="31"/>
        <v>37.42</v>
      </c>
      <c r="AI18" s="84">
        <f t="shared" si="32"/>
        <v>37.42</v>
      </c>
      <c r="AJ18" s="350">
        <f t="shared" si="18"/>
        <v>76</v>
      </c>
      <c r="AK18" s="351">
        <f t="shared" si="5"/>
        <v>16</v>
      </c>
      <c r="AL18" s="351">
        <f t="shared" si="19"/>
        <v>74</v>
      </c>
      <c r="AM18" s="351">
        <f>'General information '!D18</f>
        <v>27</v>
      </c>
      <c r="AN18" s="85">
        <f>'General information '!H18</f>
        <v>0</v>
      </c>
      <c r="AO18" s="85"/>
      <c r="AP18" s="85">
        <f>'General information '!J18</f>
        <v>551</v>
      </c>
      <c r="AQ18" s="96"/>
      <c r="AR18" s="293">
        <f t="shared" si="20"/>
        <v>43751</v>
      </c>
      <c r="AS18" s="463">
        <f t="shared" si="6"/>
        <v>0.9</v>
      </c>
      <c r="AT18" s="207">
        <v>25</v>
      </c>
      <c r="AU18" s="464">
        <f t="shared" si="30"/>
        <v>1.1000000000000001</v>
      </c>
      <c r="AV18" s="207">
        <v>103</v>
      </c>
      <c r="AW18" s="5">
        <v>2.9</v>
      </c>
      <c r="AX18" s="207">
        <v>72</v>
      </c>
      <c r="AY18" s="467">
        <f t="shared" si="7"/>
        <v>22.5</v>
      </c>
      <c r="AZ18" s="467">
        <f t="shared" si="21"/>
        <v>113.30000000000001</v>
      </c>
      <c r="BA18" s="467">
        <f t="shared" si="22"/>
        <v>208.79999999999998</v>
      </c>
      <c r="BB18" s="21">
        <f t="shared" si="23"/>
        <v>22.5</v>
      </c>
      <c r="BC18" s="21">
        <f t="shared" si="24"/>
        <v>-7.7000000000000028</v>
      </c>
      <c r="BD18" s="21">
        <f t="shared" si="24"/>
        <v>-63.799999999999983</v>
      </c>
      <c r="BE18" s="24">
        <f t="shared" si="25"/>
        <v>-48.999999999999986</v>
      </c>
      <c r="BF18" s="97">
        <f t="shared" si="8"/>
        <v>182</v>
      </c>
      <c r="BG18" s="83">
        <f t="shared" si="9"/>
        <v>-49</v>
      </c>
    </row>
    <row r="19" spans="1:61" ht="15" thickBot="1">
      <c r="A19" s="6">
        <f>ELEC!C16</f>
        <v>43752</v>
      </c>
      <c r="B19" s="5">
        <v>105252</v>
      </c>
      <c r="C19" s="5">
        <f t="shared" si="10"/>
        <v>133</v>
      </c>
      <c r="D19" s="457">
        <f t="shared" si="11"/>
        <v>4.9259259259259256</v>
      </c>
      <c r="E19" s="357">
        <f>SUM((C19*$E$4)+(7500/'EDl log'!$A$38))</f>
        <v>462.71548387096777</v>
      </c>
      <c r="F19" s="456">
        <v>5</v>
      </c>
      <c r="G19" s="5">
        <v>578146</v>
      </c>
      <c r="H19" s="5">
        <f t="shared" si="12"/>
        <v>110</v>
      </c>
      <c r="I19" s="5">
        <f t="shared" si="0"/>
        <v>243</v>
      </c>
      <c r="J19" s="358">
        <f t="shared" si="1"/>
        <v>1.9041789459710607</v>
      </c>
      <c r="K19" s="5">
        <f>'Swimming Pool quality check '!H19</f>
        <v>5955</v>
      </c>
      <c r="L19" s="84">
        <f t="shared" si="29"/>
        <v>3</v>
      </c>
      <c r="M19" s="84">
        <f t="shared" si="13"/>
        <v>457.44</v>
      </c>
      <c r="N19" s="84">
        <f t="shared" si="33"/>
        <v>0</v>
      </c>
      <c r="O19" s="5">
        <f t="shared" si="14"/>
        <v>529.52</v>
      </c>
      <c r="P19" s="84">
        <f t="shared" si="34"/>
        <v>0</v>
      </c>
      <c r="Q19" s="84">
        <f t="shared" si="35"/>
        <v>0</v>
      </c>
      <c r="R19" s="84"/>
      <c r="S19" s="84"/>
      <c r="T19" s="5">
        <v>3926</v>
      </c>
      <c r="U19" s="5">
        <f t="shared" si="4"/>
        <v>10</v>
      </c>
      <c r="V19" s="5">
        <v>242</v>
      </c>
      <c r="W19" s="348">
        <f t="shared" si="15"/>
        <v>3</v>
      </c>
      <c r="X19" s="5">
        <v>134778</v>
      </c>
      <c r="Y19" s="348">
        <f t="shared" si="16"/>
        <v>97</v>
      </c>
      <c r="Z19" s="5">
        <v>87453</v>
      </c>
      <c r="AA19" s="84">
        <f t="shared" si="17"/>
        <v>86</v>
      </c>
      <c r="AB19" s="5">
        <f t="shared" si="27"/>
        <v>260</v>
      </c>
      <c r="AC19" s="5">
        <f t="shared" si="27"/>
        <v>643</v>
      </c>
      <c r="AD19" s="84">
        <f t="shared" si="28"/>
        <v>0</v>
      </c>
      <c r="AE19" s="84">
        <f t="shared" si="36"/>
        <v>0</v>
      </c>
      <c r="AF19" s="84">
        <f t="shared" si="37"/>
        <v>0</v>
      </c>
      <c r="AG19" s="84">
        <f t="shared" ref="AG19:AG36" si="38">AG18</f>
        <v>111.8</v>
      </c>
      <c r="AH19" s="84">
        <f t="shared" si="31"/>
        <v>0</v>
      </c>
      <c r="AI19" s="84">
        <f t="shared" si="32"/>
        <v>0</v>
      </c>
      <c r="AJ19" s="350">
        <f t="shared" si="18"/>
        <v>86</v>
      </c>
      <c r="AK19" s="351">
        <f t="shared" si="5"/>
        <v>94</v>
      </c>
      <c r="AL19" s="351">
        <f t="shared" si="19"/>
        <v>83</v>
      </c>
      <c r="AM19" s="351">
        <f>'General information '!D19</f>
        <v>27</v>
      </c>
      <c r="AN19" s="85">
        <f>'General information '!H19</f>
        <v>4</v>
      </c>
      <c r="AO19" s="85"/>
      <c r="AP19" s="85">
        <f>'General information '!J19</f>
        <v>510</v>
      </c>
      <c r="AQ19" s="82"/>
      <c r="AR19" s="293">
        <f t="shared" si="20"/>
        <v>43752</v>
      </c>
      <c r="AS19" s="463">
        <f t="shared" si="6"/>
        <v>0.9</v>
      </c>
      <c r="AT19" s="207">
        <v>23</v>
      </c>
      <c r="AU19" s="464">
        <f t="shared" si="30"/>
        <v>1.1000000000000001</v>
      </c>
      <c r="AV19" s="207">
        <v>110</v>
      </c>
      <c r="AW19" s="5">
        <v>2.9</v>
      </c>
      <c r="AX19" s="207">
        <v>77</v>
      </c>
      <c r="AY19" s="467">
        <f t="shared" si="7"/>
        <v>20.7</v>
      </c>
      <c r="AZ19" s="467">
        <f t="shared" si="21"/>
        <v>121.00000000000001</v>
      </c>
      <c r="BA19" s="467">
        <f t="shared" si="22"/>
        <v>223.29999999999998</v>
      </c>
      <c r="BB19" s="21">
        <f t="shared" si="23"/>
        <v>-1.8000000000000007</v>
      </c>
      <c r="BC19" s="21">
        <f t="shared" si="24"/>
        <v>7.7000000000000028</v>
      </c>
      <c r="BD19" s="21">
        <f t="shared" si="24"/>
        <v>14.5</v>
      </c>
      <c r="BE19" s="24">
        <f t="shared" si="25"/>
        <v>20.400000000000002</v>
      </c>
      <c r="BF19" s="97">
        <f t="shared" si="8"/>
        <v>222.6</v>
      </c>
      <c r="BG19" s="83">
        <f t="shared" si="9"/>
        <v>20.400000000000006</v>
      </c>
    </row>
    <row r="20" spans="1:61" ht="15" thickBot="1">
      <c r="A20" s="6">
        <f>ELEC!C17</f>
        <v>43753</v>
      </c>
      <c r="B20" s="5">
        <f t="shared" ref="B20:B36" si="39">B19</f>
        <v>105252</v>
      </c>
      <c r="C20" s="5">
        <f t="shared" si="10"/>
        <v>0</v>
      </c>
      <c r="D20" s="457">
        <f t="shared" si="11"/>
        <v>0</v>
      </c>
      <c r="E20" s="357">
        <f>SUM((C20*$E$4)+(7500/'EDl log'!$A$38))</f>
        <v>241.93548387096774</v>
      </c>
      <c r="F20" s="456"/>
      <c r="G20" s="5">
        <f t="shared" si="26"/>
        <v>578146</v>
      </c>
      <c r="H20" s="5">
        <f t="shared" si="12"/>
        <v>0</v>
      </c>
      <c r="I20" s="5">
        <f t="shared" si="0"/>
        <v>0</v>
      </c>
      <c r="J20" s="358">
        <f t="shared" si="1"/>
        <v>0</v>
      </c>
      <c r="K20" s="5">
        <f>'Swimming Pool quality check '!H20</f>
        <v>5955</v>
      </c>
      <c r="L20" s="84">
        <f t="shared" si="29"/>
        <v>0</v>
      </c>
      <c r="M20" s="84">
        <f t="shared" si="13"/>
        <v>457.44</v>
      </c>
      <c r="N20" s="84">
        <f t="shared" si="33"/>
        <v>0</v>
      </c>
      <c r="O20" s="5">
        <f t="shared" si="14"/>
        <v>529.52</v>
      </c>
      <c r="P20" s="84">
        <f t="shared" si="34"/>
        <v>0</v>
      </c>
      <c r="Q20" s="84">
        <f t="shared" si="35"/>
        <v>0</v>
      </c>
      <c r="R20" s="84"/>
      <c r="S20" s="84"/>
      <c r="T20" s="5">
        <f t="shared" si="27"/>
        <v>3926</v>
      </c>
      <c r="U20" s="5">
        <f t="shared" si="4"/>
        <v>0</v>
      </c>
      <c r="V20" s="5">
        <f t="shared" si="27"/>
        <v>242</v>
      </c>
      <c r="W20" s="348">
        <f t="shared" si="15"/>
        <v>0</v>
      </c>
      <c r="X20" s="5">
        <f t="shared" si="27"/>
        <v>134778</v>
      </c>
      <c r="Y20" s="348">
        <f t="shared" si="16"/>
        <v>0</v>
      </c>
      <c r="Z20" s="5">
        <f t="shared" si="27"/>
        <v>87453</v>
      </c>
      <c r="AA20" s="84">
        <f t="shared" si="17"/>
        <v>0</v>
      </c>
      <c r="AB20" s="5">
        <f t="shared" si="27"/>
        <v>260</v>
      </c>
      <c r="AC20" s="5">
        <f t="shared" si="27"/>
        <v>643</v>
      </c>
      <c r="AD20" s="84">
        <f t="shared" si="28"/>
        <v>0</v>
      </c>
      <c r="AE20" s="84">
        <f t="shared" si="36"/>
        <v>0</v>
      </c>
      <c r="AF20" s="84">
        <f t="shared" si="37"/>
        <v>0</v>
      </c>
      <c r="AG20" s="84">
        <f t="shared" si="38"/>
        <v>111.8</v>
      </c>
      <c r="AH20" s="84">
        <f t="shared" si="31"/>
        <v>0</v>
      </c>
      <c r="AI20" s="84">
        <f t="shared" si="32"/>
        <v>0</v>
      </c>
      <c r="AJ20" s="350">
        <f t="shared" si="18"/>
        <v>0</v>
      </c>
      <c r="AK20" s="351">
        <f t="shared" si="5"/>
        <v>0</v>
      </c>
      <c r="AL20" s="351">
        <f t="shared" si="19"/>
        <v>0</v>
      </c>
      <c r="AM20" s="351">
        <f>'General information '!D20</f>
        <v>0</v>
      </c>
      <c r="AN20" s="85">
        <f>'General information '!H20</f>
        <v>0</v>
      </c>
      <c r="AO20" s="85"/>
      <c r="AP20" s="85">
        <f>'General information '!J20</f>
        <v>0</v>
      </c>
      <c r="AQ20" s="82"/>
      <c r="AR20" s="293">
        <f t="shared" si="20"/>
        <v>43753</v>
      </c>
      <c r="AS20" s="463">
        <f t="shared" si="6"/>
        <v>0.9</v>
      </c>
      <c r="AT20" s="207">
        <f t="shared" ref="AT20:AX36" si="40">AT19</f>
        <v>23</v>
      </c>
      <c r="AU20" s="464">
        <f t="shared" si="30"/>
        <v>1.1000000000000001</v>
      </c>
      <c r="AV20" s="207">
        <f t="shared" si="40"/>
        <v>110</v>
      </c>
      <c r="AW20" s="5">
        <v>2.9</v>
      </c>
      <c r="AX20" s="207">
        <f t="shared" si="40"/>
        <v>77</v>
      </c>
      <c r="AY20" s="467">
        <f t="shared" si="7"/>
        <v>20.7</v>
      </c>
      <c r="AZ20" s="467">
        <f t="shared" si="21"/>
        <v>121.00000000000001</v>
      </c>
      <c r="BA20" s="467">
        <f t="shared" si="22"/>
        <v>223.29999999999998</v>
      </c>
      <c r="BB20" s="21">
        <f t="shared" si="23"/>
        <v>0</v>
      </c>
      <c r="BC20" s="21">
        <f t="shared" si="24"/>
        <v>0</v>
      </c>
      <c r="BD20" s="21">
        <f t="shared" si="24"/>
        <v>0</v>
      </c>
      <c r="BE20" s="24">
        <f t="shared" si="25"/>
        <v>0</v>
      </c>
      <c r="BF20" s="97">
        <f t="shared" si="8"/>
        <v>0</v>
      </c>
      <c r="BG20" s="83">
        <f t="shared" si="9"/>
        <v>0</v>
      </c>
    </row>
    <row r="21" spans="1:61" ht="15" thickBot="1">
      <c r="A21" s="6">
        <f>ELEC!C18</f>
        <v>43754</v>
      </c>
      <c r="B21" s="5">
        <f t="shared" si="39"/>
        <v>105252</v>
      </c>
      <c r="C21" s="5">
        <f t="shared" si="10"/>
        <v>0</v>
      </c>
      <c r="D21" s="457">
        <f t="shared" si="11"/>
        <v>0</v>
      </c>
      <c r="E21" s="357">
        <f>SUM((C21*$E$4)+(7500/'EDl log'!$A$38))</f>
        <v>241.93548387096774</v>
      </c>
      <c r="F21" s="351"/>
      <c r="G21" s="5">
        <f t="shared" si="26"/>
        <v>578146</v>
      </c>
      <c r="H21" s="5">
        <f t="shared" si="12"/>
        <v>0</v>
      </c>
      <c r="I21" s="5">
        <f t="shared" si="0"/>
        <v>0</v>
      </c>
      <c r="J21" s="358">
        <f t="shared" si="1"/>
        <v>0</v>
      </c>
      <c r="K21" s="5">
        <f>'Swimming Pool quality check '!H21</f>
        <v>5955</v>
      </c>
      <c r="L21" s="84">
        <f t="shared" si="29"/>
        <v>0</v>
      </c>
      <c r="M21" s="84">
        <f t="shared" si="13"/>
        <v>457.44</v>
      </c>
      <c r="N21" s="84">
        <f t="shared" si="33"/>
        <v>0</v>
      </c>
      <c r="O21" s="5">
        <f t="shared" si="14"/>
        <v>529.52</v>
      </c>
      <c r="P21" s="84">
        <f t="shared" si="34"/>
        <v>0</v>
      </c>
      <c r="Q21" s="84">
        <f t="shared" si="35"/>
        <v>0</v>
      </c>
      <c r="R21" s="84"/>
      <c r="S21" s="84"/>
      <c r="T21" s="5">
        <f t="shared" si="27"/>
        <v>3926</v>
      </c>
      <c r="U21" s="5">
        <f t="shared" si="4"/>
        <v>0</v>
      </c>
      <c r="V21" s="5">
        <f t="shared" si="27"/>
        <v>242</v>
      </c>
      <c r="W21" s="348">
        <f t="shared" si="15"/>
        <v>0</v>
      </c>
      <c r="X21" s="5">
        <f t="shared" si="27"/>
        <v>134778</v>
      </c>
      <c r="Y21" s="348">
        <f>SUM(X21-X20)</f>
        <v>0</v>
      </c>
      <c r="Z21" s="5">
        <f t="shared" si="27"/>
        <v>87453</v>
      </c>
      <c r="AA21" s="84">
        <f t="shared" si="17"/>
        <v>0</v>
      </c>
      <c r="AB21" s="5">
        <f t="shared" si="27"/>
        <v>260</v>
      </c>
      <c r="AC21" s="5">
        <f t="shared" si="27"/>
        <v>643</v>
      </c>
      <c r="AD21" s="84">
        <f t="shared" si="28"/>
        <v>0</v>
      </c>
      <c r="AE21" s="84">
        <f t="shared" si="36"/>
        <v>0</v>
      </c>
      <c r="AF21" s="84">
        <f t="shared" si="37"/>
        <v>0</v>
      </c>
      <c r="AG21" s="84">
        <f t="shared" si="38"/>
        <v>111.8</v>
      </c>
      <c r="AH21" s="84">
        <f t="shared" si="31"/>
        <v>0</v>
      </c>
      <c r="AI21" s="84">
        <f t="shared" si="32"/>
        <v>0</v>
      </c>
      <c r="AJ21" s="350">
        <f t="shared" si="18"/>
        <v>0</v>
      </c>
      <c r="AK21" s="351">
        <f t="shared" si="5"/>
        <v>0</v>
      </c>
      <c r="AL21" s="351">
        <f t="shared" si="19"/>
        <v>0</v>
      </c>
      <c r="AM21" s="351">
        <f>'General information '!D21</f>
        <v>0</v>
      </c>
      <c r="AN21" s="85">
        <f>'General information '!H21</f>
        <v>0</v>
      </c>
      <c r="AO21" s="85"/>
      <c r="AP21" s="85">
        <f>'General information '!J21</f>
        <v>0</v>
      </c>
      <c r="AQ21" s="82"/>
      <c r="AR21" s="293">
        <f t="shared" si="20"/>
        <v>43754</v>
      </c>
      <c r="AS21" s="463">
        <f t="shared" si="6"/>
        <v>0.9</v>
      </c>
      <c r="AT21" s="207">
        <f t="shared" si="40"/>
        <v>23</v>
      </c>
      <c r="AU21" s="464">
        <f t="shared" si="30"/>
        <v>1.1000000000000001</v>
      </c>
      <c r="AV21" s="207">
        <f t="shared" si="40"/>
        <v>110</v>
      </c>
      <c r="AW21" s="5">
        <v>2.9</v>
      </c>
      <c r="AX21" s="207">
        <f t="shared" si="40"/>
        <v>77</v>
      </c>
      <c r="AY21" s="467">
        <f t="shared" si="7"/>
        <v>20.7</v>
      </c>
      <c r="AZ21" s="467">
        <f t="shared" si="21"/>
        <v>121.00000000000001</v>
      </c>
      <c r="BA21" s="467">
        <f t="shared" si="22"/>
        <v>223.29999999999998</v>
      </c>
      <c r="BB21" s="21">
        <f t="shared" si="23"/>
        <v>0</v>
      </c>
      <c r="BC21" s="21">
        <f t="shared" si="24"/>
        <v>0</v>
      </c>
      <c r="BD21" s="21">
        <f t="shared" si="24"/>
        <v>0</v>
      </c>
      <c r="BE21" s="24">
        <f t="shared" si="25"/>
        <v>0</v>
      </c>
      <c r="BF21" s="97">
        <f t="shared" si="8"/>
        <v>0</v>
      </c>
      <c r="BG21" s="83">
        <f t="shared" si="9"/>
        <v>0</v>
      </c>
    </row>
    <row r="22" spans="1:61" ht="15" thickBot="1">
      <c r="A22" s="6">
        <f>ELEC!C19</f>
        <v>43755</v>
      </c>
      <c r="B22" s="5">
        <f t="shared" si="39"/>
        <v>105252</v>
      </c>
      <c r="C22" s="5">
        <f t="shared" si="10"/>
        <v>0</v>
      </c>
      <c r="D22" s="457">
        <f t="shared" si="11"/>
        <v>0</v>
      </c>
      <c r="E22" s="357">
        <f>SUM((C22*$E$4)+(7500/'EDl log'!$A$38))</f>
        <v>241.93548387096774</v>
      </c>
      <c r="F22" s="351"/>
      <c r="G22" s="5">
        <f t="shared" si="26"/>
        <v>578146</v>
      </c>
      <c r="H22" s="5">
        <f t="shared" si="12"/>
        <v>0</v>
      </c>
      <c r="I22" s="5">
        <f t="shared" si="0"/>
        <v>0</v>
      </c>
      <c r="J22" s="358">
        <f t="shared" si="1"/>
        <v>0</v>
      </c>
      <c r="K22" s="5">
        <f>'Swimming Pool quality check '!H22</f>
        <v>5955</v>
      </c>
      <c r="L22" s="84">
        <f t="shared" si="29"/>
        <v>0</v>
      </c>
      <c r="M22" s="84">
        <f t="shared" si="13"/>
        <v>457.44</v>
      </c>
      <c r="N22" s="84">
        <f t="shared" si="33"/>
        <v>0</v>
      </c>
      <c r="O22" s="5">
        <f t="shared" si="14"/>
        <v>529.52</v>
      </c>
      <c r="P22" s="84">
        <f t="shared" si="34"/>
        <v>0</v>
      </c>
      <c r="Q22" s="84">
        <f t="shared" si="35"/>
        <v>0</v>
      </c>
      <c r="R22" s="84"/>
      <c r="S22" s="84"/>
      <c r="T22" s="5">
        <f t="shared" si="27"/>
        <v>3926</v>
      </c>
      <c r="U22" s="5">
        <f t="shared" si="4"/>
        <v>0</v>
      </c>
      <c r="V22" s="5">
        <f t="shared" si="27"/>
        <v>242</v>
      </c>
      <c r="W22" s="348">
        <f t="shared" si="15"/>
        <v>0</v>
      </c>
      <c r="X22" s="5">
        <f t="shared" si="27"/>
        <v>134778</v>
      </c>
      <c r="Y22" s="348">
        <f t="shared" si="16"/>
        <v>0</v>
      </c>
      <c r="Z22" s="5">
        <f t="shared" si="27"/>
        <v>87453</v>
      </c>
      <c r="AA22" s="84">
        <f t="shared" si="17"/>
        <v>0</v>
      </c>
      <c r="AB22" s="5">
        <f t="shared" si="27"/>
        <v>260</v>
      </c>
      <c r="AC22" s="5">
        <f t="shared" si="27"/>
        <v>643</v>
      </c>
      <c r="AD22" s="84">
        <f t="shared" si="28"/>
        <v>0</v>
      </c>
      <c r="AE22" s="84">
        <f t="shared" si="36"/>
        <v>0</v>
      </c>
      <c r="AF22" s="84">
        <f t="shared" si="37"/>
        <v>0</v>
      </c>
      <c r="AG22" s="84">
        <f t="shared" si="38"/>
        <v>111.8</v>
      </c>
      <c r="AH22" s="84">
        <f t="shared" si="31"/>
        <v>0</v>
      </c>
      <c r="AI22" s="84">
        <f t="shared" si="32"/>
        <v>0</v>
      </c>
      <c r="AJ22" s="350">
        <f t="shared" si="18"/>
        <v>0</v>
      </c>
      <c r="AK22" s="351">
        <f t="shared" si="5"/>
        <v>0</v>
      </c>
      <c r="AL22" s="351">
        <f t="shared" si="19"/>
        <v>0</v>
      </c>
      <c r="AM22" s="351">
        <f>'General information '!D22</f>
        <v>0</v>
      </c>
      <c r="AN22" s="85">
        <f>'General information '!H22</f>
        <v>0</v>
      </c>
      <c r="AO22" s="85"/>
      <c r="AP22" s="85">
        <f>'General information '!J22</f>
        <v>0</v>
      </c>
      <c r="AR22" s="293">
        <f t="shared" si="20"/>
        <v>43755</v>
      </c>
      <c r="AS22" s="463">
        <f t="shared" ref="AS22:AS36" si="41">AS21</f>
        <v>0.9</v>
      </c>
      <c r="AT22" s="207">
        <f t="shared" si="40"/>
        <v>23</v>
      </c>
      <c r="AU22" s="464">
        <f t="shared" si="30"/>
        <v>1.1000000000000001</v>
      </c>
      <c r="AV22" s="207">
        <f t="shared" si="40"/>
        <v>110</v>
      </c>
      <c r="AW22" s="5">
        <v>2.9</v>
      </c>
      <c r="AX22" s="207">
        <f t="shared" si="40"/>
        <v>77</v>
      </c>
      <c r="AY22" s="467">
        <f t="shared" si="7"/>
        <v>20.7</v>
      </c>
      <c r="AZ22" s="467">
        <f t="shared" si="21"/>
        <v>121.00000000000001</v>
      </c>
      <c r="BA22" s="467">
        <f t="shared" si="22"/>
        <v>223.29999999999998</v>
      </c>
      <c r="BB22" s="21">
        <f t="shared" si="23"/>
        <v>0</v>
      </c>
      <c r="BC22" s="21">
        <f t="shared" si="23"/>
        <v>0</v>
      </c>
      <c r="BD22" s="21">
        <f t="shared" si="23"/>
        <v>0</v>
      </c>
      <c r="BE22" s="24">
        <f t="shared" si="25"/>
        <v>0</v>
      </c>
      <c r="BF22" s="97">
        <f t="shared" si="8"/>
        <v>0</v>
      </c>
      <c r="BG22" s="83">
        <f t="shared" si="9"/>
        <v>0</v>
      </c>
    </row>
    <row r="23" spans="1:61" ht="15" thickBot="1">
      <c r="A23" s="6">
        <f>ELEC!C20</f>
        <v>43756</v>
      </c>
      <c r="B23" s="5">
        <f t="shared" si="39"/>
        <v>105252</v>
      </c>
      <c r="C23" s="5">
        <f t="shared" si="10"/>
        <v>0</v>
      </c>
      <c r="D23" s="457">
        <f t="shared" si="11"/>
        <v>0</v>
      </c>
      <c r="E23" s="357">
        <f>SUM((C23*$E$4)+(7500/'EDl log'!$A$38))</f>
        <v>241.93548387096774</v>
      </c>
      <c r="F23" s="351"/>
      <c r="G23" s="5">
        <f t="shared" si="26"/>
        <v>578146</v>
      </c>
      <c r="H23" s="5">
        <f t="shared" si="12"/>
        <v>0</v>
      </c>
      <c r="I23" s="5">
        <f t="shared" si="0"/>
        <v>0</v>
      </c>
      <c r="J23" s="358">
        <f t="shared" si="1"/>
        <v>0</v>
      </c>
      <c r="K23" s="5">
        <f>'Swimming Pool quality check '!H23</f>
        <v>5955</v>
      </c>
      <c r="L23" s="287">
        <f t="shared" si="29"/>
        <v>0</v>
      </c>
      <c r="M23" s="84">
        <f t="shared" si="13"/>
        <v>457.44</v>
      </c>
      <c r="N23" s="84">
        <f t="shared" si="33"/>
        <v>0</v>
      </c>
      <c r="O23" s="5">
        <f t="shared" si="14"/>
        <v>529.52</v>
      </c>
      <c r="P23" s="84">
        <f t="shared" si="34"/>
        <v>0</v>
      </c>
      <c r="Q23" s="84">
        <f t="shared" si="35"/>
        <v>0</v>
      </c>
      <c r="R23" s="287"/>
      <c r="S23" s="287"/>
      <c r="T23" s="5">
        <f t="shared" si="27"/>
        <v>3926</v>
      </c>
      <c r="U23" s="5">
        <f t="shared" si="4"/>
        <v>0</v>
      </c>
      <c r="V23" s="5">
        <f t="shared" si="27"/>
        <v>242</v>
      </c>
      <c r="W23" s="348">
        <f t="shared" si="15"/>
        <v>0</v>
      </c>
      <c r="X23" s="5">
        <f t="shared" si="27"/>
        <v>134778</v>
      </c>
      <c r="Y23" s="348">
        <f t="shared" si="16"/>
        <v>0</v>
      </c>
      <c r="Z23" s="5">
        <f t="shared" si="27"/>
        <v>87453</v>
      </c>
      <c r="AA23" s="84">
        <f t="shared" si="17"/>
        <v>0</v>
      </c>
      <c r="AB23" s="5">
        <f t="shared" si="27"/>
        <v>260</v>
      </c>
      <c r="AC23" s="5">
        <f t="shared" si="27"/>
        <v>643</v>
      </c>
      <c r="AD23" s="84">
        <f t="shared" si="28"/>
        <v>0</v>
      </c>
      <c r="AE23" s="84">
        <f t="shared" si="36"/>
        <v>0</v>
      </c>
      <c r="AF23" s="84">
        <f t="shared" si="37"/>
        <v>0</v>
      </c>
      <c r="AG23" s="84">
        <f t="shared" si="38"/>
        <v>111.8</v>
      </c>
      <c r="AH23" s="84">
        <f t="shared" si="31"/>
        <v>0</v>
      </c>
      <c r="AI23" s="84">
        <f t="shared" si="32"/>
        <v>0</v>
      </c>
      <c r="AJ23" s="350">
        <f t="shared" si="18"/>
        <v>0</v>
      </c>
      <c r="AK23" s="351">
        <f t="shared" si="5"/>
        <v>0</v>
      </c>
      <c r="AL23" s="351">
        <f t="shared" si="19"/>
        <v>0</v>
      </c>
      <c r="AM23" s="351">
        <f>'General information '!D23</f>
        <v>0</v>
      </c>
      <c r="AN23" s="85">
        <f>'General information '!H23</f>
        <v>0</v>
      </c>
      <c r="AO23" s="85"/>
      <c r="AP23" s="85">
        <f>'General information '!J23</f>
        <v>0</v>
      </c>
      <c r="AR23" s="293">
        <f t="shared" si="20"/>
        <v>43756</v>
      </c>
      <c r="AS23" s="463">
        <f t="shared" si="41"/>
        <v>0.9</v>
      </c>
      <c r="AT23" s="207">
        <f t="shared" si="40"/>
        <v>23</v>
      </c>
      <c r="AU23" s="464">
        <f t="shared" si="30"/>
        <v>1.1000000000000001</v>
      </c>
      <c r="AV23" s="207">
        <f t="shared" si="40"/>
        <v>110</v>
      </c>
      <c r="AW23" s="5">
        <v>2.9</v>
      </c>
      <c r="AX23" s="207">
        <f t="shared" si="40"/>
        <v>77</v>
      </c>
      <c r="AY23" s="467">
        <f t="shared" si="7"/>
        <v>20.7</v>
      </c>
      <c r="AZ23" s="467">
        <f t="shared" si="21"/>
        <v>121.00000000000001</v>
      </c>
      <c r="BA23" s="467">
        <f t="shared" si="22"/>
        <v>223.29999999999998</v>
      </c>
      <c r="BB23" s="21">
        <f t="shared" si="23"/>
        <v>0</v>
      </c>
      <c r="BC23" s="21">
        <f t="shared" si="23"/>
        <v>0</v>
      </c>
      <c r="BD23" s="21">
        <f t="shared" si="23"/>
        <v>0</v>
      </c>
      <c r="BE23" s="24">
        <f t="shared" si="25"/>
        <v>0</v>
      </c>
      <c r="BF23" s="97">
        <f t="shared" si="8"/>
        <v>0</v>
      </c>
      <c r="BG23" s="83">
        <f t="shared" si="9"/>
        <v>0</v>
      </c>
    </row>
    <row r="24" spans="1:61" ht="15" thickBot="1">
      <c r="A24" s="6">
        <f>ELEC!C21</f>
        <v>43757</v>
      </c>
      <c r="B24" s="5">
        <f t="shared" si="39"/>
        <v>105252</v>
      </c>
      <c r="C24" s="5">
        <f t="shared" si="10"/>
        <v>0</v>
      </c>
      <c r="D24" s="457">
        <f t="shared" si="11"/>
        <v>0</v>
      </c>
      <c r="E24" s="357">
        <f>SUM((C24*$E$4)+(7500/'EDl log'!$A$38))</f>
        <v>241.93548387096774</v>
      </c>
      <c r="F24" s="351"/>
      <c r="G24" s="5">
        <f t="shared" si="26"/>
        <v>578146</v>
      </c>
      <c r="H24" s="5">
        <f t="shared" si="12"/>
        <v>0</v>
      </c>
      <c r="I24" s="5">
        <f t="shared" si="0"/>
        <v>0</v>
      </c>
      <c r="J24" s="358">
        <f t="shared" si="1"/>
        <v>0</v>
      </c>
      <c r="K24" s="5">
        <f>'Swimming Pool quality check '!H24</f>
        <v>5955</v>
      </c>
      <c r="L24" s="287">
        <f t="shared" si="29"/>
        <v>0</v>
      </c>
      <c r="M24" s="84">
        <f t="shared" si="13"/>
        <v>457.44</v>
      </c>
      <c r="N24" s="84">
        <f t="shared" si="33"/>
        <v>0</v>
      </c>
      <c r="O24" s="5">
        <f t="shared" si="14"/>
        <v>529.52</v>
      </c>
      <c r="P24" s="84">
        <f t="shared" si="34"/>
        <v>0</v>
      </c>
      <c r="Q24" s="84">
        <f t="shared" si="35"/>
        <v>0</v>
      </c>
      <c r="R24" s="287"/>
      <c r="S24" s="287"/>
      <c r="T24" s="5">
        <f t="shared" si="27"/>
        <v>3926</v>
      </c>
      <c r="U24" s="5">
        <f t="shared" si="4"/>
        <v>0</v>
      </c>
      <c r="V24" s="5">
        <f t="shared" si="27"/>
        <v>242</v>
      </c>
      <c r="W24" s="348">
        <f t="shared" si="15"/>
        <v>0</v>
      </c>
      <c r="X24" s="5">
        <f t="shared" si="27"/>
        <v>134778</v>
      </c>
      <c r="Y24" s="348">
        <f t="shared" si="16"/>
        <v>0</v>
      </c>
      <c r="Z24" s="5">
        <f t="shared" si="27"/>
        <v>87453</v>
      </c>
      <c r="AA24" s="84">
        <f t="shared" si="17"/>
        <v>0</v>
      </c>
      <c r="AB24" s="5">
        <f t="shared" si="27"/>
        <v>260</v>
      </c>
      <c r="AC24" s="5">
        <f t="shared" si="27"/>
        <v>643</v>
      </c>
      <c r="AD24" s="84">
        <f t="shared" si="28"/>
        <v>0</v>
      </c>
      <c r="AE24" s="84">
        <f t="shared" si="36"/>
        <v>0</v>
      </c>
      <c r="AF24" s="84">
        <f t="shared" si="37"/>
        <v>0</v>
      </c>
      <c r="AG24" s="84">
        <f t="shared" si="38"/>
        <v>111.8</v>
      </c>
      <c r="AH24" s="84">
        <f t="shared" si="31"/>
        <v>0</v>
      </c>
      <c r="AI24" s="84">
        <f t="shared" si="32"/>
        <v>0</v>
      </c>
      <c r="AJ24" s="350">
        <f t="shared" si="18"/>
        <v>0</v>
      </c>
      <c r="AK24" s="351">
        <f t="shared" si="5"/>
        <v>0</v>
      </c>
      <c r="AL24" s="351">
        <f t="shared" si="19"/>
        <v>0</v>
      </c>
      <c r="AM24" s="351">
        <f>'General information '!D24</f>
        <v>0</v>
      </c>
      <c r="AN24" s="85">
        <f>'General information '!H24</f>
        <v>0</v>
      </c>
      <c r="AO24" s="85"/>
      <c r="AP24" s="85">
        <f>'General information '!J24</f>
        <v>0</v>
      </c>
      <c r="AR24" s="293">
        <f t="shared" si="20"/>
        <v>43757</v>
      </c>
      <c r="AS24" s="463">
        <f t="shared" si="41"/>
        <v>0.9</v>
      </c>
      <c r="AT24" s="207">
        <f t="shared" si="40"/>
        <v>23</v>
      </c>
      <c r="AU24" s="464">
        <f t="shared" si="30"/>
        <v>1.1000000000000001</v>
      </c>
      <c r="AV24" s="207">
        <f t="shared" si="40"/>
        <v>110</v>
      </c>
      <c r="AW24" s="5">
        <v>2.9</v>
      </c>
      <c r="AX24" s="207">
        <f t="shared" si="40"/>
        <v>77</v>
      </c>
      <c r="AY24" s="467">
        <f t="shared" si="7"/>
        <v>20.7</v>
      </c>
      <c r="AZ24" s="467">
        <f t="shared" si="21"/>
        <v>121.00000000000001</v>
      </c>
      <c r="BA24" s="467">
        <f t="shared" si="22"/>
        <v>223.29999999999998</v>
      </c>
      <c r="BB24" s="21">
        <f t="shared" si="23"/>
        <v>0</v>
      </c>
      <c r="BC24" s="21">
        <f t="shared" si="23"/>
        <v>0</v>
      </c>
      <c r="BD24" s="21">
        <f t="shared" si="23"/>
        <v>0</v>
      </c>
      <c r="BE24" s="24">
        <f t="shared" si="25"/>
        <v>0</v>
      </c>
      <c r="BF24" s="97">
        <f t="shared" si="8"/>
        <v>0</v>
      </c>
      <c r="BG24" s="83">
        <f t="shared" si="9"/>
        <v>0</v>
      </c>
      <c r="BI24" s="83"/>
    </row>
    <row r="25" spans="1:61" ht="15" thickBot="1">
      <c r="A25" s="6">
        <f>ELEC!C22</f>
        <v>43758</v>
      </c>
      <c r="B25" s="5">
        <f t="shared" si="39"/>
        <v>105252</v>
      </c>
      <c r="C25" s="5">
        <f t="shared" si="10"/>
        <v>0</v>
      </c>
      <c r="D25" s="457">
        <f t="shared" si="11"/>
        <v>0</v>
      </c>
      <c r="E25" s="357">
        <f>SUM((C25*$E$4)+(7500/'EDl log'!$A$38))</f>
        <v>241.93548387096774</v>
      </c>
      <c r="F25" s="351"/>
      <c r="G25" s="5">
        <f t="shared" si="26"/>
        <v>578146</v>
      </c>
      <c r="H25" s="5">
        <f t="shared" si="12"/>
        <v>0</v>
      </c>
      <c r="I25" s="5">
        <f t="shared" si="0"/>
        <v>0</v>
      </c>
      <c r="J25" s="358">
        <f t="shared" si="1"/>
        <v>0</v>
      </c>
      <c r="K25" s="5">
        <f>'Swimming Pool quality check '!H25</f>
        <v>5955</v>
      </c>
      <c r="L25" s="287">
        <f t="shared" si="29"/>
        <v>0</v>
      </c>
      <c r="M25" s="84">
        <f t="shared" si="13"/>
        <v>457.44</v>
      </c>
      <c r="N25" s="84">
        <f t="shared" si="33"/>
        <v>0</v>
      </c>
      <c r="O25" s="5">
        <f t="shared" si="14"/>
        <v>529.52</v>
      </c>
      <c r="P25" s="84">
        <f t="shared" si="34"/>
        <v>0</v>
      </c>
      <c r="Q25" s="84">
        <f t="shared" si="35"/>
        <v>0</v>
      </c>
      <c r="R25" s="287"/>
      <c r="S25" s="287"/>
      <c r="T25" s="5">
        <f t="shared" si="27"/>
        <v>3926</v>
      </c>
      <c r="U25" s="5">
        <f t="shared" si="4"/>
        <v>0</v>
      </c>
      <c r="V25" s="5">
        <f t="shared" si="27"/>
        <v>242</v>
      </c>
      <c r="W25" s="348">
        <f t="shared" si="15"/>
        <v>0</v>
      </c>
      <c r="X25" s="5">
        <f t="shared" si="27"/>
        <v>134778</v>
      </c>
      <c r="Y25" s="348">
        <f t="shared" si="16"/>
        <v>0</v>
      </c>
      <c r="Z25" s="5">
        <f t="shared" si="27"/>
        <v>87453</v>
      </c>
      <c r="AA25" s="84">
        <f t="shared" si="17"/>
        <v>0</v>
      </c>
      <c r="AB25" s="5">
        <f t="shared" si="27"/>
        <v>260</v>
      </c>
      <c r="AC25" s="5">
        <f t="shared" si="27"/>
        <v>643</v>
      </c>
      <c r="AD25" s="84">
        <f t="shared" si="28"/>
        <v>0</v>
      </c>
      <c r="AE25" s="84">
        <f t="shared" si="36"/>
        <v>0</v>
      </c>
      <c r="AF25" s="84">
        <f t="shared" si="37"/>
        <v>0</v>
      </c>
      <c r="AG25" s="84">
        <f t="shared" si="38"/>
        <v>111.8</v>
      </c>
      <c r="AH25" s="84">
        <f t="shared" si="31"/>
        <v>0</v>
      </c>
      <c r="AI25" s="84">
        <f t="shared" si="32"/>
        <v>0</v>
      </c>
      <c r="AJ25" s="350">
        <f t="shared" si="18"/>
        <v>0</v>
      </c>
      <c r="AK25" s="351">
        <f t="shared" si="5"/>
        <v>0</v>
      </c>
      <c r="AL25" s="351">
        <f t="shared" si="19"/>
        <v>0</v>
      </c>
      <c r="AM25" s="351">
        <f>'General information '!D25</f>
        <v>0</v>
      </c>
      <c r="AN25" s="85">
        <f>'General information '!H25</f>
        <v>0</v>
      </c>
      <c r="AO25" s="85"/>
      <c r="AP25" s="85">
        <f>'General information '!J25</f>
        <v>0</v>
      </c>
      <c r="AR25" s="293">
        <f t="shared" si="20"/>
        <v>43758</v>
      </c>
      <c r="AS25" s="463">
        <f t="shared" si="41"/>
        <v>0.9</v>
      </c>
      <c r="AT25" s="207">
        <f t="shared" si="40"/>
        <v>23</v>
      </c>
      <c r="AU25" s="464">
        <f t="shared" si="30"/>
        <v>1.1000000000000001</v>
      </c>
      <c r="AV25" s="207">
        <f t="shared" si="40"/>
        <v>110</v>
      </c>
      <c r="AW25" s="5">
        <v>2.9</v>
      </c>
      <c r="AX25" s="207">
        <f t="shared" si="40"/>
        <v>77</v>
      </c>
      <c r="AY25" s="467">
        <f t="shared" si="7"/>
        <v>20.7</v>
      </c>
      <c r="AZ25" s="467">
        <f t="shared" si="21"/>
        <v>121.00000000000001</v>
      </c>
      <c r="BA25" s="467">
        <f t="shared" si="22"/>
        <v>223.29999999999998</v>
      </c>
      <c r="BB25" s="21">
        <f t="shared" si="23"/>
        <v>0</v>
      </c>
      <c r="BC25" s="21">
        <f t="shared" si="23"/>
        <v>0</v>
      </c>
      <c r="BD25" s="21">
        <f t="shared" si="23"/>
        <v>0</v>
      </c>
      <c r="BE25" s="24">
        <f t="shared" si="25"/>
        <v>0</v>
      </c>
      <c r="BF25" s="97">
        <f t="shared" si="8"/>
        <v>0</v>
      </c>
      <c r="BG25" s="83">
        <f t="shared" si="9"/>
        <v>0</v>
      </c>
    </row>
    <row r="26" spans="1:61" ht="15" thickBot="1">
      <c r="A26" s="6">
        <f>ELEC!C23</f>
        <v>43759</v>
      </c>
      <c r="B26" s="5">
        <f t="shared" si="39"/>
        <v>105252</v>
      </c>
      <c r="C26" s="5">
        <f t="shared" si="10"/>
        <v>0</v>
      </c>
      <c r="D26" s="457">
        <f t="shared" si="11"/>
        <v>0</v>
      </c>
      <c r="E26" s="357">
        <f>SUM((C26*$E$4)+(7500/'EDl log'!$A$38))</f>
        <v>241.93548387096774</v>
      </c>
      <c r="F26" s="351"/>
      <c r="G26" s="5">
        <f t="shared" si="26"/>
        <v>578146</v>
      </c>
      <c r="H26" s="5">
        <f>G26-G25</f>
        <v>0</v>
      </c>
      <c r="I26" s="5">
        <f t="shared" si="0"/>
        <v>0</v>
      </c>
      <c r="J26" s="358">
        <f t="shared" si="1"/>
        <v>0</v>
      </c>
      <c r="K26" s="5">
        <f>'Swimming Pool quality check '!H26</f>
        <v>5955</v>
      </c>
      <c r="L26" s="287">
        <f t="shared" si="29"/>
        <v>0</v>
      </c>
      <c r="M26" s="84">
        <f t="shared" si="13"/>
        <v>457.44</v>
      </c>
      <c r="N26" s="84">
        <f t="shared" si="33"/>
        <v>0</v>
      </c>
      <c r="O26" s="5">
        <f t="shared" si="14"/>
        <v>529.52</v>
      </c>
      <c r="P26" s="84">
        <f t="shared" si="34"/>
        <v>0</v>
      </c>
      <c r="Q26" s="84">
        <f t="shared" si="35"/>
        <v>0</v>
      </c>
      <c r="R26" s="287"/>
      <c r="S26" s="287"/>
      <c r="T26" s="5">
        <f t="shared" si="27"/>
        <v>3926</v>
      </c>
      <c r="U26" s="5">
        <f t="shared" si="4"/>
        <v>0</v>
      </c>
      <c r="V26" s="5">
        <f t="shared" si="27"/>
        <v>242</v>
      </c>
      <c r="W26" s="348">
        <f t="shared" si="15"/>
        <v>0</v>
      </c>
      <c r="X26" s="5">
        <f t="shared" si="27"/>
        <v>134778</v>
      </c>
      <c r="Y26" s="348">
        <f t="shared" si="16"/>
        <v>0</v>
      </c>
      <c r="Z26" s="5">
        <f t="shared" si="27"/>
        <v>87453</v>
      </c>
      <c r="AA26" s="84">
        <f t="shared" si="17"/>
        <v>0</v>
      </c>
      <c r="AB26" s="5">
        <f t="shared" si="27"/>
        <v>260</v>
      </c>
      <c r="AC26" s="5">
        <f t="shared" si="27"/>
        <v>643</v>
      </c>
      <c r="AD26" s="84">
        <f t="shared" si="28"/>
        <v>0</v>
      </c>
      <c r="AE26" s="84">
        <f t="shared" si="36"/>
        <v>0</v>
      </c>
      <c r="AF26" s="84">
        <f t="shared" si="37"/>
        <v>0</v>
      </c>
      <c r="AG26" s="84">
        <f t="shared" si="38"/>
        <v>111.8</v>
      </c>
      <c r="AH26" s="84">
        <f t="shared" si="31"/>
        <v>0</v>
      </c>
      <c r="AI26" s="84">
        <f t="shared" si="32"/>
        <v>0</v>
      </c>
      <c r="AJ26" s="350">
        <f t="shared" si="18"/>
        <v>0</v>
      </c>
      <c r="AK26" s="351">
        <f t="shared" si="5"/>
        <v>0</v>
      </c>
      <c r="AL26" s="351">
        <f t="shared" si="19"/>
        <v>0</v>
      </c>
      <c r="AM26" s="351">
        <f>'General information '!D26</f>
        <v>0</v>
      </c>
      <c r="AN26" s="85">
        <f>'General information '!H26</f>
        <v>0</v>
      </c>
      <c r="AO26" s="85"/>
      <c r="AP26" s="85">
        <f>'General information '!J26</f>
        <v>0</v>
      </c>
      <c r="AR26" s="293">
        <f t="shared" si="20"/>
        <v>43759</v>
      </c>
      <c r="AS26" s="463">
        <f t="shared" si="41"/>
        <v>0.9</v>
      </c>
      <c r="AT26" s="207">
        <f t="shared" si="40"/>
        <v>23</v>
      </c>
      <c r="AU26" s="464">
        <f t="shared" si="30"/>
        <v>1.1000000000000001</v>
      </c>
      <c r="AV26" s="207">
        <f t="shared" si="40"/>
        <v>110</v>
      </c>
      <c r="AW26" s="5">
        <v>2.9</v>
      </c>
      <c r="AX26" s="207">
        <f t="shared" si="40"/>
        <v>77</v>
      </c>
      <c r="AY26" s="467">
        <f t="shared" si="7"/>
        <v>20.7</v>
      </c>
      <c r="AZ26" s="467">
        <f t="shared" si="21"/>
        <v>121.00000000000001</v>
      </c>
      <c r="BA26" s="467">
        <f t="shared" si="22"/>
        <v>223.29999999999998</v>
      </c>
      <c r="BB26" s="21">
        <f t="shared" si="23"/>
        <v>0</v>
      </c>
      <c r="BC26" s="21">
        <f t="shared" si="23"/>
        <v>0</v>
      </c>
      <c r="BD26" s="21">
        <f t="shared" si="23"/>
        <v>0</v>
      </c>
      <c r="BE26" s="24">
        <f t="shared" si="25"/>
        <v>0</v>
      </c>
      <c r="BF26" s="368">
        <f t="shared" si="8"/>
        <v>0</v>
      </c>
      <c r="BG26" s="83">
        <f t="shared" si="9"/>
        <v>0</v>
      </c>
    </row>
    <row r="27" spans="1:61" ht="15" thickBot="1">
      <c r="A27" s="6">
        <f>ELEC!C24</f>
        <v>43760</v>
      </c>
      <c r="B27" s="5">
        <f t="shared" si="39"/>
        <v>105252</v>
      </c>
      <c r="C27" s="5">
        <f t="shared" si="10"/>
        <v>0</v>
      </c>
      <c r="D27" s="457">
        <f t="shared" si="11"/>
        <v>0</v>
      </c>
      <c r="E27" s="357">
        <f>SUM((C27*$E$4)+(7500/'EDl log'!$A$38))</f>
        <v>241.93548387096774</v>
      </c>
      <c r="F27" s="351"/>
      <c r="G27" s="5">
        <f t="shared" si="26"/>
        <v>578146</v>
      </c>
      <c r="H27" s="5">
        <f t="shared" si="12"/>
        <v>0</v>
      </c>
      <c r="I27" s="5">
        <f t="shared" si="0"/>
        <v>0</v>
      </c>
      <c r="J27" s="358">
        <f t="shared" si="1"/>
        <v>0</v>
      </c>
      <c r="K27" s="5">
        <f>'Swimming Pool quality check '!H27</f>
        <v>5955</v>
      </c>
      <c r="L27" s="287">
        <f t="shared" si="29"/>
        <v>0</v>
      </c>
      <c r="M27" s="84">
        <f t="shared" si="13"/>
        <v>457.44</v>
      </c>
      <c r="N27" s="84">
        <f t="shared" si="33"/>
        <v>0</v>
      </c>
      <c r="O27" s="5">
        <f t="shared" si="14"/>
        <v>529.52</v>
      </c>
      <c r="P27" s="84">
        <f t="shared" si="34"/>
        <v>0</v>
      </c>
      <c r="Q27" s="84">
        <f t="shared" si="35"/>
        <v>0</v>
      </c>
      <c r="R27" s="287"/>
      <c r="S27" s="287"/>
      <c r="T27" s="5">
        <f t="shared" si="27"/>
        <v>3926</v>
      </c>
      <c r="U27" s="5">
        <f t="shared" si="4"/>
        <v>0</v>
      </c>
      <c r="V27" s="5">
        <f t="shared" si="27"/>
        <v>242</v>
      </c>
      <c r="W27" s="348">
        <f t="shared" si="15"/>
        <v>0</v>
      </c>
      <c r="X27" s="5">
        <f t="shared" si="27"/>
        <v>134778</v>
      </c>
      <c r="Y27" s="348">
        <f>SUM(X27-X26)</f>
        <v>0</v>
      </c>
      <c r="Z27" s="5">
        <f t="shared" si="27"/>
        <v>87453</v>
      </c>
      <c r="AA27" s="84">
        <f t="shared" si="17"/>
        <v>0</v>
      </c>
      <c r="AB27" s="5">
        <f t="shared" si="27"/>
        <v>260</v>
      </c>
      <c r="AC27" s="5">
        <f t="shared" si="27"/>
        <v>643</v>
      </c>
      <c r="AD27" s="84">
        <f t="shared" si="28"/>
        <v>0</v>
      </c>
      <c r="AE27" s="84">
        <f t="shared" si="36"/>
        <v>0</v>
      </c>
      <c r="AF27" s="84">
        <f t="shared" si="37"/>
        <v>0</v>
      </c>
      <c r="AG27" s="84">
        <f t="shared" si="38"/>
        <v>111.8</v>
      </c>
      <c r="AH27" s="84">
        <f t="shared" si="31"/>
        <v>0</v>
      </c>
      <c r="AI27" s="84">
        <f t="shared" si="32"/>
        <v>0</v>
      </c>
      <c r="AJ27" s="350">
        <f t="shared" si="18"/>
        <v>0</v>
      </c>
      <c r="AK27" s="351">
        <f t="shared" si="5"/>
        <v>0</v>
      </c>
      <c r="AL27" s="351">
        <f t="shared" si="19"/>
        <v>0</v>
      </c>
      <c r="AM27" s="351">
        <f>'General information '!D27</f>
        <v>0</v>
      </c>
      <c r="AN27" s="85">
        <f>'General information '!H27</f>
        <v>0</v>
      </c>
      <c r="AO27" s="85"/>
      <c r="AP27" s="85">
        <f>'General information '!J27</f>
        <v>0</v>
      </c>
      <c r="AR27" s="293">
        <f t="shared" si="20"/>
        <v>43760</v>
      </c>
      <c r="AS27" s="463">
        <f t="shared" si="41"/>
        <v>0.9</v>
      </c>
      <c r="AT27" s="207">
        <f t="shared" si="40"/>
        <v>23</v>
      </c>
      <c r="AU27" s="464">
        <f t="shared" si="30"/>
        <v>1.1000000000000001</v>
      </c>
      <c r="AV27" s="207">
        <f t="shared" si="40"/>
        <v>110</v>
      </c>
      <c r="AW27" s="5">
        <v>2.9</v>
      </c>
      <c r="AX27" s="207">
        <f t="shared" si="40"/>
        <v>77</v>
      </c>
      <c r="AY27" s="467">
        <f t="shared" si="7"/>
        <v>20.7</v>
      </c>
      <c r="AZ27" s="467">
        <f t="shared" si="21"/>
        <v>121.00000000000001</v>
      </c>
      <c r="BA27" s="467">
        <f t="shared" si="22"/>
        <v>223.29999999999998</v>
      </c>
      <c r="BB27" s="21">
        <f t="shared" si="23"/>
        <v>0</v>
      </c>
      <c r="BC27" s="21">
        <f t="shared" si="23"/>
        <v>0</v>
      </c>
      <c r="BD27" s="21">
        <f t="shared" si="23"/>
        <v>0</v>
      </c>
      <c r="BE27" s="24">
        <f t="shared" si="25"/>
        <v>0</v>
      </c>
      <c r="BF27" s="97">
        <f t="shared" si="8"/>
        <v>0</v>
      </c>
      <c r="BG27" s="83">
        <f t="shared" si="9"/>
        <v>0</v>
      </c>
    </row>
    <row r="28" spans="1:61" ht="15" thickBot="1">
      <c r="A28" s="6">
        <f>ELEC!C25</f>
        <v>43761</v>
      </c>
      <c r="B28" s="5">
        <f t="shared" si="39"/>
        <v>105252</v>
      </c>
      <c r="C28" s="5">
        <f t="shared" si="10"/>
        <v>0</v>
      </c>
      <c r="D28" s="457">
        <f t="shared" si="11"/>
        <v>0</v>
      </c>
      <c r="E28" s="357">
        <f>SUM((C28*$E$4)+(7500/'EDl log'!$A$38))</f>
        <v>241.93548387096774</v>
      </c>
      <c r="F28" s="351"/>
      <c r="G28" s="5">
        <f t="shared" si="26"/>
        <v>578146</v>
      </c>
      <c r="H28" s="5">
        <f t="shared" si="12"/>
        <v>0</v>
      </c>
      <c r="I28" s="5">
        <f t="shared" si="0"/>
        <v>0</v>
      </c>
      <c r="J28" s="358">
        <f t="shared" si="1"/>
        <v>0</v>
      </c>
      <c r="K28" s="5">
        <f>'Swimming Pool quality check '!H28</f>
        <v>5955</v>
      </c>
      <c r="L28" s="287">
        <f t="shared" si="29"/>
        <v>0</v>
      </c>
      <c r="M28" s="84">
        <f t="shared" si="13"/>
        <v>457.44</v>
      </c>
      <c r="N28" s="84">
        <f t="shared" si="33"/>
        <v>0</v>
      </c>
      <c r="O28" s="5">
        <f t="shared" si="14"/>
        <v>529.52</v>
      </c>
      <c r="P28" s="84">
        <f t="shared" si="34"/>
        <v>0</v>
      </c>
      <c r="Q28" s="84">
        <f t="shared" si="35"/>
        <v>0</v>
      </c>
      <c r="R28" s="287"/>
      <c r="S28" s="287"/>
      <c r="T28" s="5">
        <f t="shared" si="27"/>
        <v>3926</v>
      </c>
      <c r="U28" s="5">
        <f t="shared" si="4"/>
        <v>0</v>
      </c>
      <c r="V28" s="5">
        <f t="shared" si="27"/>
        <v>242</v>
      </c>
      <c r="W28" s="348">
        <f t="shared" si="15"/>
        <v>0</v>
      </c>
      <c r="X28" s="5">
        <f t="shared" si="27"/>
        <v>134778</v>
      </c>
      <c r="Y28" s="348">
        <f t="shared" si="16"/>
        <v>0</v>
      </c>
      <c r="Z28" s="5">
        <f t="shared" si="27"/>
        <v>87453</v>
      </c>
      <c r="AA28" s="84">
        <f t="shared" si="17"/>
        <v>0</v>
      </c>
      <c r="AB28" s="5">
        <f t="shared" si="27"/>
        <v>260</v>
      </c>
      <c r="AC28" s="5">
        <f t="shared" si="27"/>
        <v>643</v>
      </c>
      <c r="AD28" s="84">
        <f t="shared" si="28"/>
        <v>0</v>
      </c>
      <c r="AE28" s="84">
        <f t="shared" si="36"/>
        <v>0</v>
      </c>
      <c r="AF28" s="84">
        <f t="shared" si="37"/>
        <v>0</v>
      </c>
      <c r="AG28" s="84">
        <f t="shared" si="38"/>
        <v>111.8</v>
      </c>
      <c r="AH28" s="84">
        <f t="shared" si="31"/>
        <v>0</v>
      </c>
      <c r="AI28" s="84">
        <f t="shared" si="32"/>
        <v>0</v>
      </c>
      <c r="AJ28" s="350">
        <f t="shared" si="18"/>
        <v>0</v>
      </c>
      <c r="AK28" s="351">
        <f t="shared" si="5"/>
        <v>0</v>
      </c>
      <c r="AL28" s="351">
        <f t="shared" si="19"/>
        <v>0</v>
      </c>
      <c r="AM28" s="351">
        <f>'General information '!D28</f>
        <v>0</v>
      </c>
      <c r="AN28" s="85">
        <f>'General information '!H28</f>
        <v>0</v>
      </c>
      <c r="AO28" s="85"/>
      <c r="AP28" s="85">
        <f>'General information '!J28</f>
        <v>0</v>
      </c>
      <c r="AR28" s="293">
        <f t="shared" si="20"/>
        <v>43761</v>
      </c>
      <c r="AS28" s="463">
        <f t="shared" si="41"/>
        <v>0.9</v>
      </c>
      <c r="AT28" s="207">
        <f t="shared" si="40"/>
        <v>23</v>
      </c>
      <c r="AU28" s="464">
        <f t="shared" si="30"/>
        <v>1.1000000000000001</v>
      </c>
      <c r="AV28" s="207">
        <f t="shared" si="40"/>
        <v>110</v>
      </c>
      <c r="AW28" s="5">
        <v>2.9</v>
      </c>
      <c r="AX28" s="207">
        <f t="shared" si="40"/>
        <v>77</v>
      </c>
      <c r="AY28" s="467">
        <f t="shared" si="7"/>
        <v>20.7</v>
      </c>
      <c r="AZ28" s="467">
        <f t="shared" si="21"/>
        <v>121.00000000000001</v>
      </c>
      <c r="BA28" s="467">
        <f t="shared" si="22"/>
        <v>223.29999999999998</v>
      </c>
      <c r="BB28" s="21">
        <f t="shared" si="23"/>
        <v>0</v>
      </c>
      <c r="BC28" s="21">
        <f t="shared" si="23"/>
        <v>0</v>
      </c>
      <c r="BD28" s="21">
        <f t="shared" si="23"/>
        <v>0</v>
      </c>
      <c r="BE28" s="24">
        <f t="shared" si="25"/>
        <v>0</v>
      </c>
      <c r="BF28" s="97">
        <f t="shared" si="8"/>
        <v>0</v>
      </c>
      <c r="BG28" s="83">
        <f t="shared" si="9"/>
        <v>0</v>
      </c>
    </row>
    <row r="29" spans="1:61" ht="15" thickBot="1">
      <c r="A29" s="6">
        <f>ELEC!C26</f>
        <v>43762</v>
      </c>
      <c r="B29" s="5">
        <f t="shared" si="39"/>
        <v>105252</v>
      </c>
      <c r="C29" s="5">
        <f t="shared" si="10"/>
        <v>0</v>
      </c>
      <c r="D29" s="457">
        <f t="shared" si="11"/>
        <v>0</v>
      </c>
      <c r="E29" s="357">
        <f>SUM((C29*$E$4)+(7500/'EDl log'!$A$38))</f>
        <v>241.93548387096774</v>
      </c>
      <c r="F29" s="351"/>
      <c r="G29" s="5">
        <f t="shared" si="26"/>
        <v>578146</v>
      </c>
      <c r="H29" s="5">
        <f t="shared" si="12"/>
        <v>0</v>
      </c>
      <c r="I29" s="5">
        <f t="shared" si="0"/>
        <v>0</v>
      </c>
      <c r="J29" s="358">
        <f t="shared" si="1"/>
        <v>0</v>
      </c>
      <c r="K29" s="5">
        <f>'Swimming Pool quality check '!H29</f>
        <v>5955</v>
      </c>
      <c r="L29" s="287">
        <f t="shared" si="29"/>
        <v>0</v>
      </c>
      <c r="M29" s="84">
        <f t="shared" si="13"/>
        <v>457.44</v>
      </c>
      <c r="N29" s="84">
        <f t="shared" si="33"/>
        <v>0</v>
      </c>
      <c r="O29" s="5">
        <f t="shared" si="14"/>
        <v>529.52</v>
      </c>
      <c r="P29" s="84">
        <f t="shared" si="34"/>
        <v>0</v>
      </c>
      <c r="Q29" s="84">
        <f t="shared" si="35"/>
        <v>0</v>
      </c>
      <c r="R29" s="287"/>
      <c r="S29" s="287"/>
      <c r="T29" s="5">
        <f t="shared" si="27"/>
        <v>3926</v>
      </c>
      <c r="U29" s="5">
        <f t="shared" si="4"/>
        <v>0</v>
      </c>
      <c r="V29" s="5">
        <f t="shared" si="27"/>
        <v>242</v>
      </c>
      <c r="W29" s="348">
        <f t="shared" si="15"/>
        <v>0</v>
      </c>
      <c r="X29" s="5">
        <f t="shared" si="27"/>
        <v>134778</v>
      </c>
      <c r="Y29" s="348">
        <f t="shared" si="16"/>
        <v>0</v>
      </c>
      <c r="Z29" s="5">
        <f t="shared" si="27"/>
        <v>87453</v>
      </c>
      <c r="AA29" s="84">
        <f t="shared" si="17"/>
        <v>0</v>
      </c>
      <c r="AB29" s="5">
        <f t="shared" si="27"/>
        <v>260</v>
      </c>
      <c r="AC29" s="5">
        <f t="shared" si="27"/>
        <v>643</v>
      </c>
      <c r="AD29" s="84">
        <f t="shared" si="28"/>
        <v>0</v>
      </c>
      <c r="AE29" s="84">
        <f t="shared" si="36"/>
        <v>0</v>
      </c>
      <c r="AF29" s="84">
        <f t="shared" si="37"/>
        <v>0</v>
      </c>
      <c r="AG29" s="84">
        <f t="shared" si="38"/>
        <v>111.8</v>
      </c>
      <c r="AH29" s="84">
        <f t="shared" si="31"/>
        <v>0</v>
      </c>
      <c r="AI29" s="84">
        <f t="shared" si="32"/>
        <v>0</v>
      </c>
      <c r="AJ29" s="350">
        <f t="shared" si="18"/>
        <v>0</v>
      </c>
      <c r="AK29" s="351">
        <f t="shared" si="5"/>
        <v>0</v>
      </c>
      <c r="AL29" s="351">
        <f t="shared" si="19"/>
        <v>0</v>
      </c>
      <c r="AM29" s="351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93">
        <f t="shared" si="20"/>
        <v>43762</v>
      </c>
      <c r="AS29" s="463">
        <f t="shared" si="41"/>
        <v>0.9</v>
      </c>
      <c r="AT29" s="207">
        <f t="shared" si="40"/>
        <v>23</v>
      </c>
      <c r="AU29" s="464">
        <f t="shared" si="30"/>
        <v>1.1000000000000001</v>
      </c>
      <c r="AV29" s="207">
        <f t="shared" si="40"/>
        <v>110</v>
      </c>
      <c r="AW29" s="5">
        <v>2.9</v>
      </c>
      <c r="AX29" s="207">
        <f t="shared" si="40"/>
        <v>77</v>
      </c>
      <c r="AY29" s="467">
        <f t="shared" si="7"/>
        <v>20.7</v>
      </c>
      <c r="AZ29" s="467">
        <f t="shared" si="21"/>
        <v>121.00000000000001</v>
      </c>
      <c r="BA29" s="467">
        <f t="shared" si="22"/>
        <v>223.29999999999998</v>
      </c>
      <c r="BB29" s="21">
        <f t="shared" si="23"/>
        <v>0</v>
      </c>
      <c r="BC29" s="21">
        <f t="shared" si="23"/>
        <v>0</v>
      </c>
      <c r="BD29" s="21">
        <f t="shared" si="23"/>
        <v>0</v>
      </c>
      <c r="BE29" s="24">
        <f t="shared" si="25"/>
        <v>0</v>
      </c>
      <c r="BF29" s="97">
        <f t="shared" si="8"/>
        <v>0</v>
      </c>
      <c r="BG29" s="83">
        <f t="shared" si="9"/>
        <v>0</v>
      </c>
    </row>
    <row r="30" spans="1:61" ht="15" thickBot="1">
      <c r="A30" s="6">
        <f>ELEC!C27</f>
        <v>43763</v>
      </c>
      <c r="B30" s="5">
        <f t="shared" si="39"/>
        <v>105252</v>
      </c>
      <c r="C30" s="5">
        <f t="shared" si="10"/>
        <v>0</v>
      </c>
      <c r="D30" s="457">
        <f t="shared" si="11"/>
        <v>0</v>
      </c>
      <c r="E30" s="357">
        <f>SUM((C30*$E$4)+(7500/'EDl log'!$A$38))</f>
        <v>241.93548387096774</v>
      </c>
      <c r="F30" s="351"/>
      <c r="G30" s="5">
        <f t="shared" si="26"/>
        <v>578146</v>
      </c>
      <c r="H30" s="5">
        <f t="shared" si="12"/>
        <v>0</v>
      </c>
      <c r="I30" s="5">
        <f t="shared" si="0"/>
        <v>0</v>
      </c>
      <c r="J30" s="358">
        <f t="shared" si="1"/>
        <v>0</v>
      </c>
      <c r="K30" s="5">
        <f>'Swimming Pool quality check '!H30</f>
        <v>5955</v>
      </c>
      <c r="L30" s="287">
        <f t="shared" si="29"/>
        <v>0</v>
      </c>
      <c r="M30" s="84">
        <f t="shared" si="13"/>
        <v>457.44</v>
      </c>
      <c r="N30" s="84">
        <f t="shared" si="33"/>
        <v>0</v>
      </c>
      <c r="O30" s="5">
        <f t="shared" si="14"/>
        <v>529.52</v>
      </c>
      <c r="P30" s="84">
        <f t="shared" si="34"/>
        <v>0</v>
      </c>
      <c r="Q30" s="84">
        <f t="shared" si="35"/>
        <v>0</v>
      </c>
      <c r="R30" s="287"/>
      <c r="S30" s="287"/>
      <c r="T30" s="5">
        <f t="shared" si="27"/>
        <v>3926</v>
      </c>
      <c r="U30" s="5">
        <f t="shared" si="4"/>
        <v>0</v>
      </c>
      <c r="V30" s="5">
        <f t="shared" si="27"/>
        <v>242</v>
      </c>
      <c r="W30" s="348">
        <f t="shared" si="15"/>
        <v>0</v>
      </c>
      <c r="X30" s="5">
        <f t="shared" si="27"/>
        <v>134778</v>
      </c>
      <c r="Y30" s="348">
        <f t="shared" si="16"/>
        <v>0</v>
      </c>
      <c r="Z30" s="5">
        <f t="shared" si="27"/>
        <v>87453</v>
      </c>
      <c r="AA30" s="84">
        <f t="shared" si="17"/>
        <v>0</v>
      </c>
      <c r="AB30" s="5">
        <f t="shared" si="27"/>
        <v>260</v>
      </c>
      <c r="AC30" s="5">
        <f t="shared" si="27"/>
        <v>643</v>
      </c>
      <c r="AD30" s="84">
        <f t="shared" si="28"/>
        <v>0</v>
      </c>
      <c r="AE30" s="84">
        <f t="shared" si="36"/>
        <v>0</v>
      </c>
      <c r="AF30" s="84">
        <f t="shared" si="37"/>
        <v>0</v>
      </c>
      <c r="AG30" s="84">
        <f t="shared" si="38"/>
        <v>111.8</v>
      </c>
      <c r="AH30" s="84">
        <f t="shared" si="31"/>
        <v>0</v>
      </c>
      <c r="AI30" s="84">
        <f t="shared" si="32"/>
        <v>0</v>
      </c>
      <c r="AJ30" s="350">
        <f t="shared" si="18"/>
        <v>0</v>
      </c>
      <c r="AK30" s="351">
        <f t="shared" si="5"/>
        <v>0</v>
      </c>
      <c r="AL30" s="351">
        <f t="shared" si="19"/>
        <v>0</v>
      </c>
      <c r="AM30" s="351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93">
        <f t="shared" si="20"/>
        <v>43763</v>
      </c>
      <c r="AS30" s="463">
        <f t="shared" si="41"/>
        <v>0.9</v>
      </c>
      <c r="AT30" s="207">
        <f t="shared" si="40"/>
        <v>23</v>
      </c>
      <c r="AU30" s="464">
        <f t="shared" si="30"/>
        <v>1.1000000000000001</v>
      </c>
      <c r="AV30" s="207">
        <f t="shared" si="40"/>
        <v>110</v>
      </c>
      <c r="AW30" s="5">
        <v>2.9</v>
      </c>
      <c r="AX30" s="207">
        <f t="shared" si="40"/>
        <v>77</v>
      </c>
      <c r="AY30" s="467">
        <f t="shared" si="7"/>
        <v>20.7</v>
      </c>
      <c r="AZ30" s="467">
        <f t="shared" si="21"/>
        <v>121.00000000000001</v>
      </c>
      <c r="BA30" s="467">
        <f t="shared" si="22"/>
        <v>223.29999999999998</v>
      </c>
      <c r="BB30" s="21">
        <f t="shared" si="23"/>
        <v>0</v>
      </c>
      <c r="BC30" s="21">
        <f t="shared" si="23"/>
        <v>0</v>
      </c>
      <c r="BD30" s="21">
        <f t="shared" si="23"/>
        <v>0</v>
      </c>
      <c r="BE30" s="24">
        <f t="shared" si="25"/>
        <v>0</v>
      </c>
      <c r="BF30" s="97">
        <f t="shared" si="8"/>
        <v>0</v>
      </c>
      <c r="BG30" s="83">
        <f t="shared" si="9"/>
        <v>0</v>
      </c>
    </row>
    <row r="31" spans="1:61" ht="15" thickBot="1">
      <c r="A31" s="6">
        <f>ELEC!C28</f>
        <v>43764</v>
      </c>
      <c r="B31" s="5">
        <f t="shared" si="39"/>
        <v>105252</v>
      </c>
      <c r="C31" s="5">
        <f t="shared" si="10"/>
        <v>0</v>
      </c>
      <c r="D31" s="457">
        <f t="shared" si="11"/>
        <v>0</v>
      </c>
      <c r="E31" s="357">
        <f>SUM((C31*$E$4)+(7500/'EDl log'!$A$38))</f>
        <v>241.93548387096774</v>
      </c>
      <c r="F31" s="351"/>
      <c r="G31" s="5">
        <f t="shared" si="26"/>
        <v>578146</v>
      </c>
      <c r="H31" s="5">
        <f t="shared" si="12"/>
        <v>0</v>
      </c>
      <c r="I31" s="5">
        <f t="shared" si="0"/>
        <v>0</v>
      </c>
      <c r="J31" s="358">
        <f t="shared" si="1"/>
        <v>0</v>
      </c>
      <c r="K31" s="5">
        <f>'Swimming Pool quality check '!H31</f>
        <v>5955</v>
      </c>
      <c r="L31" s="287">
        <f t="shared" si="29"/>
        <v>0</v>
      </c>
      <c r="M31" s="84">
        <f t="shared" si="13"/>
        <v>457.44</v>
      </c>
      <c r="N31" s="84">
        <f t="shared" si="33"/>
        <v>0</v>
      </c>
      <c r="O31" s="5">
        <f t="shared" si="14"/>
        <v>529.52</v>
      </c>
      <c r="P31" s="84">
        <f t="shared" si="34"/>
        <v>0</v>
      </c>
      <c r="Q31" s="84">
        <f t="shared" si="35"/>
        <v>0</v>
      </c>
      <c r="R31" s="287"/>
      <c r="S31" s="287"/>
      <c r="T31" s="5">
        <f t="shared" si="27"/>
        <v>3926</v>
      </c>
      <c r="U31" s="5">
        <f t="shared" si="4"/>
        <v>0</v>
      </c>
      <c r="V31" s="5">
        <f t="shared" si="27"/>
        <v>242</v>
      </c>
      <c r="W31" s="348">
        <f t="shared" si="15"/>
        <v>0</v>
      </c>
      <c r="X31" s="5">
        <f t="shared" si="27"/>
        <v>134778</v>
      </c>
      <c r="Y31" s="348">
        <f t="shared" si="16"/>
        <v>0</v>
      </c>
      <c r="Z31" s="5">
        <f t="shared" si="27"/>
        <v>87453</v>
      </c>
      <c r="AA31" s="84">
        <f t="shared" si="17"/>
        <v>0</v>
      </c>
      <c r="AB31" s="5">
        <f t="shared" si="27"/>
        <v>260</v>
      </c>
      <c r="AC31" s="5">
        <f t="shared" si="27"/>
        <v>643</v>
      </c>
      <c r="AD31" s="84">
        <f t="shared" si="28"/>
        <v>0</v>
      </c>
      <c r="AE31" s="84">
        <f t="shared" si="36"/>
        <v>0</v>
      </c>
      <c r="AF31" s="84">
        <f t="shared" si="37"/>
        <v>0</v>
      </c>
      <c r="AG31" s="84">
        <f t="shared" si="38"/>
        <v>111.8</v>
      </c>
      <c r="AH31" s="84">
        <f t="shared" si="31"/>
        <v>0</v>
      </c>
      <c r="AI31" s="84">
        <f t="shared" si="32"/>
        <v>0</v>
      </c>
      <c r="AJ31" s="350">
        <f t="shared" si="18"/>
        <v>0</v>
      </c>
      <c r="AK31" s="351">
        <f t="shared" si="5"/>
        <v>0</v>
      </c>
      <c r="AL31" s="351">
        <f t="shared" si="19"/>
        <v>0</v>
      </c>
      <c r="AM31" s="351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93">
        <f t="shared" si="20"/>
        <v>43764</v>
      </c>
      <c r="AS31" s="463">
        <f t="shared" si="41"/>
        <v>0.9</v>
      </c>
      <c r="AT31" s="207">
        <f t="shared" si="40"/>
        <v>23</v>
      </c>
      <c r="AU31" s="464">
        <f t="shared" si="30"/>
        <v>1.1000000000000001</v>
      </c>
      <c r="AV31" s="207">
        <f t="shared" si="40"/>
        <v>110</v>
      </c>
      <c r="AW31" s="5">
        <v>2.9</v>
      </c>
      <c r="AX31" s="207">
        <f t="shared" si="40"/>
        <v>77</v>
      </c>
      <c r="AY31" s="467">
        <f t="shared" si="7"/>
        <v>20.7</v>
      </c>
      <c r="AZ31" s="467">
        <f t="shared" si="21"/>
        <v>121.00000000000001</v>
      </c>
      <c r="BA31" s="467">
        <f t="shared" si="22"/>
        <v>223.29999999999998</v>
      </c>
      <c r="BB31" s="21">
        <f t="shared" si="23"/>
        <v>0</v>
      </c>
      <c r="BC31" s="21">
        <f t="shared" si="23"/>
        <v>0</v>
      </c>
      <c r="BD31" s="21">
        <f t="shared" si="23"/>
        <v>0</v>
      </c>
      <c r="BE31" s="24">
        <f t="shared" si="25"/>
        <v>0</v>
      </c>
      <c r="BF31" s="97">
        <f t="shared" si="8"/>
        <v>0</v>
      </c>
      <c r="BG31" s="83">
        <f t="shared" si="9"/>
        <v>0</v>
      </c>
    </row>
    <row r="32" spans="1:61" ht="15" thickBot="1">
      <c r="A32" s="6">
        <f>ELEC!C29</f>
        <v>43765</v>
      </c>
      <c r="B32" s="5">
        <f t="shared" si="39"/>
        <v>105252</v>
      </c>
      <c r="C32" s="5">
        <f t="shared" si="10"/>
        <v>0</v>
      </c>
      <c r="D32" s="457">
        <f t="shared" si="11"/>
        <v>0</v>
      </c>
      <c r="E32" s="357">
        <f>SUM((C32*$E$4)+(7500/'EDl log'!$A$38))</f>
        <v>241.93548387096774</v>
      </c>
      <c r="F32" s="351"/>
      <c r="G32" s="5">
        <f t="shared" si="26"/>
        <v>578146</v>
      </c>
      <c r="H32" s="5">
        <f t="shared" si="12"/>
        <v>0</v>
      </c>
      <c r="I32" s="5">
        <f t="shared" si="0"/>
        <v>0</v>
      </c>
      <c r="J32" s="358">
        <f t="shared" si="1"/>
        <v>0</v>
      </c>
      <c r="K32" s="5">
        <f>'Swimming Pool quality check '!H32</f>
        <v>5955</v>
      </c>
      <c r="L32" s="287">
        <f t="shared" si="29"/>
        <v>0</v>
      </c>
      <c r="M32" s="84">
        <f t="shared" si="13"/>
        <v>457.44</v>
      </c>
      <c r="N32" s="84">
        <f t="shared" si="33"/>
        <v>0</v>
      </c>
      <c r="O32" s="5">
        <f t="shared" si="14"/>
        <v>529.52</v>
      </c>
      <c r="P32" s="84">
        <f t="shared" si="34"/>
        <v>0</v>
      </c>
      <c r="Q32" s="84">
        <f t="shared" si="35"/>
        <v>0</v>
      </c>
      <c r="R32" s="287"/>
      <c r="S32" s="287"/>
      <c r="T32" s="5">
        <f t="shared" si="27"/>
        <v>3926</v>
      </c>
      <c r="U32" s="5">
        <f t="shared" si="4"/>
        <v>0</v>
      </c>
      <c r="V32" s="5">
        <f t="shared" si="27"/>
        <v>242</v>
      </c>
      <c r="W32" s="348">
        <f t="shared" si="15"/>
        <v>0</v>
      </c>
      <c r="X32" s="5">
        <f t="shared" si="27"/>
        <v>134778</v>
      </c>
      <c r="Y32" s="348">
        <f t="shared" si="16"/>
        <v>0</v>
      </c>
      <c r="Z32" s="5">
        <f t="shared" si="27"/>
        <v>87453</v>
      </c>
      <c r="AA32" s="84">
        <f t="shared" si="17"/>
        <v>0</v>
      </c>
      <c r="AB32" s="5">
        <f t="shared" si="27"/>
        <v>260</v>
      </c>
      <c r="AC32" s="5">
        <f t="shared" si="27"/>
        <v>643</v>
      </c>
      <c r="AD32" s="84">
        <f t="shared" si="28"/>
        <v>0</v>
      </c>
      <c r="AE32" s="84">
        <f t="shared" si="36"/>
        <v>0</v>
      </c>
      <c r="AF32" s="84">
        <f t="shared" si="37"/>
        <v>0</v>
      </c>
      <c r="AG32" s="84">
        <f t="shared" si="38"/>
        <v>111.8</v>
      </c>
      <c r="AH32" s="84">
        <f t="shared" si="31"/>
        <v>0</v>
      </c>
      <c r="AI32" s="84">
        <f t="shared" si="32"/>
        <v>0</v>
      </c>
      <c r="AJ32" s="350">
        <f t="shared" si="18"/>
        <v>0</v>
      </c>
      <c r="AK32" s="351">
        <f t="shared" si="5"/>
        <v>0</v>
      </c>
      <c r="AL32" s="351">
        <f t="shared" si="19"/>
        <v>0</v>
      </c>
      <c r="AM32" s="351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93">
        <f t="shared" si="20"/>
        <v>43765</v>
      </c>
      <c r="AS32" s="463">
        <f t="shared" si="41"/>
        <v>0.9</v>
      </c>
      <c r="AT32" s="207">
        <f t="shared" si="40"/>
        <v>23</v>
      </c>
      <c r="AU32" s="464">
        <f t="shared" si="30"/>
        <v>1.1000000000000001</v>
      </c>
      <c r="AV32" s="207">
        <f t="shared" si="40"/>
        <v>110</v>
      </c>
      <c r="AW32" s="5">
        <v>2.9</v>
      </c>
      <c r="AX32" s="207">
        <f t="shared" si="40"/>
        <v>77</v>
      </c>
      <c r="AY32" s="467">
        <f t="shared" si="7"/>
        <v>20.7</v>
      </c>
      <c r="AZ32" s="467">
        <f t="shared" si="21"/>
        <v>121.00000000000001</v>
      </c>
      <c r="BA32" s="467">
        <f t="shared" si="22"/>
        <v>223.29999999999998</v>
      </c>
      <c r="BB32" s="21">
        <f t="shared" si="23"/>
        <v>0</v>
      </c>
      <c r="BC32" s="21">
        <f t="shared" si="23"/>
        <v>0</v>
      </c>
      <c r="BD32" s="21">
        <f t="shared" si="23"/>
        <v>0</v>
      </c>
      <c r="BE32" s="24">
        <f t="shared" si="25"/>
        <v>0</v>
      </c>
      <c r="BF32" s="97">
        <f t="shared" si="8"/>
        <v>0</v>
      </c>
      <c r="BG32" s="83">
        <f t="shared" si="9"/>
        <v>0</v>
      </c>
    </row>
    <row r="33" spans="1:59" ht="15" thickBot="1">
      <c r="A33" s="6">
        <f>ELEC!C30</f>
        <v>43766</v>
      </c>
      <c r="B33" s="5">
        <f t="shared" si="39"/>
        <v>105252</v>
      </c>
      <c r="C33" s="5">
        <f t="shared" si="10"/>
        <v>0</v>
      </c>
      <c r="D33" s="457">
        <f t="shared" si="11"/>
        <v>0</v>
      </c>
      <c r="E33" s="357">
        <f>SUM((C33*$E$4)+(7500/'EDl log'!$A$38))</f>
        <v>241.93548387096774</v>
      </c>
      <c r="F33" s="351"/>
      <c r="G33" s="5">
        <f t="shared" si="26"/>
        <v>578146</v>
      </c>
      <c r="H33" s="5">
        <f t="shared" si="12"/>
        <v>0</v>
      </c>
      <c r="I33" s="5">
        <f t="shared" si="0"/>
        <v>0</v>
      </c>
      <c r="J33" s="358">
        <f t="shared" si="1"/>
        <v>0</v>
      </c>
      <c r="K33" s="5">
        <f>'Swimming Pool quality check '!H33</f>
        <v>5955</v>
      </c>
      <c r="L33" s="287">
        <f t="shared" si="29"/>
        <v>0</v>
      </c>
      <c r="M33" s="84">
        <f t="shared" si="13"/>
        <v>457.44</v>
      </c>
      <c r="N33" s="84">
        <f t="shared" si="33"/>
        <v>0</v>
      </c>
      <c r="O33" s="5">
        <f t="shared" si="14"/>
        <v>529.52</v>
      </c>
      <c r="P33" s="84">
        <f t="shared" si="34"/>
        <v>0</v>
      </c>
      <c r="Q33" s="84">
        <f t="shared" si="35"/>
        <v>0</v>
      </c>
      <c r="R33" s="287"/>
      <c r="S33" s="287"/>
      <c r="T33" s="5">
        <f t="shared" si="27"/>
        <v>3926</v>
      </c>
      <c r="U33" s="5">
        <f t="shared" si="4"/>
        <v>0</v>
      </c>
      <c r="V33" s="5">
        <f t="shared" si="27"/>
        <v>242</v>
      </c>
      <c r="W33" s="348">
        <f t="shared" si="15"/>
        <v>0</v>
      </c>
      <c r="X33" s="5">
        <f t="shared" si="27"/>
        <v>134778</v>
      </c>
      <c r="Y33" s="348">
        <f t="shared" si="16"/>
        <v>0</v>
      </c>
      <c r="Z33" s="5">
        <f t="shared" si="27"/>
        <v>87453</v>
      </c>
      <c r="AA33" s="84">
        <f t="shared" si="17"/>
        <v>0</v>
      </c>
      <c r="AB33" s="5">
        <f t="shared" si="27"/>
        <v>260</v>
      </c>
      <c r="AC33" s="5">
        <f t="shared" si="27"/>
        <v>643</v>
      </c>
      <c r="AD33" s="84">
        <f t="shared" si="28"/>
        <v>0</v>
      </c>
      <c r="AE33" s="84">
        <f t="shared" si="36"/>
        <v>0</v>
      </c>
      <c r="AF33" s="84">
        <f t="shared" si="37"/>
        <v>0</v>
      </c>
      <c r="AG33" s="84">
        <f t="shared" si="38"/>
        <v>111.8</v>
      </c>
      <c r="AH33" s="84">
        <f t="shared" si="31"/>
        <v>0</v>
      </c>
      <c r="AI33" s="84">
        <f t="shared" si="32"/>
        <v>0</v>
      </c>
      <c r="AJ33" s="350">
        <f t="shared" si="18"/>
        <v>0</v>
      </c>
      <c r="AK33" s="351">
        <f t="shared" si="5"/>
        <v>0</v>
      </c>
      <c r="AL33" s="351">
        <f t="shared" si="19"/>
        <v>0</v>
      </c>
      <c r="AM33" s="351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93">
        <f t="shared" si="20"/>
        <v>43766</v>
      </c>
      <c r="AS33" s="463">
        <f t="shared" si="41"/>
        <v>0.9</v>
      </c>
      <c r="AT33" s="207">
        <f t="shared" si="40"/>
        <v>23</v>
      </c>
      <c r="AU33" s="464">
        <f t="shared" si="30"/>
        <v>1.1000000000000001</v>
      </c>
      <c r="AV33" s="207">
        <f t="shared" si="40"/>
        <v>110</v>
      </c>
      <c r="AW33" s="5">
        <v>2.9</v>
      </c>
      <c r="AX33" s="207">
        <f t="shared" si="40"/>
        <v>77</v>
      </c>
      <c r="AY33" s="467">
        <f t="shared" si="7"/>
        <v>20.7</v>
      </c>
      <c r="AZ33" s="467">
        <f t="shared" si="21"/>
        <v>121.00000000000001</v>
      </c>
      <c r="BA33" s="467">
        <f t="shared" si="22"/>
        <v>223.29999999999998</v>
      </c>
      <c r="BB33" s="21">
        <f t="shared" si="23"/>
        <v>0</v>
      </c>
      <c r="BC33" s="21">
        <f t="shared" si="23"/>
        <v>0</v>
      </c>
      <c r="BD33" s="21">
        <f t="shared" si="23"/>
        <v>0</v>
      </c>
      <c r="BE33" s="24">
        <f t="shared" si="25"/>
        <v>0</v>
      </c>
      <c r="BF33" s="97">
        <f t="shared" si="8"/>
        <v>0</v>
      </c>
      <c r="BG33" s="83">
        <f t="shared" si="9"/>
        <v>0</v>
      </c>
    </row>
    <row r="34" spans="1:59" ht="15" thickBot="1">
      <c r="A34" s="6">
        <f>ELEC!C31</f>
        <v>43767</v>
      </c>
      <c r="B34" s="5">
        <f t="shared" si="39"/>
        <v>105252</v>
      </c>
      <c r="C34" s="5">
        <f t="shared" si="10"/>
        <v>0</v>
      </c>
      <c r="D34" s="457">
        <f t="shared" si="11"/>
        <v>0</v>
      </c>
      <c r="E34" s="357">
        <f>SUM((C34*$E$4)+(7500/'EDl log'!$A$38))</f>
        <v>241.93548387096774</v>
      </c>
      <c r="F34" s="351"/>
      <c r="G34" s="5">
        <f t="shared" si="26"/>
        <v>578146</v>
      </c>
      <c r="H34" s="5">
        <f t="shared" si="12"/>
        <v>0</v>
      </c>
      <c r="I34" s="5">
        <f t="shared" si="0"/>
        <v>0</v>
      </c>
      <c r="J34" s="358">
        <f t="shared" si="1"/>
        <v>0</v>
      </c>
      <c r="K34" s="5">
        <f>'Swimming Pool quality check '!H34</f>
        <v>5955</v>
      </c>
      <c r="L34" s="287">
        <f t="shared" si="29"/>
        <v>0</v>
      </c>
      <c r="M34" s="84">
        <f t="shared" si="13"/>
        <v>457.44</v>
      </c>
      <c r="N34" s="84">
        <f t="shared" si="33"/>
        <v>0</v>
      </c>
      <c r="O34" s="5">
        <f t="shared" si="14"/>
        <v>529.52</v>
      </c>
      <c r="P34" s="84">
        <f t="shared" si="34"/>
        <v>0</v>
      </c>
      <c r="Q34" s="84">
        <f t="shared" si="35"/>
        <v>0</v>
      </c>
      <c r="R34" s="287"/>
      <c r="S34" s="287"/>
      <c r="T34" s="5">
        <f t="shared" si="27"/>
        <v>3926</v>
      </c>
      <c r="U34" s="5">
        <f t="shared" si="4"/>
        <v>0</v>
      </c>
      <c r="V34" s="5">
        <f t="shared" si="27"/>
        <v>242</v>
      </c>
      <c r="W34" s="348">
        <f t="shared" si="15"/>
        <v>0</v>
      </c>
      <c r="X34" s="5">
        <f t="shared" si="27"/>
        <v>134778</v>
      </c>
      <c r="Y34" s="348">
        <f t="shared" si="16"/>
        <v>0</v>
      </c>
      <c r="Z34" s="5">
        <f t="shared" si="27"/>
        <v>87453</v>
      </c>
      <c r="AA34" s="84">
        <f t="shared" si="17"/>
        <v>0</v>
      </c>
      <c r="AB34" s="5">
        <f t="shared" si="27"/>
        <v>260</v>
      </c>
      <c r="AC34" s="5">
        <f t="shared" si="27"/>
        <v>643</v>
      </c>
      <c r="AD34" s="84">
        <f t="shared" si="28"/>
        <v>0</v>
      </c>
      <c r="AE34" s="84">
        <f t="shared" si="36"/>
        <v>0</v>
      </c>
      <c r="AF34" s="84">
        <f t="shared" si="37"/>
        <v>0</v>
      </c>
      <c r="AG34" s="84">
        <f t="shared" si="38"/>
        <v>111.8</v>
      </c>
      <c r="AH34" s="84">
        <f t="shared" si="31"/>
        <v>0</v>
      </c>
      <c r="AI34" s="84">
        <f t="shared" si="32"/>
        <v>0</v>
      </c>
      <c r="AJ34" s="350">
        <f t="shared" si="18"/>
        <v>0</v>
      </c>
      <c r="AK34" s="351">
        <f t="shared" si="5"/>
        <v>0</v>
      </c>
      <c r="AL34" s="351">
        <f t="shared" si="19"/>
        <v>0</v>
      </c>
      <c r="AM34" s="351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93">
        <f t="shared" si="20"/>
        <v>43767</v>
      </c>
      <c r="AS34" s="463">
        <f t="shared" si="41"/>
        <v>0.9</v>
      </c>
      <c r="AT34" s="207">
        <f t="shared" si="40"/>
        <v>23</v>
      </c>
      <c r="AU34" s="465">
        <f t="shared" si="30"/>
        <v>1.1000000000000001</v>
      </c>
      <c r="AV34" s="207">
        <f t="shared" si="40"/>
        <v>110</v>
      </c>
      <c r="AW34" s="5">
        <v>2.9</v>
      </c>
      <c r="AX34" s="207">
        <f t="shared" si="40"/>
        <v>77</v>
      </c>
      <c r="AY34" s="467">
        <f t="shared" si="7"/>
        <v>20.7</v>
      </c>
      <c r="AZ34" s="467">
        <f t="shared" si="21"/>
        <v>121.00000000000001</v>
      </c>
      <c r="BA34" s="467">
        <f t="shared" si="22"/>
        <v>223.29999999999998</v>
      </c>
      <c r="BB34" s="21">
        <f t="shared" si="23"/>
        <v>0</v>
      </c>
      <c r="BC34" s="21">
        <f t="shared" si="23"/>
        <v>0</v>
      </c>
      <c r="BD34" s="21">
        <f t="shared" si="23"/>
        <v>0</v>
      </c>
      <c r="BE34" s="24">
        <f t="shared" si="25"/>
        <v>0</v>
      </c>
      <c r="BF34" s="97">
        <f t="shared" si="8"/>
        <v>0</v>
      </c>
      <c r="BG34" s="83">
        <f t="shared" si="9"/>
        <v>0</v>
      </c>
    </row>
    <row r="35" spans="1:59" ht="15" thickBot="1">
      <c r="A35" s="6">
        <f>ELEC!C32</f>
        <v>43768</v>
      </c>
      <c r="B35" s="5">
        <f t="shared" si="39"/>
        <v>105252</v>
      </c>
      <c r="C35" s="5">
        <f t="shared" si="10"/>
        <v>0</v>
      </c>
      <c r="D35" s="457">
        <f t="shared" si="11"/>
        <v>0</v>
      </c>
      <c r="E35" s="357">
        <f>SUM((C35*$E$4)+(7500/'EDl log'!$A$38))</f>
        <v>241.93548387096774</v>
      </c>
      <c r="F35" s="351"/>
      <c r="G35" s="5">
        <f t="shared" si="26"/>
        <v>578146</v>
      </c>
      <c r="H35" s="5">
        <f t="shared" si="12"/>
        <v>0</v>
      </c>
      <c r="I35" s="5">
        <f t="shared" si="0"/>
        <v>0</v>
      </c>
      <c r="J35" s="358">
        <f t="shared" si="1"/>
        <v>0</v>
      </c>
      <c r="K35" s="5">
        <f>'Swimming Pool quality check '!H35</f>
        <v>5955</v>
      </c>
      <c r="L35" s="84">
        <f t="shared" si="29"/>
        <v>0</v>
      </c>
      <c r="M35" s="84">
        <f t="shared" si="13"/>
        <v>457.44</v>
      </c>
      <c r="N35" s="84">
        <f t="shared" si="33"/>
        <v>0</v>
      </c>
      <c r="O35" s="5">
        <f t="shared" si="14"/>
        <v>529.52</v>
      </c>
      <c r="P35" s="84">
        <f t="shared" si="34"/>
        <v>0</v>
      </c>
      <c r="Q35" s="84">
        <f t="shared" si="35"/>
        <v>0</v>
      </c>
      <c r="R35" s="84"/>
      <c r="S35" s="84"/>
      <c r="T35" s="5">
        <f t="shared" si="27"/>
        <v>3926</v>
      </c>
      <c r="U35" s="5">
        <f t="shared" si="4"/>
        <v>0</v>
      </c>
      <c r="V35" s="5">
        <f t="shared" si="27"/>
        <v>242</v>
      </c>
      <c r="W35" s="348">
        <f t="shared" si="15"/>
        <v>0</v>
      </c>
      <c r="X35" s="5">
        <f t="shared" si="27"/>
        <v>134778</v>
      </c>
      <c r="Y35" s="348">
        <f t="shared" si="16"/>
        <v>0</v>
      </c>
      <c r="Z35" s="5">
        <f t="shared" si="27"/>
        <v>87453</v>
      </c>
      <c r="AA35" s="84">
        <f t="shared" si="17"/>
        <v>0</v>
      </c>
      <c r="AB35" s="5">
        <f t="shared" si="27"/>
        <v>260</v>
      </c>
      <c r="AC35" s="5">
        <f t="shared" si="27"/>
        <v>643</v>
      </c>
      <c r="AD35" s="84">
        <f t="shared" si="28"/>
        <v>0</v>
      </c>
      <c r="AE35" s="84">
        <f t="shared" si="36"/>
        <v>0</v>
      </c>
      <c r="AF35" s="84">
        <f t="shared" si="37"/>
        <v>0</v>
      </c>
      <c r="AG35" s="84">
        <f t="shared" si="38"/>
        <v>111.8</v>
      </c>
      <c r="AH35" s="84">
        <f t="shared" si="31"/>
        <v>0</v>
      </c>
      <c r="AI35" s="84">
        <f t="shared" si="32"/>
        <v>0</v>
      </c>
      <c r="AJ35" s="350">
        <f t="shared" si="18"/>
        <v>0</v>
      </c>
      <c r="AK35" s="351">
        <f t="shared" si="5"/>
        <v>0</v>
      </c>
      <c r="AL35" s="351">
        <f t="shared" si="19"/>
        <v>0</v>
      </c>
      <c r="AM35" s="351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93">
        <f t="shared" si="20"/>
        <v>43768</v>
      </c>
      <c r="AS35" s="463">
        <f t="shared" si="41"/>
        <v>0.9</v>
      </c>
      <c r="AT35" s="207">
        <f t="shared" si="40"/>
        <v>23</v>
      </c>
      <c r="AU35" s="466">
        <f t="shared" si="30"/>
        <v>1.1000000000000001</v>
      </c>
      <c r="AV35" s="207">
        <f t="shared" si="40"/>
        <v>110</v>
      </c>
      <c r="AW35" s="5">
        <v>2.9</v>
      </c>
      <c r="AX35" s="207">
        <f t="shared" si="40"/>
        <v>77</v>
      </c>
      <c r="AY35" s="467">
        <f t="shared" si="7"/>
        <v>20.7</v>
      </c>
      <c r="AZ35" s="467">
        <f t="shared" si="21"/>
        <v>121.00000000000001</v>
      </c>
      <c r="BA35" s="467">
        <f t="shared" si="22"/>
        <v>223.29999999999998</v>
      </c>
      <c r="BB35" s="21">
        <f t="shared" si="23"/>
        <v>0</v>
      </c>
      <c r="BC35" s="233">
        <f t="shared" si="23"/>
        <v>0</v>
      </c>
      <c r="BD35" s="233">
        <f t="shared" si="23"/>
        <v>0</v>
      </c>
      <c r="BE35" s="24">
        <f t="shared" si="25"/>
        <v>0</v>
      </c>
      <c r="BF35" s="97">
        <f t="shared" si="8"/>
        <v>0</v>
      </c>
      <c r="BG35" s="83">
        <f t="shared" si="9"/>
        <v>0</v>
      </c>
    </row>
    <row r="36" spans="1:59" ht="15" thickBot="1">
      <c r="A36" s="6">
        <f>ELEC!C33</f>
        <v>43769</v>
      </c>
      <c r="B36" s="5">
        <f t="shared" si="39"/>
        <v>105252</v>
      </c>
      <c r="C36" s="5">
        <f>B36-B35</f>
        <v>0</v>
      </c>
      <c r="D36" s="457">
        <f t="shared" si="11"/>
        <v>0</v>
      </c>
      <c r="E36" s="357">
        <f>SUM((C36*$E$4)+(7500/'EDl log'!$A$38))</f>
        <v>241.93548387096774</v>
      </c>
      <c r="F36" s="351"/>
      <c r="G36" s="5">
        <f t="shared" si="26"/>
        <v>578146</v>
      </c>
      <c r="H36" s="5">
        <f>G36-G35</f>
        <v>0</v>
      </c>
      <c r="I36" s="5">
        <f>C36+H36</f>
        <v>0</v>
      </c>
      <c r="J36" s="358">
        <f>IF(I36&gt;0,E36/I36,0)</f>
        <v>0</v>
      </c>
      <c r="K36" s="5">
        <f>'Swimming Pool quality check '!H36</f>
        <v>5955</v>
      </c>
      <c r="L36" s="84">
        <f>K36-K35</f>
        <v>0</v>
      </c>
      <c r="M36" s="84">
        <f t="shared" si="13"/>
        <v>457.44</v>
      </c>
      <c r="N36" s="84">
        <f t="shared" si="33"/>
        <v>0</v>
      </c>
      <c r="O36" s="5">
        <f t="shared" si="14"/>
        <v>529.52</v>
      </c>
      <c r="P36" s="84">
        <f t="shared" si="34"/>
        <v>0</v>
      </c>
      <c r="Q36" s="84">
        <f t="shared" si="35"/>
        <v>0</v>
      </c>
      <c r="R36" s="84"/>
      <c r="S36" s="84"/>
      <c r="T36" s="5">
        <f t="shared" si="27"/>
        <v>3926</v>
      </c>
      <c r="U36" s="5">
        <f>SUM(T36-T35)</f>
        <v>0</v>
      </c>
      <c r="V36" s="5">
        <f t="shared" si="27"/>
        <v>242</v>
      </c>
      <c r="W36" s="348">
        <f t="shared" si="15"/>
        <v>0</v>
      </c>
      <c r="X36" s="5">
        <f t="shared" si="27"/>
        <v>134778</v>
      </c>
      <c r="Y36" s="348">
        <f>SUM(X36-X35)</f>
        <v>0</v>
      </c>
      <c r="Z36" s="5">
        <f t="shared" si="27"/>
        <v>87453</v>
      </c>
      <c r="AA36" s="84">
        <f>Z36-Z35</f>
        <v>0</v>
      </c>
      <c r="AB36" s="5">
        <f t="shared" si="27"/>
        <v>260</v>
      </c>
      <c r="AC36" s="5">
        <f t="shared" si="27"/>
        <v>643</v>
      </c>
      <c r="AD36" s="84">
        <f>AC36-AC35</f>
        <v>0</v>
      </c>
      <c r="AE36" s="84">
        <f t="shared" si="36"/>
        <v>0</v>
      </c>
      <c r="AF36" s="84">
        <f t="shared" si="37"/>
        <v>0</v>
      </c>
      <c r="AG36" s="84">
        <f t="shared" si="38"/>
        <v>111.8</v>
      </c>
      <c r="AH36" s="84">
        <f t="shared" si="31"/>
        <v>0</v>
      </c>
      <c r="AI36" s="84">
        <f t="shared" si="32"/>
        <v>0</v>
      </c>
      <c r="AJ36" s="350">
        <f>+Z36-Z35</f>
        <v>0</v>
      </c>
      <c r="AK36" s="351">
        <f t="shared" si="5"/>
        <v>0</v>
      </c>
      <c r="AL36" s="351">
        <f>SUM(AJ36-W36)</f>
        <v>0</v>
      </c>
      <c r="AM36" s="351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93">
        <f>A36</f>
        <v>43769</v>
      </c>
      <c r="AS36" s="463">
        <f t="shared" si="41"/>
        <v>0.9</v>
      </c>
      <c r="AT36" s="207">
        <f t="shared" si="40"/>
        <v>23</v>
      </c>
      <c r="AU36" s="466">
        <f t="shared" si="30"/>
        <v>1.1000000000000001</v>
      </c>
      <c r="AV36" s="207">
        <f t="shared" si="40"/>
        <v>110</v>
      </c>
      <c r="AW36" s="5">
        <v>2.9</v>
      </c>
      <c r="AX36" s="207">
        <f t="shared" si="40"/>
        <v>77</v>
      </c>
      <c r="AY36" s="467">
        <f>AS36*AT36</f>
        <v>20.7</v>
      </c>
      <c r="AZ36" s="467">
        <f>AU36*AV36</f>
        <v>121.00000000000001</v>
      </c>
      <c r="BA36" s="467">
        <f t="shared" si="22"/>
        <v>223.29999999999998</v>
      </c>
      <c r="BB36" s="21">
        <f>AY36-AY35</f>
        <v>0</v>
      </c>
      <c r="BC36" s="233">
        <f>AZ36-AZ35</f>
        <v>0</v>
      </c>
      <c r="BD36" s="233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50">
        <f>SUM(C6:C36)</f>
        <v>2042</v>
      </c>
      <c r="D37" s="346">
        <f>SUM(D6:D36)</f>
        <v>75.629629629629619</v>
      </c>
      <c r="F37" s="452">
        <f>SUM(F6:F36)</f>
        <v>77</v>
      </c>
      <c r="H37" s="450">
        <f>SUM(H6:H36)</f>
        <v>1481</v>
      </c>
      <c r="I37" s="450">
        <f>SUM(I6:I36)</f>
        <v>3523</v>
      </c>
      <c r="L37" s="280">
        <f>SUM(L7:L36)</f>
        <v>45</v>
      </c>
      <c r="Q37" s="561">
        <f>SUM(Q5:Q35)</f>
        <v>0</v>
      </c>
      <c r="U37" s="447">
        <f>SUM(U6:U36)</f>
        <v>170</v>
      </c>
      <c r="X37" s="347"/>
      <c r="Y37" s="346">
        <f>SUM(Y35,Y33,Y31,Y29,Y27,Y25,Y23,Y21,Y19,Y17,Y15,Y13,Y11,Y9,Y7+Y36)</f>
        <v>630</v>
      </c>
      <c r="AJ37" s="346">
        <f>SUM(AJ6:AJ36)</f>
        <v>1319</v>
      </c>
      <c r="AK37" s="351">
        <f t="shared" si="5"/>
        <v>585</v>
      </c>
      <c r="AL37" s="346">
        <f>SUM(AL6:AL36)</f>
        <v>1264</v>
      </c>
      <c r="AP37" s="17"/>
      <c r="AQ37" s="17"/>
      <c r="AR37" s="17"/>
      <c r="AS37" s="232"/>
      <c r="AT37" s="17"/>
      <c r="AU37" s="232"/>
      <c r="AV37" s="17"/>
      <c r="AW37" s="234"/>
      <c r="AX37" s="234"/>
      <c r="AY37" s="234"/>
      <c r="AZ37" s="17"/>
      <c r="BA37" s="17"/>
      <c r="BB37" s="17"/>
      <c r="BC37" s="17"/>
      <c r="BD37" s="17"/>
    </row>
    <row r="38" spans="1:59">
      <c r="A38">
        <f>298351-298175</f>
        <v>176</v>
      </c>
      <c r="C38" s="1">
        <f>+C37*1.66</f>
        <v>3389.72</v>
      </c>
      <c r="E38" s="356">
        <f>SUM(E6:E35)</f>
        <v>10647.784516129033</v>
      </c>
      <c r="F38" s="455">
        <f>SUM(F6:F35)</f>
        <v>77</v>
      </c>
      <c r="H38" s="160">
        <v>7500</v>
      </c>
      <c r="I38" s="451">
        <f>SUM('General information '!G37/WATER!I37)</f>
        <v>0.63463156400794785</v>
      </c>
      <c r="L38" s="160"/>
      <c r="O38" s="556">
        <f>SUM(Q37+I37)</f>
        <v>3523</v>
      </c>
      <c r="Z38" s="346">
        <f>SUM(Y37:AJ37)</f>
        <v>1949</v>
      </c>
      <c r="AK38" s="351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7">
        <f>9*27</f>
        <v>243</v>
      </c>
      <c r="D39" s="452">
        <f>SUM(D21:D35)</f>
        <v>0</v>
      </c>
      <c r="F39" s="453">
        <f>SUM(F21:F35)</f>
        <v>0</v>
      </c>
      <c r="G39" s="1">
        <f>SUM(I37)</f>
        <v>3523</v>
      </c>
      <c r="H39" s="1">
        <f>SUM(H38+C38)</f>
        <v>10889.72</v>
      </c>
      <c r="K39" s="1">
        <f>SUM(H39/G39)</f>
        <v>3.0910360488220263</v>
      </c>
      <c r="AJ39" s="346">
        <f>SUM(C38-AK38)</f>
        <v>3389.72</v>
      </c>
      <c r="AM39" s="374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46" zoomScale="70" zoomScaleNormal="70" workbookViewId="0">
      <selection activeCell="J49" sqref="J48:J49"/>
    </sheetView>
  </sheetViews>
  <sheetFormatPr defaultRowHeight="14.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41"/>
  <sheetViews>
    <sheetView zoomScaleNormal="100" workbookViewId="0">
      <pane ySplit="4" topLeftCell="A5" activePane="bottomLeft" state="frozen"/>
      <selection pane="bottomLeft" activeCell="C20" sqref="C20"/>
    </sheetView>
  </sheetViews>
  <sheetFormatPr defaultRowHeight="14.5"/>
  <cols>
    <col min="1" max="1" width="11.81640625" style="538" customWidth="1"/>
    <col min="2" max="3" width="7.81640625" bestFit="1" customWidth="1"/>
    <col min="4" max="4" width="10.26953125" bestFit="1" customWidth="1"/>
    <col min="5" max="5" width="13.7265625" bestFit="1" customWidth="1"/>
    <col min="6" max="6" width="11.1796875" bestFit="1" customWidth="1"/>
    <col min="7" max="7" width="15.453125" customWidth="1"/>
    <col min="8" max="8" width="7.453125" bestFit="1" customWidth="1"/>
    <col min="9" max="9" width="11.453125" bestFit="1" customWidth="1"/>
    <col min="10" max="10" width="10.7265625" bestFit="1" customWidth="1"/>
    <col min="11" max="11" width="11.54296875" bestFit="1" customWidth="1"/>
    <col min="12" max="12" width="14.453125" bestFit="1" customWidth="1"/>
    <col min="13" max="13" width="9" bestFit="1" customWidth="1"/>
    <col min="14" max="14" width="13.54296875" bestFit="1" customWidth="1"/>
    <col min="15" max="15" width="19" bestFit="1" customWidth="1"/>
  </cols>
  <sheetData>
    <row r="1" spans="1:15" ht="15" customHeight="1">
      <c r="A1" s="599" t="s">
        <v>193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1"/>
    </row>
    <row r="2" spans="1:15" ht="15.75" customHeight="1" thickBot="1">
      <c r="A2" s="602"/>
      <c r="B2" s="603"/>
      <c r="C2" s="603"/>
      <c r="D2" s="603"/>
      <c r="E2" s="603"/>
      <c r="F2" s="603"/>
      <c r="G2" s="603"/>
      <c r="H2" s="603"/>
      <c r="I2" s="603"/>
      <c r="J2" s="603"/>
      <c r="K2" s="603"/>
      <c r="L2" s="603"/>
      <c r="M2" s="603"/>
      <c r="N2" s="603"/>
      <c r="O2" s="604"/>
    </row>
    <row r="3" spans="1:15" ht="9" customHeight="1" thickBot="1">
      <c r="A3" s="53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</row>
    <row r="4" spans="1:15" ht="15.5" thickTop="1" thickBot="1">
      <c r="A4" s="536"/>
      <c r="B4" s="151" t="s">
        <v>390</v>
      </c>
      <c r="C4" s="152" t="s">
        <v>158</v>
      </c>
      <c r="D4" s="149" t="s">
        <v>160</v>
      </c>
      <c r="E4" s="153" t="s">
        <v>159</v>
      </c>
      <c r="F4" s="577" t="s">
        <v>184</v>
      </c>
      <c r="G4" s="150" t="s">
        <v>185</v>
      </c>
      <c r="H4" s="155" t="s">
        <v>186</v>
      </c>
      <c r="I4" s="151" t="s">
        <v>187</v>
      </c>
      <c r="J4" s="152" t="s">
        <v>188</v>
      </c>
      <c r="K4" s="150" t="s">
        <v>189</v>
      </c>
      <c r="L4" s="155" t="s">
        <v>190</v>
      </c>
      <c r="M4" s="152" t="s">
        <v>191</v>
      </c>
      <c r="N4" s="157" t="s">
        <v>192</v>
      </c>
      <c r="O4" s="159" t="s">
        <v>194</v>
      </c>
    </row>
    <row r="5" spans="1:15" ht="15" thickTop="1">
      <c r="A5" s="537">
        <v>43738</v>
      </c>
      <c r="B5" s="384">
        <f>'[1]General information '!B35</f>
        <v>28</v>
      </c>
      <c r="C5" s="384">
        <f>'[1]General information '!C35</f>
        <v>25</v>
      </c>
      <c r="D5" s="384">
        <f>'[1]General information '!D35</f>
        <v>26.5</v>
      </c>
      <c r="E5" s="570">
        <f>'[1]General information '!E35</f>
        <v>0.65</v>
      </c>
      <c r="F5" s="570">
        <f>'[1]General information '!F35</f>
        <v>0.64349999999999996</v>
      </c>
      <c r="G5" s="384">
        <f>'[1]General information '!G35</f>
        <v>148.005</v>
      </c>
      <c r="H5" s="384">
        <f>'[1]General information '!H35</f>
        <v>400</v>
      </c>
      <c r="I5" s="384">
        <f>'[1]General information '!I35</f>
        <v>0</v>
      </c>
      <c r="J5" s="384">
        <f>'[1]General information '!J35</f>
        <v>570</v>
      </c>
      <c r="K5" s="384">
        <f>'[1]General information '!K35</f>
        <v>970</v>
      </c>
      <c r="L5" s="384">
        <f>'[1]General information '!L35</f>
        <v>0</v>
      </c>
      <c r="M5" s="384">
        <f>'[1]General information '!M35</f>
        <v>0</v>
      </c>
      <c r="N5" s="384">
        <f>'[1]General information '!N35</f>
        <v>0</v>
      </c>
      <c r="O5" s="384">
        <f>'[1]General information '!O35</f>
        <v>0</v>
      </c>
    </row>
    <row r="6" spans="1:15">
      <c r="A6" s="537">
        <v>43739</v>
      </c>
      <c r="B6" s="37">
        <v>29</v>
      </c>
      <c r="C6" s="37">
        <v>25</v>
      </c>
      <c r="D6" s="26">
        <f t="shared" ref="D6:D12" si="0">(C6+B6)/2</f>
        <v>27</v>
      </c>
      <c r="E6" s="365">
        <v>0.66</v>
      </c>
      <c r="F6" s="371">
        <v>0.69130000000000003</v>
      </c>
      <c r="G6" s="249">
        <f t="shared" ref="G6:G12" si="1">F6*230</f>
        <v>158.999</v>
      </c>
      <c r="H6" s="3">
        <v>230</v>
      </c>
      <c r="I6" s="3"/>
      <c r="J6" s="37">
        <v>492</v>
      </c>
      <c r="K6" s="274">
        <f t="shared" ref="K6:K26" si="2">+J6+H6</f>
        <v>722</v>
      </c>
      <c r="L6" s="3"/>
      <c r="M6" s="3"/>
      <c r="N6" s="158"/>
      <c r="O6" s="3"/>
    </row>
    <row r="7" spans="1:15">
      <c r="A7" s="537">
        <v>43740</v>
      </c>
      <c r="B7" s="37">
        <v>28</v>
      </c>
      <c r="C7" s="37">
        <v>25</v>
      </c>
      <c r="D7" s="26">
        <f t="shared" si="0"/>
        <v>26.5</v>
      </c>
      <c r="E7" s="365">
        <v>0.65</v>
      </c>
      <c r="F7" s="371">
        <v>0.70430000000000004</v>
      </c>
      <c r="G7" s="249">
        <f t="shared" si="1"/>
        <v>161.989</v>
      </c>
      <c r="H7" s="3">
        <v>180</v>
      </c>
      <c r="I7" s="3"/>
      <c r="J7" s="37">
        <v>636</v>
      </c>
      <c r="K7" s="274">
        <f t="shared" si="2"/>
        <v>816</v>
      </c>
      <c r="L7" s="3"/>
      <c r="M7" s="3"/>
      <c r="N7" s="158"/>
      <c r="O7" s="3"/>
    </row>
    <row r="8" spans="1:15">
      <c r="A8" s="537">
        <v>43741</v>
      </c>
      <c r="B8" s="37">
        <v>28</v>
      </c>
      <c r="C8" s="37">
        <v>24</v>
      </c>
      <c r="D8" s="26">
        <f t="shared" si="0"/>
        <v>26</v>
      </c>
      <c r="E8" s="365">
        <v>0.59</v>
      </c>
      <c r="F8" s="365">
        <v>0.82169999999999999</v>
      </c>
      <c r="G8" s="249">
        <f t="shared" si="1"/>
        <v>188.99099999999999</v>
      </c>
      <c r="H8" s="3">
        <v>32</v>
      </c>
      <c r="I8" s="3"/>
      <c r="J8" s="37">
        <v>1043</v>
      </c>
      <c r="K8" s="274">
        <f t="shared" si="2"/>
        <v>1075</v>
      </c>
      <c r="L8" s="3"/>
      <c r="M8" s="173"/>
      <c r="N8" s="158"/>
      <c r="O8" s="3"/>
    </row>
    <row r="9" spans="1:15">
      <c r="A9" s="537">
        <v>43742</v>
      </c>
      <c r="B9" s="37">
        <v>28</v>
      </c>
      <c r="C9" s="37">
        <v>23</v>
      </c>
      <c r="D9" s="26">
        <f>(C9+B9)/2</f>
        <v>25.5</v>
      </c>
      <c r="E9" s="427">
        <v>0.6</v>
      </c>
      <c r="F9" s="427">
        <v>0.83399999999999996</v>
      </c>
      <c r="G9" s="249">
        <f>F9*230</f>
        <v>191.82</v>
      </c>
      <c r="H9" s="3">
        <v>491</v>
      </c>
      <c r="I9" s="3"/>
      <c r="J9" s="37">
        <v>761</v>
      </c>
      <c r="K9" s="274">
        <f>+J9+H9</f>
        <v>1252</v>
      </c>
      <c r="L9" s="3"/>
      <c r="M9" s="3"/>
      <c r="N9" s="158"/>
      <c r="O9" s="3"/>
    </row>
    <row r="10" spans="1:15">
      <c r="A10" s="537">
        <v>43743</v>
      </c>
      <c r="B10" s="37">
        <v>28</v>
      </c>
      <c r="C10" s="37">
        <v>24</v>
      </c>
      <c r="D10" s="26">
        <f t="shared" si="0"/>
        <v>26</v>
      </c>
      <c r="E10" s="382">
        <v>0.65</v>
      </c>
      <c r="F10" s="365">
        <v>0.76959999999999995</v>
      </c>
      <c r="G10" s="249">
        <f t="shared" si="1"/>
        <v>177.00799999999998</v>
      </c>
      <c r="H10" s="3">
        <v>140</v>
      </c>
      <c r="I10" s="3"/>
      <c r="J10" s="37">
        <v>963</v>
      </c>
      <c r="K10" s="274">
        <f t="shared" si="2"/>
        <v>1103</v>
      </c>
      <c r="L10" s="3"/>
      <c r="M10" s="3"/>
      <c r="N10" s="158"/>
      <c r="O10" s="3"/>
    </row>
    <row r="11" spans="1:15">
      <c r="A11" s="537">
        <v>43744</v>
      </c>
      <c r="B11" s="37">
        <v>29</v>
      </c>
      <c r="C11" s="37">
        <v>23</v>
      </c>
      <c r="D11" s="26">
        <f t="shared" si="0"/>
        <v>26</v>
      </c>
      <c r="E11" s="365">
        <v>0.61</v>
      </c>
      <c r="F11" s="365">
        <v>0.57389999999999997</v>
      </c>
      <c r="G11" s="249">
        <f t="shared" si="1"/>
        <v>131.99699999999999</v>
      </c>
      <c r="H11" s="3">
        <v>16</v>
      </c>
      <c r="I11" s="3"/>
      <c r="J11" s="37">
        <v>564</v>
      </c>
      <c r="K11" s="274">
        <f>+J11+H11</f>
        <v>580</v>
      </c>
      <c r="L11" s="3"/>
      <c r="M11" s="3"/>
      <c r="N11" s="158"/>
      <c r="O11" s="3"/>
    </row>
    <row r="12" spans="1:15">
      <c r="A12" s="537">
        <v>43745</v>
      </c>
      <c r="B12" s="37">
        <v>29</v>
      </c>
      <c r="C12" s="37">
        <v>24</v>
      </c>
      <c r="D12" s="26">
        <f t="shared" si="0"/>
        <v>26.5</v>
      </c>
      <c r="E12" s="365">
        <v>0.57999999999999996</v>
      </c>
      <c r="F12" s="365">
        <v>0.54349999999999998</v>
      </c>
      <c r="G12" s="249">
        <f t="shared" si="1"/>
        <v>125.005</v>
      </c>
      <c r="H12" s="3">
        <v>12</v>
      </c>
      <c r="I12" s="3"/>
      <c r="J12" s="37">
        <v>425</v>
      </c>
      <c r="K12" s="274">
        <f t="shared" si="2"/>
        <v>437</v>
      </c>
      <c r="L12" s="3"/>
      <c r="M12" s="3"/>
      <c r="N12" s="158"/>
      <c r="O12" s="3"/>
    </row>
    <row r="13" spans="1:15">
      <c r="A13" s="537">
        <v>43746</v>
      </c>
      <c r="B13" s="37">
        <v>29</v>
      </c>
      <c r="C13" s="37">
        <v>23</v>
      </c>
      <c r="D13" s="26">
        <f>(C13+B13)/2</f>
        <v>26</v>
      </c>
      <c r="E13" s="382">
        <v>0.59</v>
      </c>
      <c r="F13" s="382">
        <v>0.65649999999999997</v>
      </c>
      <c r="G13" s="249">
        <f>F13*230</f>
        <v>150.995</v>
      </c>
      <c r="H13" s="3">
        <v>26</v>
      </c>
      <c r="I13" s="3"/>
      <c r="J13" s="37">
        <v>407</v>
      </c>
      <c r="K13" s="274">
        <f>+J13+H13</f>
        <v>433</v>
      </c>
      <c r="L13" s="3"/>
      <c r="M13" s="3"/>
      <c r="N13" s="158"/>
      <c r="O13" s="3"/>
    </row>
    <row r="14" spans="1:15">
      <c r="A14" s="537">
        <v>43747</v>
      </c>
      <c r="B14" s="37">
        <v>29</v>
      </c>
      <c r="C14" s="37">
        <v>23</v>
      </c>
      <c r="D14" s="26">
        <f t="shared" ref="D14:D35" si="3">(C14+B14)/2</f>
        <v>26</v>
      </c>
      <c r="E14" s="365">
        <v>0.6</v>
      </c>
      <c r="F14" s="365">
        <v>0.72170000000000001</v>
      </c>
      <c r="G14" s="249">
        <f t="shared" ref="G14:G35" si="4">F14*230</f>
        <v>165.99100000000001</v>
      </c>
      <c r="H14" s="3">
        <v>71</v>
      </c>
      <c r="I14" s="3"/>
      <c r="J14" s="37">
        <v>543</v>
      </c>
      <c r="K14" s="274">
        <f t="shared" si="2"/>
        <v>614</v>
      </c>
      <c r="L14" s="3"/>
      <c r="M14" s="3"/>
      <c r="N14" s="158"/>
      <c r="O14" s="3"/>
    </row>
    <row r="15" spans="1:15">
      <c r="A15" s="537">
        <v>43748</v>
      </c>
      <c r="B15" s="37">
        <v>28</v>
      </c>
      <c r="C15" s="37">
        <v>22</v>
      </c>
      <c r="D15" s="26">
        <f t="shared" si="3"/>
        <v>25</v>
      </c>
      <c r="E15" s="365">
        <v>0.61</v>
      </c>
      <c r="F15" s="365">
        <v>0.8609</v>
      </c>
      <c r="G15" s="249">
        <f>F15*230</f>
        <v>198.00700000000001</v>
      </c>
      <c r="H15" s="3">
        <v>345</v>
      </c>
      <c r="I15" s="3"/>
      <c r="J15" s="37">
        <v>571</v>
      </c>
      <c r="K15" s="274">
        <f>+J15+H15</f>
        <v>916</v>
      </c>
      <c r="L15" s="3"/>
      <c r="M15" s="3"/>
      <c r="N15" s="158"/>
      <c r="O15" s="3"/>
    </row>
    <row r="16" spans="1:15">
      <c r="A16" s="537">
        <v>43749</v>
      </c>
      <c r="B16" s="37">
        <v>29</v>
      </c>
      <c r="C16" s="37">
        <v>23</v>
      </c>
      <c r="D16" s="26">
        <f t="shared" si="3"/>
        <v>26</v>
      </c>
      <c r="E16" s="365">
        <v>0.67</v>
      </c>
      <c r="F16" s="365">
        <v>0.8478</v>
      </c>
      <c r="G16" s="249">
        <f t="shared" si="4"/>
        <v>194.994</v>
      </c>
      <c r="H16" s="3">
        <v>0</v>
      </c>
      <c r="I16" s="3"/>
      <c r="J16" s="37">
        <v>708</v>
      </c>
      <c r="K16" s="274">
        <f>+J16+H16</f>
        <v>708</v>
      </c>
      <c r="L16" s="3"/>
      <c r="M16" s="3"/>
      <c r="N16" s="158"/>
      <c r="O16" s="3"/>
    </row>
    <row r="17" spans="1:15">
      <c r="A17" s="537">
        <v>43750</v>
      </c>
      <c r="B17" s="37">
        <v>28</v>
      </c>
      <c r="C17" s="37">
        <v>23</v>
      </c>
      <c r="D17" s="26">
        <f t="shared" si="3"/>
        <v>25.5</v>
      </c>
      <c r="E17" s="365">
        <v>0.69</v>
      </c>
      <c r="F17" s="365">
        <v>0.58699999999999997</v>
      </c>
      <c r="G17" s="249">
        <f t="shared" si="4"/>
        <v>135.01</v>
      </c>
      <c r="H17" s="3">
        <v>0</v>
      </c>
      <c r="I17" s="3"/>
      <c r="J17" s="482">
        <v>668</v>
      </c>
      <c r="K17" s="274">
        <f t="shared" si="2"/>
        <v>668</v>
      </c>
      <c r="L17" s="3"/>
      <c r="M17" s="3"/>
      <c r="N17" s="158"/>
      <c r="O17" s="3"/>
    </row>
    <row r="18" spans="1:15">
      <c r="A18" s="537">
        <v>43751</v>
      </c>
      <c r="B18" s="37">
        <v>30</v>
      </c>
      <c r="C18" s="37">
        <v>24</v>
      </c>
      <c r="D18" s="26">
        <f t="shared" si="3"/>
        <v>27</v>
      </c>
      <c r="E18" s="468">
        <v>0.54</v>
      </c>
      <c r="F18" s="365">
        <v>0.52610000000000001</v>
      </c>
      <c r="G18" s="249">
        <f t="shared" si="4"/>
        <v>121.003</v>
      </c>
      <c r="H18" s="3">
        <v>0</v>
      </c>
      <c r="I18" s="3"/>
      <c r="J18" s="3">
        <v>551</v>
      </c>
      <c r="K18" s="274">
        <f t="shared" si="2"/>
        <v>551</v>
      </c>
      <c r="L18" s="3"/>
      <c r="M18" s="3"/>
      <c r="N18" s="158"/>
      <c r="O18" s="3"/>
    </row>
    <row r="19" spans="1:15">
      <c r="A19" s="537">
        <v>43752</v>
      </c>
      <c r="B19" s="37">
        <v>29</v>
      </c>
      <c r="C19" s="37">
        <v>25</v>
      </c>
      <c r="D19" s="26">
        <f t="shared" si="3"/>
        <v>27</v>
      </c>
      <c r="E19" s="365">
        <v>0.6</v>
      </c>
      <c r="F19" s="365">
        <v>0.58260000000000001</v>
      </c>
      <c r="G19" s="249">
        <f t="shared" si="4"/>
        <v>133.99799999999999</v>
      </c>
      <c r="H19" s="3">
        <v>4</v>
      </c>
      <c r="I19" s="3"/>
      <c r="J19" s="3">
        <v>510</v>
      </c>
      <c r="K19" s="274">
        <f t="shared" si="2"/>
        <v>514</v>
      </c>
      <c r="L19" s="3"/>
      <c r="M19" s="3"/>
      <c r="N19" s="158"/>
      <c r="O19" s="3"/>
    </row>
    <row r="20" spans="1:15">
      <c r="A20" s="537">
        <v>43753</v>
      </c>
      <c r="B20" s="37"/>
      <c r="C20" s="37"/>
      <c r="D20" s="26">
        <f t="shared" si="3"/>
        <v>0</v>
      </c>
      <c r="E20" s="365"/>
      <c r="F20" s="365"/>
      <c r="G20" s="249">
        <f t="shared" si="4"/>
        <v>0</v>
      </c>
      <c r="H20" s="3"/>
      <c r="I20" s="3"/>
      <c r="J20" s="3"/>
      <c r="K20" s="274">
        <f t="shared" si="2"/>
        <v>0</v>
      </c>
      <c r="L20" s="3"/>
      <c r="M20" s="3"/>
      <c r="N20" s="158"/>
      <c r="O20" s="3"/>
    </row>
    <row r="21" spans="1:15">
      <c r="A21" s="537">
        <v>43754</v>
      </c>
      <c r="B21" s="37"/>
      <c r="C21" s="37"/>
      <c r="D21" s="26">
        <f>(C21+B21)/2</f>
        <v>0</v>
      </c>
      <c r="E21" s="365"/>
      <c r="F21" s="365"/>
      <c r="G21" s="249">
        <f t="shared" si="4"/>
        <v>0</v>
      </c>
      <c r="H21" s="3"/>
      <c r="I21" s="3"/>
      <c r="J21" s="3"/>
      <c r="K21" s="274">
        <f t="shared" si="2"/>
        <v>0</v>
      </c>
      <c r="L21" s="3"/>
      <c r="M21" s="3"/>
      <c r="N21" s="158"/>
      <c r="O21" s="3"/>
    </row>
    <row r="22" spans="1:15">
      <c r="A22" s="537">
        <v>43755</v>
      </c>
      <c r="B22" s="37"/>
      <c r="C22" s="37"/>
      <c r="D22" s="26">
        <f t="shared" si="3"/>
        <v>0</v>
      </c>
      <c r="E22" s="365"/>
      <c r="F22" s="427"/>
      <c r="G22" s="249">
        <f t="shared" si="4"/>
        <v>0</v>
      </c>
      <c r="H22" s="3"/>
      <c r="I22" s="3"/>
      <c r="J22" s="3"/>
      <c r="K22" s="274">
        <f t="shared" si="2"/>
        <v>0</v>
      </c>
      <c r="L22" s="3"/>
      <c r="M22" s="3"/>
      <c r="N22" s="158"/>
      <c r="O22" s="3"/>
    </row>
    <row r="23" spans="1:15">
      <c r="A23" s="537">
        <v>43756</v>
      </c>
      <c r="B23" s="37"/>
      <c r="C23" s="37"/>
      <c r="D23" s="26">
        <f>(C23+B23)/2</f>
        <v>0</v>
      </c>
      <c r="E23" s="365"/>
      <c r="F23" s="365"/>
      <c r="G23" s="249">
        <f t="shared" si="4"/>
        <v>0</v>
      </c>
      <c r="H23" s="3"/>
      <c r="I23" s="3"/>
      <c r="J23" s="3"/>
      <c r="K23" s="274">
        <f t="shared" si="2"/>
        <v>0</v>
      </c>
      <c r="L23" s="3"/>
      <c r="M23" s="3"/>
      <c r="N23" s="158"/>
      <c r="O23" s="3"/>
    </row>
    <row r="24" spans="1:15">
      <c r="A24" s="537">
        <v>43757</v>
      </c>
      <c r="B24" s="37"/>
      <c r="C24" s="37"/>
      <c r="D24" s="26">
        <f t="shared" si="3"/>
        <v>0</v>
      </c>
      <c r="E24" s="365"/>
      <c r="F24" s="365"/>
      <c r="G24" s="249">
        <f t="shared" si="4"/>
        <v>0</v>
      </c>
      <c r="H24" s="3"/>
      <c r="I24" s="3"/>
      <c r="J24" s="3"/>
      <c r="K24" s="274">
        <f t="shared" si="2"/>
        <v>0</v>
      </c>
      <c r="L24" s="3"/>
      <c r="M24" s="3"/>
      <c r="N24" s="158"/>
      <c r="O24" s="3"/>
    </row>
    <row r="25" spans="1:15">
      <c r="A25" s="537">
        <v>43758</v>
      </c>
      <c r="B25" s="37"/>
      <c r="C25" s="37"/>
      <c r="D25" s="26">
        <f t="shared" si="3"/>
        <v>0</v>
      </c>
      <c r="E25" s="365"/>
      <c r="F25" s="365"/>
      <c r="G25" s="249">
        <f t="shared" si="4"/>
        <v>0</v>
      </c>
      <c r="H25" s="3"/>
      <c r="I25" s="3"/>
      <c r="J25" s="3"/>
      <c r="K25" s="274">
        <f t="shared" si="2"/>
        <v>0</v>
      </c>
      <c r="L25" s="3"/>
      <c r="M25" s="3"/>
      <c r="N25" s="158"/>
      <c r="O25" s="3"/>
    </row>
    <row r="26" spans="1:15">
      <c r="A26" s="537">
        <v>43759</v>
      </c>
      <c r="B26" s="37"/>
      <c r="C26" s="37"/>
      <c r="D26" s="26">
        <f>(C26+B26)/2</f>
        <v>0</v>
      </c>
      <c r="E26" s="365"/>
      <c r="F26" s="365"/>
      <c r="G26" s="249">
        <f t="shared" si="4"/>
        <v>0</v>
      </c>
      <c r="H26" s="3"/>
      <c r="I26" s="3"/>
      <c r="J26" s="3"/>
      <c r="K26" s="274">
        <f t="shared" si="2"/>
        <v>0</v>
      </c>
      <c r="L26" s="3"/>
      <c r="M26" s="3"/>
      <c r="N26" s="158"/>
      <c r="O26" s="3"/>
    </row>
    <row r="27" spans="1:15">
      <c r="A27" s="537">
        <v>43760</v>
      </c>
      <c r="B27" s="37"/>
      <c r="C27" s="37"/>
      <c r="D27" s="26">
        <f t="shared" si="3"/>
        <v>0</v>
      </c>
      <c r="E27" s="365"/>
      <c r="F27" s="365"/>
      <c r="G27" s="249">
        <f t="shared" si="4"/>
        <v>0</v>
      </c>
      <c r="H27" s="3"/>
      <c r="I27" s="3"/>
      <c r="J27" s="3"/>
      <c r="K27" s="274">
        <f>+J27+H27+I27</f>
        <v>0</v>
      </c>
      <c r="L27" s="3"/>
      <c r="M27" s="3"/>
      <c r="N27" s="158"/>
      <c r="O27" s="3"/>
    </row>
    <row r="28" spans="1:15">
      <c r="A28" s="537">
        <v>43761</v>
      </c>
      <c r="B28" s="37"/>
      <c r="C28" s="37"/>
      <c r="D28" s="26">
        <f t="shared" si="3"/>
        <v>0</v>
      </c>
      <c r="E28" s="365"/>
      <c r="F28" s="365"/>
      <c r="G28" s="249">
        <f t="shared" si="4"/>
        <v>0</v>
      </c>
      <c r="H28" s="3"/>
      <c r="I28" s="3"/>
      <c r="J28" s="3"/>
      <c r="K28" s="274">
        <f t="shared" ref="K28:K35" si="5">+J28+H28+I28</f>
        <v>0</v>
      </c>
      <c r="L28" s="3"/>
      <c r="M28" s="3"/>
      <c r="N28" s="158"/>
      <c r="O28" s="3"/>
    </row>
    <row r="29" spans="1:15">
      <c r="A29" s="537">
        <v>43762</v>
      </c>
      <c r="B29" s="37"/>
      <c r="C29" s="37"/>
      <c r="D29" s="26">
        <f t="shared" si="3"/>
        <v>0</v>
      </c>
      <c r="E29" s="365"/>
      <c r="F29" s="365"/>
      <c r="G29" s="249">
        <f t="shared" si="4"/>
        <v>0</v>
      </c>
      <c r="H29" s="3"/>
      <c r="I29" s="3"/>
      <c r="J29" s="3"/>
      <c r="K29" s="274">
        <f t="shared" si="5"/>
        <v>0</v>
      </c>
      <c r="L29" s="3"/>
      <c r="M29" s="3"/>
      <c r="N29" s="158"/>
      <c r="O29" s="3"/>
    </row>
    <row r="30" spans="1:15">
      <c r="A30" s="537">
        <v>43763</v>
      </c>
      <c r="B30" s="37"/>
      <c r="C30" s="37"/>
      <c r="D30" s="26">
        <f t="shared" si="3"/>
        <v>0</v>
      </c>
      <c r="E30" s="365"/>
      <c r="F30" s="427"/>
      <c r="G30" s="249">
        <f t="shared" si="4"/>
        <v>0</v>
      </c>
      <c r="H30" s="3"/>
      <c r="I30" s="3"/>
      <c r="J30" s="3"/>
      <c r="K30" s="274">
        <f t="shared" si="5"/>
        <v>0</v>
      </c>
      <c r="L30" s="3"/>
      <c r="M30" s="3"/>
      <c r="N30" s="158"/>
      <c r="O30" s="3"/>
    </row>
    <row r="31" spans="1:15">
      <c r="A31" s="537">
        <v>43764</v>
      </c>
      <c r="B31" s="37"/>
      <c r="C31" s="37"/>
      <c r="D31" s="3">
        <f t="shared" si="3"/>
        <v>0</v>
      </c>
      <c r="E31" s="366"/>
      <c r="F31" s="298"/>
      <c r="G31" s="249">
        <f t="shared" si="4"/>
        <v>0</v>
      </c>
      <c r="H31" s="3"/>
      <c r="I31" s="3"/>
      <c r="J31" s="37"/>
      <c r="K31" s="274">
        <f t="shared" si="5"/>
        <v>0</v>
      </c>
      <c r="L31" s="3"/>
      <c r="M31" s="3"/>
      <c r="N31" s="158"/>
      <c r="O31" s="3"/>
    </row>
    <row r="32" spans="1:15">
      <c r="A32" s="537">
        <v>43765</v>
      </c>
      <c r="B32" s="37"/>
      <c r="C32" s="37"/>
      <c r="D32" s="297">
        <f>(C32+B32)/2</f>
        <v>0</v>
      </c>
      <c r="E32" s="366"/>
      <c r="F32" s="370"/>
      <c r="G32" s="249">
        <f t="shared" si="4"/>
        <v>0</v>
      </c>
      <c r="H32" s="3"/>
      <c r="I32" s="3"/>
      <c r="J32" s="3"/>
      <c r="K32" s="274">
        <f t="shared" si="5"/>
        <v>0</v>
      </c>
      <c r="L32" s="3"/>
      <c r="M32" s="3"/>
      <c r="N32" s="158"/>
      <c r="O32" s="3"/>
    </row>
    <row r="33" spans="1:15">
      <c r="A33" s="537">
        <v>43766</v>
      </c>
      <c r="B33" s="37"/>
      <c r="C33" s="37"/>
      <c r="D33" s="26">
        <f t="shared" si="3"/>
        <v>0</v>
      </c>
      <c r="E33" s="365"/>
      <c r="F33" s="365"/>
      <c r="G33" s="249">
        <f t="shared" si="4"/>
        <v>0</v>
      </c>
      <c r="H33" s="3"/>
      <c r="I33" s="3"/>
      <c r="J33" s="3"/>
      <c r="K33" s="274">
        <f t="shared" si="5"/>
        <v>0</v>
      </c>
      <c r="L33" s="3"/>
      <c r="M33" s="3"/>
      <c r="N33" s="158"/>
      <c r="O33" s="3"/>
    </row>
    <row r="34" spans="1:15">
      <c r="A34" s="537">
        <v>43767</v>
      </c>
      <c r="B34" s="37"/>
      <c r="C34" s="37"/>
      <c r="D34" s="26">
        <f t="shared" si="3"/>
        <v>0</v>
      </c>
      <c r="E34" s="365"/>
      <c r="F34" s="365"/>
      <c r="G34" s="249">
        <f t="shared" si="4"/>
        <v>0</v>
      </c>
      <c r="H34" s="3"/>
      <c r="I34" s="3"/>
      <c r="J34" s="3"/>
      <c r="K34" s="274">
        <f t="shared" si="5"/>
        <v>0</v>
      </c>
      <c r="L34" s="3"/>
      <c r="M34" s="3"/>
      <c r="N34" s="158"/>
      <c r="O34" s="3"/>
    </row>
    <row r="35" spans="1:15">
      <c r="A35" s="537">
        <v>43768</v>
      </c>
      <c r="B35" s="37"/>
      <c r="C35" s="37"/>
      <c r="D35" s="26">
        <f t="shared" si="3"/>
        <v>0</v>
      </c>
      <c r="E35" s="382"/>
      <c r="F35" s="382"/>
      <c r="G35" s="249">
        <f t="shared" si="4"/>
        <v>0</v>
      </c>
      <c r="H35" s="3"/>
      <c r="I35" s="3"/>
      <c r="J35" s="3"/>
      <c r="K35" s="274">
        <f t="shared" si="5"/>
        <v>0</v>
      </c>
      <c r="L35" s="3"/>
      <c r="M35" s="3"/>
      <c r="N35" s="158"/>
      <c r="O35" s="3"/>
    </row>
    <row r="36" spans="1:15">
      <c r="A36" s="537">
        <v>43769</v>
      </c>
      <c r="B36" s="37"/>
      <c r="C36" s="37"/>
      <c r="D36" s="26">
        <f>(C36+B36)/2</f>
        <v>0</v>
      </c>
      <c r="E36" s="427"/>
      <c r="F36" s="427"/>
      <c r="G36" s="249">
        <f>F36*230</f>
        <v>0</v>
      </c>
      <c r="H36" s="3"/>
      <c r="I36" s="3"/>
      <c r="J36" s="3"/>
      <c r="K36" s="274">
        <f>+J36+H36+I36</f>
        <v>0</v>
      </c>
      <c r="L36" s="3"/>
      <c r="M36" s="3"/>
      <c r="N36" s="158"/>
      <c r="O36" s="3"/>
    </row>
    <row r="37" spans="1:15">
      <c r="D37" s="272"/>
      <c r="F37" s="217">
        <f>AVERAGE(F6:F36)</f>
        <v>0.69434999999999991</v>
      </c>
      <c r="G37" s="209">
        <f>SUM(G6:G35)</f>
        <v>2235.8070000000002</v>
      </c>
    </row>
    <row r="38" spans="1:15">
      <c r="D38" s="272">
        <f>SUM(D6:D36)/'EDl log'!A36</f>
        <v>26.142857142857142</v>
      </c>
      <c r="F38" s="217"/>
    </row>
    <row r="41" spans="1:15">
      <c r="I41" s="449" t="s">
        <v>316</v>
      </c>
    </row>
  </sheetData>
  <mergeCells count="1">
    <mergeCell ref="A1:O2"/>
  </mergeCells>
  <hyperlinks>
    <hyperlink ref="I41" r:id="rId1" xr:uid="{00000000-0004-0000-0600-000000000000}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I40"/>
  <sheetViews>
    <sheetView zoomScale="90" zoomScaleNormal="90" workbookViewId="0">
      <pane xSplit="1" topLeftCell="AH1" activePane="topRight" state="frozen"/>
      <selection pane="topRight" activeCell="AX19" sqref="AX19"/>
    </sheetView>
  </sheetViews>
  <sheetFormatPr defaultRowHeight="14.5"/>
  <cols>
    <col min="1" max="1" width="27.7265625" bestFit="1" customWidth="1"/>
    <col min="8" max="8" width="7" bestFit="1" customWidth="1"/>
    <col min="9" max="9" width="8.81640625" bestFit="1" customWidth="1"/>
    <col min="10" max="10" width="6.81640625" bestFit="1" customWidth="1"/>
    <col min="11" max="11" width="8.81640625" bestFit="1" customWidth="1"/>
    <col min="12" max="12" width="6.81640625" bestFit="1" customWidth="1"/>
    <col min="13" max="13" width="8.81640625" bestFit="1" customWidth="1"/>
    <col min="14" max="14" width="6.81640625" bestFit="1" customWidth="1"/>
    <col min="15" max="15" width="8.81640625" bestFit="1" customWidth="1"/>
    <col min="16" max="16" width="6.81640625" bestFit="1" customWidth="1"/>
    <col min="17" max="17" width="8.81640625" bestFit="1" customWidth="1"/>
    <col min="18" max="18" width="6.81640625" bestFit="1" customWidth="1"/>
    <col min="19" max="19" width="8.81640625" bestFit="1" customWidth="1"/>
    <col min="20" max="20" width="7.81640625" bestFit="1" customWidth="1"/>
    <col min="21" max="21" width="8.81640625" bestFit="1" customWidth="1"/>
    <col min="22" max="22" width="7.81640625" bestFit="1" customWidth="1"/>
    <col min="23" max="23" width="8.81640625" bestFit="1" customWidth="1"/>
    <col min="24" max="24" width="4.7265625" style="483" bestFit="1" customWidth="1"/>
    <col min="25" max="25" width="10" bestFit="1" customWidth="1"/>
    <col min="26" max="26" width="6.81640625" bestFit="1" customWidth="1"/>
    <col min="27" max="27" width="8.81640625" bestFit="1" customWidth="1"/>
    <col min="28" max="28" width="6.81640625" bestFit="1" customWidth="1"/>
    <col min="29" max="29" width="8.81640625" bestFit="1" customWidth="1"/>
    <col min="30" max="30" width="6.81640625" bestFit="1" customWidth="1"/>
    <col min="31" max="31" width="8.81640625" bestFit="1" customWidth="1"/>
    <col min="32" max="32" width="6.81640625" bestFit="1" customWidth="1"/>
    <col min="33" max="33" width="8.81640625" bestFit="1" customWidth="1"/>
    <col min="34" max="34" width="7" bestFit="1" customWidth="1"/>
    <col min="35" max="35" width="6.1796875" bestFit="1" customWidth="1"/>
    <col min="36" max="36" width="7" bestFit="1" customWidth="1"/>
    <col min="37" max="37" width="6.26953125" customWidth="1"/>
    <col min="38" max="38" width="7" bestFit="1" customWidth="1"/>
    <col min="39" max="39" width="8.81640625" customWidth="1"/>
    <col min="40" max="40" width="4.7265625" style="567" bestFit="1" customWidth="1"/>
    <col min="41" max="41" width="3.453125" customWidth="1"/>
    <col min="42" max="42" width="7" style="22" customWidth="1"/>
    <col min="43" max="43" width="10.7265625" bestFit="1" customWidth="1"/>
    <col min="44" max="44" width="11.54296875" bestFit="1" customWidth="1"/>
    <col min="45" max="45" width="12.453125" style="168" customWidth="1"/>
    <col min="47" max="47" width="9" bestFit="1" customWidth="1"/>
    <col min="48" max="48" width="9.26953125" style="325" customWidth="1"/>
    <col min="49" max="49" width="14.1796875" bestFit="1" customWidth="1"/>
    <col min="50" max="50" width="10.453125" bestFit="1" customWidth="1"/>
    <col min="51" max="51" width="10.453125" customWidth="1"/>
    <col min="52" max="52" width="10.54296875" bestFit="1" customWidth="1"/>
    <col min="53" max="53" width="9.81640625" bestFit="1" customWidth="1"/>
    <col min="54" max="54" width="13.26953125" customWidth="1"/>
    <col min="55" max="56" width="9.1796875" hidden="1" customWidth="1"/>
    <col min="57" max="57" width="11.453125" hidden="1" customWidth="1"/>
    <col min="58" max="58" width="8.7265625" hidden="1" customWidth="1"/>
    <col min="59" max="59" width="10.453125" hidden="1" customWidth="1"/>
    <col min="60" max="60" width="0.269531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30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6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30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6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7" t="s">
        <v>108</v>
      </c>
      <c r="AS3" s="607" t="s">
        <v>234</v>
      </c>
      <c r="AT3" s="605" t="s">
        <v>302</v>
      </c>
      <c r="AU3" s="606"/>
      <c r="AV3" s="32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8"/>
      <c r="AS4" s="608"/>
      <c r="AT4" s="3" t="s">
        <v>71</v>
      </c>
      <c r="AU4" s="3" t="s">
        <v>222</v>
      </c>
      <c r="AV4" s="327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95">
        <f>ELEC!C2</f>
        <v>43738</v>
      </c>
      <c r="B5" s="209">
        <f>[1]tanks!B35</f>
        <v>202</v>
      </c>
      <c r="C5" s="209">
        <f>[1]tanks!C35</f>
        <v>4346.2580645161288</v>
      </c>
      <c r="D5" s="209">
        <f>[1]tanks!D35</f>
        <v>202</v>
      </c>
      <c r="E5" s="209">
        <f>[1]tanks!E35</f>
        <v>4346.2580645161288</v>
      </c>
      <c r="F5" s="209">
        <f>[1]tanks!F35</f>
        <v>202</v>
      </c>
      <c r="G5" s="209">
        <f>[1]tanks!G35</f>
        <v>4346.2580645161288</v>
      </c>
      <c r="H5" s="209">
        <f>[1]tanks!H35</f>
        <v>202</v>
      </c>
      <c r="I5" s="209">
        <f>[1]tanks!I35</f>
        <v>4346.2580645161288</v>
      </c>
      <c r="J5" s="209">
        <f>[1]tanks!J35</f>
        <v>202</v>
      </c>
      <c r="K5" s="209">
        <f>[1]tanks!K35</f>
        <v>4346.2580645161288</v>
      </c>
      <c r="L5" s="209">
        <f>[1]tanks!L35</f>
        <v>202</v>
      </c>
      <c r="M5" s="209">
        <f>[1]tanks!M35</f>
        <v>4346.2580645161288</v>
      </c>
      <c r="N5" s="209">
        <f>[1]tanks!N35</f>
        <v>202</v>
      </c>
      <c r="O5" s="209">
        <f>[1]tanks!O35</f>
        <v>4346.2580645161288</v>
      </c>
      <c r="P5" s="209">
        <f>[1]tanks!P35</f>
        <v>202</v>
      </c>
      <c r="Q5" s="209">
        <f>[1]tanks!Q35</f>
        <v>4346.2580645161288</v>
      </c>
      <c r="R5" s="209">
        <f>[1]tanks!R35</f>
        <v>202</v>
      </c>
      <c r="S5" s="209">
        <f>[1]tanks!S35</f>
        <v>4346.2580645161288</v>
      </c>
      <c r="T5" s="209">
        <f>[1]tanks!T35</f>
        <v>202</v>
      </c>
      <c r="U5" s="209">
        <f>[1]tanks!U35</f>
        <v>4346.2580645161288</v>
      </c>
      <c r="V5" s="209">
        <f>[1]tanks!V35</f>
        <v>202</v>
      </c>
      <c r="W5" s="209">
        <f>[1]tanks!W35</f>
        <v>4346.2580645161288</v>
      </c>
      <c r="X5" s="567">
        <f>[1]tanks!X35</f>
        <v>0.65161290322580645</v>
      </c>
      <c r="Y5" s="209">
        <f>[1]tanks!Y35</f>
        <v>47808.838709677417</v>
      </c>
      <c r="Z5" s="209">
        <f>[1]tanks!Z35</f>
        <v>219</v>
      </c>
      <c r="AA5" s="209">
        <f>[1]tanks!AA35</f>
        <v>2190</v>
      </c>
      <c r="AB5" s="209">
        <f>[1]tanks!AB35</f>
        <v>219</v>
      </c>
      <c r="AC5" s="209">
        <f>[1]tanks!AC35</f>
        <v>2190</v>
      </c>
      <c r="AD5" s="209">
        <f>[1]tanks!AD35</f>
        <v>219</v>
      </c>
      <c r="AE5" s="209">
        <f>[1]tanks!AE35</f>
        <v>2190</v>
      </c>
      <c r="AF5" s="209">
        <f>[1]tanks!AF35</f>
        <v>219</v>
      </c>
      <c r="AG5" s="209">
        <f>[1]tanks!AG35</f>
        <v>2190</v>
      </c>
      <c r="AH5" s="209">
        <f>[1]tanks!AH35</f>
        <v>219</v>
      </c>
      <c r="AI5" s="209">
        <f>[1]tanks!AI35</f>
        <v>2190</v>
      </c>
      <c r="AJ5" s="209">
        <f>[1]tanks!AJ35</f>
        <v>219</v>
      </c>
      <c r="AK5" s="209">
        <f>[1]tanks!AK35</f>
        <v>2190</v>
      </c>
      <c r="AL5" s="209">
        <f>[1]tanks!AL35</f>
        <v>219</v>
      </c>
      <c r="AM5" s="209">
        <f>[1]tanks!AM35</f>
        <v>2190</v>
      </c>
      <c r="AN5" s="567">
        <f>[1]tanks!AN35</f>
        <v>0.78214285714285714</v>
      </c>
      <c r="AO5" s="209">
        <f>[1]tanks!AO35</f>
        <v>15330</v>
      </c>
      <c r="AP5" s="209">
        <f>[2]tanks!AP35</f>
        <v>0</v>
      </c>
      <c r="AQ5" s="567">
        <f>[1]tanks!AQ35</f>
        <v>0.67913131880905042</v>
      </c>
      <c r="AR5" s="209">
        <f>[1]tanks!AR35</f>
        <v>63138.838709677417</v>
      </c>
      <c r="AS5" s="209">
        <f>[1]tanks!AS35</f>
        <v>-2493.8064516129089</v>
      </c>
      <c r="AT5" s="575">
        <f>[1]tanks!AT35</f>
        <v>8784</v>
      </c>
      <c r="AU5" s="576">
        <f>[1]tanks!AU35</f>
        <v>0.54</v>
      </c>
      <c r="AV5" s="10">
        <f>[1]tanks!AV35</f>
        <v>0.54</v>
      </c>
      <c r="AW5" s="10">
        <f>[1]tanks!AW35</f>
        <v>-888.10000000003492</v>
      </c>
      <c r="AX5" s="10">
        <f>[1]tanks!AX35</f>
        <v>-1605.7064516128739</v>
      </c>
      <c r="AY5" s="10">
        <f>[1]tanks!AY35</f>
        <v>-2493.8064516129089</v>
      </c>
      <c r="AZ5" s="567">
        <f>[1]tanks!AZ35</f>
        <v>0.64349999999999996</v>
      </c>
      <c r="BA5" s="10">
        <f>[1]tanks!BA35</f>
        <v>26.5</v>
      </c>
      <c r="BB5" s="567">
        <f>[1]tanks!BB35</f>
        <v>0.65</v>
      </c>
      <c r="BC5" s="493">
        <f>[3]tanks!BC36</f>
        <v>0</v>
      </c>
      <c r="BD5" s="493">
        <f>[3]tanks!BD36</f>
        <v>19222</v>
      </c>
      <c r="BE5" s="493" t="e">
        <f>[3]tanks!BE36</f>
        <v>#REF!</v>
      </c>
      <c r="BF5" s="493">
        <f>[3]tanks!BF36</f>
        <v>0</v>
      </c>
      <c r="BG5" s="493" t="e">
        <f>[3]tanks!BG36</f>
        <v>#REF!</v>
      </c>
      <c r="BH5" s="493">
        <f>[3]tanks!BH36</f>
        <v>0</v>
      </c>
      <c r="BI5" s="209"/>
    </row>
    <row r="6" spans="1:61">
      <c r="A6" s="495">
        <f>ELEC!C3</f>
        <v>43739</v>
      </c>
      <c r="B6">
        <f>'B5'!B5</f>
        <v>188</v>
      </c>
      <c r="C6" s="209">
        <f>B6*$B$4</f>
        <v>4045.0322580645161</v>
      </c>
      <c r="D6">
        <f>SUM(B6)</f>
        <v>188</v>
      </c>
      <c r="E6" s="209">
        <f>D6*$B$4</f>
        <v>4045.0322580645161</v>
      </c>
      <c r="F6">
        <f>SUM(D6)</f>
        <v>188</v>
      </c>
      <c r="G6" s="209">
        <f t="shared" ref="G6:G35" si="1">F6*$B$4</f>
        <v>4045.0322580645161</v>
      </c>
      <c r="H6" s="209">
        <f>SUM(F6)</f>
        <v>188</v>
      </c>
      <c r="I6" s="209">
        <f t="shared" ref="I6:I35" si="2">H6*$B$4</f>
        <v>4045.0322580645161</v>
      </c>
      <c r="J6" s="209">
        <f>SUM(H6)</f>
        <v>188</v>
      </c>
      <c r="K6" s="209">
        <f t="shared" ref="K6:K35" si="3">J6*$B$4</f>
        <v>4045.0322580645161</v>
      </c>
      <c r="L6" s="209">
        <f>SUM(J6)</f>
        <v>188</v>
      </c>
      <c r="M6" s="209">
        <f t="shared" ref="M6:M35" si="4">L6*$B$4</f>
        <v>4045.0322580645161</v>
      </c>
      <c r="N6" s="209">
        <f>SUM(L6)</f>
        <v>188</v>
      </c>
      <c r="O6" s="209">
        <f t="shared" ref="O6:O35" si="5">N6*$B$4</f>
        <v>4045.0322580645161</v>
      </c>
      <c r="P6" s="209">
        <f>SUM(N6)</f>
        <v>188</v>
      </c>
      <c r="Q6" s="209">
        <f t="shared" ref="Q6:Q35" si="6">P6*$B$4</f>
        <v>4045.0322580645161</v>
      </c>
      <c r="R6" s="209">
        <f>SUM(P6)</f>
        <v>188</v>
      </c>
      <c r="S6" s="209">
        <f t="shared" ref="S6:S35" si="7">R6*$B$4</f>
        <v>4045.0322580645161</v>
      </c>
      <c r="T6" s="209">
        <f>SUM(R6)</f>
        <v>188</v>
      </c>
      <c r="U6" s="209">
        <f t="shared" ref="U6:U35" si="8">T6*$B$4</f>
        <v>4045.0322580645161</v>
      </c>
      <c r="V6" s="209">
        <f>SUM(T6)</f>
        <v>188</v>
      </c>
      <c r="W6" s="209">
        <f t="shared" ref="W6:W35" si="9">V6*$B$4</f>
        <v>4045.0322580645161</v>
      </c>
      <c r="X6" s="35">
        <f t="shared" ref="X6:X29" si="10">SUM(Y6/73370)</f>
        <v>0.6064516129032258</v>
      </c>
      <c r="Y6" s="36">
        <f>SUM(C6+E6+G6+I6+K6+M6+O6+Q6+S6+U6+W6)</f>
        <v>44495.354838709674</v>
      </c>
      <c r="Z6" s="209">
        <f>'B5'!C5</f>
        <v>194</v>
      </c>
      <c r="AA6" s="209">
        <f>SUM(Z6*$Z$4)</f>
        <v>1940</v>
      </c>
      <c r="AB6" s="209">
        <f>SUM(Z6)</f>
        <v>194</v>
      </c>
      <c r="AC6" s="209">
        <f>SUM(AB6*$Z$4)</f>
        <v>1940</v>
      </c>
      <c r="AD6" s="209">
        <f>SUM(AB6)</f>
        <v>194</v>
      </c>
      <c r="AE6" s="209">
        <f t="shared" ref="AE6:AE35" si="11">SUM(AD6*$Z$4)</f>
        <v>1940</v>
      </c>
      <c r="AF6" s="209">
        <f>SUM(AD6)</f>
        <v>194</v>
      </c>
      <c r="AG6" s="209">
        <f t="shared" ref="AG6:AG35" si="12">SUM(AF6*$Z$4)</f>
        <v>1940</v>
      </c>
      <c r="AH6" s="209">
        <f>SUM(AF6)</f>
        <v>194</v>
      </c>
      <c r="AI6" s="209">
        <f t="shared" ref="AI6:AI35" si="13">SUM(AH6*$Z$4)</f>
        <v>1940</v>
      </c>
      <c r="AJ6" s="209">
        <f>SUM(AH6)</f>
        <v>194</v>
      </c>
      <c r="AK6" s="209">
        <f t="shared" ref="AK6:AK35" si="14">SUM(AJ6*$Z$4)</f>
        <v>1940</v>
      </c>
      <c r="AL6" s="209">
        <f>SUM(AJ6)</f>
        <v>194</v>
      </c>
      <c r="AM6" s="209">
        <f t="shared" ref="AM6:AM35" si="15">SUM(AL6*$Z$4)</f>
        <v>1940</v>
      </c>
      <c r="AN6" s="35">
        <f t="shared" ref="AN6:AN29" si="16">SUM(AO6/19600)</f>
        <v>0.69285714285714284</v>
      </c>
      <c r="AO6" s="36">
        <f t="shared" ref="AO6:AO29" si="17">SUM(AA6+AC6+AE6+AG6+AI6+AK6+AM6)</f>
        <v>13580</v>
      </c>
      <c r="AQ6" s="229">
        <f>SUM(AR6/92970)</f>
        <v>0.62466768676680295</v>
      </c>
      <c r="AR6" s="38">
        <f>SUM(AO6+Y6)</f>
        <v>58075.354838709674</v>
      </c>
      <c r="AS6" s="203">
        <f>SUM(AR6-AR5-AT6)</f>
        <v>-5063.4838709677424</v>
      </c>
      <c r="AT6" s="383"/>
      <c r="AU6" s="486"/>
      <c r="AV6" s="328">
        <f>IF(AT6&gt;0,AU6,AV5)</f>
        <v>0.54</v>
      </c>
      <c r="AW6" s="308">
        <f>-SUM('B5'!AI5)</f>
        <v>-839.09999999997672</v>
      </c>
      <c r="AX6" s="308">
        <f>-SUM(AW6-AS6)</f>
        <v>-4224.3838709677657</v>
      </c>
      <c r="AY6" s="37">
        <f>SUM(AX6+AW6)</f>
        <v>-5063.4838709677424</v>
      </c>
      <c r="AZ6" s="101">
        <f>ELEC!A3</f>
        <v>0.69130000000000003</v>
      </c>
      <c r="BA6" s="119">
        <f>'General information '!D6</f>
        <v>27</v>
      </c>
      <c r="BB6" s="298">
        <f>SUM('General information '!E6)</f>
        <v>0.66</v>
      </c>
      <c r="BC6" s="3">
        <f>IF(AR3&gt;=AR6,0,1)</f>
        <v>0</v>
      </c>
      <c r="BD6" s="103">
        <v>19222</v>
      </c>
      <c r="BE6" s="14">
        <f>(305/1185)*ELEC!Q4</f>
        <v>2646.93670886067</v>
      </c>
      <c r="BF6" s="14"/>
      <c r="BG6" s="14" t="e">
        <f>#REF!-BE6</f>
        <v>#REF!</v>
      </c>
      <c r="BH6" s="11">
        <v>21</v>
      </c>
    </row>
    <row r="7" spans="1:61">
      <c r="A7" s="495">
        <f>ELEC!C4</f>
        <v>43740</v>
      </c>
      <c r="B7">
        <f>'B5'!B6</f>
        <v>174</v>
      </c>
      <c r="C7" s="209">
        <f t="shared" ref="C7:E35" si="18">B7*$B$4</f>
        <v>3743.8064516129029</v>
      </c>
      <c r="D7">
        <f t="shared" ref="D7:D29" si="19">SUM(B7)</f>
        <v>174</v>
      </c>
      <c r="E7" s="209">
        <f t="shared" si="18"/>
        <v>3743.8064516129029</v>
      </c>
      <c r="F7">
        <f t="shared" ref="F7:F29" si="20">SUM(D7)</f>
        <v>174</v>
      </c>
      <c r="G7" s="209">
        <f t="shared" si="1"/>
        <v>3743.8064516129029</v>
      </c>
      <c r="H7" s="209">
        <f t="shared" ref="H7:H29" si="21">SUM(F7)</f>
        <v>174</v>
      </c>
      <c r="I7" s="209">
        <f t="shared" si="2"/>
        <v>3743.8064516129029</v>
      </c>
      <c r="J7" s="209">
        <f t="shared" ref="J7:J29" si="22">SUM(H7)</f>
        <v>174</v>
      </c>
      <c r="K7" s="209">
        <f t="shared" si="3"/>
        <v>3743.8064516129029</v>
      </c>
      <c r="L7" s="209">
        <f t="shared" ref="L7:L29" si="23">SUM(J7)</f>
        <v>174</v>
      </c>
      <c r="M7" s="209">
        <f t="shared" si="4"/>
        <v>3743.8064516129029</v>
      </c>
      <c r="N7" s="209">
        <f t="shared" ref="N7:N29" si="24">SUM(L7)</f>
        <v>174</v>
      </c>
      <c r="O7" s="209">
        <f t="shared" si="5"/>
        <v>3743.8064516129029</v>
      </c>
      <c r="P7" s="209">
        <f t="shared" ref="P7:P29" si="25">SUM(N7)</f>
        <v>174</v>
      </c>
      <c r="Q7" s="209">
        <f t="shared" si="6"/>
        <v>3743.8064516129029</v>
      </c>
      <c r="R7" s="209">
        <f t="shared" ref="R7:R29" si="26">SUM(P7)</f>
        <v>174</v>
      </c>
      <c r="S7" s="209">
        <f t="shared" si="7"/>
        <v>3743.8064516129029</v>
      </c>
      <c r="T7" s="209">
        <f t="shared" ref="T7:T29" si="27">SUM(R7)</f>
        <v>174</v>
      </c>
      <c r="U7" s="209">
        <f t="shared" si="8"/>
        <v>3743.8064516129029</v>
      </c>
      <c r="V7" s="209">
        <f t="shared" ref="V7:V29" si="28">SUM(T7)</f>
        <v>174</v>
      </c>
      <c r="W7" s="209">
        <f t="shared" si="9"/>
        <v>3743.8064516129029</v>
      </c>
      <c r="X7" s="35">
        <f t="shared" si="10"/>
        <v>0.56129032258064504</v>
      </c>
      <c r="Y7" s="36">
        <f t="shared" ref="Y7:Y29" si="29">SUM(C7+E7+G7+I7+K7+M7+O7+Q7+S7+U7+W7)</f>
        <v>41181.870967741925</v>
      </c>
      <c r="Z7" s="209">
        <f>'B5'!C6</f>
        <v>180</v>
      </c>
      <c r="AA7" s="209">
        <f t="shared" ref="AA7:AC35" si="30">SUM(Z7*$Z$4)</f>
        <v>1800</v>
      </c>
      <c r="AB7" s="209">
        <f t="shared" ref="AB7:AB29" si="31">SUM(Z7)</f>
        <v>180</v>
      </c>
      <c r="AC7" s="209">
        <f t="shared" si="30"/>
        <v>1800</v>
      </c>
      <c r="AD7" s="209">
        <f t="shared" ref="AD7:AD29" si="32">SUM(AB7)</f>
        <v>180</v>
      </c>
      <c r="AE7" s="209">
        <f t="shared" si="11"/>
        <v>1800</v>
      </c>
      <c r="AF7" s="209">
        <f t="shared" ref="AF7:AF29" si="33">SUM(AD7)</f>
        <v>180</v>
      </c>
      <c r="AG7" s="209">
        <f t="shared" si="12"/>
        <v>1800</v>
      </c>
      <c r="AH7" s="209">
        <f t="shared" ref="AH7:AH29" si="34">SUM(AF7)</f>
        <v>180</v>
      </c>
      <c r="AI7" s="209">
        <f t="shared" si="13"/>
        <v>1800</v>
      </c>
      <c r="AJ7" s="209">
        <f t="shared" ref="AJ7:AJ29" si="35">SUM(AH7)</f>
        <v>180</v>
      </c>
      <c r="AK7" s="209">
        <f t="shared" si="14"/>
        <v>1800</v>
      </c>
      <c r="AL7" s="209">
        <f t="shared" ref="AL7:AL29" si="36">SUM(AJ7)</f>
        <v>180</v>
      </c>
      <c r="AM7" s="209">
        <f t="shared" si="15"/>
        <v>1800</v>
      </c>
      <c r="AN7" s="35">
        <f t="shared" si="16"/>
        <v>0.6428571428571429</v>
      </c>
      <c r="AO7" s="36">
        <f t="shared" si="17"/>
        <v>12600</v>
      </c>
      <c r="AQ7" s="229">
        <f t="shared" ref="AQ7:AQ33" si="37">SUM(AR7/92970)</f>
        <v>0.57848629630786197</v>
      </c>
      <c r="AR7" s="38">
        <f>SUM(AO7+Y7)</f>
        <v>53781.870967741925</v>
      </c>
      <c r="AS7" s="203">
        <f t="shared" ref="AS7:AS35" si="38">SUM(AR7-AR6-AT7)</f>
        <v>-4293.4838709677497</v>
      </c>
      <c r="AT7" s="283"/>
      <c r="AU7" s="554"/>
      <c r="AV7" s="328">
        <f>IF(AT7&gt;0,AU7,AV6)</f>
        <v>0.54</v>
      </c>
      <c r="AW7" s="308">
        <f>-SUM('B5'!AI6)</f>
        <v>-802.59999999997672</v>
      </c>
      <c r="AX7" s="308">
        <f t="shared" ref="AX7:AX35" si="39">-SUM(AW7-AS7)</f>
        <v>-3490.883870967773</v>
      </c>
      <c r="AY7" s="37">
        <f t="shared" ref="AY7:AY35" si="40">SUM(AX7+AW7)</f>
        <v>-4293.4838709677497</v>
      </c>
      <c r="AZ7" s="101">
        <f>ELEC!A4</f>
        <v>0.70430000000000004</v>
      </c>
      <c r="BA7" s="119">
        <f>'General information '!D7</f>
        <v>26.5</v>
      </c>
      <c r="BB7" s="210">
        <f>SUM('General information '!E7)</f>
        <v>0.65</v>
      </c>
      <c r="BC7" s="3">
        <v>0</v>
      </c>
      <c r="BD7" s="103">
        <v>19222</v>
      </c>
      <c r="BE7" s="14">
        <f>(305/1185)*ELEC!Q5</f>
        <v>2860.3080168774763</v>
      </c>
      <c r="BF7" s="14"/>
      <c r="BG7" s="14" t="e">
        <f>#REF!-BE7</f>
        <v>#REF!</v>
      </c>
      <c r="BH7" s="11">
        <v>19</v>
      </c>
    </row>
    <row r="8" spans="1:61">
      <c r="A8" s="555">
        <f>ELEC!C5</f>
        <v>43741</v>
      </c>
      <c r="B8">
        <f>'B5'!B7</f>
        <v>159</v>
      </c>
      <c r="C8" s="209">
        <f t="shared" si="18"/>
        <v>3421.0645161290322</v>
      </c>
      <c r="D8">
        <f t="shared" si="19"/>
        <v>159</v>
      </c>
      <c r="E8" s="209">
        <f t="shared" si="18"/>
        <v>3421.0645161290322</v>
      </c>
      <c r="F8">
        <f t="shared" si="20"/>
        <v>159</v>
      </c>
      <c r="G8" s="209">
        <f t="shared" si="1"/>
        <v>3421.0645161290322</v>
      </c>
      <c r="H8" s="209">
        <f t="shared" si="21"/>
        <v>159</v>
      </c>
      <c r="I8" s="209">
        <f t="shared" si="2"/>
        <v>3421.0645161290322</v>
      </c>
      <c r="J8" s="209">
        <f t="shared" si="22"/>
        <v>159</v>
      </c>
      <c r="K8" s="209">
        <f t="shared" si="3"/>
        <v>3421.0645161290322</v>
      </c>
      <c r="L8" s="209">
        <f t="shared" si="23"/>
        <v>159</v>
      </c>
      <c r="M8" s="209">
        <f t="shared" si="4"/>
        <v>3421.0645161290322</v>
      </c>
      <c r="N8" s="209">
        <f t="shared" si="24"/>
        <v>159</v>
      </c>
      <c r="O8" s="209">
        <f t="shared" si="5"/>
        <v>3421.0645161290322</v>
      </c>
      <c r="P8" s="209">
        <f t="shared" si="25"/>
        <v>159</v>
      </c>
      <c r="Q8" s="209">
        <f t="shared" si="6"/>
        <v>3421.0645161290322</v>
      </c>
      <c r="R8" s="209">
        <f t="shared" si="26"/>
        <v>159</v>
      </c>
      <c r="S8" s="209">
        <f t="shared" si="7"/>
        <v>3421.0645161290322</v>
      </c>
      <c r="T8" s="209">
        <f t="shared" si="27"/>
        <v>159</v>
      </c>
      <c r="U8" s="209">
        <f t="shared" si="8"/>
        <v>3421.0645161290322</v>
      </c>
      <c r="V8" s="209">
        <f t="shared" si="28"/>
        <v>159</v>
      </c>
      <c r="W8" s="209">
        <f t="shared" si="9"/>
        <v>3421.0645161290322</v>
      </c>
      <c r="X8" s="35">
        <f t="shared" si="10"/>
        <v>0.51290322580645142</v>
      </c>
      <c r="Y8" s="36">
        <f t="shared" si="29"/>
        <v>37631.709677419341</v>
      </c>
      <c r="Z8" s="209">
        <f>'B5'!C7</f>
        <v>165</v>
      </c>
      <c r="AA8" s="209">
        <f t="shared" si="30"/>
        <v>1650</v>
      </c>
      <c r="AB8" s="209">
        <f t="shared" si="31"/>
        <v>165</v>
      </c>
      <c r="AC8" s="209">
        <f t="shared" si="30"/>
        <v>1650</v>
      </c>
      <c r="AD8" s="209">
        <f t="shared" si="32"/>
        <v>165</v>
      </c>
      <c r="AE8" s="209">
        <f t="shared" si="11"/>
        <v>1650</v>
      </c>
      <c r="AF8" s="209">
        <f t="shared" si="33"/>
        <v>165</v>
      </c>
      <c r="AG8" s="209">
        <f t="shared" si="12"/>
        <v>1650</v>
      </c>
      <c r="AH8" s="209">
        <f t="shared" si="34"/>
        <v>165</v>
      </c>
      <c r="AI8" s="209">
        <f t="shared" si="13"/>
        <v>1650</v>
      </c>
      <c r="AJ8" s="209">
        <f t="shared" si="35"/>
        <v>165</v>
      </c>
      <c r="AK8" s="209">
        <f t="shared" si="14"/>
        <v>1650</v>
      </c>
      <c r="AL8" s="209">
        <f t="shared" si="36"/>
        <v>165</v>
      </c>
      <c r="AM8" s="209">
        <f t="shared" si="15"/>
        <v>1650</v>
      </c>
      <c r="AN8" s="35">
        <f t="shared" si="16"/>
        <v>0.5892857142857143</v>
      </c>
      <c r="AO8" s="36">
        <f t="shared" si="17"/>
        <v>11550</v>
      </c>
      <c r="AQ8" s="229">
        <f t="shared" si="37"/>
        <v>0.52900623510185374</v>
      </c>
      <c r="AR8" s="38">
        <f>SUM(AO8+Y8)</f>
        <v>49181.709677419341</v>
      </c>
      <c r="AS8" s="203">
        <f t="shared" si="38"/>
        <v>-4600.1612903225832</v>
      </c>
      <c r="AT8" s="383"/>
      <c r="AU8" s="486"/>
      <c r="AV8" s="328">
        <f t="shared" ref="AV8:AV34" si="41">IF(AT8&gt;0,AU8,AV7)</f>
        <v>0.54</v>
      </c>
      <c r="AW8" s="308">
        <f>-SUM('B5'!AI7)</f>
        <v>-812.60000000003492</v>
      </c>
      <c r="AX8" s="308">
        <f t="shared" si="39"/>
        <v>-3787.5612903225483</v>
      </c>
      <c r="AY8" s="37">
        <f t="shared" si="40"/>
        <v>-4600.1612903225832</v>
      </c>
      <c r="AZ8" s="101">
        <f>ELEC!A5</f>
        <v>0.82169999999999999</v>
      </c>
      <c r="BA8" s="119">
        <f>'General information '!D8</f>
        <v>26</v>
      </c>
      <c r="BB8" s="210">
        <f>SUM('General information '!E8)</f>
        <v>0.59</v>
      </c>
      <c r="BC8" s="3">
        <f t="shared" ref="BC8:BC33" si="42">IF(AR7&gt;=AR8,0,1)</f>
        <v>0</v>
      </c>
      <c r="BD8" s="103">
        <v>19222</v>
      </c>
      <c r="BE8" s="14">
        <f>(305/1185)*ELEC!Q6</f>
        <v>1901.2953586499502</v>
      </c>
      <c r="BF8" s="14"/>
      <c r="BG8" s="14" t="e">
        <f>#REF!-BE8</f>
        <v>#REF!</v>
      </c>
      <c r="BH8" s="11">
        <v>16</v>
      </c>
    </row>
    <row r="9" spans="1:61">
      <c r="A9" s="495">
        <f>ELEC!C6</f>
        <v>43742</v>
      </c>
      <c r="B9">
        <f>'B5'!B8</f>
        <v>204</v>
      </c>
      <c r="C9" s="209">
        <f t="shared" si="18"/>
        <v>4389.2903225806449</v>
      </c>
      <c r="D9">
        <f t="shared" si="19"/>
        <v>204</v>
      </c>
      <c r="E9" s="209">
        <f t="shared" si="18"/>
        <v>4389.2903225806449</v>
      </c>
      <c r="F9">
        <f t="shared" si="20"/>
        <v>204</v>
      </c>
      <c r="G9" s="209">
        <f t="shared" si="1"/>
        <v>4389.2903225806449</v>
      </c>
      <c r="H9" s="209">
        <f t="shared" si="21"/>
        <v>204</v>
      </c>
      <c r="I9" s="209">
        <f t="shared" si="2"/>
        <v>4389.2903225806449</v>
      </c>
      <c r="J9" s="209">
        <f t="shared" si="22"/>
        <v>204</v>
      </c>
      <c r="K9" s="209">
        <f t="shared" si="3"/>
        <v>4389.2903225806449</v>
      </c>
      <c r="L9" s="209">
        <f t="shared" si="23"/>
        <v>204</v>
      </c>
      <c r="M9" s="209">
        <f t="shared" si="4"/>
        <v>4389.2903225806449</v>
      </c>
      <c r="N9" s="209">
        <f t="shared" si="24"/>
        <v>204</v>
      </c>
      <c r="O9" s="209">
        <f t="shared" si="5"/>
        <v>4389.2903225806449</v>
      </c>
      <c r="P9" s="209">
        <f t="shared" si="25"/>
        <v>204</v>
      </c>
      <c r="Q9" s="209">
        <f t="shared" si="6"/>
        <v>4389.2903225806449</v>
      </c>
      <c r="R9" s="209">
        <f t="shared" si="26"/>
        <v>204</v>
      </c>
      <c r="S9" s="209">
        <f t="shared" si="7"/>
        <v>4389.2903225806449</v>
      </c>
      <c r="T9" s="209">
        <f t="shared" si="27"/>
        <v>204</v>
      </c>
      <c r="U9" s="209">
        <f t="shared" si="8"/>
        <v>4389.2903225806449</v>
      </c>
      <c r="V9" s="209">
        <f t="shared" si="28"/>
        <v>204</v>
      </c>
      <c r="W9" s="209">
        <f t="shared" si="9"/>
        <v>4389.2903225806449</v>
      </c>
      <c r="X9" s="35">
        <f t="shared" si="10"/>
        <v>0.65806451612903216</v>
      </c>
      <c r="Y9" s="36">
        <f t="shared" si="29"/>
        <v>48282.193548387091</v>
      </c>
      <c r="Z9" s="209">
        <f>'B5'!C8</f>
        <v>210</v>
      </c>
      <c r="AA9" s="209">
        <f t="shared" si="30"/>
        <v>2100</v>
      </c>
      <c r="AB9" s="209">
        <f t="shared" si="31"/>
        <v>210</v>
      </c>
      <c r="AC9" s="209">
        <f t="shared" si="30"/>
        <v>2100</v>
      </c>
      <c r="AD9" s="209">
        <f t="shared" si="32"/>
        <v>210</v>
      </c>
      <c r="AE9" s="209">
        <f t="shared" si="11"/>
        <v>2100</v>
      </c>
      <c r="AF9" s="209">
        <f t="shared" si="33"/>
        <v>210</v>
      </c>
      <c r="AG9" s="209">
        <f t="shared" si="12"/>
        <v>2100</v>
      </c>
      <c r="AH9" s="209">
        <f t="shared" si="34"/>
        <v>210</v>
      </c>
      <c r="AI9" s="209">
        <f t="shared" si="13"/>
        <v>2100</v>
      </c>
      <c r="AJ9" s="209">
        <f t="shared" si="35"/>
        <v>210</v>
      </c>
      <c r="AK9" s="209">
        <f t="shared" si="14"/>
        <v>2100</v>
      </c>
      <c r="AL9" s="209">
        <f t="shared" si="36"/>
        <v>210</v>
      </c>
      <c r="AM9" s="209">
        <f t="shared" si="15"/>
        <v>2100</v>
      </c>
      <c r="AN9" s="35">
        <f t="shared" si="16"/>
        <v>0.75</v>
      </c>
      <c r="AO9" s="36">
        <f>SUM(AA9+AC9+AE9+AG9+AI9+AK9+AM9)</f>
        <v>14700</v>
      </c>
      <c r="AQ9" s="229">
        <f t="shared" si="37"/>
        <v>0.67744641871987832</v>
      </c>
      <c r="AR9" s="38">
        <f>SUM(AO9+Y9)</f>
        <v>62982.193548387091</v>
      </c>
      <c r="AS9" s="203">
        <f t="shared" si="38"/>
        <v>-1235.5161290322503</v>
      </c>
      <c r="AT9" s="383">
        <v>15036</v>
      </c>
      <c r="AU9" s="486">
        <v>0.54666000000000003</v>
      </c>
      <c r="AV9" s="328">
        <f t="shared" si="41"/>
        <v>0.54666000000000003</v>
      </c>
      <c r="AW9" s="308">
        <f>-SUM('B5'!AI8)</f>
        <v>-932.5</v>
      </c>
      <c r="AX9" s="308">
        <f>-SUM(AW9-AS9)</f>
        <v>-303.01612903225032</v>
      </c>
      <c r="AY9" s="37">
        <f t="shared" si="40"/>
        <v>-1235.5161290322503</v>
      </c>
      <c r="AZ9" s="101">
        <f>ELEC!A6</f>
        <v>0.83399999999999996</v>
      </c>
      <c r="BA9" s="119">
        <f>'General information '!D9</f>
        <v>25.5</v>
      </c>
      <c r="BB9" s="210">
        <f>SUM('General information '!E9)</f>
        <v>0.6</v>
      </c>
      <c r="BC9" s="3">
        <f t="shared" si="42"/>
        <v>1</v>
      </c>
      <c r="BD9" s="103">
        <v>19222</v>
      </c>
      <c r="BE9" s="14">
        <f>(305/1185)*ELEC!Q7</f>
        <v>1235.4430379744963</v>
      </c>
      <c r="BF9" s="14"/>
      <c r="BG9" s="14" t="e">
        <f>#REF!-BE9</f>
        <v>#REF!</v>
      </c>
      <c r="BH9" s="11">
        <v>18</v>
      </c>
    </row>
    <row r="10" spans="1:61">
      <c r="A10" s="496">
        <f>ELEC!C7</f>
        <v>43743</v>
      </c>
      <c r="B10">
        <f>'B5'!B9</f>
        <v>194</v>
      </c>
      <c r="C10" s="209">
        <f t="shared" si="18"/>
        <v>4174.1290322580644</v>
      </c>
      <c r="D10">
        <f t="shared" si="19"/>
        <v>194</v>
      </c>
      <c r="E10" s="209">
        <f t="shared" si="18"/>
        <v>4174.1290322580644</v>
      </c>
      <c r="F10">
        <f t="shared" si="20"/>
        <v>194</v>
      </c>
      <c r="G10" s="209">
        <f t="shared" si="1"/>
        <v>4174.1290322580644</v>
      </c>
      <c r="H10" s="209">
        <f t="shared" si="21"/>
        <v>194</v>
      </c>
      <c r="I10" s="209">
        <f t="shared" si="2"/>
        <v>4174.1290322580644</v>
      </c>
      <c r="J10" s="209">
        <f t="shared" si="22"/>
        <v>194</v>
      </c>
      <c r="K10" s="209">
        <f t="shared" si="3"/>
        <v>4174.1290322580644</v>
      </c>
      <c r="L10" s="209">
        <f t="shared" si="23"/>
        <v>194</v>
      </c>
      <c r="M10" s="209">
        <f t="shared" si="4"/>
        <v>4174.1290322580644</v>
      </c>
      <c r="N10" s="209">
        <f t="shared" si="24"/>
        <v>194</v>
      </c>
      <c r="O10" s="209">
        <f t="shared" si="5"/>
        <v>4174.1290322580644</v>
      </c>
      <c r="P10" s="209">
        <f t="shared" si="25"/>
        <v>194</v>
      </c>
      <c r="Q10" s="209">
        <f t="shared" si="6"/>
        <v>4174.1290322580644</v>
      </c>
      <c r="R10" s="209">
        <f t="shared" si="26"/>
        <v>194</v>
      </c>
      <c r="S10" s="209">
        <f t="shared" si="7"/>
        <v>4174.1290322580644</v>
      </c>
      <c r="T10" s="209">
        <f t="shared" si="27"/>
        <v>194</v>
      </c>
      <c r="U10" s="209">
        <f t="shared" si="8"/>
        <v>4174.1290322580644</v>
      </c>
      <c r="V10" s="209">
        <f t="shared" si="28"/>
        <v>194</v>
      </c>
      <c r="W10" s="209">
        <f t="shared" si="9"/>
        <v>4174.1290322580644</v>
      </c>
      <c r="X10" s="35">
        <f t="shared" si="10"/>
        <v>0.62580645161290305</v>
      </c>
      <c r="Y10" s="36">
        <f t="shared" si="29"/>
        <v>45915.419354838697</v>
      </c>
      <c r="Z10" s="209">
        <f>'B5'!C9</f>
        <v>201</v>
      </c>
      <c r="AA10" s="209">
        <f t="shared" si="30"/>
        <v>2010</v>
      </c>
      <c r="AB10" s="209">
        <f t="shared" si="31"/>
        <v>201</v>
      </c>
      <c r="AC10" s="209">
        <f t="shared" si="30"/>
        <v>2010</v>
      </c>
      <c r="AD10" s="209">
        <f t="shared" si="32"/>
        <v>201</v>
      </c>
      <c r="AE10" s="209">
        <f t="shared" si="11"/>
        <v>2010</v>
      </c>
      <c r="AF10" s="209">
        <f t="shared" si="33"/>
        <v>201</v>
      </c>
      <c r="AG10" s="209">
        <f t="shared" si="12"/>
        <v>2010</v>
      </c>
      <c r="AH10" s="209">
        <f t="shared" si="34"/>
        <v>201</v>
      </c>
      <c r="AI10" s="209">
        <f t="shared" si="13"/>
        <v>2010</v>
      </c>
      <c r="AJ10" s="209">
        <f t="shared" si="35"/>
        <v>201</v>
      </c>
      <c r="AK10" s="209">
        <f t="shared" si="14"/>
        <v>2010</v>
      </c>
      <c r="AL10" s="209">
        <f t="shared" si="36"/>
        <v>201</v>
      </c>
      <c r="AM10" s="209">
        <f t="shared" si="15"/>
        <v>2010</v>
      </c>
      <c r="AN10" s="35">
        <f t="shared" si="16"/>
        <v>0.71785714285714286</v>
      </c>
      <c r="AO10" s="36">
        <f t="shared" si="17"/>
        <v>14070</v>
      </c>
      <c r="AQ10" s="229">
        <f t="shared" si="37"/>
        <v>0.64521264230223407</v>
      </c>
      <c r="AR10" s="38">
        <f t="shared" ref="AR10:AR28" si="43">SUM(AO10+Y10)</f>
        <v>59985.419354838697</v>
      </c>
      <c r="AS10" s="203">
        <f>SUM(AR10-AR9-AT10)</f>
        <v>-2996.7741935483937</v>
      </c>
      <c r="AT10" s="383"/>
      <c r="AU10" s="486"/>
      <c r="AV10" s="328">
        <f>IF(AT10&gt;0,AU10,AV9)</f>
        <v>0.54666000000000003</v>
      </c>
      <c r="AW10" s="308">
        <f>-SUM('B5'!AI9)</f>
        <v>-1032.5</v>
      </c>
      <c r="AX10" s="308">
        <f>-SUM(AW10-AS10)</f>
        <v>-1964.2741935483937</v>
      </c>
      <c r="AY10" s="37">
        <f t="shared" si="40"/>
        <v>-2996.7741935483937</v>
      </c>
      <c r="AZ10" s="101">
        <f>ELEC!A7</f>
        <v>0.76959999999999995</v>
      </c>
      <c r="BA10" s="119">
        <f>'General information '!D10</f>
        <v>26</v>
      </c>
      <c r="BB10" s="210">
        <f>SUM('General information '!E10)</f>
        <v>0.65</v>
      </c>
      <c r="BC10" s="3">
        <f t="shared" si="42"/>
        <v>0</v>
      </c>
      <c r="BD10" s="103">
        <v>19222</v>
      </c>
      <c r="BE10" s="14">
        <f>(305/1185)*ELEC!Q8</f>
        <v>1066.5991561182034</v>
      </c>
      <c r="BF10" s="14"/>
      <c r="BG10" s="14" t="e">
        <f>#REF!-BE10</f>
        <v>#REF!</v>
      </c>
      <c r="BH10" s="11">
        <v>16</v>
      </c>
    </row>
    <row r="11" spans="1:61">
      <c r="A11" s="495">
        <f>ELEC!C8</f>
        <v>43744</v>
      </c>
      <c r="B11">
        <f>'B5'!B10</f>
        <v>186</v>
      </c>
      <c r="C11" s="209">
        <f t="shared" si="18"/>
        <v>4002</v>
      </c>
      <c r="D11">
        <f>SUM(B11)</f>
        <v>186</v>
      </c>
      <c r="E11" s="209">
        <f t="shared" si="18"/>
        <v>4002</v>
      </c>
      <c r="F11">
        <f>SUM(D11)</f>
        <v>186</v>
      </c>
      <c r="G11" s="209">
        <f t="shared" si="1"/>
        <v>4002</v>
      </c>
      <c r="H11" s="209">
        <f>SUM(F11)</f>
        <v>186</v>
      </c>
      <c r="I11" s="209">
        <f t="shared" si="2"/>
        <v>4002</v>
      </c>
      <c r="J11" s="209">
        <f>SUM(H11)</f>
        <v>186</v>
      </c>
      <c r="K11" s="209">
        <f t="shared" si="3"/>
        <v>4002</v>
      </c>
      <c r="L11" s="209">
        <f>SUM(J11)</f>
        <v>186</v>
      </c>
      <c r="M11" s="209">
        <f t="shared" si="4"/>
        <v>4002</v>
      </c>
      <c r="N11" s="209">
        <f>SUM(L11)</f>
        <v>186</v>
      </c>
      <c r="O11" s="209">
        <f t="shared" si="5"/>
        <v>4002</v>
      </c>
      <c r="P11" s="209">
        <f>SUM(N11)</f>
        <v>186</v>
      </c>
      <c r="Q11" s="209">
        <f t="shared" si="6"/>
        <v>4002</v>
      </c>
      <c r="R11" s="209">
        <f>SUM(P11)</f>
        <v>186</v>
      </c>
      <c r="S11" s="209">
        <f t="shared" si="7"/>
        <v>4002</v>
      </c>
      <c r="T11" s="209">
        <f>SUM(R11)</f>
        <v>186</v>
      </c>
      <c r="U11" s="209">
        <f t="shared" si="8"/>
        <v>4002</v>
      </c>
      <c r="V11" s="209">
        <f>SUM(T11)</f>
        <v>186</v>
      </c>
      <c r="W11" s="209">
        <f t="shared" si="9"/>
        <v>4002</v>
      </c>
      <c r="X11" s="35">
        <f>SUM(Y11/73370)</f>
        <v>0.6</v>
      </c>
      <c r="Y11" s="36">
        <f>SUM(C11+E11+G11+I11+K11+M11+O11+Q11+S11+U11+W11)</f>
        <v>44022</v>
      </c>
      <c r="Z11" s="209">
        <f>'B5'!C10</f>
        <v>192</v>
      </c>
      <c r="AA11" s="209">
        <f t="shared" si="30"/>
        <v>1920</v>
      </c>
      <c r="AB11" s="209">
        <f>SUM(Z11)</f>
        <v>192</v>
      </c>
      <c r="AC11" s="209">
        <f t="shared" si="30"/>
        <v>1920</v>
      </c>
      <c r="AD11" s="209">
        <f>SUM(AB11)</f>
        <v>192</v>
      </c>
      <c r="AE11" s="209">
        <f t="shared" si="11"/>
        <v>1920</v>
      </c>
      <c r="AF11" s="209">
        <f>SUM(AD11)</f>
        <v>192</v>
      </c>
      <c r="AG11" s="209">
        <f t="shared" si="12"/>
        <v>1920</v>
      </c>
      <c r="AH11" s="209">
        <f>SUM(AF11)</f>
        <v>192</v>
      </c>
      <c r="AI11" s="209">
        <f t="shared" si="13"/>
        <v>1920</v>
      </c>
      <c r="AJ11" s="209">
        <f>SUM(AH11)</f>
        <v>192</v>
      </c>
      <c r="AK11" s="209">
        <f t="shared" si="14"/>
        <v>1920</v>
      </c>
      <c r="AL11" s="209">
        <f>SUM(AJ11)</f>
        <v>192</v>
      </c>
      <c r="AM11" s="209">
        <f t="shared" si="15"/>
        <v>1920</v>
      </c>
      <c r="AN11" s="35">
        <f>SUM(AO11/19600)</f>
        <v>0.68571428571428572</v>
      </c>
      <c r="AO11" s="36">
        <f t="shared" si="17"/>
        <v>13440</v>
      </c>
      <c r="AQ11" s="229">
        <f t="shared" si="37"/>
        <v>0.61807034527266858</v>
      </c>
      <c r="AR11" s="38">
        <f t="shared" si="43"/>
        <v>57462</v>
      </c>
      <c r="AS11" s="203">
        <f>SUM(AR11-AR10-AT11)</f>
        <v>-2523.4193548386975</v>
      </c>
      <c r="AT11" s="383"/>
      <c r="AU11" s="486"/>
      <c r="AV11" s="328">
        <f>IF(AT11&gt;0,AU11,AV10)</f>
        <v>0.54666000000000003</v>
      </c>
      <c r="AW11" s="308">
        <f>-SUM('B5'!AI10)</f>
        <v>-1043.2000000000116</v>
      </c>
      <c r="AX11" s="308">
        <f>-SUM(AW11-AS11)</f>
        <v>-1480.2193548386858</v>
      </c>
      <c r="AY11" s="37">
        <f t="shared" si="40"/>
        <v>-2523.4193548386975</v>
      </c>
      <c r="AZ11" s="101">
        <f>ELEC!A8</f>
        <v>0.57389999999999997</v>
      </c>
      <c r="BA11" s="119">
        <f>'General information '!D11</f>
        <v>26</v>
      </c>
      <c r="BB11" s="210">
        <f>SUM('General information '!E11)</f>
        <v>0.61</v>
      </c>
      <c r="BC11" s="3">
        <f t="shared" si="42"/>
        <v>0</v>
      </c>
      <c r="BD11" s="103">
        <v>19222</v>
      </c>
      <c r="BE11" s="14">
        <f>(305/1185)*ELEC!Q9</f>
        <v>1219.7426160341149</v>
      </c>
      <c r="BF11" s="14"/>
      <c r="BG11" s="14" t="e">
        <f>#REF!-BE11</f>
        <v>#REF!</v>
      </c>
      <c r="BH11" s="11">
        <v>16.5</v>
      </c>
    </row>
    <row r="12" spans="1:61">
      <c r="A12" s="495">
        <f>ELEC!C9</f>
        <v>43745</v>
      </c>
      <c r="B12">
        <f>'B5'!B11</f>
        <v>177</v>
      </c>
      <c r="C12" s="209">
        <f t="shared" si="18"/>
        <v>3808.3548387096776</v>
      </c>
      <c r="D12">
        <f t="shared" si="19"/>
        <v>177</v>
      </c>
      <c r="E12" s="209">
        <f t="shared" si="18"/>
        <v>3808.3548387096776</v>
      </c>
      <c r="F12">
        <f t="shared" si="20"/>
        <v>177</v>
      </c>
      <c r="G12" s="209">
        <f t="shared" si="1"/>
        <v>3808.3548387096776</v>
      </c>
      <c r="H12" s="209">
        <f t="shared" si="21"/>
        <v>177</v>
      </c>
      <c r="I12" s="209">
        <f t="shared" si="2"/>
        <v>3808.3548387096776</v>
      </c>
      <c r="J12" s="209">
        <f t="shared" si="22"/>
        <v>177</v>
      </c>
      <c r="K12" s="209">
        <f t="shared" si="3"/>
        <v>3808.3548387096776</v>
      </c>
      <c r="L12" s="209">
        <f t="shared" si="23"/>
        <v>177</v>
      </c>
      <c r="M12" s="209">
        <f t="shared" si="4"/>
        <v>3808.3548387096776</v>
      </c>
      <c r="N12" s="209">
        <f t="shared" si="24"/>
        <v>177</v>
      </c>
      <c r="O12" s="209">
        <f t="shared" si="5"/>
        <v>3808.3548387096776</v>
      </c>
      <c r="P12" s="209">
        <f t="shared" si="25"/>
        <v>177</v>
      </c>
      <c r="Q12" s="209">
        <f t="shared" si="6"/>
        <v>3808.3548387096776</v>
      </c>
      <c r="R12" s="209">
        <f t="shared" si="26"/>
        <v>177</v>
      </c>
      <c r="S12" s="209">
        <f t="shared" si="7"/>
        <v>3808.3548387096776</v>
      </c>
      <c r="T12" s="209">
        <f t="shared" si="27"/>
        <v>177</v>
      </c>
      <c r="U12" s="209">
        <f t="shared" si="8"/>
        <v>3808.3548387096776</v>
      </c>
      <c r="V12" s="209">
        <f t="shared" si="28"/>
        <v>177</v>
      </c>
      <c r="W12" s="209">
        <f t="shared" si="9"/>
        <v>3808.3548387096776</v>
      </c>
      <c r="X12" s="35">
        <f t="shared" si="10"/>
        <v>0.57096774193548383</v>
      </c>
      <c r="Y12" s="36">
        <f t="shared" si="29"/>
        <v>41891.903225806447</v>
      </c>
      <c r="Z12" s="209">
        <f>'B5'!C11</f>
        <v>184</v>
      </c>
      <c r="AA12" s="209">
        <f t="shared" si="30"/>
        <v>1840</v>
      </c>
      <c r="AB12" s="209">
        <f t="shared" si="31"/>
        <v>184</v>
      </c>
      <c r="AC12" s="209">
        <f t="shared" si="30"/>
        <v>1840</v>
      </c>
      <c r="AD12" s="209">
        <f t="shared" si="32"/>
        <v>184</v>
      </c>
      <c r="AE12" s="209">
        <f t="shared" si="11"/>
        <v>1840</v>
      </c>
      <c r="AF12" s="209">
        <f t="shared" si="33"/>
        <v>184</v>
      </c>
      <c r="AG12" s="209">
        <f t="shared" si="12"/>
        <v>1840</v>
      </c>
      <c r="AH12" s="209">
        <f t="shared" si="34"/>
        <v>184</v>
      </c>
      <c r="AI12" s="209">
        <f t="shared" si="13"/>
        <v>1840</v>
      </c>
      <c r="AJ12" s="209">
        <f t="shared" si="35"/>
        <v>184</v>
      </c>
      <c r="AK12" s="209">
        <f t="shared" si="14"/>
        <v>1840</v>
      </c>
      <c r="AL12" s="209">
        <f t="shared" si="36"/>
        <v>184</v>
      </c>
      <c r="AM12" s="209">
        <f t="shared" si="15"/>
        <v>1840</v>
      </c>
      <c r="AN12" s="35">
        <f t="shared" si="16"/>
        <v>0.65714285714285714</v>
      </c>
      <c r="AO12" s="36">
        <f t="shared" si="17"/>
        <v>12880</v>
      </c>
      <c r="AQ12" s="229">
        <f t="shared" si="37"/>
        <v>0.58913523960209147</v>
      </c>
      <c r="AR12" s="38">
        <f t="shared" si="43"/>
        <v>54771.903225806447</v>
      </c>
      <c r="AS12" s="203">
        <f t="shared" si="38"/>
        <v>-2690.0967741935528</v>
      </c>
      <c r="AT12" s="283"/>
      <c r="AU12" s="532"/>
      <c r="AV12" s="328">
        <f t="shared" si="41"/>
        <v>0.54666000000000003</v>
      </c>
      <c r="AW12" s="308">
        <f>-SUM('B5'!AI11)</f>
        <v>-861.79999999998836</v>
      </c>
      <c r="AX12" s="308">
        <f t="shared" si="39"/>
        <v>-1828.2967741935645</v>
      </c>
      <c r="AY12" s="37">
        <f t="shared" si="40"/>
        <v>-2690.0967741935528</v>
      </c>
      <c r="AZ12" s="101">
        <f>ELEC!A9</f>
        <v>0.54349999999999998</v>
      </c>
      <c r="BA12" s="119">
        <f>'General information '!D12</f>
        <v>26.5</v>
      </c>
      <c r="BB12" s="210">
        <f>SUM('General information '!E12)</f>
        <v>0.57999999999999996</v>
      </c>
      <c r="BC12" s="3">
        <f t="shared" si="42"/>
        <v>0</v>
      </c>
      <c r="BD12" s="103">
        <v>19222</v>
      </c>
      <c r="BE12" s="14">
        <f>(305/1185)*ELEC!Q10</f>
        <v>1173.1561181432241</v>
      </c>
      <c r="BF12" s="14"/>
      <c r="BG12" s="14" t="e">
        <f>#REF!-BE12</f>
        <v>#REF!</v>
      </c>
      <c r="BH12" s="11">
        <v>15.5</v>
      </c>
    </row>
    <row r="13" spans="1:61">
      <c r="A13" s="495">
        <f>ELEC!C10</f>
        <v>43746</v>
      </c>
      <c r="B13">
        <f>'B5'!B12</f>
        <v>169</v>
      </c>
      <c r="C13" s="209">
        <f t="shared" si="18"/>
        <v>3636.2258064516127</v>
      </c>
      <c r="D13">
        <f t="shared" si="19"/>
        <v>169</v>
      </c>
      <c r="E13" s="209">
        <f t="shared" si="18"/>
        <v>3636.2258064516127</v>
      </c>
      <c r="F13">
        <f t="shared" si="20"/>
        <v>169</v>
      </c>
      <c r="G13" s="209">
        <f t="shared" si="1"/>
        <v>3636.2258064516127</v>
      </c>
      <c r="H13" s="209">
        <f t="shared" si="21"/>
        <v>169</v>
      </c>
      <c r="I13" s="209">
        <f t="shared" si="2"/>
        <v>3636.2258064516127</v>
      </c>
      <c r="J13" s="209">
        <f t="shared" si="22"/>
        <v>169</v>
      </c>
      <c r="K13" s="209">
        <f t="shared" si="3"/>
        <v>3636.2258064516127</v>
      </c>
      <c r="L13" s="209">
        <f t="shared" si="23"/>
        <v>169</v>
      </c>
      <c r="M13" s="209">
        <f t="shared" si="4"/>
        <v>3636.2258064516127</v>
      </c>
      <c r="N13" s="209">
        <f t="shared" si="24"/>
        <v>169</v>
      </c>
      <c r="O13" s="209">
        <f t="shared" si="5"/>
        <v>3636.2258064516127</v>
      </c>
      <c r="P13" s="209">
        <f t="shared" si="25"/>
        <v>169</v>
      </c>
      <c r="Q13" s="209">
        <f t="shared" si="6"/>
        <v>3636.2258064516127</v>
      </c>
      <c r="R13" s="209">
        <f t="shared" si="26"/>
        <v>169</v>
      </c>
      <c r="S13" s="209">
        <f t="shared" si="7"/>
        <v>3636.2258064516127</v>
      </c>
      <c r="T13" s="209">
        <f t="shared" si="27"/>
        <v>169</v>
      </c>
      <c r="U13" s="209">
        <f t="shared" si="8"/>
        <v>3636.2258064516127</v>
      </c>
      <c r="V13" s="209">
        <f t="shared" si="28"/>
        <v>169</v>
      </c>
      <c r="W13" s="209">
        <f t="shared" si="9"/>
        <v>3636.2258064516127</v>
      </c>
      <c r="X13" s="35">
        <f t="shared" si="10"/>
        <v>0.54516129032258065</v>
      </c>
      <c r="Y13" s="36">
        <f t="shared" si="29"/>
        <v>39998.483870967742</v>
      </c>
      <c r="Z13" s="209">
        <f>'B5'!C12</f>
        <v>175</v>
      </c>
      <c r="AA13" s="209">
        <f t="shared" si="30"/>
        <v>1750</v>
      </c>
      <c r="AB13" s="209">
        <f t="shared" si="31"/>
        <v>175</v>
      </c>
      <c r="AC13" s="209">
        <f t="shared" si="30"/>
        <v>1750</v>
      </c>
      <c r="AD13" s="209">
        <f t="shared" si="32"/>
        <v>175</v>
      </c>
      <c r="AE13" s="209">
        <f t="shared" si="11"/>
        <v>1750</v>
      </c>
      <c r="AF13" s="209">
        <f t="shared" si="33"/>
        <v>175</v>
      </c>
      <c r="AG13" s="209">
        <f t="shared" si="12"/>
        <v>1750</v>
      </c>
      <c r="AH13" s="209">
        <f t="shared" si="34"/>
        <v>175</v>
      </c>
      <c r="AI13" s="209">
        <f t="shared" si="13"/>
        <v>1750</v>
      </c>
      <c r="AJ13" s="209">
        <f t="shared" si="35"/>
        <v>175</v>
      </c>
      <c r="AK13" s="209">
        <f t="shared" si="14"/>
        <v>1750</v>
      </c>
      <c r="AL13" s="209">
        <f t="shared" si="36"/>
        <v>175</v>
      </c>
      <c r="AM13" s="209">
        <f t="shared" si="15"/>
        <v>1750</v>
      </c>
      <c r="AN13" s="35">
        <f t="shared" si="16"/>
        <v>0.625</v>
      </c>
      <c r="AO13" s="36">
        <f t="shared" si="17"/>
        <v>12250</v>
      </c>
      <c r="AQ13" s="229">
        <f t="shared" si="37"/>
        <v>0.56199294257252597</v>
      </c>
      <c r="AR13" s="38">
        <f t="shared" si="43"/>
        <v>52248.483870967742</v>
      </c>
      <c r="AS13" s="203">
        <f t="shared" si="38"/>
        <v>-2523.4193548387047</v>
      </c>
      <c r="AT13" s="283"/>
      <c r="AU13" s="486"/>
      <c r="AV13" s="328">
        <f t="shared" si="41"/>
        <v>0.54666000000000003</v>
      </c>
      <c r="AW13" s="308">
        <f>-SUM('B5'!AI12)</f>
        <v>-807.79999999998836</v>
      </c>
      <c r="AX13" s="308">
        <f t="shared" si="39"/>
        <v>-1715.6193548387164</v>
      </c>
      <c r="AY13" s="37">
        <f t="shared" si="40"/>
        <v>-2523.4193548387047</v>
      </c>
      <c r="AZ13" s="101">
        <f>ELEC!A10</f>
        <v>0.65649999999999997</v>
      </c>
      <c r="BA13" s="119">
        <f>'General information '!D13</f>
        <v>26</v>
      </c>
      <c r="BB13" s="210">
        <f>SUM('General information '!E13)</f>
        <v>0.59</v>
      </c>
      <c r="BC13" s="3">
        <f t="shared" si="42"/>
        <v>0</v>
      </c>
      <c r="BD13" s="103">
        <v>19222</v>
      </c>
      <c r="BE13" s="14">
        <f>(305/1185)*ELEC!Q11</f>
        <v>1139.1814345990215</v>
      </c>
      <c r="BF13" s="14"/>
      <c r="BG13" s="14" t="e">
        <f>#REF!-BE13</f>
        <v>#REF!</v>
      </c>
      <c r="BH13" s="11"/>
    </row>
    <row r="14" spans="1:61">
      <c r="A14" s="495">
        <f>ELEC!C11</f>
        <v>43747</v>
      </c>
      <c r="B14">
        <f>'B5'!B13</f>
        <v>160</v>
      </c>
      <c r="C14" s="209">
        <f t="shared" si="18"/>
        <v>3442.5806451612902</v>
      </c>
      <c r="D14">
        <f t="shared" si="19"/>
        <v>160</v>
      </c>
      <c r="E14" s="209">
        <f t="shared" si="18"/>
        <v>3442.5806451612902</v>
      </c>
      <c r="F14">
        <f t="shared" si="20"/>
        <v>160</v>
      </c>
      <c r="G14" s="209">
        <f t="shared" si="1"/>
        <v>3442.5806451612902</v>
      </c>
      <c r="H14" s="209">
        <f t="shared" si="21"/>
        <v>160</v>
      </c>
      <c r="I14" s="209">
        <f t="shared" si="2"/>
        <v>3442.5806451612902</v>
      </c>
      <c r="J14" s="209">
        <f t="shared" si="22"/>
        <v>160</v>
      </c>
      <c r="K14" s="209">
        <f t="shared" si="3"/>
        <v>3442.5806451612902</v>
      </c>
      <c r="L14" s="209">
        <f t="shared" si="23"/>
        <v>160</v>
      </c>
      <c r="M14" s="209">
        <f t="shared" si="4"/>
        <v>3442.5806451612902</v>
      </c>
      <c r="N14" s="209">
        <f t="shared" si="24"/>
        <v>160</v>
      </c>
      <c r="O14" s="209">
        <f t="shared" si="5"/>
        <v>3442.5806451612902</v>
      </c>
      <c r="P14" s="209">
        <f t="shared" si="25"/>
        <v>160</v>
      </c>
      <c r="Q14" s="209">
        <f t="shared" si="6"/>
        <v>3442.5806451612902</v>
      </c>
      <c r="R14" s="209">
        <f t="shared" si="26"/>
        <v>160</v>
      </c>
      <c r="S14" s="209">
        <f t="shared" si="7"/>
        <v>3442.5806451612902</v>
      </c>
      <c r="T14" s="209">
        <f t="shared" si="27"/>
        <v>160</v>
      </c>
      <c r="U14" s="209">
        <f t="shared" si="8"/>
        <v>3442.5806451612902</v>
      </c>
      <c r="V14" s="209">
        <f t="shared" si="28"/>
        <v>160</v>
      </c>
      <c r="W14" s="209">
        <f t="shared" si="9"/>
        <v>3442.5806451612902</v>
      </c>
      <c r="X14" s="35">
        <f t="shared" si="10"/>
        <v>0.51612903225806461</v>
      </c>
      <c r="Y14" s="36">
        <f t="shared" si="29"/>
        <v>37868.387096774197</v>
      </c>
      <c r="Z14" s="209">
        <f>'B5'!C13</f>
        <v>166</v>
      </c>
      <c r="AA14" s="209">
        <f t="shared" si="30"/>
        <v>1660</v>
      </c>
      <c r="AB14" s="209">
        <f t="shared" si="31"/>
        <v>166</v>
      </c>
      <c r="AC14" s="209">
        <f t="shared" si="30"/>
        <v>1660</v>
      </c>
      <c r="AD14" s="209">
        <f t="shared" si="32"/>
        <v>166</v>
      </c>
      <c r="AE14" s="209">
        <f t="shared" si="11"/>
        <v>1660</v>
      </c>
      <c r="AF14" s="209">
        <f t="shared" si="33"/>
        <v>166</v>
      </c>
      <c r="AG14" s="209">
        <f t="shared" si="12"/>
        <v>1660</v>
      </c>
      <c r="AH14" s="209">
        <f t="shared" si="34"/>
        <v>166</v>
      </c>
      <c r="AI14" s="209">
        <f t="shared" si="13"/>
        <v>1660</v>
      </c>
      <c r="AJ14" s="209">
        <f t="shared" si="35"/>
        <v>166</v>
      </c>
      <c r="AK14" s="209">
        <f t="shared" si="14"/>
        <v>1660</v>
      </c>
      <c r="AL14" s="209">
        <f t="shared" si="36"/>
        <v>166</v>
      </c>
      <c r="AM14" s="209">
        <f t="shared" si="15"/>
        <v>1660</v>
      </c>
      <c r="AN14" s="35">
        <f t="shared" si="16"/>
        <v>0.59285714285714286</v>
      </c>
      <c r="AO14" s="36">
        <f t="shared" si="17"/>
        <v>11620</v>
      </c>
      <c r="AQ14" s="229">
        <f t="shared" si="37"/>
        <v>0.53230490584892109</v>
      </c>
      <c r="AR14" s="38">
        <f t="shared" si="43"/>
        <v>49488.387096774197</v>
      </c>
      <c r="AS14" s="203">
        <f t="shared" si="38"/>
        <v>-2760.0967741935456</v>
      </c>
      <c r="AT14" s="283"/>
      <c r="AU14" s="486"/>
      <c r="AV14" s="328">
        <f t="shared" si="41"/>
        <v>0.54666000000000003</v>
      </c>
      <c r="AW14" s="308">
        <f>-SUM('B5'!AI13)</f>
        <v>-880.70000000001164</v>
      </c>
      <c r="AX14" s="308">
        <f t="shared" si="39"/>
        <v>-1879.3967741935339</v>
      </c>
      <c r="AY14" s="37">
        <f t="shared" si="40"/>
        <v>-2760.0967741935456</v>
      </c>
      <c r="AZ14" s="101">
        <f>ELEC!A11</f>
        <v>0.72170000000000001</v>
      </c>
      <c r="BA14" s="119">
        <f>'General information '!D14</f>
        <v>26</v>
      </c>
      <c r="BB14" s="210">
        <f>SUM('General information '!E14)</f>
        <v>0.6</v>
      </c>
      <c r="BC14" s="3">
        <f t="shared" si="42"/>
        <v>0</v>
      </c>
      <c r="BD14" s="103">
        <v>19222</v>
      </c>
      <c r="BE14" s="14">
        <f>(305/1185)*ELEC!Q12</f>
        <v>2445.9198312237863</v>
      </c>
      <c r="BF14" s="14"/>
      <c r="BG14" s="14" t="e">
        <f>#REF!-BE14</f>
        <v>#REF!</v>
      </c>
      <c r="BH14" s="11"/>
    </row>
    <row r="15" spans="1:61" ht="13.5" customHeight="1">
      <c r="A15" s="555">
        <f>ELEC!C12</f>
        <v>43748</v>
      </c>
      <c r="B15">
        <f>'B5'!B14</f>
        <v>148</v>
      </c>
      <c r="C15" s="209">
        <f t="shared" si="18"/>
        <v>3184.3870967741937</v>
      </c>
      <c r="D15">
        <f t="shared" si="19"/>
        <v>148</v>
      </c>
      <c r="E15" s="209">
        <f t="shared" si="18"/>
        <v>3184.3870967741937</v>
      </c>
      <c r="F15">
        <f t="shared" si="20"/>
        <v>148</v>
      </c>
      <c r="G15" s="209">
        <f t="shared" si="1"/>
        <v>3184.3870967741937</v>
      </c>
      <c r="H15" s="209">
        <f t="shared" si="21"/>
        <v>148</v>
      </c>
      <c r="I15" s="209">
        <f t="shared" si="2"/>
        <v>3184.3870967741937</v>
      </c>
      <c r="J15" s="209">
        <f t="shared" si="22"/>
        <v>148</v>
      </c>
      <c r="K15" s="209">
        <f t="shared" si="3"/>
        <v>3184.3870967741937</v>
      </c>
      <c r="L15" s="209">
        <f t="shared" si="23"/>
        <v>148</v>
      </c>
      <c r="M15" s="209">
        <f t="shared" si="4"/>
        <v>3184.3870967741937</v>
      </c>
      <c r="N15" s="209">
        <f t="shared" si="24"/>
        <v>148</v>
      </c>
      <c r="O15" s="209">
        <f t="shared" si="5"/>
        <v>3184.3870967741937</v>
      </c>
      <c r="P15" s="209">
        <f t="shared" si="25"/>
        <v>148</v>
      </c>
      <c r="Q15" s="209">
        <f t="shared" si="6"/>
        <v>3184.3870967741937</v>
      </c>
      <c r="R15" s="209">
        <f t="shared" si="26"/>
        <v>148</v>
      </c>
      <c r="S15" s="209">
        <f t="shared" si="7"/>
        <v>3184.3870967741937</v>
      </c>
      <c r="T15" s="209">
        <f t="shared" si="27"/>
        <v>148</v>
      </c>
      <c r="U15" s="209">
        <f t="shared" si="8"/>
        <v>3184.3870967741937</v>
      </c>
      <c r="V15" s="209">
        <f t="shared" si="28"/>
        <v>148</v>
      </c>
      <c r="W15" s="209">
        <f t="shared" si="9"/>
        <v>3184.3870967741937</v>
      </c>
      <c r="X15" s="35">
        <f t="shared" si="10"/>
        <v>0.47741935483870968</v>
      </c>
      <c r="Y15" s="36">
        <f t="shared" si="29"/>
        <v>35028.258064516129</v>
      </c>
      <c r="Z15" s="209">
        <f>'B5'!C14</f>
        <v>154</v>
      </c>
      <c r="AA15" s="209">
        <f t="shared" si="30"/>
        <v>1540</v>
      </c>
      <c r="AB15" s="209">
        <f t="shared" si="31"/>
        <v>154</v>
      </c>
      <c r="AC15" s="209">
        <f t="shared" si="30"/>
        <v>1540</v>
      </c>
      <c r="AD15" s="209">
        <f t="shared" si="32"/>
        <v>154</v>
      </c>
      <c r="AE15" s="209">
        <f t="shared" si="11"/>
        <v>1540</v>
      </c>
      <c r="AF15" s="209">
        <f t="shared" si="33"/>
        <v>154</v>
      </c>
      <c r="AG15" s="209">
        <f t="shared" si="12"/>
        <v>1540</v>
      </c>
      <c r="AH15" s="209">
        <f t="shared" si="34"/>
        <v>154</v>
      </c>
      <c r="AI15" s="209">
        <f t="shared" si="13"/>
        <v>1540</v>
      </c>
      <c r="AJ15" s="209">
        <f t="shared" si="35"/>
        <v>154</v>
      </c>
      <c r="AK15" s="209">
        <f t="shared" si="14"/>
        <v>1540</v>
      </c>
      <c r="AL15" s="209">
        <f t="shared" si="36"/>
        <v>154</v>
      </c>
      <c r="AM15" s="209">
        <f t="shared" si="15"/>
        <v>1540</v>
      </c>
      <c r="AN15" s="35">
        <f t="shared" si="16"/>
        <v>0.55000000000000004</v>
      </c>
      <c r="AO15" s="36">
        <f t="shared" si="17"/>
        <v>10780</v>
      </c>
      <c r="AQ15" s="229">
        <f t="shared" si="37"/>
        <v>0.49272085688411454</v>
      </c>
      <c r="AR15" s="38">
        <f t="shared" si="43"/>
        <v>45808.258064516129</v>
      </c>
      <c r="AS15" s="203">
        <f>SUM(AR15-AR14-AT15)</f>
        <v>-3680.129032258068</v>
      </c>
      <c r="AT15" s="283"/>
      <c r="AU15" s="486"/>
      <c r="AV15" s="328">
        <f>IF(AT15&gt;0,AU15,AV14)</f>
        <v>0.54666000000000003</v>
      </c>
      <c r="AW15" s="308">
        <f>-SUM('B5'!AI14)</f>
        <v>-839.09999999997672</v>
      </c>
      <c r="AX15" s="308">
        <f t="shared" si="39"/>
        <v>-2841.0290322580913</v>
      </c>
      <c r="AY15" s="37">
        <f t="shared" si="40"/>
        <v>-3680.129032258068</v>
      </c>
      <c r="AZ15" s="101">
        <f>ELEC!A12</f>
        <v>0.8609</v>
      </c>
      <c r="BA15" s="119">
        <f>'General information '!D15</f>
        <v>25</v>
      </c>
      <c r="BB15" s="210">
        <f>SUM('General information '!E15)</f>
        <v>0.61</v>
      </c>
      <c r="BC15" s="3">
        <f t="shared" si="42"/>
        <v>0</v>
      </c>
      <c r="BD15" s="103">
        <v>19222</v>
      </c>
      <c r="BE15" s="14">
        <f>(305/1185)*ELEC!Q13</f>
        <v>2738.8227848100296</v>
      </c>
      <c r="BF15" s="14"/>
      <c r="BG15" s="14" t="e">
        <f>#REF!-BE15</f>
        <v>#REF!</v>
      </c>
      <c r="BH15" s="11"/>
    </row>
    <row r="16" spans="1:61">
      <c r="A16" s="495">
        <f>ELEC!C13</f>
        <v>43749</v>
      </c>
      <c r="B16">
        <f>'B5'!B15</f>
        <v>208</v>
      </c>
      <c r="C16" s="209">
        <f t="shared" si="18"/>
        <v>4475.3548387096771</v>
      </c>
      <c r="D16">
        <f t="shared" si="19"/>
        <v>208</v>
      </c>
      <c r="E16" s="209">
        <f t="shared" si="18"/>
        <v>4475.3548387096771</v>
      </c>
      <c r="F16">
        <f t="shared" si="20"/>
        <v>208</v>
      </c>
      <c r="G16" s="209">
        <f t="shared" si="1"/>
        <v>4475.3548387096771</v>
      </c>
      <c r="H16" s="209">
        <f t="shared" si="21"/>
        <v>208</v>
      </c>
      <c r="I16" s="209">
        <f t="shared" si="2"/>
        <v>4475.3548387096771</v>
      </c>
      <c r="J16" s="209">
        <f t="shared" si="22"/>
        <v>208</v>
      </c>
      <c r="K16" s="209">
        <f t="shared" si="3"/>
        <v>4475.3548387096771</v>
      </c>
      <c r="L16" s="209">
        <f t="shared" si="23"/>
        <v>208</v>
      </c>
      <c r="M16" s="209">
        <f t="shared" si="4"/>
        <v>4475.3548387096771</v>
      </c>
      <c r="N16" s="209">
        <f t="shared" si="24"/>
        <v>208</v>
      </c>
      <c r="O16" s="209">
        <f t="shared" si="5"/>
        <v>4475.3548387096771</v>
      </c>
      <c r="P16" s="209">
        <f t="shared" si="25"/>
        <v>208</v>
      </c>
      <c r="Q16" s="209">
        <f t="shared" si="6"/>
        <v>4475.3548387096771</v>
      </c>
      <c r="R16" s="209">
        <f t="shared" si="26"/>
        <v>208</v>
      </c>
      <c r="S16" s="209">
        <f t="shared" si="7"/>
        <v>4475.3548387096771</v>
      </c>
      <c r="T16" s="209">
        <f t="shared" si="27"/>
        <v>208</v>
      </c>
      <c r="U16" s="209">
        <f t="shared" si="8"/>
        <v>4475.3548387096771</v>
      </c>
      <c r="V16" s="209">
        <f t="shared" si="28"/>
        <v>208</v>
      </c>
      <c r="W16" s="209">
        <f t="shared" si="9"/>
        <v>4475.3548387096771</v>
      </c>
      <c r="X16" s="35">
        <f t="shared" si="10"/>
        <v>0.6709677419354837</v>
      </c>
      <c r="Y16" s="36">
        <f t="shared" si="29"/>
        <v>49228.90322580644</v>
      </c>
      <c r="Z16" s="209">
        <f>'B5'!C15</f>
        <v>214</v>
      </c>
      <c r="AA16" s="209">
        <f t="shared" si="30"/>
        <v>2140</v>
      </c>
      <c r="AB16" s="209">
        <f t="shared" si="31"/>
        <v>214</v>
      </c>
      <c r="AC16" s="209">
        <f t="shared" si="30"/>
        <v>2140</v>
      </c>
      <c r="AD16" s="209">
        <f t="shared" si="32"/>
        <v>214</v>
      </c>
      <c r="AE16" s="209">
        <f t="shared" si="11"/>
        <v>2140</v>
      </c>
      <c r="AF16" s="209">
        <f t="shared" si="33"/>
        <v>214</v>
      </c>
      <c r="AG16" s="209">
        <f t="shared" si="12"/>
        <v>2140</v>
      </c>
      <c r="AH16" s="209">
        <f t="shared" si="34"/>
        <v>214</v>
      </c>
      <c r="AI16" s="209">
        <f t="shared" si="13"/>
        <v>2140</v>
      </c>
      <c r="AJ16" s="209">
        <f t="shared" si="35"/>
        <v>214</v>
      </c>
      <c r="AK16" s="209">
        <f t="shared" si="14"/>
        <v>2140</v>
      </c>
      <c r="AL16" s="209">
        <f t="shared" si="36"/>
        <v>214</v>
      </c>
      <c r="AM16" s="209">
        <f t="shared" si="15"/>
        <v>2140</v>
      </c>
      <c r="AN16" s="35">
        <f t="shared" si="16"/>
        <v>0.76428571428571423</v>
      </c>
      <c r="AO16" s="36">
        <f t="shared" si="17"/>
        <v>14980</v>
      </c>
      <c r="AQ16" s="229">
        <f t="shared" si="37"/>
        <v>0.69064110170814719</v>
      </c>
      <c r="AR16" s="38">
        <f t="shared" si="43"/>
        <v>64208.90322580644</v>
      </c>
      <c r="AS16" s="203">
        <f>SUM(AR16-AR15-AT16)</f>
        <v>-1619.3548387096889</v>
      </c>
      <c r="AT16" s="283">
        <v>20020</v>
      </c>
      <c r="AU16" s="486">
        <v>0.55000000000000004</v>
      </c>
      <c r="AV16" s="328">
        <f>IF(AT16&gt;0,AU16,AV15)</f>
        <v>0.55000000000000004</v>
      </c>
      <c r="AW16" s="308">
        <f>-SUM('B5'!AI15)</f>
        <v>-821.90000000002328</v>
      </c>
      <c r="AX16" s="308">
        <f>-SUM(AW16-AS16)</f>
        <v>-797.45483870966564</v>
      </c>
      <c r="AY16" s="37">
        <f t="shared" si="40"/>
        <v>-1619.3548387096889</v>
      </c>
      <c r="AZ16" s="101">
        <f>ELEC!A13</f>
        <v>0.8478</v>
      </c>
      <c r="BA16" s="119">
        <f>'General information '!D16</f>
        <v>26</v>
      </c>
      <c r="BB16" s="210">
        <f>SUM('General information '!E16)</f>
        <v>0.67</v>
      </c>
      <c r="BC16" s="3">
        <f t="shared" si="42"/>
        <v>1</v>
      </c>
      <c r="BD16" s="103">
        <v>19222</v>
      </c>
      <c r="BE16" s="14">
        <f>(305/1185)*ELEC!Q14</f>
        <v>1170.3248945148916</v>
      </c>
      <c r="BF16" s="14"/>
      <c r="BG16" s="14" t="e">
        <f>#REF!-BE16</f>
        <v>#REF!</v>
      </c>
      <c r="BH16" s="11"/>
    </row>
    <row r="17" spans="1:61">
      <c r="A17" s="496">
        <f>ELEC!C14</f>
        <v>43750</v>
      </c>
      <c r="B17">
        <f>'B5'!B16</f>
        <v>200</v>
      </c>
      <c r="C17" s="209">
        <f t="shared" si="18"/>
        <v>4303.2258064516127</v>
      </c>
      <c r="D17">
        <f t="shared" si="19"/>
        <v>200</v>
      </c>
      <c r="E17" s="209">
        <f t="shared" si="18"/>
        <v>4303.2258064516127</v>
      </c>
      <c r="F17">
        <f t="shared" si="20"/>
        <v>200</v>
      </c>
      <c r="G17" s="209">
        <f t="shared" si="1"/>
        <v>4303.2258064516127</v>
      </c>
      <c r="H17" s="209">
        <f t="shared" si="21"/>
        <v>200</v>
      </c>
      <c r="I17" s="209">
        <f t="shared" si="2"/>
        <v>4303.2258064516127</v>
      </c>
      <c r="J17" s="209">
        <f t="shared" si="22"/>
        <v>200</v>
      </c>
      <c r="K17" s="209">
        <f t="shared" si="3"/>
        <v>4303.2258064516127</v>
      </c>
      <c r="L17" s="209">
        <f t="shared" si="23"/>
        <v>200</v>
      </c>
      <c r="M17" s="209">
        <f t="shared" si="4"/>
        <v>4303.2258064516127</v>
      </c>
      <c r="N17" s="209">
        <f t="shared" si="24"/>
        <v>200</v>
      </c>
      <c r="O17" s="209">
        <f t="shared" si="5"/>
        <v>4303.2258064516127</v>
      </c>
      <c r="P17" s="209">
        <f t="shared" si="25"/>
        <v>200</v>
      </c>
      <c r="Q17" s="209">
        <f t="shared" si="6"/>
        <v>4303.2258064516127</v>
      </c>
      <c r="R17" s="209">
        <f t="shared" si="26"/>
        <v>200</v>
      </c>
      <c r="S17" s="209">
        <f t="shared" si="7"/>
        <v>4303.2258064516127</v>
      </c>
      <c r="T17" s="209">
        <f t="shared" si="27"/>
        <v>200</v>
      </c>
      <c r="U17" s="209">
        <f t="shared" si="8"/>
        <v>4303.2258064516127</v>
      </c>
      <c r="V17" s="209">
        <f t="shared" si="28"/>
        <v>200</v>
      </c>
      <c r="W17" s="209">
        <f t="shared" si="9"/>
        <v>4303.2258064516127</v>
      </c>
      <c r="X17" s="35">
        <f t="shared" si="10"/>
        <v>0.64516129032258063</v>
      </c>
      <c r="Y17" s="36">
        <f t="shared" si="29"/>
        <v>47335.483870967742</v>
      </c>
      <c r="Z17" s="209">
        <f>'B5'!C16</f>
        <v>206</v>
      </c>
      <c r="AA17" s="209">
        <f t="shared" si="30"/>
        <v>2060</v>
      </c>
      <c r="AB17" s="209">
        <f t="shared" si="31"/>
        <v>206</v>
      </c>
      <c r="AC17" s="209">
        <f t="shared" si="30"/>
        <v>2060</v>
      </c>
      <c r="AD17" s="209">
        <f t="shared" si="32"/>
        <v>206</v>
      </c>
      <c r="AE17" s="209">
        <f t="shared" si="11"/>
        <v>2060</v>
      </c>
      <c r="AF17" s="209">
        <f t="shared" si="33"/>
        <v>206</v>
      </c>
      <c r="AG17" s="209">
        <f t="shared" si="12"/>
        <v>2060</v>
      </c>
      <c r="AH17" s="209">
        <f t="shared" si="34"/>
        <v>206</v>
      </c>
      <c r="AI17" s="209">
        <f t="shared" si="13"/>
        <v>2060</v>
      </c>
      <c r="AJ17" s="209">
        <f t="shared" si="35"/>
        <v>206</v>
      </c>
      <c r="AK17" s="209">
        <f t="shared" si="14"/>
        <v>2060</v>
      </c>
      <c r="AL17" s="209">
        <f t="shared" si="36"/>
        <v>206</v>
      </c>
      <c r="AM17" s="209">
        <f t="shared" si="15"/>
        <v>2060</v>
      </c>
      <c r="AN17" s="35">
        <f t="shared" si="16"/>
        <v>0.73571428571428577</v>
      </c>
      <c r="AO17" s="36">
        <f>SUM(AA17+AC17+AE17+AG17+AI17+AK17+AM17)</f>
        <v>14420</v>
      </c>
      <c r="AQ17" s="229">
        <f t="shared" si="37"/>
        <v>0.66425173573160956</v>
      </c>
      <c r="AR17" s="38">
        <f t="shared" si="43"/>
        <v>61755.483870967742</v>
      </c>
      <c r="AS17" s="203">
        <f t="shared" si="38"/>
        <v>-2453.4193548386975</v>
      </c>
      <c r="AT17" s="383"/>
      <c r="AU17" s="532"/>
      <c r="AV17" s="328">
        <f t="shared" si="41"/>
        <v>0.55000000000000004</v>
      </c>
      <c r="AW17" s="308">
        <f>-SUM('B5'!AI16)</f>
        <v>-844.20000000001164</v>
      </c>
      <c r="AX17" s="308">
        <f t="shared" si="39"/>
        <v>-1609.2193548386858</v>
      </c>
      <c r="AY17" s="37">
        <f t="shared" si="40"/>
        <v>-2453.4193548386975</v>
      </c>
      <c r="AZ17" s="101">
        <f>ELEC!A14</f>
        <v>0.58699999999999997</v>
      </c>
      <c r="BA17" s="119">
        <f>'General information '!D17</f>
        <v>25.5</v>
      </c>
      <c r="BB17" s="210">
        <f>SUM('General information '!E17)</f>
        <v>0.69</v>
      </c>
      <c r="BC17" s="3">
        <f t="shared" si="42"/>
        <v>0</v>
      </c>
      <c r="BD17" s="103">
        <v>19222</v>
      </c>
      <c r="BE17" s="14">
        <f>(305/1185)*ELEC!Q15</f>
        <v>1033.9113924050184</v>
      </c>
      <c r="BF17" s="14"/>
      <c r="BG17" s="14" t="e">
        <f>#REF!-BE17</f>
        <v>#REF!</v>
      </c>
      <c r="BH17" s="11"/>
    </row>
    <row r="18" spans="1:61">
      <c r="A18" s="495">
        <f>ELEC!C15</f>
        <v>43751</v>
      </c>
      <c r="B18">
        <f>'B5'!B17</f>
        <v>192</v>
      </c>
      <c r="C18" s="209">
        <f t="shared" si="18"/>
        <v>4131.0967741935483</v>
      </c>
      <c r="D18">
        <f t="shared" si="19"/>
        <v>192</v>
      </c>
      <c r="E18" s="209">
        <f t="shared" si="18"/>
        <v>4131.0967741935483</v>
      </c>
      <c r="F18">
        <f t="shared" si="20"/>
        <v>192</v>
      </c>
      <c r="G18" s="209">
        <f t="shared" si="1"/>
        <v>4131.0967741935483</v>
      </c>
      <c r="H18" s="209">
        <f t="shared" si="21"/>
        <v>192</v>
      </c>
      <c r="I18" s="209">
        <f t="shared" si="2"/>
        <v>4131.0967741935483</v>
      </c>
      <c r="J18" s="209">
        <f t="shared" si="22"/>
        <v>192</v>
      </c>
      <c r="K18" s="209">
        <f t="shared" si="3"/>
        <v>4131.0967741935483</v>
      </c>
      <c r="L18" s="209">
        <f t="shared" si="23"/>
        <v>192</v>
      </c>
      <c r="M18" s="209">
        <f t="shared" si="4"/>
        <v>4131.0967741935483</v>
      </c>
      <c r="N18" s="209">
        <f t="shared" si="24"/>
        <v>192</v>
      </c>
      <c r="O18" s="209">
        <f t="shared" si="5"/>
        <v>4131.0967741935483</v>
      </c>
      <c r="P18" s="209">
        <f t="shared" si="25"/>
        <v>192</v>
      </c>
      <c r="Q18" s="209">
        <f t="shared" si="6"/>
        <v>4131.0967741935483</v>
      </c>
      <c r="R18" s="209">
        <f t="shared" si="26"/>
        <v>192</v>
      </c>
      <c r="S18" s="209">
        <f t="shared" si="7"/>
        <v>4131.0967741935483</v>
      </c>
      <c r="T18" s="209">
        <f t="shared" si="27"/>
        <v>192</v>
      </c>
      <c r="U18" s="209">
        <f t="shared" si="8"/>
        <v>4131.0967741935483</v>
      </c>
      <c r="V18" s="209">
        <f t="shared" si="28"/>
        <v>192</v>
      </c>
      <c r="W18" s="209">
        <f t="shared" si="9"/>
        <v>4131.0967741935483</v>
      </c>
      <c r="X18" s="35">
        <f t="shared" si="10"/>
        <v>0.61935483870967734</v>
      </c>
      <c r="Y18" s="36">
        <f t="shared" si="29"/>
        <v>45442.064516129023</v>
      </c>
      <c r="Z18" s="209">
        <f>'B5'!C17</f>
        <v>198</v>
      </c>
      <c r="AA18" s="209">
        <f t="shared" si="30"/>
        <v>1980</v>
      </c>
      <c r="AB18" s="209">
        <f t="shared" si="31"/>
        <v>198</v>
      </c>
      <c r="AC18" s="209">
        <f t="shared" si="30"/>
        <v>1980</v>
      </c>
      <c r="AD18" s="209">
        <f t="shared" si="32"/>
        <v>198</v>
      </c>
      <c r="AE18" s="209">
        <f t="shared" si="11"/>
        <v>1980</v>
      </c>
      <c r="AF18" s="209">
        <f t="shared" si="33"/>
        <v>198</v>
      </c>
      <c r="AG18" s="209">
        <f t="shared" si="12"/>
        <v>1980</v>
      </c>
      <c r="AH18" s="209">
        <f t="shared" si="34"/>
        <v>198</v>
      </c>
      <c r="AI18" s="209">
        <f t="shared" si="13"/>
        <v>1980</v>
      </c>
      <c r="AJ18" s="209">
        <f t="shared" si="35"/>
        <v>198</v>
      </c>
      <c r="AK18" s="209">
        <f t="shared" si="14"/>
        <v>1980</v>
      </c>
      <c r="AL18" s="209">
        <f t="shared" si="36"/>
        <v>198</v>
      </c>
      <c r="AM18" s="209">
        <f t="shared" si="15"/>
        <v>1980</v>
      </c>
      <c r="AN18" s="35">
        <f t="shared" si="16"/>
        <v>0.70714285714285718</v>
      </c>
      <c r="AO18" s="36">
        <f t="shared" si="17"/>
        <v>13860</v>
      </c>
      <c r="AQ18" s="229">
        <f t="shared" si="37"/>
        <v>0.63786236975507182</v>
      </c>
      <c r="AR18" s="38">
        <f t="shared" si="43"/>
        <v>59302.064516129023</v>
      </c>
      <c r="AS18" s="203">
        <f t="shared" si="38"/>
        <v>-2453.4193548387193</v>
      </c>
      <c r="AT18" s="283"/>
      <c r="AU18" s="486"/>
      <c r="AV18" s="328">
        <f>IF(AT18&gt;0,AU18,AV17)</f>
        <v>0.55000000000000004</v>
      </c>
      <c r="AW18" s="308">
        <f>-SUM('B5'!AI17)</f>
        <v>-925.29999999998836</v>
      </c>
      <c r="AX18" s="308">
        <f t="shared" si="39"/>
        <v>-1528.1193548387309</v>
      </c>
      <c r="AY18" s="37">
        <f t="shared" si="40"/>
        <v>-2453.4193548387193</v>
      </c>
      <c r="AZ18" s="101">
        <f>ELEC!A15</f>
        <v>0.52610000000000001</v>
      </c>
      <c r="BA18" s="119">
        <f>'General information '!D18</f>
        <v>27</v>
      </c>
      <c r="BB18" s="427">
        <f>SUM('General information '!E18)</f>
        <v>0.54</v>
      </c>
      <c r="BC18" s="3">
        <f t="shared" si="42"/>
        <v>0</v>
      </c>
      <c r="BD18" s="103">
        <v>19222</v>
      </c>
      <c r="BE18" s="14">
        <f>(305/1185)*ELEC!Q16</f>
        <v>2878.8396624471266</v>
      </c>
      <c r="BF18" s="14"/>
      <c r="BG18" s="14" t="e">
        <f>#REF!-BE18</f>
        <v>#REF!</v>
      </c>
      <c r="BH18" s="11"/>
    </row>
    <row r="19" spans="1:61">
      <c r="A19" s="495">
        <f>ELEC!C16</f>
        <v>43752</v>
      </c>
      <c r="B19">
        <f>'B5'!B18</f>
        <v>178</v>
      </c>
      <c r="C19" s="209">
        <f t="shared" si="18"/>
        <v>3829.8709677419356</v>
      </c>
      <c r="D19">
        <f t="shared" si="19"/>
        <v>178</v>
      </c>
      <c r="E19" s="209">
        <f t="shared" si="18"/>
        <v>3829.8709677419356</v>
      </c>
      <c r="F19">
        <f t="shared" si="20"/>
        <v>178</v>
      </c>
      <c r="G19" s="209">
        <f t="shared" si="1"/>
        <v>3829.8709677419356</v>
      </c>
      <c r="H19" s="209">
        <f t="shared" si="21"/>
        <v>178</v>
      </c>
      <c r="I19" s="209">
        <f t="shared" si="2"/>
        <v>3829.8709677419356</v>
      </c>
      <c r="J19" s="209">
        <f t="shared" si="22"/>
        <v>178</v>
      </c>
      <c r="K19" s="209">
        <f t="shared" si="3"/>
        <v>3829.8709677419356</v>
      </c>
      <c r="L19" s="209">
        <f t="shared" si="23"/>
        <v>178</v>
      </c>
      <c r="M19" s="209">
        <f t="shared" si="4"/>
        <v>3829.8709677419356</v>
      </c>
      <c r="N19" s="209">
        <f t="shared" si="24"/>
        <v>178</v>
      </c>
      <c r="O19" s="209">
        <f t="shared" si="5"/>
        <v>3829.8709677419356</v>
      </c>
      <c r="P19" s="209">
        <f t="shared" si="25"/>
        <v>178</v>
      </c>
      <c r="Q19" s="209">
        <f t="shared" si="6"/>
        <v>3829.8709677419356</v>
      </c>
      <c r="R19" s="209">
        <f t="shared" si="26"/>
        <v>178</v>
      </c>
      <c r="S19" s="209">
        <f t="shared" si="7"/>
        <v>3829.8709677419356</v>
      </c>
      <c r="T19" s="209">
        <f t="shared" si="27"/>
        <v>178</v>
      </c>
      <c r="U19" s="209">
        <f t="shared" si="8"/>
        <v>3829.8709677419356</v>
      </c>
      <c r="V19" s="209">
        <f t="shared" si="28"/>
        <v>178</v>
      </c>
      <c r="W19" s="209">
        <f t="shared" si="9"/>
        <v>3829.8709677419356</v>
      </c>
      <c r="X19" s="35">
        <f t="shared" si="10"/>
        <v>0.57419354838709691</v>
      </c>
      <c r="Y19" s="36">
        <f t="shared" si="29"/>
        <v>42128.580645161303</v>
      </c>
      <c r="Z19" s="209">
        <f>'B5'!C18</f>
        <v>184</v>
      </c>
      <c r="AA19" s="209">
        <f t="shared" si="30"/>
        <v>1840</v>
      </c>
      <c r="AB19" s="209">
        <f t="shared" si="31"/>
        <v>184</v>
      </c>
      <c r="AC19" s="209">
        <f t="shared" si="30"/>
        <v>1840</v>
      </c>
      <c r="AD19" s="209">
        <f t="shared" si="32"/>
        <v>184</v>
      </c>
      <c r="AE19" s="209">
        <f t="shared" si="11"/>
        <v>1840</v>
      </c>
      <c r="AF19" s="209">
        <f t="shared" si="33"/>
        <v>184</v>
      </c>
      <c r="AG19" s="209">
        <f t="shared" si="12"/>
        <v>1840</v>
      </c>
      <c r="AH19" s="209">
        <f t="shared" si="34"/>
        <v>184</v>
      </c>
      <c r="AI19" s="209">
        <f t="shared" si="13"/>
        <v>1840</v>
      </c>
      <c r="AJ19" s="209">
        <f t="shared" si="35"/>
        <v>184</v>
      </c>
      <c r="AK19" s="209">
        <f t="shared" si="14"/>
        <v>1840</v>
      </c>
      <c r="AL19" s="209">
        <f t="shared" si="36"/>
        <v>184</v>
      </c>
      <c r="AM19" s="209">
        <f t="shared" si="15"/>
        <v>1840</v>
      </c>
      <c r="AN19" s="35">
        <f t="shared" si="16"/>
        <v>0.65714285714285714</v>
      </c>
      <c r="AO19" s="36">
        <f t="shared" si="17"/>
        <v>12880</v>
      </c>
      <c r="AQ19" s="229">
        <f t="shared" si="37"/>
        <v>0.59168097929613106</v>
      </c>
      <c r="AR19" s="38">
        <f t="shared" si="43"/>
        <v>55008.580645161303</v>
      </c>
      <c r="AS19" s="203">
        <f t="shared" si="38"/>
        <v>-4293.4838709677206</v>
      </c>
      <c r="AT19" s="283"/>
      <c r="AU19" s="486"/>
      <c r="AV19" s="328">
        <f t="shared" si="41"/>
        <v>0.55000000000000004</v>
      </c>
      <c r="AW19" s="308">
        <f>-SUM('B5'!AI18)</f>
        <v>-708.29999999998836</v>
      </c>
      <c r="AX19" s="308">
        <f t="shared" si="39"/>
        <v>-3585.1838709677322</v>
      </c>
      <c r="AY19" s="37">
        <f t="shared" si="40"/>
        <v>-4293.4838709677206</v>
      </c>
      <c r="AZ19" s="101">
        <f>ELEC!A16</f>
        <v>0.58260000000000001</v>
      </c>
      <c r="BA19" s="119">
        <f>'General information '!D19</f>
        <v>27</v>
      </c>
      <c r="BB19" s="210">
        <f>SUM('General information '!E19)</f>
        <v>0.6</v>
      </c>
      <c r="BC19" s="3">
        <f t="shared" si="42"/>
        <v>0</v>
      </c>
      <c r="BD19" s="103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95">
        <f>ELEC!C17</f>
        <v>43753</v>
      </c>
      <c r="B20">
        <f>'B5'!B19</f>
        <v>178</v>
      </c>
      <c r="C20" s="209">
        <f t="shared" si="18"/>
        <v>3829.8709677419356</v>
      </c>
      <c r="D20">
        <f t="shared" si="19"/>
        <v>178</v>
      </c>
      <c r="E20" s="209">
        <f t="shared" si="18"/>
        <v>3829.8709677419356</v>
      </c>
      <c r="F20">
        <f t="shared" si="20"/>
        <v>178</v>
      </c>
      <c r="G20" s="209">
        <f t="shared" si="1"/>
        <v>3829.8709677419356</v>
      </c>
      <c r="H20" s="209">
        <f t="shared" si="21"/>
        <v>178</v>
      </c>
      <c r="I20" s="209">
        <f t="shared" si="2"/>
        <v>3829.8709677419356</v>
      </c>
      <c r="J20" s="209">
        <f t="shared" si="22"/>
        <v>178</v>
      </c>
      <c r="K20" s="209">
        <f t="shared" si="3"/>
        <v>3829.8709677419356</v>
      </c>
      <c r="L20" s="209">
        <f t="shared" si="23"/>
        <v>178</v>
      </c>
      <c r="M20" s="209">
        <f t="shared" si="4"/>
        <v>3829.8709677419356</v>
      </c>
      <c r="N20" s="209">
        <f t="shared" si="24"/>
        <v>178</v>
      </c>
      <c r="O20" s="209">
        <f t="shared" si="5"/>
        <v>3829.8709677419356</v>
      </c>
      <c r="P20" s="209">
        <f t="shared" si="25"/>
        <v>178</v>
      </c>
      <c r="Q20" s="209">
        <f t="shared" si="6"/>
        <v>3829.8709677419356</v>
      </c>
      <c r="R20" s="209">
        <f t="shared" si="26"/>
        <v>178</v>
      </c>
      <c r="S20" s="209">
        <f t="shared" si="7"/>
        <v>3829.8709677419356</v>
      </c>
      <c r="T20" s="209">
        <f t="shared" si="27"/>
        <v>178</v>
      </c>
      <c r="U20" s="209">
        <f t="shared" si="8"/>
        <v>3829.8709677419356</v>
      </c>
      <c r="V20" s="209">
        <f t="shared" si="28"/>
        <v>178</v>
      </c>
      <c r="W20" s="209">
        <f t="shared" si="9"/>
        <v>3829.8709677419356</v>
      </c>
      <c r="X20" s="35">
        <f t="shared" si="10"/>
        <v>0.57419354838709691</v>
      </c>
      <c r="Y20" s="36">
        <f t="shared" si="29"/>
        <v>42128.580645161303</v>
      </c>
      <c r="Z20" s="209">
        <f>'B5'!C19</f>
        <v>184</v>
      </c>
      <c r="AA20" s="209">
        <f t="shared" si="30"/>
        <v>1840</v>
      </c>
      <c r="AB20" s="209">
        <f t="shared" si="31"/>
        <v>184</v>
      </c>
      <c r="AC20" s="209">
        <f t="shared" si="30"/>
        <v>1840</v>
      </c>
      <c r="AD20" s="209">
        <f t="shared" si="32"/>
        <v>184</v>
      </c>
      <c r="AE20" s="209">
        <f t="shared" si="11"/>
        <v>1840</v>
      </c>
      <c r="AF20" s="209">
        <f t="shared" si="33"/>
        <v>184</v>
      </c>
      <c r="AG20" s="209">
        <f t="shared" si="12"/>
        <v>1840</v>
      </c>
      <c r="AH20" s="209">
        <f t="shared" si="34"/>
        <v>184</v>
      </c>
      <c r="AI20" s="209">
        <f t="shared" si="13"/>
        <v>1840</v>
      </c>
      <c r="AJ20" s="209">
        <f t="shared" si="35"/>
        <v>184</v>
      </c>
      <c r="AK20" s="209">
        <f t="shared" si="14"/>
        <v>1840</v>
      </c>
      <c r="AL20" s="209">
        <f t="shared" si="36"/>
        <v>184</v>
      </c>
      <c r="AM20" s="209">
        <f t="shared" si="15"/>
        <v>1840</v>
      </c>
      <c r="AN20" s="35">
        <f t="shared" si="16"/>
        <v>0.65714285714285714</v>
      </c>
      <c r="AO20" s="36">
        <f t="shared" si="17"/>
        <v>12880</v>
      </c>
      <c r="AQ20" s="229">
        <f t="shared" si="37"/>
        <v>0.59168097929613106</v>
      </c>
      <c r="AR20" s="38">
        <f t="shared" si="43"/>
        <v>55008.580645161303</v>
      </c>
      <c r="AS20" s="203">
        <f t="shared" si="38"/>
        <v>0</v>
      </c>
      <c r="AT20" s="283"/>
      <c r="AU20" s="486"/>
      <c r="AV20" s="328">
        <f t="shared" si="41"/>
        <v>0.55000000000000004</v>
      </c>
      <c r="AW20" s="308">
        <f>-SUM('B5'!AI19)</f>
        <v>0</v>
      </c>
      <c r="AX20" s="308">
        <f t="shared" si="39"/>
        <v>0</v>
      </c>
      <c r="AY20" s="37">
        <f t="shared" si="40"/>
        <v>0</v>
      </c>
      <c r="AZ20" s="101">
        <f>ELEC!A17</f>
        <v>0</v>
      </c>
      <c r="BA20" s="119">
        <f>'General information '!D20</f>
        <v>0</v>
      </c>
      <c r="BB20" s="210">
        <f>SUM('General information '!E20)</f>
        <v>0</v>
      </c>
      <c r="BC20" s="3">
        <f t="shared" si="42"/>
        <v>0</v>
      </c>
      <c r="BD20" s="103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95">
        <f>ELEC!C18</f>
        <v>43754</v>
      </c>
      <c r="B21">
        <f>'B5'!B20</f>
        <v>178</v>
      </c>
      <c r="C21" s="209">
        <f t="shared" si="18"/>
        <v>3829.8709677419356</v>
      </c>
      <c r="D21">
        <f t="shared" si="19"/>
        <v>178</v>
      </c>
      <c r="E21" s="209">
        <f t="shared" si="18"/>
        <v>3829.8709677419356</v>
      </c>
      <c r="F21">
        <f t="shared" si="20"/>
        <v>178</v>
      </c>
      <c r="G21" s="209">
        <f t="shared" si="1"/>
        <v>3829.8709677419356</v>
      </c>
      <c r="H21" s="209">
        <f t="shared" si="21"/>
        <v>178</v>
      </c>
      <c r="I21" s="209">
        <f t="shared" si="2"/>
        <v>3829.8709677419356</v>
      </c>
      <c r="J21" s="209">
        <f t="shared" si="22"/>
        <v>178</v>
      </c>
      <c r="K21" s="209">
        <f t="shared" si="3"/>
        <v>3829.8709677419356</v>
      </c>
      <c r="L21" s="209">
        <f t="shared" si="23"/>
        <v>178</v>
      </c>
      <c r="M21" s="209">
        <f t="shared" si="4"/>
        <v>3829.8709677419356</v>
      </c>
      <c r="N21" s="209">
        <f t="shared" si="24"/>
        <v>178</v>
      </c>
      <c r="O21" s="209">
        <f t="shared" si="5"/>
        <v>3829.8709677419356</v>
      </c>
      <c r="P21" s="209">
        <f t="shared" si="25"/>
        <v>178</v>
      </c>
      <c r="Q21" s="209">
        <f t="shared" si="6"/>
        <v>3829.8709677419356</v>
      </c>
      <c r="R21" s="209">
        <f t="shared" si="26"/>
        <v>178</v>
      </c>
      <c r="S21" s="209">
        <f t="shared" si="7"/>
        <v>3829.8709677419356</v>
      </c>
      <c r="T21" s="209">
        <f t="shared" si="27"/>
        <v>178</v>
      </c>
      <c r="U21" s="209">
        <f t="shared" si="8"/>
        <v>3829.8709677419356</v>
      </c>
      <c r="V21" s="209">
        <f t="shared" si="28"/>
        <v>178</v>
      </c>
      <c r="W21" s="209">
        <f t="shared" si="9"/>
        <v>3829.8709677419356</v>
      </c>
      <c r="X21" s="35">
        <f t="shared" si="10"/>
        <v>0.57419354838709691</v>
      </c>
      <c r="Y21" s="36">
        <f t="shared" si="29"/>
        <v>42128.580645161303</v>
      </c>
      <c r="Z21" s="209">
        <f>'B5'!C20</f>
        <v>184</v>
      </c>
      <c r="AA21" s="209">
        <f t="shared" si="30"/>
        <v>1840</v>
      </c>
      <c r="AB21" s="209">
        <f t="shared" si="31"/>
        <v>184</v>
      </c>
      <c r="AC21" s="209">
        <f t="shared" si="30"/>
        <v>1840</v>
      </c>
      <c r="AD21" s="209">
        <f t="shared" si="32"/>
        <v>184</v>
      </c>
      <c r="AE21" s="209">
        <f t="shared" si="11"/>
        <v>1840</v>
      </c>
      <c r="AF21" s="209">
        <f t="shared" si="33"/>
        <v>184</v>
      </c>
      <c r="AG21" s="209">
        <f t="shared" si="12"/>
        <v>1840</v>
      </c>
      <c r="AH21" s="209">
        <f t="shared" si="34"/>
        <v>184</v>
      </c>
      <c r="AI21" s="209">
        <f t="shared" si="13"/>
        <v>1840</v>
      </c>
      <c r="AJ21" s="209">
        <f t="shared" si="35"/>
        <v>184</v>
      </c>
      <c r="AK21" s="209">
        <f t="shared" si="14"/>
        <v>1840</v>
      </c>
      <c r="AL21" s="209">
        <f t="shared" si="36"/>
        <v>184</v>
      </c>
      <c r="AM21" s="209">
        <f t="shared" si="15"/>
        <v>1840</v>
      </c>
      <c r="AN21" s="35">
        <f t="shared" si="16"/>
        <v>0.65714285714285714</v>
      </c>
      <c r="AO21" s="36">
        <f t="shared" si="17"/>
        <v>12880</v>
      </c>
      <c r="AQ21" s="229">
        <f t="shared" si="37"/>
        <v>0.59168097929613106</v>
      </c>
      <c r="AR21" s="38">
        <f t="shared" si="43"/>
        <v>55008.580645161303</v>
      </c>
      <c r="AS21" s="203">
        <f t="shared" si="38"/>
        <v>0</v>
      </c>
      <c r="AT21" s="283"/>
      <c r="AU21" s="486"/>
      <c r="AV21" s="328">
        <f t="shared" si="41"/>
        <v>0.55000000000000004</v>
      </c>
      <c r="AW21" s="308">
        <f>-SUM('B5'!AI20)</f>
        <v>0</v>
      </c>
      <c r="AX21" s="308">
        <f t="shared" si="39"/>
        <v>0</v>
      </c>
      <c r="AY21" s="37">
        <f t="shared" si="40"/>
        <v>0</v>
      </c>
      <c r="AZ21" s="101">
        <f>ELEC!A18</f>
        <v>0</v>
      </c>
      <c r="BA21" s="119">
        <f>'General information '!D21</f>
        <v>0</v>
      </c>
      <c r="BB21" s="210">
        <f>SUM('General information '!E21)</f>
        <v>0</v>
      </c>
      <c r="BC21" s="3">
        <f t="shared" si="42"/>
        <v>0</v>
      </c>
      <c r="BD21" s="103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555">
        <f>ELEC!C19</f>
        <v>43755</v>
      </c>
      <c r="B22">
        <f>'B5'!B21</f>
        <v>178</v>
      </c>
      <c r="C22" s="209">
        <f t="shared" si="18"/>
        <v>3829.8709677419356</v>
      </c>
      <c r="D22">
        <f t="shared" si="19"/>
        <v>178</v>
      </c>
      <c r="E22" s="209">
        <f t="shared" si="18"/>
        <v>3829.8709677419356</v>
      </c>
      <c r="F22">
        <f t="shared" si="20"/>
        <v>178</v>
      </c>
      <c r="G22" s="209">
        <f t="shared" si="1"/>
        <v>3829.8709677419356</v>
      </c>
      <c r="H22" s="209">
        <f t="shared" si="21"/>
        <v>178</v>
      </c>
      <c r="I22" s="209">
        <f t="shared" si="2"/>
        <v>3829.8709677419356</v>
      </c>
      <c r="J22" s="209">
        <f t="shared" si="22"/>
        <v>178</v>
      </c>
      <c r="K22" s="209">
        <f t="shared" si="3"/>
        <v>3829.8709677419356</v>
      </c>
      <c r="L22" s="209">
        <f t="shared" si="23"/>
        <v>178</v>
      </c>
      <c r="M22" s="209">
        <f t="shared" si="4"/>
        <v>3829.8709677419356</v>
      </c>
      <c r="N22" s="209">
        <f t="shared" si="24"/>
        <v>178</v>
      </c>
      <c r="O22" s="209">
        <f t="shared" si="5"/>
        <v>3829.8709677419356</v>
      </c>
      <c r="P22" s="209">
        <f t="shared" si="25"/>
        <v>178</v>
      </c>
      <c r="Q22" s="209">
        <f t="shared" si="6"/>
        <v>3829.8709677419356</v>
      </c>
      <c r="R22" s="209">
        <f t="shared" si="26"/>
        <v>178</v>
      </c>
      <c r="S22" s="209">
        <f t="shared" si="7"/>
        <v>3829.8709677419356</v>
      </c>
      <c r="T22" s="209">
        <f t="shared" si="27"/>
        <v>178</v>
      </c>
      <c r="U22" s="209">
        <f t="shared" si="8"/>
        <v>3829.8709677419356</v>
      </c>
      <c r="V22" s="209">
        <f t="shared" si="28"/>
        <v>178</v>
      </c>
      <c r="W22" s="209">
        <f t="shared" si="9"/>
        <v>3829.8709677419356</v>
      </c>
      <c r="X22" s="35">
        <f t="shared" si="10"/>
        <v>0.57419354838709691</v>
      </c>
      <c r="Y22" s="36">
        <f t="shared" si="29"/>
        <v>42128.580645161303</v>
      </c>
      <c r="Z22" s="209">
        <f>'B5'!C21</f>
        <v>184</v>
      </c>
      <c r="AA22" s="209">
        <f t="shared" si="30"/>
        <v>1840</v>
      </c>
      <c r="AB22" s="209">
        <f t="shared" si="31"/>
        <v>184</v>
      </c>
      <c r="AC22" s="209">
        <f t="shared" si="30"/>
        <v>1840</v>
      </c>
      <c r="AD22" s="209">
        <f t="shared" si="32"/>
        <v>184</v>
      </c>
      <c r="AE22" s="209">
        <f t="shared" si="11"/>
        <v>1840</v>
      </c>
      <c r="AF22" s="209">
        <f t="shared" si="33"/>
        <v>184</v>
      </c>
      <c r="AG22" s="209">
        <f t="shared" si="12"/>
        <v>1840</v>
      </c>
      <c r="AH22" s="209">
        <f t="shared" si="34"/>
        <v>184</v>
      </c>
      <c r="AI22" s="209">
        <f t="shared" si="13"/>
        <v>1840</v>
      </c>
      <c r="AJ22" s="209">
        <f t="shared" si="35"/>
        <v>184</v>
      </c>
      <c r="AK22" s="209">
        <f t="shared" si="14"/>
        <v>1840</v>
      </c>
      <c r="AL22" s="209">
        <f t="shared" si="36"/>
        <v>184</v>
      </c>
      <c r="AM22" s="209">
        <f t="shared" si="15"/>
        <v>1840</v>
      </c>
      <c r="AN22" s="35">
        <f t="shared" si="16"/>
        <v>0.65714285714285714</v>
      </c>
      <c r="AO22" s="36">
        <f t="shared" si="17"/>
        <v>12880</v>
      </c>
      <c r="AQ22" s="229">
        <f t="shared" si="37"/>
        <v>0.59168097929613106</v>
      </c>
      <c r="AR22" s="38">
        <f t="shared" si="43"/>
        <v>55008.580645161303</v>
      </c>
      <c r="AS22" s="203">
        <f t="shared" si="38"/>
        <v>0</v>
      </c>
      <c r="AT22" s="283"/>
      <c r="AU22" s="486"/>
      <c r="AV22" s="328">
        <f t="shared" si="41"/>
        <v>0.55000000000000004</v>
      </c>
      <c r="AW22" s="308">
        <f>-SUM('B5'!AI21)</f>
        <v>0</v>
      </c>
      <c r="AX22" s="308">
        <f t="shared" si="39"/>
        <v>0</v>
      </c>
      <c r="AY22" s="37">
        <f t="shared" si="40"/>
        <v>0</v>
      </c>
      <c r="AZ22" s="101">
        <f>ELEC!A19</f>
        <v>0</v>
      </c>
      <c r="BA22" s="119">
        <f>'General information '!D22</f>
        <v>0</v>
      </c>
      <c r="BB22" s="210">
        <f>SUM('General information '!E22)</f>
        <v>0</v>
      </c>
      <c r="BC22" s="3">
        <f t="shared" si="42"/>
        <v>0</v>
      </c>
      <c r="BD22" s="103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95">
        <f>ELEC!C20</f>
        <v>43756</v>
      </c>
      <c r="B23">
        <f>'B5'!B22</f>
        <v>178</v>
      </c>
      <c r="C23" s="209">
        <f t="shared" si="18"/>
        <v>3829.8709677419356</v>
      </c>
      <c r="D23">
        <f t="shared" si="19"/>
        <v>178</v>
      </c>
      <c r="E23" s="209">
        <f t="shared" si="18"/>
        <v>3829.8709677419356</v>
      </c>
      <c r="F23">
        <f t="shared" si="20"/>
        <v>178</v>
      </c>
      <c r="G23" s="209">
        <f t="shared" si="1"/>
        <v>3829.8709677419356</v>
      </c>
      <c r="H23" s="209">
        <f t="shared" si="21"/>
        <v>178</v>
      </c>
      <c r="I23" s="209">
        <f t="shared" si="2"/>
        <v>3829.8709677419356</v>
      </c>
      <c r="J23" s="209">
        <f t="shared" si="22"/>
        <v>178</v>
      </c>
      <c r="K23" s="209">
        <f t="shared" si="3"/>
        <v>3829.8709677419356</v>
      </c>
      <c r="L23" s="209">
        <f t="shared" si="23"/>
        <v>178</v>
      </c>
      <c r="M23" s="209">
        <f t="shared" si="4"/>
        <v>3829.8709677419356</v>
      </c>
      <c r="N23" s="209">
        <f t="shared" si="24"/>
        <v>178</v>
      </c>
      <c r="O23" s="209">
        <f t="shared" si="5"/>
        <v>3829.8709677419356</v>
      </c>
      <c r="P23" s="209">
        <f t="shared" si="25"/>
        <v>178</v>
      </c>
      <c r="Q23" s="209">
        <f t="shared" si="6"/>
        <v>3829.8709677419356</v>
      </c>
      <c r="R23" s="209">
        <f t="shared" si="26"/>
        <v>178</v>
      </c>
      <c r="S23" s="209">
        <f t="shared" si="7"/>
        <v>3829.8709677419356</v>
      </c>
      <c r="T23" s="209">
        <f t="shared" si="27"/>
        <v>178</v>
      </c>
      <c r="U23" s="209">
        <f t="shared" si="8"/>
        <v>3829.8709677419356</v>
      </c>
      <c r="V23" s="209">
        <f t="shared" si="28"/>
        <v>178</v>
      </c>
      <c r="W23" s="209">
        <f t="shared" si="9"/>
        <v>3829.8709677419356</v>
      </c>
      <c r="X23" s="35">
        <f t="shared" si="10"/>
        <v>0.57419354838709691</v>
      </c>
      <c r="Y23" s="36">
        <f t="shared" si="29"/>
        <v>42128.580645161303</v>
      </c>
      <c r="Z23" s="209">
        <f>'B5'!C22</f>
        <v>184</v>
      </c>
      <c r="AA23" s="209">
        <f t="shared" si="30"/>
        <v>1840</v>
      </c>
      <c r="AB23" s="209">
        <f t="shared" si="31"/>
        <v>184</v>
      </c>
      <c r="AC23" s="209">
        <f t="shared" si="30"/>
        <v>1840</v>
      </c>
      <c r="AD23" s="209">
        <f t="shared" si="32"/>
        <v>184</v>
      </c>
      <c r="AE23" s="209">
        <f t="shared" si="11"/>
        <v>1840</v>
      </c>
      <c r="AF23" s="209">
        <f t="shared" si="33"/>
        <v>184</v>
      </c>
      <c r="AG23" s="209">
        <f t="shared" si="12"/>
        <v>1840</v>
      </c>
      <c r="AH23" s="209">
        <f t="shared" si="34"/>
        <v>184</v>
      </c>
      <c r="AI23" s="209">
        <f t="shared" si="13"/>
        <v>1840</v>
      </c>
      <c r="AJ23" s="209">
        <f t="shared" si="35"/>
        <v>184</v>
      </c>
      <c r="AK23" s="209">
        <f t="shared" si="14"/>
        <v>1840</v>
      </c>
      <c r="AL23" s="209">
        <f t="shared" si="36"/>
        <v>184</v>
      </c>
      <c r="AM23" s="209">
        <f t="shared" si="15"/>
        <v>1840</v>
      </c>
      <c r="AN23" s="35">
        <f t="shared" si="16"/>
        <v>0.65714285714285714</v>
      </c>
      <c r="AO23" s="36">
        <f t="shared" si="17"/>
        <v>12880</v>
      </c>
      <c r="AQ23" s="229">
        <f t="shared" si="37"/>
        <v>0.59168097929613106</v>
      </c>
      <c r="AR23" s="38">
        <f t="shared" si="43"/>
        <v>55008.580645161303</v>
      </c>
      <c r="AS23" s="203">
        <f t="shared" si="38"/>
        <v>0</v>
      </c>
      <c r="AT23" s="283"/>
      <c r="AU23" s="486"/>
      <c r="AV23" s="328">
        <f t="shared" si="41"/>
        <v>0.55000000000000004</v>
      </c>
      <c r="AW23" s="308">
        <f>-SUM('B5'!AI22)</f>
        <v>0</v>
      </c>
      <c r="AX23" s="308">
        <f t="shared" si="39"/>
        <v>0</v>
      </c>
      <c r="AY23" s="37">
        <f t="shared" si="40"/>
        <v>0</v>
      </c>
      <c r="AZ23" s="101">
        <f>ELEC!A20</f>
        <v>0</v>
      </c>
      <c r="BA23" s="119">
        <f>'General information '!D23</f>
        <v>0</v>
      </c>
      <c r="BB23" s="210">
        <f>SUM('General information '!E23)</f>
        <v>0</v>
      </c>
      <c r="BC23" s="3">
        <f t="shared" si="42"/>
        <v>0</v>
      </c>
      <c r="BD23" s="103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96">
        <f>ELEC!C21</f>
        <v>43757</v>
      </c>
      <c r="B24">
        <f>'B5'!B23</f>
        <v>178</v>
      </c>
      <c r="C24" s="209">
        <f t="shared" si="18"/>
        <v>3829.8709677419356</v>
      </c>
      <c r="D24">
        <f t="shared" si="19"/>
        <v>178</v>
      </c>
      <c r="E24" s="209">
        <f t="shared" si="18"/>
        <v>3829.8709677419356</v>
      </c>
      <c r="F24">
        <f t="shared" si="20"/>
        <v>178</v>
      </c>
      <c r="G24" s="209">
        <f t="shared" si="1"/>
        <v>3829.8709677419356</v>
      </c>
      <c r="H24" s="209">
        <f t="shared" si="21"/>
        <v>178</v>
      </c>
      <c r="I24" s="209">
        <f t="shared" si="2"/>
        <v>3829.8709677419356</v>
      </c>
      <c r="J24" s="209">
        <f t="shared" si="22"/>
        <v>178</v>
      </c>
      <c r="K24" s="209">
        <f t="shared" si="3"/>
        <v>3829.8709677419356</v>
      </c>
      <c r="L24" s="209">
        <f t="shared" si="23"/>
        <v>178</v>
      </c>
      <c r="M24" s="209">
        <f t="shared" si="4"/>
        <v>3829.8709677419356</v>
      </c>
      <c r="N24" s="209">
        <f t="shared" si="24"/>
        <v>178</v>
      </c>
      <c r="O24" s="209">
        <f t="shared" si="5"/>
        <v>3829.8709677419356</v>
      </c>
      <c r="P24" s="209">
        <f t="shared" si="25"/>
        <v>178</v>
      </c>
      <c r="Q24" s="209">
        <f t="shared" si="6"/>
        <v>3829.8709677419356</v>
      </c>
      <c r="R24" s="209">
        <f t="shared" si="26"/>
        <v>178</v>
      </c>
      <c r="S24" s="209">
        <f t="shared" si="7"/>
        <v>3829.8709677419356</v>
      </c>
      <c r="T24" s="209">
        <f t="shared" si="27"/>
        <v>178</v>
      </c>
      <c r="U24" s="209">
        <f t="shared" si="8"/>
        <v>3829.8709677419356</v>
      </c>
      <c r="V24" s="209">
        <f t="shared" si="28"/>
        <v>178</v>
      </c>
      <c r="W24" s="209">
        <f t="shared" si="9"/>
        <v>3829.8709677419356</v>
      </c>
      <c r="X24" s="35">
        <f t="shared" si="10"/>
        <v>0.57419354838709691</v>
      </c>
      <c r="Y24" s="36">
        <f t="shared" si="29"/>
        <v>42128.580645161303</v>
      </c>
      <c r="Z24" s="209">
        <f>'B5'!C23</f>
        <v>184</v>
      </c>
      <c r="AA24" s="209">
        <f t="shared" si="30"/>
        <v>1840</v>
      </c>
      <c r="AB24" s="209">
        <f t="shared" si="31"/>
        <v>184</v>
      </c>
      <c r="AC24" s="209">
        <f t="shared" si="30"/>
        <v>1840</v>
      </c>
      <c r="AD24" s="209">
        <f t="shared" si="32"/>
        <v>184</v>
      </c>
      <c r="AE24" s="209">
        <f t="shared" si="11"/>
        <v>1840</v>
      </c>
      <c r="AF24" s="209">
        <f t="shared" si="33"/>
        <v>184</v>
      </c>
      <c r="AG24" s="209">
        <f t="shared" si="12"/>
        <v>1840</v>
      </c>
      <c r="AH24" s="209">
        <f t="shared" si="34"/>
        <v>184</v>
      </c>
      <c r="AI24" s="209">
        <f t="shared" si="13"/>
        <v>1840</v>
      </c>
      <c r="AJ24" s="209">
        <f t="shared" si="35"/>
        <v>184</v>
      </c>
      <c r="AK24" s="209">
        <f t="shared" si="14"/>
        <v>1840</v>
      </c>
      <c r="AL24" s="209">
        <f t="shared" si="36"/>
        <v>184</v>
      </c>
      <c r="AM24" s="209">
        <f t="shared" si="15"/>
        <v>1840</v>
      </c>
      <c r="AN24" s="35">
        <f t="shared" si="16"/>
        <v>0.65714285714285714</v>
      </c>
      <c r="AO24" s="36">
        <f t="shared" si="17"/>
        <v>12880</v>
      </c>
      <c r="AQ24" s="229">
        <f t="shared" si="37"/>
        <v>0.59168097929613106</v>
      </c>
      <c r="AR24" s="38">
        <f t="shared" si="43"/>
        <v>55008.580645161303</v>
      </c>
      <c r="AS24" s="203">
        <f t="shared" si="38"/>
        <v>0</v>
      </c>
      <c r="AT24" s="283"/>
      <c r="AU24" s="486"/>
      <c r="AV24" s="328">
        <f t="shared" si="41"/>
        <v>0.55000000000000004</v>
      </c>
      <c r="AW24" s="308">
        <f>-SUM('B5'!AI23)</f>
        <v>0</v>
      </c>
      <c r="AX24" s="308">
        <f t="shared" si="39"/>
        <v>0</v>
      </c>
      <c r="AY24" s="37">
        <f t="shared" si="40"/>
        <v>0</v>
      </c>
      <c r="AZ24" s="101">
        <f>ELEC!A21</f>
        <v>0</v>
      </c>
      <c r="BA24" s="119">
        <f>'General information '!D24</f>
        <v>0</v>
      </c>
      <c r="BB24" s="210">
        <f>SUM('General information '!E24)</f>
        <v>0</v>
      </c>
      <c r="BC24" s="3">
        <f t="shared" si="42"/>
        <v>0</v>
      </c>
      <c r="BD24" s="103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95">
        <f>ELEC!C22</f>
        <v>43758</v>
      </c>
      <c r="B25">
        <f>'B5'!B24</f>
        <v>178</v>
      </c>
      <c r="C25" s="209">
        <f t="shared" si="18"/>
        <v>3829.8709677419356</v>
      </c>
      <c r="D25">
        <f t="shared" si="19"/>
        <v>178</v>
      </c>
      <c r="E25" s="209">
        <f t="shared" si="18"/>
        <v>3829.8709677419356</v>
      </c>
      <c r="F25">
        <f t="shared" si="20"/>
        <v>178</v>
      </c>
      <c r="G25" s="209">
        <f t="shared" si="1"/>
        <v>3829.8709677419356</v>
      </c>
      <c r="H25" s="209">
        <f t="shared" si="21"/>
        <v>178</v>
      </c>
      <c r="I25" s="209">
        <f t="shared" si="2"/>
        <v>3829.8709677419356</v>
      </c>
      <c r="J25" s="209">
        <f t="shared" si="22"/>
        <v>178</v>
      </c>
      <c r="K25" s="209">
        <f t="shared" si="3"/>
        <v>3829.8709677419356</v>
      </c>
      <c r="L25" s="209">
        <f t="shared" si="23"/>
        <v>178</v>
      </c>
      <c r="M25" s="209">
        <f t="shared" si="4"/>
        <v>3829.8709677419356</v>
      </c>
      <c r="N25" s="209">
        <f t="shared" si="24"/>
        <v>178</v>
      </c>
      <c r="O25" s="209">
        <f t="shared" si="5"/>
        <v>3829.8709677419356</v>
      </c>
      <c r="P25" s="209">
        <f t="shared" si="25"/>
        <v>178</v>
      </c>
      <c r="Q25" s="209">
        <f t="shared" si="6"/>
        <v>3829.8709677419356</v>
      </c>
      <c r="R25" s="209">
        <f t="shared" si="26"/>
        <v>178</v>
      </c>
      <c r="S25" s="209">
        <f t="shared" si="7"/>
        <v>3829.8709677419356</v>
      </c>
      <c r="T25" s="209">
        <f t="shared" si="27"/>
        <v>178</v>
      </c>
      <c r="U25" s="209">
        <f t="shared" si="8"/>
        <v>3829.8709677419356</v>
      </c>
      <c r="V25" s="209">
        <f t="shared" si="28"/>
        <v>178</v>
      </c>
      <c r="W25" s="209">
        <f t="shared" si="9"/>
        <v>3829.8709677419356</v>
      </c>
      <c r="X25" s="35">
        <f t="shared" si="10"/>
        <v>0.57419354838709691</v>
      </c>
      <c r="Y25" s="36">
        <f t="shared" si="29"/>
        <v>42128.580645161303</v>
      </c>
      <c r="Z25" s="209">
        <f>'B5'!C24</f>
        <v>184</v>
      </c>
      <c r="AA25" s="209">
        <f t="shared" si="30"/>
        <v>1840</v>
      </c>
      <c r="AB25" s="209">
        <f t="shared" si="31"/>
        <v>184</v>
      </c>
      <c r="AC25" s="209">
        <f t="shared" si="30"/>
        <v>1840</v>
      </c>
      <c r="AD25" s="209">
        <f t="shared" si="32"/>
        <v>184</v>
      </c>
      <c r="AE25" s="209">
        <f t="shared" si="11"/>
        <v>1840</v>
      </c>
      <c r="AF25" s="209">
        <f t="shared" si="33"/>
        <v>184</v>
      </c>
      <c r="AG25" s="209">
        <f t="shared" si="12"/>
        <v>1840</v>
      </c>
      <c r="AH25" s="209">
        <f t="shared" si="34"/>
        <v>184</v>
      </c>
      <c r="AI25" s="209">
        <f t="shared" si="13"/>
        <v>1840</v>
      </c>
      <c r="AJ25" s="209">
        <f t="shared" si="35"/>
        <v>184</v>
      </c>
      <c r="AK25" s="209">
        <f t="shared" si="14"/>
        <v>1840</v>
      </c>
      <c r="AL25" s="209">
        <f t="shared" si="36"/>
        <v>184</v>
      </c>
      <c r="AM25" s="209">
        <f t="shared" si="15"/>
        <v>1840</v>
      </c>
      <c r="AN25" s="35">
        <f t="shared" si="16"/>
        <v>0.65714285714285714</v>
      </c>
      <c r="AO25" s="36">
        <f t="shared" si="17"/>
        <v>12880</v>
      </c>
      <c r="AQ25" s="229">
        <f t="shared" si="37"/>
        <v>0.59168097929613106</v>
      </c>
      <c r="AR25" s="38">
        <f t="shared" si="43"/>
        <v>55008.580645161303</v>
      </c>
      <c r="AS25" s="203">
        <f t="shared" si="38"/>
        <v>0</v>
      </c>
      <c r="AT25" s="283"/>
      <c r="AU25" s="486"/>
      <c r="AV25" s="328">
        <f t="shared" si="41"/>
        <v>0.55000000000000004</v>
      </c>
      <c r="AW25" s="308">
        <f>-SUM('B5'!AI24)</f>
        <v>0</v>
      </c>
      <c r="AX25" s="308">
        <f t="shared" si="39"/>
        <v>0</v>
      </c>
      <c r="AY25" s="37">
        <f t="shared" si="40"/>
        <v>0</v>
      </c>
      <c r="AZ25" s="101">
        <f>ELEC!A22</f>
        <v>0</v>
      </c>
      <c r="BA25" s="119">
        <f>'General information '!D25</f>
        <v>0</v>
      </c>
      <c r="BB25" s="210">
        <f>SUM('General information '!E25)</f>
        <v>0</v>
      </c>
      <c r="BC25" s="3">
        <f t="shared" si="42"/>
        <v>0</v>
      </c>
      <c r="BD25" s="103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95">
        <f>ELEC!C23</f>
        <v>43759</v>
      </c>
      <c r="B26">
        <f>'B5'!B25</f>
        <v>178</v>
      </c>
      <c r="C26" s="209">
        <f t="shared" si="18"/>
        <v>3829.8709677419356</v>
      </c>
      <c r="D26">
        <f t="shared" si="19"/>
        <v>178</v>
      </c>
      <c r="E26" s="209">
        <f t="shared" si="18"/>
        <v>3829.8709677419356</v>
      </c>
      <c r="F26">
        <f t="shared" si="20"/>
        <v>178</v>
      </c>
      <c r="G26" s="209">
        <f t="shared" si="1"/>
        <v>3829.8709677419356</v>
      </c>
      <c r="H26" s="209">
        <f t="shared" si="21"/>
        <v>178</v>
      </c>
      <c r="I26" s="209">
        <f t="shared" si="2"/>
        <v>3829.8709677419356</v>
      </c>
      <c r="J26" s="209">
        <f t="shared" si="22"/>
        <v>178</v>
      </c>
      <c r="K26" s="209">
        <f t="shared" si="3"/>
        <v>3829.8709677419356</v>
      </c>
      <c r="L26" s="209">
        <f t="shared" si="23"/>
        <v>178</v>
      </c>
      <c r="M26" s="209">
        <f t="shared" si="4"/>
        <v>3829.8709677419356</v>
      </c>
      <c r="N26" s="209">
        <f t="shared" si="24"/>
        <v>178</v>
      </c>
      <c r="O26" s="209">
        <f t="shared" si="5"/>
        <v>3829.8709677419356</v>
      </c>
      <c r="P26" s="209">
        <f t="shared" si="25"/>
        <v>178</v>
      </c>
      <c r="Q26" s="209">
        <f t="shared" si="6"/>
        <v>3829.8709677419356</v>
      </c>
      <c r="R26" s="209">
        <f t="shared" si="26"/>
        <v>178</v>
      </c>
      <c r="S26" s="209">
        <f t="shared" si="7"/>
        <v>3829.8709677419356</v>
      </c>
      <c r="T26" s="209">
        <f t="shared" si="27"/>
        <v>178</v>
      </c>
      <c r="U26" s="209">
        <f t="shared" si="8"/>
        <v>3829.8709677419356</v>
      </c>
      <c r="V26" s="209">
        <f t="shared" si="28"/>
        <v>178</v>
      </c>
      <c r="W26" s="209">
        <f t="shared" si="9"/>
        <v>3829.8709677419356</v>
      </c>
      <c r="X26" s="35">
        <f t="shared" si="10"/>
        <v>0.57419354838709691</v>
      </c>
      <c r="Y26" s="36">
        <f t="shared" si="29"/>
        <v>42128.580645161303</v>
      </c>
      <c r="Z26" s="209">
        <f>'B5'!C25</f>
        <v>184</v>
      </c>
      <c r="AA26" s="209">
        <f t="shared" si="30"/>
        <v>1840</v>
      </c>
      <c r="AB26" s="209">
        <f t="shared" si="31"/>
        <v>184</v>
      </c>
      <c r="AC26" s="209">
        <f t="shared" si="30"/>
        <v>1840</v>
      </c>
      <c r="AD26" s="209">
        <f t="shared" si="32"/>
        <v>184</v>
      </c>
      <c r="AE26" s="209">
        <f t="shared" si="11"/>
        <v>1840</v>
      </c>
      <c r="AF26" s="209">
        <f t="shared" si="33"/>
        <v>184</v>
      </c>
      <c r="AG26" s="209">
        <f t="shared" si="12"/>
        <v>1840</v>
      </c>
      <c r="AH26" s="209">
        <f t="shared" si="34"/>
        <v>184</v>
      </c>
      <c r="AI26" s="209">
        <f t="shared" si="13"/>
        <v>1840</v>
      </c>
      <c r="AJ26" s="209">
        <f t="shared" si="35"/>
        <v>184</v>
      </c>
      <c r="AK26" s="209">
        <f t="shared" si="14"/>
        <v>1840</v>
      </c>
      <c r="AL26" s="209">
        <f t="shared" si="36"/>
        <v>184</v>
      </c>
      <c r="AM26" s="209">
        <f t="shared" si="15"/>
        <v>1840</v>
      </c>
      <c r="AN26" s="35">
        <f t="shared" si="16"/>
        <v>0.65714285714285714</v>
      </c>
      <c r="AO26" s="36">
        <f t="shared" si="17"/>
        <v>12880</v>
      </c>
      <c r="AQ26" s="229">
        <f t="shared" si="37"/>
        <v>0.59168097929613106</v>
      </c>
      <c r="AR26" s="38">
        <f t="shared" si="43"/>
        <v>55008.580645161303</v>
      </c>
      <c r="AS26" s="203">
        <f t="shared" si="38"/>
        <v>0</v>
      </c>
      <c r="AT26" s="283"/>
      <c r="AU26" s="486"/>
      <c r="AV26" s="328">
        <f t="shared" si="41"/>
        <v>0.55000000000000004</v>
      </c>
      <c r="AW26" s="308">
        <f>-SUM('B5'!AI25)</f>
        <v>0</v>
      </c>
      <c r="AX26" s="308">
        <f t="shared" si="39"/>
        <v>0</v>
      </c>
      <c r="AY26" s="37">
        <f t="shared" si="40"/>
        <v>0</v>
      </c>
      <c r="AZ26" s="101">
        <f>ELEC!A23</f>
        <v>0</v>
      </c>
      <c r="BA26" s="119">
        <f>'General information '!D26</f>
        <v>0</v>
      </c>
      <c r="BB26" s="210">
        <f>SUM('General information '!E26)</f>
        <v>0</v>
      </c>
      <c r="BC26" s="3">
        <f t="shared" si="42"/>
        <v>0</v>
      </c>
      <c r="BD26" s="103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95">
        <f>ELEC!C24</f>
        <v>43760</v>
      </c>
      <c r="B27">
        <f>'B5'!B26</f>
        <v>178</v>
      </c>
      <c r="C27" s="209">
        <f t="shared" si="18"/>
        <v>3829.8709677419356</v>
      </c>
      <c r="D27">
        <f t="shared" si="19"/>
        <v>178</v>
      </c>
      <c r="E27" s="209">
        <f t="shared" si="18"/>
        <v>3829.8709677419356</v>
      </c>
      <c r="F27">
        <f t="shared" si="20"/>
        <v>178</v>
      </c>
      <c r="G27" s="209">
        <f t="shared" si="1"/>
        <v>3829.8709677419356</v>
      </c>
      <c r="H27" s="209">
        <f t="shared" si="21"/>
        <v>178</v>
      </c>
      <c r="I27" s="209">
        <f t="shared" si="2"/>
        <v>3829.8709677419356</v>
      </c>
      <c r="J27" s="209">
        <f t="shared" si="22"/>
        <v>178</v>
      </c>
      <c r="K27" s="209">
        <f t="shared" si="3"/>
        <v>3829.8709677419356</v>
      </c>
      <c r="L27" s="209">
        <f t="shared" si="23"/>
        <v>178</v>
      </c>
      <c r="M27" s="209">
        <f t="shared" si="4"/>
        <v>3829.8709677419356</v>
      </c>
      <c r="N27" s="209">
        <f t="shared" si="24"/>
        <v>178</v>
      </c>
      <c r="O27" s="209">
        <f t="shared" si="5"/>
        <v>3829.8709677419356</v>
      </c>
      <c r="P27" s="209">
        <f t="shared" si="25"/>
        <v>178</v>
      </c>
      <c r="Q27" s="209">
        <f t="shared" si="6"/>
        <v>3829.8709677419356</v>
      </c>
      <c r="R27" s="209">
        <f t="shared" si="26"/>
        <v>178</v>
      </c>
      <c r="S27" s="209">
        <f t="shared" si="7"/>
        <v>3829.8709677419356</v>
      </c>
      <c r="T27" s="209">
        <f t="shared" si="27"/>
        <v>178</v>
      </c>
      <c r="U27" s="209">
        <f t="shared" si="8"/>
        <v>3829.8709677419356</v>
      </c>
      <c r="V27" s="209">
        <f t="shared" si="28"/>
        <v>178</v>
      </c>
      <c r="W27" s="209">
        <f t="shared" si="9"/>
        <v>3829.8709677419356</v>
      </c>
      <c r="X27" s="35">
        <f t="shared" si="10"/>
        <v>0.57419354838709691</v>
      </c>
      <c r="Y27" s="36">
        <f t="shared" si="29"/>
        <v>42128.580645161303</v>
      </c>
      <c r="Z27" s="209">
        <f>'B5'!C26</f>
        <v>184</v>
      </c>
      <c r="AA27" s="209">
        <f t="shared" si="30"/>
        <v>1840</v>
      </c>
      <c r="AB27" s="209">
        <f t="shared" si="31"/>
        <v>184</v>
      </c>
      <c r="AC27" s="209">
        <f t="shared" si="30"/>
        <v>1840</v>
      </c>
      <c r="AD27" s="209">
        <f t="shared" si="32"/>
        <v>184</v>
      </c>
      <c r="AE27" s="209">
        <f t="shared" si="11"/>
        <v>1840</v>
      </c>
      <c r="AF27" s="209">
        <f t="shared" si="33"/>
        <v>184</v>
      </c>
      <c r="AG27" s="209">
        <f t="shared" si="12"/>
        <v>1840</v>
      </c>
      <c r="AH27" s="209">
        <f t="shared" si="34"/>
        <v>184</v>
      </c>
      <c r="AI27" s="209">
        <f t="shared" si="13"/>
        <v>1840</v>
      </c>
      <c r="AJ27" s="209">
        <f t="shared" si="35"/>
        <v>184</v>
      </c>
      <c r="AK27" s="209">
        <f t="shared" si="14"/>
        <v>1840</v>
      </c>
      <c r="AL27" s="209">
        <f t="shared" si="36"/>
        <v>184</v>
      </c>
      <c r="AM27" s="209">
        <f t="shared" si="15"/>
        <v>1840</v>
      </c>
      <c r="AN27" s="35">
        <f t="shared" si="16"/>
        <v>0.65714285714285714</v>
      </c>
      <c r="AO27" s="36">
        <f t="shared" si="17"/>
        <v>12880</v>
      </c>
      <c r="AQ27" s="229">
        <f t="shared" si="37"/>
        <v>0.59168097929613106</v>
      </c>
      <c r="AR27" s="38">
        <f t="shared" si="43"/>
        <v>55008.580645161303</v>
      </c>
      <c r="AS27" s="203">
        <f t="shared" si="38"/>
        <v>0</v>
      </c>
      <c r="AT27" s="283"/>
      <c r="AU27" s="486"/>
      <c r="AV27" s="328">
        <f t="shared" si="41"/>
        <v>0.55000000000000004</v>
      </c>
      <c r="AW27" s="308">
        <f>-SUM('B5'!AI26)</f>
        <v>0</v>
      </c>
      <c r="AX27" s="308">
        <f t="shared" si="39"/>
        <v>0</v>
      </c>
      <c r="AY27" s="37">
        <f t="shared" si="40"/>
        <v>0</v>
      </c>
      <c r="AZ27" s="101">
        <f>ELEC!A24</f>
        <v>0</v>
      </c>
      <c r="BA27" s="119">
        <f>'General information '!D27</f>
        <v>0</v>
      </c>
      <c r="BB27" s="210">
        <f>SUM('General information '!E27)</f>
        <v>0</v>
      </c>
      <c r="BC27" s="3">
        <f t="shared" si="42"/>
        <v>0</v>
      </c>
      <c r="BD27" s="103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95">
        <f>ELEC!C25</f>
        <v>43761</v>
      </c>
      <c r="B28">
        <f>'B5'!B27</f>
        <v>178</v>
      </c>
      <c r="C28" s="209">
        <f t="shared" si="18"/>
        <v>3829.8709677419356</v>
      </c>
      <c r="D28">
        <f t="shared" si="19"/>
        <v>178</v>
      </c>
      <c r="E28" s="209">
        <f t="shared" si="18"/>
        <v>3829.8709677419356</v>
      </c>
      <c r="F28">
        <f t="shared" si="20"/>
        <v>178</v>
      </c>
      <c r="G28" s="209">
        <f t="shared" si="1"/>
        <v>3829.8709677419356</v>
      </c>
      <c r="H28" s="209">
        <f t="shared" si="21"/>
        <v>178</v>
      </c>
      <c r="I28" s="209">
        <f t="shared" si="2"/>
        <v>3829.8709677419356</v>
      </c>
      <c r="J28" s="209">
        <f t="shared" si="22"/>
        <v>178</v>
      </c>
      <c r="K28" s="209">
        <f t="shared" si="3"/>
        <v>3829.8709677419356</v>
      </c>
      <c r="L28" s="209">
        <f t="shared" si="23"/>
        <v>178</v>
      </c>
      <c r="M28" s="209">
        <f t="shared" si="4"/>
        <v>3829.8709677419356</v>
      </c>
      <c r="N28" s="209">
        <f t="shared" si="24"/>
        <v>178</v>
      </c>
      <c r="O28" s="209">
        <f t="shared" si="5"/>
        <v>3829.8709677419356</v>
      </c>
      <c r="P28" s="209">
        <f t="shared" si="25"/>
        <v>178</v>
      </c>
      <c r="Q28" s="209">
        <f t="shared" si="6"/>
        <v>3829.8709677419356</v>
      </c>
      <c r="R28" s="209">
        <f t="shared" si="26"/>
        <v>178</v>
      </c>
      <c r="S28" s="209">
        <f t="shared" si="7"/>
        <v>3829.8709677419356</v>
      </c>
      <c r="T28" s="209">
        <f t="shared" si="27"/>
        <v>178</v>
      </c>
      <c r="U28" s="209">
        <f t="shared" si="8"/>
        <v>3829.8709677419356</v>
      </c>
      <c r="V28" s="209">
        <f t="shared" si="28"/>
        <v>178</v>
      </c>
      <c r="W28" s="209">
        <f t="shared" si="9"/>
        <v>3829.8709677419356</v>
      </c>
      <c r="X28" s="35">
        <f t="shared" si="10"/>
        <v>0.57419354838709691</v>
      </c>
      <c r="Y28" s="36">
        <f t="shared" si="29"/>
        <v>42128.580645161303</v>
      </c>
      <c r="Z28" s="209">
        <f>'B5'!C27</f>
        <v>184</v>
      </c>
      <c r="AA28" s="209">
        <f t="shared" si="30"/>
        <v>1840</v>
      </c>
      <c r="AB28" s="209">
        <f t="shared" si="31"/>
        <v>184</v>
      </c>
      <c r="AC28" s="209">
        <f t="shared" si="30"/>
        <v>1840</v>
      </c>
      <c r="AD28" s="209">
        <f t="shared" si="32"/>
        <v>184</v>
      </c>
      <c r="AE28" s="209">
        <f t="shared" si="11"/>
        <v>1840</v>
      </c>
      <c r="AF28" s="209">
        <f t="shared" si="33"/>
        <v>184</v>
      </c>
      <c r="AG28" s="209">
        <f t="shared" si="12"/>
        <v>1840</v>
      </c>
      <c r="AH28" s="209">
        <f t="shared" si="34"/>
        <v>184</v>
      </c>
      <c r="AI28" s="209">
        <f t="shared" si="13"/>
        <v>1840</v>
      </c>
      <c r="AJ28" s="209">
        <f t="shared" si="35"/>
        <v>184</v>
      </c>
      <c r="AK28" s="209">
        <f t="shared" si="14"/>
        <v>1840</v>
      </c>
      <c r="AL28" s="209">
        <f t="shared" si="36"/>
        <v>184</v>
      </c>
      <c r="AM28" s="209">
        <f t="shared" si="15"/>
        <v>1840</v>
      </c>
      <c r="AN28" s="35">
        <f t="shared" si="16"/>
        <v>0.65714285714285714</v>
      </c>
      <c r="AO28" s="36">
        <f t="shared" si="17"/>
        <v>12880</v>
      </c>
      <c r="AQ28" s="229">
        <f t="shared" si="37"/>
        <v>0.59168097929613106</v>
      </c>
      <c r="AR28" s="38">
        <f t="shared" si="43"/>
        <v>55008.580645161303</v>
      </c>
      <c r="AS28" s="203">
        <f t="shared" si="38"/>
        <v>0</v>
      </c>
      <c r="AT28" s="383"/>
      <c r="AU28" s="486"/>
      <c r="AV28" s="328">
        <f t="shared" si="41"/>
        <v>0.55000000000000004</v>
      </c>
      <c r="AW28" s="308">
        <f>-SUM('B5'!AI27)</f>
        <v>0</v>
      </c>
      <c r="AX28" s="308">
        <f t="shared" si="39"/>
        <v>0</v>
      </c>
      <c r="AY28" s="37">
        <f t="shared" si="40"/>
        <v>0</v>
      </c>
      <c r="AZ28" s="101">
        <f>ELEC!A25</f>
        <v>0</v>
      </c>
      <c r="BA28" s="119">
        <f>'General information '!D28</f>
        <v>0</v>
      </c>
      <c r="BB28" s="210">
        <f>SUM('General information '!E28)</f>
        <v>0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95">
        <f>ELEC!C26</f>
        <v>43762</v>
      </c>
      <c r="B29">
        <f>'B5'!B28</f>
        <v>178</v>
      </c>
      <c r="C29" s="209">
        <f t="shared" si="18"/>
        <v>3829.8709677419356</v>
      </c>
      <c r="D29">
        <f t="shared" si="19"/>
        <v>178</v>
      </c>
      <c r="E29" s="209">
        <f t="shared" si="18"/>
        <v>3829.8709677419356</v>
      </c>
      <c r="F29">
        <f t="shared" si="20"/>
        <v>178</v>
      </c>
      <c r="G29" s="209">
        <f t="shared" si="1"/>
        <v>3829.8709677419356</v>
      </c>
      <c r="H29" s="209">
        <f t="shared" si="21"/>
        <v>178</v>
      </c>
      <c r="I29" s="209">
        <f t="shared" si="2"/>
        <v>3829.8709677419356</v>
      </c>
      <c r="J29" s="209">
        <f t="shared" si="22"/>
        <v>178</v>
      </c>
      <c r="K29" s="209">
        <f t="shared" si="3"/>
        <v>3829.8709677419356</v>
      </c>
      <c r="L29" s="209">
        <f t="shared" si="23"/>
        <v>178</v>
      </c>
      <c r="M29" s="209">
        <f t="shared" si="4"/>
        <v>3829.8709677419356</v>
      </c>
      <c r="N29" s="209">
        <f t="shared" si="24"/>
        <v>178</v>
      </c>
      <c r="O29" s="209">
        <f t="shared" si="5"/>
        <v>3829.8709677419356</v>
      </c>
      <c r="P29" s="209">
        <f t="shared" si="25"/>
        <v>178</v>
      </c>
      <c r="Q29" s="209">
        <f t="shared" si="6"/>
        <v>3829.8709677419356</v>
      </c>
      <c r="R29" s="209">
        <f t="shared" si="26"/>
        <v>178</v>
      </c>
      <c r="S29" s="209">
        <f t="shared" si="7"/>
        <v>3829.8709677419356</v>
      </c>
      <c r="T29" s="209">
        <f t="shared" si="27"/>
        <v>178</v>
      </c>
      <c r="U29" s="209">
        <f t="shared" si="8"/>
        <v>3829.8709677419356</v>
      </c>
      <c r="V29" s="209">
        <f t="shared" si="28"/>
        <v>178</v>
      </c>
      <c r="W29" s="209">
        <f t="shared" si="9"/>
        <v>3829.8709677419356</v>
      </c>
      <c r="X29" s="35">
        <f t="shared" si="10"/>
        <v>0.57419354838709691</v>
      </c>
      <c r="Y29" s="36">
        <f t="shared" si="29"/>
        <v>42128.580645161303</v>
      </c>
      <c r="Z29" s="209">
        <f>'B5'!C28</f>
        <v>184</v>
      </c>
      <c r="AA29" s="209">
        <f t="shared" si="30"/>
        <v>1840</v>
      </c>
      <c r="AB29" s="209">
        <f t="shared" si="31"/>
        <v>184</v>
      </c>
      <c r="AC29" s="209">
        <f t="shared" si="30"/>
        <v>1840</v>
      </c>
      <c r="AD29" s="209">
        <f t="shared" si="32"/>
        <v>184</v>
      </c>
      <c r="AE29" s="209">
        <f t="shared" si="11"/>
        <v>1840</v>
      </c>
      <c r="AF29" s="209">
        <f t="shared" si="33"/>
        <v>184</v>
      </c>
      <c r="AG29" s="209">
        <f t="shared" si="12"/>
        <v>1840</v>
      </c>
      <c r="AH29" s="209">
        <f t="shared" si="34"/>
        <v>184</v>
      </c>
      <c r="AI29" s="209">
        <f t="shared" si="13"/>
        <v>1840</v>
      </c>
      <c r="AJ29" s="209">
        <f t="shared" si="35"/>
        <v>184</v>
      </c>
      <c r="AK29" s="209">
        <f t="shared" si="14"/>
        <v>1840</v>
      </c>
      <c r="AL29" s="209">
        <f t="shared" si="36"/>
        <v>184</v>
      </c>
      <c r="AM29" s="209">
        <f t="shared" si="15"/>
        <v>1840</v>
      </c>
      <c r="AN29" s="35">
        <f t="shared" si="16"/>
        <v>0.65714285714285714</v>
      </c>
      <c r="AO29" s="36">
        <f t="shared" si="17"/>
        <v>12880</v>
      </c>
      <c r="AQ29" s="229">
        <f t="shared" si="37"/>
        <v>0.59168097929613106</v>
      </c>
      <c r="AR29" s="38">
        <f t="shared" ref="AR29:AR35" si="44">SUM(AO29+Y29)</f>
        <v>55008.580645161303</v>
      </c>
      <c r="AS29" s="203">
        <f t="shared" si="38"/>
        <v>0</v>
      </c>
      <c r="AT29" s="383"/>
      <c r="AU29" s="486"/>
      <c r="AV29" s="328">
        <f t="shared" si="41"/>
        <v>0.55000000000000004</v>
      </c>
      <c r="AW29" s="308">
        <f>-SUM('B5'!AI28)</f>
        <v>0</v>
      </c>
      <c r="AX29" s="308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210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95">
        <f>ELEC!C27</f>
        <v>43763</v>
      </c>
      <c r="B30">
        <f>'B5'!B29</f>
        <v>178</v>
      </c>
      <c r="C30" s="209">
        <f t="shared" si="18"/>
        <v>3829.8709677419356</v>
      </c>
      <c r="D30">
        <f t="shared" ref="D30:D35" si="45">SUM(B30)</f>
        <v>178</v>
      </c>
      <c r="E30" s="209">
        <f t="shared" si="18"/>
        <v>3829.8709677419356</v>
      </c>
      <c r="F30">
        <f t="shared" ref="F30:F35" si="46">SUM(D30)</f>
        <v>178</v>
      </c>
      <c r="G30" s="209">
        <f t="shared" si="1"/>
        <v>3829.8709677419356</v>
      </c>
      <c r="H30" s="209">
        <f t="shared" ref="H30:H35" si="47">SUM(F30)</f>
        <v>178</v>
      </c>
      <c r="I30" s="209">
        <f t="shared" si="2"/>
        <v>3829.8709677419356</v>
      </c>
      <c r="J30" s="209">
        <f t="shared" ref="J30:J35" si="48">SUM(H30)</f>
        <v>178</v>
      </c>
      <c r="K30" s="209">
        <f t="shared" si="3"/>
        <v>3829.8709677419356</v>
      </c>
      <c r="L30" s="209">
        <f t="shared" ref="L30:L35" si="49">SUM(J30)</f>
        <v>178</v>
      </c>
      <c r="M30" s="209">
        <f t="shared" si="4"/>
        <v>3829.8709677419356</v>
      </c>
      <c r="N30" s="209">
        <f t="shared" ref="N30:N35" si="50">SUM(L30)</f>
        <v>178</v>
      </c>
      <c r="O30" s="209">
        <f t="shared" si="5"/>
        <v>3829.8709677419356</v>
      </c>
      <c r="P30" s="209">
        <f t="shared" ref="P30:P35" si="51">SUM(N30)</f>
        <v>178</v>
      </c>
      <c r="Q30" s="209">
        <f t="shared" si="6"/>
        <v>3829.8709677419356</v>
      </c>
      <c r="R30" s="209">
        <f t="shared" ref="R30:R35" si="52">SUM(P30)</f>
        <v>178</v>
      </c>
      <c r="S30" s="209">
        <f t="shared" si="7"/>
        <v>3829.8709677419356</v>
      </c>
      <c r="T30" s="209">
        <f t="shared" ref="T30:T35" si="53">SUM(R30)</f>
        <v>178</v>
      </c>
      <c r="U30" s="209">
        <f t="shared" si="8"/>
        <v>3829.8709677419356</v>
      </c>
      <c r="V30" s="209">
        <f t="shared" ref="V30:V35" si="54">SUM(T30)</f>
        <v>178</v>
      </c>
      <c r="W30" s="209">
        <f t="shared" si="9"/>
        <v>3829.8709677419356</v>
      </c>
      <c r="X30" s="35">
        <f t="shared" ref="X30:X35" si="55">SUM(Y30/73370)</f>
        <v>0.57419354838709691</v>
      </c>
      <c r="Y30" s="36">
        <f t="shared" ref="Y30:Y35" si="56">SUM(C30+E30+G30+I30+K30+M30+O30+Q30+S30+U30+W30)</f>
        <v>42128.580645161303</v>
      </c>
      <c r="Z30" s="209">
        <f>'B5'!C29</f>
        <v>184</v>
      </c>
      <c r="AA30" s="209">
        <f t="shared" si="30"/>
        <v>1840</v>
      </c>
      <c r="AB30" s="209">
        <f t="shared" ref="AB30:AB35" si="57">SUM(Z30)</f>
        <v>184</v>
      </c>
      <c r="AC30" s="209">
        <f t="shared" si="30"/>
        <v>1840</v>
      </c>
      <c r="AD30" s="209">
        <f t="shared" ref="AD30:AD35" si="58">SUM(AB30)</f>
        <v>184</v>
      </c>
      <c r="AE30" s="209">
        <f t="shared" si="11"/>
        <v>1840</v>
      </c>
      <c r="AF30" s="209">
        <f t="shared" ref="AF30:AF35" si="59">SUM(AD30)</f>
        <v>184</v>
      </c>
      <c r="AG30" s="209">
        <f t="shared" si="12"/>
        <v>1840</v>
      </c>
      <c r="AH30" s="209">
        <f t="shared" ref="AH30:AH35" si="60">SUM(AF30)</f>
        <v>184</v>
      </c>
      <c r="AI30" s="209">
        <f t="shared" si="13"/>
        <v>1840</v>
      </c>
      <c r="AJ30" s="209">
        <f t="shared" ref="AJ30:AJ35" si="61">SUM(AH30)</f>
        <v>184</v>
      </c>
      <c r="AK30" s="209">
        <f t="shared" si="14"/>
        <v>1840</v>
      </c>
      <c r="AL30" s="209">
        <f t="shared" ref="AL30:AL35" si="62">SUM(AJ30)</f>
        <v>184</v>
      </c>
      <c r="AM30" s="209">
        <f t="shared" si="15"/>
        <v>1840</v>
      </c>
      <c r="AN30" s="35">
        <f t="shared" ref="AN30:AN35" si="63">SUM(AO30/19600)</f>
        <v>0.65714285714285714</v>
      </c>
      <c r="AO30" s="36">
        <f t="shared" ref="AO30:AO35" si="64">SUM(AA30+AC30+AE30+AG30+AI30+AK30+AM30)</f>
        <v>12880</v>
      </c>
      <c r="AQ30" s="229">
        <f t="shared" si="37"/>
        <v>0.59168097929613106</v>
      </c>
      <c r="AR30" s="38">
        <f t="shared" si="44"/>
        <v>55008.580645161303</v>
      </c>
      <c r="AS30" s="203">
        <f t="shared" si="38"/>
        <v>0</v>
      </c>
      <c r="AT30" s="383"/>
      <c r="AU30" s="486"/>
      <c r="AV30" s="328">
        <f t="shared" si="41"/>
        <v>0.55000000000000004</v>
      </c>
      <c r="AW30" s="308">
        <f>-SUM('B5'!AI29)</f>
        <v>0</v>
      </c>
      <c r="AX30" s="308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210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96">
        <f>ELEC!C28</f>
        <v>43764</v>
      </c>
      <c r="B31">
        <f>'B5'!B30</f>
        <v>178</v>
      </c>
      <c r="C31" s="209">
        <f t="shared" si="18"/>
        <v>3829.8709677419356</v>
      </c>
      <c r="D31">
        <f t="shared" si="45"/>
        <v>178</v>
      </c>
      <c r="E31" s="209">
        <f t="shared" si="18"/>
        <v>3829.8709677419356</v>
      </c>
      <c r="F31">
        <f t="shared" si="46"/>
        <v>178</v>
      </c>
      <c r="G31" s="209">
        <f t="shared" si="1"/>
        <v>3829.8709677419356</v>
      </c>
      <c r="H31" s="209">
        <f t="shared" si="47"/>
        <v>178</v>
      </c>
      <c r="I31" s="209">
        <f t="shared" si="2"/>
        <v>3829.8709677419356</v>
      </c>
      <c r="J31" s="209">
        <f t="shared" si="48"/>
        <v>178</v>
      </c>
      <c r="K31" s="209">
        <f t="shared" si="3"/>
        <v>3829.8709677419356</v>
      </c>
      <c r="L31" s="209">
        <f t="shared" si="49"/>
        <v>178</v>
      </c>
      <c r="M31" s="209">
        <f t="shared" si="4"/>
        <v>3829.8709677419356</v>
      </c>
      <c r="N31" s="209">
        <f t="shared" si="50"/>
        <v>178</v>
      </c>
      <c r="O31" s="209">
        <f t="shared" si="5"/>
        <v>3829.8709677419356</v>
      </c>
      <c r="P31" s="209">
        <f t="shared" si="51"/>
        <v>178</v>
      </c>
      <c r="Q31" s="209">
        <f t="shared" si="6"/>
        <v>3829.8709677419356</v>
      </c>
      <c r="R31" s="209">
        <f t="shared" si="52"/>
        <v>178</v>
      </c>
      <c r="S31" s="209">
        <f t="shared" si="7"/>
        <v>3829.8709677419356</v>
      </c>
      <c r="T31" s="209">
        <f t="shared" si="53"/>
        <v>178</v>
      </c>
      <c r="U31" s="209">
        <f t="shared" si="8"/>
        <v>3829.8709677419356</v>
      </c>
      <c r="V31" s="209">
        <f t="shared" si="54"/>
        <v>178</v>
      </c>
      <c r="W31" s="209">
        <f t="shared" si="9"/>
        <v>3829.8709677419356</v>
      </c>
      <c r="X31" s="35">
        <f t="shared" si="55"/>
        <v>0.57419354838709691</v>
      </c>
      <c r="Y31" s="36">
        <f t="shared" si="56"/>
        <v>42128.580645161303</v>
      </c>
      <c r="Z31" s="209">
        <f>'B5'!C30</f>
        <v>184</v>
      </c>
      <c r="AA31" s="209">
        <f t="shared" si="30"/>
        <v>1840</v>
      </c>
      <c r="AB31" s="209">
        <f t="shared" si="57"/>
        <v>184</v>
      </c>
      <c r="AC31" s="209">
        <f t="shared" si="30"/>
        <v>1840</v>
      </c>
      <c r="AD31" s="209">
        <f t="shared" si="58"/>
        <v>184</v>
      </c>
      <c r="AE31" s="209">
        <f t="shared" si="11"/>
        <v>1840</v>
      </c>
      <c r="AF31" s="209">
        <f t="shared" si="59"/>
        <v>184</v>
      </c>
      <c r="AG31" s="209">
        <f t="shared" si="12"/>
        <v>1840</v>
      </c>
      <c r="AH31" s="209">
        <f t="shared" si="60"/>
        <v>184</v>
      </c>
      <c r="AI31" s="209">
        <f t="shared" si="13"/>
        <v>1840</v>
      </c>
      <c r="AJ31" s="209">
        <f t="shared" si="61"/>
        <v>184</v>
      </c>
      <c r="AK31" s="209">
        <f t="shared" si="14"/>
        <v>1840</v>
      </c>
      <c r="AL31" s="209">
        <f t="shared" si="62"/>
        <v>184</v>
      </c>
      <c r="AM31" s="209">
        <f t="shared" si="15"/>
        <v>1840</v>
      </c>
      <c r="AN31" s="35">
        <f t="shared" si="63"/>
        <v>0.65714285714285714</v>
      </c>
      <c r="AO31" s="36">
        <f t="shared" si="64"/>
        <v>12880</v>
      </c>
      <c r="AQ31" s="229">
        <f t="shared" si="37"/>
        <v>0.59168097929613106</v>
      </c>
      <c r="AR31" s="38">
        <f t="shared" si="44"/>
        <v>55008.580645161303</v>
      </c>
      <c r="AS31" s="203">
        <f t="shared" si="38"/>
        <v>0</v>
      </c>
      <c r="AT31" s="383"/>
      <c r="AU31" s="486"/>
      <c r="AV31" s="328">
        <f t="shared" si="41"/>
        <v>0.55000000000000004</v>
      </c>
      <c r="AW31" s="308">
        <f>-SUM('B5'!AI30)</f>
        <v>0</v>
      </c>
      <c r="AX31" s="308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210">
        <f>SUM('General information '!E32)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95">
        <f>ELEC!C29</f>
        <v>43765</v>
      </c>
      <c r="B32">
        <f>'B5'!B31</f>
        <v>178</v>
      </c>
      <c r="C32" s="209">
        <f t="shared" si="18"/>
        <v>3829.8709677419356</v>
      </c>
      <c r="D32">
        <f t="shared" si="45"/>
        <v>178</v>
      </c>
      <c r="E32" s="209">
        <f t="shared" si="18"/>
        <v>3829.8709677419356</v>
      </c>
      <c r="F32">
        <f t="shared" si="46"/>
        <v>178</v>
      </c>
      <c r="G32" s="209">
        <f t="shared" si="1"/>
        <v>3829.8709677419356</v>
      </c>
      <c r="H32" s="209">
        <f t="shared" si="47"/>
        <v>178</v>
      </c>
      <c r="I32" s="209">
        <f t="shared" si="2"/>
        <v>3829.8709677419356</v>
      </c>
      <c r="J32" s="209">
        <f t="shared" si="48"/>
        <v>178</v>
      </c>
      <c r="K32" s="209">
        <f t="shared" si="3"/>
        <v>3829.8709677419356</v>
      </c>
      <c r="L32" s="209">
        <f t="shared" si="49"/>
        <v>178</v>
      </c>
      <c r="M32" s="209">
        <f t="shared" si="4"/>
        <v>3829.8709677419356</v>
      </c>
      <c r="N32" s="209">
        <f t="shared" si="50"/>
        <v>178</v>
      </c>
      <c r="O32" s="209">
        <f t="shared" si="5"/>
        <v>3829.8709677419356</v>
      </c>
      <c r="P32" s="209">
        <f t="shared" si="51"/>
        <v>178</v>
      </c>
      <c r="Q32" s="209">
        <f t="shared" si="6"/>
        <v>3829.8709677419356</v>
      </c>
      <c r="R32" s="209">
        <f t="shared" si="52"/>
        <v>178</v>
      </c>
      <c r="S32" s="209">
        <f t="shared" si="7"/>
        <v>3829.8709677419356</v>
      </c>
      <c r="T32" s="209">
        <f t="shared" si="53"/>
        <v>178</v>
      </c>
      <c r="U32" s="209">
        <f t="shared" si="8"/>
        <v>3829.8709677419356</v>
      </c>
      <c r="V32" s="209">
        <f t="shared" si="54"/>
        <v>178</v>
      </c>
      <c r="W32" s="209">
        <f t="shared" si="9"/>
        <v>3829.8709677419356</v>
      </c>
      <c r="X32" s="35">
        <f t="shared" si="55"/>
        <v>0.57419354838709691</v>
      </c>
      <c r="Y32" s="36">
        <f t="shared" si="56"/>
        <v>42128.580645161303</v>
      </c>
      <c r="Z32" s="209">
        <f>'B5'!C31</f>
        <v>184</v>
      </c>
      <c r="AA32" s="209">
        <f t="shared" si="30"/>
        <v>1840</v>
      </c>
      <c r="AB32" s="209">
        <f t="shared" si="57"/>
        <v>184</v>
      </c>
      <c r="AC32" s="209">
        <f t="shared" si="30"/>
        <v>1840</v>
      </c>
      <c r="AD32" s="209">
        <f t="shared" si="58"/>
        <v>184</v>
      </c>
      <c r="AE32" s="209">
        <f t="shared" si="11"/>
        <v>1840</v>
      </c>
      <c r="AF32" s="209">
        <f t="shared" si="59"/>
        <v>184</v>
      </c>
      <c r="AG32" s="209">
        <f t="shared" si="12"/>
        <v>1840</v>
      </c>
      <c r="AH32" s="209">
        <f t="shared" si="60"/>
        <v>184</v>
      </c>
      <c r="AI32" s="209">
        <f t="shared" si="13"/>
        <v>1840</v>
      </c>
      <c r="AJ32" s="209">
        <f t="shared" si="61"/>
        <v>184</v>
      </c>
      <c r="AK32" s="209">
        <f t="shared" si="14"/>
        <v>1840</v>
      </c>
      <c r="AL32" s="209">
        <f t="shared" si="62"/>
        <v>184</v>
      </c>
      <c r="AM32" s="209">
        <f t="shared" si="15"/>
        <v>1840</v>
      </c>
      <c r="AN32" s="35">
        <f t="shared" si="63"/>
        <v>0.65714285714285714</v>
      </c>
      <c r="AO32" s="36">
        <f t="shared" si="64"/>
        <v>12880</v>
      </c>
      <c r="AQ32" s="229">
        <f t="shared" si="37"/>
        <v>0.59168097929613106</v>
      </c>
      <c r="AR32" s="38">
        <f t="shared" si="44"/>
        <v>55008.580645161303</v>
      </c>
      <c r="AS32" s="203">
        <f t="shared" si="38"/>
        <v>0</v>
      </c>
      <c r="AT32" s="383"/>
      <c r="AU32" s="486"/>
      <c r="AV32" s="328">
        <f>IF(AT32&gt;0,AU32,AV31)</f>
        <v>0.55000000000000004</v>
      </c>
      <c r="AW32" s="308">
        <f>-SUM('B5'!AI31)</f>
        <v>0</v>
      </c>
      <c r="AX32" s="308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298">
        <f>SUM('General information '!E33)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95">
        <f>ELEC!C30</f>
        <v>43766</v>
      </c>
      <c r="B33">
        <f>'B5'!B32</f>
        <v>178</v>
      </c>
      <c r="C33" s="209">
        <f t="shared" si="18"/>
        <v>3829.8709677419356</v>
      </c>
      <c r="D33">
        <f t="shared" si="45"/>
        <v>178</v>
      </c>
      <c r="E33" s="209">
        <f t="shared" si="18"/>
        <v>3829.8709677419356</v>
      </c>
      <c r="F33">
        <f t="shared" si="46"/>
        <v>178</v>
      </c>
      <c r="G33" s="209">
        <f t="shared" si="1"/>
        <v>3829.8709677419356</v>
      </c>
      <c r="H33" s="209">
        <f t="shared" si="47"/>
        <v>178</v>
      </c>
      <c r="I33" s="209">
        <f t="shared" si="2"/>
        <v>3829.8709677419356</v>
      </c>
      <c r="J33" s="209">
        <f t="shared" si="48"/>
        <v>178</v>
      </c>
      <c r="K33" s="209">
        <f t="shared" si="3"/>
        <v>3829.8709677419356</v>
      </c>
      <c r="L33" s="209">
        <f t="shared" si="49"/>
        <v>178</v>
      </c>
      <c r="M33" s="209">
        <f t="shared" si="4"/>
        <v>3829.8709677419356</v>
      </c>
      <c r="N33" s="209">
        <f t="shared" si="50"/>
        <v>178</v>
      </c>
      <c r="O33" s="209">
        <f t="shared" si="5"/>
        <v>3829.8709677419356</v>
      </c>
      <c r="P33" s="209">
        <f t="shared" si="51"/>
        <v>178</v>
      </c>
      <c r="Q33" s="209">
        <f t="shared" si="6"/>
        <v>3829.8709677419356</v>
      </c>
      <c r="R33" s="209">
        <f t="shared" si="52"/>
        <v>178</v>
      </c>
      <c r="S33" s="209">
        <f t="shared" si="7"/>
        <v>3829.8709677419356</v>
      </c>
      <c r="T33" s="209">
        <f t="shared" si="53"/>
        <v>178</v>
      </c>
      <c r="U33" s="209">
        <f t="shared" si="8"/>
        <v>3829.8709677419356</v>
      </c>
      <c r="V33" s="209">
        <f t="shared" si="54"/>
        <v>178</v>
      </c>
      <c r="W33" s="209">
        <f t="shared" si="9"/>
        <v>3829.8709677419356</v>
      </c>
      <c r="X33" s="35">
        <f t="shared" si="55"/>
        <v>0.57419354838709691</v>
      </c>
      <c r="Y33" s="36">
        <f t="shared" si="56"/>
        <v>42128.580645161303</v>
      </c>
      <c r="Z33" s="209">
        <f>'B5'!C32</f>
        <v>184</v>
      </c>
      <c r="AA33" s="209">
        <f t="shared" si="30"/>
        <v>1840</v>
      </c>
      <c r="AB33" s="209">
        <f t="shared" si="57"/>
        <v>184</v>
      </c>
      <c r="AC33" s="209">
        <f t="shared" si="30"/>
        <v>1840</v>
      </c>
      <c r="AD33" s="209">
        <f t="shared" si="58"/>
        <v>184</v>
      </c>
      <c r="AE33" s="209">
        <f t="shared" si="11"/>
        <v>1840</v>
      </c>
      <c r="AF33" s="209">
        <f t="shared" si="59"/>
        <v>184</v>
      </c>
      <c r="AG33" s="209">
        <f t="shared" si="12"/>
        <v>1840</v>
      </c>
      <c r="AH33" s="209">
        <f t="shared" si="60"/>
        <v>184</v>
      </c>
      <c r="AI33" s="209">
        <f t="shared" si="13"/>
        <v>1840</v>
      </c>
      <c r="AJ33" s="209">
        <f t="shared" si="61"/>
        <v>184</v>
      </c>
      <c r="AK33" s="209">
        <f t="shared" si="14"/>
        <v>1840</v>
      </c>
      <c r="AL33" s="209">
        <f t="shared" si="62"/>
        <v>184</v>
      </c>
      <c r="AM33" s="209">
        <f t="shared" si="15"/>
        <v>1840</v>
      </c>
      <c r="AN33" s="35">
        <f t="shared" si="63"/>
        <v>0.65714285714285714</v>
      </c>
      <c r="AO33" s="36">
        <f t="shared" si="64"/>
        <v>12880</v>
      </c>
      <c r="AQ33" s="229">
        <f t="shared" si="37"/>
        <v>0.59168097929613106</v>
      </c>
      <c r="AR33" s="38">
        <f t="shared" si="44"/>
        <v>55008.580645161303</v>
      </c>
      <c r="AS33" s="203">
        <f t="shared" si="38"/>
        <v>0</v>
      </c>
      <c r="AT33" s="383"/>
      <c r="AU33" s="486"/>
      <c r="AV33" s="328">
        <f>IF(AT33&gt;0,AU33,AV32)</f>
        <v>0.55000000000000004</v>
      </c>
      <c r="AW33" s="308">
        <f>-SUM('B5'!AI32)</f>
        <v>0</v>
      </c>
      <c r="AX33" s="308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10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95">
        <f>ELEC!C31</f>
        <v>43767</v>
      </c>
      <c r="B34">
        <f>'B5'!B33</f>
        <v>178</v>
      </c>
      <c r="C34" s="209">
        <f t="shared" si="18"/>
        <v>3829.8709677419356</v>
      </c>
      <c r="D34">
        <f t="shared" si="45"/>
        <v>178</v>
      </c>
      <c r="E34" s="209">
        <f t="shared" si="18"/>
        <v>3829.8709677419356</v>
      </c>
      <c r="F34">
        <f t="shared" si="46"/>
        <v>178</v>
      </c>
      <c r="G34" s="209">
        <f t="shared" si="1"/>
        <v>3829.8709677419356</v>
      </c>
      <c r="H34" s="209">
        <f t="shared" si="47"/>
        <v>178</v>
      </c>
      <c r="I34" s="209">
        <f t="shared" si="2"/>
        <v>3829.8709677419356</v>
      </c>
      <c r="J34" s="209">
        <f t="shared" si="48"/>
        <v>178</v>
      </c>
      <c r="K34" s="209">
        <f t="shared" si="3"/>
        <v>3829.8709677419356</v>
      </c>
      <c r="L34" s="209">
        <f t="shared" si="49"/>
        <v>178</v>
      </c>
      <c r="M34" s="209">
        <f t="shared" si="4"/>
        <v>3829.8709677419356</v>
      </c>
      <c r="N34" s="209">
        <f t="shared" si="50"/>
        <v>178</v>
      </c>
      <c r="O34" s="209">
        <f t="shared" si="5"/>
        <v>3829.8709677419356</v>
      </c>
      <c r="P34" s="209">
        <f t="shared" si="51"/>
        <v>178</v>
      </c>
      <c r="Q34" s="209">
        <f t="shared" si="6"/>
        <v>3829.8709677419356</v>
      </c>
      <c r="R34" s="209">
        <f t="shared" si="52"/>
        <v>178</v>
      </c>
      <c r="S34" s="209">
        <f t="shared" si="7"/>
        <v>3829.8709677419356</v>
      </c>
      <c r="T34" s="209">
        <f t="shared" si="53"/>
        <v>178</v>
      </c>
      <c r="U34" s="209">
        <f t="shared" si="8"/>
        <v>3829.8709677419356</v>
      </c>
      <c r="V34" s="209">
        <f t="shared" si="54"/>
        <v>178</v>
      </c>
      <c r="W34" s="209">
        <f t="shared" si="9"/>
        <v>3829.8709677419356</v>
      </c>
      <c r="X34" s="35">
        <f t="shared" si="55"/>
        <v>0.57419354838709691</v>
      </c>
      <c r="Y34" s="36">
        <f t="shared" si="56"/>
        <v>42128.580645161303</v>
      </c>
      <c r="Z34" s="209">
        <f>'B5'!C33</f>
        <v>184</v>
      </c>
      <c r="AA34" s="209">
        <f t="shared" si="30"/>
        <v>1840</v>
      </c>
      <c r="AB34" s="209">
        <f t="shared" si="57"/>
        <v>184</v>
      </c>
      <c r="AC34" s="209">
        <f t="shared" si="30"/>
        <v>1840</v>
      </c>
      <c r="AD34" s="209">
        <f t="shared" si="58"/>
        <v>184</v>
      </c>
      <c r="AE34" s="209">
        <f t="shared" si="11"/>
        <v>1840</v>
      </c>
      <c r="AF34" s="209">
        <f t="shared" si="59"/>
        <v>184</v>
      </c>
      <c r="AG34" s="209">
        <f t="shared" si="12"/>
        <v>1840</v>
      </c>
      <c r="AH34" s="209">
        <f t="shared" si="60"/>
        <v>184</v>
      </c>
      <c r="AI34" s="209">
        <f t="shared" si="13"/>
        <v>1840</v>
      </c>
      <c r="AJ34" s="209">
        <f t="shared" si="61"/>
        <v>184</v>
      </c>
      <c r="AK34" s="209">
        <f t="shared" si="14"/>
        <v>1840</v>
      </c>
      <c r="AL34" s="209">
        <f t="shared" si="62"/>
        <v>184</v>
      </c>
      <c r="AM34" s="209">
        <f t="shared" si="15"/>
        <v>1840</v>
      </c>
      <c r="AN34" s="35">
        <f t="shared" si="63"/>
        <v>0.65714285714285714</v>
      </c>
      <c r="AO34" s="36">
        <f t="shared" si="64"/>
        <v>12880</v>
      </c>
      <c r="AQ34" s="229">
        <f>SUM(AR34/92970)</f>
        <v>0.59168097929613106</v>
      </c>
      <c r="AR34" s="38">
        <f t="shared" si="44"/>
        <v>55008.580645161303</v>
      </c>
      <c r="AS34" s="203">
        <f t="shared" si="38"/>
        <v>0</v>
      </c>
      <c r="AT34" s="383"/>
      <c r="AU34" s="486"/>
      <c r="AV34" s="328">
        <f t="shared" si="41"/>
        <v>0.55000000000000004</v>
      </c>
      <c r="AW34" s="308">
        <f>-SUM('B5'!AI33)</f>
        <v>0</v>
      </c>
      <c r="AX34" s="308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10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95">
        <f>ELEC!C32</f>
        <v>43768</v>
      </c>
      <c r="B35">
        <f>'B5'!B34</f>
        <v>178</v>
      </c>
      <c r="C35" s="209">
        <f t="shared" si="18"/>
        <v>3829.8709677419356</v>
      </c>
      <c r="D35">
        <f t="shared" si="45"/>
        <v>178</v>
      </c>
      <c r="E35" s="209">
        <f t="shared" si="18"/>
        <v>3829.8709677419356</v>
      </c>
      <c r="F35">
        <f t="shared" si="46"/>
        <v>178</v>
      </c>
      <c r="G35" s="209">
        <f t="shared" si="1"/>
        <v>3829.8709677419356</v>
      </c>
      <c r="H35" s="209">
        <f t="shared" si="47"/>
        <v>178</v>
      </c>
      <c r="I35" s="209">
        <f t="shared" si="2"/>
        <v>3829.8709677419356</v>
      </c>
      <c r="J35" s="209">
        <f t="shared" si="48"/>
        <v>178</v>
      </c>
      <c r="K35" s="209">
        <f t="shared" si="3"/>
        <v>3829.8709677419356</v>
      </c>
      <c r="L35" s="209">
        <f t="shared" si="49"/>
        <v>178</v>
      </c>
      <c r="M35" s="209">
        <f t="shared" si="4"/>
        <v>3829.8709677419356</v>
      </c>
      <c r="N35" s="209">
        <f t="shared" si="50"/>
        <v>178</v>
      </c>
      <c r="O35" s="209">
        <f t="shared" si="5"/>
        <v>3829.8709677419356</v>
      </c>
      <c r="P35" s="209">
        <f t="shared" si="51"/>
        <v>178</v>
      </c>
      <c r="Q35" s="209">
        <f t="shared" si="6"/>
        <v>3829.8709677419356</v>
      </c>
      <c r="R35" s="209">
        <f t="shared" si="52"/>
        <v>178</v>
      </c>
      <c r="S35" s="209">
        <f t="shared" si="7"/>
        <v>3829.8709677419356</v>
      </c>
      <c r="T35" s="209">
        <f t="shared" si="53"/>
        <v>178</v>
      </c>
      <c r="U35" s="209">
        <f t="shared" si="8"/>
        <v>3829.8709677419356</v>
      </c>
      <c r="V35" s="209">
        <f t="shared" si="54"/>
        <v>178</v>
      </c>
      <c r="W35" s="209">
        <f t="shared" si="9"/>
        <v>3829.8709677419356</v>
      </c>
      <c r="X35" s="35">
        <f t="shared" si="55"/>
        <v>0.57419354838709691</v>
      </c>
      <c r="Y35" s="36">
        <f t="shared" si="56"/>
        <v>42128.580645161303</v>
      </c>
      <c r="Z35" s="209">
        <f>'B5'!C34</f>
        <v>184</v>
      </c>
      <c r="AA35" s="209">
        <f t="shared" si="30"/>
        <v>1840</v>
      </c>
      <c r="AB35" s="209">
        <f t="shared" si="57"/>
        <v>184</v>
      </c>
      <c r="AC35" s="209">
        <f t="shared" si="30"/>
        <v>1840</v>
      </c>
      <c r="AD35" s="209">
        <f t="shared" si="58"/>
        <v>184</v>
      </c>
      <c r="AE35" s="209">
        <f t="shared" si="11"/>
        <v>1840</v>
      </c>
      <c r="AF35" s="209">
        <f t="shared" si="59"/>
        <v>184</v>
      </c>
      <c r="AG35" s="209">
        <f t="shared" si="12"/>
        <v>1840</v>
      </c>
      <c r="AH35" s="209">
        <f t="shared" si="60"/>
        <v>184</v>
      </c>
      <c r="AI35" s="209">
        <f t="shared" si="13"/>
        <v>1840</v>
      </c>
      <c r="AJ35" s="209">
        <f t="shared" si="61"/>
        <v>184</v>
      </c>
      <c r="AK35" s="209">
        <f t="shared" si="14"/>
        <v>1840</v>
      </c>
      <c r="AL35" s="209">
        <f t="shared" si="62"/>
        <v>184</v>
      </c>
      <c r="AM35" s="209">
        <f t="shared" si="15"/>
        <v>1840</v>
      </c>
      <c r="AN35" s="35">
        <f t="shared" si="63"/>
        <v>0.65714285714285714</v>
      </c>
      <c r="AO35" s="36">
        <f t="shared" si="64"/>
        <v>12880</v>
      </c>
      <c r="AQ35" s="229">
        <f>SUM(AR35/92970)</f>
        <v>0.59168097929613106</v>
      </c>
      <c r="AR35" s="38">
        <f t="shared" si="44"/>
        <v>55008.580645161303</v>
      </c>
      <c r="AS35" s="203">
        <f t="shared" si="38"/>
        <v>0</v>
      </c>
      <c r="AT35" s="383"/>
      <c r="AU35" s="486"/>
      <c r="AV35" s="328">
        <f>IF(AT35&gt;0,AU35,AV34)</f>
        <v>0.55000000000000004</v>
      </c>
      <c r="AW35" s="308">
        <f>-SUM('B5'!AI34)</f>
        <v>0</v>
      </c>
      <c r="AX35" s="308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10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555">
        <f>ELEC!C33</f>
        <v>43769</v>
      </c>
      <c r="B36">
        <f>'B5'!B35</f>
        <v>178</v>
      </c>
      <c r="C36" s="209">
        <f>B36*$B$4</f>
        <v>3829.8709677419356</v>
      </c>
      <c r="D36">
        <f>SUM(B36)</f>
        <v>178</v>
      </c>
      <c r="E36" s="209">
        <f>D36*$B$4</f>
        <v>3829.8709677419356</v>
      </c>
      <c r="F36">
        <f>SUM(D36)</f>
        <v>178</v>
      </c>
      <c r="G36" s="209">
        <f>F36*$B$4</f>
        <v>3829.8709677419356</v>
      </c>
      <c r="H36" s="209">
        <f>SUM(F36)</f>
        <v>178</v>
      </c>
      <c r="I36" s="209">
        <f>H36*$B$4</f>
        <v>3829.8709677419356</v>
      </c>
      <c r="J36" s="209">
        <f>SUM(H36)</f>
        <v>178</v>
      </c>
      <c r="K36" s="209">
        <f>J36*$B$4</f>
        <v>3829.8709677419356</v>
      </c>
      <c r="L36" s="209">
        <f>SUM(J36)</f>
        <v>178</v>
      </c>
      <c r="M36" s="209">
        <f>L36*$B$4</f>
        <v>3829.8709677419356</v>
      </c>
      <c r="N36" s="209">
        <f>SUM(L36)</f>
        <v>178</v>
      </c>
      <c r="O36" s="209">
        <f>N36*$B$4</f>
        <v>3829.8709677419356</v>
      </c>
      <c r="P36" s="209">
        <f>SUM(N36)</f>
        <v>178</v>
      </c>
      <c r="Q36" s="209">
        <f>P36*$B$4</f>
        <v>3829.8709677419356</v>
      </c>
      <c r="R36" s="209">
        <f>SUM(P36)</f>
        <v>178</v>
      </c>
      <c r="S36" s="209">
        <f>R36*$B$4</f>
        <v>3829.8709677419356</v>
      </c>
      <c r="T36" s="209">
        <f>SUM(R36)</f>
        <v>178</v>
      </c>
      <c r="U36" s="209">
        <f>T36*$B$4</f>
        <v>3829.8709677419356</v>
      </c>
      <c r="V36" s="209">
        <f>SUM(T36)</f>
        <v>178</v>
      </c>
      <c r="W36" s="209">
        <f>V36*$B$4</f>
        <v>3829.8709677419356</v>
      </c>
      <c r="X36" s="35">
        <f>SUM(Y36/73370)</f>
        <v>0.57419354838709691</v>
      </c>
      <c r="Y36" s="36">
        <f>SUM(C36+E36+G36+I36+K36+M36+O36+Q36+S36+U36+W36)</f>
        <v>42128.580645161303</v>
      </c>
      <c r="Z36" s="209">
        <f>'B5'!C35</f>
        <v>184</v>
      </c>
      <c r="AA36" s="209">
        <f>SUM(Z36*$Z$4)</f>
        <v>1840</v>
      </c>
      <c r="AB36" s="209">
        <f>SUM(Z36)</f>
        <v>184</v>
      </c>
      <c r="AC36" s="209">
        <f>SUM(AB36*$Z$4)</f>
        <v>1840</v>
      </c>
      <c r="AD36" s="209">
        <f>SUM(AB36)</f>
        <v>184</v>
      </c>
      <c r="AE36" s="209">
        <f>SUM(AD36*$Z$4)</f>
        <v>1840</v>
      </c>
      <c r="AF36" s="209">
        <f>SUM(AD36)</f>
        <v>184</v>
      </c>
      <c r="AG36" s="209">
        <f>SUM(AF36*$Z$4)</f>
        <v>1840</v>
      </c>
      <c r="AH36" s="209">
        <f>SUM(AF36)</f>
        <v>184</v>
      </c>
      <c r="AI36" s="209">
        <f>SUM(AH36*$Z$4)</f>
        <v>1840</v>
      </c>
      <c r="AJ36" s="209">
        <f>SUM(AH36)</f>
        <v>184</v>
      </c>
      <c r="AK36" s="209">
        <f>SUM(AJ36*$Z$4)</f>
        <v>1840</v>
      </c>
      <c r="AL36" s="209">
        <f>SUM(AJ36)</f>
        <v>184</v>
      </c>
      <c r="AM36" s="209">
        <f>SUM(AL36*$Z$4)</f>
        <v>1840</v>
      </c>
      <c r="AN36" s="35">
        <f>SUM(AO36/19600)</f>
        <v>0.65714285714285714</v>
      </c>
      <c r="AO36" s="36">
        <f>SUM(AA36+AC36+AE36+AG36+AI36+AK36+AM36)</f>
        <v>12880</v>
      </c>
      <c r="AP36" s="263"/>
      <c r="AQ36" s="229">
        <f>SUM(AR36/92970)</f>
        <v>0.59168097929613106</v>
      </c>
      <c r="AR36" s="38">
        <f>SUM(AO36+Y36)</f>
        <v>55008.580645161303</v>
      </c>
      <c r="AS36" s="203">
        <f>SUM(AR36-AR35-AT36)</f>
        <v>0</v>
      </c>
      <c r="AT36" s="383"/>
      <c r="AU36" s="486"/>
      <c r="AV36" s="328">
        <f>IF(AT36&gt;0,AU36,AV35)</f>
        <v>0.55000000000000004</v>
      </c>
      <c r="AW36" s="308">
        <f>-SUM('B5'!AI35)</f>
        <v>0</v>
      </c>
      <c r="AX36" s="308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27">
        <f>SUM('General information '!E36)</f>
        <v>0</v>
      </c>
      <c r="BC36" s="17"/>
      <c r="BD36" s="539"/>
      <c r="BE36" s="540"/>
      <c r="BF36" s="540"/>
      <c r="BG36" s="540"/>
      <c r="BH36" s="541"/>
    </row>
    <row r="37" spans="1:60">
      <c r="AQ37" s="20"/>
      <c r="AR37" s="533" t="s">
        <v>226</v>
      </c>
      <c r="AS37" s="542">
        <f>COUNT(AT6:AT36)</f>
        <v>2</v>
      </c>
      <c r="AT37" s="209">
        <f>SUM(AT6:AT36)</f>
        <v>35056</v>
      </c>
      <c r="AU37">
        <f>SUM(AU6:AU36)/AS37</f>
        <v>0.54832999999999998</v>
      </c>
      <c r="AX37" s="209">
        <f>SUM(AX6:AX36)</f>
        <v>-31034.658064516138</v>
      </c>
      <c r="AY37" s="209">
        <f>SUM(AY6:AY36)</f>
        <v>-43186.258064516114</v>
      </c>
    </row>
    <row r="38" spans="1:60">
      <c r="AS38" s="212"/>
      <c r="AT38">
        <f>+AT37*AU37</f>
        <v>19222.25648</v>
      </c>
    </row>
    <row r="40" spans="1:60">
      <c r="AS40" s="168">
        <f>SUM(AS6:AS36)/'EDl log'!A36</f>
        <v>-3084.732718894008</v>
      </c>
      <c r="AT40" s="209"/>
    </row>
  </sheetData>
  <mergeCells count="3">
    <mergeCell ref="AT3:AU3"/>
    <mergeCell ref="AS3:AS4"/>
    <mergeCell ref="AR3:AR4"/>
  </mergeCells>
  <conditionalFormatting sqref="AW6:AX36">
    <cfRule type="cellIs" dxfId="4" priority="3" stopIfTrue="1" operator="greaterThan">
      <formula>0</formula>
    </cfRule>
  </conditionalFormatting>
  <conditionalFormatting sqref="AT6:AU36">
    <cfRule type="cellIs" dxfId="3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35"/>
  <sheetViews>
    <sheetView topLeftCell="J1" zoomScaleNormal="100" workbookViewId="0">
      <pane ySplit="1" topLeftCell="A2" activePane="bottomLeft" state="frozen"/>
      <selection pane="bottomLeft" activeCell="R4" sqref="R4"/>
    </sheetView>
  </sheetViews>
  <sheetFormatPr defaultRowHeight="14.5"/>
  <cols>
    <col min="1" max="1" width="7.1796875" bestFit="1" customWidth="1"/>
    <col min="2" max="2" width="9" bestFit="1" customWidth="1"/>
    <col min="3" max="3" width="7.7265625" bestFit="1" customWidth="1"/>
    <col min="4" max="4" width="10" bestFit="1" customWidth="1"/>
    <col min="5" max="6" width="8.7265625" bestFit="1" customWidth="1"/>
    <col min="7" max="7" width="3.453125" bestFit="1" customWidth="1"/>
    <col min="8" max="8" width="8.1796875" customWidth="1"/>
    <col min="9" max="9" width="11.453125" bestFit="1" customWidth="1"/>
    <col min="10" max="10" width="9" bestFit="1" customWidth="1"/>
    <col min="11" max="11" width="7.7265625" bestFit="1" customWidth="1"/>
    <col min="12" max="12" width="10.54296875" bestFit="1" customWidth="1"/>
    <col min="13" max="13" width="10.26953125" customWidth="1"/>
    <col min="14" max="14" width="8.7265625" bestFit="1" customWidth="1"/>
    <col min="15" max="15" width="6.1796875" bestFit="1" customWidth="1"/>
    <col min="16" max="16" width="8" bestFit="1" customWidth="1"/>
    <col min="17" max="17" width="7.7265625" bestFit="1" customWidth="1"/>
    <col min="18" max="18" width="9" bestFit="1" customWidth="1"/>
    <col min="19" max="19" width="7.26953125" bestFit="1" customWidth="1"/>
    <col min="20" max="20" width="11.54296875" customWidth="1"/>
    <col min="21" max="22" width="8.7265625" bestFit="1" customWidth="1"/>
    <col min="23" max="23" width="3.1796875" bestFit="1" customWidth="1"/>
    <col min="24" max="24" width="12" customWidth="1"/>
    <col min="25" max="25" width="7.26953125" bestFit="1" customWidth="1"/>
    <col min="26" max="26" width="8" bestFit="1" customWidth="1"/>
    <col min="27" max="27" width="11.81640625" customWidth="1"/>
    <col min="28" max="28" width="9.26953125" hidden="1" customWidth="1"/>
    <col min="29" max="29" width="7.7265625" bestFit="1" customWidth="1"/>
    <col min="30" max="30" width="9.7265625" bestFit="1" customWidth="1"/>
    <col min="31" max="34" width="9.7265625" customWidth="1"/>
  </cols>
  <sheetData>
    <row r="1" spans="1:37" s="20" customFormat="1" ht="45">
      <c r="A1" s="25"/>
      <c r="B1" s="446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46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304"/>
      <c r="P1" s="25" t="s">
        <v>46</v>
      </c>
      <c r="Q1" s="25" t="s">
        <v>49</v>
      </c>
      <c r="R1" s="446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304" t="s">
        <v>375</v>
      </c>
      <c r="AC1" s="304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>
        <f>ELEC!C2</f>
        <v>43738</v>
      </c>
      <c r="B2" s="282">
        <f>[1]GEN!B32</f>
        <v>8418</v>
      </c>
      <c r="C2" s="282">
        <f>[1]GEN!C32</f>
        <v>0</v>
      </c>
      <c r="D2" s="282">
        <f>[1]GEN!D32</f>
        <v>108878.3</v>
      </c>
      <c r="E2" s="282">
        <f>[1]GEN!E32</f>
        <v>0</v>
      </c>
      <c r="F2" s="282">
        <f>[1]GEN!F32</f>
        <v>0</v>
      </c>
      <c r="G2" s="282">
        <f>[1]GEN!G32</f>
        <v>0</v>
      </c>
      <c r="H2" s="282">
        <f>[1]GEN!H32</f>
        <v>8517</v>
      </c>
      <c r="I2" s="282" t="str">
        <f>[1]GEN!I32</f>
        <v>ok</v>
      </c>
      <c r="J2" s="282">
        <f>[1]GEN!J32</f>
        <v>10377</v>
      </c>
      <c r="K2" s="282">
        <f>[1]GEN!K32</f>
        <v>9</v>
      </c>
      <c r="L2" s="282">
        <f>[1]GEN!L32</f>
        <v>188897</v>
      </c>
      <c r="M2" s="282">
        <f>[1]GEN!M32</f>
        <v>1329.1000000000058</v>
      </c>
      <c r="N2" s="282">
        <f>[1]GEN!N32</f>
        <v>147.67777777777843</v>
      </c>
      <c r="O2" s="282">
        <f>[1]GEN!O32</f>
        <v>0</v>
      </c>
      <c r="P2" s="282">
        <f>[1]GEN!P32</f>
        <v>10300</v>
      </c>
      <c r="Q2" s="282" t="str">
        <f>[1]GEN!Q32</f>
        <v>oil change</v>
      </c>
      <c r="R2" s="282">
        <f>[1]GEN!R32</f>
        <v>10698</v>
      </c>
      <c r="S2" s="282">
        <f>[1]GEN!S32</f>
        <v>9</v>
      </c>
      <c r="T2" s="282">
        <f>[1]GEN!T32</f>
        <v>143730.5</v>
      </c>
      <c r="U2" s="282">
        <f>[1]GEN!U32</f>
        <v>1493</v>
      </c>
      <c r="V2" s="282">
        <f>[1]GEN!V32</f>
        <v>165.88888888888889</v>
      </c>
      <c r="W2" s="282">
        <f>[1]GEN!W32</f>
        <v>0</v>
      </c>
      <c r="X2" s="282">
        <f>[1]GEN!X32</f>
        <v>10809</v>
      </c>
      <c r="Y2" s="282" t="str">
        <f>[1]GEN!Y32</f>
        <v>ok</v>
      </c>
      <c r="Z2" s="282">
        <f>[1]GEN!Z32</f>
        <v>18</v>
      </c>
      <c r="AA2" s="282">
        <f>[1]GEN!AA32</f>
        <v>2822.1000000000058</v>
      </c>
      <c r="AB2" s="282">
        <f>[1]GEN!AB32</f>
        <v>313.56666666666729</v>
      </c>
      <c r="AC2" s="282">
        <f>[1]GEN!AC32</f>
        <v>156.78333333333364</v>
      </c>
      <c r="AD2" s="282">
        <f>[1]GEN!AD32</f>
        <v>10577.99999999952</v>
      </c>
      <c r="AE2" s="282">
        <f>[1]GEN!AE32</f>
        <v>587.66666666664003</v>
      </c>
      <c r="AF2" s="282">
        <f>[1]GEN!AF32</f>
        <v>0.36729166666665003</v>
      </c>
      <c r="AG2" s="282">
        <f>[1]GEN!AG32</f>
        <v>117.53333333332802</v>
      </c>
      <c r="AH2" s="282">
        <f>[1]GEN!AH32</f>
        <v>39.250000000005627</v>
      </c>
      <c r="AI2" s="282">
        <f>[1]GEN!AI32</f>
        <v>2722.6075949365854</v>
      </c>
      <c r="AJ2" s="282">
        <f>[1]GEN!AJ32</f>
        <v>0.25738396624472576</v>
      </c>
      <c r="AK2" s="282">
        <f>[1]GEN!AK32</f>
        <v>151.25597749647696</v>
      </c>
    </row>
    <row r="3" spans="1:37">
      <c r="A3" s="4">
        <f>ELEC!C3</f>
        <v>43739</v>
      </c>
      <c r="B3" s="282">
        <v>8418</v>
      </c>
      <c r="C3" s="305">
        <f>B3-B2</f>
        <v>0</v>
      </c>
      <c r="D3" s="282">
        <v>108878</v>
      </c>
      <c r="E3" s="305">
        <f>SUM(D3-D2)</f>
        <v>-0.30000000000291038</v>
      </c>
      <c r="F3" s="305">
        <f>IF(C3&gt;0,E3/C3,0)</f>
        <v>0</v>
      </c>
      <c r="G3" s="282">
        <f>[4]GEN!G32</f>
        <v>0</v>
      </c>
      <c r="H3" s="306">
        <f>H2</f>
        <v>8517</v>
      </c>
      <c r="I3" s="305" t="str">
        <f t="shared" ref="I3:I32" si="0">IF(B3-H3&lt;=0,"ok","oil change")</f>
        <v>ok</v>
      </c>
      <c r="J3" s="282">
        <v>10385</v>
      </c>
      <c r="K3" s="305">
        <f t="shared" ref="K3:K31" si="1">J3-J2</f>
        <v>8</v>
      </c>
      <c r="L3" s="282">
        <v>189815</v>
      </c>
      <c r="M3" s="305">
        <f t="shared" ref="M3:M33" si="2">SUM(L3-L2)</f>
        <v>918</v>
      </c>
      <c r="N3" s="305">
        <f>IF(K3&gt;0,M3/K3,0)</f>
        <v>114.75</v>
      </c>
      <c r="O3" s="282">
        <f>[4]GEN!O32</f>
        <v>0</v>
      </c>
      <c r="P3" s="306">
        <f>P2</f>
        <v>10300</v>
      </c>
      <c r="Q3" s="305" t="str">
        <f t="shared" ref="Q3:Q17" si="3">IF(J3-P3&lt;=0,"ok","oil change")</f>
        <v>oil change</v>
      </c>
      <c r="R3" s="282">
        <v>10706</v>
      </c>
      <c r="S3" s="305">
        <f t="shared" ref="S3:S32" si="4">R3-R2</f>
        <v>8</v>
      </c>
      <c r="T3" s="282">
        <v>144739</v>
      </c>
      <c r="U3" s="305">
        <f t="shared" ref="U3:U18" si="5">SUM(T3-T2)</f>
        <v>1008.5</v>
      </c>
      <c r="V3" s="305">
        <f>IF(S3&gt;0,U3/S3,0)</f>
        <v>126.0625</v>
      </c>
      <c r="W3" s="282">
        <f>[4]GEN!W32</f>
        <v>0</v>
      </c>
      <c r="X3" s="306">
        <f>X2</f>
        <v>10809</v>
      </c>
      <c r="Y3" s="305" t="str">
        <f t="shared" ref="Y3:Y20" si="6">IF(R3-X3&lt;=0,"ok","oil change")</f>
        <v>ok</v>
      </c>
      <c r="Z3" s="305">
        <f t="shared" ref="Z3:Z32" si="7">C3+K3+S3</f>
        <v>16</v>
      </c>
      <c r="AA3" s="305">
        <f>U3+M3+E3</f>
        <v>1926.1999999999971</v>
      </c>
      <c r="AB3" s="305">
        <f>V3+N3+F3</f>
        <v>240.8125</v>
      </c>
      <c r="AC3" s="305">
        <f>IF(Z3&gt;0,AA3/Z3,0)</f>
        <v>120.38749999999982</v>
      </c>
      <c r="AD3" s="74">
        <f>ELEC!Q3</f>
        <v>10434.000000001106</v>
      </c>
      <c r="AE3" s="74">
        <f>SUM(AD3/Z3)</f>
        <v>652.12500000006912</v>
      </c>
      <c r="AF3" s="436">
        <f>SUM(AE3/1600)</f>
        <v>0.4075781250000432</v>
      </c>
      <c r="AG3" s="437">
        <f>SUM(360*AF3)</f>
        <v>146.72812500001555</v>
      </c>
      <c r="AH3" s="437">
        <f>SUM(AC3-AG3)</f>
        <v>-26.340625000015734</v>
      </c>
      <c r="AI3" s="74">
        <f>AD3*AJ3</f>
        <v>2685.5443037977534</v>
      </c>
      <c r="AJ3" s="307">
        <f t="shared" ref="AJ3:AJ32" si="8">305/1185</f>
        <v>0.25738396624472576</v>
      </c>
      <c r="AK3" s="307">
        <f t="shared" ref="AK3:AK8" si="9">AI3/Z3</f>
        <v>167.84651898735959</v>
      </c>
    </row>
    <row r="4" spans="1:37">
      <c r="A4" s="4">
        <f>ELEC!C4</f>
        <v>43740</v>
      </c>
      <c r="B4" s="282">
        <f t="shared" ref="B4:D33" si="10">B3</f>
        <v>8418</v>
      </c>
      <c r="C4" s="305">
        <f t="shared" ref="C4:C32" si="11">B4-B3</f>
        <v>0</v>
      </c>
      <c r="D4" s="282">
        <f t="shared" si="10"/>
        <v>108878</v>
      </c>
      <c r="E4" s="305">
        <f t="shared" ref="E4:E32" si="12">SUM(D4-D3)</f>
        <v>0</v>
      </c>
      <c r="F4" s="305">
        <f t="shared" ref="F4:F32" si="13">IF(C4&gt;0,E4/C4,0)</f>
        <v>0</v>
      </c>
      <c r="G4" s="202"/>
      <c r="H4" s="306">
        <f t="shared" ref="H4:H33" si="14">H3</f>
        <v>8517</v>
      </c>
      <c r="I4" s="305" t="str">
        <f t="shared" si="0"/>
        <v>ok</v>
      </c>
      <c r="J4" s="282">
        <v>10392</v>
      </c>
      <c r="K4" s="305">
        <f t="shared" si="1"/>
        <v>7</v>
      </c>
      <c r="L4" s="282">
        <v>190787.5</v>
      </c>
      <c r="M4" s="305">
        <f t="shared" si="2"/>
        <v>972.5</v>
      </c>
      <c r="N4" s="305">
        <f t="shared" ref="N4:N32" si="15">IF(K4&gt;0,M4/K4,0)</f>
        <v>138.92857142857142</v>
      </c>
      <c r="O4" s="202"/>
      <c r="P4" s="306">
        <f t="shared" ref="P4:P33" si="16">P3</f>
        <v>10300</v>
      </c>
      <c r="Q4" s="305" t="str">
        <f t="shared" si="3"/>
        <v>oil change</v>
      </c>
      <c r="R4" s="282">
        <v>10713</v>
      </c>
      <c r="S4" s="305">
        <f t="shared" si="4"/>
        <v>7</v>
      </c>
      <c r="T4" s="282">
        <v>145768.70000000001</v>
      </c>
      <c r="U4" s="305">
        <f t="shared" si="5"/>
        <v>1029.7000000000116</v>
      </c>
      <c r="V4" s="305">
        <f t="shared" ref="V4:V32" si="17">IF(S4&gt;0,U4/S4,0)</f>
        <v>147.10000000000167</v>
      </c>
      <c r="W4" s="202"/>
      <c r="X4" s="306">
        <f t="shared" ref="X4:X33" si="18">X3</f>
        <v>10809</v>
      </c>
      <c r="Y4" s="305" t="str">
        <f t="shared" si="6"/>
        <v>ok</v>
      </c>
      <c r="Z4" s="305">
        <f t="shared" si="7"/>
        <v>14</v>
      </c>
      <c r="AA4" s="305">
        <f t="shared" ref="AA4:AA32" si="19">U4+M4+E4</f>
        <v>2002.2000000000116</v>
      </c>
      <c r="AB4" s="305">
        <f t="shared" ref="AB4:AB32" si="20">V4+N4+F4</f>
        <v>286.02857142857306</v>
      </c>
      <c r="AC4" s="305">
        <f t="shared" ref="AC4:AC32" si="21">IF(Z4&gt;0,AA4/Z4,0)</f>
        <v>143.01428571428656</v>
      </c>
      <c r="AD4" s="74">
        <f>ELEC!Q4</f>
        <v>10283.999999999651</v>
      </c>
      <c r="AE4" s="74">
        <f>SUM(AD4/Z4)</f>
        <v>734.57142857140366</v>
      </c>
      <c r="AF4" s="436">
        <f>SUM(AE4/1600)</f>
        <v>0.45910714285712728</v>
      </c>
      <c r="AG4" s="437">
        <f>SUM(360*AF4)</f>
        <v>165.27857142856581</v>
      </c>
      <c r="AH4" s="437">
        <f t="shared" ref="AH4:AH32" si="22">SUM(AC4-AG4)</f>
        <v>-22.264285714279254</v>
      </c>
      <c r="AI4" s="74">
        <f>AD4*AJ4</f>
        <v>2646.93670886067</v>
      </c>
      <c r="AJ4" s="307">
        <f t="shared" si="8"/>
        <v>0.25738396624472576</v>
      </c>
      <c r="AK4" s="307">
        <f t="shared" si="9"/>
        <v>189.06690777576213</v>
      </c>
    </row>
    <row r="5" spans="1:37">
      <c r="A5" s="4">
        <f>ELEC!C5</f>
        <v>43741</v>
      </c>
      <c r="B5" s="282">
        <f t="shared" si="10"/>
        <v>8418</v>
      </c>
      <c r="C5" s="305">
        <f t="shared" si="11"/>
        <v>0</v>
      </c>
      <c r="D5" s="282">
        <f t="shared" si="10"/>
        <v>108878</v>
      </c>
      <c r="E5" s="305">
        <f t="shared" si="12"/>
        <v>0</v>
      </c>
      <c r="F5" s="305">
        <f t="shared" si="13"/>
        <v>0</v>
      </c>
      <c r="G5" s="303"/>
      <c r="H5" s="306">
        <v>8497</v>
      </c>
      <c r="I5" s="305" t="str">
        <f t="shared" si="0"/>
        <v>ok</v>
      </c>
      <c r="J5" s="282">
        <v>10400</v>
      </c>
      <c r="K5" s="305">
        <f t="shared" si="1"/>
        <v>8</v>
      </c>
      <c r="L5" s="282">
        <v>192040.5</v>
      </c>
      <c r="M5" s="305">
        <f t="shared" si="2"/>
        <v>1253</v>
      </c>
      <c r="N5" s="305">
        <f t="shared" si="15"/>
        <v>156.625</v>
      </c>
      <c r="O5" s="202"/>
      <c r="P5" s="306">
        <v>10361</v>
      </c>
      <c r="Q5" s="305" t="str">
        <f t="shared" si="3"/>
        <v>oil change</v>
      </c>
      <c r="R5" s="282">
        <v>10722</v>
      </c>
      <c r="S5" s="305">
        <f t="shared" si="4"/>
        <v>9</v>
      </c>
      <c r="T5" s="282">
        <v>147040</v>
      </c>
      <c r="U5" s="305">
        <f t="shared" si="5"/>
        <v>1271.2999999999884</v>
      </c>
      <c r="V5" s="305">
        <f>IF(S5&gt;0,U5/S5,0)</f>
        <v>141.25555555555425</v>
      </c>
      <c r="W5" s="202"/>
      <c r="X5" s="306">
        <f t="shared" si="18"/>
        <v>10809</v>
      </c>
      <c r="Y5" s="305" t="str">
        <f t="shared" si="6"/>
        <v>ok</v>
      </c>
      <c r="Z5" s="305">
        <f t="shared" si="7"/>
        <v>17</v>
      </c>
      <c r="AA5" s="305">
        <f t="shared" si="19"/>
        <v>2524.2999999999884</v>
      </c>
      <c r="AB5" s="305">
        <f t="shared" si="20"/>
        <v>297.88055555555422</v>
      </c>
      <c r="AC5" s="305">
        <f t="shared" si="21"/>
        <v>148.48823529411698</v>
      </c>
      <c r="AD5" s="74">
        <f>ELEC!Q5</f>
        <v>11112.999999999374</v>
      </c>
      <c r="AE5" s="74">
        <f t="shared" ref="AE5:AE32" si="23">SUM(AD5/Z5)</f>
        <v>653.70588235290438</v>
      </c>
      <c r="AF5" s="436">
        <f t="shared" ref="AF5:AF32" si="24">SUM(AE5/1600)</f>
        <v>0.40856617647056526</v>
      </c>
      <c r="AG5" s="437">
        <f t="shared" ref="AG5:AG32" si="25">SUM(320*AF5)</f>
        <v>130.74117647058088</v>
      </c>
      <c r="AH5" s="437">
        <f t="shared" si="22"/>
        <v>17.747058823536094</v>
      </c>
      <c r="AI5" s="74">
        <f t="shared" ref="AI5:AI32" si="26">AD5*AJ5</f>
        <v>2860.3080168774763</v>
      </c>
      <c r="AJ5" s="307">
        <f t="shared" si="8"/>
        <v>0.25738396624472576</v>
      </c>
      <c r="AK5" s="307">
        <f t="shared" si="9"/>
        <v>168.25341275749861</v>
      </c>
    </row>
    <row r="6" spans="1:37">
      <c r="A6" s="4">
        <f>ELEC!C6</f>
        <v>43742</v>
      </c>
      <c r="B6" s="282">
        <f t="shared" si="10"/>
        <v>8418</v>
      </c>
      <c r="C6" s="305">
        <f t="shared" si="11"/>
        <v>0</v>
      </c>
      <c r="D6" s="282">
        <f t="shared" si="10"/>
        <v>108878</v>
      </c>
      <c r="E6" s="305">
        <f t="shared" si="12"/>
        <v>0</v>
      </c>
      <c r="F6" s="305">
        <f t="shared" si="13"/>
        <v>0</v>
      </c>
      <c r="G6" s="202"/>
      <c r="H6" s="306">
        <f t="shared" si="14"/>
        <v>8497</v>
      </c>
      <c r="I6" s="305" t="str">
        <f t="shared" si="0"/>
        <v>ok</v>
      </c>
      <c r="J6" s="282">
        <v>10406</v>
      </c>
      <c r="K6" s="305">
        <f t="shared" si="1"/>
        <v>6</v>
      </c>
      <c r="L6" s="282">
        <v>192745</v>
      </c>
      <c r="M6" s="305">
        <f t="shared" si="2"/>
        <v>704.5</v>
      </c>
      <c r="N6" s="305">
        <f t="shared" si="15"/>
        <v>117.41666666666667</v>
      </c>
      <c r="O6" s="331"/>
      <c r="P6" s="306">
        <f t="shared" si="16"/>
        <v>10361</v>
      </c>
      <c r="Q6" s="305" t="str">
        <f t="shared" si="3"/>
        <v>oil change</v>
      </c>
      <c r="R6" s="282">
        <v>10727</v>
      </c>
      <c r="S6" s="305">
        <f t="shared" si="4"/>
        <v>5</v>
      </c>
      <c r="T6" s="282">
        <v>147786.29999999999</v>
      </c>
      <c r="U6" s="305">
        <f t="shared" si="5"/>
        <v>746.29999999998836</v>
      </c>
      <c r="V6" s="305">
        <f t="shared" si="17"/>
        <v>149.25999999999766</v>
      </c>
      <c r="W6" s="331"/>
      <c r="X6" s="306">
        <f t="shared" si="18"/>
        <v>10809</v>
      </c>
      <c r="Y6" s="305" t="str">
        <f t="shared" si="6"/>
        <v>ok</v>
      </c>
      <c r="Z6" s="305">
        <f t="shared" si="7"/>
        <v>11</v>
      </c>
      <c r="AA6" s="305">
        <f t="shared" si="19"/>
        <v>1450.7999999999884</v>
      </c>
      <c r="AB6" s="305">
        <f t="shared" si="20"/>
        <v>266.67666666666435</v>
      </c>
      <c r="AC6" s="305">
        <f t="shared" si="21"/>
        <v>131.89090909090802</v>
      </c>
      <c r="AD6" s="74">
        <f>ELEC!Q6</f>
        <v>7387.0000000006257</v>
      </c>
      <c r="AE6" s="74">
        <f>SUM(AD6/Z6)</f>
        <v>671.54545454551146</v>
      </c>
      <c r="AF6" s="436">
        <f t="shared" si="24"/>
        <v>0.41971590909094464</v>
      </c>
      <c r="AG6" s="437">
        <f>SUM(320*AF6)</f>
        <v>134.30909090910228</v>
      </c>
      <c r="AH6" s="437">
        <f t="shared" si="22"/>
        <v>-2.418181818194256</v>
      </c>
      <c r="AI6" s="74">
        <f t="shared" si="26"/>
        <v>1901.2953586499502</v>
      </c>
      <c r="AJ6" s="307">
        <f t="shared" si="8"/>
        <v>0.25738396624472576</v>
      </c>
      <c r="AK6" s="307">
        <f t="shared" si="9"/>
        <v>172.84503260454093</v>
      </c>
    </row>
    <row r="7" spans="1:37">
      <c r="A7" s="4">
        <f>ELEC!C7</f>
        <v>43743</v>
      </c>
      <c r="B7" s="282">
        <f t="shared" si="10"/>
        <v>8418</v>
      </c>
      <c r="C7" s="305">
        <f t="shared" si="11"/>
        <v>0</v>
      </c>
      <c r="D7" s="282">
        <f t="shared" si="10"/>
        <v>108878</v>
      </c>
      <c r="E7" s="305">
        <f t="shared" si="12"/>
        <v>0</v>
      </c>
      <c r="F7" s="305">
        <f t="shared" si="13"/>
        <v>0</v>
      </c>
      <c r="G7" s="202"/>
      <c r="H7" s="306">
        <f t="shared" si="14"/>
        <v>8497</v>
      </c>
      <c r="I7" s="305" t="str">
        <f t="shared" si="0"/>
        <v>ok</v>
      </c>
      <c r="J7" s="282">
        <v>10409</v>
      </c>
      <c r="K7" s="305">
        <f t="shared" si="1"/>
        <v>3</v>
      </c>
      <c r="L7" s="282">
        <v>193155</v>
      </c>
      <c r="M7" s="305">
        <f t="shared" si="2"/>
        <v>410</v>
      </c>
      <c r="N7" s="305">
        <f t="shared" si="15"/>
        <v>136.66666666666666</v>
      </c>
      <c r="O7" s="331"/>
      <c r="P7" s="306">
        <f t="shared" si="16"/>
        <v>10361</v>
      </c>
      <c r="Q7" s="305" t="str">
        <f t="shared" si="3"/>
        <v>oil change</v>
      </c>
      <c r="R7" s="282">
        <v>10730</v>
      </c>
      <c r="S7" s="305">
        <f t="shared" si="4"/>
        <v>3</v>
      </c>
      <c r="T7" s="282">
        <v>148219</v>
      </c>
      <c r="U7" s="305">
        <f t="shared" si="5"/>
        <v>432.70000000001164</v>
      </c>
      <c r="V7" s="305">
        <f t="shared" si="17"/>
        <v>144.23333333333721</v>
      </c>
      <c r="W7" s="202"/>
      <c r="X7" s="306">
        <f t="shared" si="18"/>
        <v>10809</v>
      </c>
      <c r="Y7" s="305" t="str">
        <f t="shared" si="6"/>
        <v>ok</v>
      </c>
      <c r="Z7" s="305">
        <f t="shared" si="7"/>
        <v>6</v>
      </c>
      <c r="AA7" s="305">
        <f>U7+M7+E7</f>
        <v>842.70000000001164</v>
      </c>
      <c r="AB7" s="305">
        <f t="shared" si="20"/>
        <v>280.90000000000384</v>
      </c>
      <c r="AC7" s="305">
        <f t="shared" si="21"/>
        <v>140.45000000000195</v>
      </c>
      <c r="AD7" s="74">
        <f>ELEC!Q7</f>
        <v>4799.9999999992724</v>
      </c>
      <c r="AE7" s="74">
        <f t="shared" si="23"/>
        <v>799.9999999998787</v>
      </c>
      <c r="AF7" s="436">
        <f t="shared" si="24"/>
        <v>0.49999999999992417</v>
      </c>
      <c r="AG7" s="578" t="s">
        <v>407</v>
      </c>
      <c r="AH7" s="437" t="e">
        <f t="shared" si="22"/>
        <v>#VALUE!</v>
      </c>
      <c r="AI7" s="74">
        <f t="shared" si="26"/>
        <v>1235.4430379744963</v>
      </c>
      <c r="AJ7" s="307">
        <f t="shared" si="8"/>
        <v>0.25738396624472576</v>
      </c>
      <c r="AK7" s="307">
        <f t="shared" si="9"/>
        <v>205.90717299574939</v>
      </c>
    </row>
    <row r="8" spans="1:37">
      <c r="A8" s="4">
        <f>ELEC!C8</f>
        <v>43744</v>
      </c>
      <c r="B8" s="282">
        <f t="shared" si="10"/>
        <v>8418</v>
      </c>
      <c r="C8" s="305">
        <f t="shared" si="11"/>
        <v>0</v>
      </c>
      <c r="D8" s="282">
        <f t="shared" si="10"/>
        <v>108878</v>
      </c>
      <c r="E8" s="305">
        <f t="shared" si="12"/>
        <v>0</v>
      </c>
      <c r="F8" s="305">
        <f t="shared" si="13"/>
        <v>0</v>
      </c>
      <c r="G8" s="202"/>
      <c r="H8" s="306">
        <f t="shared" si="14"/>
        <v>8497</v>
      </c>
      <c r="I8" s="305" t="str">
        <f t="shared" si="0"/>
        <v>ok</v>
      </c>
      <c r="J8" s="282">
        <v>10412</v>
      </c>
      <c r="K8" s="305">
        <f t="shared" si="1"/>
        <v>3</v>
      </c>
      <c r="L8" s="282">
        <v>193726</v>
      </c>
      <c r="M8" s="305">
        <f t="shared" si="2"/>
        <v>571</v>
      </c>
      <c r="N8" s="305">
        <f t="shared" si="15"/>
        <v>190.33333333333334</v>
      </c>
      <c r="O8" s="202"/>
      <c r="P8" s="306">
        <f t="shared" si="16"/>
        <v>10361</v>
      </c>
      <c r="Q8" s="305" t="str">
        <f t="shared" si="3"/>
        <v>oil change</v>
      </c>
      <c r="R8" s="282">
        <v>10733</v>
      </c>
      <c r="S8" s="305">
        <f t="shared" si="4"/>
        <v>3</v>
      </c>
      <c r="T8" s="282">
        <v>148760.29999999999</v>
      </c>
      <c r="U8" s="305">
        <f t="shared" si="5"/>
        <v>541.29999999998836</v>
      </c>
      <c r="V8" s="305">
        <f t="shared" si="17"/>
        <v>180.43333333332944</v>
      </c>
      <c r="W8" s="202"/>
      <c r="X8" s="306">
        <f t="shared" si="18"/>
        <v>10809</v>
      </c>
      <c r="Y8" s="305" t="str">
        <f t="shared" si="6"/>
        <v>ok</v>
      </c>
      <c r="Z8" s="305">
        <f t="shared" si="7"/>
        <v>6</v>
      </c>
      <c r="AA8" s="305">
        <f t="shared" si="19"/>
        <v>1112.2999999999884</v>
      </c>
      <c r="AB8" s="305">
        <f t="shared" si="20"/>
        <v>370.76666666666279</v>
      </c>
      <c r="AC8" s="305">
        <f t="shared" si="21"/>
        <v>185.38333333333139</v>
      </c>
      <c r="AD8" s="74">
        <f>ELEC!Q8</f>
        <v>4144.0000000002328</v>
      </c>
      <c r="AE8" s="74">
        <f t="shared" si="23"/>
        <v>690.66666666670551</v>
      </c>
      <c r="AF8" s="436">
        <f t="shared" si="24"/>
        <v>0.43166666666669096</v>
      </c>
      <c r="AG8" s="437">
        <f t="shared" si="25"/>
        <v>138.13333333334111</v>
      </c>
      <c r="AH8" s="437">
        <f t="shared" si="22"/>
        <v>47.24999999999028</v>
      </c>
      <c r="AI8" s="74">
        <f t="shared" si="26"/>
        <v>1066.5991561182034</v>
      </c>
      <c r="AJ8" s="307">
        <f t="shared" si="8"/>
        <v>0.25738396624472576</v>
      </c>
      <c r="AK8" s="307">
        <f t="shared" si="9"/>
        <v>177.76652601970056</v>
      </c>
    </row>
    <row r="9" spans="1:37">
      <c r="A9" s="4">
        <f>ELEC!C9</f>
        <v>43745</v>
      </c>
      <c r="B9" s="282">
        <f t="shared" si="10"/>
        <v>8418</v>
      </c>
      <c r="C9" s="305">
        <f t="shared" si="11"/>
        <v>0</v>
      </c>
      <c r="D9" s="282">
        <f t="shared" si="10"/>
        <v>108878</v>
      </c>
      <c r="E9" s="305">
        <f t="shared" si="12"/>
        <v>0</v>
      </c>
      <c r="F9" s="305">
        <f t="shared" si="13"/>
        <v>0</v>
      </c>
      <c r="G9" s="202"/>
      <c r="H9" s="306">
        <f t="shared" si="14"/>
        <v>8497</v>
      </c>
      <c r="I9" s="305" t="str">
        <f t="shared" si="0"/>
        <v>ok</v>
      </c>
      <c r="J9" s="282">
        <v>10417</v>
      </c>
      <c r="K9" s="305">
        <f t="shared" si="1"/>
        <v>5</v>
      </c>
      <c r="L9" s="282">
        <v>194705.1</v>
      </c>
      <c r="M9" s="305">
        <f t="shared" si="2"/>
        <v>979.10000000000582</v>
      </c>
      <c r="N9" s="305">
        <f t="shared" si="15"/>
        <v>195.82000000000116</v>
      </c>
      <c r="O9" s="202"/>
      <c r="P9" s="306">
        <f t="shared" si="16"/>
        <v>10361</v>
      </c>
      <c r="Q9" s="305" t="str">
        <f t="shared" si="3"/>
        <v>oil change</v>
      </c>
      <c r="R9" s="282">
        <v>10738</v>
      </c>
      <c r="S9" s="305">
        <f t="shared" si="4"/>
        <v>5</v>
      </c>
      <c r="T9" s="282">
        <v>149729.1</v>
      </c>
      <c r="U9" s="305">
        <f t="shared" si="5"/>
        <v>968.80000000001746</v>
      </c>
      <c r="V9" s="305">
        <f t="shared" si="17"/>
        <v>193.76000000000349</v>
      </c>
      <c r="W9" s="202"/>
      <c r="X9" s="306">
        <f t="shared" si="18"/>
        <v>10809</v>
      </c>
      <c r="Y9" s="305" t="str">
        <f t="shared" si="6"/>
        <v>ok</v>
      </c>
      <c r="Z9" s="305">
        <f t="shared" si="7"/>
        <v>10</v>
      </c>
      <c r="AA9" s="305">
        <f t="shared" si="19"/>
        <v>1947.9000000000233</v>
      </c>
      <c r="AB9" s="305">
        <f t="shared" si="20"/>
        <v>389.58000000000465</v>
      </c>
      <c r="AC9" s="305">
        <f t="shared" si="21"/>
        <v>194.79000000000232</v>
      </c>
      <c r="AD9" s="74">
        <f>ELEC!Q9</f>
        <v>4739.000000001397</v>
      </c>
      <c r="AE9" s="74">
        <f t="shared" si="23"/>
        <v>473.9000000001397</v>
      </c>
      <c r="AF9" s="436">
        <f t="shared" si="24"/>
        <v>0.29618750000008731</v>
      </c>
      <c r="AG9" s="437">
        <f t="shared" si="25"/>
        <v>94.78000000002794</v>
      </c>
      <c r="AH9" s="437">
        <f t="shared" si="22"/>
        <v>100.00999999997438</v>
      </c>
      <c r="AI9" s="74">
        <f t="shared" si="26"/>
        <v>1219.7426160341149</v>
      </c>
      <c r="AJ9" s="307">
        <v>0.25738396624472576</v>
      </c>
      <c r="AK9" s="307">
        <f t="shared" ref="AK9:AK16" si="27">IF(Z9&gt;0,AI9/Z9,0)</f>
        <v>121.97426160341149</v>
      </c>
    </row>
    <row r="10" spans="1:37">
      <c r="A10" s="4">
        <f>ELEC!C10</f>
        <v>43746</v>
      </c>
      <c r="B10" s="282">
        <f t="shared" si="10"/>
        <v>8418</v>
      </c>
      <c r="C10" s="305">
        <f t="shared" si="11"/>
        <v>0</v>
      </c>
      <c r="D10" s="282">
        <f t="shared" si="10"/>
        <v>108878</v>
      </c>
      <c r="E10" s="305">
        <f t="shared" si="12"/>
        <v>0</v>
      </c>
      <c r="F10" s="305">
        <f t="shared" si="13"/>
        <v>0</v>
      </c>
      <c r="G10" s="202"/>
      <c r="H10" s="306">
        <f t="shared" si="14"/>
        <v>8497</v>
      </c>
      <c r="I10" s="305" t="str">
        <f t="shared" si="0"/>
        <v>ok</v>
      </c>
      <c r="J10" s="282">
        <v>10420</v>
      </c>
      <c r="K10" s="305">
        <f t="shared" si="1"/>
        <v>3</v>
      </c>
      <c r="L10" s="282">
        <v>195180.79999999999</v>
      </c>
      <c r="M10" s="305">
        <f t="shared" si="2"/>
        <v>475.69999999998254</v>
      </c>
      <c r="N10" s="305">
        <f t="shared" si="15"/>
        <v>158.56666666666084</v>
      </c>
      <c r="O10" s="202"/>
      <c r="P10" s="306">
        <f t="shared" si="16"/>
        <v>10361</v>
      </c>
      <c r="Q10" s="305" t="str">
        <f t="shared" si="3"/>
        <v>oil change</v>
      </c>
      <c r="R10" s="282">
        <v>10742</v>
      </c>
      <c r="S10" s="305">
        <f t="shared" si="4"/>
        <v>4</v>
      </c>
      <c r="T10" s="282">
        <v>150205.1</v>
      </c>
      <c r="U10" s="305">
        <f t="shared" si="5"/>
        <v>476</v>
      </c>
      <c r="V10" s="305">
        <f t="shared" si="17"/>
        <v>119</v>
      </c>
      <c r="W10" s="202"/>
      <c r="X10" s="306">
        <f t="shared" si="18"/>
        <v>10809</v>
      </c>
      <c r="Y10" s="305" t="str">
        <f t="shared" si="6"/>
        <v>ok</v>
      </c>
      <c r="Z10" s="305">
        <f t="shared" si="7"/>
        <v>7</v>
      </c>
      <c r="AA10" s="305">
        <f t="shared" si="19"/>
        <v>951.69999999998254</v>
      </c>
      <c r="AB10" s="305">
        <f t="shared" si="20"/>
        <v>277.56666666666081</v>
      </c>
      <c r="AC10" s="305">
        <f t="shared" si="21"/>
        <v>135.95714285714035</v>
      </c>
      <c r="AD10" s="74">
        <f>ELEC!Q10</f>
        <v>4557.9999999990832</v>
      </c>
      <c r="AE10" s="74">
        <f t="shared" si="23"/>
        <v>651.14285714272614</v>
      </c>
      <c r="AF10" s="436">
        <f t="shared" si="24"/>
        <v>0.40696428571420384</v>
      </c>
      <c r="AG10" s="437">
        <f t="shared" si="25"/>
        <v>130.22857142854522</v>
      </c>
      <c r="AH10" s="437">
        <f t="shared" si="22"/>
        <v>5.7285714285951315</v>
      </c>
      <c r="AI10" s="74">
        <f t="shared" si="26"/>
        <v>1173.1561181432241</v>
      </c>
      <c r="AJ10" s="307">
        <f t="shared" si="8"/>
        <v>0.25738396624472576</v>
      </c>
      <c r="AK10" s="307">
        <f t="shared" si="27"/>
        <v>167.59373116331773</v>
      </c>
    </row>
    <row r="11" spans="1:37">
      <c r="A11" s="4">
        <f>ELEC!C11</f>
        <v>43747</v>
      </c>
      <c r="B11" s="282">
        <v>8419</v>
      </c>
      <c r="C11" s="305">
        <f t="shared" si="11"/>
        <v>1</v>
      </c>
      <c r="D11" s="282">
        <v>108910</v>
      </c>
      <c r="E11" s="305">
        <f t="shared" si="12"/>
        <v>32</v>
      </c>
      <c r="F11" s="305">
        <f t="shared" si="13"/>
        <v>32</v>
      </c>
      <c r="G11" s="202"/>
      <c r="H11" s="306">
        <f t="shared" si="14"/>
        <v>8497</v>
      </c>
      <c r="I11" s="305" t="str">
        <f t="shared" si="0"/>
        <v>ok</v>
      </c>
      <c r="J11" s="282">
        <v>10423</v>
      </c>
      <c r="K11" s="305">
        <f t="shared" si="1"/>
        <v>3</v>
      </c>
      <c r="L11" s="282">
        <v>195630</v>
      </c>
      <c r="M11" s="305">
        <f t="shared" si="2"/>
        <v>449.20000000001164</v>
      </c>
      <c r="N11" s="305">
        <f t="shared" si="15"/>
        <v>149.73333333333721</v>
      </c>
      <c r="O11" s="202"/>
      <c r="P11" s="306">
        <f t="shared" si="16"/>
        <v>10361</v>
      </c>
      <c r="Q11" s="305" t="str">
        <f t="shared" si="3"/>
        <v>oil change</v>
      </c>
      <c r="R11" s="282">
        <v>10745</v>
      </c>
      <c r="S11" s="305">
        <f t="shared" si="4"/>
        <v>3</v>
      </c>
      <c r="T11" s="282">
        <v>150668</v>
      </c>
      <c r="U11" s="305">
        <f t="shared" si="5"/>
        <v>462.89999999999418</v>
      </c>
      <c r="V11" s="305">
        <f t="shared" si="17"/>
        <v>154.29999999999805</v>
      </c>
      <c r="W11" s="202"/>
      <c r="X11" s="306">
        <f t="shared" si="18"/>
        <v>10809</v>
      </c>
      <c r="Y11" s="305" t="str">
        <f t="shared" si="6"/>
        <v>ok</v>
      </c>
      <c r="Z11" s="305">
        <f t="shared" si="7"/>
        <v>7</v>
      </c>
      <c r="AA11" s="305">
        <f t="shared" si="19"/>
        <v>944.10000000000582</v>
      </c>
      <c r="AB11" s="305">
        <f t="shared" si="20"/>
        <v>336.03333333333524</v>
      </c>
      <c r="AC11" s="305">
        <f t="shared" si="21"/>
        <v>134.87142857142939</v>
      </c>
      <c r="AD11" s="74">
        <f>ELEC!Q11</f>
        <v>4425.9999999994761</v>
      </c>
      <c r="AE11" s="74">
        <f t="shared" si="23"/>
        <v>632.28571428563941</v>
      </c>
      <c r="AF11" s="436">
        <f t="shared" si="24"/>
        <v>0.39517857142852464</v>
      </c>
      <c r="AG11" s="437">
        <f t="shared" si="25"/>
        <v>126.45714285712788</v>
      </c>
      <c r="AH11" s="437">
        <f t="shared" si="22"/>
        <v>8.4142857143015135</v>
      </c>
      <c r="AI11" s="74">
        <f t="shared" si="26"/>
        <v>1139.1814345990215</v>
      </c>
      <c r="AJ11" s="307">
        <f t="shared" si="8"/>
        <v>0.25738396624472576</v>
      </c>
      <c r="AK11" s="307">
        <f t="shared" si="27"/>
        <v>162.74020494271736</v>
      </c>
    </row>
    <row r="12" spans="1:37">
      <c r="A12" s="4">
        <f>ELEC!C12</f>
        <v>43748</v>
      </c>
      <c r="B12" s="282">
        <v>8419</v>
      </c>
      <c r="C12" s="305">
        <f t="shared" si="11"/>
        <v>0</v>
      </c>
      <c r="D12" s="282">
        <v>108938</v>
      </c>
      <c r="E12" s="305">
        <f t="shared" si="12"/>
        <v>28</v>
      </c>
      <c r="F12" s="305">
        <f t="shared" si="13"/>
        <v>0</v>
      </c>
      <c r="G12" s="202"/>
      <c r="H12" s="306">
        <f t="shared" si="14"/>
        <v>8497</v>
      </c>
      <c r="I12" s="305" t="str">
        <f t="shared" si="0"/>
        <v>ok</v>
      </c>
      <c r="J12" s="282">
        <v>10430</v>
      </c>
      <c r="K12" s="305">
        <f t="shared" si="1"/>
        <v>7</v>
      </c>
      <c r="L12" s="282">
        <v>196573.6</v>
      </c>
      <c r="M12" s="305">
        <f t="shared" si="2"/>
        <v>943.60000000000582</v>
      </c>
      <c r="N12" s="305">
        <f t="shared" si="15"/>
        <v>134.80000000000084</v>
      </c>
      <c r="O12" s="202"/>
      <c r="P12" s="306">
        <f t="shared" si="16"/>
        <v>10361</v>
      </c>
      <c r="Q12" s="305" t="str">
        <f t="shared" si="3"/>
        <v>oil change</v>
      </c>
      <c r="R12" s="282">
        <v>10752</v>
      </c>
      <c r="S12" s="305">
        <f t="shared" si="4"/>
        <v>7</v>
      </c>
      <c r="T12" s="282">
        <v>151668.29999999999</v>
      </c>
      <c r="U12" s="305">
        <f t="shared" si="5"/>
        <v>1000.2999999999884</v>
      </c>
      <c r="V12" s="305">
        <f t="shared" si="17"/>
        <v>142.89999999999833</v>
      </c>
      <c r="W12" s="202"/>
      <c r="X12" s="306">
        <f t="shared" si="18"/>
        <v>10809</v>
      </c>
      <c r="Y12" s="305" t="str">
        <f t="shared" si="6"/>
        <v>ok</v>
      </c>
      <c r="Z12" s="305">
        <f t="shared" si="7"/>
        <v>14</v>
      </c>
      <c r="AA12" s="305">
        <f t="shared" si="19"/>
        <v>1971.8999999999942</v>
      </c>
      <c r="AB12" s="305">
        <f t="shared" si="20"/>
        <v>277.69999999999914</v>
      </c>
      <c r="AC12" s="305">
        <f t="shared" si="21"/>
        <v>140.8499999999996</v>
      </c>
      <c r="AD12" s="74">
        <f>ELEC!Q12</f>
        <v>9503.0000000006112</v>
      </c>
      <c r="AE12" s="74">
        <f t="shared" si="23"/>
        <v>678.78571428575799</v>
      </c>
      <c r="AF12" s="436">
        <f t="shared" si="24"/>
        <v>0.42424107142859874</v>
      </c>
      <c r="AG12" s="437">
        <f t="shared" si="25"/>
        <v>135.75714285715159</v>
      </c>
      <c r="AH12" s="437">
        <f t="shared" si="22"/>
        <v>5.0928571428480041</v>
      </c>
      <c r="AI12" s="74">
        <f t="shared" si="26"/>
        <v>2445.9198312237863</v>
      </c>
      <c r="AJ12" s="307">
        <f t="shared" si="8"/>
        <v>0.25738396624472576</v>
      </c>
      <c r="AK12" s="307">
        <f t="shared" si="27"/>
        <v>174.7085593731276</v>
      </c>
    </row>
    <row r="13" spans="1:37">
      <c r="A13" s="4">
        <f>ELEC!C13</f>
        <v>43749</v>
      </c>
      <c r="B13" s="282">
        <f t="shared" si="10"/>
        <v>8419</v>
      </c>
      <c r="C13" s="305">
        <f t="shared" si="11"/>
        <v>0</v>
      </c>
      <c r="D13" s="282">
        <f t="shared" si="10"/>
        <v>108938</v>
      </c>
      <c r="E13" s="305">
        <f t="shared" si="12"/>
        <v>0</v>
      </c>
      <c r="F13" s="305">
        <f t="shared" si="13"/>
        <v>0</v>
      </c>
      <c r="G13" s="202"/>
      <c r="H13" s="306">
        <f t="shared" si="14"/>
        <v>8497</v>
      </c>
      <c r="I13" s="305" t="str">
        <f t="shared" si="0"/>
        <v>ok</v>
      </c>
      <c r="J13" s="282">
        <v>10438</v>
      </c>
      <c r="K13" s="305">
        <f t="shared" si="1"/>
        <v>8</v>
      </c>
      <c r="L13" s="282">
        <v>197745.5</v>
      </c>
      <c r="M13" s="305">
        <f t="shared" si="2"/>
        <v>1171.8999999999942</v>
      </c>
      <c r="N13" s="305">
        <f t="shared" si="15"/>
        <v>146.48749999999927</v>
      </c>
      <c r="O13" s="202"/>
      <c r="P13" s="306">
        <f t="shared" si="16"/>
        <v>10361</v>
      </c>
      <c r="Q13" s="305" t="str">
        <f t="shared" si="3"/>
        <v>oil change</v>
      </c>
      <c r="R13" s="282">
        <v>10760</v>
      </c>
      <c r="S13" s="305">
        <f t="shared" si="4"/>
        <v>8</v>
      </c>
      <c r="T13" s="282">
        <v>152849.1</v>
      </c>
      <c r="U13" s="305">
        <f t="shared" si="5"/>
        <v>1180.8000000000175</v>
      </c>
      <c r="V13" s="305">
        <f t="shared" si="17"/>
        <v>147.60000000000218</v>
      </c>
      <c r="W13" s="202"/>
      <c r="X13" s="306">
        <f t="shared" si="18"/>
        <v>10809</v>
      </c>
      <c r="Y13" s="305" t="str">
        <f t="shared" si="6"/>
        <v>ok</v>
      </c>
      <c r="Z13" s="305">
        <f t="shared" si="7"/>
        <v>16</v>
      </c>
      <c r="AA13" s="305">
        <f t="shared" si="19"/>
        <v>2352.7000000000116</v>
      </c>
      <c r="AB13" s="305">
        <f t="shared" si="20"/>
        <v>294.08750000000146</v>
      </c>
      <c r="AC13" s="305">
        <f t="shared" si="21"/>
        <v>147.04375000000073</v>
      </c>
      <c r="AD13" s="74">
        <f>ELEC!Q13</f>
        <v>10640.999999999622</v>
      </c>
      <c r="AE13" s="74">
        <f t="shared" si="23"/>
        <v>665.06249999997635</v>
      </c>
      <c r="AF13" s="436">
        <f t="shared" si="24"/>
        <v>0.41566406249998522</v>
      </c>
      <c r="AG13" s="437">
        <f t="shared" si="25"/>
        <v>133.01249999999527</v>
      </c>
      <c r="AH13" s="437">
        <f t="shared" si="22"/>
        <v>14.031250000005457</v>
      </c>
      <c r="AI13" s="74">
        <f t="shared" si="26"/>
        <v>2738.8227848100296</v>
      </c>
      <c r="AJ13" s="307">
        <f t="shared" si="8"/>
        <v>0.25738396624472576</v>
      </c>
      <c r="AK13" s="307">
        <f t="shared" si="27"/>
        <v>171.17642405062685</v>
      </c>
    </row>
    <row r="14" spans="1:37">
      <c r="A14" s="4">
        <f>ELEC!C14</f>
        <v>43750</v>
      </c>
      <c r="B14" s="282">
        <f t="shared" si="10"/>
        <v>8419</v>
      </c>
      <c r="C14" s="305">
        <f t="shared" si="11"/>
        <v>0</v>
      </c>
      <c r="D14" s="282">
        <f t="shared" si="10"/>
        <v>108938</v>
      </c>
      <c r="E14" s="305">
        <f t="shared" si="12"/>
        <v>0</v>
      </c>
      <c r="F14" s="305">
        <f t="shared" si="13"/>
        <v>0</v>
      </c>
      <c r="G14" s="202"/>
      <c r="H14" s="306">
        <f t="shared" si="14"/>
        <v>8497</v>
      </c>
      <c r="I14" s="305" t="str">
        <f t="shared" si="0"/>
        <v>ok</v>
      </c>
      <c r="J14" s="282">
        <v>10441</v>
      </c>
      <c r="K14" s="305">
        <f t="shared" si="1"/>
        <v>3</v>
      </c>
      <c r="L14" s="282">
        <v>198130.7</v>
      </c>
      <c r="M14" s="305">
        <f t="shared" si="2"/>
        <v>385.20000000001164</v>
      </c>
      <c r="N14" s="305">
        <f t="shared" si="15"/>
        <v>128.40000000000387</v>
      </c>
      <c r="O14" s="202"/>
      <c r="P14" s="306">
        <f t="shared" si="16"/>
        <v>10361</v>
      </c>
      <c r="Q14" s="305" t="str">
        <f t="shared" si="3"/>
        <v>oil change</v>
      </c>
      <c r="R14" s="282">
        <v>10763</v>
      </c>
      <c r="S14" s="305">
        <f t="shared" si="4"/>
        <v>3</v>
      </c>
      <c r="T14" s="282">
        <v>153241.79999999999</v>
      </c>
      <c r="U14" s="305">
        <f t="shared" si="5"/>
        <v>392.69999999998254</v>
      </c>
      <c r="V14" s="305">
        <f t="shared" si="17"/>
        <v>130.89999999999418</v>
      </c>
      <c r="W14" s="202"/>
      <c r="X14" s="306">
        <f t="shared" si="18"/>
        <v>10809</v>
      </c>
      <c r="Y14" s="305" t="str">
        <f t="shared" si="6"/>
        <v>ok</v>
      </c>
      <c r="Z14" s="305">
        <f t="shared" si="7"/>
        <v>6</v>
      </c>
      <c r="AA14" s="305">
        <f t="shared" si="19"/>
        <v>777.89999999999418</v>
      </c>
      <c r="AB14" s="305">
        <f t="shared" si="20"/>
        <v>259.29999999999802</v>
      </c>
      <c r="AC14" s="305">
        <f t="shared" si="21"/>
        <v>129.64999999999904</v>
      </c>
      <c r="AD14" s="74">
        <f>ELEC!Q14</f>
        <v>4547.0000000004802</v>
      </c>
      <c r="AE14" s="74">
        <f t="shared" si="23"/>
        <v>757.83333333341341</v>
      </c>
      <c r="AF14" s="436">
        <f t="shared" si="24"/>
        <v>0.47364583333338339</v>
      </c>
      <c r="AG14" s="437">
        <f t="shared" si="25"/>
        <v>151.56666666668269</v>
      </c>
      <c r="AH14" s="437">
        <f t="shared" si="22"/>
        <v>-21.916666666683653</v>
      </c>
      <c r="AI14" s="74">
        <f t="shared" si="26"/>
        <v>1170.3248945148916</v>
      </c>
      <c r="AJ14" s="307">
        <f t="shared" si="8"/>
        <v>0.25738396624472576</v>
      </c>
      <c r="AK14" s="307">
        <f t="shared" si="27"/>
        <v>195.05414908581528</v>
      </c>
    </row>
    <row r="15" spans="1:37">
      <c r="A15" s="4">
        <f>ELEC!C15</f>
        <v>43751</v>
      </c>
      <c r="B15" s="282">
        <f t="shared" si="10"/>
        <v>8419</v>
      </c>
      <c r="C15" s="305">
        <f t="shared" si="11"/>
        <v>0</v>
      </c>
      <c r="D15" s="282">
        <f t="shared" si="10"/>
        <v>108938</v>
      </c>
      <c r="E15" s="305">
        <f t="shared" si="12"/>
        <v>0</v>
      </c>
      <c r="F15" s="305">
        <f t="shared" si="13"/>
        <v>0</v>
      </c>
      <c r="G15" s="202"/>
      <c r="H15" s="306">
        <f t="shared" si="14"/>
        <v>8497</v>
      </c>
      <c r="I15" s="305" t="str">
        <f t="shared" si="0"/>
        <v>ok</v>
      </c>
      <c r="J15" s="282">
        <v>10445</v>
      </c>
      <c r="K15" s="305">
        <f t="shared" si="1"/>
        <v>4</v>
      </c>
      <c r="L15" s="282">
        <v>198736.2</v>
      </c>
      <c r="M15" s="305">
        <f t="shared" si="2"/>
        <v>605.5</v>
      </c>
      <c r="N15" s="305">
        <f t="shared" si="15"/>
        <v>151.375</v>
      </c>
      <c r="O15" s="202"/>
      <c r="P15" s="306">
        <f t="shared" si="16"/>
        <v>10361</v>
      </c>
      <c r="Q15" s="305" t="str">
        <f t="shared" si="3"/>
        <v>oil change</v>
      </c>
      <c r="R15" s="282">
        <v>10766.25</v>
      </c>
      <c r="S15" s="305">
        <f t="shared" si="4"/>
        <v>3.25</v>
      </c>
      <c r="T15" s="282">
        <v>153815.5</v>
      </c>
      <c r="U15" s="305">
        <f t="shared" si="5"/>
        <v>573.70000000001164</v>
      </c>
      <c r="V15" s="305">
        <f t="shared" si="17"/>
        <v>176.52307692308051</v>
      </c>
      <c r="W15" s="202"/>
      <c r="X15" s="306">
        <f t="shared" si="18"/>
        <v>10809</v>
      </c>
      <c r="Y15" s="305" t="str">
        <f t="shared" si="6"/>
        <v>ok</v>
      </c>
      <c r="Z15" s="305">
        <f t="shared" si="7"/>
        <v>7.25</v>
      </c>
      <c r="AA15" s="305">
        <f t="shared" si="19"/>
        <v>1179.2000000000116</v>
      </c>
      <c r="AB15" s="305">
        <f t="shared" si="20"/>
        <v>327.89807692308051</v>
      </c>
      <c r="AC15" s="305">
        <f t="shared" si="21"/>
        <v>162.64827586207056</v>
      </c>
      <c r="AD15" s="74">
        <f>ELEC!Q15</f>
        <v>4016.9999999998254</v>
      </c>
      <c r="AE15" s="74">
        <f t="shared" si="23"/>
        <v>554.06896551721729</v>
      </c>
      <c r="AF15" s="436">
        <f t="shared" si="24"/>
        <v>0.34629310344826081</v>
      </c>
      <c r="AG15" s="437">
        <f t="shared" si="25"/>
        <v>110.81379310344346</v>
      </c>
      <c r="AH15" s="437">
        <f t="shared" si="22"/>
        <v>51.834482758627104</v>
      </c>
      <c r="AI15" s="74">
        <f t="shared" si="26"/>
        <v>1033.9113924050184</v>
      </c>
      <c r="AJ15" s="307">
        <f t="shared" si="8"/>
        <v>0.25738396624472576</v>
      </c>
      <c r="AK15" s="307">
        <f t="shared" si="27"/>
        <v>142.60846791793358</v>
      </c>
    </row>
    <row r="16" spans="1:37">
      <c r="A16" s="4">
        <f>ELEC!C16</f>
        <v>43752</v>
      </c>
      <c r="B16" s="282">
        <v>8419.09</v>
      </c>
      <c r="C16" s="305">
        <f t="shared" si="11"/>
        <v>9.0000000000145519E-2</v>
      </c>
      <c r="D16" s="282">
        <v>108938.9</v>
      </c>
      <c r="E16" s="305">
        <f t="shared" si="12"/>
        <v>0.89999999999417923</v>
      </c>
      <c r="F16" s="305">
        <f t="shared" si="13"/>
        <v>9.9999999999191562</v>
      </c>
      <c r="G16" s="202"/>
      <c r="H16" s="306">
        <f t="shared" si="14"/>
        <v>8497</v>
      </c>
      <c r="I16" s="305" t="str">
        <f t="shared" si="0"/>
        <v>ok</v>
      </c>
      <c r="J16" s="282">
        <v>10453</v>
      </c>
      <c r="K16" s="305">
        <f t="shared" si="1"/>
        <v>8</v>
      </c>
      <c r="L16" s="282">
        <v>199931.3</v>
      </c>
      <c r="M16" s="305">
        <f t="shared" si="2"/>
        <v>1195.0999999999767</v>
      </c>
      <c r="N16" s="305">
        <f t="shared" si="15"/>
        <v>149.38749999999709</v>
      </c>
      <c r="O16" s="202"/>
      <c r="P16" s="306">
        <f t="shared" si="16"/>
        <v>10361</v>
      </c>
      <c r="Q16" s="305" t="str">
        <f t="shared" si="3"/>
        <v>oil change</v>
      </c>
      <c r="R16" s="282">
        <v>10774.4</v>
      </c>
      <c r="S16" s="305">
        <f t="shared" si="4"/>
        <v>8.1499999999996362</v>
      </c>
      <c r="T16" s="282">
        <v>155003</v>
      </c>
      <c r="U16" s="305">
        <f t="shared" si="5"/>
        <v>1187.5</v>
      </c>
      <c r="V16" s="305">
        <f t="shared" si="17"/>
        <v>145.70552147239914</v>
      </c>
      <c r="W16" s="202"/>
      <c r="X16" s="306">
        <f t="shared" si="18"/>
        <v>10809</v>
      </c>
      <c r="Y16" s="305" t="str">
        <f t="shared" si="6"/>
        <v>ok</v>
      </c>
      <c r="Z16" s="305">
        <f t="shared" si="7"/>
        <v>16.239999999999782</v>
      </c>
      <c r="AA16" s="305">
        <f t="shared" si="19"/>
        <v>2383.4999999999709</v>
      </c>
      <c r="AB16" s="305">
        <f t="shared" si="20"/>
        <v>305.0930214723154</v>
      </c>
      <c r="AC16" s="305">
        <f t="shared" si="21"/>
        <v>146.76724137931052</v>
      </c>
      <c r="AD16" s="74">
        <f>ELEC!Q16</f>
        <v>11184.999999999491</v>
      </c>
      <c r="AE16" s="74">
        <f t="shared" si="23"/>
        <v>688.73152709357396</v>
      </c>
      <c r="AF16" s="436">
        <f t="shared" si="24"/>
        <v>0.43045720443348373</v>
      </c>
      <c r="AG16" s="437">
        <f t="shared" si="25"/>
        <v>137.7463054187148</v>
      </c>
      <c r="AH16" s="437">
        <f t="shared" si="22"/>
        <v>9.0209359605957218</v>
      </c>
      <c r="AI16" s="74">
        <f t="shared" si="26"/>
        <v>2878.8396624471266</v>
      </c>
      <c r="AJ16" s="307">
        <f t="shared" si="8"/>
        <v>0.25738396624472576</v>
      </c>
      <c r="AK16" s="307">
        <f t="shared" si="27"/>
        <v>177.26845212113088</v>
      </c>
    </row>
    <row r="17" spans="1:37">
      <c r="A17" s="4">
        <f>ELEC!C17</f>
        <v>43753</v>
      </c>
      <c r="B17" s="282">
        <f t="shared" si="10"/>
        <v>8419.09</v>
      </c>
      <c r="C17" s="305">
        <f t="shared" si="11"/>
        <v>0</v>
      </c>
      <c r="D17" s="282">
        <f t="shared" si="10"/>
        <v>108938.9</v>
      </c>
      <c r="E17" s="305">
        <f t="shared" si="12"/>
        <v>0</v>
      </c>
      <c r="F17" s="305">
        <f t="shared" si="13"/>
        <v>0</v>
      </c>
      <c r="G17" s="202"/>
      <c r="H17" s="306">
        <f t="shared" si="14"/>
        <v>8497</v>
      </c>
      <c r="I17" s="305" t="str">
        <f t="shared" si="0"/>
        <v>ok</v>
      </c>
      <c r="J17" s="282">
        <f t="shared" ref="J17:L33" si="28">J16</f>
        <v>10453</v>
      </c>
      <c r="K17" s="305">
        <f t="shared" si="1"/>
        <v>0</v>
      </c>
      <c r="L17" s="282">
        <f t="shared" si="28"/>
        <v>199931.3</v>
      </c>
      <c r="M17" s="305">
        <f t="shared" si="2"/>
        <v>0</v>
      </c>
      <c r="N17" s="305">
        <f t="shared" si="15"/>
        <v>0</v>
      </c>
      <c r="O17" s="202"/>
      <c r="P17" s="306">
        <f t="shared" si="16"/>
        <v>10361</v>
      </c>
      <c r="Q17" s="305" t="str">
        <f t="shared" si="3"/>
        <v>oil change</v>
      </c>
      <c r="R17" s="282">
        <f t="shared" ref="R17:T33" si="29">R16</f>
        <v>10774.4</v>
      </c>
      <c r="S17" s="305">
        <f t="shared" si="4"/>
        <v>0</v>
      </c>
      <c r="T17" s="282">
        <f t="shared" si="29"/>
        <v>155003</v>
      </c>
      <c r="U17" s="305">
        <f t="shared" si="5"/>
        <v>0</v>
      </c>
      <c r="V17" s="305">
        <f t="shared" si="17"/>
        <v>0</v>
      </c>
      <c r="W17" s="202"/>
      <c r="X17" s="306">
        <f t="shared" si="18"/>
        <v>10809</v>
      </c>
      <c r="Y17" s="305" t="str">
        <f t="shared" si="6"/>
        <v>ok</v>
      </c>
      <c r="Z17" s="305">
        <f t="shared" si="7"/>
        <v>0</v>
      </c>
      <c r="AA17" s="305">
        <f t="shared" si="19"/>
        <v>0</v>
      </c>
      <c r="AB17" s="305">
        <f t="shared" si="20"/>
        <v>0</v>
      </c>
      <c r="AC17" s="305">
        <f t="shared" si="21"/>
        <v>0</v>
      </c>
      <c r="AD17" s="74">
        <f>ELEC!Q17</f>
        <v>0</v>
      </c>
      <c r="AE17" s="74" t="e">
        <f t="shared" si="23"/>
        <v>#DIV/0!</v>
      </c>
      <c r="AF17" s="436" t="e">
        <f t="shared" si="24"/>
        <v>#DIV/0!</v>
      </c>
      <c r="AG17" s="437" t="e">
        <f t="shared" si="25"/>
        <v>#DIV/0!</v>
      </c>
      <c r="AH17" s="437" t="e">
        <f t="shared" si="22"/>
        <v>#DIV/0!</v>
      </c>
      <c r="AI17" s="74">
        <f t="shared" si="26"/>
        <v>0</v>
      </c>
      <c r="AJ17" s="307">
        <f t="shared" si="8"/>
        <v>0.25738396624472576</v>
      </c>
      <c r="AK17" s="307">
        <f t="shared" ref="AK17:AK32" si="30">IF(Z17&gt;0,AI17/Z17,0)</f>
        <v>0</v>
      </c>
    </row>
    <row r="18" spans="1:37">
      <c r="A18" s="4">
        <f>ELEC!C18</f>
        <v>43754</v>
      </c>
      <c r="B18" s="282">
        <f t="shared" si="10"/>
        <v>8419.09</v>
      </c>
      <c r="C18" s="305">
        <f t="shared" si="11"/>
        <v>0</v>
      </c>
      <c r="D18" s="282">
        <f t="shared" si="10"/>
        <v>108938.9</v>
      </c>
      <c r="E18" s="305">
        <f t="shared" si="12"/>
        <v>0</v>
      </c>
      <c r="F18" s="305">
        <f t="shared" si="13"/>
        <v>0</v>
      </c>
      <c r="G18" s="202"/>
      <c r="H18" s="306">
        <f t="shared" si="14"/>
        <v>8497</v>
      </c>
      <c r="I18" s="305" t="str">
        <f t="shared" si="0"/>
        <v>ok</v>
      </c>
      <c r="J18" s="282">
        <f t="shared" si="28"/>
        <v>10453</v>
      </c>
      <c r="K18" s="305">
        <f t="shared" si="1"/>
        <v>0</v>
      </c>
      <c r="L18" s="282">
        <f t="shared" si="28"/>
        <v>199931.3</v>
      </c>
      <c r="M18" s="305">
        <f t="shared" si="2"/>
        <v>0</v>
      </c>
      <c r="N18" s="305">
        <f t="shared" si="15"/>
        <v>0</v>
      </c>
      <c r="O18" s="202"/>
      <c r="P18" s="306">
        <f t="shared" si="16"/>
        <v>10361</v>
      </c>
      <c r="Q18" s="305" t="str">
        <f>IF(J18-P14&lt;=0,"ok","oil change")</f>
        <v>oil change</v>
      </c>
      <c r="R18" s="282">
        <f t="shared" si="29"/>
        <v>10774.4</v>
      </c>
      <c r="S18" s="305">
        <f t="shared" si="4"/>
        <v>0</v>
      </c>
      <c r="T18" s="282">
        <f t="shared" si="29"/>
        <v>155003</v>
      </c>
      <c r="U18" s="305">
        <f t="shared" si="5"/>
        <v>0</v>
      </c>
      <c r="V18" s="305">
        <f t="shared" si="17"/>
        <v>0</v>
      </c>
      <c r="W18" s="363"/>
      <c r="X18" s="306">
        <f t="shared" si="18"/>
        <v>10809</v>
      </c>
      <c r="Y18" s="305" t="str">
        <f t="shared" si="6"/>
        <v>ok</v>
      </c>
      <c r="Z18" s="305">
        <f t="shared" si="7"/>
        <v>0</v>
      </c>
      <c r="AA18" s="305">
        <f t="shared" si="19"/>
        <v>0</v>
      </c>
      <c r="AB18" s="305">
        <f t="shared" si="20"/>
        <v>0</v>
      </c>
      <c r="AC18" s="305">
        <f t="shared" si="21"/>
        <v>0</v>
      </c>
      <c r="AD18" s="74">
        <f>ELEC!Q18</f>
        <v>0</v>
      </c>
      <c r="AE18" s="74" t="e">
        <f t="shared" si="23"/>
        <v>#DIV/0!</v>
      </c>
      <c r="AF18" s="436" t="e">
        <f t="shared" si="24"/>
        <v>#DIV/0!</v>
      </c>
      <c r="AG18" s="437" t="e">
        <f t="shared" si="25"/>
        <v>#DIV/0!</v>
      </c>
      <c r="AH18" s="437" t="e">
        <f t="shared" si="22"/>
        <v>#DIV/0!</v>
      </c>
      <c r="AI18" s="74">
        <f t="shared" si="26"/>
        <v>0</v>
      </c>
      <c r="AJ18" s="307">
        <f t="shared" si="8"/>
        <v>0.25738396624472576</v>
      </c>
      <c r="AK18" s="307">
        <f t="shared" si="30"/>
        <v>0</v>
      </c>
    </row>
    <row r="19" spans="1:37">
      <c r="A19" s="4">
        <f>ELEC!C19</f>
        <v>43755</v>
      </c>
      <c r="B19" s="282">
        <f t="shared" si="10"/>
        <v>8419.09</v>
      </c>
      <c r="C19" s="305">
        <f t="shared" si="11"/>
        <v>0</v>
      </c>
      <c r="D19" s="282">
        <f t="shared" si="10"/>
        <v>108938.9</v>
      </c>
      <c r="E19" s="305">
        <f t="shared" si="12"/>
        <v>0</v>
      </c>
      <c r="F19" s="305">
        <f t="shared" si="13"/>
        <v>0</v>
      </c>
      <c r="G19" s="202"/>
      <c r="H19" s="306">
        <f t="shared" si="14"/>
        <v>8497</v>
      </c>
      <c r="I19" s="305" t="str">
        <f t="shared" si="0"/>
        <v>ok</v>
      </c>
      <c r="J19" s="282">
        <f t="shared" si="28"/>
        <v>10453</v>
      </c>
      <c r="K19" s="305">
        <f t="shared" si="1"/>
        <v>0</v>
      </c>
      <c r="L19" s="282">
        <f t="shared" si="28"/>
        <v>199931.3</v>
      </c>
      <c r="M19" s="305">
        <f t="shared" si="2"/>
        <v>0</v>
      </c>
      <c r="N19" s="305">
        <f t="shared" si="15"/>
        <v>0</v>
      </c>
      <c r="O19" s="202"/>
      <c r="P19" s="306">
        <f t="shared" si="16"/>
        <v>10361</v>
      </c>
      <c r="Q19" s="305" t="str">
        <f t="shared" ref="Q19:Q32" si="31">IF(J19-P19&lt;=0,"ok","oil change")</f>
        <v>oil change</v>
      </c>
      <c r="R19" s="282">
        <f t="shared" si="29"/>
        <v>10774.4</v>
      </c>
      <c r="S19" s="305">
        <f t="shared" si="4"/>
        <v>0</v>
      </c>
      <c r="T19" s="282">
        <f t="shared" si="29"/>
        <v>155003</v>
      </c>
      <c r="U19" s="305">
        <f t="shared" ref="U19:U32" si="32">SUM(T19-T18)</f>
        <v>0</v>
      </c>
      <c r="V19" s="305">
        <f t="shared" si="17"/>
        <v>0</v>
      </c>
      <c r="W19" s="202"/>
      <c r="X19" s="306">
        <f t="shared" si="18"/>
        <v>10809</v>
      </c>
      <c r="Y19" s="305" t="str">
        <f t="shared" si="6"/>
        <v>ok</v>
      </c>
      <c r="Z19" s="305">
        <f t="shared" si="7"/>
        <v>0</v>
      </c>
      <c r="AA19" s="305">
        <f t="shared" si="19"/>
        <v>0</v>
      </c>
      <c r="AB19" s="305">
        <f t="shared" si="20"/>
        <v>0</v>
      </c>
      <c r="AC19" s="305">
        <f t="shared" si="21"/>
        <v>0</v>
      </c>
      <c r="AD19" s="74">
        <f>ELEC!Q19</f>
        <v>0</v>
      </c>
      <c r="AE19" s="74" t="e">
        <f t="shared" si="23"/>
        <v>#DIV/0!</v>
      </c>
      <c r="AF19" s="436" t="e">
        <f t="shared" si="24"/>
        <v>#DIV/0!</v>
      </c>
      <c r="AG19" s="437" t="e">
        <f t="shared" si="25"/>
        <v>#DIV/0!</v>
      </c>
      <c r="AH19" s="437" t="e">
        <f t="shared" si="22"/>
        <v>#DIV/0!</v>
      </c>
      <c r="AI19" s="74">
        <f t="shared" si="26"/>
        <v>0</v>
      </c>
      <c r="AJ19" s="307">
        <f t="shared" si="8"/>
        <v>0.25738396624472576</v>
      </c>
      <c r="AK19" s="307">
        <f t="shared" si="30"/>
        <v>0</v>
      </c>
    </row>
    <row r="20" spans="1:37">
      <c r="A20" s="4">
        <f>ELEC!C20</f>
        <v>43756</v>
      </c>
      <c r="B20" s="282">
        <f t="shared" si="10"/>
        <v>8419.09</v>
      </c>
      <c r="C20" s="305">
        <f>B20-B19</f>
        <v>0</v>
      </c>
      <c r="D20" s="282">
        <f t="shared" si="10"/>
        <v>108938.9</v>
      </c>
      <c r="E20" s="305">
        <f t="shared" si="12"/>
        <v>0</v>
      </c>
      <c r="F20" s="305">
        <f t="shared" si="13"/>
        <v>0</v>
      </c>
      <c r="G20" s="202"/>
      <c r="H20" s="306">
        <f t="shared" si="14"/>
        <v>8497</v>
      </c>
      <c r="I20" s="305" t="str">
        <f t="shared" si="0"/>
        <v>ok</v>
      </c>
      <c r="J20" s="282">
        <f t="shared" si="28"/>
        <v>10453</v>
      </c>
      <c r="K20" s="305">
        <f t="shared" si="1"/>
        <v>0</v>
      </c>
      <c r="L20" s="282">
        <f t="shared" si="28"/>
        <v>199931.3</v>
      </c>
      <c r="M20" s="305">
        <f t="shared" si="2"/>
        <v>0</v>
      </c>
      <c r="N20" s="305">
        <f t="shared" si="15"/>
        <v>0</v>
      </c>
      <c r="O20" s="202"/>
      <c r="P20" s="306">
        <f t="shared" si="16"/>
        <v>10361</v>
      </c>
      <c r="Q20" s="305" t="str">
        <f t="shared" si="31"/>
        <v>oil change</v>
      </c>
      <c r="R20" s="282">
        <f t="shared" si="29"/>
        <v>10774.4</v>
      </c>
      <c r="S20" s="305">
        <f t="shared" si="4"/>
        <v>0</v>
      </c>
      <c r="T20" s="282">
        <f t="shared" si="29"/>
        <v>155003</v>
      </c>
      <c r="U20" s="305">
        <f t="shared" si="32"/>
        <v>0</v>
      </c>
      <c r="V20" s="305">
        <f t="shared" si="17"/>
        <v>0</v>
      </c>
      <c r="W20" s="202"/>
      <c r="X20" s="306">
        <f t="shared" si="18"/>
        <v>10809</v>
      </c>
      <c r="Y20" s="305" t="str">
        <f t="shared" si="6"/>
        <v>ok</v>
      </c>
      <c r="Z20" s="305">
        <f t="shared" si="7"/>
        <v>0</v>
      </c>
      <c r="AA20" s="305">
        <f t="shared" si="19"/>
        <v>0</v>
      </c>
      <c r="AB20" s="305">
        <f t="shared" si="20"/>
        <v>0</v>
      </c>
      <c r="AC20" s="305">
        <f t="shared" si="21"/>
        <v>0</v>
      </c>
      <c r="AD20" s="74">
        <f>ELEC!Q20</f>
        <v>0</v>
      </c>
      <c r="AE20" s="74" t="e">
        <f t="shared" si="23"/>
        <v>#DIV/0!</v>
      </c>
      <c r="AF20" s="436" t="e">
        <f t="shared" si="24"/>
        <v>#DIV/0!</v>
      </c>
      <c r="AG20" s="437" t="e">
        <f t="shared" si="25"/>
        <v>#DIV/0!</v>
      </c>
      <c r="AH20" s="437" t="e">
        <f t="shared" si="22"/>
        <v>#DIV/0!</v>
      </c>
      <c r="AI20" s="74">
        <f>AD20*AJ20</f>
        <v>0</v>
      </c>
      <c r="AJ20" s="307">
        <f t="shared" si="8"/>
        <v>0.25738396624472576</v>
      </c>
      <c r="AK20" s="307">
        <f t="shared" si="30"/>
        <v>0</v>
      </c>
    </row>
    <row r="21" spans="1:37">
      <c r="A21" s="4">
        <f>ELEC!C21</f>
        <v>43757</v>
      </c>
      <c r="B21" s="282">
        <f t="shared" si="10"/>
        <v>8419.09</v>
      </c>
      <c r="C21" s="305">
        <f t="shared" si="11"/>
        <v>0</v>
      </c>
      <c r="D21" s="282">
        <f t="shared" si="10"/>
        <v>108938.9</v>
      </c>
      <c r="E21" s="305">
        <f t="shared" si="12"/>
        <v>0</v>
      </c>
      <c r="F21" s="305">
        <f t="shared" si="13"/>
        <v>0</v>
      </c>
      <c r="G21" s="202"/>
      <c r="H21" s="306">
        <f t="shared" si="14"/>
        <v>8497</v>
      </c>
      <c r="I21" s="305" t="str">
        <f t="shared" si="0"/>
        <v>ok</v>
      </c>
      <c r="J21" s="282">
        <f t="shared" si="28"/>
        <v>10453</v>
      </c>
      <c r="K21" s="305">
        <f t="shared" si="1"/>
        <v>0</v>
      </c>
      <c r="L21" s="282">
        <f t="shared" si="28"/>
        <v>199931.3</v>
      </c>
      <c r="M21" s="305">
        <f t="shared" si="2"/>
        <v>0</v>
      </c>
      <c r="N21" s="305">
        <f t="shared" si="15"/>
        <v>0</v>
      </c>
      <c r="O21" s="202"/>
      <c r="P21" s="306">
        <f t="shared" si="16"/>
        <v>10361</v>
      </c>
      <c r="Q21" s="305" t="str">
        <f t="shared" si="31"/>
        <v>oil change</v>
      </c>
      <c r="R21" s="282">
        <f t="shared" si="29"/>
        <v>10774.4</v>
      </c>
      <c r="S21" s="305">
        <f t="shared" si="4"/>
        <v>0</v>
      </c>
      <c r="T21" s="282">
        <f t="shared" si="29"/>
        <v>155003</v>
      </c>
      <c r="U21" s="305">
        <f t="shared" si="32"/>
        <v>0</v>
      </c>
      <c r="V21" s="305">
        <f t="shared" si="17"/>
        <v>0</v>
      </c>
      <c r="W21" s="202"/>
      <c r="X21" s="306">
        <f t="shared" si="18"/>
        <v>10809</v>
      </c>
      <c r="Y21" s="305" t="str">
        <f>Y20</f>
        <v>ok</v>
      </c>
      <c r="Z21" s="305">
        <f t="shared" si="7"/>
        <v>0</v>
      </c>
      <c r="AA21" s="305">
        <f t="shared" si="19"/>
        <v>0</v>
      </c>
      <c r="AB21" s="305">
        <f t="shared" si="20"/>
        <v>0</v>
      </c>
      <c r="AC21" s="305">
        <f t="shared" si="21"/>
        <v>0</v>
      </c>
      <c r="AD21" s="74">
        <f>ELEC!Q21</f>
        <v>0</v>
      </c>
      <c r="AE21" s="74" t="e">
        <f t="shared" si="23"/>
        <v>#DIV/0!</v>
      </c>
      <c r="AF21" s="436" t="e">
        <f t="shared" si="24"/>
        <v>#DIV/0!</v>
      </c>
      <c r="AG21" s="437" t="e">
        <f t="shared" si="25"/>
        <v>#DIV/0!</v>
      </c>
      <c r="AH21" s="437" t="e">
        <f t="shared" si="22"/>
        <v>#DIV/0!</v>
      </c>
      <c r="AI21" s="74">
        <f t="shared" si="26"/>
        <v>0</v>
      </c>
      <c r="AJ21" s="307">
        <f t="shared" si="8"/>
        <v>0.25738396624472576</v>
      </c>
      <c r="AK21" s="307">
        <f t="shared" si="30"/>
        <v>0</v>
      </c>
    </row>
    <row r="22" spans="1:37">
      <c r="A22" s="4">
        <f>ELEC!C22</f>
        <v>43758</v>
      </c>
      <c r="B22" s="282">
        <f t="shared" si="10"/>
        <v>8419.09</v>
      </c>
      <c r="C22" s="305">
        <f t="shared" si="11"/>
        <v>0</v>
      </c>
      <c r="D22" s="282">
        <f t="shared" si="10"/>
        <v>108938.9</v>
      </c>
      <c r="E22" s="305">
        <f t="shared" si="12"/>
        <v>0</v>
      </c>
      <c r="F22" s="305">
        <f t="shared" si="13"/>
        <v>0</v>
      </c>
      <c r="G22" s="202"/>
      <c r="H22" s="306">
        <f t="shared" si="14"/>
        <v>8497</v>
      </c>
      <c r="I22" s="305" t="str">
        <f t="shared" si="0"/>
        <v>ok</v>
      </c>
      <c r="J22" s="282">
        <f t="shared" si="28"/>
        <v>10453</v>
      </c>
      <c r="K22" s="305">
        <f t="shared" si="1"/>
        <v>0</v>
      </c>
      <c r="L22" s="282">
        <f t="shared" si="28"/>
        <v>199931.3</v>
      </c>
      <c r="M22" s="305">
        <f t="shared" si="2"/>
        <v>0</v>
      </c>
      <c r="N22" s="305">
        <f t="shared" si="15"/>
        <v>0</v>
      </c>
      <c r="O22" s="202"/>
      <c r="P22" s="306">
        <f t="shared" si="16"/>
        <v>10361</v>
      </c>
      <c r="Q22" s="305" t="str">
        <f t="shared" si="31"/>
        <v>oil change</v>
      </c>
      <c r="R22" s="282">
        <f t="shared" si="29"/>
        <v>10774.4</v>
      </c>
      <c r="S22" s="305">
        <f t="shared" si="4"/>
        <v>0</v>
      </c>
      <c r="T22" s="282">
        <f t="shared" si="29"/>
        <v>155003</v>
      </c>
      <c r="U22" s="305">
        <f t="shared" si="32"/>
        <v>0</v>
      </c>
      <c r="V22" s="305">
        <f t="shared" si="17"/>
        <v>0</v>
      </c>
      <c r="W22" s="202"/>
      <c r="X22" s="306">
        <f t="shared" si="18"/>
        <v>10809</v>
      </c>
      <c r="Y22" s="305" t="str">
        <f t="shared" ref="Y22:Y32" si="33">IF(R22-X22&lt;=0,"ok","oil change")</f>
        <v>ok</v>
      </c>
      <c r="Z22" s="305">
        <f t="shared" si="7"/>
        <v>0</v>
      </c>
      <c r="AA22" s="305">
        <f t="shared" si="19"/>
        <v>0</v>
      </c>
      <c r="AB22" s="305">
        <f t="shared" si="20"/>
        <v>0</v>
      </c>
      <c r="AC22" s="305">
        <f t="shared" si="21"/>
        <v>0</v>
      </c>
      <c r="AD22" s="74">
        <f>ELEC!Q22</f>
        <v>0</v>
      </c>
      <c r="AE22" s="74" t="e">
        <f t="shared" si="23"/>
        <v>#DIV/0!</v>
      </c>
      <c r="AF22" s="436" t="e">
        <f t="shared" si="24"/>
        <v>#DIV/0!</v>
      </c>
      <c r="AG22" s="437" t="e">
        <f t="shared" si="25"/>
        <v>#DIV/0!</v>
      </c>
      <c r="AH22" s="437" t="e">
        <f t="shared" si="22"/>
        <v>#DIV/0!</v>
      </c>
      <c r="AI22" s="74">
        <f t="shared" si="26"/>
        <v>0</v>
      </c>
      <c r="AJ22" s="307">
        <f t="shared" si="8"/>
        <v>0.25738396624472576</v>
      </c>
      <c r="AK22" s="307">
        <f t="shared" si="30"/>
        <v>0</v>
      </c>
    </row>
    <row r="23" spans="1:37">
      <c r="A23" s="4">
        <f>ELEC!C23</f>
        <v>43759</v>
      </c>
      <c r="B23" s="282">
        <f t="shared" si="10"/>
        <v>8419.09</v>
      </c>
      <c r="C23" s="305">
        <f t="shared" si="11"/>
        <v>0</v>
      </c>
      <c r="D23" s="282">
        <f t="shared" si="10"/>
        <v>108938.9</v>
      </c>
      <c r="E23" s="305">
        <f t="shared" si="12"/>
        <v>0</v>
      </c>
      <c r="F23" s="305">
        <f t="shared" si="13"/>
        <v>0</v>
      </c>
      <c r="G23" s="202"/>
      <c r="H23" s="306">
        <f t="shared" si="14"/>
        <v>8497</v>
      </c>
      <c r="I23" s="305" t="str">
        <f t="shared" si="0"/>
        <v>ok</v>
      </c>
      <c r="J23" s="282">
        <f t="shared" si="28"/>
        <v>10453</v>
      </c>
      <c r="K23" s="305">
        <f t="shared" si="1"/>
        <v>0</v>
      </c>
      <c r="L23" s="282">
        <f t="shared" si="28"/>
        <v>199931.3</v>
      </c>
      <c r="M23" s="305">
        <f t="shared" si="2"/>
        <v>0</v>
      </c>
      <c r="N23" s="305">
        <f t="shared" si="15"/>
        <v>0</v>
      </c>
      <c r="O23" s="202"/>
      <c r="P23" s="306">
        <f t="shared" si="16"/>
        <v>10361</v>
      </c>
      <c r="Q23" s="305" t="str">
        <f t="shared" si="31"/>
        <v>oil change</v>
      </c>
      <c r="R23" s="282">
        <f t="shared" si="29"/>
        <v>10774.4</v>
      </c>
      <c r="S23" s="305">
        <f t="shared" si="4"/>
        <v>0</v>
      </c>
      <c r="T23" s="282">
        <f t="shared" si="29"/>
        <v>155003</v>
      </c>
      <c r="U23" s="305">
        <f t="shared" si="32"/>
        <v>0</v>
      </c>
      <c r="V23" s="305">
        <f t="shared" si="17"/>
        <v>0</v>
      </c>
      <c r="W23" s="202"/>
      <c r="X23" s="306">
        <f t="shared" si="18"/>
        <v>10809</v>
      </c>
      <c r="Y23" s="305" t="str">
        <f t="shared" si="33"/>
        <v>ok</v>
      </c>
      <c r="Z23" s="305">
        <f t="shared" si="7"/>
        <v>0</v>
      </c>
      <c r="AA23" s="305">
        <f t="shared" si="19"/>
        <v>0</v>
      </c>
      <c r="AB23" s="305">
        <f t="shared" si="20"/>
        <v>0</v>
      </c>
      <c r="AC23" s="305">
        <f t="shared" si="21"/>
        <v>0</v>
      </c>
      <c r="AD23" s="74">
        <f>ELEC!Q23</f>
        <v>0</v>
      </c>
      <c r="AE23" s="74" t="e">
        <f t="shared" si="23"/>
        <v>#DIV/0!</v>
      </c>
      <c r="AF23" s="436" t="e">
        <f t="shared" si="24"/>
        <v>#DIV/0!</v>
      </c>
      <c r="AG23" s="437" t="e">
        <f t="shared" si="25"/>
        <v>#DIV/0!</v>
      </c>
      <c r="AH23" s="437" t="e">
        <f t="shared" si="22"/>
        <v>#DIV/0!</v>
      </c>
      <c r="AI23" s="74">
        <f t="shared" si="26"/>
        <v>0</v>
      </c>
      <c r="AJ23" s="307">
        <f t="shared" si="8"/>
        <v>0.25738396624472576</v>
      </c>
      <c r="AK23" s="307">
        <f t="shared" si="30"/>
        <v>0</v>
      </c>
    </row>
    <row r="24" spans="1:37">
      <c r="A24" s="4">
        <f>ELEC!C24</f>
        <v>43760</v>
      </c>
      <c r="B24" s="282">
        <f t="shared" si="10"/>
        <v>8419.09</v>
      </c>
      <c r="C24" s="305">
        <f t="shared" si="11"/>
        <v>0</v>
      </c>
      <c r="D24" s="282">
        <f t="shared" si="10"/>
        <v>108938.9</v>
      </c>
      <c r="E24" s="305">
        <f t="shared" si="12"/>
        <v>0</v>
      </c>
      <c r="F24" s="305">
        <f t="shared" si="13"/>
        <v>0</v>
      </c>
      <c r="G24" s="202"/>
      <c r="H24" s="306">
        <f t="shared" si="14"/>
        <v>8497</v>
      </c>
      <c r="I24" s="305" t="str">
        <f t="shared" si="0"/>
        <v>ok</v>
      </c>
      <c r="J24" s="282">
        <f t="shared" si="28"/>
        <v>10453</v>
      </c>
      <c r="K24" s="305">
        <f t="shared" si="1"/>
        <v>0</v>
      </c>
      <c r="L24" s="282">
        <f t="shared" si="28"/>
        <v>199931.3</v>
      </c>
      <c r="M24" s="305">
        <f t="shared" si="2"/>
        <v>0</v>
      </c>
      <c r="N24" s="305">
        <f t="shared" si="15"/>
        <v>0</v>
      </c>
      <c r="O24" s="202"/>
      <c r="P24" s="306">
        <f t="shared" si="16"/>
        <v>10361</v>
      </c>
      <c r="Q24" s="305" t="str">
        <f t="shared" si="31"/>
        <v>oil change</v>
      </c>
      <c r="R24" s="282">
        <f t="shared" si="29"/>
        <v>10774.4</v>
      </c>
      <c r="S24" s="305">
        <f t="shared" si="4"/>
        <v>0</v>
      </c>
      <c r="T24" s="282">
        <f t="shared" si="29"/>
        <v>155003</v>
      </c>
      <c r="U24" s="305">
        <f t="shared" si="32"/>
        <v>0</v>
      </c>
      <c r="V24" s="305">
        <f t="shared" si="17"/>
        <v>0</v>
      </c>
      <c r="W24" s="202"/>
      <c r="X24" s="306">
        <f t="shared" si="18"/>
        <v>10809</v>
      </c>
      <c r="Y24" s="305" t="str">
        <f t="shared" si="33"/>
        <v>ok</v>
      </c>
      <c r="Z24" s="305">
        <f t="shared" si="7"/>
        <v>0</v>
      </c>
      <c r="AA24" s="305">
        <f t="shared" si="19"/>
        <v>0</v>
      </c>
      <c r="AB24" s="305">
        <f t="shared" si="20"/>
        <v>0</v>
      </c>
      <c r="AC24" s="305">
        <f t="shared" si="21"/>
        <v>0</v>
      </c>
      <c r="AD24" s="74">
        <f>ELEC!Q24</f>
        <v>0</v>
      </c>
      <c r="AE24" s="74" t="e">
        <f t="shared" si="23"/>
        <v>#DIV/0!</v>
      </c>
      <c r="AF24" s="436" t="e">
        <f t="shared" si="24"/>
        <v>#DIV/0!</v>
      </c>
      <c r="AG24" s="437" t="e">
        <f t="shared" si="25"/>
        <v>#DIV/0!</v>
      </c>
      <c r="AH24" s="437" t="e">
        <f t="shared" si="22"/>
        <v>#DIV/0!</v>
      </c>
      <c r="AI24" s="74">
        <f t="shared" si="26"/>
        <v>0</v>
      </c>
      <c r="AJ24" s="307">
        <f t="shared" si="8"/>
        <v>0.25738396624472576</v>
      </c>
      <c r="AK24" s="307">
        <f t="shared" si="30"/>
        <v>0</v>
      </c>
    </row>
    <row r="25" spans="1:37">
      <c r="A25" s="4">
        <f>ELEC!C25</f>
        <v>43761</v>
      </c>
      <c r="B25" s="282">
        <f t="shared" si="10"/>
        <v>8419.09</v>
      </c>
      <c r="C25" s="305">
        <f t="shared" si="11"/>
        <v>0</v>
      </c>
      <c r="D25" s="282">
        <f t="shared" si="10"/>
        <v>108938.9</v>
      </c>
      <c r="E25" s="305">
        <f t="shared" si="12"/>
        <v>0</v>
      </c>
      <c r="F25" s="305">
        <f t="shared" si="13"/>
        <v>0</v>
      </c>
      <c r="G25" s="202"/>
      <c r="H25" s="306">
        <f t="shared" si="14"/>
        <v>8497</v>
      </c>
      <c r="I25" s="305" t="str">
        <f t="shared" si="0"/>
        <v>ok</v>
      </c>
      <c r="J25" s="282">
        <f t="shared" si="28"/>
        <v>10453</v>
      </c>
      <c r="K25" s="305">
        <f t="shared" si="1"/>
        <v>0</v>
      </c>
      <c r="L25" s="282">
        <f t="shared" si="28"/>
        <v>199931.3</v>
      </c>
      <c r="M25" s="305">
        <f t="shared" si="2"/>
        <v>0</v>
      </c>
      <c r="N25" s="305">
        <f t="shared" si="15"/>
        <v>0</v>
      </c>
      <c r="O25" s="202"/>
      <c r="P25" s="306">
        <f t="shared" si="16"/>
        <v>10361</v>
      </c>
      <c r="Q25" s="305" t="str">
        <f t="shared" si="31"/>
        <v>oil change</v>
      </c>
      <c r="R25" s="282">
        <f t="shared" si="29"/>
        <v>10774.4</v>
      </c>
      <c r="S25" s="305">
        <f t="shared" si="4"/>
        <v>0</v>
      </c>
      <c r="T25" s="282">
        <f t="shared" si="29"/>
        <v>155003</v>
      </c>
      <c r="U25" s="305">
        <f t="shared" si="32"/>
        <v>0</v>
      </c>
      <c r="V25" s="305">
        <f t="shared" si="17"/>
        <v>0</v>
      </c>
      <c r="W25" s="202"/>
      <c r="X25" s="306">
        <f t="shared" si="18"/>
        <v>10809</v>
      </c>
      <c r="Y25" s="305" t="str">
        <f t="shared" si="33"/>
        <v>ok</v>
      </c>
      <c r="Z25" s="305">
        <f t="shared" si="7"/>
        <v>0</v>
      </c>
      <c r="AA25" s="305">
        <f t="shared" si="19"/>
        <v>0</v>
      </c>
      <c r="AB25" s="305">
        <f t="shared" si="20"/>
        <v>0</v>
      </c>
      <c r="AC25" s="305">
        <f t="shared" si="21"/>
        <v>0</v>
      </c>
      <c r="AD25" s="74">
        <f>ELEC!Q25</f>
        <v>0</v>
      </c>
      <c r="AE25" s="74" t="e">
        <f t="shared" si="23"/>
        <v>#DIV/0!</v>
      </c>
      <c r="AF25" s="436" t="e">
        <f t="shared" si="24"/>
        <v>#DIV/0!</v>
      </c>
      <c r="AG25" s="437" t="e">
        <f t="shared" si="25"/>
        <v>#DIV/0!</v>
      </c>
      <c r="AH25" s="437" t="e">
        <f t="shared" si="22"/>
        <v>#DIV/0!</v>
      </c>
      <c r="AI25" s="74">
        <f t="shared" si="26"/>
        <v>0</v>
      </c>
      <c r="AJ25" s="307">
        <f t="shared" si="8"/>
        <v>0.25738396624472576</v>
      </c>
      <c r="AK25" s="307">
        <f t="shared" si="30"/>
        <v>0</v>
      </c>
    </row>
    <row r="26" spans="1:37">
      <c r="A26" s="4">
        <f>ELEC!C26</f>
        <v>43762</v>
      </c>
      <c r="B26" s="282">
        <f t="shared" si="10"/>
        <v>8419.09</v>
      </c>
      <c r="C26" s="305">
        <f t="shared" si="11"/>
        <v>0</v>
      </c>
      <c r="D26" s="282">
        <f t="shared" si="10"/>
        <v>108938.9</v>
      </c>
      <c r="E26" s="305">
        <f t="shared" si="12"/>
        <v>0</v>
      </c>
      <c r="F26" s="305">
        <f t="shared" si="13"/>
        <v>0</v>
      </c>
      <c r="G26" s="202"/>
      <c r="H26" s="306">
        <f t="shared" si="14"/>
        <v>8497</v>
      </c>
      <c r="I26" s="305" t="str">
        <f t="shared" si="0"/>
        <v>ok</v>
      </c>
      <c r="J26" s="282">
        <f t="shared" si="28"/>
        <v>10453</v>
      </c>
      <c r="K26" s="305">
        <f t="shared" si="1"/>
        <v>0</v>
      </c>
      <c r="L26" s="282">
        <f t="shared" si="28"/>
        <v>199931.3</v>
      </c>
      <c r="M26" s="305">
        <f t="shared" si="2"/>
        <v>0</v>
      </c>
      <c r="N26" s="305">
        <f t="shared" si="15"/>
        <v>0</v>
      </c>
      <c r="O26" s="202"/>
      <c r="P26" s="306">
        <f t="shared" si="16"/>
        <v>10361</v>
      </c>
      <c r="Q26" s="305" t="str">
        <f t="shared" si="31"/>
        <v>oil change</v>
      </c>
      <c r="R26" s="282">
        <f t="shared" si="29"/>
        <v>10774.4</v>
      </c>
      <c r="S26" s="305">
        <f t="shared" si="4"/>
        <v>0</v>
      </c>
      <c r="T26" s="282">
        <f t="shared" si="29"/>
        <v>155003</v>
      </c>
      <c r="U26" s="305">
        <f t="shared" si="32"/>
        <v>0</v>
      </c>
      <c r="V26" s="305">
        <f t="shared" si="17"/>
        <v>0</v>
      </c>
      <c r="W26" s="202"/>
      <c r="X26" s="306">
        <f t="shared" si="18"/>
        <v>10809</v>
      </c>
      <c r="Y26" s="305" t="str">
        <f t="shared" si="33"/>
        <v>ok</v>
      </c>
      <c r="Z26" s="305">
        <f t="shared" si="7"/>
        <v>0</v>
      </c>
      <c r="AA26" s="305">
        <f t="shared" si="19"/>
        <v>0</v>
      </c>
      <c r="AB26" s="305">
        <f t="shared" si="20"/>
        <v>0</v>
      </c>
      <c r="AC26" s="305">
        <f t="shared" si="21"/>
        <v>0</v>
      </c>
      <c r="AD26" s="74">
        <f>ELEC!Q26</f>
        <v>0</v>
      </c>
      <c r="AE26" s="74" t="e">
        <f t="shared" si="23"/>
        <v>#DIV/0!</v>
      </c>
      <c r="AF26" s="436" t="e">
        <f t="shared" si="24"/>
        <v>#DIV/0!</v>
      </c>
      <c r="AG26" s="437" t="e">
        <f t="shared" si="25"/>
        <v>#DIV/0!</v>
      </c>
      <c r="AH26" s="437" t="e">
        <f t="shared" si="22"/>
        <v>#DIV/0!</v>
      </c>
      <c r="AI26" s="74">
        <f t="shared" si="26"/>
        <v>0</v>
      </c>
      <c r="AJ26" s="307">
        <f t="shared" si="8"/>
        <v>0.25738396624472576</v>
      </c>
      <c r="AK26" s="307">
        <f t="shared" si="30"/>
        <v>0</v>
      </c>
    </row>
    <row r="27" spans="1:37">
      <c r="A27" s="4">
        <f>ELEC!C27</f>
        <v>43763</v>
      </c>
      <c r="B27" s="282">
        <f t="shared" si="10"/>
        <v>8419.09</v>
      </c>
      <c r="C27" s="305">
        <f t="shared" si="11"/>
        <v>0</v>
      </c>
      <c r="D27" s="282">
        <f t="shared" si="10"/>
        <v>108938.9</v>
      </c>
      <c r="E27" s="305">
        <f t="shared" si="12"/>
        <v>0</v>
      </c>
      <c r="F27" s="305">
        <f t="shared" si="13"/>
        <v>0</v>
      </c>
      <c r="G27" s="202"/>
      <c r="H27" s="306">
        <f t="shared" si="14"/>
        <v>8497</v>
      </c>
      <c r="I27" s="305" t="str">
        <f>IF(B27-H27&lt;=0,"ok","oil change")</f>
        <v>ok</v>
      </c>
      <c r="J27" s="282">
        <f t="shared" si="28"/>
        <v>10453</v>
      </c>
      <c r="K27" s="305">
        <f t="shared" si="1"/>
        <v>0</v>
      </c>
      <c r="L27" s="282">
        <f t="shared" si="28"/>
        <v>199931.3</v>
      </c>
      <c r="M27" s="305">
        <f t="shared" si="2"/>
        <v>0</v>
      </c>
      <c r="N27" s="305">
        <f t="shared" si="15"/>
        <v>0</v>
      </c>
      <c r="O27" s="202"/>
      <c r="P27" s="306">
        <f t="shared" si="16"/>
        <v>10361</v>
      </c>
      <c r="Q27" s="305" t="str">
        <f t="shared" si="31"/>
        <v>oil change</v>
      </c>
      <c r="R27" s="282">
        <f t="shared" si="29"/>
        <v>10774.4</v>
      </c>
      <c r="S27" s="305">
        <f t="shared" si="4"/>
        <v>0</v>
      </c>
      <c r="T27" s="282">
        <f t="shared" si="29"/>
        <v>155003</v>
      </c>
      <c r="U27" s="305">
        <f t="shared" si="32"/>
        <v>0</v>
      </c>
      <c r="V27" s="305">
        <f t="shared" si="17"/>
        <v>0</v>
      </c>
      <c r="W27" s="202"/>
      <c r="X27" s="306">
        <f t="shared" si="18"/>
        <v>10809</v>
      </c>
      <c r="Y27" s="305" t="str">
        <f t="shared" si="33"/>
        <v>ok</v>
      </c>
      <c r="Z27" s="305">
        <f t="shared" si="7"/>
        <v>0</v>
      </c>
      <c r="AA27" s="305">
        <f t="shared" si="19"/>
        <v>0</v>
      </c>
      <c r="AB27" s="305">
        <f t="shared" si="20"/>
        <v>0</v>
      </c>
      <c r="AC27" s="305">
        <f t="shared" si="21"/>
        <v>0</v>
      </c>
      <c r="AD27" s="74">
        <f>ELEC!Q27</f>
        <v>0</v>
      </c>
      <c r="AE27" s="74" t="e">
        <f t="shared" si="23"/>
        <v>#DIV/0!</v>
      </c>
      <c r="AF27" s="436" t="e">
        <f t="shared" si="24"/>
        <v>#DIV/0!</v>
      </c>
      <c r="AG27" s="437" t="e">
        <f t="shared" si="25"/>
        <v>#DIV/0!</v>
      </c>
      <c r="AH27" s="437" t="e">
        <f t="shared" si="22"/>
        <v>#DIV/0!</v>
      </c>
      <c r="AI27" s="74">
        <f t="shared" si="26"/>
        <v>0</v>
      </c>
      <c r="AJ27" s="307">
        <f t="shared" si="8"/>
        <v>0.25738396624472576</v>
      </c>
      <c r="AK27" s="307">
        <f t="shared" si="30"/>
        <v>0</v>
      </c>
    </row>
    <row r="28" spans="1:37">
      <c r="A28" s="4">
        <f>ELEC!C28</f>
        <v>43764</v>
      </c>
      <c r="B28" s="282">
        <f t="shared" si="10"/>
        <v>8419.09</v>
      </c>
      <c r="C28" s="305">
        <f t="shared" si="11"/>
        <v>0</v>
      </c>
      <c r="D28" s="282">
        <f t="shared" si="10"/>
        <v>108938.9</v>
      </c>
      <c r="E28" s="305">
        <f t="shared" si="12"/>
        <v>0</v>
      </c>
      <c r="F28" s="305">
        <f t="shared" si="13"/>
        <v>0</v>
      </c>
      <c r="G28" s="303"/>
      <c r="H28" s="306">
        <f t="shared" si="14"/>
        <v>8497</v>
      </c>
      <c r="I28" s="305" t="str">
        <f t="shared" si="0"/>
        <v>ok</v>
      </c>
      <c r="J28" s="282">
        <f t="shared" si="28"/>
        <v>10453</v>
      </c>
      <c r="K28" s="305">
        <f t="shared" si="1"/>
        <v>0</v>
      </c>
      <c r="L28" s="282">
        <f t="shared" si="28"/>
        <v>199931.3</v>
      </c>
      <c r="M28" s="305">
        <f t="shared" si="2"/>
        <v>0</v>
      </c>
      <c r="N28" s="305">
        <f t="shared" si="15"/>
        <v>0</v>
      </c>
      <c r="O28" s="202"/>
      <c r="P28" s="306">
        <f t="shared" si="16"/>
        <v>10361</v>
      </c>
      <c r="Q28" s="305" t="str">
        <f t="shared" si="31"/>
        <v>oil change</v>
      </c>
      <c r="R28" s="282">
        <f t="shared" si="29"/>
        <v>10774.4</v>
      </c>
      <c r="S28" s="305">
        <f t="shared" si="4"/>
        <v>0</v>
      </c>
      <c r="T28" s="282">
        <f t="shared" si="29"/>
        <v>155003</v>
      </c>
      <c r="U28" s="305">
        <f t="shared" si="32"/>
        <v>0</v>
      </c>
      <c r="V28" s="305">
        <f t="shared" si="17"/>
        <v>0</v>
      </c>
      <c r="W28" s="202"/>
      <c r="X28" s="306">
        <f t="shared" si="18"/>
        <v>10809</v>
      </c>
      <c r="Y28" s="305" t="str">
        <f t="shared" si="33"/>
        <v>ok</v>
      </c>
      <c r="Z28" s="305">
        <f t="shared" si="7"/>
        <v>0</v>
      </c>
      <c r="AA28" s="305">
        <f t="shared" si="19"/>
        <v>0</v>
      </c>
      <c r="AB28" s="305">
        <f t="shared" si="20"/>
        <v>0</v>
      </c>
      <c r="AC28" s="305">
        <f t="shared" si="21"/>
        <v>0</v>
      </c>
      <c r="AD28" s="74">
        <f>ELEC!Q28</f>
        <v>0</v>
      </c>
      <c r="AE28" s="74" t="e">
        <f t="shared" si="23"/>
        <v>#DIV/0!</v>
      </c>
      <c r="AF28" s="436" t="e">
        <f t="shared" si="24"/>
        <v>#DIV/0!</v>
      </c>
      <c r="AG28" s="437" t="e">
        <f t="shared" si="25"/>
        <v>#DIV/0!</v>
      </c>
      <c r="AH28" s="437" t="e">
        <f t="shared" si="22"/>
        <v>#DIV/0!</v>
      </c>
      <c r="AI28" s="74">
        <f t="shared" si="26"/>
        <v>0</v>
      </c>
      <c r="AJ28" s="307">
        <f t="shared" si="8"/>
        <v>0.25738396624472576</v>
      </c>
      <c r="AK28" s="307">
        <f t="shared" si="30"/>
        <v>0</v>
      </c>
    </row>
    <row r="29" spans="1:37">
      <c r="A29" s="4">
        <f>ELEC!C29</f>
        <v>43765</v>
      </c>
      <c r="B29" s="282">
        <f t="shared" si="10"/>
        <v>8419.09</v>
      </c>
      <c r="C29" s="305">
        <f t="shared" si="11"/>
        <v>0</v>
      </c>
      <c r="D29" s="282">
        <f t="shared" si="10"/>
        <v>108938.9</v>
      </c>
      <c r="E29" s="305">
        <f>SUM(D29-D28)</f>
        <v>0</v>
      </c>
      <c r="F29" s="305">
        <f t="shared" si="13"/>
        <v>0</v>
      </c>
      <c r="G29" s="202"/>
      <c r="H29" s="306">
        <f t="shared" si="14"/>
        <v>8497</v>
      </c>
      <c r="I29" s="305" t="str">
        <f t="shared" si="0"/>
        <v>ok</v>
      </c>
      <c r="J29" s="282">
        <f t="shared" si="28"/>
        <v>10453</v>
      </c>
      <c r="K29" s="305">
        <f t="shared" si="1"/>
        <v>0</v>
      </c>
      <c r="L29" s="282">
        <f t="shared" si="28"/>
        <v>199931.3</v>
      </c>
      <c r="M29" s="305">
        <f t="shared" si="2"/>
        <v>0</v>
      </c>
      <c r="N29" s="305">
        <f t="shared" si="15"/>
        <v>0</v>
      </c>
      <c r="O29" s="202"/>
      <c r="P29" s="306">
        <v>10535</v>
      </c>
      <c r="Q29" s="305" t="str">
        <f t="shared" si="31"/>
        <v>ok</v>
      </c>
      <c r="R29" s="282">
        <f t="shared" si="29"/>
        <v>10774.4</v>
      </c>
      <c r="S29" s="305">
        <f t="shared" si="4"/>
        <v>0</v>
      </c>
      <c r="T29" s="282">
        <f t="shared" si="29"/>
        <v>155003</v>
      </c>
      <c r="U29" s="305">
        <f t="shared" si="32"/>
        <v>0</v>
      </c>
      <c r="V29" s="305">
        <f t="shared" si="17"/>
        <v>0</v>
      </c>
      <c r="W29" s="202"/>
      <c r="X29" s="306">
        <f t="shared" si="18"/>
        <v>10809</v>
      </c>
      <c r="Y29" s="305" t="str">
        <f t="shared" si="33"/>
        <v>ok</v>
      </c>
      <c r="Z29" s="305">
        <f t="shared" si="7"/>
        <v>0</v>
      </c>
      <c r="AA29" s="305">
        <f t="shared" si="19"/>
        <v>0</v>
      </c>
      <c r="AB29" s="305">
        <f t="shared" si="20"/>
        <v>0</v>
      </c>
      <c r="AC29" s="305">
        <f t="shared" si="21"/>
        <v>0</v>
      </c>
      <c r="AD29" s="74">
        <f>ELEC!Q29</f>
        <v>0</v>
      </c>
      <c r="AE29" s="74" t="e">
        <f t="shared" si="23"/>
        <v>#DIV/0!</v>
      </c>
      <c r="AF29" s="436" t="e">
        <f t="shared" si="24"/>
        <v>#DIV/0!</v>
      </c>
      <c r="AG29" s="437" t="e">
        <f t="shared" si="25"/>
        <v>#DIV/0!</v>
      </c>
      <c r="AH29" s="437" t="e">
        <f t="shared" si="22"/>
        <v>#DIV/0!</v>
      </c>
      <c r="AI29" s="74">
        <f t="shared" si="26"/>
        <v>0</v>
      </c>
      <c r="AJ29" s="307">
        <f t="shared" si="8"/>
        <v>0.25738396624472576</v>
      </c>
      <c r="AK29" s="307">
        <f t="shared" si="30"/>
        <v>0</v>
      </c>
    </row>
    <row r="30" spans="1:37">
      <c r="A30" s="4">
        <f>ELEC!C30</f>
        <v>43766</v>
      </c>
      <c r="B30" s="282">
        <f t="shared" si="10"/>
        <v>8419.09</v>
      </c>
      <c r="C30" s="305">
        <f t="shared" si="11"/>
        <v>0</v>
      </c>
      <c r="D30" s="282">
        <f t="shared" si="10"/>
        <v>108938.9</v>
      </c>
      <c r="E30" s="305">
        <f t="shared" si="12"/>
        <v>0</v>
      </c>
      <c r="F30" s="305">
        <f t="shared" si="13"/>
        <v>0</v>
      </c>
      <c r="G30" s="202"/>
      <c r="H30" s="306">
        <f t="shared" si="14"/>
        <v>8497</v>
      </c>
      <c r="I30" s="305" t="str">
        <f t="shared" si="0"/>
        <v>ok</v>
      </c>
      <c r="J30" s="282">
        <f t="shared" si="28"/>
        <v>10453</v>
      </c>
      <c r="K30" s="305">
        <f t="shared" si="1"/>
        <v>0</v>
      </c>
      <c r="L30" s="282">
        <f t="shared" si="28"/>
        <v>199931.3</v>
      </c>
      <c r="M30" s="305">
        <f t="shared" si="2"/>
        <v>0</v>
      </c>
      <c r="N30" s="305">
        <f t="shared" si="15"/>
        <v>0</v>
      </c>
      <c r="O30" s="202"/>
      <c r="P30" s="306">
        <f t="shared" si="16"/>
        <v>10535</v>
      </c>
      <c r="Q30" s="305" t="str">
        <f t="shared" si="31"/>
        <v>ok</v>
      </c>
      <c r="R30" s="282">
        <f t="shared" si="29"/>
        <v>10774.4</v>
      </c>
      <c r="S30" s="305">
        <f t="shared" si="4"/>
        <v>0</v>
      </c>
      <c r="T30" s="282">
        <f t="shared" si="29"/>
        <v>155003</v>
      </c>
      <c r="U30" s="305">
        <f t="shared" si="32"/>
        <v>0</v>
      </c>
      <c r="V30" s="305">
        <f t="shared" si="17"/>
        <v>0</v>
      </c>
      <c r="W30" s="303"/>
      <c r="X30" s="306">
        <f t="shared" si="18"/>
        <v>10809</v>
      </c>
      <c r="Y30" s="305" t="str">
        <f t="shared" si="33"/>
        <v>ok</v>
      </c>
      <c r="Z30" s="305">
        <f t="shared" si="7"/>
        <v>0</v>
      </c>
      <c r="AA30" s="305">
        <f t="shared" si="19"/>
        <v>0</v>
      </c>
      <c r="AB30" s="305">
        <f t="shared" si="20"/>
        <v>0</v>
      </c>
      <c r="AC30" s="305">
        <f t="shared" si="21"/>
        <v>0</v>
      </c>
      <c r="AD30" s="74">
        <f>ELEC!Q30</f>
        <v>0</v>
      </c>
      <c r="AE30" s="74" t="e">
        <f t="shared" si="23"/>
        <v>#DIV/0!</v>
      </c>
      <c r="AF30" s="436" t="e">
        <f t="shared" si="24"/>
        <v>#DIV/0!</v>
      </c>
      <c r="AG30" s="437" t="e">
        <f t="shared" si="25"/>
        <v>#DIV/0!</v>
      </c>
      <c r="AH30" s="437" t="e">
        <f t="shared" si="22"/>
        <v>#DIV/0!</v>
      </c>
      <c r="AI30" s="74">
        <f t="shared" si="26"/>
        <v>0</v>
      </c>
      <c r="AJ30" s="307">
        <f t="shared" si="8"/>
        <v>0.25738396624472576</v>
      </c>
      <c r="AK30" s="307">
        <f t="shared" si="30"/>
        <v>0</v>
      </c>
    </row>
    <row r="31" spans="1:37">
      <c r="A31" s="4">
        <f>ELEC!C31</f>
        <v>43767</v>
      </c>
      <c r="B31" s="282">
        <f t="shared" si="10"/>
        <v>8419.09</v>
      </c>
      <c r="C31" s="305">
        <f t="shared" si="11"/>
        <v>0</v>
      </c>
      <c r="D31" s="282">
        <f t="shared" si="10"/>
        <v>108938.9</v>
      </c>
      <c r="E31" s="305">
        <f t="shared" si="12"/>
        <v>0</v>
      </c>
      <c r="F31" s="305">
        <f t="shared" si="13"/>
        <v>0</v>
      </c>
      <c r="G31" s="202"/>
      <c r="H31" s="306">
        <f t="shared" si="14"/>
        <v>8497</v>
      </c>
      <c r="I31" s="305" t="str">
        <f t="shared" si="0"/>
        <v>ok</v>
      </c>
      <c r="J31" s="282">
        <f t="shared" si="28"/>
        <v>10453</v>
      </c>
      <c r="K31" s="305">
        <f t="shared" si="1"/>
        <v>0</v>
      </c>
      <c r="L31" s="282">
        <f t="shared" si="28"/>
        <v>199931.3</v>
      </c>
      <c r="M31" s="305">
        <f t="shared" si="2"/>
        <v>0</v>
      </c>
      <c r="N31" s="305">
        <f t="shared" si="15"/>
        <v>0</v>
      </c>
      <c r="O31" s="202"/>
      <c r="P31" s="306">
        <f t="shared" si="16"/>
        <v>10535</v>
      </c>
      <c r="Q31" s="305" t="str">
        <f t="shared" si="31"/>
        <v>ok</v>
      </c>
      <c r="R31" s="282">
        <f t="shared" si="29"/>
        <v>10774.4</v>
      </c>
      <c r="S31" s="305">
        <f t="shared" si="4"/>
        <v>0</v>
      </c>
      <c r="T31" s="282">
        <f t="shared" si="29"/>
        <v>155003</v>
      </c>
      <c r="U31" s="305">
        <f t="shared" si="32"/>
        <v>0</v>
      </c>
      <c r="V31" s="305">
        <f t="shared" si="17"/>
        <v>0</v>
      </c>
      <c r="W31" s="202"/>
      <c r="X31" s="306">
        <f t="shared" si="18"/>
        <v>10809</v>
      </c>
      <c r="Y31" s="305" t="str">
        <f t="shared" si="33"/>
        <v>ok</v>
      </c>
      <c r="Z31" s="305">
        <f t="shared" si="7"/>
        <v>0</v>
      </c>
      <c r="AA31" s="305">
        <f t="shared" si="19"/>
        <v>0</v>
      </c>
      <c r="AB31" s="305">
        <f t="shared" si="20"/>
        <v>0</v>
      </c>
      <c r="AC31" s="305">
        <f t="shared" si="21"/>
        <v>0</v>
      </c>
      <c r="AD31" s="74">
        <f>ELEC!Q31</f>
        <v>0</v>
      </c>
      <c r="AE31" s="74" t="e">
        <f t="shared" si="23"/>
        <v>#DIV/0!</v>
      </c>
      <c r="AF31" s="436" t="e">
        <f t="shared" si="24"/>
        <v>#DIV/0!</v>
      </c>
      <c r="AG31" s="437" t="e">
        <f t="shared" si="25"/>
        <v>#DIV/0!</v>
      </c>
      <c r="AH31" s="437" t="e">
        <f t="shared" si="22"/>
        <v>#DIV/0!</v>
      </c>
      <c r="AI31" s="74">
        <f t="shared" si="26"/>
        <v>0</v>
      </c>
      <c r="AJ31" s="307">
        <f t="shared" si="8"/>
        <v>0.25738396624472576</v>
      </c>
      <c r="AK31" s="307">
        <f t="shared" si="30"/>
        <v>0</v>
      </c>
    </row>
    <row r="32" spans="1:37">
      <c r="A32" s="4">
        <f>ELEC!C32</f>
        <v>43768</v>
      </c>
      <c r="B32" s="282">
        <f t="shared" si="10"/>
        <v>8419.09</v>
      </c>
      <c r="C32" s="305">
        <f t="shared" si="11"/>
        <v>0</v>
      </c>
      <c r="D32" s="282">
        <f t="shared" si="10"/>
        <v>108938.9</v>
      </c>
      <c r="E32" s="305">
        <f t="shared" si="12"/>
        <v>0</v>
      </c>
      <c r="F32" s="305">
        <f t="shared" si="13"/>
        <v>0</v>
      </c>
      <c r="G32" s="202"/>
      <c r="H32" s="306">
        <f t="shared" si="14"/>
        <v>8497</v>
      </c>
      <c r="I32" s="305" t="str">
        <f t="shared" si="0"/>
        <v>ok</v>
      </c>
      <c r="J32" s="282">
        <f t="shared" si="28"/>
        <v>10453</v>
      </c>
      <c r="K32" s="305">
        <f>J32-J31</f>
        <v>0</v>
      </c>
      <c r="L32" s="282">
        <f t="shared" si="28"/>
        <v>199931.3</v>
      </c>
      <c r="M32" s="305">
        <f t="shared" si="2"/>
        <v>0</v>
      </c>
      <c r="N32" s="305">
        <f t="shared" si="15"/>
        <v>0</v>
      </c>
      <c r="O32" s="202"/>
      <c r="P32" s="306">
        <f t="shared" si="16"/>
        <v>10535</v>
      </c>
      <c r="Q32" s="305" t="str">
        <f t="shared" si="31"/>
        <v>ok</v>
      </c>
      <c r="R32" s="282">
        <f t="shared" si="29"/>
        <v>10774.4</v>
      </c>
      <c r="S32" s="305">
        <f t="shared" si="4"/>
        <v>0</v>
      </c>
      <c r="T32" s="282">
        <f t="shared" si="29"/>
        <v>155003</v>
      </c>
      <c r="U32" s="305">
        <f t="shared" si="32"/>
        <v>0</v>
      </c>
      <c r="V32" s="305">
        <f t="shared" si="17"/>
        <v>0</v>
      </c>
      <c r="W32" s="202"/>
      <c r="X32" s="306">
        <f t="shared" si="18"/>
        <v>10809</v>
      </c>
      <c r="Y32" s="305" t="str">
        <f t="shared" si="33"/>
        <v>ok</v>
      </c>
      <c r="Z32" s="305">
        <f t="shared" si="7"/>
        <v>0</v>
      </c>
      <c r="AA32" s="305">
        <f t="shared" si="19"/>
        <v>0</v>
      </c>
      <c r="AB32" s="305">
        <f t="shared" si="20"/>
        <v>0</v>
      </c>
      <c r="AC32" s="305">
        <f t="shared" si="21"/>
        <v>0</v>
      </c>
      <c r="AD32" s="74">
        <f>ELEC!Q32</f>
        <v>0</v>
      </c>
      <c r="AE32" s="74" t="e">
        <f t="shared" si="23"/>
        <v>#DIV/0!</v>
      </c>
      <c r="AF32" s="436" t="e">
        <f t="shared" si="24"/>
        <v>#DIV/0!</v>
      </c>
      <c r="AG32" s="437" t="e">
        <f t="shared" si="25"/>
        <v>#DIV/0!</v>
      </c>
      <c r="AH32" s="437" t="e">
        <f t="shared" si="22"/>
        <v>#DIV/0!</v>
      </c>
      <c r="AI32" s="74">
        <f t="shared" si="26"/>
        <v>0</v>
      </c>
      <c r="AJ32" s="307">
        <f t="shared" si="8"/>
        <v>0.25738396624472576</v>
      </c>
      <c r="AK32" s="307">
        <f t="shared" si="30"/>
        <v>0</v>
      </c>
    </row>
    <row r="33" spans="1:37">
      <c r="A33" s="4">
        <f>ELEC!C33</f>
        <v>43769</v>
      </c>
      <c r="B33" s="282">
        <f t="shared" si="10"/>
        <v>8419.09</v>
      </c>
      <c r="C33" s="305">
        <f>B33-B32</f>
        <v>0</v>
      </c>
      <c r="D33" s="282">
        <f t="shared" si="10"/>
        <v>108938.9</v>
      </c>
      <c r="E33" s="305">
        <f>SUM(D33-D32)</f>
        <v>0</v>
      </c>
      <c r="F33" s="305">
        <f>IF(C33&gt;0,E33/C33,0)</f>
        <v>0</v>
      </c>
      <c r="G33" s="363"/>
      <c r="H33" s="306">
        <f t="shared" si="14"/>
        <v>8497</v>
      </c>
      <c r="I33" s="305" t="str">
        <f>IF(B33-H33&lt;=0,"ok","oil change")</f>
        <v>ok</v>
      </c>
      <c r="J33" s="282">
        <f t="shared" si="28"/>
        <v>10453</v>
      </c>
      <c r="K33" s="305">
        <f>J33-J32</f>
        <v>0</v>
      </c>
      <c r="L33" s="282">
        <f t="shared" si="28"/>
        <v>199931.3</v>
      </c>
      <c r="M33" s="305">
        <f t="shared" si="2"/>
        <v>0</v>
      </c>
      <c r="N33" s="305">
        <f>IF(K33&gt;0,M33/K33,0)</f>
        <v>0</v>
      </c>
      <c r="O33" s="363"/>
      <c r="P33" s="306">
        <f t="shared" si="16"/>
        <v>10535</v>
      </c>
      <c r="Q33" s="305" t="str">
        <f>IF(J33-P33&lt;=0,"ok","oil change")</f>
        <v>ok</v>
      </c>
      <c r="R33" s="282">
        <f t="shared" si="29"/>
        <v>10774.4</v>
      </c>
      <c r="S33" s="305">
        <f>R33-R32</f>
        <v>0</v>
      </c>
      <c r="T33" s="282">
        <f t="shared" si="29"/>
        <v>155003</v>
      </c>
      <c r="U33" s="305">
        <f>SUM(T33-T32)</f>
        <v>0</v>
      </c>
      <c r="V33" s="305">
        <f>IF(S33&gt;0,U33/S33,0)</f>
        <v>0</v>
      </c>
      <c r="W33" s="363"/>
      <c r="X33" s="306">
        <f t="shared" si="18"/>
        <v>10809</v>
      </c>
      <c r="Y33" s="305" t="str">
        <f>IF(R33-X33&lt;=0,"ok","oil change")</f>
        <v>ok</v>
      </c>
      <c r="Z33" s="305">
        <f>C33+K33+S33</f>
        <v>0</v>
      </c>
      <c r="AA33" s="305">
        <f>U33+M33+E33</f>
        <v>0</v>
      </c>
      <c r="AB33" s="305">
        <f>V33+N33+F33</f>
        <v>0</v>
      </c>
      <c r="AC33" s="305">
        <f>IF(Z33&gt;0,AA33/Z33,0)</f>
        <v>0</v>
      </c>
      <c r="AD33" s="74">
        <f>ELEC!Q33</f>
        <v>0</v>
      </c>
      <c r="AE33" s="74" t="e">
        <f>SUM(AD33/Z33)</f>
        <v>#DIV/0!</v>
      </c>
      <c r="AF33" s="436" t="e">
        <f>SUM(AE33/1600)</f>
        <v>#DIV/0!</v>
      </c>
      <c r="AG33" s="437" t="e">
        <f>SUM(320*AF33)</f>
        <v>#DIV/0!</v>
      </c>
      <c r="AH33" s="437" t="e">
        <f>SUM(AC33-AG33)</f>
        <v>#DIV/0!</v>
      </c>
      <c r="AI33" s="74"/>
      <c r="AJ33" s="307"/>
      <c r="AK33" s="307"/>
    </row>
    <row r="34" spans="1:37">
      <c r="H34" s="39" t="e">
        <f>#REF!-#REF!</f>
        <v>#REF!</v>
      </c>
      <c r="I34" s="279"/>
      <c r="M34" s="39" t="e">
        <f>#REF!-#REF!</f>
        <v>#REF!</v>
      </c>
      <c r="N34" s="39"/>
      <c r="O34" s="39"/>
      <c r="P34" s="83">
        <f>+O34/3</f>
        <v>0</v>
      </c>
      <c r="S34" s="39"/>
      <c r="T34" s="39"/>
      <c r="U34" s="40">
        <f>SUM(C35:S35)</f>
        <v>153.48999999999978</v>
      </c>
      <c r="V34" s="40"/>
      <c r="X34">
        <v>341</v>
      </c>
      <c r="Z34" s="459">
        <f>SUM(Z3:Z33)</f>
        <v>153.48999999999978</v>
      </c>
    </row>
    <row r="35" spans="1:37">
      <c r="C35" s="40">
        <f>SUM(C3:C33)</f>
        <v>1.0900000000001455</v>
      </c>
      <c r="K35" s="40">
        <f>SUM(K3:K33)</f>
        <v>76</v>
      </c>
      <c r="S35" s="40">
        <f>SUM(S3:S33)</f>
        <v>76.399999999999636</v>
      </c>
      <c r="U35" s="40"/>
      <c r="V35" s="40"/>
      <c r="X35" s="40"/>
    </row>
  </sheetData>
  <conditionalFormatting sqref="C3:C33 K3:K33 S3:S33 Z3:Z33">
    <cfRule type="cellIs" dxfId="2" priority="10" stopIfTrue="1" operator="equal">
      <formula>0</formula>
    </cfRule>
  </conditionalFormatting>
  <conditionalFormatting sqref="AA3:AB33">
    <cfRule type="cellIs" dxfId="1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32"/>
  <sheetViews>
    <sheetView topLeftCell="A5" zoomScale="70" zoomScaleNormal="70" workbookViewId="0">
      <selection activeCell="G52" sqref="G51:G52"/>
    </sheetView>
  </sheetViews>
  <sheetFormatPr defaultRowHeight="14.5"/>
  <cols>
    <col min="1" max="1" width="16.1796875" customWidth="1"/>
    <col min="2" max="2" width="19.453125" customWidth="1"/>
    <col min="3" max="3" width="18.453125" customWidth="1"/>
    <col min="4" max="4" width="18.26953125" customWidth="1"/>
    <col min="5" max="7" width="16.81640625" customWidth="1"/>
    <col min="8" max="8" width="13" customWidth="1"/>
    <col min="9" max="9" width="18.453125" customWidth="1"/>
    <col min="10" max="10" width="21.179687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7413</v>
      </c>
      <c r="C2" s="3">
        <f>ELEC!N3</f>
        <v>30214</v>
      </c>
      <c r="D2" s="3">
        <f>C2-E2</f>
        <v>19779.999999998894</v>
      </c>
      <c r="E2" s="3">
        <f>ELEC!Q3</f>
        <v>10434.000000001106</v>
      </c>
      <c r="F2" s="3">
        <f>GEN!Z2</f>
        <v>18</v>
      </c>
      <c r="G2" s="3">
        <f>WATER!C5+WATER!H5</f>
        <v>410</v>
      </c>
      <c r="H2" s="3">
        <f>WATER!L5</f>
        <v>2</v>
      </c>
      <c r="I2" s="15">
        <f>WATER!BC5+WATER!BD5+WATER!BE6-Sheet1!G2</f>
        <v>-455.69999999999993</v>
      </c>
      <c r="J2" s="9">
        <f>'B5'!A4</f>
        <v>43738</v>
      </c>
    </row>
    <row r="3" spans="1:10">
      <c r="A3" s="3">
        <f>ELEC!T4+ELEC!X2+ELEC!AB4</f>
        <v>32</v>
      </c>
      <c r="B3" s="3">
        <f>ELEC!AF4</f>
        <v>7447</v>
      </c>
      <c r="C3" s="3">
        <f>ELEC!N4</f>
        <v>32504</v>
      </c>
      <c r="D3" s="3">
        <f t="shared" ref="D3:D30" si="0">C3-E3</f>
        <v>22220.000000000349</v>
      </c>
      <c r="E3" s="3">
        <f>ELEC!Q4</f>
        <v>10283.999999999651</v>
      </c>
      <c r="F3" s="3">
        <f>GEN!Z3</f>
        <v>16</v>
      </c>
      <c r="G3" s="3">
        <f>WATER!C6+WATER!H6</f>
        <v>132</v>
      </c>
      <c r="H3" s="3">
        <f>WATER!L6</f>
        <v>3</v>
      </c>
      <c r="I3" s="15">
        <f>WATER!BC6+WATER!BD6+WATER!BE7-Sheet1!G3</f>
        <v>-206.3</v>
      </c>
      <c r="J3" s="9">
        <f>'B5'!A5</f>
        <v>43739</v>
      </c>
    </row>
    <row r="4" spans="1:10">
      <c r="A4" s="3">
        <f>ELEC!T5+ELEC!X5+ELEC!AB5</f>
        <v>28</v>
      </c>
      <c r="B4" s="3">
        <f>ELEC!AF5</f>
        <v>6609</v>
      </c>
      <c r="C4" s="3">
        <f>ELEC!N5</f>
        <v>29402</v>
      </c>
      <c r="D4" s="3">
        <f t="shared" si="0"/>
        <v>18289.000000000626</v>
      </c>
      <c r="E4" s="3">
        <f>ELEC!Q5</f>
        <v>11112.999999999374</v>
      </c>
      <c r="F4" s="3">
        <f>GEN!Z4</f>
        <v>14</v>
      </c>
      <c r="G4" s="3">
        <f>WATER!C7+WATER!H7</f>
        <v>132</v>
      </c>
      <c r="H4" s="3">
        <f>WATER!L7</f>
        <v>3</v>
      </c>
      <c r="I4" s="15">
        <f>WATER!BC7+WATER!BD7+WATER!BE8-Sheet1!G4</f>
        <v>-211.20000000000002</v>
      </c>
      <c r="J4" s="9">
        <f>'B5'!A6</f>
        <v>43740</v>
      </c>
    </row>
    <row r="5" spans="1:10">
      <c r="A5" s="3">
        <f>ELEC!T6+ELEC!X6+ELEC!AB6</f>
        <v>34</v>
      </c>
      <c r="B5" s="3">
        <f>ELEC!AF6</f>
        <v>6902</v>
      </c>
      <c r="C5" s="3">
        <f>ELEC!N6</f>
        <v>32164</v>
      </c>
      <c r="D5" s="3">
        <f t="shared" si="0"/>
        <v>24776.999999999374</v>
      </c>
      <c r="E5" s="3">
        <f>ELEC!Q6</f>
        <v>7387.0000000006257</v>
      </c>
      <c r="F5" s="3">
        <f>GEN!Z5</f>
        <v>17</v>
      </c>
      <c r="G5" s="3">
        <f>WATER!C8+WATER!H8</f>
        <v>185</v>
      </c>
      <c r="H5" s="3">
        <f>WATER!L8</f>
        <v>3</v>
      </c>
      <c r="I5" s="15">
        <f>WATER!BC8+WATER!BD8+WATER!BE9-Sheet1!G5</f>
        <v>-178.5</v>
      </c>
      <c r="J5" s="9">
        <f>'B5'!A7</f>
        <v>43741</v>
      </c>
    </row>
    <row r="6" spans="1:10">
      <c r="A6" s="3">
        <f>ELEC!T7+ELEC!X7+ELEC!AB7</f>
        <v>30</v>
      </c>
      <c r="B6" s="3">
        <f>ELEC!AF7</f>
        <v>6849</v>
      </c>
      <c r="C6" s="3">
        <f>ELEC!N7</f>
        <v>31146</v>
      </c>
      <c r="D6" s="3">
        <f t="shared" si="0"/>
        <v>31146</v>
      </c>
      <c r="E6" s="3">
        <f>ELEC!Q24</f>
        <v>0</v>
      </c>
      <c r="F6" s="3">
        <f>GEN!Z6</f>
        <v>11</v>
      </c>
      <c r="G6" s="3">
        <f>WATER!C9+WATER!H9</f>
        <v>306</v>
      </c>
      <c r="H6" s="3">
        <f>WATER!L9</f>
        <v>0</v>
      </c>
      <c r="I6" s="15">
        <f>WATER!BC9+WATER!BD9+WATER!BE10-Sheet1!G6</f>
        <v>-327.9</v>
      </c>
      <c r="J6" s="9">
        <f>'B5'!A8</f>
        <v>43742</v>
      </c>
    </row>
    <row r="7" spans="1:10">
      <c r="A7" s="3">
        <f>ELEC!T8+ELEC!X8+ELEC!AB8</f>
        <v>33</v>
      </c>
      <c r="B7" s="3">
        <f>ELEC!AF8</f>
        <v>6770</v>
      </c>
      <c r="C7" s="3">
        <f>ELEC!N8</f>
        <v>26276.799999999814</v>
      </c>
      <c r="D7" s="3">
        <f t="shared" si="0"/>
        <v>22132.799999999581</v>
      </c>
      <c r="E7" s="3">
        <f>ELEC!Q8</f>
        <v>4144.0000000002328</v>
      </c>
      <c r="F7" s="3">
        <f>GEN!Z7</f>
        <v>6</v>
      </c>
      <c r="G7" s="3">
        <f>WATER!C10+WATER!H10</f>
        <v>212</v>
      </c>
      <c r="H7" s="3">
        <f>WATER!L10</f>
        <v>10</v>
      </c>
      <c r="I7" s="15">
        <f>WATER!BC10+WATER!BD10+WATER!BE11-Sheet1!G7</f>
        <v>-287.09999999999997</v>
      </c>
      <c r="J7" s="9">
        <f>'B5'!A9</f>
        <v>43743</v>
      </c>
    </row>
    <row r="8" spans="1:10">
      <c r="A8" s="3">
        <f>ELEC!T9+ELEC!X9+ELEC!AB9</f>
        <v>29</v>
      </c>
      <c r="B8" s="3">
        <f>ELEC!AF9</f>
        <v>6328</v>
      </c>
      <c r="C8" s="3">
        <f>ELEC!N9</f>
        <v>29097.400000000373</v>
      </c>
      <c r="D8" s="3">
        <f t="shared" si="0"/>
        <v>24358.399999998976</v>
      </c>
      <c r="E8" s="3">
        <f>ELEC!Q9</f>
        <v>4739.000000001397</v>
      </c>
      <c r="F8" s="3">
        <f>GEN!Z8</f>
        <v>6</v>
      </c>
      <c r="G8" s="3">
        <f>WATER!C11+WATER!H11</f>
        <v>325</v>
      </c>
      <c r="H8" s="3">
        <f>WATER!L11</f>
        <v>3</v>
      </c>
      <c r="I8" s="15">
        <f>WATER!BC11+WATER!BD11+WATER!BE12-Sheet1!G8</f>
        <v>-340.5</v>
      </c>
      <c r="J8" s="9">
        <f>'B5'!A10</f>
        <v>43744</v>
      </c>
    </row>
    <row r="9" spans="1:10">
      <c r="A9" s="3">
        <f>ELEC!T10+ELEC!X10+ELEC!AB10</f>
        <v>28</v>
      </c>
      <c r="B9" s="3">
        <f>ELEC!AF10</f>
        <v>6324</v>
      </c>
      <c r="C9" s="3">
        <f>ELEC!N10</f>
        <v>28488.599999999627</v>
      </c>
      <c r="D9" s="3">
        <f t="shared" si="0"/>
        <v>23930.600000000544</v>
      </c>
      <c r="E9" s="3">
        <f>ELEC!Q10</f>
        <v>4557.9999999990832</v>
      </c>
      <c r="F9" s="3">
        <f>GEN!Z9</f>
        <v>10</v>
      </c>
      <c r="G9" s="3">
        <f>WATER!C12+WATER!H12</f>
        <v>212</v>
      </c>
      <c r="H9" s="3">
        <f>WATER!L12</f>
        <v>4</v>
      </c>
      <c r="I9" s="15">
        <f>WATER!BC12+WATER!BD12+WATER!BE13-Sheet1!G9</f>
        <v>-150.1</v>
      </c>
      <c r="J9" s="9">
        <f>'B5'!A11</f>
        <v>43745</v>
      </c>
    </row>
    <row r="10" spans="1:10">
      <c r="A10" s="3">
        <f>ELEC!T11+ELEC!X11+ELEC!AB11</f>
        <v>33</v>
      </c>
      <c r="B10" s="3">
        <f>ELEC!AF11</f>
        <v>7674</v>
      </c>
      <c r="C10" s="3">
        <f>ELEC!N11</f>
        <v>30559.400000000373</v>
      </c>
      <c r="D10" s="3">
        <f t="shared" si="0"/>
        <v>26133.400000000896</v>
      </c>
      <c r="E10" s="3">
        <f>ELEC!Q11</f>
        <v>4425.9999999994761</v>
      </c>
      <c r="F10" s="3">
        <f>GEN!Z10</f>
        <v>7</v>
      </c>
      <c r="G10" s="3">
        <f>WATER!C13+WATER!H13</f>
        <v>355</v>
      </c>
      <c r="H10" s="3">
        <f>WATER!L13</f>
        <v>3</v>
      </c>
      <c r="I10" s="15">
        <f>WATER!BC13+WATER!BD13+WATER!BE14-Sheet1!G10</f>
        <v>-394.2</v>
      </c>
      <c r="J10" s="9">
        <f>'B5'!A12</f>
        <v>43746</v>
      </c>
    </row>
    <row r="11" spans="1:10">
      <c r="A11" s="3">
        <f>ELEC!T12+ELEC!X12+ELEC!AB12</f>
        <v>37</v>
      </c>
      <c r="B11" s="3">
        <f>ELEC!AF12</f>
        <v>7966</v>
      </c>
      <c r="C11" s="3">
        <f>ELEC!N12</f>
        <v>34481.799999999814</v>
      </c>
      <c r="D11" s="3">
        <f t="shared" si="0"/>
        <v>24978.799999999203</v>
      </c>
      <c r="E11" s="3">
        <f>ELEC!Q12</f>
        <v>9503.0000000006112</v>
      </c>
      <c r="F11" s="3">
        <f>GEN!Z11</f>
        <v>7</v>
      </c>
      <c r="G11" s="3">
        <f>WATER!C14+WATER!H14</f>
        <v>145</v>
      </c>
      <c r="H11" s="3">
        <f>WATER!L14</f>
        <v>3</v>
      </c>
      <c r="I11" s="15">
        <f>WATER!BC14+WATER!BD14+WATER!BE15-Sheet1!G11</f>
        <v>-100.3</v>
      </c>
      <c r="J11" s="9">
        <f>'B5'!A13</f>
        <v>43747</v>
      </c>
    </row>
    <row r="12" spans="1:10">
      <c r="A12" s="3">
        <f>ELEC!T13+ELEC!X13+ELEC!AB13</f>
        <v>36</v>
      </c>
      <c r="B12" s="3">
        <f>ELEC!AF13</f>
        <v>6972</v>
      </c>
      <c r="C12" s="3">
        <f>ELEC!N13</f>
        <v>30373.200000000186</v>
      </c>
      <c r="D12" s="3">
        <f t="shared" si="0"/>
        <v>19732.200000000565</v>
      </c>
      <c r="E12" s="3">
        <f>ELEC!Q13</f>
        <v>10640.999999999622</v>
      </c>
      <c r="F12" s="3">
        <f>GEN!Z12</f>
        <v>14</v>
      </c>
      <c r="G12" s="3">
        <f>WATER!C15+WATER!H15</f>
        <v>357</v>
      </c>
      <c r="H12" s="3">
        <f>WATER!L15</f>
        <v>3</v>
      </c>
      <c r="I12" s="15">
        <f>WATER!BC15+WATER!BD15+WATER!BE16-Sheet1!G12</f>
        <v>-297</v>
      </c>
      <c r="J12" s="9">
        <f>'B5'!A14</f>
        <v>43748</v>
      </c>
    </row>
    <row r="13" spans="1:10">
      <c r="A13" s="3">
        <f>ELEC!T14+ELEC!X14+ELEC!AB14</f>
        <v>29</v>
      </c>
      <c r="B13" s="3">
        <f>ELEC!AF14</f>
        <v>6540</v>
      </c>
      <c r="C13" s="3">
        <f>ELEC!N14</f>
        <v>30850</v>
      </c>
      <c r="D13" s="3">
        <f t="shared" si="0"/>
        <v>26302.99999999952</v>
      </c>
      <c r="E13" s="3">
        <f>ELEC!Q14</f>
        <v>4547.0000000004802</v>
      </c>
      <c r="F13" s="3">
        <f>GEN!Z13</f>
        <v>16</v>
      </c>
      <c r="G13" s="3">
        <f>WATER!C16+WATER!H16</f>
        <v>132</v>
      </c>
      <c r="H13" s="3">
        <f>WATER!L16</f>
        <v>3</v>
      </c>
      <c r="I13" s="15">
        <f>WATER!BC16+WATER!BD16+WATER!BE17-Sheet1!G13</f>
        <v>-63.000000000000043</v>
      </c>
      <c r="J13" s="9">
        <f>'B5'!A15</f>
        <v>43749</v>
      </c>
    </row>
    <row r="14" spans="1:10">
      <c r="A14" s="3">
        <f>ELEC!T15+ELEC!X15+ELEC!AB15</f>
        <v>31</v>
      </c>
      <c r="B14" s="3">
        <f>ELEC!AF15</f>
        <v>7482</v>
      </c>
      <c r="C14" s="3">
        <f>ELEC!N15</f>
        <v>30370.399999999907</v>
      </c>
      <c r="D14" s="3">
        <f t="shared" si="0"/>
        <v>26353.400000000081</v>
      </c>
      <c r="E14" s="3">
        <f>ELEC!Q15</f>
        <v>4016.9999999998254</v>
      </c>
      <c r="F14" s="3">
        <f>GEN!Z14</f>
        <v>6</v>
      </c>
      <c r="G14" s="3">
        <f>WATER!C17+WATER!H17</f>
        <v>654</v>
      </c>
      <c r="H14" s="3">
        <f>WATER!L17</f>
        <v>4</v>
      </c>
      <c r="I14" s="15">
        <f>WATER!BC17+WATER!BD17+WATER!BE18-Sheet1!G14</f>
        <v>-762.5</v>
      </c>
      <c r="J14" s="9">
        <f>'B5'!A16</f>
        <v>43750</v>
      </c>
    </row>
    <row r="15" spans="1:10">
      <c r="A15" s="3">
        <f>ELEC!T16+ELEC!X16+ELEC!AB16</f>
        <v>31</v>
      </c>
      <c r="B15" s="3">
        <f>ELEC!AF16</f>
        <v>6841</v>
      </c>
      <c r="C15" s="3">
        <f>ELEC!N16</f>
        <v>29315.399999999907</v>
      </c>
      <c r="D15" s="3">
        <f t="shared" si="0"/>
        <v>18130.400000000416</v>
      </c>
      <c r="E15" s="3">
        <f>ELEC!Q16</f>
        <v>11184.999999999491</v>
      </c>
      <c r="F15" s="3">
        <f>GEN!Z15</f>
        <v>7.25</v>
      </c>
      <c r="G15" s="3">
        <f>WATER!C18+WATER!H18</f>
        <v>133</v>
      </c>
      <c r="H15" s="3">
        <f>WATER!L18</f>
        <v>3</v>
      </c>
      <c r="I15" s="15">
        <f>WATER!BC18+WATER!BD18+WATER!BE19-Sheet1!G15</f>
        <v>-184.09999999999997</v>
      </c>
      <c r="J15" s="9">
        <f>'B5'!A17</f>
        <v>43751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16.239999999999782</v>
      </c>
      <c r="G16" s="3">
        <f>WATER!C19+WATER!H19</f>
        <v>243</v>
      </c>
      <c r="H16" s="3">
        <f>WATER!L19</f>
        <v>3</v>
      </c>
      <c r="I16" s="15">
        <f>WATER!BC19+WATER!BD19+WATER!BE20-Sheet1!G16</f>
        <v>-220.8</v>
      </c>
      <c r="J16" s="9">
        <f>'B5'!A18</f>
        <v>43752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43753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43754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43755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43756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43757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43758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43759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43760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43761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43762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43763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43764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43765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43766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43767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34"/>
  <sheetViews>
    <sheetView zoomScale="115" zoomScaleNormal="115" workbookViewId="0">
      <selection activeCell="B4" sqref="B4"/>
    </sheetView>
  </sheetViews>
  <sheetFormatPr defaultRowHeight="14.5"/>
  <cols>
    <col min="1" max="1" width="10.7265625" style="41" bestFit="1" customWidth="1"/>
    <col min="2" max="2" width="11.26953125" bestFit="1" customWidth="1"/>
    <col min="3" max="3" width="12.26953125" customWidth="1"/>
    <col min="4" max="4" width="11.54296875" customWidth="1"/>
    <col min="5" max="5" width="12.453125" bestFit="1" customWidth="1"/>
    <col min="6" max="6" width="8.81640625" customWidth="1"/>
    <col min="7" max="7" width="15.1796875" style="75" customWidth="1"/>
    <col min="8" max="8" width="11.1796875" bestFit="1" customWidth="1"/>
    <col min="9" max="9" width="12.1796875" customWidth="1"/>
    <col min="10" max="10" width="8.54296875" bestFit="1" customWidth="1"/>
    <col min="13" max="13" width="9.26953125" customWidth="1"/>
  </cols>
  <sheetData>
    <row r="1" spans="1:14">
      <c r="A1" s="615"/>
      <c r="B1" s="613" t="s">
        <v>119</v>
      </c>
      <c r="C1" s="613" t="s">
        <v>118</v>
      </c>
      <c r="D1" s="617" t="s">
        <v>113</v>
      </c>
      <c r="E1" s="617" t="s">
        <v>114</v>
      </c>
      <c r="F1" s="618" t="s">
        <v>120</v>
      </c>
      <c r="G1" s="619" t="s">
        <v>75</v>
      </c>
      <c r="H1" s="610" t="s">
        <v>115</v>
      </c>
      <c r="I1" s="611" t="s">
        <v>116</v>
      </c>
      <c r="J1" s="610" t="s">
        <v>117</v>
      </c>
      <c r="K1" s="609" t="s">
        <v>121</v>
      </c>
      <c r="L1" s="609" t="s">
        <v>122</v>
      </c>
      <c r="M1" s="609" t="s">
        <v>123</v>
      </c>
      <c r="N1" s="609" t="s">
        <v>124</v>
      </c>
    </row>
    <row r="2" spans="1:14">
      <c r="A2" s="616"/>
      <c r="B2" s="614"/>
      <c r="C2" s="614"/>
      <c r="D2" s="617"/>
      <c r="E2" s="617"/>
      <c r="F2" s="618"/>
      <c r="G2" s="619"/>
      <c r="H2" s="610"/>
      <c r="I2" s="612"/>
      <c r="J2" s="610"/>
      <c r="K2" s="609"/>
      <c r="L2" s="609"/>
      <c r="M2" s="609"/>
      <c r="N2" s="609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73">
        <v>810</v>
      </c>
      <c r="C4" s="273">
        <v>-606.10000000000582</v>
      </c>
      <c r="D4" s="273">
        <v>1420.5021097047013</v>
      </c>
      <c r="E4" s="273">
        <v>1624.4021097046955</v>
      </c>
      <c r="F4" s="273">
        <v>106</v>
      </c>
      <c r="G4" s="273">
        <v>-58.399999999999977</v>
      </c>
      <c r="H4" s="273">
        <v>6284</v>
      </c>
      <c r="I4" s="273">
        <v>2398.9999999994325</v>
      </c>
      <c r="J4" s="273">
        <v>23932.000000000568</v>
      </c>
      <c r="K4" s="273">
        <v>0</v>
      </c>
      <c r="L4" s="273">
        <v>0</v>
      </c>
      <c r="M4" s="273">
        <v>0</v>
      </c>
      <c r="N4" s="273">
        <v>0</v>
      </c>
    </row>
    <row r="5" spans="1:14">
      <c r="A5" s="63">
        <f>'B5'!A5</f>
        <v>43739</v>
      </c>
      <c r="B5" s="77">
        <f>'B5'!V5</f>
        <v>296</v>
      </c>
      <c r="C5" s="77">
        <f>'B5'!AH5</f>
        <v>543.09999999997672</v>
      </c>
      <c r="D5" s="77">
        <f>GEN!AI3</f>
        <v>2685.5443037977534</v>
      </c>
      <c r="E5" s="251">
        <f t="shared" ref="E5:E33" si="0">B5+C5+D5</f>
        <v>3524.6443037977301</v>
      </c>
      <c r="F5" s="76">
        <f>WATER!L5</f>
        <v>2</v>
      </c>
      <c r="G5" s="79">
        <f>WATER!BG5</f>
        <v>77.700000000000045</v>
      </c>
      <c r="H5" s="80">
        <f>ELEC!AF3</f>
        <v>7413</v>
      </c>
      <c r="I5" s="80">
        <f>ELEC!Q3</f>
        <v>10434.000000001106</v>
      </c>
      <c r="J5" s="80">
        <f>ELEC!R3</f>
        <v>19779.999999998894</v>
      </c>
      <c r="K5" s="81"/>
      <c r="L5" s="3"/>
      <c r="M5" s="3"/>
      <c r="N5" s="3"/>
    </row>
    <row r="6" spans="1:14">
      <c r="A6" s="63">
        <f>'B5'!A6</f>
        <v>43740</v>
      </c>
      <c r="B6" s="77">
        <f>'B5'!V6</f>
        <v>294</v>
      </c>
      <c r="C6" s="77">
        <f>'B5'!AH6</f>
        <v>508.59999999997672</v>
      </c>
      <c r="D6" s="77">
        <f>GEN!AI4</f>
        <v>2646.93670886067</v>
      </c>
      <c r="E6" s="251">
        <f t="shared" si="0"/>
        <v>3449.5367088606467</v>
      </c>
      <c r="F6" s="76">
        <f>WATER!L6</f>
        <v>3</v>
      </c>
      <c r="G6" s="79">
        <f>WATER!BG6</f>
        <v>-73</v>
      </c>
      <c r="H6" s="80">
        <f>ELEC!AF4</f>
        <v>7447</v>
      </c>
      <c r="I6" s="80">
        <f>ELEC!Q4</f>
        <v>10283.999999999651</v>
      </c>
      <c r="J6" s="80">
        <f>ELEC!R4</f>
        <v>22220.000000000349</v>
      </c>
      <c r="K6" s="3"/>
      <c r="L6" s="3"/>
      <c r="M6" s="3"/>
      <c r="N6" s="3"/>
    </row>
    <row r="7" spans="1:14">
      <c r="A7" s="63">
        <f>'B5'!A7</f>
        <v>43741</v>
      </c>
      <c r="B7" s="77">
        <f>'B5'!V7</f>
        <v>288</v>
      </c>
      <c r="C7" s="77">
        <f>'B5'!AH7</f>
        <v>524.60000000003492</v>
      </c>
      <c r="D7" s="77">
        <f>GEN!AI5</f>
        <v>2860.3080168774763</v>
      </c>
      <c r="E7" s="251">
        <f t="shared" si="0"/>
        <v>3672.9080168775113</v>
      </c>
      <c r="F7" s="76">
        <f>WATER!L7</f>
        <v>3</v>
      </c>
      <c r="G7" s="79">
        <f>WATER!BG7</f>
        <v>-48.100000000000023</v>
      </c>
      <c r="H7" s="80">
        <f>ELEC!AF5</f>
        <v>6609</v>
      </c>
      <c r="I7" s="80">
        <f>ELEC!Q5</f>
        <v>11112.999999999374</v>
      </c>
      <c r="J7" s="80">
        <f>ELEC!R5</f>
        <v>18289.000000000626</v>
      </c>
      <c r="K7" s="3"/>
      <c r="L7" s="3"/>
      <c r="M7" s="3"/>
      <c r="N7" s="3"/>
    </row>
    <row r="8" spans="1:14">
      <c r="A8" s="63">
        <f>'B5'!A8</f>
        <v>43742</v>
      </c>
      <c r="B8" s="77">
        <f>'B5'!V8</f>
        <v>293</v>
      </c>
      <c r="C8" s="77">
        <f>'B5'!AH8</f>
        <v>639.5</v>
      </c>
      <c r="D8" s="77">
        <f>GEN!AI6</f>
        <v>1901.2953586499502</v>
      </c>
      <c r="E8" s="251">
        <f t="shared" si="0"/>
        <v>2833.7953586499502</v>
      </c>
      <c r="F8" s="76">
        <f>WATER!L8</f>
        <v>3</v>
      </c>
      <c r="G8" s="79">
        <f>WATER!BG8</f>
        <v>-23</v>
      </c>
      <c r="H8" s="80">
        <f>ELEC!AF6</f>
        <v>6902</v>
      </c>
      <c r="I8" s="80">
        <f>ELEC!Q6</f>
        <v>7387.0000000006257</v>
      </c>
      <c r="J8" s="80">
        <f>ELEC!R6</f>
        <v>24776.999999999374</v>
      </c>
      <c r="K8" s="3"/>
      <c r="L8" s="3"/>
      <c r="M8" s="3"/>
      <c r="N8" s="3"/>
    </row>
    <row r="9" spans="1:14">
      <c r="A9" s="63">
        <f>'B5'!A9</f>
        <v>43743</v>
      </c>
      <c r="B9" s="77">
        <f>'B5'!V9</f>
        <v>394</v>
      </c>
      <c r="C9" s="77">
        <f>'B5'!AH9</f>
        <v>638.5</v>
      </c>
      <c r="D9" s="77">
        <f>GEN!AI7</f>
        <v>1235.4430379744963</v>
      </c>
      <c r="E9" s="251">
        <f t="shared" si="0"/>
        <v>2267.9430379744963</v>
      </c>
      <c r="F9" s="76">
        <f>WATER!L9</f>
        <v>0</v>
      </c>
      <c r="G9" s="79">
        <f>WATER!BG9</f>
        <v>9.6999999999999886</v>
      </c>
      <c r="H9" s="80">
        <f>ELEC!AF7</f>
        <v>6849</v>
      </c>
      <c r="I9" s="80">
        <f>ELEC!Q7</f>
        <v>4799.9999999992724</v>
      </c>
      <c r="J9" s="80">
        <f>ELEC!R7</f>
        <v>31146</v>
      </c>
      <c r="K9" s="3"/>
      <c r="L9" s="3"/>
      <c r="M9" s="3"/>
      <c r="N9" s="3"/>
    </row>
    <row r="10" spans="1:14">
      <c r="A10" s="63">
        <f>'B5'!A10</f>
        <v>43744</v>
      </c>
      <c r="B10" s="77">
        <f>'B5'!V10</f>
        <v>415</v>
      </c>
      <c r="C10" s="77">
        <f>'B5'!AH10</f>
        <v>628.20000000001164</v>
      </c>
      <c r="D10" s="77">
        <f>GEN!AI8</f>
        <v>1066.5991561182034</v>
      </c>
      <c r="E10" s="251">
        <f t="shared" si="0"/>
        <v>2109.7991561182153</v>
      </c>
      <c r="F10" s="76">
        <f>WATER!L10</f>
        <v>10</v>
      </c>
      <c r="G10" s="79">
        <f>WATER!BG10</f>
        <v>-82.899999999999977</v>
      </c>
      <c r="H10" s="80">
        <f>ELEC!AF8</f>
        <v>6770</v>
      </c>
      <c r="I10" s="80">
        <f>ELEC!Q8</f>
        <v>4144.0000000002328</v>
      </c>
      <c r="J10" s="80">
        <f>ELEC!R8</f>
        <v>22132.799999999581</v>
      </c>
      <c r="K10" s="3"/>
      <c r="L10" s="3"/>
      <c r="M10" s="3"/>
      <c r="N10" s="3"/>
    </row>
    <row r="11" spans="1:14">
      <c r="A11" s="63">
        <f>'B5'!A11</f>
        <v>43745</v>
      </c>
      <c r="B11" s="77">
        <f>'B5'!V11</f>
        <v>236</v>
      </c>
      <c r="C11" s="77">
        <f>'B5'!AH11</f>
        <v>625.79999999998836</v>
      </c>
      <c r="D11" s="77">
        <f>GEN!AI9</f>
        <v>1219.7426160341149</v>
      </c>
      <c r="E11" s="251">
        <f t="shared" si="0"/>
        <v>2081.542616034103</v>
      </c>
      <c r="F11" s="76">
        <f>WATER!L11</f>
        <v>3</v>
      </c>
      <c r="G11" s="79">
        <f>WATER!BG11</f>
        <v>34.800000000000011</v>
      </c>
      <c r="H11" s="80">
        <f>ELEC!AF9</f>
        <v>6328</v>
      </c>
      <c r="I11" s="80">
        <f>ELEC!Q9</f>
        <v>4739.000000001397</v>
      </c>
      <c r="J11" s="80">
        <f>ELEC!R9</f>
        <v>24358.399999998976</v>
      </c>
      <c r="K11" s="3"/>
      <c r="L11" s="3"/>
      <c r="M11" s="3"/>
      <c r="N11" s="3"/>
    </row>
    <row r="12" spans="1:14">
      <c r="A12" s="63">
        <f>'B5'!A12</f>
        <v>43746</v>
      </c>
      <c r="B12" s="77">
        <f>'B5'!V12</f>
        <v>283</v>
      </c>
      <c r="C12" s="77">
        <f>'B5'!AH12</f>
        <v>524.79999999998836</v>
      </c>
      <c r="D12" s="77">
        <f>GEN!AI10</f>
        <v>1173.1561181432241</v>
      </c>
      <c r="E12" s="251">
        <f t="shared" si="0"/>
        <v>1980.9561181432125</v>
      </c>
      <c r="F12" s="76">
        <f>WATER!L12</f>
        <v>4</v>
      </c>
      <c r="G12" s="79">
        <f>WATER!BG12</f>
        <v>-11.600000000000023</v>
      </c>
      <c r="H12" s="80">
        <f>ELEC!AF10</f>
        <v>6324</v>
      </c>
      <c r="I12" s="80">
        <f>ELEC!Q10</f>
        <v>4557.9999999990832</v>
      </c>
      <c r="J12" s="80">
        <f>ELEC!R10</f>
        <v>23930.600000000544</v>
      </c>
      <c r="K12" s="3"/>
      <c r="L12" s="3"/>
      <c r="M12" s="3"/>
      <c r="N12" s="3"/>
    </row>
    <row r="13" spans="1:14">
      <c r="A13" s="63">
        <f>'B5'!A13</f>
        <v>43747</v>
      </c>
      <c r="B13" s="77">
        <f>'B5'!V13</f>
        <v>317</v>
      </c>
      <c r="C13" s="77">
        <f>'B5'!AH13</f>
        <v>563.70000000001164</v>
      </c>
      <c r="D13" s="77">
        <f>GEN!AI11</f>
        <v>1139.1814345990215</v>
      </c>
      <c r="E13" s="251">
        <f t="shared" si="0"/>
        <v>2019.8814345990331</v>
      </c>
      <c r="F13" s="76">
        <f>WATER!L13</f>
        <v>3</v>
      </c>
      <c r="G13" s="79">
        <f>WATER!BG13</f>
        <v>79.800000000000011</v>
      </c>
      <c r="H13" s="80">
        <f>ELEC!AF11</f>
        <v>7674</v>
      </c>
      <c r="I13" s="80">
        <f>ELEC!Q11</f>
        <v>4425.9999999994761</v>
      </c>
      <c r="J13" s="80">
        <f>ELEC!R11</f>
        <v>26133.400000000896</v>
      </c>
      <c r="K13" s="3"/>
      <c r="L13" s="3"/>
      <c r="M13" s="3"/>
      <c r="N13" s="3"/>
    </row>
    <row r="14" spans="1:14">
      <c r="A14" s="63">
        <f>'B5'!A14</f>
        <v>43748</v>
      </c>
      <c r="B14" s="77">
        <f>'B5'!V14</f>
        <v>253</v>
      </c>
      <c r="C14" s="77">
        <f>'B5'!AH14</f>
        <v>586.09999999997672</v>
      </c>
      <c r="D14" s="77">
        <f>GEN!AI12</f>
        <v>2445.9198312237863</v>
      </c>
      <c r="E14" s="251">
        <f t="shared" si="0"/>
        <v>3285.019831223763</v>
      </c>
      <c r="F14" s="76">
        <f>WATER!L14</f>
        <v>3</v>
      </c>
      <c r="G14" s="79">
        <f>WATER!BG14</f>
        <v>-101</v>
      </c>
      <c r="H14" s="80">
        <f>ELEC!AF12</f>
        <v>7966</v>
      </c>
      <c r="I14" s="80">
        <f>ELEC!Q12</f>
        <v>9503.0000000006112</v>
      </c>
      <c r="J14" s="80">
        <f>ELEC!R12</f>
        <v>24978.799999999203</v>
      </c>
      <c r="K14" s="3"/>
      <c r="L14" s="3"/>
      <c r="M14" s="3"/>
      <c r="N14" s="3"/>
    </row>
    <row r="15" spans="1:14">
      <c r="A15" s="63">
        <f>'B5'!A15</f>
        <v>43749</v>
      </c>
      <c r="B15" s="77">
        <f>'B5'!V15</f>
        <v>347</v>
      </c>
      <c r="C15" s="77">
        <f>'B5'!AH15</f>
        <v>474.90000000002328</v>
      </c>
      <c r="D15" s="77">
        <f>GEN!AI13</f>
        <v>2738.8227848100296</v>
      </c>
      <c r="E15" s="251">
        <f t="shared" si="0"/>
        <v>3560.7227848100529</v>
      </c>
      <c r="F15" s="76">
        <f>WATER!L15</f>
        <v>3</v>
      </c>
      <c r="G15" s="79">
        <f>WATER!BG15</f>
        <v>58.400000000000034</v>
      </c>
      <c r="H15" s="80">
        <f>ELEC!AF13</f>
        <v>6972</v>
      </c>
      <c r="I15" s="80">
        <f>ELEC!Q13</f>
        <v>10640.999999999622</v>
      </c>
      <c r="J15" s="80">
        <f>ELEC!R13</f>
        <v>19732.200000000565</v>
      </c>
      <c r="K15" s="3"/>
      <c r="L15" s="3"/>
      <c r="M15" s="3"/>
      <c r="N15" s="3"/>
    </row>
    <row r="16" spans="1:14">
      <c r="A16" s="63">
        <f>'B5'!A16</f>
        <v>43750</v>
      </c>
      <c r="B16" s="77">
        <f>'B5'!V16</f>
        <v>284</v>
      </c>
      <c r="C16" s="77">
        <f>'B5'!AH16</f>
        <v>560.20000000001164</v>
      </c>
      <c r="D16" s="77">
        <f>GEN!AI14</f>
        <v>1170.3248945148916</v>
      </c>
      <c r="E16" s="251">
        <f t="shared" si="0"/>
        <v>2014.5248945149033</v>
      </c>
      <c r="F16" s="76">
        <f>WATER!L16</f>
        <v>3</v>
      </c>
      <c r="G16" s="79">
        <f>WATER!BG16</f>
        <v>68.2</v>
      </c>
      <c r="H16" s="80">
        <f>ELEC!AF14</f>
        <v>6540</v>
      </c>
      <c r="I16" s="80">
        <f>ELEC!Q14</f>
        <v>4547.0000000004802</v>
      </c>
      <c r="J16" s="80">
        <f>ELEC!R14</f>
        <v>26302.99999999952</v>
      </c>
      <c r="K16" s="3"/>
      <c r="L16" s="3"/>
      <c r="M16" s="3"/>
      <c r="N16" s="3"/>
    </row>
    <row r="17" spans="1:14">
      <c r="A17" s="63">
        <f>'B5'!A17</f>
        <v>43751</v>
      </c>
      <c r="B17" s="77">
        <f>'B5'!V17</f>
        <v>304</v>
      </c>
      <c r="C17" s="77">
        <f>'B5'!AH17</f>
        <v>621.29999999998836</v>
      </c>
      <c r="D17" s="77">
        <f>GEN!AI15</f>
        <v>1033.9113924050184</v>
      </c>
      <c r="E17" s="251">
        <f t="shared" si="0"/>
        <v>1959.2113924050068</v>
      </c>
      <c r="F17" s="76">
        <f>WATER!L17</f>
        <v>4</v>
      </c>
      <c r="G17" s="79">
        <f>WATER!BG17</f>
        <v>-64</v>
      </c>
      <c r="H17" s="80">
        <f>ELEC!AF15</f>
        <v>7482</v>
      </c>
      <c r="I17" s="80">
        <f>ELEC!Q15</f>
        <v>4016.9999999998254</v>
      </c>
      <c r="J17" s="80">
        <f>ELEC!R15</f>
        <v>26353.400000000081</v>
      </c>
      <c r="K17" s="3"/>
      <c r="L17" s="3"/>
      <c r="M17" s="3"/>
      <c r="N17" s="3"/>
    </row>
    <row r="18" spans="1:14">
      <c r="A18" s="63">
        <f>'B5'!A18</f>
        <v>43752</v>
      </c>
      <c r="B18" s="77">
        <f>'B5'!V18</f>
        <v>240</v>
      </c>
      <c r="C18" s="77">
        <f>'B5'!AH18</f>
        <v>468.29999999998836</v>
      </c>
      <c r="D18" s="77">
        <f>GEN!AI16</f>
        <v>2878.8396624471266</v>
      </c>
      <c r="E18" s="251">
        <f t="shared" si="0"/>
        <v>3587.1396624471149</v>
      </c>
      <c r="F18" s="76">
        <f>WATER!L18</f>
        <v>3</v>
      </c>
      <c r="G18" s="79">
        <f>WATER!BG18</f>
        <v>-49</v>
      </c>
      <c r="H18" s="80">
        <f>ELEC!AF16</f>
        <v>6841</v>
      </c>
      <c r="I18" s="80">
        <f>ELEC!Q16</f>
        <v>11184.999999999491</v>
      </c>
      <c r="J18" s="80">
        <f>ELEC!R16</f>
        <v>18130.400000000416</v>
      </c>
      <c r="K18" s="3"/>
      <c r="L18" s="3"/>
      <c r="M18" s="3"/>
      <c r="N18" s="3"/>
    </row>
    <row r="19" spans="1:14">
      <c r="A19" s="63">
        <f>'B5'!A19</f>
        <v>43753</v>
      </c>
      <c r="B19" s="77">
        <f>'B5'!V19</f>
        <v>0</v>
      </c>
      <c r="C19" s="77">
        <f>'B5'!AH19</f>
        <v>0</v>
      </c>
      <c r="D19" s="77">
        <f>GEN!AI17</f>
        <v>0</v>
      </c>
      <c r="E19" s="251">
        <f t="shared" si="0"/>
        <v>0</v>
      </c>
      <c r="F19" s="76">
        <f>WATER!L19</f>
        <v>3</v>
      </c>
      <c r="G19" s="79">
        <f>WATER!BG19</f>
        <v>20.400000000000006</v>
      </c>
      <c r="H19" s="80">
        <f>ELEC!AF17</f>
        <v>0</v>
      </c>
      <c r="I19" s="80">
        <f>ELEC!Q17</f>
        <v>0</v>
      </c>
      <c r="J19" s="80">
        <f>ELEC!R17</f>
        <v>0</v>
      </c>
      <c r="K19" s="3"/>
      <c r="L19" s="3"/>
      <c r="M19" s="3"/>
      <c r="N19" s="3"/>
    </row>
    <row r="20" spans="1:14">
      <c r="A20" s="63">
        <f>'B5'!A20</f>
        <v>43754</v>
      </c>
      <c r="B20" s="77">
        <f>'B5'!V20</f>
        <v>0</v>
      </c>
      <c r="C20" s="77">
        <f>'B5'!AH20</f>
        <v>0</v>
      </c>
      <c r="D20" s="77">
        <f>GEN!AI18</f>
        <v>0</v>
      </c>
      <c r="E20" s="251">
        <f t="shared" si="0"/>
        <v>0</v>
      </c>
      <c r="F20" s="76">
        <f>WATER!L20</f>
        <v>0</v>
      </c>
      <c r="G20" s="79">
        <f>WATER!BG20</f>
        <v>0</v>
      </c>
      <c r="H20" s="80">
        <f>ELEC!AF18</f>
        <v>0</v>
      </c>
      <c r="I20" s="80">
        <f>ELEC!Q18</f>
        <v>0</v>
      </c>
      <c r="J20" s="80">
        <f>ELEC!R18</f>
        <v>0</v>
      </c>
      <c r="K20" s="3"/>
      <c r="L20" s="3"/>
      <c r="M20" s="3"/>
      <c r="N20" s="3"/>
    </row>
    <row r="21" spans="1:14">
      <c r="A21" s="63">
        <f>'B5'!A21</f>
        <v>43755</v>
      </c>
      <c r="B21" s="77">
        <f>'B5'!V21</f>
        <v>0</v>
      </c>
      <c r="C21" s="77">
        <f>'B5'!AH21</f>
        <v>0</v>
      </c>
      <c r="D21" s="77">
        <f>GEN!AI19</f>
        <v>0</v>
      </c>
      <c r="E21" s="251">
        <f t="shared" si="0"/>
        <v>0</v>
      </c>
      <c r="F21" s="76">
        <f>WATER!L21</f>
        <v>0</v>
      </c>
      <c r="G21" s="79">
        <f>WATER!BG21</f>
        <v>0</v>
      </c>
      <c r="H21" s="80">
        <f>ELEC!AF19</f>
        <v>0</v>
      </c>
      <c r="I21" s="80">
        <f>ELEC!Q19</f>
        <v>0</v>
      </c>
      <c r="J21" s="80">
        <f>ELEC!R19</f>
        <v>0</v>
      </c>
      <c r="K21" s="3"/>
      <c r="L21" s="3"/>
      <c r="M21" s="3"/>
      <c r="N21" s="3"/>
    </row>
    <row r="22" spans="1:14">
      <c r="A22" s="63">
        <f>'B5'!A22</f>
        <v>43756</v>
      </c>
      <c r="B22" s="77">
        <f>'B5'!V22</f>
        <v>0</v>
      </c>
      <c r="C22" s="77">
        <f>'B5'!AH22</f>
        <v>0</v>
      </c>
      <c r="D22" s="77">
        <f>GEN!AI20</f>
        <v>0</v>
      </c>
      <c r="E22" s="251">
        <f t="shared" si="0"/>
        <v>0</v>
      </c>
      <c r="F22" s="76">
        <f>WATER!L22</f>
        <v>0</v>
      </c>
      <c r="G22" s="79">
        <f>WATER!BG22</f>
        <v>0</v>
      </c>
      <c r="H22" s="80">
        <f>ELEC!AF20</f>
        <v>0</v>
      </c>
      <c r="I22" s="80">
        <f>ELEC!Q20</f>
        <v>0</v>
      </c>
      <c r="J22" s="80">
        <f>ELEC!R20</f>
        <v>0</v>
      </c>
      <c r="K22" s="3"/>
      <c r="L22" s="3"/>
      <c r="M22" s="3"/>
      <c r="N22" s="3"/>
    </row>
    <row r="23" spans="1:14">
      <c r="A23" s="63">
        <f>'B5'!A23</f>
        <v>43757</v>
      </c>
      <c r="B23" s="77">
        <f>'B5'!V23</f>
        <v>0</v>
      </c>
      <c r="C23" s="77">
        <f>'B5'!AH23</f>
        <v>0</v>
      </c>
      <c r="D23" s="77">
        <f>GEN!AI21</f>
        <v>0</v>
      </c>
      <c r="E23" s="251">
        <f t="shared" si="0"/>
        <v>0</v>
      </c>
      <c r="F23" s="76">
        <f>WATER!L23</f>
        <v>0</v>
      </c>
      <c r="G23" s="79">
        <f>WATER!BG23</f>
        <v>0</v>
      </c>
      <c r="H23" s="80">
        <f>ELEC!AF21</f>
        <v>0</v>
      </c>
      <c r="I23" s="80">
        <f>ELEC!Q21</f>
        <v>0</v>
      </c>
      <c r="J23" s="80">
        <f>ELEC!R21</f>
        <v>0</v>
      </c>
      <c r="K23" s="3"/>
      <c r="L23" s="3"/>
      <c r="M23" s="3"/>
      <c r="N23" s="3"/>
    </row>
    <row r="24" spans="1:14">
      <c r="A24" s="63">
        <f>'B5'!A24</f>
        <v>43758</v>
      </c>
      <c r="B24" s="77">
        <f>'B5'!V24</f>
        <v>0</v>
      </c>
      <c r="C24" s="77">
        <f>'B5'!AH24</f>
        <v>0</v>
      </c>
      <c r="D24" s="77">
        <f>GEN!AI22</f>
        <v>0</v>
      </c>
      <c r="E24" s="251">
        <f t="shared" si="0"/>
        <v>0</v>
      </c>
      <c r="F24" s="76">
        <f>WATER!L24</f>
        <v>0</v>
      </c>
      <c r="G24" s="79">
        <f>WATER!BG24</f>
        <v>0</v>
      </c>
      <c r="H24" s="80">
        <f>ELEC!AF22</f>
        <v>0</v>
      </c>
      <c r="I24" s="80">
        <f>ELEC!Q22</f>
        <v>0</v>
      </c>
      <c r="J24" s="80">
        <f>ELEC!R22</f>
        <v>0</v>
      </c>
      <c r="K24" s="3"/>
      <c r="L24" s="3"/>
      <c r="M24" s="3"/>
      <c r="N24" s="3"/>
    </row>
    <row r="25" spans="1:14">
      <c r="A25" s="63">
        <f>'B5'!A25</f>
        <v>43759</v>
      </c>
      <c r="B25" s="77">
        <f>'B5'!V25</f>
        <v>0</v>
      </c>
      <c r="C25" s="77">
        <f>'B5'!AH25</f>
        <v>0</v>
      </c>
      <c r="D25" s="77">
        <f>GEN!AI23</f>
        <v>0</v>
      </c>
      <c r="E25" s="251">
        <f t="shared" si="0"/>
        <v>0</v>
      </c>
      <c r="F25" s="76">
        <f>WATER!L25</f>
        <v>0</v>
      </c>
      <c r="G25" s="79">
        <f>WATER!BG25</f>
        <v>0</v>
      </c>
      <c r="H25" s="80">
        <f>ELEC!AF23</f>
        <v>0</v>
      </c>
      <c r="I25" s="80">
        <f>ELEC!Q23</f>
        <v>0</v>
      </c>
      <c r="J25" s="80">
        <f>ELEC!R23</f>
        <v>0</v>
      </c>
      <c r="K25" s="3"/>
      <c r="L25" s="3"/>
      <c r="M25" s="3"/>
      <c r="N25" s="3"/>
    </row>
    <row r="26" spans="1:14">
      <c r="A26" s="63">
        <f>'B5'!A26</f>
        <v>43760</v>
      </c>
      <c r="B26" s="77">
        <f>'B5'!V26</f>
        <v>0</v>
      </c>
      <c r="C26" s="77">
        <f>'B5'!AH26</f>
        <v>0</v>
      </c>
      <c r="D26" s="77">
        <f>GEN!AI24</f>
        <v>0</v>
      </c>
      <c r="E26" s="251">
        <f t="shared" si="0"/>
        <v>0</v>
      </c>
      <c r="F26" s="76">
        <f>WATER!L26</f>
        <v>0</v>
      </c>
      <c r="G26" s="79">
        <f>WATER!BG26</f>
        <v>0</v>
      </c>
      <c r="H26" s="80">
        <f>ELEC!AF24</f>
        <v>0</v>
      </c>
      <c r="I26" s="80">
        <f>ELEC!Q24</f>
        <v>0</v>
      </c>
      <c r="J26" s="80">
        <f>ELEC!R24</f>
        <v>0</v>
      </c>
      <c r="K26" s="3"/>
      <c r="L26" s="3"/>
      <c r="M26" s="3"/>
      <c r="N26" s="3"/>
    </row>
    <row r="27" spans="1:14">
      <c r="A27" s="63">
        <f>'B5'!A27</f>
        <v>43761</v>
      </c>
      <c r="B27" s="77">
        <f>'B5'!V27</f>
        <v>0</v>
      </c>
      <c r="C27" s="77">
        <f>'B5'!AH27</f>
        <v>0</v>
      </c>
      <c r="D27" s="77">
        <f>GEN!AI25</f>
        <v>0</v>
      </c>
      <c r="E27" s="251">
        <f t="shared" si="0"/>
        <v>0</v>
      </c>
      <c r="F27" s="76">
        <f>WATER!L27</f>
        <v>0</v>
      </c>
      <c r="G27" s="79">
        <f>WATER!BG27</f>
        <v>0</v>
      </c>
      <c r="H27" s="80">
        <f>ELEC!AF25</f>
        <v>0</v>
      </c>
      <c r="I27" s="80">
        <f>ELEC!Q25</f>
        <v>0</v>
      </c>
      <c r="J27" s="80">
        <f>ELEC!R25</f>
        <v>0</v>
      </c>
      <c r="K27" s="3"/>
      <c r="L27" s="3"/>
      <c r="M27" s="3"/>
      <c r="N27" s="3"/>
    </row>
    <row r="28" spans="1:14">
      <c r="A28" s="63">
        <f>'B5'!A28</f>
        <v>43762</v>
      </c>
      <c r="B28" s="77">
        <f>'B5'!V28</f>
        <v>0</v>
      </c>
      <c r="C28" s="77">
        <f>'B5'!AH28</f>
        <v>0</v>
      </c>
      <c r="D28" s="77">
        <f>GEN!AI26</f>
        <v>0</v>
      </c>
      <c r="E28" s="251">
        <f t="shared" si="0"/>
        <v>0</v>
      </c>
      <c r="F28" s="76">
        <f>WATER!L28</f>
        <v>0</v>
      </c>
      <c r="G28" s="79">
        <f>WATER!BG28</f>
        <v>0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43763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43764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43765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43766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43767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43768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3:U38"/>
  <sheetViews>
    <sheetView topLeftCell="A3" workbookViewId="0">
      <selection activeCell="K31" sqref="K31"/>
    </sheetView>
  </sheetViews>
  <sheetFormatPr defaultRowHeight="14.5"/>
  <cols>
    <col min="3" max="3" width="11.54296875" bestFit="1" customWidth="1"/>
    <col min="4" max="4" width="12.54296875" customWidth="1"/>
    <col min="5" max="5" width="9" bestFit="1" customWidth="1"/>
    <col min="6" max="6" width="12.81640625" bestFit="1" customWidth="1"/>
    <col min="8" max="8" width="10" bestFit="1" customWidth="1"/>
    <col min="10" max="10" width="13.453125" customWidth="1"/>
    <col min="11" max="11" width="12.81640625" bestFit="1" customWidth="1"/>
    <col min="12" max="12" width="9.81640625" bestFit="1" customWidth="1"/>
    <col min="13" max="13" width="9" bestFit="1" customWidth="1"/>
    <col min="14" max="14" width="8.54296875" bestFit="1" customWidth="1"/>
    <col min="15" max="15" width="10.453125" bestFit="1" customWidth="1"/>
    <col min="16" max="16" width="11.26953125" bestFit="1" customWidth="1"/>
    <col min="17" max="17" width="12.54296875" bestFit="1" customWidth="1"/>
    <col min="18" max="18" width="11" bestFit="1" customWidth="1"/>
    <col min="19" max="19" width="11" customWidth="1"/>
  </cols>
  <sheetData>
    <row r="3" spans="3:21">
      <c r="T3" s="620" t="s">
        <v>151</v>
      </c>
      <c r="U3" s="620"/>
    </row>
    <row r="4" spans="3:21" ht="29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3</v>
      </c>
      <c r="E5">
        <f t="shared" ref="E5:E37" si="0">D5*90</f>
        <v>270</v>
      </c>
      <c r="F5">
        <f>'B5'!AM4</f>
        <v>14</v>
      </c>
      <c r="G5">
        <f t="shared" ref="G5:G37" si="1">F5*107</f>
        <v>1498</v>
      </c>
      <c r="H5">
        <f>GEN!Z3</f>
        <v>16</v>
      </c>
    </row>
    <row r="6" spans="3:21">
      <c r="C6" s="100">
        <v>42430</v>
      </c>
      <c r="D6">
        <f>'B5'!AL5</f>
        <v>4</v>
      </c>
      <c r="E6">
        <f t="shared" si="0"/>
        <v>360</v>
      </c>
      <c r="F6">
        <f>'B5'!AM5</f>
        <v>12</v>
      </c>
      <c r="G6">
        <f t="shared" si="1"/>
        <v>1284</v>
      </c>
    </row>
    <row r="7" spans="3:21">
      <c r="C7" s="100">
        <v>42431</v>
      </c>
      <c r="D7">
        <f>'B5'!AL6</f>
        <v>4</v>
      </c>
      <c r="E7">
        <f t="shared" si="0"/>
        <v>360</v>
      </c>
      <c r="F7">
        <f>'B5'!AM6</f>
        <v>11</v>
      </c>
      <c r="G7">
        <f t="shared" si="1"/>
        <v>1177</v>
      </c>
    </row>
    <row r="8" spans="3:21">
      <c r="C8" s="100">
        <v>42432</v>
      </c>
      <c r="D8">
        <f>'B5'!AL7</f>
        <v>3</v>
      </c>
      <c r="E8">
        <f t="shared" si="0"/>
        <v>270</v>
      </c>
      <c r="F8">
        <f>'B5'!AM7</f>
        <v>11</v>
      </c>
      <c r="G8">
        <f t="shared" si="1"/>
        <v>1177</v>
      </c>
    </row>
    <row r="9" spans="3:21">
      <c r="C9" s="100">
        <v>42433</v>
      </c>
      <c r="D9">
        <f>'B5'!AL8</f>
        <v>3</v>
      </c>
      <c r="E9">
        <f t="shared" si="0"/>
        <v>270</v>
      </c>
      <c r="F9">
        <f>'B5'!AM8</f>
        <v>14</v>
      </c>
      <c r="G9">
        <f t="shared" si="1"/>
        <v>1498</v>
      </c>
    </row>
    <row r="10" spans="3:21">
      <c r="C10" s="100">
        <v>42434</v>
      </c>
      <c r="D10">
        <f>'B5'!AL9</f>
        <v>6</v>
      </c>
      <c r="E10">
        <f t="shared" si="0"/>
        <v>540</v>
      </c>
      <c r="F10">
        <f>'B5'!AM9</f>
        <v>14</v>
      </c>
      <c r="G10">
        <f t="shared" si="1"/>
        <v>1498</v>
      </c>
    </row>
    <row r="11" spans="3:21">
      <c r="C11" s="100">
        <v>42435</v>
      </c>
      <c r="D11">
        <f>'B5'!AL10</f>
        <v>5</v>
      </c>
      <c r="E11">
        <f t="shared" si="0"/>
        <v>450</v>
      </c>
      <c r="F11">
        <f>'B5'!AM10</f>
        <v>13</v>
      </c>
      <c r="G11">
        <f t="shared" si="1"/>
        <v>1391</v>
      </c>
    </row>
    <row r="12" spans="3:21">
      <c r="C12" s="100">
        <v>42436</v>
      </c>
      <c r="D12">
        <f>'B5'!AL11</f>
        <v>3</v>
      </c>
      <c r="E12">
        <f t="shared" si="0"/>
        <v>270</v>
      </c>
      <c r="F12">
        <f>'B5'!AM11</f>
        <v>16</v>
      </c>
      <c r="G12">
        <f t="shared" si="1"/>
        <v>1712</v>
      </c>
    </row>
    <row r="13" spans="3:21">
      <c r="C13" s="100">
        <v>42437</v>
      </c>
      <c r="D13">
        <f>'B5'!AL12</f>
        <v>3</v>
      </c>
      <c r="E13">
        <f t="shared" si="0"/>
        <v>270</v>
      </c>
      <c r="F13">
        <f>'B5'!AM12</f>
        <v>12</v>
      </c>
      <c r="G13">
        <f t="shared" si="1"/>
        <v>1284</v>
      </c>
    </row>
    <row r="14" spans="3:21">
      <c r="C14" s="100">
        <v>42438</v>
      </c>
      <c r="D14">
        <f>'B5'!AL13</f>
        <v>4</v>
      </c>
      <c r="E14">
        <f t="shared" si="0"/>
        <v>360</v>
      </c>
      <c r="F14">
        <f>'B5'!AM13</f>
        <v>13</v>
      </c>
      <c r="G14">
        <f t="shared" si="1"/>
        <v>1391</v>
      </c>
    </row>
    <row r="15" spans="3:21">
      <c r="C15" s="100">
        <v>42439</v>
      </c>
      <c r="D15">
        <f>'B5'!AL14</f>
        <v>3</v>
      </c>
      <c r="E15">
        <f t="shared" si="0"/>
        <v>270</v>
      </c>
      <c r="F15">
        <f>'B5'!AM14</f>
        <v>13</v>
      </c>
      <c r="G15">
        <f t="shared" si="1"/>
        <v>1391</v>
      </c>
    </row>
    <row r="16" spans="3:21">
      <c r="C16" s="100">
        <v>42440</v>
      </c>
      <c r="D16">
        <f>'B5'!AL15</f>
        <v>5</v>
      </c>
      <c r="E16">
        <f t="shared" si="0"/>
        <v>450</v>
      </c>
      <c r="F16">
        <f>'B5'!AM15</f>
        <v>10</v>
      </c>
      <c r="G16">
        <f t="shared" si="1"/>
        <v>1070</v>
      </c>
    </row>
    <row r="17" spans="3:7">
      <c r="C17" s="100">
        <v>42441</v>
      </c>
      <c r="D17">
        <f>'B5'!AL16</f>
        <v>3</v>
      </c>
      <c r="E17">
        <f t="shared" si="0"/>
        <v>270</v>
      </c>
      <c r="F17">
        <f>'B5'!AM16</f>
        <v>12</v>
      </c>
      <c r="G17">
        <f t="shared" si="1"/>
        <v>1284</v>
      </c>
    </row>
    <row r="18" spans="3:7">
      <c r="C18" s="100">
        <v>42442</v>
      </c>
      <c r="D18">
        <f>'B5'!AL17</f>
        <v>4</v>
      </c>
      <c r="E18">
        <f t="shared" si="0"/>
        <v>360</v>
      </c>
      <c r="F18">
        <f>'B5'!AM17</f>
        <v>13</v>
      </c>
      <c r="G18">
        <f t="shared" si="1"/>
        <v>1391</v>
      </c>
    </row>
    <row r="19" spans="3:7">
      <c r="C19" s="100">
        <v>42443</v>
      </c>
      <c r="D19">
        <f>'B5'!AL18</f>
        <v>2</v>
      </c>
      <c r="E19">
        <f t="shared" si="0"/>
        <v>180</v>
      </c>
      <c r="F19">
        <f>'B5'!AM18</f>
        <v>10</v>
      </c>
      <c r="G19">
        <f t="shared" si="1"/>
        <v>1070</v>
      </c>
    </row>
    <row r="20" spans="3:7">
      <c r="C20" s="100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100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100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100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44"/>
  <sheetViews>
    <sheetView topLeftCell="G14" zoomScale="80" zoomScaleNormal="80" workbookViewId="0">
      <selection activeCell="V17" sqref="V17"/>
    </sheetView>
  </sheetViews>
  <sheetFormatPr defaultRowHeight="14.5"/>
  <cols>
    <col min="1" max="1" width="15.54296875" customWidth="1"/>
    <col min="2" max="5" width="17.54296875" customWidth="1"/>
    <col min="6" max="7" width="17.453125" customWidth="1"/>
    <col min="8" max="9" width="16.1796875" customWidth="1"/>
    <col min="10" max="10" width="22" customWidth="1"/>
    <col min="11" max="11" width="11.453125" customWidth="1"/>
    <col min="12" max="12" width="15.1796875" bestFit="1" customWidth="1"/>
    <col min="13" max="13" width="19.1796875" bestFit="1" customWidth="1"/>
    <col min="14" max="14" width="15.1796875" bestFit="1" customWidth="1"/>
    <col min="15" max="15" width="13.81640625" bestFit="1" customWidth="1"/>
    <col min="16" max="16" width="12.81640625" customWidth="1"/>
    <col min="17" max="17" width="14.26953125" customWidth="1"/>
    <col min="18" max="18" width="13.453125" bestFit="1" customWidth="1"/>
    <col min="19" max="19" width="13.7265625" style="311" customWidth="1"/>
    <col min="20" max="20" width="10.26953125" style="362" customWidth="1"/>
    <col min="22" max="22" width="23.26953125" bestFit="1" customWidth="1"/>
    <col min="23" max="23" width="14.81640625" bestFit="1" customWidth="1"/>
    <col min="24" max="24" width="10.26953125" bestFit="1" customWidth="1"/>
    <col min="25" max="25" width="12.453125" bestFit="1" customWidth="1"/>
    <col min="26" max="26" width="15.81640625" bestFit="1" customWidth="1"/>
    <col min="27" max="27" width="18.7265625" bestFit="1" customWidth="1"/>
    <col min="28" max="28" width="23.54296875" bestFit="1" customWidth="1"/>
    <col min="29" max="29" width="14.26953125" customWidth="1"/>
    <col min="30" max="30" width="8.453125" bestFit="1" customWidth="1"/>
    <col min="31" max="31" width="14.26953125" bestFit="1" customWidth="1"/>
    <col min="32" max="32" width="17" bestFit="1" customWidth="1"/>
    <col min="33" max="33" width="10.26953125" bestFit="1" customWidth="1"/>
  </cols>
  <sheetData>
    <row r="1" spans="1:30">
      <c r="A1" s="167" t="s">
        <v>51</v>
      </c>
      <c r="B1" s="167" t="s">
        <v>196</v>
      </c>
      <c r="C1" s="167" t="s">
        <v>200</v>
      </c>
      <c r="D1" s="167"/>
      <c r="E1" s="167"/>
      <c r="F1" s="167" t="s">
        <v>197</v>
      </c>
      <c r="G1" s="167">
        <v>320</v>
      </c>
      <c r="H1" s="167" t="s">
        <v>198</v>
      </c>
      <c r="I1" s="167">
        <v>112</v>
      </c>
      <c r="J1" s="167" t="s">
        <v>199</v>
      </c>
      <c r="K1" s="167">
        <v>80</v>
      </c>
      <c r="L1" s="167"/>
      <c r="M1" s="167"/>
      <c r="N1" s="167"/>
      <c r="O1" s="167"/>
      <c r="P1" s="167"/>
      <c r="Q1" s="167"/>
      <c r="R1" s="167"/>
      <c r="S1" s="321"/>
      <c r="T1" s="359"/>
    </row>
    <row r="2" spans="1:30">
      <c r="A2" s="167"/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 t="s">
        <v>365</v>
      </c>
      <c r="M2" s="167" t="s">
        <v>366</v>
      </c>
      <c r="N2" s="167" t="s">
        <v>367</v>
      </c>
      <c r="O2" s="167" t="s">
        <v>368</v>
      </c>
      <c r="P2" s="167" t="s">
        <v>369</v>
      </c>
      <c r="Q2" s="167" t="s">
        <v>370</v>
      </c>
      <c r="R2" s="167" t="s">
        <v>371</v>
      </c>
      <c r="S2" s="321"/>
      <c r="T2" s="359"/>
    </row>
    <row r="3" spans="1:30" ht="15" thickBot="1">
      <c r="A3" s="166">
        <f>ELEC!C2</f>
        <v>43738</v>
      </c>
      <c r="B3" s="275">
        <f>'[1]EDl log'!B33</f>
        <v>48545102</v>
      </c>
      <c r="C3" s="275">
        <f>'[1]EDl log'!C33</f>
        <v>11957</v>
      </c>
      <c r="D3" s="275">
        <f>'[1]EDl log'!D33</f>
        <v>11958</v>
      </c>
      <c r="E3" s="275">
        <f>'[1]EDl log'!E33</f>
        <v>48545103</v>
      </c>
      <c r="F3" s="275">
        <f>'[1]EDl log'!F33</f>
        <v>7793608</v>
      </c>
      <c r="G3" s="275">
        <f>'[1]EDl log'!G33</f>
        <v>1958</v>
      </c>
      <c r="H3" s="275">
        <f>'[1]EDl log'!H33</f>
        <v>23918965</v>
      </c>
      <c r="I3" s="275">
        <f>'[1]EDl log'!I33</f>
        <v>4611</v>
      </c>
      <c r="J3" s="275">
        <f>'[1]EDl log'!J33</f>
        <v>16832530</v>
      </c>
      <c r="K3" s="275">
        <f>'[1]EDl log'!K33</f>
        <v>5389</v>
      </c>
      <c r="L3" s="275">
        <f>'[1]EDl log'!L33</f>
        <v>415.62852404643451</v>
      </c>
      <c r="M3" s="275">
        <f>'[1]EDl log'!M33</f>
        <v>342.57512437810948</v>
      </c>
      <c r="N3" s="275">
        <f>'[1]EDl log'!N33</f>
        <v>285.98341625207297</v>
      </c>
      <c r="O3" s="275">
        <f>'[1]EDl log'!O33</f>
        <v>159.96313985627418</v>
      </c>
      <c r="P3" s="275">
        <f>'[1]EDl log'!P33</f>
        <v>1204.1502045328912</v>
      </c>
      <c r="Q3" s="275">
        <f>'[1]EDl log'!Q33</f>
        <v>846.74360595482324</v>
      </c>
      <c r="R3" s="275">
        <f>'[1]EDl log'!R33</f>
        <v>2050.8938104877143</v>
      </c>
      <c r="S3" s="275">
        <f>'[1]EDl log'!S33</f>
        <v>33578.799999999814</v>
      </c>
      <c r="T3" s="275">
        <f>'[1]EDl log'!T33</f>
        <v>6.1077042970199225E-2</v>
      </c>
      <c r="Z3" t="s">
        <v>214</v>
      </c>
      <c r="AA3">
        <v>0.1</v>
      </c>
    </row>
    <row r="4" spans="1:30">
      <c r="A4" s="166">
        <f>ELEC!C3</f>
        <v>43739</v>
      </c>
      <c r="B4" s="420">
        <v>48555297</v>
      </c>
      <c r="C4" s="285">
        <f>SUM(B4-B3)</f>
        <v>10195</v>
      </c>
      <c r="D4" s="332">
        <f>SUM(G4+I4+K4)</f>
        <v>10195</v>
      </c>
      <c r="E4" s="332">
        <f>B3+D4</f>
        <v>48555297</v>
      </c>
      <c r="F4" s="574">
        <v>7794947</v>
      </c>
      <c r="G4" s="163">
        <f t="shared" ref="G4:G32" si="0">F4-F3</f>
        <v>1339</v>
      </c>
      <c r="H4" s="574">
        <v>23924482</v>
      </c>
      <c r="I4" s="164">
        <f t="shared" ref="I4:I33" si="1">H4-H3</f>
        <v>5517</v>
      </c>
      <c r="J4" s="574">
        <v>16835869</v>
      </c>
      <c r="K4" s="165">
        <f t="shared" ref="K4:K33" si="2">J4-J3</f>
        <v>3339</v>
      </c>
      <c r="L4" s="318">
        <f>SUM(G4*$Y$28)/1507.5</f>
        <v>284.23217247097847</v>
      </c>
      <c r="M4" s="318">
        <f>SUM(I4*$Y$27)/1507.5</f>
        <v>409.8865671641791</v>
      </c>
      <c r="N4" s="318">
        <f>SUM(K4*$Y$26)/1507.5</f>
        <v>177.19402985074626</v>
      </c>
      <c r="O4" s="318">
        <f>($AC$31/$A$38)/1507.5</f>
        <v>69.911049677039713</v>
      </c>
      <c r="P4" s="319">
        <f>SUM(L4:O4)</f>
        <v>941.22381916294353</v>
      </c>
      <c r="Q4" s="319">
        <f>SUM(-tanks!AX6*tanks!$AU$37)</f>
        <v>2316.3564079677549</v>
      </c>
      <c r="R4" s="319">
        <f>SUM(P4:Q4)</f>
        <v>3257.5802271306984</v>
      </c>
      <c r="S4" s="322">
        <f>SUM(ELEC!N3)</f>
        <v>30214</v>
      </c>
      <c r="T4" s="360">
        <f>IF(S4&gt;0,R4/S4,0)</f>
        <v>0.10781691358743292</v>
      </c>
      <c r="U4" s="260"/>
      <c r="V4" s="261" t="str">
        <f>'[5]EDl log'!V21</f>
        <v xml:space="preserve">EDL </v>
      </c>
      <c r="W4" s="170">
        <v>43709</v>
      </c>
      <c r="X4" s="172"/>
      <c r="Y4" s="172"/>
      <c r="Z4" s="172" t="s">
        <v>202</v>
      </c>
      <c r="AA4" s="172"/>
      <c r="AB4" s="631"/>
      <c r="AC4" s="632"/>
    </row>
    <row r="5" spans="1:30">
      <c r="A5" s="166">
        <f>ELEC!C4</f>
        <v>43740</v>
      </c>
      <c r="B5" s="574">
        <v>48566514</v>
      </c>
      <c r="C5" s="275">
        <f t="shared" ref="C5:C33" si="3">SUM(B5-B4)</f>
        <v>11217</v>
      </c>
      <c r="D5" s="332">
        <f t="shared" ref="D5:D33" si="4">SUM(G5+I5+K5)</f>
        <v>11217</v>
      </c>
      <c r="E5" s="332">
        <f>B4+D5</f>
        <v>48566514</v>
      </c>
      <c r="F5" s="574">
        <v>7796692</v>
      </c>
      <c r="G5" s="163">
        <f t="shared" si="0"/>
        <v>1745</v>
      </c>
      <c r="H5" s="574">
        <v>23928544</v>
      </c>
      <c r="I5" s="164">
        <f t="shared" si="1"/>
        <v>4062</v>
      </c>
      <c r="J5" s="574">
        <v>16841279</v>
      </c>
      <c r="K5" s="165">
        <f t="shared" si="2"/>
        <v>5410</v>
      </c>
      <c r="L5" s="318">
        <f t="shared" ref="L5:L32" si="5">SUM(G5*$Y$28)/1507.5</f>
        <v>370.41459369817579</v>
      </c>
      <c r="M5" s="318">
        <f t="shared" ref="M5:M33" si="6">SUM(I5*$Y$27)/1507.5</f>
        <v>301.78706467661692</v>
      </c>
      <c r="N5" s="318">
        <f t="shared" ref="N5:N33" si="7">SUM(K5*$Y$26)/1507.5</f>
        <v>287.09784411276951</v>
      </c>
      <c r="O5" s="318">
        <f t="shared" ref="O5:O34" si="8">($AC$31/$A$38)/1507.5</f>
        <v>69.911049677039713</v>
      </c>
      <c r="P5" s="319">
        <f t="shared" ref="P5:P32" si="9">SUM(L5:O5)</f>
        <v>1029.2105521646019</v>
      </c>
      <c r="Q5" s="319">
        <f>SUM(-tanks!AX7*tanks!$AU$37)</f>
        <v>1914.1563529677589</v>
      </c>
      <c r="R5" s="319">
        <f t="shared" ref="R5:R32" si="10">SUM(P5:Q5)</f>
        <v>2943.3669051323609</v>
      </c>
      <c r="S5" s="322">
        <f>SUM(ELEC!N4)</f>
        <v>32504</v>
      </c>
      <c r="T5" s="360">
        <f t="shared" ref="T5:T32" si="11">IF(S5&gt;0,R5/S5,0)</f>
        <v>9.0553990436018986E-2</v>
      </c>
      <c r="U5" s="260"/>
      <c r="V5" s="625"/>
      <c r="W5" s="626"/>
      <c r="X5" s="626"/>
      <c r="Y5" s="627"/>
      <c r="Z5" s="26" t="s">
        <v>203</v>
      </c>
      <c r="AA5" s="275">
        <f>'[3]EDl log'!AA5</f>
        <v>5000</v>
      </c>
      <c r="AB5" s="633"/>
      <c r="AC5" s="634"/>
    </row>
    <row r="6" spans="1:30">
      <c r="A6" s="166">
        <f>ELEC!C5</f>
        <v>43741</v>
      </c>
      <c r="B6" s="574">
        <v>48576202</v>
      </c>
      <c r="C6" s="275">
        <f t="shared" si="3"/>
        <v>9688</v>
      </c>
      <c r="D6" s="332">
        <f t="shared" si="4"/>
        <v>9687</v>
      </c>
      <c r="E6" s="332">
        <f t="shared" ref="E6:E33" si="12">B5+D6</f>
        <v>48576201</v>
      </c>
      <c r="F6" s="574">
        <v>7798107</v>
      </c>
      <c r="G6" s="163">
        <f t="shared" si="0"/>
        <v>1415</v>
      </c>
      <c r="H6" s="574">
        <v>23934118</v>
      </c>
      <c r="I6" s="164">
        <f t="shared" si="1"/>
        <v>5574</v>
      </c>
      <c r="J6" s="574">
        <v>16843977</v>
      </c>
      <c r="K6" s="165">
        <f t="shared" si="2"/>
        <v>2698</v>
      </c>
      <c r="L6" s="318">
        <f t="shared" si="5"/>
        <v>300.3648424543947</v>
      </c>
      <c r="M6" s="318">
        <f t="shared" si="6"/>
        <v>414.12139303482587</v>
      </c>
      <c r="N6" s="318">
        <f t="shared" si="7"/>
        <v>143.17744610281923</v>
      </c>
      <c r="O6" s="318">
        <f t="shared" si="8"/>
        <v>69.911049677039713</v>
      </c>
      <c r="P6" s="319">
        <f t="shared" si="9"/>
        <v>927.57473126907951</v>
      </c>
      <c r="Q6" s="319">
        <f>SUM(-tanks!AX8*tanks!$AU$37)</f>
        <v>2076.8334823225628</v>
      </c>
      <c r="R6" s="319">
        <f t="shared" si="10"/>
        <v>3004.4082135916424</v>
      </c>
      <c r="S6" s="322">
        <f>SUM(ELEC!N5)</f>
        <v>29402</v>
      </c>
      <c r="T6" s="360">
        <f t="shared" si="11"/>
        <v>0.10218380428513851</v>
      </c>
      <c r="V6" s="628"/>
      <c r="W6" s="629"/>
      <c r="X6" s="629"/>
      <c r="Y6" s="630"/>
      <c r="Z6" s="3"/>
      <c r="AA6" s="3"/>
      <c r="AB6" s="633"/>
      <c r="AC6" s="634"/>
    </row>
    <row r="7" spans="1:30" ht="15" customHeight="1">
      <c r="A7" s="166">
        <f>ELEC!C6</f>
        <v>43742</v>
      </c>
      <c r="B7" s="574">
        <v>48588940</v>
      </c>
      <c r="C7" s="275">
        <f t="shared" si="3"/>
        <v>12738</v>
      </c>
      <c r="D7" s="332">
        <f t="shared" si="4"/>
        <v>12740</v>
      </c>
      <c r="E7" s="332">
        <f t="shared" si="12"/>
        <v>48588942</v>
      </c>
      <c r="F7" s="574">
        <v>7801002</v>
      </c>
      <c r="G7" s="163">
        <f t="shared" si="0"/>
        <v>2895</v>
      </c>
      <c r="H7" s="574">
        <v>23939193</v>
      </c>
      <c r="I7" s="164">
        <f t="shared" si="1"/>
        <v>5075</v>
      </c>
      <c r="J7" s="574">
        <v>16848747</v>
      </c>
      <c r="K7" s="165">
        <f t="shared" si="2"/>
        <v>4770</v>
      </c>
      <c r="L7" s="318">
        <f t="shared" si="5"/>
        <v>614.5273631840796</v>
      </c>
      <c r="M7" s="318">
        <f t="shared" si="6"/>
        <v>377.04809286898842</v>
      </c>
      <c r="N7" s="318">
        <f t="shared" si="7"/>
        <v>253.13432835820896</v>
      </c>
      <c r="O7" s="318">
        <f t="shared" si="8"/>
        <v>69.911049677039713</v>
      </c>
      <c r="P7" s="319">
        <f t="shared" si="9"/>
        <v>1314.6208340883168</v>
      </c>
      <c r="Q7" s="319">
        <f>SUM(-tanks!AX9*tanks!$AU$37)</f>
        <v>166.15283403225382</v>
      </c>
      <c r="R7" s="319">
        <f t="shared" si="10"/>
        <v>1480.7736681205706</v>
      </c>
      <c r="S7" s="322">
        <f>SUM(ELEC!N6)</f>
        <v>32164</v>
      </c>
      <c r="T7" s="360">
        <f t="shared" si="11"/>
        <v>4.6038231193899097E-2</v>
      </c>
      <c r="V7" s="621" t="s">
        <v>204</v>
      </c>
      <c r="W7" s="622"/>
      <c r="X7" s="623" t="s">
        <v>205</v>
      </c>
      <c r="Y7" s="624"/>
      <c r="Z7" s="622"/>
      <c r="AA7" s="26"/>
      <c r="AB7" s="635"/>
      <c r="AC7" s="636"/>
    </row>
    <row r="8" spans="1:30" ht="15.75" customHeight="1">
      <c r="A8" s="166">
        <f>ELEC!C7</f>
        <v>43743</v>
      </c>
      <c r="B8" s="574">
        <v>48602600</v>
      </c>
      <c r="C8" s="275">
        <f t="shared" si="3"/>
        <v>13660</v>
      </c>
      <c r="D8" s="332">
        <f t="shared" si="4"/>
        <v>13660</v>
      </c>
      <c r="E8" s="332">
        <f t="shared" si="12"/>
        <v>48602600</v>
      </c>
      <c r="F8" s="574">
        <v>7803709</v>
      </c>
      <c r="G8" s="163">
        <f t="shared" si="0"/>
        <v>2707</v>
      </c>
      <c r="H8" s="574">
        <v>23945117</v>
      </c>
      <c r="I8" s="164">
        <f t="shared" si="1"/>
        <v>5924</v>
      </c>
      <c r="J8" s="574">
        <v>16853776</v>
      </c>
      <c r="K8" s="165">
        <f>J8-J7</f>
        <v>5029</v>
      </c>
      <c r="L8" s="318">
        <f>SUM(G8*$Y$28)/1507.5</f>
        <v>574.62023217247099</v>
      </c>
      <c r="M8" s="318">
        <f>SUM(I8*$Y$27)/1507.5</f>
        <v>440.12470978441127</v>
      </c>
      <c r="N8" s="318">
        <f>SUM(K8*$Y$26)/1507.5</f>
        <v>266.87893864013267</v>
      </c>
      <c r="O8" s="318">
        <f t="shared" si="8"/>
        <v>69.911049677039713</v>
      </c>
      <c r="P8" s="319">
        <f t="shared" si="9"/>
        <v>1351.5349302740547</v>
      </c>
      <c r="Q8" s="319">
        <f>SUM(-tanks!AX10*tanks!$AU$37)</f>
        <v>1077.0704685483906</v>
      </c>
      <c r="R8" s="319">
        <f t="shared" si="10"/>
        <v>2428.6053988224453</v>
      </c>
      <c r="S8" s="322">
        <f>SUM(ELEC!N7)</f>
        <v>31146</v>
      </c>
      <c r="T8" s="360">
        <f>IF(S8&gt;0,R8/S8,0)</f>
        <v>7.7974873140128603E-2</v>
      </c>
      <c r="V8" s="265" t="s">
        <v>206</v>
      </c>
      <c r="W8" s="266" t="s">
        <v>207</v>
      </c>
      <c r="X8" s="266"/>
      <c r="Y8" s="266" t="s">
        <v>208</v>
      </c>
      <c r="Z8" s="26" t="s">
        <v>209</v>
      </c>
      <c r="AA8" s="26" t="s">
        <v>210</v>
      </c>
      <c r="AB8" s="26" t="s">
        <v>211</v>
      </c>
      <c r="AC8" s="262" t="s">
        <v>212</v>
      </c>
    </row>
    <row r="9" spans="1:30">
      <c r="A9" s="166">
        <f>ELEC!C8</f>
        <v>43744</v>
      </c>
      <c r="B9" s="574">
        <v>48613841</v>
      </c>
      <c r="C9" s="275">
        <f t="shared" si="3"/>
        <v>11241</v>
      </c>
      <c r="D9" s="332">
        <f t="shared" si="4"/>
        <v>11241</v>
      </c>
      <c r="E9" s="332">
        <f t="shared" si="12"/>
        <v>48613841</v>
      </c>
      <c r="F9" s="574">
        <v>7806159</v>
      </c>
      <c r="G9" s="163">
        <f t="shared" si="0"/>
        <v>2450</v>
      </c>
      <c r="H9" s="574">
        <v>23950147</v>
      </c>
      <c r="I9" s="164">
        <f t="shared" si="1"/>
        <v>5030</v>
      </c>
      <c r="J9" s="574">
        <v>16857537</v>
      </c>
      <c r="K9" s="165">
        <f>J9-J8</f>
        <v>3761</v>
      </c>
      <c r="L9" s="318">
        <f>SUM(G9*$Y$28)/1507.5</f>
        <v>520.06633499170812</v>
      </c>
      <c r="M9" s="318">
        <f>SUM(I9*$Y$27)/1507.5</f>
        <v>373.70480928689886</v>
      </c>
      <c r="N9" s="318">
        <f>SUM(K9*$Y$26)/1507.5</f>
        <v>199.58872305140963</v>
      </c>
      <c r="O9" s="318">
        <f t="shared" si="8"/>
        <v>69.911049677039713</v>
      </c>
      <c r="P9" s="319">
        <f t="shared" si="9"/>
        <v>1163.2709170070564</v>
      </c>
      <c r="Q9" s="319">
        <f>SUM(-tanks!AX11*tanks!$AU$37)</f>
        <v>811.64867883869658</v>
      </c>
      <c r="R9" s="319">
        <f>SUM(P9:Q9)</f>
        <v>1974.9195958457531</v>
      </c>
      <c r="S9" s="322">
        <f>SUM(ELEC!N8)</f>
        <v>26276.799999999814</v>
      </c>
      <c r="T9" s="360">
        <f t="shared" si="11"/>
        <v>7.5158299178201576E-2</v>
      </c>
      <c r="V9" s="275">
        <f>'[1]EDl log'!V26</f>
        <v>16691706</v>
      </c>
      <c r="W9" s="275">
        <f>'[1]EDl log'!W26</f>
        <v>16832530</v>
      </c>
      <c r="X9" s="275" t="str">
        <f>'[1]EDl log'!X26</f>
        <v>Night</v>
      </c>
      <c r="Y9" s="275">
        <f>'[1]EDl log'!Y26</f>
        <v>80</v>
      </c>
      <c r="Z9" s="275">
        <f>'[1]EDl log'!Z26</f>
        <v>1</v>
      </c>
      <c r="AA9" s="275">
        <f>'[1]EDl log'!AA26</f>
        <v>140824</v>
      </c>
      <c r="AB9" s="275">
        <f>'[1]EDl log'!AB26</f>
        <v>11265920</v>
      </c>
      <c r="AC9" s="275">
        <f>'[1]EDl log'!AC26</f>
        <v>1033333</v>
      </c>
      <c r="AD9" s="571">
        <f>'[1]EDl log'!AD26</f>
        <v>0.32487300276371822</v>
      </c>
    </row>
    <row r="10" spans="1:30">
      <c r="A10" s="166">
        <f>ELEC!C9</f>
        <v>43745</v>
      </c>
      <c r="B10" s="574">
        <v>48626346</v>
      </c>
      <c r="C10" s="275">
        <f t="shared" si="3"/>
        <v>12505</v>
      </c>
      <c r="D10" s="332">
        <f t="shared" si="4"/>
        <v>12504</v>
      </c>
      <c r="E10" s="332">
        <f t="shared" si="12"/>
        <v>48626345</v>
      </c>
      <c r="F10" s="574">
        <v>7808871</v>
      </c>
      <c r="G10" s="163">
        <f t="shared" si="0"/>
        <v>2712</v>
      </c>
      <c r="H10" s="574">
        <v>23956805</v>
      </c>
      <c r="I10" s="164">
        <f t="shared" si="1"/>
        <v>6658</v>
      </c>
      <c r="J10" s="574">
        <v>16860671</v>
      </c>
      <c r="K10" s="165">
        <f t="shared" si="2"/>
        <v>3134</v>
      </c>
      <c r="L10" s="318">
        <f t="shared" si="5"/>
        <v>575.68159203980099</v>
      </c>
      <c r="M10" s="318">
        <f t="shared" si="6"/>
        <v>494.65737976782754</v>
      </c>
      <c r="N10" s="318">
        <f t="shared" si="7"/>
        <v>166.31509121061359</v>
      </c>
      <c r="O10" s="318">
        <f t="shared" si="8"/>
        <v>69.911049677039713</v>
      </c>
      <c r="P10" s="319">
        <f t="shared" si="9"/>
        <v>1306.5651126952819</v>
      </c>
      <c r="Q10" s="319">
        <f>SUM(-tanks!AX12*tanks!$AU$37)</f>
        <v>1002.5099701935571</v>
      </c>
      <c r="R10" s="319">
        <f t="shared" si="10"/>
        <v>2309.075082888839</v>
      </c>
      <c r="S10" s="322">
        <f>SUM(ELEC!N9)</f>
        <v>29097.400000000373</v>
      </c>
      <c r="T10" s="360">
        <f t="shared" si="11"/>
        <v>7.9356749499570736E-2</v>
      </c>
      <c r="V10" s="275">
        <f>'[1]EDl log'!V27</f>
        <v>23691796</v>
      </c>
      <c r="W10" s="275">
        <f>'[1]EDl log'!W27</f>
        <v>23918965</v>
      </c>
      <c r="X10" s="275" t="str">
        <f>'[1]EDl log'!X27</f>
        <v>day</v>
      </c>
      <c r="Y10" s="275">
        <f>'[1]EDl log'!Y27</f>
        <v>112</v>
      </c>
      <c r="Z10" s="275">
        <f>'[1]EDl log'!Z27</f>
        <v>1</v>
      </c>
      <c r="AA10" s="275">
        <f>'[1]EDl log'!AA27</f>
        <v>227169</v>
      </c>
      <c r="AB10" s="275">
        <f>'[1]EDl log'!AB27</f>
        <v>25442928</v>
      </c>
      <c r="AC10" s="275">
        <f>'[1]EDl log'!AC27</f>
        <v>6200000</v>
      </c>
      <c r="AD10" s="571">
        <f>'[1]EDl log'!AD27</f>
        <v>0.52406603394897966</v>
      </c>
    </row>
    <row r="11" spans="1:30">
      <c r="A11" s="166">
        <f>ELEC!C10</f>
        <v>43746</v>
      </c>
      <c r="B11" s="574">
        <v>48638636</v>
      </c>
      <c r="C11" s="275">
        <f t="shared" si="3"/>
        <v>12290</v>
      </c>
      <c r="D11" s="332">
        <f>SUM(G11+I11+K11)</f>
        <v>12291</v>
      </c>
      <c r="E11" s="332">
        <f t="shared" si="12"/>
        <v>48638637</v>
      </c>
      <c r="F11" s="574">
        <v>7811162</v>
      </c>
      <c r="G11" s="163">
        <f t="shared" si="0"/>
        <v>2291</v>
      </c>
      <c r="H11" s="574">
        <v>23962383</v>
      </c>
      <c r="I11" s="164">
        <f t="shared" si="1"/>
        <v>5578</v>
      </c>
      <c r="J11" s="574">
        <v>16865093</v>
      </c>
      <c r="K11" s="165">
        <f t="shared" si="2"/>
        <v>4422</v>
      </c>
      <c r="L11" s="318">
        <f t="shared" si="5"/>
        <v>486.31509121061362</v>
      </c>
      <c r="M11" s="318">
        <f t="shared" si="6"/>
        <v>414.41857379767828</v>
      </c>
      <c r="N11" s="318">
        <f t="shared" si="7"/>
        <v>234.66666666666666</v>
      </c>
      <c r="O11" s="318">
        <f t="shared" si="8"/>
        <v>69.911049677039713</v>
      </c>
      <c r="P11" s="319">
        <f t="shared" si="9"/>
        <v>1205.3113813519983</v>
      </c>
      <c r="Q11" s="319">
        <f>SUM(-tanks!AX13*tanks!$AU$37)</f>
        <v>940.72556083871336</v>
      </c>
      <c r="R11" s="319">
        <f t="shared" si="10"/>
        <v>2146.0369421907117</v>
      </c>
      <c r="S11" s="322">
        <f>SUM(ELEC!N10)</f>
        <v>28488.599999999627</v>
      </c>
      <c r="T11" s="360">
        <f t="shared" si="11"/>
        <v>7.5329673700734318E-2</v>
      </c>
      <c r="V11" s="275">
        <f>'[1]EDl log'!V28</f>
        <v>7728133</v>
      </c>
      <c r="W11" s="275">
        <f>'[1]EDl log'!W28</f>
        <v>7793608</v>
      </c>
      <c r="X11" s="275" t="str">
        <f>'[1]EDl log'!X28</f>
        <v>Peak</v>
      </c>
      <c r="Y11" s="275">
        <f>'[1]EDl log'!Y28</f>
        <v>320</v>
      </c>
      <c r="Z11" s="275">
        <f>'[1]EDl log'!Z28</f>
        <v>1</v>
      </c>
      <c r="AA11" s="275">
        <f>'[1]EDl log'!AA28</f>
        <v>65475</v>
      </c>
      <c r="AB11" s="275">
        <f>'[1]EDl log'!AB28</f>
        <v>20952000</v>
      </c>
      <c r="AC11" s="275">
        <f>'[1]EDl log'!AC28</f>
        <v>1000</v>
      </c>
      <c r="AD11" s="571">
        <f>'[1]EDl log'!AD28</f>
        <v>0.15104712162667197</v>
      </c>
    </row>
    <row r="12" spans="1:30">
      <c r="A12" s="166">
        <f>ELEC!C11</f>
        <v>43747</v>
      </c>
      <c r="B12" s="574">
        <v>48652016</v>
      </c>
      <c r="C12" s="275">
        <f t="shared" si="3"/>
        <v>13380</v>
      </c>
      <c r="D12" s="332">
        <f t="shared" si="4"/>
        <v>13379</v>
      </c>
      <c r="E12" s="332">
        <f t="shared" si="12"/>
        <v>48652015</v>
      </c>
      <c r="F12" s="574">
        <v>7813947</v>
      </c>
      <c r="G12" s="163">
        <f t="shared" si="0"/>
        <v>2785</v>
      </c>
      <c r="H12" s="574">
        <v>23968573</v>
      </c>
      <c r="I12" s="164">
        <f t="shared" si="1"/>
        <v>6190</v>
      </c>
      <c r="J12" s="574">
        <v>16869497</v>
      </c>
      <c r="K12" s="165">
        <f t="shared" si="2"/>
        <v>4404</v>
      </c>
      <c r="L12" s="318">
        <f t="shared" si="5"/>
        <v>591.1774461028192</v>
      </c>
      <c r="M12" s="318">
        <f t="shared" si="6"/>
        <v>459.88723051409619</v>
      </c>
      <c r="N12" s="318">
        <f t="shared" si="7"/>
        <v>233.71144278606965</v>
      </c>
      <c r="O12" s="318">
        <f t="shared" si="8"/>
        <v>69.911049677039713</v>
      </c>
      <c r="P12" s="319">
        <f t="shared" si="9"/>
        <v>1354.6871690800249</v>
      </c>
      <c r="Q12" s="319">
        <f>SUM(-tanks!AX14*tanks!$AU$37)</f>
        <v>1030.5296331935403</v>
      </c>
      <c r="R12" s="319">
        <f t="shared" si="10"/>
        <v>2385.216802273565</v>
      </c>
      <c r="S12" s="322">
        <f>SUM(ELEC!N11)</f>
        <v>30559.400000000373</v>
      </c>
      <c r="T12" s="360">
        <f t="shared" si="11"/>
        <v>7.8051820463541033E-2</v>
      </c>
      <c r="V12" s="275">
        <f>'[6]EDl log'!V29</f>
        <v>0</v>
      </c>
      <c r="W12" s="275">
        <f>'[6]EDl log'!W29</f>
        <v>0</v>
      </c>
      <c r="X12" s="3"/>
      <c r="Y12" s="3"/>
      <c r="Z12" s="28"/>
      <c r="AA12" s="275">
        <f>'[1]EDl log'!AA29</f>
        <v>433468</v>
      </c>
      <c r="AB12" s="276"/>
      <c r="AC12" s="275">
        <f>'[7]EDl log'!AC29</f>
        <v>0</v>
      </c>
    </row>
    <row r="13" spans="1:30">
      <c r="A13" s="166">
        <f>ELEC!C12</f>
        <v>43748</v>
      </c>
      <c r="B13" s="574">
        <v>48664926</v>
      </c>
      <c r="C13" s="275">
        <f t="shared" si="3"/>
        <v>12910</v>
      </c>
      <c r="D13" s="332">
        <f t="shared" si="4"/>
        <v>12911</v>
      </c>
      <c r="E13" s="332">
        <f t="shared" si="12"/>
        <v>48664927</v>
      </c>
      <c r="F13" s="574">
        <v>7815702</v>
      </c>
      <c r="G13" s="163">
        <f t="shared" si="0"/>
        <v>1755</v>
      </c>
      <c r="H13" s="574">
        <v>23974792</v>
      </c>
      <c r="I13" s="164">
        <f t="shared" si="1"/>
        <v>6219</v>
      </c>
      <c r="J13" s="574">
        <v>16874434</v>
      </c>
      <c r="K13" s="165">
        <f t="shared" si="2"/>
        <v>4937</v>
      </c>
      <c r="L13" s="318">
        <f t="shared" si="5"/>
        <v>372.53731343283584</v>
      </c>
      <c r="M13" s="318">
        <f t="shared" si="6"/>
        <v>462.04179104477612</v>
      </c>
      <c r="N13" s="318">
        <f t="shared" si="7"/>
        <v>261.99668325041461</v>
      </c>
      <c r="O13" s="318">
        <f t="shared" si="8"/>
        <v>69.911049677039713</v>
      </c>
      <c r="P13" s="319">
        <f t="shared" si="9"/>
        <v>1166.4868374050664</v>
      </c>
      <c r="Q13" s="319">
        <f>SUM(-tanks!AX15*tanks!$AU$37)</f>
        <v>1557.8214492580792</v>
      </c>
      <c r="R13" s="319">
        <f t="shared" si="10"/>
        <v>2724.3082866631457</v>
      </c>
      <c r="S13" s="322">
        <f>SUM(ELEC!N12)</f>
        <v>34481.799999999814</v>
      </c>
      <c r="T13" s="360">
        <f t="shared" si="11"/>
        <v>7.9007136711632231E-2</v>
      </c>
      <c r="V13" s="275" t="str">
        <f>'[1]EDl log'!V30</f>
        <v>Occ %</v>
      </c>
      <c r="W13" s="275">
        <f>'[8]EDl log'!W30</f>
        <v>0.83235161290322568</v>
      </c>
      <c r="X13" s="275">
        <f>'[8]EDl log'!X30</f>
        <v>0</v>
      </c>
      <c r="Y13" s="275" t="str">
        <f>'[8]EDl log'!Y30</f>
        <v>Per G</v>
      </c>
      <c r="Z13" s="3"/>
      <c r="AA13" s="3"/>
      <c r="AB13" s="275">
        <f>'[1]EDl log'!AB30</f>
        <v>57660848</v>
      </c>
      <c r="AC13" s="275">
        <f>'[1]EDl log'!AC30</f>
        <v>7234333</v>
      </c>
    </row>
    <row r="14" spans="1:30">
      <c r="A14" s="166">
        <f>ELEC!C13</f>
        <v>43749</v>
      </c>
      <c r="B14" s="574">
        <v>48675159</v>
      </c>
      <c r="C14" s="275">
        <f t="shared" si="3"/>
        <v>10233</v>
      </c>
      <c r="D14" s="332">
        <f t="shared" si="4"/>
        <v>10232</v>
      </c>
      <c r="E14" s="332">
        <f t="shared" si="12"/>
        <v>48675158</v>
      </c>
      <c r="F14" s="574">
        <v>7817412</v>
      </c>
      <c r="G14" s="163">
        <f t="shared" si="0"/>
        <v>1710</v>
      </c>
      <c r="H14" s="574">
        <v>23979784</v>
      </c>
      <c r="I14" s="164">
        <f t="shared" si="1"/>
        <v>4992</v>
      </c>
      <c r="J14" s="574">
        <v>16877964</v>
      </c>
      <c r="K14" s="165">
        <f t="shared" si="2"/>
        <v>3530</v>
      </c>
      <c r="L14" s="318">
        <f t="shared" si="5"/>
        <v>362.9850746268657</v>
      </c>
      <c r="M14" s="318">
        <f t="shared" si="6"/>
        <v>370.88159203980098</v>
      </c>
      <c r="N14" s="318">
        <f t="shared" si="7"/>
        <v>187.33001658374792</v>
      </c>
      <c r="O14" s="318">
        <f t="shared" si="8"/>
        <v>69.911049677039713</v>
      </c>
      <c r="P14" s="319">
        <f t="shared" si="9"/>
        <v>991.10773292745432</v>
      </c>
      <c r="Q14" s="319">
        <f>SUM(-tanks!AX16*tanks!$AU$37)</f>
        <v>437.26841170967094</v>
      </c>
      <c r="R14" s="319">
        <f>SUM(P14:Q14)</f>
        <v>1428.3761446371252</v>
      </c>
      <c r="S14" s="322">
        <f>SUM(ELEC!N13)</f>
        <v>30373.200000000186</v>
      </c>
      <c r="T14" s="360">
        <f t="shared" si="11"/>
        <v>4.7027515857305663E-2</v>
      </c>
      <c r="V14" s="275" t="str">
        <f>'[1]EDl log'!V31</f>
        <v>Gen RH</v>
      </c>
      <c r="W14" s="275">
        <f>'[1]EDl log'!W31</f>
        <v>208.79999999999927</v>
      </c>
      <c r="X14" s="275">
        <f>'[1]EDl log'!X31</f>
        <v>6.959999999999976</v>
      </c>
      <c r="Y14" s="275">
        <f>'[1]EDl log'!Y31</f>
        <v>3.479999999999988</v>
      </c>
      <c r="Z14" s="3"/>
      <c r="AA14" s="3"/>
      <c r="AB14" s="275">
        <f>'[1]EDl log'!AB31</f>
        <v>64895181</v>
      </c>
      <c r="AC14" s="275">
        <f>'[1]EDl log'!AC31</f>
        <v>7234333</v>
      </c>
    </row>
    <row r="15" spans="1:30">
      <c r="A15" s="166">
        <f>ELEC!C14</f>
        <v>43750</v>
      </c>
      <c r="B15" s="574">
        <v>48688662</v>
      </c>
      <c r="C15" s="275">
        <f t="shared" si="3"/>
        <v>13503</v>
      </c>
      <c r="D15" s="332">
        <f t="shared" si="4"/>
        <v>13506</v>
      </c>
      <c r="E15" s="332">
        <f t="shared" si="12"/>
        <v>48688665</v>
      </c>
      <c r="F15" s="574">
        <v>7820131</v>
      </c>
      <c r="G15" s="163">
        <f t="shared" si="0"/>
        <v>2719</v>
      </c>
      <c r="H15" s="574">
        <v>23985937</v>
      </c>
      <c r="I15" s="164">
        <f t="shared" si="1"/>
        <v>6153</v>
      </c>
      <c r="J15" s="574">
        <v>16882598</v>
      </c>
      <c r="K15" s="165">
        <f t="shared" si="2"/>
        <v>4634</v>
      </c>
      <c r="L15" s="318">
        <f t="shared" si="5"/>
        <v>577.16749585406296</v>
      </c>
      <c r="M15" s="318">
        <f t="shared" si="6"/>
        <v>457.13830845771145</v>
      </c>
      <c r="N15" s="318">
        <f t="shared" si="7"/>
        <v>245.91708126036485</v>
      </c>
      <c r="O15" s="318">
        <f t="shared" si="8"/>
        <v>69.911049677039713</v>
      </c>
      <c r="P15" s="319">
        <f t="shared" si="9"/>
        <v>1350.1339352491789</v>
      </c>
      <c r="Q15" s="319">
        <f>SUM(-tanks!AX17*tanks!$AU$37)</f>
        <v>882.38324883869655</v>
      </c>
      <c r="R15" s="319">
        <f t="shared" si="10"/>
        <v>2232.5171840878756</v>
      </c>
      <c r="S15" s="322">
        <f>SUM(ELEC!N14)</f>
        <v>30850</v>
      </c>
      <c r="T15" s="360">
        <f t="shared" si="11"/>
        <v>7.2366845513383321E-2</v>
      </c>
      <c r="V15" s="275" t="str">
        <f>'[1]EDl log'!V32</f>
        <v>H Deg</v>
      </c>
      <c r="W15" s="275">
        <f>'[1]EDl log'!W32</f>
        <v>0</v>
      </c>
      <c r="X15" s="275">
        <f>'[8]EDl log'!X32</f>
        <v>0</v>
      </c>
      <c r="Y15" s="275">
        <f>'[8]EDl log'!Y32</f>
        <v>0</v>
      </c>
      <c r="Z15" s="3"/>
      <c r="AA15" s="3"/>
      <c r="AB15" s="275">
        <f>'[3]EDl log'!AB32</f>
        <v>0</v>
      </c>
      <c r="AC15" s="275">
        <f>'[9]EDl log'!AC15</f>
        <v>0</v>
      </c>
    </row>
    <row r="16" spans="1:30">
      <c r="A16" s="166">
        <f>ELEC!C15</f>
        <v>43751</v>
      </c>
      <c r="B16" s="574">
        <v>48702158</v>
      </c>
      <c r="C16" s="275">
        <f t="shared" si="3"/>
        <v>13496</v>
      </c>
      <c r="D16" s="332">
        <f t="shared" si="4"/>
        <v>13494</v>
      </c>
      <c r="E16" s="332">
        <f t="shared" si="12"/>
        <v>48702156</v>
      </c>
      <c r="F16" s="574">
        <v>7822674</v>
      </c>
      <c r="G16" s="163">
        <f t="shared" si="0"/>
        <v>2543</v>
      </c>
      <c r="H16" s="574">
        <v>23992210</v>
      </c>
      <c r="I16" s="164">
        <f t="shared" si="1"/>
        <v>6273</v>
      </c>
      <c r="J16" s="574">
        <v>16887276</v>
      </c>
      <c r="K16" s="165">
        <f t="shared" si="2"/>
        <v>4678</v>
      </c>
      <c r="L16" s="318">
        <f t="shared" si="5"/>
        <v>539.80762852404644</v>
      </c>
      <c r="M16" s="318">
        <f t="shared" si="6"/>
        <v>466.05373134328357</v>
      </c>
      <c r="N16" s="318">
        <f t="shared" si="7"/>
        <v>248.25207296849089</v>
      </c>
      <c r="O16" s="318">
        <f t="shared" si="8"/>
        <v>69.911049677039713</v>
      </c>
      <c r="P16" s="319">
        <f t="shared" si="9"/>
        <v>1324.0244825128607</v>
      </c>
      <c r="Q16" s="319">
        <f>SUM(-tanks!AX18*tanks!$AU$37)</f>
        <v>837.91368583872134</v>
      </c>
      <c r="R16" s="319">
        <f t="shared" si="10"/>
        <v>2161.9381683515821</v>
      </c>
      <c r="S16" s="322">
        <f>SUM(ELEC!N15)</f>
        <v>30370.399999999907</v>
      </c>
      <c r="T16" s="360">
        <f t="shared" si="11"/>
        <v>7.1185699508455227E-2</v>
      </c>
      <c r="V16" s="275" t="str">
        <f>'[1]EDl log'!V33</f>
        <v>C Deg</v>
      </c>
      <c r="W16" s="275">
        <f>'[1]EDl log'!W33</f>
        <v>286.49999999999983</v>
      </c>
      <c r="X16" s="275">
        <f>'[8]EDl log'!X33</f>
        <v>0</v>
      </c>
      <c r="Y16" s="275">
        <f>'[3]EDl log'!Y33</f>
        <v>0</v>
      </c>
      <c r="Z16" s="3"/>
      <c r="AA16" s="3"/>
      <c r="AB16" s="275">
        <f>'[3]EDl log'!AB33</f>
        <v>0</v>
      </c>
      <c r="AC16" s="275">
        <f>'[9]EDl log'!AC16</f>
        <v>0</v>
      </c>
    </row>
    <row r="17" spans="1:32">
      <c r="A17" s="166">
        <f>ELEC!C16</f>
        <v>43752</v>
      </c>
      <c r="B17" s="574">
        <v>48711532</v>
      </c>
      <c r="C17" s="275">
        <f t="shared" si="3"/>
        <v>9374</v>
      </c>
      <c r="D17" s="332">
        <f t="shared" si="4"/>
        <v>9378</v>
      </c>
      <c r="E17" s="332">
        <f t="shared" si="12"/>
        <v>48711536</v>
      </c>
      <c r="F17" s="574">
        <v>7824574</v>
      </c>
      <c r="G17" s="163">
        <f t="shared" si="0"/>
        <v>1900</v>
      </c>
      <c r="H17" s="574">
        <v>23995028</v>
      </c>
      <c r="I17" s="164">
        <f t="shared" si="1"/>
        <v>2818</v>
      </c>
      <c r="J17" s="574">
        <v>16891936</v>
      </c>
      <c r="K17" s="165">
        <f t="shared" si="2"/>
        <v>4660</v>
      </c>
      <c r="L17" s="318">
        <f t="shared" si="5"/>
        <v>403.31674958540628</v>
      </c>
      <c r="M17" s="318">
        <f t="shared" si="6"/>
        <v>209.36384742951907</v>
      </c>
      <c r="N17" s="318">
        <f t="shared" si="7"/>
        <v>247.29684908789386</v>
      </c>
      <c r="O17" s="318">
        <f t="shared" si="8"/>
        <v>69.911049677039713</v>
      </c>
      <c r="P17" s="319">
        <f t="shared" si="9"/>
        <v>929.88849577985889</v>
      </c>
      <c r="Q17" s="319">
        <f>SUM(-tanks!AX19*tanks!$AU$37)</f>
        <v>1965.8638719677365</v>
      </c>
      <c r="R17" s="319">
        <f t="shared" si="10"/>
        <v>2895.7523677475956</v>
      </c>
      <c r="S17" s="322">
        <f>SUM(ELEC!N16)</f>
        <v>29315.399999999907</v>
      </c>
      <c r="T17" s="360">
        <f t="shared" si="11"/>
        <v>9.8779220742258506E-2</v>
      </c>
      <c r="V17" s="263"/>
      <c r="W17" s="17"/>
      <c r="X17" s="17"/>
      <c r="Y17" s="472"/>
      <c r="Z17" s="472" t="str">
        <f>'[2]EDl log'!Z34</f>
        <v xml:space="preserve">VAT </v>
      </c>
      <c r="AA17" s="275">
        <f>'[1]EDl log'!AA34</f>
        <v>0.11</v>
      </c>
      <c r="AB17" s="275">
        <f>'[3]EDl log'!AB34</f>
        <v>0</v>
      </c>
      <c r="AC17" s="275">
        <f>'[9]EDl log'!AC17</f>
        <v>0</v>
      </c>
    </row>
    <row r="18" spans="1:32" ht="15" thickBot="1">
      <c r="A18" s="166">
        <f>ELEC!C17</f>
        <v>43753</v>
      </c>
      <c r="B18" s="574">
        <f t="shared" ref="B18:B34" si="13">B17</f>
        <v>48711532</v>
      </c>
      <c r="C18" s="275">
        <f t="shared" si="3"/>
        <v>0</v>
      </c>
      <c r="D18" s="332">
        <f t="shared" si="4"/>
        <v>0</v>
      </c>
      <c r="E18" s="332">
        <f t="shared" si="12"/>
        <v>48711532</v>
      </c>
      <c r="F18" s="574">
        <f t="shared" ref="F18:J34" si="14">F17</f>
        <v>7824574</v>
      </c>
      <c r="G18" s="163">
        <f t="shared" si="0"/>
        <v>0</v>
      </c>
      <c r="H18" s="574">
        <f t="shared" si="14"/>
        <v>23995028</v>
      </c>
      <c r="I18" s="164">
        <f t="shared" si="1"/>
        <v>0</v>
      </c>
      <c r="J18" s="574">
        <f t="shared" si="14"/>
        <v>16891936</v>
      </c>
      <c r="K18" s="165">
        <f t="shared" si="2"/>
        <v>0</v>
      </c>
      <c r="L18" s="318">
        <f t="shared" si="5"/>
        <v>0</v>
      </c>
      <c r="M18" s="318">
        <f t="shared" si="6"/>
        <v>0</v>
      </c>
      <c r="N18" s="318">
        <f t="shared" si="7"/>
        <v>0</v>
      </c>
      <c r="O18" s="318">
        <f t="shared" si="8"/>
        <v>69.911049677039713</v>
      </c>
      <c r="P18" s="319">
        <f t="shared" si="9"/>
        <v>69.911049677039713</v>
      </c>
      <c r="Q18" s="319">
        <f>SUM(-tanks!AX20*tanks!$AU$37)</f>
        <v>0</v>
      </c>
      <c r="R18" s="319">
        <f t="shared" si="10"/>
        <v>69.911049677039713</v>
      </c>
      <c r="S18" s="322">
        <f>SUM(ELEC!N17)</f>
        <v>0</v>
      </c>
      <c r="T18" s="360">
        <f t="shared" si="11"/>
        <v>0</v>
      </c>
      <c r="V18" s="235"/>
      <c r="W18" s="236"/>
      <c r="X18" s="236"/>
      <c r="Y18" s="472"/>
      <c r="Z18" s="472"/>
      <c r="AA18" s="45"/>
      <c r="AB18" s="275">
        <f>'[1]EDl log'!AB35</f>
        <v>72033650.909999996</v>
      </c>
      <c r="AC18" s="275">
        <f>'[9]EDl log'!AC18</f>
        <v>0</v>
      </c>
    </row>
    <row r="19" spans="1:32" ht="15" thickBot="1">
      <c r="A19" s="166">
        <f>ELEC!C18</f>
        <v>43754</v>
      </c>
      <c r="B19" s="574">
        <f t="shared" si="13"/>
        <v>48711532</v>
      </c>
      <c r="C19" s="275">
        <f t="shared" si="3"/>
        <v>0</v>
      </c>
      <c r="D19" s="332">
        <f t="shared" si="4"/>
        <v>0</v>
      </c>
      <c r="E19" s="332">
        <f t="shared" si="12"/>
        <v>48711532</v>
      </c>
      <c r="F19" s="574">
        <f t="shared" si="14"/>
        <v>7824574</v>
      </c>
      <c r="G19" s="163">
        <f>F19-F18</f>
        <v>0</v>
      </c>
      <c r="H19" s="574">
        <f t="shared" si="14"/>
        <v>23995028</v>
      </c>
      <c r="I19" s="164">
        <f t="shared" si="1"/>
        <v>0</v>
      </c>
      <c r="J19" s="574">
        <f t="shared" si="14"/>
        <v>16891936</v>
      </c>
      <c r="K19" s="165">
        <f t="shared" si="2"/>
        <v>0</v>
      </c>
      <c r="L19" s="318">
        <f t="shared" si="5"/>
        <v>0</v>
      </c>
      <c r="M19" s="318">
        <f t="shared" si="6"/>
        <v>0</v>
      </c>
      <c r="N19" s="318">
        <f t="shared" si="7"/>
        <v>0</v>
      </c>
      <c r="O19" s="318">
        <f t="shared" si="8"/>
        <v>69.911049677039713</v>
      </c>
      <c r="P19" s="319">
        <f t="shared" si="9"/>
        <v>69.911049677039713</v>
      </c>
      <c r="Q19" s="319">
        <f>SUM(-tanks!AX21*tanks!$AU$37)</f>
        <v>0</v>
      </c>
      <c r="R19" s="319">
        <f t="shared" si="10"/>
        <v>69.911049677039713</v>
      </c>
      <c r="S19" s="322">
        <f>SUM(ELEC!N18)</f>
        <v>0</v>
      </c>
      <c r="T19" s="360">
        <f t="shared" si="11"/>
        <v>0</v>
      </c>
      <c r="V19" s="235"/>
      <c r="W19" s="236"/>
      <c r="X19" s="236"/>
      <c r="Y19" s="472"/>
      <c r="Z19" s="472"/>
      <c r="AA19" s="236" t="s">
        <v>215</v>
      </c>
      <c r="AB19" s="275">
        <f>'[1]EDl log'!AB36</f>
        <v>43048.212935323383</v>
      </c>
      <c r="AC19" s="275">
        <f>'[9]EDl log'!AC19</f>
        <v>0</v>
      </c>
    </row>
    <row r="20" spans="1:32" ht="15" thickBot="1">
      <c r="A20" s="166">
        <f>ELEC!C19</f>
        <v>43755</v>
      </c>
      <c r="B20" s="574">
        <f t="shared" si="13"/>
        <v>48711532</v>
      </c>
      <c r="C20" s="275">
        <f t="shared" si="3"/>
        <v>0</v>
      </c>
      <c r="D20" s="332">
        <f t="shared" si="4"/>
        <v>0</v>
      </c>
      <c r="E20" s="332">
        <f t="shared" si="12"/>
        <v>48711532</v>
      </c>
      <c r="F20" s="574">
        <f t="shared" si="14"/>
        <v>7824574</v>
      </c>
      <c r="G20" s="163">
        <f t="shared" si="0"/>
        <v>0</v>
      </c>
      <c r="H20" s="574">
        <f t="shared" si="14"/>
        <v>23995028</v>
      </c>
      <c r="I20" s="164">
        <f t="shared" si="1"/>
        <v>0</v>
      </c>
      <c r="J20" s="574">
        <f t="shared" si="14"/>
        <v>16891936</v>
      </c>
      <c r="K20" s="165">
        <f t="shared" si="2"/>
        <v>0</v>
      </c>
      <c r="L20" s="318">
        <f t="shared" si="5"/>
        <v>0</v>
      </c>
      <c r="M20" s="318">
        <f t="shared" si="6"/>
        <v>0</v>
      </c>
      <c r="N20" s="318">
        <f t="shared" si="7"/>
        <v>0</v>
      </c>
      <c r="O20" s="318">
        <f t="shared" si="8"/>
        <v>69.911049677039713</v>
      </c>
      <c r="P20" s="319">
        <f t="shared" si="9"/>
        <v>69.911049677039713</v>
      </c>
      <c r="Q20" s="319">
        <f>SUM(-tanks!AX22*tanks!$AU$37)</f>
        <v>0</v>
      </c>
      <c r="R20" s="319">
        <f t="shared" si="10"/>
        <v>69.911049677039713</v>
      </c>
      <c r="S20" s="322">
        <f>SUM(ELEC!N19)</f>
        <v>0</v>
      </c>
      <c r="T20" s="360">
        <f t="shared" si="11"/>
        <v>0</v>
      </c>
      <c r="AB20" s="275"/>
    </row>
    <row r="21" spans="1:32">
      <c r="A21" s="166">
        <f>ELEC!C20</f>
        <v>43756</v>
      </c>
      <c r="B21" s="574">
        <f t="shared" si="13"/>
        <v>48711532</v>
      </c>
      <c r="C21" s="275">
        <f t="shared" si="3"/>
        <v>0</v>
      </c>
      <c r="D21" s="332">
        <f t="shared" si="4"/>
        <v>0</v>
      </c>
      <c r="E21" s="332">
        <f t="shared" si="12"/>
        <v>48711532</v>
      </c>
      <c r="F21" s="574">
        <f t="shared" si="14"/>
        <v>7824574</v>
      </c>
      <c r="G21" s="163">
        <f t="shared" si="0"/>
        <v>0</v>
      </c>
      <c r="H21" s="574">
        <f t="shared" si="14"/>
        <v>23995028</v>
      </c>
      <c r="I21" s="164">
        <f t="shared" si="1"/>
        <v>0</v>
      </c>
      <c r="J21" s="574">
        <f t="shared" si="14"/>
        <v>16891936</v>
      </c>
      <c r="K21" s="165">
        <f t="shared" si="2"/>
        <v>0</v>
      </c>
      <c r="L21" s="318">
        <f t="shared" si="5"/>
        <v>0</v>
      </c>
      <c r="M21" s="318">
        <f t="shared" si="6"/>
        <v>0</v>
      </c>
      <c r="N21" s="318">
        <f t="shared" si="7"/>
        <v>0</v>
      </c>
      <c r="O21" s="318">
        <f t="shared" si="8"/>
        <v>69.911049677039713</v>
      </c>
      <c r="P21" s="319">
        <f t="shared" si="9"/>
        <v>69.911049677039713</v>
      </c>
      <c r="Q21" s="319">
        <f>SUM(-tanks!AX23*tanks!$AU$37)</f>
        <v>0</v>
      </c>
      <c r="R21" s="319">
        <f t="shared" si="10"/>
        <v>69.911049677039713</v>
      </c>
      <c r="S21" s="322">
        <f>SUM(ELEC!N20)</f>
        <v>0</v>
      </c>
      <c r="T21" s="360">
        <f t="shared" si="11"/>
        <v>0</v>
      </c>
      <c r="V21" s="169" t="s">
        <v>201</v>
      </c>
      <c r="W21" s="170">
        <v>43739</v>
      </c>
      <c r="X21" s="171"/>
      <c r="Y21" s="171"/>
      <c r="Z21" s="172" t="s">
        <v>202</v>
      </c>
      <c r="AA21" s="171"/>
      <c r="AB21" s="631"/>
      <c r="AC21" s="632"/>
    </row>
    <row r="22" spans="1:32">
      <c r="A22" s="166">
        <f>ELEC!C21</f>
        <v>43757</v>
      </c>
      <c r="B22" s="574">
        <f t="shared" si="13"/>
        <v>48711532</v>
      </c>
      <c r="C22" s="275">
        <f t="shared" si="3"/>
        <v>0</v>
      </c>
      <c r="D22" s="332">
        <f t="shared" si="4"/>
        <v>0</v>
      </c>
      <c r="E22" s="332">
        <f t="shared" si="12"/>
        <v>48711532</v>
      </c>
      <c r="F22" s="574">
        <f t="shared" si="14"/>
        <v>7824574</v>
      </c>
      <c r="G22" s="163">
        <f t="shared" si="0"/>
        <v>0</v>
      </c>
      <c r="H22" s="574">
        <f t="shared" si="14"/>
        <v>23995028</v>
      </c>
      <c r="I22" s="164">
        <f t="shared" si="1"/>
        <v>0</v>
      </c>
      <c r="J22" s="574">
        <f t="shared" si="14"/>
        <v>16891936</v>
      </c>
      <c r="K22" s="165">
        <f t="shared" si="2"/>
        <v>0</v>
      </c>
      <c r="L22" s="318">
        <f t="shared" si="5"/>
        <v>0</v>
      </c>
      <c r="M22" s="318">
        <f t="shared" si="6"/>
        <v>0</v>
      </c>
      <c r="N22" s="318">
        <f t="shared" si="7"/>
        <v>0</v>
      </c>
      <c r="O22" s="318">
        <f t="shared" si="8"/>
        <v>69.911049677039713</v>
      </c>
      <c r="P22" s="319">
        <f t="shared" si="9"/>
        <v>69.911049677039713</v>
      </c>
      <c r="Q22" s="319">
        <f>SUM(-tanks!AX24*tanks!$AU$37)</f>
        <v>0</v>
      </c>
      <c r="R22" s="319">
        <f t="shared" si="10"/>
        <v>69.911049677039713</v>
      </c>
      <c r="S22" s="322">
        <f>SUM(ELEC!N21)</f>
        <v>0</v>
      </c>
      <c r="T22" s="360">
        <f t="shared" si="11"/>
        <v>0</v>
      </c>
      <c r="V22" s="637"/>
      <c r="W22" s="638"/>
      <c r="X22" s="638"/>
      <c r="Y22" s="639"/>
      <c r="Z22" s="26" t="s">
        <v>203</v>
      </c>
      <c r="AA22" s="26">
        <v>5000</v>
      </c>
      <c r="AB22" s="633"/>
      <c r="AC22" s="634"/>
    </row>
    <row r="23" spans="1:32">
      <c r="A23" s="166">
        <f>ELEC!C22</f>
        <v>43758</v>
      </c>
      <c r="B23" s="574">
        <f t="shared" si="13"/>
        <v>48711532</v>
      </c>
      <c r="C23" s="275">
        <f t="shared" si="3"/>
        <v>0</v>
      </c>
      <c r="D23" s="332">
        <f t="shared" si="4"/>
        <v>0</v>
      </c>
      <c r="E23" s="332">
        <f t="shared" si="12"/>
        <v>48711532</v>
      </c>
      <c r="F23" s="574">
        <f t="shared" si="14"/>
        <v>7824574</v>
      </c>
      <c r="G23" s="163">
        <f t="shared" si="0"/>
        <v>0</v>
      </c>
      <c r="H23" s="574">
        <f t="shared" si="14"/>
        <v>23995028</v>
      </c>
      <c r="I23" s="164">
        <f t="shared" si="1"/>
        <v>0</v>
      </c>
      <c r="J23" s="574">
        <f t="shared" si="14"/>
        <v>16891936</v>
      </c>
      <c r="K23" s="165">
        <f t="shared" si="2"/>
        <v>0</v>
      </c>
      <c r="L23" s="318">
        <f t="shared" si="5"/>
        <v>0</v>
      </c>
      <c r="M23" s="318">
        <f t="shared" si="6"/>
        <v>0</v>
      </c>
      <c r="N23" s="318">
        <f t="shared" si="7"/>
        <v>0</v>
      </c>
      <c r="O23" s="318">
        <f t="shared" si="8"/>
        <v>69.911049677039713</v>
      </c>
      <c r="P23" s="319">
        <f t="shared" si="9"/>
        <v>69.911049677039713</v>
      </c>
      <c r="Q23" s="319">
        <f>SUM(-tanks!AX25*tanks!$AU$37)</f>
        <v>0</v>
      </c>
      <c r="R23" s="319">
        <f t="shared" si="10"/>
        <v>69.911049677039713</v>
      </c>
      <c r="S23" s="322">
        <f>SUM(ELEC!N22)</f>
        <v>0</v>
      </c>
      <c r="T23" s="360">
        <f t="shared" si="11"/>
        <v>0</v>
      </c>
      <c r="V23" s="640"/>
      <c r="W23" s="641"/>
      <c r="X23" s="641"/>
      <c r="Y23" s="642"/>
      <c r="Z23" s="643"/>
      <c r="AA23" s="644"/>
      <c r="AB23" s="633"/>
      <c r="AC23" s="634"/>
    </row>
    <row r="24" spans="1:32" ht="15" customHeight="1">
      <c r="A24" s="166">
        <f>ELEC!C23</f>
        <v>43759</v>
      </c>
      <c r="B24" s="574">
        <f t="shared" si="13"/>
        <v>48711532</v>
      </c>
      <c r="C24" s="275">
        <f t="shared" si="3"/>
        <v>0</v>
      </c>
      <c r="D24" s="332">
        <f t="shared" si="4"/>
        <v>0</v>
      </c>
      <c r="E24" s="332">
        <f t="shared" si="12"/>
        <v>48711532</v>
      </c>
      <c r="F24" s="574">
        <f t="shared" si="14"/>
        <v>7824574</v>
      </c>
      <c r="G24" s="163">
        <f t="shared" si="0"/>
        <v>0</v>
      </c>
      <c r="H24" s="574">
        <f t="shared" si="14"/>
        <v>23995028</v>
      </c>
      <c r="I24" s="164">
        <f t="shared" si="1"/>
        <v>0</v>
      </c>
      <c r="J24" s="574">
        <f t="shared" si="14"/>
        <v>16891936</v>
      </c>
      <c r="K24" s="165">
        <f t="shared" si="2"/>
        <v>0</v>
      </c>
      <c r="L24" s="318">
        <f t="shared" si="5"/>
        <v>0</v>
      </c>
      <c r="M24" s="318">
        <f t="shared" si="6"/>
        <v>0</v>
      </c>
      <c r="N24" s="318">
        <f t="shared" si="7"/>
        <v>0</v>
      </c>
      <c r="O24" s="318">
        <f t="shared" si="8"/>
        <v>69.911049677039713</v>
      </c>
      <c r="P24" s="319">
        <f t="shared" si="9"/>
        <v>69.911049677039713</v>
      </c>
      <c r="Q24" s="319">
        <f>SUM(-tanks!AX26*tanks!$AU$37)</f>
        <v>0</v>
      </c>
      <c r="R24" s="319">
        <f t="shared" si="10"/>
        <v>69.911049677039713</v>
      </c>
      <c r="S24" s="322">
        <f>SUM(ELEC!N23)</f>
        <v>0</v>
      </c>
      <c r="T24" s="360">
        <f t="shared" si="11"/>
        <v>0</v>
      </c>
      <c r="V24" s="645" t="s">
        <v>204</v>
      </c>
      <c r="W24" s="646"/>
      <c r="X24" s="647" t="s">
        <v>205</v>
      </c>
      <c r="Y24" s="648"/>
      <c r="Z24" s="649"/>
      <c r="AA24" s="173"/>
      <c r="AB24" s="635"/>
      <c r="AC24" s="636"/>
    </row>
    <row r="25" spans="1:32" ht="17.25" customHeight="1">
      <c r="A25" s="166">
        <f>ELEC!C24</f>
        <v>43760</v>
      </c>
      <c r="B25" s="574">
        <f t="shared" si="13"/>
        <v>48711532</v>
      </c>
      <c r="C25" s="275">
        <f t="shared" si="3"/>
        <v>0</v>
      </c>
      <c r="D25" s="332">
        <f t="shared" si="4"/>
        <v>0</v>
      </c>
      <c r="E25" s="332">
        <f t="shared" si="12"/>
        <v>48711532</v>
      </c>
      <c r="F25" s="574">
        <f t="shared" si="14"/>
        <v>7824574</v>
      </c>
      <c r="G25" s="163">
        <f t="shared" si="0"/>
        <v>0</v>
      </c>
      <c r="H25" s="574">
        <f t="shared" si="14"/>
        <v>23995028</v>
      </c>
      <c r="I25" s="164">
        <f t="shared" si="1"/>
        <v>0</v>
      </c>
      <c r="J25" s="574">
        <f t="shared" si="14"/>
        <v>16891936</v>
      </c>
      <c r="K25" s="165">
        <f t="shared" si="2"/>
        <v>0</v>
      </c>
      <c r="L25" s="318">
        <f t="shared" si="5"/>
        <v>0</v>
      </c>
      <c r="M25" s="318">
        <f t="shared" si="6"/>
        <v>0</v>
      </c>
      <c r="N25" s="318">
        <f t="shared" si="7"/>
        <v>0</v>
      </c>
      <c r="O25" s="318">
        <f t="shared" si="8"/>
        <v>69.911049677039713</v>
      </c>
      <c r="P25" s="319">
        <f t="shared" si="9"/>
        <v>69.911049677039713</v>
      </c>
      <c r="Q25" s="319">
        <f>SUM(-tanks!AX27*tanks!$AU$37)</f>
        <v>0</v>
      </c>
      <c r="R25" s="319">
        <f t="shared" si="10"/>
        <v>69.911049677039713</v>
      </c>
      <c r="S25" s="322">
        <f>SUM(ELEC!N24)</f>
        <v>0</v>
      </c>
      <c r="T25" s="360">
        <f t="shared" si="11"/>
        <v>0</v>
      </c>
      <c r="V25" s="257" t="s">
        <v>206</v>
      </c>
      <c r="W25" s="258" t="s">
        <v>207</v>
      </c>
      <c r="X25" s="258"/>
      <c r="Y25" s="258" t="s">
        <v>208</v>
      </c>
      <c r="Z25" s="258" t="s">
        <v>209</v>
      </c>
      <c r="AA25" s="258" t="s">
        <v>210</v>
      </c>
      <c r="AB25" s="258" t="s">
        <v>211</v>
      </c>
      <c r="AC25" s="174" t="s">
        <v>212</v>
      </c>
    </row>
    <row r="26" spans="1:32">
      <c r="A26" s="166">
        <f>ELEC!C25</f>
        <v>43761</v>
      </c>
      <c r="B26" s="574">
        <f t="shared" si="13"/>
        <v>48711532</v>
      </c>
      <c r="C26" s="275">
        <f t="shared" si="3"/>
        <v>0</v>
      </c>
      <c r="D26" s="332">
        <f t="shared" si="4"/>
        <v>0</v>
      </c>
      <c r="E26" s="332">
        <f t="shared" si="12"/>
        <v>48711532</v>
      </c>
      <c r="F26" s="574">
        <f t="shared" si="14"/>
        <v>7824574</v>
      </c>
      <c r="G26" s="163">
        <f t="shared" si="0"/>
        <v>0</v>
      </c>
      <c r="H26" s="574">
        <f t="shared" si="14"/>
        <v>23995028</v>
      </c>
      <c r="I26" s="164">
        <f t="shared" si="1"/>
        <v>0</v>
      </c>
      <c r="J26" s="574">
        <f t="shared" si="14"/>
        <v>16891936</v>
      </c>
      <c r="K26" s="165">
        <f t="shared" si="2"/>
        <v>0</v>
      </c>
      <c r="L26" s="318">
        <f t="shared" si="5"/>
        <v>0</v>
      </c>
      <c r="M26" s="318">
        <f t="shared" si="6"/>
        <v>0</v>
      </c>
      <c r="N26" s="318">
        <f t="shared" si="7"/>
        <v>0</v>
      </c>
      <c r="O26" s="318">
        <f t="shared" si="8"/>
        <v>69.911049677039713</v>
      </c>
      <c r="P26" s="319">
        <f t="shared" si="9"/>
        <v>69.911049677039713</v>
      </c>
      <c r="Q26" s="319">
        <f>SUM(-tanks!AX28*tanks!$AU$37)</f>
        <v>0</v>
      </c>
      <c r="R26" s="319">
        <f t="shared" si="10"/>
        <v>69.911049677039713</v>
      </c>
      <c r="S26" s="322">
        <f>SUM(ELEC!N25)</f>
        <v>0</v>
      </c>
      <c r="T26" s="360">
        <f t="shared" si="11"/>
        <v>0</v>
      </c>
      <c r="V26" s="264">
        <f>W9</f>
        <v>16832530</v>
      </c>
      <c r="W26" s="173">
        <f>J34</f>
        <v>16891936</v>
      </c>
      <c r="X26" s="175" t="s">
        <v>199</v>
      </c>
      <c r="Y26" s="175">
        <v>80</v>
      </c>
      <c r="Z26" s="175">
        <v>1</v>
      </c>
      <c r="AA26" s="202">
        <f>(W26-V26)*Z26</f>
        <v>59406</v>
      </c>
      <c r="AB26" s="202">
        <f>AA26*Y26</f>
        <v>4752480</v>
      </c>
      <c r="AC26" s="259">
        <f>AC9</f>
        <v>1033333</v>
      </c>
      <c r="AD26" s="218">
        <f>SUM(K37)</f>
        <v>0.3569428588595806</v>
      </c>
    </row>
    <row r="27" spans="1:32">
      <c r="A27" s="166">
        <f>ELEC!C26</f>
        <v>43762</v>
      </c>
      <c r="B27" s="574">
        <f t="shared" si="13"/>
        <v>48711532</v>
      </c>
      <c r="C27" s="275">
        <f t="shared" si="3"/>
        <v>0</v>
      </c>
      <c r="D27" s="332">
        <f t="shared" si="4"/>
        <v>0</v>
      </c>
      <c r="E27" s="332">
        <f t="shared" si="12"/>
        <v>48711532</v>
      </c>
      <c r="F27" s="574">
        <f t="shared" si="14"/>
        <v>7824574</v>
      </c>
      <c r="G27" s="163">
        <f t="shared" si="0"/>
        <v>0</v>
      </c>
      <c r="H27" s="574">
        <f t="shared" si="14"/>
        <v>23995028</v>
      </c>
      <c r="I27" s="164">
        <f t="shared" si="1"/>
        <v>0</v>
      </c>
      <c r="J27" s="574">
        <f t="shared" si="14"/>
        <v>16891936</v>
      </c>
      <c r="K27" s="165">
        <f t="shared" si="2"/>
        <v>0</v>
      </c>
      <c r="L27" s="318">
        <f t="shared" si="5"/>
        <v>0</v>
      </c>
      <c r="M27" s="318">
        <f t="shared" si="6"/>
        <v>0</v>
      </c>
      <c r="N27" s="318">
        <f t="shared" si="7"/>
        <v>0</v>
      </c>
      <c r="O27" s="318">
        <f t="shared" si="8"/>
        <v>69.911049677039713</v>
      </c>
      <c r="P27" s="319">
        <f t="shared" si="9"/>
        <v>69.911049677039713</v>
      </c>
      <c r="Q27" s="319">
        <f>SUM(-tanks!AX29*tanks!$AU$37)</f>
        <v>0</v>
      </c>
      <c r="R27" s="319">
        <f t="shared" si="10"/>
        <v>69.911049677039713</v>
      </c>
      <c r="S27" s="322">
        <f>SUM(ELEC!N26)</f>
        <v>0</v>
      </c>
      <c r="T27" s="360">
        <f t="shared" si="11"/>
        <v>0</v>
      </c>
      <c r="V27" s="264">
        <f>W10</f>
        <v>23918965</v>
      </c>
      <c r="W27" s="173">
        <f>H34</f>
        <v>23995028</v>
      </c>
      <c r="X27" s="175" t="s">
        <v>213</v>
      </c>
      <c r="Y27" s="175">
        <v>112</v>
      </c>
      <c r="Z27" s="175">
        <v>1</v>
      </c>
      <c r="AA27" s="202">
        <f>(W27-V27)*Z27</f>
        <v>76063</v>
      </c>
      <c r="AB27" s="202">
        <f>SUM(AA27*Y27)</f>
        <v>8519056</v>
      </c>
      <c r="AC27" s="259">
        <f>AC10</f>
        <v>6200000</v>
      </c>
      <c r="AD27" s="218">
        <f>SUM(I37)</f>
        <v>0.45702697830919903</v>
      </c>
    </row>
    <row r="28" spans="1:32">
      <c r="A28" s="166">
        <f>ELEC!C27</f>
        <v>43763</v>
      </c>
      <c r="B28" s="574">
        <f t="shared" si="13"/>
        <v>48711532</v>
      </c>
      <c r="C28" s="275">
        <f t="shared" si="3"/>
        <v>0</v>
      </c>
      <c r="D28" s="332">
        <f t="shared" si="4"/>
        <v>0</v>
      </c>
      <c r="E28" s="332">
        <f t="shared" si="12"/>
        <v>48711532</v>
      </c>
      <c r="F28" s="574">
        <f t="shared" si="14"/>
        <v>7824574</v>
      </c>
      <c r="G28" s="163">
        <f t="shared" si="0"/>
        <v>0</v>
      </c>
      <c r="H28" s="574">
        <f t="shared" si="14"/>
        <v>23995028</v>
      </c>
      <c r="I28" s="164">
        <f t="shared" si="1"/>
        <v>0</v>
      </c>
      <c r="J28" s="574">
        <f t="shared" si="14"/>
        <v>16891936</v>
      </c>
      <c r="K28" s="165">
        <f t="shared" si="2"/>
        <v>0</v>
      </c>
      <c r="L28" s="318">
        <f t="shared" si="5"/>
        <v>0</v>
      </c>
      <c r="M28" s="318">
        <f t="shared" si="6"/>
        <v>0</v>
      </c>
      <c r="N28" s="318">
        <f t="shared" si="7"/>
        <v>0</v>
      </c>
      <c r="O28" s="318">
        <f t="shared" si="8"/>
        <v>69.911049677039713</v>
      </c>
      <c r="P28" s="319">
        <f t="shared" si="9"/>
        <v>69.911049677039713</v>
      </c>
      <c r="Q28" s="319">
        <f>SUM(-tanks!AX30*tanks!$AU$37)</f>
        <v>0</v>
      </c>
      <c r="R28" s="319">
        <f t="shared" si="10"/>
        <v>69.911049677039713</v>
      </c>
      <c r="S28" s="322">
        <f>SUM(ELEC!N27)</f>
        <v>0</v>
      </c>
      <c r="T28" s="360">
        <f t="shared" si="11"/>
        <v>0</v>
      </c>
      <c r="V28" s="264">
        <f>W11</f>
        <v>7793608</v>
      </c>
      <c r="W28" s="173">
        <f>F34</f>
        <v>7824574</v>
      </c>
      <c r="X28" s="175" t="s">
        <v>197</v>
      </c>
      <c r="Y28" s="175">
        <v>320</v>
      </c>
      <c r="Z28" s="175">
        <v>1</v>
      </c>
      <c r="AA28" s="202">
        <f>(W28-V28)*Z28</f>
        <v>30966</v>
      </c>
      <c r="AB28" s="202">
        <f>SUM(AA28*Y28)</f>
        <v>9909120</v>
      </c>
      <c r="AC28" s="259">
        <f>AC11</f>
        <v>1000</v>
      </c>
      <c r="AD28" s="218">
        <f>SUM(G37)</f>
        <v>0.18606020549179833</v>
      </c>
      <c r="AE28" s="40">
        <f>SUM(AB28*5%)</f>
        <v>495456</v>
      </c>
      <c r="AF28" s="83">
        <f>SUM(AE28/7)*31</f>
        <v>2194162.2857142854</v>
      </c>
    </row>
    <row r="29" spans="1:32">
      <c r="A29" s="166">
        <f>ELEC!C28</f>
        <v>43764</v>
      </c>
      <c r="B29" s="574">
        <f t="shared" si="13"/>
        <v>48711532</v>
      </c>
      <c r="C29" s="275">
        <f t="shared" si="3"/>
        <v>0</v>
      </c>
      <c r="D29" s="332">
        <f t="shared" si="4"/>
        <v>0</v>
      </c>
      <c r="E29" s="332">
        <f t="shared" si="12"/>
        <v>48711532</v>
      </c>
      <c r="F29" s="574">
        <f t="shared" si="14"/>
        <v>7824574</v>
      </c>
      <c r="G29" s="163">
        <f t="shared" si="0"/>
        <v>0</v>
      </c>
      <c r="H29" s="574">
        <f t="shared" si="14"/>
        <v>23995028</v>
      </c>
      <c r="I29" s="164">
        <f t="shared" si="1"/>
        <v>0</v>
      </c>
      <c r="J29" s="574">
        <f t="shared" si="14"/>
        <v>16891936</v>
      </c>
      <c r="K29" s="165">
        <f t="shared" si="2"/>
        <v>0</v>
      </c>
      <c r="L29" s="318">
        <f t="shared" si="5"/>
        <v>0</v>
      </c>
      <c r="M29" s="318">
        <f t="shared" si="6"/>
        <v>0</v>
      </c>
      <c r="N29" s="318">
        <f t="shared" si="7"/>
        <v>0</v>
      </c>
      <c r="O29" s="318">
        <f t="shared" si="8"/>
        <v>69.911049677039713</v>
      </c>
      <c r="P29" s="319">
        <f t="shared" si="9"/>
        <v>69.911049677039713</v>
      </c>
      <c r="Q29" s="319">
        <f>SUM(-tanks!AX31*tanks!$AU$37)</f>
        <v>0</v>
      </c>
      <c r="R29" s="319">
        <f t="shared" si="10"/>
        <v>69.911049677039713</v>
      </c>
      <c r="S29" s="322">
        <f>SUM(ELEC!N28)</f>
        <v>0</v>
      </c>
      <c r="T29" s="360">
        <f t="shared" si="11"/>
        <v>0</v>
      </c>
      <c r="V29" s="219"/>
      <c r="W29" s="220"/>
      <c r="X29" s="220"/>
      <c r="Y29" s="221"/>
      <c r="Z29" s="3"/>
      <c r="AA29" s="303">
        <f>SUM(AA26:AA28)</f>
        <v>166435</v>
      </c>
      <c r="AB29" s="202"/>
      <c r="AC29" s="259"/>
    </row>
    <row r="30" spans="1:32" ht="14.25" customHeight="1">
      <c r="A30" s="166">
        <f>ELEC!C29</f>
        <v>43765</v>
      </c>
      <c r="B30" s="574">
        <f t="shared" si="13"/>
        <v>48711532</v>
      </c>
      <c r="C30" s="275">
        <f t="shared" si="3"/>
        <v>0</v>
      </c>
      <c r="D30" s="332">
        <f t="shared" si="4"/>
        <v>0</v>
      </c>
      <c r="E30" s="332">
        <f t="shared" si="12"/>
        <v>48711532</v>
      </c>
      <c r="F30" s="574">
        <f t="shared" si="14"/>
        <v>7824574</v>
      </c>
      <c r="G30" s="163">
        <f t="shared" si="0"/>
        <v>0</v>
      </c>
      <c r="H30" s="574">
        <f t="shared" si="14"/>
        <v>23995028</v>
      </c>
      <c r="I30" s="164">
        <f t="shared" si="1"/>
        <v>0</v>
      </c>
      <c r="J30" s="574">
        <f t="shared" si="14"/>
        <v>16891936</v>
      </c>
      <c r="K30" s="165">
        <f t="shared" si="2"/>
        <v>0</v>
      </c>
      <c r="L30" s="318">
        <f t="shared" si="5"/>
        <v>0</v>
      </c>
      <c r="M30" s="318">
        <f t="shared" si="6"/>
        <v>0</v>
      </c>
      <c r="N30" s="318">
        <f t="shared" si="7"/>
        <v>0</v>
      </c>
      <c r="O30" s="318">
        <f t="shared" si="8"/>
        <v>69.911049677039713</v>
      </c>
      <c r="P30" s="319">
        <f t="shared" si="9"/>
        <v>69.911049677039713</v>
      </c>
      <c r="Q30" s="319">
        <f>SUM(-tanks!AX32*tanks!$AU$37)</f>
        <v>0</v>
      </c>
      <c r="R30" s="319">
        <f t="shared" si="10"/>
        <v>69.911049677039713</v>
      </c>
      <c r="S30" s="322">
        <f>SUM(ELEC!N29)</f>
        <v>0</v>
      </c>
      <c r="T30" s="360">
        <f t="shared" si="11"/>
        <v>0</v>
      </c>
      <c r="V30" s="222" t="s">
        <v>317</v>
      </c>
      <c r="W30" s="494">
        <f>'General information '!F37</f>
        <v>0.69434999999999991</v>
      </c>
      <c r="X30" s="223"/>
      <c r="Y30" s="224" t="s">
        <v>333</v>
      </c>
      <c r="Z30" s="3"/>
      <c r="AA30" s="303"/>
      <c r="AB30" s="202">
        <f>SUM(AB26:AB29)</f>
        <v>23180656</v>
      </c>
      <c r="AC30" s="259">
        <f>SUM(AC26:AC29)/A38*A36</f>
        <v>3267118.1290322584</v>
      </c>
    </row>
    <row r="31" spans="1:32">
      <c r="A31" s="166">
        <f>ELEC!C30</f>
        <v>43766</v>
      </c>
      <c r="B31" s="574">
        <f t="shared" si="13"/>
        <v>48711532</v>
      </c>
      <c r="C31" s="275">
        <f t="shared" si="3"/>
        <v>0</v>
      </c>
      <c r="D31" s="332">
        <f t="shared" si="4"/>
        <v>0</v>
      </c>
      <c r="E31" s="332">
        <f t="shared" si="12"/>
        <v>48711532</v>
      </c>
      <c r="F31" s="574">
        <f t="shared" si="14"/>
        <v>7824574</v>
      </c>
      <c r="G31" s="163">
        <f t="shared" si="0"/>
        <v>0</v>
      </c>
      <c r="H31" s="574">
        <f t="shared" si="14"/>
        <v>23995028</v>
      </c>
      <c r="I31" s="164">
        <f t="shared" si="1"/>
        <v>0</v>
      </c>
      <c r="J31" s="574">
        <f t="shared" si="14"/>
        <v>16891936</v>
      </c>
      <c r="K31" s="165">
        <f t="shared" si="2"/>
        <v>0</v>
      </c>
      <c r="L31" s="318">
        <f t="shared" si="5"/>
        <v>0</v>
      </c>
      <c r="M31" s="318">
        <f t="shared" si="6"/>
        <v>0</v>
      </c>
      <c r="N31" s="318">
        <f t="shared" si="7"/>
        <v>0</v>
      </c>
      <c r="O31" s="318">
        <f t="shared" si="8"/>
        <v>69.911049677039713</v>
      </c>
      <c r="P31" s="319">
        <f t="shared" si="9"/>
        <v>69.911049677039713</v>
      </c>
      <c r="Q31" s="319">
        <f>SUM(-tanks!AX33*tanks!$AU$37)</f>
        <v>0</v>
      </c>
      <c r="R31" s="319">
        <f t="shared" si="10"/>
        <v>69.911049677039713</v>
      </c>
      <c r="S31" s="322">
        <f>SUM(ELEC!N30)</f>
        <v>0</v>
      </c>
      <c r="T31" s="360">
        <f t="shared" si="11"/>
        <v>0</v>
      </c>
      <c r="V31" s="222" t="s">
        <v>318</v>
      </c>
      <c r="W31" s="223">
        <f>SUM(GEN!U34)</f>
        <v>153.48999999999978</v>
      </c>
      <c r="X31" s="228">
        <f>SUM(W31/A36)</f>
        <v>10.963571428571413</v>
      </c>
      <c r="Y31" s="271">
        <f>SUM(X31/2)</f>
        <v>5.4817857142857065</v>
      </c>
      <c r="Z31" s="3"/>
      <c r="AA31" s="3"/>
      <c r="AB31" s="202">
        <f>SUM(AB30+AC31)</f>
        <v>26447774.129032258</v>
      </c>
      <c r="AC31" s="259">
        <f>SUM(AC30)</f>
        <v>3267118.1290322584</v>
      </c>
    </row>
    <row r="32" spans="1:32">
      <c r="A32" s="166">
        <f>ELEC!C31</f>
        <v>43767</v>
      </c>
      <c r="B32" s="574">
        <f t="shared" si="13"/>
        <v>48711532</v>
      </c>
      <c r="C32" s="275">
        <f t="shared" si="3"/>
        <v>0</v>
      </c>
      <c r="D32" s="332">
        <f t="shared" si="4"/>
        <v>0</v>
      </c>
      <c r="E32" s="332">
        <f t="shared" si="12"/>
        <v>48711532</v>
      </c>
      <c r="F32" s="574">
        <f t="shared" si="14"/>
        <v>7824574</v>
      </c>
      <c r="G32" s="163">
        <f t="shared" si="0"/>
        <v>0</v>
      </c>
      <c r="H32" s="574">
        <f t="shared" si="14"/>
        <v>23995028</v>
      </c>
      <c r="I32" s="164">
        <f t="shared" si="1"/>
        <v>0</v>
      </c>
      <c r="J32" s="574">
        <f t="shared" si="14"/>
        <v>16891936</v>
      </c>
      <c r="K32" s="165">
        <f t="shared" si="2"/>
        <v>0</v>
      </c>
      <c r="L32" s="318">
        <f t="shared" si="5"/>
        <v>0</v>
      </c>
      <c r="M32" s="318">
        <f t="shared" si="6"/>
        <v>0</v>
      </c>
      <c r="N32" s="318">
        <f t="shared" si="7"/>
        <v>0</v>
      </c>
      <c r="O32" s="318">
        <f t="shared" si="8"/>
        <v>69.911049677039713</v>
      </c>
      <c r="P32" s="319">
        <f t="shared" si="9"/>
        <v>69.911049677039713</v>
      </c>
      <c r="Q32" s="319">
        <f>SUM(-tanks!AX34*tanks!$AU$37)</f>
        <v>0</v>
      </c>
      <c r="R32" s="319">
        <f t="shared" si="10"/>
        <v>69.911049677039713</v>
      </c>
      <c r="S32" s="322">
        <f>SUM(ELEC!N31)</f>
        <v>0</v>
      </c>
      <c r="T32" s="360">
        <f t="shared" si="11"/>
        <v>0</v>
      </c>
      <c r="V32" s="222" t="s">
        <v>319</v>
      </c>
      <c r="W32" s="223">
        <f>SUM('Degree Days 2018'!J81)</f>
        <v>0</v>
      </c>
      <c r="X32" s="223"/>
      <c r="Y32" s="224"/>
      <c r="Z32" s="3"/>
      <c r="AA32" s="3"/>
      <c r="AB32" s="3"/>
      <c r="AC32" s="176"/>
    </row>
    <row r="33" spans="1:29">
      <c r="A33" s="166">
        <f>ELEC!C32</f>
        <v>43768</v>
      </c>
      <c r="B33" s="574">
        <f t="shared" si="13"/>
        <v>48711532</v>
      </c>
      <c r="C33" s="275">
        <f t="shared" si="3"/>
        <v>0</v>
      </c>
      <c r="D33" s="332">
        <f t="shared" si="4"/>
        <v>0</v>
      </c>
      <c r="E33" s="332">
        <f t="shared" si="12"/>
        <v>48711532</v>
      </c>
      <c r="F33" s="574">
        <f t="shared" si="14"/>
        <v>7824574</v>
      </c>
      <c r="G33" s="163">
        <f>F33-F32</f>
        <v>0</v>
      </c>
      <c r="H33" s="574">
        <f t="shared" si="14"/>
        <v>23995028</v>
      </c>
      <c r="I33" s="164">
        <f t="shared" si="1"/>
        <v>0</v>
      </c>
      <c r="J33" s="574">
        <f t="shared" si="14"/>
        <v>16891936</v>
      </c>
      <c r="K33" s="165">
        <f t="shared" si="2"/>
        <v>0</v>
      </c>
      <c r="L33" s="318">
        <f>SUM(G33*$Y$28)/1507.5</f>
        <v>0</v>
      </c>
      <c r="M33" s="318">
        <f t="shared" si="6"/>
        <v>0</v>
      </c>
      <c r="N33" s="318">
        <f t="shared" si="7"/>
        <v>0</v>
      </c>
      <c r="O33" s="318">
        <f t="shared" si="8"/>
        <v>69.911049677039713</v>
      </c>
      <c r="P33" s="319">
        <f>SUM(L33:O33)</f>
        <v>69.911049677039713</v>
      </c>
      <c r="Q33" s="319">
        <f>SUM(-tanks!AX35*tanks!$AU$37)</f>
        <v>0</v>
      </c>
      <c r="R33" s="319">
        <f>SUM(P33:Q33)</f>
        <v>69.911049677039713</v>
      </c>
      <c r="S33" s="322">
        <f>SUM(ELEC!N32)</f>
        <v>0</v>
      </c>
      <c r="T33" s="360">
        <f>IF(S33&gt;0,R33/S33,0)</f>
        <v>0</v>
      </c>
      <c r="V33" s="222" t="s">
        <v>320</v>
      </c>
      <c r="W33" s="223">
        <f>SUM('Degree Days 2018'!K81)</f>
        <v>286.49999999999983</v>
      </c>
      <c r="X33" s="223"/>
      <c r="Y33" s="224"/>
      <c r="Z33" s="3"/>
      <c r="AA33" s="3"/>
      <c r="AB33" s="3"/>
      <c r="AC33" s="176"/>
    </row>
    <row r="34" spans="1:29">
      <c r="A34" s="166">
        <f>ELEC!C33</f>
        <v>43769</v>
      </c>
      <c r="B34" s="574">
        <f t="shared" si="13"/>
        <v>48711532</v>
      </c>
      <c r="C34" s="275">
        <f>SUM(B34-B33)</f>
        <v>0</v>
      </c>
      <c r="D34" s="332">
        <f>SUM(G34+I34+K34)</f>
        <v>0</v>
      </c>
      <c r="E34" s="332">
        <f>B33+D34</f>
        <v>48711532</v>
      </c>
      <c r="F34" s="574">
        <f t="shared" si="14"/>
        <v>7824574</v>
      </c>
      <c r="G34" s="163">
        <f>F34-F33</f>
        <v>0</v>
      </c>
      <c r="H34" s="574">
        <f t="shared" si="14"/>
        <v>23995028</v>
      </c>
      <c r="I34" s="164">
        <f>H34-H33</f>
        <v>0</v>
      </c>
      <c r="J34" s="574">
        <f t="shared" si="14"/>
        <v>16891936</v>
      </c>
      <c r="K34" s="165">
        <f>J34-J33</f>
        <v>0</v>
      </c>
      <c r="L34" s="318">
        <f>SUM(G34*$Y$28)/1507.5</f>
        <v>0</v>
      </c>
      <c r="M34" s="318">
        <f>SUM(I34*$Y$27)/1507.5</f>
        <v>0</v>
      </c>
      <c r="N34" s="318">
        <f>SUM(K34*$Y$26)/1507.5</f>
        <v>0</v>
      </c>
      <c r="O34" s="318">
        <f t="shared" si="8"/>
        <v>69.911049677039713</v>
      </c>
      <c r="P34" s="319">
        <f>SUM(L34:O34)</f>
        <v>69.911049677039713</v>
      </c>
      <c r="Q34" s="319">
        <f>SUM(-tanks!AX36*tanks!$AU$37)</f>
        <v>0</v>
      </c>
      <c r="R34" s="319">
        <f>SUM(P34:Q34)</f>
        <v>69.911049677039713</v>
      </c>
      <c r="S34" s="322">
        <f>SUM(ELEC!N33)</f>
        <v>0</v>
      </c>
      <c r="T34" s="360">
        <f>IF(S34&gt;0,R34/S34,0)</f>
        <v>0</v>
      </c>
      <c r="V34" s="222"/>
      <c r="W34" s="223"/>
      <c r="X34" s="223"/>
      <c r="Y34" s="223"/>
      <c r="Z34" s="3"/>
      <c r="AA34" s="3"/>
      <c r="AB34" s="3"/>
      <c r="AC34" s="250"/>
    </row>
    <row r="35" spans="1:29">
      <c r="A35" s="166"/>
      <c r="B35" s="312"/>
      <c r="C35" s="313"/>
      <c r="D35" s="313"/>
      <c r="E35" s="313"/>
      <c r="F35" s="312"/>
      <c r="G35" s="314"/>
      <c r="H35" s="312"/>
      <c r="I35" s="315"/>
      <c r="J35" s="312"/>
      <c r="K35" s="179">
        <f>SUM(K4:K34)/A36</f>
        <v>4243.2857142857147</v>
      </c>
      <c r="L35" s="320">
        <f t="shared" ref="L35:S35" si="15">SUM(L4:L34)</f>
        <v>6573.2139303482581</v>
      </c>
      <c r="M35" s="320">
        <f t="shared" si="15"/>
        <v>5651.1150912106141</v>
      </c>
      <c r="N35" s="320">
        <f t="shared" si="15"/>
        <v>3152.5572139303486</v>
      </c>
      <c r="O35" s="320">
        <f t="shared" si="15"/>
        <v>2167.2425399882309</v>
      </c>
      <c r="P35" s="323">
        <f t="shared" si="15"/>
        <v>17544.128775477471</v>
      </c>
      <c r="Q35" s="323">
        <f t="shared" si="15"/>
        <v>17017.234056516132</v>
      </c>
      <c r="R35" s="323">
        <f t="shared" si="15"/>
        <v>34561.362831993545</v>
      </c>
      <c r="S35" s="323">
        <f t="shared" si="15"/>
        <v>425243</v>
      </c>
      <c r="T35" s="361"/>
      <c r="V35" s="263"/>
      <c r="W35" s="17"/>
      <c r="X35" s="17"/>
      <c r="Y35" s="17"/>
      <c r="Z35" s="3" t="s">
        <v>214</v>
      </c>
      <c r="AA35" s="294">
        <v>0.11</v>
      </c>
      <c r="AB35" s="309">
        <f>SUM(AB31*AA35)</f>
        <v>2909255.1541935485</v>
      </c>
      <c r="AC35" s="296"/>
    </row>
    <row r="36" spans="1:29" ht="15" thickBot="1">
      <c r="A36" s="289">
        <f>A38-COUNTIF(C4:C34,0)</f>
        <v>14</v>
      </c>
      <c r="C36" s="179">
        <f>SUM(C4:C34)/A36</f>
        <v>11887.857142857143</v>
      </c>
      <c r="D36" s="179"/>
      <c r="E36" s="179"/>
      <c r="G36" s="179">
        <f>SUM(G4:G34)/A36</f>
        <v>2211.8571428571427</v>
      </c>
      <c r="I36" s="179">
        <f>SUM(I4:I34)/A36</f>
        <v>5433.0714285714284</v>
      </c>
      <c r="K36" s="179"/>
      <c r="L36" s="179">
        <f>SUM(L35*1507.5)</f>
        <v>9909120</v>
      </c>
      <c r="M36" s="179">
        <f>SUM(M35*1507.5)</f>
        <v>8519056</v>
      </c>
      <c r="N36" s="179">
        <f>SUM(N35*1507.5)</f>
        <v>4752480</v>
      </c>
      <c r="O36" s="179">
        <f>SUM(O35*1507.5)</f>
        <v>3267118.1290322579</v>
      </c>
      <c r="P36" s="179"/>
      <c r="Q36" s="179"/>
      <c r="R36" s="179"/>
      <c r="S36" s="323"/>
      <c r="V36" s="235"/>
      <c r="W36" s="236"/>
      <c r="X36" s="236"/>
      <c r="Y36" s="236"/>
      <c r="Z36" s="3"/>
      <c r="AA36" s="45"/>
      <c r="AB36" s="309">
        <f>SUM(AB31+AB35)</f>
        <v>29357029.283225805</v>
      </c>
      <c r="AC36" s="296"/>
    </row>
    <row r="37" spans="1:29" ht="15" thickBot="1">
      <c r="A37" s="216"/>
      <c r="C37" s="218">
        <f>SUM(G37:K37)</f>
        <v>1.0000300426605779</v>
      </c>
      <c r="G37" s="231">
        <f>IF(C36&gt;0,G36/C36,0)</f>
        <v>0.18606020549179833</v>
      </c>
      <c r="H37" s="218"/>
      <c r="I37" s="231">
        <f>SUM(I36/C36)</f>
        <v>0.45702697830919903</v>
      </c>
      <c r="J37" s="218"/>
      <c r="K37" s="231">
        <f>SUM(K35/C36)</f>
        <v>0.3569428588595806</v>
      </c>
      <c r="L37" s="231"/>
      <c r="M37" s="231"/>
      <c r="N37" s="231"/>
      <c r="O37" s="231"/>
      <c r="P37" s="231"/>
      <c r="Q37" s="231"/>
      <c r="R37" s="231"/>
      <c r="S37" s="324"/>
      <c r="V37" s="235"/>
      <c r="W37" s="236"/>
      <c r="X37" s="236"/>
      <c r="Y37" s="236"/>
      <c r="Z37" s="236"/>
      <c r="AA37" s="236" t="s">
        <v>215</v>
      </c>
      <c r="AB37" s="309">
        <f>SUM(AB31/1507.5)</f>
        <v>17544.128775477453</v>
      </c>
      <c r="AC37" s="296"/>
    </row>
    <row r="38" spans="1:29" ht="15" thickBot="1">
      <c r="A38">
        <v>31</v>
      </c>
      <c r="G38" s="218"/>
      <c r="H38" s="218"/>
      <c r="I38" s="218"/>
      <c r="J38" s="218"/>
      <c r="K38" s="218"/>
      <c r="L38" s="218"/>
      <c r="M38" s="218"/>
      <c r="N38" s="218"/>
      <c r="O38" s="218"/>
      <c r="P38" s="218"/>
      <c r="Q38" s="218"/>
      <c r="R38" s="218"/>
      <c r="V38" s="288"/>
      <c r="W38" s="225"/>
      <c r="X38" s="225"/>
      <c r="Y38" s="226"/>
      <c r="Z38" s="177"/>
      <c r="AA38" s="177"/>
      <c r="AB38" s="267"/>
      <c r="AC38" s="178"/>
    </row>
    <row r="39" spans="1:29">
      <c r="V39" s="223"/>
      <c r="W39" s="83">
        <f>AC30/1500</f>
        <v>2178.0787526881722</v>
      </c>
      <c r="Z39" s="40"/>
      <c r="AA39" s="310" t="s">
        <v>215</v>
      </c>
      <c r="AB39" s="311">
        <f>SUM(AB37)</f>
        <v>17544.128775477453</v>
      </c>
    </row>
    <row r="40" spans="1:29">
      <c r="V40" s="223"/>
      <c r="W40" s="83">
        <f>AB30/1500</f>
        <v>15453.770666666667</v>
      </c>
      <c r="Z40" s="316">
        <f>SUM(AB39)</f>
        <v>17544.128775477453</v>
      </c>
      <c r="AA40" s="311"/>
      <c r="AB40" s="311"/>
    </row>
    <row r="41" spans="1:29">
      <c r="V41" s="17"/>
      <c r="W41" s="83">
        <f>SUM(W39:W40)</f>
        <v>17631.849419354839</v>
      </c>
      <c r="Y41" s="83"/>
      <c r="Z41" s="316">
        <f>SUM(-tanks!AX37)*tanks!AU37</f>
        <v>17017.234056516132</v>
      </c>
      <c r="AA41" s="102">
        <f>SUM(AB31/A36)</f>
        <v>1889126.7235023042</v>
      </c>
      <c r="AB41" s="376">
        <f>SUM(AA41*A38)</f>
        <v>58562928.428571433</v>
      </c>
    </row>
    <row r="42" spans="1:29" ht="18.5">
      <c r="W42" s="83">
        <f>AB30/1500</f>
        <v>15453.770666666667</v>
      </c>
      <c r="Z42" s="292">
        <f>SUM(Z40:Z41)</f>
        <v>34561.362831993581</v>
      </c>
      <c r="AA42" s="311">
        <f>SUM(AA41/1507.5)</f>
        <v>1253.1520553912464</v>
      </c>
      <c r="AB42" s="375">
        <f>SUM(AB41/1507.5)</f>
        <v>38847.713717128645</v>
      </c>
    </row>
    <row r="43" spans="1:29">
      <c r="W43" s="83">
        <f>SUM(W41:W42)</f>
        <v>33085.620086021503</v>
      </c>
      <c r="Z43" s="317" t="e">
        <f>SUM(ELEC!#REF!)</f>
        <v>#REF!</v>
      </c>
    </row>
    <row r="44" spans="1:29">
      <c r="Z44" s="311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96"/>
  <sheetViews>
    <sheetView topLeftCell="A72" zoomScale="80" zoomScaleNormal="80" workbookViewId="0">
      <selection activeCell="N48" sqref="N48:O78"/>
    </sheetView>
  </sheetViews>
  <sheetFormatPr defaultRowHeight="14.5"/>
  <cols>
    <col min="1" max="1" width="9.1796875" style="105" customWidth="1"/>
    <col min="4" max="4" width="9.1796875" style="10" customWidth="1"/>
    <col min="5" max="5" width="9.1796875" style="105" customWidth="1"/>
    <col min="8" max="8" width="9.1796875" style="10" customWidth="1"/>
    <col min="9" max="9" width="9.1796875" style="105" customWidth="1"/>
    <col min="12" max="12" width="9.1796875" style="10" customWidth="1"/>
    <col min="13" max="13" width="9.1796875" style="105" customWidth="1"/>
    <col min="16" max="16" width="9.1796875" style="10" customWidth="1"/>
    <col min="17" max="17" width="9.1796875" style="105" customWidth="1"/>
    <col min="20" max="20" width="9.1796875" style="10" customWidth="1"/>
    <col min="21" max="21" width="9.1796875" style="105" customWidth="1"/>
    <col min="24" max="24" width="9.1796875" style="10" customWidth="1"/>
  </cols>
  <sheetData>
    <row r="1" spans="1:28" ht="19">
      <c r="A1" s="661" t="s">
        <v>161</v>
      </c>
      <c r="B1" s="661"/>
      <c r="C1" s="661"/>
      <c r="D1" s="661"/>
      <c r="E1" s="661"/>
      <c r="F1" s="661"/>
      <c r="G1" s="661"/>
      <c r="H1" s="661"/>
      <c r="I1" s="661"/>
      <c r="J1" s="661"/>
      <c r="K1" s="661"/>
      <c r="L1" s="661"/>
      <c r="M1" s="661"/>
      <c r="N1" s="661"/>
      <c r="O1" s="661"/>
      <c r="P1" s="661"/>
      <c r="Q1" s="661"/>
      <c r="R1" s="661"/>
      <c r="S1" s="661"/>
      <c r="T1" s="661"/>
      <c r="U1" s="661"/>
      <c r="V1" s="661"/>
      <c r="W1" s="661"/>
      <c r="X1" s="661"/>
    </row>
    <row r="2" spans="1:28" ht="19.5">
      <c r="A2" s="662"/>
      <c r="B2" s="662"/>
      <c r="C2" s="662"/>
      <c r="D2" s="662"/>
      <c r="E2" s="662"/>
      <c r="F2" s="662"/>
      <c r="G2" s="662"/>
      <c r="H2" s="662"/>
      <c r="I2" s="662"/>
      <c r="J2" s="662"/>
      <c r="K2" s="662"/>
      <c r="L2" s="662"/>
      <c r="M2" s="662"/>
      <c r="N2" s="662"/>
      <c r="O2" s="662"/>
      <c r="P2" s="662"/>
      <c r="Q2" s="662"/>
      <c r="R2" s="662"/>
      <c r="S2" s="662"/>
      <c r="T2" s="662"/>
      <c r="U2" s="662"/>
      <c r="V2" s="662"/>
      <c r="W2" s="662"/>
      <c r="X2" s="662"/>
    </row>
    <row r="3" spans="1:28" ht="19.5">
      <c r="A3" s="662" t="s">
        <v>162</v>
      </c>
      <c r="B3" s="662"/>
      <c r="C3" s="662"/>
      <c r="D3" s="662"/>
      <c r="E3" s="662"/>
      <c r="F3" s="662"/>
      <c r="G3" s="662"/>
      <c r="H3" s="662"/>
      <c r="I3" s="662"/>
      <c r="J3" s="662"/>
      <c r="K3" s="662"/>
      <c r="L3" s="662"/>
      <c r="M3" s="662"/>
      <c r="N3" s="662"/>
      <c r="O3" s="662"/>
      <c r="P3" s="662"/>
      <c r="Q3" s="662"/>
      <c r="R3" s="662"/>
      <c r="S3" s="662"/>
      <c r="T3" s="662"/>
      <c r="U3" s="662"/>
      <c r="V3" s="662"/>
      <c r="W3" s="662"/>
      <c r="X3" s="662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62" t="s">
        <v>392</v>
      </c>
      <c r="B5" s="662"/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2"/>
      <c r="P5" s="662"/>
      <c r="Q5" s="662"/>
      <c r="R5" s="662"/>
      <c r="S5" s="662"/>
      <c r="T5" s="662"/>
      <c r="U5" s="662"/>
      <c r="V5" s="662"/>
      <c r="W5" s="662"/>
      <c r="X5" s="662"/>
    </row>
    <row r="6" spans="1:28" ht="15" thickBot="1">
      <c r="A6" s="663"/>
      <c r="B6" s="663"/>
      <c r="C6" s="663"/>
      <c r="D6" s="663"/>
      <c r="E6" s="663"/>
      <c r="F6" s="663"/>
      <c r="G6" s="663"/>
      <c r="H6" s="663"/>
      <c r="I6" s="663"/>
      <c r="J6" s="663"/>
      <c r="K6" s="663"/>
      <c r="L6" s="663"/>
      <c r="M6" s="663"/>
      <c r="N6" s="663"/>
      <c r="O6" s="663"/>
      <c r="P6" s="663"/>
      <c r="Q6" s="663"/>
      <c r="R6" s="663"/>
      <c r="S6" s="663"/>
      <c r="T6" s="663"/>
      <c r="U6" s="663"/>
      <c r="V6" s="663"/>
      <c r="W6" s="663"/>
      <c r="X6" s="663"/>
    </row>
    <row r="7" spans="1:28" ht="15" thickBot="1">
      <c r="A7" s="651" t="s">
        <v>163</v>
      </c>
      <c r="B7" s="652"/>
      <c r="C7" s="653" t="s">
        <v>164</v>
      </c>
      <c r="D7" s="654"/>
      <c r="E7" s="654"/>
      <c r="F7" s="654"/>
      <c r="G7" s="654"/>
      <c r="H7" s="654"/>
      <c r="I7" s="654"/>
      <c r="J7" s="654"/>
      <c r="K7" s="655"/>
    </row>
    <row r="8" spans="1:28" ht="15.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61" t="s">
        <v>174</v>
      </c>
      <c r="AB9" s="161" t="s">
        <v>175</v>
      </c>
    </row>
    <row r="10" spans="1:28">
      <c r="A10" s="118">
        <v>1</v>
      </c>
      <c r="B10" s="284">
        <f>'[10]Degree Days 2018'!B10</f>
        <v>18</v>
      </c>
      <c r="C10" s="284">
        <f>'[10]Degree Days 2018'!C10</f>
        <v>13</v>
      </c>
      <c r="D10" s="284">
        <f>'[6]Degree days 2016'!D10</f>
        <v>-2.8000000000000007</v>
      </c>
      <c r="E10" s="118">
        <v>1</v>
      </c>
      <c r="F10" s="284">
        <f>'[10]Degree Days 2018'!F10</f>
        <v>18</v>
      </c>
      <c r="G10" s="284">
        <f>'[10]Degree Days 2018'!G10</f>
        <v>13</v>
      </c>
      <c r="H10" s="284">
        <f>'[6]Degree days 2016'!H10</f>
        <v>-2.8000000000000007</v>
      </c>
      <c r="I10" s="118">
        <v>1</v>
      </c>
      <c r="J10" s="284">
        <f>'[10]Degree Days 2018'!J10</f>
        <v>16</v>
      </c>
      <c r="K10" s="284">
        <f>'[10]Degree Days 2018'!K10</f>
        <v>8</v>
      </c>
      <c r="L10" s="120">
        <f>(J10+K10)/2-18.3</f>
        <v>-6.3000000000000007</v>
      </c>
      <c r="M10" s="118">
        <v>1</v>
      </c>
      <c r="N10" s="284">
        <f>'[2]Degree Days 2018'!N10</f>
        <v>18</v>
      </c>
      <c r="O10" s="284">
        <f>'[2]Degree Days 2018'!O10</f>
        <v>13</v>
      </c>
      <c r="P10" s="120">
        <f t="shared" ref="P10:P39" si="0">(N10+O10)/2-18.3</f>
        <v>-2.8000000000000007</v>
      </c>
      <c r="Q10" s="118">
        <v>1</v>
      </c>
      <c r="R10" s="284">
        <f>'[3]Degree Days 2018'!R10</f>
        <v>27</v>
      </c>
      <c r="S10" s="284">
        <f>'[3]Degree Days 2018'!S10</f>
        <v>17</v>
      </c>
      <c r="T10" s="120">
        <f t="shared" ref="T10:T40" si="1">(R10+S10)/2-18.3</f>
        <v>3.6999999999999993</v>
      </c>
      <c r="U10" s="118">
        <v>1</v>
      </c>
      <c r="V10" s="284">
        <f>'General information '!B6</f>
        <v>29</v>
      </c>
      <c r="W10" s="284">
        <f>'General information '!C6</f>
        <v>25</v>
      </c>
      <c r="X10" s="120">
        <f t="shared" ref="X10:X38" si="2">(V10+W10)/2-18.3</f>
        <v>8.6999999999999993</v>
      </c>
      <c r="Z10" t="s">
        <v>165</v>
      </c>
      <c r="AA10" s="136">
        <f>SUM(B43)</f>
        <v>-116.79999999999994</v>
      </c>
      <c r="AB10" s="136">
        <f>SUM(C44)</f>
        <v>0</v>
      </c>
    </row>
    <row r="11" spans="1:28">
      <c r="A11" s="118">
        <v>2</v>
      </c>
      <c r="B11" s="284">
        <f>'[10]Degree Days 2018'!B11</f>
        <v>18</v>
      </c>
      <c r="C11" s="284">
        <f>'[10]Degree Days 2018'!C11</f>
        <v>11</v>
      </c>
      <c r="D11" s="284">
        <f>'[6]Degree days 2016'!D11</f>
        <v>-3.8000000000000007</v>
      </c>
      <c r="E11" s="118">
        <v>2</v>
      </c>
      <c r="F11" s="284">
        <f>'[10]Degree Days 2018'!F11</f>
        <v>18</v>
      </c>
      <c r="G11" s="284">
        <f>'[10]Degree Days 2018'!G11</f>
        <v>12</v>
      </c>
      <c r="H11" s="284">
        <f>'[6]Degree days 2016'!H11</f>
        <v>-3.3000000000000007</v>
      </c>
      <c r="I11" s="118">
        <v>2</v>
      </c>
      <c r="J11" s="284">
        <f>'[10]Degree Days 2018'!J11</f>
        <v>18</v>
      </c>
      <c r="K11" s="284">
        <f>'[10]Degree Days 2018'!K11</f>
        <v>13</v>
      </c>
      <c r="L11" s="120">
        <f t="shared" ref="L11:L40" si="3">(J11+K11)/2-18.3</f>
        <v>-2.8000000000000007</v>
      </c>
      <c r="M11" s="118">
        <v>2</v>
      </c>
      <c r="N11" s="284">
        <f>'[2]Degree Days 2018'!N11</f>
        <v>18</v>
      </c>
      <c r="O11" s="284">
        <f>'[2]Degree Days 2018'!O11</f>
        <v>12</v>
      </c>
      <c r="P11" s="120">
        <f t="shared" si="0"/>
        <v>-3.3000000000000007</v>
      </c>
      <c r="Q11" s="118">
        <v>2</v>
      </c>
      <c r="R11" s="284">
        <f>'[3]Degree Days 2018'!R11</f>
        <v>26</v>
      </c>
      <c r="S11" s="284">
        <f>'[3]Degree Days 2018'!S11</f>
        <v>20</v>
      </c>
      <c r="T11" s="120">
        <f t="shared" si="1"/>
        <v>4.6999999999999993</v>
      </c>
      <c r="U11" s="118">
        <v>2</v>
      </c>
      <c r="V11" s="284">
        <f>'General information '!B7</f>
        <v>28</v>
      </c>
      <c r="W11" s="284">
        <f>'General information '!C7</f>
        <v>25</v>
      </c>
      <c r="X11" s="120">
        <f t="shared" si="2"/>
        <v>8.1999999999999993</v>
      </c>
      <c r="Z11" t="s">
        <v>169</v>
      </c>
      <c r="AA11" s="136">
        <f>F43</f>
        <v>-100.69999999999997</v>
      </c>
      <c r="AB11" s="136">
        <f>G43</f>
        <v>2.2999999999999972</v>
      </c>
    </row>
    <row r="12" spans="1:28">
      <c r="A12" s="118">
        <v>3</v>
      </c>
      <c r="B12" s="284">
        <f>'[10]Degree Days 2018'!B12</f>
        <v>18</v>
      </c>
      <c r="C12" s="284">
        <f>'[10]Degree Days 2018'!C12</f>
        <v>12</v>
      </c>
      <c r="D12" s="284">
        <f>'[6]Degree days 2016'!D12</f>
        <v>-3.3000000000000007</v>
      </c>
      <c r="E12" s="118">
        <v>3</v>
      </c>
      <c r="F12" s="284">
        <f>'[10]Degree Days 2018'!F12</f>
        <v>18</v>
      </c>
      <c r="G12" s="284">
        <f>'[10]Degree Days 2018'!G12</f>
        <v>11</v>
      </c>
      <c r="H12" s="284">
        <f>'[6]Degree days 2016'!H12</f>
        <v>-3.8000000000000007</v>
      </c>
      <c r="I12" s="118">
        <v>3</v>
      </c>
      <c r="J12" s="284">
        <f>'[10]Degree Days 2018'!J12</f>
        <v>18</v>
      </c>
      <c r="K12" s="284">
        <f>'[10]Degree Days 2018'!K12</f>
        <v>11</v>
      </c>
      <c r="L12" s="120">
        <f t="shared" si="3"/>
        <v>-3.8000000000000007</v>
      </c>
      <c r="M12" s="118">
        <v>3</v>
      </c>
      <c r="N12" s="284">
        <f>'[2]Degree Days 2018'!N12</f>
        <v>18</v>
      </c>
      <c r="O12" s="284">
        <f>'[2]Degree Days 2018'!O12</f>
        <v>12</v>
      </c>
      <c r="P12" s="120">
        <f t="shared" si="0"/>
        <v>-3.3000000000000007</v>
      </c>
      <c r="Q12" s="118">
        <v>3</v>
      </c>
      <c r="R12" s="284">
        <f>'[3]Degree Days 2018'!R12</f>
        <v>22</v>
      </c>
      <c r="S12" s="284">
        <f>'[3]Degree Days 2018'!S12</f>
        <v>18</v>
      </c>
      <c r="T12" s="120">
        <f t="shared" si="1"/>
        <v>1.6999999999999993</v>
      </c>
      <c r="U12" s="118">
        <v>3</v>
      </c>
      <c r="V12" s="284">
        <f>'General information '!B8</f>
        <v>28</v>
      </c>
      <c r="W12" s="284">
        <f>'General information '!C8</f>
        <v>24</v>
      </c>
      <c r="X12" s="120">
        <f t="shared" si="2"/>
        <v>7.6999999999999993</v>
      </c>
      <c r="Z12" t="s">
        <v>170</v>
      </c>
      <c r="AA12" s="136">
        <f>J43</f>
        <v>-87.799999999999955</v>
      </c>
      <c r="AB12" s="136">
        <f>K43</f>
        <v>0</v>
      </c>
    </row>
    <row r="13" spans="1:28">
      <c r="A13" s="118">
        <v>4</v>
      </c>
      <c r="B13" s="284">
        <f>'[10]Degree Days 2018'!B13</f>
        <v>19</v>
      </c>
      <c r="C13" s="284">
        <f>'[10]Degree Days 2018'!C13</f>
        <v>14</v>
      </c>
      <c r="D13" s="284">
        <f>'[6]Degree days 2016'!D13</f>
        <v>-1.8000000000000007</v>
      </c>
      <c r="E13" s="118">
        <v>4</v>
      </c>
      <c r="F13" s="284">
        <f>'[10]Degree Days 2018'!F13</f>
        <v>22</v>
      </c>
      <c r="G13" s="284">
        <f>'[10]Degree Days 2018'!G13</f>
        <v>17</v>
      </c>
      <c r="H13" s="284">
        <f>'[6]Degree days 2016'!H13</f>
        <v>1.1999999999999993</v>
      </c>
      <c r="I13" s="118">
        <v>4</v>
      </c>
      <c r="J13" s="284">
        <f>'[10]Degree Days 2018'!J13</f>
        <v>18</v>
      </c>
      <c r="K13" s="284">
        <f>'[10]Degree Days 2018'!K13</f>
        <v>13</v>
      </c>
      <c r="L13" s="120">
        <f t="shared" si="3"/>
        <v>-2.8000000000000007</v>
      </c>
      <c r="M13" s="118">
        <v>4</v>
      </c>
      <c r="N13" s="284">
        <f>'[2]Degree Days 2018'!N13</f>
        <v>19</v>
      </c>
      <c r="O13" s="284">
        <f>'[2]Degree Days 2018'!O13</f>
        <v>13</v>
      </c>
      <c r="P13" s="120">
        <f t="shared" si="0"/>
        <v>-2.3000000000000007</v>
      </c>
      <c r="Q13" s="118">
        <v>4</v>
      </c>
      <c r="R13" s="284">
        <f>'[3]Degree Days 2018'!R13</f>
        <v>26</v>
      </c>
      <c r="S13" s="284">
        <f>'[3]Degree Days 2018'!S13</f>
        <v>22</v>
      </c>
      <c r="T13" s="120">
        <f t="shared" si="1"/>
        <v>5.6999999999999993</v>
      </c>
      <c r="U13" s="118">
        <v>4</v>
      </c>
      <c r="V13" s="284">
        <f>'General information '!B9</f>
        <v>28</v>
      </c>
      <c r="W13" s="284">
        <f>'General information '!C9</f>
        <v>23</v>
      </c>
      <c r="X13" s="120">
        <f t="shared" si="2"/>
        <v>7.1999999999999993</v>
      </c>
      <c r="Z13" t="s">
        <v>171</v>
      </c>
      <c r="AA13" s="136">
        <f>N43</f>
        <v>-38.700000000000003</v>
      </c>
      <c r="AB13" s="136">
        <f>O43</f>
        <v>33.199999999999989</v>
      </c>
    </row>
    <row r="14" spans="1:28">
      <c r="A14" s="118">
        <v>5</v>
      </c>
      <c r="B14" s="284">
        <f>'[10]Degree Days 2018'!B14</f>
        <v>18</v>
      </c>
      <c r="C14" s="284">
        <f>'[10]Degree Days 2018'!C14</f>
        <v>13</v>
      </c>
      <c r="D14" s="284">
        <f>'[6]Degree days 2016'!D14</f>
        <v>-2.8000000000000007</v>
      </c>
      <c r="E14" s="118">
        <v>5</v>
      </c>
      <c r="F14" s="284">
        <f>'[10]Degree Days 2018'!F14</f>
        <v>22</v>
      </c>
      <c r="G14" s="284">
        <f>'[10]Degree Days 2018'!G14</f>
        <v>16</v>
      </c>
      <c r="H14" s="284">
        <f>'[6]Degree days 2016'!H14</f>
        <v>0.69999999999999929</v>
      </c>
      <c r="I14" s="118">
        <v>5</v>
      </c>
      <c r="J14" s="284">
        <f>'[10]Degree Days 2018'!J14</f>
        <v>17</v>
      </c>
      <c r="K14" s="284">
        <f>'[10]Degree Days 2018'!K14</f>
        <v>12</v>
      </c>
      <c r="L14" s="120">
        <f t="shared" si="3"/>
        <v>-3.8000000000000007</v>
      </c>
      <c r="M14" s="118">
        <v>5</v>
      </c>
      <c r="N14" s="284">
        <f>'[2]Degree Days 2018'!N14</f>
        <v>19</v>
      </c>
      <c r="O14" s="284">
        <f>'[2]Degree Days 2018'!O14</f>
        <v>16</v>
      </c>
      <c r="P14" s="120">
        <f t="shared" si="0"/>
        <v>-0.80000000000000071</v>
      </c>
      <c r="Q14" s="118">
        <v>5</v>
      </c>
      <c r="R14" s="284">
        <f>'[3]Degree Days 2018'!R14</f>
        <v>25</v>
      </c>
      <c r="S14" s="284">
        <f>'[3]Degree Days 2018'!S14</f>
        <v>17</v>
      </c>
      <c r="T14" s="120">
        <f t="shared" si="1"/>
        <v>2.6999999999999993</v>
      </c>
      <c r="U14" s="118">
        <v>5</v>
      </c>
      <c r="V14" s="284">
        <f>'General information '!B10</f>
        <v>28</v>
      </c>
      <c r="W14" s="284">
        <f>'General information '!C10</f>
        <v>24</v>
      </c>
      <c r="X14" s="120">
        <f t="shared" si="2"/>
        <v>7.6999999999999993</v>
      </c>
      <c r="Z14" t="s">
        <v>172</v>
      </c>
      <c r="AA14" s="136">
        <f>R43</f>
        <v>-18.3</v>
      </c>
      <c r="AB14" s="136">
        <f>S43</f>
        <v>151</v>
      </c>
    </row>
    <row r="15" spans="1:28">
      <c r="A15" s="118">
        <v>6</v>
      </c>
      <c r="B15" s="284">
        <f>'[10]Degree Days 2018'!B15</f>
        <v>16</v>
      </c>
      <c r="C15" s="284">
        <f>'[10]Degree Days 2018'!C15</f>
        <v>13</v>
      </c>
      <c r="D15" s="284">
        <f>'[6]Degree days 2016'!D15</f>
        <v>-3.8000000000000007</v>
      </c>
      <c r="E15" s="118">
        <v>6</v>
      </c>
      <c r="F15" s="284">
        <f>'[10]Degree Days 2018'!F15</f>
        <v>18</v>
      </c>
      <c r="G15" s="284">
        <f>'[10]Degree Days 2018'!G15</f>
        <v>15</v>
      </c>
      <c r="H15" s="284">
        <f>'[6]Degree days 2016'!H15</f>
        <v>-1.8000000000000007</v>
      </c>
      <c r="I15" s="118">
        <v>6</v>
      </c>
      <c r="J15" s="284">
        <f>'[10]Degree Days 2018'!J15</f>
        <v>18</v>
      </c>
      <c r="K15" s="284">
        <f>'[10]Degree Days 2018'!K15</f>
        <v>12</v>
      </c>
      <c r="L15" s="120">
        <f t="shared" si="3"/>
        <v>-3.3000000000000007</v>
      </c>
      <c r="M15" s="118">
        <v>6</v>
      </c>
      <c r="N15" s="284">
        <f>'[2]Degree Days 2018'!N15</f>
        <v>19</v>
      </c>
      <c r="O15" s="284">
        <f>'[2]Degree Days 2018'!O15</f>
        <v>15</v>
      </c>
      <c r="P15" s="120">
        <f t="shared" si="0"/>
        <v>-1.3000000000000007</v>
      </c>
      <c r="Q15" s="118">
        <v>6</v>
      </c>
      <c r="R15" s="284">
        <f>'[3]Degree Days 2018'!R15</f>
        <v>34</v>
      </c>
      <c r="S15" s="284">
        <f>'[3]Degree Days 2018'!S15</f>
        <v>20</v>
      </c>
      <c r="T15" s="120">
        <f t="shared" si="1"/>
        <v>8.6999999999999993</v>
      </c>
      <c r="U15" s="118">
        <v>6</v>
      </c>
      <c r="V15" s="284">
        <f>'General information '!B11</f>
        <v>29</v>
      </c>
      <c r="W15" s="284">
        <f>'General information '!C11</f>
        <v>23</v>
      </c>
      <c r="X15" s="120">
        <f t="shared" si="2"/>
        <v>7.6999999999999993</v>
      </c>
      <c r="Z15" t="s">
        <v>173</v>
      </c>
      <c r="AA15" s="136">
        <f>V43</f>
        <v>-292.80000000000007</v>
      </c>
      <c r="AB15" s="136">
        <f>W43</f>
        <v>109.80000000000003</v>
      </c>
    </row>
    <row r="16" spans="1:28">
      <c r="A16" s="118">
        <v>7</v>
      </c>
      <c r="B16" s="284">
        <f>'[10]Degree Days 2018'!B16</f>
        <v>15</v>
      </c>
      <c r="C16" s="284">
        <f>'[10]Degree Days 2018'!C16</f>
        <v>10</v>
      </c>
      <c r="D16" s="284">
        <f>'[6]Degree days 2016'!D16</f>
        <v>-5.8000000000000007</v>
      </c>
      <c r="E16" s="118">
        <v>7</v>
      </c>
      <c r="F16" s="284">
        <f>'[10]Degree Days 2018'!F16</f>
        <v>18</v>
      </c>
      <c r="G16" s="284">
        <f>'[10]Degree Days 2018'!G16</f>
        <v>13</v>
      </c>
      <c r="H16" s="284">
        <f>'[6]Degree days 2016'!H16</f>
        <v>-2.8000000000000007</v>
      </c>
      <c r="I16" s="118">
        <v>7</v>
      </c>
      <c r="J16" s="284">
        <f>'[10]Degree Days 2018'!J16</f>
        <v>18</v>
      </c>
      <c r="K16" s="284">
        <f>'[10]Degree Days 2018'!K16</f>
        <v>12</v>
      </c>
      <c r="L16" s="120">
        <f t="shared" si="3"/>
        <v>-3.3000000000000007</v>
      </c>
      <c r="M16" s="118">
        <v>7</v>
      </c>
      <c r="N16" s="284">
        <f>'[2]Degree Days 2018'!N16</f>
        <v>25</v>
      </c>
      <c r="O16" s="284">
        <f>'[2]Degree Days 2018'!O16</f>
        <v>17</v>
      </c>
      <c r="P16" s="120">
        <f t="shared" si="0"/>
        <v>2.6999999999999993</v>
      </c>
      <c r="Q16" s="118">
        <v>7</v>
      </c>
      <c r="R16" s="284">
        <f>'[3]Degree Days 2018'!R16</f>
        <v>22</v>
      </c>
      <c r="S16" s="284">
        <f>'[3]Degree Days 2018'!S16</f>
        <v>17</v>
      </c>
      <c r="T16" s="120">
        <f t="shared" si="1"/>
        <v>1.1999999999999993</v>
      </c>
      <c r="U16" s="118">
        <v>7</v>
      </c>
      <c r="V16" s="284">
        <f>'General information '!B12</f>
        <v>29</v>
      </c>
      <c r="W16" s="284">
        <f>'General information '!C12</f>
        <v>24</v>
      </c>
      <c r="X16" s="120">
        <f t="shared" si="2"/>
        <v>8.1999999999999993</v>
      </c>
      <c r="Z16" t="s">
        <v>176</v>
      </c>
      <c r="AA16" s="136">
        <f t="shared" ref="AA16:AA21" si="4">SUM(B49)</f>
        <v>31</v>
      </c>
      <c r="AB16" s="136">
        <f t="shared" ref="AB16:AB21" si="5">SUM(C49)</f>
        <v>26</v>
      </c>
    </row>
    <row r="17" spans="1:28">
      <c r="A17" s="118">
        <v>8</v>
      </c>
      <c r="B17" s="284">
        <f>'[10]Degree Days 2018'!B17</f>
        <v>13</v>
      </c>
      <c r="C17" s="284">
        <f>'[10]Degree Days 2018'!C17</f>
        <v>10</v>
      </c>
      <c r="D17" s="284">
        <f>'[6]Degree days 2016'!D17</f>
        <v>-6.8000000000000007</v>
      </c>
      <c r="E17" s="118">
        <v>8</v>
      </c>
      <c r="F17" s="284">
        <f>'[10]Degree Days 2018'!F17</f>
        <v>19</v>
      </c>
      <c r="G17" s="284">
        <f>'[10]Degree Days 2018'!G17</f>
        <v>12</v>
      </c>
      <c r="H17" s="284">
        <f>'[6]Degree days 2016'!H17</f>
        <v>-2.8000000000000007</v>
      </c>
      <c r="I17" s="118">
        <v>8</v>
      </c>
      <c r="J17" s="284">
        <f>'[10]Degree Days 2018'!J17</f>
        <v>18</v>
      </c>
      <c r="K17" s="284">
        <f>'[10]Degree Days 2018'!K17</f>
        <v>13</v>
      </c>
      <c r="L17" s="120">
        <f t="shared" si="3"/>
        <v>-2.8000000000000007</v>
      </c>
      <c r="M17" s="118">
        <v>8</v>
      </c>
      <c r="N17" s="284">
        <f>'[2]Degree Days 2018'!N17</f>
        <v>24</v>
      </c>
      <c r="O17" s="284">
        <f>'[2]Degree Days 2018'!O17</f>
        <v>17</v>
      </c>
      <c r="P17" s="120">
        <f t="shared" si="0"/>
        <v>2.1999999999999993</v>
      </c>
      <c r="Q17" s="118">
        <v>8</v>
      </c>
      <c r="R17" s="284">
        <f>'[3]Degree Days 2018'!R17</f>
        <v>21</v>
      </c>
      <c r="S17" s="284">
        <f>'[3]Degree Days 2018'!S17</f>
        <v>18</v>
      </c>
      <c r="T17" s="120">
        <f t="shared" si="1"/>
        <v>1.1999999999999993</v>
      </c>
      <c r="U17" s="118">
        <v>8</v>
      </c>
      <c r="V17" s="284">
        <f>'General information '!B13</f>
        <v>29</v>
      </c>
      <c r="W17" s="284">
        <f>'General information '!C13</f>
        <v>23</v>
      </c>
      <c r="X17" s="120">
        <f t="shared" si="2"/>
        <v>7.6999999999999993</v>
      </c>
      <c r="Z17" t="s">
        <v>177</v>
      </c>
      <c r="AA17" s="136">
        <f t="shared" si="4"/>
        <v>31</v>
      </c>
      <c r="AB17" s="136">
        <f t="shared" si="5"/>
        <v>27</v>
      </c>
    </row>
    <row r="18" spans="1:28">
      <c r="A18" s="118">
        <v>9</v>
      </c>
      <c r="B18" s="284">
        <f>'[10]Degree Days 2018'!B18</f>
        <v>16</v>
      </c>
      <c r="C18" s="284">
        <f>'[10]Degree Days 2018'!C18</f>
        <v>10</v>
      </c>
      <c r="D18" s="284">
        <f>'[6]Degree days 2016'!D18</f>
        <v>-5.3000000000000007</v>
      </c>
      <c r="E18" s="118">
        <v>9</v>
      </c>
      <c r="F18" s="284">
        <f>'[10]Degree Days 2018'!F18</f>
        <v>18</v>
      </c>
      <c r="G18" s="284">
        <f>'[10]Degree Days 2018'!G18</f>
        <v>12</v>
      </c>
      <c r="H18" s="284">
        <f>'[6]Degree days 2016'!H18</f>
        <v>-3.3000000000000007</v>
      </c>
      <c r="I18" s="118">
        <v>9</v>
      </c>
      <c r="J18" s="284">
        <f>'[10]Degree Days 2018'!J18</f>
        <v>19</v>
      </c>
      <c r="K18" s="284">
        <f>'[10]Degree Days 2018'!K18</f>
        <v>14</v>
      </c>
      <c r="L18" s="120">
        <f t="shared" si="3"/>
        <v>-1.8000000000000007</v>
      </c>
      <c r="M18" s="118">
        <v>9</v>
      </c>
      <c r="N18" s="284">
        <f>'[2]Degree Days 2018'!N18</f>
        <v>23</v>
      </c>
      <c r="O18" s="284">
        <f>'[2]Degree Days 2018'!O18</f>
        <v>16</v>
      </c>
      <c r="P18" s="120">
        <f t="shared" si="0"/>
        <v>1.1999999999999993</v>
      </c>
      <c r="Q18" s="118">
        <v>9</v>
      </c>
      <c r="R18" s="284">
        <f>'[3]Degree Days 2018'!R18</f>
        <v>21</v>
      </c>
      <c r="S18" s="284">
        <f>'[3]Degree Days 2018'!S18</f>
        <v>17</v>
      </c>
      <c r="T18" s="120">
        <f t="shared" si="1"/>
        <v>0.69999999999999929</v>
      </c>
      <c r="U18" s="118">
        <v>9</v>
      </c>
      <c r="V18" s="284">
        <f>'General information '!B14</f>
        <v>29</v>
      </c>
      <c r="W18" s="284">
        <f>'General information '!C14</f>
        <v>23</v>
      </c>
      <c r="X18" s="120">
        <f t="shared" si="2"/>
        <v>7.6999999999999993</v>
      </c>
      <c r="Z18" t="s">
        <v>178</v>
      </c>
      <c r="AA18" s="136">
        <f t="shared" si="4"/>
        <v>31</v>
      </c>
      <c r="AB18" s="136">
        <f t="shared" si="5"/>
        <v>26</v>
      </c>
    </row>
    <row r="19" spans="1:28">
      <c r="A19" s="118">
        <v>10</v>
      </c>
      <c r="B19" s="284">
        <f>'[10]Degree Days 2018'!B19</f>
        <v>17</v>
      </c>
      <c r="C19" s="284">
        <f>'[10]Degree Days 2018'!C19</f>
        <v>11</v>
      </c>
      <c r="D19" s="284">
        <f>'[6]Degree days 2016'!D19</f>
        <v>-4.3000000000000007</v>
      </c>
      <c r="E19" s="118">
        <v>10</v>
      </c>
      <c r="F19" s="284">
        <f>'[10]Degree Days 2018'!F19</f>
        <v>17</v>
      </c>
      <c r="G19" s="284">
        <f>'[10]Degree Days 2018'!G19</f>
        <v>11</v>
      </c>
      <c r="H19" s="284">
        <f>'[6]Degree days 2016'!H19</f>
        <v>-4.3000000000000007</v>
      </c>
      <c r="I19" s="118">
        <v>10</v>
      </c>
      <c r="J19" s="284">
        <f>'[10]Degree Days 2018'!J19</f>
        <v>18</v>
      </c>
      <c r="K19" s="284">
        <f>'[10]Degree Days 2018'!K19</f>
        <v>12</v>
      </c>
      <c r="L19" s="120">
        <f t="shared" si="3"/>
        <v>-3.3000000000000007</v>
      </c>
      <c r="M19" s="118">
        <v>10</v>
      </c>
      <c r="N19" s="284">
        <f>'[2]Degree Days 2018'!N19</f>
        <v>20</v>
      </c>
      <c r="O19" s="284">
        <f>'[2]Degree Days 2018'!O19</f>
        <v>16</v>
      </c>
      <c r="P19" s="120">
        <f t="shared" si="0"/>
        <v>-0.30000000000000071</v>
      </c>
      <c r="Q19" s="118">
        <v>10</v>
      </c>
      <c r="R19" s="284">
        <f>'[3]Degree Days 2018'!R19</f>
        <v>21</v>
      </c>
      <c r="S19" s="284">
        <f>'[3]Degree Days 2018'!S19</f>
        <v>16</v>
      </c>
      <c r="T19" s="120">
        <f t="shared" si="1"/>
        <v>0.19999999999999929</v>
      </c>
      <c r="U19" s="118">
        <v>10</v>
      </c>
      <c r="V19" s="284">
        <f>'General information '!B15</f>
        <v>28</v>
      </c>
      <c r="W19" s="284">
        <f>'General information '!C15</f>
        <v>22</v>
      </c>
      <c r="X19" s="120">
        <f t="shared" si="2"/>
        <v>6.6999999999999993</v>
      </c>
      <c r="Z19" t="s">
        <v>179</v>
      </c>
      <c r="AA19" s="136">
        <f t="shared" si="4"/>
        <v>32</v>
      </c>
      <c r="AB19" s="136">
        <f t="shared" si="5"/>
        <v>26</v>
      </c>
    </row>
    <row r="20" spans="1:28">
      <c r="A20" s="118">
        <v>11</v>
      </c>
      <c r="B20" s="284">
        <f>'[10]Degree Days 2018'!B20</f>
        <v>18</v>
      </c>
      <c r="C20" s="284">
        <f>'[10]Degree Days 2018'!C20</f>
        <v>10</v>
      </c>
      <c r="D20" s="284">
        <f>'[6]Degree days 2016'!D20</f>
        <v>-4.3000000000000007</v>
      </c>
      <c r="E20" s="118">
        <v>11</v>
      </c>
      <c r="F20" s="284">
        <f>'[10]Degree Days 2018'!F20</f>
        <v>17</v>
      </c>
      <c r="G20" s="284">
        <f>'[10]Degree Days 2018'!G20</f>
        <v>12</v>
      </c>
      <c r="H20" s="284">
        <f>'[6]Degree days 2016'!H20</f>
        <v>-3.8000000000000007</v>
      </c>
      <c r="I20" s="118">
        <v>11</v>
      </c>
      <c r="J20" s="284">
        <f>'[10]Degree Days 2018'!J20</f>
        <v>18</v>
      </c>
      <c r="K20" s="284">
        <f>'[10]Degree Days 2018'!K20</f>
        <v>13</v>
      </c>
      <c r="L20" s="120">
        <f t="shared" si="3"/>
        <v>-2.8000000000000007</v>
      </c>
      <c r="M20" s="118">
        <v>11</v>
      </c>
      <c r="N20" s="284">
        <f>'[2]Degree Days 2018'!N20</f>
        <v>19</v>
      </c>
      <c r="O20" s="284">
        <f>'[2]Degree Days 2018'!O20</f>
        <v>15</v>
      </c>
      <c r="P20" s="120">
        <f t="shared" si="0"/>
        <v>-1.3000000000000007</v>
      </c>
      <c r="Q20" s="118">
        <v>11</v>
      </c>
      <c r="R20" s="284">
        <f>'[3]Degree Days 2018'!R20</f>
        <v>25</v>
      </c>
      <c r="S20" s="284">
        <f>'[3]Degree Days 2018'!S20</f>
        <v>22</v>
      </c>
      <c r="T20" s="120">
        <f t="shared" si="1"/>
        <v>5.1999999999999993</v>
      </c>
      <c r="U20" s="118">
        <v>11</v>
      </c>
      <c r="V20" s="284">
        <f>'General information '!B16</f>
        <v>29</v>
      </c>
      <c r="W20" s="284">
        <f>'General information '!C16</f>
        <v>23</v>
      </c>
      <c r="X20" s="120">
        <f t="shared" si="2"/>
        <v>7.6999999999999993</v>
      </c>
      <c r="Z20" t="s">
        <v>180</v>
      </c>
      <c r="AA20" s="136">
        <f t="shared" si="4"/>
        <v>31</v>
      </c>
      <c r="AB20" s="136">
        <f t="shared" si="5"/>
        <v>25</v>
      </c>
    </row>
    <row r="21" spans="1:28">
      <c r="A21" s="118">
        <v>12</v>
      </c>
      <c r="B21" s="284">
        <f>'[10]Degree Days 2018'!B21</f>
        <v>17</v>
      </c>
      <c r="C21" s="284">
        <f>'[10]Degree Days 2018'!C21</f>
        <v>11</v>
      </c>
      <c r="D21" s="284">
        <f>'[6]Degree days 2016'!D21</f>
        <v>-4.3000000000000007</v>
      </c>
      <c r="E21" s="118">
        <v>12</v>
      </c>
      <c r="F21" s="284">
        <f>'[10]Degree Days 2018'!F21</f>
        <v>19</v>
      </c>
      <c r="G21" s="284">
        <f>'[10]Degree Days 2018'!G21</f>
        <v>13</v>
      </c>
      <c r="H21" s="284">
        <f>'[6]Degree days 2016'!H21</f>
        <v>-2.3000000000000007</v>
      </c>
      <c r="I21" s="118">
        <v>12</v>
      </c>
      <c r="J21" s="284">
        <f>'[10]Degree Days 2018'!J21</f>
        <v>18</v>
      </c>
      <c r="K21" s="284">
        <f>'[10]Degree Days 2018'!K21</f>
        <v>14</v>
      </c>
      <c r="L21" s="120">
        <f t="shared" si="3"/>
        <v>-2.3000000000000007</v>
      </c>
      <c r="M21" s="118">
        <v>12</v>
      </c>
      <c r="N21" s="284">
        <f>'[2]Degree Days 2018'!N21</f>
        <v>20</v>
      </c>
      <c r="O21" s="284">
        <f>'[2]Degree Days 2018'!O21</f>
        <v>16</v>
      </c>
      <c r="P21" s="120">
        <f t="shared" si="0"/>
        <v>-0.30000000000000071</v>
      </c>
      <c r="Q21" s="118">
        <v>12</v>
      </c>
      <c r="R21" s="284">
        <f>'[3]Degree Days 2018'!R21</f>
        <v>26</v>
      </c>
      <c r="S21" s="284">
        <f>'[3]Degree Days 2018'!S21</f>
        <v>23</v>
      </c>
      <c r="T21" s="120">
        <f t="shared" si="1"/>
        <v>6.1999999999999993</v>
      </c>
      <c r="U21" s="118">
        <v>12</v>
      </c>
      <c r="V21" s="284">
        <f>'General information '!B17</f>
        <v>28</v>
      </c>
      <c r="W21" s="284">
        <f>'General information '!C17</f>
        <v>23</v>
      </c>
      <c r="X21" s="120">
        <f t="shared" si="2"/>
        <v>7.1999999999999993</v>
      </c>
      <c r="Z21" t="s">
        <v>181</v>
      </c>
      <c r="AA21" s="136">
        <f t="shared" si="4"/>
        <v>31</v>
      </c>
      <c r="AB21" s="136">
        <f t="shared" si="5"/>
        <v>26</v>
      </c>
    </row>
    <row r="22" spans="1:28">
      <c r="A22" s="118">
        <v>13</v>
      </c>
      <c r="B22" s="284">
        <f>'[10]Degree Days 2018'!B22</f>
        <v>15</v>
      </c>
      <c r="C22" s="284">
        <f>'[10]Degree Days 2018'!C22</f>
        <v>13</v>
      </c>
      <c r="D22" s="284">
        <f>'[6]Degree days 2016'!D22</f>
        <v>-4.3000000000000007</v>
      </c>
      <c r="E22" s="118">
        <v>13</v>
      </c>
      <c r="F22" s="284">
        <f>'[10]Degree Days 2018'!F22</f>
        <v>17</v>
      </c>
      <c r="G22" s="284">
        <f>'[10]Degree Days 2018'!G22</f>
        <v>12</v>
      </c>
      <c r="H22" s="284">
        <f>'[6]Degree days 2016'!H22</f>
        <v>-3.8000000000000007</v>
      </c>
      <c r="I22" s="118">
        <v>13</v>
      </c>
      <c r="J22" s="284">
        <f>'[10]Degree Days 2018'!J22</f>
        <v>20</v>
      </c>
      <c r="K22" s="284">
        <f>'[10]Degree Days 2018'!K22</f>
        <v>15</v>
      </c>
      <c r="L22" s="120">
        <f t="shared" si="3"/>
        <v>-0.80000000000000071</v>
      </c>
      <c r="M22" s="118">
        <v>13</v>
      </c>
      <c r="N22" s="284">
        <f>'[2]Degree Days 2018'!N22</f>
        <v>29</v>
      </c>
      <c r="O22" s="284">
        <f>'[2]Degree Days 2018'!O22</f>
        <v>22</v>
      </c>
      <c r="P22" s="120">
        <f t="shared" si="0"/>
        <v>7.1999999999999993</v>
      </c>
      <c r="Q22" s="118">
        <v>13</v>
      </c>
      <c r="R22" s="284">
        <f>'[3]Degree Days 2018'!R22</f>
        <v>28</v>
      </c>
      <c r="S22" s="284">
        <f>'[3]Degree Days 2018'!S22</f>
        <v>18</v>
      </c>
      <c r="T22" s="120">
        <f t="shared" si="1"/>
        <v>4.6999999999999993</v>
      </c>
      <c r="U22" s="118">
        <v>13</v>
      </c>
      <c r="V22" s="284">
        <f>'General information '!B18</f>
        <v>30</v>
      </c>
      <c r="W22" s="284">
        <f>'General information '!C18</f>
        <v>24</v>
      </c>
      <c r="X22" s="120">
        <f t="shared" si="2"/>
        <v>8.6999999999999993</v>
      </c>
    </row>
    <row r="23" spans="1:28">
      <c r="A23" s="118">
        <v>14</v>
      </c>
      <c r="B23" s="284">
        <f>'[10]Degree Days 2018'!B23</f>
        <v>17</v>
      </c>
      <c r="C23" s="284">
        <f>'[10]Degree Days 2018'!C23</f>
        <v>12</v>
      </c>
      <c r="D23" s="284">
        <f>'[6]Degree days 2016'!D23</f>
        <v>-3.8000000000000007</v>
      </c>
      <c r="E23" s="118">
        <v>14</v>
      </c>
      <c r="F23" s="284">
        <f>'[10]Degree Days 2018'!F23</f>
        <v>15</v>
      </c>
      <c r="G23" s="284">
        <f>'[10]Degree Days 2018'!G23</f>
        <v>12</v>
      </c>
      <c r="H23" s="284">
        <f>'[6]Degree days 2016'!H23</f>
        <v>-4.8000000000000007</v>
      </c>
      <c r="I23" s="118">
        <v>14</v>
      </c>
      <c r="J23" s="284">
        <f>'[10]Degree Days 2018'!J23</f>
        <v>16</v>
      </c>
      <c r="K23" s="284">
        <f>'[10]Degree Days 2018'!K23</f>
        <v>12</v>
      </c>
      <c r="L23" s="120">
        <f t="shared" si="3"/>
        <v>-4.3000000000000007</v>
      </c>
      <c r="M23" s="118">
        <v>14</v>
      </c>
      <c r="N23" s="284">
        <f>'[2]Degree Days 2018'!N23</f>
        <v>30</v>
      </c>
      <c r="O23" s="284">
        <f>'[2]Degree Days 2018'!O23</f>
        <v>18</v>
      </c>
      <c r="P23" s="120">
        <f t="shared" si="0"/>
        <v>5.6999999999999993</v>
      </c>
      <c r="Q23" s="118">
        <v>14</v>
      </c>
      <c r="R23" s="284">
        <f>'[3]Degree Days 2018'!R23</f>
        <v>27</v>
      </c>
      <c r="S23" s="284">
        <f>'[3]Degree Days 2018'!S23</f>
        <v>17</v>
      </c>
      <c r="T23" s="120">
        <f t="shared" si="1"/>
        <v>3.6999999999999993</v>
      </c>
      <c r="U23" s="118">
        <v>14</v>
      </c>
      <c r="V23" s="284">
        <f>'General information '!B19</f>
        <v>29</v>
      </c>
      <c r="W23" s="284">
        <f>'General information '!C19</f>
        <v>25</v>
      </c>
      <c r="X23" s="120">
        <f t="shared" si="2"/>
        <v>8.6999999999999993</v>
      </c>
      <c r="AA23" s="136">
        <f>SUM(AA10:AA22)</f>
        <v>-468.09999999999991</v>
      </c>
      <c r="AB23" s="136">
        <f>SUM(AB10:AB22)</f>
        <v>452.3</v>
      </c>
    </row>
    <row r="24" spans="1:28">
      <c r="A24" s="118">
        <v>15</v>
      </c>
      <c r="B24" s="284">
        <f>'[10]Degree Days 2018'!B24</f>
        <v>17</v>
      </c>
      <c r="C24" s="284">
        <f>'[10]Degree Days 2018'!C24</f>
        <v>14</v>
      </c>
      <c r="D24" s="284">
        <f>'[6]Degree days 2016'!D24</f>
        <v>-2.8000000000000007</v>
      </c>
      <c r="E24" s="118">
        <v>15</v>
      </c>
      <c r="F24" s="284">
        <f>'[10]Degree Days 2018'!F24</f>
        <v>14</v>
      </c>
      <c r="G24" s="284">
        <f>'[10]Degree Days 2018'!G24</f>
        <v>12</v>
      </c>
      <c r="H24" s="284">
        <f>'[6]Degree days 2016'!H24</f>
        <v>-5.3000000000000007</v>
      </c>
      <c r="I24" s="118">
        <v>15</v>
      </c>
      <c r="J24" s="284">
        <f>'[10]Degree Days 2018'!J24</f>
        <v>19</v>
      </c>
      <c r="K24" s="284">
        <f>'[10]Degree Days 2018'!K24</f>
        <v>14</v>
      </c>
      <c r="L24" s="120">
        <f t="shared" si="3"/>
        <v>-1.8000000000000007</v>
      </c>
      <c r="M24" s="118">
        <v>15</v>
      </c>
      <c r="N24" s="284">
        <f>'[2]Degree Days 2018'!N24</f>
        <v>19</v>
      </c>
      <c r="O24" s="284">
        <f>'[2]Degree Days 2018'!O24</f>
        <v>16</v>
      </c>
      <c r="P24" s="120">
        <f t="shared" si="0"/>
        <v>-0.80000000000000071</v>
      </c>
      <c r="Q24" s="118">
        <v>15</v>
      </c>
      <c r="R24" s="284">
        <f>'[3]Degree Days 2018'!R24</f>
        <v>28</v>
      </c>
      <c r="S24" s="284">
        <f>'[3]Degree Days 2018'!S24</f>
        <v>18</v>
      </c>
      <c r="T24" s="120">
        <f t="shared" si="1"/>
        <v>4.6999999999999993</v>
      </c>
      <c r="U24" s="118">
        <v>15</v>
      </c>
      <c r="V24" s="284">
        <f>'General information '!B20</f>
        <v>0</v>
      </c>
      <c r="W24" s="284">
        <f>'General information '!C20</f>
        <v>0</v>
      </c>
      <c r="X24" s="120">
        <f t="shared" si="2"/>
        <v>-18.3</v>
      </c>
    </row>
    <row r="25" spans="1:28">
      <c r="A25" s="118">
        <v>16</v>
      </c>
      <c r="B25" s="284">
        <f>'[10]Degree Days 2018'!B25</f>
        <v>14</v>
      </c>
      <c r="C25" s="284">
        <f>'[10]Degree Days 2018'!C25</f>
        <v>10</v>
      </c>
      <c r="D25" s="284">
        <f>'[6]Degree days 2016'!D25</f>
        <v>-6.3000000000000007</v>
      </c>
      <c r="E25" s="118">
        <v>16</v>
      </c>
      <c r="F25" s="284">
        <f>'[10]Degree Days 2018'!F25</f>
        <v>13</v>
      </c>
      <c r="G25" s="284">
        <f>'[10]Degree Days 2018'!G25</f>
        <v>12</v>
      </c>
      <c r="H25" s="284">
        <f>'[6]Degree days 2016'!H25</f>
        <v>-5.8000000000000007</v>
      </c>
      <c r="I25" s="118">
        <v>16</v>
      </c>
      <c r="J25" s="284">
        <f>'[10]Degree Days 2018'!J25</f>
        <v>19</v>
      </c>
      <c r="K25" s="284">
        <f>'[10]Degree Days 2018'!K25</f>
        <v>11</v>
      </c>
      <c r="L25" s="120">
        <f t="shared" si="3"/>
        <v>-3.3000000000000007</v>
      </c>
      <c r="M25" s="118">
        <v>16</v>
      </c>
      <c r="N25" s="284">
        <f>'[2]Degree Days 2018'!N25</f>
        <v>18</v>
      </c>
      <c r="O25" s="284">
        <f>'[2]Degree Days 2018'!O25</f>
        <v>15</v>
      </c>
      <c r="P25" s="120">
        <f t="shared" si="0"/>
        <v>-1.8000000000000007</v>
      </c>
      <c r="Q25" s="118">
        <v>16</v>
      </c>
      <c r="R25" s="284">
        <f>'[3]Degree Days 2018'!R25</f>
        <v>28</v>
      </c>
      <c r="S25" s="284">
        <f>'[3]Degree Days 2018'!S25</f>
        <v>21</v>
      </c>
      <c r="T25" s="120">
        <f t="shared" si="1"/>
        <v>6.1999999999999993</v>
      </c>
      <c r="U25" s="118">
        <v>16</v>
      </c>
      <c r="V25" s="284">
        <f>'General information '!B21</f>
        <v>0</v>
      </c>
      <c r="W25" s="284">
        <f>'General information '!C21</f>
        <v>0</v>
      </c>
      <c r="X25" s="120">
        <f t="shared" si="2"/>
        <v>-18.3</v>
      </c>
    </row>
    <row r="26" spans="1:28">
      <c r="A26" s="118">
        <v>17</v>
      </c>
      <c r="B26" s="284">
        <f>'[10]Degree Days 2018'!B26</f>
        <v>16</v>
      </c>
      <c r="C26" s="284">
        <f>'[10]Degree Days 2018'!C26</f>
        <v>10</v>
      </c>
      <c r="D26" s="284">
        <f>'[6]Degree days 2016'!D26</f>
        <v>-5.3000000000000007</v>
      </c>
      <c r="E26" s="118">
        <v>17</v>
      </c>
      <c r="F26" s="284">
        <f>'[10]Degree Days 2018'!F26</f>
        <v>15</v>
      </c>
      <c r="G26" s="284">
        <f>'[10]Degree Days 2018'!G26</f>
        <v>13</v>
      </c>
      <c r="H26" s="284">
        <f>'[6]Degree days 2016'!H26</f>
        <v>-4.3000000000000007</v>
      </c>
      <c r="I26" s="118">
        <v>17</v>
      </c>
      <c r="J26" s="284">
        <f>'[10]Degree Days 2018'!J26</f>
        <v>18</v>
      </c>
      <c r="K26" s="284">
        <f>'[10]Degree Days 2018'!K26</f>
        <v>13</v>
      </c>
      <c r="L26" s="120">
        <f t="shared" si="3"/>
        <v>-2.8000000000000007</v>
      </c>
      <c r="M26" s="118">
        <v>17</v>
      </c>
      <c r="N26" s="284">
        <f>'[2]Degree Days 2018'!N26</f>
        <v>19</v>
      </c>
      <c r="O26" s="284">
        <f>'[2]Degree Days 2018'!O26</f>
        <v>14</v>
      </c>
      <c r="P26" s="120">
        <f t="shared" si="0"/>
        <v>-1.8000000000000007</v>
      </c>
      <c r="Q26" s="118">
        <v>17</v>
      </c>
      <c r="R26" s="284">
        <f>'[3]Degree Days 2018'!R26</f>
        <v>29</v>
      </c>
      <c r="S26" s="284">
        <f>'[3]Degree Days 2018'!S26</f>
        <v>22</v>
      </c>
      <c r="T26" s="120">
        <f t="shared" si="1"/>
        <v>7.1999999999999993</v>
      </c>
      <c r="U26" s="118">
        <v>17</v>
      </c>
      <c r="V26" s="284">
        <f>'General information '!B22</f>
        <v>0</v>
      </c>
      <c r="W26" s="284">
        <f>'General information '!C22</f>
        <v>0</v>
      </c>
      <c r="X26" s="120">
        <f t="shared" si="2"/>
        <v>-18.3</v>
      </c>
    </row>
    <row r="27" spans="1:28">
      <c r="A27" s="118">
        <v>18</v>
      </c>
      <c r="B27" s="284">
        <f>'[10]Degree Days 2018'!B27</f>
        <v>16</v>
      </c>
      <c r="C27" s="284">
        <f>'[10]Degree Days 2018'!C27</f>
        <v>10</v>
      </c>
      <c r="D27" s="284">
        <f>'[6]Degree days 2016'!D27</f>
        <v>-5.3000000000000007</v>
      </c>
      <c r="E27" s="118">
        <v>18</v>
      </c>
      <c r="F27" s="284">
        <f>'[10]Degree Days 2018'!F27</f>
        <v>15</v>
      </c>
      <c r="G27" s="284">
        <f>'[10]Degree Days 2018'!G27</f>
        <v>13</v>
      </c>
      <c r="H27" s="284">
        <f>'[6]Degree days 2016'!H27</f>
        <v>-4.3000000000000007</v>
      </c>
      <c r="I27" s="118">
        <v>18</v>
      </c>
      <c r="J27" s="284">
        <f>'[10]Degree Days 2018'!J27</f>
        <v>18</v>
      </c>
      <c r="K27" s="284">
        <f>'[10]Degree Days 2018'!K27</f>
        <v>14</v>
      </c>
      <c r="L27" s="120">
        <f t="shared" si="3"/>
        <v>-2.3000000000000007</v>
      </c>
      <c r="M27" s="118">
        <v>18</v>
      </c>
      <c r="N27" s="284">
        <f>'[2]Degree Days 2018'!N27</f>
        <v>18</v>
      </c>
      <c r="O27" s="284">
        <f>'[2]Degree Days 2018'!O27</f>
        <v>13</v>
      </c>
      <c r="P27" s="120">
        <f t="shared" si="0"/>
        <v>-2.8000000000000007</v>
      </c>
      <c r="Q27" s="118">
        <v>18</v>
      </c>
      <c r="R27" s="284">
        <f>'[3]Degree Days 2018'!R27</f>
        <v>23</v>
      </c>
      <c r="S27" s="284">
        <f>'[3]Degree Days 2018'!S27</f>
        <v>19</v>
      </c>
      <c r="T27" s="120">
        <f t="shared" si="1"/>
        <v>2.6999999999999993</v>
      </c>
      <c r="U27" s="118">
        <v>18</v>
      </c>
      <c r="V27" s="284">
        <f>'General information '!B23</f>
        <v>0</v>
      </c>
      <c r="W27" s="284">
        <f>'General information '!C23</f>
        <v>0</v>
      </c>
      <c r="X27" s="120">
        <f t="shared" si="2"/>
        <v>-18.3</v>
      </c>
    </row>
    <row r="28" spans="1:28">
      <c r="A28" s="118">
        <v>19</v>
      </c>
      <c r="B28" s="284">
        <f>'[10]Degree Days 2018'!B28</f>
        <v>16</v>
      </c>
      <c r="C28" s="284">
        <f>'[10]Degree Days 2018'!C28</f>
        <v>10</v>
      </c>
      <c r="D28" s="284">
        <f>'[6]Degree days 2016'!D28</f>
        <v>-5.3000000000000007</v>
      </c>
      <c r="E28" s="118">
        <v>19</v>
      </c>
      <c r="F28" s="284">
        <f>'[10]Degree Days 2018'!F28</f>
        <v>16</v>
      </c>
      <c r="G28" s="284">
        <f>'[10]Degree Days 2018'!G28</f>
        <v>2</v>
      </c>
      <c r="H28" s="284">
        <f>'[6]Degree days 2016'!H28</f>
        <v>-9.3000000000000007</v>
      </c>
      <c r="I28" s="118">
        <v>19</v>
      </c>
      <c r="J28" s="284">
        <f>'[10]Degree Days 2018'!J28</f>
        <v>19</v>
      </c>
      <c r="K28" s="284">
        <f>'[10]Degree Days 2018'!K28</f>
        <v>13</v>
      </c>
      <c r="L28" s="120">
        <f t="shared" si="3"/>
        <v>-2.3000000000000007</v>
      </c>
      <c r="M28" s="118">
        <v>19</v>
      </c>
      <c r="N28" s="284">
        <f>'[2]Degree Days 2018'!N28</f>
        <v>17</v>
      </c>
      <c r="O28" s="284">
        <f>'[2]Degree Days 2018'!O28</f>
        <v>14</v>
      </c>
      <c r="P28" s="120">
        <f t="shared" si="0"/>
        <v>-2.8000000000000007</v>
      </c>
      <c r="Q28" s="118">
        <v>19</v>
      </c>
      <c r="R28" s="284">
        <f>'[3]Degree Days 2018'!R28</f>
        <v>24</v>
      </c>
      <c r="S28" s="284">
        <f>'[3]Degree Days 2018'!S28</f>
        <v>18</v>
      </c>
      <c r="T28" s="120">
        <f t="shared" si="1"/>
        <v>2.6999999999999993</v>
      </c>
      <c r="U28" s="118">
        <v>19</v>
      </c>
      <c r="V28" s="284">
        <f>'General information '!B24</f>
        <v>0</v>
      </c>
      <c r="W28" s="284">
        <f>'General information '!C24</f>
        <v>0</v>
      </c>
      <c r="X28" s="120">
        <f t="shared" si="2"/>
        <v>-18.3</v>
      </c>
    </row>
    <row r="29" spans="1:28">
      <c r="A29" s="118">
        <v>20</v>
      </c>
      <c r="B29" s="284">
        <f>'[10]Degree Days 2018'!B29</f>
        <v>18</v>
      </c>
      <c r="C29" s="284">
        <f>'[10]Degree Days 2018'!C29</f>
        <v>13</v>
      </c>
      <c r="D29" s="284">
        <f>'[6]Degree days 2016'!D29</f>
        <v>-2.8000000000000007</v>
      </c>
      <c r="E29" s="118">
        <v>20</v>
      </c>
      <c r="F29" s="284">
        <f>'[10]Degree Days 2018'!F29</f>
        <v>16</v>
      </c>
      <c r="G29" s="284">
        <f>'[10]Degree Days 2018'!G29</f>
        <v>12</v>
      </c>
      <c r="H29" s="284">
        <f>'[6]Degree days 2016'!H29</f>
        <v>-4.3000000000000007</v>
      </c>
      <c r="I29" s="118">
        <v>20</v>
      </c>
      <c r="J29" s="284">
        <f>'[10]Degree Days 2018'!J29</f>
        <v>19</v>
      </c>
      <c r="K29" s="284">
        <f>'[10]Degree Days 2018'!K29</f>
        <v>14</v>
      </c>
      <c r="L29" s="120">
        <f t="shared" si="3"/>
        <v>-1.8000000000000007</v>
      </c>
      <c r="M29" s="118">
        <v>20</v>
      </c>
      <c r="N29" s="284">
        <f>'[2]Degree Days 2018'!N29</f>
        <v>19</v>
      </c>
      <c r="O29" s="284">
        <f>'[2]Degree Days 2018'!O29</f>
        <v>13</v>
      </c>
      <c r="P29" s="120">
        <f t="shared" si="0"/>
        <v>-2.3000000000000007</v>
      </c>
      <c r="Q29" s="118">
        <v>20</v>
      </c>
      <c r="R29" s="284">
        <f>'[3]Degree Days 2018'!R29</f>
        <v>24</v>
      </c>
      <c r="S29" s="284">
        <f>'[3]Degree Days 2018'!S29</f>
        <v>17</v>
      </c>
      <c r="T29" s="120">
        <f t="shared" si="1"/>
        <v>2.1999999999999993</v>
      </c>
      <c r="U29" s="118">
        <v>20</v>
      </c>
      <c r="V29" s="284">
        <f>'General information '!B25</f>
        <v>0</v>
      </c>
      <c r="W29" s="284">
        <f>'General information '!C25</f>
        <v>0</v>
      </c>
      <c r="X29" s="120">
        <f t="shared" si="2"/>
        <v>-18.3</v>
      </c>
    </row>
    <row r="30" spans="1:28">
      <c r="A30" s="118">
        <v>21</v>
      </c>
      <c r="B30" s="284">
        <f>'[10]Degree Days 2018'!B30</f>
        <v>18</v>
      </c>
      <c r="C30" s="284">
        <f>'[10]Degree Days 2018'!C30</f>
        <v>12</v>
      </c>
      <c r="D30" s="284">
        <f>'[6]Degree days 2016'!D30</f>
        <v>-3.3000000000000007</v>
      </c>
      <c r="E30" s="118">
        <v>21</v>
      </c>
      <c r="F30" s="284">
        <f>'[10]Degree Days 2018'!F30</f>
        <v>16</v>
      </c>
      <c r="G30" s="284">
        <f>'[10]Degree Days 2018'!G30</f>
        <v>12</v>
      </c>
      <c r="H30" s="284">
        <f>'[6]Degree days 2016'!H30</f>
        <v>-4.3000000000000007</v>
      </c>
      <c r="I30" s="118">
        <v>21</v>
      </c>
      <c r="J30" s="284">
        <f>'[10]Degree Days 2018'!J30</f>
        <v>19</v>
      </c>
      <c r="K30" s="284">
        <f>'[10]Degree Days 2018'!K30</f>
        <v>14</v>
      </c>
      <c r="L30" s="120">
        <f t="shared" si="3"/>
        <v>-1.8000000000000007</v>
      </c>
      <c r="M30" s="118">
        <v>21</v>
      </c>
      <c r="N30" s="284">
        <f>'[2]Degree Days 2018'!N30</f>
        <v>15</v>
      </c>
      <c r="O30" s="284">
        <f>'[2]Degree Days 2018'!O30</f>
        <v>11</v>
      </c>
      <c r="P30" s="120">
        <f t="shared" si="0"/>
        <v>-5.3000000000000007</v>
      </c>
      <c r="Q30" s="118">
        <v>21</v>
      </c>
      <c r="R30" s="284">
        <f>'[3]Degree Days 2018'!R30</f>
        <v>25</v>
      </c>
      <c r="S30" s="284">
        <f>'[3]Degree Days 2018'!S30</f>
        <v>22</v>
      </c>
      <c r="T30" s="120">
        <f t="shared" si="1"/>
        <v>5.1999999999999993</v>
      </c>
      <c r="U30" s="118">
        <v>21</v>
      </c>
      <c r="V30" s="284">
        <f>'General information '!B26</f>
        <v>0</v>
      </c>
      <c r="W30" s="284">
        <f>'General information '!C26</f>
        <v>0</v>
      </c>
      <c r="X30" s="120">
        <f t="shared" si="2"/>
        <v>-18.3</v>
      </c>
    </row>
    <row r="31" spans="1:28">
      <c r="A31" s="118">
        <v>22</v>
      </c>
      <c r="B31" s="284">
        <f>'[10]Degree Days 2018'!B31</f>
        <v>17</v>
      </c>
      <c r="C31" s="284">
        <f>'[10]Degree Days 2018'!C31</f>
        <v>13</v>
      </c>
      <c r="D31" s="284">
        <f>'[6]Degree days 2016'!D31</f>
        <v>-3.3000000000000007</v>
      </c>
      <c r="E31" s="118">
        <v>22</v>
      </c>
      <c r="F31" s="284">
        <f>'[10]Degree Days 2018'!F31</f>
        <v>16</v>
      </c>
      <c r="G31" s="284">
        <f>'[10]Degree Days 2018'!G31</f>
        <v>12</v>
      </c>
      <c r="H31" s="284">
        <f>'[6]Degree days 2016'!H31</f>
        <v>-4.3000000000000007</v>
      </c>
      <c r="I31" s="118">
        <v>22</v>
      </c>
      <c r="J31" s="284">
        <f>'[10]Degree Days 2018'!J31</f>
        <v>20</v>
      </c>
      <c r="K31" s="284">
        <f>'[10]Degree Days 2018'!K31</f>
        <v>14</v>
      </c>
      <c r="L31" s="120">
        <f t="shared" si="3"/>
        <v>-1.3000000000000007</v>
      </c>
      <c r="M31" s="118">
        <v>22</v>
      </c>
      <c r="N31" s="284">
        <f>'[2]Degree Days 2018'!N31</f>
        <v>18</v>
      </c>
      <c r="O31" s="284">
        <f>'[2]Degree Days 2018'!O31</f>
        <v>13</v>
      </c>
      <c r="P31" s="120">
        <f t="shared" si="0"/>
        <v>-2.8000000000000007</v>
      </c>
      <c r="Q31" s="118">
        <v>22</v>
      </c>
      <c r="R31" s="284">
        <f>'[3]Degree Days 2018'!R31</f>
        <v>29</v>
      </c>
      <c r="S31" s="284">
        <f>'[3]Degree Days 2018'!S31</f>
        <v>21</v>
      </c>
      <c r="T31" s="120">
        <f t="shared" si="1"/>
        <v>6.6999999999999993</v>
      </c>
      <c r="U31" s="118">
        <v>22</v>
      </c>
      <c r="V31" s="284">
        <f>'General information '!B27</f>
        <v>0</v>
      </c>
      <c r="W31" s="284">
        <f>'General information '!C27</f>
        <v>0</v>
      </c>
      <c r="X31" s="120">
        <f t="shared" si="2"/>
        <v>-18.3</v>
      </c>
    </row>
    <row r="32" spans="1:28">
      <c r="A32" s="118">
        <v>23</v>
      </c>
      <c r="B32" s="284">
        <f>'[10]Degree Days 2018'!B32</f>
        <v>22</v>
      </c>
      <c r="C32" s="284">
        <f>'[10]Degree Days 2018'!C32</f>
        <v>12</v>
      </c>
      <c r="D32" s="284">
        <f>'[6]Degree days 2016'!D32</f>
        <v>-1.3000000000000007</v>
      </c>
      <c r="E32" s="118">
        <v>23</v>
      </c>
      <c r="F32" s="284">
        <f>'[10]Degree Days 2018'!F32</f>
        <v>17</v>
      </c>
      <c r="G32" s="284">
        <f>'[10]Degree Days 2018'!G32</f>
        <v>12</v>
      </c>
      <c r="H32" s="284">
        <f>'[6]Degree days 2016'!H32</f>
        <v>-3.8000000000000007</v>
      </c>
      <c r="I32" s="118">
        <v>23</v>
      </c>
      <c r="J32" s="284">
        <f>'[10]Degree Days 2018'!J32</f>
        <v>19</v>
      </c>
      <c r="K32" s="284">
        <f>'[10]Degree Days 2018'!K32</f>
        <v>12</v>
      </c>
      <c r="L32" s="120">
        <f t="shared" si="3"/>
        <v>-2.8000000000000007</v>
      </c>
      <c r="M32" s="118">
        <v>23</v>
      </c>
      <c r="N32" s="284">
        <f>'[2]Degree Days 2018'!N32</f>
        <v>19</v>
      </c>
      <c r="O32" s="284">
        <f>'[2]Degree Days 2018'!O32</f>
        <v>13</v>
      </c>
      <c r="P32" s="120">
        <f t="shared" si="0"/>
        <v>-2.3000000000000007</v>
      </c>
      <c r="Q32" s="118">
        <v>23</v>
      </c>
      <c r="R32" s="284">
        <f>'[3]Degree Days 2018'!R32</f>
        <v>35</v>
      </c>
      <c r="S32" s="284">
        <f>'[3]Degree Days 2018'!S32</f>
        <v>25</v>
      </c>
      <c r="T32" s="120">
        <f t="shared" si="1"/>
        <v>11.7</v>
      </c>
      <c r="U32" s="118">
        <v>23</v>
      </c>
      <c r="V32" s="284">
        <f>'General information '!B28</f>
        <v>0</v>
      </c>
      <c r="W32" s="284">
        <f>'General information '!C28</f>
        <v>0</v>
      </c>
      <c r="X32" s="120">
        <f t="shared" si="2"/>
        <v>-18.3</v>
      </c>
    </row>
    <row r="33" spans="1:24">
      <c r="A33" s="118">
        <v>24</v>
      </c>
      <c r="B33" s="284">
        <f>'[10]Degree Days 2018'!B33</f>
        <v>18</v>
      </c>
      <c r="C33" s="284">
        <f>'[10]Degree Days 2018'!C33</f>
        <v>14</v>
      </c>
      <c r="D33" s="284">
        <f>'[6]Degree days 2016'!D33</f>
        <v>-2.3000000000000007</v>
      </c>
      <c r="E33" s="118">
        <v>24</v>
      </c>
      <c r="F33" s="284">
        <f>'[10]Degree Days 2018'!F33</f>
        <v>22</v>
      </c>
      <c r="G33" s="284">
        <f>'[10]Degree Days 2018'!G33</f>
        <v>15</v>
      </c>
      <c r="H33" s="284">
        <f>'[6]Degree days 2016'!H33</f>
        <v>0.19999999999999929</v>
      </c>
      <c r="I33" s="118">
        <v>24</v>
      </c>
      <c r="J33" s="284">
        <f>'[10]Degree Days 2018'!J33</f>
        <v>19</v>
      </c>
      <c r="K33" s="284">
        <f>'[10]Degree Days 2018'!K33</f>
        <v>15</v>
      </c>
      <c r="L33" s="120">
        <f t="shared" si="3"/>
        <v>-1.3000000000000007</v>
      </c>
      <c r="M33" s="118">
        <v>24</v>
      </c>
      <c r="N33" s="284">
        <f>'[2]Degree Days 2018'!N33</f>
        <v>22</v>
      </c>
      <c r="O33" s="284">
        <f>'[2]Degree Days 2018'!O33</f>
        <v>14</v>
      </c>
      <c r="P33" s="120">
        <f t="shared" si="0"/>
        <v>-0.30000000000000071</v>
      </c>
      <c r="Q33" s="118">
        <v>24</v>
      </c>
      <c r="R33" s="284">
        <f>'[3]Degree Days 2018'!R33</f>
        <v>38</v>
      </c>
      <c r="S33" s="284">
        <f>'[3]Degree Days 2018'!S33</f>
        <v>25</v>
      </c>
      <c r="T33" s="120">
        <f t="shared" si="1"/>
        <v>13.2</v>
      </c>
      <c r="U33" s="118">
        <v>24</v>
      </c>
      <c r="V33" s="284">
        <f>'General information '!B29</f>
        <v>0</v>
      </c>
      <c r="W33" s="284">
        <f>'General information '!C29</f>
        <v>0</v>
      </c>
      <c r="X33" s="120">
        <f t="shared" si="2"/>
        <v>-18.3</v>
      </c>
    </row>
    <row r="34" spans="1:24">
      <c r="A34" s="118">
        <v>25</v>
      </c>
      <c r="B34" s="284">
        <f>'[10]Degree Days 2018'!B34</f>
        <v>18</v>
      </c>
      <c r="C34" s="284">
        <f>'[10]Degree Days 2018'!C34</f>
        <v>13</v>
      </c>
      <c r="D34" s="284">
        <f>'[6]Degree days 2016'!D34</f>
        <v>-2.8000000000000007</v>
      </c>
      <c r="E34" s="118">
        <v>25</v>
      </c>
      <c r="F34" s="284">
        <f>'[10]Degree Days 2018'!F34</f>
        <v>24</v>
      </c>
      <c r="G34" s="284">
        <f>'[10]Degree Days 2018'!G34</f>
        <v>13</v>
      </c>
      <c r="H34" s="284">
        <f>'[6]Degree days 2016'!H34</f>
        <v>0.19999999999999929</v>
      </c>
      <c r="I34" s="118">
        <v>25</v>
      </c>
      <c r="J34" s="284">
        <f>'[10]Degree Days 2018'!J34</f>
        <v>17</v>
      </c>
      <c r="K34" s="284">
        <f>'[10]Degree Days 2018'!K34</f>
        <v>13</v>
      </c>
      <c r="L34" s="120">
        <f t="shared" si="3"/>
        <v>-3.3000000000000007</v>
      </c>
      <c r="M34" s="118">
        <v>25</v>
      </c>
      <c r="N34" s="284">
        <f>'[2]Degree Days 2018'!N34</f>
        <v>24</v>
      </c>
      <c r="O34" s="284">
        <f>'[2]Degree Days 2018'!O34</f>
        <v>14</v>
      </c>
      <c r="P34" s="120">
        <f t="shared" si="0"/>
        <v>0.69999999999999929</v>
      </c>
      <c r="Q34" s="118">
        <v>25</v>
      </c>
      <c r="R34" s="284">
        <f>'[3]Degree Days 2018'!R34</f>
        <v>29</v>
      </c>
      <c r="S34" s="284">
        <f>'[3]Degree Days 2018'!S34</f>
        <v>17</v>
      </c>
      <c r="T34" s="120">
        <f t="shared" si="1"/>
        <v>4.6999999999999993</v>
      </c>
      <c r="U34" s="118">
        <v>25</v>
      </c>
      <c r="V34" s="284">
        <f>'General information '!B30</f>
        <v>0</v>
      </c>
      <c r="W34" s="284">
        <f>'General information '!C30</f>
        <v>0</v>
      </c>
      <c r="X34" s="120">
        <f t="shared" si="2"/>
        <v>-18.3</v>
      </c>
    </row>
    <row r="35" spans="1:24">
      <c r="A35" s="118">
        <v>26</v>
      </c>
      <c r="B35" s="284">
        <f>'[10]Degree Days 2018'!B35</f>
        <v>19</v>
      </c>
      <c r="C35" s="284">
        <f>'[10]Degree Days 2018'!C35</f>
        <v>12</v>
      </c>
      <c r="D35" s="284">
        <f>'[6]Degree days 2016'!D35</f>
        <v>-2.8000000000000007</v>
      </c>
      <c r="E35" s="118">
        <v>26</v>
      </c>
      <c r="F35" s="284">
        <f>'[10]Degree Days 2018'!F35</f>
        <v>16</v>
      </c>
      <c r="G35" s="284">
        <f>'[10]Degree Days 2018'!G35</f>
        <v>13</v>
      </c>
      <c r="H35" s="284">
        <f>'[6]Degree days 2016'!H35</f>
        <v>-3.8000000000000007</v>
      </c>
      <c r="I35" s="118">
        <v>26</v>
      </c>
      <c r="J35" s="284">
        <f>'[10]Degree Days 2018'!J35</f>
        <v>18</v>
      </c>
      <c r="K35" s="284">
        <f>'[10]Degree Days 2018'!K35</f>
        <v>13</v>
      </c>
      <c r="L35" s="120">
        <f t="shared" si="3"/>
        <v>-2.8000000000000007</v>
      </c>
      <c r="M35" s="118">
        <v>26</v>
      </c>
      <c r="N35" s="284">
        <f>'[2]Degree Days 2018'!N35</f>
        <v>24</v>
      </c>
      <c r="O35" s="284">
        <f>'[2]Degree Days 2018'!O35</f>
        <v>15</v>
      </c>
      <c r="P35" s="120">
        <f t="shared" si="0"/>
        <v>1.1999999999999993</v>
      </c>
      <c r="Q35" s="118">
        <v>26</v>
      </c>
      <c r="R35" s="284">
        <f>'[3]Degree Days 2018'!R35</f>
        <v>24</v>
      </c>
      <c r="S35" s="284">
        <f>'[3]Degree Days 2018'!S35</f>
        <v>18</v>
      </c>
      <c r="T35" s="120">
        <f t="shared" si="1"/>
        <v>2.6999999999999993</v>
      </c>
      <c r="U35" s="118">
        <v>26</v>
      </c>
      <c r="V35" s="284">
        <f>'General information '!B31</f>
        <v>0</v>
      </c>
      <c r="W35" s="284">
        <f>'General information '!C31</f>
        <v>0</v>
      </c>
      <c r="X35" s="120">
        <f t="shared" si="2"/>
        <v>-18.3</v>
      </c>
    </row>
    <row r="36" spans="1:24">
      <c r="A36" s="118">
        <v>27</v>
      </c>
      <c r="B36" s="284">
        <f>'[10]Degree Days 2018'!B36</f>
        <v>15</v>
      </c>
      <c r="C36" s="284">
        <f>'[10]Degree Days 2018'!C36</f>
        <v>13</v>
      </c>
      <c r="D36" s="284">
        <f>'[6]Degree days 2016'!D36</f>
        <v>-4.3000000000000007</v>
      </c>
      <c r="E36" s="118">
        <v>27</v>
      </c>
      <c r="F36" s="284">
        <f>'[10]Degree Days 2018'!F36</f>
        <v>13</v>
      </c>
      <c r="G36" s="284">
        <f>'[10]Degree Days 2018'!G36</f>
        <v>11</v>
      </c>
      <c r="H36" s="284">
        <f>'[6]Degree days 2016'!H36</f>
        <v>-6.3000000000000007</v>
      </c>
      <c r="I36" s="118">
        <v>27</v>
      </c>
      <c r="J36" s="284">
        <f>'[10]Degree Days 2018'!J36</f>
        <v>18</v>
      </c>
      <c r="K36" s="284">
        <f>'[10]Degree Days 2018'!K36</f>
        <v>14</v>
      </c>
      <c r="L36" s="120">
        <f t="shared" si="3"/>
        <v>-2.3000000000000007</v>
      </c>
      <c r="M36" s="118">
        <v>27</v>
      </c>
      <c r="N36" s="284">
        <f>'[2]Degree Days 2018'!N36</f>
        <v>23</v>
      </c>
      <c r="O36" s="284">
        <f>'[2]Degree Days 2018'!O36</f>
        <v>18</v>
      </c>
      <c r="P36" s="120">
        <f t="shared" si="0"/>
        <v>2.1999999999999993</v>
      </c>
      <c r="Q36" s="118">
        <v>27</v>
      </c>
      <c r="R36" s="284">
        <f>'[3]Degree Days 2018'!R36</f>
        <v>25</v>
      </c>
      <c r="S36" s="284">
        <f>'[3]Degree Days 2018'!S36</f>
        <v>21</v>
      </c>
      <c r="T36" s="120">
        <f t="shared" si="1"/>
        <v>4.6999999999999993</v>
      </c>
      <c r="U36" s="118">
        <v>27</v>
      </c>
      <c r="V36" s="284">
        <f>'General information '!B32</f>
        <v>0</v>
      </c>
      <c r="W36" s="284">
        <f>'General information '!C32</f>
        <v>0</v>
      </c>
      <c r="X36" s="120">
        <f t="shared" si="2"/>
        <v>-18.3</v>
      </c>
    </row>
    <row r="37" spans="1:24">
      <c r="A37" s="118">
        <v>28</v>
      </c>
      <c r="B37" s="284">
        <f>'[10]Degree Days 2018'!B37</f>
        <v>17</v>
      </c>
      <c r="C37" s="284">
        <f>'[10]Degree Days 2018'!C37</f>
        <v>13</v>
      </c>
      <c r="D37" s="284">
        <f>'[6]Degree days 2016'!D37</f>
        <v>-3.3000000000000007</v>
      </c>
      <c r="E37" s="121">
        <v>28</v>
      </c>
      <c r="F37" s="284">
        <f>'[10]Degree Days 2018'!F37</f>
        <v>15</v>
      </c>
      <c r="G37" s="284">
        <f>'[10]Degree Days 2018'!G37</f>
        <v>11</v>
      </c>
      <c r="H37" s="284">
        <f>'[6]Degree days 2016'!H37</f>
        <v>-5.3000000000000007</v>
      </c>
      <c r="I37" s="118">
        <v>28</v>
      </c>
      <c r="J37" s="284">
        <f>'[10]Degree Days 2018'!J37</f>
        <v>17</v>
      </c>
      <c r="K37" s="284">
        <f>'[10]Degree Days 2018'!K37</f>
        <v>13</v>
      </c>
      <c r="L37" s="120">
        <f t="shared" si="3"/>
        <v>-3.3000000000000007</v>
      </c>
      <c r="M37" s="118">
        <v>28</v>
      </c>
      <c r="N37" s="284">
        <f>'[2]Degree Days 2018'!N37</f>
        <v>23</v>
      </c>
      <c r="O37" s="284">
        <f>'[2]Degree Days 2018'!O37</f>
        <v>17</v>
      </c>
      <c r="P37" s="120">
        <f t="shared" si="0"/>
        <v>1.6999999999999993</v>
      </c>
      <c r="Q37" s="118">
        <v>28</v>
      </c>
      <c r="R37" s="284">
        <f>'[3]Degree Days 2018'!R37</f>
        <v>29</v>
      </c>
      <c r="S37" s="284">
        <f>'[3]Degree Days 2018'!S37</f>
        <v>22</v>
      </c>
      <c r="T37" s="120">
        <f t="shared" si="1"/>
        <v>7.1999999999999993</v>
      </c>
      <c r="U37" s="118">
        <v>28</v>
      </c>
      <c r="V37" s="284">
        <f>'General information '!B33</f>
        <v>0</v>
      </c>
      <c r="W37" s="284">
        <f>'General information '!C33</f>
        <v>0</v>
      </c>
      <c r="X37" s="120">
        <f t="shared" si="2"/>
        <v>-18.3</v>
      </c>
    </row>
    <row r="38" spans="1:24">
      <c r="A38" s="118">
        <v>29</v>
      </c>
      <c r="B38" s="284">
        <f>'[10]Degree Days 2018'!B38</f>
        <v>19</v>
      </c>
      <c r="C38" s="284">
        <f>'[10]Degree Days 2018'!C38</f>
        <v>12</v>
      </c>
      <c r="D38" s="284">
        <f>'[6]Degree days 2016'!D38</f>
        <v>-2.8000000000000007</v>
      </c>
      <c r="E38" s="118"/>
      <c r="F38" s="284">
        <f>'[10]Degree Days 2018'!F38</f>
        <v>0</v>
      </c>
      <c r="G38" s="284">
        <f>'[10]Degree Days 2018'!G38</f>
        <v>0</v>
      </c>
      <c r="H38" s="120"/>
      <c r="I38" s="118">
        <v>29</v>
      </c>
      <c r="J38" s="284">
        <f>'[10]Degree Days 2018'!J38</f>
        <v>18</v>
      </c>
      <c r="K38" s="284">
        <f>'[10]Degree Days 2018'!K38</f>
        <v>14</v>
      </c>
      <c r="L38" s="120">
        <f t="shared" si="3"/>
        <v>-2.3000000000000007</v>
      </c>
      <c r="M38" s="118">
        <v>29</v>
      </c>
      <c r="N38" s="284">
        <f>'[2]Degree Days 2018'!N38</f>
        <v>27</v>
      </c>
      <c r="O38" s="284">
        <f>'[2]Degree Days 2018'!O38</f>
        <v>18</v>
      </c>
      <c r="P38" s="120">
        <f t="shared" si="0"/>
        <v>4.1999999999999993</v>
      </c>
      <c r="Q38" s="118">
        <v>29</v>
      </c>
      <c r="R38" s="284">
        <f>'[3]Degree Days 2018'!R38</f>
        <v>32</v>
      </c>
      <c r="S38" s="284">
        <f>'[3]Degree Days 2018'!S38</f>
        <v>22</v>
      </c>
      <c r="T38" s="120">
        <f t="shared" si="1"/>
        <v>8.6999999999999993</v>
      </c>
      <c r="U38" s="118">
        <v>29</v>
      </c>
      <c r="V38" s="284">
        <f>'General information '!B34</f>
        <v>0</v>
      </c>
      <c r="W38" s="284">
        <f>'General information '!C34</f>
        <v>0</v>
      </c>
      <c r="X38" s="120">
        <f t="shared" si="2"/>
        <v>-18.3</v>
      </c>
    </row>
    <row r="39" spans="1:24">
      <c r="A39" s="118">
        <v>30</v>
      </c>
      <c r="B39" s="284">
        <f>'[10]Degree Days 2018'!B39</f>
        <v>18</v>
      </c>
      <c r="C39" s="284">
        <f>'[10]Degree Days 2018'!C39</f>
        <v>14</v>
      </c>
      <c r="D39" s="284">
        <f>'[6]Degree days 2016'!D39</f>
        <v>-2.3000000000000007</v>
      </c>
      <c r="E39" s="121"/>
      <c r="F39" s="284">
        <f>'[10]Degree Days 2018'!F39</f>
        <v>0</v>
      </c>
      <c r="G39" s="284">
        <f>'[10]Degree Days 2018'!G39</f>
        <v>0</v>
      </c>
      <c r="H39" s="122"/>
      <c r="I39" s="118">
        <v>30</v>
      </c>
      <c r="J39" s="284">
        <f>'[10]Degree Days 2018'!J39</f>
        <v>16</v>
      </c>
      <c r="K39" s="284">
        <f>'[10]Degree Days 2018'!K39</f>
        <v>14</v>
      </c>
      <c r="L39" s="120">
        <f t="shared" si="3"/>
        <v>-3.3000000000000007</v>
      </c>
      <c r="M39" s="118">
        <v>30</v>
      </c>
      <c r="N39" s="284">
        <f>'[2]Degree Days 2018'!N39</f>
        <v>27</v>
      </c>
      <c r="O39" s="284">
        <f>'[2]Degree Days 2018'!O39</f>
        <v>18</v>
      </c>
      <c r="P39" s="120">
        <f t="shared" si="0"/>
        <v>4.1999999999999993</v>
      </c>
      <c r="Q39" s="118">
        <v>30</v>
      </c>
      <c r="R39" s="284">
        <f>'[3]Degree Days 2018'!R39</f>
        <v>34</v>
      </c>
      <c r="S39" s="284">
        <f>'[3]Degree Days 2018'!S39</f>
        <v>23</v>
      </c>
      <c r="T39" s="120">
        <f t="shared" si="1"/>
        <v>10.199999999999999</v>
      </c>
      <c r="U39" s="118">
        <v>30</v>
      </c>
      <c r="V39" s="284">
        <f>'General information '!B35</f>
        <v>0</v>
      </c>
      <c r="W39" s="284">
        <f>'General information '!C35</f>
        <v>0</v>
      </c>
      <c r="X39" s="120">
        <f>(V39+W39)/2-18.3</f>
        <v>-18.3</v>
      </c>
    </row>
    <row r="40" spans="1:24">
      <c r="A40" s="121">
        <v>31</v>
      </c>
      <c r="B40" s="284">
        <f>'[10]Degree Days 2018'!B40</f>
        <v>18</v>
      </c>
      <c r="C40" s="284">
        <f>'[10]Degree Days 2018'!C40</f>
        <v>12</v>
      </c>
      <c r="D40" s="284">
        <f>'[6]Degree days 2016'!D40</f>
        <v>-3.3000000000000007</v>
      </c>
      <c r="E40" s="121"/>
      <c r="F40" s="284">
        <f>'[10]Degree Days 2018'!F40</f>
        <v>0</v>
      </c>
      <c r="G40" s="284">
        <f>'[10]Degree Days 2018'!G40</f>
        <v>0</v>
      </c>
      <c r="H40" s="123"/>
      <c r="I40" s="121">
        <v>31</v>
      </c>
      <c r="J40" s="284">
        <f>'[10]Degree Days 2018'!J40</f>
        <v>15</v>
      </c>
      <c r="K40" s="284">
        <f>'[10]Degree Days 2018'!K40</f>
        <v>12</v>
      </c>
      <c r="L40" s="120">
        <f t="shared" si="3"/>
        <v>-4.8000000000000007</v>
      </c>
      <c r="M40" s="121"/>
      <c r="N40" s="119"/>
      <c r="O40" s="119"/>
      <c r="P40" s="124"/>
      <c r="Q40" s="121">
        <v>31</v>
      </c>
      <c r="R40" s="284">
        <f>'[3]Degree Days 2018'!R40</f>
        <v>0</v>
      </c>
      <c r="S40" s="284">
        <f>'[3]Degree Days 2018'!S40</f>
        <v>0</v>
      </c>
      <c r="T40" s="124">
        <f t="shared" si="1"/>
        <v>-18.3</v>
      </c>
      <c r="U40" s="119"/>
      <c r="V40" s="119"/>
      <c r="W40" s="119"/>
      <c r="X40" s="124"/>
    </row>
    <row r="41" spans="1:24">
      <c r="A41" s="125"/>
      <c r="B41" s="126"/>
      <c r="C41" s="126"/>
      <c r="D41" s="123"/>
      <c r="E41" s="125"/>
      <c r="F41" s="126"/>
      <c r="G41" s="126"/>
      <c r="H41" s="123"/>
      <c r="I41" s="125"/>
      <c r="J41" s="126"/>
      <c r="K41" s="126"/>
      <c r="L41" s="123"/>
      <c r="M41" s="125"/>
      <c r="N41" s="126"/>
      <c r="O41" s="126"/>
      <c r="P41" s="123"/>
      <c r="Q41" s="125"/>
      <c r="R41" s="126"/>
      <c r="S41" s="126"/>
      <c r="T41" s="123"/>
      <c r="U41" s="125"/>
      <c r="V41" s="126"/>
      <c r="W41" s="126"/>
      <c r="X41" s="123"/>
    </row>
    <row r="42" spans="1:24" s="130" customFormat="1" ht="19">
      <c r="A42" s="127"/>
      <c r="B42" s="128" t="s">
        <v>174</v>
      </c>
      <c r="C42" s="128" t="s">
        <v>175</v>
      </c>
      <c r="D42" s="129"/>
      <c r="E42" s="127"/>
      <c r="F42" s="128" t="s">
        <v>174</v>
      </c>
      <c r="G42" s="128" t="s">
        <v>175</v>
      </c>
      <c r="H42" s="129"/>
      <c r="I42" s="127"/>
      <c r="J42" s="128" t="s">
        <v>174</v>
      </c>
      <c r="K42" s="128" t="s">
        <v>175</v>
      </c>
      <c r="L42" s="129"/>
      <c r="M42" s="127"/>
      <c r="N42" s="128" t="s">
        <v>174</v>
      </c>
      <c r="O42" s="128" t="s">
        <v>175</v>
      </c>
      <c r="P42" s="129"/>
      <c r="Q42" s="127"/>
      <c r="R42" s="128" t="s">
        <v>174</v>
      </c>
      <c r="S42" s="128" t="s">
        <v>175</v>
      </c>
      <c r="T42" s="129"/>
      <c r="U42" s="127"/>
      <c r="V42" s="128" t="s">
        <v>174</v>
      </c>
      <c r="W42" s="128" t="s">
        <v>175</v>
      </c>
      <c r="X42" s="129"/>
    </row>
    <row r="43" spans="1:24">
      <c r="A43" s="131"/>
      <c r="B43" s="120">
        <f>SUMIF(D10:D40,"&lt;0")</f>
        <v>-116.79999999999994</v>
      </c>
      <c r="C43" s="120">
        <f>SUMIF(D10:D40,"&gt;0")</f>
        <v>0</v>
      </c>
      <c r="D43" s="132"/>
      <c r="E43" s="131"/>
      <c r="F43" s="120">
        <f>SUMIF(H10:H40,"&lt;0")</f>
        <v>-100.69999999999997</v>
      </c>
      <c r="G43" s="120">
        <f>SUMIF(H10:H40,"&gt;0")</f>
        <v>2.2999999999999972</v>
      </c>
      <c r="H43" s="132"/>
      <c r="I43" s="131"/>
      <c r="J43" s="120">
        <f>SUMIF(L10:L40,"&lt;0")</f>
        <v>-87.799999999999955</v>
      </c>
      <c r="K43" s="120">
        <f>SUMIF(L10:L40,"&gt;0")</f>
        <v>0</v>
      </c>
      <c r="L43" s="132"/>
      <c r="M43" s="131"/>
      <c r="N43" s="120">
        <f>'[2]Degree Days 2018'!$N$43</f>
        <v>-38.700000000000003</v>
      </c>
      <c r="O43" s="120">
        <f>'[2]Degree Days 2018'!$O$43</f>
        <v>33.199999999999989</v>
      </c>
      <c r="P43" s="132"/>
      <c r="Q43" s="131"/>
      <c r="R43" s="120">
        <f>SUMIF(T10:T40,"&lt;0")</f>
        <v>-18.3</v>
      </c>
      <c r="S43" s="120">
        <f>SUMIF(T10:T40,"&gt;0")</f>
        <v>151</v>
      </c>
      <c r="T43" s="132"/>
      <c r="U43" s="131"/>
      <c r="V43" s="120">
        <f>SUMIF(X10:X40,"&lt;0")</f>
        <v>-292.80000000000007</v>
      </c>
      <c r="W43" s="120">
        <f>SUMIF(X10:X40,"&gt;0")</f>
        <v>109.80000000000003</v>
      </c>
      <c r="X43" s="132"/>
    </row>
    <row r="44" spans="1:24">
      <c r="A44" s="133"/>
      <c r="B44" s="134"/>
      <c r="C44" s="134"/>
      <c r="D44" s="135"/>
      <c r="E44" s="133"/>
      <c r="F44" s="134"/>
      <c r="G44" s="134"/>
      <c r="H44" s="135"/>
      <c r="I44" s="133"/>
      <c r="J44" s="134"/>
      <c r="K44" s="134"/>
      <c r="L44" s="135"/>
      <c r="M44" s="133"/>
      <c r="N44" s="134"/>
      <c r="O44" s="134"/>
      <c r="P44" s="135"/>
      <c r="Q44" s="133"/>
      <c r="R44" s="134"/>
      <c r="S44" s="134"/>
      <c r="T44" s="135"/>
      <c r="U44" s="133"/>
      <c r="V44" s="134"/>
      <c r="W44" s="134"/>
      <c r="X44" s="135"/>
    </row>
    <row r="45" spans="1:24">
      <c r="D45" s="136"/>
      <c r="H45" s="136"/>
      <c r="L45" s="136"/>
      <c r="P45" s="136"/>
      <c r="T45" s="136"/>
      <c r="X45" s="136"/>
    </row>
    <row r="46" spans="1:24" ht="15.5">
      <c r="A46" s="106"/>
      <c r="B46" s="107"/>
      <c r="C46" s="108"/>
      <c r="D46" s="137"/>
      <c r="E46" s="106"/>
      <c r="F46" s="107"/>
      <c r="G46" s="108"/>
      <c r="H46" s="137"/>
      <c r="I46" s="106"/>
      <c r="J46" s="110"/>
      <c r="K46" s="107"/>
      <c r="L46" s="138"/>
      <c r="M46" s="106"/>
      <c r="N46" s="107"/>
      <c r="O46" s="108"/>
      <c r="P46" s="137"/>
      <c r="Q46" s="112"/>
      <c r="R46" s="110"/>
      <c r="S46" s="107"/>
      <c r="T46" s="138"/>
      <c r="U46" s="112"/>
      <c r="V46" s="110"/>
      <c r="W46" s="107"/>
      <c r="X46" s="138"/>
    </row>
    <row r="47" spans="1:24" ht="21">
      <c r="A47" s="139" t="s">
        <v>176</v>
      </c>
      <c r="B47" s="114" t="s">
        <v>166</v>
      </c>
      <c r="C47" s="114" t="s">
        <v>167</v>
      </c>
      <c r="D47" s="140" t="s">
        <v>168</v>
      </c>
      <c r="E47" s="139" t="s">
        <v>177</v>
      </c>
      <c r="F47" s="114" t="s">
        <v>166</v>
      </c>
      <c r="G47" s="114" t="s">
        <v>167</v>
      </c>
      <c r="H47" s="140" t="s">
        <v>168</v>
      </c>
      <c r="I47" s="139" t="s">
        <v>178</v>
      </c>
      <c r="J47" s="114" t="s">
        <v>166</v>
      </c>
      <c r="K47" s="114" t="s">
        <v>167</v>
      </c>
      <c r="L47" s="140" t="s">
        <v>168</v>
      </c>
      <c r="M47" s="139" t="s">
        <v>179</v>
      </c>
      <c r="N47" s="114" t="s">
        <v>166</v>
      </c>
      <c r="O47" s="114" t="s">
        <v>167</v>
      </c>
      <c r="P47" s="140" t="s">
        <v>168</v>
      </c>
      <c r="Q47" s="139" t="s">
        <v>180</v>
      </c>
      <c r="R47" s="114" t="s">
        <v>166</v>
      </c>
      <c r="S47" s="114" t="s">
        <v>167</v>
      </c>
      <c r="T47" s="140" t="s">
        <v>168</v>
      </c>
      <c r="U47" s="139" t="s">
        <v>181</v>
      </c>
      <c r="V47" s="114" t="s">
        <v>166</v>
      </c>
      <c r="W47" s="114" t="s">
        <v>167</v>
      </c>
      <c r="X47" s="140" t="s">
        <v>168</v>
      </c>
    </row>
    <row r="48" spans="1:24">
      <c r="A48" s="118">
        <v>1</v>
      </c>
      <c r="B48" s="284">
        <f>'[1]Degree Days 2018'!B48</f>
        <v>30</v>
      </c>
      <c r="C48" s="284">
        <f>'[1]Degree Days 2018'!C48</f>
        <v>27</v>
      </c>
      <c r="D48" s="120">
        <f t="shared" ref="D48:D56" si="6">(B48+C48)/2-18.3</f>
        <v>10.199999999999999</v>
      </c>
      <c r="E48" s="118">
        <v>1</v>
      </c>
      <c r="F48" s="284">
        <f>'[1]Degree Days 2018'!F48</f>
        <v>30</v>
      </c>
      <c r="G48" s="284">
        <f>'[1]Degree Days 2018'!G48</f>
        <v>27</v>
      </c>
      <c r="H48" s="120">
        <f t="shared" ref="H48:H78" si="7">(F48+G48)/2-18.3</f>
        <v>10.199999999999999</v>
      </c>
      <c r="I48" s="118">
        <v>1</v>
      </c>
      <c r="J48" s="284">
        <f>'[1]Degree Days 2018'!J48</f>
        <v>33</v>
      </c>
      <c r="K48" s="284">
        <f>'[1]Degree Days 2018'!K48</f>
        <v>28</v>
      </c>
      <c r="L48" s="120">
        <f>(J48+K48)/2-18.3</f>
        <v>12.2</v>
      </c>
      <c r="M48" s="118">
        <v>1</v>
      </c>
      <c r="N48" s="284">
        <f>'General information '!B6</f>
        <v>29</v>
      </c>
      <c r="O48" s="284">
        <f>'General information '!C6</f>
        <v>25</v>
      </c>
      <c r="P48" s="120">
        <f>(N48+O48)/2-18.3</f>
        <v>8.6999999999999993</v>
      </c>
      <c r="Q48" s="118">
        <v>1</v>
      </c>
      <c r="R48" s="284"/>
      <c r="S48" s="284"/>
      <c r="T48" s="120">
        <f>(R48+S48)/2-18.3</f>
        <v>-18.3</v>
      </c>
      <c r="U48" s="118">
        <v>1</v>
      </c>
      <c r="V48" s="119">
        <f>'General information '!B6</f>
        <v>29</v>
      </c>
      <c r="W48" s="119">
        <f>'General information '!C6</f>
        <v>25</v>
      </c>
      <c r="X48" s="120">
        <f t="shared" ref="X48:X78" si="8">(V48+W48)/2-18.3</f>
        <v>8.6999999999999993</v>
      </c>
    </row>
    <row r="49" spans="1:24">
      <c r="A49" s="118">
        <v>2</v>
      </c>
      <c r="B49" s="284">
        <f>'[1]Degree Days 2018'!B49</f>
        <v>31</v>
      </c>
      <c r="C49" s="284">
        <f>'[1]Degree Days 2018'!C49</f>
        <v>26</v>
      </c>
      <c r="D49" s="120">
        <f t="shared" si="6"/>
        <v>10.199999999999999</v>
      </c>
      <c r="E49" s="118">
        <v>2</v>
      </c>
      <c r="F49" s="284">
        <f>'[1]Degree Days 2018'!F49</f>
        <v>31</v>
      </c>
      <c r="G49" s="284">
        <f>'[1]Degree Days 2018'!G49</f>
        <v>26</v>
      </c>
      <c r="H49" s="120">
        <f t="shared" si="7"/>
        <v>10.199999999999999</v>
      </c>
      <c r="I49" s="118">
        <v>2</v>
      </c>
      <c r="J49" s="284">
        <f>'[1]Degree Days 2018'!J49</f>
        <v>31</v>
      </c>
      <c r="K49" s="284">
        <f>'[1]Degree Days 2018'!K49</f>
        <v>27</v>
      </c>
      <c r="L49" s="120">
        <f t="shared" ref="L49:L77" si="9">(J49+K49)/2-18.3</f>
        <v>10.7</v>
      </c>
      <c r="M49" s="118">
        <v>2</v>
      </c>
      <c r="N49" s="284">
        <f>'General information '!B7</f>
        <v>28</v>
      </c>
      <c r="O49" s="284">
        <f>'General information '!C7</f>
        <v>25</v>
      </c>
      <c r="P49" s="120">
        <f t="shared" ref="P49:P78" si="10">(N49+O49)/2-18.3</f>
        <v>8.1999999999999993</v>
      </c>
      <c r="Q49" s="118">
        <v>2</v>
      </c>
      <c r="R49" s="284"/>
      <c r="S49" s="284"/>
      <c r="T49" s="120">
        <f t="shared" ref="T49:T77" si="11">(R49+S49)/2-18.3</f>
        <v>-18.3</v>
      </c>
      <c r="U49" s="118">
        <v>2</v>
      </c>
      <c r="V49" s="119">
        <f>'General information '!B7</f>
        <v>28</v>
      </c>
      <c r="W49" s="119">
        <f>'General information '!C7</f>
        <v>25</v>
      </c>
      <c r="X49" s="120">
        <f t="shared" si="8"/>
        <v>8.1999999999999993</v>
      </c>
    </row>
    <row r="50" spans="1:24">
      <c r="A50" s="118">
        <v>3</v>
      </c>
      <c r="B50" s="284">
        <f>'[1]Degree Days 2018'!B50</f>
        <v>31</v>
      </c>
      <c r="C50" s="284">
        <f>'[1]Degree Days 2018'!C50</f>
        <v>27</v>
      </c>
      <c r="D50" s="120">
        <f t="shared" si="6"/>
        <v>10.7</v>
      </c>
      <c r="E50" s="118">
        <v>3</v>
      </c>
      <c r="F50" s="284">
        <f>'[1]Degree Days 2018'!F50</f>
        <v>31</v>
      </c>
      <c r="G50" s="284">
        <f>'[1]Degree Days 2018'!G50</f>
        <v>27</v>
      </c>
      <c r="H50" s="120">
        <f t="shared" si="7"/>
        <v>10.7</v>
      </c>
      <c r="I50" s="118">
        <v>3</v>
      </c>
      <c r="J50" s="284">
        <f>'[1]Degree Days 2018'!J50</f>
        <v>30</v>
      </c>
      <c r="K50" s="284">
        <f>'[1]Degree Days 2018'!K50</f>
        <v>26</v>
      </c>
      <c r="L50" s="120">
        <f t="shared" si="9"/>
        <v>9.6999999999999993</v>
      </c>
      <c r="M50" s="118">
        <v>3</v>
      </c>
      <c r="N50" s="284">
        <f>'General information '!B8</f>
        <v>28</v>
      </c>
      <c r="O50" s="284">
        <f>'General information '!C8</f>
        <v>24</v>
      </c>
      <c r="P50" s="120">
        <f t="shared" si="10"/>
        <v>7.6999999999999993</v>
      </c>
      <c r="Q50" s="118">
        <v>3</v>
      </c>
      <c r="R50" s="284"/>
      <c r="S50" s="284"/>
      <c r="T50" s="120">
        <f t="shared" si="11"/>
        <v>-18.3</v>
      </c>
      <c r="U50" s="118">
        <v>3</v>
      </c>
      <c r="V50" s="119">
        <f>'General information '!B8</f>
        <v>28</v>
      </c>
      <c r="W50" s="119">
        <f>'General information '!C8</f>
        <v>24</v>
      </c>
      <c r="X50" s="120">
        <f t="shared" si="8"/>
        <v>7.6999999999999993</v>
      </c>
    </row>
    <row r="51" spans="1:24">
      <c r="A51" s="118">
        <v>4</v>
      </c>
      <c r="B51" s="284">
        <f>'[1]Degree Days 2018'!B51</f>
        <v>31</v>
      </c>
      <c r="C51" s="284">
        <f>'[1]Degree Days 2018'!C51</f>
        <v>26</v>
      </c>
      <c r="D51" s="120">
        <f t="shared" si="6"/>
        <v>10.199999999999999</v>
      </c>
      <c r="E51" s="118">
        <v>4</v>
      </c>
      <c r="F51" s="284">
        <f>'[1]Degree Days 2018'!F51</f>
        <v>31</v>
      </c>
      <c r="G51" s="284">
        <f>'[1]Degree Days 2018'!G51</f>
        <v>26</v>
      </c>
      <c r="H51" s="120">
        <f t="shared" si="7"/>
        <v>10.199999999999999</v>
      </c>
      <c r="I51" s="118">
        <v>4</v>
      </c>
      <c r="J51" s="284">
        <f>'[1]Degree Days 2018'!J51</f>
        <v>30</v>
      </c>
      <c r="K51" s="284">
        <f>'[1]Degree Days 2018'!K51</f>
        <v>25</v>
      </c>
      <c r="L51" s="120">
        <f t="shared" si="9"/>
        <v>9.1999999999999993</v>
      </c>
      <c r="M51" s="118">
        <v>4</v>
      </c>
      <c r="N51" s="284">
        <f>'General information '!B9</f>
        <v>28</v>
      </c>
      <c r="O51" s="284">
        <f>'General information '!C9</f>
        <v>23</v>
      </c>
      <c r="P51" s="120">
        <f t="shared" si="10"/>
        <v>7.1999999999999993</v>
      </c>
      <c r="Q51" s="118">
        <v>4</v>
      </c>
      <c r="R51" s="284"/>
      <c r="S51" s="284"/>
      <c r="T51" s="120">
        <f t="shared" si="11"/>
        <v>-18.3</v>
      </c>
      <c r="U51" s="118">
        <v>4</v>
      </c>
      <c r="V51" s="119">
        <f>'General information '!B9</f>
        <v>28</v>
      </c>
      <c r="W51" s="119">
        <f>'General information '!C9</f>
        <v>23</v>
      </c>
      <c r="X51" s="120">
        <f t="shared" si="8"/>
        <v>7.1999999999999993</v>
      </c>
    </row>
    <row r="52" spans="1:24">
      <c r="A52" s="118">
        <v>5</v>
      </c>
      <c r="B52" s="284">
        <f>'[1]Degree Days 2018'!B52</f>
        <v>32</v>
      </c>
      <c r="C52" s="284">
        <f>'[1]Degree Days 2018'!C52</f>
        <v>26</v>
      </c>
      <c r="D52" s="120">
        <f t="shared" si="6"/>
        <v>10.7</v>
      </c>
      <c r="E52" s="118">
        <v>5</v>
      </c>
      <c r="F52" s="284">
        <f>'[1]Degree Days 2018'!F52</f>
        <v>32</v>
      </c>
      <c r="G52" s="284">
        <f>'[1]Degree Days 2018'!G52</f>
        <v>26</v>
      </c>
      <c r="H52" s="120">
        <f t="shared" si="7"/>
        <v>10.7</v>
      </c>
      <c r="I52" s="118">
        <v>5</v>
      </c>
      <c r="J52" s="284">
        <f>'[1]Degree Days 2018'!J52</f>
        <v>31</v>
      </c>
      <c r="K52" s="284">
        <f>'[1]Degree Days 2018'!K52</f>
        <v>26</v>
      </c>
      <c r="L52" s="120">
        <f t="shared" si="9"/>
        <v>10.199999999999999</v>
      </c>
      <c r="M52" s="118">
        <v>5</v>
      </c>
      <c r="N52" s="284">
        <f>'General information '!B10</f>
        <v>28</v>
      </c>
      <c r="O52" s="284">
        <f>'General information '!C10</f>
        <v>24</v>
      </c>
      <c r="P52" s="120">
        <f t="shared" si="10"/>
        <v>7.6999999999999993</v>
      </c>
      <c r="Q52" s="118">
        <v>5</v>
      </c>
      <c r="R52" s="284"/>
      <c r="S52" s="284"/>
      <c r="T52" s="120">
        <f t="shared" si="11"/>
        <v>-18.3</v>
      </c>
      <c r="U52" s="118">
        <v>5</v>
      </c>
      <c r="V52" s="119">
        <f>'General information '!B10</f>
        <v>28</v>
      </c>
      <c r="W52" s="119">
        <f>'General information '!C10</f>
        <v>24</v>
      </c>
      <c r="X52" s="120">
        <f t="shared" si="8"/>
        <v>7.6999999999999993</v>
      </c>
    </row>
    <row r="53" spans="1:24">
      <c r="A53" s="118">
        <v>6</v>
      </c>
      <c r="B53" s="284">
        <f>'[1]Degree Days 2018'!B53</f>
        <v>31</v>
      </c>
      <c r="C53" s="284">
        <f>'[1]Degree Days 2018'!C53</f>
        <v>25</v>
      </c>
      <c r="D53" s="120">
        <f t="shared" si="6"/>
        <v>9.6999999999999993</v>
      </c>
      <c r="E53" s="118">
        <v>6</v>
      </c>
      <c r="F53" s="284">
        <f>'[1]Degree Days 2018'!F53</f>
        <v>31</v>
      </c>
      <c r="G53" s="284">
        <f>'[1]Degree Days 2018'!G53</f>
        <v>25</v>
      </c>
      <c r="H53" s="120">
        <f t="shared" si="7"/>
        <v>9.6999999999999993</v>
      </c>
      <c r="I53" s="118">
        <v>6</v>
      </c>
      <c r="J53" s="284">
        <f>'[1]Degree Days 2018'!J53</f>
        <v>30</v>
      </c>
      <c r="K53" s="284">
        <f>'[1]Degree Days 2018'!K53</f>
        <v>27</v>
      </c>
      <c r="L53" s="120">
        <f t="shared" si="9"/>
        <v>10.199999999999999</v>
      </c>
      <c r="M53" s="118">
        <v>6</v>
      </c>
      <c r="N53" s="284">
        <f>'General information '!B11</f>
        <v>29</v>
      </c>
      <c r="O53" s="284">
        <f>'General information '!C11</f>
        <v>23</v>
      </c>
      <c r="P53" s="120">
        <f t="shared" si="10"/>
        <v>7.6999999999999993</v>
      </c>
      <c r="Q53" s="118">
        <v>6</v>
      </c>
      <c r="R53" s="284"/>
      <c r="S53" s="284"/>
      <c r="T53" s="120">
        <f t="shared" si="11"/>
        <v>-18.3</v>
      </c>
      <c r="U53" s="118">
        <v>6</v>
      </c>
      <c r="V53" s="119">
        <f>'General information '!B11</f>
        <v>29</v>
      </c>
      <c r="W53" s="119">
        <f>'General information '!C11</f>
        <v>23</v>
      </c>
      <c r="X53" s="120">
        <f t="shared" si="8"/>
        <v>7.6999999999999993</v>
      </c>
    </row>
    <row r="54" spans="1:24">
      <c r="A54" s="118">
        <v>7</v>
      </c>
      <c r="B54" s="284">
        <f>'[1]Degree Days 2018'!B54</f>
        <v>31</v>
      </c>
      <c r="C54" s="284">
        <f>'[1]Degree Days 2018'!C54</f>
        <v>26</v>
      </c>
      <c r="D54" s="120">
        <f t="shared" si="6"/>
        <v>10.199999999999999</v>
      </c>
      <c r="E54" s="118">
        <v>7</v>
      </c>
      <c r="F54" s="284">
        <f>'[1]Degree Days 2018'!F54</f>
        <v>31</v>
      </c>
      <c r="G54" s="284">
        <f>'[1]Degree Days 2018'!G54</f>
        <v>26</v>
      </c>
      <c r="H54" s="120">
        <f t="shared" si="7"/>
        <v>10.199999999999999</v>
      </c>
      <c r="I54" s="118">
        <v>7</v>
      </c>
      <c r="J54" s="284">
        <f>'[1]Degree Days 2018'!J54</f>
        <v>31</v>
      </c>
      <c r="K54" s="284">
        <f>'[1]Degree Days 2018'!K54</f>
        <v>26</v>
      </c>
      <c r="L54" s="120">
        <f t="shared" si="9"/>
        <v>10.199999999999999</v>
      </c>
      <c r="M54" s="118">
        <v>7</v>
      </c>
      <c r="N54" s="284">
        <f>'General information '!B12</f>
        <v>29</v>
      </c>
      <c r="O54" s="284">
        <f>'General information '!C12</f>
        <v>24</v>
      </c>
      <c r="P54" s="120">
        <f t="shared" si="10"/>
        <v>8.1999999999999993</v>
      </c>
      <c r="Q54" s="118">
        <v>7</v>
      </c>
      <c r="R54" s="284"/>
      <c r="S54" s="284"/>
      <c r="T54" s="120">
        <f t="shared" si="11"/>
        <v>-18.3</v>
      </c>
      <c r="U54" s="118">
        <v>7</v>
      </c>
      <c r="V54" s="119">
        <f>'General information '!B12</f>
        <v>29</v>
      </c>
      <c r="W54" s="119">
        <f>'General information '!C12</f>
        <v>24</v>
      </c>
      <c r="X54" s="120">
        <f t="shared" si="8"/>
        <v>8.1999999999999993</v>
      </c>
    </row>
    <row r="55" spans="1:24">
      <c r="A55" s="118">
        <v>8</v>
      </c>
      <c r="B55" s="284">
        <f>'[1]Degree Days 2018'!B55</f>
        <v>31</v>
      </c>
      <c r="C55" s="284">
        <f>'[1]Degree Days 2018'!C55</f>
        <v>26</v>
      </c>
      <c r="D55" s="120">
        <f t="shared" si="6"/>
        <v>10.199999999999999</v>
      </c>
      <c r="E55" s="118">
        <v>8</v>
      </c>
      <c r="F55" s="284">
        <f>'[1]Degree Days 2018'!F55</f>
        <v>31</v>
      </c>
      <c r="G55" s="284">
        <f>'[1]Degree Days 2018'!G55</f>
        <v>26</v>
      </c>
      <c r="H55" s="120">
        <f t="shared" si="7"/>
        <v>10.199999999999999</v>
      </c>
      <c r="I55" s="118">
        <v>8</v>
      </c>
      <c r="J55" s="284">
        <f>'[1]Degree Days 2018'!J55</f>
        <v>30</v>
      </c>
      <c r="K55" s="284">
        <f>'[1]Degree Days 2018'!K55</f>
        <v>26</v>
      </c>
      <c r="L55" s="120">
        <f t="shared" si="9"/>
        <v>9.6999999999999993</v>
      </c>
      <c r="M55" s="118">
        <v>8</v>
      </c>
      <c r="N55" s="284">
        <f>'General information '!B13</f>
        <v>29</v>
      </c>
      <c r="O55" s="284">
        <f>'General information '!C13</f>
        <v>23</v>
      </c>
      <c r="P55" s="120">
        <f t="shared" si="10"/>
        <v>7.6999999999999993</v>
      </c>
      <c r="Q55" s="118">
        <v>8</v>
      </c>
      <c r="R55" s="284"/>
      <c r="S55" s="284"/>
      <c r="T55" s="120">
        <f t="shared" si="11"/>
        <v>-18.3</v>
      </c>
      <c r="U55" s="118">
        <v>8</v>
      </c>
      <c r="V55" s="119">
        <f>'General information '!B13</f>
        <v>29</v>
      </c>
      <c r="W55" s="119">
        <f>'General information '!C13</f>
        <v>23</v>
      </c>
      <c r="X55" s="120">
        <f t="shared" si="8"/>
        <v>7.6999999999999993</v>
      </c>
    </row>
    <row r="56" spans="1:24">
      <c r="A56" s="118">
        <v>9</v>
      </c>
      <c r="B56" s="284">
        <f>'[1]Degree Days 2018'!B56</f>
        <v>31</v>
      </c>
      <c r="C56" s="284">
        <f>'[1]Degree Days 2018'!C56</f>
        <v>26</v>
      </c>
      <c r="D56" s="120">
        <f t="shared" si="6"/>
        <v>10.199999999999999</v>
      </c>
      <c r="E56" s="118">
        <v>9</v>
      </c>
      <c r="F56" s="284">
        <f>'[1]Degree Days 2018'!F56</f>
        <v>31</v>
      </c>
      <c r="G56" s="284">
        <f>'[1]Degree Days 2018'!G56</f>
        <v>26</v>
      </c>
      <c r="H56" s="120">
        <f t="shared" si="7"/>
        <v>10.199999999999999</v>
      </c>
      <c r="I56" s="118">
        <v>9</v>
      </c>
      <c r="J56" s="284">
        <f>'[1]Degree Days 2018'!J56</f>
        <v>30</v>
      </c>
      <c r="K56" s="284">
        <f>'[1]Degree Days 2018'!K56</f>
        <v>27</v>
      </c>
      <c r="L56" s="120">
        <f t="shared" si="9"/>
        <v>10.199999999999999</v>
      </c>
      <c r="M56" s="118">
        <v>9</v>
      </c>
      <c r="N56" s="284">
        <f>'General information '!B14</f>
        <v>29</v>
      </c>
      <c r="O56" s="284">
        <f>'General information '!C14</f>
        <v>23</v>
      </c>
      <c r="P56" s="120">
        <f t="shared" si="10"/>
        <v>7.6999999999999993</v>
      </c>
      <c r="Q56" s="118">
        <v>9</v>
      </c>
      <c r="R56" s="284"/>
      <c r="S56" s="284"/>
      <c r="T56" s="120">
        <f t="shared" si="11"/>
        <v>-18.3</v>
      </c>
      <c r="U56" s="118">
        <v>9</v>
      </c>
      <c r="V56" s="119">
        <f>'General information '!B14</f>
        <v>29</v>
      </c>
      <c r="W56" s="119">
        <f>'General information '!C14</f>
        <v>23</v>
      </c>
      <c r="X56" s="120">
        <f t="shared" si="8"/>
        <v>7.6999999999999993</v>
      </c>
    </row>
    <row r="57" spans="1:24">
      <c r="A57" s="118">
        <v>10</v>
      </c>
      <c r="B57" s="284">
        <f>'[1]Degree Days 2018'!B57</f>
        <v>30</v>
      </c>
      <c r="C57" s="284">
        <f>'[1]Degree Days 2018'!C57</f>
        <v>27</v>
      </c>
      <c r="D57" s="120">
        <f t="shared" ref="D57:D78" si="12">(B57+C57)/2-18.3</f>
        <v>10.199999999999999</v>
      </c>
      <c r="E57" s="118">
        <v>10</v>
      </c>
      <c r="F57" s="284">
        <f>'[1]Degree Days 2018'!F57</f>
        <v>30</v>
      </c>
      <c r="G57" s="284">
        <f>'[1]Degree Days 2018'!G57</f>
        <v>27</v>
      </c>
      <c r="H57" s="120">
        <f t="shared" si="7"/>
        <v>10.199999999999999</v>
      </c>
      <c r="I57" s="118">
        <v>10</v>
      </c>
      <c r="J57" s="284">
        <f>'[1]Degree Days 2018'!J57</f>
        <v>30</v>
      </c>
      <c r="K57" s="284">
        <f>'[1]Degree Days 2018'!K57</f>
        <v>28</v>
      </c>
      <c r="L57" s="120">
        <f t="shared" si="9"/>
        <v>10.7</v>
      </c>
      <c r="M57" s="118">
        <v>10</v>
      </c>
      <c r="N57" s="284">
        <f>'General information '!B15</f>
        <v>28</v>
      </c>
      <c r="O57" s="284">
        <f>'General information '!C15</f>
        <v>22</v>
      </c>
      <c r="P57" s="120">
        <f t="shared" si="10"/>
        <v>6.6999999999999993</v>
      </c>
      <c r="Q57" s="118">
        <v>10</v>
      </c>
      <c r="R57" s="284"/>
      <c r="S57" s="284"/>
      <c r="T57" s="120">
        <f t="shared" si="11"/>
        <v>-18.3</v>
      </c>
      <c r="U57" s="118">
        <v>10</v>
      </c>
      <c r="V57" s="119">
        <f>'General information '!B15</f>
        <v>28</v>
      </c>
      <c r="W57" s="119">
        <f>'General information '!C15</f>
        <v>22</v>
      </c>
      <c r="X57" s="120">
        <f t="shared" si="8"/>
        <v>6.6999999999999993</v>
      </c>
    </row>
    <row r="58" spans="1:24">
      <c r="A58" s="118">
        <v>11</v>
      </c>
      <c r="B58" s="284">
        <f>'[1]Degree Days 2018'!B58</f>
        <v>31</v>
      </c>
      <c r="C58" s="284">
        <f>'[1]Degree Days 2018'!C58</f>
        <v>26</v>
      </c>
      <c r="D58" s="120">
        <f t="shared" si="12"/>
        <v>10.199999999999999</v>
      </c>
      <c r="E58" s="118">
        <v>11</v>
      </c>
      <c r="F58" s="284">
        <f>'[1]Degree Days 2018'!F58</f>
        <v>31</v>
      </c>
      <c r="G58" s="284">
        <f>'[1]Degree Days 2018'!G58</f>
        <v>26</v>
      </c>
      <c r="H58" s="120">
        <f t="shared" si="7"/>
        <v>10.199999999999999</v>
      </c>
      <c r="I58" s="118">
        <v>11</v>
      </c>
      <c r="J58" s="284">
        <f>'[1]Degree Days 2018'!J58</f>
        <v>30</v>
      </c>
      <c r="K58" s="284">
        <f>'[1]Degree Days 2018'!K58</f>
        <v>26</v>
      </c>
      <c r="L58" s="120">
        <f t="shared" si="9"/>
        <v>9.6999999999999993</v>
      </c>
      <c r="M58" s="118">
        <v>11</v>
      </c>
      <c r="N58" s="284">
        <f>'General information '!B16</f>
        <v>29</v>
      </c>
      <c r="O58" s="284">
        <f>'General information '!C16</f>
        <v>23</v>
      </c>
      <c r="P58" s="120">
        <f t="shared" si="10"/>
        <v>7.6999999999999993</v>
      </c>
      <c r="Q58" s="118">
        <v>11</v>
      </c>
      <c r="R58" s="284"/>
      <c r="S58" s="284"/>
      <c r="T58" s="120">
        <f t="shared" si="11"/>
        <v>-18.3</v>
      </c>
      <c r="U58" s="118">
        <v>11</v>
      </c>
      <c r="V58" s="119">
        <f>'General information '!B16</f>
        <v>29</v>
      </c>
      <c r="W58" s="119">
        <f>'General information '!C16</f>
        <v>23</v>
      </c>
      <c r="X58" s="120">
        <f t="shared" si="8"/>
        <v>7.6999999999999993</v>
      </c>
    </row>
    <row r="59" spans="1:24">
      <c r="A59" s="118">
        <v>12</v>
      </c>
      <c r="B59" s="284">
        <f>'[1]Degree Days 2018'!B59</f>
        <v>31</v>
      </c>
      <c r="C59" s="284">
        <f>'[1]Degree Days 2018'!C59</f>
        <v>26</v>
      </c>
      <c r="D59" s="120">
        <f t="shared" si="12"/>
        <v>10.199999999999999</v>
      </c>
      <c r="E59" s="118">
        <v>12</v>
      </c>
      <c r="F59" s="284">
        <f>'[1]Degree Days 2018'!F59</f>
        <v>31</v>
      </c>
      <c r="G59" s="284">
        <f>'[1]Degree Days 2018'!G59</f>
        <v>26</v>
      </c>
      <c r="H59" s="120">
        <f t="shared" si="7"/>
        <v>10.199999999999999</v>
      </c>
      <c r="I59" s="118">
        <v>12</v>
      </c>
      <c r="J59" s="284">
        <f>'[1]Degree Days 2018'!J59</f>
        <v>30</v>
      </c>
      <c r="K59" s="284">
        <f>'[1]Degree Days 2018'!K59</f>
        <v>26</v>
      </c>
      <c r="L59" s="120">
        <f t="shared" si="9"/>
        <v>9.6999999999999993</v>
      </c>
      <c r="M59" s="118">
        <v>12</v>
      </c>
      <c r="N59" s="284">
        <f>'General information '!B17</f>
        <v>28</v>
      </c>
      <c r="O59" s="284">
        <f>'General information '!C17</f>
        <v>23</v>
      </c>
      <c r="P59" s="120">
        <f t="shared" si="10"/>
        <v>7.1999999999999993</v>
      </c>
      <c r="Q59" s="118">
        <v>12</v>
      </c>
      <c r="R59" s="284"/>
      <c r="S59" s="284"/>
      <c r="T59" s="120">
        <f t="shared" si="11"/>
        <v>-18.3</v>
      </c>
      <c r="U59" s="118">
        <v>12</v>
      </c>
      <c r="V59" s="119">
        <f>'General information '!B17</f>
        <v>28</v>
      </c>
      <c r="W59" s="119">
        <f>'General information '!C17</f>
        <v>23</v>
      </c>
      <c r="X59" s="120">
        <f t="shared" si="8"/>
        <v>7.1999999999999993</v>
      </c>
    </row>
    <row r="60" spans="1:24">
      <c r="A60" s="118">
        <v>13</v>
      </c>
      <c r="B60" s="284">
        <f>'[1]Degree Days 2018'!B60</f>
        <v>31</v>
      </c>
      <c r="C60" s="284">
        <f>'[1]Degree Days 2018'!C60</f>
        <v>26</v>
      </c>
      <c r="D60" s="120">
        <f t="shared" si="12"/>
        <v>10.199999999999999</v>
      </c>
      <c r="E60" s="118">
        <v>13</v>
      </c>
      <c r="F60" s="284">
        <f>'[1]Degree Days 2018'!F60</f>
        <v>31</v>
      </c>
      <c r="G60" s="284">
        <f>'[1]Degree Days 2018'!G60</f>
        <v>26</v>
      </c>
      <c r="H60" s="120">
        <f t="shared" si="7"/>
        <v>10.199999999999999</v>
      </c>
      <c r="I60" s="118">
        <v>13</v>
      </c>
      <c r="J60" s="284">
        <f>'[1]Degree Days 2018'!J60</f>
        <v>30</v>
      </c>
      <c r="K60" s="284">
        <f>'[1]Degree Days 2018'!K60</f>
        <v>26</v>
      </c>
      <c r="L60" s="120">
        <f t="shared" si="9"/>
        <v>9.6999999999999993</v>
      </c>
      <c r="M60" s="118">
        <v>13</v>
      </c>
      <c r="N60" s="284">
        <f>'General information '!B18</f>
        <v>30</v>
      </c>
      <c r="O60" s="284">
        <f>'General information '!C18</f>
        <v>24</v>
      </c>
      <c r="P60" s="120">
        <f t="shared" si="10"/>
        <v>8.6999999999999993</v>
      </c>
      <c r="Q60" s="118">
        <v>13</v>
      </c>
      <c r="R60" s="284"/>
      <c r="S60" s="284"/>
      <c r="T60" s="120">
        <f t="shared" si="11"/>
        <v>-18.3</v>
      </c>
      <c r="U60" s="118">
        <v>13</v>
      </c>
      <c r="V60" s="119">
        <f>'General information '!B18</f>
        <v>30</v>
      </c>
      <c r="W60" s="119">
        <f>'General information '!C18</f>
        <v>24</v>
      </c>
      <c r="X60" s="120">
        <f t="shared" si="8"/>
        <v>8.6999999999999993</v>
      </c>
    </row>
    <row r="61" spans="1:24">
      <c r="A61" s="118">
        <v>14</v>
      </c>
      <c r="B61" s="284">
        <f>'[1]Degree Days 2018'!B61</f>
        <v>32</v>
      </c>
      <c r="C61" s="284">
        <f>'[1]Degree Days 2018'!C61</f>
        <v>27</v>
      </c>
      <c r="D61" s="120">
        <f t="shared" si="12"/>
        <v>11.2</v>
      </c>
      <c r="E61" s="118">
        <v>14</v>
      </c>
      <c r="F61" s="284">
        <f>'[1]Degree Days 2018'!F61</f>
        <v>32</v>
      </c>
      <c r="G61" s="284">
        <f>'[1]Degree Days 2018'!G61</f>
        <v>27</v>
      </c>
      <c r="H61" s="120">
        <f t="shared" si="7"/>
        <v>11.2</v>
      </c>
      <c r="I61" s="118">
        <v>14</v>
      </c>
      <c r="J61" s="284">
        <f>'[1]Degree Days 2018'!J61</f>
        <v>29</v>
      </c>
      <c r="K61" s="284">
        <f>'[1]Degree Days 2018'!K61</f>
        <v>25</v>
      </c>
      <c r="L61" s="120">
        <f t="shared" si="9"/>
        <v>8.6999999999999993</v>
      </c>
      <c r="M61" s="118">
        <v>14</v>
      </c>
      <c r="N61" s="284">
        <f>'General information '!B19</f>
        <v>29</v>
      </c>
      <c r="O61" s="284">
        <f>'General information '!C19</f>
        <v>25</v>
      </c>
      <c r="P61" s="120">
        <f t="shared" si="10"/>
        <v>8.6999999999999993</v>
      </c>
      <c r="Q61" s="118">
        <v>14</v>
      </c>
      <c r="R61" s="284"/>
      <c r="S61" s="284"/>
      <c r="T61" s="120">
        <f t="shared" si="11"/>
        <v>-18.3</v>
      </c>
      <c r="U61" s="118">
        <v>14</v>
      </c>
      <c r="V61" s="119">
        <f>'General information '!B19</f>
        <v>29</v>
      </c>
      <c r="W61" s="119">
        <f>'General information '!C19</f>
        <v>25</v>
      </c>
      <c r="X61" s="120">
        <f t="shared" si="8"/>
        <v>8.6999999999999993</v>
      </c>
    </row>
    <row r="62" spans="1:24">
      <c r="A62" s="118">
        <v>15</v>
      </c>
      <c r="B62" s="284">
        <f>'[1]Degree Days 2018'!B62</f>
        <v>31</v>
      </c>
      <c r="C62" s="284">
        <f>'[1]Degree Days 2018'!C62</f>
        <v>26</v>
      </c>
      <c r="D62" s="120">
        <f t="shared" si="12"/>
        <v>10.199999999999999</v>
      </c>
      <c r="E62" s="118">
        <v>15</v>
      </c>
      <c r="F62" s="284">
        <f>'[1]Degree Days 2018'!F62</f>
        <v>31</v>
      </c>
      <c r="G62" s="284">
        <f>'[1]Degree Days 2018'!G62</f>
        <v>26</v>
      </c>
      <c r="H62" s="120">
        <f t="shared" si="7"/>
        <v>10.199999999999999</v>
      </c>
      <c r="I62" s="118">
        <v>15</v>
      </c>
      <c r="J62" s="284">
        <f>'[1]Degree Days 2018'!J62</f>
        <v>30</v>
      </c>
      <c r="K62" s="284">
        <f>'[1]Degree Days 2018'!K62</f>
        <v>25</v>
      </c>
      <c r="L62" s="120">
        <f t="shared" si="9"/>
        <v>9.1999999999999993</v>
      </c>
      <c r="M62" s="118">
        <v>15</v>
      </c>
      <c r="N62" s="284">
        <f>'General information '!B20</f>
        <v>0</v>
      </c>
      <c r="O62" s="284">
        <f>'General information '!C20</f>
        <v>0</v>
      </c>
      <c r="P62" s="120">
        <f t="shared" si="10"/>
        <v>-18.3</v>
      </c>
      <c r="Q62" s="118">
        <v>15</v>
      </c>
      <c r="R62" s="284"/>
      <c r="S62" s="284"/>
      <c r="T62" s="120">
        <f t="shared" si="11"/>
        <v>-18.3</v>
      </c>
      <c r="U62" s="118">
        <v>15</v>
      </c>
      <c r="V62" s="119">
        <f>'General information '!B20</f>
        <v>0</v>
      </c>
      <c r="W62" s="119">
        <f>'General information '!C20</f>
        <v>0</v>
      </c>
      <c r="X62" s="120">
        <f t="shared" si="8"/>
        <v>-18.3</v>
      </c>
    </row>
    <row r="63" spans="1:24">
      <c r="A63" s="118">
        <v>16</v>
      </c>
      <c r="B63" s="284">
        <f>'[1]Degree Days 2018'!B63</f>
        <v>31</v>
      </c>
      <c r="C63" s="284">
        <f>'[1]Degree Days 2018'!C63</f>
        <v>28</v>
      </c>
      <c r="D63" s="120">
        <f t="shared" si="12"/>
        <v>11.2</v>
      </c>
      <c r="E63" s="118">
        <v>16</v>
      </c>
      <c r="F63" s="284">
        <f>'[1]Degree Days 2018'!F63</f>
        <v>31</v>
      </c>
      <c r="G63" s="284">
        <f>'[1]Degree Days 2018'!G63</f>
        <v>28</v>
      </c>
      <c r="H63" s="120">
        <f t="shared" si="7"/>
        <v>11.2</v>
      </c>
      <c r="I63" s="118">
        <v>16</v>
      </c>
      <c r="J63" s="284">
        <f>'[1]Degree Days 2018'!J63</f>
        <v>30</v>
      </c>
      <c r="K63" s="284">
        <f>'[1]Degree Days 2018'!K63</f>
        <v>26</v>
      </c>
      <c r="L63" s="120">
        <f t="shared" si="9"/>
        <v>9.6999999999999993</v>
      </c>
      <c r="M63" s="118">
        <v>16</v>
      </c>
      <c r="N63" s="284">
        <f>'General information '!B21</f>
        <v>0</v>
      </c>
      <c r="O63" s="284">
        <f>'General information '!C21</f>
        <v>0</v>
      </c>
      <c r="P63" s="120">
        <f t="shared" si="10"/>
        <v>-18.3</v>
      </c>
      <c r="Q63" s="118">
        <v>16</v>
      </c>
      <c r="R63" s="284"/>
      <c r="S63" s="284"/>
      <c r="T63" s="120">
        <f t="shared" si="11"/>
        <v>-18.3</v>
      </c>
      <c r="U63" s="118">
        <v>16</v>
      </c>
      <c r="V63" s="119">
        <f>'General information '!B21</f>
        <v>0</v>
      </c>
      <c r="W63" s="119">
        <f>'General information '!C21</f>
        <v>0</v>
      </c>
      <c r="X63" s="120">
        <f t="shared" si="8"/>
        <v>-18.3</v>
      </c>
    </row>
    <row r="64" spans="1:24">
      <c r="A64" s="118">
        <v>17</v>
      </c>
      <c r="B64" s="284">
        <f>'[1]Degree Days 2018'!B64</f>
        <v>30</v>
      </c>
      <c r="C64" s="284">
        <f>'[1]Degree Days 2018'!C64</f>
        <v>25</v>
      </c>
      <c r="D64" s="120">
        <f t="shared" si="12"/>
        <v>9.1999999999999993</v>
      </c>
      <c r="E64" s="118">
        <v>17</v>
      </c>
      <c r="F64" s="284">
        <f>'[1]Degree Days 2018'!F64</f>
        <v>30</v>
      </c>
      <c r="G64" s="284">
        <f>'[1]Degree Days 2018'!G64</f>
        <v>25</v>
      </c>
      <c r="H64" s="120">
        <f t="shared" si="7"/>
        <v>9.1999999999999993</v>
      </c>
      <c r="I64" s="118">
        <v>17</v>
      </c>
      <c r="J64" s="284">
        <f>'[1]Degree Days 2018'!J64</f>
        <v>30</v>
      </c>
      <c r="K64" s="284">
        <f>'[1]Degree Days 2018'!K64</f>
        <v>25</v>
      </c>
      <c r="L64" s="120">
        <f t="shared" si="9"/>
        <v>9.1999999999999993</v>
      </c>
      <c r="M64" s="118">
        <v>17</v>
      </c>
      <c r="N64" s="284">
        <f>'General information '!B22</f>
        <v>0</v>
      </c>
      <c r="O64" s="284">
        <f>'General information '!C22</f>
        <v>0</v>
      </c>
      <c r="P64" s="120">
        <f t="shared" si="10"/>
        <v>-18.3</v>
      </c>
      <c r="Q64" s="118">
        <v>17</v>
      </c>
      <c r="R64" s="284"/>
      <c r="S64" s="284"/>
      <c r="T64" s="120">
        <f t="shared" si="11"/>
        <v>-18.3</v>
      </c>
      <c r="U64" s="118">
        <v>17</v>
      </c>
      <c r="V64" s="119">
        <f>'General information '!B22</f>
        <v>0</v>
      </c>
      <c r="W64" s="119">
        <f>'General information '!C22</f>
        <v>0</v>
      </c>
      <c r="X64" s="120">
        <f t="shared" si="8"/>
        <v>-18.3</v>
      </c>
    </row>
    <row r="65" spans="1:24">
      <c r="A65" s="118">
        <v>18</v>
      </c>
      <c r="B65" s="284">
        <f>'[1]Degree Days 2018'!B65</f>
        <v>31</v>
      </c>
      <c r="C65" s="284">
        <f>'[1]Degree Days 2018'!C65</f>
        <v>27</v>
      </c>
      <c r="D65" s="120">
        <f t="shared" si="12"/>
        <v>10.7</v>
      </c>
      <c r="E65" s="118">
        <v>18</v>
      </c>
      <c r="F65" s="284">
        <f>'[1]Degree Days 2018'!F65</f>
        <v>31</v>
      </c>
      <c r="G65" s="284">
        <f>'[1]Degree Days 2018'!G65</f>
        <v>27</v>
      </c>
      <c r="H65" s="120">
        <f t="shared" si="7"/>
        <v>10.7</v>
      </c>
      <c r="I65" s="118">
        <v>18</v>
      </c>
      <c r="J65" s="284">
        <f>'[1]Degree Days 2018'!J65</f>
        <v>30</v>
      </c>
      <c r="K65" s="284">
        <f>'[1]Degree Days 2018'!K65</f>
        <v>25</v>
      </c>
      <c r="L65" s="120">
        <f t="shared" si="9"/>
        <v>9.1999999999999993</v>
      </c>
      <c r="M65" s="118">
        <v>18</v>
      </c>
      <c r="N65" s="284">
        <f>'General information '!B23</f>
        <v>0</v>
      </c>
      <c r="O65" s="284">
        <f>'General information '!C23</f>
        <v>0</v>
      </c>
      <c r="P65" s="120">
        <f t="shared" si="10"/>
        <v>-18.3</v>
      </c>
      <c r="Q65" s="118">
        <v>18</v>
      </c>
      <c r="R65" s="284"/>
      <c r="S65" s="284"/>
      <c r="T65" s="120">
        <f t="shared" si="11"/>
        <v>-18.3</v>
      </c>
      <c r="U65" s="118">
        <v>18</v>
      </c>
      <c r="V65" s="119">
        <f>'General information '!B23</f>
        <v>0</v>
      </c>
      <c r="W65" s="119">
        <f>'General information '!C23</f>
        <v>0</v>
      </c>
      <c r="X65" s="120">
        <f t="shared" si="8"/>
        <v>-18.3</v>
      </c>
    </row>
    <row r="66" spans="1:24">
      <c r="A66" s="118">
        <v>19</v>
      </c>
      <c r="B66" s="284">
        <f>'[1]Degree Days 2018'!B66</f>
        <v>31</v>
      </c>
      <c r="C66" s="284">
        <f>'[1]Degree Days 2018'!C66</f>
        <v>26</v>
      </c>
      <c r="D66" s="120">
        <f t="shared" si="12"/>
        <v>10.199999999999999</v>
      </c>
      <c r="E66" s="118">
        <v>19</v>
      </c>
      <c r="F66" s="284">
        <f>'[1]Degree Days 2018'!F66</f>
        <v>31</v>
      </c>
      <c r="G66" s="284">
        <f>'[1]Degree Days 2018'!G66</f>
        <v>26</v>
      </c>
      <c r="H66" s="120">
        <f t="shared" si="7"/>
        <v>10.199999999999999</v>
      </c>
      <c r="I66" s="118">
        <v>19</v>
      </c>
      <c r="J66" s="284">
        <f>'[1]Degree Days 2018'!J66</f>
        <v>31</v>
      </c>
      <c r="K66" s="284">
        <f>'[1]Degree Days 2018'!K66</f>
        <v>26</v>
      </c>
      <c r="L66" s="120">
        <f t="shared" si="9"/>
        <v>10.199999999999999</v>
      </c>
      <c r="M66" s="118">
        <v>19</v>
      </c>
      <c r="N66" s="284">
        <f>'General information '!B24</f>
        <v>0</v>
      </c>
      <c r="O66" s="284">
        <f>'General information '!C24</f>
        <v>0</v>
      </c>
      <c r="P66" s="120">
        <f t="shared" si="10"/>
        <v>-18.3</v>
      </c>
      <c r="Q66" s="118">
        <v>19</v>
      </c>
      <c r="R66" s="284"/>
      <c r="S66" s="284"/>
      <c r="T66" s="120">
        <f t="shared" si="11"/>
        <v>-18.3</v>
      </c>
      <c r="U66" s="118">
        <v>19</v>
      </c>
      <c r="V66" s="119">
        <f>'General information '!B24</f>
        <v>0</v>
      </c>
      <c r="W66" s="119">
        <f>'General information '!C24</f>
        <v>0</v>
      </c>
      <c r="X66" s="120">
        <f t="shared" si="8"/>
        <v>-18.3</v>
      </c>
    </row>
    <row r="67" spans="1:24">
      <c r="A67" s="118">
        <v>20</v>
      </c>
      <c r="B67" s="284">
        <f>'[1]Degree Days 2018'!B67</f>
        <v>30</v>
      </c>
      <c r="C67" s="284">
        <f>'[1]Degree Days 2018'!C67</f>
        <v>25</v>
      </c>
      <c r="D67" s="120">
        <f t="shared" si="12"/>
        <v>9.1999999999999993</v>
      </c>
      <c r="E67" s="118">
        <v>20</v>
      </c>
      <c r="F67" s="284">
        <f>'[1]Degree Days 2018'!F67</f>
        <v>30</v>
      </c>
      <c r="G67" s="284">
        <f>'[1]Degree Days 2018'!G67</f>
        <v>25</v>
      </c>
      <c r="H67" s="120">
        <f t="shared" si="7"/>
        <v>9.1999999999999993</v>
      </c>
      <c r="I67" s="118">
        <v>20</v>
      </c>
      <c r="J67" s="284">
        <f>'[1]Degree Days 2018'!J67</f>
        <v>30</v>
      </c>
      <c r="K67" s="284">
        <f>'[1]Degree Days 2018'!K67</f>
        <v>27</v>
      </c>
      <c r="L67" s="120">
        <f t="shared" si="9"/>
        <v>10.199999999999999</v>
      </c>
      <c r="M67" s="118">
        <v>20</v>
      </c>
      <c r="N67" s="284">
        <f>'General information '!B25</f>
        <v>0</v>
      </c>
      <c r="O67" s="284">
        <f>'General information '!C25</f>
        <v>0</v>
      </c>
      <c r="P67" s="120">
        <f t="shared" si="10"/>
        <v>-18.3</v>
      </c>
      <c r="Q67" s="118">
        <v>20</v>
      </c>
      <c r="R67" s="284"/>
      <c r="S67" s="284"/>
      <c r="T67" s="120">
        <f t="shared" si="11"/>
        <v>-18.3</v>
      </c>
      <c r="U67" s="118">
        <v>20</v>
      </c>
      <c r="V67" s="119">
        <f>'General information '!B25</f>
        <v>0</v>
      </c>
      <c r="W67" s="119">
        <f>'General information '!C25</f>
        <v>0</v>
      </c>
      <c r="X67" s="120">
        <f t="shared" si="8"/>
        <v>-18.3</v>
      </c>
    </row>
    <row r="68" spans="1:24">
      <c r="A68" s="118">
        <v>21</v>
      </c>
      <c r="B68" s="284">
        <f>'[1]Degree Days 2018'!B68</f>
        <v>31</v>
      </c>
      <c r="C68" s="284">
        <f>'[1]Degree Days 2018'!C68</f>
        <v>25</v>
      </c>
      <c r="D68" s="120">
        <f t="shared" si="12"/>
        <v>9.6999999999999993</v>
      </c>
      <c r="E68" s="118">
        <v>21</v>
      </c>
      <c r="F68" s="284">
        <f>'[1]Degree Days 2018'!F68</f>
        <v>31</v>
      </c>
      <c r="G68" s="284">
        <f>'[1]Degree Days 2018'!G68</f>
        <v>25</v>
      </c>
      <c r="H68" s="120">
        <f t="shared" si="7"/>
        <v>9.6999999999999993</v>
      </c>
      <c r="I68" s="118">
        <v>21</v>
      </c>
      <c r="J68" s="284">
        <f>'[1]Degree Days 2018'!J68</f>
        <v>29</v>
      </c>
      <c r="K68" s="284">
        <f>'[1]Degree Days 2018'!K68</f>
        <v>25</v>
      </c>
      <c r="L68" s="120">
        <f t="shared" si="9"/>
        <v>8.6999999999999993</v>
      </c>
      <c r="M68" s="118">
        <v>21</v>
      </c>
      <c r="N68" s="284">
        <f>'General information '!B26</f>
        <v>0</v>
      </c>
      <c r="O68" s="284">
        <f>'General information '!C26</f>
        <v>0</v>
      </c>
      <c r="P68" s="120">
        <f t="shared" si="10"/>
        <v>-18.3</v>
      </c>
      <c r="Q68" s="118">
        <v>21</v>
      </c>
      <c r="R68" s="284"/>
      <c r="S68" s="284"/>
      <c r="T68" s="120">
        <f t="shared" si="11"/>
        <v>-18.3</v>
      </c>
      <c r="U68" s="118">
        <v>21</v>
      </c>
      <c r="V68" s="119">
        <f>'General information '!B26</f>
        <v>0</v>
      </c>
      <c r="W68" s="119">
        <f>'General information '!C26</f>
        <v>0</v>
      </c>
      <c r="X68" s="120">
        <f t="shared" si="8"/>
        <v>-18.3</v>
      </c>
    </row>
    <row r="69" spans="1:24">
      <c r="A69" s="118">
        <v>22</v>
      </c>
      <c r="B69" s="284">
        <f>'[1]Degree Days 2018'!B69</f>
        <v>31</v>
      </c>
      <c r="C69" s="284">
        <f>'[1]Degree Days 2018'!C69</f>
        <v>26</v>
      </c>
      <c r="D69" s="120">
        <f t="shared" si="12"/>
        <v>10.199999999999999</v>
      </c>
      <c r="E69" s="118">
        <v>22</v>
      </c>
      <c r="F69" s="284">
        <f>'[1]Degree Days 2018'!F69</f>
        <v>31</v>
      </c>
      <c r="G69" s="284">
        <f>'[1]Degree Days 2018'!G69</f>
        <v>26</v>
      </c>
      <c r="H69" s="120">
        <f t="shared" si="7"/>
        <v>10.199999999999999</v>
      </c>
      <c r="I69" s="118">
        <v>22</v>
      </c>
      <c r="J69" s="284">
        <f>'[1]Degree Days 2018'!J69</f>
        <v>30</v>
      </c>
      <c r="K69" s="284">
        <f>'[1]Degree Days 2018'!K69</f>
        <v>26</v>
      </c>
      <c r="L69" s="120">
        <f t="shared" si="9"/>
        <v>9.6999999999999993</v>
      </c>
      <c r="M69" s="118">
        <v>22</v>
      </c>
      <c r="N69" s="284">
        <f>'General information '!B27</f>
        <v>0</v>
      </c>
      <c r="O69" s="284">
        <f>'General information '!C27</f>
        <v>0</v>
      </c>
      <c r="P69" s="120">
        <f t="shared" si="10"/>
        <v>-18.3</v>
      </c>
      <c r="Q69" s="118">
        <v>22</v>
      </c>
      <c r="R69" s="284"/>
      <c r="S69" s="284"/>
      <c r="T69" s="120">
        <f>(R69+S69)/2-18.3</f>
        <v>-18.3</v>
      </c>
      <c r="U69" s="118">
        <v>22</v>
      </c>
      <c r="V69" s="119">
        <f>'General information '!B27</f>
        <v>0</v>
      </c>
      <c r="W69" s="119">
        <f>'General information '!C27</f>
        <v>0</v>
      </c>
      <c r="X69" s="120">
        <f t="shared" si="8"/>
        <v>-18.3</v>
      </c>
    </row>
    <row r="70" spans="1:24">
      <c r="A70" s="118">
        <v>23</v>
      </c>
      <c r="B70" s="284">
        <f>'[1]Degree Days 2018'!B70</f>
        <v>31</v>
      </c>
      <c r="C70" s="284">
        <f>'[1]Degree Days 2018'!C70</f>
        <v>27</v>
      </c>
      <c r="D70" s="120">
        <f t="shared" si="12"/>
        <v>10.7</v>
      </c>
      <c r="E70" s="118">
        <v>23</v>
      </c>
      <c r="F70" s="284">
        <f>'[1]Degree Days 2018'!F70</f>
        <v>31</v>
      </c>
      <c r="G70" s="284">
        <f>'[1]Degree Days 2018'!G70</f>
        <v>27</v>
      </c>
      <c r="H70" s="120">
        <f t="shared" si="7"/>
        <v>10.7</v>
      </c>
      <c r="I70" s="118">
        <v>23</v>
      </c>
      <c r="J70" s="284">
        <f>'[1]Degree Days 2018'!J70</f>
        <v>30</v>
      </c>
      <c r="K70" s="284">
        <f>'[1]Degree Days 2018'!K70</f>
        <v>25</v>
      </c>
      <c r="L70" s="120">
        <f t="shared" si="9"/>
        <v>9.1999999999999993</v>
      </c>
      <c r="M70" s="118">
        <v>23</v>
      </c>
      <c r="N70" s="284">
        <f>'General information '!B28</f>
        <v>0</v>
      </c>
      <c r="O70" s="284">
        <f>'General information '!C28</f>
        <v>0</v>
      </c>
      <c r="P70" s="120">
        <f t="shared" si="10"/>
        <v>-18.3</v>
      </c>
      <c r="Q70" s="118">
        <v>23</v>
      </c>
      <c r="R70" s="284"/>
      <c r="S70" s="284"/>
      <c r="T70" s="120">
        <f t="shared" si="11"/>
        <v>-18.3</v>
      </c>
      <c r="U70" s="118">
        <v>23</v>
      </c>
      <c r="V70" s="119">
        <f>'General information '!B28</f>
        <v>0</v>
      </c>
      <c r="W70" s="119">
        <f>'General information '!C28</f>
        <v>0</v>
      </c>
      <c r="X70" s="120">
        <f t="shared" si="8"/>
        <v>-18.3</v>
      </c>
    </row>
    <row r="71" spans="1:24">
      <c r="A71" s="118">
        <v>24</v>
      </c>
      <c r="B71" s="284">
        <f>'[1]Degree Days 2018'!B71</f>
        <v>31</v>
      </c>
      <c r="C71" s="284">
        <f>'[1]Degree Days 2018'!C71</f>
        <v>26</v>
      </c>
      <c r="D71" s="120">
        <f t="shared" si="12"/>
        <v>10.199999999999999</v>
      </c>
      <c r="E71" s="118">
        <v>24</v>
      </c>
      <c r="F71" s="284">
        <f>'[1]Degree Days 2018'!F71</f>
        <v>31</v>
      </c>
      <c r="G71" s="284">
        <f>'[1]Degree Days 2018'!G71</f>
        <v>26</v>
      </c>
      <c r="H71" s="120">
        <f t="shared" si="7"/>
        <v>10.199999999999999</v>
      </c>
      <c r="I71" s="118">
        <v>24</v>
      </c>
      <c r="J71" s="284">
        <f>'[1]Degree Days 2018'!J71</f>
        <v>29</v>
      </c>
      <c r="K71" s="284">
        <f>'[1]Degree Days 2018'!K71</f>
        <v>24</v>
      </c>
      <c r="L71" s="120">
        <f t="shared" si="9"/>
        <v>8.1999999999999993</v>
      </c>
      <c r="M71" s="118">
        <v>24</v>
      </c>
      <c r="N71" s="284">
        <f>'General information '!B29</f>
        <v>0</v>
      </c>
      <c r="O71" s="284">
        <f>'General information '!C29</f>
        <v>0</v>
      </c>
      <c r="P71" s="120">
        <f t="shared" si="10"/>
        <v>-18.3</v>
      </c>
      <c r="Q71" s="118">
        <v>24</v>
      </c>
      <c r="R71" s="284"/>
      <c r="S71" s="284"/>
      <c r="T71" s="120">
        <f t="shared" si="11"/>
        <v>-18.3</v>
      </c>
      <c r="U71" s="118">
        <v>24</v>
      </c>
      <c r="V71" s="119">
        <f>'General information '!B29</f>
        <v>0</v>
      </c>
      <c r="W71" s="119">
        <f>'General information '!C29</f>
        <v>0</v>
      </c>
      <c r="X71" s="120">
        <f t="shared" si="8"/>
        <v>-18.3</v>
      </c>
    </row>
    <row r="72" spans="1:24">
      <c r="A72" s="118">
        <v>25</v>
      </c>
      <c r="B72" s="284">
        <f>'[1]Degree Days 2018'!B72</f>
        <v>31</v>
      </c>
      <c r="C72" s="284">
        <f>'[1]Degree Days 2018'!C72</f>
        <v>26</v>
      </c>
      <c r="D72" s="120">
        <f t="shared" si="12"/>
        <v>10.199999999999999</v>
      </c>
      <c r="E72" s="118">
        <v>25</v>
      </c>
      <c r="F72" s="284">
        <f>'[1]Degree Days 2018'!F72</f>
        <v>31</v>
      </c>
      <c r="G72" s="284">
        <f>'[1]Degree Days 2018'!G72</f>
        <v>26</v>
      </c>
      <c r="H72" s="120">
        <f t="shared" si="7"/>
        <v>10.199999999999999</v>
      </c>
      <c r="I72" s="118">
        <v>25</v>
      </c>
      <c r="J72" s="284">
        <f>'[1]Degree Days 2018'!J72</f>
        <v>28</v>
      </c>
      <c r="K72" s="284">
        <f>'[1]Degree Days 2018'!K72</f>
        <v>24</v>
      </c>
      <c r="L72" s="120">
        <f t="shared" si="9"/>
        <v>7.6999999999999993</v>
      </c>
      <c r="M72" s="118">
        <v>25</v>
      </c>
      <c r="N72" s="284">
        <f>'General information '!B30</f>
        <v>0</v>
      </c>
      <c r="O72" s="284">
        <f>'General information '!C30</f>
        <v>0</v>
      </c>
      <c r="P72" s="120">
        <f t="shared" si="10"/>
        <v>-18.3</v>
      </c>
      <c r="Q72" s="118">
        <v>25</v>
      </c>
      <c r="R72" s="284"/>
      <c r="S72" s="284"/>
      <c r="T72" s="120">
        <f t="shared" si="11"/>
        <v>-18.3</v>
      </c>
      <c r="U72" s="118">
        <v>25</v>
      </c>
      <c r="V72" s="119">
        <f>'General information '!B30</f>
        <v>0</v>
      </c>
      <c r="W72" s="119">
        <f>'General information '!C30</f>
        <v>0</v>
      </c>
      <c r="X72" s="120">
        <f t="shared" si="8"/>
        <v>-18.3</v>
      </c>
    </row>
    <row r="73" spans="1:24">
      <c r="A73" s="118">
        <v>26</v>
      </c>
      <c r="B73" s="284">
        <f>'[1]Degree Days 2018'!B73</f>
        <v>31</v>
      </c>
      <c r="C73" s="284">
        <f>'[1]Degree Days 2018'!C73</f>
        <v>27</v>
      </c>
      <c r="D73" s="120">
        <f t="shared" si="12"/>
        <v>10.7</v>
      </c>
      <c r="E73" s="118">
        <v>26</v>
      </c>
      <c r="F73" s="284">
        <f>'[1]Degree Days 2018'!F73</f>
        <v>31</v>
      </c>
      <c r="G73" s="284">
        <f>'[1]Degree Days 2018'!G73</f>
        <v>27</v>
      </c>
      <c r="H73" s="120">
        <f t="shared" si="7"/>
        <v>10.7</v>
      </c>
      <c r="I73" s="118">
        <v>26</v>
      </c>
      <c r="J73" s="284">
        <f>'[1]Degree Days 2018'!J73</f>
        <v>30</v>
      </c>
      <c r="K73" s="284">
        <f>'[1]Degree Days 2018'!K73</f>
        <v>25</v>
      </c>
      <c r="L73" s="120">
        <f t="shared" si="9"/>
        <v>9.1999999999999993</v>
      </c>
      <c r="M73" s="118">
        <v>26</v>
      </c>
      <c r="N73" s="284">
        <f>'General information '!B31</f>
        <v>0</v>
      </c>
      <c r="O73" s="284">
        <f>'General information '!C31</f>
        <v>0</v>
      </c>
      <c r="P73" s="120">
        <f t="shared" si="10"/>
        <v>-18.3</v>
      </c>
      <c r="Q73" s="118">
        <v>26</v>
      </c>
      <c r="R73" s="284"/>
      <c r="S73" s="284"/>
      <c r="T73" s="120">
        <f t="shared" si="11"/>
        <v>-18.3</v>
      </c>
      <c r="U73" s="118">
        <v>26</v>
      </c>
      <c r="V73" s="119">
        <f>'General information '!B31</f>
        <v>0</v>
      </c>
      <c r="W73" s="119">
        <f>'General information '!C31</f>
        <v>0</v>
      </c>
      <c r="X73" s="120">
        <f t="shared" si="8"/>
        <v>-18.3</v>
      </c>
    </row>
    <row r="74" spans="1:24">
      <c r="A74" s="118">
        <v>27</v>
      </c>
      <c r="B74" s="284">
        <f>'[1]Degree Days 2018'!B74</f>
        <v>31</v>
      </c>
      <c r="C74" s="284">
        <f>'[1]Degree Days 2018'!C74</f>
        <v>27</v>
      </c>
      <c r="D74" s="120">
        <f t="shared" si="12"/>
        <v>10.7</v>
      </c>
      <c r="E74" s="118">
        <v>27</v>
      </c>
      <c r="F74" s="284">
        <f>'[1]Degree Days 2018'!F74</f>
        <v>31</v>
      </c>
      <c r="G74" s="284">
        <f>'[1]Degree Days 2018'!G74</f>
        <v>27</v>
      </c>
      <c r="H74" s="120">
        <f t="shared" si="7"/>
        <v>10.7</v>
      </c>
      <c r="I74" s="118">
        <v>27</v>
      </c>
      <c r="J74" s="284">
        <f>'[1]Degree Days 2018'!J74</f>
        <v>30</v>
      </c>
      <c r="K74" s="284">
        <f>'[1]Degree Days 2018'!K74</f>
        <v>24</v>
      </c>
      <c r="L74" s="120">
        <f t="shared" si="9"/>
        <v>8.6999999999999993</v>
      </c>
      <c r="M74" s="118">
        <v>27</v>
      </c>
      <c r="N74" s="284">
        <f>'General information '!B32</f>
        <v>0</v>
      </c>
      <c r="O74" s="284">
        <f>'General information '!C32</f>
        <v>0</v>
      </c>
      <c r="P74" s="120">
        <f t="shared" si="10"/>
        <v>-18.3</v>
      </c>
      <c r="Q74" s="118">
        <v>27</v>
      </c>
      <c r="R74" s="284"/>
      <c r="S74" s="284"/>
      <c r="T74" s="120">
        <f t="shared" si="11"/>
        <v>-18.3</v>
      </c>
      <c r="U74" s="118">
        <v>27</v>
      </c>
      <c r="V74" s="119">
        <f>'General information '!B32</f>
        <v>0</v>
      </c>
      <c r="W74" s="119">
        <f>'General information '!C32</f>
        <v>0</v>
      </c>
      <c r="X74" s="120">
        <f t="shared" si="8"/>
        <v>-18.3</v>
      </c>
    </row>
    <row r="75" spans="1:24">
      <c r="A75" s="118">
        <v>28</v>
      </c>
      <c r="B75" s="284">
        <f>'[1]Degree Days 2018'!B75</f>
        <v>31</v>
      </c>
      <c r="C75" s="284">
        <f>'[1]Degree Days 2018'!C75</f>
        <v>27</v>
      </c>
      <c r="D75" s="120">
        <f t="shared" si="12"/>
        <v>10.7</v>
      </c>
      <c r="E75" s="118">
        <v>28</v>
      </c>
      <c r="F75" s="284">
        <f>'[1]Degree Days 2018'!F75</f>
        <v>31</v>
      </c>
      <c r="G75" s="284">
        <f>'[1]Degree Days 2018'!G75</f>
        <v>27</v>
      </c>
      <c r="H75" s="120">
        <f t="shared" si="7"/>
        <v>10.7</v>
      </c>
      <c r="I75" s="118">
        <v>28</v>
      </c>
      <c r="J75" s="284">
        <f>'[1]Degree Days 2018'!J75</f>
        <v>31</v>
      </c>
      <c r="K75" s="284">
        <f>'[1]Degree Days 2018'!K75</f>
        <v>25</v>
      </c>
      <c r="L75" s="120">
        <f t="shared" si="9"/>
        <v>9.6999999999999993</v>
      </c>
      <c r="M75" s="118">
        <v>28</v>
      </c>
      <c r="N75" s="284">
        <f>'General information '!B33</f>
        <v>0</v>
      </c>
      <c r="O75" s="284">
        <f>'General information '!C33</f>
        <v>0</v>
      </c>
      <c r="P75" s="120">
        <f t="shared" si="10"/>
        <v>-18.3</v>
      </c>
      <c r="Q75" s="118">
        <v>28</v>
      </c>
      <c r="R75" s="284"/>
      <c r="S75" s="284"/>
      <c r="T75" s="120">
        <f t="shared" si="11"/>
        <v>-18.3</v>
      </c>
      <c r="U75" s="118">
        <v>28</v>
      </c>
      <c r="V75" s="119">
        <f>'General information '!B33</f>
        <v>0</v>
      </c>
      <c r="W75" s="119">
        <f>'General information '!C33</f>
        <v>0</v>
      </c>
      <c r="X75" s="120">
        <f t="shared" si="8"/>
        <v>-18.3</v>
      </c>
    </row>
    <row r="76" spans="1:24">
      <c r="A76" s="118">
        <v>29</v>
      </c>
      <c r="B76" s="284">
        <f>'[1]Degree Days 2018'!B76</f>
        <v>31</v>
      </c>
      <c r="C76" s="284">
        <f>'[1]Degree Days 2018'!C76</f>
        <v>27</v>
      </c>
      <c r="D76" s="120">
        <f t="shared" si="12"/>
        <v>10.7</v>
      </c>
      <c r="E76" s="118">
        <v>29</v>
      </c>
      <c r="F76" s="284">
        <f>'[1]Degree Days 2018'!F76</f>
        <v>31</v>
      </c>
      <c r="G76" s="284">
        <f>'[1]Degree Days 2018'!G76</f>
        <v>27</v>
      </c>
      <c r="H76" s="120">
        <f t="shared" si="7"/>
        <v>10.7</v>
      </c>
      <c r="I76" s="118">
        <v>29</v>
      </c>
      <c r="J76" s="284">
        <f>'[1]Degree Days 2018'!J76</f>
        <v>29</v>
      </c>
      <c r="K76" s="284">
        <f>'[1]Degree Days 2018'!K76</f>
        <v>25</v>
      </c>
      <c r="L76" s="120">
        <f t="shared" si="9"/>
        <v>8.6999999999999993</v>
      </c>
      <c r="M76" s="118">
        <v>29</v>
      </c>
      <c r="N76" s="284">
        <f>'General information '!B34</f>
        <v>0</v>
      </c>
      <c r="O76" s="284">
        <f>'General information '!C34</f>
        <v>0</v>
      </c>
      <c r="P76" s="120">
        <f t="shared" si="10"/>
        <v>-18.3</v>
      </c>
      <c r="Q76" s="118">
        <v>29</v>
      </c>
      <c r="R76" s="284"/>
      <c r="S76" s="284"/>
      <c r="T76" s="120">
        <f t="shared" si="11"/>
        <v>-18.3</v>
      </c>
      <c r="U76" s="118">
        <v>29</v>
      </c>
      <c r="V76" s="119">
        <f>'General information '!B34</f>
        <v>0</v>
      </c>
      <c r="W76" s="119">
        <f>'General information '!C34</f>
        <v>0</v>
      </c>
      <c r="X76" s="120">
        <f t="shared" si="8"/>
        <v>-18.3</v>
      </c>
    </row>
    <row r="77" spans="1:24">
      <c r="A77" s="118">
        <v>30</v>
      </c>
      <c r="B77" s="284">
        <f>'[1]Degree Days 2018'!B77</f>
        <v>31</v>
      </c>
      <c r="C77" s="284">
        <f>'[1]Degree Days 2018'!C77</f>
        <v>27</v>
      </c>
      <c r="D77" s="120">
        <f t="shared" si="12"/>
        <v>10.7</v>
      </c>
      <c r="E77" s="118">
        <v>30</v>
      </c>
      <c r="F77" s="284">
        <f>'[1]Degree Days 2018'!F77</f>
        <v>31</v>
      </c>
      <c r="G77" s="284">
        <f>'[1]Degree Days 2018'!G77</f>
        <v>27</v>
      </c>
      <c r="H77" s="120">
        <f t="shared" si="7"/>
        <v>10.7</v>
      </c>
      <c r="I77" s="118">
        <v>30</v>
      </c>
      <c r="J77" s="284">
        <f>'[1]Degree Days 2018'!J77</f>
        <v>28</v>
      </c>
      <c r="K77" s="284">
        <f>'[1]Degree Days 2018'!K77</f>
        <v>25</v>
      </c>
      <c r="L77" s="120">
        <f t="shared" si="9"/>
        <v>8.1999999999999993</v>
      </c>
      <c r="M77" s="118">
        <v>30</v>
      </c>
      <c r="N77" s="284">
        <f>'General information '!B35</f>
        <v>0</v>
      </c>
      <c r="O77" s="284">
        <f>'General information '!C35</f>
        <v>0</v>
      </c>
      <c r="P77" s="120">
        <f t="shared" si="10"/>
        <v>-18.3</v>
      </c>
      <c r="Q77" s="118">
        <v>30</v>
      </c>
      <c r="R77" s="284"/>
      <c r="S77" s="284"/>
      <c r="T77" s="120">
        <f t="shared" si="11"/>
        <v>-18.3</v>
      </c>
      <c r="U77" s="118">
        <v>30</v>
      </c>
      <c r="V77" s="119">
        <f>'General information '!B35</f>
        <v>0</v>
      </c>
      <c r="W77" s="119">
        <f>'General information '!C35</f>
        <v>0</v>
      </c>
      <c r="X77" s="120">
        <f t="shared" si="8"/>
        <v>-18.3</v>
      </c>
    </row>
    <row r="78" spans="1:24">
      <c r="A78" s="121">
        <v>31</v>
      </c>
      <c r="B78" s="284">
        <f>'[1]Degree Days 2018'!B78</f>
        <v>32</v>
      </c>
      <c r="C78" s="284">
        <f>'[1]Degree Days 2018'!C78</f>
        <v>28</v>
      </c>
      <c r="D78" s="120">
        <f t="shared" si="12"/>
        <v>11.7</v>
      </c>
      <c r="E78" s="121">
        <v>31</v>
      </c>
      <c r="F78" s="284">
        <f>'[1]Degree Days 2018'!F78</f>
        <v>32</v>
      </c>
      <c r="G78" s="284">
        <f>'[1]Degree Days 2018'!G78</f>
        <v>28</v>
      </c>
      <c r="H78" s="120">
        <f t="shared" si="7"/>
        <v>11.7</v>
      </c>
      <c r="I78" s="121"/>
      <c r="J78" s="284">
        <f>'[1]Degree Days 2018'!J78</f>
        <v>0</v>
      </c>
      <c r="K78" s="284">
        <f>'[1]Degree Days 2018'!K78</f>
        <v>0</v>
      </c>
      <c r="L78" s="124"/>
      <c r="M78" s="121">
        <v>31</v>
      </c>
      <c r="N78" s="284">
        <f>'General information '!B36</f>
        <v>0</v>
      </c>
      <c r="O78" s="284">
        <f>'General information '!C36</f>
        <v>0</v>
      </c>
      <c r="P78" s="124">
        <f t="shared" si="10"/>
        <v>-18.3</v>
      </c>
      <c r="Q78" s="121"/>
      <c r="R78" s="284"/>
      <c r="S78" s="284"/>
      <c r="T78" s="124"/>
      <c r="U78" s="121">
        <v>31</v>
      </c>
      <c r="V78" s="119" t="e">
        <f>'General information '!#REF!</f>
        <v>#REF!</v>
      </c>
      <c r="W78" s="119" t="e">
        <f>'General information '!#REF!</f>
        <v>#REF!</v>
      </c>
      <c r="X78" s="124" t="e">
        <f t="shared" si="8"/>
        <v>#REF!</v>
      </c>
    </row>
    <row r="79" spans="1:24" s="17" customFormat="1">
      <c r="A79" s="125"/>
      <c r="B79" s="126"/>
      <c r="C79" s="126"/>
      <c r="D79" s="123"/>
      <c r="E79" s="125"/>
      <c r="F79" s="126"/>
      <c r="G79" s="126"/>
      <c r="H79" s="123"/>
      <c r="I79" s="125"/>
      <c r="J79" s="126"/>
      <c r="K79" s="126"/>
      <c r="L79" s="123"/>
      <c r="M79" s="125"/>
      <c r="N79" s="126"/>
      <c r="O79" s="126"/>
      <c r="P79" s="123"/>
      <c r="Q79" s="125"/>
      <c r="R79" s="126"/>
      <c r="S79" s="126"/>
      <c r="T79" s="123"/>
      <c r="U79" s="125"/>
      <c r="V79" s="126"/>
      <c r="W79" s="126"/>
      <c r="X79" s="123"/>
    </row>
    <row r="80" spans="1:24" s="130" customFormat="1" ht="19">
      <c r="A80" s="127"/>
      <c r="B80" s="128" t="s">
        <v>174</v>
      </c>
      <c r="C80" s="128" t="s">
        <v>175</v>
      </c>
      <c r="D80" s="129"/>
      <c r="E80" s="127"/>
      <c r="F80" s="128" t="s">
        <v>174</v>
      </c>
      <c r="G80" s="128" t="s">
        <v>175</v>
      </c>
      <c r="H80" s="129"/>
      <c r="I80" s="127"/>
      <c r="J80" s="128" t="s">
        <v>174</v>
      </c>
      <c r="K80" s="128" t="s">
        <v>175</v>
      </c>
      <c r="L80" s="129"/>
      <c r="M80" s="127"/>
      <c r="N80" s="128" t="s">
        <v>174</v>
      </c>
      <c r="O80" s="128" t="s">
        <v>175</v>
      </c>
      <c r="P80" s="129"/>
      <c r="Q80" s="127"/>
      <c r="R80" s="128" t="s">
        <v>174</v>
      </c>
      <c r="S80" s="128" t="s">
        <v>175</v>
      </c>
      <c r="T80" s="129"/>
      <c r="U80" s="127"/>
      <c r="V80" s="128" t="s">
        <v>174</v>
      </c>
      <c r="W80" s="128" t="s">
        <v>175</v>
      </c>
      <c r="X80" s="129"/>
    </row>
    <row r="81" spans="1:24">
      <c r="A81" s="131"/>
      <c r="B81" s="120">
        <f>SUMIF(D48:D78,"&lt;0")</f>
        <v>0</v>
      </c>
      <c r="C81" s="120">
        <f>SUMIF(D48:D78,"&gt;0")</f>
        <v>321.19999999999982</v>
      </c>
      <c r="D81" s="132"/>
      <c r="E81" s="131"/>
      <c r="F81" s="120">
        <f>SUMIF(H48:H78,"&lt;0")</f>
        <v>0</v>
      </c>
      <c r="G81" s="120">
        <f>SUMIF(H48:H78,"&gt;0")</f>
        <v>321.19999999999982</v>
      </c>
      <c r="H81" s="132"/>
      <c r="I81" s="131"/>
      <c r="J81" s="120">
        <f>SUMIF(L48:L78,"&lt;0")</f>
        <v>0</v>
      </c>
      <c r="K81" s="120">
        <f>SUMIF(L48:L78,"&gt;0")</f>
        <v>286.49999999999983</v>
      </c>
      <c r="L81" s="132"/>
      <c r="M81" s="131"/>
      <c r="N81" s="120">
        <f>SUMIF(P48:P78,"&lt;0")</f>
        <v>-311.10000000000008</v>
      </c>
      <c r="O81" s="120">
        <f>SUMIF(P48:P78,"&gt;0")</f>
        <v>109.80000000000003</v>
      </c>
      <c r="P81" s="132"/>
      <c r="Q81" s="131"/>
      <c r="R81" s="120">
        <f>SUMIF(T48:T78,"&lt;0")</f>
        <v>-549.00000000000011</v>
      </c>
      <c r="S81" s="120">
        <f>SUMIF(T48:T78,"&gt;0")</f>
        <v>0</v>
      </c>
      <c r="T81" s="132"/>
      <c r="U81" s="131"/>
      <c r="V81" s="120">
        <f>SUMIF(X48:X78,"&lt;0")</f>
        <v>-292.80000000000007</v>
      </c>
      <c r="W81" s="120">
        <f>SUMIF(X48:X78,"&gt;0")</f>
        <v>109.80000000000003</v>
      </c>
      <c r="X81" s="132"/>
    </row>
    <row r="82" spans="1:24">
      <c r="A82" s="133"/>
      <c r="B82" s="134"/>
      <c r="C82" s="134"/>
      <c r="D82" s="135"/>
      <c r="E82" s="133"/>
      <c r="F82" s="134"/>
      <c r="G82" s="134"/>
      <c r="H82" s="141"/>
      <c r="I82" s="133"/>
      <c r="J82" s="134"/>
      <c r="K82" s="134"/>
      <c r="L82" s="135"/>
      <c r="M82" s="133"/>
      <c r="N82" s="134"/>
      <c r="O82" s="134"/>
      <c r="P82" s="135"/>
      <c r="Q82" s="133"/>
      <c r="R82" s="134"/>
      <c r="S82" s="134"/>
      <c r="T82" s="135"/>
      <c r="U82" s="133"/>
      <c r="V82" s="134"/>
      <c r="W82" s="134"/>
      <c r="X82" s="135"/>
    </row>
    <row r="83" spans="1:24" ht="15" thickBot="1">
      <c r="D83" s="136"/>
      <c r="L83" s="136"/>
      <c r="P83" s="136"/>
      <c r="T83" s="136"/>
      <c r="X83" s="136"/>
    </row>
    <row r="84" spans="1:24">
      <c r="D84" s="136"/>
      <c r="L84" s="136"/>
      <c r="N84" s="656" t="s">
        <v>174</v>
      </c>
      <c r="O84" s="656" t="s">
        <v>175</v>
      </c>
      <c r="P84" s="136"/>
      <c r="T84" s="136"/>
      <c r="X84" s="136"/>
    </row>
    <row r="85" spans="1:24" ht="20" thickBot="1">
      <c r="D85" s="136"/>
      <c r="I85" s="658" t="s">
        <v>182</v>
      </c>
      <c r="J85" s="659"/>
      <c r="K85" s="659"/>
      <c r="L85" s="659"/>
      <c r="N85" s="657"/>
      <c r="O85" s="657"/>
      <c r="P85" s="136"/>
      <c r="R85" s="17"/>
      <c r="S85" s="17"/>
      <c r="T85" s="142"/>
      <c r="U85" s="143"/>
      <c r="X85" s="136"/>
    </row>
    <row r="86" spans="1:24" ht="18" thickBot="1">
      <c r="D86" s="136"/>
      <c r="I86" s="660" t="s">
        <v>183</v>
      </c>
      <c r="J86" s="660"/>
      <c r="K86" s="660"/>
      <c r="L86" s="660"/>
      <c r="N86" s="144">
        <f>B43+F43+J43+N43+R43+V43+B81+F81+J81+N81+R81+V81</f>
        <v>-1808.0000000000005</v>
      </c>
      <c r="O86" s="144">
        <f>C43+G43+K43+O43+S43+W43+C81+G81+K81+O81+S81+W81</f>
        <v>1444.7999999999993</v>
      </c>
      <c r="P86" s="136"/>
      <c r="R86" s="145"/>
      <c r="S86" s="145"/>
      <c r="T86" s="146"/>
      <c r="U86" s="147"/>
      <c r="X86" s="136"/>
    </row>
    <row r="87" spans="1:24" ht="17.5">
      <c r="D87" s="136"/>
      <c r="L87" s="136"/>
      <c r="P87" s="136"/>
      <c r="R87" s="145"/>
      <c r="S87" s="145"/>
      <c r="T87" s="148"/>
      <c r="U87" s="147"/>
      <c r="X87" s="136"/>
    </row>
    <row r="88" spans="1:24" ht="15.5">
      <c r="B88" s="650"/>
      <c r="C88" s="650"/>
      <c r="D88" s="650"/>
      <c r="E88" s="650"/>
      <c r="F88" s="650"/>
      <c r="G88" s="650"/>
      <c r="H88" s="650"/>
      <c r="I88" s="650"/>
      <c r="J88" s="650"/>
      <c r="K88" s="650"/>
      <c r="L88" s="650"/>
      <c r="M88" s="650"/>
      <c r="N88" s="650"/>
      <c r="O88" s="650"/>
      <c r="P88" s="650"/>
      <c r="Q88" s="650"/>
      <c r="R88" s="650"/>
      <c r="S88" s="650"/>
      <c r="T88" s="650"/>
      <c r="U88" s="650"/>
      <c r="V88" s="650"/>
      <c r="W88" s="650"/>
      <c r="X88" s="136"/>
    </row>
    <row r="89" spans="1:24">
      <c r="D89" s="136"/>
      <c r="P89" s="136"/>
      <c r="X89" s="136"/>
    </row>
    <row r="90" spans="1:24">
      <c r="D90" s="136"/>
      <c r="P90" s="136"/>
    </row>
    <row r="91" spans="1:24">
      <c r="D91" s="136"/>
      <c r="P91" s="136"/>
    </row>
    <row r="92" spans="1:24">
      <c r="D92" s="162" t="s">
        <v>195</v>
      </c>
      <c r="P92" s="136"/>
    </row>
    <row r="93" spans="1:24">
      <c r="D93" s="136"/>
      <c r="P93" s="136"/>
    </row>
    <row r="94" spans="1:24">
      <c r="D94" s="136"/>
      <c r="P94" s="136"/>
    </row>
    <row r="95" spans="1:24">
      <c r="D95" s="136"/>
      <c r="P95" s="136"/>
    </row>
    <row r="96" spans="1:24">
      <c r="D96" s="136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 xr:uid="{00000000-0004-0000-0D00-000000000000}"/>
  </hyperlinks>
  <pageMargins left="0.7" right="0.7" top="0.75" bottom="0.75" header="0.3" footer="0.3"/>
  <pageSetup orientation="portrait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L33"/>
  <sheetViews>
    <sheetView workbookViewId="0">
      <selection activeCell="I14" sqref="I14"/>
    </sheetView>
  </sheetViews>
  <sheetFormatPr defaultRowHeight="14.5"/>
  <cols>
    <col min="2" max="2" width="14.81640625" customWidth="1"/>
    <col min="3" max="3" width="12.26953125" bestFit="1" customWidth="1"/>
    <col min="4" max="4" width="9" bestFit="1" customWidth="1"/>
    <col min="5" max="5" width="17.7265625" bestFit="1" customWidth="1"/>
    <col min="6" max="6" width="15" bestFit="1" customWidth="1"/>
    <col min="7" max="7" width="14.7265625" style="180" customWidth="1"/>
    <col min="8" max="8" width="14.81640625" bestFit="1" customWidth="1"/>
    <col min="9" max="9" width="16" customWidth="1"/>
    <col min="10" max="10" width="16" bestFit="1" customWidth="1"/>
    <col min="11" max="11" width="15.26953125" bestFit="1" customWidth="1"/>
    <col min="12" max="12" width="16.1796875" bestFit="1" customWidth="1"/>
    <col min="13" max="13" width="10.54296875" bestFit="1" customWidth="1"/>
    <col min="15" max="15" width="15.26953125" bestFit="1" customWidth="1"/>
    <col min="16" max="16" width="10.54296875" bestFit="1" customWidth="1"/>
  </cols>
  <sheetData>
    <row r="2" spans="2:12">
      <c r="B2" s="664" t="s">
        <v>216</v>
      </c>
      <c r="C2" s="664"/>
      <c r="D2" s="664"/>
      <c r="E2" s="664"/>
      <c r="F2" s="664"/>
      <c r="G2" s="664"/>
      <c r="H2" s="664"/>
      <c r="I2" s="664"/>
      <c r="J2" s="664"/>
    </row>
    <row r="3" spans="2:12">
      <c r="B3" s="199">
        <f>'EDl log'!W21</f>
        <v>43739</v>
      </c>
      <c r="C3" s="183"/>
      <c r="D3" s="183"/>
      <c r="E3" s="183"/>
      <c r="F3" s="183"/>
      <c r="G3" s="183"/>
      <c r="H3" s="183"/>
      <c r="I3" s="183"/>
      <c r="J3" s="3"/>
    </row>
    <row r="4" spans="2:12">
      <c r="B4" s="3"/>
      <c r="C4" s="3"/>
      <c r="D4" s="3" t="s">
        <v>223</v>
      </c>
      <c r="E4" s="3">
        <v>1507.5</v>
      </c>
      <c r="F4" s="3"/>
      <c r="G4" s="202">
        <f>'EDl log'!A36</f>
        <v>14</v>
      </c>
      <c r="H4" s="201">
        <v>31</v>
      </c>
      <c r="I4" s="201"/>
      <c r="J4" s="201"/>
    </row>
    <row r="5" spans="2:12">
      <c r="B5" s="255" t="s">
        <v>232</v>
      </c>
      <c r="C5" s="181" t="s">
        <v>231</v>
      </c>
      <c r="D5" s="181" t="s">
        <v>228</v>
      </c>
      <c r="E5" s="181" t="s">
        <v>229</v>
      </c>
      <c r="F5" s="181" t="s">
        <v>230</v>
      </c>
      <c r="G5" s="256" t="s">
        <v>227</v>
      </c>
      <c r="H5" s="258" t="s">
        <v>337</v>
      </c>
      <c r="I5" s="258" t="s">
        <v>336</v>
      </c>
      <c r="J5" s="200" t="s">
        <v>233</v>
      </c>
      <c r="L5" s="471"/>
    </row>
    <row r="6" spans="2:12">
      <c r="B6" s="190" t="s">
        <v>217</v>
      </c>
      <c r="C6" s="378">
        <f>WATER!C37</f>
        <v>2042</v>
      </c>
      <c r="D6" s="353">
        <v>1.66</v>
      </c>
      <c r="E6" s="190">
        <f>SUM(D6*C6)*E4</f>
        <v>5110002.8999999994</v>
      </c>
      <c r="F6" s="484">
        <f>SUM(E6/E4)/G4</f>
        <v>242.12285714285713</v>
      </c>
      <c r="G6" s="191">
        <f>SUM(F6*G4)</f>
        <v>3389.72</v>
      </c>
      <c r="H6" s="192">
        <f>SUM(C6*D6)</f>
        <v>3389.72</v>
      </c>
      <c r="I6" s="191">
        <v>0</v>
      </c>
      <c r="J6" s="369">
        <f>18500-J7</f>
        <v>11000</v>
      </c>
      <c r="K6" s="292"/>
    </row>
    <row r="7" spans="2:12">
      <c r="B7" s="190" t="s">
        <v>218</v>
      </c>
      <c r="C7" s="378">
        <f>WATER!H37</f>
        <v>1481</v>
      </c>
      <c r="D7" s="190">
        <v>7500</v>
      </c>
      <c r="E7" s="193">
        <f>SUM(D7)*E4</f>
        <v>11306250</v>
      </c>
      <c r="F7" s="191">
        <f>SUM(J7/H4)</f>
        <v>241.93548387096774</v>
      </c>
      <c r="G7" s="191">
        <f>SUM(F7*G4)</f>
        <v>3387.0967741935483</v>
      </c>
      <c r="H7" s="192">
        <f>F7*$H$4</f>
        <v>7500</v>
      </c>
      <c r="I7" s="369">
        <v>7500</v>
      </c>
      <c r="J7" s="191">
        <v>7500</v>
      </c>
      <c r="K7" s="292"/>
    </row>
    <row r="8" spans="2:12">
      <c r="B8" s="196" t="s">
        <v>219</v>
      </c>
      <c r="C8" s="379">
        <f>tanks!AT37</f>
        <v>35056</v>
      </c>
      <c r="D8" s="557">
        <f>SUM(tanks!AU37)</f>
        <v>0.54832999999999998</v>
      </c>
      <c r="E8" s="197">
        <f>SUM(C8*D8)*E4</f>
        <v>28977551.643599998</v>
      </c>
      <c r="F8" s="198">
        <f>SUM(E8/E4/G4)</f>
        <v>1373.0183199999999</v>
      </c>
      <c r="G8" s="198">
        <f>SUM(F8*G4)</f>
        <v>19222.25648</v>
      </c>
      <c r="H8" s="485">
        <f>F8*$H$4</f>
        <v>42563.567919999994</v>
      </c>
      <c r="I8" s="369">
        <v>58670</v>
      </c>
      <c r="J8" s="198">
        <v>55700</v>
      </c>
      <c r="K8" s="292"/>
    </row>
    <row r="9" spans="2:12">
      <c r="B9" s="2" t="s">
        <v>220</v>
      </c>
      <c r="C9" s="380">
        <f>'B5'!AV36</f>
        <v>4800</v>
      </c>
      <c r="D9" s="377">
        <v>0.7</v>
      </c>
      <c r="E9" s="194">
        <f>SUM(C9*D9)*E4</f>
        <v>5065200</v>
      </c>
      <c r="F9" s="195">
        <f>SUM(D9*C9)/G4</f>
        <v>240</v>
      </c>
      <c r="G9" s="195">
        <f>SUM(F9*G4)</f>
        <v>3360</v>
      </c>
      <c r="H9" s="192">
        <f>F9*$H$4</f>
        <v>7440</v>
      </c>
      <c r="I9" s="369">
        <v>7293.4</v>
      </c>
      <c r="J9" s="195">
        <v>8400</v>
      </c>
      <c r="K9" s="292"/>
    </row>
    <row r="10" spans="2:12">
      <c r="B10" s="187" t="s">
        <v>221</v>
      </c>
      <c r="C10" s="381"/>
      <c r="D10" s="187"/>
      <c r="E10" s="189">
        <f>SUM('EDl log'!AB31)</f>
        <v>26447774.129032258</v>
      </c>
      <c r="F10" s="188">
        <f>SUM(E10/E4/G4)</f>
        <v>1253.1520553912467</v>
      </c>
      <c r="G10" s="188">
        <f>SUM(F10*G4)</f>
        <v>17544.128775477453</v>
      </c>
      <c r="H10" s="192">
        <f>F10*$H$4</f>
        <v>38847.713717128645</v>
      </c>
      <c r="I10" s="369">
        <v>33884.300000000003</v>
      </c>
      <c r="J10" s="295">
        <v>31900</v>
      </c>
      <c r="K10" s="292"/>
    </row>
    <row r="11" spans="2:12">
      <c r="K11" s="292"/>
    </row>
    <row r="12" spans="2:12" ht="42.75" customHeight="1">
      <c r="F12" s="470">
        <f>SUM(F6:F11)</f>
        <v>3350.2287164050713</v>
      </c>
      <c r="G12" s="186">
        <f>SUM(G6:G10)</f>
        <v>46903.202029671003</v>
      </c>
      <c r="H12" s="185">
        <f>SUM(H6:H10)</f>
        <v>99741.001637128647</v>
      </c>
      <c r="I12" s="185">
        <f>SUM(I6:I10)</f>
        <v>107347.7</v>
      </c>
      <c r="J12" s="227">
        <f>SUM(J6:J10)</f>
        <v>114500</v>
      </c>
    </row>
    <row r="13" spans="2:12" ht="29">
      <c r="B13" s="3"/>
      <c r="C13" s="181" t="s">
        <v>227</v>
      </c>
      <c r="D13" s="458" t="s">
        <v>387</v>
      </c>
      <c r="E13" s="458" t="s">
        <v>391</v>
      </c>
      <c r="F13" s="458" t="s">
        <v>388</v>
      </c>
      <c r="G13" s="17"/>
      <c r="H13" s="460"/>
      <c r="I13" s="17"/>
      <c r="J13" s="17"/>
      <c r="K13" s="17"/>
    </row>
    <row r="14" spans="2:12">
      <c r="B14" s="3" t="s">
        <v>303</v>
      </c>
      <c r="C14" s="477">
        <f>'Degree Days 2018'!AB14</f>
        <v>151</v>
      </c>
      <c r="D14" s="173">
        <f>'[11]Utility Cost '!C12</f>
        <v>182.19999999999987</v>
      </c>
      <c r="E14" s="173">
        <f>SUM(D14)</f>
        <v>182.19999999999987</v>
      </c>
      <c r="F14" s="173">
        <f>C14-D14</f>
        <v>-31.199999999999875</v>
      </c>
      <c r="G14" s="17"/>
      <c r="H14" s="460"/>
      <c r="I14" s="461">
        <f>SUM(H12-I12)</f>
        <v>-7606.6983628713497</v>
      </c>
      <c r="J14" s="461">
        <f>SUM(H12-J12)</f>
        <v>-14758.998362871353</v>
      </c>
    </row>
    <row r="15" spans="2:12">
      <c r="B15" s="3" t="s">
        <v>304</v>
      </c>
      <c r="C15" s="181">
        <f>'Degree Days 2018'!AA14</f>
        <v>-18.3</v>
      </c>
      <c r="D15" s="173">
        <f>'[11]Utility Cost '!C13</f>
        <v>0</v>
      </c>
      <c r="E15" s="173">
        <f>SUM(D15)</f>
        <v>0</v>
      </c>
      <c r="F15" s="173">
        <f>C15-D15</f>
        <v>-18.3</v>
      </c>
      <c r="G15" s="17"/>
      <c r="H15" s="460"/>
      <c r="I15" s="17"/>
      <c r="J15" s="17"/>
      <c r="K15" s="17"/>
    </row>
    <row r="16" spans="2:12">
      <c r="B16" s="3" t="s">
        <v>305</v>
      </c>
      <c r="C16" s="478">
        <f>'General information '!D38</f>
        <v>26.142857142857142</v>
      </c>
      <c r="D16" s="173">
        <f>'[11]Utility Cost '!C14</f>
        <v>24.177419354838708</v>
      </c>
      <c r="E16" s="474">
        <f>SUM(D16)</f>
        <v>24.177419354838708</v>
      </c>
      <c r="F16" s="476">
        <f>C16-D16</f>
        <v>1.9654377880184342</v>
      </c>
      <c r="G16" s="462"/>
      <c r="H16" s="460"/>
      <c r="I16" s="17"/>
      <c r="J16" s="17"/>
      <c r="K16" s="17"/>
    </row>
    <row r="17" spans="2:11">
      <c r="B17" s="291" t="s">
        <v>317</v>
      </c>
      <c r="C17" s="479">
        <f>'General information '!F37</f>
        <v>0.69434999999999991</v>
      </c>
      <c r="D17" s="572">
        <f>'[11]Utility Cost '!C15</f>
        <v>0.65732709677419354</v>
      </c>
      <c r="E17" s="531">
        <v>0.71509999999999996</v>
      </c>
      <c r="F17" s="475">
        <f>C17-E17</f>
        <v>-2.0750000000000046E-2</v>
      </c>
      <c r="G17"/>
      <c r="H17" s="17"/>
      <c r="I17" s="17"/>
      <c r="J17" s="17"/>
      <c r="K17" s="17"/>
    </row>
    <row r="18" spans="2:11">
      <c r="B18" s="469" t="s">
        <v>389</v>
      </c>
      <c r="C18" s="481">
        <f>GEN!Z34</f>
        <v>153.48999999999978</v>
      </c>
      <c r="D18" s="473">
        <f>[11]GEN!$Z$34</f>
        <v>253</v>
      </c>
      <c r="E18" s="473">
        <v>230</v>
      </c>
      <c r="F18" s="473">
        <f>C18-D18</f>
        <v>-99.510000000000218</v>
      </c>
      <c r="G18"/>
    </row>
    <row r="19" spans="2:11">
      <c r="B19" s="469"/>
      <c r="C19" s="480">
        <f>SUM(C18/G4)</f>
        <v>10.963571428571413</v>
      </c>
      <c r="D19" s="473"/>
      <c r="E19" s="473"/>
      <c r="F19" s="473"/>
      <c r="G19"/>
    </row>
    <row r="20" spans="2:11">
      <c r="G20"/>
    </row>
    <row r="21" spans="2:11" ht="27" customHeight="1">
      <c r="G21"/>
    </row>
    <row r="22" spans="2:11">
      <c r="G22"/>
    </row>
    <row r="23" spans="2:11">
      <c r="G23"/>
    </row>
    <row r="24" spans="2:11">
      <c r="G24"/>
    </row>
    <row r="25" spans="2:11">
      <c r="G25"/>
    </row>
    <row r="26" spans="2:11">
      <c r="G26"/>
    </row>
    <row r="27" spans="2:11">
      <c r="G27"/>
    </row>
    <row r="28" spans="2:11">
      <c r="G28"/>
    </row>
    <row r="29" spans="2:11">
      <c r="G29"/>
    </row>
    <row r="30" spans="2:11">
      <c r="G30"/>
    </row>
    <row r="31" spans="2:11">
      <c r="G31"/>
    </row>
    <row r="32" spans="2:11">
      <c r="G32"/>
    </row>
    <row r="33" spans="7:7">
      <c r="G33"/>
    </row>
  </sheetData>
  <mergeCells count="1">
    <mergeCell ref="B2:J2"/>
  </mergeCells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7"/>
  <sheetViews>
    <sheetView workbookViewId="0">
      <pane ySplit="1" topLeftCell="A2" activePane="bottomLeft" state="frozen"/>
      <selection pane="bottomLeft" activeCell="L27" sqref="L27"/>
    </sheetView>
  </sheetViews>
  <sheetFormatPr defaultRowHeight="14.5"/>
  <cols>
    <col min="1" max="1" width="12.1796875" bestFit="1" customWidth="1"/>
    <col min="2" max="2" width="6.7265625" customWidth="1"/>
    <col min="3" max="3" width="5.26953125" customWidth="1"/>
    <col min="4" max="4" width="5.81640625" customWidth="1"/>
    <col min="5" max="5" width="6.54296875" customWidth="1"/>
    <col min="6" max="6" width="5.26953125" customWidth="1"/>
    <col min="7" max="7" width="6.81640625" customWidth="1"/>
    <col min="8" max="8" width="11.54296875" customWidth="1"/>
    <col min="9" max="9" width="9.453125" customWidth="1"/>
    <col min="10" max="10" width="25.453125" style="548" customWidth="1"/>
    <col min="12" max="12" width="15.54296875" customWidth="1"/>
    <col min="14" max="14" width="14.26953125" customWidth="1"/>
  </cols>
  <sheetData>
    <row r="1" spans="1:18" ht="39.75" customHeight="1" thickBot="1">
      <c r="A1" s="665" t="s">
        <v>51</v>
      </c>
      <c r="B1" s="677" t="s">
        <v>321</v>
      </c>
      <c r="C1" s="678"/>
      <c r="D1" s="680"/>
      <c r="E1" s="677" t="s">
        <v>322</v>
      </c>
      <c r="F1" s="678"/>
      <c r="G1" s="679"/>
      <c r="H1" s="674" t="s">
        <v>327</v>
      </c>
      <c r="I1" s="671" t="s">
        <v>328</v>
      </c>
      <c r="J1" s="668" t="s">
        <v>43</v>
      </c>
    </row>
    <row r="2" spans="1:18" ht="37.5" thickBot="1">
      <c r="A2" s="666"/>
      <c r="B2" s="268" t="s">
        <v>323</v>
      </c>
      <c r="C2" s="269" t="s">
        <v>324</v>
      </c>
      <c r="D2" s="241"/>
      <c r="E2" s="242">
        <v>3.5</v>
      </c>
      <c r="F2" s="270" t="s">
        <v>324</v>
      </c>
      <c r="G2" s="243"/>
      <c r="H2" s="675"/>
      <c r="I2" s="672"/>
      <c r="J2" s="669"/>
    </row>
    <row r="3" spans="1:18" ht="24" customHeight="1" thickBot="1">
      <c r="A3" s="667"/>
      <c r="B3" s="244" t="s">
        <v>331</v>
      </c>
      <c r="C3" s="245" t="s">
        <v>325</v>
      </c>
      <c r="D3" s="245" t="s">
        <v>332</v>
      </c>
      <c r="E3" s="246" t="s">
        <v>331</v>
      </c>
      <c r="F3" s="245" t="s">
        <v>325</v>
      </c>
      <c r="G3" s="246" t="s">
        <v>332</v>
      </c>
      <c r="H3" s="676"/>
      <c r="I3" s="673"/>
      <c r="J3" s="670"/>
    </row>
    <row r="4" spans="1:18" ht="19" thickBot="1">
      <c r="A4" s="252"/>
      <c r="B4" s="253"/>
      <c r="C4" s="253"/>
      <c r="D4" s="253"/>
      <c r="E4" s="253"/>
      <c r="F4" s="253"/>
      <c r="G4" s="253"/>
      <c r="H4" s="254">
        <v>0</v>
      </c>
      <c r="I4" s="254"/>
      <c r="J4" s="543"/>
      <c r="L4" s="3"/>
      <c r="M4" s="3" t="s">
        <v>393</v>
      </c>
      <c r="N4" s="3" t="s">
        <v>394</v>
      </c>
      <c r="O4" s="3" t="s">
        <v>395</v>
      </c>
    </row>
    <row r="5" spans="1:18" ht="16.5" customHeight="1" thickBot="1">
      <c r="A5" s="247">
        <f>ELEC!C2</f>
        <v>43738</v>
      </c>
      <c r="B5" s="440">
        <f>'[1]Swimming Pool quality check '!B34</f>
        <v>1.5</v>
      </c>
      <c r="C5" s="440">
        <f>'[1]Swimming Pool quality check '!C34</f>
        <v>7.8</v>
      </c>
      <c r="D5" s="440">
        <f>'[1]Swimming Pool quality check '!D34</f>
        <v>27</v>
      </c>
      <c r="E5" s="440">
        <f>'[1]Swimming Pool quality check '!E34</f>
        <v>2.5</v>
      </c>
      <c r="F5" s="440">
        <f>'[1]Swimming Pool quality check '!F34</f>
        <v>8</v>
      </c>
      <c r="G5" s="440">
        <f>'[1]Swimming Pool quality check '!G34</f>
        <v>30</v>
      </c>
      <c r="H5" s="440">
        <f>'[1]Swimming Pool quality check '!H34</f>
        <v>5907</v>
      </c>
      <c r="I5" s="440">
        <f>'[1]Swimming Pool quality check '!I34</f>
        <v>2</v>
      </c>
      <c r="J5" s="544">
        <v>0.29166666666666669</v>
      </c>
      <c r="K5" s="440">
        <f>'[1]Swimming Pool quality check '!K34</f>
        <v>0</v>
      </c>
      <c r="L5" s="100">
        <f t="shared" ref="L5:L35" si="0">A5</f>
        <v>43738</v>
      </c>
      <c r="M5" s="440">
        <f>'[1]Swimming Pool quality check '!M34</f>
        <v>5539</v>
      </c>
      <c r="N5" s="440">
        <f>'[1]Swimming Pool quality check '!N34</f>
        <v>368</v>
      </c>
      <c r="O5" s="440">
        <f>'[1]Swimming Pool quality check '!O34</f>
        <v>5907</v>
      </c>
    </row>
    <row r="6" spans="1:18" ht="15.75" customHeight="1" thickBot="1">
      <c r="A6" s="247">
        <f>ELEC!C3</f>
        <v>43739</v>
      </c>
      <c r="B6" s="441">
        <v>1.5</v>
      </c>
      <c r="C6" s="3">
        <v>7.8</v>
      </c>
      <c r="D6" s="3">
        <v>27</v>
      </c>
      <c r="E6" s="3">
        <v>2.5</v>
      </c>
      <c r="F6" s="3">
        <v>7.8</v>
      </c>
      <c r="G6" s="3">
        <v>29</v>
      </c>
      <c r="H6" s="440">
        <f>O6</f>
        <v>5910</v>
      </c>
      <c r="I6" s="250">
        <f>H6-H5</f>
        <v>3</v>
      </c>
      <c r="J6" s="544">
        <v>0.29166666666666669</v>
      </c>
      <c r="L6" s="100">
        <f t="shared" si="0"/>
        <v>43739</v>
      </c>
      <c r="M6" s="3">
        <v>5542</v>
      </c>
      <c r="N6" s="3">
        <f>'[9]Swimming Pool quality check '!$N$35</f>
        <v>368</v>
      </c>
      <c r="O6" s="3">
        <f>SUM(M6:N6)</f>
        <v>5910</v>
      </c>
    </row>
    <row r="7" spans="1:18" ht="15" thickBot="1">
      <c r="A7" s="247">
        <f>ELEC!C4</f>
        <v>43740</v>
      </c>
      <c r="B7" s="441">
        <v>1.5</v>
      </c>
      <c r="C7" s="3">
        <v>7.8</v>
      </c>
      <c r="D7" s="3">
        <v>27</v>
      </c>
      <c r="E7" s="3">
        <v>2.5</v>
      </c>
      <c r="F7" s="3">
        <v>8</v>
      </c>
      <c r="G7" s="3">
        <v>29</v>
      </c>
      <c r="H7" s="440">
        <f>O7</f>
        <v>5913</v>
      </c>
      <c r="I7" s="250">
        <f>H7-H6</f>
        <v>3</v>
      </c>
      <c r="J7" s="545">
        <v>0.29166666666666669</v>
      </c>
      <c r="L7" s="100">
        <f t="shared" si="0"/>
        <v>43740</v>
      </c>
      <c r="M7" s="3">
        <v>5545</v>
      </c>
      <c r="N7" s="3">
        <f>'[9]Swimming Pool quality check '!$N$35</f>
        <v>368</v>
      </c>
      <c r="O7" s="3">
        <f>SUM(M7:N7)</f>
        <v>5913</v>
      </c>
    </row>
    <row r="8" spans="1:18" ht="15" thickBot="1">
      <c r="A8" s="247">
        <f>ELEC!C5</f>
        <v>43741</v>
      </c>
      <c r="B8" s="441">
        <v>2.5</v>
      </c>
      <c r="C8" s="3">
        <v>7.8</v>
      </c>
      <c r="D8" s="3">
        <v>27</v>
      </c>
      <c r="E8" s="3">
        <v>2.5</v>
      </c>
      <c r="F8" s="3">
        <v>8</v>
      </c>
      <c r="G8" s="3">
        <v>30</v>
      </c>
      <c r="H8" s="440">
        <f t="shared" ref="H8:H36" si="1">O8</f>
        <v>5916</v>
      </c>
      <c r="I8" s="250">
        <f>H8-H7</f>
        <v>3</v>
      </c>
      <c r="J8" s="545">
        <v>0.29166666666666669</v>
      </c>
      <c r="L8" s="100">
        <f t="shared" si="0"/>
        <v>43741</v>
      </c>
      <c r="M8" s="3">
        <v>5548</v>
      </c>
      <c r="N8" s="3">
        <f>'[9]Swimming Pool quality check '!$N$35</f>
        <v>368</v>
      </c>
      <c r="O8" s="3">
        <f>SUM(M8:N8)</f>
        <v>5916</v>
      </c>
    </row>
    <row r="9" spans="1:18" ht="15" thickBot="1">
      <c r="A9" s="247">
        <f>ELEC!C6</f>
        <v>43742</v>
      </c>
      <c r="B9" s="441">
        <v>2</v>
      </c>
      <c r="C9" s="3">
        <v>7.8</v>
      </c>
      <c r="D9" s="3">
        <v>27</v>
      </c>
      <c r="E9" s="3">
        <v>2.5</v>
      </c>
      <c r="F9" s="3">
        <v>8.1</v>
      </c>
      <c r="G9" s="3">
        <v>32</v>
      </c>
      <c r="H9" s="440">
        <f t="shared" si="1"/>
        <v>5916</v>
      </c>
      <c r="I9" s="250">
        <f>H9-H8</f>
        <v>0</v>
      </c>
      <c r="J9" s="545">
        <v>0.29166666666666669</v>
      </c>
      <c r="L9" s="100">
        <f t="shared" si="0"/>
        <v>43742</v>
      </c>
      <c r="M9" s="3">
        <f t="shared" ref="M9:M36" si="2">M8</f>
        <v>5548</v>
      </c>
      <c r="N9" s="3">
        <f>'[9]Swimming Pool quality check '!$N$35</f>
        <v>368</v>
      </c>
      <c r="O9" s="3">
        <f t="shared" ref="O9:O36" si="3">SUM(M9:N9)</f>
        <v>5916</v>
      </c>
    </row>
    <row r="10" spans="1:18" ht="15" thickBot="1">
      <c r="A10" s="247">
        <f>ELEC!C7</f>
        <v>43743</v>
      </c>
      <c r="B10" s="441">
        <v>2</v>
      </c>
      <c r="C10" s="3">
        <v>7.8</v>
      </c>
      <c r="D10" s="3">
        <v>27</v>
      </c>
      <c r="E10" s="3">
        <v>2.5</v>
      </c>
      <c r="F10" s="3">
        <v>8</v>
      </c>
      <c r="G10" s="3">
        <v>30</v>
      </c>
      <c r="H10" s="440">
        <f t="shared" si="1"/>
        <v>5926</v>
      </c>
      <c r="I10" s="250">
        <f t="shared" ref="I10:I35" si="4">H10-H9</f>
        <v>10</v>
      </c>
      <c r="J10" s="545">
        <v>0.29166666666666669</v>
      </c>
      <c r="L10" s="100">
        <f t="shared" si="0"/>
        <v>43743</v>
      </c>
      <c r="M10" s="3">
        <v>5558</v>
      </c>
      <c r="N10" s="3">
        <f>'[9]Swimming Pool quality check '!$N$35</f>
        <v>368</v>
      </c>
      <c r="O10" s="3">
        <f t="shared" si="3"/>
        <v>5926</v>
      </c>
    </row>
    <row r="11" spans="1:18" ht="15" thickBot="1">
      <c r="A11" s="247">
        <f>ELEC!C8</f>
        <v>43744</v>
      </c>
      <c r="B11" s="441">
        <v>2</v>
      </c>
      <c r="C11" s="3">
        <v>7.8</v>
      </c>
      <c r="D11" s="3">
        <v>27</v>
      </c>
      <c r="E11" s="3">
        <v>2.5</v>
      </c>
      <c r="F11" s="3">
        <v>8</v>
      </c>
      <c r="G11" s="3">
        <v>30</v>
      </c>
      <c r="H11" s="440">
        <f t="shared" si="1"/>
        <v>5929</v>
      </c>
      <c r="I11" s="250">
        <f t="shared" si="4"/>
        <v>3</v>
      </c>
      <c r="J11" s="545">
        <v>0.29166666666666669</v>
      </c>
      <c r="L11" s="100">
        <f t="shared" si="0"/>
        <v>43744</v>
      </c>
      <c r="M11" s="3">
        <v>5561</v>
      </c>
      <c r="N11" s="3">
        <f>'[9]Swimming Pool quality check '!$N$35</f>
        <v>368</v>
      </c>
      <c r="O11" s="3">
        <f t="shared" si="3"/>
        <v>5929</v>
      </c>
    </row>
    <row r="12" spans="1:18" ht="16" thickBot="1">
      <c r="A12" s="247">
        <f>ELEC!C9</f>
        <v>43745</v>
      </c>
      <c r="B12" s="423">
        <v>2</v>
      </c>
      <c r="C12" s="425">
        <v>7.8</v>
      </c>
      <c r="D12" s="425">
        <v>27</v>
      </c>
      <c r="E12" s="425">
        <v>2.5</v>
      </c>
      <c r="F12" s="425">
        <v>8</v>
      </c>
      <c r="G12" s="424">
        <v>32</v>
      </c>
      <c r="H12" s="440">
        <f t="shared" si="1"/>
        <v>5933</v>
      </c>
      <c r="I12" s="250">
        <f>H12-H11</f>
        <v>4</v>
      </c>
      <c r="J12" s="545">
        <v>0.29166666666666669</v>
      </c>
      <c r="L12" s="100">
        <f t="shared" si="0"/>
        <v>43745</v>
      </c>
      <c r="M12" s="3">
        <v>5565</v>
      </c>
      <c r="N12" s="3">
        <f>'[9]Swimming Pool quality check '!$N$35</f>
        <v>368</v>
      </c>
      <c r="O12" s="3">
        <f t="shared" si="3"/>
        <v>5933</v>
      </c>
      <c r="P12" s="487"/>
      <c r="Q12" s="386"/>
      <c r="R12" s="386"/>
    </row>
    <row r="13" spans="1:18" ht="15" thickBot="1">
      <c r="A13" s="247">
        <f>ELEC!C10</f>
        <v>43746</v>
      </c>
      <c r="B13" s="441">
        <v>2</v>
      </c>
      <c r="C13" s="3">
        <v>7.8</v>
      </c>
      <c r="D13" s="3">
        <v>27</v>
      </c>
      <c r="E13" s="3">
        <v>2.5</v>
      </c>
      <c r="F13" s="3">
        <v>7.8</v>
      </c>
      <c r="G13" s="3">
        <v>30</v>
      </c>
      <c r="H13" s="440">
        <f t="shared" si="1"/>
        <v>5936</v>
      </c>
      <c r="I13" s="250">
        <f t="shared" si="4"/>
        <v>3</v>
      </c>
      <c r="J13" s="545">
        <v>0.29166666666666669</v>
      </c>
      <c r="L13" s="100">
        <f t="shared" si="0"/>
        <v>43746</v>
      </c>
      <c r="M13" s="3">
        <v>5568</v>
      </c>
      <c r="N13" s="3">
        <f>'[9]Swimming Pool quality check '!$N$35</f>
        <v>368</v>
      </c>
      <c r="O13" s="3">
        <f t="shared" si="3"/>
        <v>5936</v>
      </c>
    </row>
    <row r="14" spans="1:18" ht="15" thickBot="1">
      <c r="A14" s="247">
        <f>ELEC!C11</f>
        <v>43747</v>
      </c>
      <c r="B14" s="441">
        <v>2</v>
      </c>
      <c r="C14" s="3">
        <v>8</v>
      </c>
      <c r="D14" s="3">
        <v>27</v>
      </c>
      <c r="E14" s="3">
        <v>2.5</v>
      </c>
      <c r="F14" s="3">
        <v>8</v>
      </c>
      <c r="G14" s="3">
        <v>31</v>
      </c>
      <c r="H14" s="440">
        <f t="shared" si="1"/>
        <v>5939</v>
      </c>
      <c r="I14" s="250">
        <f t="shared" si="4"/>
        <v>3</v>
      </c>
      <c r="J14" s="545">
        <v>0.29166666666666669</v>
      </c>
      <c r="L14" s="100">
        <f t="shared" si="0"/>
        <v>43747</v>
      </c>
      <c r="M14" s="3">
        <v>5571</v>
      </c>
      <c r="N14" s="3">
        <f>'[9]Swimming Pool quality check '!$N$35</f>
        <v>368</v>
      </c>
      <c r="O14" s="3">
        <f t="shared" si="3"/>
        <v>5939</v>
      </c>
    </row>
    <row r="15" spans="1:18" ht="15" thickBot="1">
      <c r="A15" s="247">
        <f>ELEC!C12</f>
        <v>43748</v>
      </c>
      <c r="B15" s="441">
        <v>2</v>
      </c>
      <c r="C15" s="3">
        <v>7.8</v>
      </c>
      <c r="D15" s="3">
        <v>27</v>
      </c>
      <c r="E15" s="3">
        <v>2.5</v>
      </c>
      <c r="F15" s="3">
        <v>8</v>
      </c>
      <c r="G15" s="3">
        <v>30</v>
      </c>
      <c r="H15" s="440">
        <f t="shared" si="1"/>
        <v>5942</v>
      </c>
      <c r="I15" s="250">
        <f t="shared" si="4"/>
        <v>3</v>
      </c>
      <c r="J15" s="545">
        <v>0.29166666666666669</v>
      </c>
      <c r="L15" s="100">
        <f t="shared" si="0"/>
        <v>43748</v>
      </c>
      <c r="M15" s="3">
        <v>5574</v>
      </c>
      <c r="N15" s="3">
        <f>'[9]Swimming Pool quality check '!$N$35</f>
        <v>368</v>
      </c>
      <c r="O15" s="3">
        <f t="shared" si="3"/>
        <v>5942</v>
      </c>
    </row>
    <row r="16" spans="1:18" ht="15" thickBot="1">
      <c r="A16" s="247">
        <f>ELEC!C13</f>
        <v>43749</v>
      </c>
      <c r="B16" s="441">
        <v>2</v>
      </c>
      <c r="C16" s="3">
        <v>7.8</v>
      </c>
      <c r="D16" s="3">
        <v>27</v>
      </c>
      <c r="E16" s="3">
        <v>2.9</v>
      </c>
      <c r="F16" s="3">
        <v>7.8</v>
      </c>
      <c r="G16" s="3">
        <v>29</v>
      </c>
      <c r="H16" s="440">
        <f t="shared" si="1"/>
        <v>5945</v>
      </c>
      <c r="I16" s="250">
        <f t="shared" si="4"/>
        <v>3</v>
      </c>
      <c r="J16" s="545">
        <v>0.29166666666666669</v>
      </c>
      <c r="L16" s="100">
        <f t="shared" si="0"/>
        <v>43749</v>
      </c>
      <c r="M16" s="3">
        <v>5577</v>
      </c>
      <c r="N16" s="3">
        <f>'[9]Swimming Pool quality check '!$N$35</f>
        <v>368</v>
      </c>
      <c r="O16" s="3">
        <f t="shared" si="3"/>
        <v>5945</v>
      </c>
    </row>
    <row r="17" spans="1:17" ht="15" thickBot="1">
      <c r="A17" s="247">
        <f>ELEC!C14</f>
        <v>43750</v>
      </c>
      <c r="B17" s="441">
        <v>2</v>
      </c>
      <c r="C17" s="3">
        <v>7.4</v>
      </c>
      <c r="D17" s="3">
        <v>27</v>
      </c>
      <c r="E17" s="3">
        <v>2.5</v>
      </c>
      <c r="F17" s="3">
        <v>7.8</v>
      </c>
      <c r="G17" s="3">
        <v>29</v>
      </c>
      <c r="H17" s="440">
        <f t="shared" si="1"/>
        <v>5949</v>
      </c>
      <c r="I17" s="250">
        <f t="shared" si="4"/>
        <v>4</v>
      </c>
      <c r="J17" s="545">
        <v>0.29166666666666669</v>
      </c>
      <c r="L17" s="100">
        <f t="shared" si="0"/>
        <v>43750</v>
      </c>
      <c r="M17" s="3">
        <v>5581</v>
      </c>
      <c r="N17" s="3">
        <f>'[9]Swimming Pool quality check '!$N$35</f>
        <v>368</v>
      </c>
      <c r="O17" s="3">
        <f t="shared" si="3"/>
        <v>5949</v>
      </c>
    </row>
    <row r="18" spans="1:17" ht="15" thickBot="1">
      <c r="A18" s="247">
        <f>ELEC!C15</f>
        <v>43751</v>
      </c>
      <c r="B18" s="441">
        <v>2</v>
      </c>
      <c r="C18" s="3">
        <v>7.2</v>
      </c>
      <c r="D18" s="3">
        <v>27</v>
      </c>
      <c r="E18" s="3">
        <v>2.5</v>
      </c>
      <c r="F18" s="3">
        <v>7.4</v>
      </c>
      <c r="G18" s="3">
        <v>29</v>
      </c>
      <c r="H18" s="440">
        <f t="shared" si="1"/>
        <v>5952</v>
      </c>
      <c r="I18" s="250">
        <f t="shared" si="4"/>
        <v>3</v>
      </c>
      <c r="J18" s="545">
        <v>0.29166666666666669</v>
      </c>
      <c r="L18" s="100">
        <f t="shared" si="0"/>
        <v>43751</v>
      </c>
      <c r="M18" s="3">
        <v>5584</v>
      </c>
      <c r="N18" s="3">
        <f>'[9]Swimming Pool quality check '!$N$35</f>
        <v>368</v>
      </c>
      <c r="O18" s="3">
        <f t="shared" si="3"/>
        <v>5952</v>
      </c>
    </row>
    <row r="19" spans="1:17" ht="15" thickBot="1">
      <c r="A19" s="247">
        <f>ELEC!C16</f>
        <v>43752</v>
      </c>
      <c r="B19" s="441">
        <v>2</v>
      </c>
      <c r="C19" s="3">
        <v>7.8</v>
      </c>
      <c r="D19" s="3">
        <v>27</v>
      </c>
      <c r="E19" s="3">
        <v>2.5</v>
      </c>
      <c r="F19" s="3">
        <v>8</v>
      </c>
      <c r="G19" s="3">
        <v>29</v>
      </c>
      <c r="H19" s="440">
        <f t="shared" si="1"/>
        <v>5955</v>
      </c>
      <c r="I19" s="250">
        <f t="shared" si="4"/>
        <v>3</v>
      </c>
      <c r="J19" s="545">
        <v>0.29166666666666669</v>
      </c>
      <c r="L19" s="100">
        <f t="shared" si="0"/>
        <v>43752</v>
      </c>
      <c r="M19" s="3">
        <v>5587</v>
      </c>
      <c r="N19" s="3">
        <f>'[9]Swimming Pool quality check '!$N$35</f>
        <v>368</v>
      </c>
      <c r="O19" s="3">
        <f t="shared" si="3"/>
        <v>5955</v>
      </c>
    </row>
    <row r="20" spans="1:17" ht="15" thickBot="1">
      <c r="A20" s="247">
        <f>ELEC!C17</f>
        <v>43753</v>
      </c>
      <c r="B20" s="441"/>
      <c r="C20" s="3"/>
      <c r="D20" s="3"/>
      <c r="E20" s="3"/>
      <c r="F20" s="3"/>
      <c r="G20" s="3">
        <v>29</v>
      </c>
      <c r="H20" s="440">
        <f t="shared" si="1"/>
        <v>5955</v>
      </c>
      <c r="I20" s="250">
        <f t="shared" si="4"/>
        <v>0</v>
      </c>
      <c r="J20" s="545">
        <v>0.29166666666666669</v>
      </c>
      <c r="L20" s="100">
        <f t="shared" si="0"/>
        <v>43753</v>
      </c>
      <c r="M20" s="3">
        <f t="shared" si="2"/>
        <v>5587</v>
      </c>
      <c r="N20" s="3">
        <f>'[9]Swimming Pool quality check '!$N$35</f>
        <v>368</v>
      </c>
      <c r="O20" s="3">
        <f t="shared" si="3"/>
        <v>5955</v>
      </c>
    </row>
    <row r="21" spans="1:17" ht="15" thickBot="1">
      <c r="A21" s="247">
        <f>ELEC!C18</f>
        <v>43754</v>
      </c>
      <c r="B21" s="441"/>
      <c r="C21" s="3"/>
      <c r="D21" s="3"/>
      <c r="E21" s="3"/>
      <c r="F21" s="3"/>
      <c r="G21" s="3">
        <v>27</v>
      </c>
      <c r="H21" s="440">
        <f t="shared" si="1"/>
        <v>5955</v>
      </c>
      <c r="I21" s="250">
        <f t="shared" si="4"/>
        <v>0</v>
      </c>
      <c r="J21" s="545">
        <v>0.29166666666666669</v>
      </c>
      <c r="L21" s="100">
        <f t="shared" si="0"/>
        <v>43754</v>
      </c>
      <c r="M21" s="3">
        <f t="shared" si="2"/>
        <v>5587</v>
      </c>
      <c r="N21" s="3">
        <f>'[9]Swimming Pool quality check '!$N$35</f>
        <v>368</v>
      </c>
      <c r="O21" s="3">
        <f t="shared" si="3"/>
        <v>5955</v>
      </c>
    </row>
    <row r="22" spans="1:17" ht="15" thickBot="1">
      <c r="A22" s="247">
        <f>ELEC!C19</f>
        <v>43755</v>
      </c>
      <c r="B22" s="441"/>
      <c r="C22" s="3"/>
      <c r="D22" s="3"/>
      <c r="E22" s="3"/>
      <c r="F22" s="3"/>
      <c r="G22" s="3">
        <v>28</v>
      </c>
      <c r="H22" s="440">
        <f t="shared" si="1"/>
        <v>5955</v>
      </c>
      <c r="I22" s="250">
        <f t="shared" si="4"/>
        <v>0</v>
      </c>
      <c r="J22" s="545">
        <v>0.29166666666666669</v>
      </c>
      <c r="L22" s="100">
        <f t="shared" si="0"/>
        <v>43755</v>
      </c>
      <c r="M22" s="3">
        <f t="shared" si="2"/>
        <v>5587</v>
      </c>
      <c r="N22" s="3">
        <f>'[9]Swimming Pool quality check '!$N$35</f>
        <v>368</v>
      </c>
      <c r="O22" s="3">
        <f t="shared" si="3"/>
        <v>5955</v>
      </c>
    </row>
    <row r="23" spans="1:17" ht="15" thickBot="1">
      <c r="A23" s="247">
        <f>ELEC!C20</f>
        <v>43756</v>
      </c>
      <c r="B23" s="441"/>
      <c r="C23" s="3"/>
      <c r="D23" s="3"/>
      <c r="E23" s="3"/>
      <c r="F23" s="3"/>
      <c r="G23" s="3">
        <v>29</v>
      </c>
      <c r="H23" s="440">
        <f t="shared" si="1"/>
        <v>5955</v>
      </c>
      <c r="I23" s="250">
        <f t="shared" si="4"/>
        <v>0</v>
      </c>
      <c r="J23" s="545">
        <v>0.29166666666666669</v>
      </c>
      <c r="L23" s="100">
        <f t="shared" si="0"/>
        <v>43756</v>
      </c>
      <c r="M23" s="3">
        <f t="shared" si="2"/>
        <v>5587</v>
      </c>
      <c r="N23" s="3">
        <f>'[9]Swimming Pool quality check '!$N$35</f>
        <v>368</v>
      </c>
      <c r="O23" s="3">
        <f t="shared" si="3"/>
        <v>5955</v>
      </c>
    </row>
    <row r="24" spans="1:17" ht="15" thickBot="1">
      <c r="A24" s="247">
        <f>ELEC!C21</f>
        <v>43757</v>
      </c>
      <c r="B24" s="441"/>
      <c r="C24" s="3"/>
      <c r="D24" s="3"/>
      <c r="E24" s="3"/>
      <c r="F24" s="3"/>
      <c r="G24" s="3">
        <v>28</v>
      </c>
      <c r="H24" s="440">
        <f t="shared" si="1"/>
        <v>5955</v>
      </c>
      <c r="I24" s="250">
        <f t="shared" si="4"/>
        <v>0</v>
      </c>
      <c r="J24" s="545">
        <v>0.29166666666666702</v>
      </c>
      <c r="L24" s="100">
        <f t="shared" si="0"/>
        <v>43757</v>
      </c>
      <c r="M24" s="3">
        <f t="shared" si="2"/>
        <v>5587</v>
      </c>
      <c r="N24" s="3">
        <f>'[9]Swimming Pool quality check '!$N$35</f>
        <v>368</v>
      </c>
      <c r="O24" s="3">
        <f t="shared" si="3"/>
        <v>5955</v>
      </c>
    </row>
    <row r="25" spans="1:17" ht="15" thickBot="1">
      <c r="A25" s="247">
        <f>ELEC!C22</f>
        <v>43758</v>
      </c>
      <c r="B25" s="441"/>
      <c r="C25" s="3"/>
      <c r="D25" s="3"/>
      <c r="E25" s="3"/>
      <c r="F25" s="3"/>
      <c r="G25" s="3">
        <v>30</v>
      </c>
      <c r="H25" s="440">
        <f t="shared" si="1"/>
        <v>5955</v>
      </c>
      <c r="I25" s="250">
        <f t="shared" si="4"/>
        <v>0</v>
      </c>
      <c r="J25" s="545">
        <v>0.29166666666666702</v>
      </c>
      <c r="L25" s="100">
        <f t="shared" si="0"/>
        <v>43758</v>
      </c>
      <c r="M25" s="3">
        <f t="shared" si="2"/>
        <v>5587</v>
      </c>
      <c r="N25" s="3">
        <f>'[9]Swimming Pool quality check '!$N$35</f>
        <v>368</v>
      </c>
      <c r="O25" s="3">
        <f t="shared" si="3"/>
        <v>5955</v>
      </c>
    </row>
    <row r="26" spans="1:17" ht="15" thickBot="1">
      <c r="A26" s="247">
        <f>ELEC!C23</f>
        <v>43759</v>
      </c>
      <c r="B26" s="441"/>
      <c r="C26" s="3"/>
      <c r="D26" s="3"/>
      <c r="E26" s="3"/>
      <c r="F26" s="3"/>
      <c r="G26" s="3">
        <v>28</v>
      </c>
      <c r="H26" s="440">
        <f t="shared" si="1"/>
        <v>5955</v>
      </c>
      <c r="I26" s="250">
        <f t="shared" si="4"/>
        <v>0</v>
      </c>
      <c r="J26" s="545">
        <v>0.29166666666666702</v>
      </c>
      <c r="L26" s="100">
        <f t="shared" si="0"/>
        <v>43759</v>
      </c>
      <c r="M26" s="3">
        <f t="shared" si="2"/>
        <v>5587</v>
      </c>
      <c r="N26" s="3">
        <f>'[9]Swimming Pool quality check '!$N$35</f>
        <v>368</v>
      </c>
      <c r="O26" s="3">
        <f t="shared" si="3"/>
        <v>5955</v>
      </c>
    </row>
    <row r="27" spans="1:17" ht="15" thickBot="1">
      <c r="A27" s="247">
        <f>ELEC!C24</f>
        <v>43760</v>
      </c>
      <c r="B27" s="441"/>
      <c r="C27" s="3"/>
      <c r="D27" s="3"/>
      <c r="E27" s="3"/>
      <c r="F27" s="3"/>
      <c r="G27" s="3">
        <v>28</v>
      </c>
      <c r="H27" s="440">
        <f t="shared" si="1"/>
        <v>5955</v>
      </c>
      <c r="I27" s="250">
        <f t="shared" si="4"/>
        <v>0</v>
      </c>
      <c r="J27" s="545">
        <v>0.29166666666666702</v>
      </c>
      <c r="L27" s="100">
        <f t="shared" si="0"/>
        <v>43760</v>
      </c>
      <c r="M27" s="3">
        <f t="shared" si="2"/>
        <v>5587</v>
      </c>
      <c r="N27" s="3">
        <f>'[9]Swimming Pool quality check '!$N$35</f>
        <v>368</v>
      </c>
      <c r="O27" s="3">
        <f t="shared" si="3"/>
        <v>5955</v>
      </c>
    </row>
    <row r="28" spans="1:17" ht="15" thickBot="1">
      <c r="A28" s="247">
        <f>ELEC!C25</f>
        <v>43761</v>
      </c>
      <c r="B28" s="442"/>
      <c r="C28" s="291"/>
      <c r="D28" s="291"/>
      <c r="E28" s="291"/>
      <c r="F28" s="291"/>
      <c r="G28" s="291">
        <v>29</v>
      </c>
      <c r="H28" s="440">
        <f t="shared" si="1"/>
        <v>5955</v>
      </c>
      <c r="I28" s="250">
        <f t="shared" si="4"/>
        <v>0</v>
      </c>
      <c r="J28" s="546">
        <v>0.29166666666666702</v>
      </c>
      <c r="L28" s="100">
        <f t="shared" si="0"/>
        <v>43761</v>
      </c>
      <c r="M28" s="3">
        <f t="shared" si="2"/>
        <v>5587</v>
      </c>
      <c r="N28" s="3">
        <f>'[9]Swimming Pool quality check '!$N$35</f>
        <v>368</v>
      </c>
      <c r="O28" s="3">
        <f t="shared" si="3"/>
        <v>5955</v>
      </c>
    </row>
    <row r="29" spans="1:17" ht="15" thickBot="1">
      <c r="A29" s="247">
        <f>ELEC!C26</f>
        <v>43762</v>
      </c>
      <c r="B29" s="441"/>
      <c r="C29" s="3"/>
      <c r="D29" s="3"/>
      <c r="E29" s="3"/>
      <c r="F29" s="3"/>
      <c r="G29" s="3">
        <v>31</v>
      </c>
      <c r="H29" s="440">
        <f t="shared" si="1"/>
        <v>5955</v>
      </c>
      <c r="I29" s="250">
        <f t="shared" si="4"/>
        <v>0</v>
      </c>
      <c r="J29" s="545">
        <v>0.29166666666666702</v>
      </c>
      <c r="L29" s="100">
        <f t="shared" si="0"/>
        <v>43762</v>
      </c>
      <c r="M29" s="3">
        <f t="shared" si="2"/>
        <v>5587</v>
      </c>
      <c r="N29" s="3">
        <f>'[9]Swimming Pool quality check '!$N$35</f>
        <v>368</v>
      </c>
      <c r="O29" s="3">
        <f t="shared" si="3"/>
        <v>5955</v>
      </c>
    </row>
    <row r="30" spans="1:17" ht="15" thickBot="1">
      <c r="A30" s="247">
        <f>ELEC!C27</f>
        <v>43763</v>
      </c>
      <c r="B30" s="441"/>
      <c r="C30" s="3"/>
      <c r="D30" s="3"/>
      <c r="E30" s="3"/>
      <c r="F30" s="3"/>
      <c r="G30" s="3">
        <v>29</v>
      </c>
      <c r="H30" s="440">
        <f t="shared" si="1"/>
        <v>5955</v>
      </c>
      <c r="I30" s="250">
        <f t="shared" si="4"/>
        <v>0</v>
      </c>
      <c r="J30" s="545">
        <v>0.29166666666666702</v>
      </c>
      <c r="L30" s="100">
        <f t="shared" si="0"/>
        <v>43763</v>
      </c>
      <c r="M30" s="3">
        <f t="shared" si="2"/>
        <v>5587</v>
      </c>
      <c r="N30" s="3">
        <f>'[9]Swimming Pool quality check '!$N$35</f>
        <v>368</v>
      </c>
      <c r="O30" s="3">
        <f t="shared" si="3"/>
        <v>5955</v>
      </c>
    </row>
    <row r="31" spans="1:17" ht="15" thickBot="1">
      <c r="A31" s="247">
        <f>ELEC!C28</f>
        <v>43764</v>
      </c>
      <c r="B31" s="441"/>
      <c r="C31" s="3"/>
      <c r="D31" s="3"/>
      <c r="E31" s="3"/>
      <c r="F31" s="3"/>
      <c r="G31" s="3">
        <v>28</v>
      </c>
      <c r="H31" s="440">
        <f t="shared" si="1"/>
        <v>5955</v>
      </c>
      <c r="I31" s="250">
        <f t="shared" si="4"/>
        <v>0</v>
      </c>
      <c r="J31" s="545">
        <v>0.29166666666666702</v>
      </c>
      <c r="L31" s="100">
        <f t="shared" si="0"/>
        <v>43764</v>
      </c>
      <c r="M31" s="3">
        <f t="shared" si="2"/>
        <v>5587</v>
      </c>
      <c r="N31" s="3">
        <f>'[9]Swimming Pool quality check '!$N$35</f>
        <v>368</v>
      </c>
      <c r="O31" s="3">
        <f t="shared" si="3"/>
        <v>5955</v>
      </c>
    </row>
    <row r="32" spans="1:17" ht="15" thickBot="1">
      <c r="A32" s="247">
        <f>ELEC!C29</f>
        <v>43765</v>
      </c>
      <c r="B32" s="441"/>
      <c r="C32" s="3"/>
      <c r="D32" s="3"/>
      <c r="E32" s="3"/>
      <c r="F32" s="3"/>
      <c r="G32" s="3">
        <v>30</v>
      </c>
      <c r="H32" s="440">
        <f t="shared" si="1"/>
        <v>5955</v>
      </c>
      <c r="I32" s="250">
        <f t="shared" si="4"/>
        <v>0</v>
      </c>
      <c r="J32" s="545">
        <v>0.29166666666666702</v>
      </c>
      <c r="L32" s="100">
        <f t="shared" si="0"/>
        <v>43765</v>
      </c>
      <c r="M32" s="3">
        <f t="shared" si="2"/>
        <v>5587</v>
      </c>
      <c r="N32" s="3">
        <f>'[9]Swimming Pool quality check '!$N$35</f>
        <v>368</v>
      </c>
      <c r="O32" s="3">
        <f t="shared" si="3"/>
        <v>5955</v>
      </c>
    </row>
    <row r="33" spans="1:15" ht="15" thickBot="1">
      <c r="A33" s="247">
        <f>ELEC!C30</f>
        <v>43766</v>
      </c>
      <c r="B33" s="443"/>
      <c r="C33" s="248"/>
      <c r="D33" s="248"/>
      <c r="E33" s="248"/>
      <c r="F33" s="248"/>
      <c r="G33" s="248">
        <v>28</v>
      </c>
      <c r="H33" s="440">
        <f t="shared" si="1"/>
        <v>5955</v>
      </c>
      <c r="I33" s="250">
        <f t="shared" si="4"/>
        <v>0</v>
      </c>
      <c r="J33" s="545">
        <v>0.29166666666666702</v>
      </c>
      <c r="L33" s="100">
        <f t="shared" si="0"/>
        <v>43766</v>
      </c>
      <c r="M33" s="3">
        <f t="shared" si="2"/>
        <v>5587</v>
      </c>
      <c r="N33" s="3">
        <f>'[9]Swimming Pool quality check '!$N$35</f>
        <v>368</v>
      </c>
      <c r="O33" s="3">
        <f t="shared" si="3"/>
        <v>5955</v>
      </c>
    </row>
    <row r="34" spans="1:15" ht="15" thickBot="1">
      <c r="A34" s="247">
        <f>ELEC!C31</f>
        <v>43767</v>
      </c>
      <c r="B34" s="441"/>
      <c r="C34" s="3"/>
      <c r="D34" s="3"/>
      <c r="E34" s="3"/>
      <c r="F34" s="3"/>
      <c r="G34" s="3">
        <v>28</v>
      </c>
      <c r="H34" s="440">
        <f t="shared" si="1"/>
        <v>5955</v>
      </c>
      <c r="I34" s="250">
        <f t="shared" si="4"/>
        <v>0</v>
      </c>
      <c r="J34" s="545">
        <v>0.29166666666666702</v>
      </c>
      <c r="L34" s="100">
        <f t="shared" si="0"/>
        <v>43767</v>
      </c>
      <c r="M34" s="3">
        <f t="shared" si="2"/>
        <v>5587</v>
      </c>
      <c r="N34" s="3">
        <f>'[9]Swimming Pool quality check '!$N$35</f>
        <v>368</v>
      </c>
      <c r="O34" s="3">
        <f t="shared" si="3"/>
        <v>5955</v>
      </c>
    </row>
    <row r="35" spans="1:15" ht="15" thickBot="1">
      <c r="A35" s="445">
        <f>ELEC!C32</f>
        <v>43768</v>
      </c>
      <c r="B35" s="444"/>
      <c r="C35" s="290"/>
      <c r="D35" s="290"/>
      <c r="E35" s="290"/>
      <c r="F35" s="290"/>
      <c r="G35" s="290">
        <v>29</v>
      </c>
      <c r="H35" s="440">
        <f t="shared" si="1"/>
        <v>5955</v>
      </c>
      <c r="I35" s="250">
        <f t="shared" si="4"/>
        <v>0</v>
      </c>
      <c r="J35" s="547">
        <v>0.29166666666666702</v>
      </c>
      <c r="L35" s="100">
        <f t="shared" si="0"/>
        <v>43768</v>
      </c>
      <c r="M35" s="3">
        <f t="shared" si="2"/>
        <v>5587</v>
      </c>
      <c r="N35" s="3">
        <f>'[9]Swimming Pool quality check '!$N$35</f>
        <v>368</v>
      </c>
      <c r="O35" s="3">
        <f t="shared" si="3"/>
        <v>5955</v>
      </c>
    </row>
    <row r="36" spans="1:15" ht="15" thickBot="1">
      <c r="A36" s="445">
        <f>ELEC!C33</f>
        <v>43769</v>
      </c>
      <c r="B36" s="444"/>
      <c r="C36" s="290"/>
      <c r="D36" s="290"/>
      <c r="E36" s="290"/>
      <c r="F36" s="290"/>
      <c r="G36" s="290">
        <v>30</v>
      </c>
      <c r="H36" s="440">
        <f t="shared" si="1"/>
        <v>5955</v>
      </c>
      <c r="I36" s="154">
        <f>H36-H35</f>
        <v>0</v>
      </c>
      <c r="J36" s="547">
        <v>0.33333333333333398</v>
      </c>
      <c r="L36" s="100">
        <f>A36</f>
        <v>43769</v>
      </c>
      <c r="M36" s="3">
        <f t="shared" si="2"/>
        <v>5587</v>
      </c>
      <c r="N36" s="3">
        <f>'[9]Swimming Pool quality check '!$N$35</f>
        <v>368</v>
      </c>
      <c r="O36" s="3">
        <f t="shared" si="3"/>
        <v>5955</v>
      </c>
    </row>
    <row r="37" spans="1:15" ht="15" thickBot="1">
      <c r="A37" s="426"/>
      <c r="B37" s="549"/>
      <c r="C37" s="550"/>
      <c r="D37" s="550"/>
      <c r="E37" s="550"/>
      <c r="F37" s="550"/>
      <c r="G37" s="550"/>
      <c r="H37" s="551"/>
      <c r="I37" s="552"/>
      <c r="J37" s="553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37"/>
  <sheetViews>
    <sheetView workbookViewId="0">
      <selection activeCell="G11" sqref="G11"/>
    </sheetView>
  </sheetViews>
  <sheetFormatPr defaultRowHeight="14.5"/>
  <cols>
    <col min="6" max="6" width="15.1796875" bestFit="1" customWidth="1"/>
    <col min="7" max="7" width="35.1796875" bestFit="1" customWidth="1"/>
  </cols>
  <sheetData>
    <row r="1" spans="1:9" ht="15" thickBot="1">
      <c r="A1" s="204" t="s">
        <v>235</v>
      </c>
      <c r="B1" s="205" t="s">
        <v>236</v>
      </c>
      <c r="C1" s="205" t="s">
        <v>237</v>
      </c>
      <c r="D1" s="205" t="s">
        <v>238</v>
      </c>
      <c r="E1" s="205" t="s">
        <v>308</v>
      </c>
      <c r="F1" s="205" t="s">
        <v>239</v>
      </c>
      <c r="G1" s="205" t="s">
        <v>240</v>
      </c>
      <c r="H1" s="205" t="s">
        <v>241</v>
      </c>
      <c r="I1" s="205" t="s">
        <v>51</v>
      </c>
    </row>
    <row r="2" spans="1:9">
      <c r="A2" s="206" t="s">
        <v>242</v>
      </c>
      <c r="B2" s="206" t="s">
        <v>243</v>
      </c>
      <c r="C2" s="206"/>
      <c r="D2" s="206"/>
      <c r="E2" s="206"/>
      <c r="F2" s="206"/>
      <c r="G2" s="206" t="s">
        <v>244</v>
      </c>
      <c r="H2" s="206"/>
      <c r="I2" s="206"/>
    </row>
    <row r="3" spans="1:9">
      <c r="A3" s="207" t="s">
        <v>245</v>
      </c>
      <c r="B3" s="207" t="s">
        <v>246</v>
      </c>
      <c r="C3" s="207"/>
      <c r="D3" s="207"/>
      <c r="E3" s="207"/>
      <c r="F3" s="207"/>
      <c r="G3" s="207" t="s">
        <v>306</v>
      </c>
      <c r="H3" s="207"/>
      <c r="I3" s="207"/>
    </row>
    <row r="4" spans="1:9">
      <c r="A4" s="207" t="s">
        <v>247</v>
      </c>
      <c r="B4" s="207" t="s">
        <v>248</v>
      </c>
      <c r="C4" s="207"/>
      <c r="D4" s="207"/>
      <c r="E4" s="207"/>
      <c r="F4" s="207"/>
      <c r="G4" s="207" t="s">
        <v>307</v>
      </c>
      <c r="H4" s="207"/>
      <c r="I4" s="207"/>
    </row>
    <row r="5" spans="1:9">
      <c r="A5" s="207" t="s">
        <v>249</v>
      </c>
      <c r="B5" s="207" t="s">
        <v>248</v>
      </c>
      <c r="C5" s="207"/>
      <c r="D5" s="207"/>
      <c r="E5" s="207"/>
      <c r="F5" s="207"/>
      <c r="G5" s="207" t="s">
        <v>249</v>
      </c>
      <c r="H5" s="207"/>
      <c r="I5" s="207"/>
    </row>
    <row r="6" spans="1:9" ht="15" thickBot="1">
      <c r="A6" s="208" t="s">
        <v>250</v>
      </c>
      <c r="B6" s="208" t="s">
        <v>248</v>
      </c>
      <c r="C6" s="208"/>
      <c r="D6" s="208"/>
      <c r="E6" s="208"/>
      <c r="F6" s="208"/>
      <c r="G6" s="208" t="s">
        <v>307</v>
      </c>
      <c r="H6" s="208"/>
      <c r="I6" s="208"/>
    </row>
    <row r="7" spans="1:9" ht="15" thickBot="1">
      <c r="A7" s="204" t="s">
        <v>251</v>
      </c>
      <c r="B7" s="205" t="s">
        <v>236</v>
      </c>
      <c r="C7" s="205" t="s">
        <v>237</v>
      </c>
      <c r="D7" s="205" t="s">
        <v>252</v>
      </c>
      <c r="E7" s="205" t="s">
        <v>308</v>
      </c>
      <c r="F7" s="205" t="s">
        <v>253</v>
      </c>
      <c r="G7" s="205"/>
      <c r="H7" s="205"/>
      <c r="I7" s="205"/>
    </row>
    <row r="8" spans="1:9">
      <c r="A8" s="206" t="s">
        <v>254</v>
      </c>
      <c r="B8" s="206" t="s">
        <v>243</v>
      </c>
      <c r="C8" s="206"/>
      <c r="D8" s="206"/>
      <c r="E8" s="206"/>
      <c r="F8" s="206"/>
      <c r="G8" s="211" t="s">
        <v>309</v>
      </c>
      <c r="H8" s="206"/>
      <c r="I8" s="206"/>
    </row>
    <row r="9" spans="1:9">
      <c r="A9" s="207" t="s">
        <v>255</v>
      </c>
      <c r="B9" s="207" t="s">
        <v>256</v>
      </c>
      <c r="C9" s="207"/>
      <c r="D9" s="207"/>
      <c r="E9" s="207"/>
      <c r="F9" s="207"/>
      <c r="G9" s="207" t="s">
        <v>310</v>
      </c>
      <c r="H9" s="207"/>
      <c r="I9" s="207"/>
    </row>
    <row r="10" spans="1:9">
      <c r="A10" s="207" t="s">
        <v>257</v>
      </c>
      <c r="B10" s="207" t="s">
        <v>256</v>
      </c>
      <c r="C10" s="207"/>
      <c r="D10" s="207"/>
      <c r="E10" s="207"/>
      <c r="F10" s="207"/>
      <c r="G10" s="207" t="s">
        <v>311</v>
      </c>
      <c r="H10" s="207"/>
      <c r="I10" s="207"/>
    </row>
    <row r="11" spans="1:9">
      <c r="A11" s="207" t="s">
        <v>258</v>
      </c>
      <c r="B11" s="207" t="s">
        <v>256</v>
      </c>
      <c r="C11" s="207"/>
      <c r="D11" s="207"/>
      <c r="E11" s="207"/>
      <c r="F11" s="207"/>
      <c r="G11" s="207" t="s">
        <v>312</v>
      </c>
      <c r="H11" s="207"/>
      <c r="I11" s="207"/>
    </row>
    <row r="12" spans="1:9">
      <c r="A12" s="207" t="s">
        <v>259</v>
      </c>
      <c r="B12" s="207" t="s">
        <v>260</v>
      </c>
      <c r="C12" s="207"/>
      <c r="D12" s="207"/>
      <c r="E12" s="207"/>
      <c r="F12" s="207"/>
      <c r="G12" s="207" t="s">
        <v>310</v>
      </c>
      <c r="H12" s="207"/>
      <c r="I12" s="207"/>
    </row>
    <row r="13" spans="1:9" ht="15" thickBot="1">
      <c r="A13" s="208" t="s">
        <v>261</v>
      </c>
      <c r="B13" s="208" t="s">
        <v>243</v>
      </c>
      <c r="C13" s="208"/>
      <c r="D13" s="208"/>
      <c r="E13" s="208"/>
      <c r="F13" s="208"/>
      <c r="G13" s="208" t="s">
        <v>262</v>
      </c>
      <c r="H13" s="208"/>
      <c r="I13" s="208"/>
    </row>
    <row r="14" spans="1:9" ht="15" thickBot="1">
      <c r="A14" s="204" t="s">
        <v>263</v>
      </c>
      <c r="B14" s="205" t="s">
        <v>264</v>
      </c>
      <c r="C14" s="205" t="s">
        <v>265</v>
      </c>
      <c r="D14" s="205" t="s">
        <v>266</v>
      </c>
      <c r="E14" s="205" t="s">
        <v>308</v>
      </c>
      <c r="F14" s="205" t="s">
        <v>267</v>
      </c>
      <c r="G14" s="205"/>
      <c r="H14" s="205"/>
      <c r="I14" s="205"/>
    </row>
    <row r="15" spans="1:9">
      <c r="A15" s="206" t="s">
        <v>268</v>
      </c>
      <c r="B15" s="206" t="s">
        <v>243</v>
      </c>
      <c r="C15" s="206"/>
      <c r="D15" s="206"/>
      <c r="E15" s="206"/>
      <c r="F15" s="206"/>
      <c r="G15" s="211" t="s">
        <v>313</v>
      </c>
      <c r="H15" s="206"/>
      <c r="I15" s="206"/>
    </row>
    <row r="16" spans="1:9">
      <c r="A16" s="207" t="s">
        <v>269</v>
      </c>
      <c r="B16" s="207">
        <v>400</v>
      </c>
      <c r="C16" s="207"/>
      <c r="D16" s="207"/>
      <c r="E16" s="207"/>
      <c r="F16" s="207"/>
      <c r="G16" s="207" t="s">
        <v>270</v>
      </c>
      <c r="H16" s="207"/>
      <c r="I16" s="207"/>
    </row>
    <row r="17" spans="1:9">
      <c r="A17" s="207" t="s">
        <v>271</v>
      </c>
      <c r="B17" s="207">
        <v>400</v>
      </c>
      <c r="C17" s="207"/>
      <c r="D17" s="207"/>
      <c r="E17" s="207"/>
      <c r="F17" s="207"/>
      <c r="G17" s="207" t="s">
        <v>272</v>
      </c>
      <c r="H17" s="207"/>
      <c r="I17" s="207"/>
    </row>
    <row r="18" spans="1:9">
      <c r="A18" s="207" t="s">
        <v>273</v>
      </c>
      <c r="B18" s="207">
        <v>400</v>
      </c>
      <c r="C18" s="207"/>
      <c r="D18" s="207"/>
      <c r="E18" s="207"/>
      <c r="F18" s="207"/>
      <c r="G18" s="207" t="s">
        <v>274</v>
      </c>
      <c r="H18" s="207"/>
      <c r="I18" s="207"/>
    </row>
    <row r="19" spans="1:9">
      <c r="A19" s="207" t="s">
        <v>275</v>
      </c>
      <c r="B19" s="207">
        <v>400</v>
      </c>
      <c r="C19" s="207"/>
      <c r="D19" s="207"/>
      <c r="E19" s="207"/>
      <c r="F19" s="207"/>
      <c r="G19" s="184" t="s">
        <v>276</v>
      </c>
      <c r="H19" s="207"/>
      <c r="I19" s="207"/>
    </row>
    <row r="20" spans="1:9">
      <c r="A20" s="207" t="s">
        <v>277</v>
      </c>
      <c r="B20" s="207">
        <v>400</v>
      </c>
      <c r="C20" s="207"/>
      <c r="D20" s="207"/>
      <c r="E20" s="207"/>
      <c r="F20" s="207"/>
      <c r="G20" s="207" t="s">
        <v>278</v>
      </c>
      <c r="H20" s="207"/>
      <c r="I20" s="207"/>
    </row>
    <row r="21" spans="1:9">
      <c r="A21" s="207" t="s">
        <v>279</v>
      </c>
      <c r="B21" s="207">
        <v>800</v>
      </c>
      <c r="C21" s="207"/>
      <c r="D21" s="207"/>
      <c r="E21" s="207"/>
      <c r="F21" s="207"/>
      <c r="G21" s="207" t="s">
        <v>280</v>
      </c>
      <c r="H21" s="207"/>
      <c r="I21" s="207"/>
    </row>
    <row r="22" spans="1:9" ht="15" thickBot="1">
      <c r="A22" s="208" t="s">
        <v>281</v>
      </c>
      <c r="B22" s="208" t="s">
        <v>243</v>
      </c>
      <c r="C22" s="208"/>
      <c r="D22" s="208"/>
      <c r="E22" s="208"/>
      <c r="F22" s="208"/>
      <c r="G22" s="208" t="s">
        <v>262</v>
      </c>
      <c r="H22" s="208"/>
      <c r="I22" s="208"/>
    </row>
    <row r="23" spans="1:9" ht="15" thickBot="1">
      <c r="A23" s="204" t="s">
        <v>282</v>
      </c>
      <c r="B23" s="205" t="s">
        <v>264</v>
      </c>
      <c r="C23" s="205" t="s">
        <v>265</v>
      </c>
      <c r="D23" s="205" t="s">
        <v>266</v>
      </c>
      <c r="E23" s="205" t="s">
        <v>308</v>
      </c>
      <c r="F23" s="205" t="s">
        <v>267</v>
      </c>
      <c r="G23" s="205"/>
      <c r="H23" s="205"/>
      <c r="I23" s="205"/>
    </row>
    <row r="24" spans="1:9">
      <c r="A24" s="206" t="s">
        <v>283</v>
      </c>
      <c r="B24" s="206" t="s">
        <v>243</v>
      </c>
      <c r="C24" s="206"/>
      <c r="D24" s="206"/>
      <c r="E24" s="206"/>
      <c r="F24" s="206"/>
      <c r="G24" s="184" t="s">
        <v>244</v>
      </c>
      <c r="H24" s="206"/>
      <c r="I24" s="206"/>
    </row>
    <row r="25" spans="1:9">
      <c r="A25" s="207" t="s">
        <v>284</v>
      </c>
      <c r="B25" s="207">
        <v>400</v>
      </c>
      <c r="C25" s="207" t="s">
        <v>285</v>
      </c>
      <c r="D25" s="207"/>
      <c r="E25" s="207"/>
      <c r="F25" s="207"/>
      <c r="G25" s="207" t="s">
        <v>131</v>
      </c>
      <c r="H25" s="207"/>
      <c r="I25" s="207"/>
    </row>
    <row r="26" spans="1:9">
      <c r="A26" s="207" t="s">
        <v>286</v>
      </c>
      <c r="B26" s="207">
        <v>400</v>
      </c>
      <c r="C26" s="207" t="s">
        <v>285</v>
      </c>
      <c r="D26" s="207"/>
      <c r="E26" s="207"/>
      <c r="F26" s="207"/>
      <c r="G26" s="207" t="s">
        <v>314</v>
      </c>
      <c r="H26" s="207"/>
      <c r="I26" s="207"/>
    </row>
    <row r="27" spans="1:9">
      <c r="A27" s="207" t="s">
        <v>287</v>
      </c>
      <c r="B27" s="207">
        <v>400</v>
      </c>
      <c r="C27" s="207"/>
      <c r="D27" s="207"/>
      <c r="E27" s="207"/>
      <c r="F27" s="207"/>
      <c r="G27" s="207" t="s">
        <v>315</v>
      </c>
      <c r="H27" s="207"/>
      <c r="I27" s="207"/>
    </row>
    <row r="28" spans="1:9">
      <c r="A28" s="207" t="s">
        <v>288</v>
      </c>
      <c r="B28" s="207">
        <v>1000</v>
      </c>
      <c r="C28" s="207"/>
      <c r="D28" s="207"/>
      <c r="E28" s="207"/>
      <c r="F28" s="207"/>
      <c r="G28" s="207" t="s">
        <v>288</v>
      </c>
      <c r="H28" s="207"/>
      <c r="I28" s="207"/>
    </row>
    <row r="29" spans="1:9" ht="15" thickBot="1">
      <c r="A29" s="438" t="s">
        <v>382</v>
      </c>
      <c r="B29" s="208">
        <v>1000</v>
      </c>
      <c r="C29" s="208"/>
      <c r="D29" s="208"/>
      <c r="E29" s="208"/>
      <c r="F29" s="208"/>
      <c r="G29" s="208"/>
      <c r="H29" s="208"/>
      <c r="I29" s="208"/>
    </row>
    <row r="30" spans="1:9" ht="15" thickBot="1">
      <c r="A30" s="204" t="s">
        <v>290</v>
      </c>
      <c r="B30" s="205" t="s">
        <v>264</v>
      </c>
      <c r="C30" s="205" t="s">
        <v>265</v>
      </c>
      <c r="D30" s="205" t="s">
        <v>266</v>
      </c>
      <c r="E30" s="205" t="s">
        <v>308</v>
      </c>
      <c r="F30" s="205" t="s">
        <v>267</v>
      </c>
      <c r="G30" s="205"/>
      <c r="H30" s="205"/>
      <c r="I30" s="205"/>
    </row>
    <row r="31" spans="1:9">
      <c r="A31" s="206" t="s">
        <v>28</v>
      </c>
      <c r="B31" s="206" t="s">
        <v>243</v>
      </c>
      <c r="C31" s="206"/>
      <c r="D31" s="206"/>
      <c r="E31" s="206"/>
      <c r="F31" s="206"/>
      <c r="G31" s="184" t="s">
        <v>244</v>
      </c>
      <c r="H31" s="206"/>
      <c r="I31" s="206"/>
    </row>
    <row r="32" spans="1:9">
      <c r="A32" s="207" t="s">
        <v>291</v>
      </c>
      <c r="B32" s="207">
        <v>1000</v>
      </c>
      <c r="C32" s="207"/>
      <c r="D32" s="207"/>
      <c r="E32" s="207"/>
      <c r="F32" s="207"/>
      <c r="G32" s="207" t="s">
        <v>292</v>
      </c>
      <c r="H32" s="207"/>
      <c r="I32" s="207"/>
    </row>
    <row r="33" spans="1:9">
      <c r="A33" s="207" t="s">
        <v>293</v>
      </c>
      <c r="B33" s="207">
        <v>630</v>
      </c>
      <c r="C33" s="207"/>
      <c r="D33" s="207"/>
      <c r="E33" s="207"/>
      <c r="F33" s="207"/>
      <c r="G33" s="207" t="s">
        <v>294</v>
      </c>
      <c r="H33" s="207"/>
      <c r="I33" s="207"/>
    </row>
    <row r="34" spans="1:9">
      <c r="A34" s="207" t="s">
        <v>295</v>
      </c>
      <c r="B34" s="207">
        <v>630</v>
      </c>
      <c r="C34" s="207"/>
      <c r="D34" s="207"/>
      <c r="E34" s="207"/>
      <c r="F34" s="207"/>
      <c r="G34" s="207" t="s">
        <v>296</v>
      </c>
      <c r="H34" s="207"/>
      <c r="I34" s="207"/>
    </row>
    <row r="35" spans="1:9">
      <c r="A35" s="207" t="s">
        <v>297</v>
      </c>
      <c r="B35" s="207">
        <v>630</v>
      </c>
      <c r="C35" s="207"/>
      <c r="D35" s="207"/>
      <c r="E35" s="207"/>
      <c r="F35" s="207"/>
      <c r="G35" s="207" t="s">
        <v>298</v>
      </c>
      <c r="H35" s="207"/>
      <c r="I35" s="207"/>
    </row>
    <row r="36" spans="1:9">
      <c r="A36" s="207" t="s">
        <v>299</v>
      </c>
      <c r="B36" s="207">
        <v>400</v>
      </c>
      <c r="C36" s="207"/>
      <c r="D36" s="207"/>
      <c r="E36" s="207"/>
      <c r="F36" s="207"/>
      <c r="G36" s="207" t="s">
        <v>274</v>
      </c>
      <c r="H36" s="207"/>
      <c r="I36" s="207"/>
    </row>
    <row r="37" spans="1:9">
      <c r="A37" s="208" t="s">
        <v>289</v>
      </c>
      <c r="B37" s="208">
        <v>1000</v>
      </c>
      <c r="C37" s="208"/>
      <c r="D37" s="208"/>
      <c r="E37" s="208"/>
      <c r="F37" s="208"/>
      <c r="G37" s="208" t="s">
        <v>289</v>
      </c>
      <c r="H37" s="208"/>
      <c r="I37" s="208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"/>
  <sheetViews>
    <sheetView workbookViewId="0"/>
  </sheetViews>
  <sheetFormatPr defaultRowHeight="14.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topLeftCell="A7" workbookViewId="0"/>
  </sheetViews>
  <sheetFormatPr defaultRowHeight="14.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Swimming Pool quality check </vt:lpstr>
      <vt:lpstr>MDB</vt:lpstr>
      <vt:lpstr>Sheet2</vt:lpstr>
      <vt:lpstr>Sheet6</vt:lpstr>
      <vt:lpstr>Sheet7</vt:lpstr>
      <vt:lpstr>WATER!Print_Area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Ronald Diab</cp:lastModifiedBy>
  <cp:lastPrinted>2019-02-18T07:30:23Z</cp:lastPrinted>
  <dcterms:created xsi:type="dcterms:W3CDTF">2015-01-02T09:20:21Z</dcterms:created>
  <dcterms:modified xsi:type="dcterms:W3CDTF">2019-10-17T05:57:02Z</dcterms:modified>
</cp:coreProperties>
</file>