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S22" i="4"/>
  <c r="S21" i="4"/>
  <c r="Q33" i="1"/>
  <c r="T32" i="4"/>
  <c r="Q17" i="1"/>
  <c r="T15" i="4"/>
  <c r="Q18" i="1"/>
  <c r="Q32" i="1"/>
  <c r="T31" i="4"/>
  <c r="Q31" i="1"/>
  <c r="Q30" i="1"/>
  <c r="T29" i="4"/>
  <c r="Q29" i="1"/>
  <c r="T28" i="4"/>
  <c r="Q28" i="1"/>
  <c r="T27" i="4"/>
  <c r="Q27" i="1"/>
  <c r="T26" i="4"/>
  <c r="Q14" i="1"/>
  <c r="T13" i="4"/>
  <c r="Q26" i="1"/>
  <c r="T25" i="4"/>
  <c r="Q25" i="1"/>
  <c r="Q24" i="1"/>
  <c r="Q23" i="1"/>
  <c r="T22" i="4"/>
  <c r="Q22" i="1"/>
  <c r="T21" i="4"/>
  <c r="Q21" i="1"/>
  <c r="T20" i="4"/>
  <c r="Q20" i="1"/>
  <c r="T19" i="4"/>
  <c r="T17" i="4"/>
  <c r="Q16" i="1"/>
  <c r="Q15" i="1"/>
  <c r="Q13" i="1"/>
  <c r="Q12" i="1"/>
  <c r="T11" i="4"/>
  <c r="Q11" i="1"/>
  <c r="Q10" i="1"/>
  <c r="Q9" i="1"/>
  <c r="T8" i="4"/>
  <c r="Q8" i="1"/>
  <c r="T7" i="4"/>
  <c r="Q7" i="1"/>
  <c r="T6" i="4"/>
  <c r="Q6" i="1"/>
  <c r="T5" i="4"/>
  <c r="Q5" i="1"/>
  <c r="T4" i="4"/>
  <c r="Q4" i="1"/>
  <c r="Q3" i="1"/>
  <c r="O32" i="4"/>
  <c r="P32" i="4"/>
  <c r="Q32" i="4"/>
  <c r="R32" i="4"/>
  <c r="S32" i="4"/>
  <c r="U32" i="4"/>
  <c r="V32" i="4"/>
  <c r="W32" i="4"/>
  <c r="X32" i="4"/>
  <c r="Y32" i="4"/>
  <c r="Z32" i="4"/>
  <c r="AA32" i="4"/>
  <c r="AB32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O4" i="4"/>
  <c r="P4" i="4"/>
  <c r="Q4" i="4"/>
  <c r="R4" i="4"/>
  <c r="S4" i="4"/>
  <c r="U4" i="4"/>
  <c r="V4" i="4"/>
  <c r="W4" i="4"/>
  <c r="X4" i="4"/>
  <c r="Y4" i="4"/>
  <c r="Z4" i="4"/>
  <c r="AA4" i="4"/>
  <c r="AB4" i="4"/>
  <c r="O5" i="4"/>
  <c r="P5" i="4"/>
  <c r="Q5" i="4"/>
  <c r="R5" i="4"/>
  <c r="S5" i="4"/>
  <c r="U5" i="4"/>
  <c r="V5" i="4"/>
  <c r="W5" i="4"/>
  <c r="X5" i="4"/>
  <c r="Y5" i="4"/>
  <c r="Z5" i="4"/>
  <c r="AA5" i="4"/>
  <c r="AB5" i="4"/>
  <c r="O6" i="4"/>
  <c r="P6" i="4"/>
  <c r="Q6" i="4"/>
  <c r="R6" i="4"/>
  <c r="S6" i="4"/>
  <c r="U6" i="4"/>
  <c r="V6" i="4"/>
  <c r="W6" i="4"/>
  <c r="X6" i="4"/>
  <c r="Y6" i="4"/>
  <c r="Z6" i="4"/>
  <c r="AA6" i="4"/>
  <c r="AB6" i="4"/>
  <c r="O7" i="4"/>
  <c r="P7" i="4"/>
  <c r="Q7" i="4"/>
  <c r="R7" i="4"/>
  <c r="S7" i="4"/>
  <c r="U7" i="4"/>
  <c r="V7" i="4"/>
  <c r="W7" i="4"/>
  <c r="X7" i="4"/>
  <c r="Y7" i="4"/>
  <c r="Z7" i="4"/>
  <c r="AA7" i="4"/>
  <c r="AB7" i="4"/>
  <c r="O8" i="4"/>
  <c r="P8" i="4"/>
  <c r="Q8" i="4"/>
  <c r="R8" i="4"/>
  <c r="S8" i="4"/>
  <c r="U8" i="4"/>
  <c r="V8" i="4"/>
  <c r="W8" i="4"/>
  <c r="X8" i="4"/>
  <c r="Y8" i="4"/>
  <c r="Z8" i="4"/>
  <c r="AA8" i="4"/>
  <c r="AB8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O11" i="4"/>
  <c r="P11" i="4"/>
  <c r="Q11" i="4"/>
  <c r="R11" i="4"/>
  <c r="S11" i="4"/>
  <c r="U11" i="4"/>
  <c r="V11" i="4"/>
  <c r="W11" i="4"/>
  <c r="X11" i="4"/>
  <c r="Y11" i="4"/>
  <c r="Z11" i="4"/>
  <c r="AA11" i="4"/>
  <c r="AB11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O13" i="4"/>
  <c r="P13" i="4"/>
  <c r="Q13" i="4"/>
  <c r="R13" i="4"/>
  <c r="S13" i="4"/>
  <c r="U13" i="4"/>
  <c r="V13" i="4"/>
  <c r="W13" i="4"/>
  <c r="X13" i="4"/>
  <c r="Y13" i="4"/>
  <c r="Z13" i="4"/>
  <c r="AA13" i="4"/>
  <c r="AB13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O15" i="4"/>
  <c r="P15" i="4"/>
  <c r="Q15" i="4"/>
  <c r="R15" i="4"/>
  <c r="S15" i="4"/>
  <c r="U15" i="4"/>
  <c r="V15" i="4"/>
  <c r="W15" i="4"/>
  <c r="X15" i="4"/>
  <c r="Y15" i="4"/>
  <c r="Z15" i="4"/>
  <c r="AA15" i="4"/>
  <c r="AB15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O17" i="4"/>
  <c r="P17" i="4"/>
  <c r="Q17" i="4"/>
  <c r="R17" i="4"/>
  <c r="S17" i="4"/>
  <c r="U17" i="4"/>
  <c r="V17" i="4"/>
  <c r="W17" i="4"/>
  <c r="X17" i="4"/>
  <c r="Y17" i="4"/>
  <c r="Z17" i="4"/>
  <c r="AA17" i="4"/>
  <c r="AB17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O19" i="4"/>
  <c r="P19" i="4"/>
  <c r="Q19" i="4"/>
  <c r="R19" i="4"/>
  <c r="S19" i="4"/>
  <c r="U19" i="4"/>
  <c r="V19" i="4"/>
  <c r="W19" i="4"/>
  <c r="X19" i="4"/>
  <c r="Y19" i="4"/>
  <c r="Z19" i="4"/>
  <c r="AA19" i="4"/>
  <c r="AB19" i="4"/>
  <c r="O20" i="4"/>
  <c r="P20" i="4"/>
  <c r="Q20" i="4"/>
  <c r="R20" i="4"/>
  <c r="S20" i="4"/>
  <c r="U20" i="4"/>
  <c r="V20" i="4"/>
  <c r="W20" i="4"/>
  <c r="X20" i="4"/>
  <c r="Y20" i="4"/>
  <c r="Z20" i="4"/>
  <c r="AA20" i="4"/>
  <c r="AB20" i="4"/>
  <c r="O21" i="4"/>
  <c r="P21" i="4"/>
  <c r="Q21" i="4"/>
  <c r="R21" i="4"/>
  <c r="U21" i="4"/>
  <c r="V21" i="4"/>
  <c r="W21" i="4"/>
  <c r="X21" i="4"/>
  <c r="Y21" i="4"/>
  <c r="Z21" i="4"/>
  <c r="AA21" i="4"/>
  <c r="AB21" i="4"/>
  <c r="O22" i="4"/>
  <c r="P22" i="4"/>
  <c r="Q22" i="4"/>
  <c r="R22" i="4"/>
  <c r="U22" i="4"/>
  <c r="V22" i="4"/>
  <c r="W22" i="4"/>
  <c r="X22" i="4"/>
  <c r="Y22" i="4"/>
  <c r="Z22" i="4"/>
  <c r="AA22" i="4"/>
  <c r="AB22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O25" i="4"/>
  <c r="P25" i="4"/>
  <c r="Q25" i="4"/>
  <c r="R25" i="4"/>
  <c r="S25" i="4"/>
  <c r="U25" i="4"/>
  <c r="V25" i="4"/>
  <c r="W25" i="4"/>
  <c r="X25" i="4"/>
  <c r="Y25" i="4"/>
  <c r="Z25" i="4"/>
  <c r="AA25" i="4"/>
  <c r="AB25" i="4"/>
  <c r="O26" i="4"/>
  <c r="P26" i="4"/>
  <c r="Q26" i="4"/>
  <c r="R26" i="4"/>
  <c r="S26" i="4"/>
  <c r="U26" i="4"/>
  <c r="V26" i="4"/>
  <c r="W26" i="4"/>
  <c r="X26" i="4"/>
  <c r="Y26" i="4"/>
  <c r="Z26" i="4"/>
  <c r="AA26" i="4"/>
  <c r="AB26" i="4"/>
  <c r="O27" i="4"/>
  <c r="P27" i="4"/>
  <c r="Q27" i="4"/>
  <c r="R27" i="4"/>
  <c r="S27" i="4"/>
  <c r="U27" i="4"/>
  <c r="V27" i="4"/>
  <c r="W27" i="4"/>
  <c r="X27" i="4"/>
  <c r="Y27" i="4"/>
  <c r="Z27" i="4"/>
  <c r="AA27" i="4"/>
  <c r="AB27" i="4"/>
  <c r="O28" i="4"/>
  <c r="P28" i="4"/>
  <c r="Q28" i="4"/>
  <c r="R28" i="4"/>
  <c r="S28" i="4"/>
  <c r="U28" i="4"/>
  <c r="V28" i="4"/>
  <c r="W28" i="4"/>
  <c r="X28" i="4"/>
  <c r="Y28" i="4"/>
  <c r="Z28" i="4"/>
  <c r="AA28" i="4"/>
  <c r="AB28" i="4"/>
  <c r="O29" i="4"/>
  <c r="P29" i="4"/>
  <c r="Q29" i="4"/>
  <c r="R29" i="4"/>
  <c r="S29" i="4"/>
  <c r="U29" i="4"/>
  <c r="V29" i="4"/>
  <c r="W29" i="4"/>
  <c r="X29" i="4"/>
  <c r="Y29" i="4"/>
  <c r="Z29" i="4"/>
  <c r="AA29" i="4"/>
  <c r="AB29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O31" i="4"/>
  <c r="P31" i="4"/>
  <c r="Q31" i="4"/>
  <c r="R31" i="4"/>
  <c r="S31" i="4"/>
  <c r="U31" i="4"/>
  <c r="V31" i="4"/>
  <c r="W31" i="4"/>
  <c r="X31" i="4"/>
  <c r="Y31" i="4"/>
  <c r="Z31" i="4"/>
  <c r="AA31" i="4"/>
  <c r="AB31" i="4"/>
  <c r="Z2" i="4"/>
  <c r="AA2" i="4"/>
  <c r="AB2" i="4"/>
  <c r="V2" i="4"/>
  <c r="W2" i="4"/>
  <c r="X2" i="4"/>
  <c r="Y2" i="4"/>
  <c r="U2" i="4"/>
  <c r="P2" i="4"/>
  <c r="Q2" i="4"/>
  <c r="R2" i="4"/>
  <c r="S2" i="4"/>
  <c r="T2" i="4"/>
  <c r="O2" i="4"/>
  <c r="F3" i="4"/>
  <c r="G3" i="4"/>
  <c r="H3" i="4"/>
  <c r="I3" i="4"/>
  <c r="J3" i="4"/>
  <c r="K3" i="4"/>
  <c r="L3" i="4"/>
  <c r="M3" i="4"/>
  <c r="N3" i="4"/>
  <c r="F4" i="4"/>
  <c r="G4" i="4"/>
  <c r="H4" i="4"/>
  <c r="I4" i="4"/>
  <c r="J4" i="4"/>
  <c r="K4" i="4"/>
  <c r="L4" i="4"/>
  <c r="M4" i="4"/>
  <c r="N4" i="4"/>
  <c r="F5" i="4"/>
  <c r="G5" i="4"/>
  <c r="H5" i="4"/>
  <c r="I5" i="4"/>
  <c r="J5" i="4"/>
  <c r="K5" i="4"/>
  <c r="L5" i="4"/>
  <c r="M5" i="4"/>
  <c r="N5" i="4"/>
  <c r="F6" i="4"/>
  <c r="G6" i="4"/>
  <c r="H6" i="4"/>
  <c r="I6" i="4"/>
  <c r="J6" i="4"/>
  <c r="K6" i="4"/>
  <c r="L6" i="4"/>
  <c r="M6" i="4"/>
  <c r="N6" i="4"/>
  <c r="F7" i="4"/>
  <c r="G7" i="4"/>
  <c r="H7" i="4"/>
  <c r="I7" i="4"/>
  <c r="J7" i="4"/>
  <c r="K7" i="4"/>
  <c r="L7" i="4"/>
  <c r="M7" i="4"/>
  <c r="N7" i="4"/>
  <c r="F8" i="4"/>
  <c r="G8" i="4"/>
  <c r="H8" i="4"/>
  <c r="I8" i="4"/>
  <c r="J8" i="4"/>
  <c r="K8" i="4"/>
  <c r="L8" i="4"/>
  <c r="M8" i="4"/>
  <c r="N8" i="4"/>
  <c r="F9" i="4"/>
  <c r="G9" i="4"/>
  <c r="H9" i="4"/>
  <c r="I9" i="4"/>
  <c r="J9" i="4"/>
  <c r="K9" i="4"/>
  <c r="L9" i="4"/>
  <c r="M9" i="4"/>
  <c r="N9" i="4"/>
  <c r="F10" i="4"/>
  <c r="G10" i="4"/>
  <c r="H10" i="4"/>
  <c r="I10" i="4"/>
  <c r="J10" i="4"/>
  <c r="K10" i="4"/>
  <c r="L10" i="4"/>
  <c r="M10" i="4"/>
  <c r="N10" i="4"/>
  <c r="F11" i="4"/>
  <c r="G11" i="4"/>
  <c r="H11" i="4"/>
  <c r="I11" i="4"/>
  <c r="J11" i="4"/>
  <c r="K11" i="4"/>
  <c r="L11" i="4"/>
  <c r="M11" i="4"/>
  <c r="N11" i="4"/>
  <c r="F12" i="4"/>
  <c r="G12" i="4"/>
  <c r="H12" i="4"/>
  <c r="I12" i="4"/>
  <c r="J12" i="4"/>
  <c r="K12" i="4"/>
  <c r="L12" i="4"/>
  <c r="M12" i="4"/>
  <c r="N12" i="4"/>
  <c r="F13" i="4"/>
  <c r="G13" i="4"/>
  <c r="H13" i="4"/>
  <c r="I13" i="4"/>
  <c r="J13" i="4"/>
  <c r="K13" i="4"/>
  <c r="L13" i="4"/>
  <c r="M13" i="4"/>
  <c r="N13" i="4"/>
  <c r="F14" i="4"/>
  <c r="G14" i="4"/>
  <c r="H14" i="4"/>
  <c r="I14" i="4"/>
  <c r="J14" i="4"/>
  <c r="K14" i="4"/>
  <c r="L14" i="4"/>
  <c r="M14" i="4"/>
  <c r="N14" i="4"/>
  <c r="F15" i="4"/>
  <c r="G15" i="4"/>
  <c r="H15" i="4"/>
  <c r="I15" i="4"/>
  <c r="J15" i="4"/>
  <c r="K15" i="4"/>
  <c r="L15" i="4"/>
  <c r="M15" i="4"/>
  <c r="N15" i="4"/>
  <c r="F16" i="4"/>
  <c r="G16" i="4"/>
  <c r="H16" i="4"/>
  <c r="I16" i="4"/>
  <c r="J16" i="4"/>
  <c r="K16" i="4"/>
  <c r="L16" i="4"/>
  <c r="M16" i="4"/>
  <c r="N16" i="4"/>
  <c r="F17" i="4"/>
  <c r="G17" i="4"/>
  <c r="H17" i="4"/>
  <c r="I17" i="4"/>
  <c r="J17" i="4"/>
  <c r="K17" i="4"/>
  <c r="L17" i="4"/>
  <c r="M17" i="4"/>
  <c r="N17" i="4"/>
  <c r="F18" i="4"/>
  <c r="G18" i="4"/>
  <c r="H18" i="4"/>
  <c r="I18" i="4"/>
  <c r="J18" i="4"/>
  <c r="K18" i="4"/>
  <c r="L18" i="4"/>
  <c r="M18" i="4"/>
  <c r="N18" i="4"/>
  <c r="F19" i="4"/>
  <c r="G19" i="4"/>
  <c r="H19" i="4"/>
  <c r="I19" i="4"/>
  <c r="J19" i="4"/>
  <c r="K19" i="4"/>
  <c r="L19" i="4"/>
  <c r="M19" i="4"/>
  <c r="N19" i="4"/>
  <c r="F20" i="4"/>
  <c r="G20" i="4"/>
  <c r="H20" i="4"/>
  <c r="I20" i="4"/>
  <c r="J20" i="4"/>
  <c r="K20" i="4"/>
  <c r="L20" i="4"/>
  <c r="M20" i="4"/>
  <c r="N20" i="4"/>
  <c r="F21" i="4"/>
  <c r="G21" i="4"/>
  <c r="H21" i="4"/>
  <c r="I21" i="4"/>
  <c r="J21" i="4"/>
  <c r="K21" i="4"/>
  <c r="L21" i="4"/>
  <c r="M21" i="4"/>
  <c r="N21" i="4"/>
  <c r="F22" i="4"/>
  <c r="G22" i="4"/>
  <c r="H22" i="4"/>
  <c r="I22" i="4"/>
  <c r="J22" i="4"/>
  <c r="K22" i="4"/>
  <c r="L22" i="4"/>
  <c r="M22" i="4"/>
  <c r="N22" i="4"/>
  <c r="F23" i="4"/>
  <c r="G23" i="4"/>
  <c r="H23" i="4"/>
  <c r="I23" i="4"/>
  <c r="J23" i="4"/>
  <c r="K23" i="4"/>
  <c r="L23" i="4"/>
  <c r="M23" i="4"/>
  <c r="N23" i="4"/>
  <c r="F24" i="4"/>
  <c r="G24" i="4"/>
  <c r="H24" i="4"/>
  <c r="I24" i="4"/>
  <c r="J24" i="4"/>
  <c r="K24" i="4"/>
  <c r="L24" i="4"/>
  <c r="M24" i="4"/>
  <c r="N24" i="4"/>
  <c r="F25" i="4"/>
  <c r="G25" i="4"/>
  <c r="H25" i="4"/>
  <c r="I25" i="4"/>
  <c r="J25" i="4"/>
  <c r="K25" i="4"/>
  <c r="L25" i="4"/>
  <c r="M25" i="4"/>
  <c r="N25" i="4"/>
  <c r="F26" i="4"/>
  <c r="G26" i="4"/>
  <c r="H26" i="4"/>
  <c r="I26" i="4"/>
  <c r="J26" i="4"/>
  <c r="K26" i="4"/>
  <c r="L26" i="4"/>
  <c r="M26" i="4"/>
  <c r="N26" i="4"/>
  <c r="F27" i="4"/>
  <c r="G27" i="4"/>
  <c r="H27" i="4"/>
  <c r="I27" i="4"/>
  <c r="J27" i="4"/>
  <c r="K27" i="4"/>
  <c r="L27" i="4"/>
  <c r="M27" i="4"/>
  <c r="N27" i="4"/>
  <c r="F28" i="4"/>
  <c r="G28" i="4"/>
  <c r="H28" i="4"/>
  <c r="I28" i="4"/>
  <c r="J28" i="4"/>
  <c r="K28" i="4"/>
  <c r="L28" i="4"/>
  <c r="M28" i="4"/>
  <c r="N28" i="4"/>
  <c r="F29" i="4"/>
  <c r="G29" i="4"/>
  <c r="H29" i="4"/>
  <c r="I29" i="4"/>
  <c r="J29" i="4"/>
  <c r="K29" i="4"/>
  <c r="L29" i="4"/>
  <c r="M29" i="4"/>
  <c r="N29" i="4"/>
  <c r="F30" i="4"/>
  <c r="G30" i="4"/>
  <c r="H30" i="4"/>
  <c r="I30" i="4"/>
  <c r="J30" i="4"/>
  <c r="K30" i="4"/>
  <c r="L30" i="4"/>
  <c r="M30" i="4"/>
  <c r="N30" i="4"/>
  <c r="F31" i="4"/>
  <c r="G31" i="4"/>
  <c r="H31" i="4"/>
  <c r="I31" i="4"/>
  <c r="J31" i="4"/>
  <c r="K31" i="4"/>
  <c r="L31" i="4"/>
  <c r="M31" i="4"/>
  <c r="N31" i="4"/>
  <c r="F32" i="4"/>
  <c r="G32" i="4"/>
  <c r="H32" i="4"/>
  <c r="I32" i="4"/>
  <c r="J32" i="4"/>
  <c r="K32" i="4"/>
  <c r="L32" i="4"/>
  <c r="M32" i="4"/>
  <c r="N32" i="4"/>
  <c r="G2" i="4"/>
  <c r="H2" i="4"/>
  <c r="I2" i="4"/>
  <c r="J2" i="4"/>
  <c r="K2" i="4"/>
  <c r="L2" i="4"/>
  <c r="M2" i="4"/>
  <c r="N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2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4"/>
  <c r="B4" i="4"/>
  <c r="J3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F3" i="3"/>
  <c r="F4" i="3"/>
  <c r="F5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</calcChain>
</file>

<file path=xl/sharedStrings.xml><?xml version="1.0" encoding="utf-8"?>
<sst xmlns="http://schemas.openxmlformats.org/spreadsheetml/2006/main" count="128" uniqueCount="61">
  <si>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</si>
  <si>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</si>
  <si>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</si>
  <si>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</si>
  <si>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</si>
  <si>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</si>
  <si>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</si>
  <si>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</si>
  <si>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</si>
  <si>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</si>
  <si>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</si>
  <si>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</si>
  <si>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</si>
  <si>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</si>
  <si>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</si>
  <si>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</si>
  <si>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</si>
  <si>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</si>
  <si>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</si>
  <si>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</si>
  <si>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</si>
  <si>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</si>
  <si>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</si>
  <si>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</si>
  <si>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</si>
  <si>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</si>
  <si>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</si>
  <si>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</si>
  <si>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</si>
  <si>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</si>
  <si>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</si>
  <si>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</si>
  <si>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</si>
  <si>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</si>
  <si>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</si>
  <si>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</si>
  <si>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</si>
  <si>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</si>
  <si>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</si>
  <si>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</si>
  <si>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</si>
  <si>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</si>
  <si>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</si>
  <si>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</si>
  <si>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</si>
  <si>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</si>
  <si>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</si>
  <si>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</si>
  <si>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</si>
  <si>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</si>
  <si>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</si>
  <si>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</si>
  <si>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</si>
  <si>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</si>
  <si>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</si>
  <si>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</si>
  <si>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</si>
  <si>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</si>
  <si>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</si>
  <si>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</si>
  <si>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 xml:space="preserve">Room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</si>
</sst>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_ * #,##0.00_ ;_ * \-#,##0.00_ ;_ * &quot;-&quot;??_ ;_ @_ "/>
    <numFmt numFmtId="183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4" fillId="2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3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4" fillId="0" borderId="1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J7" sqref="J7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5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3" t="s">
        <v>58</v>
      </c>
      <c r="L1" s="6" t="s">
        <v>59</v>
      </c>
      <c r="M1" s="46" t="s">
        <v>60</v>
      </c>
    </row>
    <row r="2" spans="1:13" s="13" customFormat="1" x14ac:dyDescent="0.25">
      <c r="A2" s="1" t="s">
        <v>32</v>
      </c>
      <c r="B2" s="10">
        <v>1</v>
      </c>
      <c r="C2" s="11">
        <v>10</v>
      </c>
      <c r="D2" s="1">
        <v>2018</v>
      </c>
      <c r="E2" s="12">
        <f>834930/31</f>
        <v>26933.225806451614</v>
      </c>
      <c r="F2" s="11">
        <v>6.06</v>
      </c>
      <c r="G2" s="12">
        <f>15124/31</f>
        <v>487.87096774193549</v>
      </c>
      <c r="H2" s="11">
        <v>18.899999999999999</v>
      </c>
      <c r="I2" s="12">
        <f>27338/31</f>
        <v>881.87096774193549</v>
      </c>
      <c r="J2" s="11">
        <v>5.0059259042491</v>
      </c>
      <c r="K2" s="34">
        <v>0</v>
      </c>
      <c r="L2" s="11">
        <v>5.47</v>
      </c>
      <c r="M2" s="34">
        <v>0</v>
      </c>
    </row>
    <row r="3" spans="1:13" s="15" customFormat="1" x14ac:dyDescent="0.25">
      <c r="A3" s="1" t="s">
        <v>32</v>
      </c>
      <c r="B3" s="14">
        <f>B2+1</f>
        <v>2</v>
      </c>
      <c r="C3" s="11">
        <v>10</v>
      </c>
      <c r="D3" s="1">
        <v>2018</v>
      </c>
      <c r="E3" s="12">
        <f t="shared" ref="E3:E32" si="0">834930/31</f>
        <v>26933.225806451614</v>
      </c>
      <c r="F3" s="11">
        <f>F2</f>
        <v>6.06</v>
      </c>
      <c r="G3" s="12">
        <f t="shared" ref="G3:G32" si="1">15124/31</f>
        <v>487.87096774193549</v>
      </c>
      <c r="H3" s="11">
        <f>H2</f>
        <v>18.899999999999999</v>
      </c>
      <c r="I3" s="12">
        <f t="shared" ref="I3:I32" si="2">27338/31</f>
        <v>881.87096774193549</v>
      </c>
      <c r="J3" s="11">
        <f>J2</f>
        <v>5.0059259042491</v>
      </c>
      <c r="K3" s="34">
        <v>0</v>
      </c>
      <c r="L3" s="11">
        <v>5.47</v>
      </c>
      <c r="M3" s="34">
        <v>0</v>
      </c>
    </row>
    <row r="4" spans="1:13" s="15" customFormat="1" x14ac:dyDescent="0.25">
      <c r="A4" s="1" t="s">
        <v>32</v>
      </c>
      <c r="B4" s="14">
        <f t="shared" ref="B4:B32" si="3">B3+1</f>
        <v>3</v>
      </c>
      <c r="C4" s="11">
        <v>10</v>
      </c>
      <c r="D4" s="1">
        <v>2018</v>
      </c>
      <c r="E4" s="12">
        <f t="shared" si="0"/>
        <v>26933.225806451614</v>
      </c>
      <c r="F4" s="11">
        <f t="shared" ref="F4:F32" si="4">F3</f>
        <v>6.06</v>
      </c>
      <c r="G4" s="12">
        <f t="shared" si="1"/>
        <v>487.87096774193549</v>
      </c>
      <c r="H4" s="11">
        <f t="shared" ref="H4:H32" si="5">H3</f>
        <v>18.899999999999999</v>
      </c>
      <c r="I4" s="12">
        <f t="shared" si="2"/>
        <v>881.87096774193549</v>
      </c>
      <c r="J4" s="11">
        <f t="shared" ref="J4:J32" si="6">J3</f>
        <v>5.0059259042491</v>
      </c>
      <c r="K4" s="34">
        <v>0</v>
      </c>
      <c r="L4" s="11">
        <v>5.47</v>
      </c>
      <c r="M4" s="34">
        <v>0</v>
      </c>
    </row>
    <row r="5" spans="1:13" s="15" customFormat="1" x14ac:dyDescent="0.25">
      <c r="A5" s="1" t="s">
        <v>32</v>
      </c>
      <c r="B5" s="14">
        <f t="shared" si="3"/>
        <v>4</v>
      </c>
      <c r="C5" s="11">
        <v>10</v>
      </c>
      <c r="D5" s="1">
        <v>2018</v>
      </c>
      <c r="E5" s="12">
        <f t="shared" si="0"/>
        <v>26933.225806451614</v>
      </c>
      <c r="F5" s="11">
        <f t="shared" si="4"/>
        <v>6.06</v>
      </c>
      <c r="G5" s="12">
        <f t="shared" si="1"/>
        <v>487.87096774193549</v>
      </c>
      <c r="H5" s="11">
        <f t="shared" si="5"/>
        <v>18.899999999999999</v>
      </c>
      <c r="I5" s="12">
        <f t="shared" si="2"/>
        <v>881.87096774193549</v>
      </c>
      <c r="J5" s="11">
        <f t="shared" si="6"/>
        <v>5.0059259042491</v>
      </c>
      <c r="K5" s="34">
        <v>0</v>
      </c>
      <c r="L5" s="11">
        <v>5.47</v>
      </c>
      <c r="M5" s="34">
        <v>0</v>
      </c>
    </row>
    <row r="6" spans="1:13" s="15" customFormat="1" x14ac:dyDescent="0.25">
      <c r="A6" s="1" t="s">
        <v>32</v>
      </c>
      <c r="B6" s="14">
        <f t="shared" si="3"/>
        <v>5</v>
      </c>
      <c r="C6" s="11">
        <v>10</v>
      </c>
      <c r="D6" s="1">
        <v>2018</v>
      </c>
      <c r="E6" s="12">
        <f t="shared" si="0"/>
        <v>26933.225806451614</v>
      </c>
      <c r="F6" s="11">
        <f t="shared" si="4"/>
        <v>6.06</v>
      </c>
      <c r="G6" s="12">
        <f t="shared" si="1"/>
        <v>487.87096774193549</v>
      </c>
      <c r="H6" s="11">
        <f t="shared" si="5"/>
        <v>18.899999999999999</v>
      </c>
      <c r="I6" s="12">
        <f t="shared" si="2"/>
        <v>881.87096774193549</v>
      </c>
      <c r="J6" s="11">
        <f t="shared" si="6"/>
        <v>5.0059259042491</v>
      </c>
      <c r="K6" s="34">
        <v>0</v>
      </c>
      <c r="L6" s="11">
        <v>5.47</v>
      </c>
      <c r="M6" s="34">
        <v>0</v>
      </c>
    </row>
    <row r="7" spans="1:13" s="15" customFormat="1" x14ac:dyDescent="0.25">
      <c r="A7" s="1" t="s">
        <v>32</v>
      </c>
      <c r="B7" s="14">
        <f t="shared" si="3"/>
        <v>6</v>
      </c>
      <c r="C7" s="11">
        <v>10</v>
      </c>
      <c r="D7" s="1">
        <v>2018</v>
      </c>
      <c r="E7" s="12">
        <f t="shared" si="0"/>
        <v>26933.225806451614</v>
      </c>
      <c r="F7" s="11">
        <f t="shared" si="4"/>
        <v>6.06</v>
      </c>
      <c r="G7" s="12">
        <f t="shared" si="1"/>
        <v>487.87096774193549</v>
      </c>
      <c r="H7" s="11">
        <f t="shared" si="5"/>
        <v>18.899999999999999</v>
      </c>
      <c r="I7" s="12">
        <f t="shared" si="2"/>
        <v>881.87096774193549</v>
      </c>
      <c r="J7" s="11">
        <f t="shared" si="6"/>
        <v>5.0059259042491</v>
      </c>
      <c r="K7" s="34">
        <v>0</v>
      </c>
      <c r="L7" s="11">
        <v>5.47</v>
      </c>
      <c r="M7" s="34">
        <v>0</v>
      </c>
    </row>
    <row r="8" spans="1:13" s="15" customFormat="1" x14ac:dyDescent="0.25">
      <c r="A8" s="1" t="s">
        <v>32</v>
      </c>
      <c r="B8" s="14">
        <f t="shared" si="3"/>
        <v>7</v>
      </c>
      <c r="C8" s="11">
        <v>10</v>
      </c>
      <c r="D8" s="1">
        <v>2018</v>
      </c>
      <c r="E8" s="12">
        <f t="shared" si="0"/>
        <v>26933.225806451614</v>
      </c>
      <c r="F8" s="11">
        <f t="shared" si="4"/>
        <v>6.06</v>
      </c>
      <c r="G8" s="12">
        <f t="shared" si="1"/>
        <v>487.87096774193549</v>
      </c>
      <c r="H8" s="11">
        <f t="shared" si="5"/>
        <v>18.899999999999999</v>
      </c>
      <c r="I8" s="12">
        <f t="shared" si="2"/>
        <v>881.87096774193549</v>
      </c>
      <c r="J8" s="11">
        <f t="shared" si="6"/>
        <v>5.0059259042491</v>
      </c>
      <c r="K8" s="34">
        <v>0</v>
      </c>
      <c r="L8" s="11">
        <v>5.47</v>
      </c>
      <c r="M8" s="34">
        <v>0</v>
      </c>
    </row>
    <row r="9" spans="1:13" s="15" customFormat="1" x14ac:dyDescent="0.25">
      <c r="A9" s="1" t="s">
        <v>32</v>
      </c>
      <c r="B9" s="14">
        <f t="shared" si="3"/>
        <v>8</v>
      </c>
      <c r="C9" s="11">
        <v>10</v>
      </c>
      <c r="D9" s="1">
        <v>2018</v>
      </c>
      <c r="E9" s="12">
        <f t="shared" si="0"/>
        <v>26933.225806451614</v>
      </c>
      <c r="F9" s="11">
        <f t="shared" si="4"/>
        <v>6.06</v>
      </c>
      <c r="G9" s="12">
        <f t="shared" si="1"/>
        <v>487.87096774193549</v>
      </c>
      <c r="H9" s="11">
        <f t="shared" si="5"/>
        <v>18.899999999999999</v>
      </c>
      <c r="I9" s="12">
        <f t="shared" si="2"/>
        <v>881.87096774193549</v>
      </c>
      <c r="J9" s="11">
        <f t="shared" si="6"/>
        <v>5.0059259042491</v>
      </c>
      <c r="K9" s="34">
        <v>0</v>
      </c>
      <c r="L9" s="11">
        <v>5.47</v>
      </c>
      <c r="M9" s="34">
        <v>0</v>
      </c>
    </row>
    <row r="10" spans="1:13" s="15" customFormat="1" x14ac:dyDescent="0.25">
      <c r="A10" s="1" t="s">
        <v>32</v>
      </c>
      <c r="B10" s="14">
        <f t="shared" si="3"/>
        <v>9</v>
      </c>
      <c r="C10" s="11">
        <v>10</v>
      </c>
      <c r="D10" s="1">
        <v>2018</v>
      </c>
      <c r="E10" s="12">
        <f t="shared" si="0"/>
        <v>26933.225806451614</v>
      </c>
      <c r="F10" s="11">
        <f t="shared" si="4"/>
        <v>6.06</v>
      </c>
      <c r="G10" s="12">
        <f t="shared" si="1"/>
        <v>487.87096774193549</v>
      </c>
      <c r="H10" s="11">
        <f t="shared" si="5"/>
        <v>18.899999999999999</v>
      </c>
      <c r="I10" s="12">
        <f t="shared" si="2"/>
        <v>881.87096774193549</v>
      </c>
      <c r="J10" s="11">
        <f t="shared" si="6"/>
        <v>5.0059259042491</v>
      </c>
      <c r="K10" s="34">
        <v>0</v>
      </c>
      <c r="L10" s="11">
        <v>5.47</v>
      </c>
      <c r="M10" s="34">
        <v>0</v>
      </c>
    </row>
    <row r="11" spans="1:13" s="15" customFormat="1" x14ac:dyDescent="0.25">
      <c r="A11" s="1" t="s">
        <v>32</v>
      </c>
      <c r="B11" s="14">
        <f t="shared" si="3"/>
        <v>10</v>
      </c>
      <c r="C11" s="11">
        <v>10</v>
      </c>
      <c r="D11" s="1">
        <v>2018</v>
      </c>
      <c r="E11" s="12">
        <f t="shared" si="0"/>
        <v>26933.225806451614</v>
      </c>
      <c r="F11" s="11">
        <f t="shared" si="4"/>
        <v>6.06</v>
      </c>
      <c r="G11" s="12">
        <f t="shared" si="1"/>
        <v>487.87096774193549</v>
      </c>
      <c r="H11" s="11">
        <f t="shared" si="5"/>
        <v>18.899999999999999</v>
      </c>
      <c r="I11" s="12">
        <f t="shared" si="2"/>
        <v>881.87096774193549</v>
      </c>
      <c r="J11" s="11">
        <f t="shared" si="6"/>
        <v>5.0059259042491</v>
      </c>
      <c r="K11" s="34">
        <v>0</v>
      </c>
      <c r="L11" s="11">
        <v>5.47</v>
      </c>
      <c r="M11" s="34">
        <v>0</v>
      </c>
    </row>
    <row r="12" spans="1:13" s="15" customFormat="1" x14ac:dyDescent="0.25">
      <c r="A12" s="1" t="s">
        <v>32</v>
      </c>
      <c r="B12" s="14">
        <f t="shared" si="3"/>
        <v>11</v>
      </c>
      <c r="C12" s="11">
        <v>10</v>
      </c>
      <c r="D12" s="1">
        <v>2018</v>
      </c>
      <c r="E12" s="12">
        <f t="shared" si="0"/>
        <v>26933.225806451614</v>
      </c>
      <c r="F12" s="11">
        <f t="shared" si="4"/>
        <v>6.06</v>
      </c>
      <c r="G12" s="12">
        <f t="shared" si="1"/>
        <v>487.87096774193549</v>
      </c>
      <c r="H12" s="11">
        <f t="shared" si="5"/>
        <v>18.899999999999999</v>
      </c>
      <c r="I12" s="12">
        <f t="shared" si="2"/>
        <v>881.87096774193549</v>
      </c>
      <c r="J12" s="11">
        <f t="shared" si="6"/>
        <v>5.0059259042491</v>
      </c>
      <c r="K12" s="34">
        <v>0</v>
      </c>
      <c r="L12" s="11">
        <v>5.47</v>
      </c>
      <c r="M12" s="34">
        <v>0</v>
      </c>
    </row>
    <row r="13" spans="1:13" s="15" customFormat="1" x14ac:dyDescent="0.25">
      <c r="A13" s="1" t="s">
        <v>32</v>
      </c>
      <c r="B13" s="14">
        <f t="shared" si="3"/>
        <v>12</v>
      </c>
      <c r="C13" s="11">
        <v>10</v>
      </c>
      <c r="D13" s="1">
        <v>2018</v>
      </c>
      <c r="E13" s="12">
        <f t="shared" si="0"/>
        <v>26933.225806451614</v>
      </c>
      <c r="F13" s="11">
        <f t="shared" si="4"/>
        <v>6.06</v>
      </c>
      <c r="G13" s="12">
        <f t="shared" si="1"/>
        <v>487.87096774193549</v>
      </c>
      <c r="H13" s="11">
        <f t="shared" si="5"/>
        <v>18.899999999999999</v>
      </c>
      <c r="I13" s="12">
        <f t="shared" si="2"/>
        <v>881.87096774193549</v>
      </c>
      <c r="J13" s="11">
        <f t="shared" si="6"/>
        <v>5.0059259042491</v>
      </c>
      <c r="K13" s="34">
        <v>0</v>
      </c>
      <c r="L13" s="11">
        <v>5.47</v>
      </c>
      <c r="M13" s="34">
        <v>0</v>
      </c>
    </row>
    <row r="14" spans="1:13" s="15" customFormat="1" x14ac:dyDescent="0.25">
      <c r="A14" s="1" t="s">
        <v>32</v>
      </c>
      <c r="B14" s="14">
        <f t="shared" si="3"/>
        <v>13</v>
      </c>
      <c r="C14" s="11">
        <v>10</v>
      </c>
      <c r="D14" s="1">
        <v>2018</v>
      </c>
      <c r="E14" s="12">
        <f t="shared" si="0"/>
        <v>26933.225806451614</v>
      </c>
      <c r="F14" s="11">
        <f t="shared" si="4"/>
        <v>6.06</v>
      </c>
      <c r="G14" s="12">
        <f t="shared" si="1"/>
        <v>487.87096774193549</v>
      </c>
      <c r="H14" s="11">
        <f t="shared" si="5"/>
        <v>18.899999999999999</v>
      </c>
      <c r="I14" s="12">
        <f t="shared" si="2"/>
        <v>881.87096774193549</v>
      </c>
      <c r="J14" s="11">
        <f t="shared" si="6"/>
        <v>5.0059259042491</v>
      </c>
      <c r="K14" s="34">
        <v>0</v>
      </c>
      <c r="L14" s="11">
        <v>5.47</v>
      </c>
      <c r="M14" s="34">
        <v>0</v>
      </c>
    </row>
    <row r="15" spans="1:13" s="15" customFormat="1" x14ac:dyDescent="0.25">
      <c r="A15" s="1" t="s">
        <v>32</v>
      </c>
      <c r="B15" s="14">
        <f t="shared" si="3"/>
        <v>14</v>
      </c>
      <c r="C15" s="11">
        <v>10</v>
      </c>
      <c r="D15" s="1">
        <v>2018</v>
      </c>
      <c r="E15" s="12">
        <f t="shared" si="0"/>
        <v>26933.225806451614</v>
      </c>
      <c r="F15" s="11">
        <f t="shared" si="4"/>
        <v>6.06</v>
      </c>
      <c r="G15" s="12">
        <f t="shared" si="1"/>
        <v>487.87096774193549</v>
      </c>
      <c r="H15" s="11">
        <f t="shared" si="5"/>
        <v>18.899999999999999</v>
      </c>
      <c r="I15" s="12">
        <f t="shared" si="2"/>
        <v>881.87096774193549</v>
      </c>
      <c r="J15" s="11">
        <f t="shared" si="6"/>
        <v>5.0059259042491</v>
      </c>
      <c r="K15" s="34">
        <v>0</v>
      </c>
      <c r="L15" s="11">
        <v>5.47</v>
      </c>
      <c r="M15" s="34">
        <v>0</v>
      </c>
    </row>
    <row r="16" spans="1:13" s="15" customFormat="1" x14ac:dyDescent="0.25">
      <c r="A16" s="1" t="s">
        <v>32</v>
      </c>
      <c r="B16" s="14">
        <f t="shared" si="3"/>
        <v>15</v>
      </c>
      <c r="C16" s="11">
        <v>10</v>
      </c>
      <c r="D16" s="1">
        <v>2018</v>
      </c>
      <c r="E16" s="12">
        <f t="shared" si="0"/>
        <v>26933.225806451614</v>
      </c>
      <c r="F16" s="11">
        <f t="shared" si="4"/>
        <v>6.06</v>
      </c>
      <c r="G16" s="12">
        <f t="shared" si="1"/>
        <v>487.87096774193549</v>
      </c>
      <c r="H16" s="11">
        <f t="shared" si="5"/>
        <v>18.899999999999999</v>
      </c>
      <c r="I16" s="12">
        <f t="shared" si="2"/>
        <v>881.87096774193549</v>
      </c>
      <c r="J16" s="11">
        <f t="shared" si="6"/>
        <v>5.0059259042491</v>
      </c>
      <c r="K16" s="34">
        <v>0</v>
      </c>
      <c r="L16" s="11">
        <v>5.47</v>
      </c>
      <c r="M16" s="34">
        <v>0</v>
      </c>
    </row>
    <row r="17" spans="1:13" s="15" customFormat="1" x14ac:dyDescent="0.25">
      <c r="A17" s="1" t="s">
        <v>32</v>
      </c>
      <c r="B17" s="14">
        <f t="shared" si="3"/>
        <v>16</v>
      </c>
      <c r="C17" s="11">
        <v>10</v>
      </c>
      <c r="D17" s="1">
        <v>2018</v>
      </c>
      <c r="E17" s="12">
        <f t="shared" si="0"/>
        <v>26933.225806451614</v>
      </c>
      <c r="F17" s="11">
        <f t="shared" si="4"/>
        <v>6.06</v>
      </c>
      <c r="G17" s="12">
        <f t="shared" si="1"/>
        <v>487.87096774193549</v>
      </c>
      <c r="H17" s="11">
        <f t="shared" si="5"/>
        <v>18.899999999999999</v>
      </c>
      <c r="I17" s="12">
        <f t="shared" si="2"/>
        <v>881.87096774193549</v>
      </c>
      <c r="J17" s="11">
        <f t="shared" si="6"/>
        <v>5.0059259042491</v>
      </c>
      <c r="K17" s="34">
        <v>0</v>
      </c>
      <c r="L17" s="11">
        <v>5.47</v>
      </c>
      <c r="M17" s="34">
        <v>0</v>
      </c>
    </row>
    <row r="18" spans="1:13" s="15" customFormat="1" x14ac:dyDescent="0.25">
      <c r="A18" s="1" t="s">
        <v>32</v>
      </c>
      <c r="B18" s="14">
        <f t="shared" si="3"/>
        <v>17</v>
      </c>
      <c r="C18" s="11">
        <v>10</v>
      </c>
      <c r="D18" s="1">
        <v>2018</v>
      </c>
      <c r="E18" s="12">
        <f t="shared" si="0"/>
        <v>26933.225806451614</v>
      </c>
      <c r="F18" s="11">
        <f t="shared" si="4"/>
        <v>6.06</v>
      </c>
      <c r="G18" s="12">
        <f t="shared" si="1"/>
        <v>487.87096774193549</v>
      </c>
      <c r="H18" s="11">
        <f t="shared" si="5"/>
        <v>18.899999999999999</v>
      </c>
      <c r="I18" s="12">
        <f t="shared" si="2"/>
        <v>881.87096774193549</v>
      </c>
      <c r="J18" s="11">
        <f t="shared" si="6"/>
        <v>5.0059259042491</v>
      </c>
      <c r="K18" s="34">
        <v>0</v>
      </c>
      <c r="L18" s="11">
        <v>5.47</v>
      </c>
      <c r="M18" s="34">
        <v>0</v>
      </c>
    </row>
    <row r="19" spans="1:13" s="15" customFormat="1" x14ac:dyDescent="0.25">
      <c r="A19" s="1" t="s">
        <v>32</v>
      </c>
      <c r="B19" s="14">
        <f t="shared" si="3"/>
        <v>18</v>
      </c>
      <c r="C19" s="11">
        <v>10</v>
      </c>
      <c r="D19" s="1">
        <v>2018</v>
      </c>
      <c r="E19" s="12">
        <f t="shared" si="0"/>
        <v>26933.225806451614</v>
      </c>
      <c r="F19" s="11">
        <f t="shared" si="4"/>
        <v>6.06</v>
      </c>
      <c r="G19" s="12">
        <f t="shared" si="1"/>
        <v>487.87096774193549</v>
      </c>
      <c r="H19" s="11">
        <f t="shared" si="5"/>
        <v>18.899999999999999</v>
      </c>
      <c r="I19" s="12">
        <f t="shared" si="2"/>
        <v>881.87096774193549</v>
      </c>
      <c r="J19" s="11">
        <f t="shared" si="6"/>
        <v>5.0059259042491</v>
      </c>
      <c r="K19" s="34">
        <v>0</v>
      </c>
      <c r="L19" s="11">
        <v>5.47</v>
      </c>
      <c r="M19" s="34">
        <v>0</v>
      </c>
    </row>
    <row r="20" spans="1:13" s="15" customFormat="1" x14ac:dyDescent="0.25">
      <c r="A20" s="1" t="s">
        <v>32</v>
      </c>
      <c r="B20" s="14">
        <f t="shared" si="3"/>
        <v>19</v>
      </c>
      <c r="C20" s="11">
        <v>10</v>
      </c>
      <c r="D20" s="1">
        <v>2018</v>
      </c>
      <c r="E20" s="12">
        <f t="shared" si="0"/>
        <v>26933.225806451614</v>
      </c>
      <c r="F20" s="11">
        <f t="shared" si="4"/>
        <v>6.06</v>
      </c>
      <c r="G20" s="12">
        <f t="shared" si="1"/>
        <v>487.87096774193549</v>
      </c>
      <c r="H20" s="11">
        <f t="shared" si="5"/>
        <v>18.899999999999999</v>
      </c>
      <c r="I20" s="12">
        <f t="shared" si="2"/>
        <v>881.87096774193549</v>
      </c>
      <c r="J20" s="11">
        <f t="shared" si="6"/>
        <v>5.0059259042491</v>
      </c>
      <c r="K20" s="34">
        <v>0</v>
      </c>
      <c r="L20" s="11">
        <v>5.47</v>
      </c>
      <c r="M20" s="34">
        <v>0</v>
      </c>
    </row>
    <row r="21" spans="1:13" s="15" customFormat="1" x14ac:dyDescent="0.25">
      <c r="A21" s="1" t="s">
        <v>32</v>
      </c>
      <c r="B21" s="14">
        <f t="shared" si="3"/>
        <v>20</v>
      </c>
      <c r="C21" s="11">
        <v>10</v>
      </c>
      <c r="D21" s="1">
        <v>2018</v>
      </c>
      <c r="E21" s="12">
        <f t="shared" si="0"/>
        <v>26933.225806451614</v>
      </c>
      <c r="F21" s="11">
        <f t="shared" si="4"/>
        <v>6.06</v>
      </c>
      <c r="G21" s="12">
        <f t="shared" si="1"/>
        <v>487.87096774193549</v>
      </c>
      <c r="H21" s="11">
        <f t="shared" si="5"/>
        <v>18.899999999999999</v>
      </c>
      <c r="I21" s="12">
        <f t="shared" si="2"/>
        <v>881.87096774193549</v>
      </c>
      <c r="J21" s="11">
        <f t="shared" si="6"/>
        <v>5.0059259042491</v>
      </c>
      <c r="K21" s="34">
        <v>0</v>
      </c>
      <c r="L21" s="11">
        <v>5.47</v>
      </c>
      <c r="M21" s="34">
        <v>0</v>
      </c>
    </row>
    <row r="22" spans="1:13" s="15" customFormat="1" x14ac:dyDescent="0.25">
      <c r="A22" s="1" t="s">
        <v>32</v>
      </c>
      <c r="B22" s="14">
        <f t="shared" si="3"/>
        <v>21</v>
      </c>
      <c r="C22" s="11">
        <v>10</v>
      </c>
      <c r="D22" s="1">
        <v>2018</v>
      </c>
      <c r="E22" s="12">
        <f t="shared" si="0"/>
        <v>26933.225806451614</v>
      </c>
      <c r="F22" s="11">
        <f t="shared" si="4"/>
        <v>6.06</v>
      </c>
      <c r="G22" s="12">
        <f t="shared" si="1"/>
        <v>487.87096774193549</v>
      </c>
      <c r="H22" s="11">
        <f t="shared" si="5"/>
        <v>18.899999999999999</v>
      </c>
      <c r="I22" s="12">
        <f t="shared" si="2"/>
        <v>881.87096774193549</v>
      </c>
      <c r="J22" s="11">
        <f t="shared" si="6"/>
        <v>5.0059259042491</v>
      </c>
      <c r="K22" s="34">
        <v>0</v>
      </c>
      <c r="L22" s="11">
        <v>5.47</v>
      </c>
      <c r="M22" s="34">
        <v>0</v>
      </c>
    </row>
    <row r="23" spans="1:13" s="15" customFormat="1" x14ac:dyDescent="0.25">
      <c r="A23" s="1" t="s">
        <v>32</v>
      </c>
      <c r="B23" s="14">
        <f t="shared" si="3"/>
        <v>22</v>
      </c>
      <c r="C23" s="11">
        <v>10</v>
      </c>
      <c r="D23" s="1">
        <v>2018</v>
      </c>
      <c r="E23" s="12">
        <f t="shared" si="0"/>
        <v>26933.225806451614</v>
      </c>
      <c r="F23" s="11">
        <f t="shared" si="4"/>
        <v>6.06</v>
      </c>
      <c r="G23" s="12">
        <f t="shared" si="1"/>
        <v>487.87096774193549</v>
      </c>
      <c r="H23" s="11">
        <f t="shared" si="5"/>
        <v>18.899999999999999</v>
      </c>
      <c r="I23" s="12">
        <f t="shared" si="2"/>
        <v>881.87096774193549</v>
      </c>
      <c r="J23" s="11">
        <f t="shared" si="6"/>
        <v>5.0059259042491</v>
      </c>
      <c r="K23" s="34">
        <v>0</v>
      </c>
      <c r="L23" s="11">
        <v>5.47</v>
      </c>
      <c r="M23" s="34">
        <v>0</v>
      </c>
    </row>
    <row r="24" spans="1:13" s="15" customFormat="1" x14ac:dyDescent="0.25">
      <c r="A24" s="1" t="s">
        <v>32</v>
      </c>
      <c r="B24" s="14">
        <f t="shared" si="3"/>
        <v>23</v>
      </c>
      <c r="C24" s="11">
        <v>10</v>
      </c>
      <c r="D24" s="1">
        <v>2018</v>
      </c>
      <c r="E24" s="12">
        <f t="shared" si="0"/>
        <v>26933.225806451614</v>
      </c>
      <c r="F24" s="11">
        <f t="shared" si="4"/>
        <v>6.06</v>
      </c>
      <c r="G24" s="12">
        <f t="shared" si="1"/>
        <v>487.87096774193549</v>
      </c>
      <c r="H24" s="11">
        <f t="shared" si="5"/>
        <v>18.899999999999999</v>
      </c>
      <c r="I24" s="12">
        <f t="shared" si="2"/>
        <v>881.87096774193549</v>
      </c>
      <c r="J24" s="11">
        <f t="shared" si="6"/>
        <v>5.0059259042491</v>
      </c>
      <c r="K24" s="34">
        <v>0</v>
      </c>
      <c r="L24" s="11">
        <v>5.47</v>
      </c>
      <c r="M24" s="34">
        <v>0</v>
      </c>
    </row>
    <row r="25" spans="1:13" s="15" customFormat="1" x14ac:dyDescent="0.25">
      <c r="A25" s="1" t="s">
        <v>32</v>
      </c>
      <c r="B25" s="14">
        <f t="shared" si="3"/>
        <v>24</v>
      </c>
      <c r="C25" s="11">
        <v>10</v>
      </c>
      <c r="D25" s="1">
        <v>2018</v>
      </c>
      <c r="E25" s="12">
        <f t="shared" si="0"/>
        <v>26933.225806451614</v>
      </c>
      <c r="F25" s="11">
        <f t="shared" si="4"/>
        <v>6.06</v>
      </c>
      <c r="G25" s="12">
        <f t="shared" si="1"/>
        <v>487.87096774193549</v>
      </c>
      <c r="H25" s="11">
        <f t="shared" si="5"/>
        <v>18.899999999999999</v>
      </c>
      <c r="I25" s="12">
        <f t="shared" si="2"/>
        <v>881.87096774193549</v>
      </c>
      <c r="J25" s="11">
        <f t="shared" si="6"/>
        <v>5.0059259042491</v>
      </c>
      <c r="K25" s="34">
        <v>0</v>
      </c>
      <c r="L25" s="11">
        <v>5.47</v>
      </c>
      <c r="M25" s="34">
        <v>0</v>
      </c>
    </row>
    <row r="26" spans="1:13" s="15" customFormat="1" x14ac:dyDescent="0.25">
      <c r="A26" s="1" t="s">
        <v>32</v>
      </c>
      <c r="B26" s="14">
        <f>B25+1</f>
        <v>25</v>
      </c>
      <c r="C26" s="11">
        <v>10</v>
      </c>
      <c r="D26" s="1">
        <v>2018</v>
      </c>
      <c r="E26" s="12">
        <f t="shared" si="0"/>
        <v>26933.225806451614</v>
      </c>
      <c r="F26" s="11">
        <f t="shared" si="4"/>
        <v>6.06</v>
      </c>
      <c r="G26" s="12">
        <f t="shared" si="1"/>
        <v>487.87096774193549</v>
      </c>
      <c r="H26" s="11">
        <f t="shared" si="5"/>
        <v>18.899999999999999</v>
      </c>
      <c r="I26" s="12">
        <f t="shared" si="2"/>
        <v>881.87096774193549</v>
      </c>
      <c r="J26" s="11">
        <f t="shared" si="6"/>
        <v>5.0059259042491</v>
      </c>
      <c r="K26" s="34">
        <v>0</v>
      </c>
      <c r="L26" s="11">
        <v>5.47</v>
      </c>
      <c r="M26" s="34">
        <v>0</v>
      </c>
    </row>
    <row r="27" spans="1:13" s="15" customFormat="1" x14ac:dyDescent="0.25">
      <c r="A27" s="1" t="s">
        <v>32</v>
      </c>
      <c r="B27" s="14">
        <f t="shared" si="3"/>
        <v>26</v>
      </c>
      <c r="C27" s="11">
        <v>10</v>
      </c>
      <c r="D27" s="1">
        <v>2018</v>
      </c>
      <c r="E27" s="12">
        <f t="shared" si="0"/>
        <v>26933.225806451614</v>
      </c>
      <c r="F27" s="11">
        <f t="shared" si="4"/>
        <v>6.06</v>
      </c>
      <c r="G27" s="12">
        <f t="shared" si="1"/>
        <v>487.87096774193549</v>
      </c>
      <c r="H27" s="11">
        <f t="shared" si="5"/>
        <v>18.899999999999999</v>
      </c>
      <c r="I27" s="12">
        <f t="shared" si="2"/>
        <v>881.87096774193549</v>
      </c>
      <c r="J27" s="11">
        <f t="shared" si="6"/>
        <v>5.0059259042491</v>
      </c>
      <c r="K27" s="34">
        <v>0</v>
      </c>
      <c r="L27" s="11">
        <v>5.47</v>
      </c>
      <c r="M27" s="34">
        <v>0</v>
      </c>
    </row>
    <row r="28" spans="1:13" s="15" customFormat="1" x14ac:dyDescent="0.25">
      <c r="A28" s="1" t="s">
        <v>32</v>
      </c>
      <c r="B28" s="14">
        <f t="shared" si="3"/>
        <v>27</v>
      </c>
      <c r="C28" s="11">
        <v>10</v>
      </c>
      <c r="D28" s="1">
        <v>2018</v>
      </c>
      <c r="E28" s="12">
        <f t="shared" si="0"/>
        <v>26933.225806451614</v>
      </c>
      <c r="F28" s="11">
        <f t="shared" si="4"/>
        <v>6.06</v>
      </c>
      <c r="G28" s="12">
        <f t="shared" si="1"/>
        <v>487.87096774193549</v>
      </c>
      <c r="H28" s="11">
        <f t="shared" si="5"/>
        <v>18.899999999999999</v>
      </c>
      <c r="I28" s="12">
        <f t="shared" si="2"/>
        <v>881.87096774193549</v>
      </c>
      <c r="J28" s="11">
        <f t="shared" si="6"/>
        <v>5.0059259042491</v>
      </c>
      <c r="K28" s="34">
        <v>0</v>
      </c>
      <c r="L28" s="11">
        <v>5.47</v>
      </c>
      <c r="M28" s="34">
        <v>0</v>
      </c>
    </row>
    <row r="29" spans="1:13" s="15" customFormat="1" x14ac:dyDescent="0.25">
      <c r="A29" s="1" t="s">
        <v>32</v>
      </c>
      <c r="B29" s="14">
        <f t="shared" si="3"/>
        <v>28</v>
      </c>
      <c r="C29" s="11">
        <v>10</v>
      </c>
      <c r="D29" s="1">
        <v>2018</v>
      </c>
      <c r="E29" s="12">
        <f t="shared" si="0"/>
        <v>26933.225806451614</v>
      </c>
      <c r="F29" s="11">
        <f t="shared" si="4"/>
        <v>6.06</v>
      </c>
      <c r="G29" s="12">
        <f t="shared" si="1"/>
        <v>487.87096774193549</v>
      </c>
      <c r="H29" s="11">
        <f t="shared" si="5"/>
        <v>18.899999999999999</v>
      </c>
      <c r="I29" s="12">
        <f t="shared" si="2"/>
        <v>881.87096774193549</v>
      </c>
      <c r="J29" s="11">
        <f t="shared" si="6"/>
        <v>5.0059259042491</v>
      </c>
      <c r="K29" s="34">
        <v>0</v>
      </c>
      <c r="L29" s="11">
        <v>5.47</v>
      </c>
      <c r="M29" s="34">
        <v>0</v>
      </c>
    </row>
    <row r="30" spans="1:13" s="15" customFormat="1" x14ac:dyDescent="0.25">
      <c r="A30" s="1" t="s">
        <v>32</v>
      </c>
      <c r="B30" s="14">
        <f t="shared" si="3"/>
        <v>29</v>
      </c>
      <c r="C30" s="11">
        <v>10</v>
      </c>
      <c r="D30" s="1">
        <v>2018</v>
      </c>
      <c r="E30" s="12">
        <f t="shared" si="0"/>
        <v>26933.225806451614</v>
      </c>
      <c r="F30" s="11">
        <f t="shared" si="4"/>
        <v>6.06</v>
      </c>
      <c r="G30" s="12">
        <f t="shared" si="1"/>
        <v>487.87096774193549</v>
      </c>
      <c r="H30" s="11">
        <f t="shared" si="5"/>
        <v>18.899999999999999</v>
      </c>
      <c r="I30" s="12">
        <f t="shared" si="2"/>
        <v>881.87096774193549</v>
      </c>
      <c r="J30" s="11">
        <f t="shared" si="6"/>
        <v>5.0059259042491</v>
      </c>
      <c r="K30" s="34">
        <v>0</v>
      </c>
      <c r="L30" s="11">
        <v>5.47</v>
      </c>
      <c r="M30" s="34">
        <v>0</v>
      </c>
    </row>
    <row r="31" spans="1:13" s="13" customFormat="1" x14ac:dyDescent="0.25">
      <c r="A31" s="1" t="s">
        <v>32</v>
      </c>
      <c r="B31" s="14">
        <f t="shared" si="3"/>
        <v>30</v>
      </c>
      <c r="C31" s="11">
        <v>10</v>
      </c>
      <c r="D31" s="1">
        <v>2018</v>
      </c>
      <c r="E31" s="12">
        <f t="shared" si="0"/>
        <v>26933.225806451614</v>
      </c>
      <c r="F31" s="11">
        <f t="shared" si="4"/>
        <v>6.06</v>
      </c>
      <c r="G31" s="12">
        <f t="shared" si="1"/>
        <v>487.87096774193549</v>
      </c>
      <c r="H31" s="11">
        <f t="shared" si="5"/>
        <v>18.899999999999999</v>
      </c>
      <c r="I31" s="12">
        <f t="shared" si="2"/>
        <v>881.87096774193549</v>
      </c>
      <c r="J31" s="11">
        <f t="shared" si="6"/>
        <v>5.0059259042491</v>
      </c>
      <c r="K31" s="34">
        <v>0</v>
      </c>
      <c r="L31" s="11">
        <v>5.47</v>
      </c>
      <c r="M31" s="34">
        <v>0</v>
      </c>
    </row>
    <row r="32" spans="1:13" x14ac:dyDescent="0.25">
      <c r="A32" s="1" t="s">
        <v>32</v>
      </c>
      <c r="B32" s="14">
        <f t="shared" si="3"/>
        <v>31</v>
      </c>
      <c r="C32" s="11">
        <v>10</v>
      </c>
      <c r="D32" s="1">
        <v>2018</v>
      </c>
      <c r="E32" s="12">
        <f t="shared" si="0"/>
        <v>26933.225806451614</v>
      </c>
      <c r="F32" s="11">
        <f t="shared" si="4"/>
        <v>6.06</v>
      </c>
      <c r="G32" s="12">
        <f t="shared" si="1"/>
        <v>487.87096774193549</v>
      </c>
      <c r="H32" s="11">
        <f t="shared" si="5"/>
        <v>18.899999999999999</v>
      </c>
      <c r="I32" s="12">
        <f t="shared" si="2"/>
        <v>881.87096774193549</v>
      </c>
      <c r="J32" s="11">
        <f t="shared" si="6"/>
        <v>5.0059259042491</v>
      </c>
      <c r="K32" s="34">
        <v>0</v>
      </c>
      <c r="L32" s="11">
        <v>5.47</v>
      </c>
      <c r="M32" s="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G5" workbookViewId="0">
      <selection activeCell="S23" sqref="S23"/>
    </sheetView>
  </sheetViews>
  <sheetFormatPr defaultColWidth="11.5703125" defaultRowHeight="15" x14ac:dyDescent="0.25"/>
  <cols>
    <col min="1" max="1" width="22.28515625" style="31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32" t="s">
        <v>0</v>
      </c>
      <c r="B1" s="29" t="s">
        <v>1</v>
      </c>
      <c r="C1" s="29" t="s">
        <v>2</v>
      </c>
      <c r="D1" s="29" t="s">
        <v>3</v>
      </c>
      <c r="E1" s="30" t="s">
        <v>18</v>
      </c>
      <c r="F1" s="30" t="s">
        <v>33</v>
      </c>
      <c r="G1" s="30" t="s">
        <v>34</v>
      </c>
      <c r="H1" s="30" t="s">
        <v>35</v>
      </c>
      <c r="I1" s="30" t="s">
        <v>36</v>
      </c>
      <c r="J1" s="30" t="s">
        <v>37</v>
      </c>
      <c r="K1" s="30" t="s">
        <v>38</v>
      </c>
      <c r="L1" s="30" t="s">
        <v>39</v>
      </c>
      <c r="M1" s="30" t="s">
        <v>40</v>
      </c>
      <c r="N1" s="30" t="s">
        <v>41</v>
      </c>
      <c r="O1" s="30" t="s">
        <v>42</v>
      </c>
      <c r="P1" s="30" t="s">
        <v>43</v>
      </c>
      <c r="Q1" s="30" t="s">
        <v>44</v>
      </c>
      <c r="R1" s="30" t="s">
        <v>45</v>
      </c>
      <c r="S1" s="30" t="s">
        <v>46</v>
      </c>
      <c r="T1" s="30" t="s">
        <v>47</v>
      </c>
      <c r="U1" s="30" t="s">
        <v>48</v>
      </c>
      <c r="V1" s="30" t="s">
        <v>49</v>
      </c>
      <c r="W1" s="30" t="s">
        <v>50</v>
      </c>
      <c r="X1" s="30" t="s">
        <v>51</v>
      </c>
      <c r="Y1" s="30" t="s">
        <v>52</v>
      </c>
      <c r="Z1" s="30" t="s">
        <v>53</v>
      </c>
      <c r="AA1" s="30" t="s">
        <v>54</v>
      </c>
      <c r="AB1" s="30" t="s">
        <v>31</v>
      </c>
    </row>
    <row r="2" spans="1:28" x14ac:dyDescent="0.25">
      <c r="A2" s="1" t="s">
        <v>32</v>
      </c>
      <c r="B2" s="11">
        <v>1</v>
      </c>
      <c r="C2" s="11">
        <v>8</v>
      </c>
      <c r="D2" s="11">
        <v>2019</v>
      </c>
      <c r="E2" s="18">
        <f>'FS Seychelles'!B3</f>
        <v>0.66320000000000001</v>
      </c>
      <c r="F2" s="18">
        <f>'FS Seychelles'!C3*1000</f>
        <v>3226.1120000000001</v>
      </c>
      <c r="G2" s="18">
        <f>'FS Seychelles'!D3*1000</f>
        <v>5306.1120000000001</v>
      </c>
      <c r="H2" s="18">
        <f>'FS Seychelles'!E3*1000</f>
        <v>5720.0639999999994</v>
      </c>
      <c r="I2" s="18">
        <f>'FS Seychelles'!F3*1000</f>
        <v>1701.6320000000001</v>
      </c>
      <c r="J2" s="18">
        <f>'FS Seychelles'!G3*1000</f>
        <v>0</v>
      </c>
      <c r="K2" s="18">
        <f>'FS Seychelles'!H3*1000</f>
        <v>2138.6240000000003</v>
      </c>
      <c r="L2" s="18">
        <f>'FS Seychelles'!I3*1000</f>
        <v>1496.768</v>
      </c>
      <c r="M2" s="18">
        <f>'FS Seychelles'!J3*1000</f>
        <v>1588.6079999999999</v>
      </c>
      <c r="N2" s="18">
        <f>'FS Seychelles'!K3*1000</f>
        <v>3618.3040000000001</v>
      </c>
      <c r="O2" s="18">
        <f>'FS Seychelles'!L3</f>
        <v>4827</v>
      </c>
      <c r="P2" s="18">
        <f>'FS Seychelles'!M3</f>
        <v>6861</v>
      </c>
      <c r="Q2" s="18">
        <f>'FS Seychelles'!N3</f>
        <v>9846</v>
      </c>
      <c r="R2" s="18">
        <f>'FS Seychelles'!O3</f>
        <v>4810</v>
      </c>
      <c r="S2" s="18">
        <f>'FS Seychelles'!P3</f>
        <v>1023</v>
      </c>
      <c r="T2" s="18">
        <f>'FS Seychelles'!Q3</f>
        <v>8160</v>
      </c>
      <c r="U2" s="18">
        <f>'FS Seychelles'!R3</f>
        <v>70</v>
      </c>
      <c r="V2" s="18">
        <f>'FS Seychelles'!S3</f>
        <v>41</v>
      </c>
      <c r="W2" s="18">
        <f>'FS Seychelles'!T3</f>
        <v>53</v>
      </c>
      <c r="X2" s="18">
        <f>'FS Seychelles'!U3</f>
        <v>215</v>
      </c>
      <c r="Y2" s="18">
        <f>'FS Seychelles'!V3</f>
        <v>84</v>
      </c>
      <c r="Z2" s="18">
        <f>'FS Seychelles'!W3</f>
        <v>120</v>
      </c>
      <c r="AA2" s="18">
        <f>'FS Seychelles'!X3</f>
        <v>0</v>
      </c>
      <c r="AB2" s="18">
        <f>'FS Seychelles'!Y3</f>
        <v>0</v>
      </c>
    </row>
    <row r="3" spans="1:28" x14ac:dyDescent="0.25">
      <c r="A3" s="1" t="s">
        <v>32</v>
      </c>
      <c r="B3" s="11">
        <f>B2+1</f>
        <v>2</v>
      </c>
      <c r="C3" s="11">
        <v>8</v>
      </c>
      <c r="D3" s="11">
        <v>2019</v>
      </c>
      <c r="E3" s="18">
        <f>'FS Seychelles'!B4</f>
        <v>0.69469999999999998</v>
      </c>
      <c r="F3" s="18">
        <f>'FS Seychelles'!C4*1000</f>
        <v>3164.672</v>
      </c>
      <c r="G3" s="18">
        <f>'FS Seychelles'!D4*1000</f>
        <v>5510.9120000000003</v>
      </c>
      <c r="H3" s="18">
        <f>'FS Seychelles'!E4*1000</f>
        <v>5560.0639999999994</v>
      </c>
      <c r="I3" s="18">
        <f>'FS Seychelles'!F4*1000</f>
        <v>1620.992</v>
      </c>
      <c r="J3" s="18">
        <f>'FS Seychelles'!G4*1000</f>
        <v>0</v>
      </c>
      <c r="K3" s="18">
        <f>'FS Seychelles'!H4*1000</f>
        <v>2084.096</v>
      </c>
      <c r="L3" s="18">
        <f>'FS Seychelles'!I4*1000</f>
        <v>1495.808</v>
      </c>
      <c r="M3" s="18">
        <f>'FS Seychelles'!J4*1000</f>
        <v>1644.672</v>
      </c>
      <c r="N3" s="18">
        <f>'FS Seychelles'!K4*1000</f>
        <v>3652.3519999999999</v>
      </c>
      <c r="O3" s="18">
        <f>'FS Seychelles'!L4</f>
        <v>0</v>
      </c>
      <c r="P3" s="18">
        <f>'FS Seychelles'!M4</f>
        <v>8839</v>
      </c>
      <c r="Q3" s="18">
        <f>'FS Seychelles'!N4</f>
        <v>13268</v>
      </c>
      <c r="R3" s="18">
        <f>'FS Seychelles'!O4</f>
        <v>4419</v>
      </c>
      <c r="S3" s="18">
        <f>'FS Seychelles'!P4</f>
        <v>0</v>
      </c>
      <c r="T3" s="18">
        <f>'FS Seychelles'!Q4</f>
        <v>7077</v>
      </c>
      <c r="U3" s="18">
        <f>'FS Seychelles'!R4</f>
        <v>74</v>
      </c>
      <c r="V3" s="18">
        <f>'FS Seychelles'!S4</f>
        <v>63</v>
      </c>
      <c r="W3" s="18">
        <f>'FS Seychelles'!T4</f>
        <v>64</v>
      </c>
      <c r="X3" s="18">
        <f>'FS Seychelles'!U4</f>
        <v>217</v>
      </c>
      <c r="Y3" s="18">
        <f>'FS Seychelles'!V4</f>
        <v>61</v>
      </c>
      <c r="Z3" s="18">
        <f>'FS Seychelles'!W4</f>
        <v>125</v>
      </c>
      <c r="AA3" s="18">
        <f>'FS Seychelles'!X4</f>
        <v>0</v>
      </c>
      <c r="AB3" s="18">
        <f>'FS Seychelles'!Y4</f>
        <v>0</v>
      </c>
    </row>
    <row r="4" spans="1:28" x14ac:dyDescent="0.25">
      <c r="A4" s="1" t="s">
        <v>32</v>
      </c>
      <c r="B4" s="11">
        <f t="shared" ref="B4:B32" si="0">B3+1</f>
        <v>3</v>
      </c>
      <c r="C4" s="11">
        <v>8</v>
      </c>
      <c r="D4" s="11">
        <v>2019</v>
      </c>
      <c r="E4" s="18">
        <f>'FS Seychelles'!B5</f>
        <v>0.73680000000000001</v>
      </c>
      <c r="F4" s="18">
        <f>'FS Seychelles'!C5*1000</f>
        <v>3276.8</v>
      </c>
      <c r="G4" s="18">
        <f>'FS Seychelles'!D5*1000</f>
        <v>5741.0560000000005</v>
      </c>
      <c r="H4" s="18">
        <f>'FS Seychelles'!E5*1000</f>
        <v>5597.6959999999999</v>
      </c>
      <c r="I4" s="18">
        <f>'FS Seychelles'!F5*1000</f>
        <v>1799.9359999999999</v>
      </c>
      <c r="J4" s="18">
        <f>'FS Seychelles'!G5*1000</f>
        <v>0</v>
      </c>
      <c r="K4" s="18">
        <f>'FS Seychelles'!H5*1000</f>
        <v>2343.808</v>
      </c>
      <c r="L4" s="18">
        <f>'FS Seychelles'!I5*1000</f>
        <v>1308.9280000000001</v>
      </c>
      <c r="M4" s="18">
        <f>'FS Seychelles'!J5*1000</f>
        <v>1748.6079999999999</v>
      </c>
      <c r="N4" s="18">
        <f>'FS Seychelles'!K5*1000</f>
        <v>3441.6639999999998</v>
      </c>
      <c r="O4" s="18">
        <f>'FS Seychelles'!L5</f>
        <v>0</v>
      </c>
      <c r="P4" s="18">
        <f>'FS Seychelles'!M5</f>
        <v>1550</v>
      </c>
      <c r="Q4" s="18">
        <f>'FS Seychelles'!N5</f>
        <v>13394</v>
      </c>
      <c r="R4" s="18">
        <f>'FS Seychelles'!O5</f>
        <v>11884</v>
      </c>
      <c r="S4" s="18">
        <f>'FS Seychelles'!P5</f>
        <v>0</v>
      </c>
      <c r="T4" s="18">
        <f>'FS Seychelles'!Q5</f>
        <v>7140</v>
      </c>
      <c r="U4" s="18">
        <f>'FS Seychelles'!R5</f>
        <v>69</v>
      </c>
      <c r="V4" s="18">
        <f>'FS Seychelles'!S5</f>
        <v>0</v>
      </c>
      <c r="W4" s="18">
        <f>'FS Seychelles'!T5</f>
        <v>75</v>
      </c>
      <c r="X4" s="18">
        <f>'FS Seychelles'!U5</f>
        <v>214</v>
      </c>
      <c r="Y4" s="18">
        <f>'FS Seychelles'!V5</f>
        <v>86</v>
      </c>
      <c r="Z4" s="18">
        <f>'FS Seychelles'!W5</f>
        <v>132</v>
      </c>
      <c r="AA4" s="18">
        <f>'FS Seychelles'!X5</f>
        <v>0</v>
      </c>
      <c r="AB4" s="18">
        <f>'FS Seychelles'!Y5</f>
        <v>0</v>
      </c>
    </row>
    <row r="5" spans="1:28" x14ac:dyDescent="0.25">
      <c r="A5" s="1" t="s">
        <v>32</v>
      </c>
      <c r="B5" s="11">
        <f t="shared" si="0"/>
        <v>4</v>
      </c>
      <c r="C5" s="11">
        <v>8</v>
      </c>
      <c r="D5" s="11">
        <v>2019</v>
      </c>
      <c r="E5" s="18">
        <f>'FS Seychelles'!B6</f>
        <v>0.62109999999999999</v>
      </c>
      <c r="F5" s="18">
        <f>'FS Seychelles'!C6*1000</f>
        <v>3428.48</v>
      </c>
      <c r="G5" s="18">
        <f>'FS Seychelles'!D6*1000</f>
        <v>6025.9840000000004</v>
      </c>
      <c r="H5" s="18">
        <f>'FS Seychelles'!E6*1000</f>
        <v>5704.96</v>
      </c>
      <c r="I5" s="18">
        <f>'FS Seychelles'!F6*1000</f>
        <v>1637.8879999999999</v>
      </c>
      <c r="J5" s="18">
        <f>'FS Seychelles'!G6*1000</f>
        <v>0</v>
      </c>
      <c r="K5" s="18">
        <f>'FS Seychelles'!H6*1000</f>
        <v>2365.5680000000002</v>
      </c>
      <c r="L5" s="18">
        <f>'FS Seychelles'!I6*1000</f>
        <v>1428.8000000000002</v>
      </c>
      <c r="M5" s="18">
        <f>'FS Seychelles'!J6*1000</f>
        <v>1620.48</v>
      </c>
      <c r="N5" s="18">
        <f>'FS Seychelles'!K6*1000</f>
        <v>3549.1839999999997</v>
      </c>
      <c r="O5" s="18">
        <f>'FS Seychelles'!L6</f>
        <v>0</v>
      </c>
      <c r="P5" s="18">
        <f>'FS Seychelles'!M6</f>
        <v>11860</v>
      </c>
      <c r="Q5" s="18">
        <f>'FS Seychelles'!N6</f>
        <v>11791</v>
      </c>
      <c r="R5" s="18">
        <f>'FS Seychelles'!O6</f>
        <v>0</v>
      </c>
      <c r="S5" s="18">
        <f>'FS Seychelles'!P6</f>
        <v>3191</v>
      </c>
      <c r="T5" s="18">
        <f>'FS Seychelles'!Q6</f>
        <v>7546</v>
      </c>
      <c r="U5" s="18">
        <f>'FS Seychelles'!R6</f>
        <v>61</v>
      </c>
      <c r="V5" s="18">
        <f>'FS Seychelles'!S6</f>
        <v>41</v>
      </c>
      <c r="W5" s="18">
        <f>'FS Seychelles'!T6</f>
        <v>65</v>
      </c>
      <c r="X5" s="18">
        <f>'FS Seychelles'!U6</f>
        <v>220</v>
      </c>
      <c r="Y5" s="18">
        <f>'FS Seychelles'!V6</f>
        <v>73</v>
      </c>
      <c r="Z5" s="18">
        <f>'FS Seychelles'!W6</f>
        <v>126</v>
      </c>
      <c r="AA5" s="18">
        <f>'FS Seychelles'!X6</f>
        <v>0</v>
      </c>
      <c r="AB5" s="18">
        <f>'FS Seychelles'!Y6</f>
        <v>0</v>
      </c>
    </row>
    <row r="6" spans="1:28" x14ac:dyDescent="0.25">
      <c r="A6" s="1" t="s">
        <v>32</v>
      </c>
      <c r="B6" s="11">
        <f t="shared" si="0"/>
        <v>5</v>
      </c>
      <c r="C6" s="11">
        <v>8</v>
      </c>
      <c r="D6" s="11">
        <v>2019</v>
      </c>
      <c r="E6" s="18">
        <f>'FS Seychelles'!B7</f>
        <v>0.68420000000000003</v>
      </c>
      <c r="F6" s="18">
        <f>'FS Seychelles'!C7*1000</f>
        <v>3198.9760000000001</v>
      </c>
      <c r="G6" s="18">
        <f>'FS Seychelles'!D7*1000</f>
        <v>5812.2239999999993</v>
      </c>
      <c r="H6" s="18">
        <f>'FS Seychelles'!E7*1000</f>
        <v>5644.8</v>
      </c>
      <c r="I6" s="18">
        <f>'FS Seychelles'!F7*1000</f>
        <v>1523.8400000000001</v>
      </c>
      <c r="J6" s="18">
        <f>'FS Seychelles'!G7*1000</f>
        <v>0</v>
      </c>
      <c r="K6" s="18">
        <f>'FS Seychelles'!H7*1000</f>
        <v>2476.7999999999997</v>
      </c>
      <c r="L6" s="18">
        <f>'FS Seychelles'!I7*1000</f>
        <v>1191.3599999999999</v>
      </c>
      <c r="M6" s="18">
        <f>'FS Seychelles'!J7*1000</f>
        <v>1681.0240000000001</v>
      </c>
      <c r="N6" s="18">
        <f>'FS Seychelles'!K7*1000</f>
        <v>3370.752</v>
      </c>
      <c r="O6" s="18">
        <f>'FS Seychelles'!L7</f>
        <v>4530</v>
      </c>
      <c r="P6" s="18">
        <f>'FS Seychelles'!M7</f>
        <v>13259</v>
      </c>
      <c r="Q6" s="18">
        <f>'FS Seychelles'!N7</f>
        <v>1106</v>
      </c>
      <c r="R6" s="18">
        <f>'FS Seychelles'!O7</f>
        <v>9566</v>
      </c>
      <c r="S6" s="18">
        <f>'FS Seychelles'!P7</f>
        <v>0</v>
      </c>
      <c r="T6" s="18">
        <f>'FS Seychelles'!Q7</f>
        <v>7665</v>
      </c>
      <c r="U6" s="18">
        <f>'FS Seychelles'!R7</f>
        <v>70</v>
      </c>
      <c r="V6" s="18">
        <f>'FS Seychelles'!S7</f>
        <v>36</v>
      </c>
      <c r="W6" s="18">
        <f>'FS Seychelles'!T7</f>
        <v>79</v>
      </c>
      <c r="X6" s="18">
        <f>'FS Seychelles'!U7</f>
        <v>219</v>
      </c>
      <c r="Y6" s="18">
        <f>'FS Seychelles'!V7</f>
        <v>145</v>
      </c>
      <c r="Z6" s="18">
        <f>'FS Seychelles'!W7</f>
        <v>122</v>
      </c>
      <c r="AA6" s="18">
        <f>'FS Seychelles'!X7</f>
        <v>0</v>
      </c>
      <c r="AB6" s="18">
        <f>'FS Seychelles'!Y7</f>
        <v>0</v>
      </c>
    </row>
    <row r="7" spans="1:28" x14ac:dyDescent="0.25">
      <c r="A7" s="1" t="s">
        <v>32</v>
      </c>
      <c r="B7" s="11">
        <f t="shared" si="0"/>
        <v>6</v>
      </c>
      <c r="C7" s="11">
        <v>8</v>
      </c>
      <c r="D7" s="11">
        <v>2019</v>
      </c>
      <c r="E7" s="18">
        <f>'FS Seychelles'!B8</f>
        <v>0.67369999999999997</v>
      </c>
      <c r="F7" s="18">
        <f>'FS Seychelles'!C8*1000</f>
        <v>3273.2160000000003</v>
      </c>
      <c r="G7" s="18">
        <f>'FS Seychelles'!D8*1000</f>
        <v>5646.0800000000008</v>
      </c>
      <c r="H7" s="18">
        <f>'FS Seychelles'!E8*1000</f>
        <v>5537.0239999999994</v>
      </c>
      <c r="I7" s="18">
        <f>'FS Seychelles'!F8*1000</f>
        <v>1627.2640000000001</v>
      </c>
      <c r="J7" s="18">
        <f>'FS Seychelles'!G8*1000</f>
        <v>0</v>
      </c>
      <c r="K7" s="18">
        <f>'FS Seychelles'!H8*1000</f>
        <v>2541.6959999999999</v>
      </c>
      <c r="L7" s="18">
        <f>'FS Seychelles'!I8*1000</f>
        <v>1355.904</v>
      </c>
      <c r="M7" s="18">
        <f>'FS Seychelles'!J8*1000</f>
        <v>1696.896</v>
      </c>
      <c r="N7" s="18">
        <f>'FS Seychelles'!K8*1000</f>
        <v>3563.52</v>
      </c>
      <c r="O7" s="18">
        <f>'FS Seychelles'!L8</f>
        <v>14528</v>
      </c>
      <c r="P7" s="18">
        <f>'FS Seychelles'!M8</f>
        <v>0</v>
      </c>
      <c r="Q7" s="18">
        <f>'FS Seychelles'!N8</f>
        <v>14479</v>
      </c>
      <c r="R7" s="18">
        <f>'FS Seychelles'!O8</f>
        <v>7057</v>
      </c>
      <c r="S7" s="18">
        <f>'FS Seychelles'!P8</f>
        <v>0</v>
      </c>
      <c r="T7" s="18">
        <f>'FS Seychelles'!Q8</f>
        <v>9917</v>
      </c>
      <c r="U7" s="18">
        <f>'FS Seychelles'!R8</f>
        <v>76</v>
      </c>
      <c r="V7" s="18">
        <f>'FS Seychelles'!S8</f>
        <v>52</v>
      </c>
      <c r="W7" s="18">
        <f>'FS Seychelles'!T8</f>
        <v>67</v>
      </c>
      <c r="X7" s="18">
        <f>'FS Seychelles'!U8</f>
        <v>226</v>
      </c>
      <c r="Y7" s="18">
        <f>'FS Seychelles'!V8</f>
        <v>86</v>
      </c>
      <c r="Z7" s="18">
        <f>'FS Seychelles'!W8</f>
        <v>135</v>
      </c>
      <c r="AA7" s="18">
        <f>'FS Seychelles'!X8</f>
        <v>0</v>
      </c>
      <c r="AB7" s="18">
        <f>'FS Seychelles'!Y8</f>
        <v>0</v>
      </c>
    </row>
    <row r="8" spans="1:28" x14ac:dyDescent="0.25">
      <c r="A8" s="1" t="s">
        <v>32</v>
      </c>
      <c r="B8" s="11">
        <f t="shared" si="0"/>
        <v>7</v>
      </c>
      <c r="C8" s="11">
        <v>8</v>
      </c>
      <c r="D8" s="11">
        <v>2019</v>
      </c>
      <c r="E8" s="18">
        <f>'FS Seychelles'!B9</f>
        <v>0.72629999999999995</v>
      </c>
      <c r="F8" s="18">
        <f>'FS Seychelles'!C9*1000</f>
        <v>3827.2</v>
      </c>
      <c r="G8" s="18">
        <f>'FS Seychelles'!D9*1000</f>
        <v>5986.5599999999995</v>
      </c>
      <c r="H8" s="18">
        <f>'FS Seychelles'!E9*1000</f>
        <v>5649.92</v>
      </c>
      <c r="I8" s="18">
        <f>'FS Seychelles'!F9*1000</f>
        <v>2021.248</v>
      </c>
      <c r="J8" s="18">
        <f>'FS Seychelles'!G9*1000</f>
        <v>0</v>
      </c>
      <c r="K8" s="18">
        <f>'FS Seychelles'!H9*1000</f>
        <v>2742.1440000000002</v>
      </c>
      <c r="L8" s="18">
        <f>'FS Seychelles'!I9*1000</f>
        <v>1374.2080000000001</v>
      </c>
      <c r="M8" s="18">
        <f>'FS Seychelles'!J9*1000</f>
        <v>1971.4560000000001</v>
      </c>
      <c r="N8" s="18">
        <f>'FS Seychelles'!K9*1000</f>
        <v>3565.3119999999999</v>
      </c>
      <c r="O8" s="18">
        <f>'FS Seychelles'!L9</f>
        <v>4161</v>
      </c>
      <c r="P8" s="18">
        <f>'FS Seychelles'!M9</f>
        <v>5742</v>
      </c>
      <c r="Q8" s="18">
        <f>'FS Seychelles'!N9</f>
        <v>12661</v>
      </c>
      <c r="R8" s="18">
        <f>'FS Seychelles'!O9</f>
        <v>0</v>
      </c>
      <c r="S8" s="18">
        <f>'FS Seychelles'!P9</f>
        <v>0</v>
      </c>
      <c r="T8" s="18">
        <f>'FS Seychelles'!Q9</f>
        <v>5946</v>
      </c>
      <c r="U8" s="18">
        <f>'FS Seychelles'!R9</f>
        <v>69</v>
      </c>
      <c r="V8" s="18">
        <f>'FS Seychelles'!S9</f>
        <v>43</v>
      </c>
      <c r="W8" s="18">
        <f>'FS Seychelles'!T9</f>
        <v>94</v>
      </c>
      <c r="X8" s="18">
        <f>'FS Seychelles'!U9</f>
        <v>300</v>
      </c>
      <c r="Y8" s="18">
        <f>'FS Seychelles'!V9</f>
        <v>74</v>
      </c>
      <c r="Z8" s="18">
        <f>'FS Seychelles'!W9</f>
        <v>121</v>
      </c>
      <c r="AA8" s="18">
        <f>'FS Seychelles'!X9</f>
        <v>0</v>
      </c>
      <c r="AB8" s="18">
        <f>'FS Seychelles'!Y9</f>
        <v>0</v>
      </c>
    </row>
    <row r="9" spans="1:28" x14ac:dyDescent="0.25">
      <c r="A9" s="1" t="s">
        <v>32</v>
      </c>
      <c r="B9" s="11">
        <f t="shared" si="0"/>
        <v>8</v>
      </c>
      <c r="C9" s="11">
        <v>8</v>
      </c>
      <c r="D9" s="11">
        <v>2019</v>
      </c>
      <c r="E9" s="18">
        <f>'FS Seychelles'!B10</f>
        <v>0.67369999999999997</v>
      </c>
      <c r="F9" s="18">
        <f>'FS Seychelles'!C10*1000</f>
        <v>3702.5280000000002</v>
      </c>
      <c r="G9" s="18">
        <f>'FS Seychelles'!D10*1000</f>
        <v>5917.44</v>
      </c>
      <c r="H9" s="18">
        <f>'FS Seychelles'!E10*1000</f>
        <v>5620.9920000000002</v>
      </c>
      <c r="I9" s="18">
        <f>'FS Seychelles'!F10*1000</f>
        <v>1953.92</v>
      </c>
      <c r="J9" s="18">
        <f>'FS Seychelles'!G10*1000</f>
        <v>0</v>
      </c>
      <c r="K9" s="18">
        <f>'FS Seychelles'!H10*1000</f>
        <v>2717.1840000000002</v>
      </c>
      <c r="L9" s="18">
        <f>'FS Seychelles'!I10*1000</f>
        <v>1364.16</v>
      </c>
      <c r="M9" s="18">
        <f>'FS Seychelles'!J10*1000</f>
        <v>1563.904</v>
      </c>
      <c r="N9" s="18">
        <f>'FS Seychelles'!K10*1000</f>
        <v>3809.0239999999999</v>
      </c>
      <c r="O9" s="18">
        <f>'FS Seychelles'!L10</f>
        <v>9825</v>
      </c>
      <c r="P9" s="18">
        <f>'FS Seychelles'!M10</f>
        <v>3870</v>
      </c>
      <c r="Q9" s="18">
        <f>'FS Seychelles'!N10</f>
        <v>4876</v>
      </c>
      <c r="R9" s="18">
        <f>'FS Seychelles'!O10</f>
        <v>7972</v>
      </c>
      <c r="S9" s="18">
        <f>'FS Seychelles'!P10</f>
        <v>0</v>
      </c>
      <c r="T9" s="18">
        <f>'FS Seychelles'!Q10</f>
        <v>7335</v>
      </c>
      <c r="U9" s="18">
        <f>'FS Seychelles'!R10</f>
        <v>81</v>
      </c>
      <c r="V9" s="18">
        <f>'FS Seychelles'!S10</f>
        <v>14</v>
      </c>
      <c r="W9" s="18">
        <f>'FS Seychelles'!T10</f>
        <v>76</v>
      </c>
      <c r="X9" s="18">
        <f>'FS Seychelles'!U10</f>
        <v>281</v>
      </c>
      <c r="Y9" s="18">
        <f>'FS Seychelles'!V10</f>
        <v>83</v>
      </c>
      <c r="Z9" s="18">
        <f>'FS Seychelles'!W10</f>
        <v>126</v>
      </c>
      <c r="AA9" s="18">
        <f>'FS Seychelles'!X10</f>
        <v>0</v>
      </c>
      <c r="AB9" s="18">
        <f>'FS Seychelles'!Y10</f>
        <v>0</v>
      </c>
    </row>
    <row r="10" spans="1:28" x14ac:dyDescent="0.25">
      <c r="A10" s="1" t="s">
        <v>32</v>
      </c>
      <c r="B10" s="11">
        <f t="shared" si="0"/>
        <v>9</v>
      </c>
      <c r="C10" s="11">
        <v>8</v>
      </c>
      <c r="D10" s="11">
        <v>2019</v>
      </c>
      <c r="E10" s="18">
        <f>'FS Seychelles'!B11</f>
        <v>0.68420000000000003</v>
      </c>
      <c r="F10" s="18">
        <f>'FS Seychelles'!C11*1000</f>
        <v>3524.096</v>
      </c>
      <c r="G10" s="18">
        <f>'FS Seychelles'!D11*1000</f>
        <v>5646.3360000000002</v>
      </c>
      <c r="H10" s="18">
        <f>'FS Seychelles'!E11*1000</f>
        <v>5667.5839999999998</v>
      </c>
      <c r="I10" s="18">
        <f>'FS Seychelles'!F11*1000</f>
        <v>2065.6639999999998</v>
      </c>
      <c r="J10" s="18">
        <f>'FS Seychelles'!G11*1000</f>
        <v>0</v>
      </c>
      <c r="K10" s="18">
        <f>'FS Seychelles'!H11*1000</f>
        <v>2616.7039999999997</v>
      </c>
      <c r="L10" s="18">
        <f>'FS Seychelles'!I11*1000</f>
        <v>1405.44</v>
      </c>
      <c r="M10" s="18">
        <f>'FS Seychelles'!J11*1000</f>
        <v>1653.12</v>
      </c>
      <c r="N10" s="18">
        <f>'FS Seychelles'!K11*1000</f>
        <v>3708.672</v>
      </c>
      <c r="O10" s="18">
        <f>'FS Seychelles'!L11</f>
        <v>4319</v>
      </c>
      <c r="P10" s="18">
        <f>'FS Seychelles'!M11</f>
        <v>11017</v>
      </c>
      <c r="Q10" s="18">
        <f>'FS Seychelles'!N11</f>
        <v>10538</v>
      </c>
      <c r="R10" s="18">
        <f>'FS Seychelles'!O11</f>
        <v>0</v>
      </c>
      <c r="S10" s="18">
        <f>'FS Seychelles'!P11</f>
        <v>1659</v>
      </c>
      <c r="T10" s="18">
        <f>'FS Seychelles'!Q11</f>
        <v>7242</v>
      </c>
      <c r="U10" s="18">
        <f>'FS Seychelles'!R11</f>
        <v>73</v>
      </c>
      <c r="V10" s="18">
        <f>'FS Seychelles'!S11</f>
        <v>21</v>
      </c>
      <c r="W10" s="18">
        <f>'FS Seychelles'!T11</f>
        <v>76</v>
      </c>
      <c r="X10" s="18">
        <f>'FS Seychelles'!U11</f>
        <v>275</v>
      </c>
      <c r="Y10" s="18">
        <f>'FS Seychelles'!V11</f>
        <v>75</v>
      </c>
      <c r="Z10" s="18">
        <f>'FS Seychelles'!W11</f>
        <v>129</v>
      </c>
      <c r="AA10" s="18">
        <f>'FS Seychelles'!X11</f>
        <v>0</v>
      </c>
      <c r="AB10" s="18">
        <f>'FS Seychelles'!Y11</f>
        <v>0</v>
      </c>
    </row>
    <row r="11" spans="1:28" x14ac:dyDescent="0.25">
      <c r="A11" s="1" t="s">
        <v>32</v>
      </c>
      <c r="B11" s="11">
        <f t="shared" si="0"/>
        <v>10</v>
      </c>
      <c r="C11" s="11">
        <v>8</v>
      </c>
      <c r="D11" s="11">
        <v>2019</v>
      </c>
      <c r="E11" s="18">
        <f>'FS Seychelles'!B12</f>
        <v>0.70530000000000004</v>
      </c>
      <c r="F11" s="18">
        <f>'FS Seychelles'!C12*1000</f>
        <v>3563.3919999999998</v>
      </c>
      <c r="G11" s="18">
        <f>'FS Seychelles'!D12*1000</f>
        <v>5761.5360000000001</v>
      </c>
      <c r="H11" s="18">
        <f>'FS Seychelles'!E12*1000</f>
        <v>5981.4400000000005</v>
      </c>
      <c r="I11" s="18">
        <f>'FS Seychelles'!F12*1000</f>
        <v>2195.4560000000001</v>
      </c>
      <c r="J11" s="18">
        <f>'FS Seychelles'!G12*1000</f>
        <v>0</v>
      </c>
      <c r="K11" s="18">
        <f>'FS Seychelles'!H12*1000</f>
        <v>2662.1440000000002</v>
      </c>
      <c r="L11" s="18">
        <f>'FS Seychelles'!I12*1000</f>
        <v>1352.384</v>
      </c>
      <c r="M11" s="18">
        <f>'FS Seychelles'!J12*1000</f>
        <v>2018.0479999999998</v>
      </c>
      <c r="N11" s="18">
        <f>'FS Seychelles'!K12*1000</f>
        <v>3632.1279999999997</v>
      </c>
      <c r="O11" s="18">
        <f>'FS Seychelles'!L12</f>
        <v>8666</v>
      </c>
      <c r="P11" s="18">
        <f>'FS Seychelles'!M12</f>
        <v>2623</v>
      </c>
      <c r="Q11" s="18">
        <f>'FS Seychelles'!N12</f>
        <v>8640</v>
      </c>
      <c r="R11" s="18">
        <f>'FS Seychelles'!O12</f>
        <v>4894</v>
      </c>
      <c r="S11" s="18">
        <f>'FS Seychelles'!P12</f>
        <v>2712</v>
      </c>
      <c r="T11" s="18">
        <f>'FS Seychelles'!Q12</f>
        <v>7483</v>
      </c>
      <c r="U11" s="18">
        <f>'FS Seychelles'!R12</f>
        <v>71</v>
      </c>
      <c r="V11" s="18">
        <f>'FS Seychelles'!S12</f>
        <v>23</v>
      </c>
      <c r="W11" s="18">
        <f>'FS Seychelles'!T12</f>
        <v>84</v>
      </c>
      <c r="X11" s="18">
        <f>'FS Seychelles'!U12</f>
        <v>317</v>
      </c>
      <c r="Y11" s="18">
        <f>'FS Seychelles'!V12</f>
        <v>72</v>
      </c>
      <c r="Z11" s="18">
        <f>'FS Seychelles'!W12</f>
        <v>127</v>
      </c>
      <c r="AA11" s="18">
        <f>'FS Seychelles'!X12</f>
        <v>0</v>
      </c>
      <c r="AB11" s="18">
        <f>'FS Seychelles'!Y12</f>
        <v>0</v>
      </c>
    </row>
    <row r="12" spans="1:28" x14ac:dyDescent="0.25">
      <c r="A12" s="1" t="s">
        <v>32</v>
      </c>
      <c r="B12" s="11">
        <f t="shared" si="0"/>
        <v>11</v>
      </c>
      <c r="C12" s="11">
        <v>8</v>
      </c>
      <c r="D12" s="11">
        <v>2019</v>
      </c>
      <c r="E12" s="18">
        <f>'FS Seychelles'!B13</f>
        <v>0.66320000000000001</v>
      </c>
      <c r="F12" s="18">
        <f>'FS Seychelles'!C13*1000</f>
        <v>3647.616</v>
      </c>
      <c r="G12" s="18">
        <f>'FS Seychelles'!D13*1000</f>
        <v>5915.3919999999998</v>
      </c>
      <c r="H12" s="18">
        <f>'FS Seychelles'!E13*1000</f>
        <v>5901.8240000000005</v>
      </c>
      <c r="I12" s="18">
        <f>'FS Seychelles'!F13*1000</f>
        <v>2044.2879999999998</v>
      </c>
      <c r="J12" s="18">
        <f>'FS Seychelles'!G13*1000</f>
        <v>0</v>
      </c>
      <c r="K12" s="18">
        <f>'FS Seychelles'!H13*1000</f>
        <v>2644.2239999999997</v>
      </c>
      <c r="L12" s="18">
        <f>'FS Seychelles'!I13*1000</f>
        <v>1386.1120000000001</v>
      </c>
      <c r="M12" s="18">
        <f>'FS Seychelles'!J13*1000</f>
        <v>1788.8</v>
      </c>
      <c r="N12" s="18">
        <f>'FS Seychelles'!K13*1000</f>
        <v>3590.1439999999998</v>
      </c>
      <c r="O12" s="18">
        <f>'FS Seychelles'!L13</f>
        <v>4395</v>
      </c>
      <c r="P12" s="18">
        <f>'FS Seychelles'!M13</f>
        <v>9881</v>
      </c>
      <c r="Q12" s="18">
        <f>'FS Seychelles'!N13</f>
        <v>7965</v>
      </c>
      <c r="R12" s="18">
        <f>'FS Seychelles'!O13</f>
        <v>5852</v>
      </c>
      <c r="S12" s="18">
        <f>'FS Seychelles'!P13</f>
        <v>0</v>
      </c>
      <c r="T12" s="18">
        <f>'FS Seychelles'!Q13</f>
        <v>7868</v>
      </c>
      <c r="U12" s="18">
        <f>'FS Seychelles'!R13</f>
        <v>63</v>
      </c>
      <c r="V12" s="18">
        <f>'FS Seychelles'!S13</f>
        <v>22</v>
      </c>
      <c r="W12" s="18">
        <f>'FS Seychelles'!T13</f>
        <v>75</v>
      </c>
      <c r="X12" s="18">
        <f>'FS Seychelles'!U13</f>
        <v>250</v>
      </c>
      <c r="Y12" s="18">
        <f>'FS Seychelles'!V13</f>
        <v>81</v>
      </c>
      <c r="Z12" s="18">
        <f>'FS Seychelles'!W13</f>
        <v>122</v>
      </c>
      <c r="AA12" s="18">
        <f>'FS Seychelles'!X13</f>
        <v>0</v>
      </c>
      <c r="AB12" s="18">
        <f>'FS Seychelles'!Y13</f>
        <v>0</v>
      </c>
    </row>
    <row r="13" spans="1:28" x14ac:dyDescent="0.25">
      <c r="A13" s="1" t="s">
        <v>32</v>
      </c>
      <c r="B13" s="11">
        <f t="shared" si="0"/>
        <v>12</v>
      </c>
      <c r="C13" s="11">
        <v>8</v>
      </c>
      <c r="D13" s="11">
        <v>2019</v>
      </c>
      <c r="E13" s="18">
        <f>'FS Seychelles'!B14</f>
        <v>0.70530000000000004</v>
      </c>
      <c r="F13" s="18">
        <f>'FS Seychelles'!C14*1000</f>
        <v>3319.9360000000001</v>
      </c>
      <c r="G13" s="18">
        <f>'FS Seychelles'!D14*1000</f>
        <v>5533.1840000000002</v>
      </c>
      <c r="H13" s="18">
        <f>'FS Seychelles'!E14*1000</f>
        <v>5800.96</v>
      </c>
      <c r="I13" s="18">
        <f>'FS Seychelles'!F14*1000</f>
        <v>1838.5920000000001</v>
      </c>
      <c r="J13" s="18">
        <f>'FS Seychelles'!G14*1000</f>
        <v>0</v>
      </c>
      <c r="K13" s="18">
        <f>'FS Seychelles'!H14*1000</f>
        <v>2843.7760000000003</v>
      </c>
      <c r="L13" s="18">
        <f>'FS Seychelles'!I14*1000</f>
        <v>1383.1679999999999</v>
      </c>
      <c r="M13" s="18">
        <f>'FS Seychelles'!J14*1000</f>
        <v>1661.056</v>
      </c>
      <c r="N13" s="18">
        <f>'FS Seychelles'!K14*1000</f>
        <v>3749.6320000000001</v>
      </c>
      <c r="O13" s="18">
        <f>'FS Seychelles'!L14</f>
        <v>7614</v>
      </c>
      <c r="P13" s="18">
        <f>'FS Seychelles'!M14</f>
        <v>4982</v>
      </c>
      <c r="Q13" s="18">
        <f>'FS Seychelles'!N14</f>
        <v>1140</v>
      </c>
      <c r="R13" s="18">
        <f>'FS Seychelles'!O14</f>
        <v>12614</v>
      </c>
      <c r="S13" s="18">
        <f>'FS Seychelles'!P14</f>
        <v>2593</v>
      </c>
      <c r="T13" s="18">
        <f>'FS Seychelles'!Q14</f>
        <v>7749</v>
      </c>
      <c r="U13" s="18">
        <f>'FS Seychelles'!R14</f>
        <v>81</v>
      </c>
      <c r="V13" s="18">
        <f>'FS Seychelles'!S14</f>
        <v>19</v>
      </c>
      <c r="W13" s="18">
        <f>'FS Seychelles'!T14</f>
        <v>111</v>
      </c>
      <c r="X13" s="18">
        <f>'FS Seychelles'!U14</f>
        <v>290</v>
      </c>
      <c r="Y13" s="18">
        <f>'FS Seychelles'!V14</f>
        <v>80</v>
      </c>
      <c r="Z13" s="18">
        <f>'FS Seychelles'!W14</f>
        <v>125</v>
      </c>
      <c r="AA13" s="18">
        <f>'FS Seychelles'!X14</f>
        <v>0</v>
      </c>
      <c r="AB13" s="18">
        <f>'FS Seychelles'!Y14</f>
        <v>0</v>
      </c>
    </row>
    <row r="14" spans="1:28" x14ac:dyDescent="0.25">
      <c r="A14" s="1" t="s">
        <v>32</v>
      </c>
      <c r="B14" s="11">
        <f t="shared" si="0"/>
        <v>13</v>
      </c>
      <c r="C14" s="11">
        <v>8</v>
      </c>
      <c r="D14" s="11">
        <v>2019</v>
      </c>
      <c r="E14" s="18">
        <f>'FS Seychelles'!B15</f>
        <v>0.62109999999999999</v>
      </c>
      <c r="F14" s="18">
        <f>'FS Seychelles'!C15*1000</f>
        <v>3351.68</v>
      </c>
      <c r="G14" s="18">
        <f>'FS Seychelles'!D15*1000</f>
        <v>5596.9279999999999</v>
      </c>
      <c r="H14" s="18">
        <f>'FS Seychelles'!E15*1000</f>
        <v>5710.848</v>
      </c>
      <c r="I14" s="18">
        <f>'FS Seychelles'!F15*1000</f>
        <v>1785.9839999999999</v>
      </c>
      <c r="J14" s="18">
        <f>'FS Seychelles'!G15*1000</f>
        <v>0</v>
      </c>
      <c r="K14" s="18">
        <f>'FS Seychelles'!H15*1000</f>
        <v>3250.4319999999998</v>
      </c>
      <c r="L14" s="18">
        <f>'FS Seychelles'!I15*1000</f>
        <v>1394.048</v>
      </c>
      <c r="M14" s="18">
        <f>'FS Seychelles'!J15*1000</f>
        <v>1665.2800000000002</v>
      </c>
      <c r="N14" s="18">
        <f>'FS Seychelles'!K15*1000</f>
        <v>3734.0160000000001</v>
      </c>
      <c r="O14" s="18">
        <f>'FS Seychelles'!L15</f>
        <v>0</v>
      </c>
      <c r="P14" s="18">
        <f>'FS Seychelles'!M15</f>
        <v>8261</v>
      </c>
      <c r="Q14" s="18">
        <f>'FS Seychelles'!N15</f>
        <v>13150</v>
      </c>
      <c r="R14" s="18">
        <f>'FS Seychelles'!O15</f>
        <v>6279</v>
      </c>
      <c r="S14" s="18">
        <f>'FS Seychelles'!P15</f>
        <v>2966</v>
      </c>
      <c r="T14" s="18">
        <f>'FS Seychelles'!Q15</f>
        <v>8441</v>
      </c>
      <c r="U14" s="18">
        <f>'FS Seychelles'!R15</f>
        <v>80</v>
      </c>
      <c r="V14" s="18">
        <f>'FS Seychelles'!S15</f>
        <v>24</v>
      </c>
      <c r="W14" s="18">
        <f>'FS Seychelles'!T15</f>
        <v>123</v>
      </c>
      <c r="X14" s="18">
        <f>'FS Seychelles'!U15</f>
        <v>267</v>
      </c>
      <c r="Y14" s="18">
        <f>'FS Seychelles'!V15</f>
        <v>72</v>
      </c>
      <c r="Z14" s="18">
        <f>'FS Seychelles'!W15</f>
        <v>126</v>
      </c>
      <c r="AA14" s="18">
        <f>'FS Seychelles'!X15</f>
        <v>0</v>
      </c>
      <c r="AB14" s="18">
        <f>'FS Seychelles'!Y15</f>
        <v>0</v>
      </c>
    </row>
    <row r="15" spans="1:28" x14ac:dyDescent="0.25">
      <c r="A15" s="1" t="s">
        <v>32</v>
      </c>
      <c r="B15" s="11">
        <f t="shared" si="0"/>
        <v>14</v>
      </c>
      <c r="C15" s="11">
        <v>8</v>
      </c>
      <c r="D15" s="11">
        <v>2019</v>
      </c>
      <c r="E15" s="18">
        <f>'FS Seychelles'!B16</f>
        <v>0.73680000000000001</v>
      </c>
      <c r="F15" s="18">
        <f>'FS Seychelles'!C16*1000</f>
        <v>3551.3599999999997</v>
      </c>
      <c r="G15" s="18">
        <f>'FS Seychelles'!D16*1000</f>
        <v>5685.76</v>
      </c>
      <c r="H15" s="18">
        <f>'FS Seychelles'!E16*1000</f>
        <v>5911.2960000000003</v>
      </c>
      <c r="I15" s="18">
        <f>'FS Seychelles'!F16*1000</f>
        <v>1678.4639999999999</v>
      </c>
      <c r="J15" s="18">
        <f>'FS Seychelles'!G16*1000</f>
        <v>0</v>
      </c>
      <c r="K15" s="18">
        <f>'FS Seychelles'!H16*1000</f>
        <v>3483.6480000000001</v>
      </c>
      <c r="L15" s="18">
        <f>'FS Seychelles'!I16*1000</f>
        <v>1312.5119999999999</v>
      </c>
      <c r="M15" s="18">
        <f>'FS Seychelles'!J16*1000</f>
        <v>1660.9279999999999</v>
      </c>
      <c r="N15" s="18">
        <f>'FS Seychelles'!K16*1000</f>
        <v>3831.808</v>
      </c>
      <c r="O15" s="18">
        <f>'FS Seychelles'!L16</f>
        <v>13601</v>
      </c>
      <c r="P15" s="18">
        <f>'FS Seychelles'!M16</f>
        <v>0</v>
      </c>
      <c r="Q15" s="18">
        <f>'FS Seychelles'!N16</f>
        <v>9808</v>
      </c>
      <c r="R15" s="18">
        <f>'FS Seychelles'!O16</f>
        <v>4469</v>
      </c>
      <c r="S15" s="18">
        <f>'FS Seychelles'!P16</f>
        <v>1470</v>
      </c>
      <c r="T15" s="18">
        <f>'FS Seychelles'!Q17</f>
        <v>8790</v>
      </c>
      <c r="U15" s="18">
        <f>'FS Seychelles'!R16</f>
        <v>81</v>
      </c>
      <c r="V15" s="18">
        <f>'FS Seychelles'!S16</f>
        <v>43</v>
      </c>
      <c r="W15" s="18">
        <f>'FS Seychelles'!T16</f>
        <v>86</v>
      </c>
      <c r="X15" s="18">
        <f>'FS Seychelles'!U16</f>
        <v>273</v>
      </c>
      <c r="Y15" s="18">
        <f>'FS Seychelles'!V16</f>
        <v>91</v>
      </c>
      <c r="Z15" s="18">
        <f>'FS Seychelles'!W16</f>
        <v>121</v>
      </c>
      <c r="AA15" s="18">
        <f>'FS Seychelles'!X16</f>
        <v>0</v>
      </c>
      <c r="AB15" s="18">
        <f>'FS Seychelles'!Y16</f>
        <v>0</v>
      </c>
    </row>
    <row r="16" spans="1:28" x14ac:dyDescent="0.25">
      <c r="A16" s="1" t="s">
        <v>32</v>
      </c>
      <c r="B16" s="11">
        <f t="shared" si="0"/>
        <v>15</v>
      </c>
      <c r="C16" s="11">
        <v>8</v>
      </c>
      <c r="D16" s="11">
        <v>2019</v>
      </c>
      <c r="E16" s="18">
        <f>'FS Seychelles'!B17</f>
        <v>0.69469999999999998</v>
      </c>
      <c r="F16" s="18">
        <f>'FS Seychelles'!C17*1000</f>
        <v>3893.5039999999999</v>
      </c>
      <c r="G16" s="18">
        <f>'FS Seychelles'!D17*1000</f>
        <v>5539.0720000000001</v>
      </c>
      <c r="H16" s="18">
        <f>'FS Seychelles'!E17*1000</f>
        <v>6073.8559999999998</v>
      </c>
      <c r="I16" s="18">
        <f>'FS Seychelles'!F17*1000</f>
        <v>1760.896</v>
      </c>
      <c r="J16" s="18">
        <f>'FS Seychelles'!G17*1000</f>
        <v>0</v>
      </c>
      <c r="K16" s="18">
        <f>'FS Seychelles'!H17*1000</f>
        <v>3583.232</v>
      </c>
      <c r="L16" s="18">
        <f>'FS Seychelles'!I17*1000</f>
        <v>1303.1680000000001</v>
      </c>
      <c r="M16" s="18">
        <f>'FS Seychelles'!J17*1000</f>
        <v>1729.28</v>
      </c>
      <c r="N16" s="18">
        <f>'FS Seychelles'!K17*1000</f>
        <v>3787.7759999999998</v>
      </c>
      <c r="O16" s="18">
        <f>'FS Seychelles'!L17</f>
        <v>7319</v>
      </c>
      <c r="P16" s="18">
        <f>'FS Seychelles'!M17</f>
        <v>0</v>
      </c>
      <c r="Q16" s="18">
        <f>'FS Seychelles'!N17</f>
        <v>12790</v>
      </c>
      <c r="R16" s="18">
        <f>'FS Seychelles'!O17</f>
        <v>11133</v>
      </c>
      <c r="S16" s="18">
        <f>'FS Seychelles'!P17</f>
        <v>479</v>
      </c>
      <c r="T16" s="18" t="e">
        <f>'FS Seychelles'!#REF!</f>
        <v>#REF!</v>
      </c>
      <c r="U16" s="18">
        <f>'FS Seychelles'!R17</f>
        <v>77</v>
      </c>
      <c r="V16" s="18">
        <f>'FS Seychelles'!S17</f>
        <v>25</v>
      </c>
      <c r="W16" s="18">
        <f>'FS Seychelles'!T17</f>
        <v>93</v>
      </c>
      <c r="X16" s="18">
        <f>'FS Seychelles'!U17</f>
        <v>269</v>
      </c>
      <c r="Y16" s="18">
        <f>'FS Seychelles'!V17</f>
        <v>84</v>
      </c>
      <c r="Z16" s="18">
        <f>'FS Seychelles'!W17</f>
        <v>83</v>
      </c>
      <c r="AA16" s="18">
        <f>'FS Seychelles'!X17</f>
        <v>0</v>
      </c>
      <c r="AB16" s="18">
        <f>'FS Seychelles'!Y17</f>
        <v>0</v>
      </c>
    </row>
    <row r="17" spans="1:28" x14ac:dyDescent="0.25">
      <c r="A17" s="1" t="s">
        <v>32</v>
      </c>
      <c r="B17" s="11">
        <f t="shared" si="0"/>
        <v>16</v>
      </c>
      <c r="C17" s="11">
        <v>8</v>
      </c>
      <c r="D17" s="11">
        <v>2019</v>
      </c>
      <c r="E17" s="18">
        <f>'FS Seychelles'!B18</f>
        <v>0.56840000000000002</v>
      </c>
      <c r="F17" s="18">
        <f>'FS Seychelles'!C18*1000</f>
        <v>3784.32</v>
      </c>
      <c r="G17" s="18">
        <f>'FS Seychelles'!D18*1000</f>
        <v>5801.4720000000007</v>
      </c>
      <c r="H17" s="18">
        <f>'FS Seychelles'!E18*1000</f>
        <v>6076.16</v>
      </c>
      <c r="I17" s="18">
        <f>'FS Seychelles'!F18*1000</f>
        <v>2318.5920000000001</v>
      </c>
      <c r="J17" s="18">
        <f>'FS Seychelles'!G18*1000</f>
        <v>0</v>
      </c>
      <c r="K17" s="18">
        <f>'FS Seychelles'!H18*1000</f>
        <v>3950.5920000000001</v>
      </c>
      <c r="L17" s="18">
        <f>'FS Seychelles'!I18*1000</f>
        <v>1369.5360000000001</v>
      </c>
      <c r="M17" s="18">
        <f>'FS Seychelles'!J18*1000</f>
        <v>1756.288</v>
      </c>
      <c r="N17" s="18">
        <f>'FS Seychelles'!K18*1000</f>
        <v>4004.6080000000002</v>
      </c>
      <c r="O17" s="18">
        <f>'FS Seychelles'!L18</f>
        <v>11409</v>
      </c>
      <c r="P17" s="18">
        <f>'FS Seychelles'!M18</f>
        <v>0</v>
      </c>
      <c r="Q17" s="18">
        <f>'FS Seychelles'!N18</f>
        <v>7667</v>
      </c>
      <c r="R17" s="18">
        <f>'FS Seychelles'!O18</f>
        <v>12374</v>
      </c>
      <c r="S17" s="18">
        <f>'FS Seychelles'!P18</f>
        <v>0</v>
      </c>
      <c r="T17" s="18">
        <f>'FS Seychelles'!Q18</f>
        <v>8452</v>
      </c>
      <c r="U17" s="18">
        <f>'FS Seychelles'!R18</f>
        <v>91</v>
      </c>
      <c r="V17" s="18">
        <f>'FS Seychelles'!S18</f>
        <v>1</v>
      </c>
      <c r="W17" s="18">
        <f>'FS Seychelles'!T18</f>
        <v>73</v>
      </c>
      <c r="X17" s="18">
        <f>'FS Seychelles'!U18</f>
        <v>267</v>
      </c>
      <c r="Y17" s="18">
        <f>'FS Seychelles'!V18</f>
        <v>85</v>
      </c>
      <c r="Z17" s="18">
        <f>'FS Seychelles'!W18</f>
        <v>133</v>
      </c>
      <c r="AA17" s="18">
        <f>'FS Seychelles'!X18</f>
        <v>0</v>
      </c>
      <c r="AB17" s="18">
        <f>'FS Seychelles'!Y18</f>
        <v>0</v>
      </c>
    </row>
    <row r="18" spans="1:28" x14ac:dyDescent="0.25">
      <c r="A18" s="1" t="s">
        <v>32</v>
      </c>
      <c r="B18" s="11">
        <f t="shared" si="0"/>
        <v>17</v>
      </c>
      <c r="C18" s="11">
        <v>8</v>
      </c>
      <c r="D18" s="11">
        <v>2019</v>
      </c>
      <c r="E18" s="18">
        <f>'FS Seychelles'!B19</f>
        <v>0.63160000000000005</v>
      </c>
      <c r="F18" s="18">
        <f>'FS Seychelles'!C19*1000</f>
        <v>3441.4079999999999</v>
      </c>
      <c r="G18" s="18">
        <f>'FS Seychelles'!D19*1000</f>
        <v>5898.2400000000007</v>
      </c>
      <c r="H18" s="18">
        <f>'FS Seychelles'!E19*1000</f>
        <v>5930.4960000000001</v>
      </c>
      <c r="I18" s="18">
        <f>'FS Seychelles'!F19*1000</f>
        <v>2520.0640000000003</v>
      </c>
      <c r="J18" s="18">
        <f>'FS Seychelles'!G19*1000</f>
        <v>0</v>
      </c>
      <c r="K18" s="18">
        <f>'FS Seychelles'!H19*1000</f>
        <v>3616.2559999999999</v>
      </c>
      <c r="L18" s="18">
        <f>'FS Seychelles'!I19*1000</f>
        <v>1248.8319999999999</v>
      </c>
      <c r="M18" s="18">
        <f>'FS Seychelles'!J19*1000</f>
        <v>1709.568</v>
      </c>
      <c r="N18" s="18">
        <f>'FS Seychelles'!K19*1000</f>
        <v>3851.0080000000003</v>
      </c>
      <c r="O18" s="18">
        <f>'FS Seychelles'!L19</f>
        <v>7431</v>
      </c>
      <c r="P18" s="18">
        <f>'FS Seychelles'!M19</f>
        <v>0</v>
      </c>
      <c r="Q18" s="18">
        <f>'FS Seychelles'!N19</f>
        <v>11890</v>
      </c>
      <c r="R18" s="18">
        <f>'FS Seychelles'!O19</f>
        <v>9705</v>
      </c>
      <c r="S18" s="18">
        <f>'FS Seychelles'!P19</f>
        <v>0</v>
      </c>
      <c r="T18" s="18">
        <f>'FS Seychelles'!Q19</f>
        <v>7726</v>
      </c>
      <c r="U18" s="18">
        <f>'FS Seychelles'!R19</f>
        <v>83</v>
      </c>
      <c r="V18" s="18">
        <f>'FS Seychelles'!S19</f>
        <v>22</v>
      </c>
      <c r="W18" s="18">
        <f>'FS Seychelles'!T19</f>
        <v>84</v>
      </c>
      <c r="X18" s="18">
        <f>'FS Seychelles'!U19</f>
        <v>321</v>
      </c>
      <c r="Y18" s="18">
        <f>'FS Seychelles'!V19</f>
        <v>75</v>
      </c>
      <c r="Z18" s="18">
        <f>'FS Seychelles'!W19</f>
        <v>132</v>
      </c>
      <c r="AA18" s="18">
        <f>'FS Seychelles'!X19</f>
        <v>0</v>
      </c>
      <c r="AB18" s="18">
        <f>'FS Seychelles'!Y19</f>
        <v>0</v>
      </c>
    </row>
    <row r="19" spans="1:28" x14ac:dyDescent="0.25">
      <c r="A19" s="1" t="s">
        <v>32</v>
      </c>
      <c r="B19" s="11">
        <f t="shared" si="0"/>
        <v>18</v>
      </c>
      <c r="C19" s="11">
        <v>8</v>
      </c>
      <c r="D19" s="11">
        <v>2019</v>
      </c>
      <c r="E19" s="18">
        <f>'FS Seychelles'!B20</f>
        <v>0.63160000000000005</v>
      </c>
      <c r="F19" s="18">
        <f>'FS Seychelles'!C20*1000</f>
        <v>3455.8719999999998</v>
      </c>
      <c r="G19" s="18">
        <f>'FS Seychelles'!D20*1000</f>
        <v>5466.3680000000004</v>
      </c>
      <c r="H19" s="18">
        <f>'FS Seychelles'!E20*1000</f>
        <v>5820.16</v>
      </c>
      <c r="I19" s="18">
        <f>'FS Seychelles'!F20*1000</f>
        <v>2594.944</v>
      </c>
      <c r="J19" s="18">
        <f>'FS Seychelles'!G20*1000</f>
        <v>0</v>
      </c>
      <c r="K19" s="18">
        <f>'FS Seychelles'!H20*1000</f>
        <v>2996.48</v>
      </c>
      <c r="L19" s="18">
        <f>'FS Seychelles'!I20*1000</f>
        <v>1327.296</v>
      </c>
      <c r="M19" s="18">
        <f>'FS Seychelles'!J20*1000</f>
        <v>1584.2560000000001</v>
      </c>
      <c r="N19" s="18">
        <f>'FS Seychelles'!K20*1000</f>
        <v>3905.2799999999997</v>
      </c>
      <c r="O19" s="18">
        <f>'FS Seychelles'!L20</f>
        <v>9909</v>
      </c>
      <c r="P19" s="18">
        <f>'FS Seychelles'!M20</f>
        <v>0</v>
      </c>
      <c r="Q19" s="18">
        <f>'FS Seychelles'!N20</f>
        <v>5590</v>
      </c>
      <c r="R19" s="18">
        <f>'FS Seychelles'!O20</f>
        <v>13019</v>
      </c>
      <c r="S19" s="18">
        <f>'FS Seychelles'!P20</f>
        <v>1571</v>
      </c>
      <c r="T19" s="18">
        <f>'FS Seychelles'!Q20</f>
        <v>8117</v>
      </c>
      <c r="U19" s="18">
        <f>'FS Seychelles'!R20</f>
        <v>68</v>
      </c>
      <c r="V19" s="18">
        <f>'FS Seychelles'!S20</f>
        <v>125</v>
      </c>
      <c r="W19" s="18">
        <f>'FS Seychelles'!T20</f>
        <v>69</v>
      </c>
      <c r="X19" s="18">
        <f>'FS Seychelles'!U20</f>
        <v>256</v>
      </c>
      <c r="Y19" s="18">
        <f>'FS Seychelles'!V20</f>
        <v>92</v>
      </c>
      <c r="Z19" s="18">
        <f>'FS Seychelles'!W20</f>
        <v>105</v>
      </c>
      <c r="AA19" s="18">
        <f>'FS Seychelles'!X20</f>
        <v>0</v>
      </c>
      <c r="AB19" s="18">
        <f>'FS Seychelles'!Y20</f>
        <v>0</v>
      </c>
    </row>
    <row r="20" spans="1:28" x14ac:dyDescent="0.25">
      <c r="A20" s="1" t="s">
        <v>32</v>
      </c>
      <c r="B20" s="11">
        <f t="shared" si="0"/>
        <v>19</v>
      </c>
      <c r="C20" s="11">
        <v>8</v>
      </c>
      <c r="D20" s="11">
        <v>2019</v>
      </c>
      <c r="E20" s="18">
        <f>'FS Seychelles'!B21</f>
        <v>0.47370000000000001</v>
      </c>
      <c r="F20" s="18">
        <f>'FS Seychelles'!C21*1000</f>
        <v>3557.12</v>
      </c>
      <c r="G20" s="18">
        <f>'FS Seychelles'!D21*1000</f>
        <v>5447.1679999999997</v>
      </c>
      <c r="H20" s="18">
        <f>'FS Seychelles'!E21*1000</f>
        <v>5893.6320000000005</v>
      </c>
      <c r="I20" s="18">
        <f>'FS Seychelles'!F21*1000</f>
        <v>2624.384</v>
      </c>
      <c r="J20" s="18">
        <f>'FS Seychelles'!G21*1000</f>
        <v>0</v>
      </c>
      <c r="K20" s="18">
        <f>'FS Seychelles'!H21*1000</f>
        <v>3191.1679999999997</v>
      </c>
      <c r="L20" s="18">
        <f>'FS Seychelles'!I21*1000</f>
        <v>1234.8159999999998</v>
      </c>
      <c r="M20" s="18">
        <f>'FS Seychelles'!J21*1000</f>
        <v>1495.5519999999999</v>
      </c>
      <c r="N20" s="18">
        <f>'FS Seychelles'!K21*1000</f>
        <v>3706.88</v>
      </c>
      <c r="O20" s="18">
        <f>'FS Seychelles'!L21</f>
        <v>9511</v>
      </c>
      <c r="P20" s="18">
        <f>'FS Seychelles'!M21</f>
        <v>0</v>
      </c>
      <c r="Q20" s="18">
        <f>'FS Seychelles'!N21</f>
        <v>7826</v>
      </c>
      <c r="R20" s="18">
        <f>'FS Seychelles'!O21</f>
        <v>12212</v>
      </c>
      <c r="S20" s="18">
        <f>'FS Seychelles'!P21</f>
        <v>1212</v>
      </c>
      <c r="T20" s="18">
        <f>'FS Seychelles'!Q21</f>
        <v>8699</v>
      </c>
      <c r="U20" s="18">
        <f>'FS Seychelles'!R21</f>
        <v>81</v>
      </c>
      <c r="V20" s="18">
        <f>'FS Seychelles'!S21</f>
        <v>28</v>
      </c>
      <c r="W20" s="18">
        <f>'FS Seychelles'!T21</f>
        <v>87</v>
      </c>
      <c r="X20" s="18">
        <f>'FS Seychelles'!U21</f>
        <v>258</v>
      </c>
      <c r="Y20" s="18">
        <f>'FS Seychelles'!V21</f>
        <v>81</v>
      </c>
      <c r="Z20" s="18">
        <f>'FS Seychelles'!W21</f>
        <v>115</v>
      </c>
      <c r="AA20" s="18">
        <f>'FS Seychelles'!X21</f>
        <v>0</v>
      </c>
      <c r="AB20" s="18">
        <f>'FS Seychelles'!Y21</f>
        <v>0</v>
      </c>
    </row>
    <row r="21" spans="1:28" x14ac:dyDescent="0.25">
      <c r="A21" s="1" t="s">
        <v>32</v>
      </c>
      <c r="B21" s="11">
        <f t="shared" si="0"/>
        <v>20</v>
      </c>
      <c r="C21" s="11">
        <v>8</v>
      </c>
      <c r="D21" s="11">
        <v>2019</v>
      </c>
      <c r="E21" s="18">
        <f>'FS Seychelles'!B22</f>
        <v>0.88419999999999999</v>
      </c>
      <c r="F21" s="18">
        <f>'FS Seychelles'!C22*1000</f>
        <v>4059.7760000000003</v>
      </c>
      <c r="G21" s="18">
        <f>'FS Seychelles'!D22*1000</f>
        <v>5646.3360000000002</v>
      </c>
      <c r="H21" s="18">
        <f>'FS Seychelles'!E22*1000</f>
        <v>5792.2560000000003</v>
      </c>
      <c r="I21" s="18">
        <f>'FS Seychelles'!F22*1000</f>
        <v>2635.904</v>
      </c>
      <c r="J21" s="18">
        <f>'FS Seychelles'!G22*1000</f>
        <v>0</v>
      </c>
      <c r="K21" s="18">
        <f>'FS Seychelles'!H22*1000</f>
        <v>2848.384</v>
      </c>
      <c r="L21" s="18">
        <f>'FS Seychelles'!I22*1000</f>
        <v>1219.904</v>
      </c>
      <c r="M21" s="18">
        <f>'FS Seychelles'!J22*1000</f>
        <v>1559.808</v>
      </c>
      <c r="N21" s="18">
        <f>'FS Seychelles'!K22*1000</f>
        <v>3904.2560000000003</v>
      </c>
      <c r="O21" s="18">
        <f>'FS Seychelles'!L22</f>
        <v>12902</v>
      </c>
      <c r="P21" s="18">
        <f>'FS Seychelles'!M22</f>
        <v>0</v>
      </c>
      <c r="Q21" s="18">
        <f>'FS Seychelles'!N22</f>
        <v>12038</v>
      </c>
      <c r="R21" s="18">
        <f>'FS Seychelles'!O22</f>
        <v>7806</v>
      </c>
      <c r="S21" s="18">
        <f>'FS Seychelles'!P22</f>
        <v>0</v>
      </c>
      <c r="T21" s="18">
        <f>'FS Seychelles'!Q22</f>
        <v>8461</v>
      </c>
      <c r="U21" s="18">
        <f>'FS Seychelles'!R22</f>
        <v>91</v>
      </c>
      <c r="V21" s="18">
        <f>'FS Seychelles'!S22</f>
        <v>21</v>
      </c>
      <c r="W21" s="18">
        <f>'FS Seychelles'!T22</f>
        <v>87</v>
      </c>
      <c r="X21" s="18">
        <f>'FS Seychelles'!U22</f>
        <v>242</v>
      </c>
      <c r="Y21" s="18">
        <f>'FS Seychelles'!V22</f>
        <v>80</v>
      </c>
      <c r="Z21" s="18">
        <f>'FS Seychelles'!W22</f>
        <v>110</v>
      </c>
      <c r="AA21" s="18">
        <f>'FS Seychelles'!X22</f>
        <v>0</v>
      </c>
      <c r="AB21" s="18">
        <f>'FS Seychelles'!Y22</f>
        <v>0</v>
      </c>
    </row>
    <row r="22" spans="1:28" x14ac:dyDescent="0.25">
      <c r="A22" s="1" t="s">
        <v>32</v>
      </c>
      <c r="B22" s="11">
        <f t="shared" si="0"/>
        <v>21</v>
      </c>
      <c r="C22" s="11">
        <v>8</v>
      </c>
      <c r="D22" s="11">
        <v>2019</v>
      </c>
      <c r="E22" s="18">
        <f>'FS Seychelles'!B23</f>
        <v>0.86319999999999997</v>
      </c>
      <c r="F22" s="18">
        <f>'FS Seychelles'!C23*1000</f>
        <v>4379.9039999999995</v>
      </c>
      <c r="G22" s="18">
        <f>'FS Seychelles'!D23*1000</f>
        <v>5521.6640000000007</v>
      </c>
      <c r="H22" s="18">
        <f>'FS Seychelles'!E23*1000</f>
        <v>5852.16</v>
      </c>
      <c r="I22" s="18">
        <f>'FS Seychelles'!F23*1000</f>
        <v>2933.3760000000002</v>
      </c>
      <c r="J22" s="18">
        <f>'FS Seychelles'!G23*1000</f>
        <v>0</v>
      </c>
      <c r="K22" s="18">
        <f>'FS Seychelles'!H23*1000</f>
        <v>3261.5680000000002</v>
      </c>
      <c r="L22" s="18">
        <f>'FS Seychelles'!I23*1000</f>
        <v>1275.136</v>
      </c>
      <c r="M22" s="18">
        <f>'FS Seychelles'!J23*1000</f>
        <v>1753.472</v>
      </c>
      <c r="N22" s="18">
        <f>'FS Seychelles'!K23*1000</f>
        <v>4003.328</v>
      </c>
      <c r="O22" s="18">
        <f>'FS Seychelles'!L23</f>
        <v>4615</v>
      </c>
      <c r="P22" s="18">
        <f>'FS Seychelles'!M23</f>
        <v>5619</v>
      </c>
      <c r="Q22" s="18">
        <f>'FS Seychelles'!N23</f>
        <v>6008</v>
      </c>
      <c r="R22" s="18">
        <f>'FS Seychelles'!O23</f>
        <v>11604</v>
      </c>
      <c r="S22" s="18">
        <f>'FS Seychelles'!P23</f>
        <v>1244</v>
      </c>
      <c r="T22" s="18">
        <f>'FS Seychelles'!Q23</f>
        <v>8331</v>
      </c>
      <c r="U22" s="18">
        <f>'FS Seychelles'!R23</f>
        <v>81</v>
      </c>
      <c r="V22" s="18">
        <f>'FS Seychelles'!S23</f>
        <v>30</v>
      </c>
      <c r="W22" s="18">
        <f>'FS Seychelles'!T23</f>
        <v>65</v>
      </c>
      <c r="X22" s="18">
        <f>'FS Seychelles'!U23</f>
        <v>352</v>
      </c>
      <c r="Y22" s="18">
        <f>'FS Seychelles'!V23</f>
        <v>89</v>
      </c>
      <c r="Z22" s="18">
        <f>'FS Seychelles'!W23</f>
        <v>135</v>
      </c>
      <c r="AA22" s="18">
        <f>'FS Seychelles'!X23</f>
        <v>0</v>
      </c>
      <c r="AB22" s="18">
        <f>'FS Seychelles'!Y23</f>
        <v>0</v>
      </c>
    </row>
    <row r="23" spans="1:28" x14ac:dyDescent="0.25">
      <c r="A23" s="1" t="s">
        <v>32</v>
      </c>
      <c r="B23" s="11">
        <f t="shared" si="0"/>
        <v>22</v>
      </c>
      <c r="C23" s="11">
        <v>8</v>
      </c>
      <c r="D23" s="11">
        <v>2019</v>
      </c>
      <c r="E23" s="18">
        <f>'FS Seychelles'!B24</f>
        <v>0.8105</v>
      </c>
      <c r="F23" s="18">
        <f>'FS Seychelles'!C24*1000</f>
        <v>3679.4880000000003</v>
      </c>
      <c r="G23" s="18">
        <f>'FS Seychelles'!D24*1000</f>
        <v>5073.6639999999998</v>
      </c>
      <c r="H23" s="18">
        <f>'FS Seychelles'!E24*1000</f>
        <v>5693.9520000000002</v>
      </c>
      <c r="I23" s="18">
        <f>'FS Seychelles'!F24*1000</f>
        <v>2592.64</v>
      </c>
      <c r="J23" s="18">
        <f>'FS Seychelles'!G24*1000</f>
        <v>0</v>
      </c>
      <c r="K23" s="18">
        <f>'FS Seychelles'!H24*1000</f>
        <v>3185.0239999999999</v>
      </c>
      <c r="L23" s="18">
        <f>'FS Seychelles'!I24*1000</f>
        <v>1358.2719999999999</v>
      </c>
      <c r="M23" s="18">
        <f>'FS Seychelles'!J24*1000</f>
        <v>1904.1280000000002</v>
      </c>
      <c r="N23" s="18">
        <f>'FS Seychelles'!K24*1000</f>
        <v>3985.4079999999999</v>
      </c>
      <c r="O23" s="18">
        <f>'FS Seychelles'!L24</f>
        <v>9172</v>
      </c>
      <c r="P23" s="18">
        <f>'FS Seychelles'!M24</f>
        <v>8519</v>
      </c>
      <c r="Q23" s="18">
        <f>'FS Seychelles'!N24</f>
        <v>8665</v>
      </c>
      <c r="R23" s="18">
        <f>'FS Seychelles'!O24</f>
        <v>2788</v>
      </c>
      <c r="S23" s="18">
        <f>'FS Seychelles'!P24</f>
        <v>0</v>
      </c>
      <c r="T23" s="18">
        <f>'FS Seychelles'!Q24</f>
        <v>8140</v>
      </c>
      <c r="U23" s="18">
        <f>'FS Seychelles'!R24</f>
        <v>76</v>
      </c>
      <c r="V23" s="18">
        <f>'FS Seychelles'!S24</f>
        <v>51</v>
      </c>
      <c r="W23" s="18">
        <f>'FS Seychelles'!T24</f>
        <v>105</v>
      </c>
      <c r="X23" s="18">
        <f>'FS Seychelles'!U24</f>
        <v>218</v>
      </c>
      <c r="Y23" s="18">
        <f>'FS Seychelles'!V24</f>
        <v>97</v>
      </c>
      <c r="Z23" s="18">
        <f>'FS Seychelles'!W24</f>
        <v>135</v>
      </c>
      <c r="AA23" s="18">
        <f>'FS Seychelles'!X24</f>
        <v>0</v>
      </c>
      <c r="AB23" s="18">
        <f>'FS Seychelles'!Y24</f>
        <v>0</v>
      </c>
    </row>
    <row r="24" spans="1:28" x14ac:dyDescent="0.25">
      <c r="A24" s="1" t="s">
        <v>32</v>
      </c>
      <c r="B24" s="11">
        <f t="shared" si="0"/>
        <v>23</v>
      </c>
      <c r="C24" s="11">
        <v>8</v>
      </c>
      <c r="D24" s="11">
        <v>2019</v>
      </c>
      <c r="E24" s="18">
        <f>'FS Seychelles'!B25</f>
        <v>0.87370000000000003</v>
      </c>
      <c r="F24" s="18">
        <f>'FS Seychelles'!C25*1000</f>
        <v>4569.8559999999998</v>
      </c>
      <c r="G24" s="18">
        <f>'FS Seychelles'!D25*1000</f>
        <v>5413.8879999999999</v>
      </c>
      <c r="H24" s="18">
        <f>'FS Seychelles'!E25*1000</f>
        <v>6083.5839999999998</v>
      </c>
      <c r="I24" s="18">
        <f>'FS Seychelles'!F25*1000</f>
        <v>2699.904</v>
      </c>
      <c r="J24" s="18">
        <f>'FS Seychelles'!G25*1000</f>
        <v>0</v>
      </c>
      <c r="K24" s="18">
        <f>'FS Seychelles'!H25*1000</f>
        <v>3102.7200000000003</v>
      </c>
      <c r="L24" s="18">
        <f>'FS Seychelles'!I25*1000</f>
        <v>1175.1679999999999</v>
      </c>
      <c r="M24" s="18">
        <f>'FS Seychelles'!J25*1000</f>
        <v>2002.9439999999997</v>
      </c>
      <c r="N24" s="18">
        <f>'FS Seychelles'!K25*1000</f>
        <v>3936.768</v>
      </c>
      <c r="O24" s="18">
        <f>'FS Seychelles'!L25</f>
        <v>6252</v>
      </c>
      <c r="P24" s="18">
        <f>'FS Seychelles'!M25</f>
        <v>9888</v>
      </c>
      <c r="Q24" s="18">
        <f>'FS Seychelles'!N25</f>
        <v>8103</v>
      </c>
      <c r="R24" s="18">
        <f>'FS Seychelles'!O25</f>
        <v>7886</v>
      </c>
      <c r="S24" s="18">
        <f>'FS Seychelles'!P25</f>
        <v>0</v>
      </c>
      <c r="T24" s="18">
        <f>'FS Seychelles'!Q25</f>
        <v>8906</v>
      </c>
      <c r="U24" s="18">
        <f>'FS Seychelles'!R25</f>
        <v>81</v>
      </c>
      <c r="V24" s="18">
        <f>'FS Seychelles'!S25</f>
        <v>26</v>
      </c>
      <c r="W24" s="18">
        <f>'FS Seychelles'!T25</f>
        <v>108</v>
      </c>
      <c r="X24" s="18">
        <f>'FS Seychelles'!U25</f>
        <v>258</v>
      </c>
      <c r="Y24" s="18">
        <f>'FS Seychelles'!V25</f>
        <v>93</v>
      </c>
      <c r="Z24" s="18">
        <f>'FS Seychelles'!W25</f>
        <v>128</v>
      </c>
      <c r="AA24" s="18">
        <f>'FS Seychelles'!X25</f>
        <v>0</v>
      </c>
      <c r="AB24" s="18">
        <f>'FS Seychelles'!Y25</f>
        <v>0</v>
      </c>
    </row>
    <row r="25" spans="1:28" x14ac:dyDescent="0.25">
      <c r="A25" s="1" t="s">
        <v>32</v>
      </c>
      <c r="B25" s="11">
        <f t="shared" si="0"/>
        <v>24</v>
      </c>
      <c r="C25" s="11">
        <v>8</v>
      </c>
      <c r="D25" s="11">
        <v>2019</v>
      </c>
      <c r="E25" s="18">
        <f>'FS Seychelles'!B26</f>
        <v>0.90529999999999999</v>
      </c>
      <c r="F25" s="18">
        <f>'FS Seychelles'!C26*1000</f>
        <v>4805.8880000000008</v>
      </c>
      <c r="G25" s="18">
        <f>'FS Seychelles'!D26*1000</f>
        <v>5406.72</v>
      </c>
      <c r="H25" s="18">
        <f>'FS Seychelles'!E26*1000</f>
        <v>6096.8959999999997</v>
      </c>
      <c r="I25" s="18">
        <f>'FS Seychelles'!F26*1000</f>
        <v>2969.3440000000001</v>
      </c>
      <c r="J25" s="18">
        <f>'FS Seychelles'!G26*1000</f>
        <v>0</v>
      </c>
      <c r="K25" s="18">
        <f>'FS Seychelles'!H26*1000</f>
        <v>2505.7280000000001</v>
      </c>
      <c r="L25" s="18">
        <f>'FS Seychelles'!I26*1000</f>
        <v>1254.72</v>
      </c>
      <c r="M25" s="18">
        <f>'FS Seychelles'!J26*1000</f>
        <v>2107.6480000000001</v>
      </c>
      <c r="N25" s="18">
        <f>'FS Seychelles'!K26*1000</f>
        <v>4035.0720000000006</v>
      </c>
      <c r="O25" s="18">
        <f>'FS Seychelles'!L26</f>
        <v>7565</v>
      </c>
      <c r="P25" s="18">
        <f>'FS Seychelles'!M26</f>
        <v>10527</v>
      </c>
      <c r="Q25" s="18">
        <f>'FS Seychelles'!N26</f>
        <v>7000</v>
      </c>
      <c r="R25" s="18">
        <f>'FS Seychelles'!O26</f>
        <v>7852</v>
      </c>
      <c r="S25" s="18">
        <f>'FS Seychelles'!P26</f>
        <v>0</v>
      </c>
      <c r="T25" s="18">
        <f>'FS Seychelles'!Q26</f>
        <v>9073</v>
      </c>
      <c r="U25" s="18">
        <f>'FS Seychelles'!R26</f>
        <v>88</v>
      </c>
      <c r="V25" s="18">
        <f>'FS Seychelles'!S26</f>
        <v>111</v>
      </c>
      <c r="W25" s="18">
        <f>'FS Seychelles'!T26</f>
        <v>100</v>
      </c>
      <c r="X25" s="18">
        <f>'FS Seychelles'!U26</f>
        <v>242</v>
      </c>
      <c r="Y25" s="18">
        <f>'FS Seychelles'!V26</f>
        <v>109</v>
      </c>
      <c r="Z25" s="18">
        <f>'FS Seychelles'!W26</f>
        <v>102</v>
      </c>
      <c r="AA25" s="18">
        <f>'FS Seychelles'!X26</f>
        <v>0</v>
      </c>
      <c r="AB25" s="18">
        <f>'FS Seychelles'!Y26</f>
        <v>0</v>
      </c>
    </row>
    <row r="26" spans="1:28" x14ac:dyDescent="0.25">
      <c r="A26" s="1" t="s">
        <v>32</v>
      </c>
      <c r="B26" s="11">
        <f>B25+1</f>
        <v>25</v>
      </c>
      <c r="C26" s="11">
        <v>8</v>
      </c>
      <c r="D26" s="11">
        <v>2019</v>
      </c>
      <c r="E26" s="18">
        <f>'FS Seychelles'!B27</f>
        <v>0.88419999999999999</v>
      </c>
      <c r="F26" s="18">
        <f>'FS Seychelles'!C27*1000</f>
        <v>5068.0319999999992</v>
      </c>
      <c r="G26" s="18">
        <f>'FS Seychelles'!D27*1000</f>
        <v>5317.12</v>
      </c>
      <c r="H26" s="18">
        <f>'FS Seychelles'!E27*1000</f>
        <v>6332.4160000000002</v>
      </c>
      <c r="I26" s="18">
        <f>'FS Seychelles'!F27*1000</f>
        <v>3199.616</v>
      </c>
      <c r="J26" s="18">
        <f>'FS Seychelles'!G27*1000</f>
        <v>0</v>
      </c>
      <c r="K26" s="18">
        <f>'FS Seychelles'!H27*1000</f>
        <v>2538.3680000000004</v>
      </c>
      <c r="L26" s="18">
        <f>'FS Seychelles'!I27*1000</f>
        <v>1362.2399999999998</v>
      </c>
      <c r="M26" s="18">
        <f>'FS Seychelles'!J27*1000</f>
        <v>2088.3200000000002</v>
      </c>
      <c r="N26" s="18">
        <f>'FS Seychelles'!K27*1000</f>
        <v>4154.1119999999992</v>
      </c>
      <c r="O26" s="18">
        <f>'FS Seychelles'!L27</f>
        <v>9169</v>
      </c>
      <c r="P26" s="18">
        <f>'FS Seychelles'!M27</f>
        <v>6154</v>
      </c>
      <c r="Q26" s="18">
        <f>'FS Seychelles'!N27</f>
        <v>9991</v>
      </c>
      <c r="R26" s="18">
        <f>'FS Seychelles'!O27</f>
        <v>7153</v>
      </c>
      <c r="S26" s="18">
        <f>'FS Seychelles'!P27</f>
        <v>0</v>
      </c>
      <c r="T26" s="18">
        <f>'FS Seychelles'!Q27</f>
        <v>8896</v>
      </c>
      <c r="U26" s="18">
        <f>'FS Seychelles'!R27</f>
        <v>82</v>
      </c>
      <c r="V26" s="18">
        <f>'FS Seychelles'!S27</f>
        <v>42</v>
      </c>
      <c r="W26" s="18">
        <f>'FS Seychelles'!T27</f>
        <v>106</v>
      </c>
      <c r="X26" s="18">
        <f>'FS Seychelles'!U27</f>
        <v>240</v>
      </c>
      <c r="Y26" s="18">
        <f>'FS Seychelles'!V27</f>
        <v>122</v>
      </c>
      <c r="Z26" s="18">
        <f>'FS Seychelles'!W27</f>
        <v>120</v>
      </c>
      <c r="AA26" s="18">
        <f>'FS Seychelles'!X27</f>
        <v>0</v>
      </c>
      <c r="AB26" s="18">
        <f>'FS Seychelles'!Y27</f>
        <v>0</v>
      </c>
    </row>
    <row r="27" spans="1:28" x14ac:dyDescent="0.25">
      <c r="A27" s="1" t="s">
        <v>32</v>
      </c>
      <c r="B27" s="11">
        <f t="shared" si="0"/>
        <v>26</v>
      </c>
      <c r="C27" s="11">
        <v>8</v>
      </c>
      <c r="D27" s="11">
        <v>2019</v>
      </c>
      <c r="E27" s="18">
        <f>'FS Seychelles'!B28</f>
        <v>0.84209999999999996</v>
      </c>
      <c r="F27" s="18">
        <f>'FS Seychelles'!C28*1000</f>
        <v>5030.6559999999999</v>
      </c>
      <c r="G27" s="18">
        <f>'FS Seychelles'!D28*1000</f>
        <v>5142.2719999999999</v>
      </c>
      <c r="H27" s="18">
        <f>'FS Seychelles'!E28*1000</f>
        <v>6287.616</v>
      </c>
      <c r="I27" s="18">
        <f>'FS Seychelles'!F28*1000</f>
        <v>3015.808</v>
      </c>
      <c r="J27" s="18">
        <f>'FS Seychelles'!G28*1000</f>
        <v>0</v>
      </c>
      <c r="K27" s="18">
        <f>'FS Seychelles'!H28*1000</f>
        <v>3333.7599999999998</v>
      </c>
      <c r="L27" s="18">
        <f>'FS Seychelles'!I28*1000</f>
        <v>1323.1999999999998</v>
      </c>
      <c r="M27" s="18">
        <f>'FS Seychelles'!J28*1000</f>
        <v>1945.472</v>
      </c>
      <c r="N27" s="18">
        <f>'FS Seychelles'!K28*1000</f>
        <v>4142.08</v>
      </c>
      <c r="O27" s="18">
        <f>'FS Seychelles'!L28</f>
        <v>11283</v>
      </c>
      <c r="P27" s="18">
        <f>'FS Seychelles'!M28</f>
        <v>0</v>
      </c>
      <c r="Q27" s="18">
        <f>'FS Seychelles'!N28</f>
        <v>9007</v>
      </c>
      <c r="R27" s="18">
        <f>'FS Seychelles'!O28</f>
        <v>11170</v>
      </c>
      <c r="S27" s="18">
        <f>'FS Seychelles'!P28</f>
        <v>0</v>
      </c>
      <c r="T27" s="18">
        <f>'FS Seychelles'!Q28</f>
        <v>8576</v>
      </c>
      <c r="U27" s="18">
        <f>'FS Seychelles'!R28</f>
        <v>101</v>
      </c>
      <c r="V27" s="18">
        <f>'FS Seychelles'!S28</f>
        <v>117</v>
      </c>
      <c r="W27" s="18">
        <f>'FS Seychelles'!T28</f>
        <v>102</v>
      </c>
      <c r="X27" s="18">
        <f>'FS Seychelles'!U28</f>
        <v>271</v>
      </c>
      <c r="Y27" s="18">
        <f>'FS Seychelles'!V28</f>
        <v>118</v>
      </c>
      <c r="Z27" s="18">
        <f>'FS Seychelles'!W28</f>
        <v>10</v>
      </c>
      <c r="AA27" s="18">
        <f>'FS Seychelles'!X28</f>
        <v>0</v>
      </c>
      <c r="AB27" s="18">
        <f>'FS Seychelles'!Y28</f>
        <v>0</v>
      </c>
    </row>
    <row r="28" spans="1:28" x14ac:dyDescent="0.25">
      <c r="A28" s="1" t="s">
        <v>32</v>
      </c>
      <c r="B28" s="11">
        <f t="shared" si="0"/>
        <v>27</v>
      </c>
      <c r="C28" s="11">
        <v>8</v>
      </c>
      <c r="D28" s="11">
        <v>2019</v>
      </c>
      <c r="E28" s="18">
        <f>'FS Seychelles'!B29</f>
        <v>0.92630000000000001</v>
      </c>
      <c r="F28" s="18">
        <f>'FS Seychelles'!C29*1000</f>
        <v>5416.7040000000006</v>
      </c>
      <c r="G28" s="18">
        <f>'FS Seychelles'!D29*1000</f>
        <v>5555.2</v>
      </c>
      <c r="H28" s="18">
        <f>'FS Seychelles'!E29*1000</f>
        <v>6268.4160000000002</v>
      </c>
      <c r="I28" s="18">
        <f>'FS Seychelles'!F29*1000</f>
        <v>2966.0160000000001</v>
      </c>
      <c r="J28" s="18">
        <f>'FS Seychelles'!G29*1000</f>
        <v>0</v>
      </c>
      <c r="K28" s="18">
        <f>'FS Seychelles'!H29*1000</f>
        <v>2544.5120000000002</v>
      </c>
      <c r="L28" s="18">
        <f>'FS Seychelles'!I29*1000</f>
        <v>1321.2159999999999</v>
      </c>
      <c r="M28" s="18">
        <f>'FS Seychelles'!J29*1000</f>
        <v>2020.096</v>
      </c>
      <c r="N28" s="18">
        <f>'FS Seychelles'!K29*1000</f>
        <v>4250.6239999999998</v>
      </c>
      <c r="O28" s="18">
        <f>'FS Seychelles'!L29</f>
        <v>12022</v>
      </c>
      <c r="P28" s="18">
        <f>'FS Seychelles'!M29</f>
        <v>0</v>
      </c>
      <c r="Q28" s="18">
        <f>'FS Seychelles'!N29</f>
        <v>12092</v>
      </c>
      <c r="R28" s="18">
        <f>'FS Seychelles'!O29</f>
        <v>12104</v>
      </c>
      <c r="S28" s="18">
        <f>'FS Seychelles'!P29</f>
        <v>0</v>
      </c>
      <c r="T28" s="18">
        <f>'FS Seychelles'!Q29</f>
        <v>9579</v>
      </c>
      <c r="U28" s="18">
        <f>'FS Seychelles'!R29</f>
        <v>100</v>
      </c>
      <c r="V28" s="18">
        <f>'FS Seychelles'!S29</f>
        <v>136</v>
      </c>
      <c r="W28" s="18">
        <f>'FS Seychelles'!T29</f>
        <v>125</v>
      </c>
      <c r="X28" s="18">
        <f>'FS Seychelles'!U29</f>
        <v>280</v>
      </c>
      <c r="Y28" s="18">
        <f>'FS Seychelles'!V29</f>
        <v>131</v>
      </c>
      <c r="Z28" s="18">
        <f>'FS Seychelles'!W29</f>
        <v>184</v>
      </c>
      <c r="AA28" s="18">
        <f>'FS Seychelles'!X29</f>
        <v>0</v>
      </c>
      <c r="AB28" s="18">
        <f>'FS Seychelles'!Y29</f>
        <v>0</v>
      </c>
    </row>
    <row r="29" spans="1:28" x14ac:dyDescent="0.25">
      <c r="A29" s="1" t="s">
        <v>32</v>
      </c>
      <c r="B29" s="11">
        <f t="shared" si="0"/>
        <v>28</v>
      </c>
      <c r="C29" s="11">
        <v>8</v>
      </c>
      <c r="D29" s="11">
        <v>2019</v>
      </c>
      <c r="E29" s="18">
        <f>'FS Seychelles'!B30</f>
        <v>0.91579999999999995</v>
      </c>
      <c r="F29" s="18">
        <f>'FS Seychelles'!C30*1000</f>
        <v>5268.9920000000002</v>
      </c>
      <c r="G29" s="18">
        <f>'FS Seychelles'!D30*1000</f>
        <v>5621.5039999999999</v>
      </c>
      <c r="H29" s="18">
        <f>'FS Seychelles'!E30*1000</f>
        <v>6403.84</v>
      </c>
      <c r="I29" s="18">
        <f>'FS Seychelles'!F30*1000</f>
        <v>3049.4720000000002</v>
      </c>
      <c r="J29" s="18">
        <f>'FS Seychelles'!G30*1000</f>
        <v>0</v>
      </c>
      <c r="K29" s="18">
        <f>'FS Seychelles'!H30*1000</f>
        <v>2038.5279999999998</v>
      </c>
      <c r="L29" s="18">
        <f>'FS Seychelles'!I30*1000</f>
        <v>1346.3679999999999</v>
      </c>
      <c r="M29" s="18">
        <f>'FS Seychelles'!J30*1000</f>
        <v>1920.768</v>
      </c>
      <c r="N29" s="18">
        <f>'FS Seychelles'!K30*1000</f>
        <v>4127.232</v>
      </c>
      <c r="O29" s="18">
        <f>'FS Seychelles'!L30</f>
        <v>11582</v>
      </c>
      <c r="P29" s="18">
        <f>'FS Seychelles'!M30</f>
        <v>0</v>
      </c>
      <c r="Q29" s="18">
        <f>'FS Seychelles'!N30</f>
        <v>11533</v>
      </c>
      <c r="R29" s="18">
        <f>'FS Seychelles'!O30</f>
        <v>11537</v>
      </c>
      <c r="S29" s="18">
        <f>'FS Seychelles'!P30</f>
        <v>0</v>
      </c>
      <c r="T29" s="18">
        <f>'FS Seychelles'!Q30</f>
        <v>9345</v>
      </c>
      <c r="U29" s="18">
        <f>'FS Seychelles'!R30</f>
        <v>98</v>
      </c>
      <c r="V29" s="18">
        <f>'FS Seychelles'!S30</f>
        <v>15</v>
      </c>
      <c r="W29" s="18">
        <f>'FS Seychelles'!T30</f>
        <v>100</v>
      </c>
      <c r="X29" s="18">
        <f>'FS Seychelles'!U30</f>
        <v>254</v>
      </c>
      <c r="Y29" s="18">
        <f>'FS Seychelles'!V30</f>
        <v>128</v>
      </c>
      <c r="Z29" s="18">
        <f>'FS Seychelles'!W30</f>
        <v>95</v>
      </c>
      <c r="AA29" s="18">
        <f>'FS Seychelles'!X30</f>
        <v>0</v>
      </c>
      <c r="AB29" s="18">
        <f>'FS Seychelles'!Y30</f>
        <v>0</v>
      </c>
    </row>
    <row r="30" spans="1:28" x14ac:dyDescent="0.25">
      <c r="A30" s="1" t="s">
        <v>32</v>
      </c>
      <c r="B30" s="11">
        <f t="shared" si="0"/>
        <v>29</v>
      </c>
      <c r="C30" s="11">
        <v>8</v>
      </c>
      <c r="D30" s="11">
        <v>2019</v>
      </c>
      <c r="E30" s="18">
        <f>'FS Seychelles'!B31</f>
        <v>0.91579999999999995</v>
      </c>
      <c r="F30" s="18">
        <f>'FS Seychelles'!C31*1000</f>
        <v>5476.8639999999996</v>
      </c>
      <c r="G30" s="18">
        <f>'FS Seychelles'!D31*1000</f>
        <v>5399.5519999999997</v>
      </c>
      <c r="H30" s="18">
        <f>'FS Seychelles'!E31*1000</f>
        <v>6348.0320000000002</v>
      </c>
      <c r="I30" s="18">
        <f>'FS Seychelles'!F31*1000</f>
        <v>3031.6800000000003</v>
      </c>
      <c r="J30" s="18">
        <f>'FS Seychelles'!G31*1000</f>
        <v>0</v>
      </c>
      <c r="K30" s="18">
        <f>'FS Seychelles'!H31*1000</f>
        <v>1670.6559999999999</v>
      </c>
      <c r="L30" s="18">
        <f>'FS Seychelles'!I31*1000</f>
        <v>1334.2080000000001</v>
      </c>
      <c r="M30" s="18">
        <f>'FS Seychelles'!J31*1000</f>
        <v>1842.56</v>
      </c>
      <c r="N30" s="18">
        <f>'FS Seychelles'!K31*1000</f>
        <v>4231.424</v>
      </c>
      <c r="O30" s="18">
        <f>'FS Seychelles'!L31</f>
        <v>11258</v>
      </c>
      <c r="P30" s="18">
        <f>'FS Seychelles'!M31</f>
        <v>0</v>
      </c>
      <c r="Q30" s="18">
        <f>'FS Seychelles'!N31</f>
        <v>11190</v>
      </c>
      <c r="R30" s="18">
        <f>'FS Seychelles'!O31</f>
        <v>8239</v>
      </c>
      <c r="S30" s="18">
        <f>'FS Seychelles'!P31</f>
        <v>3986</v>
      </c>
      <c r="T30" s="18">
        <f>'FS Seychelles'!Q31</f>
        <v>10242</v>
      </c>
      <c r="U30" s="18">
        <f>'FS Seychelles'!R31</f>
        <v>88</v>
      </c>
      <c r="V30" s="18">
        <f>'FS Seychelles'!S31</f>
        <v>33</v>
      </c>
      <c r="W30" s="18">
        <f>'FS Seychelles'!T31</f>
        <v>107</v>
      </c>
      <c r="X30" s="18">
        <f>'FS Seychelles'!U31</f>
        <v>288</v>
      </c>
      <c r="Y30" s="18">
        <f>'FS Seychelles'!V31</f>
        <v>128</v>
      </c>
      <c r="Z30" s="18">
        <f>'FS Seychelles'!W31</f>
        <v>114</v>
      </c>
      <c r="AA30" s="18">
        <f>'FS Seychelles'!X31</f>
        <v>0</v>
      </c>
      <c r="AB30" s="18">
        <f>'FS Seychelles'!Y31</f>
        <v>0</v>
      </c>
    </row>
    <row r="31" spans="1:28" x14ac:dyDescent="0.25">
      <c r="A31" s="1" t="s">
        <v>32</v>
      </c>
      <c r="B31" s="11">
        <f t="shared" si="0"/>
        <v>30</v>
      </c>
      <c r="C31" s="11">
        <v>8</v>
      </c>
      <c r="D31" s="11">
        <v>2019</v>
      </c>
      <c r="E31" s="18">
        <f>'FS Seychelles'!B32</f>
        <v>0.77890000000000004</v>
      </c>
      <c r="F31" s="18">
        <f>'FS Seychelles'!C32*1000</f>
        <v>5415.1680000000006</v>
      </c>
      <c r="G31" s="18">
        <f>'FS Seychelles'!D32*1000</f>
        <v>5336.8320000000003</v>
      </c>
      <c r="H31" s="18">
        <f>'FS Seychelles'!E32*1000</f>
        <v>6335.4879999999994</v>
      </c>
      <c r="I31" s="18">
        <f>'FS Seychelles'!F32*1000</f>
        <v>3089.152</v>
      </c>
      <c r="J31" s="18">
        <f>'FS Seychelles'!G32*1000</f>
        <v>0</v>
      </c>
      <c r="K31" s="18">
        <f>'FS Seychelles'!H32*1000</f>
        <v>1576.7040000000002</v>
      </c>
      <c r="L31" s="18">
        <f>'FS Seychelles'!I32*1000</f>
        <v>1346.3039999999999</v>
      </c>
      <c r="M31" s="18">
        <f>'FS Seychelles'!J32*1000</f>
        <v>1885.056</v>
      </c>
      <c r="N31" s="18">
        <f>'FS Seychelles'!K32*1000</f>
        <v>4172.5439999999999</v>
      </c>
      <c r="O31" s="18">
        <f>'FS Seychelles'!L32</f>
        <v>17339</v>
      </c>
      <c r="P31" s="18">
        <f>'FS Seychelles'!M32</f>
        <v>0</v>
      </c>
      <c r="Q31" s="18">
        <f>'FS Seychelles'!N32</f>
        <v>11167</v>
      </c>
      <c r="R31" s="18">
        <f>'FS Seychelles'!O32</f>
        <v>11183</v>
      </c>
      <c r="S31" s="18">
        <f>'FS Seychelles'!P32</f>
        <v>0</v>
      </c>
      <c r="T31" s="18">
        <f>'FS Seychelles'!Q32</f>
        <v>9070</v>
      </c>
      <c r="U31" s="18">
        <f>'FS Seychelles'!R32</f>
        <v>100</v>
      </c>
      <c r="V31" s="18">
        <f>'FS Seychelles'!S32</f>
        <v>41</v>
      </c>
      <c r="W31" s="18">
        <f>'FS Seychelles'!T32</f>
        <v>103</v>
      </c>
      <c r="X31" s="18">
        <f>'FS Seychelles'!U32</f>
        <v>268</v>
      </c>
      <c r="Y31" s="18">
        <f>'FS Seychelles'!V32</f>
        <v>131</v>
      </c>
      <c r="Z31" s="18">
        <f>'FS Seychelles'!W32</f>
        <v>137</v>
      </c>
      <c r="AA31" s="18">
        <f>'FS Seychelles'!X32</f>
        <v>0</v>
      </c>
      <c r="AB31" s="18">
        <f>'FS Seychelles'!Y32</f>
        <v>0</v>
      </c>
    </row>
    <row r="32" spans="1:28" x14ac:dyDescent="0.25">
      <c r="A32" s="1" t="s">
        <v>32</v>
      </c>
      <c r="B32" s="11">
        <f t="shared" si="0"/>
        <v>31</v>
      </c>
      <c r="C32" s="11">
        <v>8</v>
      </c>
      <c r="D32" s="11">
        <v>2019</v>
      </c>
      <c r="E32" s="18">
        <f>'FS Seychelles'!B33</f>
        <v>0.78949999999999998</v>
      </c>
      <c r="F32" s="18">
        <f>'FS Seychelles'!C33*1000</f>
        <v>5752.32</v>
      </c>
      <c r="G32" s="18">
        <f>'FS Seychelles'!D33*1000</f>
        <v>5573.6319999999996</v>
      </c>
      <c r="H32" s="18">
        <f>'FS Seychelles'!E33*1000</f>
        <v>6442.4960000000001</v>
      </c>
      <c r="I32" s="18">
        <f>'FS Seychelles'!F33*1000</f>
        <v>3180.0320000000002</v>
      </c>
      <c r="J32" s="18">
        <f>'FS Seychelles'!G33*1000</f>
        <v>0</v>
      </c>
      <c r="K32" s="18">
        <f>'FS Seychelles'!H33*1000</f>
        <v>1411.2</v>
      </c>
      <c r="L32" s="18">
        <f>'FS Seychelles'!I33*1000</f>
        <v>1329.3440000000001</v>
      </c>
      <c r="M32" s="18">
        <f>'FS Seychelles'!J33*1000</f>
        <v>2000.5120000000002</v>
      </c>
      <c r="N32" s="18">
        <f>'FS Seychelles'!K33*1000</f>
        <v>4167.1680000000006</v>
      </c>
      <c r="O32" s="18">
        <f>'FS Seychelles'!L33</f>
        <v>12034</v>
      </c>
      <c r="P32" s="18">
        <f>'FS Seychelles'!M33</f>
        <v>0</v>
      </c>
      <c r="Q32" s="18">
        <f>'FS Seychelles'!N33</f>
        <v>11909</v>
      </c>
      <c r="R32" s="18">
        <f>'FS Seychelles'!O33</f>
        <v>12017</v>
      </c>
      <c r="S32" s="18">
        <f>'FS Seychelles'!P33</f>
        <v>0</v>
      </c>
      <c r="T32" s="18">
        <f>'FS Seychelles'!Q33</f>
        <v>9569</v>
      </c>
      <c r="U32" s="18">
        <f>'FS Seychelles'!R33</f>
        <v>96</v>
      </c>
      <c r="V32" s="18">
        <f>'FS Seychelles'!S33</f>
        <v>36</v>
      </c>
      <c r="W32" s="18">
        <f>'FS Seychelles'!T33</f>
        <v>103</v>
      </c>
      <c r="X32" s="18">
        <f>'FS Seychelles'!U33</f>
        <v>267</v>
      </c>
      <c r="Y32" s="18">
        <f>'FS Seychelles'!V33</f>
        <v>137</v>
      </c>
      <c r="Z32" s="18">
        <f>'FS Seychelles'!W33</f>
        <v>136</v>
      </c>
      <c r="AA32" s="18">
        <f>'FS Seychelles'!X33</f>
        <v>0</v>
      </c>
      <c r="AB32" s="18">
        <f>'FS Seychelles'!Y33</f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zoomScaleNormal="100" workbookViewId="0">
      <selection activeCell="P1" sqref="P1"/>
    </sheetView>
  </sheetViews>
  <sheetFormatPr defaultRowHeight="12.75" x14ac:dyDescent="0.2"/>
  <cols>
    <col min="1" max="1" width="10.42578125" style="19" bestFit="1" customWidth="1"/>
    <col min="2" max="2" width="12.7109375" style="19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5.7109375" style="19" bestFit="1" customWidth="1"/>
    <col min="23" max="23" width="9.140625" style="19"/>
    <col min="24" max="24" width="12.28515625" style="19" bestFit="1" customWidth="1"/>
    <col min="25" max="16384" width="9.140625" style="19"/>
  </cols>
  <sheetData>
    <row r="1" spans="1:26" ht="13.5" thickBot="1" x14ac:dyDescent="0.25"/>
    <row r="2" spans="1:26" s="26" customFormat="1" ht="31.5" customHeight="1" thickBot="1" x14ac:dyDescent="0.25">
      <c r="A2" s="38" t="s">
        <v>8</v>
      </c>
      <c r="B2" s="39" t="s">
        <v>18</v>
      </c>
      <c r="C2" s="40" t="s">
        <v>9</v>
      </c>
      <c r="D2" s="40" t="s">
        <v>10</v>
      </c>
      <c r="E2" s="40" t="s">
        <v>11</v>
      </c>
      <c r="F2" s="40" t="s">
        <v>12</v>
      </c>
      <c r="G2" s="40" t="s">
        <v>13</v>
      </c>
      <c r="H2" s="40" t="s">
        <v>14</v>
      </c>
      <c r="I2" s="40" t="s">
        <v>15</v>
      </c>
      <c r="J2" s="40" t="s">
        <v>16</v>
      </c>
      <c r="K2" s="40" t="s">
        <v>17</v>
      </c>
      <c r="L2" s="41" t="s">
        <v>24</v>
      </c>
      <c r="M2" s="41" t="s">
        <v>19</v>
      </c>
      <c r="N2" s="41" t="s">
        <v>20</v>
      </c>
      <c r="O2" s="41" t="s">
        <v>21</v>
      </c>
      <c r="P2" s="41" t="s">
        <v>22</v>
      </c>
      <c r="Q2" s="42" t="s">
        <v>23</v>
      </c>
      <c r="R2" s="27" t="s">
        <v>29</v>
      </c>
      <c r="S2" s="27" t="s">
        <v>25</v>
      </c>
      <c r="T2" s="27" t="s">
        <v>26</v>
      </c>
      <c r="U2" s="27" t="s">
        <v>27</v>
      </c>
      <c r="V2" s="27" t="s">
        <v>28</v>
      </c>
      <c r="W2" s="27" t="s">
        <v>30</v>
      </c>
      <c r="X2" s="27" t="s">
        <v>55</v>
      </c>
      <c r="Y2" s="28" t="s">
        <v>31</v>
      </c>
    </row>
    <row r="3" spans="1:26" ht="15" x14ac:dyDescent="0.2">
      <c r="A3" s="21">
        <v>43678</v>
      </c>
      <c r="B3" s="45">
        <v>0.66320000000000001</v>
      </c>
      <c r="C3" s="22">
        <v>3.2261120000000001</v>
      </c>
      <c r="D3" s="36">
        <v>5.3061119999999997</v>
      </c>
      <c r="E3" s="36">
        <v>5.7200639999999998</v>
      </c>
      <c r="F3" s="36">
        <v>1.701632</v>
      </c>
      <c r="G3" s="23">
        <v>0</v>
      </c>
      <c r="H3" s="36">
        <v>2.1386240000000001</v>
      </c>
      <c r="I3" s="36">
        <v>1.4967680000000001</v>
      </c>
      <c r="J3" s="36">
        <v>1.588608</v>
      </c>
      <c r="K3" s="36">
        <v>3.6183040000000002</v>
      </c>
      <c r="L3" s="43">
        <v>4827</v>
      </c>
      <c r="M3" s="43">
        <v>6861</v>
      </c>
      <c r="N3" s="43">
        <v>9846</v>
      </c>
      <c r="O3" s="43">
        <v>4810</v>
      </c>
      <c r="P3" s="43">
        <v>1023</v>
      </c>
      <c r="Q3" s="22">
        <f>1434+3048+1425+291+1962</f>
        <v>8160</v>
      </c>
      <c r="R3" s="37">
        <v>70</v>
      </c>
      <c r="S3" s="37">
        <v>41</v>
      </c>
      <c r="T3" s="20">
        <v>53</v>
      </c>
      <c r="U3" s="20">
        <v>215</v>
      </c>
      <c r="V3" s="20">
        <v>84</v>
      </c>
      <c r="W3" s="20">
        <v>120</v>
      </c>
      <c r="X3" s="20">
        <v>0</v>
      </c>
      <c r="Y3" s="20">
        <v>0</v>
      </c>
      <c r="Z3" s="24"/>
    </row>
    <row r="4" spans="1:26" ht="15" x14ac:dyDescent="0.2">
      <c r="A4" s="21">
        <v>43679</v>
      </c>
      <c r="B4" s="45">
        <v>0.69469999999999998</v>
      </c>
      <c r="C4" s="22">
        <v>3.1646719999999999</v>
      </c>
      <c r="D4" s="36">
        <v>5.5109120000000003</v>
      </c>
      <c r="E4" s="36">
        <v>5.5600639999999997</v>
      </c>
      <c r="F4" s="36">
        <v>1.620992</v>
      </c>
      <c r="G4" s="23">
        <v>0</v>
      </c>
      <c r="H4" s="36">
        <v>2.0840960000000002</v>
      </c>
      <c r="I4" s="36">
        <v>1.495808</v>
      </c>
      <c r="J4" s="36">
        <v>1.6446719999999999</v>
      </c>
      <c r="K4" s="36">
        <v>3.652352</v>
      </c>
      <c r="L4" s="44">
        <v>0</v>
      </c>
      <c r="M4" s="43">
        <v>8839</v>
      </c>
      <c r="N4" s="43">
        <v>13268</v>
      </c>
      <c r="O4" s="43">
        <v>4419</v>
      </c>
      <c r="P4" s="43">
        <v>0</v>
      </c>
      <c r="Q4" s="22">
        <f>2432+3483+1162</f>
        <v>7077</v>
      </c>
      <c r="R4" s="37">
        <v>74</v>
      </c>
      <c r="S4" s="37">
        <v>63</v>
      </c>
      <c r="T4" s="20">
        <v>64</v>
      </c>
      <c r="U4" s="20">
        <v>217</v>
      </c>
      <c r="V4" s="20">
        <v>61</v>
      </c>
      <c r="W4" s="20">
        <v>125</v>
      </c>
      <c r="X4" s="20">
        <v>0</v>
      </c>
      <c r="Y4" s="20"/>
      <c r="Z4" s="24"/>
    </row>
    <row r="5" spans="1:26" ht="15" x14ac:dyDescent="0.2">
      <c r="A5" s="21">
        <v>43680</v>
      </c>
      <c r="B5" s="45">
        <v>0.73680000000000001</v>
      </c>
      <c r="C5" s="22">
        <v>3.2768000000000002</v>
      </c>
      <c r="D5" s="36">
        <v>5.7410560000000004</v>
      </c>
      <c r="E5" s="36">
        <v>5.597696</v>
      </c>
      <c r="F5" s="36">
        <v>1.799936</v>
      </c>
      <c r="G5" s="23">
        <v>0</v>
      </c>
      <c r="H5" s="36">
        <v>2.3438080000000001</v>
      </c>
      <c r="I5" s="36">
        <v>1.3089280000000001</v>
      </c>
      <c r="J5" s="36">
        <v>1.7486079999999999</v>
      </c>
      <c r="K5" s="36">
        <v>3.4416639999999998</v>
      </c>
      <c r="L5" s="43">
        <v>0</v>
      </c>
      <c r="M5" s="43">
        <v>1550</v>
      </c>
      <c r="N5" s="43">
        <v>13394</v>
      </c>
      <c r="O5" s="43">
        <v>11884</v>
      </c>
      <c r="P5" s="43">
        <v>0</v>
      </c>
      <c r="Q5" s="22">
        <f>434+3579+3127</f>
        <v>7140</v>
      </c>
      <c r="R5" s="37">
        <v>69</v>
      </c>
      <c r="S5" s="37">
        <v>0</v>
      </c>
      <c r="T5" s="20">
        <v>75</v>
      </c>
      <c r="U5" s="20">
        <v>214</v>
      </c>
      <c r="V5" s="20">
        <v>86</v>
      </c>
      <c r="W5" s="20">
        <v>132</v>
      </c>
      <c r="X5" s="20">
        <v>0</v>
      </c>
      <c r="Y5" s="20"/>
      <c r="Z5" s="24"/>
    </row>
    <row r="6" spans="1:26" ht="15" x14ac:dyDescent="0.2">
      <c r="A6" s="21">
        <v>43681</v>
      </c>
      <c r="B6" s="45">
        <v>0.62109999999999999</v>
      </c>
      <c r="C6" s="22">
        <v>3.42848</v>
      </c>
      <c r="D6" s="36">
        <v>6.0259840000000002</v>
      </c>
      <c r="E6" s="36">
        <v>5.7049599999999998</v>
      </c>
      <c r="F6" s="36">
        <v>1.637888</v>
      </c>
      <c r="G6" s="23">
        <v>0</v>
      </c>
      <c r="H6" s="36">
        <v>2.3655680000000001</v>
      </c>
      <c r="I6" s="36">
        <v>1.4288000000000001</v>
      </c>
      <c r="J6" s="36">
        <v>1.6204799999999999</v>
      </c>
      <c r="K6" s="36">
        <v>3.5491839999999999</v>
      </c>
      <c r="L6" s="43">
        <v>0</v>
      </c>
      <c r="M6" s="43">
        <v>11860</v>
      </c>
      <c r="N6" s="43">
        <v>11791</v>
      </c>
      <c r="O6" s="43">
        <v>0</v>
      </c>
      <c r="P6" s="43">
        <v>3191</v>
      </c>
      <c r="Q6" s="22">
        <f>3391+915+3240</f>
        <v>7546</v>
      </c>
      <c r="R6" s="37">
        <v>61</v>
      </c>
      <c r="S6" s="37">
        <v>41</v>
      </c>
      <c r="T6" s="20">
        <v>65</v>
      </c>
      <c r="U6" s="20">
        <v>220</v>
      </c>
      <c r="V6" s="20">
        <v>73</v>
      </c>
      <c r="W6" s="20">
        <v>126</v>
      </c>
      <c r="X6" s="20">
        <v>0</v>
      </c>
      <c r="Y6" s="20"/>
      <c r="Z6" s="24"/>
    </row>
    <row r="7" spans="1:26" ht="15" x14ac:dyDescent="0.2">
      <c r="A7" s="21">
        <v>43682</v>
      </c>
      <c r="B7" s="45">
        <v>0.68420000000000003</v>
      </c>
      <c r="C7" s="22">
        <v>3.198976</v>
      </c>
      <c r="D7" s="36">
        <v>5.8122239999999996</v>
      </c>
      <c r="E7" s="36">
        <v>5.6448</v>
      </c>
      <c r="F7" s="36">
        <v>1.5238400000000001</v>
      </c>
      <c r="G7" s="23">
        <v>0</v>
      </c>
      <c r="H7" s="36">
        <v>2.4767999999999999</v>
      </c>
      <c r="I7" s="36">
        <v>1.19136</v>
      </c>
      <c r="J7" s="36">
        <v>1.6810240000000001</v>
      </c>
      <c r="K7" s="36">
        <v>3.370752</v>
      </c>
      <c r="L7" s="43">
        <v>4530</v>
      </c>
      <c r="M7" s="43">
        <v>13259</v>
      </c>
      <c r="N7" s="43">
        <v>1106</v>
      </c>
      <c r="O7" s="43">
        <v>9566</v>
      </c>
      <c r="P7" s="43">
        <v>0</v>
      </c>
      <c r="Q7" s="22">
        <f>1126+318+3704+2517</f>
        <v>7665</v>
      </c>
      <c r="R7" s="37">
        <v>70</v>
      </c>
      <c r="S7" s="37">
        <v>36</v>
      </c>
      <c r="T7" s="20">
        <v>79</v>
      </c>
      <c r="U7" s="20">
        <v>219</v>
      </c>
      <c r="V7" s="20">
        <v>145</v>
      </c>
      <c r="W7" s="20">
        <v>122</v>
      </c>
      <c r="X7" s="20">
        <v>0</v>
      </c>
      <c r="Y7" s="20"/>
      <c r="Z7" s="24"/>
    </row>
    <row r="8" spans="1:26" ht="15" x14ac:dyDescent="0.2">
      <c r="A8" s="21">
        <v>43683</v>
      </c>
      <c r="B8" s="45">
        <v>0.67369999999999997</v>
      </c>
      <c r="C8" s="22">
        <v>3.2732160000000001</v>
      </c>
      <c r="D8" s="36">
        <v>5.6460800000000004</v>
      </c>
      <c r="E8" s="36">
        <v>5.5370239999999997</v>
      </c>
      <c r="F8" s="36">
        <v>1.627264</v>
      </c>
      <c r="G8" s="23">
        <v>0</v>
      </c>
      <c r="H8" s="36">
        <v>2.541696</v>
      </c>
      <c r="I8" s="36">
        <v>1.355904</v>
      </c>
      <c r="J8" s="36">
        <v>1.696896</v>
      </c>
      <c r="K8" s="36">
        <v>3.56352</v>
      </c>
      <c r="L8" s="43">
        <v>14528</v>
      </c>
      <c r="M8" s="43">
        <v>0</v>
      </c>
      <c r="N8" s="43">
        <v>14479</v>
      </c>
      <c r="O8" s="43">
        <v>7057</v>
      </c>
      <c r="P8" s="43">
        <v>0</v>
      </c>
      <c r="Q8" s="22">
        <f>1857+3930+4130</f>
        <v>9917</v>
      </c>
      <c r="R8" s="37">
        <v>76</v>
      </c>
      <c r="S8" s="37">
        <v>52</v>
      </c>
      <c r="T8" s="20">
        <v>67</v>
      </c>
      <c r="U8" s="20">
        <v>226</v>
      </c>
      <c r="V8" s="20">
        <v>86</v>
      </c>
      <c r="W8" s="20">
        <v>135</v>
      </c>
      <c r="X8" s="20">
        <v>0</v>
      </c>
      <c r="Y8" s="20"/>
      <c r="Z8" s="24"/>
    </row>
    <row r="9" spans="1:26" ht="15" x14ac:dyDescent="0.2">
      <c r="A9" s="21">
        <v>43684</v>
      </c>
      <c r="B9" s="45">
        <v>0.72629999999999995</v>
      </c>
      <c r="C9" s="22">
        <v>3.8271999999999999</v>
      </c>
      <c r="D9" s="36">
        <v>5.9865599999999999</v>
      </c>
      <c r="E9" s="36">
        <v>5.6499199999999998</v>
      </c>
      <c r="F9" s="36">
        <v>2.0212479999999999</v>
      </c>
      <c r="G9" s="23">
        <v>0</v>
      </c>
      <c r="H9" s="36">
        <v>2.7421440000000001</v>
      </c>
      <c r="I9" s="36">
        <v>1.3742080000000001</v>
      </c>
      <c r="J9" s="36">
        <v>1.9714560000000001</v>
      </c>
      <c r="K9" s="36">
        <v>3.565312</v>
      </c>
      <c r="L9" s="43">
        <v>4161</v>
      </c>
      <c r="M9" s="43">
        <v>5742</v>
      </c>
      <c r="N9" s="43">
        <v>12661</v>
      </c>
      <c r="O9" s="43">
        <v>0</v>
      </c>
      <c r="P9" s="43">
        <v>0</v>
      </c>
      <c r="Q9" s="22">
        <f>3406+1612+928</f>
        <v>5946</v>
      </c>
      <c r="R9" s="37">
        <v>69</v>
      </c>
      <c r="S9" s="37">
        <v>43</v>
      </c>
      <c r="T9" s="20">
        <v>94</v>
      </c>
      <c r="U9" s="20">
        <v>300</v>
      </c>
      <c r="V9" s="20">
        <v>74</v>
      </c>
      <c r="W9" s="20">
        <v>121</v>
      </c>
      <c r="X9" s="20">
        <v>0</v>
      </c>
      <c r="Y9" s="20"/>
      <c r="Z9" s="24"/>
    </row>
    <row r="10" spans="1:26" ht="15" x14ac:dyDescent="0.2">
      <c r="A10" s="21">
        <v>43685</v>
      </c>
      <c r="B10" s="45">
        <v>0.67369999999999997</v>
      </c>
      <c r="C10" s="22">
        <v>3.702528</v>
      </c>
      <c r="D10" s="36">
        <v>5.91744</v>
      </c>
      <c r="E10" s="36">
        <v>5.6209920000000002</v>
      </c>
      <c r="F10" s="36">
        <v>1.9539200000000001</v>
      </c>
      <c r="G10" s="23">
        <v>0</v>
      </c>
      <c r="H10" s="36">
        <v>2.717184</v>
      </c>
      <c r="I10" s="36">
        <v>1.36416</v>
      </c>
      <c r="J10" s="36">
        <v>1.563904</v>
      </c>
      <c r="K10" s="36">
        <v>3.809024</v>
      </c>
      <c r="L10" s="43">
        <v>9825</v>
      </c>
      <c r="M10" s="43">
        <v>3870</v>
      </c>
      <c r="N10" s="43">
        <v>4876</v>
      </c>
      <c r="O10" s="43">
        <v>7972</v>
      </c>
      <c r="P10" s="43">
        <v>0</v>
      </c>
      <c r="Q10" s="22">
        <f>2746+1134+1358+2097</f>
        <v>7335</v>
      </c>
      <c r="R10" s="37">
        <v>81</v>
      </c>
      <c r="S10" s="37">
        <v>14</v>
      </c>
      <c r="T10" s="20">
        <v>76</v>
      </c>
      <c r="U10" s="20">
        <v>281</v>
      </c>
      <c r="V10" s="20">
        <v>83</v>
      </c>
      <c r="W10" s="20">
        <v>126</v>
      </c>
      <c r="X10" s="20">
        <v>0</v>
      </c>
      <c r="Y10" s="20"/>
      <c r="Z10" s="24"/>
    </row>
    <row r="11" spans="1:26" ht="15" x14ac:dyDescent="0.2">
      <c r="A11" s="21">
        <v>43686</v>
      </c>
      <c r="B11" s="45">
        <v>0.68420000000000003</v>
      </c>
      <c r="C11" s="22">
        <v>3.5240960000000001</v>
      </c>
      <c r="D11" s="36">
        <v>5.6463359999999998</v>
      </c>
      <c r="E11" s="36">
        <v>5.6675839999999997</v>
      </c>
      <c r="F11" s="36">
        <v>2.0656639999999999</v>
      </c>
      <c r="G11" s="23">
        <v>0</v>
      </c>
      <c r="H11" s="36">
        <v>2.6167039999999999</v>
      </c>
      <c r="I11" s="36">
        <v>1.40544</v>
      </c>
      <c r="J11" s="36">
        <v>1.6531199999999999</v>
      </c>
      <c r="K11" s="36">
        <v>3.708672</v>
      </c>
      <c r="L11" s="43">
        <v>4319</v>
      </c>
      <c r="M11" s="43">
        <v>11017</v>
      </c>
      <c r="N11" s="43">
        <v>10538</v>
      </c>
      <c r="O11" s="43">
        <v>0</v>
      </c>
      <c r="P11" s="43">
        <v>1659</v>
      </c>
      <c r="Q11" s="22">
        <f>3078+2675+476+1013</f>
        <v>7242</v>
      </c>
      <c r="R11" s="37">
        <v>73</v>
      </c>
      <c r="S11" s="37">
        <v>21</v>
      </c>
      <c r="T11" s="20">
        <v>76</v>
      </c>
      <c r="U11" s="20">
        <v>275</v>
      </c>
      <c r="V11" s="20">
        <v>75</v>
      </c>
      <c r="W11" s="20">
        <v>129</v>
      </c>
      <c r="X11" s="20">
        <v>0</v>
      </c>
      <c r="Y11" s="20"/>
      <c r="Z11" s="24"/>
    </row>
    <row r="12" spans="1:26" ht="15" x14ac:dyDescent="0.2">
      <c r="A12" s="21">
        <v>43687</v>
      </c>
      <c r="B12" s="45">
        <v>0.70530000000000004</v>
      </c>
      <c r="C12" s="22">
        <v>3.5633919999999999</v>
      </c>
      <c r="D12" s="36">
        <v>5.7615360000000004</v>
      </c>
      <c r="E12" s="36">
        <v>5.9814400000000001</v>
      </c>
      <c r="F12" s="36">
        <v>2.1954560000000001</v>
      </c>
      <c r="G12" s="23">
        <v>0</v>
      </c>
      <c r="H12" s="36">
        <v>2.6621440000000001</v>
      </c>
      <c r="I12" s="36">
        <v>1.352384</v>
      </c>
      <c r="J12" s="36">
        <v>2.0180479999999998</v>
      </c>
      <c r="K12" s="36">
        <v>3.6321279999999998</v>
      </c>
      <c r="L12" s="43">
        <v>8666</v>
      </c>
      <c r="M12" s="43">
        <v>2623</v>
      </c>
      <c r="N12" s="43">
        <v>8640</v>
      </c>
      <c r="O12" s="43">
        <v>4894</v>
      </c>
      <c r="P12" s="43">
        <v>2712</v>
      </c>
      <c r="Q12" s="22">
        <f>707+1287+2291+2414+784</f>
        <v>7483</v>
      </c>
      <c r="R12" s="37">
        <v>71</v>
      </c>
      <c r="S12" s="37">
        <v>23</v>
      </c>
      <c r="T12" s="20">
        <v>84</v>
      </c>
      <c r="U12" s="20">
        <v>317</v>
      </c>
      <c r="V12" s="20">
        <v>72</v>
      </c>
      <c r="W12" s="20">
        <v>127</v>
      </c>
      <c r="X12" s="20">
        <v>0</v>
      </c>
      <c r="Y12" s="20"/>
      <c r="Z12" s="24"/>
    </row>
    <row r="13" spans="1:26" ht="15" x14ac:dyDescent="0.2">
      <c r="A13" s="21">
        <v>43688</v>
      </c>
      <c r="B13" s="45">
        <v>0.66320000000000001</v>
      </c>
      <c r="C13" s="22">
        <v>3.6476160000000002</v>
      </c>
      <c r="D13" s="36">
        <v>5.9153919999999998</v>
      </c>
      <c r="E13" s="36">
        <v>5.9018240000000004</v>
      </c>
      <c r="F13" s="36">
        <v>2.0442879999999999</v>
      </c>
      <c r="G13" s="23">
        <v>0</v>
      </c>
      <c r="H13" s="36">
        <v>2.6442239999999999</v>
      </c>
      <c r="I13" s="36">
        <v>1.386112</v>
      </c>
      <c r="J13" s="36">
        <v>1.7887999999999999</v>
      </c>
      <c r="K13" s="36">
        <v>3.590144</v>
      </c>
      <c r="L13" s="43">
        <v>4395</v>
      </c>
      <c r="M13" s="43">
        <v>9881</v>
      </c>
      <c r="N13" s="43">
        <v>7965</v>
      </c>
      <c r="O13" s="43">
        <v>5852</v>
      </c>
      <c r="P13" s="43">
        <v>0</v>
      </c>
      <c r="Q13" s="22">
        <f>2129+2796+1540+1403</f>
        <v>7868</v>
      </c>
      <c r="R13" s="37">
        <v>63</v>
      </c>
      <c r="S13" s="37">
        <v>22</v>
      </c>
      <c r="T13" s="20">
        <v>75</v>
      </c>
      <c r="U13" s="20">
        <v>250</v>
      </c>
      <c r="V13" s="20">
        <v>81</v>
      </c>
      <c r="W13" s="20">
        <v>122</v>
      </c>
      <c r="X13" s="20">
        <v>0</v>
      </c>
      <c r="Y13" s="20"/>
      <c r="Z13" s="24"/>
    </row>
    <row r="14" spans="1:26" ht="15" x14ac:dyDescent="0.2">
      <c r="A14" s="21">
        <v>43689</v>
      </c>
      <c r="B14" s="45">
        <v>0.70530000000000004</v>
      </c>
      <c r="C14" s="22">
        <v>3.3199360000000002</v>
      </c>
      <c r="D14" s="36">
        <v>5.5331840000000003</v>
      </c>
      <c r="E14" s="36">
        <v>5.8009599999999999</v>
      </c>
      <c r="F14" s="36">
        <v>1.838592</v>
      </c>
      <c r="G14" s="23">
        <v>0</v>
      </c>
      <c r="H14" s="36">
        <v>2.8437760000000001</v>
      </c>
      <c r="I14" s="36">
        <v>1.383168</v>
      </c>
      <c r="J14" s="36">
        <v>1.6610560000000001</v>
      </c>
      <c r="K14" s="36">
        <v>3.7496320000000001</v>
      </c>
      <c r="L14" s="43">
        <v>7614</v>
      </c>
      <c r="M14" s="43">
        <v>4982</v>
      </c>
      <c r="N14" s="43">
        <v>1140</v>
      </c>
      <c r="O14" s="43">
        <v>12614</v>
      </c>
      <c r="P14" s="43">
        <v>2593</v>
      </c>
      <c r="Q14" s="43">
        <f>1433+3319+288+719+1990</f>
        <v>7749</v>
      </c>
      <c r="R14" s="37">
        <v>81</v>
      </c>
      <c r="S14" s="37">
        <v>19</v>
      </c>
      <c r="T14" s="20">
        <v>111</v>
      </c>
      <c r="U14" s="20">
        <v>290</v>
      </c>
      <c r="V14" s="20">
        <v>80</v>
      </c>
      <c r="W14" s="20">
        <v>125</v>
      </c>
      <c r="X14" s="20">
        <v>0</v>
      </c>
      <c r="Y14" s="20"/>
      <c r="Z14" s="24"/>
    </row>
    <row r="15" spans="1:26" ht="15" x14ac:dyDescent="0.2">
      <c r="A15" s="21">
        <v>43690</v>
      </c>
      <c r="B15" s="45">
        <v>0.62109999999999999</v>
      </c>
      <c r="C15" s="22">
        <v>3.35168</v>
      </c>
      <c r="D15" s="36">
        <v>5.5969280000000001</v>
      </c>
      <c r="E15" s="36">
        <v>5.7108480000000004</v>
      </c>
      <c r="F15" s="36">
        <v>1.785984</v>
      </c>
      <c r="G15" s="23">
        <v>0</v>
      </c>
      <c r="H15" s="36">
        <v>3.250432</v>
      </c>
      <c r="I15" s="36">
        <v>1.394048</v>
      </c>
      <c r="J15" s="36">
        <v>1.6652800000000001</v>
      </c>
      <c r="K15" s="36">
        <v>3.734016</v>
      </c>
      <c r="L15" s="43">
        <v>0</v>
      </c>
      <c r="M15" s="43">
        <v>8261</v>
      </c>
      <c r="N15" s="43">
        <v>13150</v>
      </c>
      <c r="O15" s="43">
        <v>6279</v>
      </c>
      <c r="P15" s="43">
        <v>2966</v>
      </c>
      <c r="Q15" s="22">
        <f>1652+3690+790+2309</f>
        <v>8441</v>
      </c>
      <c r="R15" s="37">
        <v>80</v>
      </c>
      <c r="S15" s="37">
        <v>24</v>
      </c>
      <c r="T15" s="20">
        <v>123</v>
      </c>
      <c r="U15" s="20">
        <v>267</v>
      </c>
      <c r="V15" s="20">
        <v>72</v>
      </c>
      <c r="W15" s="20">
        <v>126</v>
      </c>
      <c r="X15" s="20">
        <v>0</v>
      </c>
      <c r="Y15" s="20"/>
      <c r="Z15" s="24"/>
    </row>
    <row r="16" spans="1:26" ht="15" x14ac:dyDescent="0.2">
      <c r="A16" s="21">
        <v>43691</v>
      </c>
      <c r="B16" s="45">
        <v>0.73680000000000001</v>
      </c>
      <c r="C16" s="22">
        <v>3.5513599999999999</v>
      </c>
      <c r="D16" s="36">
        <v>5.6857600000000001</v>
      </c>
      <c r="E16" s="36">
        <v>5.9112960000000001</v>
      </c>
      <c r="F16" s="36">
        <v>1.678464</v>
      </c>
      <c r="G16" s="23">
        <v>0</v>
      </c>
      <c r="H16" s="36">
        <v>3.4836480000000001</v>
      </c>
      <c r="I16" s="36">
        <v>1.3125119999999999</v>
      </c>
      <c r="J16" s="36">
        <v>1.660928</v>
      </c>
      <c r="K16" s="36">
        <v>3.8318080000000001</v>
      </c>
      <c r="L16" s="43">
        <v>13601</v>
      </c>
      <c r="M16" s="43">
        <v>0</v>
      </c>
      <c r="N16" s="43">
        <v>9808</v>
      </c>
      <c r="O16" s="43">
        <v>4469</v>
      </c>
      <c r="P16" s="43">
        <v>1470</v>
      </c>
      <c r="Q16" s="43">
        <f>1176+350+3613+2542</f>
        <v>7681</v>
      </c>
      <c r="R16" s="37">
        <v>81</v>
      </c>
      <c r="S16" s="37">
        <v>43</v>
      </c>
      <c r="T16" s="20">
        <v>86</v>
      </c>
      <c r="U16" s="20">
        <v>273</v>
      </c>
      <c r="V16" s="20">
        <v>91</v>
      </c>
      <c r="W16" s="20">
        <v>121</v>
      </c>
      <c r="X16" s="20">
        <v>0</v>
      </c>
      <c r="Y16" s="20"/>
      <c r="Z16" s="24"/>
    </row>
    <row r="17" spans="1:28" ht="15" x14ac:dyDescent="0.2">
      <c r="A17" s="21">
        <v>43692</v>
      </c>
      <c r="B17" s="45">
        <v>0.69469999999999998</v>
      </c>
      <c r="C17" s="22">
        <v>3.8935040000000001</v>
      </c>
      <c r="D17" s="36">
        <v>5.539072</v>
      </c>
      <c r="E17" s="36">
        <v>6.0738560000000001</v>
      </c>
      <c r="F17" s="36">
        <v>1.760896</v>
      </c>
      <c r="G17" s="23">
        <v>0</v>
      </c>
      <c r="H17" s="36">
        <v>3.5832320000000002</v>
      </c>
      <c r="I17" s="36">
        <v>1.3031680000000001</v>
      </c>
      <c r="J17" s="36">
        <v>1.7292799999999999</v>
      </c>
      <c r="K17" s="36">
        <v>3.787776</v>
      </c>
      <c r="L17" s="43">
        <v>7319</v>
      </c>
      <c r="M17" s="43">
        <v>0</v>
      </c>
      <c r="N17" s="43">
        <v>12790</v>
      </c>
      <c r="O17" s="43">
        <v>11133</v>
      </c>
      <c r="P17" s="43">
        <v>479</v>
      </c>
      <c r="Q17" s="22">
        <f>2929+3554+86+2221</f>
        <v>8790</v>
      </c>
      <c r="R17" s="37">
        <v>77</v>
      </c>
      <c r="S17" s="37">
        <v>25</v>
      </c>
      <c r="T17" s="20">
        <v>93</v>
      </c>
      <c r="U17" s="20">
        <v>269</v>
      </c>
      <c r="V17" s="20">
        <v>84</v>
      </c>
      <c r="W17" s="20">
        <v>83</v>
      </c>
      <c r="X17" s="20">
        <v>0</v>
      </c>
      <c r="Y17" s="20"/>
      <c r="Z17" s="24"/>
    </row>
    <row r="18" spans="1:28" ht="15" x14ac:dyDescent="0.2">
      <c r="A18" s="21">
        <v>43693</v>
      </c>
      <c r="B18" s="45">
        <v>0.56840000000000002</v>
      </c>
      <c r="C18" s="22">
        <v>3.7843200000000001</v>
      </c>
      <c r="D18" s="36">
        <v>5.8014720000000004</v>
      </c>
      <c r="E18" s="36">
        <v>6.0761599999999998</v>
      </c>
      <c r="F18" s="36">
        <v>2.3185920000000002</v>
      </c>
      <c r="G18" s="23">
        <v>0</v>
      </c>
      <c r="H18" s="36">
        <v>3.9505919999999999</v>
      </c>
      <c r="I18" s="36">
        <v>1.3695360000000001</v>
      </c>
      <c r="J18" s="36">
        <v>1.7562880000000001</v>
      </c>
      <c r="K18" s="36">
        <v>4.0046080000000002</v>
      </c>
      <c r="L18" s="43">
        <v>11409</v>
      </c>
      <c r="M18" s="43">
        <v>0</v>
      </c>
      <c r="N18" s="43">
        <v>7667</v>
      </c>
      <c r="O18" s="43">
        <v>12374</v>
      </c>
      <c r="P18" s="43">
        <v>0</v>
      </c>
      <c r="Q18" s="22">
        <f>3120+3256+2076</f>
        <v>8452</v>
      </c>
      <c r="R18" s="37">
        <v>91</v>
      </c>
      <c r="S18" s="37">
        <v>1</v>
      </c>
      <c r="T18" s="20">
        <v>73</v>
      </c>
      <c r="U18" s="20">
        <v>267</v>
      </c>
      <c r="V18" s="20">
        <v>85</v>
      </c>
      <c r="W18" s="20">
        <v>133</v>
      </c>
      <c r="X18" s="20">
        <v>0</v>
      </c>
      <c r="Y18" s="20"/>
      <c r="Z18" s="24"/>
    </row>
    <row r="19" spans="1:28" ht="15" x14ac:dyDescent="0.2">
      <c r="A19" s="21">
        <v>43694</v>
      </c>
      <c r="B19" s="45">
        <v>0.63160000000000005</v>
      </c>
      <c r="C19" s="22">
        <v>3.441408</v>
      </c>
      <c r="D19" s="36">
        <v>5.8982400000000004</v>
      </c>
      <c r="E19" s="36">
        <v>5.9304959999999998</v>
      </c>
      <c r="F19" s="36">
        <v>2.5200640000000001</v>
      </c>
      <c r="G19" s="23">
        <v>0</v>
      </c>
      <c r="H19" s="36">
        <v>3.6162559999999999</v>
      </c>
      <c r="I19" s="36">
        <v>1.2488319999999999</v>
      </c>
      <c r="J19" s="36">
        <v>1.709568</v>
      </c>
      <c r="K19" s="36">
        <v>3.8510080000000002</v>
      </c>
      <c r="L19" s="43">
        <v>7431</v>
      </c>
      <c r="M19" s="43">
        <v>0</v>
      </c>
      <c r="N19" s="43">
        <v>11890</v>
      </c>
      <c r="O19" s="43">
        <v>9705</v>
      </c>
      <c r="P19" s="43">
        <v>0</v>
      </c>
      <c r="Q19" s="22">
        <v>7726</v>
      </c>
      <c r="R19" s="37">
        <v>83</v>
      </c>
      <c r="S19" s="37">
        <v>22</v>
      </c>
      <c r="T19" s="20">
        <v>84</v>
      </c>
      <c r="U19" s="20">
        <v>321</v>
      </c>
      <c r="V19" s="20">
        <v>75</v>
      </c>
      <c r="W19" s="20">
        <v>132</v>
      </c>
      <c r="X19" s="20">
        <v>0</v>
      </c>
      <c r="Y19" s="20"/>
      <c r="Z19" s="24"/>
    </row>
    <row r="20" spans="1:28" ht="15" x14ac:dyDescent="0.2">
      <c r="A20" s="21">
        <v>43695</v>
      </c>
      <c r="B20" s="45">
        <v>0.63160000000000005</v>
      </c>
      <c r="C20" s="22">
        <v>3.4558719999999998</v>
      </c>
      <c r="D20" s="36">
        <v>5.4663680000000001</v>
      </c>
      <c r="E20" s="36">
        <v>5.8201599999999996</v>
      </c>
      <c r="F20" s="36">
        <v>2.5949439999999999</v>
      </c>
      <c r="G20" s="23">
        <v>0</v>
      </c>
      <c r="H20" s="36">
        <v>2.99648</v>
      </c>
      <c r="I20" s="36">
        <v>1.327296</v>
      </c>
      <c r="J20" s="36">
        <v>1.5842560000000001</v>
      </c>
      <c r="K20" s="36">
        <v>3.9052799999999999</v>
      </c>
      <c r="L20" s="43">
        <v>9909</v>
      </c>
      <c r="M20" s="43">
        <v>0</v>
      </c>
      <c r="N20" s="43">
        <v>5590</v>
      </c>
      <c r="O20" s="43">
        <v>13019</v>
      </c>
      <c r="P20" s="43">
        <v>1571</v>
      </c>
      <c r="Q20" s="22">
        <f>360+1534+2797+3426</f>
        <v>8117</v>
      </c>
      <c r="R20" s="37">
        <v>68</v>
      </c>
      <c r="S20" s="37">
        <v>125</v>
      </c>
      <c r="T20" s="20">
        <v>69</v>
      </c>
      <c r="U20" s="20">
        <v>256</v>
      </c>
      <c r="V20" s="20">
        <v>92</v>
      </c>
      <c r="W20" s="20">
        <v>105</v>
      </c>
      <c r="X20" s="20">
        <v>0</v>
      </c>
      <c r="Y20" s="20"/>
      <c r="Z20" s="24"/>
    </row>
    <row r="21" spans="1:28" ht="15" x14ac:dyDescent="0.2">
      <c r="A21" s="21">
        <v>43696</v>
      </c>
      <c r="B21" s="45">
        <v>0.47370000000000001</v>
      </c>
      <c r="C21" s="22">
        <v>3.5571199999999998</v>
      </c>
      <c r="D21" s="36">
        <v>5.4471679999999996</v>
      </c>
      <c r="E21" s="36">
        <v>5.8936320000000002</v>
      </c>
      <c r="F21" s="36">
        <v>2.6243840000000001</v>
      </c>
      <c r="G21" s="23">
        <v>0</v>
      </c>
      <c r="H21" s="36">
        <v>3.1911679999999998</v>
      </c>
      <c r="I21" s="36">
        <v>1.2348159999999999</v>
      </c>
      <c r="J21" s="36">
        <v>1.495552</v>
      </c>
      <c r="K21" s="36">
        <v>3.70688</v>
      </c>
      <c r="L21" s="43">
        <v>9511</v>
      </c>
      <c r="M21" s="43">
        <v>0</v>
      </c>
      <c r="N21" s="43">
        <v>7826</v>
      </c>
      <c r="O21" s="43">
        <v>12212</v>
      </c>
      <c r="P21" s="43">
        <v>1212</v>
      </c>
      <c r="Q21" s="22">
        <f>414+2801+2271+3213</f>
        <v>8699</v>
      </c>
      <c r="R21" s="37">
        <v>81</v>
      </c>
      <c r="S21" s="37">
        <v>28</v>
      </c>
      <c r="T21" s="20">
        <v>87</v>
      </c>
      <c r="U21" s="20">
        <v>258</v>
      </c>
      <c r="V21" s="20">
        <v>81</v>
      </c>
      <c r="W21" s="20">
        <v>115</v>
      </c>
      <c r="X21" s="20">
        <v>0</v>
      </c>
      <c r="Y21" s="20"/>
      <c r="Z21" s="24"/>
      <c r="AA21" s="24"/>
      <c r="AB21" s="25"/>
    </row>
    <row r="22" spans="1:28" ht="15" x14ac:dyDescent="0.2">
      <c r="A22" s="21">
        <v>43697</v>
      </c>
      <c r="B22" s="45">
        <v>0.88419999999999999</v>
      </c>
      <c r="C22" s="22">
        <v>4.0597760000000003</v>
      </c>
      <c r="D22" s="36">
        <v>5.6463359999999998</v>
      </c>
      <c r="E22" s="36">
        <v>5.7922560000000001</v>
      </c>
      <c r="F22" s="36">
        <v>2.635904</v>
      </c>
      <c r="G22" s="23">
        <v>0</v>
      </c>
      <c r="H22" s="36">
        <v>2.8483839999999998</v>
      </c>
      <c r="I22" s="36">
        <v>1.2199040000000001</v>
      </c>
      <c r="J22" s="36">
        <v>1.5598080000000001</v>
      </c>
      <c r="K22" s="36">
        <v>3.9042560000000002</v>
      </c>
      <c r="L22" s="43">
        <v>12902</v>
      </c>
      <c r="M22" s="43">
        <v>0</v>
      </c>
      <c r="N22" s="43">
        <v>12038</v>
      </c>
      <c r="O22" s="43">
        <v>7806</v>
      </c>
      <c r="P22" s="43">
        <v>0</v>
      </c>
      <c r="Q22" s="22">
        <f>2054+3302+3105</f>
        <v>8461</v>
      </c>
      <c r="R22" s="37">
        <v>91</v>
      </c>
      <c r="S22" s="22">
        <v>21</v>
      </c>
      <c r="T22" s="20">
        <v>87</v>
      </c>
      <c r="U22" s="20">
        <v>242</v>
      </c>
      <c r="V22" s="20">
        <v>80</v>
      </c>
      <c r="W22" s="20">
        <v>110</v>
      </c>
      <c r="X22" s="20">
        <v>0</v>
      </c>
      <c r="Y22" s="20"/>
      <c r="Z22" s="24"/>
      <c r="AA22" s="24"/>
      <c r="AB22" s="25"/>
    </row>
    <row r="23" spans="1:28" ht="15" x14ac:dyDescent="0.2">
      <c r="A23" s="21">
        <v>43698</v>
      </c>
      <c r="B23" s="45">
        <v>0.86319999999999997</v>
      </c>
      <c r="C23" s="22">
        <v>4.3799039999999998</v>
      </c>
      <c r="D23" s="36">
        <v>5.5216640000000003</v>
      </c>
      <c r="E23" s="36">
        <v>5.8521599999999996</v>
      </c>
      <c r="F23" s="36">
        <v>2.933376</v>
      </c>
      <c r="G23" s="23">
        <v>0</v>
      </c>
      <c r="H23" s="36">
        <v>3.261568</v>
      </c>
      <c r="I23" s="36">
        <v>1.275136</v>
      </c>
      <c r="J23" s="36">
        <v>1.7534719999999999</v>
      </c>
      <c r="K23" s="36">
        <v>4.0033279999999998</v>
      </c>
      <c r="L23" s="43">
        <v>4615</v>
      </c>
      <c r="M23" s="43">
        <v>5619</v>
      </c>
      <c r="N23" s="43">
        <v>6008</v>
      </c>
      <c r="O23" s="43">
        <v>11604</v>
      </c>
      <c r="P23" s="43">
        <v>1244</v>
      </c>
      <c r="Q23" s="22">
        <f>1667+1622+327+1662+3053</f>
        <v>8331</v>
      </c>
      <c r="R23" s="22">
        <v>81</v>
      </c>
      <c r="S23" s="22">
        <v>30</v>
      </c>
      <c r="T23" s="20">
        <v>65</v>
      </c>
      <c r="U23" s="20">
        <v>352</v>
      </c>
      <c r="V23" s="20">
        <v>89</v>
      </c>
      <c r="W23" s="20">
        <v>135</v>
      </c>
      <c r="X23" s="20">
        <v>0</v>
      </c>
      <c r="Y23" s="20"/>
      <c r="Z23" s="24"/>
      <c r="AA23" s="24"/>
      <c r="AB23" s="25"/>
    </row>
    <row r="24" spans="1:28" ht="15" x14ac:dyDescent="0.2">
      <c r="A24" s="21">
        <v>43699</v>
      </c>
      <c r="B24" s="45">
        <v>0.8105</v>
      </c>
      <c r="C24" s="22">
        <v>3.6794880000000001</v>
      </c>
      <c r="D24" s="36">
        <v>5.073664</v>
      </c>
      <c r="E24" s="36">
        <v>5.6939520000000003</v>
      </c>
      <c r="F24" s="36">
        <v>2.5926399999999998</v>
      </c>
      <c r="G24" s="23">
        <v>0</v>
      </c>
      <c r="H24" s="36">
        <v>3.1850239999999999</v>
      </c>
      <c r="I24" s="36">
        <v>1.3582719999999999</v>
      </c>
      <c r="J24" s="36">
        <v>1.904128</v>
      </c>
      <c r="K24" s="36">
        <v>3.9854080000000001</v>
      </c>
      <c r="L24" s="43">
        <v>9172</v>
      </c>
      <c r="M24" s="43">
        <v>8519</v>
      </c>
      <c r="N24" s="43">
        <v>8665</v>
      </c>
      <c r="O24" s="43">
        <v>2788</v>
      </c>
      <c r="P24" s="43">
        <v>0</v>
      </c>
      <c r="Q24" s="22">
        <f>2592+2420+2395+733</f>
        <v>8140</v>
      </c>
      <c r="R24" s="22">
        <v>76</v>
      </c>
      <c r="S24" s="22">
        <v>51</v>
      </c>
      <c r="T24" s="20">
        <v>105</v>
      </c>
      <c r="U24" s="20">
        <v>218</v>
      </c>
      <c r="V24" s="20">
        <v>97</v>
      </c>
      <c r="W24" s="20">
        <v>135</v>
      </c>
      <c r="X24" s="20">
        <v>0</v>
      </c>
      <c r="Y24" s="20"/>
      <c r="Z24" s="24"/>
      <c r="AA24" s="24"/>
      <c r="AB24" s="25"/>
    </row>
    <row r="25" spans="1:28" ht="15" x14ac:dyDescent="0.2">
      <c r="A25" s="21">
        <v>43700</v>
      </c>
      <c r="B25" s="45">
        <v>0.87370000000000003</v>
      </c>
      <c r="C25" s="22">
        <v>4.5698559999999997</v>
      </c>
      <c r="D25" s="36">
        <v>5.413888</v>
      </c>
      <c r="E25" s="36">
        <v>6.0835840000000001</v>
      </c>
      <c r="F25" s="36">
        <v>2.6999040000000001</v>
      </c>
      <c r="G25" s="23">
        <v>0</v>
      </c>
      <c r="H25" s="36">
        <v>3.1027200000000001</v>
      </c>
      <c r="I25" s="36">
        <v>1.175168</v>
      </c>
      <c r="J25" s="36">
        <v>2.0029439999999998</v>
      </c>
      <c r="K25" s="36">
        <v>3.9367679999999998</v>
      </c>
      <c r="L25" s="43">
        <v>6252</v>
      </c>
      <c r="M25" s="43">
        <v>9888</v>
      </c>
      <c r="N25" s="43">
        <v>8103</v>
      </c>
      <c r="O25" s="43">
        <v>7886</v>
      </c>
      <c r="P25" s="43">
        <v>0</v>
      </c>
      <c r="Q25" s="22">
        <f>1751+2847+2233+2075</f>
        <v>8906</v>
      </c>
      <c r="R25" s="22">
        <v>81</v>
      </c>
      <c r="S25" s="22">
        <v>26</v>
      </c>
      <c r="T25" s="20">
        <v>108</v>
      </c>
      <c r="U25" s="20">
        <v>258</v>
      </c>
      <c r="V25" s="20">
        <v>93</v>
      </c>
      <c r="W25" s="20">
        <v>128</v>
      </c>
      <c r="X25" s="20">
        <v>0</v>
      </c>
      <c r="Y25" s="20"/>
      <c r="Z25" s="24"/>
      <c r="AA25" s="24"/>
      <c r="AB25" s="25"/>
    </row>
    <row r="26" spans="1:28" ht="15" x14ac:dyDescent="0.2">
      <c r="A26" s="21">
        <v>43701</v>
      </c>
      <c r="B26" s="45">
        <v>0.90529999999999999</v>
      </c>
      <c r="C26" s="22">
        <v>4.8058880000000004</v>
      </c>
      <c r="D26" s="36">
        <v>5.40672</v>
      </c>
      <c r="E26" s="36">
        <v>6.0968960000000001</v>
      </c>
      <c r="F26" s="36">
        <v>2.969344</v>
      </c>
      <c r="G26" s="23">
        <v>0</v>
      </c>
      <c r="H26" s="36">
        <v>2.505728</v>
      </c>
      <c r="I26" s="36">
        <v>1.2547200000000001</v>
      </c>
      <c r="J26" s="36">
        <v>2.1076480000000002</v>
      </c>
      <c r="K26" s="36">
        <v>4.0350720000000004</v>
      </c>
      <c r="L26" s="43">
        <v>7565</v>
      </c>
      <c r="M26" s="43">
        <v>10527</v>
      </c>
      <c r="N26" s="43">
        <v>7000</v>
      </c>
      <c r="O26" s="43">
        <v>7852</v>
      </c>
      <c r="P26" s="43">
        <v>0</v>
      </c>
      <c r="Q26" s="22">
        <f>1974+2927+2106+2066</f>
        <v>9073</v>
      </c>
      <c r="R26" s="22">
        <v>88</v>
      </c>
      <c r="S26" s="22">
        <v>111</v>
      </c>
      <c r="T26" s="20">
        <v>100</v>
      </c>
      <c r="U26" s="20">
        <v>242</v>
      </c>
      <c r="V26" s="20">
        <v>109</v>
      </c>
      <c r="W26" s="20">
        <v>102</v>
      </c>
      <c r="X26" s="20">
        <v>0</v>
      </c>
      <c r="Y26" s="20"/>
      <c r="Z26" s="24"/>
      <c r="AA26" s="24"/>
      <c r="AB26" s="25"/>
    </row>
    <row r="27" spans="1:28" ht="15" x14ac:dyDescent="0.2">
      <c r="A27" s="21">
        <v>43702</v>
      </c>
      <c r="B27" s="45">
        <v>0.88419999999999999</v>
      </c>
      <c r="C27" s="22">
        <v>5.0680319999999996</v>
      </c>
      <c r="D27" s="36">
        <v>5.3171200000000001</v>
      </c>
      <c r="E27" s="36">
        <v>6.3324160000000003</v>
      </c>
      <c r="F27" s="36">
        <v>3.1996159999999998</v>
      </c>
      <c r="G27" s="23">
        <v>0</v>
      </c>
      <c r="H27" s="36">
        <v>2.5383680000000002</v>
      </c>
      <c r="I27" s="36">
        <v>1.3622399999999999</v>
      </c>
      <c r="J27" s="36">
        <v>2.08832</v>
      </c>
      <c r="K27" s="36">
        <v>4.1541119999999996</v>
      </c>
      <c r="L27" s="43">
        <v>9169</v>
      </c>
      <c r="M27" s="43">
        <v>6154</v>
      </c>
      <c r="N27" s="43">
        <v>9991</v>
      </c>
      <c r="O27" s="43">
        <v>7153</v>
      </c>
      <c r="P27" s="43">
        <v>0</v>
      </c>
      <c r="Q27" s="22">
        <f>2518+1715+2781+1882</f>
        <v>8896</v>
      </c>
      <c r="R27" s="22">
        <v>82</v>
      </c>
      <c r="S27" s="22">
        <v>42</v>
      </c>
      <c r="T27" s="20">
        <v>106</v>
      </c>
      <c r="U27" s="20">
        <v>240</v>
      </c>
      <c r="V27" s="20">
        <v>122</v>
      </c>
      <c r="W27" s="20">
        <v>120</v>
      </c>
      <c r="X27" s="20">
        <v>0</v>
      </c>
      <c r="Y27" s="20"/>
      <c r="Z27" s="24"/>
      <c r="AA27" s="24"/>
      <c r="AB27" s="25"/>
    </row>
    <row r="28" spans="1:28" ht="15" x14ac:dyDescent="0.2">
      <c r="A28" s="21">
        <v>43703</v>
      </c>
      <c r="B28" s="45">
        <v>0.84209999999999996</v>
      </c>
      <c r="C28" s="22">
        <v>5.0306559999999996</v>
      </c>
      <c r="D28" s="36">
        <v>5.1422720000000002</v>
      </c>
      <c r="E28" s="36">
        <v>6.2876159999999999</v>
      </c>
      <c r="F28" s="36">
        <v>3.0158079999999998</v>
      </c>
      <c r="G28" s="23">
        <v>0</v>
      </c>
      <c r="H28" s="36">
        <v>3.3337599999999998</v>
      </c>
      <c r="I28" s="36">
        <v>1.3231999999999999</v>
      </c>
      <c r="J28" s="36">
        <v>1.9454720000000001</v>
      </c>
      <c r="K28" s="36">
        <v>4.14208</v>
      </c>
      <c r="L28" s="43">
        <v>11283</v>
      </c>
      <c r="M28" s="43">
        <v>0</v>
      </c>
      <c r="N28" s="43">
        <v>9007</v>
      </c>
      <c r="O28" s="43">
        <v>11170</v>
      </c>
      <c r="P28" s="43">
        <v>0</v>
      </c>
      <c r="Q28" s="22">
        <f>3132+2939+2505</f>
        <v>8576</v>
      </c>
      <c r="R28" s="22">
        <v>101</v>
      </c>
      <c r="S28" s="22">
        <v>117</v>
      </c>
      <c r="T28" s="20">
        <v>102</v>
      </c>
      <c r="U28" s="20">
        <v>271</v>
      </c>
      <c r="V28" s="20">
        <v>118</v>
      </c>
      <c r="W28" s="20">
        <v>10</v>
      </c>
      <c r="X28" s="20">
        <v>0</v>
      </c>
      <c r="Y28" s="20"/>
      <c r="Z28" s="24"/>
      <c r="AA28" s="24"/>
      <c r="AB28" s="25"/>
    </row>
    <row r="29" spans="1:28" ht="15" x14ac:dyDescent="0.2">
      <c r="A29" s="21">
        <v>43704</v>
      </c>
      <c r="B29" s="45">
        <v>0.92630000000000001</v>
      </c>
      <c r="C29" s="22">
        <v>5.4167040000000002</v>
      </c>
      <c r="D29" s="36">
        <v>5.5552000000000001</v>
      </c>
      <c r="E29" s="36">
        <v>6.2684160000000002</v>
      </c>
      <c r="F29" s="36">
        <v>2.9660160000000002</v>
      </c>
      <c r="G29" s="23">
        <v>0</v>
      </c>
      <c r="H29" s="36">
        <v>2.5445120000000001</v>
      </c>
      <c r="I29" s="36">
        <v>1.3212159999999999</v>
      </c>
      <c r="J29" s="36">
        <v>2.0200960000000001</v>
      </c>
      <c r="K29" s="36">
        <v>4.2506240000000002</v>
      </c>
      <c r="L29" s="43">
        <v>12022</v>
      </c>
      <c r="M29" s="43">
        <v>0</v>
      </c>
      <c r="N29" s="43">
        <v>12092</v>
      </c>
      <c r="O29" s="43">
        <v>12104</v>
      </c>
      <c r="P29" s="43">
        <v>0</v>
      </c>
      <c r="Q29" s="22">
        <f>3249+3145+3185</f>
        <v>9579</v>
      </c>
      <c r="R29" s="22">
        <v>100</v>
      </c>
      <c r="S29" s="22">
        <v>136</v>
      </c>
      <c r="T29" s="20">
        <v>125</v>
      </c>
      <c r="U29" s="20">
        <v>280</v>
      </c>
      <c r="V29" s="20">
        <v>131</v>
      </c>
      <c r="W29" s="20">
        <v>184</v>
      </c>
      <c r="X29" s="20">
        <v>0</v>
      </c>
      <c r="Y29" s="20"/>
      <c r="Z29" s="24"/>
      <c r="AA29" s="24"/>
      <c r="AB29" s="25"/>
    </row>
    <row r="30" spans="1:28" ht="15" x14ac:dyDescent="0.2">
      <c r="A30" s="21">
        <v>43705</v>
      </c>
      <c r="B30" s="45">
        <v>0.91579999999999995</v>
      </c>
      <c r="C30" s="22">
        <v>5.2689919999999999</v>
      </c>
      <c r="D30" s="36">
        <v>5.6215039999999998</v>
      </c>
      <c r="E30" s="36">
        <v>6.4038399999999998</v>
      </c>
      <c r="F30" s="36">
        <v>3.0494720000000002</v>
      </c>
      <c r="G30" s="23">
        <v>0</v>
      </c>
      <c r="H30" s="36">
        <v>2.0385279999999999</v>
      </c>
      <c r="I30" s="36">
        <v>1.346368</v>
      </c>
      <c r="J30" s="36">
        <v>1.920768</v>
      </c>
      <c r="K30" s="36">
        <v>4.1272320000000002</v>
      </c>
      <c r="L30" s="43">
        <v>11582</v>
      </c>
      <c r="M30" s="43">
        <v>0</v>
      </c>
      <c r="N30" s="43">
        <v>11533</v>
      </c>
      <c r="O30" s="43">
        <v>11537</v>
      </c>
      <c r="P30" s="43">
        <v>0</v>
      </c>
      <c r="Q30" s="22">
        <f>3036+3197+3112</f>
        <v>9345</v>
      </c>
      <c r="R30" s="22">
        <v>98</v>
      </c>
      <c r="S30" s="22">
        <v>15</v>
      </c>
      <c r="T30" s="20">
        <v>100</v>
      </c>
      <c r="U30" s="20">
        <v>254</v>
      </c>
      <c r="V30" s="20">
        <v>128</v>
      </c>
      <c r="W30" s="20">
        <v>95</v>
      </c>
      <c r="X30" s="20">
        <v>0</v>
      </c>
      <c r="Y30" s="20"/>
      <c r="Z30" s="24"/>
      <c r="AA30" s="24"/>
      <c r="AB30" s="25"/>
    </row>
    <row r="31" spans="1:28" ht="15" x14ac:dyDescent="0.2">
      <c r="A31" s="21">
        <v>43706</v>
      </c>
      <c r="B31" s="45">
        <v>0.91579999999999995</v>
      </c>
      <c r="C31" s="22">
        <v>5.476864</v>
      </c>
      <c r="D31" s="36">
        <v>5.3995519999999999</v>
      </c>
      <c r="E31" s="36">
        <v>6.3480319999999999</v>
      </c>
      <c r="F31" s="36">
        <v>3.0316800000000002</v>
      </c>
      <c r="G31" s="23">
        <v>0</v>
      </c>
      <c r="H31" s="36">
        <v>1.6706559999999999</v>
      </c>
      <c r="I31" s="36">
        <v>1.3342080000000001</v>
      </c>
      <c r="J31" s="36">
        <v>1.84256</v>
      </c>
      <c r="K31" s="36">
        <v>4.2314239999999996</v>
      </c>
      <c r="L31" s="43">
        <v>11258</v>
      </c>
      <c r="M31" s="43">
        <v>0</v>
      </c>
      <c r="N31" s="43">
        <v>11190</v>
      </c>
      <c r="O31" s="43">
        <v>8239</v>
      </c>
      <c r="P31" s="43">
        <v>3986</v>
      </c>
      <c r="Q31" s="22">
        <f>3120+2168+1908+3046</f>
        <v>10242</v>
      </c>
      <c r="R31" s="22">
        <v>88</v>
      </c>
      <c r="S31" s="22">
        <v>33</v>
      </c>
      <c r="T31" s="20">
        <v>107</v>
      </c>
      <c r="U31" s="20">
        <v>288</v>
      </c>
      <c r="V31" s="20">
        <v>128</v>
      </c>
      <c r="W31" s="20">
        <v>114</v>
      </c>
      <c r="X31" s="20">
        <v>0</v>
      </c>
      <c r="Y31" s="20"/>
      <c r="Z31" s="24"/>
      <c r="AA31" s="24"/>
      <c r="AB31" s="25"/>
    </row>
    <row r="32" spans="1:28" ht="15" x14ac:dyDescent="0.2">
      <c r="A32" s="21">
        <v>43707</v>
      </c>
      <c r="B32" s="45">
        <v>0.77890000000000004</v>
      </c>
      <c r="C32" s="22">
        <v>5.4151680000000004</v>
      </c>
      <c r="D32" s="36">
        <v>5.3368320000000002</v>
      </c>
      <c r="E32" s="36">
        <v>6.3354879999999998</v>
      </c>
      <c r="F32" s="36">
        <v>3.0891519999999999</v>
      </c>
      <c r="G32" s="23">
        <v>0</v>
      </c>
      <c r="H32" s="36">
        <v>1.5767040000000001</v>
      </c>
      <c r="I32" s="36">
        <v>1.3463039999999999</v>
      </c>
      <c r="J32" s="36">
        <v>1.8850560000000001</v>
      </c>
      <c r="K32" s="36">
        <v>4.1725440000000003</v>
      </c>
      <c r="L32" s="43">
        <v>17339</v>
      </c>
      <c r="M32" s="43">
        <v>0</v>
      </c>
      <c r="N32" s="43">
        <v>11167</v>
      </c>
      <c r="O32" s="43">
        <v>11183</v>
      </c>
      <c r="P32" s="43">
        <v>0</v>
      </c>
      <c r="Q32" s="22">
        <f>2997+3131+2942</f>
        <v>9070</v>
      </c>
      <c r="R32" s="22">
        <v>100</v>
      </c>
      <c r="S32" s="22">
        <v>41</v>
      </c>
      <c r="T32" s="20">
        <v>103</v>
      </c>
      <c r="U32" s="20">
        <v>268</v>
      </c>
      <c r="V32" s="20">
        <v>131</v>
      </c>
      <c r="W32" s="20">
        <v>137</v>
      </c>
      <c r="X32" s="20">
        <v>0</v>
      </c>
      <c r="Y32" s="20"/>
      <c r="Z32" s="24"/>
      <c r="AA32" s="24"/>
      <c r="AB32" s="25"/>
    </row>
    <row r="33" spans="1:25" x14ac:dyDescent="0.2">
      <c r="A33" s="21">
        <v>43708</v>
      </c>
      <c r="B33" s="45">
        <v>0.78949999999999998</v>
      </c>
      <c r="C33" s="22">
        <v>5.7523200000000001</v>
      </c>
      <c r="D33" s="36">
        <v>5.5736319999999999</v>
      </c>
      <c r="E33" s="36">
        <v>6.4424960000000002</v>
      </c>
      <c r="F33" s="36">
        <v>3.1800320000000002</v>
      </c>
      <c r="G33" s="23">
        <v>0</v>
      </c>
      <c r="H33" s="36">
        <v>1.4112</v>
      </c>
      <c r="I33" s="36">
        <v>1.3293440000000001</v>
      </c>
      <c r="J33" s="36">
        <v>2.0005120000000001</v>
      </c>
      <c r="K33" s="36">
        <v>4.1671680000000002</v>
      </c>
      <c r="L33" s="43">
        <v>12034</v>
      </c>
      <c r="M33" s="43">
        <v>0</v>
      </c>
      <c r="N33" s="43">
        <v>11909</v>
      </c>
      <c r="O33" s="43">
        <v>12017</v>
      </c>
      <c r="P33" s="43">
        <v>0</v>
      </c>
      <c r="Q33" s="22">
        <f>3162+3224+3183</f>
        <v>9569</v>
      </c>
      <c r="R33" s="22">
        <v>96</v>
      </c>
      <c r="S33" s="22">
        <v>36</v>
      </c>
      <c r="T33" s="20">
        <v>103</v>
      </c>
      <c r="U33" s="20">
        <v>267</v>
      </c>
      <c r="V33" s="20">
        <v>137</v>
      </c>
      <c r="W33" s="20">
        <v>136</v>
      </c>
      <c r="X33" s="20">
        <v>0</v>
      </c>
      <c r="Y33" s="20"/>
    </row>
    <row r="34" spans="1:25" x14ac:dyDescent="0.2">
      <c r="C34" s="25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2019-10-04T06:44:10Z</dcterms:modified>
</cp:coreProperties>
</file>