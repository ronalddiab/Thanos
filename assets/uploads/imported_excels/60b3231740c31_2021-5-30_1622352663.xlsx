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A0C164B4-F2C8-40B8-ADBB-04CD78F40BDF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G29" i="31" l="1"/>
  <c r="G30" i="31"/>
  <c r="G31" i="31"/>
  <c r="G32" i="31"/>
  <c r="G33" i="31"/>
  <c r="L30" i="31"/>
  <c r="L31" i="31"/>
  <c r="L32" i="31"/>
  <c r="L33" i="31"/>
  <c r="I33" i="31"/>
  <c r="I30" i="31"/>
  <c r="I31" i="31"/>
  <c r="I32" i="31"/>
  <c r="L29" i="31" l="1"/>
  <c r="I29" i="31"/>
  <c r="L28" i="31" l="1"/>
  <c r="I28" i="31"/>
  <c r="G28" i="31"/>
  <c r="L27" i="31" l="1"/>
  <c r="I27" i="31"/>
  <c r="G27" i="31"/>
  <c r="G24" i="31" l="1"/>
  <c r="G25" i="31"/>
  <c r="G26" i="31"/>
  <c r="L24" i="31"/>
  <c r="L25" i="31"/>
  <c r="L26" i="31"/>
  <c r="I24" i="31"/>
  <c r="I25" i="31"/>
  <c r="I26" i="31"/>
  <c r="L23" i="31" l="1"/>
  <c r="I23" i="31"/>
  <c r="G23" i="31"/>
  <c r="G22" i="31" l="1"/>
  <c r="I22" i="31" l="1"/>
  <c r="G16" i="31" l="1"/>
  <c r="G17" i="31"/>
  <c r="G18" i="31"/>
  <c r="G19" i="31"/>
  <c r="G20" i="31"/>
  <c r="G21" i="31"/>
  <c r="L17" i="31"/>
  <c r="L18" i="31"/>
  <c r="L19" i="31"/>
  <c r="L20" i="31"/>
  <c r="L21" i="31"/>
  <c r="L22" i="31"/>
  <c r="I16" i="31"/>
  <c r="I17" i="31"/>
  <c r="I18" i="31"/>
  <c r="I19" i="31"/>
  <c r="I20" i="31"/>
  <c r="I21" i="31"/>
  <c r="L16" i="31" l="1"/>
  <c r="I15" i="31"/>
  <c r="G15" i="31"/>
  <c r="L14" i="31" l="1"/>
  <c r="L15" i="31"/>
  <c r="I14" i="31"/>
  <c r="G14" i="31"/>
  <c r="G13" i="31" l="1"/>
  <c r="L13" i="31"/>
  <c r="I13" i="31"/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<sst xmlns="http://schemas.openxmlformats.org/spreadsheetml/2006/main" count="73" uniqueCount="39">
  <si>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</si>
  <si>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</si>
  <si>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</si>
  <si>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</si>
  <si>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</si>
  <si>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</si>
  <si>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</si>
  <si>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</si>
  <si>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</si>
  <si>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</si>
  <si>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</si>
  <si>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</si>
  <si>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</si>
  <si>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</si>
  <si>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</si>
  <si>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</si>
  <si>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</si>
  <si>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</si>
  <si>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</si>
  <si>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</si>
  <si>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</si>
  <si>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</si>
  <si>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</si>
  <si>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</si>
  <si>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</si>
  <si>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</si>
  <si>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</si>
  <si>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</si>
  <si>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</si>
  <si>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</si>
  <si>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</si>
  <si>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Good morning,</t>
  </si>
  <si>
    <t>Meeting invitation is sent out for a general discussion regarding the AMC services.</t>
  </si>
  <si>
    <t>It will be a virtual meeting over teams. Kindly confirm your availability.</t>
  </si>
  <si>
    <t>Thank you.</t>
  </si>
  <si>
    <t>Sincere Regards,</t>
  </si>
  <si>
    <t>Nabeela Awan</t>
  </si>
  <si>
    <t>Engineering Coordinator.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</si>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</sst>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29399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45000</v>
      </c>
      <c r="J10" s="10">
        <v>3.61E-2</v>
      </c>
      <c r="K10" s="1">
        <f>'May 2021'!I13</f>
        <v>311</v>
      </c>
      <c r="L10" s="10">
        <v>0.75</v>
      </c>
      <c r="M10" s="10">
        <f>'May 2021'!L13</f>
        <v>176</v>
      </c>
      <c r="N10" s="10">
        <v>0.56299999999999994</v>
      </c>
      <c r="O10" s="14">
        <f>'May 2021'!D13</f>
        <v>56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29202</v>
      </c>
      <c r="F11" s="10">
        <v>2.9000000000000001E-2</v>
      </c>
      <c r="G11" s="1">
        <f>'May 2021'!J14</f>
        <v>2970</v>
      </c>
      <c r="H11" s="10">
        <v>0.112</v>
      </c>
      <c r="I11" s="1">
        <f>'May 2021'!G14*1000</f>
        <v>45000</v>
      </c>
      <c r="J11" s="10">
        <v>3.61E-2</v>
      </c>
      <c r="K11" s="1">
        <f>'May 2021'!I14</f>
        <v>225</v>
      </c>
      <c r="L11" s="10">
        <v>0.75</v>
      </c>
      <c r="M11" s="10">
        <f>'May 2021'!L14</f>
        <v>173</v>
      </c>
      <c r="N11" s="10">
        <v>0.56299999999999994</v>
      </c>
      <c r="O11" s="14">
        <f>'May 2021'!D14</f>
        <v>58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31237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14000</v>
      </c>
      <c r="J12" s="10">
        <v>3.61E-2</v>
      </c>
      <c r="K12" s="1">
        <f>'May 2021'!I15</f>
        <v>297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72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34541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58000</v>
      </c>
      <c r="J13" s="10">
        <v>3.61E-2</v>
      </c>
      <c r="K13" s="1">
        <f>'May 2021'!I16</f>
        <v>296</v>
      </c>
      <c r="L13" s="10">
        <v>0.75</v>
      </c>
      <c r="M13" s="10">
        <f>'May 2021'!L16</f>
        <v>218</v>
      </c>
      <c r="N13" s="10">
        <v>0.56299999999999994</v>
      </c>
      <c r="O13" s="14">
        <f>'May 2021'!D16</f>
        <v>114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35413</v>
      </c>
      <c r="F14" s="10">
        <v>2.9000000000000001E-2</v>
      </c>
      <c r="G14" s="1">
        <f>'May 2021'!J17</f>
        <v>2970</v>
      </c>
      <c r="H14" s="10">
        <v>0.112</v>
      </c>
      <c r="I14" s="1">
        <f>'May 2021'!G17*1000</f>
        <v>65000</v>
      </c>
      <c r="J14" s="10">
        <v>3.61E-2</v>
      </c>
      <c r="K14" s="1">
        <f>'May 2021'!I17</f>
        <v>311</v>
      </c>
      <c r="L14" s="10">
        <v>0.75</v>
      </c>
      <c r="M14" s="10">
        <f>'May 2021'!L17</f>
        <v>297</v>
      </c>
      <c r="N14" s="10">
        <v>0.56299999999999994</v>
      </c>
      <c r="O14" s="14">
        <f>'May 2021'!D17</f>
        <v>162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36691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65000</v>
      </c>
      <c r="J15" s="10">
        <v>3.61E-2</v>
      </c>
      <c r="K15" s="1">
        <f>'May 2021'!I18</f>
        <v>343</v>
      </c>
      <c r="L15" s="10">
        <v>0.75</v>
      </c>
      <c r="M15" s="10">
        <f>'May 2021'!L18</f>
        <v>161</v>
      </c>
      <c r="N15" s="10">
        <v>0.56299999999999994</v>
      </c>
      <c r="O15" s="14">
        <f>'May 2021'!D18</f>
        <v>196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37100</v>
      </c>
      <c r="F16" s="10">
        <v>2.9000000000000001E-2</v>
      </c>
      <c r="G16" s="1">
        <f>'May 2021'!J19</f>
        <v>2970</v>
      </c>
      <c r="H16" s="10">
        <v>0.112</v>
      </c>
      <c r="I16" s="1">
        <f>'May 2021'!G20*1000</f>
        <v>70000</v>
      </c>
      <c r="J16" s="10">
        <v>3.61E-2</v>
      </c>
      <c r="K16" s="1">
        <f>'May 2021'!I19</f>
        <v>415</v>
      </c>
      <c r="L16" s="10">
        <v>0.75</v>
      </c>
      <c r="M16" s="10">
        <f>'May 2021'!L19</f>
        <v>208</v>
      </c>
      <c r="N16" s="10">
        <v>0.56299999999999994</v>
      </c>
      <c r="O16" s="14">
        <f>'May 2021'!D19</f>
        <v>191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36541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68000</v>
      </c>
      <c r="J17" s="10">
        <v>3.61E-2</v>
      </c>
      <c r="K17" s="1">
        <f>'May 2021'!I20</f>
        <v>415</v>
      </c>
      <c r="L17" s="10">
        <v>0.75</v>
      </c>
      <c r="M17" s="10">
        <f>'May 2021'!L20</f>
        <v>292</v>
      </c>
      <c r="N17" s="10">
        <v>0.56299999999999994</v>
      </c>
      <c r="O17" s="14">
        <f>'May 2021'!D20</f>
        <v>166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37500</v>
      </c>
      <c r="F18" s="10">
        <v>2.9000000000000001E-2</v>
      </c>
      <c r="G18" s="1">
        <f>'May 2021'!J21</f>
        <v>2970</v>
      </c>
      <c r="H18" s="10">
        <v>0.112</v>
      </c>
      <c r="I18" s="1">
        <f>'May 2021'!G22*1000</f>
        <v>73000</v>
      </c>
      <c r="J18" s="10">
        <v>3.61E-2</v>
      </c>
      <c r="K18" s="1">
        <f>'May 2021'!I21</f>
        <v>515</v>
      </c>
      <c r="L18" s="10">
        <v>0.75</v>
      </c>
      <c r="M18" s="10">
        <f>'May 2021'!L21</f>
        <v>274</v>
      </c>
      <c r="N18" s="10">
        <v>0.56299999999999994</v>
      </c>
      <c r="O18" s="14">
        <f>'May 2021'!D21</f>
        <v>110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34849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80000</v>
      </c>
      <c r="J19" s="10">
        <v>3.61E-2</v>
      </c>
      <c r="K19" s="1">
        <f>'May 2021'!I22</f>
        <v>519</v>
      </c>
      <c r="L19" s="10">
        <v>0.75</v>
      </c>
      <c r="M19" s="10">
        <f>'May 2021'!L22</f>
        <v>220</v>
      </c>
      <c r="N19" s="10">
        <v>0.56299999999999994</v>
      </c>
      <c r="O19" s="14">
        <f>'May 2021'!D22</f>
        <v>117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34373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77000</v>
      </c>
      <c r="J20" s="10">
        <v>3.61E-2</v>
      </c>
      <c r="K20" s="1">
        <f>'May 2021'!I23</f>
        <v>321</v>
      </c>
      <c r="L20" s="10">
        <v>0.75</v>
      </c>
      <c r="M20" s="10">
        <f>'May 2021'!L23</f>
        <v>212</v>
      </c>
      <c r="N20" s="10">
        <v>0.56299999999999994</v>
      </c>
      <c r="O20" s="14">
        <f>'May 2021'!D23</f>
        <v>101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34522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78000</v>
      </c>
      <c r="J21" s="10">
        <v>3.61E-2</v>
      </c>
      <c r="K21" s="1">
        <f>'May 2021'!I23</f>
        <v>321</v>
      </c>
      <c r="L21" s="10">
        <v>0.75</v>
      </c>
      <c r="M21" s="10">
        <f>'May 2021'!L24</f>
        <v>279</v>
      </c>
      <c r="N21" s="10">
        <v>0.56299999999999994</v>
      </c>
      <c r="O21" s="14">
        <f>'May 2021'!D24</f>
        <v>101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34000</v>
      </c>
      <c r="F22" s="10">
        <v>2.9000000000000001E-2</v>
      </c>
      <c r="G22" s="1">
        <f>'May 2021'!J24</f>
        <v>2970</v>
      </c>
      <c r="H22" s="10">
        <v>0.112</v>
      </c>
      <c r="I22" s="1">
        <f>'May 2021'!G26*1000</f>
        <v>70000</v>
      </c>
      <c r="J22" s="10">
        <v>3.61E-2</v>
      </c>
      <c r="K22" s="1">
        <f>'May 2021'!I24</f>
        <v>241</v>
      </c>
      <c r="L22" s="10">
        <v>0.75</v>
      </c>
      <c r="M22" s="10">
        <f>'May 2021'!L25</f>
        <v>145</v>
      </c>
      <c r="N22" s="10">
        <v>0.56299999999999994</v>
      </c>
      <c r="O22" s="14">
        <f>'May 2021'!D25</f>
        <v>121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34567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67000</v>
      </c>
      <c r="J23" s="10">
        <v>3.61E-2</v>
      </c>
      <c r="K23" s="1">
        <f>'May 2021'!I26</f>
        <v>484</v>
      </c>
      <c r="L23" s="10">
        <v>0.75</v>
      </c>
      <c r="M23" s="10">
        <f>'May 2021'!L26</f>
        <v>235</v>
      </c>
      <c r="N23" s="10">
        <v>0.56299999999999994</v>
      </c>
      <c r="O23" s="14">
        <f>'May 2021'!D26</f>
        <v>102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32814</v>
      </c>
      <c r="F24" s="10">
        <v>2.9000000000000001E-2</v>
      </c>
      <c r="G24" s="1">
        <f>'May 2021'!J27</f>
        <v>2970</v>
      </c>
      <c r="H24" s="10">
        <v>0.112</v>
      </c>
      <c r="I24" s="1">
        <f>'May 2021'!G27*1000</f>
        <v>67000</v>
      </c>
      <c r="J24" s="10">
        <v>3.61E-2</v>
      </c>
      <c r="K24" s="1">
        <f>'May 2021'!I27</f>
        <v>215</v>
      </c>
      <c r="L24" s="10">
        <v>0.75</v>
      </c>
      <c r="M24" s="10">
        <f>'May 2021'!L27</f>
        <v>240</v>
      </c>
      <c r="N24" s="10">
        <v>0.56299999999999994</v>
      </c>
      <c r="O24" s="14">
        <f>'May 2021'!D27</f>
        <v>100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35440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77000</v>
      </c>
      <c r="J25" s="10">
        <v>3.61E-2</v>
      </c>
      <c r="K25" s="1">
        <f>'May 2021'!I28</f>
        <v>191</v>
      </c>
      <c r="L25" s="10">
        <v>0.75</v>
      </c>
      <c r="M25" s="10">
        <f>'May 2021'!L28</f>
        <v>267</v>
      </c>
      <c r="N25" s="10">
        <v>0.56299999999999994</v>
      </c>
      <c r="O25" s="14">
        <f>'May 2021'!D28</f>
        <v>107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34074</v>
      </c>
      <c r="F26" s="10">
        <v>2.9000000000000001E-2</v>
      </c>
      <c r="G26" s="1">
        <f>'May 2021'!J29</f>
        <v>2970</v>
      </c>
      <c r="H26" s="10">
        <v>0.112</v>
      </c>
      <c r="I26" s="1">
        <f>'May 2021'!G29*1000</f>
        <v>83000</v>
      </c>
      <c r="J26" s="10">
        <v>3.61E-2</v>
      </c>
      <c r="K26" s="1">
        <f>'May 2021'!I29</f>
        <v>509</v>
      </c>
      <c r="L26" s="10">
        <v>0.75</v>
      </c>
      <c r="M26" s="10">
        <f>'May 2021'!L29</f>
        <v>228</v>
      </c>
      <c r="N26" s="10">
        <v>0.56299999999999994</v>
      </c>
      <c r="O26" s="14">
        <f>'May 2021'!D29</f>
        <v>97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29876</v>
      </c>
      <c r="F27" s="10">
        <v>2.9000000000000001E-2</v>
      </c>
      <c r="G27" s="1">
        <f>'May 2021'!J30</f>
        <v>2970</v>
      </c>
      <c r="H27" s="10">
        <v>0.112</v>
      </c>
      <c r="I27" s="1">
        <f>'May 2021'!G30*1000</f>
        <v>79000</v>
      </c>
      <c r="J27" s="10">
        <v>3.61E-2</v>
      </c>
      <c r="K27" s="1">
        <f>'May 2021'!I30</f>
        <v>224</v>
      </c>
      <c r="L27" s="10">
        <v>0.75</v>
      </c>
      <c r="M27" s="10">
        <f>'May 2021'!L30</f>
        <v>241</v>
      </c>
      <c r="N27" s="10">
        <v>0.56299999999999994</v>
      </c>
      <c r="O27" s="14">
        <f>'May 2021'!D30</f>
        <v>70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24654</v>
      </c>
      <c r="F28" s="10">
        <v>2.9000000000000001E-2</v>
      </c>
      <c r="G28" s="1">
        <f>'May 2021'!J31</f>
        <v>2970</v>
      </c>
      <c r="H28" s="10">
        <v>0.112</v>
      </c>
      <c r="I28" s="1">
        <f>'May 2021'!G31*1000</f>
        <v>71000</v>
      </c>
      <c r="J28" s="10">
        <v>3.61E-2</v>
      </c>
      <c r="K28" s="1">
        <f>'May 2021'!I31</f>
        <v>482</v>
      </c>
      <c r="L28" s="10">
        <v>0.75</v>
      </c>
      <c r="M28" s="10">
        <f>'May 2021'!L31</f>
        <v>373</v>
      </c>
      <c r="N28" s="10">
        <v>0.56299999999999994</v>
      </c>
      <c r="O28" s="14">
        <f>'May 2021'!D31</f>
        <v>49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27654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53000</v>
      </c>
      <c r="J29" s="10">
        <v>3.61E-2</v>
      </c>
      <c r="K29" s="1">
        <f>'May 2021'!I32</f>
        <v>157</v>
      </c>
      <c r="L29" s="10">
        <v>0.75</v>
      </c>
      <c r="M29" s="10">
        <f>'May 2021'!L32</f>
        <v>144</v>
      </c>
      <c r="N29" s="10">
        <v>0.56299999999999994</v>
      </c>
      <c r="O29" s="14">
        <f>'May 2021'!D32</f>
        <v>31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23387</v>
      </c>
      <c r="F30" s="10">
        <v>2.9000000000000001E-2</v>
      </c>
      <c r="G30" s="1">
        <f>'May 2021'!J33</f>
        <v>2970</v>
      </c>
      <c r="H30" s="10">
        <v>0.112</v>
      </c>
      <c r="I30" s="1">
        <f>'May 2021'!G33*1000</f>
        <v>49000</v>
      </c>
      <c r="J30" s="10">
        <v>3.61E-2</v>
      </c>
      <c r="K30" s="1">
        <f>'May 2021'!I33</f>
        <v>81</v>
      </c>
      <c r="L30" s="10">
        <v>0.75</v>
      </c>
      <c r="M30" s="10">
        <f>'May 2021'!L33</f>
        <v>306</v>
      </c>
      <c r="N30" s="10">
        <v>0.56299999999999994</v>
      </c>
      <c r="O30" s="14">
        <f>'May 2021'!D33</f>
        <v>25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G37" sqref="G3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33" si="0">F7-F6</f>
        <v>48</v>
      </c>
      <c r="H6" s="5">
        <v>473344</v>
      </c>
      <c r="I6" s="3">
        <f t="shared" ref="I6:I33" si="1">H7-H6</f>
        <v>255</v>
      </c>
      <c r="J6" s="3">
        <v>0</v>
      </c>
      <c r="K6" s="4">
        <v>279580</v>
      </c>
      <c r="L6" s="9">
        <f t="shared" ref="L6:L33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>
        <v>56</v>
      </c>
      <c r="E13" s="12">
        <v>29399</v>
      </c>
      <c r="F13" s="29">
        <v>187640</v>
      </c>
      <c r="G13" s="8">
        <f t="shared" si="0"/>
        <v>45</v>
      </c>
      <c r="H13" s="16">
        <v>475055</v>
      </c>
      <c r="I13" s="3">
        <f t="shared" si="1"/>
        <v>311</v>
      </c>
      <c r="J13" s="3">
        <v>0</v>
      </c>
      <c r="K13" s="29">
        <v>280643</v>
      </c>
      <c r="L13" s="9">
        <f t="shared" si="2"/>
        <v>176</v>
      </c>
      <c r="N13" s="1"/>
    </row>
    <row r="14" spans="1:14" x14ac:dyDescent="0.2">
      <c r="B14" s="2">
        <v>10</v>
      </c>
      <c r="C14" s="11">
        <v>44326</v>
      </c>
      <c r="D14" s="7">
        <v>58</v>
      </c>
      <c r="E14" s="12">
        <v>29202</v>
      </c>
      <c r="F14" s="29">
        <v>187685</v>
      </c>
      <c r="G14" s="8">
        <f t="shared" si="0"/>
        <v>45</v>
      </c>
      <c r="H14" s="31">
        <v>475366</v>
      </c>
      <c r="I14" s="3">
        <f t="shared" si="1"/>
        <v>225</v>
      </c>
      <c r="J14" s="3">
        <v>2970</v>
      </c>
      <c r="K14" s="29">
        <v>280819</v>
      </c>
      <c r="L14" s="9">
        <f t="shared" si="2"/>
        <v>173</v>
      </c>
      <c r="N14" s="1"/>
    </row>
    <row r="15" spans="1:14" x14ac:dyDescent="0.2">
      <c r="B15" s="2">
        <v>11</v>
      </c>
      <c r="C15" s="11">
        <v>44327</v>
      </c>
      <c r="D15" s="7">
        <v>72</v>
      </c>
      <c r="E15" s="12">
        <v>31237</v>
      </c>
      <c r="F15" s="29">
        <v>187730</v>
      </c>
      <c r="G15" s="8">
        <f t="shared" si="0"/>
        <v>14</v>
      </c>
      <c r="H15" s="31">
        <v>475591</v>
      </c>
      <c r="I15" s="3">
        <f t="shared" si="1"/>
        <v>297</v>
      </c>
      <c r="J15" s="3">
        <v>0</v>
      </c>
      <c r="K15" s="29">
        <v>280992</v>
      </c>
      <c r="L15" s="9">
        <f t="shared" si="2"/>
        <v>0</v>
      </c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>
        <v>114</v>
      </c>
      <c r="E16" s="12">
        <v>34541</v>
      </c>
      <c r="F16" s="4">
        <v>187744</v>
      </c>
      <c r="G16" s="8">
        <f t="shared" si="0"/>
        <v>58</v>
      </c>
      <c r="H16" s="7">
        <v>475888</v>
      </c>
      <c r="I16" s="3">
        <f t="shared" si="1"/>
        <v>296</v>
      </c>
      <c r="J16" s="3">
        <v>0</v>
      </c>
      <c r="K16" s="4">
        <v>280992</v>
      </c>
      <c r="L16" s="9">
        <f t="shared" si="2"/>
        <v>218</v>
      </c>
      <c r="N16" s="1"/>
    </row>
    <row r="17" spans="1:14" x14ac:dyDescent="0.2">
      <c r="B17" s="2">
        <v>13</v>
      </c>
      <c r="C17" s="11">
        <v>44329</v>
      </c>
      <c r="D17" s="7">
        <v>162</v>
      </c>
      <c r="E17" s="12">
        <v>35413</v>
      </c>
      <c r="F17" s="4">
        <v>187802</v>
      </c>
      <c r="G17" s="8">
        <f t="shared" si="0"/>
        <v>65</v>
      </c>
      <c r="H17" s="7">
        <v>476184</v>
      </c>
      <c r="I17" s="3">
        <f t="shared" si="1"/>
        <v>311</v>
      </c>
      <c r="J17" s="3">
        <v>2970</v>
      </c>
      <c r="K17" s="4">
        <v>281210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44330</v>
      </c>
      <c r="D18" s="7">
        <v>196</v>
      </c>
      <c r="E18" s="31">
        <v>36691</v>
      </c>
      <c r="F18" s="4">
        <v>187867</v>
      </c>
      <c r="G18" s="8">
        <f t="shared" si="0"/>
        <v>65</v>
      </c>
      <c r="H18" s="7">
        <v>476495</v>
      </c>
      <c r="I18" s="3">
        <f t="shared" si="1"/>
        <v>343</v>
      </c>
      <c r="J18" s="3">
        <v>0</v>
      </c>
      <c r="K18" s="4">
        <v>281507</v>
      </c>
      <c r="L18" s="9">
        <f t="shared" si="2"/>
        <v>161</v>
      </c>
      <c r="N18" s="1"/>
    </row>
    <row r="19" spans="1:14" x14ac:dyDescent="0.2">
      <c r="B19" s="2">
        <v>15</v>
      </c>
      <c r="C19" s="11">
        <v>44331</v>
      </c>
      <c r="D19" s="7">
        <v>191</v>
      </c>
      <c r="E19" s="31">
        <v>37100</v>
      </c>
      <c r="F19" s="29">
        <v>187932</v>
      </c>
      <c r="G19" s="8">
        <f t="shared" si="0"/>
        <v>64</v>
      </c>
      <c r="H19" s="31">
        <v>476838</v>
      </c>
      <c r="I19" s="3">
        <f t="shared" si="1"/>
        <v>415</v>
      </c>
      <c r="J19" s="3">
        <v>2970</v>
      </c>
      <c r="K19" s="4">
        <v>281668</v>
      </c>
      <c r="L19" s="9">
        <f t="shared" si="2"/>
        <v>208</v>
      </c>
      <c r="N19" s="1"/>
    </row>
    <row r="20" spans="1:14" x14ac:dyDescent="0.2">
      <c r="A20" t="s">
        <v>28</v>
      </c>
      <c r="B20" s="2">
        <v>16</v>
      </c>
      <c r="C20" s="11">
        <v>44332</v>
      </c>
      <c r="D20" s="7">
        <v>166</v>
      </c>
      <c r="E20" s="31">
        <v>36541</v>
      </c>
      <c r="F20" s="29">
        <v>187996</v>
      </c>
      <c r="G20" s="8">
        <f t="shared" si="0"/>
        <v>70</v>
      </c>
      <c r="H20" s="32">
        <v>477253</v>
      </c>
      <c r="I20" s="3">
        <f t="shared" si="1"/>
        <v>415</v>
      </c>
      <c r="J20" s="25">
        <v>0</v>
      </c>
      <c r="K20" s="24">
        <v>281876</v>
      </c>
      <c r="L20" s="9">
        <f t="shared" si="2"/>
        <v>292</v>
      </c>
      <c r="N20" s="1"/>
    </row>
    <row r="21" spans="1:14" x14ac:dyDescent="0.2">
      <c r="B21" s="2">
        <v>17</v>
      </c>
      <c r="C21" s="11">
        <v>44333</v>
      </c>
      <c r="D21" s="7">
        <v>110</v>
      </c>
      <c r="E21" s="7">
        <v>37500</v>
      </c>
      <c r="F21" s="4">
        <v>188066</v>
      </c>
      <c r="G21" s="8">
        <f t="shared" si="0"/>
        <v>68</v>
      </c>
      <c r="H21" s="33">
        <v>477668</v>
      </c>
      <c r="I21" s="3">
        <f t="shared" si="1"/>
        <v>515</v>
      </c>
      <c r="J21" s="33">
        <v>2970</v>
      </c>
      <c r="K21" s="29">
        <v>282168</v>
      </c>
      <c r="L21" s="9">
        <f t="shared" si="2"/>
        <v>274</v>
      </c>
      <c r="N21" s="1"/>
    </row>
    <row r="22" spans="1:14" x14ac:dyDescent="0.2">
      <c r="B22" s="2">
        <v>18</v>
      </c>
      <c r="C22" s="11">
        <v>44334</v>
      </c>
      <c r="D22" s="7">
        <v>117</v>
      </c>
      <c r="E22" s="7">
        <v>34849</v>
      </c>
      <c r="F22" s="4">
        <v>188134</v>
      </c>
      <c r="G22" s="8">
        <f t="shared" si="0"/>
        <v>73</v>
      </c>
      <c r="H22" s="4">
        <v>478183</v>
      </c>
      <c r="I22" s="3">
        <f t="shared" si="1"/>
        <v>519</v>
      </c>
      <c r="J22" s="3">
        <v>0</v>
      </c>
      <c r="K22" s="29">
        <v>282442</v>
      </c>
      <c r="L22" s="9">
        <f t="shared" si="2"/>
        <v>220</v>
      </c>
      <c r="N22" s="1"/>
    </row>
    <row r="23" spans="1:14" x14ac:dyDescent="0.2">
      <c r="B23" s="2">
        <v>19</v>
      </c>
      <c r="C23" s="11">
        <v>44335</v>
      </c>
      <c r="D23" s="7">
        <v>101</v>
      </c>
      <c r="E23" s="31">
        <v>34373</v>
      </c>
      <c r="F23" s="4">
        <v>188207</v>
      </c>
      <c r="G23" s="8">
        <f t="shared" si="0"/>
        <v>80</v>
      </c>
      <c r="H23" s="29">
        <v>478702</v>
      </c>
      <c r="I23" s="3">
        <f t="shared" si="1"/>
        <v>321</v>
      </c>
      <c r="J23" s="3">
        <v>0</v>
      </c>
      <c r="K23" s="4">
        <v>282662</v>
      </c>
      <c r="L23" s="9">
        <f t="shared" si="2"/>
        <v>212</v>
      </c>
      <c r="N23" s="1"/>
    </row>
    <row r="24" spans="1:14" ht="12" customHeight="1" x14ac:dyDescent="0.2">
      <c r="B24" s="2">
        <v>20</v>
      </c>
      <c r="C24" s="11">
        <v>44336</v>
      </c>
      <c r="D24" s="7">
        <v>101</v>
      </c>
      <c r="E24" s="31">
        <v>34522</v>
      </c>
      <c r="F24" s="29">
        <v>188287</v>
      </c>
      <c r="G24" s="8">
        <f t="shared" si="0"/>
        <v>77</v>
      </c>
      <c r="H24" s="29">
        <v>479023</v>
      </c>
      <c r="I24" s="3">
        <f t="shared" si="1"/>
        <v>241</v>
      </c>
      <c r="J24" s="3">
        <v>2970</v>
      </c>
      <c r="K24" s="4">
        <v>282874</v>
      </c>
      <c r="L24" s="9">
        <f t="shared" si="2"/>
        <v>279</v>
      </c>
      <c r="N24" s="1"/>
    </row>
    <row r="25" spans="1:14" x14ac:dyDescent="0.2">
      <c r="B25" s="2">
        <v>21</v>
      </c>
      <c r="C25" s="11">
        <v>44337</v>
      </c>
      <c r="D25" s="7">
        <v>121</v>
      </c>
      <c r="E25" s="7">
        <v>34000</v>
      </c>
      <c r="F25" s="29">
        <v>188364</v>
      </c>
      <c r="G25" s="8">
        <f t="shared" si="0"/>
        <v>78</v>
      </c>
      <c r="H25" s="28">
        <v>479264</v>
      </c>
      <c r="I25" s="3">
        <f t="shared" si="1"/>
        <v>413</v>
      </c>
      <c r="J25" s="3">
        <v>0</v>
      </c>
      <c r="K25" s="4">
        <v>283153</v>
      </c>
      <c r="L25" s="9">
        <f t="shared" si="2"/>
        <v>145</v>
      </c>
      <c r="N25" s="1"/>
    </row>
    <row r="26" spans="1:14" x14ac:dyDescent="0.2">
      <c r="B26" s="2">
        <v>22</v>
      </c>
      <c r="C26" s="11">
        <v>44338</v>
      </c>
      <c r="D26" s="7">
        <v>102</v>
      </c>
      <c r="E26" s="7">
        <v>34567</v>
      </c>
      <c r="F26" s="4">
        <v>188442</v>
      </c>
      <c r="G26" s="8">
        <f t="shared" si="0"/>
        <v>70</v>
      </c>
      <c r="H26" s="4">
        <v>479677</v>
      </c>
      <c r="I26" s="3">
        <f t="shared" si="1"/>
        <v>484</v>
      </c>
      <c r="J26" s="3">
        <v>0</v>
      </c>
      <c r="K26" s="28">
        <v>283298</v>
      </c>
      <c r="L26" s="9">
        <f t="shared" si="2"/>
        <v>235</v>
      </c>
      <c r="N26" s="1"/>
    </row>
    <row r="27" spans="1:14" x14ac:dyDescent="0.2">
      <c r="B27" s="2">
        <v>23</v>
      </c>
      <c r="C27" s="11">
        <v>44339</v>
      </c>
      <c r="D27" s="7">
        <v>100</v>
      </c>
      <c r="E27" s="7">
        <v>32814</v>
      </c>
      <c r="F27" s="4">
        <v>188512</v>
      </c>
      <c r="G27" s="8">
        <f t="shared" si="0"/>
        <v>67</v>
      </c>
      <c r="H27" s="7">
        <v>480161</v>
      </c>
      <c r="I27" s="3">
        <f t="shared" si="1"/>
        <v>215</v>
      </c>
      <c r="J27" s="3">
        <v>2970</v>
      </c>
      <c r="K27" s="4">
        <v>283533</v>
      </c>
      <c r="L27" s="9">
        <f t="shared" si="2"/>
        <v>240</v>
      </c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>
        <v>107</v>
      </c>
      <c r="E28" s="7">
        <v>35440</v>
      </c>
      <c r="F28" s="4">
        <v>188579</v>
      </c>
      <c r="G28" s="8">
        <f t="shared" si="0"/>
        <v>77</v>
      </c>
      <c r="H28" s="7">
        <v>480376</v>
      </c>
      <c r="I28" s="3">
        <f t="shared" si="1"/>
        <v>191</v>
      </c>
      <c r="J28" s="3">
        <v>0</v>
      </c>
      <c r="K28" s="4">
        <v>283773</v>
      </c>
      <c r="L28" s="9">
        <f t="shared" si="2"/>
        <v>267</v>
      </c>
      <c r="N28" s="1"/>
    </row>
    <row r="29" spans="1:14" x14ac:dyDescent="0.2">
      <c r="A29" t="s">
        <v>30</v>
      </c>
      <c r="B29" s="2">
        <v>25</v>
      </c>
      <c r="C29" s="11">
        <v>44341</v>
      </c>
      <c r="D29" s="7">
        <v>97</v>
      </c>
      <c r="E29" s="7">
        <v>34074</v>
      </c>
      <c r="F29" s="4">
        <v>188656</v>
      </c>
      <c r="G29" s="8">
        <f t="shared" si="0"/>
        <v>83</v>
      </c>
      <c r="H29" s="7">
        <v>480567</v>
      </c>
      <c r="I29" s="3">
        <f t="shared" si="1"/>
        <v>509</v>
      </c>
      <c r="J29" s="3">
        <v>2970</v>
      </c>
      <c r="K29" s="4">
        <v>284040</v>
      </c>
      <c r="L29" s="9">
        <f t="shared" si="2"/>
        <v>228</v>
      </c>
      <c r="N29" s="1"/>
    </row>
    <row r="30" spans="1:14" x14ac:dyDescent="0.2">
      <c r="B30" s="2">
        <v>26</v>
      </c>
      <c r="C30" s="11">
        <v>44342</v>
      </c>
      <c r="D30" s="7">
        <v>70</v>
      </c>
      <c r="E30" s="7">
        <v>29876</v>
      </c>
      <c r="F30" s="4">
        <v>188739</v>
      </c>
      <c r="G30" s="8">
        <f t="shared" si="0"/>
        <v>79</v>
      </c>
      <c r="H30" s="7">
        <v>481076</v>
      </c>
      <c r="I30" s="3">
        <f t="shared" si="1"/>
        <v>224</v>
      </c>
      <c r="J30" s="3">
        <v>2970</v>
      </c>
      <c r="K30" s="30">
        <v>284268</v>
      </c>
      <c r="L30" s="9">
        <f t="shared" si="2"/>
        <v>241</v>
      </c>
      <c r="N30" s="1"/>
    </row>
    <row r="31" spans="1:14" x14ac:dyDescent="0.2">
      <c r="A31" t="s">
        <v>29</v>
      </c>
      <c r="B31" s="2">
        <v>27</v>
      </c>
      <c r="C31" s="11">
        <v>44343</v>
      </c>
      <c r="D31" s="7">
        <v>49</v>
      </c>
      <c r="E31" s="7">
        <v>24654</v>
      </c>
      <c r="F31" s="28">
        <v>188818</v>
      </c>
      <c r="G31" s="8">
        <f t="shared" si="0"/>
        <v>71</v>
      </c>
      <c r="H31" s="16">
        <v>481300</v>
      </c>
      <c r="I31" s="3">
        <f t="shared" si="1"/>
        <v>482</v>
      </c>
      <c r="J31" s="3">
        <v>2970</v>
      </c>
      <c r="K31" s="43">
        <v>284509</v>
      </c>
      <c r="L31" s="9">
        <f t="shared" si="2"/>
        <v>373</v>
      </c>
      <c r="N31" s="1"/>
    </row>
    <row r="32" spans="1:14" x14ac:dyDescent="0.2">
      <c r="B32" s="2">
        <v>28</v>
      </c>
      <c r="C32" s="11">
        <v>44344</v>
      </c>
      <c r="D32" s="7">
        <v>31</v>
      </c>
      <c r="E32" s="12">
        <v>27654</v>
      </c>
      <c r="F32" s="4">
        <v>188889</v>
      </c>
      <c r="G32" s="8">
        <f t="shared" si="0"/>
        <v>53</v>
      </c>
      <c r="H32" s="7">
        <v>481782</v>
      </c>
      <c r="I32" s="3">
        <f t="shared" si="1"/>
        <v>157</v>
      </c>
      <c r="J32" s="3">
        <v>0</v>
      </c>
      <c r="K32" s="4">
        <v>284882</v>
      </c>
      <c r="L32" s="9">
        <f t="shared" si="2"/>
        <v>144</v>
      </c>
      <c r="N32" s="1"/>
    </row>
    <row r="33" spans="2:14" x14ac:dyDescent="0.2">
      <c r="B33" s="2">
        <v>29</v>
      </c>
      <c r="C33" s="11">
        <v>44345</v>
      </c>
      <c r="D33" s="22">
        <v>25</v>
      </c>
      <c r="E33" s="23">
        <v>23387</v>
      </c>
      <c r="F33" s="4">
        <v>188942</v>
      </c>
      <c r="G33" s="8">
        <f t="shared" si="0"/>
        <v>49</v>
      </c>
      <c r="H33" s="7">
        <v>481939</v>
      </c>
      <c r="I33" s="3">
        <f t="shared" si="1"/>
        <v>81</v>
      </c>
      <c r="J33" s="3">
        <v>2970</v>
      </c>
      <c r="K33" s="4">
        <v>285026</v>
      </c>
      <c r="L33" s="9">
        <f t="shared" si="2"/>
        <v>306</v>
      </c>
      <c r="N33" s="1"/>
    </row>
    <row r="34" spans="2:14" x14ac:dyDescent="0.2">
      <c r="B34" s="2">
        <v>30</v>
      </c>
      <c r="C34" s="11">
        <v>44346</v>
      </c>
      <c r="D34" s="21"/>
      <c r="E34" s="3"/>
      <c r="F34" s="29">
        <v>188991</v>
      </c>
      <c r="G34" s="8"/>
      <c r="H34" s="7">
        <v>482020</v>
      </c>
      <c r="I34" s="3"/>
      <c r="J34" s="3">
        <v>0</v>
      </c>
      <c r="K34" s="29">
        <v>285332</v>
      </c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40" spans="2:14" x14ac:dyDescent="0.2">
      <c r="F40" t="s">
        <v>31</v>
      </c>
    </row>
    <row r="42" spans="2:14" x14ac:dyDescent="0.2">
      <c r="F42" t="s">
        <v>32</v>
      </c>
    </row>
    <row r="44" spans="2:14" x14ac:dyDescent="0.2">
      <c r="F44" t="s">
        <v>33</v>
      </c>
    </row>
    <row r="46" spans="2:14" x14ac:dyDescent="0.2">
      <c r="F46" t="s">
        <v>34</v>
      </c>
    </row>
    <row r="48" spans="2:14" x14ac:dyDescent="0.2">
      <c r="F48" t="s">
        <v>35</v>
      </c>
    </row>
    <row r="49" spans="6:9" x14ac:dyDescent="0.2">
      <c r="F49" t="s">
        <v>36</v>
      </c>
    </row>
    <row r="50" spans="6:9" x14ac:dyDescent="0.2">
      <c r="F50" t="s">
        <v>37</v>
      </c>
    </row>
    <row r="51" spans="6:9" x14ac:dyDescent="0.2">
      <c r="I51" t="s">
        <v>38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2021-05-30T05:29:42Z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