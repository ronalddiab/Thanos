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EADD3CD5-4262-4CD8-B3B1-F91D89FE03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December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E32" i="1"/>
  <c r="G32" i="1"/>
  <c r="I32" i="1"/>
  <c r="K32" i="1"/>
  <c r="L3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D36" i="8" l="1"/>
  <c r="C36" i="8"/>
  <c r="B36" i="8"/>
  <c r="L35" i="8"/>
  <c r="K35" i="8"/>
  <c r="J35" i="8"/>
  <c r="H35" i="8"/>
  <c r="G35" i="8"/>
  <c r="F35" i="8"/>
  <c r="D35" i="8"/>
  <c r="C35" i="8"/>
  <c r="B35" i="8"/>
  <c r="C38" i="8" l="1"/>
  <c r="D38" i="8"/>
  <c r="B38" i="8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<sst xmlns="http://schemas.openxmlformats.org/spreadsheetml/2006/main" count="68" uniqueCount="36">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</sst>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0" fontId="12" fillId="0" borderId="14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7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8" xfId="0" applyFont="1" applyFill="1" applyBorder="1" applyAlignment="1" applyProtection="1">
      <alignment horizontal="center"/>
      <protection locked="0"/>
    </xf>
    <xf numFmtId="0" fontId="2" fillId="0" borderId="29" xfId="0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workbookViewId="0">
      <selection activeCell="C10" sqref="C10"/>
    </sheetView>
  </sheetViews>
  <sheetFormatPr defaultColWidth="11.5546875" defaultRowHeight="14.4" x14ac:dyDescent="0.3"/>
  <cols>
    <col min="1" max="1" width="18.109375" style="3" customWidth="1"/>
    <col min="2" max="2" width="11.5546875" style="2"/>
    <col min="3" max="3" width="11.5546875" style="22"/>
    <col min="4" max="4" width="13.44140625" style="2" customWidth="1"/>
    <col min="5" max="5" width="12.5546875" style="1" customWidth="1"/>
    <col min="6" max="6" width="12.5546875" style="17" customWidth="1"/>
    <col min="7" max="7" width="11.5546875" style="1"/>
    <col min="8" max="8" width="11.5546875" style="17"/>
    <col min="9" max="9" width="11.5546875" style="1"/>
    <col min="10" max="10" width="11.5546875" style="18"/>
    <col min="11" max="11" width="11.5546875" style="25"/>
    <col min="12" max="24" width="11.5546875" style="1"/>
  </cols>
  <sheetData>
    <row r="1" spans="1:24" s="3" customFormat="1" ht="43.2" x14ac:dyDescent="0.3">
      <c r="A1" s="19" t="s">
        <v>0</v>
      </c>
      <c r="B1" s="19" t="s">
        <v>1</v>
      </c>
      <c r="C1" s="21" t="s">
        <v>2</v>
      </c>
      <c r="D1" s="19" t="s">
        <v>3</v>
      </c>
      <c r="E1" s="19" t="s">
        <v>4</v>
      </c>
      <c r="F1" s="20" t="s">
        <v>5</v>
      </c>
      <c r="G1" s="19" t="s">
        <v>6</v>
      </c>
      <c r="H1" s="20" t="s">
        <v>7</v>
      </c>
      <c r="I1" s="19" t="s">
        <v>8</v>
      </c>
      <c r="J1" s="21" t="s">
        <v>9</v>
      </c>
      <c r="K1" s="23" t="s">
        <v>10</v>
      </c>
      <c r="L1" s="19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s="3" t="s">
        <v>12</v>
      </c>
      <c r="B2" s="2">
        <v>1</v>
      </c>
      <c r="C2" s="22">
        <v>12</v>
      </c>
      <c r="D2" s="2">
        <v>2022</v>
      </c>
      <c r="E2" s="4">
        <f>December!B4</f>
        <v>10869</v>
      </c>
      <c r="F2" s="16">
        <v>9.9000000000000005E-2</v>
      </c>
      <c r="G2" s="4">
        <f>December!C4</f>
        <v>1569</v>
      </c>
      <c r="H2" s="17">
        <v>0.28000000000000003</v>
      </c>
      <c r="I2" s="4">
        <f>December!D4</f>
        <v>102</v>
      </c>
      <c r="J2" s="17">
        <v>3.2719999999999998</v>
      </c>
      <c r="K2" s="24">
        <f>December!J4</f>
        <v>174</v>
      </c>
      <c r="L2" s="24">
        <f>December!K4</f>
        <v>98</v>
      </c>
      <c r="M2" s="1" t="s">
        <v>13</v>
      </c>
    </row>
    <row r="3" spans="1:24" x14ac:dyDescent="0.3">
      <c r="A3" s="3" t="s">
        <v>12</v>
      </c>
      <c r="B3" s="2">
        <f>B2+1</f>
        <v>2</v>
      </c>
      <c r="C3" s="22">
        <v>12</v>
      </c>
      <c r="D3" s="2">
        <v>2022</v>
      </c>
      <c r="E3" s="4">
        <f>December!B5</f>
        <v>11098</v>
      </c>
      <c r="F3" s="16">
        <v>9.9000000000000005E-2</v>
      </c>
      <c r="G3" s="4">
        <f>December!C5</f>
        <v>1692</v>
      </c>
      <c r="H3" s="17">
        <v>0.28000000000000003</v>
      </c>
      <c r="I3" s="4">
        <f>December!D5</f>
        <v>99</v>
      </c>
      <c r="J3" s="17">
        <v>3.2719999999999998</v>
      </c>
      <c r="K3" s="24">
        <f>December!J5</f>
        <v>205</v>
      </c>
      <c r="L3" s="24">
        <f>December!K5</f>
        <v>120</v>
      </c>
    </row>
    <row r="4" spans="1:24" x14ac:dyDescent="0.3">
      <c r="A4" s="3" t="s">
        <v>12</v>
      </c>
      <c r="B4" s="2">
        <f t="shared" ref="B4:B32" si="0">B3+1</f>
        <v>3</v>
      </c>
      <c r="C4" s="22">
        <v>12</v>
      </c>
      <c r="D4" s="2">
        <v>2022</v>
      </c>
      <c r="E4" s="4">
        <f>December!B6</f>
        <v>10123</v>
      </c>
      <c r="F4" s="16">
        <v>9.9000000000000005E-2</v>
      </c>
      <c r="G4" s="4">
        <f>December!C6</f>
        <v>1619</v>
      </c>
      <c r="H4" s="17">
        <v>0.28000000000000003</v>
      </c>
      <c r="I4" s="4">
        <f>December!D6</f>
        <v>120</v>
      </c>
      <c r="J4" s="17">
        <v>3.2719999999999998</v>
      </c>
      <c r="K4" s="24">
        <f>December!J6</f>
        <v>183</v>
      </c>
      <c r="L4" s="24">
        <f>December!K6</f>
        <v>100</v>
      </c>
    </row>
    <row r="5" spans="1:24" x14ac:dyDescent="0.3">
      <c r="A5" s="3" t="s">
        <v>12</v>
      </c>
      <c r="B5" s="2">
        <f t="shared" si="0"/>
        <v>4</v>
      </c>
      <c r="C5" s="22">
        <v>12</v>
      </c>
      <c r="D5" s="2">
        <v>2022</v>
      </c>
      <c r="E5" s="4">
        <f>December!B7</f>
        <v>11658</v>
      </c>
      <c r="F5" s="16">
        <v>9.9000000000000005E-2</v>
      </c>
      <c r="G5" s="4">
        <f>December!C7</f>
        <v>1408</v>
      </c>
      <c r="H5" s="17">
        <v>0.28000000000000003</v>
      </c>
      <c r="I5" s="4">
        <f>December!D7</f>
        <v>96</v>
      </c>
      <c r="J5" s="17">
        <v>3.2719999999999998</v>
      </c>
      <c r="K5" s="24">
        <f>December!J7</f>
        <v>129</v>
      </c>
      <c r="L5" s="24">
        <f>December!K7</f>
        <v>75</v>
      </c>
    </row>
    <row r="6" spans="1:24" x14ac:dyDescent="0.3">
      <c r="A6" s="3" t="s">
        <v>12</v>
      </c>
      <c r="B6" s="2">
        <f t="shared" si="0"/>
        <v>5</v>
      </c>
      <c r="C6" s="22">
        <v>12</v>
      </c>
      <c r="D6" s="2">
        <v>2022</v>
      </c>
      <c r="E6" s="4">
        <f>December!B8</f>
        <v>10085</v>
      </c>
      <c r="F6" s="16">
        <v>9.9000000000000005E-2</v>
      </c>
      <c r="G6" s="4">
        <f>December!C8</f>
        <v>1019</v>
      </c>
      <c r="H6" s="17">
        <v>0.28000000000000003</v>
      </c>
      <c r="I6" s="4">
        <f>December!D8</f>
        <v>110</v>
      </c>
      <c r="J6" s="17">
        <v>3.2719999999999998</v>
      </c>
      <c r="K6" s="24">
        <f>December!J8</f>
        <v>123</v>
      </c>
      <c r="L6" s="24">
        <f>December!K8</f>
        <v>76</v>
      </c>
    </row>
    <row r="7" spans="1:24" x14ac:dyDescent="0.3">
      <c r="A7" s="3" t="s">
        <v>12</v>
      </c>
      <c r="B7" s="2">
        <f t="shared" si="0"/>
        <v>6</v>
      </c>
      <c r="C7" s="22">
        <v>12</v>
      </c>
      <c r="D7" s="2">
        <v>2022</v>
      </c>
      <c r="E7" s="4">
        <f>December!B9</f>
        <v>10568</v>
      </c>
      <c r="F7" s="16">
        <v>9.9000000000000005E-2</v>
      </c>
      <c r="G7" s="4">
        <f>December!C9</f>
        <v>1627</v>
      </c>
      <c r="H7" s="17">
        <v>0.28000000000000003</v>
      </c>
      <c r="I7" s="4">
        <f>December!D9</f>
        <v>73</v>
      </c>
      <c r="J7" s="17">
        <v>3.2719999999999998</v>
      </c>
      <c r="K7" s="24">
        <f>December!J9</f>
        <v>175</v>
      </c>
      <c r="L7" s="24">
        <f>December!K9</f>
        <v>112</v>
      </c>
    </row>
    <row r="8" spans="1:24" x14ac:dyDescent="0.3">
      <c r="A8" s="3" t="s">
        <v>12</v>
      </c>
      <c r="B8" s="2">
        <f t="shared" si="0"/>
        <v>7</v>
      </c>
      <c r="C8" s="22">
        <v>12</v>
      </c>
      <c r="D8" s="2">
        <v>2022</v>
      </c>
      <c r="E8" s="4">
        <f>December!B10</f>
        <v>11219</v>
      </c>
      <c r="F8" s="16">
        <v>9.9000000000000005E-2</v>
      </c>
      <c r="G8" s="4">
        <f>December!C10</f>
        <v>1548</v>
      </c>
      <c r="H8" s="17">
        <v>0.28000000000000003</v>
      </c>
      <c r="I8" s="4">
        <f>December!D10</f>
        <v>135</v>
      </c>
      <c r="J8" s="17">
        <v>3.2719999999999998</v>
      </c>
      <c r="K8" s="24">
        <f>December!J10</f>
        <v>169</v>
      </c>
      <c r="L8" s="24">
        <f>December!K10</f>
        <v>110</v>
      </c>
    </row>
    <row r="9" spans="1:24" x14ac:dyDescent="0.3">
      <c r="A9" s="3" t="s">
        <v>12</v>
      </c>
      <c r="B9" s="2">
        <f t="shared" si="0"/>
        <v>8</v>
      </c>
      <c r="C9" s="22">
        <v>12</v>
      </c>
      <c r="D9" s="2">
        <v>2022</v>
      </c>
      <c r="E9" s="4">
        <f>December!B11</f>
        <v>10700</v>
      </c>
      <c r="F9" s="16">
        <v>9.9000000000000005E-2</v>
      </c>
      <c r="G9" s="4">
        <f>December!C11</f>
        <v>1610</v>
      </c>
      <c r="H9" s="17">
        <v>0.28000000000000003</v>
      </c>
      <c r="I9" s="4">
        <f>December!D11</f>
        <v>98</v>
      </c>
      <c r="J9" s="17">
        <v>3.2719999999999998</v>
      </c>
      <c r="K9" s="24">
        <f>December!J11</f>
        <v>159</v>
      </c>
      <c r="L9" s="24">
        <f>December!K11</f>
        <v>101</v>
      </c>
    </row>
    <row r="10" spans="1:24" x14ac:dyDescent="0.3">
      <c r="A10" s="3" t="s">
        <v>12</v>
      </c>
      <c r="B10" s="2">
        <f t="shared" si="0"/>
        <v>9</v>
      </c>
      <c r="C10" s="22">
        <v>12</v>
      </c>
      <c r="D10" s="2">
        <v>2022</v>
      </c>
      <c r="E10" s="4">
        <f>December!B12</f>
        <v>10818</v>
      </c>
      <c r="F10" s="16">
        <v>9.9000000000000005E-2</v>
      </c>
      <c r="G10" s="4">
        <f>December!C12</f>
        <v>1589</v>
      </c>
      <c r="H10" s="17">
        <v>0.28000000000000003</v>
      </c>
      <c r="I10" s="4">
        <f>December!D12</f>
        <v>101</v>
      </c>
      <c r="J10" s="17">
        <v>3.2719999999999998</v>
      </c>
      <c r="K10" s="24">
        <f>December!J12</f>
        <v>173</v>
      </c>
      <c r="L10" s="24">
        <f>December!K12</f>
        <v>112</v>
      </c>
    </row>
    <row r="11" spans="1:24" x14ac:dyDescent="0.3">
      <c r="A11" s="3" t="s">
        <v>12</v>
      </c>
      <c r="B11" s="2">
        <f t="shared" si="0"/>
        <v>10</v>
      </c>
      <c r="C11" s="22">
        <v>12</v>
      </c>
      <c r="D11" s="2">
        <v>2022</v>
      </c>
      <c r="E11" s="4">
        <f>December!B13</f>
        <v>10832</v>
      </c>
      <c r="F11" s="16">
        <v>9.9000000000000005E-2</v>
      </c>
      <c r="G11" s="4">
        <f>December!C13</f>
        <v>1678</v>
      </c>
      <c r="H11" s="17">
        <v>0.28000000000000003</v>
      </c>
      <c r="I11" s="4">
        <f>December!D13</f>
        <v>95</v>
      </c>
      <c r="J11" s="17">
        <v>3.2719999999999998</v>
      </c>
      <c r="K11" s="24">
        <f>December!J13</f>
        <v>213</v>
      </c>
      <c r="L11" s="24">
        <f>December!K13</f>
        <v>142</v>
      </c>
    </row>
    <row r="12" spans="1:24" x14ac:dyDescent="0.3">
      <c r="A12" s="3" t="s">
        <v>12</v>
      </c>
      <c r="B12" s="2">
        <f t="shared" si="0"/>
        <v>11</v>
      </c>
      <c r="C12" s="22">
        <v>12</v>
      </c>
      <c r="D12" s="2">
        <v>2022</v>
      </c>
      <c r="E12" s="4">
        <f>December!B14</f>
        <v>10469</v>
      </c>
      <c r="F12" s="16">
        <v>9.9000000000000005E-2</v>
      </c>
      <c r="G12" s="4">
        <f>December!C14</f>
        <v>1898</v>
      </c>
      <c r="H12" s="17">
        <v>0.28000000000000003</v>
      </c>
      <c r="I12" s="4">
        <f>December!D14</f>
        <v>101</v>
      </c>
      <c r="J12" s="17">
        <v>3.2719999999999998</v>
      </c>
      <c r="K12" s="24">
        <f>December!J14</f>
        <v>178</v>
      </c>
      <c r="L12" s="24">
        <f>December!K14</f>
        <v>115</v>
      </c>
    </row>
    <row r="13" spans="1:24" x14ac:dyDescent="0.3">
      <c r="A13" s="3" t="s">
        <v>12</v>
      </c>
      <c r="B13" s="2">
        <f t="shared" si="0"/>
        <v>12</v>
      </c>
      <c r="C13" s="22">
        <v>12</v>
      </c>
      <c r="D13" s="2">
        <v>2022</v>
      </c>
      <c r="E13" s="4">
        <f>December!B15</f>
        <v>10547</v>
      </c>
      <c r="F13" s="16">
        <v>9.9000000000000005E-2</v>
      </c>
      <c r="G13" s="4">
        <f>December!C15</f>
        <v>1952</v>
      </c>
      <c r="H13" s="17">
        <v>0.28000000000000003</v>
      </c>
      <c r="I13" s="4">
        <f>December!D15</f>
        <v>94</v>
      </c>
      <c r="J13" s="17">
        <v>3.2719999999999998</v>
      </c>
      <c r="K13" s="24">
        <f>December!J15</f>
        <v>137</v>
      </c>
      <c r="L13" s="24">
        <f>December!K15</f>
        <v>83</v>
      </c>
    </row>
    <row r="14" spans="1:24" x14ac:dyDescent="0.3">
      <c r="A14" s="3" t="s">
        <v>12</v>
      </c>
      <c r="B14" s="2">
        <f t="shared" si="0"/>
        <v>13</v>
      </c>
      <c r="C14" s="22">
        <v>12</v>
      </c>
      <c r="D14" s="2">
        <v>2022</v>
      </c>
      <c r="E14" s="4">
        <f>December!B16</f>
        <v>10701</v>
      </c>
      <c r="F14" s="16">
        <v>9.9000000000000005E-2</v>
      </c>
      <c r="G14" s="4">
        <f>December!C16</f>
        <v>2120</v>
      </c>
      <c r="H14" s="17">
        <v>0.28000000000000003</v>
      </c>
      <c r="I14" s="4">
        <f>December!D16</f>
        <v>101</v>
      </c>
      <c r="J14" s="17">
        <v>3.2719999999999998</v>
      </c>
      <c r="K14" s="24">
        <f>December!J16</f>
        <v>174</v>
      </c>
      <c r="L14" s="24">
        <f>December!K16</f>
        <v>106</v>
      </c>
    </row>
    <row r="15" spans="1:24" x14ac:dyDescent="0.3">
      <c r="A15" s="3" t="s">
        <v>12</v>
      </c>
      <c r="B15" s="2">
        <f t="shared" si="0"/>
        <v>14</v>
      </c>
      <c r="C15" s="22">
        <v>12</v>
      </c>
      <c r="D15" s="2">
        <v>2022</v>
      </c>
      <c r="E15" s="4">
        <f>December!B17</f>
        <v>10776</v>
      </c>
      <c r="F15" s="16">
        <v>9.9000000000000005E-2</v>
      </c>
      <c r="G15" s="4">
        <f>December!C17</f>
        <v>2010</v>
      </c>
      <c r="H15" s="17">
        <v>0.28000000000000003</v>
      </c>
      <c r="I15" s="4">
        <f>December!D17</f>
        <v>99</v>
      </c>
      <c r="J15" s="17">
        <v>3.2719999999999998</v>
      </c>
      <c r="K15" s="24">
        <f>December!J17</f>
        <v>147</v>
      </c>
      <c r="L15" s="24">
        <f>December!K17</f>
        <v>81</v>
      </c>
    </row>
    <row r="16" spans="1:24" x14ac:dyDescent="0.3">
      <c r="A16" s="3" t="s">
        <v>12</v>
      </c>
      <c r="B16" s="2">
        <f t="shared" si="0"/>
        <v>15</v>
      </c>
      <c r="C16" s="22">
        <v>12</v>
      </c>
      <c r="D16" s="2">
        <v>2022</v>
      </c>
      <c r="E16" s="4">
        <f>December!B18</f>
        <v>11182</v>
      </c>
      <c r="F16" s="16">
        <v>9.9000000000000005E-2</v>
      </c>
      <c r="G16" s="4">
        <f>December!C18</f>
        <v>2037</v>
      </c>
      <c r="H16" s="17">
        <v>0.28000000000000003</v>
      </c>
      <c r="I16" s="4">
        <f>December!D18</f>
        <v>104</v>
      </c>
      <c r="J16" s="17">
        <v>3.2719999999999998</v>
      </c>
      <c r="K16" s="24">
        <f>December!J18</f>
        <v>166</v>
      </c>
      <c r="L16" s="24">
        <f>December!K18</f>
        <v>91</v>
      </c>
    </row>
    <row r="17" spans="1:12" x14ac:dyDescent="0.3">
      <c r="A17" s="3" t="s">
        <v>12</v>
      </c>
      <c r="B17" s="2">
        <f t="shared" si="0"/>
        <v>16</v>
      </c>
      <c r="C17" s="22">
        <v>12</v>
      </c>
      <c r="D17" s="2">
        <v>2022</v>
      </c>
      <c r="E17" s="4">
        <f>December!B19</f>
        <v>10065</v>
      </c>
      <c r="F17" s="16">
        <v>9.9000000000000005E-2</v>
      </c>
      <c r="G17" s="4">
        <f>December!C19</f>
        <v>1754</v>
      </c>
      <c r="H17" s="17">
        <v>0.28000000000000003</v>
      </c>
      <c r="I17" s="4">
        <f>December!D19</f>
        <v>90</v>
      </c>
      <c r="J17" s="17">
        <v>3.2719999999999998</v>
      </c>
      <c r="K17" s="24">
        <f>December!J19</f>
        <v>171</v>
      </c>
      <c r="L17" s="24">
        <f>December!K19</f>
        <v>86</v>
      </c>
    </row>
    <row r="18" spans="1:12" x14ac:dyDescent="0.3">
      <c r="A18" s="3" t="s">
        <v>12</v>
      </c>
      <c r="B18" s="2">
        <f t="shared" si="0"/>
        <v>17</v>
      </c>
      <c r="C18" s="22">
        <v>12</v>
      </c>
      <c r="D18" s="2">
        <v>2022</v>
      </c>
      <c r="E18" s="4">
        <f>December!B20</f>
        <v>10833</v>
      </c>
      <c r="F18" s="16">
        <v>9.9000000000000005E-2</v>
      </c>
      <c r="G18" s="4">
        <f>December!C20</f>
        <v>1995</v>
      </c>
      <c r="H18" s="17">
        <v>0.28000000000000003</v>
      </c>
      <c r="I18" s="4">
        <f>December!D20</f>
        <v>101</v>
      </c>
      <c r="J18" s="17">
        <v>3.2719999999999998</v>
      </c>
      <c r="K18" s="24">
        <f>December!J20</f>
        <v>157</v>
      </c>
      <c r="L18" s="24">
        <f>December!K20</f>
        <v>95</v>
      </c>
    </row>
    <row r="19" spans="1:12" x14ac:dyDescent="0.3">
      <c r="A19" s="3" t="s">
        <v>12</v>
      </c>
      <c r="B19" s="2">
        <f t="shared" si="0"/>
        <v>18</v>
      </c>
      <c r="C19" s="22">
        <v>12</v>
      </c>
      <c r="D19" s="2">
        <v>2022</v>
      </c>
      <c r="E19" s="4">
        <f>December!B21</f>
        <v>10606</v>
      </c>
      <c r="F19" s="16">
        <v>9.9000000000000005E-2</v>
      </c>
      <c r="G19" s="4">
        <f>December!C21</f>
        <v>2189</v>
      </c>
      <c r="H19" s="17">
        <v>0.28000000000000003</v>
      </c>
      <c r="I19" s="4">
        <f>December!D21</f>
        <v>98</v>
      </c>
      <c r="J19" s="17">
        <v>3.2719999999999998</v>
      </c>
      <c r="K19" s="24">
        <f>December!J21</f>
        <v>164</v>
      </c>
      <c r="L19" s="24">
        <f>December!K21</f>
        <v>92</v>
      </c>
    </row>
    <row r="20" spans="1:12" x14ac:dyDescent="0.3">
      <c r="A20" s="3" t="s">
        <v>12</v>
      </c>
      <c r="B20" s="2">
        <f t="shared" si="0"/>
        <v>19</v>
      </c>
      <c r="C20" s="22">
        <v>12</v>
      </c>
      <c r="D20" s="2">
        <v>2022</v>
      </c>
      <c r="E20" s="4">
        <f>December!B22</f>
        <v>11378</v>
      </c>
      <c r="F20" s="16">
        <v>9.9000000000000005E-2</v>
      </c>
      <c r="G20" s="4">
        <f>December!C22</f>
        <v>1914</v>
      </c>
      <c r="H20" s="17">
        <v>0.28000000000000003</v>
      </c>
      <c r="I20" s="4">
        <f>December!D22</f>
        <v>103</v>
      </c>
      <c r="J20" s="17">
        <v>3.2719999999999998</v>
      </c>
      <c r="K20" s="24">
        <f>December!J22</f>
        <v>181</v>
      </c>
      <c r="L20" s="24">
        <f>December!K22</f>
        <v>91</v>
      </c>
    </row>
    <row r="21" spans="1:12" x14ac:dyDescent="0.3">
      <c r="A21" s="3" t="s">
        <v>12</v>
      </c>
      <c r="B21" s="2">
        <f t="shared" si="0"/>
        <v>20</v>
      </c>
      <c r="C21" s="22">
        <v>12</v>
      </c>
      <c r="D21" s="2">
        <v>2022</v>
      </c>
      <c r="E21" s="4">
        <f>December!B23</f>
        <v>12146</v>
      </c>
      <c r="F21" s="16">
        <v>9.9000000000000005E-2</v>
      </c>
      <c r="G21" s="4">
        <f>December!C23</f>
        <v>1878</v>
      </c>
      <c r="H21" s="17">
        <v>0.28000000000000003</v>
      </c>
      <c r="I21" s="4">
        <f>December!D23</f>
        <v>111</v>
      </c>
      <c r="J21" s="17">
        <v>3.2719999999999998</v>
      </c>
      <c r="K21" s="24">
        <f>December!J23</f>
        <v>176</v>
      </c>
      <c r="L21" s="24">
        <f>December!K23</f>
        <v>89</v>
      </c>
    </row>
    <row r="22" spans="1:12" x14ac:dyDescent="0.3">
      <c r="A22" s="3" t="s">
        <v>12</v>
      </c>
      <c r="B22" s="2">
        <f t="shared" si="0"/>
        <v>21</v>
      </c>
      <c r="C22" s="22">
        <v>12</v>
      </c>
      <c r="D22" s="2">
        <v>2022</v>
      </c>
      <c r="E22" s="4">
        <f>December!B24</f>
        <v>11761</v>
      </c>
      <c r="F22" s="16">
        <v>9.9000000000000005E-2</v>
      </c>
      <c r="G22" s="4">
        <f>December!C24</f>
        <v>1705</v>
      </c>
      <c r="H22" s="17">
        <v>0.28000000000000003</v>
      </c>
      <c r="I22" s="4">
        <f>December!D24</f>
        <v>98</v>
      </c>
      <c r="J22" s="17">
        <v>3.2719999999999998</v>
      </c>
      <c r="K22" s="24">
        <f>December!J24</f>
        <v>140</v>
      </c>
      <c r="L22" s="24">
        <f>December!K24</f>
        <v>71</v>
      </c>
    </row>
    <row r="23" spans="1:12" x14ac:dyDescent="0.3">
      <c r="A23" s="3" t="s">
        <v>12</v>
      </c>
      <c r="B23" s="2">
        <f t="shared" si="0"/>
        <v>22</v>
      </c>
      <c r="C23" s="22">
        <v>12</v>
      </c>
      <c r="D23" s="2">
        <v>2022</v>
      </c>
      <c r="E23" s="4">
        <f>December!B25</f>
        <v>11545</v>
      </c>
      <c r="F23" s="16">
        <v>9.9000000000000005E-2</v>
      </c>
      <c r="G23" s="4">
        <f>December!C25</f>
        <v>1319</v>
      </c>
      <c r="H23" s="17">
        <v>0.28000000000000003</v>
      </c>
      <c r="I23" s="4">
        <f>December!D25</f>
        <v>100</v>
      </c>
      <c r="J23" s="17">
        <v>3.2719999999999998</v>
      </c>
      <c r="K23" s="24">
        <f>December!J25</f>
        <v>142</v>
      </c>
      <c r="L23" s="24">
        <f>December!K25</f>
        <v>75</v>
      </c>
    </row>
    <row r="24" spans="1:12" x14ac:dyDescent="0.3">
      <c r="A24" s="3" t="s">
        <v>12</v>
      </c>
      <c r="B24" s="2">
        <f t="shared" si="0"/>
        <v>23</v>
      </c>
      <c r="C24" s="22">
        <v>12</v>
      </c>
      <c r="D24" s="2">
        <v>2022</v>
      </c>
      <c r="E24" s="4">
        <f>December!B26</f>
        <v>10681</v>
      </c>
      <c r="F24" s="16">
        <v>9.9000000000000005E-2</v>
      </c>
      <c r="G24" s="4">
        <f>December!C26</f>
        <v>1135</v>
      </c>
      <c r="H24" s="17">
        <v>0.28000000000000003</v>
      </c>
      <c r="I24" s="4">
        <f>December!D26</f>
        <v>104</v>
      </c>
      <c r="J24" s="17">
        <v>3.2719999999999998</v>
      </c>
      <c r="K24" s="24">
        <f>December!J26</f>
        <v>182</v>
      </c>
      <c r="L24" s="24">
        <f>December!K26</f>
        <v>93</v>
      </c>
    </row>
    <row r="25" spans="1:12" x14ac:dyDescent="0.3">
      <c r="A25" s="3" t="s">
        <v>12</v>
      </c>
      <c r="B25" s="2">
        <f t="shared" si="0"/>
        <v>24</v>
      </c>
      <c r="C25" s="22">
        <v>12</v>
      </c>
      <c r="D25" s="2">
        <v>2022</v>
      </c>
      <c r="E25" s="4">
        <f>December!B27</f>
        <v>12591</v>
      </c>
      <c r="F25" s="16">
        <v>9.9000000000000005E-2</v>
      </c>
      <c r="G25" s="4">
        <f>December!C27</f>
        <v>1164</v>
      </c>
      <c r="H25" s="17">
        <v>0.28000000000000003</v>
      </c>
      <c r="I25" s="4">
        <f>December!D27</f>
        <v>112</v>
      </c>
      <c r="J25" s="17">
        <v>3.2719999999999998</v>
      </c>
      <c r="K25" s="24">
        <f>December!J27</f>
        <v>205</v>
      </c>
      <c r="L25" s="24">
        <f>December!K27</f>
        <v>99</v>
      </c>
    </row>
    <row r="26" spans="1:12" x14ac:dyDescent="0.3">
      <c r="A26" s="3" t="s">
        <v>12</v>
      </c>
      <c r="B26" s="2">
        <f>B25+1</f>
        <v>25</v>
      </c>
      <c r="C26" s="22">
        <v>12</v>
      </c>
      <c r="D26" s="2">
        <v>2022</v>
      </c>
      <c r="E26" s="4">
        <f>December!B28</f>
        <v>11080</v>
      </c>
      <c r="F26" s="16">
        <v>9.9000000000000005E-2</v>
      </c>
      <c r="G26" s="4">
        <f>December!C28</f>
        <v>1146</v>
      </c>
      <c r="H26" s="17">
        <v>0.28000000000000003</v>
      </c>
      <c r="I26" s="4">
        <f>December!D28</f>
        <v>109</v>
      </c>
      <c r="J26" s="17">
        <v>3.2719999999999998</v>
      </c>
      <c r="K26" s="24">
        <f>December!J28</f>
        <v>178</v>
      </c>
      <c r="L26" s="24">
        <f>December!K28</f>
        <v>85</v>
      </c>
    </row>
    <row r="27" spans="1:12" x14ac:dyDescent="0.3">
      <c r="A27" s="3" t="s">
        <v>12</v>
      </c>
      <c r="B27" s="2">
        <f t="shared" si="0"/>
        <v>26</v>
      </c>
      <c r="C27" s="22">
        <v>12</v>
      </c>
      <c r="D27" s="2">
        <v>2022</v>
      </c>
      <c r="E27" s="4">
        <f>December!B29</f>
        <v>12034</v>
      </c>
      <c r="F27" s="16">
        <v>9.9000000000000005E-2</v>
      </c>
      <c r="G27" s="4">
        <f>December!C29</f>
        <v>1092</v>
      </c>
      <c r="H27" s="17">
        <v>0.28000000000000003</v>
      </c>
      <c r="I27" s="4">
        <f>December!D29</f>
        <v>106</v>
      </c>
      <c r="J27" s="17">
        <v>3.2719999999999998</v>
      </c>
      <c r="K27" s="24">
        <f>December!J29</f>
        <v>158</v>
      </c>
      <c r="L27" s="24">
        <f>December!K29</f>
        <v>75</v>
      </c>
    </row>
    <row r="28" spans="1:12" x14ac:dyDescent="0.3">
      <c r="A28" s="3" t="s">
        <v>12</v>
      </c>
      <c r="B28" s="2">
        <f t="shared" si="0"/>
        <v>27</v>
      </c>
      <c r="C28" s="22">
        <v>12</v>
      </c>
      <c r="D28" s="2">
        <v>2022</v>
      </c>
      <c r="E28" s="4">
        <f>December!B30</f>
        <v>10743</v>
      </c>
      <c r="F28" s="16">
        <v>9.9000000000000005E-2</v>
      </c>
      <c r="G28" s="4">
        <f>December!C30</f>
        <v>1315</v>
      </c>
      <c r="H28" s="17">
        <v>0.28000000000000003</v>
      </c>
      <c r="I28" s="4">
        <f>December!D30</f>
        <v>108</v>
      </c>
      <c r="J28" s="17">
        <v>3.2719999999999998</v>
      </c>
      <c r="K28" s="24">
        <f>December!J30</f>
        <v>214</v>
      </c>
      <c r="L28" s="24">
        <f>December!K30</f>
        <v>106</v>
      </c>
    </row>
    <row r="29" spans="1:12" x14ac:dyDescent="0.3">
      <c r="A29" s="3" t="s">
        <v>12</v>
      </c>
      <c r="B29" s="2">
        <f t="shared" si="0"/>
        <v>28</v>
      </c>
      <c r="C29" s="22">
        <v>12</v>
      </c>
      <c r="D29" s="2">
        <v>2022</v>
      </c>
      <c r="E29" s="4">
        <f>December!B31</f>
        <v>11845</v>
      </c>
      <c r="F29" s="16">
        <v>9.9000000000000005E-2</v>
      </c>
      <c r="G29" s="4">
        <f>December!C31</f>
        <v>1366</v>
      </c>
      <c r="H29" s="17">
        <v>0.28000000000000003</v>
      </c>
      <c r="I29" s="4">
        <f>December!D31</f>
        <v>126</v>
      </c>
      <c r="J29" s="17">
        <v>3.2719999999999998</v>
      </c>
      <c r="K29" s="24">
        <f>December!J31</f>
        <v>216</v>
      </c>
      <c r="L29" s="24">
        <f>December!K31</f>
        <v>105</v>
      </c>
    </row>
    <row r="30" spans="1:12" x14ac:dyDescent="0.3">
      <c r="A30" s="3" t="s">
        <v>12</v>
      </c>
      <c r="B30" s="2">
        <f t="shared" si="0"/>
        <v>29</v>
      </c>
      <c r="C30" s="22">
        <v>12</v>
      </c>
      <c r="D30" s="2">
        <v>2022</v>
      </c>
      <c r="E30" s="4">
        <f>December!B32</f>
        <v>12010</v>
      </c>
      <c r="F30" s="16">
        <v>9.9000000000000005E-2</v>
      </c>
      <c r="G30" s="4">
        <f>December!C32</f>
        <v>1098</v>
      </c>
      <c r="H30" s="17">
        <v>0.28000000000000003</v>
      </c>
      <c r="I30" s="4">
        <f>December!D32</f>
        <v>122</v>
      </c>
      <c r="J30" s="17">
        <v>3.2719999999999998</v>
      </c>
      <c r="K30" s="24">
        <f>December!J32</f>
        <v>260</v>
      </c>
      <c r="L30" s="24">
        <f>December!K32</f>
        <v>129</v>
      </c>
    </row>
    <row r="31" spans="1:12" x14ac:dyDescent="0.3">
      <c r="A31" s="3" t="s">
        <v>12</v>
      </c>
      <c r="B31" s="2">
        <f t="shared" si="0"/>
        <v>30</v>
      </c>
      <c r="C31" s="22">
        <v>12</v>
      </c>
      <c r="D31" s="2">
        <v>2022</v>
      </c>
      <c r="E31" s="4">
        <f>December!B33</f>
        <v>11980</v>
      </c>
      <c r="F31" s="16">
        <v>9.9000000000000005E-2</v>
      </c>
      <c r="G31" s="4">
        <f>December!C33</f>
        <v>1166</v>
      </c>
      <c r="H31" s="17">
        <v>0.28000000000000003</v>
      </c>
      <c r="I31" s="4">
        <f>December!D33</f>
        <v>122</v>
      </c>
      <c r="J31" s="17">
        <v>3.2719999999999998</v>
      </c>
      <c r="K31" s="24">
        <f>December!J33</f>
        <v>232</v>
      </c>
      <c r="L31" s="24">
        <f>December!K33</f>
        <v>118</v>
      </c>
    </row>
    <row r="32" spans="1:12" x14ac:dyDescent="0.3">
      <c r="A32" s="3" t="s">
        <v>12</v>
      </c>
      <c r="B32" s="2">
        <f t="shared" si="0"/>
        <v>31</v>
      </c>
      <c r="C32" s="22">
        <v>12</v>
      </c>
      <c r="D32" s="2">
        <v>2022</v>
      </c>
      <c r="E32" s="4">
        <f>December!B34</f>
        <v>12274</v>
      </c>
      <c r="F32" s="16">
        <v>1.099</v>
      </c>
      <c r="G32" s="4">
        <f>December!C34</f>
        <v>983</v>
      </c>
      <c r="H32" s="17">
        <v>1.28</v>
      </c>
      <c r="I32" s="4">
        <f>December!D34</f>
        <v>129</v>
      </c>
      <c r="J32" s="17">
        <v>4.2720000000000002</v>
      </c>
      <c r="K32" s="24">
        <f>December!J34</f>
        <v>129</v>
      </c>
      <c r="L32" s="24">
        <f>December!K34</f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O42"/>
  <sheetViews>
    <sheetView topLeftCell="A22" workbookViewId="0">
      <selection activeCell="B4" sqref="B4:L34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2" ht="15" thickBot="1" x14ac:dyDescent="0.35">
      <c r="A1" s="50" t="s">
        <v>35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2" ht="15" thickBot="1" x14ac:dyDescent="0.35">
      <c r="A2" s="8" t="s">
        <v>14</v>
      </c>
      <c r="B2" s="7" t="s">
        <v>15</v>
      </c>
      <c r="C2" s="7" t="s">
        <v>16</v>
      </c>
      <c r="D2" s="7" t="s">
        <v>17</v>
      </c>
      <c r="E2" s="15"/>
      <c r="F2" s="53" t="s">
        <v>34</v>
      </c>
      <c r="G2" s="54"/>
      <c r="H2" s="55"/>
      <c r="I2" s="15"/>
      <c r="J2" s="8" t="s">
        <v>18</v>
      </c>
      <c r="K2" s="7" t="s">
        <v>29</v>
      </c>
      <c r="L2" s="7" t="s">
        <v>19</v>
      </c>
    </row>
    <row r="3" spans="1:12" ht="15" thickBot="1" x14ac:dyDescent="0.35">
      <c r="A3" s="27"/>
      <c r="B3" s="28" t="s">
        <v>20</v>
      </c>
      <c r="C3" s="28" t="s">
        <v>21</v>
      </c>
      <c r="D3" s="44" t="s">
        <v>21</v>
      </c>
      <c r="E3" s="29"/>
      <c r="F3" s="46" t="s">
        <v>31</v>
      </c>
      <c r="G3" s="46" t="s">
        <v>32</v>
      </c>
      <c r="H3" s="46" t="s">
        <v>33</v>
      </c>
      <c r="I3" s="29"/>
      <c r="J3" s="27" t="s">
        <v>22</v>
      </c>
      <c r="K3" s="28" t="s">
        <v>23</v>
      </c>
      <c r="L3" s="28" t="s">
        <v>23</v>
      </c>
    </row>
    <row r="4" spans="1:12" x14ac:dyDescent="0.3">
      <c r="A4" s="6">
        <v>1</v>
      </c>
      <c r="B4" s="62">
        <v>10869</v>
      </c>
      <c r="C4" s="63">
        <v>1569</v>
      </c>
      <c r="D4" s="56">
        <v>102</v>
      </c>
      <c r="E4" s="59"/>
      <c r="F4" s="56">
        <v>0</v>
      </c>
      <c r="G4" s="75">
        <v>4</v>
      </c>
      <c r="H4" s="56">
        <v>4</v>
      </c>
      <c r="I4" s="59"/>
      <c r="J4" s="56">
        <v>174</v>
      </c>
      <c r="K4" s="56">
        <v>98</v>
      </c>
      <c r="L4" s="56">
        <v>2</v>
      </c>
    </row>
    <row r="5" spans="1:12" x14ac:dyDescent="0.3">
      <c r="A5" s="10">
        <v>2</v>
      </c>
      <c r="B5" s="64">
        <v>11098</v>
      </c>
      <c r="C5" s="65">
        <v>1692</v>
      </c>
      <c r="D5" s="57">
        <v>99</v>
      </c>
      <c r="E5" s="66"/>
      <c r="F5" s="57">
        <v>-1</v>
      </c>
      <c r="G5" s="76">
        <v>1</v>
      </c>
      <c r="H5" s="57">
        <v>2</v>
      </c>
      <c r="I5" s="66"/>
      <c r="J5" s="58">
        <v>205</v>
      </c>
      <c r="K5" s="58">
        <v>120</v>
      </c>
      <c r="L5" s="58">
        <v>4</v>
      </c>
    </row>
    <row r="6" spans="1:12" x14ac:dyDescent="0.3">
      <c r="A6" s="10">
        <v>3</v>
      </c>
      <c r="B6" s="64">
        <v>10123</v>
      </c>
      <c r="C6" s="65">
        <v>1619</v>
      </c>
      <c r="D6" s="57">
        <v>120</v>
      </c>
      <c r="E6" s="66"/>
      <c r="F6" s="57">
        <v>-1</v>
      </c>
      <c r="G6" s="71">
        <v>2</v>
      </c>
      <c r="H6" s="57">
        <v>2</v>
      </c>
      <c r="I6" s="66"/>
      <c r="J6" s="58">
        <v>183</v>
      </c>
      <c r="K6" s="58">
        <v>100</v>
      </c>
      <c r="L6" s="58">
        <v>2</v>
      </c>
    </row>
    <row r="7" spans="1:12" x14ac:dyDescent="0.3">
      <c r="A7" s="10">
        <v>4</v>
      </c>
      <c r="B7" s="64">
        <v>11658</v>
      </c>
      <c r="C7" s="65">
        <v>1408</v>
      </c>
      <c r="D7" s="57">
        <v>96</v>
      </c>
      <c r="E7" s="66"/>
      <c r="F7" s="77">
        <v>1</v>
      </c>
      <c r="G7" s="71">
        <v>6</v>
      </c>
      <c r="H7" s="57">
        <v>6</v>
      </c>
      <c r="I7" s="66"/>
      <c r="J7" s="58">
        <v>129</v>
      </c>
      <c r="K7" s="58">
        <v>75</v>
      </c>
      <c r="L7" s="58">
        <v>1</v>
      </c>
    </row>
    <row r="8" spans="1:12" x14ac:dyDescent="0.3">
      <c r="A8" s="10">
        <v>5</v>
      </c>
      <c r="B8" s="64">
        <v>10085</v>
      </c>
      <c r="C8" s="65">
        <v>1019</v>
      </c>
      <c r="D8" s="57">
        <v>110</v>
      </c>
      <c r="E8" s="66"/>
      <c r="F8" s="57">
        <v>4</v>
      </c>
      <c r="G8" s="71">
        <v>5</v>
      </c>
      <c r="H8" s="57">
        <v>6</v>
      </c>
      <c r="I8" s="66"/>
      <c r="J8" s="58">
        <v>123</v>
      </c>
      <c r="K8" s="58">
        <v>76</v>
      </c>
      <c r="L8" s="58">
        <v>0</v>
      </c>
    </row>
    <row r="9" spans="1:12" x14ac:dyDescent="0.3">
      <c r="A9" s="10">
        <v>6</v>
      </c>
      <c r="B9" s="64">
        <v>10568</v>
      </c>
      <c r="C9" s="65">
        <v>1627</v>
      </c>
      <c r="D9" s="57">
        <v>73</v>
      </c>
      <c r="E9" s="66"/>
      <c r="F9" s="57">
        <v>1</v>
      </c>
      <c r="G9" s="71">
        <v>4</v>
      </c>
      <c r="H9" s="57">
        <v>6</v>
      </c>
      <c r="I9" s="66"/>
      <c r="J9" s="58">
        <v>175</v>
      </c>
      <c r="K9" s="58">
        <v>112</v>
      </c>
      <c r="L9" s="58">
        <v>0</v>
      </c>
    </row>
    <row r="10" spans="1:12" x14ac:dyDescent="0.3">
      <c r="A10" s="10">
        <v>7</v>
      </c>
      <c r="B10" s="64">
        <v>11219</v>
      </c>
      <c r="C10" s="65">
        <v>1548</v>
      </c>
      <c r="D10" s="57">
        <v>135</v>
      </c>
      <c r="E10" s="66"/>
      <c r="F10" s="57">
        <v>1</v>
      </c>
      <c r="G10" s="71">
        <v>4</v>
      </c>
      <c r="H10" s="57">
        <v>5</v>
      </c>
      <c r="I10" s="66"/>
      <c r="J10" s="58">
        <v>169</v>
      </c>
      <c r="K10" s="58">
        <v>110</v>
      </c>
      <c r="L10" s="58">
        <v>0</v>
      </c>
    </row>
    <row r="11" spans="1:12" x14ac:dyDescent="0.3">
      <c r="A11" s="10">
        <v>8</v>
      </c>
      <c r="B11" s="64">
        <v>10700</v>
      </c>
      <c r="C11" s="65">
        <v>1610</v>
      </c>
      <c r="D11" s="57">
        <v>98</v>
      </c>
      <c r="E11" s="66"/>
      <c r="F11" s="57">
        <v>-1</v>
      </c>
      <c r="G11" s="71">
        <v>5</v>
      </c>
      <c r="H11" s="57">
        <v>9</v>
      </c>
      <c r="I11" s="66"/>
      <c r="J11" s="58">
        <v>159</v>
      </c>
      <c r="K11" s="58">
        <v>101</v>
      </c>
      <c r="L11" s="58">
        <v>4</v>
      </c>
    </row>
    <row r="12" spans="1:12" x14ac:dyDescent="0.3">
      <c r="A12" s="10">
        <v>9</v>
      </c>
      <c r="B12" s="64">
        <v>10818</v>
      </c>
      <c r="C12" s="65">
        <v>1589</v>
      </c>
      <c r="D12" s="57">
        <v>101</v>
      </c>
      <c r="E12" s="66"/>
      <c r="F12" s="57">
        <v>-3</v>
      </c>
      <c r="G12" s="71">
        <v>1</v>
      </c>
      <c r="H12" s="57">
        <v>3</v>
      </c>
      <c r="I12" s="66"/>
      <c r="J12" s="58">
        <v>173</v>
      </c>
      <c r="K12" s="58">
        <v>112</v>
      </c>
      <c r="L12" s="58">
        <v>0</v>
      </c>
    </row>
    <row r="13" spans="1:12" x14ac:dyDescent="0.3">
      <c r="A13" s="10">
        <v>10</v>
      </c>
      <c r="B13" s="64">
        <v>10832</v>
      </c>
      <c r="C13" s="65">
        <v>1678</v>
      </c>
      <c r="D13" s="57">
        <v>95</v>
      </c>
      <c r="E13" s="66"/>
      <c r="F13" s="57">
        <v>-1</v>
      </c>
      <c r="G13" s="71">
        <v>1</v>
      </c>
      <c r="H13" s="57">
        <v>2</v>
      </c>
      <c r="I13" s="66"/>
      <c r="J13" s="58">
        <v>213</v>
      </c>
      <c r="K13" s="58">
        <v>142</v>
      </c>
      <c r="L13" s="58">
        <v>0</v>
      </c>
    </row>
    <row r="14" spans="1:12" x14ac:dyDescent="0.3">
      <c r="A14" s="10">
        <v>11</v>
      </c>
      <c r="B14" s="64">
        <v>10469</v>
      </c>
      <c r="C14" s="65">
        <v>1898</v>
      </c>
      <c r="D14" s="57">
        <v>101</v>
      </c>
      <c r="E14" s="66"/>
      <c r="F14" s="57">
        <v>-4</v>
      </c>
      <c r="G14" s="71">
        <v>-1</v>
      </c>
      <c r="H14" s="57">
        <v>1</v>
      </c>
      <c r="I14" s="66"/>
      <c r="J14" s="58">
        <v>178</v>
      </c>
      <c r="K14" s="58">
        <v>115</v>
      </c>
      <c r="L14" s="58">
        <v>0</v>
      </c>
    </row>
    <row r="15" spans="1:12" x14ac:dyDescent="0.3">
      <c r="A15" s="10">
        <v>12</v>
      </c>
      <c r="B15" s="64">
        <v>10547</v>
      </c>
      <c r="C15" s="65">
        <v>1952</v>
      </c>
      <c r="D15" s="57">
        <v>94</v>
      </c>
      <c r="E15" s="66"/>
      <c r="F15" s="57">
        <v>-8</v>
      </c>
      <c r="G15" s="71">
        <v>-2</v>
      </c>
      <c r="H15" s="57">
        <v>-1</v>
      </c>
      <c r="I15" s="66"/>
      <c r="J15" s="58">
        <v>137</v>
      </c>
      <c r="K15" s="58">
        <v>83</v>
      </c>
      <c r="L15" s="58">
        <v>0</v>
      </c>
    </row>
    <row r="16" spans="1:12" x14ac:dyDescent="0.3">
      <c r="A16" s="10">
        <v>13</v>
      </c>
      <c r="B16" s="64">
        <v>10701</v>
      </c>
      <c r="C16" s="65">
        <v>2120</v>
      </c>
      <c r="D16" s="57">
        <v>101</v>
      </c>
      <c r="E16" s="66"/>
      <c r="F16" s="57">
        <v>-12</v>
      </c>
      <c r="G16" s="71">
        <v>-6</v>
      </c>
      <c r="H16" s="57">
        <v>-3</v>
      </c>
      <c r="I16" s="66"/>
      <c r="J16" s="58">
        <v>174</v>
      </c>
      <c r="K16" s="58">
        <v>106</v>
      </c>
      <c r="L16" s="58">
        <v>2</v>
      </c>
    </row>
    <row r="17" spans="1:15" x14ac:dyDescent="0.3">
      <c r="A17" s="10">
        <v>14</v>
      </c>
      <c r="B17" s="64">
        <v>10776</v>
      </c>
      <c r="C17" s="64">
        <v>2010</v>
      </c>
      <c r="D17" s="57">
        <v>99</v>
      </c>
      <c r="E17" s="66"/>
      <c r="F17" s="57">
        <v>-12</v>
      </c>
      <c r="G17" s="71">
        <v>-3</v>
      </c>
      <c r="H17" s="57">
        <v>-2</v>
      </c>
      <c r="I17" s="66"/>
      <c r="J17" s="58">
        <v>147</v>
      </c>
      <c r="K17" s="58">
        <v>81</v>
      </c>
      <c r="L17" s="58">
        <v>0</v>
      </c>
    </row>
    <row r="18" spans="1:15" x14ac:dyDescent="0.3">
      <c r="A18" s="10">
        <v>15</v>
      </c>
      <c r="B18" s="64">
        <v>11182</v>
      </c>
      <c r="C18" s="64">
        <v>2037</v>
      </c>
      <c r="D18" s="57">
        <v>104</v>
      </c>
      <c r="E18" s="66"/>
      <c r="F18" s="57">
        <v>-7</v>
      </c>
      <c r="G18" s="71">
        <v>-1</v>
      </c>
      <c r="H18" s="57">
        <v>0</v>
      </c>
      <c r="I18" s="66"/>
      <c r="J18" s="58">
        <v>166</v>
      </c>
      <c r="K18" s="58">
        <v>91</v>
      </c>
      <c r="L18" s="58">
        <v>1</v>
      </c>
    </row>
    <row r="19" spans="1:15" x14ac:dyDescent="0.3">
      <c r="A19" s="10">
        <v>16</v>
      </c>
      <c r="B19" s="64">
        <v>10065</v>
      </c>
      <c r="C19" s="65">
        <v>1754</v>
      </c>
      <c r="D19" s="57">
        <v>90</v>
      </c>
      <c r="E19" s="66"/>
      <c r="F19" s="57">
        <v>-6</v>
      </c>
      <c r="G19" s="71">
        <v>-2</v>
      </c>
      <c r="H19" s="57">
        <v>-1</v>
      </c>
      <c r="I19" s="66"/>
      <c r="J19" s="58">
        <v>171</v>
      </c>
      <c r="K19" s="58">
        <v>86</v>
      </c>
      <c r="L19" s="58">
        <v>2</v>
      </c>
    </row>
    <row r="20" spans="1:15" x14ac:dyDescent="0.3">
      <c r="A20" s="10">
        <v>17</v>
      </c>
      <c r="B20" s="64">
        <v>10833</v>
      </c>
      <c r="C20" s="65">
        <v>1995</v>
      </c>
      <c r="D20" s="57">
        <v>101</v>
      </c>
      <c r="E20" s="66"/>
      <c r="F20" s="57">
        <v>-9</v>
      </c>
      <c r="G20" s="71">
        <v>-1</v>
      </c>
      <c r="H20" s="57">
        <v>0</v>
      </c>
      <c r="I20" s="66"/>
      <c r="J20" s="58">
        <v>157</v>
      </c>
      <c r="K20" s="58">
        <v>95</v>
      </c>
      <c r="L20" s="58">
        <v>1</v>
      </c>
    </row>
    <row r="21" spans="1:15" x14ac:dyDescent="0.3">
      <c r="A21" s="10">
        <v>18</v>
      </c>
      <c r="B21" s="64">
        <v>10606</v>
      </c>
      <c r="C21" s="65">
        <v>2189</v>
      </c>
      <c r="D21" s="57">
        <v>98</v>
      </c>
      <c r="E21" s="66"/>
      <c r="F21" s="57">
        <v>-11</v>
      </c>
      <c r="G21" s="71">
        <v>-7</v>
      </c>
      <c r="H21" s="57">
        <v>-3</v>
      </c>
      <c r="I21" s="66"/>
      <c r="J21" s="58">
        <v>164</v>
      </c>
      <c r="K21" s="58">
        <v>92</v>
      </c>
      <c r="L21" s="58">
        <v>0</v>
      </c>
      <c r="O21" s="11"/>
    </row>
    <row r="22" spans="1:15" x14ac:dyDescent="0.3">
      <c r="A22" s="10">
        <v>19</v>
      </c>
      <c r="B22" s="64">
        <v>11378</v>
      </c>
      <c r="C22" s="65">
        <v>1914</v>
      </c>
      <c r="D22" s="57">
        <v>103</v>
      </c>
      <c r="E22" s="66"/>
      <c r="F22" s="57">
        <v>-11</v>
      </c>
      <c r="G22" s="71">
        <v>-1</v>
      </c>
      <c r="H22" s="57">
        <v>0</v>
      </c>
      <c r="I22" s="66"/>
      <c r="J22" s="58">
        <v>181</v>
      </c>
      <c r="K22" s="58">
        <v>91</v>
      </c>
      <c r="L22" s="58">
        <v>4</v>
      </c>
    </row>
    <row r="23" spans="1:15" x14ac:dyDescent="0.3">
      <c r="A23" s="10">
        <v>20</v>
      </c>
      <c r="B23" s="64">
        <v>12146</v>
      </c>
      <c r="C23" s="65">
        <v>1878</v>
      </c>
      <c r="D23" s="57">
        <v>111</v>
      </c>
      <c r="E23" s="66"/>
      <c r="F23" s="57">
        <v>-4</v>
      </c>
      <c r="G23" s="71">
        <v>1</v>
      </c>
      <c r="H23" s="57">
        <v>1</v>
      </c>
      <c r="I23" s="66"/>
      <c r="J23" s="58">
        <v>176</v>
      </c>
      <c r="K23" s="58">
        <v>89</v>
      </c>
      <c r="L23" s="58">
        <v>5</v>
      </c>
    </row>
    <row r="24" spans="1:15" x14ac:dyDescent="0.3">
      <c r="A24" s="10">
        <v>21</v>
      </c>
      <c r="B24" s="64">
        <v>11761</v>
      </c>
      <c r="C24" s="65">
        <v>1705</v>
      </c>
      <c r="D24" s="58">
        <v>98</v>
      </c>
      <c r="E24" s="59"/>
      <c r="F24" s="58">
        <v>-1</v>
      </c>
      <c r="G24" s="72">
        <v>4</v>
      </c>
      <c r="H24" s="58">
        <v>3</v>
      </c>
      <c r="I24" s="59"/>
      <c r="J24" s="58">
        <v>140</v>
      </c>
      <c r="K24" s="58">
        <v>71</v>
      </c>
      <c r="L24" s="58">
        <v>5</v>
      </c>
    </row>
    <row r="25" spans="1:15" x14ac:dyDescent="0.3">
      <c r="A25" s="10">
        <v>22</v>
      </c>
      <c r="B25" s="64">
        <v>11545</v>
      </c>
      <c r="C25" s="60">
        <v>1319</v>
      </c>
      <c r="D25" s="58">
        <v>100</v>
      </c>
      <c r="E25" s="59"/>
      <c r="F25" s="58">
        <v>2</v>
      </c>
      <c r="G25" s="72">
        <v>10</v>
      </c>
      <c r="H25" s="58">
        <v>9</v>
      </c>
      <c r="I25" s="59"/>
      <c r="J25" s="58">
        <v>142</v>
      </c>
      <c r="K25" s="58">
        <v>75</v>
      </c>
      <c r="L25" s="58">
        <v>0</v>
      </c>
    </row>
    <row r="26" spans="1:15" x14ac:dyDescent="0.3">
      <c r="A26" s="10">
        <v>23</v>
      </c>
      <c r="B26" s="64">
        <v>10681</v>
      </c>
      <c r="C26" s="78">
        <v>1135</v>
      </c>
      <c r="D26" s="58">
        <v>104</v>
      </c>
      <c r="E26" s="59"/>
      <c r="F26" s="58">
        <v>7</v>
      </c>
      <c r="G26" s="72">
        <v>10</v>
      </c>
      <c r="H26" s="58">
        <v>10</v>
      </c>
      <c r="I26" s="59"/>
      <c r="J26" s="58">
        <v>182</v>
      </c>
      <c r="K26" s="58">
        <v>93</v>
      </c>
      <c r="L26" s="58">
        <v>0</v>
      </c>
    </row>
    <row r="27" spans="1:15" x14ac:dyDescent="0.3">
      <c r="A27" s="10">
        <v>24</v>
      </c>
      <c r="B27" s="64">
        <v>12591</v>
      </c>
      <c r="C27" s="60">
        <v>1164</v>
      </c>
      <c r="D27" s="58">
        <v>112</v>
      </c>
      <c r="E27" s="59"/>
      <c r="F27" s="58">
        <v>7</v>
      </c>
      <c r="G27" s="72">
        <v>11</v>
      </c>
      <c r="H27" s="58">
        <v>9</v>
      </c>
      <c r="I27" s="59"/>
      <c r="J27" s="58">
        <v>205</v>
      </c>
      <c r="K27" s="58">
        <v>99</v>
      </c>
      <c r="L27" s="58">
        <v>1</v>
      </c>
    </row>
    <row r="28" spans="1:15" x14ac:dyDescent="0.3">
      <c r="A28" s="10">
        <v>25</v>
      </c>
      <c r="B28" s="64">
        <v>11080</v>
      </c>
      <c r="C28" s="60">
        <v>1146</v>
      </c>
      <c r="D28" s="61">
        <v>109</v>
      </c>
      <c r="E28" s="67"/>
      <c r="F28" s="61">
        <v>5</v>
      </c>
      <c r="G28" s="73">
        <v>11</v>
      </c>
      <c r="H28" s="61">
        <v>9</v>
      </c>
      <c r="I28" s="67"/>
      <c r="J28" s="58">
        <v>178</v>
      </c>
      <c r="K28" s="58">
        <v>85</v>
      </c>
      <c r="L28" s="58">
        <v>0</v>
      </c>
    </row>
    <row r="29" spans="1:15" x14ac:dyDescent="0.3">
      <c r="A29" s="10">
        <v>26</v>
      </c>
      <c r="B29" s="64">
        <v>12034</v>
      </c>
      <c r="C29" s="60">
        <v>1092</v>
      </c>
      <c r="D29" s="58">
        <v>106</v>
      </c>
      <c r="E29" s="59"/>
      <c r="F29" s="58">
        <v>6</v>
      </c>
      <c r="G29" s="72">
        <v>12</v>
      </c>
      <c r="H29" s="58">
        <v>11</v>
      </c>
      <c r="I29" s="59"/>
      <c r="J29" s="58">
        <v>158</v>
      </c>
      <c r="K29" s="58">
        <v>75</v>
      </c>
      <c r="L29" s="58">
        <v>1</v>
      </c>
    </row>
    <row r="30" spans="1:15" x14ac:dyDescent="0.3">
      <c r="A30" s="9">
        <v>27</v>
      </c>
      <c r="B30" s="64">
        <v>10743</v>
      </c>
      <c r="C30" s="60">
        <v>1315</v>
      </c>
      <c r="D30" s="58">
        <v>108</v>
      </c>
      <c r="E30" s="59"/>
      <c r="F30" s="58">
        <v>1</v>
      </c>
      <c r="G30" s="72">
        <v>6</v>
      </c>
      <c r="H30" s="58">
        <v>8</v>
      </c>
      <c r="I30" s="59"/>
      <c r="J30" s="58">
        <v>214</v>
      </c>
      <c r="K30" s="58">
        <v>106</v>
      </c>
      <c r="L30" s="58">
        <v>0</v>
      </c>
    </row>
    <row r="31" spans="1:15" x14ac:dyDescent="0.3">
      <c r="A31" s="30">
        <v>28</v>
      </c>
      <c r="B31" s="64">
        <v>11845</v>
      </c>
      <c r="C31" s="60">
        <v>1366</v>
      </c>
      <c r="D31" s="58">
        <v>126</v>
      </c>
      <c r="E31" s="59"/>
      <c r="F31" s="58">
        <v>0</v>
      </c>
      <c r="G31" s="72">
        <v>7</v>
      </c>
      <c r="H31" s="58">
        <v>7</v>
      </c>
      <c r="I31" s="59"/>
      <c r="J31" s="58">
        <v>216</v>
      </c>
      <c r="K31" s="58">
        <v>105</v>
      </c>
      <c r="L31" s="58">
        <v>0</v>
      </c>
    </row>
    <row r="32" spans="1:15" x14ac:dyDescent="0.3">
      <c r="A32" s="30">
        <v>29</v>
      </c>
      <c r="B32" s="64">
        <v>12010</v>
      </c>
      <c r="C32" s="60">
        <v>1098</v>
      </c>
      <c r="D32" s="58">
        <v>122</v>
      </c>
      <c r="E32" s="59"/>
      <c r="F32" s="58">
        <v>5</v>
      </c>
      <c r="G32" s="72">
        <v>13</v>
      </c>
      <c r="H32" s="58">
        <v>13</v>
      </c>
      <c r="I32" s="59"/>
      <c r="J32" s="58">
        <v>260</v>
      </c>
      <c r="K32" s="58">
        <v>129</v>
      </c>
      <c r="L32" s="58">
        <v>0</v>
      </c>
    </row>
    <row r="33" spans="1:15" x14ac:dyDescent="0.3">
      <c r="A33" s="30">
        <v>30</v>
      </c>
      <c r="B33" s="64">
        <v>11980</v>
      </c>
      <c r="C33" s="60">
        <v>1166</v>
      </c>
      <c r="D33" s="58">
        <v>122</v>
      </c>
      <c r="E33" s="59"/>
      <c r="F33" s="58">
        <v>5</v>
      </c>
      <c r="G33" s="72">
        <v>10</v>
      </c>
      <c r="H33" s="58">
        <v>10</v>
      </c>
      <c r="I33" s="59"/>
      <c r="J33" s="58">
        <v>232</v>
      </c>
      <c r="K33" s="58">
        <v>118</v>
      </c>
      <c r="L33" s="58">
        <v>0</v>
      </c>
    </row>
    <row r="34" spans="1:15" ht="15" thickBot="1" x14ac:dyDescent="0.35">
      <c r="A34" s="31"/>
      <c r="B34" s="68">
        <v>12274</v>
      </c>
      <c r="C34" s="69">
        <v>983</v>
      </c>
      <c r="D34" s="70">
        <v>129</v>
      </c>
      <c r="E34" s="59"/>
      <c r="F34" s="70">
        <v>5</v>
      </c>
      <c r="G34" s="74">
        <v>18</v>
      </c>
      <c r="H34" s="58">
        <v>16</v>
      </c>
      <c r="I34" s="59"/>
      <c r="J34" s="70">
        <v>129</v>
      </c>
      <c r="K34" s="70">
        <v>252</v>
      </c>
      <c r="L34" s="70">
        <v>1</v>
      </c>
      <c r="O34" t="s">
        <v>30</v>
      </c>
    </row>
    <row r="35" spans="1:15" ht="15" thickBot="1" x14ac:dyDescent="0.35">
      <c r="A35" s="26" t="s">
        <v>24</v>
      </c>
      <c r="B35" s="32">
        <f>SUM(B4:B34)</f>
        <v>345217</v>
      </c>
      <c r="C35" s="33">
        <f>SUM(C4:C34)</f>
        <v>48595</v>
      </c>
      <c r="D35" s="34">
        <f>SUM(D4:D34)</f>
        <v>3267</v>
      </c>
      <c r="E35" s="45"/>
      <c r="F35" s="47">
        <f>AVERAGE(F4:F34)</f>
        <v>-1.3548387096774193</v>
      </c>
      <c r="G35" s="48">
        <f>AVERAGE(G4:G34)</f>
        <v>3.935483870967742</v>
      </c>
      <c r="H35" s="49">
        <f>AVERAGE(H4:H34)</f>
        <v>4.580645161290323</v>
      </c>
      <c r="I35" s="35"/>
      <c r="J35" s="36">
        <f>SUM(J4:J34)</f>
        <v>5410</v>
      </c>
      <c r="K35" s="36">
        <f>SUM(K4:K34)</f>
        <v>3183</v>
      </c>
      <c r="L35" s="37">
        <f>SUM(L4:L34)</f>
        <v>36</v>
      </c>
    </row>
    <row r="36" spans="1:15" ht="15" thickBot="1" x14ac:dyDescent="0.35">
      <c r="A36" s="12" t="s">
        <v>25</v>
      </c>
      <c r="B36" s="38">
        <f>AVERAGE(B4:B34)</f>
        <v>11136.032258064517</v>
      </c>
      <c r="C36" s="39">
        <f>AVERAGE(C4:C34)</f>
        <v>1567.5806451612902</v>
      </c>
      <c r="D36" s="40">
        <f>AVERAGE(D4:D34)</f>
        <v>105.38709677419355</v>
      </c>
      <c r="E36" s="35"/>
      <c r="F36" s="35"/>
      <c r="G36" s="35"/>
      <c r="H36" s="35"/>
      <c r="I36" s="35"/>
      <c r="J36" s="13"/>
      <c r="K36" s="5"/>
      <c r="L36" s="5"/>
    </row>
    <row r="37" spans="1:15" ht="15" thickBot="1" x14ac:dyDescent="0.35">
      <c r="A37" s="5"/>
      <c r="B37" s="14" t="s">
        <v>26</v>
      </c>
      <c r="C37" s="14"/>
      <c r="D37" s="14"/>
      <c r="E37" s="14"/>
      <c r="F37" s="14"/>
      <c r="G37" s="14"/>
      <c r="H37" s="14"/>
      <c r="I37" s="14"/>
      <c r="J37" s="14"/>
      <c r="K37" s="5"/>
      <c r="L37" s="5"/>
    </row>
    <row r="38" spans="1:15" ht="15" thickBot="1" x14ac:dyDescent="0.35">
      <c r="A38" s="5"/>
      <c r="B38" s="38">
        <f>B35/J35</f>
        <v>63.810905730129392</v>
      </c>
      <c r="C38" s="39">
        <f>C35/J35</f>
        <v>8.9824399260628471</v>
      </c>
      <c r="D38" s="40">
        <f>D35/J35</f>
        <v>0.60388170055452861</v>
      </c>
      <c r="E38" s="35"/>
      <c r="F38" s="35"/>
      <c r="G38" s="35"/>
      <c r="H38" s="35"/>
      <c r="I38" s="35"/>
      <c r="J38" s="5"/>
      <c r="K38" s="5"/>
      <c r="L38" s="5"/>
    </row>
    <row r="39" spans="1:15" x14ac:dyDescent="0.3">
      <c r="A39" s="15"/>
      <c r="B39" s="14"/>
      <c r="C39" s="14"/>
      <c r="D39" s="14"/>
      <c r="E39" s="14"/>
      <c r="F39" s="14"/>
      <c r="G39" s="14"/>
      <c r="H39" s="14"/>
      <c r="I39" s="14"/>
      <c r="J39" s="15"/>
      <c r="K39" s="5"/>
      <c r="L39" s="5"/>
    </row>
    <row r="40" spans="1:15" x14ac:dyDescent="0.3">
      <c r="A40" s="15"/>
      <c r="B40" s="41"/>
      <c r="C40" s="41"/>
      <c r="D40" s="41"/>
      <c r="E40" s="41"/>
      <c r="F40" s="41"/>
      <c r="G40" s="41"/>
      <c r="H40" s="41"/>
      <c r="I40" s="41"/>
      <c r="J40" s="15"/>
      <c r="K40" s="5"/>
      <c r="L40" s="5"/>
    </row>
    <row r="41" spans="1:15" ht="15.6" x14ac:dyDescent="0.3">
      <c r="A41" s="42" t="s">
        <v>27</v>
      </c>
      <c r="B41" s="43">
        <v>78930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6" x14ac:dyDescent="0.3">
      <c r="A42" s="42" t="s">
        <v>28</v>
      </c>
      <c r="B42" s="43">
        <v>13979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2023-01-03T09:58:40Z</dcterms:modified>
  <cp:category/>
  <cp:contentStatus/>
</cp:coreProperties>
</file>