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9200" windowHeight="7310" tabRatio="762" activeTab="1"/>
  </bookViews>
  <sheets>
    <sheet name="TOTAL" sheetId="11" r:id="rId1"/>
    <sheet name="FS Jimbaran December 2021" sheetId="14" r:id="rId2"/>
    <sheet name="RNs &amp; Covers December 2021" sheetId="10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50" i="14" l="1"/>
  <c r="Z51" i="14"/>
  <c r="Z52" i="14"/>
  <c r="Z53" i="14"/>
  <c r="Z54" i="14"/>
  <c r="Z49" i="14"/>
  <c r="AL46" i="14" l="1"/>
  <c r="AK46" i="14"/>
  <c r="AJ46" i="14"/>
  <c r="AI42" i="14"/>
  <c r="AH46" i="14"/>
  <c r="AI46" i="14" s="1"/>
  <c r="AF46" i="14"/>
  <c r="AE46" i="14"/>
  <c r="M46" i="14"/>
  <c r="L46" i="14"/>
  <c r="K46" i="14"/>
  <c r="J46" i="14"/>
  <c r="H46" i="14"/>
  <c r="G46" i="14"/>
  <c r="F46" i="14"/>
  <c r="E46" i="14"/>
  <c r="C46" i="14"/>
  <c r="D46" i="14"/>
  <c r="Z46" i="14"/>
  <c r="Y46" i="14"/>
  <c r="W46" i="14"/>
  <c r="R46" i="14" l="1"/>
  <c r="Q46" i="14"/>
  <c r="AL42" i="14"/>
  <c r="AG42" i="14"/>
  <c r="AA42" i="14"/>
  <c r="AB42" i="14" s="1"/>
  <c r="V42" i="14"/>
  <c r="P42" i="14"/>
  <c r="N42" i="14"/>
  <c r="I42" i="14"/>
  <c r="O42" i="14" l="1"/>
  <c r="B32" i="11"/>
  <c r="E32" i="11"/>
  <c r="F32" i="11"/>
  <c r="G32" i="11"/>
  <c r="H32" i="11"/>
  <c r="I32" i="11"/>
  <c r="J32" i="11"/>
  <c r="K32" i="11"/>
  <c r="L32" i="11"/>
  <c r="M32" i="11"/>
  <c r="N32" i="11"/>
  <c r="C37" i="10" l="1"/>
  <c r="B37" i="10"/>
  <c r="A36" i="10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AG46" i="14" l="1"/>
  <c r="N32" i="14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N46" i="14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AA46" i="14" l="1"/>
  <c r="O32" i="14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V46" i="14" l="1"/>
  <c r="K9" i="1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P14" i="14"/>
  <c r="P20" i="14"/>
  <c r="P22" i="14"/>
  <c r="G19" i="11"/>
  <c r="I17" i="11"/>
  <c r="K15" i="11"/>
  <c r="K7" i="11"/>
  <c r="L10" i="11"/>
  <c r="P13" i="14"/>
  <c r="I10" i="11"/>
  <c r="P16" i="14"/>
  <c r="I17" i="14"/>
  <c r="O18" i="14"/>
  <c r="I21" i="14"/>
  <c r="O21" i="14" s="1"/>
  <c r="G18" i="11"/>
  <c r="G10" i="11"/>
  <c r="I16" i="11"/>
  <c r="I8" i="11"/>
  <c r="J19" i="11"/>
  <c r="J3" i="11"/>
  <c r="L9" i="11"/>
  <c r="O22" i="14"/>
  <c r="P26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P12" i="14"/>
  <c r="J2" i="11"/>
  <c r="AC46" i="14"/>
  <c r="P46" i="14" l="1"/>
  <c r="S46" i="14" s="1"/>
  <c r="I46" i="14"/>
  <c r="F5" i="1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6" i="14"/>
  <c r="AB18" i="14"/>
  <c r="L8" i="11"/>
  <c r="AB25" i="14"/>
  <c r="L15" i="11"/>
  <c r="AB23" i="14"/>
  <c r="L13" i="11"/>
  <c r="AI21" i="14"/>
  <c r="AB26" i="14"/>
  <c r="L16" i="11"/>
  <c r="AB17" i="14"/>
  <c r="L7" i="11"/>
  <c r="AB27" i="14"/>
  <c r="L17" i="11"/>
  <c r="AB15" i="14"/>
  <c r="L5" i="11"/>
  <c r="AI23" i="14"/>
  <c r="AI17" i="14"/>
  <c r="AB21" i="14"/>
  <c r="L11" i="11"/>
  <c r="AL19" i="14"/>
  <c r="J9" i="11"/>
  <c r="AB13" i="14"/>
  <c r="L3" i="11"/>
  <c r="AL12" i="14"/>
  <c r="AB46" i="14"/>
  <c r="AI12" i="14"/>
  <c r="O12" i="14"/>
  <c r="AB12" i="14"/>
  <c r="O46" i="14" l="1"/>
  <c r="T46" i="14" s="1"/>
  <c r="F7" i="11"/>
  <c r="F2" i="11"/>
  <c r="AB16" i="14"/>
  <c r="L6" i="11"/>
  <c r="U46" i="14" l="1"/>
  <c r="U47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<sst xmlns="http://schemas.openxmlformats.org/spreadsheetml/2006/main" count="102" uniqueCount="56">
  <si>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</si>
  <si>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</si>
  <si>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</si>
  <si>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</si>
  <si>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</si>
  <si>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</si>
  <si>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</si>
  <si>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</si>
  <si>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</si>
  <si>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</si>
  <si>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</si>
  <si>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</si>
  <si>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</si>
  <si>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</si>
  <si>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</si>
  <si>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</si>
  <si>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</si>
  <si>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</si>
  <si>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</si>
  <si>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</si>
  <si>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</si>
  <si>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</si>
  <si>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</si>
  <si>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</si>
  <si>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</si>
  <si>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</si>
  <si>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</si>
  <si>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</si>
  <si>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</si>
  <si>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</si>
  <si>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</si>
  <si>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</si>
  <si>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</si>
  <si>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</si>
  <si>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</si>
  <si>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</si>
  <si>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</si>
  <si>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</si>
  <si>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</si>
  <si>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</si>
  <si>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</si>
  <si>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</si>
  <si>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</si>
  <si>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</si>
  <si>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</si>
  <si>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</si>
  <si>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</si>
  <si>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</si>
  <si>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</si>
  <si>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</si>
  <si>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>Fuel Oil  $/Liter</t>
  </si>
  <si>
    <t>Residences- Electricity KWh</t>
  </si>
  <si>
    <t>m3/RNs</t>
  </si>
  <si>
    <t xml:space="preserve">Total Fuel Oil  (Liter) </t>
  </si>
  <si>
    <t>.</t>
  </si>
  <si>
    <t>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</si>
</sst>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69">
    <xf numFmtId="0" fontId="0" fillId="0" borderId="0" xfId="0"/>
    <xf numFmtId="0" fontId="0" fillId="0" borderId="0" xfId="0" applyBorder="1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 applyBorder="1"/>
    <xf numFmtId="165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164" fontId="0" fillId="3" borderId="0" xfId="0" applyNumberFormat="1" applyFill="1" applyBorder="1"/>
    <xf numFmtId="165" fontId="4" fillId="0" borderId="0" xfId="2" applyNumberFormat="1" applyFont="1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5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167" fontId="6" fillId="3" borderId="0" xfId="0" applyNumberFormat="1" applyFont="1" applyFill="1" applyBorder="1" applyAlignment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165" fontId="0" fillId="0" borderId="29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10" xfId="2" applyNumberFormat="1" applyFont="1" applyBorder="1"/>
    <xf numFmtId="164" fontId="0" fillId="0" borderId="45" xfId="2" applyFont="1" applyBorder="1"/>
    <xf numFmtId="165" fontId="8" fillId="0" borderId="44" xfId="2" applyNumberFormat="1" applyFont="1" applyBorder="1" applyAlignment="1">
      <alignment horizontal="center" vertical="center" wrapText="1"/>
    </xf>
    <xf numFmtId="165" fontId="8" fillId="0" borderId="45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59" xfId="0" applyFill="1" applyBorder="1"/>
    <xf numFmtId="0" fontId="0" fillId="3" borderId="15" xfId="0" applyFill="1" applyBorder="1"/>
    <xf numFmtId="0" fontId="0" fillId="3" borderId="60" xfId="0" applyFill="1" applyBorder="1"/>
    <xf numFmtId="0" fontId="0" fillId="3" borderId="61" xfId="0" applyFill="1" applyBorder="1"/>
    <xf numFmtId="165" fontId="0" fillId="3" borderId="48" xfId="2" applyNumberFormat="1" applyFont="1" applyFill="1" applyBorder="1"/>
    <xf numFmtId="0" fontId="11" fillId="11" borderId="57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5" fontId="0" fillId="0" borderId="21" xfId="0" applyNumberFormat="1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3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 applyBorder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4" xfId="2" applyNumberFormat="1" applyFont="1" applyFill="1" applyBorder="1" applyProtection="1">
      <protection locked="0"/>
    </xf>
    <xf numFmtId="165" fontId="14" fillId="3" borderId="45" xfId="2" applyNumberFormat="1" applyFont="1" applyFill="1" applyBorder="1" applyProtection="1">
      <protection locked="0"/>
    </xf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" fillId="5" borderId="6" xfId="0" applyNumberFormat="1" applyFont="1" applyFill="1" applyBorder="1"/>
    <xf numFmtId="0" fontId="1" fillId="0" borderId="11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49" xfId="0" applyNumberFormat="1" applyFill="1" applyBorder="1"/>
    <xf numFmtId="164" fontId="1" fillId="6" borderId="23" xfId="2" applyNumberFormat="1" applyFont="1" applyFill="1" applyBorder="1"/>
    <xf numFmtId="0" fontId="0" fillId="3" borderId="59" xfId="0" applyFill="1" applyBorder="1" applyAlignment="1">
      <alignment wrapText="1"/>
    </xf>
    <xf numFmtId="0" fontId="7" fillId="3" borderId="59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 applyBorder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164" fontId="0" fillId="3" borderId="67" xfId="2" applyFont="1" applyFill="1" applyBorder="1"/>
    <xf numFmtId="164" fontId="0" fillId="3" borderId="46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4" fontId="0" fillId="3" borderId="45" xfId="2" applyFont="1" applyFill="1" applyBorder="1"/>
    <xf numFmtId="164" fontId="0" fillId="3" borderId="57" xfId="2" applyFont="1" applyFill="1" applyBorder="1"/>
    <xf numFmtId="164" fontId="17" fillId="0" borderId="0" xfId="0" applyNumberFormat="1" applyFont="1"/>
    <xf numFmtId="164" fontId="0" fillId="0" borderId="0" xfId="0" applyNumberFormat="1" applyBorder="1"/>
    <xf numFmtId="164" fontId="0" fillId="0" borderId="0" xfId="2" applyNumberFormat="1" applyFont="1" applyBorder="1"/>
    <xf numFmtId="164" fontId="0" fillId="0" borderId="0" xfId="2" applyNumberFormat="1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165" fontId="14" fillId="3" borderId="55" xfId="2" applyNumberFormat="1" applyFont="1" applyFill="1" applyBorder="1" applyProtection="1">
      <protection locked="0"/>
    </xf>
    <xf numFmtId="165" fontId="14" fillId="3" borderId="57" xfId="2" applyNumberFormat="1" applyFont="1" applyFill="1" applyBorder="1" applyProtection="1">
      <protection locked="0"/>
    </xf>
    <xf numFmtId="165" fontId="0" fillId="0" borderId="56" xfId="2" applyNumberFormat="1" applyFont="1" applyBorder="1"/>
    <xf numFmtId="166" fontId="0" fillId="0" borderId="29" xfId="2" applyNumberFormat="1" applyFont="1" applyBorder="1"/>
    <xf numFmtId="165" fontId="2" fillId="0" borderId="29" xfId="2" applyNumberFormat="1" applyFont="1" applyBorder="1"/>
    <xf numFmtId="164" fontId="2" fillId="0" borderId="29" xfId="2" applyFont="1" applyBorder="1"/>
    <xf numFmtId="0" fontId="0" fillId="3" borderId="65" xfId="0" applyFill="1" applyBorder="1" applyAlignment="1">
      <alignment wrapText="1"/>
    </xf>
    <xf numFmtId="0" fontId="7" fillId="3" borderId="33" xfId="4" applyFill="1" applyBorder="1" applyAlignment="1">
      <alignment vertical="top" wrapText="1"/>
    </xf>
    <xf numFmtId="164" fontId="0" fillId="3" borderId="68" xfId="2" applyFont="1" applyFill="1" applyBorder="1"/>
    <xf numFmtId="165" fontId="0" fillId="0" borderId="30" xfId="0" applyNumberFormat="1" applyBorder="1"/>
    <xf numFmtId="168" fontId="0" fillId="0" borderId="69" xfId="2" applyNumberFormat="1" applyFont="1" applyBorder="1"/>
    <xf numFmtId="167" fontId="0" fillId="0" borderId="32" xfId="2" applyNumberFormat="1" applyFont="1" applyBorder="1"/>
    <xf numFmtId="9" fontId="17" fillId="0" borderId="0" xfId="5" applyFont="1"/>
    <xf numFmtId="164" fontId="0" fillId="3" borderId="0" xfId="2" applyNumberFormat="1" applyFont="1" applyFill="1" applyBorder="1"/>
    <xf numFmtId="165" fontId="1" fillId="0" borderId="69" xfId="2" applyNumberFormat="1" applyFont="1" applyBorder="1"/>
    <xf numFmtId="165" fontId="0" fillId="0" borderId="29" xfId="0" applyNumberFormat="1" applyBorder="1"/>
    <xf numFmtId="165" fontId="0" fillId="0" borderId="32" xfId="0" applyNumberFormat="1" applyBorder="1"/>
    <xf numFmtId="165" fontId="8" fillId="0" borderId="32" xfId="2" applyNumberFormat="1" applyFont="1" applyBorder="1"/>
    <xf numFmtId="164" fontId="0" fillId="0" borderId="57" xfId="2" applyFont="1" applyBorder="1"/>
    <xf numFmtId="165" fontId="8" fillId="0" borderId="57" xfId="2" applyNumberFormat="1" applyFont="1" applyBorder="1"/>
    <xf numFmtId="164" fontId="0" fillId="0" borderId="32" xfId="0" applyNumberFormat="1" applyBorder="1"/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17" fontId="6" fillId="3" borderId="58" xfId="0" applyNumberFormat="1" applyFont="1" applyFill="1" applyBorder="1" applyAlignment="1">
      <alignment horizontal="center"/>
    </xf>
    <xf numFmtId="0" fontId="6" fillId="3" borderId="58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workbookViewId="0">
      <selection activeCell="H25" sqref="H25"/>
    </sheetView>
  </sheetViews>
  <sheetFormatPr defaultColWidth="11.54296875" defaultRowHeight="14.5" x14ac:dyDescent="0.35"/>
  <cols>
    <col min="1" max="1" width="18.453125" style="152" customWidth="1"/>
    <col min="2" max="2" width="11.54296875" style="153"/>
    <col min="3" max="3" width="11.54296875" style="154"/>
    <col min="4" max="4" width="13.453125" style="153" customWidth="1"/>
    <col min="5" max="5" width="12.54296875" style="151" customWidth="1"/>
    <col min="6" max="6" width="12.54296875" style="155" customWidth="1"/>
    <col min="7" max="7" width="11.54296875" style="151"/>
    <col min="8" max="8" width="11.54296875" style="155"/>
    <col min="9" max="9" width="11.54296875" style="156"/>
    <col min="10" max="10" width="11.54296875" style="157"/>
    <col min="11" max="11" width="11.54296875" style="151"/>
    <col min="12" max="12" width="11.54296875" style="157"/>
    <col min="13" max="26" width="11.54296875" style="151"/>
  </cols>
  <sheetData>
    <row r="1" spans="1:15" s="145" customFormat="1" ht="43.5" x14ac:dyDescent="0.35">
      <c r="A1" s="141" t="s">
        <v>37</v>
      </c>
      <c r="B1" s="141" t="s">
        <v>38</v>
      </c>
      <c r="C1" s="142" t="s">
        <v>39</v>
      </c>
      <c r="D1" s="141" t="s">
        <v>40</v>
      </c>
      <c r="E1" s="140" t="s">
        <v>41</v>
      </c>
      <c r="F1" s="143" t="s">
        <v>42</v>
      </c>
      <c r="G1" s="140" t="s">
        <v>47</v>
      </c>
      <c r="H1" s="143" t="s">
        <v>48</v>
      </c>
      <c r="I1" s="159" t="s">
        <v>53</v>
      </c>
      <c r="J1" s="143" t="s">
        <v>50</v>
      </c>
      <c r="K1" s="140" t="s">
        <v>43</v>
      </c>
      <c r="L1" s="144" t="s">
        <v>44</v>
      </c>
      <c r="M1" s="140" t="s">
        <v>45</v>
      </c>
      <c r="N1" s="140" t="s">
        <v>3</v>
      </c>
    </row>
    <row r="2" spans="1:15" x14ac:dyDescent="0.35">
      <c r="A2" s="146" t="s">
        <v>49</v>
      </c>
      <c r="B2" s="147">
        <v>1</v>
      </c>
      <c r="C2" s="148">
        <v>12</v>
      </c>
      <c r="D2" s="147">
        <v>2021</v>
      </c>
      <c r="E2" s="149">
        <f>'FS Jimbaran December 2021'!P12</f>
        <v>14060.000000000031</v>
      </c>
      <c r="F2" s="158">
        <f>'FS Jimbaran December 2021'!O12/'FS Jimbaran December 2021'!P12</f>
        <v>1131.5491322901867</v>
      </c>
      <c r="G2" s="149">
        <f>'FS Jimbaran December 2021'!AG12</f>
        <v>0</v>
      </c>
      <c r="H2" s="158" t="e">
        <f>'FS Jimbaran December 2021'!AH12/'FS Jimbaran December 2021'!AG12</f>
        <v>#DIV/0!</v>
      </c>
      <c r="I2" s="149">
        <f>'FS Jimbaran December 2021'!AJ12</f>
        <v>340.79000000000087</v>
      </c>
      <c r="J2" s="150">
        <f>'FS Jimbaran December 2021'!AK12/'FS Jimbaran December 2021'!AJ12</f>
        <v>12000</v>
      </c>
      <c r="K2" s="149">
        <f>'FS Jimbaran December 2021'!V12</f>
        <v>786.76</v>
      </c>
      <c r="L2" s="158">
        <f>'FS Jimbaran December 2021'!AA12/'FS Jimbaran December 2021'!V12</f>
        <v>6900.1909954751127</v>
      </c>
      <c r="M2" s="149">
        <f>+'RNs &amp; Covers December 2021'!B6</f>
        <v>15</v>
      </c>
      <c r="N2" s="160">
        <f>+'RNs &amp; Covers December 2021'!C6</f>
        <v>97</v>
      </c>
    </row>
    <row r="3" spans="1:15" x14ac:dyDescent="0.35">
      <c r="A3" s="146" t="s">
        <v>49</v>
      </c>
      <c r="B3" s="147">
        <f>B2+1</f>
        <v>2</v>
      </c>
      <c r="C3" s="148">
        <v>12</v>
      </c>
      <c r="D3" s="147">
        <v>2021</v>
      </c>
      <c r="E3" s="160">
        <f>'FS Jimbaran December 2021'!P13</f>
        <v>15899.999999999465</v>
      </c>
      <c r="F3" s="158">
        <f>'FS Jimbaran December 2021'!O13/'FS Jimbaran December 2021'!P13</f>
        <v>1131.5407924528333</v>
      </c>
      <c r="G3" s="160">
        <f>'FS Jimbaran December 2021'!AG13</f>
        <v>0</v>
      </c>
      <c r="H3" s="158" t="e">
        <f>'FS Jimbaran December 2021'!AH13/'FS Jimbaran December 2021'!AG13</f>
        <v>#DIV/0!</v>
      </c>
      <c r="I3" s="160">
        <f>'FS Jimbaran December 2021'!AJ13</f>
        <v>220.08999999995285</v>
      </c>
      <c r="J3" s="150">
        <f>'FS Jimbaran December 2021'!AK13/'FS Jimbaran December 2021'!AJ13</f>
        <v>12000</v>
      </c>
      <c r="K3" s="160">
        <f>'FS Jimbaran December 2021'!V13</f>
        <v>864.19</v>
      </c>
      <c r="L3" s="158">
        <f>'FS Jimbaran December 2021'!AA13/'FS Jimbaran December 2021'!V13</f>
        <v>7284.257033985582</v>
      </c>
      <c r="M3" s="160">
        <f>+'RNs &amp; Covers December 2021'!B7</f>
        <v>18</v>
      </c>
      <c r="N3" s="160">
        <f>+'RNs &amp; Covers December 2021'!C7</f>
        <v>135</v>
      </c>
    </row>
    <row r="4" spans="1:15" x14ac:dyDescent="0.35">
      <c r="A4" s="146" t="s">
        <v>49</v>
      </c>
      <c r="B4" s="147">
        <f t="shared" ref="B4:B32" si="0">B3+1</f>
        <v>3</v>
      </c>
      <c r="C4" s="148">
        <v>12</v>
      </c>
      <c r="D4" s="147">
        <v>2021</v>
      </c>
      <c r="E4" s="160">
        <f>'FS Jimbaran December 2021'!P14</f>
        <v>15760.000000000418</v>
      </c>
      <c r="F4" s="158">
        <f>'FS Jimbaran December 2021'!O14/'FS Jimbaran December 2021'!P14</f>
        <v>1122.5331472081182</v>
      </c>
      <c r="G4" s="160">
        <f>'FS Jimbaran December 2021'!AG14</f>
        <v>12</v>
      </c>
      <c r="H4" s="158">
        <f>'FS Jimbaran December 2021'!AH14/'FS Jimbaran December 2021'!AG14</f>
        <v>13583.333333333334</v>
      </c>
      <c r="I4" s="160">
        <f>'FS Jimbaran December 2021'!AJ14</f>
        <v>103.4800000000032</v>
      </c>
      <c r="J4" s="150">
        <f>'FS Jimbaran December 2021'!AK14/'FS Jimbaran December 2021'!AJ14</f>
        <v>12000</v>
      </c>
      <c r="K4" s="160">
        <f>'FS Jimbaran December 2021'!V14</f>
        <v>859.74</v>
      </c>
      <c r="L4" s="158">
        <f>'FS Jimbaran December 2021'!AA14/'FS Jimbaran December 2021'!V14</f>
        <v>7285.77884057971</v>
      </c>
      <c r="M4" s="160">
        <f>+'RNs &amp; Covers December 2021'!B8</f>
        <v>14</v>
      </c>
      <c r="N4" s="160">
        <f>+'RNs &amp; Covers December 2021'!C8</f>
        <v>162</v>
      </c>
    </row>
    <row r="5" spans="1:15" x14ac:dyDescent="0.35">
      <c r="A5" s="146" t="s">
        <v>49</v>
      </c>
      <c r="B5" s="147">
        <f t="shared" si="0"/>
        <v>4</v>
      </c>
      <c r="C5" s="148">
        <v>12</v>
      </c>
      <c r="D5" s="147">
        <v>2021</v>
      </c>
      <c r="E5" s="160">
        <f>'FS Jimbaran December 2021'!P15</f>
        <v>14840.000000000116</v>
      </c>
      <c r="F5" s="158">
        <f>'FS Jimbaran December 2021'!O15/'FS Jimbaran December 2021'!P15</f>
        <v>1120.2337601078177</v>
      </c>
      <c r="G5" s="160">
        <f>'FS Jimbaran December 2021'!AG15</f>
        <v>0</v>
      </c>
      <c r="H5" s="158" t="e">
        <f>'FS Jimbaran December 2021'!AH15/'FS Jimbaran December 2021'!AG15</f>
        <v>#DIV/0!</v>
      </c>
      <c r="I5" s="160">
        <f>'FS Jimbaran December 2021'!AJ15</f>
        <v>391.22999999999593</v>
      </c>
      <c r="J5" s="150">
        <f>'FS Jimbaran December 2021'!AK15/'FS Jimbaran December 2021'!AJ15</f>
        <v>12000.000000000002</v>
      </c>
      <c r="K5" s="160">
        <f>'FS Jimbaran December 2021'!V15</f>
        <v>863.30000000000007</v>
      </c>
      <c r="L5" s="158">
        <f>'FS Jimbaran December 2021'!AA15/'FS Jimbaran December 2021'!V15</f>
        <v>7301.5399175257735</v>
      </c>
      <c r="M5" s="160">
        <f>+'RNs &amp; Covers December 2021'!B9</f>
        <v>9</v>
      </c>
      <c r="N5" s="160">
        <f>+'RNs &amp; Covers December 2021'!C9</f>
        <v>119</v>
      </c>
    </row>
    <row r="6" spans="1:15" x14ac:dyDescent="0.35">
      <c r="A6" s="146" t="s">
        <v>49</v>
      </c>
      <c r="B6" s="147">
        <f t="shared" si="0"/>
        <v>5</v>
      </c>
      <c r="C6" s="148">
        <v>12</v>
      </c>
      <c r="D6" s="147">
        <v>2021</v>
      </c>
      <c r="E6" s="160">
        <f>'FS Jimbaran December 2021'!P16</f>
        <v>14279.999999999745</v>
      </c>
      <c r="F6" s="158">
        <f>'FS Jimbaran December 2021'!O16/'FS Jimbaran December 2021'!P16</f>
        <v>1126.4470168067221</v>
      </c>
      <c r="G6" s="160">
        <f>'FS Jimbaran December 2021'!AG16</f>
        <v>0</v>
      </c>
      <c r="H6" s="158" t="e">
        <f>'FS Jimbaran December 2021'!AH16/'FS Jimbaran December 2021'!AG16</f>
        <v>#DIV/0!</v>
      </c>
      <c r="I6" s="160">
        <f>'FS Jimbaran December 2021'!AJ16</f>
        <v>101.25</v>
      </c>
      <c r="J6" s="150">
        <f>'FS Jimbaran December 2021'!AK16/'FS Jimbaran December 2021'!AJ16</f>
        <v>12000</v>
      </c>
      <c r="K6" s="160">
        <f>'FS Jimbaran December 2021'!V16</f>
        <v>864.19</v>
      </c>
      <c r="L6" s="158">
        <f>'FS Jimbaran December 2021'!AA16/'FS Jimbaran December 2021'!V16</f>
        <v>7298.3922760041205</v>
      </c>
      <c r="M6" s="160">
        <f>+'RNs &amp; Covers December 2021'!B10</f>
        <v>4</v>
      </c>
      <c r="N6" s="160">
        <f>+'RNs &amp; Covers December 2021'!C10</f>
        <v>136</v>
      </c>
    </row>
    <row r="7" spans="1:15" x14ac:dyDescent="0.35">
      <c r="A7" s="146" t="s">
        <v>49</v>
      </c>
      <c r="B7" s="147">
        <f t="shared" si="0"/>
        <v>6</v>
      </c>
      <c r="C7" s="148">
        <v>12</v>
      </c>
      <c r="D7" s="147">
        <v>2021</v>
      </c>
      <c r="E7" s="160">
        <f>'FS Jimbaran December 2021'!P17</f>
        <v>13800.000000000126</v>
      </c>
      <c r="F7" s="158">
        <f>'FS Jimbaran December 2021'!O17/'FS Jimbaran December 2021'!P17</f>
        <v>1128.8500869565216</v>
      </c>
      <c r="G7" s="160">
        <f>'FS Jimbaran December 2021'!AG17</f>
        <v>0</v>
      </c>
      <c r="H7" s="158" t="e">
        <f>'FS Jimbaran December 2021'!AH17/'FS Jimbaran December 2021'!AG17</f>
        <v>#DIV/0!</v>
      </c>
      <c r="I7" s="160">
        <f>'FS Jimbaran December 2021'!AJ17</f>
        <v>257.04000000000087</v>
      </c>
      <c r="J7" s="150">
        <f>'FS Jimbaran December 2021'!AK17/'FS Jimbaran December 2021'!AJ17</f>
        <v>12000</v>
      </c>
      <c r="K7" s="160">
        <f>'FS Jimbaran December 2021'!V17</f>
        <v>793.88000000000011</v>
      </c>
      <c r="L7" s="158">
        <f>'FS Jimbaran December 2021'!AA17/'FS Jimbaran December 2021'!V17</f>
        <v>6614.798026905828</v>
      </c>
      <c r="M7" s="160">
        <f>+'RNs &amp; Covers December 2021'!B11</f>
        <v>12</v>
      </c>
      <c r="N7" s="160">
        <f>+'RNs &amp; Covers December 2021'!C11</f>
        <v>53</v>
      </c>
    </row>
    <row r="8" spans="1:15" x14ac:dyDescent="0.35">
      <c r="A8" s="146" t="s">
        <v>49</v>
      </c>
      <c r="B8" s="147">
        <f t="shared" si="0"/>
        <v>7</v>
      </c>
      <c r="C8" s="148">
        <v>12</v>
      </c>
      <c r="D8" s="147">
        <v>2021</v>
      </c>
      <c r="E8" s="160">
        <f>'FS Jimbaran December 2021'!P18</f>
        <v>13860.000000000071</v>
      </c>
      <c r="F8" s="158">
        <f>'FS Jimbaran December 2021'!O18/'FS Jimbaran December 2021'!P18</f>
        <v>1127.6998701298712</v>
      </c>
      <c r="G8" s="160">
        <f>'FS Jimbaran December 2021'!AG18</f>
        <v>500</v>
      </c>
      <c r="H8" s="158">
        <f>'FS Jimbaran December 2021'!AH18/'FS Jimbaran December 2021'!AG18</f>
        <v>16900</v>
      </c>
      <c r="I8" s="160">
        <f>'FS Jimbaran December 2021'!AJ18</f>
        <v>104.77999999999884</v>
      </c>
      <c r="J8" s="150">
        <f>'FS Jimbaran December 2021'!AK18/'FS Jimbaran December 2021'!AJ18</f>
        <v>12000</v>
      </c>
      <c r="K8" s="160">
        <f>'FS Jimbaran December 2021'!V18</f>
        <v>836.6</v>
      </c>
      <c r="L8" s="158">
        <f>'FS Jimbaran December 2021'!AA18/'FS Jimbaran December 2021'!V18</f>
        <v>6946.4397872340433</v>
      </c>
      <c r="M8" s="160">
        <f>+'RNs &amp; Covers December 2021'!B12</f>
        <v>10</v>
      </c>
      <c r="N8" s="160">
        <f>+'RNs &amp; Covers December 2021'!C12</f>
        <v>79</v>
      </c>
    </row>
    <row r="9" spans="1:15" x14ac:dyDescent="0.35">
      <c r="A9" s="146" t="s">
        <v>49</v>
      </c>
      <c r="B9" s="147">
        <f t="shared" si="0"/>
        <v>8</v>
      </c>
      <c r="C9" s="148">
        <v>12</v>
      </c>
      <c r="D9" s="147">
        <v>2021</v>
      </c>
      <c r="E9" s="160">
        <f>'FS Jimbaran December 2021'!P19</f>
        <v>15039.999999999964</v>
      </c>
      <c r="F9" s="158">
        <f>'FS Jimbaran December 2021'!O19/'FS Jimbaran December 2021'!P19</f>
        <v>1128.75227393617</v>
      </c>
      <c r="G9" s="160">
        <f>'FS Jimbaran December 2021'!AG19</f>
        <v>62</v>
      </c>
      <c r="H9" s="158">
        <f>'FS Jimbaran December 2021'!AH19/'FS Jimbaran December 2021'!AG19</f>
        <v>16258.064516129032</v>
      </c>
      <c r="I9" s="160">
        <f>'FS Jimbaran December 2021'!AJ19</f>
        <v>339.88000000000466</v>
      </c>
      <c r="J9" s="150">
        <f>'FS Jimbaran December 2021'!AK19/'FS Jimbaran December 2021'!AJ19</f>
        <v>12000</v>
      </c>
      <c r="K9" s="160">
        <f>'FS Jimbaran December 2021'!V19</f>
        <v>766.29000000000008</v>
      </c>
      <c r="L9" s="158">
        <f>'FS Jimbaran December 2021'!AA19/'FS Jimbaran December 2021'!V19</f>
        <v>6221.8811382113818</v>
      </c>
      <c r="M9" s="160">
        <f>+'RNs &amp; Covers December 2021'!B13</f>
        <v>12</v>
      </c>
      <c r="N9" s="160">
        <f>+'RNs &amp; Covers December 2021'!C13</f>
        <v>77</v>
      </c>
      <c r="O9" s="151" t="s">
        <v>46</v>
      </c>
    </row>
    <row r="10" spans="1:15" x14ac:dyDescent="0.35">
      <c r="A10" s="146" t="s">
        <v>49</v>
      </c>
      <c r="B10" s="147">
        <f t="shared" si="0"/>
        <v>9</v>
      </c>
      <c r="C10" s="148">
        <v>12</v>
      </c>
      <c r="D10" s="147">
        <v>2021</v>
      </c>
      <c r="E10" s="160">
        <f>'FS Jimbaran December 2021'!P20</f>
        <v>15999.999999999432</v>
      </c>
      <c r="F10" s="158">
        <f>'FS Jimbaran December 2021'!O20/'FS Jimbaran December 2021'!P20</f>
        <v>1128.3528375000017</v>
      </c>
      <c r="G10" s="160">
        <f>'FS Jimbaran December 2021'!AG20</f>
        <v>0</v>
      </c>
      <c r="H10" s="158" t="e">
        <f>'FS Jimbaran December 2021'!AH20/'FS Jimbaran December 2021'!AG20</f>
        <v>#DIV/0!</v>
      </c>
      <c r="I10" s="160">
        <f>'FS Jimbaran December 2021'!AJ20</f>
        <v>152.69999999999709</v>
      </c>
      <c r="J10" s="150">
        <f>'FS Jimbaran December 2021'!AK20/'FS Jimbaran December 2021'!AJ20</f>
        <v>12000</v>
      </c>
      <c r="K10" s="160">
        <f>'FS Jimbaran December 2021'!V20</f>
        <v>737.81</v>
      </c>
      <c r="L10" s="158">
        <f>'FS Jimbaran December 2021'!AA20/'FS Jimbaran December 2021'!V20</f>
        <v>7755.1532689987953</v>
      </c>
      <c r="M10" s="160">
        <f>+'RNs &amp; Covers December 2021'!B14</f>
        <v>13</v>
      </c>
      <c r="N10" s="160">
        <f>+'RNs &amp; Covers December 2021'!C14</f>
        <v>101</v>
      </c>
    </row>
    <row r="11" spans="1:15" x14ac:dyDescent="0.35">
      <c r="A11" s="146" t="s">
        <v>49</v>
      </c>
      <c r="B11" s="147">
        <f t="shared" si="0"/>
        <v>10</v>
      </c>
      <c r="C11" s="148">
        <v>12</v>
      </c>
      <c r="D11" s="147">
        <v>2021</v>
      </c>
      <c r="E11" s="160">
        <f>'FS Jimbaran December 2021'!P21</f>
        <v>16200.000000000273</v>
      </c>
      <c r="F11" s="158">
        <f>'FS Jimbaran December 2021'!O21/'FS Jimbaran December 2021'!P21</f>
        <v>1129.1280740740749</v>
      </c>
      <c r="G11" s="160">
        <f>'FS Jimbaran December 2021'!AG21</f>
        <v>0</v>
      </c>
      <c r="H11" s="158" t="e">
        <f>'FS Jimbaran December 2021'!AH21/'FS Jimbaran December 2021'!AG21</f>
        <v>#DIV/0!</v>
      </c>
      <c r="I11" s="160">
        <f>'FS Jimbaran December 2021'!AJ21</f>
        <v>99.459999999999127</v>
      </c>
      <c r="J11" s="150">
        <f>'FS Jimbaran December 2021'!AK21/'FS Jimbaran December 2021'!AJ21</f>
        <v>12000</v>
      </c>
      <c r="K11" s="160">
        <f>'FS Jimbaran December 2021'!V21</f>
        <v>868.64</v>
      </c>
      <c r="L11" s="158">
        <f>'FS Jimbaran December 2021'!AA21/'FS Jimbaran December 2021'!V21</f>
        <v>7184.3110245901635</v>
      </c>
      <c r="M11" s="160">
        <f>+'RNs &amp; Covers December 2021'!B15</f>
        <v>17</v>
      </c>
      <c r="N11" s="160">
        <f>+'RNs &amp; Covers December 2021'!C15</f>
        <v>145</v>
      </c>
    </row>
    <row r="12" spans="1:15" x14ac:dyDescent="0.35">
      <c r="A12" s="146" t="s">
        <v>49</v>
      </c>
      <c r="B12" s="147">
        <f t="shared" si="0"/>
        <v>11</v>
      </c>
      <c r="C12" s="148">
        <v>12</v>
      </c>
      <c r="D12" s="147">
        <v>2021</v>
      </c>
      <c r="E12" s="160">
        <f>'FS Jimbaran December 2021'!P22</f>
        <v>17900.000000000487</v>
      </c>
      <c r="F12" s="158">
        <f>'FS Jimbaran December 2021'!O22/'FS Jimbaran December 2021'!P22</f>
        <v>1142.2512402234595</v>
      </c>
      <c r="G12" s="160">
        <f>'FS Jimbaran December 2021'!AG22</f>
        <v>0</v>
      </c>
      <c r="H12" s="158" t="e">
        <f>'FS Jimbaran December 2021'!AH22/'FS Jimbaran December 2021'!AG22</f>
        <v>#DIV/0!</v>
      </c>
      <c r="I12" s="160">
        <f>'FS Jimbaran December 2021'!AJ22</f>
        <v>189.56999999999971</v>
      </c>
      <c r="J12" s="150">
        <f>'FS Jimbaran December 2021'!AK22/'FS Jimbaran December 2021'!AJ22</f>
        <v>11999.999999999998</v>
      </c>
      <c r="K12" s="160">
        <f>'FS Jimbaran December 2021'!V22</f>
        <v>894.45</v>
      </c>
      <c r="L12" s="158">
        <f>'FS Jimbaran December 2021'!AA22/'FS Jimbaran December 2021'!V22</f>
        <v>7249.7276616915424</v>
      </c>
      <c r="M12" s="160">
        <f>+'RNs &amp; Covers December 2021'!B16</f>
        <v>22</v>
      </c>
      <c r="N12" s="160">
        <f>+'RNs &amp; Covers December 2021'!C16</f>
        <v>365</v>
      </c>
    </row>
    <row r="13" spans="1:15" x14ac:dyDescent="0.35">
      <c r="A13" s="146" t="s">
        <v>49</v>
      </c>
      <c r="B13" s="147">
        <f t="shared" si="0"/>
        <v>12</v>
      </c>
      <c r="C13" s="148">
        <v>12</v>
      </c>
      <c r="D13" s="147">
        <v>2021</v>
      </c>
      <c r="E13" s="160">
        <f>'FS Jimbaran December 2021'!P23</f>
        <v>16859.999999999785</v>
      </c>
      <c r="F13" s="158">
        <f>'FS Jimbaran December 2021'!O23/'FS Jimbaran December 2021'!P23</f>
        <v>1127.9312455516028</v>
      </c>
      <c r="G13" s="160">
        <f>'FS Jimbaran December 2021'!AG23</f>
        <v>0</v>
      </c>
      <c r="H13" s="158" t="e">
        <f>'FS Jimbaran December 2021'!AH23/'FS Jimbaran December 2021'!AG23</f>
        <v>#DIV/0!</v>
      </c>
      <c r="I13" s="160">
        <f>'FS Jimbaran December 2021'!AJ23</f>
        <v>127.4800000000032</v>
      </c>
      <c r="J13" s="150">
        <f>'FS Jimbaran December 2021'!AK23/'FS Jimbaran December 2021'!AJ23</f>
        <v>12000</v>
      </c>
      <c r="K13" s="160">
        <f>'FS Jimbaran December 2021'!V23</f>
        <v>882.88</v>
      </c>
      <c r="L13" s="158">
        <f>'FS Jimbaran December 2021'!AA23/'FS Jimbaran December 2021'!V23</f>
        <v>7316.7737903225807</v>
      </c>
      <c r="M13" s="160">
        <f>+'RNs &amp; Covers December 2021'!B17</f>
        <v>26</v>
      </c>
      <c r="N13" s="160">
        <f>+'RNs &amp; Covers December 2021'!C17</f>
        <v>194</v>
      </c>
    </row>
    <row r="14" spans="1:15" x14ac:dyDescent="0.35">
      <c r="A14" s="146" t="s">
        <v>49</v>
      </c>
      <c r="B14" s="147">
        <f t="shared" si="0"/>
        <v>13</v>
      </c>
      <c r="C14" s="148">
        <v>12</v>
      </c>
      <c r="D14" s="147">
        <v>2021</v>
      </c>
      <c r="E14" s="160">
        <f>'FS Jimbaran December 2021'!P24</f>
        <v>16579.999999999985</v>
      </c>
      <c r="F14" s="158">
        <f>'FS Jimbaran December 2021'!O24/'FS Jimbaran December 2021'!P24</f>
        <v>1129.4874788902273</v>
      </c>
      <c r="G14" s="160">
        <f>'FS Jimbaran December 2021'!AG24</f>
        <v>424</v>
      </c>
      <c r="H14" s="158">
        <f>'FS Jimbaran December 2021'!AH24/'FS Jimbaran December 2021'!AG24</f>
        <v>16712.264150943396</v>
      </c>
      <c r="I14" s="160">
        <f>'FS Jimbaran December 2021'!AJ24</f>
        <v>899.32000000002154</v>
      </c>
      <c r="J14" s="150">
        <f>'FS Jimbaran December 2021'!AK24/'FS Jimbaran December 2021'!AJ24</f>
        <v>12000</v>
      </c>
      <c r="K14" s="160">
        <f>'FS Jimbaran December 2021'!V24</f>
        <v>737.81000000000006</v>
      </c>
      <c r="L14" s="158">
        <f>'FS Jimbaran December 2021'!AA24/'FS Jimbaran December 2021'!V24</f>
        <v>4493.5271652593483</v>
      </c>
      <c r="M14" s="160">
        <f>+'RNs &amp; Covers December 2021'!B18</f>
        <v>30</v>
      </c>
      <c r="N14" s="160">
        <f>+'RNs &amp; Covers December 2021'!C18</f>
        <v>189</v>
      </c>
    </row>
    <row r="15" spans="1:15" x14ac:dyDescent="0.35">
      <c r="A15" s="146" t="s">
        <v>49</v>
      </c>
      <c r="B15" s="147">
        <f t="shared" si="0"/>
        <v>14</v>
      </c>
      <c r="C15" s="148">
        <v>12</v>
      </c>
      <c r="D15" s="147">
        <v>2021</v>
      </c>
      <c r="E15" s="160">
        <f>'FS Jimbaran December 2021'!P25</f>
        <v>14879.999999999711</v>
      </c>
      <c r="F15" s="158">
        <f>'FS Jimbaran December 2021'!O25/'FS Jimbaran December 2021'!P25</f>
        <v>1134.6245967741986</v>
      </c>
      <c r="G15" s="160">
        <f>'FS Jimbaran December 2021'!AG25</f>
        <v>0</v>
      </c>
      <c r="H15" s="158" t="e">
        <f>'FS Jimbaran December 2021'!AH25/'FS Jimbaran December 2021'!AG25</f>
        <v>#DIV/0!</v>
      </c>
      <c r="I15" s="160">
        <f>'FS Jimbaran December 2021'!AJ25</f>
        <v>286.70999999999913</v>
      </c>
      <c r="J15" s="150">
        <f>'FS Jimbaran December 2021'!AK25/'FS Jimbaran December 2021'!AJ25</f>
        <v>12000</v>
      </c>
      <c r="K15" s="160">
        <f>'FS Jimbaran December 2021'!V25</f>
        <v>877.54</v>
      </c>
      <c r="L15" s="158">
        <f>'FS Jimbaran December 2021'!AA25/'FS Jimbaran December 2021'!V25</f>
        <v>7251.9438133874246</v>
      </c>
      <c r="M15" s="160">
        <f>+'RNs &amp; Covers December 2021'!B19</f>
        <v>21</v>
      </c>
      <c r="N15" s="160">
        <f>+'RNs &amp; Covers December 2021'!C19</f>
        <v>194</v>
      </c>
    </row>
    <row r="16" spans="1:15" x14ac:dyDescent="0.35">
      <c r="A16" s="146" t="s">
        <v>49</v>
      </c>
      <c r="B16" s="147">
        <f t="shared" si="0"/>
        <v>15</v>
      </c>
      <c r="C16" s="148">
        <v>12</v>
      </c>
      <c r="D16" s="147">
        <v>2021</v>
      </c>
      <c r="E16" s="160">
        <f>'FS Jimbaran December 2021'!P26</f>
        <v>17219.999999999884</v>
      </c>
      <c r="F16" s="158">
        <f>'FS Jimbaran December 2021'!O26/'FS Jimbaran December 2021'!P26</f>
        <v>1115.7792682926818</v>
      </c>
      <c r="G16" s="160">
        <f>'FS Jimbaran December 2021'!AG26</f>
        <v>12</v>
      </c>
      <c r="H16" s="158">
        <f>'FS Jimbaran December 2021'!AH26/'FS Jimbaran December 2021'!AG26</f>
        <v>13583.333333333334</v>
      </c>
      <c r="I16" s="160">
        <f>'FS Jimbaran December 2021'!AJ26</f>
        <v>309.31999999999971</v>
      </c>
      <c r="J16" s="150">
        <f>'FS Jimbaran December 2021'!AK26/'FS Jimbaran December 2021'!AJ26</f>
        <v>12000</v>
      </c>
      <c r="K16" s="160">
        <f>'FS Jimbaran December 2021'!V26</f>
        <v>885.55000000000007</v>
      </c>
      <c r="L16" s="158">
        <f>'FS Jimbaran December 2021'!AA26/'FS Jimbaran December 2021'!V26</f>
        <v>7321.3069949748742</v>
      </c>
      <c r="M16" s="160">
        <f>+'RNs &amp; Covers December 2021'!B20</f>
        <v>21</v>
      </c>
      <c r="N16" s="160">
        <f>+'RNs &amp; Covers December 2021'!C20</f>
        <v>177</v>
      </c>
    </row>
    <row r="17" spans="1:14" x14ac:dyDescent="0.35">
      <c r="A17" s="146" t="s">
        <v>49</v>
      </c>
      <c r="B17" s="147">
        <f t="shared" si="0"/>
        <v>16</v>
      </c>
      <c r="C17" s="148">
        <v>12</v>
      </c>
      <c r="D17" s="147">
        <v>2021</v>
      </c>
      <c r="E17" s="160">
        <f>'FS Jimbaran December 2021'!P27</f>
        <v>16200.000000000187</v>
      </c>
      <c r="F17" s="158">
        <f>'FS Jimbaran December 2021'!O27/'FS Jimbaran December 2021'!P27</f>
        <v>1129.7674444444426</v>
      </c>
      <c r="G17" s="160">
        <f>'FS Jimbaran December 2021'!AG27</f>
        <v>400</v>
      </c>
      <c r="H17" s="158">
        <f>'FS Jimbaran December 2021'!AH27/'FS Jimbaran December 2021'!AG27</f>
        <v>16900</v>
      </c>
      <c r="I17" s="160">
        <f>'FS Jimbaran December 2021'!AJ27</f>
        <v>300.65000000000146</v>
      </c>
      <c r="J17" s="150">
        <f>'FS Jimbaran December 2021'!AK27/'FS Jimbaran December 2021'!AJ27</f>
        <v>12000</v>
      </c>
      <c r="K17" s="160">
        <f>'FS Jimbaran December 2021'!V27</f>
        <v>841.05</v>
      </c>
      <c r="L17" s="158">
        <f>'FS Jimbaran December 2021'!AA27/'FS Jimbaran December 2021'!V27</f>
        <v>7455.0167407407416</v>
      </c>
      <c r="M17" s="160">
        <f>+'RNs &amp; Covers December 2021'!B21</f>
        <v>23</v>
      </c>
      <c r="N17" s="160">
        <f>+'RNs &amp; Covers December 2021'!C21</f>
        <v>148</v>
      </c>
    </row>
    <row r="18" spans="1:14" x14ac:dyDescent="0.35">
      <c r="A18" s="146" t="s">
        <v>49</v>
      </c>
      <c r="B18" s="147">
        <f t="shared" si="0"/>
        <v>17</v>
      </c>
      <c r="C18" s="148">
        <v>12</v>
      </c>
      <c r="D18" s="147">
        <v>2021</v>
      </c>
      <c r="E18" s="160">
        <f>'FS Jimbaran December 2021'!P28</f>
        <v>17900.000000000346</v>
      </c>
      <c r="F18" s="158">
        <f>'FS Jimbaran December 2021'!O28/'FS Jimbaran December 2021'!P28</f>
        <v>1134.1501675977636</v>
      </c>
      <c r="G18" s="160">
        <f>'FS Jimbaran December 2021'!AG28</f>
        <v>0</v>
      </c>
      <c r="H18" s="158" t="e">
        <f>'FS Jimbaran December 2021'!AH28/'FS Jimbaran December 2021'!AG28</f>
        <v>#DIV/0!</v>
      </c>
      <c r="I18" s="160">
        <f>'FS Jimbaran December 2021'!AJ28</f>
        <v>315.23999999999796</v>
      </c>
      <c r="J18" s="150">
        <f>'FS Jimbaran December 2021'!AK28/'FS Jimbaran December 2021'!AJ28</f>
        <v>12000</v>
      </c>
      <c r="K18" s="160">
        <f>'FS Jimbaran December 2021'!V28</f>
        <v>901.56999999999994</v>
      </c>
      <c r="L18" s="158">
        <f>'FS Jimbaran December 2021'!AA28/'FS Jimbaran December 2021'!V28</f>
        <v>7212.4505626850942</v>
      </c>
      <c r="M18" s="160">
        <f>+'RNs &amp; Covers December 2021'!B22</f>
        <v>44</v>
      </c>
      <c r="N18" s="160">
        <f>+'RNs &amp; Covers December 2021'!C22</f>
        <v>214</v>
      </c>
    </row>
    <row r="19" spans="1:14" x14ac:dyDescent="0.35">
      <c r="A19" s="146" t="s">
        <v>49</v>
      </c>
      <c r="B19" s="147">
        <f t="shared" si="0"/>
        <v>18</v>
      </c>
      <c r="C19" s="148">
        <v>12</v>
      </c>
      <c r="D19" s="147">
        <v>2021</v>
      </c>
      <c r="E19" s="160">
        <f>'FS Jimbaran December 2021'!P29</f>
        <v>18879.999999999542</v>
      </c>
      <c r="F19" s="158">
        <f>'FS Jimbaran December 2021'!O29/'FS Jimbaran December 2021'!P29</f>
        <v>1126.3010275423769</v>
      </c>
      <c r="G19" s="160">
        <f>'FS Jimbaran December 2021'!AG29</f>
        <v>0</v>
      </c>
      <c r="H19" s="158" t="e">
        <f>'FS Jimbaran December 2021'!AH29/'FS Jimbaran December 2021'!AG29</f>
        <v>#DIV/0!</v>
      </c>
      <c r="I19" s="160">
        <f>'FS Jimbaran December 2021'!AJ29</f>
        <v>384.67000000000553</v>
      </c>
      <c r="J19" s="150">
        <f>'FS Jimbaran December 2021'!AK29/'FS Jimbaran December 2021'!AJ29</f>
        <v>12000</v>
      </c>
      <c r="K19" s="160">
        <f>'FS Jimbaran December 2021'!V29</f>
        <v>908.69</v>
      </c>
      <c r="L19" s="158">
        <f>'FS Jimbaran December 2021'!AA29/'FS Jimbaran December 2021'!V29</f>
        <v>7229.529696376102</v>
      </c>
      <c r="M19" s="160">
        <f>+'RNs &amp; Covers December 2021'!B23</f>
        <v>53</v>
      </c>
      <c r="N19" s="160">
        <f>+'RNs &amp; Covers December 2021'!C23</f>
        <v>245</v>
      </c>
    </row>
    <row r="20" spans="1:14" x14ac:dyDescent="0.35">
      <c r="A20" s="146" t="s">
        <v>49</v>
      </c>
      <c r="B20" s="147">
        <f t="shared" si="0"/>
        <v>19</v>
      </c>
      <c r="C20" s="148">
        <v>12</v>
      </c>
      <c r="D20" s="147">
        <v>2021</v>
      </c>
      <c r="E20" s="160">
        <f>'FS Jimbaran December 2021'!P30</f>
        <v>16999.999999999858</v>
      </c>
      <c r="F20" s="158">
        <f>'FS Jimbaran December 2021'!O30/'FS Jimbaran December 2021'!P30</f>
        <v>1130.2187647058831</v>
      </c>
      <c r="G20" s="160">
        <f>'FS Jimbaran December 2021'!AG30</f>
        <v>0</v>
      </c>
      <c r="H20" s="158" t="e">
        <f>'FS Jimbaran December 2021'!AH30/'FS Jimbaran December 2021'!AG30</f>
        <v>#DIV/0!</v>
      </c>
      <c r="I20" s="160">
        <f>'FS Jimbaran December 2021'!AJ30</f>
        <v>400.68999999999505</v>
      </c>
      <c r="J20" s="150">
        <f>'FS Jimbaran December 2021'!AK30/'FS Jimbaran December 2021'!AJ30</f>
        <v>12000</v>
      </c>
      <c r="K20" s="160">
        <f>'FS Jimbaran December 2021'!V30</f>
        <v>911.36</v>
      </c>
      <c r="L20" s="158">
        <f>'FS Jimbaran December 2021'!AA30/'FS Jimbaran December 2021'!V30</f>
        <v>7220.7864843750003</v>
      </c>
      <c r="M20" s="160">
        <f>+'RNs &amp; Covers December 2021'!B24</f>
        <v>31</v>
      </c>
      <c r="N20" s="160">
        <f>+'RNs &amp; Covers December 2021'!C24</f>
        <v>286</v>
      </c>
    </row>
    <row r="21" spans="1:14" x14ac:dyDescent="0.35">
      <c r="A21" s="146" t="s">
        <v>49</v>
      </c>
      <c r="B21" s="147">
        <f t="shared" si="0"/>
        <v>20</v>
      </c>
      <c r="C21" s="148">
        <v>12</v>
      </c>
      <c r="D21" s="147">
        <v>2021</v>
      </c>
      <c r="E21" s="160">
        <f>'FS Jimbaran December 2021'!P31</f>
        <v>16120.00000000026</v>
      </c>
      <c r="F21" s="158">
        <f>'FS Jimbaran December 2021'!O31/'FS Jimbaran December 2021'!P31</f>
        <v>1127.6637096774155</v>
      </c>
      <c r="G21" s="160">
        <f>'FS Jimbaran December 2021'!AG31</f>
        <v>0</v>
      </c>
      <c r="H21" s="158" t="e">
        <f>'FS Jimbaran December 2021'!AH31/'FS Jimbaran December 2021'!AG31</f>
        <v>#DIV/0!</v>
      </c>
      <c r="I21" s="160">
        <f>'FS Jimbaran December 2021'!AJ31</f>
        <v>425.33999999995285</v>
      </c>
      <c r="J21" s="150">
        <f>'FS Jimbaran December 2021'!AK31/'FS Jimbaran December 2021'!AJ31</f>
        <v>11999.999999999998</v>
      </c>
      <c r="K21" s="160">
        <f>'FS Jimbaran December 2021'!V31</f>
        <v>881.99</v>
      </c>
      <c r="L21" s="158">
        <f>'FS Jimbaran December 2021'!AA31/'FS Jimbaran December 2021'!V31</f>
        <v>7292.1733400605463</v>
      </c>
      <c r="M21" s="160">
        <f>+'RNs &amp; Covers December 2021'!B25</f>
        <v>26</v>
      </c>
      <c r="N21" s="160">
        <f>+'RNs &amp; Covers December 2021'!C25</f>
        <v>172</v>
      </c>
    </row>
    <row r="22" spans="1:14" x14ac:dyDescent="0.35">
      <c r="A22" s="146" t="s">
        <v>49</v>
      </c>
      <c r="B22" s="147">
        <f t="shared" si="0"/>
        <v>21</v>
      </c>
      <c r="C22" s="148">
        <v>12</v>
      </c>
      <c r="D22" s="147">
        <v>2021</v>
      </c>
      <c r="E22" s="160">
        <f>'FS Jimbaran December 2021'!P32</f>
        <v>15979.999999999791</v>
      </c>
      <c r="F22" s="158">
        <f>'FS Jimbaran December 2021'!O32/'FS Jimbaran December 2021'!P32</f>
        <v>1125.8760075093908</v>
      </c>
      <c r="G22" s="160">
        <f>'FS Jimbaran December 2021'!AG32</f>
        <v>0</v>
      </c>
      <c r="H22" s="158" t="e">
        <f>'FS Jimbaran December 2021'!AH32/'FS Jimbaran December 2021'!AG32</f>
        <v>#DIV/0!</v>
      </c>
      <c r="I22" s="160">
        <f>'FS Jimbaran December 2021'!AJ32</f>
        <v>199.11000000000058</v>
      </c>
      <c r="J22" s="150">
        <f>'FS Jimbaran December 2021'!AK32/'FS Jimbaran December 2021'!AJ32</f>
        <v>12000</v>
      </c>
      <c r="K22" s="160">
        <f>'FS Jimbaran December 2021'!V32</f>
        <v>890</v>
      </c>
      <c r="L22" s="158">
        <f>'FS Jimbaran December 2021'!AA32/'FS Jimbaran December 2021'!V32</f>
        <v>7278.4757200000013</v>
      </c>
      <c r="M22" s="160">
        <f>+'RNs &amp; Covers December 2021'!B26</f>
        <v>21</v>
      </c>
      <c r="N22" s="160">
        <f>+'RNs &amp; Covers December 2021'!C26</f>
        <v>158</v>
      </c>
    </row>
    <row r="23" spans="1:14" x14ac:dyDescent="0.35">
      <c r="A23" s="146" t="s">
        <v>49</v>
      </c>
      <c r="B23" s="147">
        <f t="shared" si="0"/>
        <v>22</v>
      </c>
      <c r="C23" s="148">
        <v>12</v>
      </c>
      <c r="D23" s="147">
        <v>2021</v>
      </c>
      <c r="E23" s="160">
        <f>'FS Jimbaran December 2021'!P33</f>
        <v>16680.000000000291</v>
      </c>
      <c r="F23" s="158">
        <f>'FS Jimbaran December 2021'!O33/'FS Jimbaran December 2021'!P33</f>
        <v>1130.7885971222988</v>
      </c>
      <c r="G23" s="160">
        <f>'FS Jimbaran December 2021'!AG33</f>
        <v>0</v>
      </c>
      <c r="H23" s="158" t="e">
        <f>'FS Jimbaran December 2021'!AH33/'FS Jimbaran December 2021'!AG33</f>
        <v>#DIV/0!</v>
      </c>
      <c r="I23" s="160">
        <f>'FS Jimbaran December 2021'!AJ33</f>
        <v>379.95999999999913</v>
      </c>
      <c r="J23" s="150">
        <f>'FS Jimbaran December 2021'!AK33/'FS Jimbaran December 2021'!AJ33</f>
        <v>12000</v>
      </c>
      <c r="K23" s="160">
        <f>'FS Jimbaran December 2021'!V33</f>
        <v>826.81</v>
      </c>
      <c r="L23" s="158">
        <f>'FS Jimbaran December 2021'!AA33/'FS Jimbaran December 2021'!V33</f>
        <v>7495.5248869752431</v>
      </c>
      <c r="M23" s="160">
        <f>+'RNs &amp; Covers December 2021'!B27</f>
        <v>23</v>
      </c>
      <c r="N23" s="160">
        <f>+'RNs &amp; Covers December 2021'!C27</f>
        <v>280</v>
      </c>
    </row>
    <row r="24" spans="1:14" x14ac:dyDescent="0.35">
      <c r="A24" s="146" t="s">
        <v>49</v>
      </c>
      <c r="B24" s="147">
        <f t="shared" si="0"/>
        <v>23</v>
      </c>
      <c r="C24" s="148">
        <v>12</v>
      </c>
      <c r="D24" s="147">
        <v>2021</v>
      </c>
      <c r="E24" s="160">
        <f>'FS Jimbaran December 2021'!P34</f>
        <v>15960.000000000178</v>
      </c>
      <c r="F24" s="158">
        <f>'FS Jimbaran December 2021'!O34/'FS Jimbaran December 2021'!P34</f>
        <v>1124.6909398496243</v>
      </c>
      <c r="G24" s="160">
        <f>'FS Jimbaran December 2021'!AG34</f>
        <v>412</v>
      </c>
      <c r="H24" s="158">
        <f>'FS Jimbaran December 2021'!AH34/'FS Jimbaran December 2021'!AG34</f>
        <v>16803.398058252427</v>
      </c>
      <c r="I24" s="160">
        <f>'FS Jimbaran December 2021'!AJ34</f>
        <v>88.630000000004657</v>
      </c>
      <c r="J24" s="150">
        <f>'FS Jimbaran December 2021'!AK34/'FS Jimbaran December 2021'!AJ34</f>
        <v>12000</v>
      </c>
      <c r="K24" s="160">
        <f>'FS Jimbaran December 2021'!V34</f>
        <v>806.33999999999992</v>
      </c>
      <c r="L24" s="158">
        <f>'FS Jimbaran December 2021'!AA34/'FS Jimbaran December 2021'!V34</f>
        <v>7578.0391611479045</v>
      </c>
      <c r="M24" s="160">
        <f>+'RNs &amp; Covers December 2021'!B28</f>
        <v>18</v>
      </c>
      <c r="N24" s="160">
        <f>+'RNs &amp; Covers December 2021'!C28</f>
        <v>168</v>
      </c>
    </row>
    <row r="25" spans="1:14" x14ac:dyDescent="0.35">
      <c r="A25" s="146" t="s">
        <v>49</v>
      </c>
      <c r="B25" s="147">
        <f t="shared" si="0"/>
        <v>24</v>
      </c>
      <c r="C25" s="148">
        <v>12</v>
      </c>
      <c r="D25" s="147">
        <v>2021</v>
      </c>
      <c r="E25" s="160">
        <f>'FS Jimbaran December 2021'!P35</f>
        <v>16340.000000000202</v>
      </c>
      <c r="F25" s="158">
        <f>'FS Jimbaran December 2021'!O35/'FS Jimbaran December 2021'!P35</f>
        <v>1128.9621664626673</v>
      </c>
      <c r="G25" s="160">
        <f>'FS Jimbaran December 2021'!AG35</f>
        <v>0</v>
      </c>
      <c r="H25" s="158" t="e">
        <f>'FS Jimbaran December 2021'!AH35/'FS Jimbaran December 2021'!AG35</f>
        <v>#DIV/0!</v>
      </c>
      <c r="I25" s="160">
        <f>'FS Jimbaran December 2021'!AJ35</f>
        <v>53.790000000000873</v>
      </c>
      <c r="J25" s="150">
        <f>'FS Jimbaran December 2021'!AK35/'FS Jimbaran December 2021'!AJ35</f>
        <v>12000</v>
      </c>
      <c r="K25" s="160">
        <f>'FS Jimbaran December 2021'!V35</f>
        <v>700.43000000000006</v>
      </c>
      <c r="L25" s="158">
        <f>'FS Jimbaran December 2021'!AA35/'FS Jimbaran December 2021'!V35</f>
        <v>8081.9911817026677</v>
      </c>
      <c r="M25" s="160">
        <f>+'RNs &amp; Covers December 2021'!B29</f>
        <v>14</v>
      </c>
      <c r="N25" s="160">
        <f>+'RNs &amp; Covers December 2021'!C29</f>
        <v>201</v>
      </c>
    </row>
    <row r="26" spans="1:14" x14ac:dyDescent="0.35">
      <c r="A26" s="146" t="s">
        <v>49</v>
      </c>
      <c r="B26" s="147">
        <f>B25+1</f>
        <v>25</v>
      </c>
      <c r="C26" s="148">
        <v>12</v>
      </c>
      <c r="D26" s="147">
        <v>2021</v>
      </c>
      <c r="E26" s="160">
        <f>'FS Jimbaran December 2021'!P36</f>
        <v>16839.999999999236</v>
      </c>
      <c r="F26" s="158">
        <f>'FS Jimbaran December 2021'!O36/'FS Jimbaran December 2021'!P36</f>
        <v>1128.0406888361088</v>
      </c>
      <c r="G26" s="160">
        <f>'FS Jimbaran December 2021'!AG36</f>
        <v>0</v>
      </c>
      <c r="H26" s="158" t="e">
        <f>'FS Jimbaran December 2021'!AH36/'FS Jimbaran December 2021'!AG36</f>
        <v>#DIV/0!</v>
      </c>
      <c r="I26" s="160">
        <f>'FS Jimbaran December 2021'!AJ36</f>
        <v>339.29999999999563</v>
      </c>
      <c r="J26" s="150">
        <f>'FS Jimbaran December 2021'!AK36/'FS Jimbaran December 2021'!AJ36</f>
        <v>12000</v>
      </c>
      <c r="K26" s="160">
        <f>'FS Jimbaran December 2021'!V36</f>
        <v>721.79</v>
      </c>
      <c r="L26" s="158">
        <f>'FS Jimbaran December 2021'!AA36/'FS Jimbaran December 2021'!V36</f>
        <v>7985.3720098643662</v>
      </c>
      <c r="M26" s="160">
        <f>+'RNs &amp; Covers December 2021'!B30</f>
        <v>17</v>
      </c>
      <c r="N26" s="160">
        <f>+'RNs &amp; Covers December 2021'!C30</f>
        <v>224</v>
      </c>
    </row>
    <row r="27" spans="1:14" x14ac:dyDescent="0.35">
      <c r="A27" s="146" t="s">
        <v>49</v>
      </c>
      <c r="B27" s="147">
        <f t="shared" si="0"/>
        <v>26</v>
      </c>
      <c r="C27" s="148">
        <v>12</v>
      </c>
      <c r="D27" s="147">
        <v>2021</v>
      </c>
      <c r="E27" s="160">
        <f>'FS Jimbaran December 2021'!P37</f>
        <v>16900.000000000007</v>
      </c>
      <c r="F27" s="158">
        <f>'FS Jimbaran December 2021'!O37/'FS Jimbaran December 2021'!P37</f>
        <v>1127.7131360946753</v>
      </c>
      <c r="G27" s="160">
        <f>'FS Jimbaran December 2021'!AG37</f>
        <v>12</v>
      </c>
      <c r="H27" s="158">
        <f>'FS Jimbaran December 2021'!AH37/'FS Jimbaran December 2021'!AG37</f>
        <v>13583.333333333334</v>
      </c>
      <c r="I27" s="160">
        <f>'FS Jimbaran December 2021'!AJ37</f>
        <v>299.56999999999971</v>
      </c>
      <c r="J27" s="150">
        <f>'FS Jimbaran December 2021'!AK37/'FS Jimbaran December 2021'!AJ37</f>
        <v>12000</v>
      </c>
      <c r="K27" s="160">
        <f>'FS Jimbaran December 2021'!V37</f>
        <v>728.91000000000008</v>
      </c>
      <c r="L27" s="158">
        <f>'FS Jimbaran December 2021'!AA37/'FS Jimbaran December 2021'!V37</f>
        <v>7965.5964102564094</v>
      </c>
      <c r="M27" s="160">
        <f>+'RNs &amp; Covers December 2021'!B31</f>
        <v>18</v>
      </c>
      <c r="N27" s="160">
        <f>+'RNs &amp; Covers December 2021'!C31</f>
        <v>270</v>
      </c>
    </row>
    <row r="28" spans="1:14" x14ac:dyDescent="0.35">
      <c r="A28" s="146" t="s">
        <v>49</v>
      </c>
      <c r="B28" s="147">
        <f t="shared" si="0"/>
        <v>27</v>
      </c>
      <c r="C28" s="148">
        <v>12</v>
      </c>
      <c r="D28" s="147">
        <v>2021</v>
      </c>
      <c r="E28" s="160">
        <f>'FS Jimbaran December 2021'!P38</f>
        <v>16720.000000000764</v>
      </c>
      <c r="F28" s="158">
        <f>'FS Jimbaran December 2021'!O38/'FS Jimbaran December 2021'!P38</f>
        <v>1126.2249043062131</v>
      </c>
      <c r="G28" s="160">
        <f>'FS Jimbaran December 2021'!AG38</f>
        <v>400</v>
      </c>
      <c r="H28" s="158">
        <f>'FS Jimbaran December 2021'!AH38/'FS Jimbaran December 2021'!AG38</f>
        <v>16900</v>
      </c>
      <c r="I28" s="160">
        <f>'FS Jimbaran December 2021'!AJ38</f>
        <v>187.68000000000029</v>
      </c>
      <c r="J28" s="150">
        <f>'FS Jimbaran December 2021'!AK38/'FS Jimbaran December 2021'!AJ38</f>
        <v>12000.000000000002</v>
      </c>
      <c r="K28" s="160">
        <f>'FS Jimbaran December 2021'!V38</f>
        <v>581.17000000000007</v>
      </c>
      <c r="L28" s="158">
        <f>'FS Jimbaran December 2021'!AA38/'FS Jimbaran December 2021'!V38</f>
        <v>5569.3686064318526</v>
      </c>
      <c r="M28" s="160">
        <f>+'RNs &amp; Covers December 2021'!B32</f>
        <v>22</v>
      </c>
      <c r="N28" s="160">
        <f>+'RNs &amp; Covers December 2021'!C32</f>
        <v>150</v>
      </c>
    </row>
    <row r="29" spans="1:14" x14ac:dyDescent="0.35">
      <c r="A29" s="146" t="s">
        <v>49</v>
      </c>
      <c r="B29" s="147">
        <f t="shared" si="0"/>
        <v>28</v>
      </c>
      <c r="C29" s="148">
        <v>12</v>
      </c>
      <c r="D29" s="147">
        <v>2021</v>
      </c>
      <c r="E29" s="160">
        <f>'FS Jimbaran December 2021'!P39</f>
        <v>15719.999999999744</v>
      </c>
      <c r="F29" s="158">
        <f>'FS Jimbaran December 2021'!O39/'FS Jimbaran December 2021'!P39</f>
        <v>1125.389465648859</v>
      </c>
      <c r="G29" s="160">
        <f>'FS Jimbaran December 2021'!AG39</f>
        <v>12</v>
      </c>
      <c r="H29" s="158">
        <f>'FS Jimbaran December 2021'!AH39/'FS Jimbaran December 2021'!AG39</f>
        <v>13583.333333333334</v>
      </c>
      <c r="I29" s="160">
        <f>'FS Jimbaran December 2021'!AJ39</f>
        <v>219.32000000001426</v>
      </c>
      <c r="J29" s="150">
        <f>'FS Jimbaran December 2021'!AK39/'FS Jimbaran December 2021'!AJ39</f>
        <v>12000.000000000002</v>
      </c>
      <c r="K29" s="160">
        <f>'FS Jimbaran December 2021'!V39</f>
        <v>859.74</v>
      </c>
      <c r="L29" s="158">
        <f>'FS Jimbaran December 2021'!AA39/'FS Jimbaran December 2021'!V39</f>
        <v>7228.945217391306</v>
      </c>
      <c r="M29" s="160">
        <f>+'RNs &amp; Covers December 2021'!B33</f>
        <v>22</v>
      </c>
      <c r="N29" s="160">
        <f>+'RNs &amp; Covers December 2021'!C33</f>
        <v>194</v>
      </c>
    </row>
    <row r="30" spans="1:14" x14ac:dyDescent="0.35">
      <c r="A30" s="146" t="s">
        <v>49</v>
      </c>
      <c r="B30" s="147">
        <f t="shared" si="0"/>
        <v>29</v>
      </c>
      <c r="C30" s="148">
        <v>12</v>
      </c>
      <c r="D30" s="147">
        <v>2021</v>
      </c>
      <c r="E30" s="160">
        <f>'FS Jimbaran December 2021'!P40</f>
        <v>16079.999999999416</v>
      </c>
      <c r="F30" s="158">
        <f>'FS Jimbaran December 2021'!O40/'FS Jimbaran December 2021'!P40</f>
        <v>1131.1129850746297</v>
      </c>
      <c r="G30" s="160">
        <f>'FS Jimbaran December 2021'!AG40</f>
        <v>800</v>
      </c>
      <c r="H30" s="158">
        <f>'FS Jimbaran December 2021'!AH40/'FS Jimbaran December 2021'!AG40</f>
        <v>16900</v>
      </c>
      <c r="I30" s="160">
        <f>'FS Jimbaran December 2021'!AJ40</f>
        <v>367.62999999999738</v>
      </c>
      <c r="J30" s="150">
        <f>'FS Jimbaran December 2021'!AK40/'FS Jimbaran December 2021'!AJ40</f>
        <v>12000</v>
      </c>
      <c r="K30" s="160">
        <f>'FS Jimbaran December 2021'!V40</f>
        <v>759.17</v>
      </c>
      <c r="L30" s="158">
        <f>'FS Jimbaran December 2021'!AA40/'FS Jimbaran December 2021'!V40</f>
        <v>7736.8499179366936</v>
      </c>
      <c r="M30" s="160">
        <f>+'RNs &amp; Covers December 2021'!B34</f>
        <v>24</v>
      </c>
      <c r="N30" s="160">
        <f>+'RNs &amp; Covers December 2021'!C34</f>
        <v>190</v>
      </c>
    </row>
    <row r="31" spans="1:14" x14ac:dyDescent="0.35">
      <c r="A31" s="146" t="s">
        <v>49</v>
      </c>
      <c r="B31" s="147">
        <f t="shared" si="0"/>
        <v>30</v>
      </c>
      <c r="C31" s="148">
        <v>12</v>
      </c>
      <c r="D31" s="147">
        <v>2021</v>
      </c>
      <c r="E31" s="160">
        <f>'FS Jimbaran December 2021'!P41</f>
        <v>14220</v>
      </c>
      <c r="F31" s="158">
        <f>'FS Jimbaran December 2021'!O41/'FS Jimbaran December 2021'!P41</f>
        <v>1132.65675105485</v>
      </c>
      <c r="G31" s="160">
        <f>'FS Jimbaran December 2021'!AG41</f>
        <v>24</v>
      </c>
      <c r="H31" s="158">
        <f>'FS Jimbaran December 2021'!AH41/'FS Jimbaran December 2021'!AG41</f>
        <v>13583.333333333334</v>
      </c>
      <c r="I31" s="160">
        <f>'FS Jimbaran December 2021'!AJ41</f>
        <v>64.160000000003492</v>
      </c>
      <c r="J31" s="150">
        <f>'FS Jimbaran December 2021'!AK41/'FS Jimbaran December 2021'!AJ41</f>
        <v>12000</v>
      </c>
      <c r="K31" s="160">
        <f>'FS Jimbaran December 2021'!V41</f>
        <v>735.1400000000001</v>
      </c>
      <c r="L31" s="158">
        <f>'FS Jimbaran December 2021'!AA41/'FS Jimbaran December 2021'!V41</f>
        <v>7934.0674576271176</v>
      </c>
      <c r="M31" s="160">
        <f>+'RNs &amp; Covers December 2021'!B35</f>
        <v>25</v>
      </c>
      <c r="N31" s="160">
        <f>+'RNs &amp; Covers December 2021'!C35</f>
        <v>175</v>
      </c>
    </row>
    <row r="32" spans="1:14" x14ac:dyDescent="0.35">
      <c r="A32" s="146" t="s">
        <v>49</v>
      </c>
      <c r="B32" s="147">
        <f t="shared" si="0"/>
        <v>31</v>
      </c>
      <c r="C32" s="148">
        <v>12</v>
      </c>
      <c r="D32" s="147">
        <v>2021</v>
      </c>
      <c r="E32" s="160">
        <f>'FS Jimbaran December 2021'!P42</f>
        <v>15900.000000000658</v>
      </c>
      <c r="F32" s="158">
        <f>'FS Jimbaran December 2021'!O42/'FS Jimbaran December 2021'!P42</f>
        <v>1130.2379245283009</v>
      </c>
      <c r="G32" s="160">
        <f>'FS Jimbaran December 2021'!AG42</f>
        <v>0</v>
      </c>
      <c r="H32" s="158" t="e">
        <f>'FS Jimbaran December 2021'!AH42/'FS Jimbaran December 2021'!AG42</f>
        <v>#DIV/0!</v>
      </c>
      <c r="I32" s="160">
        <f>'FS Jimbaran December 2021'!AJ42</f>
        <v>313.90999999999622</v>
      </c>
      <c r="J32" s="150">
        <f>'FS Jimbaran December 2021'!AK42/'FS Jimbaran December 2021'!AJ42</f>
        <v>12000</v>
      </c>
      <c r="K32" s="160">
        <f>'FS Jimbaran December 2021'!V42</f>
        <v>880.21</v>
      </c>
      <c r="L32" s="158">
        <f>'FS Jimbaran December 2021'!AA42/'FS Jimbaran December 2021'!V42</f>
        <v>7326.0910616784631</v>
      </c>
      <c r="M32" s="160">
        <f>+'RNs &amp; Covers December 2021'!B36</f>
        <v>38</v>
      </c>
      <c r="N32" s="160">
        <f>+'RNs &amp; Covers December 2021'!C36</f>
        <v>197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9"/>
  <sheetViews>
    <sheetView tabSelected="1" zoomScale="62" zoomScaleNormal="62" workbookViewId="0">
      <pane xSplit="4" ySplit="10" topLeftCell="AD23" activePane="bottomRight" state="frozen"/>
      <selection pane="topRight" activeCell="E1" sqref="E1"/>
      <selection pane="bottomLeft" activeCell="A11" sqref="A11"/>
      <selection pane="bottomRight" activeCell="AP33" sqref="AP33"/>
    </sheetView>
  </sheetViews>
  <sheetFormatPr defaultRowHeight="15.5" x14ac:dyDescent="0.35"/>
  <cols>
    <col min="1" max="1" width="3.7265625" style="15" customWidth="1"/>
    <col min="2" max="2" width="8.7265625" style="15" customWidth="1"/>
    <col min="3" max="3" width="8.7265625" style="4" customWidth="1"/>
    <col min="4" max="4" width="14.453125" bestFit="1" customWidth="1"/>
    <col min="5" max="5" width="14.7265625" style="4" customWidth="1"/>
    <col min="6" max="6" width="17.7265625" style="4" customWidth="1"/>
    <col min="7" max="7" width="14.81640625" customWidth="1"/>
    <col min="8" max="8" width="17.1796875" style="4" customWidth="1"/>
    <col min="9" max="9" width="17" customWidth="1"/>
    <col min="10" max="10" width="14" customWidth="1"/>
    <col min="11" max="11" width="17.453125" customWidth="1"/>
    <col min="12" max="12" width="14.1796875" style="4" customWidth="1"/>
    <col min="13" max="13" width="18.26953125" style="62" bestFit="1" customWidth="1"/>
    <col min="14" max="14" width="20.453125" style="66" customWidth="1"/>
    <col min="15" max="15" width="18.81640625" customWidth="1"/>
    <col min="16" max="16" width="15.1796875" style="66" customWidth="1"/>
    <col min="17" max="17" width="19.7265625" customWidth="1"/>
    <col min="18" max="18" width="18.1796875" style="87" customWidth="1"/>
    <col min="19" max="19" width="24.26953125" customWidth="1"/>
    <col min="20" max="20" width="21.1796875" bestFit="1" customWidth="1"/>
    <col min="21" max="21" width="18.81640625" customWidth="1"/>
    <col min="22" max="22" width="19.7265625" customWidth="1"/>
    <col min="23" max="24" width="21.1796875" bestFit="1" customWidth="1"/>
    <col min="25" max="25" width="19.7265625" bestFit="1" customWidth="1"/>
    <col min="26" max="26" width="21.26953125" bestFit="1" customWidth="1"/>
    <col min="27" max="27" width="17.81640625" bestFit="1" customWidth="1"/>
    <col min="28" max="28" width="9.81640625" customWidth="1"/>
    <col min="29" max="29" width="15.81640625" bestFit="1" customWidth="1"/>
    <col min="30" max="30" width="12.81640625" style="4" bestFit="1" customWidth="1"/>
    <col min="31" max="31" width="14.81640625" customWidth="1"/>
    <col min="32" max="32" width="12.26953125" bestFit="1" customWidth="1"/>
    <col min="33" max="33" width="11.453125" bestFit="1" customWidth="1"/>
    <col min="34" max="34" width="19" style="4" customWidth="1"/>
    <col min="35" max="35" width="10.54296875" customWidth="1"/>
    <col min="36" max="36" width="13.26953125" style="87" bestFit="1" customWidth="1"/>
    <col min="37" max="37" width="20.7265625" bestFit="1" customWidth="1"/>
    <col min="38" max="38" width="12.1796875" style="39" customWidth="1"/>
    <col min="39" max="39" width="2.26953125" style="15" customWidth="1"/>
  </cols>
  <sheetData>
    <row r="5" spans="1:39" x14ac:dyDescent="0.35">
      <c r="N5" s="161"/>
      <c r="X5" s="162"/>
    </row>
    <row r="6" spans="1:39" s="25" customFormat="1" ht="19" thickBot="1" x14ac:dyDescent="0.5">
      <c r="B6" s="25" t="s">
        <v>28</v>
      </c>
      <c r="C6" s="34"/>
      <c r="E6" s="34"/>
      <c r="F6" s="34"/>
      <c r="H6" s="34"/>
      <c r="L6" s="34"/>
      <c r="M6" s="57"/>
      <c r="N6" s="63"/>
      <c r="P6" s="63"/>
      <c r="R6" s="83"/>
      <c r="AD6" s="34"/>
      <c r="AH6" s="34"/>
      <c r="AJ6" s="83"/>
      <c r="AL6" s="36"/>
    </row>
    <row r="7" spans="1:39" s="12" customFormat="1" ht="16" thickBot="1" x14ac:dyDescent="0.4">
      <c r="A7" s="30"/>
      <c r="B7" s="230" t="s">
        <v>55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  <c r="AL7" s="232"/>
      <c r="AM7" s="30"/>
    </row>
    <row r="8" spans="1:39" s="8" customFormat="1" ht="15.75" customHeight="1" thickBot="1" x14ac:dyDescent="0.4">
      <c r="A8" s="26"/>
      <c r="B8" s="233" t="s">
        <v>1</v>
      </c>
      <c r="C8" s="236" t="s">
        <v>2</v>
      </c>
      <c r="D8" s="239" t="s">
        <v>3</v>
      </c>
      <c r="E8" s="242" t="s">
        <v>34</v>
      </c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3"/>
      <c r="V8" s="244" t="s">
        <v>19</v>
      </c>
      <c r="W8" s="245"/>
      <c r="X8" s="245"/>
      <c r="Y8" s="245"/>
      <c r="Z8" s="245"/>
      <c r="AA8" s="245"/>
      <c r="AB8" s="246"/>
      <c r="AC8" s="247" t="s">
        <v>24</v>
      </c>
      <c r="AD8" s="247"/>
      <c r="AE8" s="247"/>
      <c r="AF8" s="247"/>
      <c r="AG8" s="247"/>
      <c r="AH8" s="247"/>
      <c r="AI8" s="247"/>
      <c r="AJ8" s="247"/>
      <c r="AK8" s="247"/>
      <c r="AL8" s="248"/>
      <c r="AM8" s="28"/>
    </row>
    <row r="9" spans="1:39" ht="15" customHeight="1" thickBot="1" x14ac:dyDescent="0.4">
      <c r="A9" s="29"/>
      <c r="B9" s="234"/>
      <c r="C9" s="237"/>
      <c r="D9" s="240"/>
      <c r="E9" s="249" t="s">
        <v>33</v>
      </c>
      <c r="F9" s="250"/>
      <c r="G9" s="250"/>
      <c r="H9" s="250"/>
      <c r="I9" s="251"/>
      <c r="J9" s="252" t="s">
        <v>5</v>
      </c>
      <c r="K9" s="252"/>
      <c r="L9" s="252"/>
      <c r="M9" s="252"/>
      <c r="N9" s="253"/>
      <c r="O9" s="239" t="s">
        <v>12</v>
      </c>
      <c r="P9" s="254" t="s">
        <v>32</v>
      </c>
      <c r="Q9" s="256" t="s">
        <v>51</v>
      </c>
      <c r="R9" s="261" t="s">
        <v>21</v>
      </c>
      <c r="S9" s="263" t="s">
        <v>13</v>
      </c>
      <c r="T9" s="226" t="s">
        <v>18</v>
      </c>
      <c r="U9" s="227"/>
      <c r="V9" s="51"/>
      <c r="W9" s="51" t="s">
        <v>4</v>
      </c>
      <c r="X9" s="51"/>
      <c r="Y9" s="52"/>
      <c r="Z9" s="204"/>
      <c r="AA9" s="228" t="s">
        <v>27</v>
      </c>
      <c r="AB9" s="229"/>
      <c r="AC9" s="247" t="s">
        <v>22</v>
      </c>
      <c r="AD9" s="247"/>
      <c r="AE9" s="247"/>
      <c r="AF9" s="247"/>
      <c r="AG9" s="247"/>
      <c r="AH9" s="247"/>
      <c r="AI9" s="248"/>
      <c r="AJ9" s="258" t="s">
        <v>20</v>
      </c>
      <c r="AK9" s="259"/>
      <c r="AL9" s="260"/>
      <c r="AM9" s="29"/>
    </row>
    <row r="10" spans="1:39" ht="61.5" customHeight="1" thickBot="1" x14ac:dyDescent="0.4">
      <c r="A10" s="27"/>
      <c r="B10" s="235"/>
      <c r="C10" s="238"/>
      <c r="D10" s="241"/>
      <c r="E10" s="94" t="s">
        <v>35</v>
      </c>
      <c r="F10" s="81" t="s">
        <v>6</v>
      </c>
      <c r="G10" s="121" t="s">
        <v>36</v>
      </c>
      <c r="H10" s="18" t="s">
        <v>6</v>
      </c>
      <c r="I10" s="95" t="s">
        <v>14</v>
      </c>
      <c r="J10" s="94" t="s">
        <v>35</v>
      </c>
      <c r="K10" s="82" t="s">
        <v>6</v>
      </c>
      <c r="L10" s="121" t="s">
        <v>36</v>
      </c>
      <c r="M10" s="58" t="s">
        <v>6</v>
      </c>
      <c r="N10" s="90" t="s">
        <v>15</v>
      </c>
      <c r="O10" s="241"/>
      <c r="P10" s="255"/>
      <c r="Q10" s="257"/>
      <c r="R10" s="262"/>
      <c r="S10" s="264"/>
      <c r="T10" s="164" t="s">
        <v>16</v>
      </c>
      <c r="U10" s="23" t="s">
        <v>17</v>
      </c>
      <c r="V10" s="165" t="s">
        <v>8</v>
      </c>
      <c r="W10" s="53" t="s">
        <v>0</v>
      </c>
      <c r="X10" s="53" t="s">
        <v>26</v>
      </c>
      <c r="Y10" s="22" t="s">
        <v>10</v>
      </c>
      <c r="Z10" s="22" t="s">
        <v>30</v>
      </c>
      <c r="AA10" s="22" t="s">
        <v>16</v>
      </c>
      <c r="AB10" s="13" t="s">
        <v>17</v>
      </c>
      <c r="AC10" s="115" t="s">
        <v>7</v>
      </c>
      <c r="AD10" s="46" t="s">
        <v>31</v>
      </c>
      <c r="AE10" s="45" t="s">
        <v>11</v>
      </c>
      <c r="AF10" s="45" t="s">
        <v>9</v>
      </c>
      <c r="AG10" s="45" t="s">
        <v>25</v>
      </c>
      <c r="AH10" s="46" t="s">
        <v>16</v>
      </c>
      <c r="AI10" s="47" t="s">
        <v>17</v>
      </c>
      <c r="AJ10" s="128" t="s">
        <v>23</v>
      </c>
      <c r="AK10" s="45" t="s">
        <v>16</v>
      </c>
      <c r="AL10" s="49" t="s">
        <v>17</v>
      </c>
      <c r="AM10" s="27"/>
    </row>
    <row r="11" spans="1:39" x14ac:dyDescent="0.35">
      <c r="A11" s="27"/>
      <c r="B11" s="55"/>
      <c r="C11" s="96"/>
      <c r="D11" s="166"/>
      <c r="E11" s="167"/>
      <c r="F11" s="88"/>
      <c r="G11" s="19"/>
      <c r="H11" s="20"/>
      <c r="I11" s="97"/>
      <c r="J11" s="89"/>
      <c r="K11" s="19"/>
      <c r="L11" s="20"/>
      <c r="M11" s="59"/>
      <c r="N11" s="91"/>
      <c r="O11" s="54"/>
      <c r="P11" s="101"/>
      <c r="Q11" s="168"/>
      <c r="R11" s="103"/>
      <c r="S11" s="169"/>
      <c r="T11" s="169"/>
      <c r="U11" s="203"/>
      <c r="V11" s="89"/>
      <c r="W11" s="19"/>
      <c r="X11" s="19"/>
      <c r="Y11" s="21"/>
      <c r="Z11" s="21"/>
      <c r="AA11" s="21"/>
      <c r="AB11" s="97"/>
      <c r="AC11" s="116"/>
      <c r="AD11" s="43"/>
      <c r="AE11" s="40"/>
      <c r="AF11" s="40"/>
      <c r="AG11" s="40"/>
      <c r="AH11" s="43"/>
      <c r="AI11" s="44"/>
      <c r="AJ11" s="129"/>
      <c r="AK11" s="40"/>
      <c r="AL11" s="48"/>
      <c r="AM11" s="27"/>
    </row>
    <row r="12" spans="1:39" x14ac:dyDescent="0.35">
      <c r="A12" s="33"/>
      <c r="B12" s="56">
        <v>1</v>
      </c>
      <c r="C12" s="137">
        <v>15</v>
      </c>
      <c r="D12" s="138">
        <v>97</v>
      </c>
      <c r="E12" s="99">
        <v>11000</v>
      </c>
      <c r="F12" s="3">
        <v>11393580</v>
      </c>
      <c r="G12" s="35">
        <v>2200.0000000000455</v>
      </c>
      <c r="H12" s="3">
        <v>3418074.0000000708</v>
      </c>
      <c r="I12" s="98">
        <f>F12+H12</f>
        <v>14811654.000000071</v>
      </c>
      <c r="J12" s="99">
        <v>459.99999999997954</v>
      </c>
      <c r="K12" s="3">
        <v>476458.7999999788</v>
      </c>
      <c r="L12" s="170">
        <v>400.00000000000568</v>
      </c>
      <c r="M12" s="171">
        <v>621468.00000000885</v>
      </c>
      <c r="N12" s="92">
        <f>+K12+M12</f>
        <v>1097926.7999999877</v>
      </c>
      <c r="O12" s="100">
        <f>N12+I12</f>
        <v>15909580.800000058</v>
      </c>
      <c r="P12" s="102">
        <f>L12+J12+G12+E12</f>
        <v>14060.000000000031</v>
      </c>
      <c r="Q12" s="123"/>
      <c r="R12" s="185"/>
      <c r="S12" s="197"/>
      <c r="T12" s="194"/>
      <c r="U12" s="193">
        <v>0</v>
      </c>
      <c r="V12" s="172">
        <f>Y12+W12</f>
        <v>786.76</v>
      </c>
      <c r="W12" s="3">
        <v>152.19</v>
      </c>
      <c r="X12" s="3">
        <v>2734930.395</v>
      </c>
      <c r="Y12" s="31">
        <v>634.57000000000005</v>
      </c>
      <c r="Z12" s="31">
        <v>2693863.8726000004</v>
      </c>
      <c r="AA12" s="31">
        <f t="shared" ref="AA12:AA39" si="0">Z12+X12</f>
        <v>5428794.2675999999</v>
      </c>
      <c r="AB12" s="117">
        <f t="shared" ref="AB12:AB41" si="1">AA12/$AL$47</f>
        <v>418.36903625051923</v>
      </c>
      <c r="AC12" s="122">
        <v>0</v>
      </c>
      <c r="AD12" s="3">
        <v>0</v>
      </c>
      <c r="AE12" s="3">
        <v>0</v>
      </c>
      <c r="AF12" s="3">
        <v>0</v>
      </c>
      <c r="AG12" s="3">
        <f t="shared" ref="AG12:AG31" si="2">+AE12+AF12</f>
        <v>0</v>
      </c>
      <c r="AH12" s="3">
        <v>0</v>
      </c>
      <c r="AI12" s="41">
        <f t="shared" ref="AI12:AI42" si="3">AH12/$AL$47</f>
        <v>0</v>
      </c>
      <c r="AJ12" s="130">
        <v>340.79000000000087</v>
      </c>
      <c r="AK12" s="3">
        <v>4089480.0000000102</v>
      </c>
      <c r="AL12" s="37">
        <f t="shared" ref="AL12:AL42" si="4">AK12/$AL$47</f>
        <v>315.15502743892887</v>
      </c>
      <c r="AM12" s="7"/>
    </row>
    <row r="13" spans="1:39" x14ac:dyDescent="0.35">
      <c r="A13" s="33"/>
      <c r="B13" s="56">
        <v>2</v>
      </c>
      <c r="C13" s="137">
        <v>18</v>
      </c>
      <c r="D13" s="138">
        <v>135</v>
      </c>
      <c r="E13" s="99">
        <v>11559.999999999491</v>
      </c>
      <c r="F13" s="3">
        <v>11973616.799999472</v>
      </c>
      <c r="G13" s="35">
        <v>2519.9999999999818</v>
      </c>
      <c r="H13" s="3">
        <v>3915248.399999972</v>
      </c>
      <c r="I13" s="98">
        <f t="shared" ref="I13:I42" si="5">F13+H13</f>
        <v>15888865.199999444</v>
      </c>
      <c r="J13" s="99">
        <v>1399.9999999999773</v>
      </c>
      <c r="K13" s="3">
        <v>1450091.9999999765</v>
      </c>
      <c r="L13" s="170">
        <v>420.00000000001592</v>
      </c>
      <c r="M13" s="171">
        <v>652541.4000000247</v>
      </c>
      <c r="N13" s="92">
        <f t="shared" ref="N13:N41" si="6">+K13+M13</f>
        <v>2102633.4000000013</v>
      </c>
      <c r="O13" s="100">
        <f t="shared" ref="O13:O39" si="7">N13+I13</f>
        <v>17991498.599999446</v>
      </c>
      <c r="P13" s="102">
        <f t="shared" ref="P13:P39" si="8">L13+J13+G13+E13</f>
        <v>15899.999999999465</v>
      </c>
      <c r="Q13" s="175"/>
      <c r="R13" s="186"/>
      <c r="S13" s="197"/>
      <c r="T13" s="194"/>
      <c r="U13" s="193">
        <v>0</v>
      </c>
      <c r="V13" s="172">
        <f t="shared" ref="V13:V42" si="9">Y13+W13</f>
        <v>864.19</v>
      </c>
      <c r="W13" s="3">
        <v>191.35</v>
      </c>
      <c r="X13" s="3">
        <v>3438655.1749999998</v>
      </c>
      <c r="Y13" s="31">
        <v>672.84</v>
      </c>
      <c r="Z13" s="31">
        <v>2856326.9112000004</v>
      </c>
      <c r="AA13" s="31">
        <f t="shared" si="0"/>
        <v>6294982.0862000007</v>
      </c>
      <c r="AB13" s="117">
        <f t="shared" si="1"/>
        <v>485.12164189675013</v>
      </c>
      <c r="AC13" s="122">
        <v>0</v>
      </c>
      <c r="AD13" s="3">
        <v>0</v>
      </c>
      <c r="AE13" s="3">
        <v>0</v>
      </c>
      <c r="AF13" s="3">
        <v>0</v>
      </c>
      <c r="AG13" s="3">
        <f t="shared" si="2"/>
        <v>0</v>
      </c>
      <c r="AH13" s="3">
        <v>581839.16220016847</v>
      </c>
      <c r="AI13" s="41">
        <f t="shared" si="3"/>
        <v>44.839328503437358</v>
      </c>
      <c r="AJ13" s="130">
        <v>220.08999999995285</v>
      </c>
      <c r="AK13" s="3">
        <v>2641079.9999994342</v>
      </c>
      <c r="AL13" s="37">
        <f t="shared" si="4"/>
        <v>203.53434663287894</v>
      </c>
      <c r="AM13" s="7"/>
    </row>
    <row r="14" spans="1:39" x14ac:dyDescent="0.35">
      <c r="A14" s="33"/>
      <c r="B14" s="56">
        <v>3</v>
      </c>
      <c r="C14" s="137">
        <v>14</v>
      </c>
      <c r="D14" s="138">
        <v>162</v>
      </c>
      <c r="E14" s="99">
        <v>11520.000000000437</v>
      </c>
      <c r="F14" s="3">
        <v>11932185.600000452</v>
      </c>
      <c r="G14" s="35">
        <v>2159.9999999999682</v>
      </c>
      <c r="H14" s="3">
        <v>3355927.1999999508</v>
      </c>
      <c r="I14" s="98">
        <f t="shared" si="5"/>
        <v>15288112.800000403</v>
      </c>
      <c r="J14" s="99">
        <v>1600.0000000000227</v>
      </c>
      <c r="K14" s="3">
        <v>1657248.0000000235</v>
      </c>
      <c r="L14" s="170">
        <v>479.99999999998977</v>
      </c>
      <c r="M14" s="171">
        <v>745761.59999998414</v>
      </c>
      <c r="N14" s="92">
        <f t="shared" si="6"/>
        <v>2403009.6000000075</v>
      </c>
      <c r="O14" s="100">
        <f t="shared" si="7"/>
        <v>17691122.400000412</v>
      </c>
      <c r="P14" s="102">
        <f t="shared" si="8"/>
        <v>15760.000000000418</v>
      </c>
      <c r="Q14" s="175"/>
      <c r="R14" s="186"/>
      <c r="S14" s="197"/>
      <c r="T14" s="194"/>
      <c r="U14" s="193">
        <v>0</v>
      </c>
      <c r="V14" s="172">
        <f t="shared" si="9"/>
        <v>859.74</v>
      </c>
      <c r="W14" s="3">
        <v>190.46</v>
      </c>
      <c r="X14" s="3">
        <v>3422661.43</v>
      </c>
      <c r="Y14" s="31">
        <v>669.28</v>
      </c>
      <c r="Z14" s="31">
        <v>2841214.0704000001</v>
      </c>
      <c r="AA14" s="31">
        <f t="shared" si="0"/>
        <v>6263875.5004000003</v>
      </c>
      <c r="AB14" s="117">
        <f t="shared" si="1"/>
        <v>482.72441855751617</v>
      </c>
      <c r="AC14" s="122">
        <v>0</v>
      </c>
      <c r="AD14" s="3">
        <v>0</v>
      </c>
      <c r="AE14" s="3">
        <v>0</v>
      </c>
      <c r="AF14" s="3">
        <v>12</v>
      </c>
      <c r="AG14" s="3">
        <f t="shared" si="2"/>
        <v>12</v>
      </c>
      <c r="AH14" s="3">
        <v>163000</v>
      </c>
      <c r="AI14" s="41">
        <f t="shared" si="3"/>
        <v>12.561565155605425</v>
      </c>
      <c r="AJ14" s="130">
        <v>103.4800000000032</v>
      </c>
      <c r="AK14" s="3">
        <v>1241760.0000000384</v>
      </c>
      <c r="AL14" s="37">
        <f t="shared" si="4"/>
        <v>95.696007040644631</v>
      </c>
      <c r="AM14" s="7"/>
    </row>
    <row r="15" spans="1:39" x14ac:dyDescent="0.35">
      <c r="A15" s="33"/>
      <c r="B15" s="56">
        <v>4</v>
      </c>
      <c r="C15" s="137">
        <v>9</v>
      </c>
      <c r="D15" s="138">
        <v>119</v>
      </c>
      <c r="E15" s="99">
        <v>10920.000000000073</v>
      </c>
      <c r="F15" s="3">
        <v>11310717.600000076</v>
      </c>
      <c r="G15" s="35">
        <v>2080.0000000000409</v>
      </c>
      <c r="H15" s="3">
        <v>3231633.6000000639</v>
      </c>
      <c r="I15" s="98">
        <f t="shared" si="5"/>
        <v>14542351.200000141</v>
      </c>
      <c r="J15" s="99">
        <v>1500</v>
      </c>
      <c r="K15" s="3">
        <v>1553670</v>
      </c>
      <c r="L15" s="170">
        <v>340.00000000000341</v>
      </c>
      <c r="M15" s="171">
        <v>528247.80000000529</v>
      </c>
      <c r="N15" s="92">
        <f t="shared" si="6"/>
        <v>2081917.8000000054</v>
      </c>
      <c r="O15" s="100">
        <f t="shared" si="7"/>
        <v>16624269.000000145</v>
      </c>
      <c r="P15" s="102">
        <f t="shared" si="8"/>
        <v>14840.000000000116</v>
      </c>
      <c r="Q15" s="175"/>
      <c r="R15" s="186"/>
      <c r="S15" s="197"/>
      <c r="T15" s="194"/>
      <c r="U15" s="193">
        <v>0</v>
      </c>
      <c r="V15" s="172">
        <f t="shared" si="9"/>
        <v>863.30000000000007</v>
      </c>
      <c r="W15" s="3">
        <v>192.24</v>
      </c>
      <c r="X15" s="3">
        <v>3454648.9200000004</v>
      </c>
      <c r="Y15" s="31">
        <v>671.06000000000006</v>
      </c>
      <c r="Z15" s="31">
        <v>2848770.4908000003</v>
      </c>
      <c r="AA15" s="31">
        <f t="shared" si="0"/>
        <v>6303419.4108000007</v>
      </c>
      <c r="AB15" s="117">
        <f t="shared" si="1"/>
        <v>485.77186277222188</v>
      </c>
      <c r="AC15" s="122">
        <v>0</v>
      </c>
      <c r="AD15" s="3">
        <v>0</v>
      </c>
      <c r="AE15" s="3">
        <v>0</v>
      </c>
      <c r="AF15" s="3">
        <v>0</v>
      </c>
      <c r="AG15" s="3">
        <f t="shared" si="2"/>
        <v>0</v>
      </c>
      <c r="AH15" s="3">
        <v>0</v>
      </c>
      <c r="AI15" s="41">
        <f t="shared" si="3"/>
        <v>0</v>
      </c>
      <c r="AJ15" s="130">
        <v>391.22999999999593</v>
      </c>
      <c r="AK15" s="3">
        <v>4694759.9999999516</v>
      </c>
      <c r="AL15" s="37">
        <f t="shared" si="4"/>
        <v>361.80081981551848</v>
      </c>
      <c r="AM15" s="7"/>
    </row>
    <row r="16" spans="1:39" x14ac:dyDescent="0.35">
      <c r="A16" s="33"/>
      <c r="B16" s="56">
        <v>5</v>
      </c>
      <c r="C16" s="137">
        <v>4</v>
      </c>
      <c r="D16" s="138">
        <v>136</v>
      </c>
      <c r="E16" s="99">
        <v>10239.999999999782</v>
      </c>
      <c r="F16" s="3">
        <v>10606387.199999774</v>
      </c>
      <c r="G16" s="35">
        <v>2039.9999999999636</v>
      </c>
      <c r="H16" s="3">
        <v>3169486.7999999435</v>
      </c>
      <c r="I16" s="98">
        <f t="shared" si="5"/>
        <v>13775873.999999717</v>
      </c>
      <c r="J16" s="99">
        <v>1540.0000000000205</v>
      </c>
      <c r="K16" s="3">
        <v>1595101.2000000211</v>
      </c>
      <c r="L16" s="170">
        <v>459.99999999997954</v>
      </c>
      <c r="M16" s="171">
        <v>714688.19999996829</v>
      </c>
      <c r="N16" s="92">
        <f t="shared" si="6"/>
        <v>2309789.3999999892</v>
      </c>
      <c r="O16" s="100">
        <f t="shared" si="7"/>
        <v>16085663.399999706</v>
      </c>
      <c r="P16" s="102">
        <f t="shared" si="8"/>
        <v>14279.999999999745</v>
      </c>
      <c r="Q16" s="175"/>
      <c r="R16" s="186"/>
      <c r="S16" s="197"/>
      <c r="T16" s="194"/>
      <c r="U16" s="193">
        <v>0</v>
      </c>
      <c r="V16" s="172">
        <f t="shared" si="9"/>
        <v>864.19</v>
      </c>
      <c r="W16" s="3">
        <v>192.24</v>
      </c>
      <c r="X16" s="3">
        <v>3454648.9200000004</v>
      </c>
      <c r="Y16" s="31">
        <v>671.95</v>
      </c>
      <c r="Z16" s="31">
        <v>2852548.7010000004</v>
      </c>
      <c r="AA16" s="31">
        <f t="shared" si="0"/>
        <v>6307197.6210000012</v>
      </c>
      <c r="AB16" s="117">
        <f t="shared" si="1"/>
        <v>486.0630298495156</v>
      </c>
      <c r="AC16" s="122">
        <v>0</v>
      </c>
      <c r="AD16" s="3">
        <v>0</v>
      </c>
      <c r="AE16" s="3">
        <v>0</v>
      </c>
      <c r="AF16" s="3">
        <v>0</v>
      </c>
      <c r="AG16" s="3">
        <f t="shared" si="2"/>
        <v>0</v>
      </c>
      <c r="AH16" s="3">
        <v>0</v>
      </c>
      <c r="AI16" s="41">
        <f t="shared" si="3"/>
        <v>0</v>
      </c>
      <c r="AJ16" s="130">
        <v>101.25</v>
      </c>
      <c r="AK16" s="3">
        <v>1215000</v>
      </c>
      <c r="AL16" s="37">
        <f t="shared" si="4"/>
        <v>93.63375254024902</v>
      </c>
      <c r="AM16" s="7"/>
    </row>
    <row r="17" spans="1:39" x14ac:dyDescent="0.35">
      <c r="A17" s="33"/>
      <c r="B17" s="56">
        <v>6</v>
      </c>
      <c r="C17" s="137">
        <v>12</v>
      </c>
      <c r="D17" s="138">
        <v>53</v>
      </c>
      <c r="E17" s="99">
        <v>9880.0000000001091</v>
      </c>
      <c r="F17" s="3">
        <v>10233506.400000112</v>
      </c>
      <c r="G17" s="35">
        <v>2120.0000000000045</v>
      </c>
      <c r="H17" s="3">
        <v>3293780.4000000074</v>
      </c>
      <c r="I17" s="98">
        <f t="shared" si="5"/>
        <v>13527286.80000012</v>
      </c>
      <c r="J17" s="99">
        <v>1439.9999999999977</v>
      </c>
      <c r="K17" s="3">
        <v>1491523.1999999976</v>
      </c>
      <c r="L17" s="170">
        <v>360.00000000001364</v>
      </c>
      <c r="M17" s="171">
        <v>559321.20000002126</v>
      </c>
      <c r="N17" s="92">
        <f t="shared" si="6"/>
        <v>2050844.400000019</v>
      </c>
      <c r="O17" s="100">
        <f t="shared" si="7"/>
        <v>15578131.200000139</v>
      </c>
      <c r="P17" s="102">
        <f t="shared" si="8"/>
        <v>13800.000000000126</v>
      </c>
      <c r="Q17" s="175"/>
      <c r="R17" s="186"/>
      <c r="S17" s="197"/>
      <c r="T17" s="194"/>
      <c r="U17" s="193">
        <v>0</v>
      </c>
      <c r="V17" s="172">
        <f t="shared" si="9"/>
        <v>793.88000000000011</v>
      </c>
      <c r="W17" s="3">
        <v>137.06</v>
      </c>
      <c r="X17" s="3">
        <v>2463036.73</v>
      </c>
      <c r="Y17" s="31">
        <v>656.82</v>
      </c>
      <c r="Z17" s="31">
        <v>2788319.1276000002</v>
      </c>
      <c r="AA17" s="31">
        <f t="shared" si="0"/>
        <v>5251355.8575999998</v>
      </c>
      <c r="AB17" s="117">
        <f t="shared" si="1"/>
        <v>404.69477767185646</v>
      </c>
      <c r="AC17" s="122">
        <v>0</v>
      </c>
      <c r="AD17" s="3">
        <v>0</v>
      </c>
      <c r="AE17" s="3">
        <v>0</v>
      </c>
      <c r="AF17" s="3">
        <v>0</v>
      </c>
      <c r="AG17" s="3">
        <f t="shared" si="2"/>
        <v>0</v>
      </c>
      <c r="AH17" s="3">
        <v>0</v>
      </c>
      <c r="AI17" s="41">
        <f t="shared" si="3"/>
        <v>0</v>
      </c>
      <c r="AJ17" s="130">
        <v>257.04000000000087</v>
      </c>
      <c r="AK17" s="3">
        <v>3084480.0000000102</v>
      </c>
      <c r="AL17" s="37">
        <f t="shared" si="4"/>
        <v>237.70488644884631</v>
      </c>
      <c r="AM17" s="7"/>
    </row>
    <row r="18" spans="1:39" x14ac:dyDescent="0.35">
      <c r="A18" s="33"/>
      <c r="B18" s="56">
        <v>7</v>
      </c>
      <c r="C18" s="137">
        <v>10</v>
      </c>
      <c r="D18" s="138">
        <v>79</v>
      </c>
      <c r="E18" s="99">
        <v>9920.0000000000728</v>
      </c>
      <c r="F18" s="3">
        <v>10274937.600000076</v>
      </c>
      <c r="G18" s="35">
        <v>2080.0000000000409</v>
      </c>
      <c r="H18" s="3">
        <v>3231633.6000000639</v>
      </c>
      <c r="I18" s="98">
        <f t="shared" si="5"/>
        <v>13506571.200000141</v>
      </c>
      <c r="J18" s="99">
        <v>1479.9999999999613</v>
      </c>
      <c r="K18" s="3">
        <v>1532954.3999999599</v>
      </c>
      <c r="L18" s="170">
        <v>379.99999999999545</v>
      </c>
      <c r="M18" s="171">
        <v>590394.59999999299</v>
      </c>
      <c r="N18" s="92">
        <f t="shared" si="6"/>
        <v>2123348.999999953</v>
      </c>
      <c r="O18" s="100">
        <f t="shared" si="7"/>
        <v>15629920.200000094</v>
      </c>
      <c r="P18" s="102">
        <f t="shared" si="8"/>
        <v>13860.000000000071</v>
      </c>
      <c r="Q18" s="175"/>
      <c r="R18" s="186"/>
      <c r="S18" s="197"/>
      <c r="T18" s="194"/>
      <c r="U18" s="193">
        <v>0</v>
      </c>
      <c r="V18" s="172">
        <f t="shared" si="9"/>
        <v>836.6</v>
      </c>
      <c r="W18" s="3">
        <v>164.65</v>
      </c>
      <c r="X18" s="3">
        <v>2958842.8250000002</v>
      </c>
      <c r="Y18" s="31">
        <v>671.95</v>
      </c>
      <c r="Z18" s="31">
        <v>2852548.7010000004</v>
      </c>
      <c r="AA18" s="31">
        <f t="shared" si="0"/>
        <v>5811391.5260000005</v>
      </c>
      <c r="AB18" s="117">
        <f t="shared" si="1"/>
        <v>447.85382391768246</v>
      </c>
      <c r="AC18" s="122">
        <v>0</v>
      </c>
      <c r="AD18" s="3">
        <v>0</v>
      </c>
      <c r="AE18" s="3">
        <v>500</v>
      </c>
      <c r="AF18" s="3">
        <v>0</v>
      </c>
      <c r="AG18" s="3">
        <f t="shared" si="2"/>
        <v>500</v>
      </c>
      <c r="AH18" s="3">
        <v>8450000</v>
      </c>
      <c r="AI18" s="41">
        <f t="shared" si="3"/>
        <v>651.19770285193772</v>
      </c>
      <c r="AJ18" s="130">
        <v>104.77999999999884</v>
      </c>
      <c r="AK18" s="3">
        <v>1257359.999999986</v>
      </c>
      <c r="AL18" s="37">
        <f t="shared" si="4"/>
        <v>96.898218184367252</v>
      </c>
      <c r="AM18" s="7"/>
    </row>
    <row r="19" spans="1:39" x14ac:dyDescent="0.35">
      <c r="A19" s="33"/>
      <c r="B19" s="56">
        <v>8</v>
      </c>
      <c r="C19" s="137">
        <v>12</v>
      </c>
      <c r="D19" s="138">
        <v>77</v>
      </c>
      <c r="E19" s="99">
        <v>11039.999999999964</v>
      </c>
      <c r="F19" s="3">
        <v>11435011.199999962</v>
      </c>
      <c r="G19" s="35">
        <v>2279.9999999999727</v>
      </c>
      <c r="H19" s="3">
        <v>3542367.5999999577</v>
      </c>
      <c r="I19" s="98">
        <f t="shared" si="5"/>
        <v>14977378.799999919</v>
      </c>
      <c r="J19" s="99">
        <v>1300.0000000000114</v>
      </c>
      <c r="K19" s="3">
        <v>1346514.0000000116</v>
      </c>
      <c r="L19" s="170">
        <v>420.00000000001592</v>
      </c>
      <c r="M19" s="171">
        <v>652541.4000000247</v>
      </c>
      <c r="N19" s="92">
        <f t="shared" si="6"/>
        <v>1999055.4000000362</v>
      </c>
      <c r="O19" s="100">
        <f t="shared" si="7"/>
        <v>16976434.199999955</v>
      </c>
      <c r="P19" s="102">
        <f t="shared" si="8"/>
        <v>15039.999999999964</v>
      </c>
      <c r="Q19" s="175"/>
      <c r="R19" s="186"/>
      <c r="S19" s="197"/>
      <c r="T19" s="194"/>
      <c r="U19" s="193">
        <v>0</v>
      </c>
      <c r="V19" s="172">
        <f t="shared" si="9"/>
        <v>766.29000000000008</v>
      </c>
      <c r="W19" s="3">
        <v>110.36</v>
      </c>
      <c r="X19" s="3">
        <v>1983224.38</v>
      </c>
      <c r="Y19" s="31">
        <v>655.93000000000006</v>
      </c>
      <c r="Z19" s="31">
        <v>2784540.9174000006</v>
      </c>
      <c r="AA19" s="31">
        <f t="shared" si="0"/>
        <v>4767765.2974000005</v>
      </c>
      <c r="AB19" s="117">
        <f t="shared" si="1"/>
        <v>367.42695969278884</v>
      </c>
      <c r="AC19" s="122">
        <v>0</v>
      </c>
      <c r="AD19" s="3">
        <v>0</v>
      </c>
      <c r="AE19" s="3">
        <v>50</v>
      </c>
      <c r="AF19" s="3">
        <v>12</v>
      </c>
      <c r="AG19" s="3">
        <f t="shared" si="2"/>
        <v>62</v>
      </c>
      <c r="AH19" s="3">
        <v>1008000</v>
      </c>
      <c r="AI19" s="41">
        <f t="shared" si="3"/>
        <v>77.681335440799188</v>
      </c>
      <c r="AJ19" s="130">
        <v>339.88000000000466</v>
      </c>
      <c r="AK19" s="3">
        <v>4078560.0000000559</v>
      </c>
      <c r="AL19" s="37">
        <f t="shared" si="4"/>
        <v>314.31347963832371</v>
      </c>
      <c r="AM19" s="7"/>
    </row>
    <row r="20" spans="1:39" x14ac:dyDescent="0.35">
      <c r="A20" s="33"/>
      <c r="B20" s="56">
        <v>9</v>
      </c>
      <c r="C20" s="137">
        <v>13</v>
      </c>
      <c r="D20" s="138">
        <v>101</v>
      </c>
      <c r="E20" s="99">
        <v>11599.999999999454</v>
      </c>
      <c r="F20" s="3">
        <v>12015047.999999434</v>
      </c>
      <c r="G20" s="35">
        <v>2399.9999999999773</v>
      </c>
      <c r="H20" s="3">
        <v>3728807.9999999651</v>
      </c>
      <c r="I20" s="98">
        <f t="shared" si="5"/>
        <v>15743855.999999398</v>
      </c>
      <c r="J20" s="99">
        <v>1540.0000000000205</v>
      </c>
      <c r="K20" s="3">
        <v>1595101.2000000211</v>
      </c>
      <c r="L20" s="170">
        <v>459.99999999997954</v>
      </c>
      <c r="M20" s="171">
        <v>714688.19999996829</v>
      </c>
      <c r="N20" s="92">
        <f t="shared" si="6"/>
        <v>2309789.3999999892</v>
      </c>
      <c r="O20" s="100">
        <f t="shared" si="7"/>
        <v>18053645.399999388</v>
      </c>
      <c r="P20" s="102">
        <f t="shared" si="8"/>
        <v>15999.999999999432</v>
      </c>
      <c r="Q20" s="175"/>
      <c r="R20" s="186"/>
      <c r="S20" s="197"/>
      <c r="T20" s="194"/>
      <c r="U20" s="193">
        <v>0</v>
      </c>
      <c r="V20" s="172">
        <f t="shared" si="9"/>
        <v>737.81</v>
      </c>
      <c r="W20" s="3">
        <v>188.68</v>
      </c>
      <c r="X20" s="3">
        <v>3390673.94</v>
      </c>
      <c r="Y20" s="31">
        <v>549.13</v>
      </c>
      <c r="Z20" s="31">
        <v>2331155.6934000002</v>
      </c>
      <c r="AA20" s="31">
        <f t="shared" si="0"/>
        <v>5721829.6334000006</v>
      </c>
      <c r="AB20" s="117">
        <f t="shared" si="1"/>
        <v>440.95175306274854</v>
      </c>
      <c r="AC20" s="122">
        <v>0</v>
      </c>
      <c r="AD20" s="3">
        <v>0</v>
      </c>
      <c r="AE20" s="3">
        <v>0</v>
      </c>
      <c r="AF20" s="3">
        <v>0</v>
      </c>
      <c r="AG20" s="3">
        <f t="shared" si="2"/>
        <v>0</v>
      </c>
      <c r="AH20" s="3">
        <v>0</v>
      </c>
      <c r="AI20" s="41">
        <f t="shared" si="3"/>
        <v>0</v>
      </c>
      <c r="AJ20" s="130">
        <v>152.69999999999709</v>
      </c>
      <c r="AK20" s="3">
        <v>1832399.9999999651</v>
      </c>
      <c r="AL20" s="37">
        <f t="shared" si="4"/>
        <v>141.21357049773584</v>
      </c>
      <c r="AM20" s="7"/>
    </row>
    <row r="21" spans="1:39" x14ac:dyDescent="0.35">
      <c r="A21" s="33"/>
      <c r="B21" s="56">
        <v>10</v>
      </c>
      <c r="C21" s="137">
        <v>17</v>
      </c>
      <c r="D21" s="138">
        <v>145</v>
      </c>
      <c r="E21" s="99">
        <v>11760.000000000218</v>
      </c>
      <c r="F21" s="3">
        <v>12180772.800000226</v>
      </c>
      <c r="G21" s="35">
        <v>2440.0000000000546</v>
      </c>
      <c r="H21" s="3">
        <v>3790954.800000085</v>
      </c>
      <c r="I21" s="98">
        <f t="shared" si="5"/>
        <v>15971727.600000311</v>
      </c>
      <c r="J21" s="99">
        <v>1519.9999999999818</v>
      </c>
      <c r="K21" s="3">
        <v>1574385.5999999812</v>
      </c>
      <c r="L21" s="170">
        <v>480.00000000001819</v>
      </c>
      <c r="M21" s="171">
        <v>745761.60000002827</v>
      </c>
      <c r="N21" s="92">
        <f t="shared" si="6"/>
        <v>2320147.2000000095</v>
      </c>
      <c r="O21" s="100">
        <f t="shared" si="7"/>
        <v>18291874.800000321</v>
      </c>
      <c r="P21" s="102">
        <f t="shared" si="8"/>
        <v>16200.000000000273</v>
      </c>
      <c r="Q21" s="175"/>
      <c r="R21" s="186"/>
      <c r="S21" s="197"/>
      <c r="T21" s="194"/>
      <c r="U21" s="193">
        <v>0</v>
      </c>
      <c r="V21" s="172">
        <f t="shared" si="9"/>
        <v>868.64</v>
      </c>
      <c r="W21" s="3">
        <v>186.01</v>
      </c>
      <c r="X21" s="3">
        <v>3342692.7049999996</v>
      </c>
      <c r="Y21" s="31">
        <v>682.63</v>
      </c>
      <c r="Z21" s="31">
        <v>2897887.2234</v>
      </c>
      <c r="AA21" s="31">
        <f t="shared" si="0"/>
        <v>6240579.9283999996</v>
      </c>
      <c r="AB21" s="117">
        <f t="shared" si="1"/>
        <v>480.92914956662599</v>
      </c>
      <c r="AC21" s="122">
        <v>0</v>
      </c>
      <c r="AD21" s="3">
        <v>0</v>
      </c>
      <c r="AE21" s="3">
        <v>0</v>
      </c>
      <c r="AF21" s="3">
        <v>0</v>
      </c>
      <c r="AG21" s="3">
        <f t="shared" si="2"/>
        <v>0</v>
      </c>
      <c r="AH21" s="3">
        <v>4240189.078559461</v>
      </c>
      <c r="AI21" s="41">
        <f t="shared" si="3"/>
        <v>326.76939498411781</v>
      </c>
      <c r="AJ21" s="130">
        <v>99.459999999999127</v>
      </c>
      <c r="AK21" s="3">
        <v>1193519.9999999895</v>
      </c>
      <c r="AL21" s="37">
        <f t="shared" si="4"/>
        <v>91.978400273116904</v>
      </c>
      <c r="AM21" s="7"/>
    </row>
    <row r="22" spans="1:39" x14ac:dyDescent="0.35">
      <c r="A22" s="33"/>
      <c r="B22" s="56">
        <v>11</v>
      </c>
      <c r="C22" s="137">
        <v>22</v>
      </c>
      <c r="D22" s="138">
        <v>365</v>
      </c>
      <c r="E22" s="99">
        <v>12440.000000000509</v>
      </c>
      <c r="F22" s="3">
        <v>12885103.200000526</v>
      </c>
      <c r="G22" s="35">
        <v>3159.9999999999682</v>
      </c>
      <c r="H22" s="3">
        <v>4909597.1999999508</v>
      </c>
      <c r="I22" s="98">
        <f t="shared" si="5"/>
        <v>17794700.400000475</v>
      </c>
      <c r="J22" s="99">
        <v>1780.0000000000296</v>
      </c>
      <c r="K22" s="3">
        <v>1843688.4000000306</v>
      </c>
      <c r="L22" s="170">
        <v>519.99999999998181</v>
      </c>
      <c r="M22" s="171">
        <v>807908.39999997173</v>
      </c>
      <c r="N22" s="92">
        <f t="shared" si="6"/>
        <v>2651596.8000000026</v>
      </c>
      <c r="O22" s="100">
        <f t="shared" si="7"/>
        <v>20446297.20000048</v>
      </c>
      <c r="P22" s="102">
        <f t="shared" si="8"/>
        <v>17900.000000000487</v>
      </c>
      <c r="Q22" s="175"/>
      <c r="R22" s="186"/>
      <c r="S22" s="197"/>
      <c r="T22" s="194"/>
      <c r="U22" s="193">
        <v>0</v>
      </c>
      <c r="V22" s="172">
        <f t="shared" si="9"/>
        <v>894.45</v>
      </c>
      <c r="W22" s="3">
        <v>195.8</v>
      </c>
      <c r="X22" s="3">
        <v>3518623.9000000004</v>
      </c>
      <c r="Y22" s="31">
        <v>698.65</v>
      </c>
      <c r="Z22" s="31">
        <v>2965895.0070000002</v>
      </c>
      <c r="AA22" s="31">
        <f t="shared" si="0"/>
        <v>6484518.9070000006</v>
      </c>
      <c r="AB22" s="117">
        <f t="shared" si="1"/>
        <v>499.72826228856309</v>
      </c>
      <c r="AC22" s="122">
        <v>0</v>
      </c>
      <c r="AD22" s="3">
        <v>0</v>
      </c>
      <c r="AE22" s="3">
        <v>0</v>
      </c>
      <c r="AF22" s="3">
        <v>0</v>
      </c>
      <c r="AG22" s="3">
        <f t="shared" si="2"/>
        <v>0</v>
      </c>
      <c r="AH22" s="3">
        <v>2776038.589800674</v>
      </c>
      <c r="AI22" s="41">
        <f t="shared" si="3"/>
        <v>213.93490564574336</v>
      </c>
      <c r="AJ22" s="130">
        <v>189.56999999999971</v>
      </c>
      <c r="AK22" s="3">
        <v>2274839.9999999963</v>
      </c>
      <c r="AL22" s="37">
        <f t="shared" si="4"/>
        <v>175.31012808943188</v>
      </c>
      <c r="AM22" s="7"/>
    </row>
    <row r="23" spans="1:39" x14ac:dyDescent="0.35">
      <c r="A23" s="33"/>
      <c r="B23" s="56">
        <v>12</v>
      </c>
      <c r="C23" s="137">
        <v>26</v>
      </c>
      <c r="D23" s="138">
        <v>194</v>
      </c>
      <c r="E23" s="99">
        <v>12159.999999999854</v>
      </c>
      <c r="F23" s="3">
        <v>12595084.79999985</v>
      </c>
      <c r="G23" s="35">
        <v>2519.9999999999818</v>
      </c>
      <c r="H23" s="3">
        <v>3915248.399999972</v>
      </c>
      <c r="I23" s="98">
        <f t="shared" si="5"/>
        <v>16510333.199999822</v>
      </c>
      <c r="J23" s="99">
        <v>1699.9999999999318</v>
      </c>
      <c r="K23" s="3">
        <v>1760825.9999999292</v>
      </c>
      <c r="L23" s="170">
        <v>480.00000000001819</v>
      </c>
      <c r="M23" s="171">
        <v>745761.60000002827</v>
      </c>
      <c r="N23" s="92">
        <f t="shared" si="6"/>
        <v>2506587.5999999577</v>
      </c>
      <c r="O23" s="100">
        <f t="shared" si="7"/>
        <v>19016920.799999781</v>
      </c>
      <c r="P23" s="102">
        <f t="shared" si="8"/>
        <v>16859.999999999785</v>
      </c>
      <c r="Q23" s="175"/>
      <c r="R23" s="186"/>
      <c r="S23" s="197"/>
      <c r="T23" s="194"/>
      <c r="U23" s="193">
        <v>0</v>
      </c>
      <c r="V23" s="172">
        <f t="shared" si="9"/>
        <v>882.88</v>
      </c>
      <c r="W23" s="3">
        <v>197.58</v>
      </c>
      <c r="X23" s="3">
        <v>3550611.39</v>
      </c>
      <c r="Y23" s="31">
        <v>685.3</v>
      </c>
      <c r="Z23" s="31">
        <v>2909221.8539999998</v>
      </c>
      <c r="AA23" s="31">
        <f t="shared" si="0"/>
        <v>6459833.2439999999</v>
      </c>
      <c r="AB23" s="117">
        <f t="shared" si="1"/>
        <v>497.82586618927581</v>
      </c>
      <c r="AC23" s="122">
        <v>0</v>
      </c>
      <c r="AD23" s="3">
        <v>0</v>
      </c>
      <c r="AE23" s="3">
        <v>0</v>
      </c>
      <c r="AF23" s="3">
        <v>0</v>
      </c>
      <c r="AG23" s="3">
        <f t="shared" si="2"/>
        <v>0</v>
      </c>
      <c r="AH23" s="3">
        <v>280209.10895979777</v>
      </c>
      <c r="AI23" s="41">
        <f t="shared" si="3"/>
        <v>21.594263677255459</v>
      </c>
      <c r="AJ23" s="130">
        <v>127.4800000000032</v>
      </c>
      <c r="AK23" s="3">
        <v>1529760.0000000384</v>
      </c>
      <c r="AL23" s="37">
        <f t="shared" si="4"/>
        <v>117.89067430944441</v>
      </c>
      <c r="AM23" s="7"/>
    </row>
    <row r="24" spans="1:39" x14ac:dyDescent="0.35">
      <c r="A24" s="33"/>
      <c r="B24" s="56">
        <v>13</v>
      </c>
      <c r="C24" s="137">
        <v>30</v>
      </c>
      <c r="D24" s="138">
        <v>189</v>
      </c>
      <c r="E24" s="99">
        <v>11960.000000000036</v>
      </c>
      <c r="F24" s="3">
        <v>12387928.800000038</v>
      </c>
      <c r="G24" s="35">
        <v>2559.9999999999454</v>
      </c>
      <c r="H24" s="3">
        <v>3977395.1999999154</v>
      </c>
      <c r="I24" s="98">
        <f t="shared" si="5"/>
        <v>16365323.999999953</v>
      </c>
      <c r="J24" s="99">
        <v>1620.0000000000045</v>
      </c>
      <c r="K24" s="3">
        <v>1677963.6000000047</v>
      </c>
      <c r="L24" s="170">
        <v>439.99999999999773</v>
      </c>
      <c r="M24" s="171">
        <v>683614.79999999655</v>
      </c>
      <c r="N24" s="92">
        <f t="shared" si="6"/>
        <v>2361578.4000000013</v>
      </c>
      <c r="O24" s="100">
        <f t="shared" si="7"/>
        <v>18726902.399999954</v>
      </c>
      <c r="P24" s="102">
        <f t="shared" si="8"/>
        <v>16579.999999999985</v>
      </c>
      <c r="Q24" s="175"/>
      <c r="R24" s="175"/>
      <c r="S24" s="197"/>
      <c r="T24" s="194"/>
      <c r="U24" s="193">
        <v>0</v>
      </c>
      <c r="V24" s="172">
        <f>Y24+W24</f>
        <v>737.81000000000006</v>
      </c>
      <c r="W24" s="3">
        <v>13.35</v>
      </c>
      <c r="X24" s="3">
        <v>239906.17499999999</v>
      </c>
      <c r="Y24" s="31">
        <v>724.46</v>
      </c>
      <c r="Z24" s="31">
        <v>3075463.1028000005</v>
      </c>
      <c r="AA24" s="31">
        <f t="shared" si="0"/>
        <v>3315369.2778000003</v>
      </c>
      <c r="AB24" s="117">
        <f t="shared" si="1"/>
        <v>255.49832636795833</v>
      </c>
      <c r="AC24" s="122">
        <v>0</v>
      </c>
      <c r="AD24" s="3">
        <v>0</v>
      </c>
      <c r="AE24" s="3">
        <v>400</v>
      </c>
      <c r="AF24" s="3">
        <v>24</v>
      </c>
      <c r="AG24" s="3">
        <f t="shared" si="2"/>
        <v>424</v>
      </c>
      <c r="AH24" s="3">
        <v>7086000</v>
      </c>
      <c r="AI24" s="41">
        <f t="shared" si="3"/>
        <v>546.08129259276097</v>
      </c>
      <c r="AJ24" s="130">
        <v>899.32000000002154</v>
      </c>
      <c r="AK24" s="3">
        <v>10791840.000000259</v>
      </c>
      <c r="AL24" s="37">
        <f t="shared" si="4"/>
        <v>831.67117367406195</v>
      </c>
      <c r="AM24" s="7"/>
    </row>
    <row r="25" spans="1:39" x14ac:dyDescent="0.35">
      <c r="A25" s="33"/>
      <c r="B25" s="56">
        <v>14</v>
      </c>
      <c r="C25" s="137">
        <v>21</v>
      </c>
      <c r="D25" s="138">
        <v>194</v>
      </c>
      <c r="E25" s="99">
        <v>10399.999999999636</v>
      </c>
      <c r="F25" s="3">
        <v>10772111.999999624</v>
      </c>
      <c r="G25" s="35">
        <v>2400.0000000000909</v>
      </c>
      <c r="H25" s="3">
        <v>3728808.0000001416</v>
      </c>
      <c r="I25" s="98">
        <f t="shared" si="5"/>
        <v>14500919.999999765</v>
      </c>
      <c r="J25" s="99">
        <v>1639.9999999999864</v>
      </c>
      <c r="K25" s="3">
        <v>1698679.1999999858</v>
      </c>
      <c r="L25" s="170">
        <v>439.99999999999773</v>
      </c>
      <c r="M25" s="171">
        <v>683614.79999999655</v>
      </c>
      <c r="N25" s="92">
        <f t="shared" si="6"/>
        <v>2382293.9999999823</v>
      </c>
      <c r="O25" s="100">
        <f t="shared" si="7"/>
        <v>16883213.999999747</v>
      </c>
      <c r="P25" s="102">
        <f t="shared" si="8"/>
        <v>14879.999999999711</v>
      </c>
      <c r="Q25" s="176"/>
      <c r="R25" s="176"/>
      <c r="S25" s="197"/>
      <c r="T25" s="194"/>
      <c r="U25" s="193">
        <v>0</v>
      </c>
      <c r="V25" s="172">
        <f t="shared" si="9"/>
        <v>877.54</v>
      </c>
      <c r="W25" s="3">
        <v>192.24</v>
      </c>
      <c r="X25" s="3">
        <v>3454648.9200000004</v>
      </c>
      <c r="Y25" s="31">
        <v>685.3</v>
      </c>
      <c r="Z25" s="31">
        <v>2909221.8539999998</v>
      </c>
      <c r="AA25" s="31">
        <f t="shared" si="0"/>
        <v>6363870.7740000002</v>
      </c>
      <c r="AB25" s="117">
        <f t="shared" si="1"/>
        <v>490.43053600892102</v>
      </c>
      <c r="AC25" s="122">
        <v>0</v>
      </c>
      <c r="AD25" s="3">
        <v>0</v>
      </c>
      <c r="AE25" s="3">
        <v>0</v>
      </c>
      <c r="AF25" s="3">
        <v>0</v>
      </c>
      <c r="AG25" s="3">
        <f t="shared" si="2"/>
        <v>0</v>
      </c>
      <c r="AH25" s="3">
        <v>0</v>
      </c>
      <c r="AI25" s="41">
        <f t="shared" si="3"/>
        <v>0</v>
      </c>
      <c r="AJ25" s="130">
        <v>286.70999999999913</v>
      </c>
      <c r="AK25" s="3">
        <v>3440519.9999999898</v>
      </c>
      <c r="AL25" s="37">
        <f t="shared" si="4"/>
        <v>265.14304385989846</v>
      </c>
      <c r="AM25" s="7"/>
    </row>
    <row r="26" spans="1:39" x14ac:dyDescent="0.35">
      <c r="A26" s="33"/>
      <c r="B26" s="56">
        <v>15</v>
      </c>
      <c r="C26" s="137">
        <v>21</v>
      </c>
      <c r="D26" s="138">
        <v>177</v>
      </c>
      <c r="E26" s="99">
        <v>13159.999999999854</v>
      </c>
      <c r="F26" s="3">
        <v>13630864.799999848</v>
      </c>
      <c r="G26" s="35">
        <v>2319.9999999999363</v>
      </c>
      <c r="H26" s="3">
        <v>3604514.3999999012</v>
      </c>
      <c r="I26" s="98">
        <f t="shared" si="5"/>
        <v>17235379.19999975</v>
      </c>
      <c r="J26" s="99">
        <v>1400.0000000000909</v>
      </c>
      <c r="K26" s="3">
        <v>1450092.0000000941</v>
      </c>
      <c r="L26" s="170">
        <v>340.00000000000341</v>
      </c>
      <c r="M26" s="171">
        <v>528247.80000000529</v>
      </c>
      <c r="N26" s="92">
        <f t="shared" si="6"/>
        <v>1978339.8000000995</v>
      </c>
      <c r="O26" s="100">
        <f t="shared" si="7"/>
        <v>19213718.999999851</v>
      </c>
      <c r="P26" s="102">
        <f t="shared" si="8"/>
        <v>17219.999999999884</v>
      </c>
      <c r="Q26" s="175"/>
      <c r="R26" s="186"/>
      <c r="S26" s="197"/>
      <c r="T26" s="194"/>
      <c r="U26" s="193">
        <v>0</v>
      </c>
      <c r="V26" s="172">
        <f t="shared" si="9"/>
        <v>885.55000000000007</v>
      </c>
      <c r="W26" s="3">
        <v>198.47</v>
      </c>
      <c r="X26" s="3">
        <v>3566605.1349999998</v>
      </c>
      <c r="Y26" s="31">
        <v>687.08</v>
      </c>
      <c r="Z26" s="31">
        <v>2916778.2744000005</v>
      </c>
      <c r="AA26" s="31">
        <f t="shared" si="0"/>
        <v>6483383.4094000002</v>
      </c>
      <c r="AB26" s="117">
        <f t="shared" si="1"/>
        <v>499.64075537392233</v>
      </c>
      <c r="AC26" s="122">
        <v>0</v>
      </c>
      <c r="AD26" s="3">
        <v>0</v>
      </c>
      <c r="AE26" s="3">
        <v>0</v>
      </c>
      <c r="AF26" s="3">
        <v>12</v>
      </c>
      <c r="AG26" s="3">
        <f t="shared" si="2"/>
        <v>12</v>
      </c>
      <c r="AH26" s="3">
        <v>163000</v>
      </c>
      <c r="AI26" s="41">
        <f t="shared" si="3"/>
        <v>12.561565155605425</v>
      </c>
      <c r="AJ26" s="130">
        <v>309.31999999999971</v>
      </c>
      <c r="AK26" s="3">
        <v>3711839.9999999963</v>
      </c>
      <c r="AL26" s="37">
        <f t="shared" si="4"/>
        <v>286.05226998271405</v>
      </c>
      <c r="AM26" s="7"/>
    </row>
    <row r="27" spans="1:39" x14ac:dyDescent="0.35">
      <c r="A27" s="33"/>
      <c r="B27" s="56">
        <v>16</v>
      </c>
      <c r="C27" s="137">
        <v>23</v>
      </c>
      <c r="D27" s="138">
        <v>148</v>
      </c>
      <c r="E27" s="99">
        <v>11760.000000000218</v>
      </c>
      <c r="F27" s="3">
        <v>12180772.800000226</v>
      </c>
      <c r="G27" s="35">
        <v>2519.9999999999818</v>
      </c>
      <c r="H27" s="3">
        <v>3915248.399999972</v>
      </c>
      <c r="I27" s="98">
        <f t="shared" si="5"/>
        <v>16096021.200000199</v>
      </c>
      <c r="J27" s="99">
        <v>1500</v>
      </c>
      <c r="K27" s="3">
        <v>1553670</v>
      </c>
      <c r="L27" s="170">
        <v>419.99999999998749</v>
      </c>
      <c r="M27" s="171">
        <v>652541.39999998058</v>
      </c>
      <c r="N27" s="92">
        <f t="shared" si="6"/>
        <v>2206211.3999999808</v>
      </c>
      <c r="O27" s="100">
        <f t="shared" si="7"/>
        <v>18302232.60000018</v>
      </c>
      <c r="P27" s="102">
        <f t="shared" si="8"/>
        <v>16200.000000000187</v>
      </c>
      <c r="Q27" s="175"/>
      <c r="R27" s="175"/>
      <c r="S27" s="197"/>
      <c r="T27" s="194"/>
      <c r="U27" s="193">
        <v>0</v>
      </c>
      <c r="V27" s="172">
        <f t="shared" si="9"/>
        <v>841.05</v>
      </c>
      <c r="W27" s="3">
        <v>196.69</v>
      </c>
      <c r="X27" s="3">
        <v>3534617.645</v>
      </c>
      <c r="Y27" s="31">
        <v>644.36</v>
      </c>
      <c r="Z27" s="31">
        <v>2735424.1848000004</v>
      </c>
      <c r="AA27" s="31">
        <f t="shared" si="0"/>
        <v>6270041.8298000004</v>
      </c>
      <c r="AB27" s="117">
        <f t="shared" si="1"/>
        <v>483.19962560370652</v>
      </c>
      <c r="AC27" s="122">
        <v>0</v>
      </c>
      <c r="AD27" s="3">
        <v>0</v>
      </c>
      <c r="AE27" s="3">
        <v>400</v>
      </c>
      <c r="AF27" s="3">
        <v>0</v>
      </c>
      <c r="AG27" s="3">
        <f t="shared" si="2"/>
        <v>400</v>
      </c>
      <c r="AH27" s="3">
        <v>6760000</v>
      </c>
      <c r="AI27" s="41">
        <f t="shared" si="3"/>
        <v>520.95816228155013</v>
      </c>
      <c r="AJ27" s="130">
        <v>300.65000000000146</v>
      </c>
      <c r="AK27" s="3">
        <v>3607800.0000000177</v>
      </c>
      <c r="AL27" s="37">
        <f t="shared" si="4"/>
        <v>278.0344464318618</v>
      </c>
      <c r="AM27" s="7"/>
    </row>
    <row r="28" spans="1:39" x14ac:dyDescent="0.35">
      <c r="A28" s="33"/>
      <c r="B28" s="56">
        <v>17</v>
      </c>
      <c r="C28" s="137">
        <v>44</v>
      </c>
      <c r="D28" s="138">
        <v>214</v>
      </c>
      <c r="E28" s="99">
        <v>12600.000000000364</v>
      </c>
      <c r="F28" s="3">
        <v>13050828.000000376</v>
      </c>
      <c r="G28" s="35">
        <v>2879.9999999999955</v>
      </c>
      <c r="H28" s="3">
        <v>4474569.5999999931</v>
      </c>
      <c r="I28" s="98">
        <f t="shared" si="5"/>
        <v>17525397.60000037</v>
      </c>
      <c r="J28" s="99">
        <v>1899.9999999999773</v>
      </c>
      <c r="K28" s="3">
        <v>1967981.9999999765</v>
      </c>
      <c r="L28" s="170">
        <v>520.00000000001023</v>
      </c>
      <c r="M28" s="171">
        <v>807908.40000001597</v>
      </c>
      <c r="N28" s="92">
        <f t="shared" si="6"/>
        <v>2775890.3999999925</v>
      </c>
      <c r="O28" s="100">
        <f t="shared" si="7"/>
        <v>20301288.000000361</v>
      </c>
      <c r="P28" s="102">
        <f t="shared" si="8"/>
        <v>17900.000000000346</v>
      </c>
      <c r="Q28" s="176"/>
      <c r="R28" s="176"/>
      <c r="S28" s="197"/>
      <c r="T28" s="194"/>
      <c r="U28" s="193">
        <v>0</v>
      </c>
      <c r="V28" s="172">
        <f t="shared" si="9"/>
        <v>901.56999999999994</v>
      </c>
      <c r="W28" s="3">
        <v>194.91</v>
      </c>
      <c r="X28" s="3">
        <v>3502630.1549999998</v>
      </c>
      <c r="Y28" s="31">
        <v>706.66</v>
      </c>
      <c r="Z28" s="31">
        <v>2999898.8988000001</v>
      </c>
      <c r="AA28" s="31">
        <f t="shared" si="0"/>
        <v>6502529.0537999999</v>
      </c>
      <c r="AB28" s="117">
        <f t="shared" si="1"/>
        <v>501.11621095414716</v>
      </c>
      <c r="AC28" s="122">
        <v>0</v>
      </c>
      <c r="AD28" s="3">
        <v>0</v>
      </c>
      <c r="AE28" s="3">
        <v>0</v>
      </c>
      <c r="AF28" s="3">
        <v>0</v>
      </c>
      <c r="AG28" s="3">
        <f t="shared" si="2"/>
        <v>0</v>
      </c>
      <c r="AH28" s="3">
        <v>0</v>
      </c>
      <c r="AI28" s="41">
        <f t="shared" si="3"/>
        <v>0</v>
      </c>
      <c r="AJ28" s="130">
        <v>315.23999999999796</v>
      </c>
      <c r="AK28" s="3">
        <v>3782879.9999999758</v>
      </c>
      <c r="AL28" s="37">
        <f t="shared" si="4"/>
        <v>291.52695457568308</v>
      </c>
      <c r="AM28" s="7"/>
    </row>
    <row r="29" spans="1:39" x14ac:dyDescent="0.35">
      <c r="A29" s="33"/>
      <c r="B29" s="56">
        <v>18</v>
      </c>
      <c r="C29" s="137">
        <v>53</v>
      </c>
      <c r="D29" s="138">
        <v>245</v>
      </c>
      <c r="E29" s="99">
        <v>13599.999999999454</v>
      </c>
      <c r="F29" s="3">
        <v>14086607.999999434</v>
      </c>
      <c r="G29" s="35">
        <v>2800.0000000000682</v>
      </c>
      <c r="H29" s="3">
        <v>4350276.0000001062</v>
      </c>
      <c r="I29" s="98">
        <f t="shared" si="5"/>
        <v>18436883.999999538</v>
      </c>
      <c r="J29" s="99">
        <v>1980.0000000000182</v>
      </c>
      <c r="K29" s="3">
        <v>2050844.4000000188</v>
      </c>
      <c r="L29" s="170">
        <v>500</v>
      </c>
      <c r="M29" s="171">
        <v>776835</v>
      </c>
      <c r="N29" s="92">
        <f t="shared" si="6"/>
        <v>2827679.400000019</v>
      </c>
      <c r="O29" s="100">
        <f t="shared" si="7"/>
        <v>21264563.399999559</v>
      </c>
      <c r="P29" s="102">
        <f t="shared" si="8"/>
        <v>18879.999999999542</v>
      </c>
      <c r="Q29" s="176"/>
      <c r="R29" s="176"/>
      <c r="S29" s="197"/>
      <c r="T29" s="194"/>
      <c r="U29" s="193">
        <v>0</v>
      </c>
      <c r="V29" s="172">
        <f t="shared" si="9"/>
        <v>908.69</v>
      </c>
      <c r="W29" s="3">
        <v>197.58</v>
      </c>
      <c r="X29" s="3">
        <v>3550611.39</v>
      </c>
      <c r="Y29" s="31">
        <v>711.11</v>
      </c>
      <c r="Z29" s="31">
        <v>3018789.9498000001</v>
      </c>
      <c r="AA29" s="31">
        <f t="shared" si="0"/>
        <v>6569401.3398000002</v>
      </c>
      <c r="AB29" s="117">
        <f t="shared" si="1"/>
        <v>506.26971143079311</v>
      </c>
      <c r="AC29" s="122">
        <v>0</v>
      </c>
      <c r="AD29" s="3">
        <v>0</v>
      </c>
      <c r="AE29" s="3">
        <v>0</v>
      </c>
      <c r="AF29" s="3">
        <v>0</v>
      </c>
      <c r="AG29" s="3">
        <f t="shared" si="2"/>
        <v>0</v>
      </c>
      <c r="AH29" s="3">
        <v>0</v>
      </c>
      <c r="AI29" s="41">
        <f t="shared" si="3"/>
        <v>0</v>
      </c>
      <c r="AJ29" s="130">
        <v>384.67000000000553</v>
      </c>
      <c r="AK29" s="3">
        <v>4616040.0000000661</v>
      </c>
      <c r="AL29" s="37">
        <f t="shared" si="4"/>
        <v>355.73427742872207</v>
      </c>
      <c r="AM29" s="7"/>
    </row>
    <row r="30" spans="1:39" x14ac:dyDescent="0.35">
      <c r="A30" s="33"/>
      <c r="B30" s="56">
        <v>19</v>
      </c>
      <c r="C30" s="137">
        <v>31</v>
      </c>
      <c r="D30" s="138">
        <v>286</v>
      </c>
      <c r="E30" s="99">
        <v>12159.999999999854</v>
      </c>
      <c r="F30" s="3">
        <v>12595084.79999985</v>
      </c>
      <c r="G30" s="35">
        <v>2639.9999999999864</v>
      </c>
      <c r="H30" s="3">
        <v>4101688.7999999789</v>
      </c>
      <c r="I30" s="98">
        <f t="shared" si="5"/>
        <v>16696773.599999828</v>
      </c>
      <c r="J30" s="99">
        <v>1740.0000000000091</v>
      </c>
      <c r="K30" s="3">
        <v>1802257.2000000093</v>
      </c>
      <c r="L30" s="170">
        <v>460.00000000000796</v>
      </c>
      <c r="M30" s="171">
        <v>714688.20000001241</v>
      </c>
      <c r="N30" s="92">
        <f t="shared" si="6"/>
        <v>2516945.4000000218</v>
      </c>
      <c r="O30" s="100">
        <f t="shared" si="7"/>
        <v>19213718.999999851</v>
      </c>
      <c r="P30" s="102">
        <f t="shared" si="8"/>
        <v>16999.999999999858</v>
      </c>
      <c r="Q30" s="175"/>
      <c r="R30" s="175"/>
      <c r="S30" s="197"/>
      <c r="T30" s="194"/>
      <c r="U30" s="193">
        <v>0</v>
      </c>
      <c r="V30" s="172">
        <f t="shared" si="9"/>
        <v>911.36</v>
      </c>
      <c r="W30" s="3">
        <v>197.58</v>
      </c>
      <c r="X30" s="3">
        <v>3550611.39</v>
      </c>
      <c r="Y30" s="31">
        <v>713.78</v>
      </c>
      <c r="Z30" s="31">
        <v>3030124.5803999999</v>
      </c>
      <c r="AA30" s="31">
        <f t="shared" si="0"/>
        <v>6580735.9704</v>
      </c>
      <c r="AB30" s="117">
        <f t="shared" si="1"/>
        <v>507.14321266267422</v>
      </c>
      <c r="AC30" s="122">
        <v>0</v>
      </c>
      <c r="AD30" s="3">
        <v>0</v>
      </c>
      <c r="AE30" s="3">
        <v>0</v>
      </c>
      <c r="AF30" s="3">
        <v>0</v>
      </c>
      <c r="AG30" s="3">
        <f t="shared" si="2"/>
        <v>0</v>
      </c>
      <c r="AH30" s="3">
        <v>0</v>
      </c>
      <c r="AI30" s="41">
        <f t="shared" si="3"/>
        <v>0</v>
      </c>
      <c r="AJ30" s="130">
        <v>400.68999999999505</v>
      </c>
      <c r="AK30" s="3">
        <v>4808279.9999999404</v>
      </c>
      <c r="AL30" s="37">
        <f t="shared" si="4"/>
        <v>370.54921783063622</v>
      </c>
      <c r="AM30" s="7"/>
    </row>
    <row r="31" spans="1:39" x14ac:dyDescent="0.35">
      <c r="A31" s="33"/>
      <c r="B31" s="56">
        <v>20</v>
      </c>
      <c r="C31" s="137">
        <v>26</v>
      </c>
      <c r="D31" s="138">
        <v>172</v>
      </c>
      <c r="E31" s="99">
        <v>11560.0000000004</v>
      </c>
      <c r="F31" s="3">
        <v>11973616.800000414</v>
      </c>
      <c r="G31" s="35">
        <v>2439.9999999999409</v>
      </c>
      <c r="H31" s="3">
        <v>3790954.7999999085</v>
      </c>
      <c r="I31" s="98">
        <f t="shared" si="5"/>
        <v>15764571.600000322</v>
      </c>
      <c r="J31" s="99">
        <v>1699.9999999999318</v>
      </c>
      <c r="K31" s="3">
        <v>1760825.9999999292</v>
      </c>
      <c r="L31" s="170">
        <v>419.99999999998749</v>
      </c>
      <c r="M31" s="171">
        <v>652541.39999998058</v>
      </c>
      <c r="N31" s="92">
        <f t="shared" si="6"/>
        <v>2413367.39999991</v>
      </c>
      <c r="O31" s="100">
        <f t="shared" si="7"/>
        <v>18177939.000000231</v>
      </c>
      <c r="P31" s="102">
        <f t="shared" si="8"/>
        <v>16120.00000000026</v>
      </c>
      <c r="Q31" s="176"/>
      <c r="R31" s="176"/>
      <c r="S31" s="197"/>
      <c r="T31" s="194"/>
      <c r="U31" s="193">
        <v>0</v>
      </c>
      <c r="V31" s="172">
        <f t="shared" si="9"/>
        <v>881.99</v>
      </c>
      <c r="W31" s="3">
        <v>195.8</v>
      </c>
      <c r="X31" s="3">
        <v>3518623.9000000004</v>
      </c>
      <c r="Y31" s="31">
        <v>686.19</v>
      </c>
      <c r="Z31" s="31">
        <v>2913000.0642000004</v>
      </c>
      <c r="AA31" s="31">
        <f t="shared" si="0"/>
        <v>6431623.9642000012</v>
      </c>
      <c r="AB31" s="117">
        <f t="shared" si="1"/>
        <v>495.65192320645133</v>
      </c>
      <c r="AC31" s="122">
        <v>0</v>
      </c>
      <c r="AD31" s="3">
        <v>0</v>
      </c>
      <c r="AE31" s="3">
        <v>0</v>
      </c>
      <c r="AF31" s="3">
        <v>0</v>
      </c>
      <c r="AG31" s="3">
        <f t="shared" si="2"/>
        <v>0</v>
      </c>
      <c r="AH31" s="3">
        <v>0</v>
      </c>
      <c r="AI31" s="41">
        <f t="shared" si="3"/>
        <v>0</v>
      </c>
      <c r="AJ31" s="130">
        <v>425.33999999995285</v>
      </c>
      <c r="AK31" s="3">
        <v>5104079.9999994338</v>
      </c>
      <c r="AL31" s="37">
        <f t="shared" si="4"/>
        <v>393.34499067126029</v>
      </c>
      <c r="AM31" s="7"/>
    </row>
    <row r="32" spans="1:39" x14ac:dyDescent="0.35">
      <c r="A32" s="33"/>
      <c r="B32" s="56">
        <v>21</v>
      </c>
      <c r="C32" s="137">
        <v>21</v>
      </c>
      <c r="D32" s="138">
        <v>158</v>
      </c>
      <c r="E32" s="99">
        <v>11399.999999999636</v>
      </c>
      <c r="F32" s="3">
        <v>11807891.999999624</v>
      </c>
      <c r="G32" s="35">
        <v>2280.0000000000864</v>
      </c>
      <c r="H32" s="3">
        <v>3542367.6000001342</v>
      </c>
      <c r="I32" s="98">
        <f t="shared" si="5"/>
        <v>15350259.599999757</v>
      </c>
      <c r="J32" s="99">
        <v>1800.0000000000682</v>
      </c>
      <c r="K32" s="3">
        <v>1864404.0000000705</v>
      </c>
      <c r="L32" s="170">
        <v>500</v>
      </c>
      <c r="M32" s="171">
        <v>776835</v>
      </c>
      <c r="N32" s="92">
        <f>+K32+M32</f>
        <v>2641239.0000000708</v>
      </c>
      <c r="O32" s="100">
        <f t="shared" si="7"/>
        <v>17991498.59999983</v>
      </c>
      <c r="P32" s="102">
        <f t="shared" si="8"/>
        <v>15979.999999999791</v>
      </c>
      <c r="Q32" s="175"/>
      <c r="R32" s="187"/>
      <c r="S32" s="197"/>
      <c r="T32" s="194"/>
      <c r="U32" s="193">
        <v>0</v>
      </c>
      <c r="V32" s="172">
        <f t="shared" si="9"/>
        <v>890</v>
      </c>
      <c r="W32" s="3">
        <v>196.69</v>
      </c>
      <c r="X32" s="3">
        <v>3534617.645</v>
      </c>
      <c r="Y32" s="31">
        <v>693.31000000000006</v>
      </c>
      <c r="Z32" s="31">
        <v>2943225.7458000006</v>
      </c>
      <c r="AA32" s="31">
        <f t="shared" si="0"/>
        <v>6477843.3908000011</v>
      </c>
      <c r="AB32" s="117">
        <f t="shared" si="1"/>
        <v>499.21381485486006</v>
      </c>
      <c r="AC32" s="122">
        <v>0</v>
      </c>
      <c r="AD32" s="3">
        <v>0</v>
      </c>
      <c r="AE32" s="3">
        <v>0</v>
      </c>
      <c r="AF32" s="3">
        <v>0</v>
      </c>
      <c r="AG32" s="3">
        <f t="shared" ref="AG32:AG40" si="10">+AE32+AF32</f>
        <v>0</v>
      </c>
      <c r="AH32" s="3">
        <v>0</v>
      </c>
      <c r="AI32" s="41">
        <f t="shared" si="3"/>
        <v>0</v>
      </c>
      <c r="AJ32" s="130">
        <v>199.11000000000058</v>
      </c>
      <c r="AK32" s="3">
        <v>2389320.000000007</v>
      </c>
      <c r="AL32" s="37">
        <f t="shared" si="4"/>
        <v>184.13250832878063</v>
      </c>
      <c r="AM32" s="7"/>
    </row>
    <row r="33" spans="1:39" x14ac:dyDescent="0.35">
      <c r="A33" s="33"/>
      <c r="B33" s="56">
        <v>22</v>
      </c>
      <c r="C33" s="137">
        <v>23</v>
      </c>
      <c r="D33" s="138">
        <v>280</v>
      </c>
      <c r="E33" s="99">
        <v>11560.0000000004</v>
      </c>
      <c r="F33" s="3">
        <v>11973616.800000414</v>
      </c>
      <c r="G33" s="35">
        <v>2559.9999999999454</v>
      </c>
      <c r="H33" s="3">
        <v>3977395.1999999154</v>
      </c>
      <c r="I33" s="98">
        <f t="shared" si="5"/>
        <v>15951012.00000033</v>
      </c>
      <c r="J33" s="99">
        <v>2059.9999999999454</v>
      </c>
      <c r="K33" s="3">
        <v>2133706.7999999435</v>
      </c>
      <c r="L33" s="170">
        <v>500</v>
      </c>
      <c r="M33" s="171">
        <v>776835</v>
      </c>
      <c r="N33" s="92">
        <f t="shared" si="6"/>
        <v>2910541.7999999435</v>
      </c>
      <c r="O33" s="100">
        <f t="shared" si="7"/>
        <v>18861553.800000273</v>
      </c>
      <c r="P33" s="102">
        <f t="shared" si="8"/>
        <v>16680.000000000291</v>
      </c>
      <c r="Q33" s="175"/>
      <c r="R33" s="188"/>
      <c r="S33" s="197"/>
      <c r="T33" s="194"/>
      <c r="U33" s="193">
        <v>0</v>
      </c>
      <c r="V33" s="172">
        <f t="shared" si="9"/>
        <v>826.81</v>
      </c>
      <c r="W33" s="3">
        <v>195.8</v>
      </c>
      <c r="X33" s="3">
        <v>3518623.9000000004</v>
      </c>
      <c r="Y33" s="31">
        <v>631.01</v>
      </c>
      <c r="Z33" s="31">
        <v>2678751.0318</v>
      </c>
      <c r="AA33" s="31">
        <f t="shared" si="0"/>
        <v>6197374.9318000004</v>
      </c>
      <c r="AB33" s="117">
        <f t="shared" si="1"/>
        <v>477.59956441424191</v>
      </c>
      <c r="AC33" s="122">
        <v>0</v>
      </c>
      <c r="AD33" s="3">
        <v>0</v>
      </c>
      <c r="AE33" s="3">
        <v>0</v>
      </c>
      <c r="AF33" s="3">
        <v>0</v>
      </c>
      <c r="AG33" s="3">
        <f t="shared" si="10"/>
        <v>0</v>
      </c>
      <c r="AH33" s="3">
        <v>0</v>
      </c>
      <c r="AI33" s="41">
        <f t="shared" si="3"/>
        <v>0</v>
      </c>
      <c r="AJ33" s="130">
        <v>379.95999999999913</v>
      </c>
      <c r="AK33" s="3">
        <v>4559519.9999999898</v>
      </c>
      <c r="AL33" s="37">
        <f t="shared" si="4"/>
        <v>351.37857397721422</v>
      </c>
      <c r="AM33" s="7"/>
    </row>
    <row r="34" spans="1:39" x14ac:dyDescent="0.35">
      <c r="A34" s="33"/>
      <c r="B34" s="56">
        <v>23</v>
      </c>
      <c r="C34" s="137">
        <v>18</v>
      </c>
      <c r="D34" s="138">
        <v>168</v>
      </c>
      <c r="E34" s="99">
        <v>11840.000000000146</v>
      </c>
      <c r="F34" s="3">
        <v>12263635.20000015</v>
      </c>
      <c r="G34" s="35">
        <v>2320.00000000005</v>
      </c>
      <c r="H34" s="3">
        <v>3604514.4000000777</v>
      </c>
      <c r="I34" s="98">
        <f t="shared" si="5"/>
        <v>15868149.600000229</v>
      </c>
      <c r="J34" s="99">
        <v>1379.9999999999955</v>
      </c>
      <c r="K34" s="3">
        <v>1429376.3999999953</v>
      </c>
      <c r="L34" s="170">
        <v>419.99999999998749</v>
      </c>
      <c r="M34" s="171">
        <v>652541.39999998058</v>
      </c>
      <c r="N34" s="92">
        <f t="shared" si="6"/>
        <v>2081917.7999999758</v>
      </c>
      <c r="O34" s="100">
        <f t="shared" si="7"/>
        <v>17950067.400000203</v>
      </c>
      <c r="P34" s="102">
        <f t="shared" si="8"/>
        <v>15960.000000000178</v>
      </c>
      <c r="Q34" s="176"/>
      <c r="R34" s="189"/>
      <c r="S34" s="197"/>
      <c r="T34" s="194"/>
      <c r="U34" s="193">
        <v>0</v>
      </c>
      <c r="V34" s="172">
        <f t="shared" si="9"/>
        <v>806.33999999999992</v>
      </c>
      <c r="W34" s="3">
        <v>195.8</v>
      </c>
      <c r="X34" s="3">
        <v>3518623.9000000004</v>
      </c>
      <c r="Y34" s="31">
        <v>610.54</v>
      </c>
      <c r="Z34" s="31">
        <v>2591852.1971999998</v>
      </c>
      <c r="AA34" s="31">
        <f t="shared" si="0"/>
        <v>6110476.0972000007</v>
      </c>
      <c r="AB34" s="117">
        <f t="shared" si="1"/>
        <v>470.90272163648683</v>
      </c>
      <c r="AC34" s="122">
        <v>0</v>
      </c>
      <c r="AD34" s="3">
        <v>0</v>
      </c>
      <c r="AE34" s="3">
        <v>400</v>
      </c>
      <c r="AF34" s="3">
        <v>12</v>
      </c>
      <c r="AG34" s="3">
        <f t="shared" si="10"/>
        <v>412</v>
      </c>
      <c r="AH34" s="3">
        <v>6923000</v>
      </c>
      <c r="AI34" s="41">
        <f t="shared" si="3"/>
        <v>533.51972743715555</v>
      </c>
      <c r="AJ34" s="130">
        <v>88.630000000004657</v>
      </c>
      <c r="AK34" s="3">
        <v>1063560.0000000559</v>
      </c>
      <c r="AL34" s="37">
        <f t="shared" si="4"/>
        <v>81.963056668076121</v>
      </c>
      <c r="AM34" s="7"/>
    </row>
    <row r="35" spans="1:39" x14ac:dyDescent="0.35">
      <c r="A35" s="33"/>
      <c r="B35" s="56">
        <v>24</v>
      </c>
      <c r="C35" s="137">
        <v>14</v>
      </c>
      <c r="D35" s="138">
        <v>201</v>
      </c>
      <c r="E35" s="99">
        <v>11760.000000000218</v>
      </c>
      <c r="F35" s="3">
        <v>12180772.800000226</v>
      </c>
      <c r="G35" s="35">
        <v>2399.9999999999773</v>
      </c>
      <c r="H35" s="3">
        <v>3728807.9999999651</v>
      </c>
      <c r="I35" s="98">
        <f t="shared" si="5"/>
        <v>15909580.800000191</v>
      </c>
      <c r="J35" s="99">
        <v>1639.9999999999864</v>
      </c>
      <c r="K35" s="3">
        <v>1698679.1999999858</v>
      </c>
      <c r="L35" s="170">
        <v>540.00000000002046</v>
      </c>
      <c r="M35" s="171">
        <v>838981.80000003183</v>
      </c>
      <c r="N35" s="92">
        <f t="shared" si="6"/>
        <v>2537661.0000000177</v>
      </c>
      <c r="O35" s="100">
        <f t="shared" si="7"/>
        <v>18447241.800000209</v>
      </c>
      <c r="P35" s="102">
        <f t="shared" si="8"/>
        <v>16340.000000000202</v>
      </c>
      <c r="Q35" s="175"/>
      <c r="R35" s="187"/>
      <c r="S35" s="197"/>
      <c r="T35" s="194"/>
      <c r="U35" s="193">
        <v>0</v>
      </c>
      <c r="V35" s="172">
        <f t="shared" si="9"/>
        <v>700.43000000000006</v>
      </c>
      <c r="W35" s="3">
        <v>195.8</v>
      </c>
      <c r="X35" s="3">
        <v>3518623.9000000004</v>
      </c>
      <c r="Y35" s="31">
        <v>504.63</v>
      </c>
      <c r="Z35" s="31">
        <v>2142245.1834</v>
      </c>
      <c r="AA35" s="31">
        <f t="shared" si="0"/>
        <v>5660869.0833999999</v>
      </c>
      <c r="AB35" s="117">
        <f t="shared" si="1"/>
        <v>436.25383943853655</v>
      </c>
      <c r="AC35" s="122">
        <v>0</v>
      </c>
      <c r="AD35" s="3">
        <v>0</v>
      </c>
      <c r="AE35" s="3">
        <v>0</v>
      </c>
      <c r="AF35" s="3">
        <v>0</v>
      </c>
      <c r="AG35" s="3">
        <f t="shared" si="10"/>
        <v>0</v>
      </c>
      <c r="AH35" s="3">
        <v>0</v>
      </c>
      <c r="AI35" s="41">
        <f t="shared" si="3"/>
        <v>0</v>
      </c>
      <c r="AJ35" s="130">
        <v>53.790000000000873</v>
      </c>
      <c r="AK35" s="3">
        <v>645480.00000001048</v>
      </c>
      <c r="AL35" s="37">
        <f t="shared" si="4"/>
        <v>49.743798016198291</v>
      </c>
      <c r="AM35" s="7"/>
    </row>
    <row r="36" spans="1:39" x14ac:dyDescent="0.35">
      <c r="A36" s="33"/>
      <c r="B36" s="56">
        <v>25</v>
      </c>
      <c r="C36" s="137">
        <v>17</v>
      </c>
      <c r="D36" s="138">
        <v>224</v>
      </c>
      <c r="E36" s="99">
        <v>11919.999999999163</v>
      </c>
      <c r="F36" s="3">
        <v>12346497.599999133</v>
      </c>
      <c r="G36" s="35">
        <v>2480.0000000000182</v>
      </c>
      <c r="H36" s="3">
        <v>3853101.6000000285</v>
      </c>
      <c r="I36" s="98">
        <f t="shared" si="5"/>
        <v>16199599.199999161</v>
      </c>
      <c r="J36" s="99">
        <v>1920.0000000000728</v>
      </c>
      <c r="K36" s="3">
        <v>1988697.6000000753</v>
      </c>
      <c r="L36" s="170">
        <v>519.99999999998181</v>
      </c>
      <c r="M36" s="171">
        <v>807908.39999997173</v>
      </c>
      <c r="N36" s="92">
        <f t="shared" si="6"/>
        <v>2796606.000000047</v>
      </c>
      <c r="O36" s="100">
        <f t="shared" si="7"/>
        <v>18996205.199999209</v>
      </c>
      <c r="P36" s="102">
        <f t="shared" si="8"/>
        <v>16839.999999999236</v>
      </c>
      <c r="Q36" s="175"/>
      <c r="R36" s="187"/>
      <c r="S36" s="197"/>
      <c r="T36" s="194"/>
      <c r="U36" s="193">
        <v>0</v>
      </c>
      <c r="V36" s="172">
        <f t="shared" si="9"/>
        <v>721.79</v>
      </c>
      <c r="W36" s="3">
        <v>196.69</v>
      </c>
      <c r="X36" s="3">
        <v>3534617.645</v>
      </c>
      <c r="Y36" s="31">
        <v>525.1</v>
      </c>
      <c r="Z36" s="31">
        <v>2229144.0180000002</v>
      </c>
      <c r="AA36" s="31">
        <f t="shared" si="0"/>
        <v>5763761.6630000006</v>
      </c>
      <c r="AB36" s="117">
        <f t="shared" si="1"/>
        <v>444.18323724635081</v>
      </c>
      <c r="AC36" s="122">
        <v>0</v>
      </c>
      <c r="AD36" s="3">
        <v>0</v>
      </c>
      <c r="AE36" s="3">
        <v>0</v>
      </c>
      <c r="AF36" s="3">
        <v>0</v>
      </c>
      <c r="AG36" s="3">
        <f t="shared" si="10"/>
        <v>0</v>
      </c>
      <c r="AH36" s="3">
        <v>0</v>
      </c>
      <c r="AI36" s="41">
        <f t="shared" si="3"/>
        <v>0</v>
      </c>
      <c r="AJ36" s="130">
        <v>339.29999999999563</v>
      </c>
      <c r="AK36" s="3">
        <v>4071599.9999999478</v>
      </c>
      <c r="AL36" s="37">
        <f t="shared" si="4"/>
        <v>313.77710851265272</v>
      </c>
      <c r="AM36" s="7"/>
    </row>
    <row r="37" spans="1:39" x14ac:dyDescent="0.35">
      <c r="A37" s="33"/>
      <c r="B37" s="56">
        <v>26</v>
      </c>
      <c r="C37" s="137">
        <v>18</v>
      </c>
      <c r="D37" s="138">
        <v>270</v>
      </c>
      <c r="E37" s="99">
        <v>11920.000000000073</v>
      </c>
      <c r="F37" s="3">
        <v>12346497.600000074</v>
      </c>
      <c r="G37" s="35">
        <v>2480.0000000000182</v>
      </c>
      <c r="H37" s="3">
        <v>3853101.6000000285</v>
      </c>
      <c r="I37" s="98">
        <f t="shared" si="5"/>
        <v>16199599.200000104</v>
      </c>
      <c r="J37" s="99">
        <v>1979.9999999999045</v>
      </c>
      <c r="K37" s="3">
        <v>2050844.399999901</v>
      </c>
      <c r="L37" s="170">
        <v>520.00000000001023</v>
      </c>
      <c r="M37" s="171">
        <v>807908.40000001597</v>
      </c>
      <c r="N37" s="92">
        <f t="shared" si="6"/>
        <v>2858752.7999999169</v>
      </c>
      <c r="O37" s="100">
        <f t="shared" si="7"/>
        <v>19058352.000000022</v>
      </c>
      <c r="P37" s="102">
        <f t="shared" si="8"/>
        <v>16900.000000000007</v>
      </c>
      <c r="Q37" s="175"/>
      <c r="R37" s="187"/>
      <c r="S37" s="197"/>
      <c r="T37" s="194"/>
      <c r="U37" s="193">
        <v>0</v>
      </c>
      <c r="V37" s="172">
        <f t="shared" si="9"/>
        <v>728.91000000000008</v>
      </c>
      <c r="W37" s="3">
        <v>197.58</v>
      </c>
      <c r="X37" s="3">
        <v>3550611.39</v>
      </c>
      <c r="Y37" s="31">
        <v>531.33000000000004</v>
      </c>
      <c r="Z37" s="31">
        <v>2255591.4894000003</v>
      </c>
      <c r="AA37" s="31">
        <f t="shared" si="0"/>
        <v>5806202.8794</v>
      </c>
      <c r="AB37" s="117">
        <f t="shared" si="1"/>
        <v>447.45396181746582</v>
      </c>
      <c r="AC37" s="122">
        <v>0</v>
      </c>
      <c r="AD37" s="3">
        <v>0</v>
      </c>
      <c r="AE37" s="3">
        <v>0</v>
      </c>
      <c r="AF37" s="3">
        <v>12</v>
      </c>
      <c r="AG37" s="3">
        <f t="shared" si="10"/>
        <v>12</v>
      </c>
      <c r="AH37" s="3">
        <v>163000</v>
      </c>
      <c r="AI37" s="41">
        <f t="shared" si="3"/>
        <v>12.561565155605425</v>
      </c>
      <c r="AJ37" s="130">
        <v>299.56999999999971</v>
      </c>
      <c r="AK37" s="3">
        <v>3594839.9999999963</v>
      </c>
      <c r="AL37" s="37">
        <f t="shared" si="4"/>
        <v>277.03568640476419</v>
      </c>
      <c r="AM37" s="7"/>
    </row>
    <row r="38" spans="1:39" x14ac:dyDescent="0.35">
      <c r="A38" s="33"/>
      <c r="B38" s="56">
        <v>27</v>
      </c>
      <c r="C38" s="137">
        <v>22</v>
      </c>
      <c r="D38" s="138">
        <v>150</v>
      </c>
      <c r="E38" s="99">
        <v>12160.000000000764</v>
      </c>
      <c r="F38" s="3">
        <v>12595084.800000791</v>
      </c>
      <c r="G38" s="35">
        <v>2479.9999999999045</v>
      </c>
      <c r="H38" s="3">
        <v>3853101.599999852</v>
      </c>
      <c r="I38" s="98">
        <f t="shared" si="5"/>
        <v>16448186.400000643</v>
      </c>
      <c r="J38" s="99">
        <v>1640.0000000001</v>
      </c>
      <c r="K38" s="3">
        <v>1698679.2000001036</v>
      </c>
      <c r="L38" s="170">
        <v>439.99999999999773</v>
      </c>
      <c r="M38" s="171">
        <v>683614.79999999655</v>
      </c>
      <c r="N38" s="92">
        <f t="shared" si="6"/>
        <v>2382294.0000001001</v>
      </c>
      <c r="O38" s="100">
        <f t="shared" si="7"/>
        <v>18830480.400000744</v>
      </c>
      <c r="P38" s="102">
        <f t="shared" si="8"/>
        <v>16720.000000000764</v>
      </c>
      <c r="Q38" s="175"/>
      <c r="R38" s="187"/>
      <c r="S38" s="197"/>
      <c r="T38" s="194"/>
      <c r="U38" s="193">
        <v>0</v>
      </c>
      <c r="V38" s="172">
        <f t="shared" si="9"/>
        <v>581.17000000000007</v>
      </c>
      <c r="W38" s="3">
        <v>56.07</v>
      </c>
      <c r="X38" s="3">
        <v>1007605.9350000001</v>
      </c>
      <c r="Y38" s="31">
        <v>525.1</v>
      </c>
      <c r="Z38" s="31">
        <v>2229144.0180000002</v>
      </c>
      <c r="AA38" s="31">
        <f t="shared" si="0"/>
        <v>3236749.9530000002</v>
      </c>
      <c r="AB38" s="117">
        <f t="shared" si="1"/>
        <v>249.43954249700798</v>
      </c>
      <c r="AC38" s="122">
        <v>0</v>
      </c>
      <c r="AD38" s="3">
        <v>0</v>
      </c>
      <c r="AE38" s="3">
        <v>400</v>
      </c>
      <c r="AF38" s="3">
        <v>0</v>
      </c>
      <c r="AG38" s="3">
        <f t="shared" si="10"/>
        <v>400</v>
      </c>
      <c r="AH38" s="3">
        <v>6760000</v>
      </c>
      <c r="AI38" s="41">
        <f t="shared" si="3"/>
        <v>520.95816228155013</v>
      </c>
      <c r="AJ38" s="130">
        <v>187.68000000000029</v>
      </c>
      <c r="AK38" s="3">
        <v>2252160.0000000037</v>
      </c>
      <c r="AL38" s="37">
        <f t="shared" si="4"/>
        <v>173.56229804201448</v>
      </c>
      <c r="AM38" s="7"/>
    </row>
    <row r="39" spans="1:39" x14ac:dyDescent="0.35">
      <c r="A39" s="33"/>
      <c r="B39" s="56">
        <v>28</v>
      </c>
      <c r="C39" s="137">
        <v>22</v>
      </c>
      <c r="D39" s="138">
        <v>194</v>
      </c>
      <c r="E39" s="99">
        <v>11279.999999999745</v>
      </c>
      <c r="F39" s="3">
        <v>11683598.399999736</v>
      </c>
      <c r="G39" s="35">
        <v>2280.0000000000864</v>
      </c>
      <c r="H39" s="3">
        <v>3542367.6000001342</v>
      </c>
      <c r="I39" s="98">
        <f t="shared" si="5"/>
        <v>15225965.99999987</v>
      </c>
      <c r="J39" s="99">
        <v>1719.9999999999136</v>
      </c>
      <c r="K39" s="3">
        <v>1781541.5999999105</v>
      </c>
      <c r="L39" s="170">
        <v>439.99999999999773</v>
      </c>
      <c r="M39" s="171">
        <v>683614.79999999655</v>
      </c>
      <c r="N39" s="92">
        <f t="shared" si="6"/>
        <v>2465156.3999999072</v>
      </c>
      <c r="O39" s="100">
        <f t="shared" si="7"/>
        <v>17691122.399999775</v>
      </c>
      <c r="P39" s="102">
        <f t="shared" si="8"/>
        <v>15719.999999999744</v>
      </c>
      <c r="Q39" s="175"/>
      <c r="R39" s="190"/>
      <c r="S39" s="197"/>
      <c r="T39" s="194"/>
      <c r="U39" s="193">
        <v>0</v>
      </c>
      <c r="V39" s="172">
        <f t="shared" si="9"/>
        <v>859.74</v>
      </c>
      <c r="W39" s="3">
        <v>186.9</v>
      </c>
      <c r="X39" s="3">
        <v>3358686.45</v>
      </c>
      <c r="Y39" s="31">
        <v>672.84</v>
      </c>
      <c r="Z39" s="31">
        <v>2856326.9112000004</v>
      </c>
      <c r="AA39" s="31">
        <f t="shared" si="0"/>
        <v>6215013.3612000011</v>
      </c>
      <c r="AB39" s="117">
        <f t="shared" si="1"/>
        <v>478.95886674645453</v>
      </c>
      <c r="AC39" s="122">
        <v>0</v>
      </c>
      <c r="AD39" s="3">
        <v>0</v>
      </c>
      <c r="AE39" s="3">
        <v>0</v>
      </c>
      <c r="AF39" s="3">
        <v>12</v>
      </c>
      <c r="AG39" s="3">
        <f t="shared" si="10"/>
        <v>12</v>
      </c>
      <c r="AH39" s="3">
        <v>163000</v>
      </c>
      <c r="AI39" s="41">
        <f t="shared" si="3"/>
        <v>12.561565155605425</v>
      </c>
      <c r="AJ39" s="130">
        <v>219.32000000001426</v>
      </c>
      <c r="AK39" s="3">
        <v>2631840.0000001714</v>
      </c>
      <c r="AL39" s="37">
        <f t="shared" si="4"/>
        <v>202.82226772472842</v>
      </c>
      <c r="AM39" s="7"/>
    </row>
    <row r="40" spans="1:39" x14ac:dyDescent="0.35">
      <c r="A40" s="33"/>
      <c r="B40" s="56">
        <v>29</v>
      </c>
      <c r="C40" s="137">
        <v>24</v>
      </c>
      <c r="D40" s="138">
        <v>190</v>
      </c>
      <c r="E40" s="99">
        <v>11599.999999999454</v>
      </c>
      <c r="F40" s="3">
        <v>12015047.999999434</v>
      </c>
      <c r="G40" s="35">
        <v>2519.9999999999818</v>
      </c>
      <c r="H40" s="3">
        <v>3915248.399999972</v>
      </c>
      <c r="I40" s="98">
        <f t="shared" si="5"/>
        <v>15930296.399999406</v>
      </c>
      <c r="J40" s="99">
        <v>1519.9999999999818</v>
      </c>
      <c r="K40" s="3">
        <v>1574385.5999999812</v>
      </c>
      <c r="L40" s="170">
        <v>439.99999999999773</v>
      </c>
      <c r="M40" s="171">
        <v>683614.79999999655</v>
      </c>
      <c r="N40" s="92">
        <f t="shared" si="6"/>
        <v>2258000.399999978</v>
      </c>
      <c r="O40" s="100">
        <f t="shared" ref="O40:O41" si="11">N40+I40</f>
        <v>18188296.799999386</v>
      </c>
      <c r="P40" s="102">
        <f t="shared" ref="P40:P42" si="12">L40+J40+G40+E40</f>
        <v>16079.999999999416</v>
      </c>
      <c r="Q40" s="176"/>
      <c r="R40" s="191"/>
      <c r="S40" s="197"/>
      <c r="T40" s="194"/>
      <c r="U40" s="193">
        <v>0</v>
      </c>
      <c r="V40" s="172">
        <f t="shared" si="9"/>
        <v>759.17</v>
      </c>
      <c r="W40" s="3">
        <v>193.13</v>
      </c>
      <c r="X40" s="3">
        <v>3470642.665</v>
      </c>
      <c r="Y40" s="31">
        <v>566.04</v>
      </c>
      <c r="Z40" s="31">
        <v>2402941.6872</v>
      </c>
      <c r="AA40" s="31">
        <f t="shared" ref="AA40:AA41" si="13">Z40+X40</f>
        <v>5873584.3521999996</v>
      </c>
      <c r="AB40" s="117">
        <f t="shared" si="1"/>
        <v>452.64670268162439</v>
      </c>
      <c r="AC40" s="122">
        <v>0</v>
      </c>
      <c r="AD40" s="3">
        <v>0</v>
      </c>
      <c r="AE40" s="3">
        <v>800</v>
      </c>
      <c r="AF40" s="3">
        <v>0</v>
      </c>
      <c r="AG40" s="3">
        <f t="shared" si="10"/>
        <v>800</v>
      </c>
      <c r="AH40" s="3">
        <v>13520000</v>
      </c>
      <c r="AI40" s="41">
        <f t="shared" si="3"/>
        <v>1041.9163245631003</v>
      </c>
      <c r="AJ40" s="130">
        <v>367.62999999999738</v>
      </c>
      <c r="AK40" s="3">
        <v>4411559.9999999683</v>
      </c>
      <c r="AL40" s="37">
        <f t="shared" si="4"/>
        <v>339.9760636678667</v>
      </c>
      <c r="AM40" s="7"/>
    </row>
    <row r="41" spans="1:39" ht="17.25" customHeight="1" x14ac:dyDescent="0.35">
      <c r="A41" s="33"/>
      <c r="B41" s="56">
        <v>30</v>
      </c>
      <c r="C41" s="137">
        <v>25</v>
      </c>
      <c r="D41" s="138">
        <v>175</v>
      </c>
      <c r="E41" s="99">
        <v>9960.0000000000364</v>
      </c>
      <c r="F41" s="3">
        <v>10316368.800000038</v>
      </c>
      <c r="G41" s="35">
        <v>2199.9999999999318</v>
      </c>
      <c r="H41" s="3">
        <v>3418073.9999998943</v>
      </c>
      <c r="I41" s="98">
        <f t="shared" si="5"/>
        <v>13734442.799999932</v>
      </c>
      <c r="J41" s="99">
        <v>1600.0000000000227</v>
      </c>
      <c r="K41" s="3">
        <v>1657248.0000000235</v>
      </c>
      <c r="L41" s="170">
        <v>460.00000000000796</v>
      </c>
      <c r="M41" s="171">
        <v>714688.20000001241</v>
      </c>
      <c r="N41" s="92">
        <f t="shared" si="6"/>
        <v>2371936.200000036</v>
      </c>
      <c r="O41" s="100">
        <f t="shared" si="11"/>
        <v>16106378.999999968</v>
      </c>
      <c r="P41" s="102">
        <f t="shared" si="12"/>
        <v>14220</v>
      </c>
      <c r="Q41" s="175"/>
      <c r="R41" s="192"/>
      <c r="S41" s="197"/>
      <c r="T41" s="194"/>
      <c r="U41" s="193">
        <v>0</v>
      </c>
      <c r="V41" s="172">
        <f t="shared" si="9"/>
        <v>735.1400000000001</v>
      </c>
      <c r="W41" s="3">
        <v>197.58</v>
      </c>
      <c r="X41" s="3">
        <v>3550611.39</v>
      </c>
      <c r="Y41" s="31">
        <v>537.56000000000006</v>
      </c>
      <c r="Z41" s="31">
        <v>2282038.9608000005</v>
      </c>
      <c r="AA41" s="31">
        <f t="shared" si="13"/>
        <v>5832650.3508000001</v>
      </c>
      <c r="AB41" s="117">
        <f t="shared" si="1"/>
        <v>449.4921313585217</v>
      </c>
      <c r="AC41" s="122">
        <v>0</v>
      </c>
      <c r="AD41" s="3">
        <v>0</v>
      </c>
      <c r="AE41" s="3">
        <v>0</v>
      </c>
      <c r="AF41" s="3">
        <v>24</v>
      </c>
      <c r="AG41" s="3">
        <f>+AE41+AF41</f>
        <v>24</v>
      </c>
      <c r="AH41" s="3">
        <v>326000</v>
      </c>
      <c r="AI41" s="41">
        <f t="shared" si="3"/>
        <v>25.123130311210851</v>
      </c>
      <c r="AJ41" s="130">
        <v>64.160000000003492</v>
      </c>
      <c r="AK41" s="3">
        <v>769920.00000004191</v>
      </c>
      <c r="AL41" s="37">
        <f t="shared" si="4"/>
        <v>59.333743831927947</v>
      </c>
      <c r="AM41" s="7"/>
    </row>
    <row r="42" spans="1:39" ht="16" thickBot="1" x14ac:dyDescent="0.4">
      <c r="A42" s="33"/>
      <c r="B42" s="112">
        <v>31</v>
      </c>
      <c r="C42" s="205">
        <v>38</v>
      </c>
      <c r="D42" s="206">
        <v>197</v>
      </c>
      <c r="E42" s="207">
        <v>11440.000000000509</v>
      </c>
      <c r="F42" s="93">
        <v>11849323.200000526</v>
      </c>
      <c r="G42" s="208">
        <v>2400.0000000000909</v>
      </c>
      <c r="H42" s="93">
        <v>3728808.0000001416</v>
      </c>
      <c r="I42" s="225">
        <f t="shared" si="5"/>
        <v>15578131.200000668</v>
      </c>
      <c r="J42" s="207">
        <v>1560.0000000000591</v>
      </c>
      <c r="K42" s="93">
        <v>1615816.8000000613</v>
      </c>
      <c r="L42" s="209">
        <v>500</v>
      </c>
      <c r="M42" s="210">
        <v>776835</v>
      </c>
      <c r="N42" s="222">
        <f t="shared" ref="N42" si="14">+K42+M42</f>
        <v>2392651.8000000613</v>
      </c>
      <c r="O42" s="223">
        <f t="shared" ref="O42" si="15">N42+I42</f>
        <v>17970783.00000073</v>
      </c>
      <c r="P42" s="224">
        <f t="shared" si="12"/>
        <v>15900.000000000658</v>
      </c>
      <c r="Q42" s="211"/>
      <c r="R42" s="212"/>
      <c r="S42" s="198"/>
      <c r="T42" s="198"/>
      <c r="U42" s="213"/>
      <c r="V42" s="219">
        <f t="shared" si="9"/>
        <v>880.21</v>
      </c>
      <c r="W42" s="93">
        <v>197.58</v>
      </c>
      <c r="X42" s="93">
        <v>3550611.39</v>
      </c>
      <c r="Y42" s="214">
        <v>682.63</v>
      </c>
      <c r="Z42" s="214">
        <v>2897887.2234</v>
      </c>
      <c r="AA42" s="220">
        <f t="shared" ref="AA42" si="16">Z42+X42</f>
        <v>6448498.6134000001</v>
      </c>
      <c r="AB42" s="221">
        <f t="shared" ref="AB42" si="17">AA42/$AL$47</f>
        <v>496.95236495739471</v>
      </c>
      <c r="AC42" s="93"/>
      <c r="AD42" s="93"/>
      <c r="AE42" s="93">
        <v>0</v>
      </c>
      <c r="AF42" s="93">
        <v>0</v>
      </c>
      <c r="AG42" s="93">
        <f>+AE42+AF42</f>
        <v>0</v>
      </c>
      <c r="AH42" s="93">
        <v>75841.721639865194</v>
      </c>
      <c r="AI42" s="216">
        <f t="shared" si="3"/>
        <v>5.8447283919782613</v>
      </c>
      <c r="AJ42" s="215">
        <v>313.90999999999622</v>
      </c>
      <c r="AK42" s="93">
        <v>3766919.9999999544</v>
      </c>
      <c r="AL42" s="216">
        <f t="shared" si="4"/>
        <v>290.29700009786882</v>
      </c>
      <c r="AM42" s="7"/>
    </row>
    <row r="43" spans="1:39" s="8" customFormat="1" ht="4.5" customHeight="1" x14ac:dyDescent="0.35">
      <c r="A43" s="15"/>
      <c r="B43" s="107"/>
      <c r="C43" s="108"/>
      <c r="D43" s="108"/>
      <c r="E43" s="106"/>
      <c r="F43" s="7"/>
      <c r="G43" s="15"/>
      <c r="H43" s="7"/>
      <c r="I43" s="15"/>
      <c r="J43" s="15"/>
      <c r="K43" s="15"/>
      <c r="L43" s="7"/>
      <c r="M43" s="60"/>
      <c r="N43" s="64"/>
      <c r="O43" s="15"/>
      <c r="P43" s="64"/>
      <c r="Q43" s="15"/>
      <c r="R43" s="84"/>
      <c r="S43" s="7"/>
      <c r="T43" s="15"/>
      <c r="U43" s="32"/>
      <c r="V43" s="118"/>
      <c r="W43" s="15"/>
      <c r="X43" s="15"/>
      <c r="Y43" s="15"/>
      <c r="Z43" s="15"/>
      <c r="AA43" s="15"/>
      <c r="AB43" s="32"/>
      <c r="AC43" s="15"/>
      <c r="AD43" s="7"/>
      <c r="AE43" s="15"/>
      <c r="AF43" s="15"/>
      <c r="AG43" s="15"/>
      <c r="AH43" s="15"/>
      <c r="AI43" s="15"/>
      <c r="AJ43" s="84"/>
      <c r="AK43" s="15"/>
      <c r="AL43" s="32"/>
      <c r="AM43" s="15"/>
    </row>
    <row r="44" spans="1:39" s="8" customFormat="1" ht="6" customHeight="1" x14ac:dyDescent="0.35">
      <c r="A44" s="15"/>
      <c r="B44" s="107"/>
      <c r="C44" s="108"/>
      <c r="D44" s="108"/>
      <c r="E44" s="106"/>
      <c r="F44" s="7"/>
      <c r="G44" s="15"/>
      <c r="H44" s="7"/>
      <c r="I44" s="15"/>
      <c r="J44" s="15"/>
      <c r="K44" s="15"/>
      <c r="L44" s="7"/>
      <c r="M44" s="60"/>
      <c r="N44" s="64"/>
      <c r="O44" s="15"/>
      <c r="P44" s="64"/>
      <c r="Q44" s="15"/>
      <c r="R44" s="84"/>
      <c r="S44" s="16"/>
      <c r="T44" s="16"/>
      <c r="U44" s="32"/>
      <c r="V44" s="118"/>
      <c r="W44" s="15"/>
      <c r="X44" s="15"/>
      <c r="Y44" s="15"/>
      <c r="Z44" s="15"/>
      <c r="AA44" s="15"/>
      <c r="AB44" s="119"/>
      <c r="AC44" s="15"/>
      <c r="AD44" s="7"/>
      <c r="AE44" s="15"/>
      <c r="AF44" s="15"/>
      <c r="AG44" s="15"/>
      <c r="AH44" s="7"/>
      <c r="AI44" s="15"/>
      <c r="AJ44" s="86"/>
      <c r="AK44" s="5"/>
      <c r="AL44" s="38"/>
      <c r="AM44" s="15"/>
    </row>
    <row r="45" spans="1:39" s="8" customFormat="1" ht="16" thickBot="1" x14ac:dyDescent="0.4">
      <c r="A45" s="15"/>
      <c r="B45" s="109"/>
      <c r="C45" s="110"/>
      <c r="D45" s="110"/>
      <c r="E45" s="111"/>
      <c r="F45" s="70"/>
      <c r="G45" s="69"/>
      <c r="H45" s="70"/>
      <c r="I45" s="69"/>
      <c r="J45" s="69"/>
      <c r="K45" s="69"/>
      <c r="L45" s="70"/>
      <c r="M45" s="71"/>
      <c r="N45" s="72"/>
      <c r="O45" s="69"/>
      <c r="P45" s="72"/>
      <c r="Q45" s="69"/>
      <c r="R45" s="85"/>
      <c r="S45" s="73"/>
      <c r="T45" s="69"/>
      <c r="U45" s="173"/>
      <c r="V45" s="120"/>
      <c r="W45" s="75"/>
      <c r="X45" s="69"/>
      <c r="Y45" s="69"/>
      <c r="Z45" s="69"/>
      <c r="AA45" s="69"/>
      <c r="AB45" s="74"/>
      <c r="AC45" s="76"/>
      <c r="AD45" s="70"/>
      <c r="AE45" s="76"/>
      <c r="AF45" s="76"/>
      <c r="AG45" s="76"/>
      <c r="AH45" s="70"/>
      <c r="AI45" s="69"/>
      <c r="AJ45" s="131"/>
      <c r="AK45" s="77"/>
      <c r="AL45" s="78"/>
      <c r="AM45" s="15"/>
    </row>
    <row r="46" spans="1:39" ht="16.5" thickTop="1" thickBot="1" x14ac:dyDescent="0.4">
      <c r="A46" s="24"/>
      <c r="B46" s="67"/>
      <c r="C46" s="68">
        <f t="shared" ref="C46:P46" si="18">SUM(C12:C42)</f>
        <v>663</v>
      </c>
      <c r="D46" s="68">
        <f t="shared" si="18"/>
        <v>5495</v>
      </c>
      <c r="E46" s="68">
        <f t="shared" si="18"/>
        <v>358080.00000000006</v>
      </c>
      <c r="F46" s="68">
        <f t="shared" si="18"/>
        <v>370892102.39999992</v>
      </c>
      <c r="G46" s="68">
        <f t="shared" si="18"/>
        <v>74960</v>
      </c>
      <c r="H46" s="68">
        <f t="shared" si="18"/>
        <v>116463103.20000005</v>
      </c>
      <c r="I46" s="68">
        <f t="shared" si="18"/>
        <v>487355205.59999996</v>
      </c>
      <c r="J46" s="68">
        <f t="shared" si="18"/>
        <v>49560.000000000007</v>
      </c>
      <c r="K46" s="68">
        <f t="shared" si="18"/>
        <v>51333256.800000004</v>
      </c>
      <c r="L46" s="68">
        <f t="shared" si="18"/>
        <v>14020.000000000011</v>
      </c>
      <c r="M46" s="68">
        <f t="shared" si="18"/>
        <v>21782453.400000017</v>
      </c>
      <c r="N46" s="68">
        <f t="shared" si="18"/>
        <v>73115710.200000018</v>
      </c>
      <c r="O46" s="68">
        <f t="shared" si="18"/>
        <v>560470915.79999995</v>
      </c>
      <c r="P46" s="80">
        <f t="shared" si="18"/>
        <v>496619.99999999988</v>
      </c>
      <c r="Q46" s="174" t="e">
        <f>+#REF!</f>
        <v>#REF!</v>
      </c>
      <c r="R46" s="113" t="e">
        <f>+#REF!</f>
        <v>#REF!</v>
      </c>
      <c r="S46" s="105" t="e">
        <f>Q46+P46</f>
        <v>#REF!</v>
      </c>
      <c r="T46" s="105" t="e">
        <f>R46+O46</f>
        <v>#REF!</v>
      </c>
      <c r="U46" s="125" t="e">
        <f>T46/AL47</f>
        <v>#REF!</v>
      </c>
      <c r="V46" s="163">
        <f>SUM(V12:V42)</f>
        <v>25453.999999999996</v>
      </c>
      <c r="W46" s="50">
        <f>SUM(W12:W42)</f>
        <v>5494.8599999999988</v>
      </c>
      <c r="X46" s="50">
        <f t="shared" ref="X46" si="19">SUM(X12:X41)</f>
        <v>95194770.240000024</v>
      </c>
      <c r="Y46" s="50">
        <f>SUM(Y12:Y42)</f>
        <v>19959.140000000003</v>
      </c>
      <c r="Z46" s="50">
        <f>SUM(Z12:Z42)</f>
        <v>84730141.945200026</v>
      </c>
      <c r="AA46" s="124">
        <f>SUM(AA12:AA42)</f>
        <v>183475523.57520002</v>
      </c>
      <c r="AB46" s="114">
        <f>AA46/$AL$47</f>
        <v>14139.507630973585</v>
      </c>
      <c r="AC46" s="42">
        <f>SUM(AC12:AC41)</f>
        <v>0</v>
      </c>
      <c r="AD46" s="126">
        <f>SUM(AD12:AD41)</f>
        <v>0</v>
      </c>
      <c r="AE46" s="42">
        <f>SUM(AE12:AE42)</f>
        <v>2950</v>
      </c>
      <c r="AF46" s="42">
        <f>SUM(AF12:AF42)</f>
        <v>120</v>
      </c>
      <c r="AG46" s="196">
        <f>SUM(AG12:AG42)</f>
        <v>3070</v>
      </c>
      <c r="AH46" s="134">
        <f>SUM(AH12:AH42)</f>
        <v>59439117.66115997</v>
      </c>
      <c r="AI46" s="135">
        <f>AH46/$AL$47</f>
        <v>4580.6647195850192</v>
      </c>
      <c r="AJ46" s="195">
        <f>SUM(AJ12:AJ42)</f>
        <v>8262.7499999999418</v>
      </c>
      <c r="AK46" s="132">
        <f>SUM(AK12:AK42)</f>
        <v>99152999.999999315</v>
      </c>
      <c r="AL46" s="133">
        <f>AK46/AL47</f>
        <v>7641.2077906364175</v>
      </c>
      <c r="AM46" s="24"/>
    </row>
    <row r="47" spans="1:39" s="1" customFormat="1" x14ac:dyDescent="0.35">
      <c r="A47" s="24"/>
      <c r="B47" s="24"/>
      <c r="C47" s="5"/>
      <c r="D47" s="11"/>
      <c r="E47" s="5"/>
      <c r="F47" s="5"/>
      <c r="G47" s="11"/>
      <c r="H47" s="5"/>
      <c r="I47" s="9"/>
      <c r="J47" s="9"/>
      <c r="K47" s="9"/>
      <c r="L47" s="17"/>
      <c r="M47" s="61"/>
      <c r="N47" s="65"/>
      <c r="O47" s="10"/>
      <c r="P47" s="65"/>
      <c r="Q47" s="10"/>
      <c r="R47" s="104"/>
      <c r="S47" s="14"/>
      <c r="T47" s="79" t="s">
        <v>29</v>
      </c>
      <c r="U47" s="139" t="e">
        <f>U46/S46</f>
        <v>#REF!</v>
      </c>
      <c r="V47" s="177" t="s">
        <v>52</v>
      </c>
      <c r="W47" s="11"/>
      <c r="X47" s="11"/>
      <c r="Y47" s="127"/>
      <c r="Z47" s="11"/>
      <c r="AA47" s="11"/>
      <c r="AB47" s="11"/>
      <c r="AC47" s="16"/>
      <c r="AD47" s="7"/>
      <c r="AE47" s="16"/>
      <c r="AF47" s="16"/>
      <c r="AG47" s="7"/>
      <c r="AH47" s="201"/>
      <c r="AI47" s="11"/>
      <c r="AJ47" s="86"/>
      <c r="AK47" s="11" t="s">
        <v>54</v>
      </c>
      <c r="AL47" s="136">
        <v>12976.09</v>
      </c>
      <c r="AM47" s="24"/>
    </row>
    <row r="48" spans="1:39" s="1" customFormat="1" x14ac:dyDescent="0.35">
      <c r="A48" s="24"/>
      <c r="B48" s="24"/>
      <c r="C48" s="5"/>
      <c r="D48" s="11"/>
      <c r="E48" s="5"/>
      <c r="F48" s="5"/>
      <c r="G48" s="11"/>
      <c r="H48" s="5"/>
      <c r="I48" s="9"/>
      <c r="J48" s="9"/>
      <c r="K48" s="9"/>
      <c r="L48" s="17"/>
      <c r="M48" s="61"/>
      <c r="N48" s="65"/>
      <c r="O48" s="10"/>
      <c r="P48" s="65"/>
      <c r="Q48" s="10"/>
      <c r="R48" s="104"/>
      <c r="S48" s="14"/>
      <c r="T48" s="202"/>
      <c r="U48" s="139"/>
      <c r="V48" s="177"/>
      <c r="W48" s="200"/>
      <c r="X48" s="200"/>
      <c r="Y48" s="127"/>
      <c r="Z48" s="200"/>
      <c r="AA48" s="11"/>
      <c r="AB48" s="11"/>
      <c r="AC48" s="16"/>
      <c r="AD48" s="7"/>
      <c r="AE48" s="16"/>
      <c r="AF48" s="16"/>
      <c r="AG48" s="7"/>
      <c r="AH48" s="201"/>
      <c r="AI48" s="11"/>
      <c r="AJ48" s="86"/>
      <c r="AK48" s="11"/>
      <c r="AL48" s="136"/>
      <c r="AM48" s="24"/>
    </row>
    <row r="49" spans="1:39" s="1" customFormat="1" x14ac:dyDescent="0.35">
      <c r="A49" s="24"/>
      <c r="B49" s="24"/>
      <c r="C49" s="5"/>
      <c r="D49" s="11"/>
      <c r="E49" s="5"/>
      <c r="F49" s="5"/>
      <c r="G49" s="11"/>
      <c r="H49" s="5"/>
      <c r="I49" s="9"/>
      <c r="J49" s="9"/>
      <c r="K49" s="9"/>
      <c r="L49" s="17"/>
      <c r="M49" s="61"/>
      <c r="N49" s="65"/>
      <c r="O49" s="10"/>
      <c r="P49" s="65"/>
      <c r="Q49" s="10"/>
      <c r="R49" s="104"/>
      <c r="S49" s="14"/>
      <c r="T49" s="79"/>
      <c r="U49" s="139"/>
      <c r="V49" s="177"/>
      <c r="W49" s="11"/>
      <c r="X49" s="11"/>
      <c r="Y49" s="127"/>
      <c r="Z49" s="200">
        <f>Z12/Y12</f>
        <v>4245.18</v>
      </c>
      <c r="AA49" s="11"/>
      <c r="AB49" s="11"/>
      <c r="AC49" s="16"/>
      <c r="AD49" s="7"/>
      <c r="AE49" s="16"/>
      <c r="AF49" s="16"/>
      <c r="AG49" s="218"/>
      <c r="AH49" s="201"/>
      <c r="AI49" s="11"/>
      <c r="AJ49" s="86"/>
      <c r="AK49" s="11"/>
      <c r="AL49" s="136"/>
      <c r="AM49" s="24"/>
    </row>
    <row r="50" spans="1:39" s="180" customFormat="1" x14ac:dyDescent="0.35">
      <c r="A50" s="178"/>
      <c r="B50" s="178"/>
      <c r="C50" s="179"/>
      <c r="E50" s="179"/>
      <c r="F50" s="179"/>
      <c r="H50" s="179"/>
      <c r="L50" s="179"/>
      <c r="M50" s="181"/>
      <c r="N50" s="182"/>
      <c r="P50" s="182"/>
      <c r="R50" s="183"/>
      <c r="T50" s="199"/>
      <c r="Y50" s="217"/>
      <c r="Z50" s="200">
        <f t="shared" ref="Z50:Z54" si="20">Z13/Y13</f>
        <v>4245.18</v>
      </c>
      <c r="AD50" s="179"/>
      <c r="AG50" s="199"/>
      <c r="AH50" s="179"/>
      <c r="AJ50" s="183"/>
      <c r="AL50" s="184"/>
      <c r="AM50" s="178"/>
    </row>
    <row r="51" spans="1:39" s="180" customFormat="1" x14ac:dyDescent="0.35">
      <c r="A51" s="178"/>
      <c r="B51" s="178"/>
      <c r="C51" s="179"/>
      <c r="E51" s="179"/>
      <c r="F51" s="179"/>
      <c r="H51" s="179"/>
      <c r="L51" s="179"/>
      <c r="M51" s="181"/>
      <c r="N51" s="182"/>
      <c r="P51" s="182"/>
      <c r="R51" s="183"/>
      <c r="S51" s="199"/>
      <c r="T51" s="199"/>
      <c r="Z51" s="200">
        <f t="shared" si="20"/>
        <v>4245.18</v>
      </c>
      <c r="AD51" s="179"/>
      <c r="AH51" s="179"/>
      <c r="AJ51" s="183"/>
      <c r="AL51" s="184"/>
      <c r="AM51" s="178"/>
    </row>
    <row r="52" spans="1:39" s="180" customFormat="1" x14ac:dyDescent="0.35">
      <c r="A52" s="178"/>
      <c r="B52" s="178"/>
      <c r="C52" s="179"/>
      <c r="E52" s="179"/>
      <c r="F52" s="179"/>
      <c r="H52" s="179"/>
      <c r="L52" s="179"/>
      <c r="M52" s="181"/>
      <c r="N52" s="182"/>
      <c r="P52" s="182"/>
      <c r="R52" s="183"/>
      <c r="X52" s="199"/>
      <c r="Z52" s="200">
        <f t="shared" si="20"/>
        <v>4245.18</v>
      </c>
      <c r="AD52" s="179"/>
      <c r="AH52" s="179"/>
      <c r="AJ52" s="183"/>
      <c r="AL52" s="184"/>
      <c r="AM52" s="178"/>
    </row>
    <row r="53" spans="1:39" s="180" customFormat="1" x14ac:dyDescent="0.35">
      <c r="A53" s="178"/>
      <c r="B53" s="178"/>
      <c r="C53" s="179"/>
      <c r="E53" s="179"/>
      <c r="F53" s="179"/>
      <c r="H53" s="179"/>
      <c r="L53" s="179"/>
      <c r="M53" s="181"/>
      <c r="N53" s="182"/>
      <c r="P53" s="182"/>
      <c r="R53" s="183"/>
      <c r="S53" s="199"/>
      <c r="Z53" s="200">
        <f t="shared" si="20"/>
        <v>4245.18</v>
      </c>
      <c r="AD53" s="179"/>
      <c r="AH53" s="179"/>
      <c r="AJ53" s="183"/>
      <c r="AL53" s="184"/>
      <c r="AM53" s="178"/>
    </row>
    <row r="54" spans="1:39" s="180" customFormat="1" x14ac:dyDescent="0.35">
      <c r="A54" s="178"/>
      <c r="B54" s="178"/>
      <c r="C54" s="179"/>
      <c r="E54" s="179"/>
      <c r="F54" s="179"/>
      <c r="H54" s="179"/>
      <c r="L54" s="179"/>
      <c r="M54" s="181"/>
      <c r="N54" s="182"/>
      <c r="P54" s="182"/>
      <c r="R54" s="183"/>
      <c r="T54" s="199"/>
      <c r="Z54" s="200">
        <f t="shared" si="20"/>
        <v>4245.18</v>
      </c>
      <c r="AD54" s="179"/>
      <c r="AH54" s="179"/>
      <c r="AJ54" s="183"/>
      <c r="AL54" s="184"/>
      <c r="AM54" s="178"/>
    </row>
    <row r="55" spans="1:39" s="180" customFormat="1" x14ac:dyDescent="0.35">
      <c r="A55" s="178"/>
      <c r="B55" s="178"/>
      <c r="C55" s="179"/>
      <c r="E55" s="179"/>
      <c r="F55" s="179"/>
      <c r="H55" s="179"/>
      <c r="L55" s="179"/>
      <c r="M55" s="181"/>
      <c r="N55" s="182"/>
      <c r="P55" s="182"/>
      <c r="R55" s="183"/>
      <c r="AD55" s="179"/>
      <c r="AH55" s="179"/>
      <c r="AJ55" s="183"/>
      <c r="AL55" s="184"/>
      <c r="AM55" s="178"/>
    </row>
    <row r="56" spans="1:39" s="180" customFormat="1" x14ac:dyDescent="0.35">
      <c r="A56" s="178"/>
      <c r="B56" s="178"/>
      <c r="C56" s="179"/>
      <c r="E56" s="179"/>
      <c r="F56" s="179"/>
      <c r="H56" s="179"/>
      <c r="L56" s="179"/>
      <c r="M56" s="181"/>
      <c r="N56" s="182"/>
      <c r="P56" s="182"/>
      <c r="R56" s="183"/>
      <c r="AD56" s="179"/>
      <c r="AH56" s="179"/>
      <c r="AJ56" s="183"/>
      <c r="AL56" s="184"/>
      <c r="AM56" s="178"/>
    </row>
    <row r="57" spans="1:39" s="180" customFormat="1" x14ac:dyDescent="0.35">
      <c r="A57" s="178"/>
      <c r="B57" s="178"/>
      <c r="C57" s="179"/>
      <c r="E57" s="179"/>
      <c r="F57" s="179"/>
      <c r="H57" s="179"/>
      <c r="L57" s="179"/>
      <c r="M57" s="181"/>
      <c r="N57" s="182"/>
      <c r="P57" s="182"/>
      <c r="R57" s="183"/>
      <c r="AD57" s="179"/>
      <c r="AH57" s="179"/>
      <c r="AJ57" s="183"/>
      <c r="AL57" s="184"/>
      <c r="AM57" s="178"/>
    </row>
    <row r="58" spans="1:39" s="180" customFormat="1" x14ac:dyDescent="0.35">
      <c r="A58" s="178"/>
      <c r="B58" s="178"/>
      <c r="C58" s="179"/>
      <c r="E58" s="179"/>
      <c r="F58" s="179"/>
      <c r="H58" s="179"/>
      <c r="L58" s="179"/>
      <c r="M58" s="181"/>
      <c r="N58" s="182"/>
      <c r="P58" s="182"/>
      <c r="R58" s="183"/>
      <c r="AD58" s="179"/>
      <c r="AH58" s="179"/>
      <c r="AJ58" s="183"/>
      <c r="AL58" s="184"/>
      <c r="AM58" s="178"/>
    </row>
    <row r="59" spans="1:39" s="180" customFormat="1" x14ac:dyDescent="0.35">
      <c r="A59" s="178"/>
      <c r="B59" s="178"/>
      <c r="C59" s="179"/>
      <c r="E59" s="179"/>
      <c r="F59" s="179"/>
      <c r="H59" s="179"/>
      <c r="L59" s="179"/>
      <c r="M59" s="181"/>
      <c r="N59" s="182"/>
      <c r="P59" s="182"/>
      <c r="R59" s="183"/>
      <c r="AD59" s="179"/>
      <c r="AH59" s="179"/>
      <c r="AJ59" s="183"/>
      <c r="AL59" s="184"/>
      <c r="AM59" s="178"/>
    </row>
    <row r="60" spans="1:39" s="180" customFormat="1" x14ac:dyDescent="0.35">
      <c r="A60" s="178"/>
      <c r="B60" s="178"/>
      <c r="C60" s="179"/>
      <c r="E60" s="179"/>
      <c r="F60" s="179"/>
      <c r="H60" s="179"/>
      <c r="L60" s="179"/>
      <c r="M60" s="181"/>
      <c r="N60" s="182"/>
      <c r="P60" s="182"/>
      <c r="R60" s="183"/>
      <c r="AD60" s="179"/>
      <c r="AH60" s="179"/>
      <c r="AJ60" s="183"/>
      <c r="AL60" s="184"/>
      <c r="AM60" s="178"/>
    </row>
    <row r="61" spans="1:39" s="180" customFormat="1" x14ac:dyDescent="0.35">
      <c r="A61" s="178"/>
      <c r="B61" s="178"/>
      <c r="C61" s="179"/>
      <c r="E61" s="179"/>
      <c r="F61" s="179"/>
      <c r="H61" s="179"/>
      <c r="L61" s="179"/>
      <c r="M61" s="181"/>
      <c r="N61" s="182"/>
      <c r="P61" s="182"/>
      <c r="R61" s="183"/>
      <c r="AD61" s="179"/>
      <c r="AH61" s="179"/>
      <c r="AJ61" s="183"/>
      <c r="AL61" s="184"/>
      <c r="AM61" s="178"/>
    </row>
    <row r="62" spans="1:39" s="180" customFormat="1" x14ac:dyDescent="0.35">
      <c r="A62" s="178"/>
      <c r="B62" s="178"/>
      <c r="C62" s="179"/>
      <c r="E62" s="179"/>
      <c r="F62" s="179"/>
      <c r="H62" s="179"/>
      <c r="I62" s="179"/>
      <c r="J62" s="179"/>
      <c r="L62" s="179"/>
      <c r="M62" s="181"/>
      <c r="N62" s="182"/>
      <c r="P62" s="182"/>
      <c r="R62" s="183"/>
      <c r="AD62" s="179"/>
      <c r="AH62" s="179"/>
      <c r="AJ62" s="183"/>
      <c r="AL62" s="184"/>
      <c r="AM62" s="178"/>
    </row>
    <row r="63" spans="1:39" s="180" customFormat="1" x14ac:dyDescent="0.35">
      <c r="A63" s="178"/>
      <c r="B63" s="178"/>
      <c r="C63" s="179"/>
      <c r="E63" s="179"/>
      <c r="F63" s="179"/>
      <c r="H63" s="179"/>
      <c r="L63" s="179"/>
      <c r="M63" s="181"/>
      <c r="N63" s="182"/>
      <c r="P63" s="182"/>
      <c r="R63" s="183"/>
      <c r="AD63" s="179"/>
      <c r="AH63" s="179"/>
      <c r="AJ63" s="183"/>
      <c r="AL63" s="184"/>
      <c r="AM63" s="178"/>
    </row>
    <row r="64" spans="1:39" s="180" customFormat="1" x14ac:dyDescent="0.35">
      <c r="A64" s="178"/>
      <c r="B64" s="178"/>
      <c r="C64" s="179"/>
      <c r="E64" s="179"/>
      <c r="F64" s="179"/>
      <c r="H64" s="179"/>
      <c r="L64" s="179"/>
      <c r="M64" s="181"/>
      <c r="N64" s="182"/>
      <c r="P64" s="182"/>
      <c r="R64" s="183"/>
      <c r="AD64" s="179"/>
      <c r="AH64" s="179"/>
      <c r="AJ64" s="183"/>
      <c r="AL64" s="184"/>
      <c r="AM64" s="178"/>
    </row>
    <row r="65" spans="1:39" s="180" customFormat="1" x14ac:dyDescent="0.35">
      <c r="A65" s="178"/>
      <c r="B65" s="178"/>
      <c r="C65" s="179"/>
      <c r="E65" s="179"/>
      <c r="F65" s="179"/>
      <c r="H65" s="179"/>
      <c r="L65" s="179"/>
      <c r="M65" s="181"/>
      <c r="N65" s="182"/>
      <c r="P65" s="182"/>
      <c r="R65" s="183"/>
      <c r="AD65" s="179"/>
      <c r="AH65" s="179"/>
      <c r="AJ65" s="183"/>
      <c r="AL65" s="184"/>
      <c r="AM65" s="178"/>
    </row>
    <row r="66" spans="1:39" s="180" customFormat="1" x14ac:dyDescent="0.35">
      <c r="A66" s="178"/>
      <c r="B66" s="178"/>
      <c r="C66" s="179"/>
      <c r="E66" s="179"/>
      <c r="F66" s="179"/>
      <c r="H66" s="179"/>
      <c r="L66" s="179"/>
      <c r="M66" s="181"/>
      <c r="N66" s="182"/>
      <c r="P66" s="182"/>
      <c r="R66" s="183"/>
      <c r="AD66" s="179"/>
      <c r="AH66" s="179"/>
      <c r="AJ66" s="183"/>
      <c r="AL66" s="184"/>
      <c r="AM66" s="178"/>
    </row>
    <row r="67" spans="1:39" s="180" customFormat="1" x14ac:dyDescent="0.35">
      <c r="A67" s="178"/>
      <c r="B67" s="178"/>
      <c r="C67" s="179"/>
      <c r="E67" s="179"/>
      <c r="F67" s="179"/>
      <c r="H67" s="179"/>
      <c r="L67" s="179"/>
      <c r="M67" s="181"/>
      <c r="N67" s="182"/>
      <c r="P67" s="182"/>
      <c r="R67" s="183"/>
      <c r="AD67" s="179"/>
      <c r="AH67" s="179"/>
      <c r="AJ67" s="183"/>
      <c r="AL67" s="184"/>
      <c r="AM67" s="178"/>
    </row>
    <row r="68" spans="1:39" s="180" customFormat="1" x14ac:dyDescent="0.35">
      <c r="A68" s="178"/>
      <c r="B68" s="178"/>
      <c r="C68" s="179"/>
      <c r="E68" s="179"/>
      <c r="F68" s="179"/>
      <c r="H68" s="179"/>
      <c r="L68" s="179"/>
      <c r="M68" s="181"/>
      <c r="N68" s="182"/>
      <c r="P68" s="182"/>
      <c r="R68" s="183"/>
      <c r="AD68" s="179"/>
      <c r="AH68" s="179"/>
      <c r="AJ68" s="183"/>
      <c r="AL68" s="184"/>
      <c r="AM68" s="178"/>
    </row>
    <row r="69" spans="1:39" s="180" customFormat="1" x14ac:dyDescent="0.35">
      <c r="A69" s="178"/>
      <c r="B69" s="178"/>
      <c r="C69" s="179"/>
      <c r="E69" s="179"/>
      <c r="F69" s="179"/>
      <c r="H69" s="179"/>
      <c r="L69" s="179"/>
      <c r="M69" s="181"/>
      <c r="N69" s="182"/>
      <c r="P69" s="182"/>
      <c r="R69" s="183"/>
      <c r="AD69" s="179"/>
      <c r="AH69" s="179"/>
      <c r="AJ69" s="183"/>
      <c r="AL69" s="184"/>
      <c r="AM69" s="178"/>
    </row>
  </sheetData>
  <mergeCells count="18"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20" sqref="D20"/>
    </sheetView>
  </sheetViews>
  <sheetFormatPr defaultRowHeight="14.5" x14ac:dyDescent="0.35"/>
  <cols>
    <col min="1" max="1" width="9.54296875" bestFit="1" customWidth="1"/>
    <col min="2" max="2" width="9.26953125" bestFit="1" customWidth="1"/>
    <col min="3" max="3" width="9.54296875" bestFit="1" customWidth="1"/>
  </cols>
  <sheetData>
    <row r="1" spans="1:3" ht="18.5" x14ac:dyDescent="0.45">
      <c r="A1" s="25" t="s">
        <v>28</v>
      </c>
    </row>
    <row r="2" spans="1:3" ht="18.5" x14ac:dyDescent="0.45">
      <c r="A2" s="265">
        <v>44531</v>
      </c>
      <c r="B2" s="266"/>
      <c r="C2" s="266"/>
    </row>
    <row r="3" spans="1:3" x14ac:dyDescent="0.35">
      <c r="A3" s="268" t="s">
        <v>1</v>
      </c>
      <c r="B3" s="267" t="s">
        <v>2</v>
      </c>
      <c r="C3" s="267" t="s">
        <v>3</v>
      </c>
    </row>
    <row r="4" spans="1:3" x14ac:dyDescent="0.35">
      <c r="A4" s="268"/>
      <c r="B4" s="267"/>
      <c r="C4" s="267"/>
    </row>
    <row r="5" spans="1:3" x14ac:dyDescent="0.35">
      <c r="A5" s="268"/>
      <c r="B5" s="267"/>
      <c r="C5" s="267"/>
    </row>
    <row r="6" spans="1:3" x14ac:dyDescent="0.35">
      <c r="A6" s="2">
        <v>1</v>
      </c>
      <c r="B6" s="2">
        <v>15</v>
      </c>
      <c r="C6" s="2">
        <v>97</v>
      </c>
    </row>
    <row r="7" spans="1:3" x14ac:dyDescent="0.35">
      <c r="A7" s="2">
        <v>2</v>
      </c>
      <c r="B7" s="2">
        <v>18</v>
      </c>
      <c r="C7" s="2">
        <v>135</v>
      </c>
    </row>
    <row r="8" spans="1:3" x14ac:dyDescent="0.35">
      <c r="A8" s="2">
        <f>A7+1</f>
        <v>3</v>
      </c>
      <c r="B8" s="2">
        <v>14</v>
      </c>
      <c r="C8" s="2">
        <v>162</v>
      </c>
    </row>
    <row r="9" spans="1:3" x14ac:dyDescent="0.35">
      <c r="A9" s="2">
        <f>A8+1</f>
        <v>4</v>
      </c>
      <c r="B9" s="2">
        <v>9</v>
      </c>
      <c r="C9" s="2">
        <v>119</v>
      </c>
    </row>
    <row r="10" spans="1:3" x14ac:dyDescent="0.35">
      <c r="A10" s="2">
        <f t="shared" ref="A10:A36" si="0">A9+1</f>
        <v>5</v>
      </c>
      <c r="B10" s="2">
        <v>4</v>
      </c>
      <c r="C10" s="2">
        <v>136</v>
      </c>
    </row>
    <row r="11" spans="1:3" x14ac:dyDescent="0.35">
      <c r="A11" s="2">
        <f t="shared" si="0"/>
        <v>6</v>
      </c>
      <c r="B11" s="2">
        <v>12</v>
      </c>
      <c r="C11" s="2">
        <v>53</v>
      </c>
    </row>
    <row r="12" spans="1:3" x14ac:dyDescent="0.35">
      <c r="A12" s="2">
        <f t="shared" si="0"/>
        <v>7</v>
      </c>
      <c r="B12" s="2">
        <v>10</v>
      </c>
      <c r="C12" s="2">
        <v>79</v>
      </c>
    </row>
    <row r="13" spans="1:3" x14ac:dyDescent="0.35">
      <c r="A13" s="2">
        <f t="shared" si="0"/>
        <v>8</v>
      </c>
      <c r="B13" s="2">
        <v>12</v>
      </c>
      <c r="C13" s="2">
        <v>77</v>
      </c>
    </row>
    <row r="14" spans="1:3" x14ac:dyDescent="0.35">
      <c r="A14" s="2">
        <f t="shared" si="0"/>
        <v>9</v>
      </c>
      <c r="B14" s="2">
        <v>13</v>
      </c>
      <c r="C14" s="2">
        <v>101</v>
      </c>
    </row>
    <row r="15" spans="1:3" x14ac:dyDescent="0.35">
      <c r="A15" s="2">
        <f t="shared" si="0"/>
        <v>10</v>
      </c>
      <c r="B15" s="2">
        <v>17</v>
      </c>
      <c r="C15" s="2">
        <v>145</v>
      </c>
    </row>
    <row r="16" spans="1:3" x14ac:dyDescent="0.35">
      <c r="A16" s="2">
        <f t="shared" si="0"/>
        <v>11</v>
      </c>
      <c r="B16" s="2">
        <v>22</v>
      </c>
      <c r="C16" s="2">
        <v>365</v>
      </c>
    </row>
    <row r="17" spans="1:3" x14ac:dyDescent="0.35">
      <c r="A17" s="2">
        <f t="shared" si="0"/>
        <v>12</v>
      </c>
      <c r="B17" s="2">
        <v>26</v>
      </c>
      <c r="C17" s="2">
        <v>194</v>
      </c>
    </row>
    <row r="18" spans="1:3" x14ac:dyDescent="0.35">
      <c r="A18" s="2">
        <f t="shared" si="0"/>
        <v>13</v>
      </c>
      <c r="B18" s="2">
        <v>30</v>
      </c>
      <c r="C18" s="2">
        <v>189</v>
      </c>
    </row>
    <row r="19" spans="1:3" x14ac:dyDescent="0.35">
      <c r="A19" s="2">
        <f t="shared" si="0"/>
        <v>14</v>
      </c>
      <c r="B19" s="2">
        <v>21</v>
      </c>
      <c r="C19" s="2">
        <v>194</v>
      </c>
    </row>
    <row r="20" spans="1:3" x14ac:dyDescent="0.35">
      <c r="A20" s="2">
        <f t="shared" si="0"/>
        <v>15</v>
      </c>
      <c r="B20" s="2">
        <v>21</v>
      </c>
      <c r="C20" s="2">
        <v>177</v>
      </c>
    </row>
    <row r="21" spans="1:3" x14ac:dyDescent="0.35">
      <c r="A21" s="2">
        <f t="shared" si="0"/>
        <v>16</v>
      </c>
      <c r="B21" s="2">
        <v>23</v>
      </c>
      <c r="C21" s="2">
        <v>148</v>
      </c>
    </row>
    <row r="22" spans="1:3" x14ac:dyDescent="0.35">
      <c r="A22" s="2">
        <f t="shared" si="0"/>
        <v>17</v>
      </c>
      <c r="B22" s="2">
        <v>44</v>
      </c>
      <c r="C22" s="2">
        <v>214</v>
      </c>
    </row>
    <row r="23" spans="1:3" x14ac:dyDescent="0.35">
      <c r="A23" s="2">
        <f t="shared" si="0"/>
        <v>18</v>
      </c>
      <c r="B23" s="2">
        <v>53</v>
      </c>
      <c r="C23" s="2">
        <v>245</v>
      </c>
    </row>
    <row r="24" spans="1:3" x14ac:dyDescent="0.35">
      <c r="A24" s="2">
        <f t="shared" si="0"/>
        <v>19</v>
      </c>
      <c r="B24" s="2">
        <v>31</v>
      </c>
      <c r="C24" s="2">
        <v>286</v>
      </c>
    </row>
    <row r="25" spans="1:3" x14ac:dyDescent="0.35">
      <c r="A25" s="2">
        <f t="shared" si="0"/>
        <v>20</v>
      </c>
      <c r="B25" s="2">
        <v>26</v>
      </c>
      <c r="C25" s="2">
        <v>172</v>
      </c>
    </row>
    <row r="26" spans="1:3" x14ac:dyDescent="0.35">
      <c r="A26" s="2">
        <f t="shared" si="0"/>
        <v>21</v>
      </c>
      <c r="B26" s="2">
        <v>21</v>
      </c>
      <c r="C26" s="2">
        <v>158</v>
      </c>
    </row>
    <row r="27" spans="1:3" x14ac:dyDescent="0.35">
      <c r="A27" s="2">
        <f t="shared" si="0"/>
        <v>22</v>
      </c>
      <c r="B27" s="2">
        <v>23</v>
      </c>
      <c r="C27" s="2">
        <v>280</v>
      </c>
    </row>
    <row r="28" spans="1:3" x14ac:dyDescent="0.35">
      <c r="A28" s="2">
        <f t="shared" si="0"/>
        <v>23</v>
      </c>
      <c r="B28" s="2">
        <v>18</v>
      </c>
      <c r="C28" s="2">
        <v>168</v>
      </c>
    </row>
    <row r="29" spans="1:3" x14ac:dyDescent="0.35">
      <c r="A29" s="2">
        <f t="shared" si="0"/>
        <v>24</v>
      </c>
      <c r="B29" s="2">
        <v>14</v>
      </c>
      <c r="C29" s="2">
        <v>201</v>
      </c>
    </row>
    <row r="30" spans="1:3" x14ac:dyDescent="0.35">
      <c r="A30" s="2">
        <f t="shared" si="0"/>
        <v>25</v>
      </c>
      <c r="B30" s="2">
        <v>17</v>
      </c>
      <c r="C30" s="2">
        <v>224</v>
      </c>
    </row>
    <row r="31" spans="1:3" x14ac:dyDescent="0.35">
      <c r="A31" s="2">
        <f t="shared" si="0"/>
        <v>26</v>
      </c>
      <c r="B31" s="2">
        <v>18</v>
      </c>
      <c r="C31" s="2">
        <v>270</v>
      </c>
    </row>
    <row r="32" spans="1:3" x14ac:dyDescent="0.35">
      <c r="A32" s="2">
        <f t="shared" si="0"/>
        <v>27</v>
      </c>
      <c r="B32" s="2">
        <v>22</v>
      </c>
      <c r="C32" s="2">
        <v>150</v>
      </c>
    </row>
    <row r="33" spans="1:3" x14ac:dyDescent="0.35">
      <c r="A33" s="2">
        <f t="shared" si="0"/>
        <v>28</v>
      </c>
      <c r="B33" s="2">
        <v>22</v>
      </c>
      <c r="C33" s="2">
        <v>194</v>
      </c>
    </row>
    <row r="34" spans="1:3" x14ac:dyDescent="0.35">
      <c r="A34" s="2">
        <f t="shared" si="0"/>
        <v>29</v>
      </c>
      <c r="B34" s="2">
        <v>24</v>
      </c>
      <c r="C34" s="2">
        <v>190</v>
      </c>
    </row>
    <row r="35" spans="1:3" x14ac:dyDescent="0.35">
      <c r="A35" s="2">
        <f t="shared" si="0"/>
        <v>30</v>
      </c>
      <c r="B35" s="2">
        <v>25</v>
      </c>
      <c r="C35" s="2">
        <v>175</v>
      </c>
    </row>
    <row r="36" spans="1:3" x14ac:dyDescent="0.35">
      <c r="A36" s="2">
        <f t="shared" si="0"/>
        <v>31</v>
      </c>
      <c r="B36" s="2">
        <v>38</v>
      </c>
      <c r="C36" s="2">
        <v>197</v>
      </c>
    </row>
    <row r="37" spans="1:3" x14ac:dyDescent="0.35">
      <c r="B37" s="6">
        <f>SUM(B6:B36)</f>
        <v>663</v>
      </c>
      <c r="C37" s="6">
        <f>SUM(C6:C36)</f>
        <v>5495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A08B7C-6ACC-438A-BACB-5EFB3DE170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ed2f2222-2bff-489f-89bb-9539c67e7b9c"/>
    <ds:schemaRef ds:uri="77842aba-bda6-4832-96cd-e75cb5324294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December 2021</vt:lpstr>
      <vt:lpstr>RNs &amp; Covers December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ASUS</cp:lastModifiedBy>
  <cp:lastPrinted>2020-11-17T04:34:44Z</cp:lastPrinted>
  <dcterms:created xsi:type="dcterms:W3CDTF">2020-09-16T08:52:25Z</dcterms:created>
  <dcterms:modified xsi:type="dcterms:W3CDTF">2022-04-11T13:52:45Z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