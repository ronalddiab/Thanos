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D10" i="7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5" i="10" l="1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M5" i="7" s="1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s="1"/>
  <c r="CM16" i="7" l="1"/>
  <c r="CM6" i="7"/>
  <c r="CM7" i="7"/>
  <c r="CM8" i="7"/>
  <c r="CM9" i="7"/>
  <c r="CM10" i="7"/>
  <c r="CM11" i="7"/>
  <c r="CM12" i="7"/>
  <c r="CM13" i="7"/>
  <c r="CM14" i="7"/>
  <c r="CM15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AW32" i="6" s="1"/>
  <c r="CL5" i="7" l="1"/>
  <c r="BB5" i="7" l="1"/>
  <c r="BB6" i="7"/>
  <c r="AZ5" i="7"/>
  <c r="AZ6" i="7"/>
  <c r="AZ7" i="7"/>
  <c r="AX5" i="7"/>
  <c r="AX6" i="7"/>
  <c r="AX7" i="7"/>
  <c r="AX8" i="7"/>
  <c r="AX9" i="7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D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0" i="7"/>
  <c r="AH11" i="7"/>
  <c r="AH12" i="7"/>
  <c r="AH13" i="7"/>
  <c r="AH14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0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<sst xmlns="http://schemas.openxmlformats.org/spreadsheetml/2006/main" count="313" uniqueCount="148">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</sst>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N30" sqref="N30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2021</v>
      </c>
      <c r="E2" s="12">
        <f>Submetering!E2+Submetering!F2+Submetering!G2+Submetering!H2+Submetering!J2-Submetering!AV2</f>
        <v>4639.9999999998454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31.599999999999909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2021</v>
      </c>
      <c r="E3" s="12">
        <f>Submetering!E3+Submetering!F3+Submetering!G3+Submetering!H3+Submetering!J3-Submetering!AV3</f>
        <v>4089.9999999999809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24.700000000000273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29" si="0">B3+1</f>
        <v>3</v>
      </c>
      <c r="C4" s="11">
        <v>2</v>
      </c>
      <c r="D4" s="1">
        <v>2021</v>
      </c>
      <c r="E4" s="12">
        <f>Submetering!E4+Submetering!F4+Submetering!G4+Submetering!H4+Submetering!J4-Submetering!AV4</f>
        <v>4069.9999999997763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20.099999999999909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2021</v>
      </c>
      <c r="E5" s="12">
        <f>Submetering!E5+Submetering!F5+Submetering!G5+Submetering!H5+Submetering!J5-Submetering!AV5</f>
        <v>4300.0000000002792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29.5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2021</v>
      </c>
      <c r="E6" s="12">
        <f>Submetering!E6+Submetering!F6+Submetering!G6+Submetering!H6+Submetering!J6-Submetering!AV6</f>
        <v>4369.9999999997426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24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2021</v>
      </c>
      <c r="E7" s="12">
        <f>Submetering!E7+Submetering!F7+Submetering!G7+Submetering!H7+Submetering!J7-Submetering!AV7</f>
        <v>4159.9999999999964</v>
      </c>
      <c r="F7" s="11">
        <f t="shared" si="1"/>
        <v>0.58765030286592534</v>
      </c>
      <c r="G7" s="12">
        <f>(Submetering!AX7+Submetering!AY7+Submetering!AZ7+Submetering!BA7+Submetering!BB7)</f>
        <v>3.6629999999999998</v>
      </c>
      <c r="H7" s="11">
        <f t="shared" si="2"/>
        <v>0.99</v>
      </c>
      <c r="I7" s="12">
        <f>'FS Desroches Daily'!CM9</f>
        <v>22.599999999999909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2021</v>
      </c>
      <c r="E8" s="12">
        <f>Submetering!E8+Submetering!F8+Submetering!G8+Submetering!H8+Submetering!J8-Submetering!AV8</f>
        <v>3780.0000000005748</v>
      </c>
      <c r="F8" s="11">
        <f t="shared" si="1"/>
        <v>0.58765030286592534</v>
      </c>
      <c r="G8" s="12">
        <f>(Submetering!AX8+Submetering!AY8+Submetering!AZ8+Submetering!BA8+Submetering!BB8)</f>
        <v>5.4944999999999995</v>
      </c>
      <c r="H8" s="11">
        <f t="shared" si="2"/>
        <v>0.99</v>
      </c>
      <c r="I8" s="12">
        <f>'FS Desroches Daily'!CM10</f>
        <v>19.800000000000182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2021</v>
      </c>
      <c r="E9" s="12">
        <f>Submetering!E9+Submetering!F9+Submetering!G9+Submetering!H9+Submetering!J9-Submetering!AV9</f>
        <v>4829.9999999996444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2021</v>
      </c>
      <c r="E10" s="12">
        <f>Submetering!E10+Submetering!F10+Submetering!G10+Submetering!H10+Submetering!J10-Submetering!AV10</f>
        <v>4479.9999999995007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26.699999999999818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2021</v>
      </c>
      <c r="E11" s="12">
        <f>Submetering!E11+Submetering!F11+Submetering!G11+Submetering!H11+Submetering!J11-Submetering!AV11</f>
        <v>3900.0000000006585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17.400000000000091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2021</v>
      </c>
      <c r="E12" s="12">
        <f>Submetering!E12+Submetering!F12+Submetering!G12+Submetering!H12+Submetering!J12-Submetering!AV12</f>
        <v>3589.9999999999213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2021</v>
      </c>
      <c r="E13" s="12">
        <f>Submetering!E13+Submetering!F13+Submetering!G13+Submetering!H13+Submetering!J13-Submetering!AV13</f>
        <v>3969.9999999998217</v>
      </c>
      <c r="F13" s="11">
        <f t="shared" si="1"/>
        <v>0.58765030286592534</v>
      </c>
      <c r="G13" s="12">
        <f>(Submetering!AX13+Submetering!AY13+Submetering!AZ13+Submetering!BA13+Submetering!BB13)</f>
        <v>3.6629999999999998</v>
      </c>
      <c r="H13" s="11">
        <f t="shared" si="2"/>
        <v>0.99</v>
      </c>
      <c r="I13" s="12">
        <f>'FS Desroches Daily'!CM15</f>
        <v>31.400000000000091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2021</v>
      </c>
      <c r="E14" s="12">
        <f>Submetering!E14+Submetering!F14+Submetering!G14+Submetering!H14+Submetering!J14-Submetering!AV14</f>
        <v>4080.000000000131</v>
      </c>
      <c r="F14" s="11">
        <f t="shared" si="1"/>
        <v>0.58765030286592534</v>
      </c>
      <c r="G14" s="12">
        <f>(Submetering!AX14+Submetering!AY14+Submetering!AZ14+Submetering!BA14+Submetering!BB14)</f>
        <v>5.4944999999999995</v>
      </c>
      <c r="H14" s="11">
        <f t="shared" si="2"/>
        <v>0.99</v>
      </c>
      <c r="I14" s="12">
        <f>'FS Desroches Daily'!CM16</f>
        <v>23.699999999999818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2021</v>
      </c>
      <c r="E15" s="12">
        <f>Submetering!E15+Submetering!F15+Submetering!G15+Submetering!H15+Submetering!J15-Submetering!AV15</f>
        <v>3709.9999999994943</v>
      </c>
      <c r="F15" s="11">
        <f t="shared" si="1"/>
        <v>0.58765030286592534</v>
      </c>
      <c r="G15" s="12">
        <f>(Submetering!AX15+Submetering!AY15+Submetering!AZ15+Submetering!BA15+Submetering!BB15)</f>
        <v>1.8314999999999999</v>
      </c>
      <c r="H15" s="11">
        <f t="shared" si="2"/>
        <v>0.99</v>
      </c>
      <c r="I15" s="12">
        <f>'FS Desroches Daily'!CM17</f>
        <v>13.200000000000273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2021</v>
      </c>
      <c r="E16" s="12">
        <f>Submetering!E16+Submetering!F16+Submetering!G16+Submetering!H16+Submetering!J16-Submetering!AV16</f>
        <v>4710.0000000004084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24.099999999999909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2021</v>
      </c>
      <c r="E17" s="12" t="e">
        <f>Submetering!E17+Submetering!F17+Submetering!G17+Submetering!H17+Submetering!J17-Submetering!AV17</f>
        <v>#VALUE!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 t="e">
        <f>'FS Desroches Daily'!CM19</f>
        <v>#VALUE!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/>
      <c r="C30" s="11"/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/>
      <c r="C31" s="11"/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/>
      <c r="C32" s="11"/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25" sqref="BE2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2021</v>
      </c>
      <c r="E2" s="31">
        <f>'FS Desroches Daily'!D4</f>
        <v>899.99999999967883</v>
      </c>
      <c r="F2" s="32">
        <f>'FS Desroches Daily'!F4</f>
        <v>800.00000000035595</v>
      </c>
      <c r="G2" s="31">
        <f>'FS Desroches Daily'!H4</f>
        <v>1900.0000000000127</v>
      </c>
      <c r="H2" s="32">
        <f>'FS Desroches Daily'!J4</f>
        <v>899.99999999990087</v>
      </c>
      <c r="I2" s="31">
        <f>'FS Desroches Daily'!L4</f>
        <v>1999.9999999997797</v>
      </c>
      <c r="J2" s="32">
        <f>'FS Desroches Daily'!N4</f>
        <v>599.99999999993395</v>
      </c>
      <c r="K2" s="13">
        <f>'FS Desroches Daily'!P4</f>
        <v>0</v>
      </c>
      <c r="L2" s="31">
        <f>'FS Desroches Daily'!R4</f>
        <v>4</v>
      </c>
      <c r="M2" s="31">
        <f>'FS Desroches Daily'!T4</f>
        <v>409.39999999990687</v>
      </c>
      <c r="N2" s="31">
        <f>'FS Desroches Daily'!V4</f>
        <v>223.20000000001164</v>
      </c>
      <c r="O2" s="31">
        <f>'FS Desroches Daily'!X4</f>
        <v>200.00000000004547</v>
      </c>
      <c r="P2" s="31">
        <f>'FS Desroches Daily'!Z4</f>
        <v>499.99999999972289</v>
      </c>
      <c r="Q2" s="31">
        <f>'FS Desroches Daily'!AB4</f>
        <v>79.999999999984084</v>
      </c>
      <c r="R2" s="31">
        <f>'FS Desroches Daily'!AD4</f>
        <v>149.99999999997726</v>
      </c>
      <c r="S2" s="31">
        <f>'FS Desroches Daily'!AF4</f>
        <v>220.00000000002728</v>
      </c>
      <c r="T2" s="31">
        <f>'FS Desroches Daily'!AH4</f>
        <v>1.5</v>
      </c>
      <c r="U2" s="35">
        <f>'FS Desroches Daily'!AJ4</f>
        <v>279.99999999997272</v>
      </c>
      <c r="V2" s="35">
        <f>'FS Desroches Daily'!AL4</f>
        <v>39.999999999992042</v>
      </c>
      <c r="W2" s="35">
        <f>'FS Desroches Daily'!AN4</f>
        <v>39.999999999992042</v>
      </c>
      <c r="X2" s="35">
        <f>'FS Desroches Daily'!AP4</f>
        <v>40.000000000020464</v>
      </c>
      <c r="Y2" s="35">
        <f>'FS Desroches Daily'!AR4</f>
        <v>20.000000000010232</v>
      </c>
      <c r="Z2" s="35">
        <f>'FS Desroches Daily'!AT4</f>
        <v>20.000000000038654</v>
      </c>
      <c r="AA2" s="35">
        <f>'FS Desroches Daily'!AT4</f>
        <v>20.000000000038654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9.9999999999909051</v>
      </c>
      <c r="AF2" s="31">
        <f>'FS Desroches Daily'!BF4</f>
        <v>22</v>
      </c>
      <c r="AG2" s="32">
        <f>'FS Desroches Daily'!BH4</f>
        <v>30.000000000001137</v>
      </c>
      <c r="AH2" s="32">
        <f>'FS Desroches Daily'!BJ4</f>
        <v>40.000000000020464</v>
      </c>
      <c r="AI2" s="32">
        <f>'FS Desroches Daily'!BL4</f>
        <v>0</v>
      </c>
      <c r="AJ2" s="32">
        <f>'FS Desroches Daily'!BN4</f>
        <v>19.99999999998181</v>
      </c>
      <c r="AK2" s="32">
        <f>'FS Desroches Daily'!BP4</f>
        <v>9.9999999999909051</v>
      </c>
      <c r="AL2" s="32">
        <f>'FS Desroches Daily'!BR4</f>
        <v>6</v>
      </c>
      <c r="AM2" s="32">
        <f>'FS Desroches Daily'!BT4</f>
        <v>9.9999999999909051</v>
      </c>
      <c r="AN2" s="32">
        <f>'FS Desroches Daily'!BV4</f>
        <v>10</v>
      </c>
      <c r="AO2" s="32">
        <f>'FS Desroches Daily'!BX4</f>
        <v>20.000000000010232</v>
      </c>
      <c r="AP2" s="32">
        <f>'FS Desroches Daily'!BZ4</f>
        <v>15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50.399999999994179</v>
      </c>
      <c r="AU2" s="31">
        <f>'FS Desroches Daily'!CJ4</f>
        <v>235</v>
      </c>
      <c r="AV2" s="31">
        <f>'FS Desroches Daily'!CL4</f>
        <v>460.00000000003638</v>
      </c>
      <c r="AW2" s="31">
        <f>'FS Desroches Daily'!CM4</f>
        <v>31.599999999999909</v>
      </c>
      <c r="AX2" s="31"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2021</v>
      </c>
      <c r="E3" s="31">
        <f>'FS Desroches Daily'!D5</f>
        <v>1000.000000000334</v>
      </c>
      <c r="F3" s="32">
        <f>'FS Desroches Daily'!F5</f>
        <v>699.99999999970089</v>
      </c>
      <c r="G3" s="31">
        <f>'FS Desroches Daily'!H5</f>
        <v>1599.9999999998238</v>
      </c>
      <c r="H3" s="32">
        <f>'FS Desroches Daily'!J5</f>
        <v>800.00000000013392</v>
      </c>
      <c r="I3" s="31">
        <f>'FS Desroches Daily'!L5</f>
        <v>1800.0000000002458</v>
      </c>
      <c r="J3" s="32">
        <f>'FS Desroches Daily'!N5</f>
        <v>399.99999999995595</v>
      </c>
      <c r="K3" s="13">
        <f>'FS Desroches Daily'!P5</f>
        <v>1</v>
      </c>
      <c r="L3" s="31">
        <f>'FS Desroches Daily'!R5</f>
        <v>2</v>
      </c>
      <c r="M3" s="31">
        <f>'FS Desroches Daily'!T5</f>
        <v>244</v>
      </c>
      <c r="N3" s="31">
        <f>'FS Desroches Daily'!V5</f>
        <v>174.59999999997672</v>
      </c>
      <c r="O3" s="31">
        <f>'FS Desroches Daily'!X6</f>
        <v>109.9999999999568</v>
      </c>
      <c r="P3" s="31">
        <f>'FS Desroches Daily'!Z5</f>
        <v>399.99999999995595</v>
      </c>
      <c r="Q3" s="31">
        <f>'FS Desroches Daily'!AB5</f>
        <v>80.000000000040927</v>
      </c>
      <c r="R3" s="31">
        <f>'FS Desroches Daily'!AD5</f>
        <v>110.00000000001364</v>
      </c>
      <c r="S3" s="31">
        <f>'FS Desroches Daily'!AF5</f>
        <v>169.99999999995907</v>
      </c>
      <c r="T3" s="31">
        <f>'FS Desroches Daily'!AH5</f>
        <v>1.7999999999999545</v>
      </c>
      <c r="U3" s="35">
        <f>'FS Desroches Daily'!AJ5</f>
        <v>230.00000000001819</v>
      </c>
      <c r="V3" s="35">
        <f>'FS Desroches Daily'!AL5</f>
        <v>30.000000000001137</v>
      </c>
      <c r="W3" s="35">
        <f>'FS Desroches Daily'!AN5</f>
        <v>9.9999999999909051</v>
      </c>
      <c r="X3" s="35">
        <f>'FS Desroches Daily'!AP5</f>
        <v>9.9999999999909051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19.99999999998181</v>
      </c>
      <c r="AD3" s="35">
        <f>'FS Desroches Daily'!BB5</f>
        <v>50.000000000011369</v>
      </c>
      <c r="AE3" s="35">
        <f>'FS Desroches Daily'!BD5</f>
        <v>9.9999999999909051</v>
      </c>
      <c r="AF3" s="31">
        <f>'FS Desroches Daily'!BF5</f>
        <v>21</v>
      </c>
      <c r="AG3" s="32">
        <f>'FS Desroches Daily'!BH5</f>
        <v>9.9999999999909051</v>
      </c>
      <c r="AH3" s="32">
        <f>'FS Desroches Daily'!BJ5</f>
        <v>29.999999999972715</v>
      </c>
      <c r="AI3" s="32">
        <f>'FS Desroches Daily'!BL5</f>
        <v>10.000000000019327</v>
      </c>
      <c r="AJ3" s="32">
        <f>'FS Desroches Daily'!BN5</f>
        <v>20.000000000010232</v>
      </c>
      <c r="AK3" s="32">
        <f>'FS Desroches Daily'!BP5</f>
        <v>20.000000000038654</v>
      </c>
      <c r="AL3" s="32">
        <f>'FS Desroches Daily'!BR5</f>
        <v>6</v>
      </c>
      <c r="AM3" s="32">
        <f>'FS Desroches Daily'!BT5</f>
        <v>9.9999999999909051</v>
      </c>
      <c r="AN3" s="32">
        <f>'FS Desroches Daily'!BV5</f>
        <v>8</v>
      </c>
      <c r="AO3" s="32">
        <f>'FS Desroches Daily'!BX5</f>
        <v>9.9999999999909051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24</v>
      </c>
      <c r="AU3" s="31">
        <f>'FS Desroches Daily'!CJ5</f>
        <v>225</v>
      </c>
      <c r="AV3" s="31">
        <f>'FS Desroches Daily'!CL5</f>
        <v>409.99999999996817</v>
      </c>
      <c r="AW3" s="31">
        <f>'FS Desroches Daily'!CM5</f>
        <v>24.700000000000273</v>
      </c>
      <c r="AX3" s="31"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29" si="0">B3+1</f>
        <v>3</v>
      </c>
      <c r="C4" s="18">
        <v>2</v>
      </c>
      <c r="D4" s="27">
        <v>2021</v>
      </c>
      <c r="E4" s="31">
        <f>'FS Desroches Daily'!D6</f>
        <v>899.99999999967883</v>
      </c>
      <c r="F4" s="32">
        <f>'FS Desroches Daily'!F6</f>
        <v>700.00000000014495</v>
      </c>
      <c r="G4" s="31">
        <f>'FS Desroches Daily'!H6</f>
        <v>1599.9999999998238</v>
      </c>
      <c r="H4" s="32">
        <f>'FS Desroches Daily'!J6</f>
        <v>799.99999999991189</v>
      </c>
      <c r="I4" s="31">
        <f>'FS Desroches Daily'!L6</f>
        <v>1700.0000000000348</v>
      </c>
      <c r="J4" s="32">
        <f>'FS Desroches Daily'!N6</f>
        <v>500.00000000016701</v>
      </c>
      <c r="K4" s="13">
        <f>'FS Desroches Daily'!P6</f>
        <v>0</v>
      </c>
      <c r="L4" s="31">
        <f>'FS Desroches Daily'!R6</f>
        <v>1</v>
      </c>
      <c r="M4" s="31">
        <f>'FS Desroches Daily'!T6</f>
        <v>174.40000000002328</v>
      </c>
      <c r="N4" s="31">
        <f>'FS Desroches Daily'!V6</f>
        <v>148.90000000002328</v>
      </c>
      <c r="O4" s="31">
        <f>'FS Desroches Daily'!X7</f>
        <v>100.00000000002274</v>
      </c>
      <c r="P4" s="31">
        <f>'FS Desroches Daily'!Z6</f>
        <v>500.00000000016701</v>
      </c>
      <c r="Q4" s="31">
        <f>'FS Desroches Daily'!AB6</f>
        <v>69.999999999993179</v>
      </c>
      <c r="R4" s="31">
        <f>'FS Desroches Daily'!AD6</f>
        <v>89.999999999974989</v>
      </c>
      <c r="S4" s="31">
        <f>'FS Desroches Daily'!AF6</f>
        <v>159.99999999996817</v>
      </c>
      <c r="T4" s="31">
        <f>'FS Desroches Daily'!AH6</f>
        <v>1.5</v>
      </c>
      <c r="U4" s="35">
        <f>'FS Desroches Daily'!AJ6</f>
        <v>220.00000000002728</v>
      </c>
      <c r="V4" s="35">
        <f>'FS Desroches Daily'!AL6</f>
        <v>19.99999999998181</v>
      </c>
      <c r="W4" s="35">
        <f>'FS Desroches Daily'!AN6</f>
        <v>20.000000000010232</v>
      </c>
      <c r="X4" s="35">
        <f>'FS Desroches Daily'!AP6</f>
        <v>20.000000000010232</v>
      </c>
      <c r="Y4" s="35">
        <f>'FS Desroches Daily'!AR6</f>
        <v>19.99999999998181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29.999999999972715</v>
      </c>
      <c r="AE4" s="35">
        <f>'FS Desroches Daily'!BD6</f>
        <v>10.000000000019327</v>
      </c>
      <c r="AF4" s="31">
        <f>'FS Desroches Daily'!BF6</f>
        <v>23</v>
      </c>
      <c r="AG4" s="32">
        <f>'FS Desroches Daily'!BH6</f>
        <v>20.000000000010232</v>
      </c>
      <c r="AH4" s="32">
        <f>'FS Desroches Daily'!BJ6</f>
        <v>30.000000000029559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4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9.9999999999909051</v>
      </c>
      <c r="AP4" s="32">
        <f>'FS Desroches Daily'!BZ6</f>
        <v>12</v>
      </c>
      <c r="AQ4" s="31">
        <f>'FS Desroches Daily'!CB6</f>
        <v>5</v>
      </c>
      <c r="AR4" s="31">
        <f>'FS Desroches Daily'!CD6</f>
        <v>0</v>
      </c>
      <c r="AS4" s="31">
        <f>'FS Desroches Daily'!CF6</f>
        <v>0</v>
      </c>
      <c r="AT4" s="31">
        <f>'FS Desroches Daily'!CH6</f>
        <v>43.5</v>
      </c>
      <c r="AU4" s="31">
        <f>'FS Desroches Daily'!CJ6</f>
        <v>227</v>
      </c>
      <c r="AV4" s="31">
        <f>'FS Desroches Daily'!CL6</f>
        <v>429.99999999994998</v>
      </c>
      <c r="AW4" s="31">
        <f>'FS Desroches Daily'!CM6</f>
        <v>20.099999999999909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2021</v>
      </c>
      <c r="E5" s="31">
        <f>'FS Desroches Daily'!D7</f>
        <v>1000.000000000334</v>
      </c>
      <c r="F5" s="32">
        <f>'FS Desroches Daily'!F7</f>
        <v>700.00000000014495</v>
      </c>
      <c r="G5" s="31">
        <f>'FS Desroches Daily'!H7</f>
        <v>1700.0000000000348</v>
      </c>
      <c r="H5" s="32">
        <f>'FS Desroches Daily'!J7</f>
        <v>799.99999999991189</v>
      </c>
      <c r="I5" s="31">
        <f>'FS Desroches Daily'!L7</f>
        <v>1799.9999999998017</v>
      </c>
      <c r="J5" s="32">
        <f>'FS Desroches Daily'!N7</f>
        <v>499.99999999994492</v>
      </c>
      <c r="K5" s="13">
        <f>'FS Desroches Daily'!P7</f>
        <v>1</v>
      </c>
      <c r="L5" s="31">
        <f>'FS Desroches Daily'!R7</f>
        <v>3</v>
      </c>
      <c r="M5" s="31">
        <f>'FS Desroches Daily'!T7</f>
        <v>258.40000000002328</v>
      </c>
      <c r="N5" s="31">
        <f>'FS Desroches Daily'!V7</f>
        <v>188.39999999996508</v>
      </c>
      <c r="O5" s="31">
        <f>'FS Desroches Daily'!X8</f>
        <v>139.99999999998636</v>
      </c>
      <c r="P5" s="31">
        <f>'FS Desroches Daily'!Z7</f>
        <v>499.99999999972289</v>
      </c>
      <c r="Q5" s="31">
        <f>'FS Desroches Daily'!AB7</f>
        <v>79.999999999984084</v>
      </c>
      <c r="R5" s="31">
        <f>'FS Desroches Daily'!AD7</f>
        <v>150.00000000003411</v>
      </c>
      <c r="S5" s="31">
        <f>'FS Desroches Daily'!AF7</f>
        <v>180.00000000006366</v>
      </c>
      <c r="T5" s="31">
        <f>'FS Desroches Daily'!AH7</f>
        <v>0.59999999999990905</v>
      </c>
      <c r="U5" s="35">
        <f>'FS Desroches Daily'!AJ7</f>
        <v>259.99999999999091</v>
      </c>
      <c r="V5" s="35">
        <f>'FS Desroches Daily'!AL7</f>
        <v>30.000000000001137</v>
      </c>
      <c r="W5" s="35">
        <f>'FS Desroches Daily'!AN7</f>
        <v>20.000000000010232</v>
      </c>
      <c r="X5" s="35">
        <f>'FS Desroches Daily'!AP7</f>
        <v>19.99999999998181</v>
      </c>
      <c r="Y5" s="35">
        <f>'FS Desroches Daily'!AR7</f>
        <v>20.000000000010232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49.999999999954525</v>
      </c>
      <c r="AC5" s="35">
        <f>'FS Desroches Daily'!AZ7</f>
        <v>10.000000000047748</v>
      </c>
      <c r="AD5" s="35">
        <f>'FS Desroches Daily'!BB7</f>
        <v>19.99999999998181</v>
      </c>
      <c r="AE5" s="35">
        <f>'FS Desroches Daily'!BD7</f>
        <v>9.9999999999909051</v>
      </c>
      <c r="AF5" s="31">
        <f>'FS Desroches Daily'!BF7</f>
        <v>28</v>
      </c>
      <c r="AG5" s="32">
        <f>'FS Desroches Daily'!BH7</f>
        <v>9.9999999999909051</v>
      </c>
      <c r="AH5" s="32">
        <f>'FS Desroches Daily'!BJ7</f>
        <v>29.999999999972715</v>
      </c>
      <c r="AI5" s="32">
        <f>'FS Desroches Daily'!BL7</f>
        <v>0</v>
      </c>
      <c r="AJ5" s="32">
        <f>'FS Desroches Daily'!BN7</f>
        <v>19.99999999998181</v>
      </c>
      <c r="AK5" s="32">
        <f>'FS Desroches Daily'!BP7</f>
        <v>9.9999999999909051</v>
      </c>
      <c r="AL5" s="32">
        <f>'FS Desroches Daily'!BR7</f>
        <v>6</v>
      </c>
      <c r="AM5" s="32">
        <f>'FS Desroches Daily'!BT7</f>
        <v>9.9999999999909051</v>
      </c>
      <c r="AN5" s="32">
        <f>'FS Desroches Daily'!BV7</f>
        <v>10</v>
      </c>
      <c r="AO5" s="32">
        <f>'FS Desroches Daily'!BX7</f>
        <v>20.000000000010232</v>
      </c>
      <c r="AP5" s="32">
        <f>'FS Desroches Daily'!BZ7</f>
        <v>16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46.600000000005821</v>
      </c>
      <c r="AU5" s="31">
        <f>'FS Desroches Daily'!CJ7</f>
        <v>234</v>
      </c>
      <c r="AV5" s="31">
        <f>'FS Desroches Daily'!CL7</f>
        <v>400.00000000009095</v>
      </c>
      <c r="AW5" s="31">
        <f>'FS Desroches Daily'!CM7</f>
        <v>29.5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2021</v>
      </c>
      <c r="E6" s="31">
        <f>'FS Desroches Daily'!D8</f>
        <v>999.99999999988984</v>
      </c>
      <c r="F6" s="32">
        <f>'FS Desroches Daily'!F8</f>
        <v>699.99999999970089</v>
      </c>
      <c r="G6" s="31">
        <f>'FS Desroches Daily'!H8</f>
        <v>1700.0000000000348</v>
      </c>
      <c r="H6" s="32">
        <f>'FS Desroches Daily'!J8</f>
        <v>800.00000000013392</v>
      </c>
      <c r="I6" s="31">
        <f>'FS Desroches Daily'!L8</f>
        <v>1800.0000000002458</v>
      </c>
      <c r="J6" s="32">
        <f>'FS Desroches Daily'!N8</f>
        <v>599.99999999993395</v>
      </c>
      <c r="K6" s="13">
        <f>'FS Desroches Daily'!P8</f>
        <v>0</v>
      </c>
      <c r="L6" s="31">
        <f>'FS Desroches Daily'!R8</f>
        <v>0</v>
      </c>
      <c r="M6" s="31">
        <f>'FS Desroches Daily'!T8</f>
        <v>296.19999999995343</v>
      </c>
      <c r="N6" s="31">
        <f>'FS Desroches Daily'!V8</f>
        <v>197.80000000004657</v>
      </c>
      <c r="O6" s="31">
        <f>'FS Desroches Daily'!X8</f>
        <v>139.99999999998636</v>
      </c>
      <c r="P6" s="31">
        <f>'FS Desroches Daily'!Z8</f>
        <v>500.00000000016701</v>
      </c>
      <c r="Q6" s="31">
        <f>'FS Desroches Daily'!AB8</f>
        <v>69.999999999993179</v>
      </c>
      <c r="R6" s="31">
        <f>'FS Desroches Daily'!AD8</f>
        <v>159.99999999996817</v>
      </c>
      <c r="S6" s="31">
        <f>'FS Desroches Daily'!AF8</f>
        <v>240.00000000000909</v>
      </c>
      <c r="T6" s="31">
        <f>'FS Desroches Daily'!AH8</f>
        <v>2.9000000000000909</v>
      </c>
      <c r="U6" s="35">
        <f>'FS Desroches Daily'!AJ8</f>
        <v>250</v>
      </c>
      <c r="V6" s="35">
        <f>'FS Desroches Daily'!AL8</f>
        <v>40.000000000020464</v>
      </c>
      <c r="W6" s="35">
        <f>'FS Desroches Daily'!AN8</f>
        <v>29.999999999972715</v>
      </c>
      <c r="X6" s="35">
        <f>'FS Desroches Daily'!AP8</f>
        <v>30.000000000001137</v>
      </c>
      <c r="Y6" s="35">
        <f>'FS Desroches Daily'!AR8</f>
        <v>20.000000000010232</v>
      </c>
      <c r="Z6" s="35">
        <f>'FS Desroches Daily'!AT8</f>
        <v>20.000000000038654</v>
      </c>
      <c r="AA6" s="35">
        <f>'FS Desroches Daily'!AT8</f>
        <v>20.000000000038654</v>
      </c>
      <c r="AB6" s="35">
        <f>'FS Desroches Daily'!AV8</f>
        <v>10.000000000047748</v>
      </c>
      <c r="AC6" s="35">
        <f>'FS Desroches Daily'!AZ8</f>
        <v>29.999999999972715</v>
      </c>
      <c r="AD6" s="35">
        <f>'FS Desroches Daily'!BB8</f>
        <v>20.000000000038654</v>
      </c>
      <c r="AE6" s="35">
        <f>'FS Desroches Daily'!BD8</f>
        <v>9.9999999999909051</v>
      </c>
      <c r="AF6" s="31">
        <f>'FS Desroches Daily'!BF8</f>
        <v>26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9.9999999999909051</v>
      </c>
      <c r="AJ6" s="32">
        <f>'FS Desroches Daily'!BN8</f>
        <v>20.000000000010232</v>
      </c>
      <c r="AK6" s="32">
        <f>'FS Desroches Daily'!BP8</f>
        <v>19.99999999998181</v>
      </c>
      <c r="AL6" s="32">
        <f>'FS Desroches Daily'!BR8</f>
        <v>7</v>
      </c>
      <c r="AM6" s="32">
        <f>'FS Desroches Daily'!BT8</f>
        <v>9.9999999999909051</v>
      </c>
      <c r="AN6" s="32">
        <f>'FS Desroches Daily'!BV8</f>
        <v>9</v>
      </c>
      <c r="AO6" s="32">
        <f>'FS Desroches Daily'!BX8</f>
        <v>20.000000000010232</v>
      </c>
      <c r="AP6" s="32">
        <f>'FS Desroches Daily'!BZ8</f>
        <v>18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49.69999999999709</v>
      </c>
      <c r="AU6" s="31">
        <f>'FS Desroches Daily'!CJ8</f>
        <v>227</v>
      </c>
      <c r="AV6" s="31">
        <f>'FS Desroches Daily'!CL8</f>
        <v>429.99999999994998</v>
      </c>
      <c r="AW6" s="31">
        <f>'FS Desroches Daily'!CM8</f>
        <v>24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2021</v>
      </c>
      <c r="E7" s="31">
        <f>'FS Desroches Daily'!D9</f>
        <v>900.0000000001229</v>
      </c>
      <c r="F7" s="32">
        <f>'FS Desroches Daily'!F9</f>
        <v>599.99999999993395</v>
      </c>
      <c r="G7" s="31">
        <f>'FS Desroches Daily'!H9</f>
        <v>1700.0000000000348</v>
      </c>
      <c r="H7" s="32">
        <f>'FS Desroches Daily'!J9</f>
        <v>899.99999999990087</v>
      </c>
      <c r="I7" s="31">
        <f>'FS Desroches Daily'!L9</f>
        <v>1799.9999999998017</v>
      </c>
      <c r="J7" s="32">
        <f>'FS Desroches Daily'!N9</f>
        <v>499.99999999994492</v>
      </c>
      <c r="K7" s="13">
        <f>'FS Desroches Daily'!P9</f>
        <v>0</v>
      </c>
      <c r="L7" s="31">
        <f>'FS Desroches Daily'!R9</f>
        <v>6</v>
      </c>
      <c r="M7" s="31">
        <f>'FS Desroches Daily'!T9</f>
        <v>201</v>
      </c>
      <c r="N7" s="31">
        <f>'FS Desroches Daily'!V9</f>
        <v>190</v>
      </c>
      <c r="O7" s="31">
        <f>'FS Desroches Daily'!X9</f>
        <v>90.000000000031832</v>
      </c>
      <c r="P7" s="31">
        <f>'FS Desroches Daily'!Z9</f>
        <v>399.99999999995595</v>
      </c>
      <c r="Q7" s="31">
        <f>'FS Desroches Daily'!AB9</f>
        <v>79.999999999984084</v>
      </c>
      <c r="R7" s="31">
        <f>'FS Desroches Daily'!AD9</f>
        <v>140.0000000000432</v>
      </c>
      <c r="S7" s="31">
        <f>'FS Desroches Daily'!AF9</f>
        <v>189.99999999994088</v>
      </c>
      <c r="T7" s="31">
        <f>'FS Desroches Daily'!AH9</f>
        <v>1.5999999999999091</v>
      </c>
      <c r="U7" s="35">
        <f>'FS Desroches Daily'!AJ9</f>
        <v>240.00000000000909</v>
      </c>
      <c r="V7" s="35">
        <f>'FS Desroches Daily'!AL9</f>
        <v>19.99999999998181</v>
      </c>
      <c r="W7" s="35">
        <f>'FS Desroches Daily'!AN9</f>
        <v>10.000000000019327</v>
      </c>
      <c r="X7" s="35">
        <f>'FS Desroches Daily'!AP9</f>
        <v>20.000000000010232</v>
      </c>
      <c r="Y7" s="35">
        <f>'FS Desroches Daily'!AR9</f>
        <v>9.9999999999909051</v>
      </c>
      <c r="Z7" s="35">
        <f>'FS Desroches Daily'!AT9</f>
        <v>19.99999999998181</v>
      </c>
      <c r="AA7" s="35">
        <f>'FS Desroches Daily'!AT9</f>
        <v>19.99999999998181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20</v>
      </c>
      <c r="AG7" s="32">
        <f>'FS Desroches Daily'!BH9</f>
        <v>9.9999999999909051</v>
      </c>
      <c r="AH7" s="32">
        <f>'FS Desroches Daily'!BJ9</f>
        <v>29.999999999972715</v>
      </c>
      <c r="AI7" s="32">
        <f>'FS Desroches Daily'!BL9</f>
        <v>10.000000000019327</v>
      </c>
      <c r="AJ7" s="32">
        <f>'FS Desroches Daily'!BN9</f>
        <v>30.000000000001137</v>
      </c>
      <c r="AK7" s="32">
        <f>'FS Desroches Daily'!BP9</f>
        <v>9.9999999999909051</v>
      </c>
      <c r="AL7" s="32">
        <f>'FS Desroches Daily'!BR9</f>
        <v>6</v>
      </c>
      <c r="AM7" s="32">
        <f>'FS Desroches Daily'!BT9</f>
        <v>10.000000000019327</v>
      </c>
      <c r="AN7" s="32">
        <f>'FS Desroches Daily'!BV9</f>
        <v>4</v>
      </c>
      <c r="AO7" s="32">
        <f>'FS Desroches Daily'!BX9</f>
        <v>9.9999999999909051</v>
      </c>
      <c r="AP7" s="32">
        <f>'FS Desroches Daily'!BZ9</f>
        <v>14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49.5</v>
      </c>
      <c r="AU7" s="31">
        <f>'FS Desroches Daily'!CJ9</f>
        <v>203</v>
      </c>
      <c r="AV7" s="31">
        <f>'FS Desroches Daily'!CL9</f>
        <v>439.99999999994088</v>
      </c>
      <c r="AW7" s="31">
        <f>'FS Desroches Daily'!CM9</f>
        <v>22.599999999999909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3.6629999999999998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2021</v>
      </c>
      <c r="E8" s="31">
        <f>'FS Desroches Daily'!D10</f>
        <v>899.99999999967883</v>
      </c>
      <c r="F8" s="32">
        <f>'FS Desroches Daily'!F10</f>
        <v>600.00000000037801</v>
      </c>
      <c r="G8" s="31">
        <f>'FS Desroches Daily'!H10</f>
        <v>1400.0000000002899</v>
      </c>
      <c r="H8" s="32">
        <f>'FS Desroches Daily'!J10</f>
        <v>800.00000000013392</v>
      </c>
      <c r="I8" s="31">
        <f>'FS Desroches Daily'!L10</f>
        <v>1800.0000000002458</v>
      </c>
      <c r="J8" s="32">
        <f>'FS Desroches Daily'!N10</f>
        <v>500.00000000016701</v>
      </c>
      <c r="K8" s="13">
        <f>'FS Desroches Daily'!P10</f>
        <v>0</v>
      </c>
      <c r="L8" s="31">
        <f>'FS Desroches Daily'!R10</f>
        <v>5</v>
      </c>
      <c r="M8" s="31">
        <f>'FS Desroches Daily'!T10</f>
        <v>92.200000000069849</v>
      </c>
      <c r="N8" s="31">
        <f>'FS Desroches Daily'!V10</f>
        <v>32.599999999976717</v>
      </c>
      <c r="O8" s="31">
        <f>'FS Desroches Daily'!X10</f>
        <v>129.99999999999545</v>
      </c>
      <c r="P8" s="31">
        <f>'FS Desroches Daily'!Z10</f>
        <v>399.99999999995595</v>
      </c>
      <c r="Q8" s="31">
        <f>'FS Desroches Daily'!AB10</f>
        <v>100.00000000002274</v>
      </c>
      <c r="R8" s="31">
        <f>'FS Desroches Daily'!AD10</f>
        <v>139.99999999998636</v>
      </c>
      <c r="S8" s="31">
        <f>'FS Desroches Daily'!AF10</f>
        <v>190.00000000005457</v>
      </c>
      <c r="T8" s="31">
        <f>'FS Desroches Daily'!AH10</f>
        <v>1.6000000000001364</v>
      </c>
      <c r="U8" s="35">
        <f>'FS Desroches Daily'!AJ10</f>
        <v>250</v>
      </c>
      <c r="V8" s="35">
        <f>'FS Desroches Daily'!AL10</f>
        <v>20.000000000010232</v>
      </c>
      <c r="W8" s="35">
        <f>'FS Desroches Daily'!AN10</f>
        <v>9.9999999999909051</v>
      </c>
      <c r="X8" s="35">
        <f>'FS Desroches Daily'!AP10</f>
        <v>0</v>
      </c>
      <c r="Y8" s="35">
        <f>'FS Desroches Daily'!AR10</f>
        <v>9.9999999999909051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9.9999999999909051</v>
      </c>
      <c r="AC8" s="35">
        <f>'FS Desroches Daily'!AZ10</f>
        <v>20.000000000038654</v>
      </c>
      <c r="AD8" s="35">
        <f>'FS Desroches Daily'!BB10</f>
        <v>20.000000000038654</v>
      </c>
      <c r="AE8" s="35">
        <f>'FS Desroches Daily'!BD10</f>
        <v>9.9999999999909051</v>
      </c>
      <c r="AF8" s="31">
        <f>'FS Desroches Daily'!BF10</f>
        <v>40</v>
      </c>
      <c r="AG8" s="32">
        <f>'FS Desroches Daily'!BH10</f>
        <v>30.000000000001137</v>
      </c>
      <c r="AH8" s="32">
        <f>'FS Desroches Daily'!BJ10</f>
        <v>40.000000000020464</v>
      </c>
      <c r="AI8" s="32">
        <f>'FS Desroches Daily'!BL10</f>
        <v>9.9999999999909051</v>
      </c>
      <c r="AJ8" s="32">
        <f>'FS Desroches Daily'!BN10</f>
        <v>19.99999999998181</v>
      </c>
      <c r="AK8" s="32">
        <f>'FS Desroches Daily'!BP10</f>
        <v>20.000000000038654</v>
      </c>
      <c r="AL8" s="32">
        <f>'FS Desroches Daily'!BR10</f>
        <v>8</v>
      </c>
      <c r="AM8" s="32">
        <f>'FS Desroches Daily'!BT10</f>
        <v>19.99999999998181</v>
      </c>
      <c r="AN8" s="32">
        <f>'FS Desroches Daily'!BV10</f>
        <v>17</v>
      </c>
      <c r="AO8" s="32">
        <f>'FS Desroches Daily'!BX10</f>
        <v>20.000000000010232</v>
      </c>
      <c r="AP8" s="32">
        <f>'FS Desroches Daily'!BZ10</f>
        <v>21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26.5</v>
      </c>
      <c r="AU8" s="31">
        <f>'FS Desroches Daily'!CJ10</f>
        <v>204</v>
      </c>
      <c r="AV8" s="31">
        <f>'FS Desroches Daily'!CL10</f>
        <v>420.00000000007276</v>
      </c>
      <c r="AW8" s="31">
        <f>'FS Desroches Daily'!CM10</f>
        <v>19.800000000000182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5.4944999999999995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2021</v>
      </c>
      <c r="E9" s="31">
        <f>'FS Desroches Daily'!D11</f>
        <v>900.0000000001229</v>
      </c>
      <c r="F9" s="32">
        <f>'FS Desroches Daily'!F11</f>
        <v>799.99999999991189</v>
      </c>
      <c r="G9" s="31">
        <f>'FS Desroches Daily'!H11</f>
        <v>1799.9999999998017</v>
      </c>
      <c r="H9" s="32">
        <f>'FS Desroches Daily'!J11</f>
        <v>999.99999999988984</v>
      </c>
      <c r="I9" s="31">
        <f>'FS Desroches Daily'!L11</f>
        <v>1999.9999999997797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6</v>
      </c>
      <c r="M9" s="31">
        <f>'FS Desroches Daily'!T11</f>
        <v>375.59999999997672</v>
      </c>
      <c r="N9" s="31">
        <f>'FS Desroches Daily'!V11</f>
        <v>225.90000000002328</v>
      </c>
      <c r="O9" s="31">
        <f>'FS Desroches Daily'!X11</f>
        <v>109.9999999999568</v>
      </c>
      <c r="P9" s="31">
        <f>'FS Desroches Daily'!Z11</f>
        <v>500.00000000016701</v>
      </c>
      <c r="Q9" s="31">
        <f>'FS Desroches Daily'!AB11</f>
        <v>110.00000000001364</v>
      </c>
      <c r="R9" s="31">
        <f>'FS Desroches Daily'!AD11</f>
        <v>180.00000000000682</v>
      </c>
      <c r="S9" s="31">
        <f>'FS Desroches Daily'!AF11</f>
        <v>250</v>
      </c>
      <c r="T9" s="31">
        <f>'FS Desroches Daily'!AH11</f>
        <v>1.7999999999999545</v>
      </c>
      <c r="U9" s="35">
        <f>'FS Desroches Daily'!AJ11</f>
        <v>250</v>
      </c>
      <c r="V9" s="35">
        <f>'FS Desroches Daily'!AL11</f>
        <v>39.999999999992042</v>
      </c>
      <c r="W9" s="35">
        <f>'FS Desroches Daily'!AN11</f>
        <v>20.000000000010232</v>
      </c>
      <c r="X9" s="35">
        <f>'FS Desroches Daily'!AP11</f>
        <v>30.000000000001137</v>
      </c>
      <c r="Y9" s="35">
        <f>'FS Desroches Daily'!AR11</f>
        <v>10.000000000019327</v>
      </c>
      <c r="Z9" s="35">
        <f>'FS Desroches Daily'!AT11</f>
        <v>30.000000000029559</v>
      </c>
      <c r="AA9" s="35">
        <f>'FS Desroches Daily'!AT11</f>
        <v>30.000000000029559</v>
      </c>
      <c r="AB9" s="35">
        <f>'FS Desroches Daily'!AV11</f>
        <v>9.9999999999909051</v>
      </c>
      <c r="AC9" s="35">
        <f>'FS Desroches Daily'!AZ11</f>
        <v>19.99999999998181</v>
      </c>
      <c r="AD9" s="35">
        <f>'FS Desroches Daily'!BB11</f>
        <v>29.999999999972715</v>
      </c>
      <c r="AE9" s="35">
        <f>'FS Desroches Daily'!BD11</f>
        <v>10.000000000019327</v>
      </c>
      <c r="AF9" s="31">
        <f>'FS Desroches Daily'!BF11</f>
        <v>36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9.9999999999909051</v>
      </c>
      <c r="AJ9" s="32">
        <f>'FS Desroches Daily'!BN11</f>
        <v>30.000000000001137</v>
      </c>
      <c r="AK9" s="32">
        <f>'FS Desroches Daily'!BP11</f>
        <v>9.9999999999909051</v>
      </c>
      <c r="AL9" s="32">
        <f>'FS Desroches Daily'!BR11</f>
        <v>8</v>
      </c>
      <c r="AM9" s="32">
        <f>'FS Desroches Daily'!BT11</f>
        <v>10.000000000019327</v>
      </c>
      <c r="AN9" s="32">
        <f>'FS Desroches Daily'!BV11</f>
        <v>14</v>
      </c>
      <c r="AO9" s="32">
        <f>'FS Desroches Daily'!BX11</f>
        <v>19.99999999998181</v>
      </c>
      <c r="AP9" s="32">
        <f>'FS Desroches Daily'!BZ11</f>
        <v>28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38.30000000000291</v>
      </c>
      <c r="AU9" s="31">
        <f>'FS Desroches Daily'!CJ11</f>
        <v>213</v>
      </c>
      <c r="AV9" s="31">
        <f>'FS Desroches Daily'!CL11</f>
        <v>370.00000000000455</v>
      </c>
      <c r="AW9" s="31">
        <f>'FS Desroches Daily'!CM11</f>
        <v>25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2021</v>
      </c>
      <c r="E10" s="31">
        <f>'FS Desroches Daily'!D12</f>
        <v>999.99999999988984</v>
      </c>
      <c r="F10" s="32">
        <f>'FS Desroches Daily'!F12</f>
        <v>699.99999999970089</v>
      </c>
      <c r="G10" s="31">
        <f>'FS Desroches Daily'!H12</f>
        <v>1799.9999999998017</v>
      </c>
      <c r="H10" s="32">
        <f>'FS Desroches Daily'!J12</f>
        <v>900.0000000001229</v>
      </c>
      <c r="I10" s="31">
        <f>'FS Desroches Daily'!L12</f>
        <v>2000.0000000002237</v>
      </c>
      <c r="J10" s="32">
        <f>'FS Desroches Daily'!N12</f>
        <v>499.99999999994492</v>
      </c>
      <c r="K10" s="13">
        <f>'FS Desroches Daily'!P12</f>
        <v>0</v>
      </c>
      <c r="L10" s="31">
        <f>'FS Desroches Daily'!R12</f>
        <v>6</v>
      </c>
      <c r="M10" s="31">
        <f>'FS Desroches Daily'!T12</f>
        <v>306.19999999995343</v>
      </c>
      <c r="N10" s="31">
        <f>'FS Desroches Daily'!V12</f>
        <v>235</v>
      </c>
      <c r="O10" s="31">
        <f>'FS Desroches Daily'!X12</f>
        <v>130.0000000000523</v>
      </c>
      <c r="P10" s="31">
        <f>'FS Desroches Daily'!Z12</f>
        <v>500.00000000016701</v>
      </c>
      <c r="Q10" s="31">
        <f>'FS Desroches Daily'!AB12</f>
        <v>109.9999999999568</v>
      </c>
      <c r="R10" s="31">
        <f>'FS Desroches Daily'!AD12</f>
        <v>169.99999999995907</v>
      </c>
      <c r="S10" s="31">
        <f>'FS Desroches Daily'!AF12</f>
        <v>189.99999999994088</v>
      </c>
      <c r="T10" s="31">
        <f>'FS Desroches Daily'!AH12</f>
        <v>2.0999999999999091</v>
      </c>
      <c r="U10" s="35">
        <f>'FS Desroches Daily'!AJ12</f>
        <v>259.99999999999091</v>
      </c>
      <c r="V10" s="35">
        <f>'FS Desroches Daily'!AL12</f>
        <v>40.000000000020464</v>
      </c>
      <c r="W10" s="35">
        <f>'FS Desroches Daily'!AN12</f>
        <v>19.99999999998181</v>
      </c>
      <c r="X10" s="35">
        <f>'FS Desroches Daily'!AP12</f>
        <v>20.000000000010232</v>
      </c>
      <c r="Y10" s="35">
        <f>'FS Desroches Daily'!AR12</f>
        <v>19.99999999998181</v>
      </c>
      <c r="Z10" s="35">
        <f>'FS Desroches Daily'!AT12</f>
        <v>40.000000000020464</v>
      </c>
      <c r="AA10" s="35">
        <f>'FS Desroches Daily'!AT12</f>
        <v>40.000000000020464</v>
      </c>
      <c r="AB10" s="35">
        <f>'FS Desroches Daily'!AV12</f>
        <v>20.000000000038654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34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10.000000000019327</v>
      </c>
      <c r="AJ10" s="32">
        <f>'FS Desroches Daily'!BN12</f>
        <v>20.000000000010232</v>
      </c>
      <c r="AK10" s="32">
        <f>'FS Desroches Daily'!BP12</f>
        <v>19.99999999998181</v>
      </c>
      <c r="AL10" s="32">
        <f>'FS Desroches Daily'!BR12</f>
        <v>9</v>
      </c>
      <c r="AM10" s="32">
        <f>'FS Desroches Daily'!BT12</f>
        <v>19.99999999998181</v>
      </c>
      <c r="AN10" s="32">
        <f>'FS Desroches Daily'!BV12</f>
        <v>16</v>
      </c>
      <c r="AO10" s="32">
        <f>'FS Desroches Daily'!BX12</f>
        <v>20.000000000010232</v>
      </c>
      <c r="AP10" s="32">
        <f>'FS Desroches Daily'!BZ12</f>
        <v>23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37.19999999999709</v>
      </c>
      <c r="AU10" s="31">
        <f>'FS Desroches Daily'!CJ12</f>
        <v>219</v>
      </c>
      <c r="AV10" s="31">
        <f>'FS Desroches Daily'!CL12</f>
        <v>419.99999999995907</v>
      </c>
      <c r="AW10" s="31">
        <f>'FS Desroches Daily'!CM12</f>
        <v>26.699999999999818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2021</v>
      </c>
      <c r="E11" s="31">
        <f>'FS Desroches Daily'!D13</f>
        <v>900.0000000001229</v>
      </c>
      <c r="F11" s="32">
        <f>'FS Desroches Daily'!F13</f>
        <v>600.00000000037801</v>
      </c>
      <c r="G11" s="31">
        <f>'FS Desroches Daily'!H13</f>
        <v>1600.0000000002678</v>
      </c>
      <c r="H11" s="32">
        <f>'FS Desroches Daily'!J13</f>
        <v>699.99999999992292</v>
      </c>
      <c r="I11" s="31">
        <f>'FS Desroches Daily'!L13</f>
        <v>1799.9999999998017</v>
      </c>
      <c r="J11" s="32">
        <f>'FS Desroches Daily'!N13</f>
        <v>499.99999999994492</v>
      </c>
      <c r="K11" s="13">
        <f>'FS Desroches Daily'!P13</f>
        <v>0</v>
      </c>
      <c r="L11" s="31">
        <f>'FS Desroches Daily'!R13</f>
        <v>0</v>
      </c>
      <c r="M11" s="31">
        <f>'FS Desroches Daily'!T13</f>
        <v>195.60000000009313</v>
      </c>
      <c r="N11" s="31">
        <f>'FS Desroches Daily'!V13</f>
        <v>96.5</v>
      </c>
      <c r="O11" s="31">
        <f>'FS Desroches Daily'!X13</f>
        <v>79.999999999984084</v>
      </c>
      <c r="P11" s="31">
        <f>'FS Desroches Daily'!Z13</f>
        <v>399.99999999995595</v>
      </c>
      <c r="Q11" s="31">
        <f>'FS Desroches Daily'!AB13</f>
        <v>70.000000000050022</v>
      </c>
      <c r="R11" s="31">
        <f>'FS Desroches Daily'!AD13</f>
        <v>80.000000000040927</v>
      </c>
      <c r="S11" s="31">
        <f>'FS Desroches Daily'!AF13</f>
        <v>170.00000000007276</v>
      </c>
      <c r="T11" s="31">
        <f>'FS Desroches Daily'!AH13</f>
        <v>1.7999999999999545</v>
      </c>
      <c r="U11" s="35">
        <f>'FS Desroches Daily'!AJ13</f>
        <v>219.9999999999136</v>
      </c>
      <c r="V11" s="35">
        <f>'FS Desroches Daily'!AL13</f>
        <v>19.99999999998181</v>
      </c>
      <c r="W11" s="35">
        <f>'FS Desroches Daily'!AN13</f>
        <v>20.000000000010232</v>
      </c>
      <c r="X11" s="35">
        <f>'FS Desroches Daily'!AP13</f>
        <v>9.9999999999909051</v>
      </c>
      <c r="Y11" s="35">
        <f>'FS Desroches Daily'!AR13</f>
        <v>20.000000000010232</v>
      </c>
      <c r="Z11" s="35">
        <f>'FS Desroches Daily'!AT13</f>
        <v>19.99999999998181</v>
      </c>
      <c r="AA11" s="35">
        <f>'FS Desroches Daily'!AT13</f>
        <v>19.99999999998181</v>
      </c>
      <c r="AB11" s="35">
        <f>'FS Desroches Daily'!AV13</f>
        <v>19.99999999998181</v>
      </c>
      <c r="AC11" s="35">
        <f>'FS Desroches Daily'!AZ13</f>
        <v>10.000000000047748</v>
      </c>
      <c r="AD11" s="35">
        <f>'FS Desroches Daily'!BB13</f>
        <v>20.000000000038654</v>
      </c>
      <c r="AE11" s="35">
        <f>'FS Desroches Daily'!BD13</f>
        <v>9.9999999999909051</v>
      </c>
      <c r="AF11" s="31">
        <f>'FS Desroches Daily'!BF13</f>
        <v>28</v>
      </c>
      <c r="AG11" s="32">
        <f>'FS Desroches Daily'!BH13</f>
        <v>10.000000000019327</v>
      </c>
      <c r="AH11" s="32">
        <f>'FS Desroches Daily'!BJ13</f>
        <v>20.000000000038654</v>
      </c>
      <c r="AI11" s="32">
        <f>'FS Desroches Daily'!BL13</f>
        <v>9.9999999999909051</v>
      </c>
      <c r="AJ11" s="32">
        <f>'FS Desroches Daily'!BN13</f>
        <v>20.000000000010232</v>
      </c>
      <c r="AK11" s="32">
        <f>'FS Desroches Daily'!BP13</f>
        <v>9.9999999999909051</v>
      </c>
      <c r="AL11" s="32">
        <f>'FS Desroches Daily'!BR13</f>
        <v>4</v>
      </c>
      <c r="AM11" s="32">
        <f>'FS Desroches Daily'!BT13</f>
        <v>0</v>
      </c>
      <c r="AN11" s="32">
        <f>'FS Desroches Daily'!BV13</f>
        <v>9</v>
      </c>
      <c r="AO11" s="32">
        <f>'FS Desroches Daily'!BX13</f>
        <v>9.9999999999909051</v>
      </c>
      <c r="AP11" s="32">
        <f>'FS Desroches Daily'!BZ13</f>
        <v>9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36.400000000001455</v>
      </c>
      <c r="AU11" s="31">
        <f>'FS Desroches Daily'!CJ13</f>
        <v>186</v>
      </c>
      <c r="AV11" s="31">
        <f>'FS Desroches Daily'!CL13</f>
        <v>399.99999999997726</v>
      </c>
      <c r="AW11" s="31">
        <f>'FS Desroches Daily'!CM13</f>
        <v>17.400000000000091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2021</v>
      </c>
      <c r="E12" s="31">
        <f>'FS Desroches Daily'!D14</f>
        <v>799.99999999991189</v>
      </c>
      <c r="F12" s="32">
        <f>'FS Desroches Daily'!F14</f>
        <v>599.99999999993395</v>
      </c>
      <c r="G12" s="31">
        <f>'FS Desroches Daily'!H14</f>
        <v>1500.0000000000568</v>
      </c>
      <c r="H12" s="32">
        <f>'FS Desroches Daily'!J14</f>
        <v>699.99999999992292</v>
      </c>
      <c r="I12" s="31">
        <f>'FS Desroches Daily'!L14</f>
        <v>1999.9999999997797</v>
      </c>
      <c r="J12" s="32">
        <f>'FS Desroches Daily'!N14</f>
        <v>400.00000000017798</v>
      </c>
      <c r="K12" s="13">
        <f>'FS Desroches Daily'!P14</f>
        <v>0</v>
      </c>
      <c r="L12" s="31">
        <f>'FS Desroches Daily'!R14</f>
        <v>4</v>
      </c>
      <c r="M12" s="31">
        <f>'FS Desroches Daily'!T14</f>
        <v>180.79999999993015</v>
      </c>
      <c r="N12" s="31">
        <f>'FS Desroches Daily'!V14</f>
        <v>116.89999999996508</v>
      </c>
      <c r="O12" s="31">
        <f>'FS Desroches Daily'!X14</f>
        <v>99.999999999965894</v>
      </c>
      <c r="P12" s="31">
        <f>'FS Desroches Daily'!Z14</f>
        <v>499.99999999972289</v>
      </c>
      <c r="Q12" s="31">
        <f>'FS Desroches Daily'!AB14</f>
        <v>69.999999999993179</v>
      </c>
      <c r="R12" s="31">
        <f>'FS Desroches Daily'!AD14</f>
        <v>109.9999999999568</v>
      </c>
      <c r="S12" s="31">
        <f>'FS Desroches Daily'!AF14</f>
        <v>179.99999999994998</v>
      </c>
      <c r="T12" s="31">
        <f>'FS Desroches Daily'!AH14</f>
        <v>2.1000000000001364</v>
      </c>
      <c r="U12" s="35">
        <f>'FS Desroches Daily'!AJ14</f>
        <v>210.00000000003638</v>
      </c>
      <c r="V12" s="35">
        <f>'FS Desroches Daily'!AL14</f>
        <v>30.000000000001137</v>
      </c>
      <c r="W12" s="35">
        <f>'FS Desroches Daily'!AN14</f>
        <v>20.000000000010232</v>
      </c>
      <c r="X12" s="35">
        <f>'FS Desroches Daily'!AP14</f>
        <v>30.000000000001137</v>
      </c>
      <c r="Y12" s="35">
        <f>'FS Desroches Daily'!AR14</f>
        <v>19.99999999998181</v>
      </c>
      <c r="Z12" s="35">
        <f>'FS Desroches Daily'!AT14</f>
        <v>40.000000000020464</v>
      </c>
      <c r="AA12" s="35">
        <f>'FS Desroches Daily'!AT14</f>
        <v>40.000000000020464</v>
      </c>
      <c r="AB12" s="35">
        <f>'FS Desroches Daily'!AV14</f>
        <v>9.9999999999909051</v>
      </c>
      <c r="AC12" s="35">
        <f>'FS Desroches Daily'!AZ14</f>
        <v>19.99999999998181</v>
      </c>
      <c r="AD12" s="35">
        <f>'FS Desroches Daily'!BB14</f>
        <v>19.99999999998181</v>
      </c>
      <c r="AE12" s="35">
        <f>'FS Desroches Daily'!BD14</f>
        <v>10.000000000019327</v>
      </c>
      <c r="AF12" s="31">
        <f>'FS Desroches Daily'!BF14</f>
        <v>30</v>
      </c>
      <c r="AG12" s="32">
        <f>'FS Desroches Daily'!BH14</f>
        <v>19.99999999998181</v>
      </c>
      <c r="AH12" s="32">
        <f>'FS Desroches Daily'!BJ14</f>
        <v>29.999999999972715</v>
      </c>
      <c r="AI12" s="32">
        <f>'FS Desroches Daily'!BL14</f>
        <v>0</v>
      </c>
      <c r="AJ12" s="32">
        <f>'FS Desroches Daily'!BN14</f>
        <v>19.99999999998181</v>
      </c>
      <c r="AK12" s="32">
        <f>'FS Desroches Daily'!BP14</f>
        <v>10.000000000047748</v>
      </c>
      <c r="AL12" s="32">
        <f>'FS Desroches Daily'!BR14</f>
        <v>7</v>
      </c>
      <c r="AM12" s="32">
        <f>'FS Desroches Daily'!BT14</f>
        <v>10.000000000019327</v>
      </c>
      <c r="AN12" s="32">
        <f>'FS Desroches Daily'!BV14</f>
        <v>10</v>
      </c>
      <c r="AO12" s="32">
        <f>'FS Desroches Daily'!BX14</f>
        <v>20.000000000010232</v>
      </c>
      <c r="AP12" s="32">
        <f>'FS Desroches Daily'!BZ14</f>
        <v>13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29.599999999998545</v>
      </c>
      <c r="AU12" s="31">
        <f>'FS Desroches Daily'!CJ14</f>
        <v>189</v>
      </c>
      <c r="AV12" s="31">
        <f>'FS Desroches Daily'!CL14</f>
        <v>410.00000000008185</v>
      </c>
      <c r="AW12" s="31">
        <f>'FS Desroches Daily'!CM14</f>
        <v>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2021</v>
      </c>
      <c r="E13" s="31">
        <f>'FS Desroches Daily'!D15</f>
        <v>599.99999999993395</v>
      </c>
      <c r="F13" s="32">
        <f>'FS Desroches Daily'!F15</f>
        <v>699.99999999970089</v>
      </c>
      <c r="G13" s="31">
        <f>'FS Desroches Daily'!H15</f>
        <v>1700.0000000000348</v>
      </c>
      <c r="H13" s="32">
        <f>'FS Desroches Daily'!J15</f>
        <v>700.00000000014495</v>
      </c>
      <c r="I13" s="31">
        <f>'FS Desroches Daily'!L15</f>
        <v>1800.0000000002458</v>
      </c>
      <c r="J13" s="32">
        <f>'FS Desroches Daily'!N15</f>
        <v>599.99999999993395</v>
      </c>
      <c r="K13" s="13">
        <f>'FS Desroches Daily'!P15</f>
        <v>1</v>
      </c>
      <c r="L13" s="31">
        <f>'FS Desroches Daily'!R15</f>
        <v>3</v>
      </c>
      <c r="M13" s="31">
        <f>'FS Desroches Daily'!T15</f>
        <v>328.80000000004657</v>
      </c>
      <c r="N13" s="31">
        <f>'FS Desroches Daily'!V15</f>
        <v>211.90000000002328</v>
      </c>
      <c r="O13" s="31">
        <f>'FS Desroches Daily'!X15</f>
        <v>90.000000000031832</v>
      </c>
      <c r="P13" s="31">
        <f>'FS Desroches Daily'!Z15</f>
        <v>399.99999999995595</v>
      </c>
      <c r="Q13" s="31">
        <f>'FS Desroches Daily'!AB15</f>
        <v>79.999999999984084</v>
      </c>
      <c r="R13" s="31">
        <f>'FS Desroches Daily'!AD15</f>
        <v>110.00000000001364</v>
      </c>
      <c r="S13" s="31">
        <f>'FS Desroches Daily'!AF15</f>
        <v>220.00000000002728</v>
      </c>
      <c r="T13" s="31">
        <f>'FS Desroches Daily'!AH15</f>
        <v>1.7000000000000455</v>
      </c>
      <c r="U13" s="35">
        <f>'FS Desroches Daily'!AJ15</f>
        <v>230.00000000001819</v>
      </c>
      <c r="V13" s="35">
        <f>'FS Desroches Daily'!AL15</f>
        <v>30.000000000001137</v>
      </c>
      <c r="W13" s="35">
        <f>'FS Desroches Daily'!AN15</f>
        <v>19.99999999998181</v>
      </c>
      <c r="X13" s="35">
        <f>'FS Desroches Daily'!AP15</f>
        <v>9.9999999999909051</v>
      </c>
      <c r="Y13" s="35">
        <f>'FS Desroches Daily'!AR15</f>
        <v>20.000000000010232</v>
      </c>
      <c r="Z13" s="35">
        <f>'FS Desroches Daily'!AT15</f>
        <v>29.999999999972715</v>
      </c>
      <c r="AA13" s="35">
        <f>'FS Desroches Daily'!AT15</f>
        <v>29.999999999972715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30.000000000029559</v>
      </c>
      <c r="AE13" s="35">
        <f>'FS Desroches Daily'!BD15</f>
        <v>9.9999999999909051</v>
      </c>
      <c r="AF13" s="31">
        <f>'FS Desroches Daily'!BF15</f>
        <v>32</v>
      </c>
      <c r="AG13" s="32">
        <f>'FS Desroches Daily'!BH15</f>
        <v>10.000000000019327</v>
      </c>
      <c r="AH13" s="32">
        <f>'FS Desroches Daily'!BJ15</f>
        <v>30.000000000029559</v>
      </c>
      <c r="AI13" s="32">
        <f>'FS Desroches Daily'!BL15</f>
        <v>9.9999999999909051</v>
      </c>
      <c r="AJ13" s="32">
        <f>'FS Desroches Daily'!BN15</f>
        <v>20.000000000010232</v>
      </c>
      <c r="AK13" s="32">
        <f>'FS Desroches Daily'!BP15</f>
        <v>19.99999999998181</v>
      </c>
      <c r="AL13" s="32">
        <f>'FS Desroches Daily'!BR15</f>
        <v>7</v>
      </c>
      <c r="AM13" s="32">
        <f>'FS Desroches Daily'!BT15</f>
        <v>9.9999999999909051</v>
      </c>
      <c r="AN13" s="32">
        <f>'FS Desroches Daily'!BV15</f>
        <v>10</v>
      </c>
      <c r="AO13" s="32">
        <f>'FS Desroches Daily'!BX15</f>
        <v>9.9999999999909051</v>
      </c>
      <c r="AP13" s="32">
        <f>'FS Desroches Daily'!BZ15</f>
        <v>20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35</v>
      </c>
      <c r="AU13" s="31">
        <f>'FS Desroches Daily'!CJ15</f>
        <v>164</v>
      </c>
      <c r="AV13" s="31">
        <f>'FS Desroches Daily'!CL15</f>
        <v>329.99999999992724</v>
      </c>
      <c r="AW13" s="31">
        <f>'FS Desroches Daily'!CM15</f>
        <v>31.400000000000091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3.6629999999999998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2021</v>
      </c>
      <c r="E14" s="31">
        <f>'FS Desroches Daily'!D16</f>
        <v>700.00000000014495</v>
      </c>
      <c r="F14" s="32">
        <f>'FS Desroches Daily'!F16</f>
        <v>600.00000000037801</v>
      </c>
      <c r="G14" s="31">
        <f>'FS Desroches Daily'!H16</f>
        <v>1799.9999999998017</v>
      </c>
      <c r="H14" s="32">
        <f>'FS Desroches Daily'!J16</f>
        <v>799.99999999991189</v>
      </c>
      <c r="I14" s="31">
        <f>'FS Desroches Daily'!L16</f>
        <v>2099.9999999999909</v>
      </c>
      <c r="J14" s="32">
        <f>'FS Desroches Daily'!N16</f>
        <v>499.99999999994492</v>
      </c>
      <c r="K14" s="13">
        <f>'FS Desroches Daily'!P16</f>
        <v>0</v>
      </c>
      <c r="L14" s="31">
        <f>'FS Desroches Daily'!R16</f>
        <v>5</v>
      </c>
      <c r="M14" s="31">
        <f>'FS Desroches Daily'!T16</f>
        <v>288.40000000002328</v>
      </c>
      <c r="N14" s="31">
        <f>'FS Desroches Daily'!V16</f>
        <v>229.70000000001164</v>
      </c>
      <c r="O14" s="31">
        <f>'FS Desroches Daily'!X16</f>
        <v>99.999999999965894</v>
      </c>
      <c r="P14" s="31">
        <f>'FS Desroches Daily'!Z16</f>
        <v>500.00000000016701</v>
      </c>
      <c r="Q14" s="31">
        <f>'FS Desroches Daily'!AB16</f>
        <v>100.00000000002274</v>
      </c>
      <c r="R14" s="31">
        <f>'FS Desroches Daily'!AD16</f>
        <v>150.00000000003411</v>
      </c>
      <c r="S14" s="31">
        <f>'FS Desroches Daily'!AF16</f>
        <v>189.99999999994088</v>
      </c>
      <c r="T14" s="31">
        <f>'FS Desroches Daily'!AH16</f>
        <v>1.5999999999999091</v>
      </c>
      <c r="U14" s="35">
        <f>'FS Desroches Daily'!AJ16</f>
        <v>250</v>
      </c>
      <c r="V14" s="35">
        <f>'FS Desroches Daily'!AL16</f>
        <v>30.000000000001137</v>
      </c>
      <c r="W14" s="35">
        <f>'FS Desroches Daily'!AN16</f>
        <v>20.000000000010232</v>
      </c>
      <c r="X14" s="35">
        <f>'FS Desroches Daily'!AP16</f>
        <v>20.000000000010232</v>
      </c>
      <c r="Y14" s="35">
        <f>'FS Desroches Daily'!AR16</f>
        <v>9.9999999999909051</v>
      </c>
      <c r="Z14" s="35">
        <f>'FS Desroches Daily'!AT16</f>
        <v>19.99999999998181</v>
      </c>
      <c r="AA14" s="35">
        <f>'FS Desroches Daily'!AT16</f>
        <v>19.99999999998181</v>
      </c>
      <c r="AB14" s="35">
        <f>'FS Desroches Daily'!AV16</f>
        <v>19.99999999998181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9.9999999999909051</v>
      </c>
      <c r="AF14" s="31">
        <f>'FS Desroches Daily'!BF16</f>
        <v>16</v>
      </c>
      <c r="AG14" s="32">
        <f>'FS Desroches Daily'!BH16</f>
        <v>19.99999999998181</v>
      </c>
      <c r="AH14" s="32">
        <f>'FS Desroches Daily'!BJ16</f>
        <v>39.99999999996362</v>
      </c>
      <c r="AI14" s="32">
        <f>'FS Desroches Daily'!BL16</f>
        <v>0</v>
      </c>
      <c r="AJ14" s="32">
        <f>'FS Desroches Daily'!BN16</f>
        <v>30.000000000001137</v>
      </c>
      <c r="AK14" s="32">
        <f>'FS Desroches Daily'!BP16</f>
        <v>9.9999999999909051</v>
      </c>
      <c r="AL14" s="32">
        <f>'FS Desroches Daily'!BR16</f>
        <v>8</v>
      </c>
      <c r="AM14" s="32">
        <f>'FS Desroches Daily'!BT16</f>
        <v>9.9999999999909051</v>
      </c>
      <c r="AN14" s="32">
        <f>'FS Desroches Daily'!BV16</f>
        <v>13</v>
      </c>
      <c r="AO14" s="32">
        <f>'FS Desroches Daily'!BX16</f>
        <v>20.000000000010232</v>
      </c>
      <c r="AP14" s="32">
        <f>'FS Desroches Daily'!BZ16</f>
        <v>16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27.900000000001455</v>
      </c>
      <c r="AU14" s="31">
        <f>'FS Desroches Daily'!CJ16</f>
        <v>170</v>
      </c>
      <c r="AV14" s="31">
        <f>'FS Desroches Daily'!CL16</f>
        <v>320.00000000005002</v>
      </c>
      <c r="AW14" s="31">
        <f>'FS Desroches Daily'!CM16</f>
        <v>23.699999999999818</v>
      </c>
      <c r="AX14" s="31" t="str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2021</v>
      </c>
      <c r="E15" s="31">
        <f>'FS Desroches Daily'!D17</f>
        <v>599.99999999993395</v>
      </c>
      <c r="F15" s="32">
        <f>'FS Desroches Daily'!F17</f>
        <v>699.99999999970089</v>
      </c>
      <c r="G15" s="31">
        <f>'FS Desroches Daily'!H17</f>
        <v>1500.0000000000568</v>
      </c>
      <c r="H15" s="32">
        <f>'FS Desroches Daily'!J17</f>
        <v>899.99999999990087</v>
      </c>
      <c r="I15" s="31">
        <f>'FS Desroches Daily'!L17</f>
        <v>2099.9999999999909</v>
      </c>
      <c r="J15" s="32">
        <f>'FS Desroches Daily'!N17</f>
        <v>599.99999999993395</v>
      </c>
      <c r="K15" s="13">
        <f>'FS Desroches Daily'!P17</f>
        <v>0</v>
      </c>
      <c r="L15" s="31">
        <f>'FS Desroches Daily'!R17</f>
        <v>6</v>
      </c>
      <c r="M15" s="31">
        <f>'FS Desroches Daily'!T17</f>
        <v>91.399999999906868</v>
      </c>
      <c r="N15" s="31">
        <f>'FS Desroches Daily'!V17</f>
        <v>68.699999999953434</v>
      </c>
      <c r="O15" s="31">
        <f>'FS Desroches Daily'!X17</f>
        <v>100.00000000002274</v>
      </c>
      <c r="P15" s="31">
        <f>'FS Desroches Daily'!Z17</f>
        <v>500.00000000016701</v>
      </c>
      <c r="Q15" s="31">
        <f>'FS Desroches Daily'!AB17</f>
        <v>129.99999999999545</v>
      </c>
      <c r="R15" s="31">
        <f>'FS Desroches Daily'!AD17</f>
        <v>159.99999999996817</v>
      </c>
      <c r="S15" s="31">
        <f>'FS Desroches Daily'!AF17</f>
        <v>190.00000000005457</v>
      </c>
      <c r="T15" s="31">
        <f>'FS Desroches Daily'!AH17</f>
        <v>1.5999999999999091</v>
      </c>
      <c r="U15" s="35">
        <f>'FS Desroches Daily'!AJ17</f>
        <v>269.99999999998181</v>
      </c>
      <c r="V15" s="35">
        <f>'FS Desroches Daily'!AL17</f>
        <v>20.000000000010232</v>
      </c>
      <c r="W15" s="35">
        <f>'FS Desroches Daily'!AN17</f>
        <v>9.9999999999909051</v>
      </c>
      <c r="X15" s="35">
        <f>'FS Desroches Daily'!AP17</f>
        <v>9.9999999999909051</v>
      </c>
      <c r="Y15" s="35">
        <f>'FS Desroches Daily'!AR17</f>
        <v>10.000000000019327</v>
      </c>
      <c r="Z15" s="35">
        <f>'FS Desroches Daily'!AT17</f>
        <v>20.000000000038654</v>
      </c>
      <c r="AA15" s="35">
        <f>'FS Desroches Daily'!AT17</f>
        <v>20.000000000038654</v>
      </c>
      <c r="AB15" s="35">
        <f>'FS Desroches Daily'!AV17</f>
        <v>10.000000000047748</v>
      </c>
      <c r="AC15" s="35">
        <f>'FS Desroches Daily'!AZ17</f>
        <v>20.000000000038654</v>
      </c>
      <c r="AD15" s="35">
        <f>'FS Desroches Daily'!BB17</f>
        <v>19.99999999998181</v>
      </c>
      <c r="AE15" s="35">
        <f>'FS Desroches Daily'!BD17</f>
        <v>10.000000000019327</v>
      </c>
      <c r="AF15" s="31" t="str">
        <f>'FS Desroches Daily'!BF17</f>
        <v/>
      </c>
      <c r="AG15" s="32">
        <f>'FS Desroches Daily'!BH17</f>
        <v>30.000000000001137</v>
      </c>
      <c r="AH15" s="32">
        <f>'FS Desroches Daily'!BJ17</f>
        <v>40.000000000020464</v>
      </c>
      <c r="AI15" s="32">
        <f>'FS Desroches Daily'!BL17</f>
        <v>10.000000000019327</v>
      </c>
      <c r="AJ15" s="32">
        <f>'FS Desroches Daily'!BN17</f>
        <v>20.000000000010232</v>
      </c>
      <c r="AK15" s="32">
        <f>'FS Desroches Daily'!BP17</f>
        <v>19.99999999998181</v>
      </c>
      <c r="AL15" s="32">
        <f>'FS Desroches Daily'!BR17</f>
        <v>10</v>
      </c>
      <c r="AM15" s="32">
        <f>'FS Desroches Daily'!BT17</f>
        <v>9.9999999999909051</v>
      </c>
      <c r="AN15" s="32">
        <f>'FS Desroches Daily'!BV17</f>
        <v>22</v>
      </c>
      <c r="AO15" s="32">
        <f>'FS Desroches Daily'!BX17</f>
        <v>19.99999999998181</v>
      </c>
      <c r="AP15" s="32">
        <f>'FS Desroches Daily'!BZ17</f>
        <v>22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28.799999999995634</v>
      </c>
      <c r="AU15" s="31">
        <f>'FS Desroches Daily'!CJ17</f>
        <v>174</v>
      </c>
      <c r="AV15" s="31">
        <f>'FS Desroches Daily'!CL17</f>
        <v>590.00000000003183</v>
      </c>
      <c r="AW15" s="31">
        <f>'FS Desroches Daily'!CM17</f>
        <v>13.200000000000273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1.8314999999999999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2021</v>
      </c>
      <c r="E16" s="31">
        <f>'FS Desroches Daily'!D18</f>
        <v>700.00000000014495</v>
      </c>
      <c r="F16" s="32">
        <f>'FS Desroches Daily'!F18</f>
        <v>799.99999999991189</v>
      </c>
      <c r="G16" s="31">
        <f>'FS Desroches Daily'!H18</f>
        <v>1900.0000000000127</v>
      </c>
      <c r="H16" s="32">
        <f>'FS Desroches Daily'!J18</f>
        <v>900.0000000001229</v>
      </c>
      <c r="I16" s="31">
        <f>'FS Desroches Daily'!L18</f>
        <v>2099.9999999999909</v>
      </c>
      <c r="J16" s="32">
        <f>'FS Desroches Daily'!N18</f>
        <v>600.00000000015598</v>
      </c>
      <c r="K16" s="13">
        <f>'FS Desroches Daily'!P18</f>
        <v>0</v>
      </c>
      <c r="L16" s="31">
        <f>'FS Desroches Daily'!R18</f>
        <v>6</v>
      </c>
      <c r="M16" s="31">
        <f>'FS Desroches Daily'!T18</f>
        <v>327.20000000006985</v>
      </c>
      <c r="N16" s="31">
        <f>'FS Desroches Daily'!V18</f>
        <v>233.10000000003492</v>
      </c>
      <c r="O16" s="31">
        <f>'FS Desroches Daily'!X18</f>
        <v>120.00000000000455</v>
      </c>
      <c r="P16" s="31">
        <f>'FS Desroches Daily'!Z18</f>
        <v>499.99999999972289</v>
      </c>
      <c r="Q16" s="31">
        <f>'FS Desroches Daily'!AB18</f>
        <v>99.999999999965894</v>
      </c>
      <c r="R16" s="31">
        <f>'FS Desroches Daily'!AD18</f>
        <v>160.00000000002501</v>
      </c>
      <c r="S16" s="31">
        <f>'FS Desroches Daily'!AF18</f>
        <v>240.00000000000909</v>
      </c>
      <c r="T16" s="31">
        <f>'FS Desroches Daily'!AH18</f>
        <v>1.6000000000001364</v>
      </c>
      <c r="U16" s="35">
        <f>'FS Desroches Daily'!AJ18</f>
        <v>250</v>
      </c>
      <c r="V16" s="35">
        <f>'FS Desroches Daily'!AL18</f>
        <v>39.999999999992042</v>
      </c>
      <c r="W16" s="35">
        <f>'FS Desroches Daily'!AN18</f>
        <v>20.000000000010232</v>
      </c>
      <c r="X16" s="35">
        <f>'FS Desroches Daily'!AP18</f>
        <v>30.000000000001137</v>
      </c>
      <c r="Y16" s="35">
        <f>'FS Desroches Daily'!AR18</f>
        <v>19.99999999998181</v>
      </c>
      <c r="Z16" s="35">
        <f>'FS Desroches Daily'!AT18</f>
        <v>19.99999999998181</v>
      </c>
      <c r="AA16" s="35">
        <f>'FS Desroches Daily'!AT18</f>
        <v>19.99999999998181</v>
      </c>
      <c r="AB16" s="35">
        <f>'FS Desroches Daily'!AV18</f>
        <v>19.99999999998181</v>
      </c>
      <c r="AC16" s="35">
        <f>'FS Desroches Daily'!AZ18</f>
        <v>19.99999999998181</v>
      </c>
      <c r="AD16" s="35">
        <f>'FS Desroches Daily'!BB18</f>
        <v>19.99999999998181</v>
      </c>
      <c r="AE16" s="35">
        <f>'FS Desroches Daily'!BD18</f>
        <v>9.9999999999909051</v>
      </c>
      <c r="AF16" s="31">
        <f>'FS Desroches Daily'!BF18</f>
        <v>0</v>
      </c>
      <c r="AG16" s="32">
        <f>'FS Desroches Daily'!BH18</f>
        <v>20.000000000010232</v>
      </c>
      <c r="AH16" s="32">
        <f>'FS Desroches Daily'!BJ18</f>
        <v>40.000000000020464</v>
      </c>
      <c r="AI16" s="32">
        <f>'FS Desroches Daily'!BL18</f>
        <v>9.9999999999909051</v>
      </c>
      <c r="AJ16" s="32">
        <f>'FS Desroches Daily'!BN18</f>
        <v>30.000000000001137</v>
      </c>
      <c r="AK16" s="32">
        <f>'FS Desroches Daily'!BP18</f>
        <v>20.000000000038654</v>
      </c>
      <c r="AL16" s="32">
        <f>'FS Desroches Daily'!BR18</f>
        <v>9</v>
      </c>
      <c r="AM16" s="32">
        <f>'FS Desroches Daily'!BT18</f>
        <v>10.000000000019327</v>
      </c>
      <c r="AN16" s="32">
        <f>'FS Desroches Daily'!BV18</f>
        <v>14</v>
      </c>
      <c r="AO16" s="32">
        <f>'FS Desroches Daily'!BX18</f>
        <v>20.000000000010232</v>
      </c>
      <c r="AP16" s="32">
        <f>'FS Desroches Daily'!BZ18</f>
        <v>33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32.400000000001455</v>
      </c>
      <c r="AU16" s="31">
        <f>'FS Desroches Daily'!CJ18</f>
        <v>172</v>
      </c>
      <c r="AV16" s="31">
        <f>'FS Desroches Daily'!CL18</f>
        <v>189.99999999994088</v>
      </c>
      <c r="AW16" s="31">
        <f>'FS Desroches Daily'!CM18</f>
        <v>24.099999999999909</v>
      </c>
      <c r="AX16" s="31" t="str">
        <f>IF(LPG!F23-LPG!F22&lt;0,"0",(LPG!F23-LPG!F22)*1.8315)</f>
        <v>0</v>
      </c>
      <c r="AY16" s="31" t="str">
        <f>IF(LPG!H23-LPG!H22&lt;0,"0",(LPG!H23-LPG!H22)*1.8315)</f>
        <v>0</v>
      </c>
      <c r="AZ16" s="31" t="str">
        <f>IF(LPG!J23-LPG!J22&lt;0,"0",(LPG!J23-LPG!J22)*1.8315)</f>
        <v>0</v>
      </c>
      <c r="BA16" s="31" t="str">
        <f>IF(LPG!M23-LPG!M22&lt;0,"0",(LPG!M23-LPG!M22)*1.8315)</f>
        <v>0</v>
      </c>
      <c r="BB16" s="31" t="str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2021</v>
      </c>
      <c r="E17" s="31" t="str">
        <f>'FS Desroches Daily'!D19</f>
        <v>0</v>
      </c>
      <c r="F17" s="32" t="str">
        <f>'FS Desroches Daily'!F19</f>
        <v>0</v>
      </c>
      <c r="G17" s="31" t="str">
        <f>'FS Desroches Daily'!H19</f>
        <v>0</v>
      </c>
      <c r="H17" s="32" t="str">
        <f>'FS Desroches Daily'!J19</f>
        <v>0</v>
      </c>
      <c r="I17" s="31" t="str">
        <f>'FS Desroches Daily'!L19</f>
        <v>0</v>
      </c>
      <c r="J17" s="32" t="str">
        <f>'FS Desroches Daily'!N19</f>
        <v/>
      </c>
      <c r="K17" s="13" t="str">
        <f>'FS Desroches Daily'!P19</f>
        <v/>
      </c>
      <c r="L17" s="31" t="str">
        <f>'FS Desroches Daily'!R19</f>
        <v/>
      </c>
      <c r="M17" s="31" t="str">
        <f>'FS Desroches Daily'!T19</f>
        <v/>
      </c>
      <c r="N17" s="31" t="str">
        <f>'FS Desroches Daily'!V19</f>
        <v/>
      </c>
      <c r="O17" s="31" t="str">
        <f>'FS Desroches Daily'!X19</f>
        <v/>
      </c>
      <c r="P17" s="31" t="str">
        <f>'FS Desroches Daily'!Z19</f>
        <v/>
      </c>
      <c r="Q17" s="31" t="str">
        <f>'FS Desroches Daily'!AB19</f>
        <v/>
      </c>
      <c r="R17" s="31" t="str">
        <f>'FS Desroches Daily'!AD19</f>
        <v/>
      </c>
      <c r="S17" s="31" t="str">
        <f>'FS Desroches Daily'!AF19</f>
        <v/>
      </c>
      <c r="T17" s="31" t="str">
        <f>'FS Desroches Daily'!AH19</f>
        <v/>
      </c>
      <c r="U17" s="35" t="str">
        <f>'FS Desroches Daily'!AJ19</f>
        <v/>
      </c>
      <c r="V17" s="35" t="str">
        <f>'FS Desroches Daily'!AL19</f>
        <v/>
      </c>
      <c r="W17" s="35" t="str">
        <f>'FS Desroches Daily'!AN19</f>
        <v/>
      </c>
      <c r="X17" s="35" t="str">
        <f>'FS Desroches Daily'!AP19</f>
        <v/>
      </c>
      <c r="Y17" s="35" t="str">
        <f>'FS Desroches Daily'!AR19</f>
        <v/>
      </c>
      <c r="Z17" s="35">
        <f>'FS Desroches Daily'!AU20</f>
        <v>0</v>
      </c>
      <c r="AA17" s="35">
        <f>'FS Desroches Daily'!AU20</f>
        <v>0</v>
      </c>
      <c r="AB17" s="35" t="str">
        <f>'FS Desroches Daily'!AV19</f>
        <v/>
      </c>
      <c r="AC17" s="35" t="str">
        <f>'FS Desroches Daily'!AZ19</f>
        <v/>
      </c>
      <c r="AD17" s="35" t="str">
        <f>'FS Desroches Daily'!BB19</f>
        <v/>
      </c>
      <c r="AE17" s="35" t="str">
        <f>'FS Desroches Daily'!BD19</f>
        <v/>
      </c>
      <c r="AF17" s="31">
        <f>'FS Desroches Daily'!BF19</f>
        <v>0</v>
      </c>
      <c r="AG17" s="32" t="str">
        <f>'FS Desroches Daily'!BH19</f>
        <v/>
      </c>
      <c r="AH17" s="32" t="str">
        <f>'FS Desroches Daily'!BJ19</f>
        <v/>
      </c>
      <c r="AI17" s="32" t="str">
        <f>'FS Desroches Daily'!BL19</f>
        <v/>
      </c>
      <c r="AJ17" s="32" t="str">
        <f>'FS Desroches Daily'!BN19</f>
        <v/>
      </c>
      <c r="AK17" s="32" t="str">
        <f>'FS Desroches Daily'!BP19</f>
        <v/>
      </c>
      <c r="AL17" s="32" t="str">
        <f>'FS Desroches Daily'!BR19</f>
        <v/>
      </c>
      <c r="AM17" s="32" t="str">
        <f>'FS Desroches Daily'!BT19</f>
        <v/>
      </c>
      <c r="AN17" s="32" t="str">
        <f>'FS Desroches Daily'!BV19</f>
        <v/>
      </c>
      <c r="AO17" s="32" t="str">
        <f>'FS Desroches Daily'!BX19</f>
        <v/>
      </c>
      <c r="AP17" s="32" t="str">
        <f>'FS Desroches Daily'!BZ19</f>
        <v/>
      </c>
      <c r="AQ17" s="31" t="str">
        <f>'FS Desroches Daily'!CB19</f>
        <v/>
      </c>
      <c r="AR17" s="31" t="str">
        <f>'FS Desroches Daily'!CD19</f>
        <v/>
      </c>
      <c r="AS17" s="31" t="str">
        <f>'FS Desroches Daily'!CF19</f>
        <v/>
      </c>
      <c r="AT17" s="31" t="str">
        <f>'FS Desroches Daily'!CH19</f>
        <v/>
      </c>
      <c r="AU17" s="31" t="str">
        <f>'FS Desroches Daily'!CJ19</f>
        <v/>
      </c>
      <c r="AV17" s="31" t="str">
        <f>'FS Desroches Daily'!CL19</f>
        <v/>
      </c>
      <c r="AW17" s="31" t="e">
        <f>'FS Desroches Daily'!CM19</f>
        <v>#VALUE!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/>
      <c r="C30" s="18"/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/>
      <c r="C31" s="18"/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/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12799.999999999925</v>
      </c>
      <c r="F33" s="17">
        <f t="shared" ref="F33:BC33" si="1">SUM(F2:F32)</f>
        <v>10299.999999999978</v>
      </c>
      <c r="G33" s="17">
        <f t="shared" si="1"/>
        <v>25199.999999999891</v>
      </c>
      <c r="H33" s="17">
        <f t="shared" si="1"/>
        <v>12399.999999999971</v>
      </c>
      <c r="I33" s="17">
        <f t="shared" si="1"/>
        <v>28599.999999999964</v>
      </c>
      <c r="J33" s="17">
        <f t="shared" si="1"/>
        <v>8000.0000000000055</v>
      </c>
      <c r="K33" s="17">
        <f t="shared" si="1"/>
        <v>4</v>
      </c>
      <c r="L33" s="17">
        <f t="shared" si="1"/>
        <v>57</v>
      </c>
      <c r="M33" s="17">
        <f t="shared" si="1"/>
        <v>3769.5999999999767</v>
      </c>
      <c r="N33" s="17">
        <f t="shared" si="1"/>
        <v>2573.2000000000116</v>
      </c>
      <c r="O33" s="17">
        <f t="shared" si="1"/>
        <v>1740.0000000000091</v>
      </c>
      <c r="P33" s="17">
        <f t="shared" si="1"/>
        <v>6999.9999999996744</v>
      </c>
      <c r="Q33" s="17">
        <f t="shared" si="1"/>
        <v>1329.9999999999841</v>
      </c>
      <c r="R33" s="17">
        <f t="shared" si="1"/>
        <v>2060.0000000000023</v>
      </c>
      <c r="S33" s="17">
        <f t="shared" si="1"/>
        <v>2980.0000000000182</v>
      </c>
      <c r="T33" s="17">
        <f t="shared" si="1"/>
        <v>25.799999999999955</v>
      </c>
      <c r="U33" s="35">
        <f t="shared" si="1"/>
        <v>3669.9999999999591</v>
      </c>
      <c r="V33" s="35">
        <f t="shared" si="1"/>
        <v>449.99999999998863</v>
      </c>
      <c r="W33" s="35">
        <f t="shared" si="1"/>
        <v>289.99999999999204</v>
      </c>
      <c r="X33" s="35">
        <f t="shared" si="1"/>
        <v>300.00000000001137</v>
      </c>
      <c r="Y33" s="35">
        <f t="shared" si="1"/>
        <v>250</v>
      </c>
      <c r="Z33" s="35">
        <f t="shared" si="1"/>
        <v>350.00000000002274</v>
      </c>
      <c r="AA33" s="35">
        <f t="shared" si="1"/>
        <v>350.00000000002274</v>
      </c>
      <c r="AB33" s="35">
        <f t="shared" si="1"/>
        <v>259.99999999999091</v>
      </c>
      <c r="AC33" s="35">
        <f t="shared" si="1"/>
        <v>279.99999999997272</v>
      </c>
      <c r="AD33" s="35">
        <f t="shared" si="1"/>
        <v>359.9999999999568</v>
      </c>
      <c r="AE33" s="35">
        <f t="shared" si="1"/>
        <v>159.99999999999659</v>
      </c>
      <c r="AF33" s="17">
        <f t="shared" si="1"/>
        <v>356</v>
      </c>
      <c r="AG33" s="32">
        <f t="shared" si="1"/>
        <v>280.00000000000114</v>
      </c>
      <c r="AH33" s="32">
        <f t="shared" si="1"/>
        <v>520.00000000003865</v>
      </c>
      <c r="AI33" s="32">
        <f t="shared" si="1"/>
        <v>110.00000000001364</v>
      </c>
      <c r="AJ33" s="32">
        <f t="shared" si="1"/>
        <v>340.00000000000341</v>
      </c>
      <c r="AK33" s="32">
        <f t="shared" si="1"/>
        <v>220.00000000002728</v>
      </c>
      <c r="AL33" s="32">
        <f t="shared" si="1"/>
        <v>105</v>
      </c>
      <c r="AM33" s="32">
        <f t="shared" si="1"/>
        <v>159.99999999999659</v>
      </c>
      <c r="AN33" s="32">
        <f t="shared" si="1"/>
        <v>173</v>
      </c>
      <c r="AO33" s="32">
        <f t="shared" si="1"/>
        <v>250</v>
      </c>
      <c r="AP33" s="32">
        <f t="shared" si="1"/>
        <v>276</v>
      </c>
      <c r="AQ33" s="17">
        <f t="shared" si="1"/>
        <v>5</v>
      </c>
      <c r="AR33" s="17">
        <f t="shared" si="1"/>
        <v>0</v>
      </c>
      <c r="AS33" s="17">
        <f t="shared" si="1"/>
        <v>0</v>
      </c>
      <c r="AT33" s="17">
        <f t="shared" si="1"/>
        <v>555.79999999999563</v>
      </c>
      <c r="AU33" s="17">
        <f t="shared" si="1"/>
        <v>3042</v>
      </c>
      <c r="AV33" s="17">
        <f t="shared" si="1"/>
        <v>6019.9999999999818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0</v>
      </c>
    </row>
    <row r="35" spans="5:55" x14ac:dyDescent="0.25">
      <c r="E35" s="38">
        <f>E33/E37</f>
        <v>0.21391089274374103</v>
      </c>
      <c r="G35" s="29">
        <f>G33-M36</f>
        <v>18857.199999999903</v>
      </c>
      <c r="AE35" s="35">
        <f>SUM(U33:AE33)</f>
        <v>6719.9999999999127</v>
      </c>
      <c r="AG35" s="32">
        <f>SUM(AG33:AP33)</f>
        <v>2434.0000000000809</v>
      </c>
    </row>
    <row r="36" spans="5:55" x14ac:dyDescent="0.25">
      <c r="G36" s="29">
        <f>G35-633*14</f>
        <v>9995.1999999999025</v>
      </c>
      <c r="M36" s="29">
        <f>M33+N33</f>
        <v>6342.7999999999884</v>
      </c>
    </row>
    <row r="37" spans="5:55" x14ac:dyDescent="0.25">
      <c r="E37" s="17">
        <f>E33+F33+G33+H33+J33-633*14</f>
        <v>59837.999999999767</v>
      </c>
      <c r="G37" s="37">
        <f>M36/E37</f>
        <v>0.10599953206992234</v>
      </c>
      <c r="M37" s="35">
        <f>AE35</f>
        <v>6719.9999999999127</v>
      </c>
    </row>
    <row r="38" spans="5:55" x14ac:dyDescent="0.25">
      <c r="L38" s="27">
        <f>M38/E37</f>
        <v>4.067649319830359E-2</v>
      </c>
      <c r="M38" s="29">
        <f>AG35</f>
        <v>2434.0000000000809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B1" zoomScale="87" zoomScaleNormal="87" workbookViewId="0">
      <pane ySplit="1" topLeftCell="A4" activePane="bottomLeft" state="frozen"/>
      <selection pane="bottomLeft" activeCell="CQ26" sqref="CQ2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8554687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" style="57" bestFit="1" customWidth="1"/>
    <col min="34" max="34" width="20" style="71" customWidth="1"/>
    <col min="35" max="35" width="13.140625" style="57" customWidth="1"/>
    <col min="36" max="36" width="13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0" width="13" style="61" customWidth="1"/>
    <col min="91" max="91" width="15.85546875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44227</v>
      </c>
      <c r="B3" s="68"/>
      <c r="C3" s="58">
        <v>2.0430000000000001</v>
      </c>
      <c r="D3" s="64"/>
      <c r="E3" s="58">
        <v>2.9127999999999998</v>
      </c>
      <c r="F3" s="64"/>
      <c r="G3" s="58">
        <v>2.9666000000000001</v>
      </c>
      <c r="H3" s="64"/>
      <c r="I3" s="58">
        <v>1.4511000000000001</v>
      </c>
      <c r="J3" s="64"/>
      <c r="K3" s="58">
        <v>2.3382000000000001</v>
      </c>
      <c r="L3" s="64"/>
      <c r="M3" s="58">
        <v>1.3323</v>
      </c>
      <c r="N3" s="64"/>
      <c r="O3" s="58">
        <v>12736</v>
      </c>
      <c r="P3" s="67"/>
      <c r="Q3" s="58">
        <v>262</v>
      </c>
      <c r="R3" s="67"/>
      <c r="S3" s="58">
        <v>896114.8</v>
      </c>
      <c r="T3" s="67"/>
      <c r="U3" s="58">
        <v>370667.5</v>
      </c>
      <c r="V3" s="67"/>
      <c r="W3" s="58">
        <v>360.52</v>
      </c>
      <c r="X3" s="65"/>
      <c r="Y3" s="58">
        <v>2.5424000000000002</v>
      </c>
      <c r="Z3" s="65"/>
      <c r="AA3" s="58">
        <v>355.06</v>
      </c>
      <c r="AB3" s="65"/>
      <c r="AC3" s="58">
        <v>340.61</v>
      </c>
      <c r="AD3" s="65"/>
      <c r="AE3" s="58">
        <v>527.48</v>
      </c>
      <c r="AF3" s="65"/>
      <c r="AG3" s="58">
        <v>1551.9</v>
      </c>
      <c r="AH3" s="67"/>
      <c r="AI3" s="58">
        <v>527.35</v>
      </c>
      <c r="AJ3" s="65"/>
      <c r="AK3" s="58">
        <v>181.3</v>
      </c>
      <c r="AL3" s="65"/>
      <c r="AM3" s="58">
        <v>179.27</v>
      </c>
      <c r="AN3" s="65"/>
      <c r="AO3" s="58">
        <v>170.92</v>
      </c>
      <c r="AP3" s="65"/>
      <c r="AQ3" s="58">
        <v>229.2</v>
      </c>
      <c r="AR3" s="65"/>
      <c r="AS3" s="58">
        <v>356.71</v>
      </c>
      <c r="AT3" s="65"/>
      <c r="AU3" s="58">
        <v>275.55</v>
      </c>
      <c r="AV3" s="65"/>
      <c r="AW3" s="58">
        <v>308.76</v>
      </c>
      <c r="AX3" s="65"/>
      <c r="AY3" s="58">
        <v>356.72</v>
      </c>
      <c r="AZ3" s="65"/>
      <c r="BA3" s="58">
        <v>377.92</v>
      </c>
      <c r="BB3" s="65"/>
      <c r="BC3" s="58">
        <v>236.65</v>
      </c>
      <c r="BD3" s="65"/>
      <c r="BE3" s="59">
        <v>35107</v>
      </c>
      <c r="BF3" s="67"/>
      <c r="BG3" s="60">
        <v>228.84</v>
      </c>
      <c r="BH3" s="65"/>
      <c r="BI3" s="60">
        <v>287.7</v>
      </c>
      <c r="BJ3" s="65"/>
      <c r="BK3" s="60">
        <v>232.98</v>
      </c>
      <c r="BL3" s="65"/>
      <c r="BM3" s="60">
        <v>218.24</v>
      </c>
      <c r="BN3" s="65"/>
      <c r="BO3" s="60">
        <v>283.51</v>
      </c>
      <c r="BP3" s="65"/>
      <c r="BQ3" s="60">
        <v>41789</v>
      </c>
      <c r="BR3" s="65"/>
      <c r="BS3" s="60">
        <v>196.74</v>
      </c>
      <c r="BT3" s="65"/>
      <c r="BU3" s="60">
        <v>35291</v>
      </c>
      <c r="BV3" s="65"/>
      <c r="BW3" s="60">
        <v>228.22</v>
      </c>
      <c r="BX3" s="65"/>
      <c r="BY3" s="60">
        <v>53909</v>
      </c>
      <c r="BZ3" s="67"/>
      <c r="CA3" s="60">
        <v>28611.4</v>
      </c>
      <c r="CB3" s="67"/>
      <c r="CC3" s="60">
        <v>11255.6</v>
      </c>
      <c r="CD3" s="67"/>
      <c r="CE3" s="60">
        <v>5623</v>
      </c>
      <c r="CF3" s="67"/>
      <c r="CG3" s="60">
        <v>54514.3</v>
      </c>
      <c r="CH3" s="67"/>
      <c r="CI3" s="60">
        <v>908920</v>
      </c>
      <c r="CJ3" s="67"/>
      <c r="CK3" s="60">
        <v>673.49</v>
      </c>
      <c r="CL3" s="64"/>
      <c r="CM3" s="65"/>
      <c r="CN3" s="62">
        <v>0</v>
      </c>
      <c r="CO3" s="62">
        <v>0</v>
      </c>
      <c r="CP3" s="68">
        <v>3735.1</v>
      </c>
      <c r="CQ3" s="68"/>
      <c r="CR3" s="68">
        <v>11870</v>
      </c>
      <c r="CS3" s="68"/>
      <c r="CT3" s="75">
        <v>4586</v>
      </c>
      <c r="CU3" s="68"/>
      <c r="CV3" s="68">
        <v>11938</v>
      </c>
      <c r="CW3" s="75"/>
      <c r="CX3" s="76"/>
    </row>
    <row r="4" spans="1:102" ht="25.5" customHeight="1" thickBot="1" x14ac:dyDescent="0.45">
      <c r="A4" s="63">
        <v>44228</v>
      </c>
      <c r="B4" s="68"/>
      <c r="C4" s="58">
        <v>2.0438999999999998</v>
      </c>
      <c r="D4" s="64">
        <f t="shared" ref="D4:D34" si="0">IF((C4-C3&lt;0), "0",(C4-C3)*1000000)</f>
        <v>899.99999999967883</v>
      </c>
      <c r="E4" s="58">
        <v>2.9136000000000002</v>
      </c>
      <c r="F4" s="64">
        <f t="shared" ref="F4:F34" si="1">IF((E4-E3&lt;0), "0",(E4-E3)*1000000)</f>
        <v>800.00000000035595</v>
      </c>
      <c r="G4" s="58">
        <v>2.9685000000000001</v>
      </c>
      <c r="H4" s="64">
        <f t="shared" ref="H4:H34" si="2">IF((G4-G3&lt;0), "0",(G4-G3)*1000000)</f>
        <v>1900.0000000000127</v>
      </c>
      <c r="I4" s="58">
        <v>1.452</v>
      </c>
      <c r="J4" s="64">
        <f t="shared" ref="J4:J34" si="3">IF((I4-I3&lt;0), "0",(I4-I3)*1000000)</f>
        <v>899.99999999990087</v>
      </c>
      <c r="K4" s="58">
        <v>2.3401999999999998</v>
      </c>
      <c r="L4" s="64">
        <f>IF((K4-K3&lt;0), "0",(K4-K3)*1000000)</f>
        <v>1999.9999999997797</v>
      </c>
      <c r="M4" s="58">
        <v>1.3329</v>
      </c>
      <c r="N4" s="64">
        <f t="shared" ref="N4:N34" si="4">IF((M4-M3&lt;0), "",(M4-M3)*1000000)</f>
        <v>599.99999999993395</v>
      </c>
      <c r="O4" s="58">
        <v>12736</v>
      </c>
      <c r="P4" s="67">
        <f t="shared" ref="P4:P10" si="5">IF((O4-O3&lt;0), "",O4-O3)</f>
        <v>0</v>
      </c>
      <c r="Q4" s="58">
        <v>266</v>
      </c>
      <c r="R4" s="67">
        <f t="shared" ref="R4:R34" si="6">IF((Q4-Q3&lt;0), "",Q4-Q3)</f>
        <v>4</v>
      </c>
      <c r="S4" s="58">
        <v>896524.2</v>
      </c>
      <c r="T4" s="67">
        <f t="shared" ref="T4:T34" si="7">IF((S4-S3&lt;0), "",S4-S3)</f>
        <v>409.39999999990687</v>
      </c>
      <c r="U4" s="58">
        <v>370890.7</v>
      </c>
      <c r="V4" s="67">
        <f t="shared" ref="V4:V34" si="8">IF((U4-U3&lt;0), "",U4-U3)</f>
        <v>223.20000000001164</v>
      </c>
      <c r="W4" s="58">
        <v>360.72</v>
      </c>
      <c r="X4" s="65">
        <f t="shared" ref="X4:X34" si="9">IF((W4-W3&lt;0), "",(W4-W3)*1000)</f>
        <v>200.00000000004547</v>
      </c>
      <c r="Y4" s="58">
        <v>2.5428999999999999</v>
      </c>
      <c r="Z4" s="65">
        <f t="shared" ref="Z4:Z34" si="10">IF((Y4-Y3&lt;0), "",(Y4-Y3)*1000000)</f>
        <v>499.99999999972289</v>
      </c>
      <c r="AA4" s="58">
        <v>355.14</v>
      </c>
      <c r="AB4" s="65">
        <f t="shared" ref="AB4:AB34" si="11">IF((AA4-AA3&lt;0), "",(AA4-AA3)*1000)</f>
        <v>79.999999999984084</v>
      </c>
      <c r="AC4" s="58">
        <v>340.76</v>
      </c>
      <c r="AD4" s="65">
        <f t="shared" ref="AD4:AD34" si="12">IF((AC4-AC3&lt;0), "",(AC4-AC3)*1000)</f>
        <v>149.99999999997726</v>
      </c>
      <c r="AE4" s="58">
        <v>527.70000000000005</v>
      </c>
      <c r="AF4" s="65">
        <f t="shared" ref="AF4:AF34" si="13">IF((AE4-AE3&lt;0), "",(AE4-AE3)*1000)</f>
        <v>220.00000000002728</v>
      </c>
      <c r="AG4" s="58">
        <v>1553.4</v>
      </c>
      <c r="AH4" s="67">
        <f t="shared" ref="AH4:AH34" si="14">IF((AG4-AG3&lt;0), "",AG4-AG3)</f>
        <v>1.5</v>
      </c>
      <c r="AI4" s="58">
        <v>527.63</v>
      </c>
      <c r="AJ4" s="65">
        <f t="shared" ref="AJ4:AP34" si="15">IF((AI4-AI3&lt;0), "",(AI4-AI3)*1000)</f>
        <v>279.99999999997272</v>
      </c>
      <c r="AK4" s="58">
        <v>181.34</v>
      </c>
      <c r="AL4" s="65">
        <f t="shared" si="15"/>
        <v>39.999999999992042</v>
      </c>
      <c r="AM4" s="58">
        <v>179.31</v>
      </c>
      <c r="AN4" s="65">
        <f t="shared" si="15"/>
        <v>39.999999999992042</v>
      </c>
      <c r="AO4" s="58">
        <v>170.96</v>
      </c>
      <c r="AP4" s="65">
        <f t="shared" si="15"/>
        <v>40.000000000020464</v>
      </c>
      <c r="AQ4" s="58">
        <v>229.22</v>
      </c>
      <c r="AR4" s="65">
        <f t="shared" ref="AR4:AR34" si="16">IF((AQ4-AQ3&lt;0), "",(AQ4-AQ3)*1000)</f>
        <v>20.000000000010232</v>
      </c>
      <c r="AS4" s="58">
        <v>356.73</v>
      </c>
      <c r="AT4" s="65">
        <f t="shared" ref="AT4:AT34" si="17">IF((AS4-AS3&lt;0), "",(AS4-AS3)*1000)</f>
        <v>20.000000000038654</v>
      </c>
      <c r="AU4" s="58">
        <v>275.57</v>
      </c>
      <c r="AV4" s="65">
        <f t="shared" ref="AV4:AV34" si="18">IF((AU4-AU3&lt;0), "",(AU4-AU3)*1000)</f>
        <v>19.99999999998181</v>
      </c>
      <c r="AW4" s="58">
        <v>309.07</v>
      </c>
      <c r="AX4" s="65">
        <f t="shared" ref="AX4:AX34" si="19">IF((AW4-AW3&lt;0), "",(AW4-AW3)*1000)</f>
        <v>310.00000000000227</v>
      </c>
      <c r="AY4" s="58">
        <v>356.74</v>
      </c>
      <c r="AZ4" s="65">
        <f t="shared" ref="AZ4:AZ34" si="20">IF((AY4-AY3&lt;0), "",(AY4-AY3)*1000)</f>
        <v>19.99999999998181</v>
      </c>
      <c r="BA4" s="58">
        <v>377.93</v>
      </c>
      <c r="BB4" s="65">
        <f t="shared" ref="BB4:BB34" si="21">IF((BA4-BA3&lt;0), "",(BA4-BA3)*1000)</f>
        <v>9.9999999999909051</v>
      </c>
      <c r="BC4" s="58">
        <v>236.66</v>
      </c>
      <c r="BD4" s="65">
        <f t="shared" ref="BD4:BD34" si="22">IF((BC4-BC3&lt;0), "",(BC4-BC3)*1000)</f>
        <v>9.9999999999909051</v>
      </c>
      <c r="BE4" s="59">
        <v>35129</v>
      </c>
      <c r="BF4" s="67">
        <f>IF((BE4-BE3&lt;0), "",BE4-BE3)</f>
        <v>22</v>
      </c>
      <c r="BG4" s="60">
        <v>228.87</v>
      </c>
      <c r="BH4" s="65">
        <f t="shared" ref="BH4:BH34" si="23">IF((BG4-BG3&lt;0), "",(BG4-BG3)*1000)</f>
        <v>30.000000000001137</v>
      </c>
      <c r="BI4" s="60">
        <v>287.74</v>
      </c>
      <c r="BJ4" s="65">
        <f>IF((BI4-BI3&lt;0), "",(BI4-BI3)*1000)</f>
        <v>40.000000000020464</v>
      </c>
      <c r="BK4" s="60">
        <v>232.98</v>
      </c>
      <c r="BL4" s="65">
        <f t="shared" ref="BL4:BL34" si="24">IF((BK4-BK3&lt;0), "",(BK4-BK3)*1000)</f>
        <v>0</v>
      </c>
      <c r="BM4" s="60">
        <v>218.26</v>
      </c>
      <c r="BN4" s="65">
        <f t="shared" ref="BN4:BN33" si="25">IF((BM4-BM3&lt;0), "",(BM4-BM3)*1000)</f>
        <v>19.99999999998181</v>
      </c>
      <c r="BO4" s="60">
        <v>283.52</v>
      </c>
      <c r="BP4" s="65">
        <f t="shared" ref="BP4:BP34" si="26">IF((BO4-BO3&lt;0), "",(BO4-BO3)*1000)</f>
        <v>9.9999999999909051</v>
      </c>
      <c r="BQ4" s="60">
        <v>41795</v>
      </c>
      <c r="BR4" s="65">
        <f t="shared" ref="BR4:BR34" si="27">IF((BQ4-BQ3&lt;0), "",BQ4-BQ3)</f>
        <v>6</v>
      </c>
      <c r="BS4" s="60">
        <v>196.75</v>
      </c>
      <c r="BT4" s="65">
        <f>IF((BS4-BS3&lt;0), "",(BS4-BS3)*1000)</f>
        <v>9.9999999999909051</v>
      </c>
      <c r="BU4" s="60">
        <v>35301</v>
      </c>
      <c r="BV4" s="65">
        <f t="shared" ref="BV4:BV35" si="28">IF((BU4-BU3&lt;0), "",BU4-BU3)</f>
        <v>10</v>
      </c>
      <c r="BW4" s="60">
        <v>228.24</v>
      </c>
      <c r="BX4" s="65">
        <f t="shared" ref="BX4:BX34" si="29">IF((BW4-BW3&lt;0), "",(BW4-BW3)*1000)</f>
        <v>20.000000000010232</v>
      </c>
      <c r="BY4" s="60">
        <v>53924</v>
      </c>
      <c r="BZ4" s="67">
        <f t="shared" ref="BZ4:BZ34" si="30">IF((BY4-BY3&lt;0), "",BY4-BY3)</f>
        <v>15</v>
      </c>
      <c r="CA4" s="60">
        <v>28611.4</v>
      </c>
      <c r="CB4" s="67">
        <f t="shared" ref="CB4:CB33" si="31">IF((CA4-CA3&lt;0), "",CA4-CA3)</f>
        <v>0</v>
      </c>
      <c r="CC4" s="60">
        <v>11255.6</v>
      </c>
      <c r="CD4" s="67">
        <f t="shared" ref="CD4:CD34" si="32">IF((CC4-CC3&lt;0), "",CC4-CC3)</f>
        <v>0</v>
      </c>
      <c r="CE4" s="60">
        <v>5623</v>
      </c>
      <c r="CF4" s="67">
        <f t="shared" ref="CF4:CF33" si="33">IF((CE4-CE3&lt;0), "",CE4-CE3)</f>
        <v>0</v>
      </c>
      <c r="CG4" s="60">
        <v>54564.7</v>
      </c>
      <c r="CH4" s="67">
        <f t="shared" ref="CH4:CH34" si="34">IF((CG4-CG3&lt;0), "",CG4-CG3)</f>
        <v>50.399999999994179</v>
      </c>
      <c r="CI4" s="60">
        <v>909155</v>
      </c>
      <c r="CJ4" s="67">
        <f t="shared" ref="CJ4:CJ34" si="35">IF((CI4-CI3&lt;0), "",CI4-CI3)</f>
        <v>235</v>
      </c>
      <c r="CK4" s="60">
        <v>673.95</v>
      </c>
      <c r="CL4" s="64">
        <f t="shared" ref="CL4:CL34" si="36">IF((CK4-CK3&lt;0), "",(CK4-CK3)*1000)</f>
        <v>460.00000000003638</v>
      </c>
      <c r="CM4" s="65">
        <f t="shared" ref="CM4:CM34" si="37">CQ4+CS4</f>
        <v>31.599999999999909</v>
      </c>
      <c r="CN4" s="62">
        <v>0</v>
      </c>
      <c r="CO4" s="62">
        <v>0</v>
      </c>
      <c r="CP4" s="68">
        <v>3755.2</v>
      </c>
      <c r="CQ4" s="67">
        <f t="shared" ref="CQ4:CW34" si="38">IF((CP4-CP3&lt;0), "",CP4-CP3)</f>
        <v>20.099999999999909</v>
      </c>
      <c r="CR4" s="68">
        <v>11881.5</v>
      </c>
      <c r="CS4" s="67">
        <f t="shared" si="38"/>
        <v>11.5</v>
      </c>
      <c r="CT4" s="75">
        <v>4599</v>
      </c>
      <c r="CU4" s="67">
        <f t="shared" si="38"/>
        <v>13</v>
      </c>
      <c r="CV4" s="68">
        <v>11963</v>
      </c>
      <c r="CW4" s="67">
        <f t="shared" si="38"/>
        <v>25</v>
      </c>
    </row>
    <row r="5" spans="1:102" ht="25.5" customHeight="1" thickBot="1" x14ac:dyDescent="0.45">
      <c r="A5" s="63">
        <v>44229</v>
      </c>
      <c r="B5" s="44"/>
      <c r="C5" s="58">
        <v>2.0449000000000002</v>
      </c>
      <c r="D5" s="64">
        <f t="shared" si="0"/>
        <v>1000.000000000334</v>
      </c>
      <c r="E5" s="58">
        <v>2.9142999999999999</v>
      </c>
      <c r="F5" s="64">
        <f t="shared" si="1"/>
        <v>699.99999999970089</v>
      </c>
      <c r="G5" s="58">
        <v>2.9701</v>
      </c>
      <c r="H5" s="64">
        <f t="shared" si="2"/>
        <v>1599.9999999998238</v>
      </c>
      <c r="I5" s="58">
        <v>1.4528000000000001</v>
      </c>
      <c r="J5" s="64">
        <f t="shared" si="3"/>
        <v>800.00000000013392</v>
      </c>
      <c r="K5" s="58">
        <v>2.3420000000000001</v>
      </c>
      <c r="L5" s="64">
        <f t="shared" ref="L5:L34" si="39">IF((K5-K4&lt;0), "0",(K5-K4)*1000000)</f>
        <v>1800.0000000002458</v>
      </c>
      <c r="M5" s="58">
        <v>1.3332999999999999</v>
      </c>
      <c r="N5" s="64">
        <f t="shared" si="4"/>
        <v>399.99999999995595</v>
      </c>
      <c r="O5" s="58">
        <v>12737</v>
      </c>
      <c r="P5" s="67">
        <f t="shared" si="5"/>
        <v>1</v>
      </c>
      <c r="Q5" s="58">
        <v>268</v>
      </c>
      <c r="R5" s="67">
        <f t="shared" si="6"/>
        <v>2</v>
      </c>
      <c r="S5" s="58">
        <v>896768.2</v>
      </c>
      <c r="T5" s="67">
        <f t="shared" si="7"/>
        <v>244</v>
      </c>
      <c r="U5" s="58">
        <v>371065.3</v>
      </c>
      <c r="V5" s="67">
        <f t="shared" si="8"/>
        <v>174.59999999997672</v>
      </c>
      <c r="W5" s="58">
        <v>360.85</v>
      </c>
      <c r="X5" s="65">
        <f t="shared" si="9"/>
        <v>129.99999999999545</v>
      </c>
      <c r="Y5" s="58">
        <v>2.5432999999999999</v>
      </c>
      <c r="Z5" s="65">
        <f t="shared" si="10"/>
        <v>399.99999999995595</v>
      </c>
      <c r="AA5" s="58">
        <v>355.22</v>
      </c>
      <c r="AB5" s="65">
        <f t="shared" si="11"/>
        <v>80.000000000040927</v>
      </c>
      <c r="AC5" s="58">
        <v>340.87</v>
      </c>
      <c r="AD5" s="65">
        <f t="shared" si="12"/>
        <v>110.00000000001364</v>
      </c>
      <c r="AE5" s="58">
        <v>527.87</v>
      </c>
      <c r="AF5" s="65">
        <f t="shared" si="13"/>
        <v>169.99999999995907</v>
      </c>
      <c r="AG5" s="58">
        <v>1555.2</v>
      </c>
      <c r="AH5" s="67">
        <f t="shared" si="14"/>
        <v>1.7999999999999545</v>
      </c>
      <c r="AI5" s="58">
        <v>527.86</v>
      </c>
      <c r="AJ5" s="65">
        <f t="shared" si="15"/>
        <v>230.00000000001819</v>
      </c>
      <c r="AK5" s="58">
        <v>181.37</v>
      </c>
      <c r="AL5" s="65">
        <f t="shared" si="15"/>
        <v>30.000000000001137</v>
      </c>
      <c r="AM5" s="58">
        <v>179.32</v>
      </c>
      <c r="AN5" s="65">
        <f t="shared" si="15"/>
        <v>9.9999999999909051</v>
      </c>
      <c r="AO5" s="58">
        <v>170.97</v>
      </c>
      <c r="AP5" s="65">
        <f t="shared" si="15"/>
        <v>9.9999999999909051</v>
      </c>
      <c r="AQ5" s="58">
        <v>229.24</v>
      </c>
      <c r="AR5" s="65">
        <f t="shared" si="16"/>
        <v>20.000000000010232</v>
      </c>
      <c r="AS5" s="58">
        <v>356.74</v>
      </c>
      <c r="AT5" s="65">
        <f t="shared" si="17"/>
        <v>9.9999999999909051</v>
      </c>
      <c r="AU5" s="58">
        <v>275.58999999999997</v>
      </c>
      <c r="AV5" s="65">
        <f t="shared" si="18"/>
        <v>19.99999999998181</v>
      </c>
      <c r="AW5" s="58">
        <v>309.35000000000002</v>
      </c>
      <c r="AX5" s="65">
        <f t="shared" si="19"/>
        <v>280.00000000002956</v>
      </c>
      <c r="AY5" s="58">
        <v>356.76</v>
      </c>
      <c r="AZ5" s="65">
        <f t="shared" si="20"/>
        <v>19.99999999998181</v>
      </c>
      <c r="BA5" s="58">
        <v>377.98</v>
      </c>
      <c r="BB5" s="65">
        <f t="shared" si="21"/>
        <v>50.000000000011369</v>
      </c>
      <c r="BC5" s="58">
        <v>236.67</v>
      </c>
      <c r="BD5" s="65">
        <f t="shared" si="22"/>
        <v>9.9999999999909051</v>
      </c>
      <c r="BE5" s="59">
        <v>35150</v>
      </c>
      <c r="BF5" s="67">
        <f t="shared" ref="BF5:BF34" si="40">IF((BE5-BE4&lt;0), "",BE5-BE4)</f>
        <v>21</v>
      </c>
      <c r="BG5" s="60">
        <v>228.88</v>
      </c>
      <c r="BH5" s="65">
        <f t="shared" si="23"/>
        <v>9.9999999999909051</v>
      </c>
      <c r="BI5" s="60">
        <v>287.77</v>
      </c>
      <c r="BJ5" s="65">
        <f t="shared" ref="BJ5:BJ34" si="41">IF((BI5-BI4&lt;0), "",(BI5-BI4)*1000)</f>
        <v>29.999999999972715</v>
      </c>
      <c r="BK5" s="60">
        <v>232.99</v>
      </c>
      <c r="BL5" s="65">
        <f t="shared" si="24"/>
        <v>10.000000000019327</v>
      </c>
      <c r="BM5" s="60">
        <v>218.28</v>
      </c>
      <c r="BN5" s="65">
        <f t="shared" si="25"/>
        <v>20.000000000010232</v>
      </c>
      <c r="BO5" s="60">
        <v>283.54000000000002</v>
      </c>
      <c r="BP5" s="65">
        <f t="shared" si="26"/>
        <v>20.000000000038654</v>
      </c>
      <c r="BQ5" s="60">
        <v>41801</v>
      </c>
      <c r="BR5" s="65">
        <f t="shared" si="27"/>
        <v>6</v>
      </c>
      <c r="BS5" s="60">
        <v>196.76</v>
      </c>
      <c r="BT5" s="65">
        <f>IF((BS5-BS4&lt;0), "",(BS5-BS4)*1000)</f>
        <v>9.9999999999909051</v>
      </c>
      <c r="BU5" s="60">
        <v>35309</v>
      </c>
      <c r="BV5" s="65">
        <f t="shared" si="28"/>
        <v>8</v>
      </c>
      <c r="BW5" s="60">
        <v>228.25</v>
      </c>
      <c r="BX5" s="65">
        <f t="shared" si="29"/>
        <v>9.9999999999909051</v>
      </c>
      <c r="BY5" s="60">
        <v>53940</v>
      </c>
      <c r="BZ5" s="67">
        <f t="shared" si="30"/>
        <v>16</v>
      </c>
      <c r="CA5" s="60">
        <v>28611.4</v>
      </c>
      <c r="CB5" s="67">
        <f t="shared" si="31"/>
        <v>0</v>
      </c>
      <c r="CC5" s="60">
        <v>11255.6</v>
      </c>
      <c r="CD5" s="67">
        <f t="shared" si="32"/>
        <v>0</v>
      </c>
      <c r="CE5" s="60">
        <v>5623</v>
      </c>
      <c r="CF5" s="67">
        <f t="shared" si="33"/>
        <v>0</v>
      </c>
      <c r="CG5" s="60">
        <v>54588.7</v>
      </c>
      <c r="CH5" s="67">
        <f t="shared" si="34"/>
        <v>24</v>
      </c>
      <c r="CI5" s="60">
        <v>909380</v>
      </c>
      <c r="CJ5" s="67">
        <f t="shared" si="35"/>
        <v>225</v>
      </c>
      <c r="CK5" s="60">
        <v>674.36</v>
      </c>
      <c r="CL5" s="64">
        <f t="shared" si="36"/>
        <v>409.99999999996817</v>
      </c>
      <c r="CM5" s="65">
        <f t="shared" si="37"/>
        <v>24.700000000000273</v>
      </c>
      <c r="CN5" s="62">
        <v>0</v>
      </c>
      <c r="CO5" s="62">
        <v>0</v>
      </c>
      <c r="CP5" s="68">
        <v>3768.4</v>
      </c>
      <c r="CQ5" s="67">
        <f t="shared" si="38"/>
        <v>13.200000000000273</v>
      </c>
      <c r="CR5" s="68">
        <v>11893</v>
      </c>
      <c r="CS5" s="67">
        <f t="shared" si="38"/>
        <v>11.5</v>
      </c>
      <c r="CT5" s="75">
        <v>4612</v>
      </c>
      <c r="CU5" s="67">
        <f t="shared" si="38"/>
        <v>13</v>
      </c>
      <c r="CV5" s="68">
        <v>11981</v>
      </c>
      <c r="CW5" s="67">
        <f t="shared" si="38"/>
        <v>18</v>
      </c>
    </row>
    <row r="6" spans="1:102" ht="24.75" customHeight="1" thickBot="1" x14ac:dyDescent="0.45">
      <c r="A6" s="63">
        <v>44230</v>
      </c>
      <c r="B6" s="44"/>
      <c r="C6" s="58">
        <v>2.0457999999999998</v>
      </c>
      <c r="D6" s="64">
        <f t="shared" si="0"/>
        <v>899.99999999967883</v>
      </c>
      <c r="E6" s="58">
        <v>2.915</v>
      </c>
      <c r="F6" s="64">
        <f t="shared" si="1"/>
        <v>700.00000000014495</v>
      </c>
      <c r="G6" s="58">
        <v>2.9716999999999998</v>
      </c>
      <c r="H6" s="64">
        <f t="shared" si="2"/>
        <v>1599.9999999998238</v>
      </c>
      <c r="I6" s="58">
        <v>1.4536</v>
      </c>
      <c r="J6" s="64">
        <f t="shared" si="3"/>
        <v>799.99999999991189</v>
      </c>
      <c r="K6" s="58">
        <v>2.3437000000000001</v>
      </c>
      <c r="L6" s="64">
        <f t="shared" si="39"/>
        <v>1700.0000000000348</v>
      </c>
      <c r="M6" s="58">
        <v>1.3338000000000001</v>
      </c>
      <c r="N6" s="64">
        <f t="shared" si="4"/>
        <v>500.00000000016701</v>
      </c>
      <c r="O6" s="58">
        <v>12737</v>
      </c>
      <c r="P6" s="67">
        <f t="shared" si="5"/>
        <v>0</v>
      </c>
      <c r="Q6" s="58">
        <v>269</v>
      </c>
      <c r="R6" s="67">
        <f t="shared" si="6"/>
        <v>1</v>
      </c>
      <c r="S6" s="58">
        <v>896942.6</v>
      </c>
      <c r="T6" s="67">
        <f t="shared" si="7"/>
        <v>174.40000000002328</v>
      </c>
      <c r="U6" s="58">
        <v>371214.2</v>
      </c>
      <c r="V6" s="67">
        <f t="shared" si="8"/>
        <v>148.90000000002328</v>
      </c>
      <c r="W6" s="58">
        <v>360.96</v>
      </c>
      <c r="X6" s="65">
        <f t="shared" si="9"/>
        <v>109.9999999999568</v>
      </c>
      <c r="Y6" s="58">
        <v>2.5438000000000001</v>
      </c>
      <c r="Z6" s="65">
        <f t="shared" si="10"/>
        <v>500.00000000016701</v>
      </c>
      <c r="AA6" s="58">
        <v>355.29</v>
      </c>
      <c r="AB6" s="65">
        <f t="shared" si="11"/>
        <v>69.999999999993179</v>
      </c>
      <c r="AC6" s="58">
        <v>340.96</v>
      </c>
      <c r="AD6" s="65">
        <f t="shared" si="12"/>
        <v>89.999999999974989</v>
      </c>
      <c r="AE6" s="58">
        <v>528.03</v>
      </c>
      <c r="AF6" s="65">
        <f t="shared" si="13"/>
        <v>159.99999999996817</v>
      </c>
      <c r="AG6" s="58">
        <v>1556.7</v>
      </c>
      <c r="AH6" s="67">
        <f t="shared" si="14"/>
        <v>1.5</v>
      </c>
      <c r="AI6" s="58">
        <v>528.08000000000004</v>
      </c>
      <c r="AJ6" s="65">
        <f t="shared" si="15"/>
        <v>220.00000000002728</v>
      </c>
      <c r="AK6" s="58">
        <v>181.39</v>
      </c>
      <c r="AL6" s="65">
        <f t="shared" si="15"/>
        <v>19.99999999998181</v>
      </c>
      <c r="AM6" s="58">
        <v>179.34</v>
      </c>
      <c r="AN6" s="65">
        <f t="shared" si="15"/>
        <v>20.000000000010232</v>
      </c>
      <c r="AO6" s="58">
        <v>170.99</v>
      </c>
      <c r="AP6" s="65">
        <f t="shared" si="15"/>
        <v>20.000000000010232</v>
      </c>
      <c r="AQ6" s="58">
        <v>229.26</v>
      </c>
      <c r="AR6" s="65">
        <f t="shared" si="16"/>
        <v>19.99999999998181</v>
      </c>
      <c r="AS6" s="58">
        <v>356.76</v>
      </c>
      <c r="AT6" s="65">
        <f t="shared" si="17"/>
        <v>19.99999999998181</v>
      </c>
      <c r="AU6" s="58">
        <v>275.60000000000002</v>
      </c>
      <c r="AV6" s="65">
        <f t="shared" si="18"/>
        <v>10.000000000047748</v>
      </c>
      <c r="AW6" s="58">
        <v>309.63</v>
      </c>
      <c r="AX6" s="65">
        <f t="shared" si="19"/>
        <v>279.99999999997272</v>
      </c>
      <c r="AY6" s="58">
        <v>356.78</v>
      </c>
      <c r="AZ6" s="65">
        <f t="shared" si="20"/>
        <v>19.99999999998181</v>
      </c>
      <c r="BA6" s="58">
        <v>378.01</v>
      </c>
      <c r="BB6" s="65">
        <f t="shared" si="21"/>
        <v>29.999999999972715</v>
      </c>
      <c r="BC6" s="58">
        <v>236.68</v>
      </c>
      <c r="BD6" s="65">
        <f t="shared" si="22"/>
        <v>10.000000000019327</v>
      </c>
      <c r="BE6" s="59">
        <v>35173</v>
      </c>
      <c r="BF6" s="67">
        <f t="shared" si="40"/>
        <v>23</v>
      </c>
      <c r="BG6" s="60">
        <v>228.9</v>
      </c>
      <c r="BH6" s="65">
        <f t="shared" si="23"/>
        <v>20.000000000010232</v>
      </c>
      <c r="BI6" s="60">
        <v>287.8</v>
      </c>
      <c r="BJ6" s="65">
        <f t="shared" si="41"/>
        <v>30.000000000029559</v>
      </c>
      <c r="BK6" s="60">
        <v>233</v>
      </c>
      <c r="BL6" s="65">
        <f t="shared" si="24"/>
        <v>9.9999999999909051</v>
      </c>
      <c r="BM6" s="60">
        <v>218.3</v>
      </c>
      <c r="BN6" s="65">
        <f t="shared" si="25"/>
        <v>20.000000000010232</v>
      </c>
      <c r="BO6" s="60">
        <v>283.55</v>
      </c>
      <c r="BP6" s="65">
        <f t="shared" si="26"/>
        <v>9.9999999999909051</v>
      </c>
      <c r="BQ6" s="60">
        <v>41805</v>
      </c>
      <c r="BR6" s="65">
        <f t="shared" si="27"/>
        <v>4</v>
      </c>
      <c r="BS6" s="60">
        <v>196.77</v>
      </c>
      <c r="BT6" s="65">
        <f t="shared" ref="BT6:BT35" si="42">IF((BS6-BS5&lt;0), "",(BS6-BS5)*1000)</f>
        <v>10.000000000019327</v>
      </c>
      <c r="BU6" s="60">
        <v>35316</v>
      </c>
      <c r="BV6" s="65">
        <f t="shared" si="28"/>
        <v>7</v>
      </c>
      <c r="BW6" s="60">
        <v>228.26</v>
      </c>
      <c r="BX6" s="65">
        <f t="shared" si="29"/>
        <v>9.9999999999909051</v>
      </c>
      <c r="BY6" s="60">
        <v>53952</v>
      </c>
      <c r="BZ6" s="67">
        <f t="shared" si="30"/>
        <v>12</v>
      </c>
      <c r="CA6" s="60">
        <v>28616.400000000001</v>
      </c>
      <c r="CB6" s="67">
        <f t="shared" si="31"/>
        <v>5</v>
      </c>
      <c r="CC6" s="60">
        <v>11255.6</v>
      </c>
      <c r="CD6" s="67">
        <f t="shared" si="32"/>
        <v>0</v>
      </c>
      <c r="CE6" s="60">
        <v>5623</v>
      </c>
      <c r="CF6" s="67">
        <f t="shared" si="33"/>
        <v>0</v>
      </c>
      <c r="CG6" s="60">
        <v>54632.2</v>
      </c>
      <c r="CH6" s="67">
        <f t="shared" si="34"/>
        <v>43.5</v>
      </c>
      <c r="CI6" s="60">
        <v>909607</v>
      </c>
      <c r="CJ6" s="67">
        <f t="shared" si="35"/>
        <v>227</v>
      </c>
      <c r="CK6" s="60">
        <v>674.79</v>
      </c>
      <c r="CL6" s="64">
        <f t="shared" si="36"/>
        <v>429.99999999994998</v>
      </c>
      <c r="CM6" s="65">
        <f t="shared" si="37"/>
        <v>20.099999999999909</v>
      </c>
      <c r="CN6" s="62">
        <v>0</v>
      </c>
      <c r="CO6" s="62">
        <v>0</v>
      </c>
      <c r="CP6" s="68">
        <v>3782.5</v>
      </c>
      <c r="CQ6" s="67">
        <f t="shared" si="38"/>
        <v>14.099999999999909</v>
      </c>
      <c r="CR6" s="68">
        <v>11899</v>
      </c>
      <c r="CS6" s="67">
        <f t="shared" si="38"/>
        <v>6</v>
      </c>
      <c r="CT6" s="68">
        <v>4623</v>
      </c>
      <c r="CU6" s="67">
        <f t="shared" si="38"/>
        <v>11</v>
      </c>
      <c r="CV6" s="68">
        <v>12000</v>
      </c>
      <c r="CW6" s="67">
        <f t="shared" si="38"/>
        <v>19</v>
      </c>
    </row>
    <row r="7" spans="1:102" ht="25.5" customHeight="1" thickBot="1" x14ac:dyDescent="0.45">
      <c r="A7" s="63">
        <v>44231</v>
      </c>
      <c r="B7" s="44"/>
      <c r="C7" s="58">
        <v>2.0468000000000002</v>
      </c>
      <c r="D7" s="64">
        <f t="shared" si="0"/>
        <v>1000.000000000334</v>
      </c>
      <c r="E7" s="58">
        <v>2.9157000000000002</v>
      </c>
      <c r="F7" s="64">
        <f t="shared" si="1"/>
        <v>700.00000000014495</v>
      </c>
      <c r="G7" s="58">
        <v>2.9733999999999998</v>
      </c>
      <c r="H7" s="64">
        <f t="shared" si="2"/>
        <v>1700.0000000000348</v>
      </c>
      <c r="I7" s="58">
        <v>1.4543999999999999</v>
      </c>
      <c r="J7" s="64">
        <f t="shared" si="3"/>
        <v>799.99999999991189</v>
      </c>
      <c r="K7" s="58">
        <v>2.3454999999999999</v>
      </c>
      <c r="L7" s="64">
        <f t="shared" si="39"/>
        <v>1799.9999999998017</v>
      </c>
      <c r="M7" s="58">
        <v>1.3343</v>
      </c>
      <c r="N7" s="64">
        <f t="shared" si="4"/>
        <v>499.99999999994492</v>
      </c>
      <c r="O7" s="58">
        <v>12738</v>
      </c>
      <c r="P7" s="67">
        <f t="shared" si="5"/>
        <v>1</v>
      </c>
      <c r="Q7" s="58">
        <v>272</v>
      </c>
      <c r="R7" s="67">
        <f t="shared" si="6"/>
        <v>3</v>
      </c>
      <c r="S7" s="58">
        <v>897201</v>
      </c>
      <c r="T7" s="67">
        <f t="shared" si="7"/>
        <v>258.40000000002328</v>
      </c>
      <c r="U7" s="58">
        <v>371402.6</v>
      </c>
      <c r="V7" s="67">
        <f t="shared" si="8"/>
        <v>188.39999999996508</v>
      </c>
      <c r="W7" s="58">
        <v>361.06</v>
      </c>
      <c r="X7" s="65">
        <f t="shared" si="9"/>
        <v>100.00000000002274</v>
      </c>
      <c r="Y7" s="58">
        <v>2.5442999999999998</v>
      </c>
      <c r="Z7" s="65">
        <f t="shared" si="10"/>
        <v>499.99999999972289</v>
      </c>
      <c r="AA7" s="58">
        <v>355.37</v>
      </c>
      <c r="AB7" s="65">
        <f t="shared" si="11"/>
        <v>79.999999999984084</v>
      </c>
      <c r="AC7" s="58">
        <v>341.11</v>
      </c>
      <c r="AD7" s="65">
        <f t="shared" si="12"/>
        <v>150.00000000003411</v>
      </c>
      <c r="AE7" s="58">
        <v>528.21</v>
      </c>
      <c r="AF7" s="65">
        <f t="shared" si="13"/>
        <v>180.00000000006366</v>
      </c>
      <c r="AG7" s="58">
        <v>1557.3</v>
      </c>
      <c r="AH7" s="67">
        <f t="shared" si="14"/>
        <v>0.59999999999990905</v>
      </c>
      <c r="AI7" s="58">
        <v>528.34</v>
      </c>
      <c r="AJ7" s="65">
        <f t="shared" si="15"/>
        <v>259.99999999999091</v>
      </c>
      <c r="AK7" s="58">
        <v>181.42</v>
      </c>
      <c r="AL7" s="65">
        <f t="shared" si="15"/>
        <v>30.000000000001137</v>
      </c>
      <c r="AM7" s="58">
        <v>179.36</v>
      </c>
      <c r="AN7" s="65">
        <f t="shared" si="15"/>
        <v>20.000000000010232</v>
      </c>
      <c r="AO7" s="58">
        <v>171.01</v>
      </c>
      <c r="AP7" s="65">
        <f t="shared" si="15"/>
        <v>19.99999999998181</v>
      </c>
      <c r="AQ7" s="58">
        <v>229.28</v>
      </c>
      <c r="AR7" s="65">
        <f t="shared" si="16"/>
        <v>20.000000000010232</v>
      </c>
      <c r="AS7" s="58">
        <v>356.78</v>
      </c>
      <c r="AT7" s="65">
        <f t="shared" si="17"/>
        <v>19.99999999998181</v>
      </c>
      <c r="AU7" s="58">
        <v>275.64999999999998</v>
      </c>
      <c r="AV7" s="65">
        <f t="shared" si="18"/>
        <v>49.999999999954525</v>
      </c>
      <c r="AW7" s="58">
        <v>309.95</v>
      </c>
      <c r="AX7" s="65">
        <f t="shared" si="19"/>
        <v>319.99999999999318</v>
      </c>
      <c r="AY7" s="58">
        <v>356.79</v>
      </c>
      <c r="AZ7" s="65">
        <f t="shared" si="20"/>
        <v>10.000000000047748</v>
      </c>
      <c r="BA7" s="58">
        <v>378.03</v>
      </c>
      <c r="BB7" s="65">
        <f t="shared" si="21"/>
        <v>19.99999999998181</v>
      </c>
      <c r="BC7" s="58">
        <v>236.69</v>
      </c>
      <c r="BD7" s="65">
        <f t="shared" si="22"/>
        <v>9.9999999999909051</v>
      </c>
      <c r="BE7" s="59">
        <v>35201</v>
      </c>
      <c r="BF7" s="67">
        <f t="shared" si="40"/>
        <v>28</v>
      </c>
      <c r="BG7" s="60">
        <v>228.91</v>
      </c>
      <c r="BH7" s="65">
        <f t="shared" si="23"/>
        <v>9.9999999999909051</v>
      </c>
      <c r="BI7" s="60">
        <v>287.83</v>
      </c>
      <c r="BJ7" s="65">
        <f t="shared" si="41"/>
        <v>29.999999999972715</v>
      </c>
      <c r="BK7" s="60">
        <v>233</v>
      </c>
      <c r="BL7" s="65">
        <f t="shared" si="24"/>
        <v>0</v>
      </c>
      <c r="BM7" s="60">
        <v>218.32</v>
      </c>
      <c r="BN7" s="65">
        <f t="shared" si="25"/>
        <v>19.99999999998181</v>
      </c>
      <c r="BO7" s="60">
        <v>283.56</v>
      </c>
      <c r="BP7" s="65">
        <f t="shared" si="26"/>
        <v>9.9999999999909051</v>
      </c>
      <c r="BQ7" s="60">
        <v>41811</v>
      </c>
      <c r="BR7" s="65">
        <f t="shared" si="27"/>
        <v>6</v>
      </c>
      <c r="BS7" s="60">
        <v>196.78</v>
      </c>
      <c r="BT7" s="65">
        <f t="shared" si="42"/>
        <v>9.9999999999909051</v>
      </c>
      <c r="BU7" s="60">
        <v>35326</v>
      </c>
      <c r="BV7" s="65">
        <f t="shared" si="28"/>
        <v>10</v>
      </c>
      <c r="BW7" s="60">
        <v>228.28</v>
      </c>
      <c r="BX7" s="65">
        <f t="shared" si="29"/>
        <v>20.000000000010232</v>
      </c>
      <c r="BY7" s="60">
        <v>53968</v>
      </c>
      <c r="BZ7" s="67">
        <f t="shared" si="30"/>
        <v>16</v>
      </c>
      <c r="CA7" s="60">
        <v>28616.400000000001</v>
      </c>
      <c r="CB7" s="67">
        <f t="shared" si="31"/>
        <v>0</v>
      </c>
      <c r="CC7" s="60">
        <v>11255.6</v>
      </c>
      <c r="CD7" s="67">
        <f t="shared" si="32"/>
        <v>0</v>
      </c>
      <c r="CE7" s="60">
        <v>5623</v>
      </c>
      <c r="CF7" s="67">
        <f t="shared" si="33"/>
        <v>0</v>
      </c>
      <c r="CG7" s="60">
        <v>54678.8</v>
      </c>
      <c r="CH7" s="67">
        <f t="shared" si="34"/>
        <v>46.600000000005821</v>
      </c>
      <c r="CI7" s="60">
        <v>909841</v>
      </c>
      <c r="CJ7" s="67">
        <f t="shared" si="35"/>
        <v>234</v>
      </c>
      <c r="CK7" s="60">
        <v>675.19</v>
      </c>
      <c r="CL7" s="64">
        <f t="shared" si="36"/>
        <v>400.00000000009095</v>
      </c>
      <c r="CM7" s="65">
        <f t="shared" si="37"/>
        <v>29.5</v>
      </c>
      <c r="CN7" s="62">
        <v>0</v>
      </c>
      <c r="CO7" s="62">
        <v>0</v>
      </c>
      <c r="CP7" s="68">
        <v>3804</v>
      </c>
      <c r="CQ7" s="67">
        <f t="shared" si="38"/>
        <v>21.5</v>
      </c>
      <c r="CR7" s="68">
        <v>11907</v>
      </c>
      <c r="CS7" s="67">
        <f t="shared" si="38"/>
        <v>8</v>
      </c>
      <c r="CT7" s="75">
        <v>4634</v>
      </c>
      <c r="CU7" s="67">
        <f t="shared" si="38"/>
        <v>11</v>
      </c>
      <c r="CV7" s="68">
        <v>12022</v>
      </c>
      <c r="CW7" s="67">
        <f t="shared" si="38"/>
        <v>22</v>
      </c>
    </row>
    <row r="8" spans="1:102" ht="25.5" customHeight="1" thickBot="1" x14ac:dyDescent="0.45">
      <c r="A8" s="63">
        <v>44232</v>
      </c>
      <c r="B8" s="44"/>
      <c r="C8" s="58">
        <v>2.0478000000000001</v>
      </c>
      <c r="D8" s="64">
        <f t="shared" si="0"/>
        <v>999.99999999988984</v>
      </c>
      <c r="E8" s="58">
        <v>2.9163999999999999</v>
      </c>
      <c r="F8" s="64">
        <f t="shared" si="1"/>
        <v>699.99999999970089</v>
      </c>
      <c r="G8" s="58">
        <v>2.9750999999999999</v>
      </c>
      <c r="H8" s="64">
        <f t="shared" si="2"/>
        <v>1700.0000000000348</v>
      </c>
      <c r="I8" s="58">
        <v>1.4552</v>
      </c>
      <c r="J8" s="64">
        <f t="shared" si="3"/>
        <v>800.00000000013392</v>
      </c>
      <c r="K8" s="58">
        <v>2.3473000000000002</v>
      </c>
      <c r="L8" s="64">
        <f t="shared" si="39"/>
        <v>1800.0000000002458</v>
      </c>
      <c r="M8" s="58">
        <v>1.3349</v>
      </c>
      <c r="N8" s="64">
        <f t="shared" si="4"/>
        <v>599.99999999993395</v>
      </c>
      <c r="O8" s="58">
        <v>12738</v>
      </c>
      <c r="P8" s="67">
        <f t="shared" si="5"/>
        <v>0</v>
      </c>
      <c r="Q8" s="58">
        <v>272</v>
      </c>
      <c r="R8" s="67">
        <f t="shared" si="6"/>
        <v>0</v>
      </c>
      <c r="S8" s="58">
        <v>897497.2</v>
      </c>
      <c r="T8" s="67">
        <f t="shared" si="7"/>
        <v>296.19999999995343</v>
      </c>
      <c r="U8" s="58">
        <v>371600.4</v>
      </c>
      <c r="V8" s="67">
        <f t="shared" si="8"/>
        <v>197.80000000004657</v>
      </c>
      <c r="W8" s="58">
        <v>361.2</v>
      </c>
      <c r="X8" s="65">
        <f t="shared" si="9"/>
        <v>139.99999999998636</v>
      </c>
      <c r="Y8" s="58">
        <v>2.5448</v>
      </c>
      <c r="Z8" s="65">
        <f t="shared" si="10"/>
        <v>500.00000000016701</v>
      </c>
      <c r="AA8" s="58">
        <v>355.44</v>
      </c>
      <c r="AB8" s="65">
        <f t="shared" si="11"/>
        <v>69.999999999993179</v>
      </c>
      <c r="AC8" s="58">
        <v>341.27</v>
      </c>
      <c r="AD8" s="65">
        <f t="shared" si="12"/>
        <v>159.99999999996817</v>
      </c>
      <c r="AE8" s="58">
        <v>528.45000000000005</v>
      </c>
      <c r="AF8" s="65">
        <f t="shared" si="13"/>
        <v>240.00000000000909</v>
      </c>
      <c r="AG8" s="58">
        <v>1560.2</v>
      </c>
      <c r="AH8" s="67">
        <f t="shared" si="14"/>
        <v>2.9000000000000909</v>
      </c>
      <c r="AI8" s="58">
        <v>528.59</v>
      </c>
      <c r="AJ8" s="65">
        <f t="shared" si="15"/>
        <v>250</v>
      </c>
      <c r="AK8" s="58">
        <v>181.46</v>
      </c>
      <c r="AL8" s="65">
        <f t="shared" si="15"/>
        <v>40.000000000020464</v>
      </c>
      <c r="AM8" s="58">
        <v>179.39</v>
      </c>
      <c r="AN8" s="65">
        <f t="shared" si="15"/>
        <v>29.999999999972715</v>
      </c>
      <c r="AO8" s="58">
        <v>171.04</v>
      </c>
      <c r="AP8" s="65">
        <f t="shared" si="15"/>
        <v>30.000000000001137</v>
      </c>
      <c r="AQ8" s="58">
        <v>229.3</v>
      </c>
      <c r="AR8" s="65">
        <f t="shared" si="16"/>
        <v>20.000000000010232</v>
      </c>
      <c r="AS8" s="58">
        <v>356.8</v>
      </c>
      <c r="AT8" s="65">
        <f t="shared" si="17"/>
        <v>20.000000000038654</v>
      </c>
      <c r="AU8" s="58">
        <v>275.66000000000003</v>
      </c>
      <c r="AV8" s="65">
        <f t="shared" si="18"/>
        <v>10.000000000047748</v>
      </c>
      <c r="AW8" s="58">
        <v>310.3</v>
      </c>
      <c r="AX8" s="65">
        <f t="shared" si="19"/>
        <v>350.00000000002274</v>
      </c>
      <c r="AY8" s="58">
        <v>356.82</v>
      </c>
      <c r="AZ8" s="65">
        <f t="shared" si="20"/>
        <v>29.999999999972715</v>
      </c>
      <c r="BA8" s="58">
        <v>378.05</v>
      </c>
      <c r="BB8" s="65">
        <f t="shared" si="21"/>
        <v>20.000000000038654</v>
      </c>
      <c r="BC8" s="58">
        <v>236.7</v>
      </c>
      <c r="BD8" s="65">
        <f t="shared" si="22"/>
        <v>9.9999999999909051</v>
      </c>
      <c r="BE8" s="59">
        <v>35227</v>
      </c>
      <c r="BF8" s="67">
        <f t="shared" si="40"/>
        <v>26</v>
      </c>
      <c r="BG8" s="60">
        <v>228.93</v>
      </c>
      <c r="BH8" s="65">
        <f t="shared" si="23"/>
        <v>20.000000000010232</v>
      </c>
      <c r="BI8" s="60">
        <v>287.87</v>
      </c>
      <c r="BJ8" s="65">
        <f t="shared" si="41"/>
        <v>40.000000000020464</v>
      </c>
      <c r="BK8" s="60">
        <v>233.01</v>
      </c>
      <c r="BL8" s="65">
        <f t="shared" si="24"/>
        <v>9.9999999999909051</v>
      </c>
      <c r="BM8" s="60">
        <v>218.34</v>
      </c>
      <c r="BN8" s="65">
        <f t="shared" si="25"/>
        <v>20.000000000010232</v>
      </c>
      <c r="BO8" s="60">
        <v>283.58</v>
      </c>
      <c r="BP8" s="65">
        <f t="shared" si="26"/>
        <v>19.99999999998181</v>
      </c>
      <c r="BQ8" s="60">
        <v>41818</v>
      </c>
      <c r="BR8" s="65">
        <f t="shared" si="27"/>
        <v>7</v>
      </c>
      <c r="BS8" s="60">
        <v>196.79</v>
      </c>
      <c r="BT8" s="65">
        <f t="shared" si="42"/>
        <v>9.9999999999909051</v>
      </c>
      <c r="BU8" s="60">
        <v>35335</v>
      </c>
      <c r="BV8" s="65">
        <f t="shared" si="28"/>
        <v>9</v>
      </c>
      <c r="BW8" s="60">
        <v>228.3</v>
      </c>
      <c r="BX8" s="65">
        <f t="shared" si="29"/>
        <v>20.000000000010232</v>
      </c>
      <c r="BY8" s="60">
        <v>53986</v>
      </c>
      <c r="BZ8" s="67">
        <f t="shared" si="30"/>
        <v>18</v>
      </c>
      <c r="CA8" s="60">
        <v>28616.400000000001</v>
      </c>
      <c r="CB8" s="67">
        <f t="shared" si="31"/>
        <v>0</v>
      </c>
      <c r="CC8" s="60">
        <v>11255.6</v>
      </c>
      <c r="CD8" s="67">
        <f>IF((CC8-CC7&lt;0), "",CC8-CC7)</f>
        <v>0</v>
      </c>
      <c r="CE8" s="60">
        <v>5623</v>
      </c>
      <c r="CF8" s="67">
        <f t="shared" si="33"/>
        <v>0</v>
      </c>
      <c r="CG8" s="60">
        <v>54728.5</v>
      </c>
      <c r="CH8" s="67">
        <f t="shared" si="34"/>
        <v>49.69999999999709</v>
      </c>
      <c r="CI8" s="60">
        <v>910068</v>
      </c>
      <c r="CJ8" s="67">
        <f t="shared" si="35"/>
        <v>227</v>
      </c>
      <c r="CK8" s="60">
        <v>675.62</v>
      </c>
      <c r="CL8" s="64">
        <f t="shared" si="36"/>
        <v>429.99999999994998</v>
      </c>
      <c r="CM8" s="65">
        <f t="shared" si="37"/>
        <v>24</v>
      </c>
      <c r="CN8" s="62">
        <v>0</v>
      </c>
      <c r="CO8" s="62">
        <v>0</v>
      </c>
      <c r="CP8" s="68">
        <v>3820</v>
      </c>
      <c r="CQ8" s="67">
        <f t="shared" si="38"/>
        <v>16</v>
      </c>
      <c r="CR8" s="68">
        <v>11915</v>
      </c>
      <c r="CS8" s="67">
        <f t="shared" si="38"/>
        <v>8</v>
      </c>
      <c r="CT8" s="75">
        <v>4646</v>
      </c>
      <c r="CU8" s="67">
        <f t="shared" si="38"/>
        <v>12</v>
      </c>
      <c r="CV8" s="68">
        <v>12040</v>
      </c>
      <c r="CW8" s="67">
        <f t="shared" si="38"/>
        <v>18</v>
      </c>
    </row>
    <row r="9" spans="1:102" ht="25.5" customHeight="1" thickBot="1" x14ac:dyDescent="0.45">
      <c r="A9" s="63">
        <v>44233</v>
      </c>
      <c r="B9" s="44"/>
      <c r="C9" s="58">
        <v>2.0487000000000002</v>
      </c>
      <c r="D9" s="64">
        <f t="shared" si="0"/>
        <v>900.0000000001229</v>
      </c>
      <c r="E9" s="58">
        <v>2.9169999999999998</v>
      </c>
      <c r="F9" s="64">
        <f t="shared" si="1"/>
        <v>599.99999999993395</v>
      </c>
      <c r="G9" s="58">
        <v>2.9767999999999999</v>
      </c>
      <c r="H9" s="64">
        <f t="shared" si="2"/>
        <v>1700.0000000000348</v>
      </c>
      <c r="I9" s="58">
        <v>1.4560999999999999</v>
      </c>
      <c r="J9" s="64">
        <f t="shared" si="3"/>
        <v>899.99999999990087</v>
      </c>
      <c r="K9" s="58">
        <v>2.3491</v>
      </c>
      <c r="L9" s="64">
        <f t="shared" si="39"/>
        <v>1799.9999999998017</v>
      </c>
      <c r="M9" s="58">
        <v>1.3353999999999999</v>
      </c>
      <c r="N9" s="64">
        <f t="shared" si="4"/>
        <v>499.99999999994492</v>
      </c>
      <c r="O9" s="58">
        <v>12738</v>
      </c>
      <c r="P9" s="67">
        <f t="shared" si="5"/>
        <v>0</v>
      </c>
      <c r="Q9" s="58">
        <v>278</v>
      </c>
      <c r="R9" s="67">
        <f t="shared" si="6"/>
        <v>6</v>
      </c>
      <c r="S9" s="58">
        <v>897698.2</v>
      </c>
      <c r="T9" s="67">
        <f t="shared" si="7"/>
        <v>201</v>
      </c>
      <c r="U9" s="58">
        <v>371790.4</v>
      </c>
      <c r="V9" s="67">
        <f t="shared" si="8"/>
        <v>190</v>
      </c>
      <c r="W9" s="58">
        <v>361.29</v>
      </c>
      <c r="X9" s="65">
        <f t="shared" si="9"/>
        <v>90.000000000031832</v>
      </c>
      <c r="Y9" s="58">
        <v>2.5451999999999999</v>
      </c>
      <c r="Z9" s="65">
        <f t="shared" si="10"/>
        <v>399.99999999995595</v>
      </c>
      <c r="AA9" s="58">
        <v>355.52</v>
      </c>
      <c r="AB9" s="65">
        <f t="shared" si="11"/>
        <v>79.999999999984084</v>
      </c>
      <c r="AC9" s="58">
        <v>341.41</v>
      </c>
      <c r="AD9" s="65">
        <f t="shared" si="12"/>
        <v>140.0000000000432</v>
      </c>
      <c r="AE9" s="58">
        <v>528.64</v>
      </c>
      <c r="AF9" s="65">
        <f t="shared" si="13"/>
        <v>189.99999999994088</v>
      </c>
      <c r="AG9" s="58">
        <v>1561.8</v>
      </c>
      <c r="AH9" s="67">
        <f t="shared" si="14"/>
        <v>1.5999999999999091</v>
      </c>
      <c r="AI9" s="58">
        <v>528.83000000000004</v>
      </c>
      <c r="AJ9" s="65">
        <f t="shared" si="15"/>
        <v>240.00000000000909</v>
      </c>
      <c r="AK9" s="58">
        <v>181.48</v>
      </c>
      <c r="AL9" s="65">
        <f t="shared" si="15"/>
        <v>19.99999999998181</v>
      </c>
      <c r="AM9" s="58">
        <v>179.4</v>
      </c>
      <c r="AN9" s="65">
        <f t="shared" si="15"/>
        <v>10.000000000019327</v>
      </c>
      <c r="AO9" s="58">
        <v>171.06</v>
      </c>
      <c r="AP9" s="65">
        <f t="shared" si="15"/>
        <v>20.000000000010232</v>
      </c>
      <c r="AQ9" s="58">
        <v>229.31</v>
      </c>
      <c r="AR9" s="65">
        <f t="shared" si="16"/>
        <v>9.9999999999909051</v>
      </c>
      <c r="AS9" s="58">
        <v>356.82</v>
      </c>
      <c r="AT9" s="65">
        <f t="shared" si="17"/>
        <v>19.99999999998181</v>
      </c>
      <c r="AU9" s="58">
        <v>275.68</v>
      </c>
      <c r="AV9" s="65">
        <f t="shared" si="18"/>
        <v>19.99999999998181</v>
      </c>
      <c r="AW9" s="58">
        <v>310.58</v>
      </c>
      <c r="AX9" s="65">
        <f t="shared" si="19"/>
        <v>279.99999999997272</v>
      </c>
      <c r="AY9" s="58">
        <v>356.84</v>
      </c>
      <c r="AZ9" s="65">
        <f t="shared" si="20"/>
        <v>19.99999999998181</v>
      </c>
      <c r="BA9" s="58">
        <v>378.08</v>
      </c>
      <c r="BB9" s="65">
        <f t="shared" si="21"/>
        <v>29.999999999972715</v>
      </c>
      <c r="BC9" s="58">
        <v>236.72</v>
      </c>
      <c r="BD9" s="65">
        <f t="shared" si="22"/>
        <v>20.000000000010232</v>
      </c>
      <c r="BE9" s="59">
        <v>35247</v>
      </c>
      <c r="BF9" s="67">
        <f t="shared" si="40"/>
        <v>20</v>
      </c>
      <c r="BG9" s="60">
        <v>228.94</v>
      </c>
      <c r="BH9" s="65">
        <f t="shared" si="23"/>
        <v>9.9999999999909051</v>
      </c>
      <c r="BI9" s="60">
        <v>287.89999999999998</v>
      </c>
      <c r="BJ9" s="65">
        <f t="shared" si="41"/>
        <v>29.999999999972715</v>
      </c>
      <c r="BK9" s="60">
        <v>233.02</v>
      </c>
      <c r="BL9" s="65">
        <f t="shared" si="24"/>
        <v>10.000000000019327</v>
      </c>
      <c r="BM9" s="60">
        <v>218.37</v>
      </c>
      <c r="BN9" s="65">
        <f t="shared" si="25"/>
        <v>30.000000000001137</v>
      </c>
      <c r="BO9" s="60">
        <v>283.58999999999997</v>
      </c>
      <c r="BP9" s="65">
        <f t="shared" si="26"/>
        <v>9.9999999999909051</v>
      </c>
      <c r="BQ9" s="60">
        <v>41824</v>
      </c>
      <c r="BR9" s="65">
        <f t="shared" si="27"/>
        <v>6</v>
      </c>
      <c r="BS9" s="60">
        <v>196.8</v>
      </c>
      <c r="BT9" s="65">
        <f t="shared" si="42"/>
        <v>10.000000000019327</v>
      </c>
      <c r="BU9" s="60">
        <v>35339</v>
      </c>
      <c r="BV9" s="65">
        <f t="shared" si="28"/>
        <v>4</v>
      </c>
      <c r="BW9" s="60">
        <v>228.31</v>
      </c>
      <c r="BX9" s="65">
        <f t="shared" si="29"/>
        <v>9.9999999999909051</v>
      </c>
      <c r="BY9" s="60">
        <v>54000</v>
      </c>
      <c r="BZ9" s="67">
        <f t="shared" si="30"/>
        <v>14</v>
      </c>
      <c r="CA9" s="60">
        <v>28616.400000000001</v>
      </c>
      <c r="CB9" s="67">
        <f t="shared" si="31"/>
        <v>0</v>
      </c>
      <c r="CC9" s="60">
        <v>11255.6</v>
      </c>
      <c r="CD9" s="67">
        <f>IF((CC9-CC8&lt;0), "",CC9-CC8)</f>
        <v>0</v>
      </c>
      <c r="CE9" s="60">
        <v>5623</v>
      </c>
      <c r="CF9" s="67">
        <f t="shared" si="33"/>
        <v>0</v>
      </c>
      <c r="CG9" s="60">
        <v>54778</v>
      </c>
      <c r="CH9" s="67">
        <f t="shared" si="34"/>
        <v>49.5</v>
      </c>
      <c r="CI9" s="60">
        <v>910271</v>
      </c>
      <c r="CJ9" s="67">
        <f t="shared" si="35"/>
        <v>203</v>
      </c>
      <c r="CK9" s="60">
        <v>676.06</v>
      </c>
      <c r="CL9" s="64">
        <f t="shared" si="36"/>
        <v>439.99999999994088</v>
      </c>
      <c r="CM9" s="65">
        <f t="shared" si="37"/>
        <v>22.599999999999909</v>
      </c>
      <c r="CN9" s="62">
        <v>0</v>
      </c>
      <c r="CO9" s="62">
        <v>0</v>
      </c>
      <c r="CP9" s="68">
        <v>3832.6</v>
      </c>
      <c r="CQ9" s="67">
        <f t="shared" si="38"/>
        <v>12.599999999999909</v>
      </c>
      <c r="CR9" s="68">
        <v>11925</v>
      </c>
      <c r="CS9" s="67">
        <f t="shared" si="38"/>
        <v>10</v>
      </c>
      <c r="CT9" s="75">
        <v>4658</v>
      </c>
      <c r="CU9" s="67">
        <f t="shared" si="38"/>
        <v>12</v>
      </c>
      <c r="CV9" s="68">
        <v>12068</v>
      </c>
      <c r="CW9" s="67">
        <f t="shared" si="38"/>
        <v>28</v>
      </c>
    </row>
    <row r="10" spans="1:102" ht="25.5" customHeight="1" thickBot="1" x14ac:dyDescent="0.45">
      <c r="A10" s="63">
        <v>44234</v>
      </c>
      <c r="B10" s="44"/>
      <c r="C10" s="58">
        <v>2.0495999999999999</v>
      </c>
      <c r="D10" s="64">
        <f t="shared" si="0"/>
        <v>899.99999999967883</v>
      </c>
      <c r="E10" s="58">
        <v>2.9176000000000002</v>
      </c>
      <c r="F10" s="64">
        <f t="shared" si="1"/>
        <v>600.00000000037801</v>
      </c>
      <c r="G10" s="58">
        <v>2.9782000000000002</v>
      </c>
      <c r="H10" s="64">
        <f t="shared" si="2"/>
        <v>1400.0000000002899</v>
      </c>
      <c r="I10" s="58">
        <v>1.4569000000000001</v>
      </c>
      <c r="J10" s="64">
        <f t="shared" si="3"/>
        <v>800.00000000013392</v>
      </c>
      <c r="K10" s="58">
        <v>2.3509000000000002</v>
      </c>
      <c r="L10" s="64">
        <f t="shared" si="39"/>
        <v>1800.0000000002458</v>
      </c>
      <c r="M10" s="58">
        <v>1.3359000000000001</v>
      </c>
      <c r="N10" s="64">
        <f t="shared" si="4"/>
        <v>500.00000000016701</v>
      </c>
      <c r="O10" s="58">
        <v>12738</v>
      </c>
      <c r="P10" s="67">
        <f t="shared" si="5"/>
        <v>0</v>
      </c>
      <c r="Q10" s="58">
        <v>283</v>
      </c>
      <c r="R10" s="67">
        <f t="shared" si="6"/>
        <v>5</v>
      </c>
      <c r="S10" s="58">
        <v>897790.4</v>
      </c>
      <c r="T10" s="67">
        <f t="shared" si="7"/>
        <v>92.200000000069849</v>
      </c>
      <c r="U10" s="58">
        <v>371823</v>
      </c>
      <c r="V10" s="67">
        <f t="shared" si="8"/>
        <v>32.599999999976717</v>
      </c>
      <c r="W10" s="58">
        <v>361.42</v>
      </c>
      <c r="X10" s="65">
        <f t="shared" si="9"/>
        <v>129.99999999999545</v>
      </c>
      <c r="Y10" s="58">
        <v>2.5455999999999999</v>
      </c>
      <c r="Z10" s="65">
        <f t="shared" si="10"/>
        <v>399.99999999995595</v>
      </c>
      <c r="AA10" s="58">
        <v>355.62</v>
      </c>
      <c r="AB10" s="65">
        <f t="shared" si="11"/>
        <v>100.00000000002274</v>
      </c>
      <c r="AC10" s="58">
        <v>341.55</v>
      </c>
      <c r="AD10" s="65">
        <f t="shared" si="12"/>
        <v>139.99999999998636</v>
      </c>
      <c r="AE10" s="58">
        <v>528.83000000000004</v>
      </c>
      <c r="AF10" s="65">
        <f t="shared" si="13"/>
        <v>190.00000000005457</v>
      </c>
      <c r="AG10" s="58">
        <v>1563.4</v>
      </c>
      <c r="AH10" s="67">
        <f t="shared" si="14"/>
        <v>1.6000000000001364</v>
      </c>
      <c r="AI10" s="58">
        <v>529.08000000000004</v>
      </c>
      <c r="AJ10" s="65">
        <f t="shared" si="15"/>
        <v>250</v>
      </c>
      <c r="AK10" s="58">
        <v>181.5</v>
      </c>
      <c r="AL10" s="65">
        <f t="shared" si="15"/>
        <v>20.000000000010232</v>
      </c>
      <c r="AM10" s="58">
        <v>179.41</v>
      </c>
      <c r="AN10" s="65">
        <f t="shared" si="15"/>
        <v>9.9999999999909051</v>
      </c>
      <c r="AO10" s="58">
        <v>171.06</v>
      </c>
      <c r="AP10" s="65">
        <f t="shared" si="15"/>
        <v>0</v>
      </c>
      <c r="AQ10" s="58">
        <v>229.32</v>
      </c>
      <c r="AR10" s="65">
        <f t="shared" si="16"/>
        <v>9.9999999999909051</v>
      </c>
      <c r="AS10" s="58">
        <v>356.84</v>
      </c>
      <c r="AT10" s="65">
        <f t="shared" si="17"/>
        <v>19.99999999998181</v>
      </c>
      <c r="AU10" s="58">
        <v>275.69</v>
      </c>
      <c r="AV10" s="65">
        <f t="shared" si="18"/>
        <v>9.9999999999909051</v>
      </c>
      <c r="AW10" s="58">
        <v>310.89</v>
      </c>
      <c r="AX10" s="65">
        <f t="shared" si="19"/>
        <v>310.00000000000227</v>
      </c>
      <c r="AY10" s="58">
        <v>356.86</v>
      </c>
      <c r="AZ10" s="65">
        <f t="shared" si="20"/>
        <v>20.000000000038654</v>
      </c>
      <c r="BA10" s="58">
        <v>378.1</v>
      </c>
      <c r="BB10" s="65">
        <f t="shared" si="21"/>
        <v>20.000000000038654</v>
      </c>
      <c r="BC10" s="58">
        <v>236.73</v>
      </c>
      <c r="BD10" s="65">
        <f t="shared" si="22"/>
        <v>9.9999999999909051</v>
      </c>
      <c r="BE10" s="59">
        <v>35287</v>
      </c>
      <c r="BF10" s="67">
        <f t="shared" si="40"/>
        <v>40</v>
      </c>
      <c r="BG10" s="60">
        <v>228.97</v>
      </c>
      <c r="BH10" s="65">
        <f t="shared" si="23"/>
        <v>30.000000000001137</v>
      </c>
      <c r="BI10" s="60">
        <v>287.94</v>
      </c>
      <c r="BJ10" s="65">
        <f t="shared" si="41"/>
        <v>40.000000000020464</v>
      </c>
      <c r="BK10" s="60">
        <v>233.03</v>
      </c>
      <c r="BL10" s="65">
        <f t="shared" si="24"/>
        <v>9.9999999999909051</v>
      </c>
      <c r="BM10" s="60">
        <v>218.39</v>
      </c>
      <c r="BN10" s="65">
        <f t="shared" si="25"/>
        <v>19.99999999998181</v>
      </c>
      <c r="BO10" s="60">
        <v>283.61</v>
      </c>
      <c r="BP10" s="65">
        <f t="shared" si="26"/>
        <v>20.000000000038654</v>
      </c>
      <c r="BQ10" s="60">
        <v>41832</v>
      </c>
      <c r="BR10" s="65">
        <f t="shared" si="27"/>
        <v>8</v>
      </c>
      <c r="BS10" s="60">
        <v>196.82</v>
      </c>
      <c r="BT10" s="65">
        <f t="shared" si="42"/>
        <v>19.99999999998181</v>
      </c>
      <c r="BU10" s="60">
        <v>35356</v>
      </c>
      <c r="BV10" s="65">
        <f t="shared" si="28"/>
        <v>17</v>
      </c>
      <c r="BW10" s="60">
        <v>228.33</v>
      </c>
      <c r="BX10" s="65">
        <f t="shared" si="29"/>
        <v>20.000000000010232</v>
      </c>
      <c r="BY10" s="60">
        <v>54021</v>
      </c>
      <c r="BZ10" s="67">
        <f t="shared" si="30"/>
        <v>21</v>
      </c>
      <c r="CA10" s="60">
        <v>28616.400000000001</v>
      </c>
      <c r="CB10" s="67">
        <f t="shared" si="31"/>
        <v>0</v>
      </c>
      <c r="CC10" s="60">
        <v>11255.6</v>
      </c>
      <c r="CD10" s="67">
        <f>IF((CC10-CC9&lt;0), "",CC10-CC9)</f>
        <v>0</v>
      </c>
      <c r="CE10" s="60">
        <v>5623</v>
      </c>
      <c r="CF10" s="67">
        <f t="shared" si="33"/>
        <v>0</v>
      </c>
      <c r="CG10" s="60">
        <v>54804.5</v>
      </c>
      <c r="CH10" s="67">
        <f t="shared" si="34"/>
        <v>26.5</v>
      </c>
      <c r="CI10" s="60">
        <v>910475</v>
      </c>
      <c r="CJ10" s="67">
        <f t="shared" si="35"/>
        <v>204</v>
      </c>
      <c r="CK10" s="60">
        <v>676.48</v>
      </c>
      <c r="CL10" s="64">
        <f t="shared" si="36"/>
        <v>420.00000000007276</v>
      </c>
      <c r="CM10" s="65">
        <f t="shared" si="37"/>
        <v>19.800000000000182</v>
      </c>
      <c r="CN10" s="62">
        <v>0</v>
      </c>
      <c r="CO10" s="62">
        <v>0</v>
      </c>
      <c r="CP10" s="68">
        <v>3845.4</v>
      </c>
      <c r="CQ10" s="67">
        <f>IF((CP10-CP9&lt;0), "",CP10-CP9)</f>
        <v>12.800000000000182</v>
      </c>
      <c r="CR10" s="68">
        <v>11932</v>
      </c>
      <c r="CS10" s="67">
        <f t="shared" si="38"/>
        <v>7</v>
      </c>
      <c r="CT10" s="75">
        <v>4668</v>
      </c>
      <c r="CU10" s="67">
        <f t="shared" si="38"/>
        <v>10</v>
      </c>
      <c r="CV10" s="68">
        <v>12089</v>
      </c>
      <c r="CW10" s="67">
        <f t="shared" si="38"/>
        <v>21</v>
      </c>
    </row>
    <row r="11" spans="1:102" ht="25.5" customHeight="1" thickBot="1" x14ac:dyDescent="0.45">
      <c r="A11" s="63">
        <v>44235</v>
      </c>
      <c r="B11" s="44"/>
      <c r="C11" s="58">
        <v>2.0505</v>
      </c>
      <c r="D11" s="64">
        <f t="shared" si="0"/>
        <v>900.0000000001229</v>
      </c>
      <c r="E11" s="58">
        <v>2.9184000000000001</v>
      </c>
      <c r="F11" s="64">
        <f t="shared" si="1"/>
        <v>799.99999999991189</v>
      </c>
      <c r="G11" s="58">
        <v>2.98</v>
      </c>
      <c r="H11" s="64">
        <f t="shared" si="2"/>
        <v>1799.9999999998017</v>
      </c>
      <c r="I11" s="58">
        <v>1.4579</v>
      </c>
      <c r="J11" s="64">
        <f t="shared" si="3"/>
        <v>999.99999999988984</v>
      </c>
      <c r="K11" s="58">
        <v>2.3529</v>
      </c>
      <c r="L11" s="64">
        <f t="shared" si="39"/>
        <v>1999.9999999997797</v>
      </c>
      <c r="M11" s="58">
        <v>1.3366</v>
      </c>
      <c r="N11" s="64">
        <f t="shared" si="4"/>
        <v>699.99999999992292</v>
      </c>
      <c r="O11" s="58">
        <v>12739</v>
      </c>
      <c r="P11" s="67">
        <f t="shared" ref="P11:P34" si="43">IF((O11-O10&lt;0), "",O11-O10)</f>
        <v>1</v>
      </c>
      <c r="Q11" s="58">
        <v>289</v>
      </c>
      <c r="R11" s="67">
        <f t="shared" si="6"/>
        <v>6</v>
      </c>
      <c r="S11" s="58">
        <v>898166</v>
      </c>
      <c r="T11" s="67">
        <f t="shared" si="7"/>
        <v>375.59999999997672</v>
      </c>
      <c r="U11" s="58">
        <v>372048.9</v>
      </c>
      <c r="V11" s="67">
        <f t="shared" si="8"/>
        <v>225.90000000002328</v>
      </c>
      <c r="W11" s="58">
        <v>361.53</v>
      </c>
      <c r="X11" s="65">
        <f t="shared" si="9"/>
        <v>109.9999999999568</v>
      </c>
      <c r="Y11" s="58">
        <v>2.5461</v>
      </c>
      <c r="Z11" s="65">
        <f t="shared" si="10"/>
        <v>500.00000000016701</v>
      </c>
      <c r="AA11" s="58">
        <v>355.73</v>
      </c>
      <c r="AB11" s="65">
        <f t="shared" si="11"/>
        <v>110.00000000001364</v>
      </c>
      <c r="AC11" s="58">
        <v>341.73</v>
      </c>
      <c r="AD11" s="65">
        <f t="shared" si="12"/>
        <v>180.00000000000682</v>
      </c>
      <c r="AE11" s="58">
        <v>529.08000000000004</v>
      </c>
      <c r="AF11" s="65">
        <f t="shared" si="13"/>
        <v>250</v>
      </c>
      <c r="AG11" s="58">
        <v>1565.2</v>
      </c>
      <c r="AH11" s="67">
        <f t="shared" si="14"/>
        <v>1.7999999999999545</v>
      </c>
      <c r="AI11" s="58">
        <v>529.33000000000004</v>
      </c>
      <c r="AJ11" s="65">
        <f t="shared" si="15"/>
        <v>250</v>
      </c>
      <c r="AK11" s="58">
        <v>181.54</v>
      </c>
      <c r="AL11" s="65">
        <f t="shared" si="15"/>
        <v>39.999999999992042</v>
      </c>
      <c r="AM11" s="58">
        <v>179.43</v>
      </c>
      <c r="AN11" s="65">
        <f t="shared" si="15"/>
        <v>20.000000000010232</v>
      </c>
      <c r="AO11" s="58">
        <v>171.09</v>
      </c>
      <c r="AP11" s="65">
        <f t="shared" si="15"/>
        <v>30.000000000001137</v>
      </c>
      <c r="AQ11" s="58">
        <v>229.33</v>
      </c>
      <c r="AR11" s="65">
        <f t="shared" si="16"/>
        <v>10.000000000019327</v>
      </c>
      <c r="AS11" s="58">
        <v>356.87</v>
      </c>
      <c r="AT11" s="65">
        <f t="shared" si="17"/>
        <v>30.000000000029559</v>
      </c>
      <c r="AU11" s="58">
        <v>275.7</v>
      </c>
      <c r="AV11" s="65">
        <f t="shared" si="18"/>
        <v>9.9999999999909051</v>
      </c>
      <c r="AW11" s="58">
        <v>311.18</v>
      </c>
      <c r="AX11" s="65">
        <f t="shared" si="19"/>
        <v>290.00000000002046</v>
      </c>
      <c r="AY11" s="58">
        <v>356.88</v>
      </c>
      <c r="AZ11" s="65">
        <f t="shared" si="20"/>
        <v>19.99999999998181</v>
      </c>
      <c r="BA11" s="58">
        <v>378.13</v>
      </c>
      <c r="BB11" s="65">
        <f t="shared" si="21"/>
        <v>29.999999999972715</v>
      </c>
      <c r="BC11" s="58">
        <v>236.74</v>
      </c>
      <c r="BD11" s="65">
        <f>IF((BC11-BC10&lt;0), "",(BC11-BC10)*1000)</f>
        <v>10.000000000019327</v>
      </c>
      <c r="BE11" s="59">
        <v>35323</v>
      </c>
      <c r="BF11" s="67">
        <f t="shared" si="40"/>
        <v>36</v>
      </c>
      <c r="BG11" s="60">
        <v>228.99</v>
      </c>
      <c r="BH11" s="65">
        <f t="shared" si="23"/>
        <v>20.000000000010232</v>
      </c>
      <c r="BI11" s="60">
        <v>287.98</v>
      </c>
      <c r="BJ11" s="65">
        <f t="shared" si="41"/>
        <v>40.000000000020464</v>
      </c>
      <c r="BK11" s="60">
        <v>233.04</v>
      </c>
      <c r="BL11" s="65">
        <f t="shared" si="24"/>
        <v>9.9999999999909051</v>
      </c>
      <c r="BM11" s="60">
        <v>218.42</v>
      </c>
      <c r="BN11" s="65">
        <f t="shared" si="25"/>
        <v>30.000000000001137</v>
      </c>
      <c r="BO11" s="60">
        <v>283.62</v>
      </c>
      <c r="BP11" s="65">
        <f t="shared" si="26"/>
        <v>9.9999999999909051</v>
      </c>
      <c r="BQ11" s="60">
        <v>41840</v>
      </c>
      <c r="BR11" s="65">
        <f t="shared" si="27"/>
        <v>8</v>
      </c>
      <c r="BS11" s="60">
        <v>196.83</v>
      </c>
      <c r="BT11" s="65">
        <f t="shared" si="42"/>
        <v>10.000000000019327</v>
      </c>
      <c r="BU11" s="60">
        <v>35370</v>
      </c>
      <c r="BV11" s="65">
        <f t="shared" si="28"/>
        <v>14</v>
      </c>
      <c r="BW11" s="60">
        <v>228.35</v>
      </c>
      <c r="BX11" s="65">
        <f t="shared" si="29"/>
        <v>19.99999999998181</v>
      </c>
      <c r="BY11" s="60">
        <v>54049</v>
      </c>
      <c r="BZ11" s="67">
        <f t="shared" si="30"/>
        <v>28</v>
      </c>
      <c r="CA11" s="60">
        <v>28616.400000000001</v>
      </c>
      <c r="CB11" s="67">
        <f t="shared" si="31"/>
        <v>0</v>
      </c>
      <c r="CC11" s="60">
        <v>11255.6</v>
      </c>
      <c r="CD11" s="67">
        <f t="shared" si="32"/>
        <v>0</v>
      </c>
      <c r="CE11" s="60">
        <v>5623</v>
      </c>
      <c r="CF11" s="67">
        <f t="shared" si="33"/>
        <v>0</v>
      </c>
      <c r="CG11" s="60">
        <v>54842.8</v>
      </c>
      <c r="CH11" s="67">
        <f t="shared" si="34"/>
        <v>38.30000000000291</v>
      </c>
      <c r="CI11" s="60">
        <v>910688</v>
      </c>
      <c r="CJ11" s="67">
        <f t="shared" si="35"/>
        <v>213</v>
      </c>
      <c r="CK11" s="60">
        <v>676.85</v>
      </c>
      <c r="CL11" s="64">
        <f t="shared" si="36"/>
        <v>370.00000000000455</v>
      </c>
      <c r="CM11" s="65">
        <f t="shared" si="37"/>
        <v>25</v>
      </c>
      <c r="CN11" s="62">
        <v>0</v>
      </c>
      <c r="CO11" s="62">
        <v>0</v>
      </c>
      <c r="CP11" s="68">
        <v>3861.4</v>
      </c>
      <c r="CQ11" s="67">
        <f>IF((CP11-CP10&lt;0), "",CP11-CP10)</f>
        <v>16</v>
      </c>
      <c r="CR11" s="68">
        <v>11941</v>
      </c>
      <c r="CS11" s="67">
        <f t="shared" si="38"/>
        <v>9</v>
      </c>
      <c r="CT11" s="75">
        <v>4680</v>
      </c>
      <c r="CU11" s="67">
        <f t="shared" si="38"/>
        <v>12</v>
      </c>
      <c r="CV11" s="68">
        <v>12107</v>
      </c>
      <c r="CW11" s="67">
        <f t="shared" si="38"/>
        <v>18</v>
      </c>
    </row>
    <row r="12" spans="1:102" ht="25.5" customHeight="1" thickBot="1" x14ac:dyDescent="0.45">
      <c r="A12" s="63">
        <v>44236</v>
      </c>
      <c r="B12" s="44"/>
      <c r="C12" s="58">
        <v>2.0514999999999999</v>
      </c>
      <c r="D12" s="64">
        <f t="shared" si="0"/>
        <v>999.99999999988984</v>
      </c>
      <c r="E12" s="58">
        <v>2.9190999999999998</v>
      </c>
      <c r="F12" s="64">
        <f t="shared" si="1"/>
        <v>699.99999999970089</v>
      </c>
      <c r="G12" s="58">
        <v>2.9817999999999998</v>
      </c>
      <c r="H12" s="64">
        <f t="shared" si="2"/>
        <v>1799.9999999998017</v>
      </c>
      <c r="I12" s="58">
        <v>1.4588000000000001</v>
      </c>
      <c r="J12" s="64">
        <f t="shared" si="3"/>
        <v>900.0000000001229</v>
      </c>
      <c r="K12" s="58">
        <v>2.3549000000000002</v>
      </c>
      <c r="L12" s="64">
        <f t="shared" si="39"/>
        <v>2000.0000000002237</v>
      </c>
      <c r="M12" s="58">
        <v>1.3371</v>
      </c>
      <c r="N12" s="64">
        <f t="shared" si="4"/>
        <v>499.99999999994492</v>
      </c>
      <c r="O12" s="58">
        <v>12739</v>
      </c>
      <c r="P12" s="67">
        <f t="shared" si="43"/>
        <v>0</v>
      </c>
      <c r="Q12" s="58">
        <v>295</v>
      </c>
      <c r="R12" s="67">
        <f t="shared" si="6"/>
        <v>6</v>
      </c>
      <c r="S12" s="58">
        <v>898472.2</v>
      </c>
      <c r="T12" s="67">
        <f t="shared" si="7"/>
        <v>306.19999999995343</v>
      </c>
      <c r="U12" s="58">
        <v>372283.9</v>
      </c>
      <c r="V12" s="67">
        <f t="shared" si="8"/>
        <v>235</v>
      </c>
      <c r="W12" s="58">
        <v>361.66</v>
      </c>
      <c r="X12" s="65">
        <f t="shared" si="9"/>
        <v>130.0000000000523</v>
      </c>
      <c r="Y12" s="58">
        <v>2.5466000000000002</v>
      </c>
      <c r="Z12" s="65">
        <f t="shared" si="10"/>
        <v>500.00000000016701</v>
      </c>
      <c r="AA12" s="58">
        <v>355.84</v>
      </c>
      <c r="AB12" s="65">
        <f t="shared" si="11"/>
        <v>109.9999999999568</v>
      </c>
      <c r="AC12" s="58">
        <v>341.9</v>
      </c>
      <c r="AD12" s="65">
        <f t="shared" si="12"/>
        <v>169.99999999995907</v>
      </c>
      <c r="AE12" s="58">
        <v>529.27</v>
      </c>
      <c r="AF12" s="65">
        <f t="shared" si="13"/>
        <v>189.99999999994088</v>
      </c>
      <c r="AG12" s="58">
        <v>1567.3</v>
      </c>
      <c r="AH12" s="67">
        <f t="shared" si="14"/>
        <v>2.0999999999999091</v>
      </c>
      <c r="AI12" s="58">
        <v>529.59</v>
      </c>
      <c r="AJ12" s="65">
        <f t="shared" si="15"/>
        <v>259.99999999999091</v>
      </c>
      <c r="AK12" s="58">
        <v>181.58</v>
      </c>
      <c r="AL12" s="65">
        <f t="shared" si="15"/>
        <v>40.000000000020464</v>
      </c>
      <c r="AM12" s="58">
        <v>179.45</v>
      </c>
      <c r="AN12" s="65">
        <f t="shared" si="15"/>
        <v>19.99999999998181</v>
      </c>
      <c r="AO12" s="58">
        <v>171.11</v>
      </c>
      <c r="AP12" s="65">
        <f t="shared" si="15"/>
        <v>20.000000000010232</v>
      </c>
      <c r="AQ12" s="58">
        <v>229.35</v>
      </c>
      <c r="AR12" s="65">
        <f t="shared" si="16"/>
        <v>19.99999999998181</v>
      </c>
      <c r="AS12" s="58">
        <v>356.91</v>
      </c>
      <c r="AT12" s="65">
        <f t="shared" si="17"/>
        <v>40.000000000020464</v>
      </c>
      <c r="AU12" s="58">
        <v>275.72000000000003</v>
      </c>
      <c r="AV12" s="65">
        <f t="shared" si="18"/>
        <v>20.000000000038654</v>
      </c>
      <c r="AW12" s="58">
        <v>311.52</v>
      </c>
      <c r="AX12" s="65">
        <f t="shared" si="19"/>
        <v>339.99999999997499</v>
      </c>
      <c r="AY12" s="58">
        <v>356.9</v>
      </c>
      <c r="AZ12" s="65">
        <f t="shared" si="20"/>
        <v>19.99999999998181</v>
      </c>
      <c r="BA12" s="58">
        <v>378.15</v>
      </c>
      <c r="BB12" s="65">
        <f t="shared" si="21"/>
        <v>19.99999999998181</v>
      </c>
      <c r="BC12" s="58">
        <v>236.75</v>
      </c>
      <c r="BD12" s="65">
        <f t="shared" si="22"/>
        <v>9.9999999999909051</v>
      </c>
      <c r="BE12" s="59">
        <v>35357</v>
      </c>
      <c r="BF12" s="67">
        <f t="shared" si="40"/>
        <v>34</v>
      </c>
      <c r="BG12" s="60">
        <v>229.01</v>
      </c>
      <c r="BH12" s="65">
        <f t="shared" si="23"/>
        <v>19.99999999998181</v>
      </c>
      <c r="BI12" s="60">
        <v>288.02</v>
      </c>
      <c r="BJ12" s="65">
        <f t="shared" si="41"/>
        <v>39.99999999996362</v>
      </c>
      <c r="BK12" s="60">
        <v>233.05</v>
      </c>
      <c r="BL12" s="65">
        <f t="shared" si="24"/>
        <v>10.000000000019327</v>
      </c>
      <c r="BM12" s="60">
        <v>218.44</v>
      </c>
      <c r="BN12" s="65">
        <f t="shared" si="25"/>
        <v>20.000000000010232</v>
      </c>
      <c r="BO12" s="60">
        <v>283.64</v>
      </c>
      <c r="BP12" s="65">
        <f t="shared" si="26"/>
        <v>19.99999999998181</v>
      </c>
      <c r="BQ12" s="60">
        <v>41849</v>
      </c>
      <c r="BR12" s="65">
        <f t="shared" si="27"/>
        <v>9</v>
      </c>
      <c r="BS12" s="60">
        <v>196.85</v>
      </c>
      <c r="BT12" s="65">
        <f t="shared" si="42"/>
        <v>19.99999999998181</v>
      </c>
      <c r="BU12" s="60">
        <v>35386</v>
      </c>
      <c r="BV12" s="65">
        <f t="shared" si="28"/>
        <v>16</v>
      </c>
      <c r="BW12" s="60">
        <v>228.37</v>
      </c>
      <c r="BX12" s="65">
        <f t="shared" si="29"/>
        <v>20.000000000010232</v>
      </c>
      <c r="BY12" s="60">
        <v>54072</v>
      </c>
      <c r="BZ12" s="67">
        <f t="shared" si="30"/>
        <v>23</v>
      </c>
      <c r="CA12" s="60">
        <v>28616.400000000001</v>
      </c>
      <c r="CB12" s="67">
        <f t="shared" si="31"/>
        <v>0</v>
      </c>
      <c r="CC12" s="60">
        <v>11255.6</v>
      </c>
      <c r="CD12" s="67">
        <f t="shared" si="32"/>
        <v>0</v>
      </c>
      <c r="CE12" s="60">
        <v>5623</v>
      </c>
      <c r="CF12" s="67">
        <f t="shared" si="33"/>
        <v>0</v>
      </c>
      <c r="CG12" s="60">
        <v>54880</v>
      </c>
      <c r="CH12" s="67">
        <f t="shared" si="34"/>
        <v>37.19999999999709</v>
      </c>
      <c r="CI12" s="60">
        <v>910907</v>
      </c>
      <c r="CJ12" s="67">
        <f t="shared" si="35"/>
        <v>219</v>
      </c>
      <c r="CK12" s="60">
        <v>677.27</v>
      </c>
      <c r="CL12" s="64">
        <f t="shared" si="36"/>
        <v>419.99999999995907</v>
      </c>
      <c r="CM12" s="65">
        <f t="shared" si="37"/>
        <v>26.699999999999818</v>
      </c>
      <c r="CN12" s="62">
        <v>0</v>
      </c>
      <c r="CO12" s="62">
        <v>0</v>
      </c>
      <c r="CP12" s="68">
        <v>3878.1</v>
      </c>
      <c r="CQ12" s="67">
        <f>IF((CP12-CP11&lt;0), "",CP12-CP11)</f>
        <v>16.699999999999818</v>
      </c>
      <c r="CR12" s="68">
        <v>11951</v>
      </c>
      <c r="CS12" s="67">
        <f t="shared" si="38"/>
        <v>10</v>
      </c>
      <c r="CT12" s="75">
        <v>4692</v>
      </c>
      <c r="CU12" s="67">
        <f t="shared" si="38"/>
        <v>12</v>
      </c>
      <c r="CV12" s="68">
        <v>12132</v>
      </c>
      <c r="CW12" s="67">
        <f t="shared" si="38"/>
        <v>25</v>
      </c>
    </row>
    <row r="13" spans="1:102" ht="25.5" customHeight="1" thickBot="1" x14ac:dyDescent="0.45">
      <c r="A13" s="63">
        <v>44237</v>
      </c>
      <c r="B13" s="44"/>
      <c r="C13" s="58">
        <v>2.0524</v>
      </c>
      <c r="D13" s="64">
        <f t="shared" si="0"/>
        <v>900.0000000001229</v>
      </c>
      <c r="E13" s="58">
        <v>2.9197000000000002</v>
      </c>
      <c r="F13" s="64">
        <f t="shared" si="1"/>
        <v>600.00000000037801</v>
      </c>
      <c r="G13" s="58">
        <v>2.9834000000000001</v>
      </c>
      <c r="H13" s="64">
        <f t="shared" si="2"/>
        <v>1600.0000000002678</v>
      </c>
      <c r="I13" s="58">
        <v>1.4595</v>
      </c>
      <c r="J13" s="64">
        <f t="shared" si="3"/>
        <v>699.99999999992292</v>
      </c>
      <c r="K13" s="58">
        <v>2.3567</v>
      </c>
      <c r="L13" s="64">
        <f t="shared" si="39"/>
        <v>1799.9999999998017</v>
      </c>
      <c r="M13" s="58">
        <v>1.3375999999999999</v>
      </c>
      <c r="N13" s="64">
        <f t="shared" si="4"/>
        <v>499.99999999994492</v>
      </c>
      <c r="O13" s="58">
        <v>12739</v>
      </c>
      <c r="P13" s="67">
        <f t="shared" si="43"/>
        <v>0</v>
      </c>
      <c r="Q13" s="58">
        <v>295</v>
      </c>
      <c r="R13" s="67">
        <f t="shared" si="6"/>
        <v>0</v>
      </c>
      <c r="S13" s="58">
        <v>898667.8</v>
      </c>
      <c r="T13" s="67">
        <f t="shared" si="7"/>
        <v>195.60000000009313</v>
      </c>
      <c r="U13" s="58">
        <v>372380.4</v>
      </c>
      <c r="V13" s="67">
        <f t="shared" si="8"/>
        <v>96.5</v>
      </c>
      <c r="W13" s="58">
        <v>361.74</v>
      </c>
      <c r="X13" s="65">
        <f t="shared" si="9"/>
        <v>79.999999999984084</v>
      </c>
      <c r="Y13" s="58">
        <v>2.5470000000000002</v>
      </c>
      <c r="Z13" s="65">
        <f t="shared" si="10"/>
        <v>399.99999999995595</v>
      </c>
      <c r="AA13" s="58">
        <v>355.91</v>
      </c>
      <c r="AB13" s="65">
        <f t="shared" si="11"/>
        <v>70.000000000050022</v>
      </c>
      <c r="AC13" s="58">
        <v>341.98</v>
      </c>
      <c r="AD13" s="65">
        <f t="shared" si="12"/>
        <v>80.000000000040927</v>
      </c>
      <c r="AE13" s="58">
        <v>529.44000000000005</v>
      </c>
      <c r="AF13" s="65">
        <f t="shared" si="13"/>
        <v>170.00000000007276</v>
      </c>
      <c r="AG13" s="58">
        <v>1569.1</v>
      </c>
      <c r="AH13" s="67">
        <f t="shared" si="14"/>
        <v>1.7999999999999545</v>
      </c>
      <c r="AI13" s="58">
        <v>529.80999999999995</v>
      </c>
      <c r="AJ13" s="65">
        <f t="shared" si="15"/>
        <v>219.9999999999136</v>
      </c>
      <c r="AK13" s="58">
        <v>181.6</v>
      </c>
      <c r="AL13" s="65">
        <f t="shared" si="15"/>
        <v>19.99999999998181</v>
      </c>
      <c r="AM13" s="58">
        <v>179.47</v>
      </c>
      <c r="AN13" s="65">
        <f t="shared" si="15"/>
        <v>20.000000000010232</v>
      </c>
      <c r="AO13" s="58">
        <v>171.12</v>
      </c>
      <c r="AP13" s="65">
        <f t="shared" si="15"/>
        <v>9.9999999999909051</v>
      </c>
      <c r="AQ13" s="58">
        <v>229.37</v>
      </c>
      <c r="AR13" s="65">
        <f t="shared" si="16"/>
        <v>20.000000000010232</v>
      </c>
      <c r="AS13" s="58">
        <v>356.93</v>
      </c>
      <c r="AT13" s="65">
        <f t="shared" si="17"/>
        <v>19.99999999998181</v>
      </c>
      <c r="AU13" s="58">
        <v>275.74</v>
      </c>
      <c r="AV13" s="65">
        <f t="shared" si="18"/>
        <v>19.99999999998181</v>
      </c>
      <c r="AW13" s="58">
        <v>311.77999999999997</v>
      </c>
      <c r="AX13" s="65">
        <f t="shared" si="19"/>
        <v>259.99999999999091</v>
      </c>
      <c r="AY13" s="58">
        <v>356.91</v>
      </c>
      <c r="AZ13" s="65">
        <f t="shared" si="20"/>
        <v>10.000000000047748</v>
      </c>
      <c r="BA13" s="58">
        <v>378.17</v>
      </c>
      <c r="BB13" s="65">
        <f t="shared" si="21"/>
        <v>20.000000000038654</v>
      </c>
      <c r="BC13" s="58">
        <v>236.76</v>
      </c>
      <c r="BD13" s="65">
        <f t="shared" si="22"/>
        <v>9.9999999999909051</v>
      </c>
      <c r="BE13" s="59">
        <v>35385</v>
      </c>
      <c r="BF13" s="67">
        <f t="shared" si="40"/>
        <v>28</v>
      </c>
      <c r="BG13" s="60">
        <v>229.02</v>
      </c>
      <c r="BH13" s="65">
        <f t="shared" si="23"/>
        <v>10.000000000019327</v>
      </c>
      <c r="BI13" s="60">
        <v>288.04000000000002</v>
      </c>
      <c r="BJ13" s="65">
        <f t="shared" si="41"/>
        <v>20.000000000038654</v>
      </c>
      <c r="BK13" s="60">
        <v>233.06</v>
      </c>
      <c r="BL13" s="65">
        <f t="shared" si="24"/>
        <v>9.9999999999909051</v>
      </c>
      <c r="BM13" s="60">
        <v>218.46</v>
      </c>
      <c r="BN13" s="65">
        <f t="shared" si="25"/>
        <v>20.000000000010232</v>
      </c>
      <c r="BO13" s="60">
        <v>283.64999999999998</v>
      </c>
      <c r="BP13" s="65">
        <f t="shared" si="26"/>
        <v>9.9999999999909051</v>
      </c>
      <c r="BQ13" s="60">
        <v>41853</v>
      </c>
      <c r="BR13" s="65">
        <f t="shared" si="27"/>
        <v>4</v>
      </c>
      <c r="BS13" s="60">
        <v>196.85</v>
      </c>
      <c r="BT13" s="65">
        <f t="shared" si="42"/>
        <v>0</v>
      </c>
      <c r="BU13" s="60">
        <v>35395</v>
      </c>
      <c r="BV13" s="65">
        <f t="shared" si="28"/>
        <v>9</v>
      </c>
      <c r="BW13" s="60">
        <v>228.38</v>
      </c>
      <c r="BX13" s="65">
        <f t="shared" si="29"/>
        <v>9.9999999999909051</v>
      </c>
      <c r="BY13" s="60">
        <v>54081</v>
      </c>
      <c r="BZ13" s="67">
        <f t="shared" si="30"/>
        <v>9</v>
      </c>
      <c r="CA13" s="60">
        <v>28616.400000000001</v>
      </c>
      <c r="CB13" s="67">
        <f t="shared" si="31"/>
        <v>0</v>
      </c>
      <c r="CC13" s="60">
        <v>11255.6</v>
      </c>
      <c r="CD13" s="67">
        <f t="shared" si="32"/>
        <v>0</v>
      </c>
      <c r="CE13" s="60">
        <v>5623</v>
      </c>
      <c r="CF13" s="67">
        <f t="shared" si="33"/>
        <v>0</v>
      </c>
      <c r="CG13" s="60">
        <v>54916.4</v>
      </c>
      <c r="CH13" s="67">
        <f t="shared" si="34"/>
        <v>36.400000000001455</v>
      </c>
      <c r="CI13" s="60">
        <v>911093</v>
      </c>
      <c r="CJ13" s="67">
        <f t="shared" si="35"/>
        <v>186</v>
      </c>
      <c r="CK13" s="60">
        <v>677.67</v>
      </c>
      <c r="CL13" s="64">
        <f t="shared" si="36"/>
        <v>399.99999999997726</v>
      </c>
      <c r="CM13" s="65">
        <f t="shared" si="37"/>
        <v>17.400000000000091</v>
      </c>
      <c r="CN13" s="62">
        <v>0</v>
      </c>
      <c r="CO13" s="62">
        <v>0</v>
      </c>
      <c r="CP13" s="68">
        <v>3891.5</v>
      </c>
      <c r="CQ13" s="67">
        <f>IF((CP13-CP12&lt;0), "",CP13-CP12)</f>
        <v>13.400000000000091</v>
      </c>
      <c r="CR13" s="68">
        <v>11955</v>
      </c>
      <c r="CS13" s="67">
        <f t="shared" si="38"/>
        <v>4</v>
      </c>
      <c r="CT13" s="75">
        <v>4702</v>
      </c>
      <c r="CU13" s="67">
        <f t="shared" si="38"/>
        <v>10</v>
      </c>
      <c r="CV13" s="68">
        <v>12154</v>
      </c>
      <c r="CW13" s="67">
        <f t="shared" si="38"/>
        <v>22</v>
      </c>
    </row>
    <row r="14" spans="1:102" ht="25.5" customHeight="1" thickBot="1" x14ac:dyDescent="0.45">
      <c r="A14" s="63">
        <v>44238</v>
      </c>
      <c r="B14" s="44"/>
      <c r="C14" s="58">
        <v>2.0531999999999999</v>
      </c>
      <c r="D14" s="64">
        <f t="shared" si="0"/>
        <v>799.99999999991189</v>
      </c>
      <c r="E14" s="58">
        <v>2.9203000000000001</v>
      </c>
      <c r="F14" s="64">
        <f t="shared" si="1"/>
        <v>599.99999999993395</v>
      </c>
      <c r="G14" s="58">
        <v>2.9849000000000001</v>
      </c>
      <c r="H14" s="64">
        <f t="shared" si="2"/>
        <v>1500.0000000000568</v>
      </c>
      <c r="I14" s="58">
        <v>1.4601999999999999</v>
      </c>
      <c r="J14" s="64">
        <f t="shared" si="3"/>
        <v>699.99999999992292</v>
      </c>
      <c r="K14" s="58">
        <v>2.3586999999999998</v>
      </c>
      <c r="L14" s="64">
        <f t="shared" si="39"/>
        <v>1999.9999999997797</v>
      </c>
      <c r="M14" s="58">
        <v>1.3380000000000001</v>
      </c>
      <c r="N14" s="64">
        <f t="shared" si="4"/>
        <v>400.00000000017798</v>
      </c>
      <c r="O14" s="58">
        <v>12739</v>
      </c>
      <c r="P14" s="67">
        <f t="shared" si="43"/>
        <v>0</v>
      </c>
      <c r="Q14" s="58">
        <v>299</v>
      </c>
      <c r="R14" s="67">
        <f t="shared" si="6"/>
        <v>4</v>
      </c>
      <c r="S14" s="58">
        <v>898848.6</v>
      </c>
      <c r="T14" s="67">
        <f t="shared" si="7"/>
        <v>180.79999999993015</v>
      </c>
      <c r="U14" s="58">
        <v>372497.3</v>
      </c>
      <c r="V14" s="67">
        <f t="shared" si="8"/>
        <v>116.89999999996508</v>
      </c>
      <c r="W14" s="58">
        <v>361.84</v>
      </c>
      <c r="X14" s="65">
        <f t="shared" si="9"/>
        <v>99.999999999965894</v>
      </c>
      <c r="Y14" s="58">
        <v>2.5474999999999999</v>
      </c>
      <c r="Z14" s="65">
        <f t="shared" si="10"/>
        <v>499.99999999972289</v>
      </c>
      <c r="AA14" s="58">
        <v>355.98</v>
      </c>
      <c r="AB14" s="65">
        <f t="shared" si="11"/>
        <v>69.999999999993179</v>
      </c>
      <c r="AC14" s="58">
        <v>342.09</v>
      </c>
      <c r="AD14" s="65">
        <f t="shared" si="12"/>
        <v>109.9999999999568</v>
      </c>
      <c r="AE14" s="58">
        <v>529.62</v>
      </c>
      <c r="AF14" s="65">
        <f t="shared" si="13"/>
        <v>179.99999999994998</v>
      </c>
      <c r="AG14" s="58">
        <v>1571.2</v>
      </c>
      <c r="AH14" s="67">
        <f t="shared" si="14"/>
        <v>2.1000000000001364</v>
      </c>
      <c r="AI14" s="58">
        <v>530.02</v>
      </c>
      <c r="AJ14" s="65">
        <f t="shared" si="15"/>
        <v>210.00000000003638</v>
      </c>
      <c r="AK14" s="58">
        <v>181.63</v>
      </c>
      <c r="AL14" s="65">
        <f t="shared" si="15"/>
        <v>30.000000000001137</v>
      </c>
      <c r="AM14" s="58">
        <v>179.49</v>
      </c>
      <c r="AN14" s="65">
        <f t="shared" si="15"/>
        <v>20.000000000010232</v>
      </c>
      <c r="AO14" s="58">
        <v>171.15</v>
      </c>
      <c r="AP14" s="65">
        <f t="shared" si="15"/>
        <v>30.000000000001137</v>
      </c>
      <c r="AQ14" s="58">
        <v>229.39</v>
      </c>
      <c r="AR14" s="65">
        <f t="shared" si="16"/>
        <v>19.99999999998181</v>
      </c>
      <c r="AS14" s="58">
        <v>356.97</v>
      </c>
      <c r="AT14" s="65">
        <f t="shared" si="17"/>
        <v>40.000000000020464</v>
      </c>
      <c r="AU14" s="58">
        <v>275.75</v>
      </c>
      <c r="AV14" s="65">
        <f t="shared" si="18"/>
        <v>9.9999999999909051</v>
      </c>
      <c r="AW14" s="58">
        <v>311.91000000000003</v>
      </c>
      <c r="AX14" s="65">
        <f t="shared" si="19"/>
        <v>130.0000000000523</v>
      </c>
      <c r="AY14" s="58">
        <v>356.93</v>
      </c>
      <c r="AZ14" s="65">
        <f t="shared" si="20"/>
        <v>19.99999999998181</v>
      </c>
      <c r="BA14" s="58">
        <v>378.19</v>
      </c>
      <c r="BB14" s="65">
        <f t="shared" si="21"/>
        <v>19.99999999998181</v>
      </c>
      <c r="BC14" s="58">
        <v>236.77</v>
      </c>
      <c r="BD14" s="65">
        <f t="shared" si="22"/>
        <v>10.000000000019327</v>
      </c>
      <c r="BE14" s="59">
        <v>35415</v>
      </c>
      <c r="BF14" s="67">
        <f t="shared" si="40"/>
        <v>30</v>
      </c>
      <c r="BG14" s="60">
        <v>229.04</v>
      </c>
      <c r="BH14" s="65">
        <f t="shared" si="23"/>
        <v>19.99999999998181</v>
      </c>
      <c r="BI14" s="60">
        <v>288.07</v>
      </c>
      <c r="BJ14" s="65">
        <f t="shared" si="41"/>
        <v>29.999999999972715</v>
      </c>
      <c r="BK14" s="60">
        <v>233.06</v>
      </c>
      <c r="BL14" s="65">
        <f t="shared" si="24"/>
        <v>0</v>
      </c>
      <c r="BM14" s="60">
        <v>218.48</v>
      </c>
      <c r="BN14" s="65">
        <f t="shared" si="25"/>
        <v>19.99999999998181</v>
      </c>
      <c r="BO14" s="60">
        <v>283.66000000000003</v>
      </c>
      <c r="BP14" s="65">
        <f t="shared" si="26"/>
        <v>10.000000000047748</v>
      </c>
      <c r="BQ14" s="60">
        <v>41860</v>
      </c>
      <c r="BR14" s="65">
        <f t="shared" si="27"/>
        <v>7</v>
      </c>
      <c r="BS14" s="60">
        <v>196.86</v>
      </c>
      <c r="BT14" s="65">
        <f t="shared" si="42"/>
        <v>10.000000000019327</v>
      </c>
      <c r="BU14" s="60">
        <v>35405</v>
      </c>
      <c r="BV14" s="65">
        <f t="shared" si="28"/>
        <v>10</v>
      </c>
      <c r="BW14" s="60">
        <v>228.4</v>
      </c>
      <c r="BX14" s="65">
        <f t="shared" si="29"/>
        <v>20.000000000010232</v>
      </c>
      <c r="BY14" s="60">
        <v>54094</v>
      </c>
      <c r="BZ14" s="67">
        <f t="shared" si="30"/>
        <v>13</v>
      </c>
      <c r="CA14" s="60">
        <v>28616.400000000001</v>
      </c>
      <c r="CB14" s="67">
        <f t="shared" si="31"/>
        <v>0</v>
      </c>
      <c r="CC14" s="60">
        <v>11255.6</v>
      </c>
      <c r="CD14" s="67">
        <f t="shared" si="32"/>
        <v>0</v>
      </c>
      <c r="CE14" s="60">
        <v>5623</v>
      </c>
      <c r="CF14" s="67">
        <f t="shared" si="33"/>
        <v>0</v>
      </c>
      <c r="CG14" s="60">
        <v>54946</v>
      </c>
      <c r="CH14" s="67">
        <f t="shared" si="34"/>
        <v>29.599999999998545</v>
      </c>
      <c r="CI14" s="60">
        <v>911282</v>
      </c>
      <c r="CJ14" s="67">
        <f t="shared" si="35"/>
        <v>189</v>
      </c>
      <c r="CK14" s="60">
        <v>678.08</v>
      </c>
      <c r="CL14" s="64">
        <f t="shared" si="36"/>
        <v>410.00000000008185</v>
      </c>
      <c r="CM14" s="65">
        <f t="shared" si="37"/>
        <v>18</v>
      </c>
      <c r="CN14" s="62">
        <v>0</v>
      </c>
      <c r="CO14" s="62">
        <v>0</v>
      </c>
      <c r="CP14" s="68">
        <v>3904.5</v>
      </c>
      <c r="CQ14" s="67">
        <f t="shared" si="38"/>
        <v>13</v>
      </c>
      <c r="CR14" s="68">
        <v>11960</v>
      </c>
      <c r="CS14" s="67">
        <f t="shared" si="38"/>
        <v>5</v>
      </c>
      <c r="CT14" s="75">
        <v>4713</v>
      </c>
      <c r="CU14" s="67">
        <f t="shared" si="38"/>
        <v>11</v>
      </c>
      <c r="CV14" s="68">
        <v>12176</v>
      </c>
      <c r="CW14" s="67">
        <f t="shared" si="38"/>
        <v>22</v>
      </c>
    </row>
    <row r="15" spans="1:102" ht="25.5" customHeight="1" thickBot="1" x14ac:dyDescent="0.45">
      <c r="A15" s="63">
        <v>44239</v>
      </c>
      <c r="B15" s="44"/>
      <c r="C15" s="58">
        <v>2.0537999999999998</v>
      </c>
      <c r="D15" s="64">
        <f t="shared" si="0"/>
        <v>599.99999999993395</v>
      </c>
      <c r="E15" s="58">
        <v>2.9209999999999998</v>
      </c>
      <c r="F15" s="64">
        <f t="shared" si="1"/>
        <v>699.99999999970089</v>
      </c>
      <c r="G15" s="58">
        <v>2.9866000000000001</v>
      </c>
      <c r="H15" s="64">
        <f t="shared" si="2"/>
        <v>1700.0000000000348</v>
      </c>
      <c r="I15" s="58">
        <v>1.4609000000000001</v>
      </c>
      <c r="J15" s="64">
        <f t="shared" si="3"/>
        <v>700.00000000014495</v>
      </c>
      <c r="K15" s="58">
        <v>2.3605</v>
      </c>
      <c r="L15" s="64">
        <f t="shared" si="39"/>
        <v>1800.0000000002458</v>
      </c>
      <c r="M15" s="58">
        <v>1.3386</v>
      </c>
      <c r="N15" s="64">
        <f t="shared" si="4"/>
        <v>599.99999999993395</v>
      </c>
      <c r="O15" s="58">
        <v>12740</v>
      </c>
      <c r="P15" s="67">
        <f t="shared" si="43"/>
        <v>1</v>
      </c>
      <c r="Q15" s="58">
        <v>302</v>
      </c>
      <c r="R15" s="67">
        <f t="shared" si="6"/>
        <v>3</v>
      </c>
      <c r="S15" s="58">
        <v>899177.4</v>
      </c>
      <c r="T15" s="67">
        <f t="shared" si="7"/>
        <v>328.80000000004657</v>
      </c>
      <c r="U15" s="58">
        <v>372709.2</v>
      </c>
      <c r="V15" s="67">
        <f t="shared" si="8"/>
        <v>211.90000000002328</v>
      </c>
      <c r="W15" s="58">
        <v>361.93</v>
      </c>
      <c r="X15" s="65">
        <f t="shared" si="9"/>
        <v>90.000000000031832</v>
      </c>
      <c r="Y15" s="58">
        <v>2.5478999999999998</v>
      </c>
      <c r="Z15" s="65">
        <f t="shared" si="10"/>
        <v>399.99999999995595</v>
      </c>
      <c r="AA15" s="58">
        <v>356.06</v>
      </c>
      <c r="AB15" s="65">
        <f t="shared" si="11"/>
        <v>79.999999999984084</v>
      </c>
      <c r="AC15" s="58">
        <v>342.2</v>
      </c>
      <c r="AD15" s="65">
        <f t="shared" si="12"/>
        <v>110.00000000001364</v>
      </c>
      <c r="AE15" s="58">
        <v>529.84</v>
      </c>
      <c r="AF15" s="65">
        <f t="shared" si="13"/>
        <v>220.00000000002728</v>
      </c>
      <c r="AG15" s="58">
        <v>1572.9</v>
      </c>
      <c r="AH15" s="67">
        <f t="shared" si="14"/>
        <v>1.7000000000000455</v>
      </c>
      <c r="AI15" s="58">
        <v>530.25</v>
      </c>
      <c r="AJ15" s="65">
        <f t="shared" si="15"/>
        <v>230.00000000001819</v>
      </c>
      <c r="AK15" s="58">
        <v>181.66</v>
      </c>
      <c r="AL15" s="65">
        <f t="shared" si="15"/>
        <v>30.000000000001137</v>
      </c>
      <c r="AM15" s="58">
        <v>179.51</v>
      </c>
      <c r="AN15" s="65">
        <f t="shared" si="15"/>
        <v>19.99999999998181</v>
      </c>
      <c r="AO15" s="58">
        <v>171.16</v>
      </c>
      <c r="AP15" s="65">
        <f t="shared" si="15"/>
        <v>9.9999999999909051</v>
      </c>
      <c r="AQ15" s="58">
        <v>229.41</v>
      </c>
      <c r="AR15" s="65">
        <f t="shared" si="16"/>
        <v>20.000000000010232</v>
      </c>
      <c r="AS15" s="58">
        <v>357</v>
      </c>
      <c r="AT15" s="65">
        <f t="shared" si="17"/>
        <v>29.999999999972715</v>
      </c>
      <c r="AU15" s="58">
        <v>275.76</v>
      </c>
      <c r="AV15" s="65">
        <f t="shared" si="18"/>
        <v>9.9999999999909051</v>
      </c>
      <c r="AW15" s="58">
        <v>311.94</v>
      </c>
      <c r="AX15" s="65">
        <f t="shared" si="19"/>
        <v>29.999999999972715</v>
      </c>
      <c r="AY15" s="58">
        <v>356.94</v>
      </c>
      <c r="AZ15" s="65">
        <f t="shared" si="20"/>
        <v>9.9999999999909051</v>
      </c>
      <c r="BA15" s="58">
        <v>378.22</v>
      </c>
      <c r="BB15" s="65">
        <f t="shared" si="21"/>
        <v>30.000000000029559</v>
      </c>
      <c r="BC15" s="58">
        <v>236.78</v>
      </c>
      <c r="BD15" s="65">
        <f t="shared" si="22"/>
        <v>9.9999999999909051</v>
      </c>
      <c r="BE15" s="59">
        <v>35447</v>
      </c>
      <c r="BF15" s="67">
        <f t="shared" si="40"/>
        <v>32</v>
      </c>
      <c r="BG15" s="60">
        <v>229.05</v>
      </c>
      <c r="BH15" s="65">
        <f t="shared" si="23"/>
        <v>10.000000000019327</v>
      </c>
      <c r="BI15" s="60">
        <v>288.10000000000002</v>
      </c>
      <c r="BJ15" s="65">
        <f t="shared" si="41"/>
        <v>30.000000000029559</v>
      </c>
      <c r="BK15" s="60">
        <v>233.07</v>
      </c>
      <c r="BL15" s="65">
        <f t="shared" si="24"/>
        <v>9.9999999999909051</v>
      </c>
      <c r="BM15" s="60">
        <v>218.5</v>
      </c>
      <c r="BN15" s="65">
        <f t="shared" si="25"/>
        <v>20.000000000010232</v>
      </c>
      <c r="BO15" s="60">
        <v>283.68</v>
      </c>
      <c r="BP15" s="65">
        <f t="shared" si="26"/>
        <v>19.99999999998181</v>
      </c>
      <c r="BQ15" s="60">
        <v>41867</v>
      </c>
      <c r="BR15" s="65">
        <f t="shared" si="27"/>
        <v>7</v>
      </c>
      <c r="BS15" s="60">
        <v>196.87</v>
      </c>
      <c r="BT15" s="65">
        <f t="shared" si="42"/>
        <v>9.9999999999909051</v>
      </c>
      <c r="BU15" s="60">
        <v>35415</v>
      </c>
      <c r="BV15" s="65">
        <f t="shared" si="28"/>
        <v>10</v>
      </c>
      <c r="BW15" s="60">
        <v>228.41</v>
      </c>
      <c r="BX15" s="65">
        <f t="shared" si="29"/>
        <v>9.9999999999909051</v>
      </c>
      <c r="BY15" s="60">
        <v>54114</v>
      </c>
      <c r="BZ15" s="67">
        <f t="shared" si="30"/>
        <v>20</v>
      </c>
      <c r="CA15" s="60">
        <v>28616.400000000001</v>
      </c>
      <c r="CB15" s="67">
        <f t="shared" si="31"/>
        <v>0</v>
      </c>
      <c r="CC15" s="60">
        <v>11255.6</v>
      </c>
      <c r="CD15" s="67">
        <f t="shared" si="32"/>
        <v>0</v>
      </c>
      <c r="CE15" s="60">
        <v>5623</v>
      </c>
      <c r="CF15" s="67">
        <f t="shared" si="33"/>
        <v>0</v>
      </c>
      <c r="CG15" s="60">
        <v>54981</v>
      </c>
      <c r="CH15" s="67">
        <f t="shared" si="34"/>
        <v>35</v>
      </c>
      <c r="CI15" s="60">
        <v>911446</v>
      </c>
      <c r="CJ15" s="67">
        <f t="shared" si="35"/>
        <v>164</v>
      </c>
      <c r="CK15" s="60">
        <v>678.41</v>
      </c>
      <c r="CL15" s="64">
        <f t="shared" si="36"/>
        <v>329.99999999992724</v>
      </c>
      <c r="CM15" s="65">
        <f t="shared" si="37"/>
        <v>31.400000000000091</v>
      </c>
      <c r="CN15" s="62">
        <v>0</v>
      </c>
      <c r="CO15" s="62">
        <v>0</v>
      </c>
      <c r="CP15" s="68">
        <v>3924.9</v>
      </c>
      <c r="CQ15" s="67">
        <f t="shared" si="38"/>
        <v>20.400000000000091</v>
      </c>
      <c r="CR15" s="68">
        <v>11971</v>
      </c>
      <c r="CS15" s="67">
        <f t="shared" si="38"/>
        <v>11</v>
      </c>
      <c r="CT15" s="75">
        <v>4724</v>
      </c>
      <c r="CU15" s="67">
        <f t="shared" si="38"/>
        <v>11</v>
      </c>
      <c r="CV15" s="68">
        <v>12198</v>
      </c>
      <c r="CW15" s="67">
        <f t="shared" si="38"/>
        <v>22</v>
      </c>
    </row>
    <row r="16" spans="1:102" ht="25.5" customHeight="1" thickBot="1" x14ac:dyDescent="0.45">
      <c r="A16" s="63">
        <v>44240</v>
      </c>
      <c r="B16" s="44"/>
      <c r="C16" s="58">
        <v>2.0545</v>
      </c>
      <c r="D16" s="64">
        <f t="shared" si="0"/>
        <v>700.00000000014495</v>
      </c>
      <c r="E16" s="58">
        <v>2.9216000000000002</v>
      </c>
      <c r="F16" s="64">
        <f t="shared" si="1"/>
        <v>600.00000000037801</v>
      </c>
      <c r="G16" s="58">
        <v>2.9883999999999999</v>
      </c>
      <c r="H16" s="64">
        <f t="shared" si="2"/>
        <v>1799.9999999998017</v>
      </c>
      <c r="I16" s="58">
        <v>1.4617</v>
      </c>
      <c r="J16" s="64">
        <f t="shared" si="3"/>
        <v>799.99999999991189</v>
      </c>
      <c r="K16" s="58">
        <v>2.3626</v>
      </c>
      <c r="L16" s="64">
        <f t="shared" si="39"/>
        <v>2099.9999999999909</v>
      </c>
      <c r="M16" s="58">
        <v>1.3391</v>
      </c>
      <c r="N16" s="64">
        <f t="shared" si="4"/>
        <v>499.99999999994492</v>
      </c>
      <c r="O16" s="58">
        <v>12740</v>
      </c>
      <c r="P16" s="67">
        <f t="shared" si="43"/>
        <v>0</v>
      </c>
      <c r="Q16" s="58">
        <v>307</v>
      </c>
      <c r="R16" s="67">
        <f t="shared" si="6"/>
        <v>5</v>
      </c>
      <c r="S16" s="58">
        <v>899465.8</v>
      </c>
      <c r="T16" s="67">
        <f t="shared" si="7"/>
        <v>288.40000000002328</v>
      </c>
      <c r="U16" s="58">
        <v>372938.9</v>
      </c>
      <c r="V16" s="67">
        <f t="shared" si="8"/>
        <v>229.70000000001164</v>
      </c>
      <c r="W16" s="58">
        <v>362.03</v>
      </c>
      <c r="X16" s="65">
        <f t="shared" si="9"/>
        <v>99.999999999965894</v>
      </c>
      <c r="Y16" s="58">
        <v>2.5484</v>
      </c>
      <c r="Z16" s="65">
        <f t="shared" si="10"/>
        <v>500.00000000016701</v>
      </c>
      <c r="AA16" s="58">
        <v>356.16</v>
      </c>
      <c r="AB16" s="65">
        <f t="shared" si="11"/>
        <v>100.00000000002274</v>
      </c>
      <c r="AC16" s="58">
        <v>342.35</v>
      </c>
      <c r="AD16" s="65">
        <f t="shared" si="12"/>
        <v>150.00000000003411</v>
      </c>
      <c r="AE16" s="58">
        <v>530.03</v>
      </c>
      <c r="AF16" s="65">
        <f t="shared" si="13"/>
        <v>189.99999999994088</v>
      </c>
      <c r="AG16" s="58">
        <v>1574.5</v>
      </c>
      <c r="AH16" s="67">
        <f t="shared" si="14"/>
        <v>1.5999999999999091</v>
      </c>
      <c r="AI16" s="58">
        <v>530.5</v>
      </c>
      <c r="AJ16" s="65">
        <f t="shared" si="15"/>
        <v>250</v>
      </c>
      <c r="AK16" s="58">
        <v>181.69</v>
      </c>
      <c r="AL16" s="65">
        <f t="shared" si="15"/>
        <v>30.000000000001137</v>
      </c>
      <c r="AM16" s="58">
        <v>179.53</v>
      </c>
      <c r="AN16" s="65">
        <f t="shared" si="15"/>
        <v>20.000000000010232</v>
      </c>
      <c r="AO16" s="58">
        <v>171.18</v>
      </c>
      <c r="AP16" s="65">
        <f t="shared" si="15"/>
        <v>20.000000000010232</v>
      </c>
      <c r="AQ16" s="58">
        <v>229.42</v>
      </c>
      <c r="AR16" s="65">
        <f t="shared" si="16"/>
        <v>9.9999999999909051</v>
      </c>
      <c r="AS16" s="58">
        <v>357.02</v>
      </c>
      <c r="AT16" s="65">
        <f t="shared" si="17"/>
        <v>19.99999999998181</v>
      </c>
      <c r="AU16" s="58">
        <v>275.77999999999997</v>
      </c>
      <c r="AV16" s="65">
        <f t="shared" si="18"/>
        <v>19.99999999998181</v>
      </c>
      <c r="AW16" s="58">
        <v>311.98</v>
      </c>
      <c r="AX16" s="65">
        <f t="shared" si="19"/>
        <v>40.000000000020464</v>
      </c>
      <c r="AY16" s="58">
        <v>356.96</v>
      </c>
      <c r="AZ16" s="65">
        <f t="shared" si="20"/>
        <v>19.99999999998181</v>
      </c>
      <c r="BA16" s="58">
        <v>378.24</v>
      </c>
      <c r="BB16" s="65">
        <f t="shared" si="21"/>
        <v>19.99999999998181</v>
      </c>
      <c r="BC16" s="58">
        <v>236.79</v>
      </c>
      <c r="BD16" s="65">
        <f t="shared" si="22"/>
        <v>9.9999999999909051</v>
      </c>
      <c r="BE16" s="59">
        <v>35463</v>
      </c>
      <c r="BF16" s="67">
        <f t="shared" si="40"/>
        <v>16</v>
      </c>
      <c r="BG16" s="60">
        <v>229.07</v>
      </c>
      <c r="BH16" s="65">
        <f t="shared" si="23"/>
        <v>19.99999999998181</v>
      </c>
      <c r="BI16" s="60">
        <v>288.14</v>
      </c>
      <c r="BJ16" s="65">
        <f t="shared" si="41"/>
        <v>39.99999999996362</v>
      </c>
      <c r="BK16" s="60">
        <v>233.07</v>
      </c>
      <c r="BL16" s="65">
        <f t="shared" si="24"/>
        <v>0</v>
      </c>
      <c r="BM16" s="60">
        <v>218.53</v>
      </c>
      <c r="BN16" s="65">
        <f t="shared" si="25"/>
        <v>30.000000000001137</v>
      </c>
      <c r="BO16" s="60">
        <v>283.69</v>
      </c>
      <c r="BP16" s="65">
        <f t="shared" si="26"/>
        <v>9.9999999999909051</v>
      </c>
      <c r="BQ16" s="60">
        <v>41875</v>
      </c>
      <c r="BR16" s="65">
        <f t="shared" si="27"/>
        <v>8</v>
      </c>
      <c r="BS16" s="60">
        <v>196.88</v>
      </c>
      <c r="BT16" s="65">
        <f t="shared" si="42"/>
        <v>9.9999999999909051</v>
      </c>
      <c r="BU16" s="60">
        <v>35428</v>
      </c>
      <c r="BV16" s="65">
        <f t="shared" si="28"/>
        <v>13</v>
      </c>
      <c r="BW16" s="60">
        <v>228.43</v>
      </c>
      <c r="BX16" s="65">
        <f t="shared" si="29"/>
        <v>20.000000000010232</v>
      </c>
      <c r="BY16" s="60">
        <v>54130</v>
      </c>
      <c r="BZ16" s="67">
        <f t="shared" si="30"/>
        <v>16</v>
      </c>
      <c r="CA16" s="60">
        <v>28616.400000000001</v>
      </c>
      <c r="CB16" s="67">
        <f>IF((CA16-CA15&lt;0), "",CA16-CA15)</f>
        <v>0</v>
      </c>
      <c r="CC16" s="60">
        <v>11255.6</v>
      </c>
      <c r="CD16" s="67">
        <f t="shared" si="32"/>
        <v>0</v>
      </c>
      <c r="CE16" s="60">
        <v>5623</v>
      </c>
      <c r="CF16" s="67">
        <f t="shared" si="33"/>
        <v>0</v>
      </c>
      <c r="CG16" s="60">
        <v>55008.9</v>
      </c>
      <c r="CH16" s="67">
        <f t="shared" si="34"/>
        <v>27.900000000001455</v>
      </c>
      <c r="CI16" s="60">
        <v>911616</v>
      </c>
      <c r="CJ16" s="67">
        <f t="shared" si="35"/>
        <v>170</v>
      </c>
      <c r="CK16" s="60">
        <v>678.73</v>
      </c>
      <c r="CL16" s="64">
        <f t="shared" si="36"/>
        <v>320.00000000005002</v>
      </c>
      <c r="CM16" s="65">
        <f t="shared" si="37"/>
        <v>23.699999999999818</v>
      </c>
      <c r="CN16" s="62">
        <v>0</v>
      </c>
      <c r="CO16" s="62">
        <v>0</v>
      </c>
      <c r="CP16" s="68">
        <v>3940.6</v>
      </c>
      <c r="CQ16" s="67">
        <f t="shared" si="38"/>
        <v>15.699999999999818</v>
      </c>
      <c r="CR16" s="68">
        <v>11979</v>
      </c>
      <c r="CS16" s="67">
        <f t="shared" si="38"/>
        <v>8</v>
      </c>
      <c r="CT16" s="75">
        <v>4736</v>
      </c>
      <c r="CU16" s="67">
        <f t="shared" si="38"/>
        <v>12</v>
      </c>
      <c r="CV16" s="68">
        <v>12226</v>
      </c>
      <c r="CW16" s="67">
        <f t="shared" si="38"/>
        <v>28</v>
      </c>
    </row>
    <row r="17" spans="1:101" ht="25.5" customHeight="1" thickBot="1" x14ac:dyDescent="0.45">
      <c r="A17" s="63">
        <v>44241</v>
      </c>
      <c r="B17" s="44"/>
      <c r="C17" s="58">
        <v>2.0550999999999999</v>
      </c>
      <c r="D17" s="64">
        <f t="shared" si="0"/>
        <v>599.99999999993395</v>
      </c>
      <c r="E17" s="58">
        <v>2.9222999999999999</v>
      </c>
      <c r="F17" s="64">
        <f t="shared" si="1"/>
        <v>699.99999999970089</v>
      </c>
      <c r="G17" s="58">
        <v>2.9899</v>
      </c>
      <c r="H17" s="64">
        <f t="shared" si="2"/>
        <v>1500.0000000000568</v>
      </c>
      <c r="I17" s="58">
        <v>1.4625999999999999</v>
      </c>
      <c r="J17" s="64">
        <f t="shared" si="3"/>
        <v>899.99999999990087</v>
      </c>
      <c r="K17" s="58">
        <v>2.3647</v>
      </c>
      <c r="L17" s="64">
        <f t="shared" si="39"/>
        <v>2099.9999999999909</v>
      </c>
      <c r="M17" s="58">
        <v>1.3396999999999999</v>
      </c>
      <c r="N17" s="64">
        <f t="shared" si="4"/>
        <v>599.99999999993395</v>
      </c>
      <c r="O17" s="58">
        <v>12740</v>
      </c>
      <c r="P17" s="67">
        <f t="shared" si="43"/>
        <v>0</v>
      </c>
      <c r="Q17" s="58">
        <v>313</v>
      </c>
      <c r="R17" s="67">
        <f t="shared" si="6"/>
        <v>6</v>
      </c>
      <c r="S17" s="58">
        <v>899557.2</v>
      </c>
      <c r="T17" s="67">
        <f t="shared" si="7"/>
        <v>91.399999999906868</v>
      </c>
      <c r="U17" s="58">
        <v>373007.6</v>
      </c>
      <c r="V17" s="67">
        <f t="shared" si="8"/>
        <v>68.699999999953434</v>
      </c>
      <c r="W17" s="58">
        <v>362.13</v>
      </c>
      <c r="X17" s="65">
        <f t="shared" si="9"/>
        <v>100.00000000002274</v>
      </c>
      <c r="Y17" s="58">
        <v>2.5489000000000002</v>
      </c>
      <c r="Z17" s="65">
        <f t="shared" si="10"/>
        <v>500.00000000016701</v>
      </c>
      <c r="AA17" s="58">
        <v>356.29</v>
      </c>
      <c r="AB17" s="65">
        <f t="shared" si="11"/>
        <v>129.99999999999545</v>
      </c>
      <c r="AC17" s="58">
        <v>342.51</v>
      </c>
      <c r="AD17" s="65">
        <f t="shared" si="12"/>
        <v>159.99999999996817</v>
      </c>
      <c r="AE17" s="58">
        <v>530.22</v>
      </c>
      <c r="AF17" s="65">
        <f t="shared" si="13"/>
        <v>190.00000000005457</v>
      </c>
      <c r="AG17" s="58">
        <v>1576.1</v>
      </c>
      <c r="AH17" s="67">
        <f t="shared" si="14"/>
        <v>1.5999999999999091</v>
      </c>
      <c r="AI17" s="58">
        <v>530.77</v>
      </c>
      <c r="AJ17" s="65">
        <f t="shared" si="15"/>
        <v>269.99999999998181</v>
      </c>
      <c r="AK17" s="58">
        <v>181.71</v>
      </c>
      <c r="AL17" s="65">
        <f t="shared" si="15"/>
        <v>20.000000000010232</v>
      </c>
      <c r="AM17" s="58">
        <v>179.54</v>
      </c>
      <c r="AN17" s="65">
        <f t="shared" si="15"/>
        <v>9.9999999999909051</v>
      </c>
      <c r="AO17" s="58">
        <v>171.19</v>
      </c>
      <c r="AP17" s="65">
        <f t="shared" si="15"/>
        <v>9.9999999999909051</v>
      </c>
      <c r="AQ17" s="58">
        <v>229.43</v>
      </c>
      <c r="AR17" s="65">
        <f t="shared" si="16"/>
        <v>10.000000000019327</v>
      </c>
      <c r="AS17" s="58">
        <v>357.04</v>
      </c>
      <c r="AT17" s="65">
        <f t="shared" si="17"/>
        <v>20.000000000038654</v>
      </c>
      <c r="AU17" s="58">
        <v>275.79000000000002</v>
      </c>
      <c r="AV17" s="65">
        <f t="shared" si="18"/>
        <v>10.000000000047748</v>
      </c>
      <c r="AW17" s="58">
        <v>311.98</v>
      </c>
      <c r="AX17" s="65">
        <f t="shared" si="19"/>
        <v>0</v>
      </c>
      <c r="AY17" s="58">
        <v>356.98</v>
      </c>
      <c r="AZ17" s="65">
        <f t="shared" si="20"/>
        <v>20.000000000038654</v>
      </c>
      <c r="BA17" s="58">
        <v>378.26</v>
      </c>
      <c r="BB17" s="65">
        <f t="shared" si="21"/>
        <v>19.99999999998181</v>
      </c>
      <c r="BC17" s="58">
        <v>236.8</v>
      </c>
      <c r="BD17" s="65">
        <f t="shared" si="22"/>
        <v>10.000000000019327</v>
      </c>
      <c r="BE17" s="59"/>
      <c r="BF17" s="67" t="str">
        <f t="shared" si="40"/>
        <v/>
      </c>
      <c r="BG17" s="60">
        <v>229.1</v>
      </c>
      <c r="BH17" s="65">
        <f t="shared" si="23"/>
        <v>30.000000000001137</v>
      </c>
      <c r="BI17" s="60">
        <v>288.18</v>
      </c>
      <c r="BJ17" s="65">
        <f t="shared" si="41"/>
        <v>40.000000000020464</v>
      </c>
      <c r="BK17" s="60">
        <v>233.08</v>
      </c>
      <c r="BL17" s="65">
        <f t="shared" si="24"/>
        <v>10.000000000019327</v>
      </c>
      <c r="BM17" s="60">
        <v>218.55</v>
      </c>
      <c r="BN17" s="65">
        <f t="shared" si="25"/>
        <v>20.000000000010232</v>
      </c>
      <c r="BO17" s="60">
        <v>283.70999999999998</v>
      </c>
      <c r="BP17" s="65">
        <f t="shared" si="26"/>
        <v>19.99999999998181</v>
      </c>
      <c r="BQ17" s="60">
        <v>41885</v>
      </c>
      <c r="BR17" s="65">
        <f t="shared" si="27"/>
        <v>10</v>
      </c>
      <c r="BS17" s="60">
        <v>196.89</v>
      </c>
      <c r="BT17" s="65">
        <f t="shared" si="42"/>
        <v>9.9999999999909051</v>
      </c>
      <c r="BU17" s="60">
        <v>35450</v>
      </c>
      <c r="BV17" s="65">
        <f t="shared" si="28"/>
        <v>22</v>
      </c>
      <c r="BW17" s="60">
        <v>228.45</v>
      </c>
      <c r="BX17" s="65">
        <f t="shared" si="29"/>
        <v>19.99999999998181</v>
      </c>
      <c r="BY17" s="60">
        <v>54152</v>
      </c>
      <c r="BZ17" s="67">
        <f t="shared" si="30"/>
        <v>22</v>
      </c>
      <c r="CA17" s="60">
        <v>28616.400000000001</v>
      </c>
      <c r="CB17" s="67">
        <f>IF((CA17-CA16&lt;0), "",CA17-CA16)</f>
        <v>0</v>
      </c>
      <c r="CC17" s="60">
        <v>11255.6</v>
      </c>
      <c r="CD17" s="67">
        <f t="shared" si="32"/>
        <v>0</v>
      </c>
      <c r="CE17" s="60">
        <v>5623</v>
      </c>
      <c r="CF17" s="67">
        <f t="shared" si="33"/>
        <v>0</v>
      </c>
      <c r="CG17" s="60">
        <v>55037.7</v>
      </c>
      <c r="CH17" s="67">
        <f t="shared" si="34"/>
        <v>28.799999999995634</v>
      </c>
      <c r="CI17" s="60">
        <v>911790</v>
      </c>
      <c r="CJ17" s="67">
        <f t="shared" si="35"/>
        <v>174</v>
      </c>
      <c r="CK17" s="60">
        <v>679.32</v>
      </c>
      <c r="CL17" s="64">
        <f t="shared" si="36"/>
        <v>590.00000000003183</v>
      </c>
      <c r="CM17" s="65">
        <f t="shared" si="37"/>
        <v>13.200000000000273</v>
      </c>
      <c r="CN17" s="62">
        <v>0</v>
      </c>
      <c r="CO17" s="62">
        <v>0</v>
      </c>
      <c r="CP17" s="68">
        <v>3948.8</v>
      </c>
      <c r="CQ17" s="67">
        <f t="shared" si="38"/>
        <v>8.2000000000002728</v>
      </c>
      <c r="CR17" s="68">
        <v>11984</v>
      </c>
      <c r="CS17" s="67">
        <f t="shared" si="38"/>
        <v>5</v>
      </c>
      <c r="CT17" s="75">
        <v>4750</v>
      </c>
      <c r="CU17" s="67">
        <f t="shared" si="38"/>
        <v>14</v>
      </c>
      <c r="CV17" s="68">
        <v>12248</v>
      </c>
      <c r="CW17" s="67">
        <f t="shared" si="38"/>
        <v>22</v>
      </c>
    </row>
    <row r="18" spans="1:101" ht="25.5" customHeight="1" thickBot="1" x14ac:dyDescent="0.45">
      <c r="A18" s="63">
        <v>44242</v>
      </c>
      <c r="B18" s="44"/>
      <c r="C18" s="58">
        <v>2.0558000000000001</v>
      </c>
      <c r="D18" s="64">
        <f t="shared" si="0"/>
        <v>700.00000000014495</v>
      </c>
      <c r="E18" s="58">
        <v>2.9230999999999998</v>
      </c>
      <c r="F18" s="64">
        <f t="shared" si="1"/>
        <v>799.99999999991189</v>
      </c>
      <c r="G18" s="58">
        <v>2.9918</v>
      </c>
      <c r="H18" s="64">
        <f t="shared" si="2"/>
        <v>1900.0000000000127</v>
      </c>
      <c r="I18" s="58">
        <v>1.4635</v>
      </c>
      <c r="J18" s="64">
        <f t="shared" si="3"/>
        <v>900.0000000001229</v>
      </c>
      <c r="K18" s="58">
        <v>2.3668</v>
      </c>
      <c r="L18" s="64">
        <f t="shared" si="39"/>
        <v>2099.9999999999909</v>
      </c>
      <c r="M18" s="58">
        <v>1.3403</v>
      </c>
      <c r="N18" s="64">
        <f t="shared" si="4"/>
        <v>600.00000000015598</v>
      </c>
      <c r="O18" s="58">
        <v>12740</v>
      </c>
      <c r="P18" s="67">
        <f t="shared" si="43"/>
        <v>0</v>
      </c>
      <c r="Q18" s="58">
        <v>319</v>
      </c>
      <c r="R18" s="67">
        <f t="shared" si="6"/>
        <v>6</v>
      </c>
      <c r="S18" s="58">
        <v>899884.4</v>
      </c>
      <c r="T18" s="67">
        <f t="shared" si="7"/>
        <v>327.20000000006985</v>
      </c>
      <c r="U18" s="58">
        <v>373240.7</v>
      </c>
      <c r="V18" s="67">
        <f t="shared" si="8"/>
        <v>233.10000000003492</v>
      </c>
      <c r="W18" s="58">
        <v>362.25</v>
      </c>
      <c r="X18" s="65">
        <f t="shared" si="9"/>
        <v>120.00000000000455</v>
      </c>
      <c r="Y18" s="58">
        <v>2.5493999999999999</v>
      </c>
      <c r="Z18" s="65">
        <f t="shared" si="10"/>
        <v>499.99999999972289</v>
      </c>
      <c r="AA18" s="58">
        <v>356.39</v>
      </c>
      <c r="AB18" s="65">
        <f t="shared" si="11"/>
        <v>99.999999999965894</v>
      </c>
      <c r="AC18" s="58">
        <v>342.67</v>
      </c>
      <c r="AD18" s="65">
        <f t="shared" si="12"/>
        <v>160.00000000002501</v>
      </c>
      <c r="AE18" s="58">
        <v>530.46</v>
      </c>
      <c r="AF18" s="65">
        <f t="shared" si="13"/>
        <v>240.00000000000909</v>
      </c>
      <c r="AG18" s="58">
        <v>1577.7</v>
      </c>
      <c r="AH18" s="67">
        <f t="shared" si="14"/>
        <v>1.6000000000001364</v>
      </c>
      <c r="AI18" s="58">
        <v>531.02</v>
      </c>
      <c r="AJ18" s="65">
        <f t="shared" si="15"/>
        <v>250</v>
      </c>
      <c r="AK18" s="58">
        <v>181.75</v>
      </c>
      <c r="AL18" s="65">
        <f t="shared" si="15"/>
        <v>39.999999999992042</v>
      </c>
      <c r="AM18" s="58">
        <v>179.56</v>
      </c>
      <c r="AN18" s="65">
        <f t="shared" si="15"/>
        <v>20.000000000010232</v>
      </c>
      <c r="AO18" s="58">
        <v>171.22</v>
      </c>
      <c r="AP18" s="65">
        <f t="shared" si="15"/>
        <v>30.000000000001137</v>
      </c>
      <c r="AQ18" s="58">
        <v>229.45</v>
      </c>
      <c r="AR18" s="65">
        <f t="shared" si="16"/>
        <v>19.99999999998181</v>
      </c>
      <c r="AS18" s="58">
        <v>357.06</v>
      </c>
      <c r="AT18" s="65">
        <f t="shared" si="17"/>
        <v>19.99999999998181</v>
      </c>
      <c r="AU18" s="58">
        <v>275.81</v>
      </c>
      <c r="AV18" s="65">
        <f t="shared" si="18"/>
        <v>19.99999999998181</v>
      </c>
      <c r="AW18" s="58">
        <v>311.99</v>
      </c>
      <c r="AX18" s="65">
        <f t="shared" si="19"/>
        <v>9.9999999999909051</v>
      </c>
      <c r="AY18" s="58">
        <v>357</v>
      </c>
      <c r="AZ18" s="65">
        <f t="shared" si="20"/>
        <v>19.99999999998181</v>
      </c>
      <c r="BA18" s="58">
        <v>378.28</v>
      </c>
      <c r="BB18" s="65">
        <f t="shared" si="21"/>
        <v>19.99999999998181</v>
      </c>
      <c r="BC18" s="58">
        <v>236.81</v>
      </c>
      <c r="BD18" s="65">
        <f t="shared" si="22"/>
        <v>9.9999999999909051</v>
      </c>
      <c r="BE18" s="59"/>
      <c r="BF18" s="67">
        <f t="shared" si="40"/>
        <v>0</v>
      </c>
      <c r="BG18" s="60">
        <v>229.12</v>
      </c>
      <c r="BH18" s="65">
        <f t="shared" si="23"/>
        <v>20.000000000010232</v>
      </c>
      <c r="BI18" s="60">
        <v>288.22000000000003</v>
      </c>
      <c r="BJ18" s="65">
        <f t="shared" si="41"/>
        <v>40.000000000020464</v>
      </c>
      <c r="BK18" s="60">
        <v>233.09</v>
      </c>
      <c r="BL18" s="65">
        <f t="shared" si="24"/>
        <v>9.9999999999909051</v>
      </c>
      <c r="BM18" s="60">
        <v>218.58</v>
      </c>
      <c r="BN18" s="65">
        <f t="shared" si="25"/>
        <v>30.000000000001137</v>
      </c>
      <c r="BO18" s="60">
        <v>283.73</v>
      </c>
      <c r="BP18" s="65">
        <f t="shared" si="26"/>
        <v>20.000000000038654</v>
      </c>
      <c r="BQ18" s="60">
        <v>41894</v>
      </c>
      <c r="BR18" s="65">
        <f t="shared" si="27"/>
        <v>9</v>
      </c>
      <c r="BS18" s="60">
        <v>196.9</v>
      </c>
      <c r="BT18" s="65">
        <f t="shared" si="42"/>
        <v>10.000000000019327</v>
      </c>
      <c r="BU18" s="60">
        <v>35464</v>
      </c>
      <c r="BV18" s="65">
        <f t="shared" si="28"/>
        <v>14</v>
      </c>
      <c r="BW18" s="60">
        <v>228.47</v>
      </c>
      <c r="BX18" s="65">
        <f t="shared" si="29"/>
        <v>20.000000000010232</v>
      </c>
      <c r="BY18" s="60">
        <v>54185</v>
      </c>
      <c r="BZ18" s="67">
        <f t="shared" si="30"/>
        <v>33</v>
      </c>
      <c r="CA18" s="60">
        <v>28616.400000000001</v>
      </c>
      <c r="CB18" s="67">
        <f>IF((CA18-CA17&lt;0), "",CA18-CA17)</f>
        <v>0</v>
      </c>
      <c r="CC18" s="60">
        <v>11255.6</v>
      </c>
      <c r="CD18" s="67">
        <f t="shared" si="32"/>
        <v>0</v>
      </c>
      <c r="CE18" s="60">
        <v>5623</v>
      </c>
      <c r="CF18" s="67">
        <f t="shared" si="33"/>
        <v>0</v>
      </c>
      <c r="CG18" s="60">
        <v>55070.1</v>
      </c>
      <c r="CH18" s="67">
        <f t="shared" si="34"/>
        <v>32.400000000001455</v>
      </c>
      <c r="CI18" s="60">
        <v>911962</v>
      </c>
      <c r="CJ18" s="67">
        <f t="shared" si="35"/>
        <v>172</v>
      </c>
      <c r="CK18" s="60">
        <v>679.51</v>
      </c>
      <c r="CL18" s="64">
        <f t="shared" si="36"/>
        <v>189.99999999994088</v>
      </c>
      <c r="CM18" s="65">
        <f t="shared" si="37"/>
        <v>24.099999999999909</v>
      </c>
      <c r="CN18" s="62">
        <v>0</v>
      </c>
      <c r="CO18" s="62">
        <v>0</v>
      </c>
      <c r="CP18" s="68">
        <v>3963.9</v>
      </c>
      <c r="CQ18" s="67">
        <f t="shared" si="38"/>
        <v>15.099999999999909</v>
      </c>
      <c r="CR18" s="68">
        <v>11993</v>
      </c>
      <c r="CS18" s="67">
        <f t="shared" si="38"/>
        <v>9</v>
      </c>
      <c r="CT18" s="75">
        <v>4760</v>
      </c>
      <c r="CU18" s="67">
        <f t="shared" si="38"/>
        <v>10</v>
      </c>
      <c r="CV18" s="68">
        <v>12267</v>
      </c>
      <c r="CW18" s="67">
        <f t="shared" si="38"/>
        <v>19</v>
      </c>
    </row>
    <row r="19" spans="1:101" ht="25.5" customHeight="1" thickBot="1" x14ac:dyDescent="0.45">
      <c r="A19" s="63">
        <v>44243</v>
      </c>
      <c r="B19" s="44"/>
      <c r="C19" s="58"/>
      <c r="D19" s="64" t="str">
        <f t="shared" si="0"/>
        <v>0</v>
      </c>
      <c r="E19" s="58"/>
      <c r="F19" s="64" t="str">
        <f t="shared" si="1"/>
        <v>0</v>
      </c>
      <c r="G19" s="58"/>
      <c r="H19" s="64" t="str">
        <f t="shared" si="2"/>
        <v>0</v>
      </c>
      <c r="I19" s="58"/>
      <c r="J19" s="64" t="str">
        <f t="shared" si="3"/>
        <v>0</v>
      </c>
      <c r="K19" s="58"/>
      <c r="L19" s="64" t="str">
        <f t="shared" si="39"/>
        <v>0</v>
      </c>
      <c r="M19" s="58"/>
      <c r="N19" s="64" t="str">
        <f t="shared" si="4"/>
        <v/>
      </c>
      <c r="O19" s="58"/>
      <c r="P19" s="67" t="str">
        <f t="shared" si="43"/>
        <v/>
      </c>
      <c r="Q19" s="58"/>
      <c r="R19" s="67" t="str">
        <f t="shared" si="6"/>
        <v/>
      </c>
      <c r="S19" s="58"/>
      <c r="T19" s="67" t="str">
        <f t="shared" si="7"/>
        <v/>
      </c>
      <c r="U19" s="58"/>
      <c r="V19" s="67" t="str">
        <f t="shared" si="8"/>
        <v/>
      </c>
      <c r="W19" s="58"/>
      <c r="X19" s="65" t="str">
        <f t="shared" si="9"/>
        <v/>
      </c>
      <c r="Y19" s="58"/>
      <c r="Z19" s="65" t="str">
        <f t="shared" si="10"/>
        <v/>
      </c>
      <c r="AA19" s="58"/>
      <c r="AB19" s="65" t="str">
        <f t="shared" si="11"/>
        <v/>
      </c>
      <c r="AC19" s="58"/>
      <c r="AD19" s="65" t="str">
        <f t="shared" si="12"/>
        <v/>
      </c>
      <c r="AE19" s="58"/>
      <c r="AF19" s="65" t="str">
        <f t="shared" si="13"/>
        <v/>
      </c>
      <c r="AG19" s="58"/>
      <c r="AH19" s="67" t="str">
        <f t="shared" si="14"/>
        <v/>
      </c>
      <c r="AI19" s="58"/>
      <c r="AJ19" s="65" t="str">
        <f t="shared" si="15"/>
        <v/>
      </c>
      <c r="AK19" s="58"/>
      <c r="AL19" s="65" t="str">
        <f t="shared" si="15"/>
        <v/>
      </c>
      <c r="AM19" s="58"/>
      <c r="AN19" s="65" t="str">
        <f t="shared" si="15"/>
        <v/>
      </c>
      <c r="AO19" s="58"/>
      <c r="AP19" s="65" t="str">
        <f t="shared" si="15"/>
        <v/>
      </c>
      <c r="AQ19" s="58"/>
      <c r="AR19" s="65" t="str">
        <f t="shared" si="16"/>
        <v/>
      </c>
      <c r="AS19" s="58"/>
      <c r="AT19" s="65" t="str">
        <f t="shared" si="17"/>
        <v/>
      </c>
      <c r="AU19" s="58"/>
      <c r="AV19" s="65" t="str">
        <f t="shared" si="18"/>
        <v/>
      </c>
      <c r="AW19" s="58"/>
      <c r="AX19" s="65" t="str">
        <f t="shared" si="19"/>
        <v/>
      </c>
      <c r="AY19" s="58"/>
      <c r="AZ19" s="65" t="str">
        <f t="shared" si="20"/>
        <v/>
      </c>
      <c r="BA19" s="58"/>
      <c r="BB19" s="65" t="str">
        <f t="shared" si="21"/>
        <v/>
      </c>
      <c r="BC19" s="58"/>
      <c r="BD19" s="65" t="str">
        <f t="shared" si="22"/>
        <v/>
      </c>
      <c r="BE19" s="59"/>
      <c r="BF19" s="67">
        <f t="shared" si="40"/>
        <v>0</v>
      </c>
      <c r="BG19" s="60"/>
      <c r="BH19" s="65" t="str">
        <f t="shared" si="23"/>
        <v/>
      </c>
      <c r="BI19" s="60"/>
      <c r="BJ19" s="65" t="str">
        <f t="shared" si="41"/>
        <v/>
      </c>
      <c r="BK19" s="60"/>
      <c r="BL19" s="65" t="str">
        <f t="shared" si="24"/>
        <v/>
      </c>
      <c r="BM19" s="60"/>
      <c r="BN19" s="65" t="str">
        <f t="shared" si="25"/>
        <v/>
      </c>
      <c r="BO19" s="60"/>
      <c r="BP19" s="65" t="str">
        <f t="shared" si="26"/>
        <v/>
      </c>
      <c r="BQ19" s="60"/>
      <c r="BR19" s="65" t="str">
        <f t="shared" si="27"/>
        <v/>
      </c>
      <c r="BS19" s="60"/>
      <c r="BT19" s="65" t="str">
        <f t="shared" si="42"/>
        <v/>
      </c>
      <c r="BU19" s="60"/>
      <c r="BV19" s="65" t="str">
        <f t="shared" si="28"/>
        <v/>
      </c>
      <c r="BW19" s="60"/>
      <c r="BX19" s="65" t="str">
        <f t="shared" si="29"/>
        <v/>
      </c>
      <c r="BY19" s="60"/>
      <c r="BZ19" s="67" t="str">
        <f t="shared" si="30"/>
        <v/>
      </c>
      <c r="CA19" s="60"/>
      <c r="CB19" s="67" t="str">
        <f t="shared" si="31"/>
        <v/>
      </c>
      <c r="CC19" s="60"/>
      <c r="CD19" s="67" t="str">
        <f t="shared" si="32"/>
        <v/>
      </c>
      <c r="CE19" s="60"/>
      <c r="CF19" s="67" t="str">
        <f t="shared" si="33"/>
        <v/>
      </c>
      <c r="CG19" s="60"/>
      <c r="CH19" s="67" t="str">
        <f t="shared" si="34"/>
        <v/>
      </c>
      <c r="CI19" s="60"/>
      <c r="CJ19" s="67" t="str">
        <f t="shared" si="35"/>
        <v/>
      </c>
      <c r="CK19" s="60"/>
      <c r="CL19" s="64" t="str">
        <f t="shared" si="36"/>
        <v/>
      </c>
      <c r="CM19" s="65" t="e">
        <f t="shared" si="37"/>
        <v>#VALUE!</v>
      </c>
      <c r="CN19" s="62">
        <v>0</v>
      </c>
      <c r="CO19" s="62">
        <v>0</v>
      </c>
      <c r="CP19" s="68"/>
      <c r="CQ19" s="67" t="str">
        <f t="shared" si="38"/>
        <v/>
      </c>
      <c r="CR19" s="68"/>
      <c r="CS19" s="67" t="str">
        <f t="shared" si="38"/>
        <v/>
      </c>
      <c r="CT19" s="75"/>
      <c r="CU19" s="67" t="str">
        <f t="shared" si="38"/>
        <v/>
      </c>
      <c r="CV19" s="68"/>
      <c r="CW19" s="67" t="str">
        <f t="shared" si="38"/>
        <v/>
      </c>
    </row>
    <row r="20" spans="1:101" ht="25.5" customHeight="1" thickBot="1" x14ac:dyDescent="0.45">
      <c r="A20" s="63">
        <v>44244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39"/>
        <v>0</v>
      </c>
      <c r="M20" s="58"/>
      <c r="N20" s="64">
        <f t="shared" si="4"/>
        <v>0</v>
      </c>
      <c r="O20" s="58"/>
      <c r="P20" s="67">
        <f t="shared" si="43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40"/>
        <v>0</v>
      </c>
      <c r="BG20" s="60"/>
      <c r="BH20" s="65">
        <f t="shared" si="23"/>
        <v>0</v>
      </c>
      <c r="BI20" s="60"/>
      <c r="BJ20" s="65">
        <f t="shared" si="41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2"/>
        <v>0</v>
      </c>
      <c r="BU20" s="60"/>
      <c r="BV20" s="65">
        <f t="shared" si="28"/>
        <v>0</v>
      </c>
      <c r="BW20" s="60"/>
      <c r="BX20" s="65">
        <f t="shared" si="29"/>
        <v>0</v>
      </c>
      <c r="BY20" s="60"/>
      <c r="BZ20" s="67">
        <f t="shared" si="30"/>
        <v>0</v>
      </c>
      <c r="CA20" s="60"/>
      <c r="CB20" s="67">
        <f t="shared" si="31"/>
        <v>0</v>
      </c>
      <c r="CC20" s="60"/>
      <c r="CD20" s="67">
        <f t="shared" si="32"/>
        <v>0</v>
      </c>
      <c r="CE20" s="60"/>
      <c r="CF20" s="67">
        <f t="shared" si="33"/>
        <v>0</v>
      </c>
      <c r="CG20" s="60"/>
      <c r="CH20" s="67">
        <f t="shared" si="34"/>
        <v>0</v>
      </c>
      <c r="CI20" s="60"/>
      <c r="CJ20" s="67">
        <f t="shared" si="35"/>
        <v>0</v>
      </c>
      <c r="CK20" s="60"/>
      <c r="CL20" s="64">
        <f t="shared" si="36"/>
        <v>0</v>
      </c>
      <c r="CM20" s="65">
        <f t="shared" si="37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44245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39"/>
        <v>0</v>
      </c>
      <c r="M21" s="58"/>
      <c r="N21" s="64">
        <f t="shared" si="4"/>
        <v>0</v>
      </c>
      <c r="O21" s="58"/>
      <c r="P21" s="67">
        <f t="shared" si="43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40"/>
        <v>0</v>
      </c>
      <c r="BG21" s="60"/>
      <c r="BH21" s="65">
        <f t="shared" si="23"/>
        <v>0</v>
      </c>
      <c r="BI21" s="60"/>
      <c r="BJ21" s="65">
        <f t="shared" si="41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2"/>
        <v>0</v>
      </c>
      <c r="BU21" s="60"/>
      <c r="BV21" s="65">
        <f t="shared" si="28"/>
        <v>0</v>
      </c>
      <c r="BW21" s="60"/>
      <c r="BX21" s="65">
        <f t="shared" si="29"/>
        <v>0</v>
      </c>
      <c r="BY21" s="60"/>
      <c r="BZ21" s="67">
        <f t="shared" si="30"/>
        <v>0</v>
      </c>
      <c r="CA21" s="60"/>
      <c r="CB21" s="67">
        <f t="shared" si="31"/>
        <v>0</v>
      </c>
      <c r="CC21" s="60"/>
      <c r="CD21" s="67">
        <f t="shared" si="32"/>
        <v>0</v>
      </c>
      <c r="CE21" s="60"/>
      <c r="CF21" s="67">
        <f t="shared" si="33"/>
        <v>0</v>
      </c>
      <c r="CG21" s="60"/>
      <c r="CH21" s="67">
        <f t="shared" si="34"/>
        <v>0</v>
      </c>
      <c r="CI21" s="60"/>
      <c r="CJ21" s="67">
        <f t="shared" si="35"/>
        <v>0</v>
      </c>
      <c r="CK21" s="60"/>
      <c r="CL21" s="64">
        <f t="shared" si="36"/>
        <v>0</v>
      </c>
      <c r="CM21" s="65">
        <f t="shared" si="37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44246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39"/>
        <v>0</v>
      </c>
      <c r="M22" s="58"/>
      <c r="N22" s="64">
        <f t="shared" si="4"/>
        <v>0</v>
      </c>
      <c r="O22" s="58"/>
      <c r="P22" s="67">
        <f t="shared" si="43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40"/>
        <v>0</v>
      </c>
      <c r="BG22" s="60"/>
      <c r="BH22" s="65">
        <f t="shared" si="23"/>
        <v>0</v>
      </c>
      <c r="BI22" s="60"/>
      <c r="BJ22" s="65">
        <f t="shared" si="41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2"/>
        <v>0</v>
      </c>
      <c r="BU22" s="60"/>
      <c r="BV22" s="65">
        <f t="shared" si="28"/>
        <v>0</v>
      </c>
      <c r="BW22" s="60"/>
      <c r="BX22" s="65">
        <f t="shared" si="29"/>
        <v>0</v>
      </c>
      <c r="BY22" s="60"/>
      <c r="BZ22" s="67">
        <f t="shared" si="30"/>
        <v>0</v>
      </c>
      <c r="CA22" s="60"/>
      <c r="CB22" s="67">
        <f t="shared" si="31"/>
        <v>0</v>
      </c>
      <c r="CC22" s="60"/>
      <c r="CD22" s="67">
        <f t="shared" si="32"/>
        <v>0</v>
      </c>
      <c r="CE22" s="60"/>
      <c r="CF22" s="67">
        <f t="shared" si="33"/>
        <v>0</v>
      </c>
      <c r="CG22" s="60"/>
      <c r="CH22" s="67">
        <f t="shared" si="34"/>
        <v>0</v>
      </c>
      <c r="CI22" s="60"/>
      <c r="CJ22" s="67">
        <f t="shared" si="35"/>
        <v>0</v>
      </c>
      <c r="CK22" s="60"/>
      <c r="CL22" s="64">
        <f t="shared" si="36"/>
        <v>0</v>
      </c>
      <c r="CM22" s="65">
        <f t="shared" si="37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44247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39"/>
        <v>0</v>
      </c>
      <c r="M23" s="58"/>
      <c r="N23" s="64">
        <f t="shared" si="4"/>
        <v>0</v>
      </c>
      <c r="O23" s="58"/>
      <c r="P23" s="67">
        <f t="shared" si="43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40"/>
        <v>0</v>
      </c>
      <c r="BG23" s="60"/>
      <c r="BH23" s="65">
        <f t="shared" si="23"/>
        <v>0</v>
      </c>
      <c r="BI23" s="60"/>
      <c r="BJ23" s="65">
        <f t="shared" si="41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2"/>
        <v>0</v>
      </c>
      <c r="BU23" s="60"/>
      <c r="BV23" s="65">
        <f t="shared" si="28"/>
        <v>0</v>
      </c>
      <c r="BW23" s="60"/>
      <c r="BX23" s="65">
        <f t="shared" si="29"/>
        <v>0</v>
      </c>
      <c r="BY23" s="60"/>
      <c r="BZ23" s="67">
        <f t="shared" si="30"/>
        <v>0</v>
      </c>
      <c r="CA23" s="60"/>
      <c r="CB23" s="67">
        <f t="shared" si="31"/>
        <v>0</v>
      </c>
      <c r="CC23" s="60"/>
      <c r="CD23" s="67">
        <f t="shared" si="32"/>
        <v>0</v>
      </c>
      <c r="CE23" s="60"/>
      <c r="CF23" s="67">
        <f t="shared" si="33"/>
        <v>0</v>
      </c>
      <c r="CG23" s="60"/>
      <c r="CH23" s="67">
        <f t="shared" si="34"/>
        <v>0</v>
      </c>
      <c r="CI23" s="60"/>
      <c r="CJ23" s="67">
        <f t="shared" si="35"/>
        <v>0</v>
      </c>
      <c r="CK23" s="60"/>
      <c r="CL23" s="64">
        <f t="shared" si="36"/>
        <v>0</v>
      </c>
      <c r="CM23" s="65">
        <f t="shared" si="37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44248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39"/>
        <v>0</v>
      </c>
      <c r="M24" s="58"/>
      <c r="N24" s="64">
        <f t="shared" si="4"/>
        <v>0</v>
      </c>
      <c r="O24" s="58"/>
      <c r="P24" s="67">
        <f t="shared" si="43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40"/>
        <v>0</v>
      </c>
      <c r="BG24" s="60"/>
      <c r="BH24" s="65">
        <f t="shared" si="23"/>
        <v>0</v>
      </c>
      <c r="BI24" s="60"/>
      <c r="BJ24" s="65">
        <f t="shared" si="41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2"/>
        <v>0</v>
      </c>
      <c r="BU24" s="60"/>
      <c r="BV24" s="65">
        <f t="shared" si="28"/>
        <v>0</v>
      </c>
      <c r="BW24" s="60"/>
      <c r="BX24" s="65">
        <f t="shared" si="29"/>
        <v>0</v>
      </c>
      <c r="BY24" s="60"/>
      <c r="BZ24" s="67">
        <f t="shared" si="30"/>
        <v>0</v>
      </c>
      <c r="CA24" s="60"/>
      <c r="CB24" s="67">
        <f t="shared" si="31"/>
        <v>0</v>
      </c>
      <c r="CC24" s="60"/>
      <c r="CD24" s="67">
        <f t="shared" si="32"/>
        <v>0</v>
      </c>
      <c r="CE24" s="60"/>
      <c r="CF24" s="67">
        <f t="shared" si="33"/>
        <v>0</v>
      </c>
      <c r="CG24" s="60"/>
      <c r="CH24" s="67">
        <f t="shared" si="34"/>
        <v>0</v>
      </c>
      <c r="CI24" s="60"/>
      <c r="CJ24" s="67">
        <f t="shared" si="35"/>
        <v>0</v>
      </c>
      <c r="CK24" s="60"/>
      <c r="CL24" s="64">
        <f t="shared" si="36"/>
        <v>0</v>
      </c>
      <c r="CM24" s="65">
        <f t="shared" si="37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44249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39"/>
        <v>0</v>
      </c>
      <c r="M25" s="58"/>
      <c r="N25" s="64">
        <f t="shared" si="4"/>
        <v>0</v>
      </c>
      <c r="O25" s="58"/>
      <c r="P25" s="67">
        <f t="shared" si="43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40"/>
        <v>0</v>
      </c>
      <c r="BG25" s="60"/>
      <c r="BH25" s="65">
        <f t="shared" si="23"/>
        <v>0</v>
      </c>
      <c r="BI25" s="60"/>
      <c r="BJ25" s="65">
        <f t="shared" si="41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2"/>
        <v>0</v>
      </c>
      <c r="BU25" s="60"/>
      <c r="BV25" s="65">
        <f t="shared" si="28"/>
        <v>0</v>
      </c>
      <c r="BW25" s="60"/>
      <c r="BX25" s="65">
        <f t="shared" si="29"/>
        <v>0</v>
      </c>
      <c r="BY25" s="60"/>
      <c r="BZ25" s="67">
        <f t="shared" si="30"/>
        <v>0</v>
      </c>
      <c r="CA25" s="60"/>
      <c r="CB25" s="67">
        <f t="shared" si="31"/>
        <v>0</v>
      </c>
      <c r="CC25" s="60"/>
      <c r="CD25" s="67">
        <f t="shared" si="32"/>
        <v>0</v>
      </c>
      <c r="CE25" s="60"/>
      <c r="CF25" s="67">
        <f t="shared" si="33"/>
        <v>0</v>
      </c>
      <c r="CG25" s="60"/>
      <c r="CH25" s="67">
        <f t="shared" si="34"/>
        <v>0</v>
      </c>
      <c r="CI25" s="60"/>
      <c r="CJ25" s="67">
        <f t="shared" si="35"/>
        <v>0</v>
      </c>
      <c r="CK25" s="60"/>
      <c r="CL25" s="64">
        <f t="shared" si="36"/>
        <v>0</v>
      </c>
      <c r="CM25" s="65">
        <f t="shared" si="37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44250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39"/>
        <v>0</v>
      </c>
      <c r="M26" s="58"/>
      <c r="N26" s="64">
        <f t="shared" si="4"/>
        <v>0</v>
      </c>
      <c r="O26" s="58"/>
      <c r="P26" s="67">
        <f t="shared" si="43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40"/>
        <v>0</v>
      </c>
      <c r="BG26" s="60"/>
      <c r="BH26" s="65">
        <f t="shared" si="23"/>
        <v>0</v>
      </c>
      <c r="BI26" s="60"/>
      <c r="BJ26" s="65">
        <f t="shared" si="41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8"/>
        <v>0</v>
      </c>
      <c r="BW26" s="60"/>
      <c r="BX26" s="65">
        <f t="shared" si="29"/>
        <v>0</v>
      </c>
      <c r="BY26" s="60"/>
      <c r="BZ26" s="67">
        <f t="shared" si="30"/>
        <v>0</v>
      </c>
      <c r="CA26" s="60"/>
      <c r="CB26" s="67">
        <f t="shared" si="31"/>
        <v>0</v>
      </c>
      <c r="CC26" s="60"/>
      <c r="CD26" s="67">
        <f t="shared" si="32"/>
        <v>0</v>
      </c>
      <c r="CE26" s="60"/>
      <c r="CF26" s="67">
        <f t="shared" si="33"/>
        <v>0</v>
      </c>
      <c r="CG26" s="60"/>
      <c r="CH26" s="67">
        <f t="shared" si="34"/>
        <v>0</v>
      </c>
      <c r="CI26" s="60"/>
      <c r="CJ26" s="67">
        <f t="shared" si="35"/>
        <v>0</v>
      </c>
      <c r="CK26" s="60"/>
      <c r="CL26" s="64">
        <f t="shared" si="36"/>
        <v>0</v>
      </c>
      <c r="CM26" s="65">
        <f t="shared" si="37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44251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39"/>
        <v>0</v>
      </c>
      <c r="M27" s="58"/>
      <c r="N27" s="64">
        <f t="shared" si="4"/>
        <v>0</v>
      </c>
      <c r="O27" s="58"/>
      <c r="P27" s="67">
        <f t="shared" si="43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40"/>
        <v>0</v>
      </c>
      <c r="BG27" s="60"/>
      <c r="BH27" s="65">
        <f t="shared" si="23"/>
        <v>0</v>
      </c>
      <c r="BI27" s="60"/>
      <c r="BJ27" s="65">
        <f t="shared" si="41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8"/>
        <v>0</v>
      </c>
      <c r="BW27" s="60"/>
      <c r="BX27" s="65">
        <f t="shared" si="29"/>
        <v>0</v>
      </c>
      <c r="BY27" s="60"/>
      <c r="BZ27" s="67">
        <f t="shared" si="30"/>
        <v>0</v>
      </c>
      <c r="CA27" s="60"/>
      <c r="CB27" s="67">
        <f t="shared" si="31"/>
        <v>0</v>
      </c>
      <c r="CC27" s="60"/>
      <c r="CD27" s="67">
        <f t="shared" si="32"/>
        <v>0</v>
      </c>
      <c r="CE27" s="60"/>
      <c r="CF27" s="67">
        <f t="shared" si="33"/>
        <v>0</v>
      </c>
      <c r="CG27" s="60"/>
      <c r="CH27" s="67">
        <f t="shared" si="34"/>
        <v>0</v>
      </c>
      <c r="CI27" s="60"/>
      <c r="CJ27" s="67">
        <f t="shared" si="35"/>
        <v>0</v>
      </c>
      <c r="CK27" s="60"/>
      <c r="CL27" s="64">
        <f t="shared" si="36"/>
        <v>0</v>
      </c>
      <c r="CM27" s="65">
        <f t="shared" si="37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44252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39"/>
        <v>0</v>
      </c>
      <c r="M28" s="58"/>
      <c r="N28" s="64">
        <f t="shared" si="4"/>
        <v>0</v>
      </c>
      <c r="O28" s="58"/>
      <c r="P28" s="67">
        <f t="shared" si="43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40"/>
        <v>0</v>
      </c>
      <c r="BG28" s="60"/>
      <c r="BH28" s="65">
        <f t="shared" si="23"/>
        <v>0</v>
      </c>
      <c r="BI28" s="60"/>
      <c r="BJ28" s="65">
        <f t="shared" si="41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8"/>
        <v>0</v>
      </c>
      <c r="BW28" s="60"/>
      <c r="BX28" s="65">
        <f t="shared" si="29"/>
        <v>0</v>
      </c>
      <c r="BY28" s="60"/>
      <c r="BZ28" s="67">
        <f t="shared" si="30"/>
        <v>0</v>
      </c>
      <c r="CA28" s="60"/>
      <c r="CB28" s="67">
        <f t="shared" si="31"/>
        <v>0</v>
      </c>
      <c r="CC28" s="60"/>
      <c r="CD28" s="67">
        <f t="shared" si="32"/>
        <v>0</v>
      </c>
      <c r="CE28" s="60"/>
      <c r="CF28" s="67">
        <f t="shared" si="33"/>
        <v>0</v>
      </c>
      <c r="CG28" s="60"/>
      <c r="CH28" s="67">
        <f t="shared" si="34"/>
        <v>0</v>
      </c>
      <c r="CI28" s="60"/>
      <c r="CJ28" s="67">
        <f t="shared" si="35"/>
        <v>0</v>
      </c>
      <c r="CK28" s="60"/>
      <c r="CL28" s="64">
        <f t="shared" si="36"/>
        <v>0</v>
      </c>
      <c r="CM28" s="65">
        <f t="shared" si="37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44253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39"/>
        <v>0</v>
      </c>
      <c r="M29" s="58"/>
      <c r="N29" s="64">
        <f t="shared" si="4"/>
        <v>0</v>
      </c>
      <c r="O29" s="58"/>
      <c r="P29" s="67">
        <f t="shared" si="43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40"/>
        <v>0</v>
      </c>
      <c r="BG29" s="60"/>
      <c r="BH29" s="65">
        <f t="shared" si="23"/>
        <v>0</v>
      </c>
      <c r="BI29" s="60"/>
      <c r="BJ29" s="65">
        <f t="shared" si="41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8"/>
        <v>0</v>
      </c>
      <c r="BW29" s="60"/>
      <c r="BX29" s="65">
        <f t="shared" si="29"/>
        <v>0</v>
      </c>
      <c r="BY29" s="60"/>
      <c r="BZ29" s="67">
        <f t="shared" si="30"/>
        <v>0</v>
      </c>
      <c r="CA29" s="60"/>
      <c r="CB29" s="67">
        <f t="shared" si="31"/>
        <v>0</v>
      </c>
      <c r="CC29" s="60"/>
      <c r="CD29" s="67">
        <f t="shared" si="32"/>
        <v>0</v>
      </c>
      <c r="CE29" s="60"/>
      <c r="CF29" s="67">
        <f t="shared" si="33"/>
        <v>0</v>
      </c>
      <c r="CG29" s="60"/>
      <c r="CH29" s="67">
        <f t="shared" si="34"/>
        <v>0</v>
      </c>
      <c r="CI29" s="60"/>
      <c r="CJ29" s="67">
        <f t="shared" si="35"/>
        <v>0</v>
      </c>
      <c r="CK29" s="60"/>
      <c r="CL29" s="64">
        <f t="shared" si="36"/>
        <v>0</v>
      </c>
      <c r="CM29" s="65">
        <f t="shared" si="37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44254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39"/>
        <v>0</v>
      </c>
      <c r="M30" s="58"/>
      <c r="N30" s="64">
        <f t="shared" si="4"/>
        <v>0</v>
      </c>
      <c r="O30" s="58"/>
      <c r="P30" s="67">
        <f t="shared" si="43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40"/>
        <v>0</v>
      </c>
      <c r="BG30" s="60"/>
      <c r="BH30" s="65">
        <f t="shared" si="23"/>
        <v>0</v>
      </c>
      <c r="BI30" s="60"/>
      <c r="BJ30" s="65">
        <f t="shared" si="41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8"/>
        <v>0</v>
      </c>
      <c r="BW30" s="60"/>
      <c r="BX30" s="65">
        <f t="shared" si="29"/>
        <v>0</v>
      </c>
      <c r="BY30" s="60"/>
      <c r="BZ30" s="67">
        <f t="shared" si="30"/>
        <v>0</v>
      </c>
      <c r="CA30" s="60"/>
      <c r="CB30" s="67">
        <f t="shared" si="31"/>
        <v>0</v>
      </c>
      <c r="CC30" s="60"/>
      <c r="CD30" s="67">
        <f t="shared" si="32"/>
        <v>0</v>
      </c>
      <c r="CE30" s="60"/>
      <c r="CF30" s="67">
        <f t="shared" si="33"/>
        <v>0</v>
      </c>
      <c r="CG30" s="60"/>
      <c r="CH30" s="67">
        <f t="shared" si="34"/>
        <v>0</v>
      </c>
      <c r="CI30" s="60"/>
      <c r="CJ30" s="67">
        <f t="shared" si="35"/>
        <v>0</v>
      </c>
      <c r="CK30" s="60"/>
      <c r="CL30" s="64">
        <f t="shared" si="36"/>
        <v>0</v>
      </c>
      <c r="CM30" s="65">
        <f t="shared" si="37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44255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39"/>
        <v>0</v>
      </c>
      <c r="M31" s="58"/>
      <c r="N31" s="64">
        <f t="shared" si="4"/>
        <v>0</v>
      </c>
      <c r="O31" s="58"/>
      <c r="P31" s="67">
        <f t="shared" si="43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40"/>
        <v>0</v>
      </c>
      <c r="BG31" s="60"/>
      <c r="BH31" s="65">
        <f t="shared" si="23"/>
        <v>0</v>
      </c>
      <c r="BI31" s="60"/>
      <c r="BJ31" s="65">
        <f t="shared" si="41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8"/>
        <v>0</v>
      </c>
      <c r="BW31" s="60"/>
      <c r="BX31" s="65">
        <f t="shared" si="29"/>
        <v>0</v>
      </c>
      <c r="BY31" s="60"/>
      <c r="BZ31" s="67">
        <f t="shared" si="30"/>
        <v>0</v>
      </c>
      <c r="CA31" s="60"/>
      <c r="CB31" s="67">
        <f t="shared" si="31"/>
        <v>0</v>
      </c>
      <c r="CC31" s="60"/>
      <c r="CD31" s="67">
        <f t="shared" si="32"/>
        <v>0</v>
      </c>
      <c r="CE31" s="60"/>
      <c r="CF31" s="67">
        <f t="shared" si="33"/>
        <v>0</v>
      </c>
      <c r="CG31" s="60"/>
      <c r="CH31" s="67">
        <f t="shared" si="34"/>
        <v>0</v>
      </c>
      <c r="CI31" s="60"/>
      <c r="CJ31" s="67">
        <f t="shared" si="35"/>
        <v>0</v>
      </c>
      <c r="CK31" s="60"/>
      <c r="CL31" s="64">
        <f t="shared" si="36"/>
        <v>0</v>
      </c>
      <c r="CM31" s="65">
        <f t="shared" si="37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/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39"/>
        <v>0</v>
      </c>
      <c r="M32" s="58"/>
      <c r="N32" s="64">
        <f t="shared" si="4"/>
        <v>0</v>
      </c>
      <c r="O32" s="58"/>
      <c r="P32" s="67">
        <f t="shared" si="43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40"/>
        <v>0</v>
      </c>
      <c r="BG32" s="60"/>
      <c r="BH32" s="65">
        <f t="shared" si="23"/>
        <v>0</v>
      </c>
      <c r="BI32" s="60"/>
      <c r="BJ32" s="65">
        <f t="shared" si="41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8"/>
        <v>0</v>
      </c>
      <c r="BW32" s="60"/>
      <c r="BX32" s="65">
        <f t="shared" si="29"/>
        <v>0</v>
      </c>
      <c r="BY32" s="60"/>
      <c r="BZ32" s="67">
        <f t="shared" si="30"/>
        <v>0</v>
      </c>
      <c r="CA32" s="60"/>
      <c r="CB32" s="67">
        <f t="shared" si="31"/>
        <v>0</v>
      </c>
      <c r="CC32" s="60"/>
      <c r="CD32" s="67">
        <f t="shared" si="32"/>
        <v>0</v>
      </c>
      <c r="CE32" s="60"/>
      <c r="CF32" s="67">
        <f t="shared" si="33"/>
        <v>0</v>
      </c>
      <c r="CG32" s="60"/>
      <c r="CH32" s="67">
        <f t="shared" si="34"/>
        <v>0</v>
      </c>
      <c r="CI32" s="60"/>
      <c r="CJ32" s="67">
        <f t="shared" si="35"/>
        <v>0</v>
      </c>
      <c r="CK32" s="60"/>
      <c r="CL32" s="64">
        <f t="shared" si="36"/>
        <v>0</v>
      </c>
      <c r="CM32" s="65">
        <f t="shared" si="37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/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39"/>
        <v>0</v>
      </c>
      <c r="M33" s="58"/>
      <c r="N33" s="64">
        <f t="shared" si="4"/>
        <v>0</v>
      </c>
      <c r="O33" s="58"/>
      <c r="P33" s="67">
        <f t="shared" si="43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40"/>
        <v>0</v>
      </c>
      <c r="BG33" s="60"/>
      <c r="BH33" s="65">
        <f t="shared" si="23"/>
        <v>0</v>
      </c>
      <c r="BI33" s="60"/>
      <c r="BJ33" s="65">
        <f t="shared" si="41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8"/>
        <v>0</v>
      </c>
      <c r="BW33" s="60"/>
      <c r="BX33" s="65">
        <f t="shared" si="29"/>
        <v>0</v>
      </c>
      <c r="BY33" s="60"/>
      <c r="BZ33" s="67">
        <f t="shared" si="30"/>
        <v>0</v>
      </c>
      <c r="CA33" s="60"/>
      <c r="CB33" s="67">
        <f t="shared" si="31"/>
        <v>0</v>
      </c>
      <c r="CC33" s="60"/>
      <c r="CD33" s="67">
        <f t="shared" si="32"/>
        <v>0</v>
      </c>
      <c r="CE33" s="60"/>
      <c r="CF33" s="67">
        <f t="shared" si="33"/>
        <v>0</v>
      </c>
      <c r="CG33" s="60"/>
      <c r="CH33" s="67">
        <f t="shared" si="34"/>
        <v>0</v>
      </c>
      <c r="CI33" s="60"/>
      <c r="CJ33" s="67">
        <f t="shared" si="35"/>
        <v>0</v>
      </c>
      <c r="CK33" s="60"/>
      <c r="CL33" s="64">
        <f t="shared" si="36"/>
        <v>0</v>
      </c>
      <c r="CM33" s="65">
        <f t="shared" si="37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/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39"/>
        <v>0</v>
      </c>
      <c r="M34" s="58"/>
      <c r="N34" s="64">
        <f t="shared" si="4"/>
        <v>0</v>
      </c>
      <c r="O34" s="58"/>
      <c r="P34" s="67">
        <f t="shared" si="43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40"/>
        <v>0</v>
      </c>
      <c r="BG34" s="60"/>
      <c r="BH34" s="65">
        <f t="shared" si="23"/>
        <v>0</v>
      </c>
      <c r="BI34" s="60"/>
      <c r="BJ34" s="65">
        <f t="shared" si="41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8"/>
        <v>0</v>
      </c>
      <c r="BW34" s="60"/>
      <c r="BX34" s="65">
        <f t="shared" si="29"/>
        <v>0</v>
      </c>
      <c r="BY34" s="60"/>
      <c r="BZ34" s="67">
        <f t="shared" si="30"/>
        <v>0</v>
      </c>
      <c r="CA34" s="60"/>
      <c r="CB34" s="67">
        <f>IF((CA34-CA33&lt;0), "",CA34-CA33)</f>
        <v>0</v>
      </c>
      <c r="CC34" s="60"/>
      <c r="CD34" s="67">
        <f t="shared" si="32"/>
        <v>0</v>
      </c>
      <c r="CE34" s="60"/>
      <c r="CF34" s="67">
        <f>IF((CE34-CE33&lt;0), "",CE34-CE33)</f>
        <v>0</v>
      </c>
      <c r="CG34" s="60"/>
      <c r="CH34" s="67">
        <f t="shared" si="34"/>
        <v>0</v>
      </c>
      <c r="CI34" s="60"/>
      <c r="CJ34" s="67">
        <f t="shared" si="35"/>
        <v>0</v>
      </c>
      <c r="CK34" s="60"/>
      <c r="CL34" s="64">
        <f t="shared" si="36"/>
        <v>0</v>
      </c>
      <c r="CM34" s="65">
        <f t="shared" si="37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BF35" s="69"/>
      <c r="BJ35" s="65">
        <f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8"/>
        <v>0</v>
      </c>
    </row>
    <row r="37" spans="1:101" ht="19.5" thickBot="1" x14ac:dyDescent="0.35"/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5"/>
  <sheetViews>
    <sheetView zoomScaleNormal="100" workbookViewId="0">
      <selection activeCell="V24" sqref="V2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44228</v>
      </c>
      <c r="B7" s="40">
        <v>0</v>
      </c>
      <c r="C7" s="40">
        <v>0</v>
      </c>
      <c r="D7" s="40">
        <v>0</v>
      </c>
      <c r="E7" s="41">
        <v>85</v>
      </c>
      <c r="F7" s="41">
        <v>4857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1173</v>
      </c>
      <c r="N7" s="39">
        <v>85</v>
      </c>
      <c r="O7" s="39">
        <v>10</v>
      </c>
      <c r="P7" s="39">
        <v>85</v>
      </c>
      <c r="Q7" s="39">
        <v>3270</v>
      </c>
      <c r="R7" s="78">
        <v>79</v>
      </c>
      <c r="S7" s="78">
        <v>197</v>
      </c>
    </row>
    <row r="8" spans="1:20" x14ac:dyDescent="0.25">
      <c r="A8" s="73">
        <v>44229</v>
      </c>
      <c r="B8" s="40">
        <v>1</v>
      </c>
      <c r="C8" s="40">
        <v>1</v>
      </c>
      <c r="D8" s="40">
        <v>3</v>
      </c>
      <c r="E8" s="41">
        <v>85</v>
      </c>
      <c r="F8" s="41">
        <v>4857</v>
      </c>
      <c r="G8" s="41">
        <v>85</v>
      </c>
      <c r="H8" s="41">
        <v>1373</v>
      </c>
      <c r="I8" s="41">
        <v>85</v>
      </c>
      <c r="J8" s="41">
        <v>273</v>
      </c>
      <c r="K8" s="42">
        <v>85</v>
      </c>
      <c r="L8" s="42">
        <v>86</v>
      </c>
      <c r="M8" s="42">
        <v>1173</v>
      </c>
      <c r="N8" s="39">
        <v>85</v>
      </c>
      <c r="O8" s="39">
        <v>8</v>
      </c>
      <c r="P8" s="39">
        <v>85</v>
      </c>
      <c r="Q8" s="39">
        <v>3273</v>
      </c>
      <c r="R8" s="78">
        <v>79</v>
      </c>
      <c r="S8" s="78">
        <v>197</v>
      </c>
      <c r="T8">
        <f>S8-S7</f>
        <v>0</v>
      </c>
    </row>
    <row r="9" spans="1:20" x14ac:dyDescent="0.25">
      <c r="A9" s="73">
        <v>44230</v>
      </c>
      <c r="B9" s="40">
        <v>1</v>
      </c>
      <c r="C9" s="40">
        <v>1</v>
      </c>
      <c r="D9" s="40">
        <v>3</v>
      </c>
      <c r="E9" s="41">
        <v>85</v>
      </c>
      <c r="F9" s="41">
        <v>4857</v>
      </c>
      <c r="G9" s="41">
        <v>85</v>
      </c>
      <c r="H9" s="41">
        <v>1373</v>
      </c>
      <c r="I9" s="41">
        <v>85</v>
      </c>
      <c r="J9" s="41">
        <v>273</v>
      </c>
      <c r="K9" s="42">
        <v>85</v>
      </c>
      <c r="L9" s="42">
        <v>86</v>
      </c>
      <c r="M9" s="42">
        <v>1173</v>
      </c>
      <c r="N9" s="39">
        <v>85</v>
      </c>
      <c r="O9" s="39">
        <v>7</v>
      </c>
      <c r="P9" s="39">
        <v>85</v>
      </c>
      <c r="Q9" s="39">
        <v>3276</v>
      </c>
      <c r="R9" s="78">
        <v>79</v>
      </c>
      <c r="S9" s="78">
        <v>197</v>
      </c>
      <c r="T9">
        <f t="shared" ref="T9:T35" si="0">S9-S8</f>
        <v>0</v>
      </c>
    </row>
    <row r="10" spans="1:20" x14ac:dyDescent="0.25">
      <c r="A10" s="73">
        <v>44231</v>
      </c>
      <c r="B10" s="40">
        <v>1</v>
      </c>
      <c r="C10" s="40">
        <v>1</v>
      </c>
      <c r="D10" s="40">
        <v>3</v>
      </c>
      <c r="E10" s="41">
        <v>85</v>
      </c>
      <c r="F10" s="41">
        <v>4857</v>
      </c>
      <c r="G10" s="41">
        <v>85</v>
      </c>
      <c r="H10" s="41">
        <v>1373</v>
      </c>
      <c r="I10" s="41">
        <v>85</v>
      </c>
      <c r="J10" s="41">
        <v>273</v>
      </c>
      <c r="K10" s="42">
        <v>85</v>
      </c>
      <c r="L10" s="42">
        <v>86</v>
      </c>
      <c r="M10" s="42">
        <v>1173</v>
      </c>
      <c r="N10" s="39">
        <v>85</v>
      </c>
      <c r="O10" s="39">
        <v>5</v>
      </c>
      <c r="P10" s="39">
        <v>85</v>
      </c>
      <c r="Q10" s="39">
        <v>3278</v>
      </c>
      <c r="R10" s="78">
        <v>79</v>
      </c>
      <c r="S10" s="78">
        <v>197</v>
      </c>
      <c r="T10">
        <f t="shared" si="0"/>
        <v>0</v>
      </c>
    </row>
    <row r="11" spans="1:20" x14ac:dyDescent="0.25">
      <c r="A11" s="73">
        <v>44232</v>
      </c>
      <c r="B11" s="40">
        <v>1</v>
      </c>
      <c r="C11" s="40">
        <v>1</v>
      </c>
      <c r="D11" s="40">
        <v>3</v>
      </c>
      <c r="E11" s="41">
        <v>85</v>
      </c>
      <c r="F11" s="41">
        <v>4857</v>
      </c>
      <c r="G11" s="41">
        <v>85</v>
      </c>
      <c r="H11" s="41">
        <v>1373</v>
      </c>
      <c r="I11" s="41">
        <v>85</v>
      </c>
      <c r="J11" s="41">
        <v>273</v>
      </c>
      <c r="K11" s="42">
        <v>85</v>
      </c>
      <c r="L11" s="42">
        <v>86</v>
      </c>
      <c r="M11" s="42">
        <v>1173</v>
      </c>
      <c r="N11" s="39">
        <v>85</v>
      </c>
      <c r="O11" s="39">
        <v>1</v>
      </c>
      <c r="P11" s="39">
        <v>84</v>
      </c>
      <c r="Q11" s="39">
        <v>3281</v>
      </c>
      <c r="R11" s="78">
        <v>79</v>
      </c>
      <c r="S11" s="78">
        <v>197</v>
      </c>
      <c r="T11">
        <f t="shared" si="0"/>
        <v>0</v>
      </c>
    </row>
    <row r="12" spans="1:20" x14ac:dyDescent="0.25">
      <c r="A12" s="73">
        <v>44233</v>
      </c>
      <c r="B12" s="40">
        <v>1</v>
      </c>
      <c r="C12" s="40">
        <v>1</v>
      </c>
      <c r="D12" s="40">
        <v>3</v>
      </c>
      <c r="E12" s="41">
        <v>85</v>
      </c>
      <c r="F12" s="41">
        <v>4857</v>
      </c>
      <c r="G12" s="41">
        <v>85</v>
      </c>
      <c r="H12" s="41">
        <v>1373</v>
      </c>
      <c r="I12" s="41">
        <v>85</v>
      </c>
      <c r="J12" s="41">
        <v>273</v>
      </c>
      <c r="K12" s="42">
        <v>85</v>
      </c>
      <c r="L12" s="42">
        <v>86</v>
      </c>
      <c r="M12" s="42">
        <v>1173</v>
      </c>
      <c r="N12" s="39">
        <v>85</v>
      </c>
      <c r="O12" s="39">
        <v>1</v>
      </c>
      <c r="P12" s="39">
        <v>83</v>
      </c>
      <c r="Q12" s="39">
        <v>3285</v>
      </c>
      <c r="R12" s="78">
        <v>79</v>
      </c>
      <c r="S12" s="78">
        <v>197</v>
      </c>
      <c r="T12">
        <f t="shared" si="0"/>
        <v>0</v>
      </c>
    </row>
    <row r="13" spans="1:20" x14ac:dyDescent="0.25">
      <c r="A13" s="73">
        <v>44234</v>
      </c>
      <c r="B13" s="40">
        <v>1</v>
      </c>
      <c r="C13" s="40">
        <v>1</v>
      </c>
      <c r="D13" s="40">
        <v>3</v>
      </c>
      <c r="E13" s="41">
        <v>85</v>
      </c>
      <c r="F13" s="41">
        <v>4857</v>
      </c>
      <c r="G13" s="41">
        <v>85</v>
      </c>
      <c r="H13" s="41">
        <v>1373</v>
      </c>
      <c r="I13" s="41">
        <v>85</v>
      </c>
      <c r="J13" s="41">
        <v>273</v>
      </c>
      <c r="K13" s="42">
        <v>85</v>
      </c>
      <c r="L13" s="42">
        <v>86</v>
      </c>
      <c r="M13" s="42">
        <v>1173</v>
      </c>
      <c r="N13" s="39">
        <v>85</v>
      </c>
      <c r="O13" s="39">
        <v>1</v>
      </c>
      <c r="P13" s="39">
        <v>79</v>
      </c>
      <c r="Q13" s="39">
        <v>3289</v>
      </c>
      <c r="R13" s="78">
        <v>79</v>
      </c>
      <c r="S13" s="78">
        <v>197</v>
      </c>
      <c r="T13">
        <f t="shared" si="0"/>
        <v>0</v>
      </c>
    </row>
    <row r="14" spans="1:20" x14ac:dyDescent="0.25">
      <c r="A14" s="73">
        <v>44235</v>
      </c>
      <c r="B14" s="40">
        <v>1</v>
      </c>
      <c r="C14" s="40">
        <v>1</v>
      </c>
      <c r="D14" s="40">
        <v>3</v>
      </c>
      <c r="E14" s="41">
        <v>85</v>
      </c>
      <c r="F14" s="41">
        <v>4857</v>
      </c>
      <c r="G14" s="41">
        <v>85</v>
      </c>
      <c r="H14" s="41">
        <v>1373</v>
      </c>
      <c r="I14" s="41">
        <v>85</v>
      </c>
      <c r="J14" s="41">
        <v>273</v>
      </c>
      <c r="K14" s="42">
        <v>85</v>
      </c>
      <c r="L14" s="42">
        <v>86</v>
      </c>
      <c r="M14" s="42">
        <v>1173</v>
      </c>
      <c r="N14" s="39">
        <v>85</v>
      </c>
      <c r="O14" s="39">
        <v>1</v>
      </c>
      <c r="P14" s="39">
        <v>75</v>
      </c>
      <c r="Q14" s="39">
        <v>3291</v>
      </c>
      <c r="R14" s="78">
        <v>79</v>
      </c>
      <c r="S14" s="78">
        <v>197</v>
      </c>
      <c r="T14">
        <f t="shared" si="0"/>
        <v>0</v>
      </c>
    </row>
    <row r="15" spans="1:20" x14ac:dyDescent="0.25">
      <c r="A15" s="73">
        <v>44236</v>
      </c>
      <c r="B15" s="40">
        <v>1</v>
      </c>
      <c r="C15" s="40">
        <v>1</v>
      </c>
      <c r="D15" s="40">
        <v>3</v>
      </c>
      <c r="E15" s="41">
        <v>85</v>
      </c>
      <c r="F15" s="41">
        <v>4857</v>
      </c>
      <c r="G15" s="41">
        <v>85</v>
      </c>
      <c r="H15" s="41">
        <v>1373</v>
      </c>
      <c r="I15" s="41">
        <v>85</v>
      </c>
      <c r="J15" s="41">
        <v>273</v>
      </c>
      <c r="K15" s="42">
        <v>85</v>
      </c>
      <c r="L15" s="42">
        <v>86</v>
      </c>
      <c r="M15" s="42">
        <v>1173</v>
      </c>
      <c r="N15" s="39">
        <v>85</v>
      </c>
      <c r="O15" s="39">
        <v>1</v>
      </c>
      <c r="P15" s="39">
        <v>74</v>
      </c>
      <c r="Q15" s="39">
        <v>3294</v>
      </c>
      <c r="R15" s="78">
        <v>79</v>
      </c>
      <c r="S15" s="78">
        <v>197</v>
      </c>
      <c r="T15">
        <f t="shared" si="0"/>
        <v>0</v>
      </c>
    </row>
    <row r="16" spans="1:20" x14ac:dyDescent="0.25">
      <c r="A16" s="73">
        <v>44237</v>
      </c>
      <c r="B16" s="40">
        <v>1</v>
      </c>
      <c r="C16" s="40">
        <v>1</v>
      </c>
      <c r="D16" s="40">
        <v>3</v>
      </c>
      <c r="E16" s="41">
        <v>85</v>
      </c>
      <c r="F16" s="41">
        <v>4857</v>
      </c>
      <c r="G16" s="41">
        <v>85</v>
      </c>
      <c r="H16" s="41">
        <v>1373</v>
      </c>
      <c r="I16" s="41">
        <v>85</v>
      </c>
      <c r="J16" s="41">
        <v>273</v>
      </c>
      <c r="K16" s="42">
        <v>85</v>
      </c>
      <c r="L16" s="42">
        <v>86</v>
      </c>
      <c r="M16" s="42">
        <v>1173</v>
      </c>
      <c r="N16" s="39">
        <v>85</v>
      </c>
      <c r="O16" s="39">
        <v>1</v>
      </c>
      <c r="P16" s="39">
        <v>73</v>
      </c>
      <c r="Q16" s="39">
        <v>3298</v>
      </c>
      <c r="R16" s="78">
        <v>79</v>
      </c>
      <c r="S16" s="78">
        <v>197</v>
      </c>
      <c r="T16">
        <f t="shared" si="0"/>
        <v>0</v>
      </c>
    </row>
    <row r="17" spans="1:20" x14ac:dyDescent="0.25">
      <c r="A17" s="73">
        <v>44238</v>
      </c>
      <c r="B17" s="40">
        <v>1</v>
      </c>
      <c r="C17" s="40">
        <v>1</v>
      </c>
      <c r="D17" s="40">
        <v>3</v>
      </c>
      <c r="E17" s="41">
        <v>85</v>
      </c>
      <c r="F17" s="41">
        <v>4857</v>
      </c>
      <c r="G17" s="41">
        <v>85</v>
      </c>
      <c r="H17" s="41">
        <v>1373</v>
      </c>
      <c r="I17" s="41">
        <v>85</v>
      </c>
      <c r="J17" s="41">
        <v>273</v>
      </c>
      <c r="K17" s="42">
        <v>85</v>
      </c>
      <c r="L17" s="42">
        <v>86</v>
      </c>
      <c r="M17" s="42">
        <v>1173</v>
      </c>
      <c r="N17" s="39">
        <v>85</v>
      </c>
      <c r="O17" s="39">
        <v>1</v>
      </c>
      <c r="P17" s="39">
        <v>65</v>
      </c>
      <c r="Q17" s="39">
        <v>3300</v>
      </c>
      <c r="R17" s="78">
        <v>79</v>
      </c>
      <c r="S17" s="78">
        <v>197</v>
      </c>
      <c r="T17">
        <f t="shared" si="0"/>
        <v>0</v>
      </c>
    </row>
    <row r="18" spans="1:20" x14ac:dyDescent="0.25">
      <c r="A18" s="73">
        <v>44239</v>
      </c>
      <c r="B18" s="40">
        <v>0</v>
      </c>
      <c r="C18" s="40">
        <v>0</v>
      </c>
      <c r="D18" s="40">
        <v>0</v>
      </c>
      <c r="E18" s="41">
        <v>85</v>
      </c>
      <c r="F18" s="41">
        <v>4857</v>
      </c>
      <c r="G18" s="41">
        <v>85</v>
      </c>
      <c r="H18" s="41">
        <v>1373</v>
      </c>
      <c r="I18" s="41">
        <v>85</v>
      </c>
      <c r="J18" s="41">
        <v>273</v>
      </c>
      <c r="K18" s="42">
        <v>85</v>
      </c>
      <c r="L18" s="42">
        <v>86</v>
      </c>
      <c r="M18" s="42">
        <v>1173</v>
      </c>
      <c r="N18" s="39">
        <v>85</v>
      </c>
      <c r="O18" s="39">
        <v>1</v>
      </c>
      <c r="P18" s="39">
        <v>61</v>
      </c>
      <c r="Q18" s="39">
        <v>3303</v>
      </c>
      <c r="R18" s="78">
        <v>79</v>
      </c>
      <c r="S18" s="78">
        <v>197</v>
      </c>
      <c r="T18">
        <f t="shared" si="0"/>
        <v>0</v>
      </c>
    </row>
    <row r="19" spans="1:20" x14ac:dyDescent="0.25">
      <c r="A19" s="73">
        <v>44240</v>
      </c>
      <c r="B19" s="40">
        <v>0</v>
      </c>
      <c r="C19" s="40">
        <v>0</v>
      </c>
      <c r="D19" s="40">
        <v>0</v>
      </c>
      <c r="E19" s="41">
        <v>85</v>
      </c>
      <c r="F19" s="41">
        <v>4857</v>
      </c>
      <c r="G19" s="41">
        <v>85</v>
      </c>
      <c r="H19" s="41">
        <v>1373</v>
      </c>
      <c r="I19" s="41">
        <v>85</v>
      </c>
      <c r="J19" s="41">
        <v>273</v>
      </c>
      <c r="K19" s="42">
        <v>85</v>
      </c>
      <c r="L19" s="42">
        <v>86</v>
      </c>
      <c r="M19" s="42">
        <v>1173</v>
      </c>
      <c r="N19" s="39">
        <v>85</v>
      </c>
      <c r="O19" s="39">
        <v>1</v>
      </c>
      <c r="P19" s="39">
        <v>60</v>
      </c>
      <c r="Q19" s="39">
        <v>3306</v>
      </c>
      <c r="R19" s="78">
        <v>79</v>
      </c>
      <c r="S19" s="78">
        <v>197</v>
      </c>
      <c r="T19">
        <f t="shared" si="0"/>
        <v>0</v>
      </c>
    </row>
    <row r="20" spans="1:20" x14ac:dyDescent="0.25">
      <c r="A20" s="73">
        <v>44241</v>
      </c>
      <c r="B20" s="40">
        <v>0</v>
      </c>
      <c r="C20" s="40">
        <v>0</v>
      </c>
      <c r="D20" s="40">
        <v>0</v>
      </c>
      <c r="E20" s="41">
        <v>85</v>
      </c>
      <c r="F20" s="41">
        <v>4857</v>
      </c>
      <c r="G20" s="41">
        <v>85</v>
      </c>
      <c r="H20" s="41">
        <v>1373</v>
      </c>
      <c r="I20" s="41">
        <v>85</v>
      </c>
      <c r="J20" s="41">
        <v>273</v>
      </c>
      <c r="K20" s="42">
        <v>85</v>
      </c>
      <c r="L20" s="42">
        <v>86</v>
      </c>
      <c r="M20" s="42">
        <v>1173</v>
      </c>
      <c r="N20" s="39">
        <v>85</v>
      </c>
      <c r="O20" s="39">
        <v>1</v>
      </c>
      <c r="P20" s="39">
        <v>60</v>
      </c>
      <c r="Q20" s="39">
        <v>3308</v>
      </c>
      <c r="R20" s="78">
        <v>79</v>
      </c>
      <c r="S20" s="78">
        <v>197</v>
      </c>
      <c r="T20">
        <f t="shared" si="0"/>
        <v>0</v>
      </c>
    </row>
    <row r="21" spans="1:20" x14ac:dyDescent="0.25">
      <c r="A21" s="73">
        <v>44242</v>
      </c>
      <c r="B21" s="40">
        <v>0</v>
      </c>
      <c r="C21" s="40">
        <v>0</v>
      </c>
      <c r="D21" s="40">
        <v>0</v>
      </c>
      <c r="E21" s="41">
        <v>85</v>
      </c>
      <c r="F21" s="41">
        <v>4857</v>
      </c>
      <c r="G21" s="41">
        <v>85</v>
      </c>
      <c r="H21" s="41">
        <v>1373</v>
      </c>
      <c r="I21" s="41">
        <v>85</v>
      </c>
      <c r="J21" s="41">
        <v>273</v>
      </c>
      <c r="K21" s="42">
        <v>85</v>
      </c>
      <c r="L21" s="42">
        <v>86</v>
      </c>
      <c r="M21" s="42">
        <v>1173</v>
      </c>
      <c r="N21" s="39">
        <v>85</v>
      </c>
      <c r="O21" s="39">
        <v>1</v>
      </c>
      <c r="P21" s="39">
        <v>60</v>
      </c>
      <c r="Q21" s="39">
        <v>3311</v>
      </c>
      <c r="R21" s="78">
        <v>79</v>
      </c>
      <c r="S21" s="78">
        <v>197</v>
      </c>
      <c r="T21">
        <f t="shared" si="0"/>
        <v>0</v>
      </c>
    </row>
    <row r="22" spans="1:20" x14ac:dyDescent="0.25">
      <c r="A22" s="73">
        <v>44243</v>
      </c>
      <c r="B22" s="40">
        <v>0</v>
      </c>
      <c r="C22" s="40">
        <v>0</v>
      </c>
      <c r="D22" s="40">
        <v>0</v>
      </c>
      <c r="E22" s="41">
        <v>85</v>
      </c>
      <c r="F22" s="41">
        <v>4857</v>
      </c>
      <c r="G22" s="41">
        <v>85</v>
      </c>
      <c r="H22" s="41">
        <v>1373</v>
      </c>
      <c r="I22" s="41">
        <v>85</v>
      </c>
      <c r="J22" s="41">
        <v>273</v>
      </c>
      <c r="K22" s="42">
        <v>85</v>
      </c>
      <c r="L22" s="42">
        <v>86</v>
      </c>
      <c r="M22" s="42">
        <v>1173</v>
      </c>
      <c r="N22" s="39">
        <v>85</v>
      </c>
      <c r="O22" s="39">
        <v>1</v>
      </c>
      <c r="P22" s="39">
        <v>60</v>
      </c>
      <c r="Q22" s="39">
        <v>3312</v>
      </c>
      <c r="R22" s="78">
        <v>79</v>
      </c>
      <c r="S22" s="78">
        <v>197</v>
      </c>
      <c r="T22">
        <f t="shared" si="0"/>
        <v>0</v>
      </c>
    </row>
    <row r="23" spans="1:20" x14ac:dyDescent="0.25">
      <c r="A23" s="73">
        <v>44244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  <c r="T23">
        <f t="shared" si="0"/>
        <v>-197</v>
      </c>
    </row>
    <row r="24" spans="1:20" x14ac:dyDescent="0.25">
      <c r="A24" s="73">
        <v>44245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  <c r="T24">
        <f t="shared" si="0"/>
        <v>0</v>
      </c>
    </row>
    <row r="25" spans="1:20" x14ac:dyDescent="0.25">
      <c r="A25" s="73">
        <v>44246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  <c r="T25">
        <f t="shared" si="0"/>
        <v>0</v>
      </c>
    </row>
    <row r="26" spans="1:20" x14ac:dyDescent="0.25">
      <c r="A26" s="73">
        <v>44247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  <c r="T26">
        <f t="shared" si="0"/>
        <v>0</v>
      </c>
    </row>
    <row r="27" spans="1:20" x14ac:dyDescent="0.25">
      <c r="A27" s="73">
        <v>44248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  <c r="T27">
        <f t="shared" si="0"/>
        <v>0</v>
      </c>
    </row>
    <row r="28" spans="1:20" x14ac:dyDescent="0.25">
      <c r="A28" s="73">
        <v>44249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  <c r="T28">
        <f t="shared" si="0"/>
        <v>0</v>
      </c>
    </row>
    <row r="29" spans="1:20" x14ac:dyDescent="0.25">
      <c r="A29" s="73">
        <v>44250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0</v>
      </c>
    </row>
    <row r="30" spans="1:20" x14ac:dyDescent="0.25">
      <c r="A30" s="73">
        <v>44251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44252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44253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44254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44255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/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Hany Metwally</cp:lastModifiedBy>
  <dcterms:created xsi:type="dcterms:W3CDTF">2019-08-14T08:16:24Z</dcterms:created>
  <dcterms:modified xsi:type="dcterms:W3CDTF">2021-02-16T07:00:31Z</dcterms:modified>
</cp:coreProperties>
</file>