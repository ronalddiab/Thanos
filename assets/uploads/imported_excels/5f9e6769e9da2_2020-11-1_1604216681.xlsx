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9" i="3" l="1"/>
  <c r="V39" i="3"/>
  <c r="Y40" i="3"/>
  <c r="U39" i="3"/>
  <c r="P39" i="3"/>
  <c r="R39" i="3" s="1"/>
  <c r="N39" i="3"/>
  <c r="K39" i="3"/>
  <c r="H39" i="3"/>
  <c r="F39" i="3"/>
  <c r="D39" i="3"/>
  <c r="B39" i="3"/>
  <c r="Q39" i="3" l="1"/>
  <c r="K20" i="2"/>
  <c r="K21" i="2"/>
  <c r="K22" i="2"/>
  <c r="K23" i="2"/>
  <c r="K24" i="2"/>
  <c r="K25" i="2"/>
  <c r="K26" i="2"/>
  <c r="K27" i="2"/>
  <c r="K28" i="2"/>
  <c r="K29" i="2"/>
  <c r="K30" i="2"/>
  <c r="K31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 l="1"/>
  <c r="U38" i="3" l="1"/>
  <c r="V38" i="3" s="1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H36" i="3"/>
  <c r="G29" i="2" s="1"/>
  <c r="F36" i="3"/>
  <c r="F29" i="2" s="1"/>
  <c r="D36" i="3"/>
  <c r="E29" i="2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H32" i="3"/>
  <c r="G25" i="2" s="1"/>
  <c r="F32" i="3"/>
  <c r="F25" i="2" s="1"/>
  <c r="D32" i="3"/>
  <c r="E25" i="2" s="1"/>
  <c r="U31" i="3"/>
  <c r="V31" i="3" s="1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H29" i="3"/>
  <c r="G22" i="2" s="1"/>
  <c r="F29" i="3"/>
  <c r="F22" i="2" s="1"/>
  <c r="D29" i="3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U21" i="3"/>
  <c r="V21" i="3" s="1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2" l="1"/>
  <c r="C40" i="3"/>
  <c r="G20" i="1"/>
  <c r="Q6" i="3"/>
  <c r="R6" i="3" s="1"/>
  <c r="G25" i="1"/>
  <c r="G29" i="1"/>
  <c r="E29" i="1"/>
  <c r="G22" i="1"/>
  <c r="G11" i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0" i="3"/>
  <c r="J23" i="2"/>
  <c r="I23" i="1"/>
  <c r="V33" i="3"/>
  <c r="J26" i="2"/>
  <c r="I26" i="1"/>
  <c r="V36" i="3"/>
  <c r="J31" i="2"/>
  <c r="I31" i="1"/>
  <c r="R31" i="3"/>
  <c r="I24" i="2"/>
  <c r="G24" i="1" s="1"/>
  <c r="Q34" i="3"/>
  <c r="I27" i="2"/>
  <c r="G27" i="1" s="1"/>
  <c r="G31" i="1"/>
  <c r="R35" i="3"/>
  <c r="I28" i="2"/>
  <c r="Q30" i="3"/>
  <c r="Q33" i="3"/>
  <c r="H26" i="2"/>
  <c r="G26" i="1" s="1"/>
  <c r="Q35" i="3"/>
  <c r="H28" i="2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3" i="1"/>
  <c r="R23" i="3"/>
  <c r="I16" i="2"/>
  <c r="G16" i="1" s="1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J6" i="3"/>
  <c r="M40" i="3"/>
  <c r="Q9" i="3"/>
  <c r="Q17" i="3"/>
  <c r="I20" i="3"/>
  <c r="K20" i="3" s="1"/>
  <c r="Q23" i="3"/>
  <c r="X6" i="3" l="1"/>
  <c r="Z6" i="3" s="1"/>
  <c r="G28" i="1"/>
  <c r="X36" i="3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<sst xmlns="http://schemas.openxmlformats.org/spreadsheetml/2006/main" count="307" uniqueCount="123">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</sst>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7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  <xf numFmtId="3" fontId="28" fillId="0" borderId="22" xfId="0" applyNumberFormat="1" applyFont="1" applyBorder="1" applyAlignment="1">
      <alignment vertical="center"/>
    </xf>
    <xf numFmtId="3" fontId="28" fillId="0" borderId="32" xfId="0" applyNumberFormat="1" applyFont="1" applyBorder="1" applyAlignment="1">
      <alignment vertical="center"/>
    </xf>
    <xf numFmtId="3" fontId="27" fillId="0" borderId="0" xfId="0" applyNumberFormat="1" applyFont="1" applyBorder="1" applyAlignment="1">
      <alignment horizontal="center"/>
    </xf>
    <xf numFmtId="165" fontId="19" fillId="12" borderId="0" xfId="0" applyNumberFormat="1" applyFont="1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6" xfId="0" applyBorder="1"/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F33" sqref="F33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10</v>
      </c>
      <c r="D2" s="7">
        <v>2020</v>
      </c>
      <c r="E2" s="9">
        <f>submetering!E2+submetering!F2+submetering!G2</f>
        <v>10072</v>
      </c>
      <c r="F2" s="7">
        <v>0.251</v>
      </c>
      <c r="G2" s="9">
        <f>submetering!H2+submetering!I2</f>
        <v>704</v>
      </c>
      <c r="H2" s="7">
        <v>0.57181599999999999</v>
      </c>
      <c r="I2" s="9">
        <f>HOTEL!U9</f>
        <v>399</v>
      </c>
      <c r="J2" s="7">
        <v>2.855</v>
      </c>
      <c r="K2" s="7">
        <f>HOTEL!Y9</f>
        <v>24</v>
      </c>
    </row>
    <row r="3" spans="1:11" s="12" customFormat="1" x14ac:dyDescent="0.25">
      <c r="A3" s="7" t="s">
        <v>11</v>
      </c>
      <c r="B3" s="11">
        <f>B2+1</f>
        <v>2</v>
      </c>
      <c r="C3" s="8">
        <v>10</v>
      </c>
      <c r="D3" s="7">
        <v>2020</v>
      </c>
      <c r="E3" s="9">
        <f>submetering!E3+submetering!F3+submetering!G3</f>
        <v>9438</v>
      </c>
      <c r="F3" s="7">
        <v>0.251</v>
      </c>
      <c r="G3" s="9">
        <f>submetering!H3+submetering!I3</f>
        <v>1036</v>
      </c>
      <c r="H3" s="7">
        <v>0.57181599999999999</v>
      </c>
      <c r="I3" s="9">
        <f>HOTEL!U10</f>
        <v>440</v>
      </c>
      <c r="J3" s="7">
        <v>2.855</v>
      </c>
      <c r="K3" s="7">
        <f>HOTEL!Y10</f>
        <v>30</v>
      </c>
    </row>
    <row r="4" spans="1:11" s="12" customFormat="1" x14ac:dyDescent="0.25">
      <c r="A4" s="7" t="s">
        <v>11</v>
      </c>
      <c r="B4" s="11">
        <f t="shared" ref="B4:B31" si="0">B3+1</f>
        <v>3</v>
      </c>
      <c r="C4" s="8">
        <v>10</v>
      </c>
      <c r="D4" s="7">
        <v>2020</v>
      </c>
      <c r="E4" s="9">
        <f>submetering!E4+submetering!F4+submetering!G4</f>
        <v>10437</v>
      </c>
      <c r="F4" s="7">
        <v>0.251</v>
      </c>
      <c r="G4" s="9">
        <f>submetering!H4+submetering!I4</f>
        <v>943</v>
      </c>
      <c r="H4" s="7">
        <v>0.57181599999999999</v>
      </c>
      <c r="I4" s="9">
        <f>HOTEL!U11</f>
        <v>411</v>
      </c>
      <c r="J4" s="7">
        <v>2.855</v>
      </c>
      <c r="K4" s="7">
        <f>HOTEL!Y11</f>
        <v>33</v>
      </c>
    </row>
    <row r="5" spans="1:11" s="12" customFormat="1" x14ac:dyDescent="0.25">
      <c r="A5" s="7" t="s">
        <v>11</v>
      </c>
      <c r="B5" s="11">
        <f t="shared" si="0"/>
        <v>4</v>
      </c>
      <c r="C5" s="8">
        <v>10</v>
      </c>
      <c r="D5" s="7">
        <v>2020</v>
      </c>
      <c r="E5" s="9">
        <f>submetering!E5+submetering!F5+submetering!G5</f>
        <v>10724</v>
      </c>
      <c r="F5" s="7">
        <v>0.251</v>
      </c>
      <c r="G5" s="9">
        <f>submetering!H5+submetering!I5</f>
        <v>1046</v>
      </c>
      <c r="H5" s="7">
        <v>0.57181599999999999</v>
      </c>
      <c r="I5" s="9">
        <f>HOTEL!U12</f>
        <v>543</v>
      </c>
      <c r="J5" s="7">
        <v>2.855</v>
      </c>
      <c r="K5" s="7">
        <f>HOTEL!Y12</f>
        <v>33</v>
      </c>
    </row>
    <row r="6" spans="1:11" s="12" customFormat="1" x14ac:dyDescent="0.25">
      <c r="A6" s="7" t="s">
        <v>11</v>
      </c>
      <c r="B6" s="11">
        <f t="shared" si="0"/>
        <v>5</v>
      </c>
      <c r="C6" s="8">
        <v>10</v>
      </c>
      <c r="D6" s="7">
        <v>2020</v>
      </c>
      <c r="E6" s="9">
        <f>submetering!E6+submetering!F6+submetering!G6</f>
        <v>9468</v>
      </c>
      <c r="F6" s="7">
        <v>0.251</v>
      </c>
      <c r="G6" s="9">
        <f>submetering!H6+submetering!I6</f>
        <v>1033</v>
      </c>
      <c r="H6" s="7">
        <v>0.57181599999999999</v>
      </c>
      <c r="I6" s="9">
        <f>HOTEL!U13</f>
        <v>405</v>
      </c>
      <c r="J6" s="7">
        <v>2.855</v>
      </c>
      <c r="K6" s="7">
        <f>HOTEL!Y13</f>
        <v>24</v>
      </c>
    </row>
    <row r="7" spans="1:11" s="12" customFormat="1" x14ac:dyDescent="0.25">
      <c r="A7" s="7" t="s">
        <v>11</v>
      </c>
      <c r="B7" s="11">
        <f t="shared" si="0"/>
        <v>6</v>
      </c>
      <c r="C7" s="8">
        <v>10</v>
      </c>
      <c r="D7" s="7">
        <v>2020</v>
      </c>
      <c r="E7" s="9">
        <f>submetering!E7+submetering!F7+submetering!G7</f>
        <v>9205</v>
      </c>
      <c r="F7" s="7">
        <v>0.251</v>
      </c>
      <c r="G7" s="9">
        <f>submetering!H7+submetering!I7</f>
        <v>955</v>
      </c>
      <c r="H7" s="7">
        <v>0.57181599999999999</v>
      </c>
      <c r="I7" s="9">
        <f>HOTEL!U14</f>
        <v>699</v>
      </c>
      <c r="J7" s="7">
        <v>2.855</v>
      </c>
      <c r="K7" s="7">
        <f>HOTEL!Y14</f>
        <v>21</v>
      </c>
    </row>
    <row r="8" spans="1:11" s="12" customFormat="1" x14ac:dyDescent="0.25">
      <c r="A8" s="7" t="s">
        <v>11</v>
      </c>
      <c r="B8" s="11">
        <f t="shared" si="0"/>
        <v>7</v>
      </c>
      <c r="C8" s="8">
        <v>10</v>
      </c>
      <c r="D8" s="7">
        <v>2020</v>
      </c>
      <c r="E8" s="9">
        <f>submetering!E8+submetering!F8+submetering!G8</f>
        <v>8563</v>
      </c>
      <c r="F8" s="7">
        <v>0.251</v>
      </c>
      <c r="G8" s="9">
        <f>submetering!H8+submetering!I8</f>
        <v>963</v>
      </c>
      <c r="H8" s="7">
        <v>0.57181599999999999</v>
      </c>
      <c r="I8" s="9">
        <f>HOTEL!U15</f>
        <v>314</v>
      </c>
      <c r="J8" s="7">
        <v>2.855</v>
      </c>
      <c r="K8" s="7">
        <f>HOTEL!Y15</f>
        <v>20</v>
      </c>
    </row>
    <row r="9" spans="1:11" s="12" customFormat="1" x14ac:dyDescent="0.25">
      <c r="A9" s="7" t="s">
        <v>11</v>
      </c>
      <c r="B9" s="11">
        <f t="shared" si="0"/>
        <v>8</v>
      </c>
      <c r="C9" s="8">
        <v>10</v>
      </c>
      <c r="D9" s="7">
        <v>2020</v>
      </c>
      <c r="E9" s="9">
        <f>submetering!E9+submetering!F9+submetering!G9</f>
        <v>8301</v>
      </c>
      <c r="F9" s="7">
        <v>0.251</v>
      </c>
      <c r="G9" s="9">
        <f>submetering!H9+submetering!I9</f>
        <v>1038</v>
      </c>
      <c r="H9" s="7">
        <v>0.57181599999999999</v>
      </c>
      <c r="I9" s="9">
        <f>HOTEL!U16</f>
        <v>368</v>
      </c>
      <c r="J9" s="7">
        <v>2.855</v>
      </c>
      <c r="K9" s="7">
        <f>HOTEL!Y16</f>
        <v>21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10</v>
      </c>
      <c r="D10" s="7">
        <v>2020</v>
      </c>
      <c r="E10" s="9">
        <f>submetering!E10+submetering!F10+submetering!G10</f>
        <v>7717</v>
      </c>
      <c r="F10" s="7">
        <v>0.251</v>
      </c>
      <c r="G10" s="9">
        <f>submetering!H10+submetering!I10</f>
        <v>949</v>
      </c>
      <c r="H10" s="7">
        <v>0.57181599999999999</v>
      </c>
      <c r="I10" s="9">
        <f>HOTEL!U17</f>
        <v>309</v>
      </c>
      <c r="J10" s="7">
        <v>2.855</v>
      </c>
      <c r="K10" s="7">
        <f>HOTEL!Y17</f>
        <v>21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10</v>
      </c>
      <c r="D11" s="7">
        <v>2020</v>
      </c>
      <c r="E11" s="9">
        <f>submetering!E11+submetering!F11+submetering!G11</f>
        <v>8247</v>
      </c>
      <c r="F11" s="7">
        <v>0.251</v>
      </c>
      <c r="G11" s="9">
        <f>submetering!H11+submetering!I11</f>
        <v>907</v>
      </c>
      <c r="H11" s="7">
        <v>0.57181599999999999</v>
      </c>
      <c r="I11" s="9">
        <f>HOTEL!U18</f>
        <v>359</v>
      </c>
      <c r="J11" s="7">
        <v>2.855</v>
      </c>
      <c r="K11" s="7">
        <f>HOTEL!Y18</f>
        <v>26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10</v>
      </c>
      <c r="D12" s="7">
        <v>2020</v>
      </c>
      <c r="E12" s="9">
        <f>submetering!E12+submetering!F12+submetering!G12</f>
        <v>7297</v>
      </c>
      <c r="F12" s="7">
        <v>0.251</v>
      </c>
      <c r="G12" s="9">
        <f>submetering!H12+submetering!I12</f>
        <v>986</v>
      </c>
      <c r="H12" s="7">
        <v>0.57181599999999999</v>
      </c>
      <c r="I12" s="9">
        <f>HOTEL!U19</f>
        <v>269</v>
      </c>
      <c r="J12" s="7">
        <v>2.855</v>
      </c>
      <c r="K12" s="7">
        <f>HOTEL!Y19</f>
        <v>26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10</v>
      </c>
      <c r="D13" s="7">
        <v>2020</v>
      </c>
      <c r="E13" s="9">
        <f>submetering!E13+submetering!F13+submetering!G13</f>
        <v>6955</v>
      </c>
      <c r="F13" s="7">
        <v>0.251</v>
      </c>
      <c r="G13" s="9">
        <f>submetering!H13+submetering!I13</f>
        <v>956</v>
      </c>
      <c r="H13" s="7">
        <v>0.57181599999999999</v>
      </c>
      <c r="I13" s="9">
        <f>HOTEL!U20</f>
        <v>126</v>
      </c>
      <c r="J13" s="7">
        <v>2.855</v>
      </c>
      <c r="K13" s="7">
        <f>HOTEL!Y20</f>
        <v>26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10</v>
      </c>
      <c r="D14" s="7">
        <v>2020</v>
      </c>
      <c r="E14" s="9">
        <f>submetering!E14+submetering!F14+submetering!G14</f>
        <v>5347</v>
      </c>
      <c r="F14" s="7">
        <v>0.251</v>
      </c>
      <c r="G14" s="9">
        <f>submetering!H14+submetering!I14</f>
        <v>1019</v>
      </c>
      <c r="H14" s="7">
        <v>0.57181599999999999</v>
      </c>
      <c r="I14" s="9">
        <f>HOTEL!U21</f>
        <v>140</v>
      </c>
      <c r="J14" s="7">
        <v>2.855</v>
      </c>
      <c r="K14" s="7">
        <f>HOTEL!Y21</f>
        <v>22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10</v>
      </c>
      <c r="D15" s="7">
        <v>2020</v>
      </c>
      <c r="E15" s="9">
        <f>submetering!E15+submetering!F15+submetering!G15</f>
        <v>5933</v>
      </c>
      <c r="F15" s="7">
        <v>0.251</v>
      </c>
      <c r="G15" s="9">
        <f>submetering!H15+submetering!I15</f>
        <v>1049</v>
      </c>
      <c r="H15" s="7">
        <v>0.57181599999999999</v>
      </c>
      <c r="I15" s="9">
        <f>HOTEL!U22</f>
        <v>134</v>
      </c>
      <c r="J15" s="7">
        <v>2.855</v>
      </c>
      <c r="K15" s="7">
        <f>HOTEL!Y22</f>
        <v>16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10</v>
      </c>
      <c r="D16" s="7">
        <v>2020</v>
      </c>
      <c r="E16" s="9">
        <f>submetering!E16+submetering!F16+submetering!G16</f>
        <v>5928</v>
      </c>
      <c r="F16" s="7">
        <v>0.251</v>
      </c>
      <c r="G16" s="9">
        <f>submetering!H16+submetering!I16</f>
        <v>756</v>
      </c>
      <c r="H16" s="7">
        <v>0.57181599999999999</v>
      </c>
      <c r="I16" s="9">
        <f>HOTEL!U23</f>
        <v>142</v>
      </c>
      <c r="J16" s="7">
        <v>2.855</v>
      </c>
      <c r="K16" s="7">
        <f>HOTEL!Y23</f>
        <v>17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10</v>
      </c>
      <c r="D17" s="7">
        <v>2020</v>
      </c>
      <c r="E17" s="9">
        <f>submetering!E17+submetering!F17+submetering!G17</f>
        <v>6487</v>
      </c>
      <c r="F17" s="7">
        <v>0.251</v>
      </c>
      <c r="G17" s="9">
        <f>submetering!H17+submetering!I17</f>
        <v>1068</v>
      </c>
      <c r="H17" s="7">
        <v>0.57181599999999999</v>
      </c>
      <c r="I17" s="9">
        <f>HOTEL!U24</f>
        <v>135</v>
      </c>
      <c r="J17" s="7">
        <v>2.855</v>
      </c>
      <c r="K17" s="7">
        <f>HOTEL!Y24</f>
        <v>16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10</v>
      </c>
      <c r="D18" s="7">
        <v>2020</v>
      </c>
      <c r="E18" s="9">
        <f>submetering!E18+submetering!F18+submetering!G18</f>
        <v>6544</v>
      </c>
      <c r="F18" s="7">
        <v>0.251</v>
      </c>
      <c r="G18" s="9">
        <f>submetering!H18+submetering!I18</f>
        <v>763</v>
      </c>
      <c r="H18" s="7">
        <v>0.57181599999999999</v>
      </c>
      <c r="I18" s="9">
        <f>HOTEL!U25</f>
        <v>471</v>
      </c>
      <c r="J18" s="7">
        <v>2.855</v>
      </c>
      <c r="K18" s="7">
        <f>HOTEL!Y25</f>
        <v>19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10</v>
      </c>
      <c r="D19" s="7">
        <v>2020</v>
      </c>
      <c r="E19" s="9">
        <f>submetering!E19+submetering!F19+submetering!G19</f>
        <v>6038</v>
      </c>
      <c r="F19" s="7">
        <v>0.251</v>
      </c>
      <c r="G19" s="9">
        <f>submetering!H19+submetering!I19</f>
        <v>1340</v>
      </c>
      <c r="H19" s="7">
        <v>0.57181599999999999</v>
      </c>
      <c r="I19" s="9">
        <f>HOTEL!U26</f>
        <v>83</v>
      </c>
      <c r="J19" s="7">
        <v>2.855</v>
      </c>
      <c r="K19" s="7">
        <f>HOTEL!Y26</f>
        <v>19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10</v>
      </c>
      <c r="D20" s="7">
        <v>2020</v>
      </c>
      <c r="E20" s="9">
        <f>submetering!E20+submetering!F20+submetering!G20</f>
        <v>6353</v>
      </c>
      <c r="F20" s="7">
        <v>0.251</v>
      </c>
      <c r="G20" s="9">
        <f>submetering!H20+submetering!I20</f>
        <v>967</v>
      </c>
      <c r="H20" s="7">
        <v>0.57181599999999999</v>
      </c>
      <c r="I20" s="9">
        <f>HOTEL!U27</f>
        <v>119</v>
      </c>
      <c r="J20" s="7">
        <v>2.855</v>
      </c>
      <c r="K20" s="7">
        <f>HOTEL!Y27</f>
        <v>19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10</v>
      </c>
      <c r="D21" s="7">
        <v>2020</v>
      </c>
      <c r="E21" s="9">
        <f>submetering!E21+submetering!F21+submetering!G21</f>
        <v>6629</v>
      </c>
      <c r="F21" s="7">
        <v>0.251</v>
      </c>
      <c r="G21" s="9">
        <f>submetering!H21+submetering!I21</f>
        <v>992</v>
      </c>
      <c r="H21" s="7">
        <v>0.57181599999999999</v>
      </c>
      <c r="I21" s="9">
        <f>HOTEL!U28</f>
        <v>90</v>
      </c>
      <c r="J21" s="7">
        <v>2.855</v>
      </c>
      <c r="K21" s="7">
        <f>HOTEL!Y28</f>
        <v>21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10</v>
      </c>
      <c r="D22" s="7">
        <v>2020</v>
      </c>
      <c r="E22" s="9">
        <f>submetering!E22+submetering!F22+submetering!G22</f>
        <v>6518</v>
      </c>
      <c r="F22" s="7">
        <v>0.251</v>
      </c>
      <c r="G22" s="9">
        <f>submetering!H22+submetering!I22</f>
        <v>832</v>
      </c>
      <c r="H22" s="7">
        <v>0.57181599999999999</v>
      </c>
      <c r="I22" s="9">
        <f>HOTEL!U29</f>
        <v>112</v>
      </c>
      <c r="J22" s="7">
        <v>2.855</v>
      </c>
      <c r="K22" s="7">
        <f>HOTEL!Y29</f>
        <v>20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10</v>
      </c>
      <c r="D23" s="7">
        <v>2020</v>
      </c>
      <c r="E23" s="9">
        <f>submetering!E23+submetering!F23+submetering!G23</f>
        <v>6167</v>
      </c>
      <c r="F23" s="7">
        <v>0.251</v>
      </c>
      <c r="G23" s="9">
        <f>submetering!H23+submetering!I23</f>
        <v>719</v>
      </c>
      <c r="H23" s="7">
        <v>0.57181599999999999</v>
      </c>
      <c r="I23" s="9">
        <f>HOTEL!U30</f>
        <v>109</v>
      </c>
      <c r="J23" s="7">
        <v>2.855</v>
      </c>
      <c r="K23" s="7">
        <f>HOTEL!Y30</f>
        <v>25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10</v>
      </c>
      <c r="D24" s="7">
        <v>2020</v>
      </c>
      <c r="E24" s="9">
        <f>submetering!E24+submetering!F24+submetering!G24</f>
        <v>6084</v>
      </c>
      <c r="F24" s="7">
        <v>0.251</v>
      </c>
      <c r="G24" s="9">
        <f>submetering!H24+submetering!I24</f>
        <v>1160</v>
      </c>
      <c r="H24" s="7">
        <v>0.57181599999999999</v>
      </c>
      <c r="I24" s="9">
        <f>HOTEL!U31</f>
        <v>273</v>
      </c>
      <c r="J24" s="7">
        <v>2.855</v>
      </c>
      <c r="K24" s="7">
        <f>HOTEL!Y31</f>
        <v>29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10</v>
      </c>
      <c r="D25" s="7">
        <v>2020</v>
      </c>
      <c r="E25" s="9">
        <f>submetering!E25+submetering!F25+submetering!G25</f>
        <v>7754</v>
      </c>
      <c r="F25" s="7">
        <v>0.251</v>
      </c>
      <c r="G25" s="9">
        <f>submetering!H25+submetering!I25</f>
        <v>1276</v>
      </c>
      <c r="H25" s="7">
        <v>0.57181599999999999</v>
      </c>
      <c r="I25" s="9">
        <f>HOTEL!U32</f>
        <v>136</v>
      </c>
      <c r="J25" s="7">
        <v>2.855</v>
      </c>
      <c r="K25" s="7">
        <f>HOTEL!Y32</f>
        <v>36</v>
      </c>
    </row>
    <row r="26" spans="1:11" s="12" customFormat="1" x14ac:dyDescent="0.25">
      <c r="A26" s="7" t="s">
        <v>11</v>
      </c>
      <c r="B26" s="11">
        <f>B25+1</f>
        <v>25</v>
      </c>
      <c r="C26" s="8">
        <v>10</v>
      </c>
      <c r="D26" s="7">
        <v>2020</v>
      </c>
      <c r="E26" s="9">
        <f>submetering!E26+submetering!F26+submetering!G26</f>
        <v>8403</v>
      </c>
      <c r="F26" s="7">
        <v>0.251</v>
      </c>
      <c r="G26" s="9">
        <f>submetering!H26+submetering!I26</f>
        <v>1521</v>
      </c>
      <c r="H26" s="7">
        <v>0.57181599999999999</v>
      </c>
      <c r="I26" s="9">
        <f>HOTEL!U33</f>
        <v>260</v>
      </c>
      <c r="J26" s="7">
        <v>2.855</v>
      </c>
      <c r="K26" s="7">
        <f>HOTEL!Y33</f>
        <v>55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10</v>
      </c>
      <c r="D27" s="7">
        <v>2020</v>
      </c>
      <c r="E27" s="9">
        <f>submetering!E27+submetering!F27+submetering!G27</f>
        <v>8454</v>
      </c>
      <c r="F27" s="7">
        <v>0.251</v>
      </c>
      <c r="G27" s="9">
        <f>submetering!H27+submetering!I27</f>
        <v>1295</v>
      </c>
      <c r="H27" s="7">
        <v>0.57181599999999999</v>
      </c>
      <c r="I27" s="9">
        <f>HOTEL!U34</f>
        <v>237</v>
      </c>
      <c r="J27" s="7">
        <v>2.855</v>
      </c>
      <c r="K27" s="7">
        <f>HOTEL!Y34</f>
        <v>26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10</v>
      </c>
      <c r="D28" s="7">
        <v>2020</v>
      </c>
      <c r="E28" s="9">
        <f>submetering!E28+submetering!F28+submetering!G28</f>
        <v>8072</v>
      </c>
      <c r="F28" s="7">
        <v>0.251</v>
      </c>
      <c r="G28" s="9">
        <f>submetering!H28+submetering!I28</f>
        <v>1300</v>
      </c>
      <c r="H28" s="7">
        <v>0.57181599999999999</v>
      </c>
      <c r="I28" s="9">
        <f>HOTEL!U35</f>
        <v>264</v>
      </c>
      <c r="J28" s="7">
        <v>2.855</v>
      </c>
      <c r="K28" s="7">
        <f>HOTEL!Y35</f>
        <v>29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10</v>
      </c>
      <c r="D29" s="7">
        <v>2020</v>
      </c>
      <c r="E29" s="9">
        <f>submetering!E29+submetering!F29+submetering!G29</f>
        <v>7362</v>
      </c>
      <c r="F29" s="7">
        <v>0.251</v>
      </c>
      <c r="G29" s="9">
        <f>submetering!H29+submetering!I29</f>
        <v>1210</v>
      </c>
      <c r="H29" s="7">
        <v>0.57181599999999999</v>
      </c>
      <c r="I29" s="9">
        <f>HOTEL!U36</f>
        <v>153</v>
      </c>
      <c r="J29" s="7">
        <v>2.855</v>
      </c>
      <c r="K29" s="7">
        <f>HOTEL!Y36</f>
        <v>29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10</v>
      </c>
      <c r="D30" s="7">
        <v>2020</v>
      </c>
      <c r="E30" s="9">
        <f>submetering!E30+submetering!F30+submetering!G30</f>
        <v>5800</v>
      </c>
      <c r="F30" s="7">
        <v>0.251</v>
      </c>
      <c r="G30" s="9">
        <f>submetering!H30+submetering!I30</f>
        <v>1001</v>
      </c>
      <c r="H30" s="7">
        <v>0.57181599999999999</v>
      </c>
      <c r="I30" s="9">
        <f>HOTEL!U37</f>
        <v>96</v>
      </c>
      <c r="J30" s="7">
        <v>2.855</v>
      </c>
      <c r="K30" s="7">
        <f>HOTEL!Y37</f>
        <v>26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10</v>
      </c>
      <c r="D31" s="7">
        <v>2020</v>
      </c>
      <c r="E31" s="9">
        <f>submetering!E31+submetering!F31+submetering!G31</f>
        <v>6620</v>
      </c>
      <c r="F31" s="7">
        <v>0.251</v>
      </c>
      <c r="G31" s="9">
        <f>submetering!H31+submetering!I31</f>
        <v>892</v>
      </c>
      <c r="H31" s="7">
        <v>0.57181599999999999</v>
      </c>
      <c r="I31" s="9">
        <f>HOTEL!U38</f>
        <v>162</v>
      </c>
      <c r="J31" s="7">
        <v>2.855</v>
      </c>
      <c r="K31" s="7">
        <f>HOTEL!Y38</f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8"/>
  <sheetViews>
    <sheetView workbookViewId="0">
      <selection activeCell="E2" sqref="E2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10</v>
      </c>
      <c r="D2" s="13">
        <v>2020</v>
      </c>
      <c r="E2" s="16">
        <f>HOTEL!D9</f>
        <v>3441</v>
      </c>
      <c r="F2" s="16">
        <f>HOTEL!F9</f>
        <v>3426</v>
      </c>
      <c r="G2" s="16">
        <f>HOTEL!H9</f>
        <v>3205</v>
      </c>
      <c r="H2" s="16">
        <f>HOTEL!N9</f>
        <v>100</v>
      </c>
      <c r="I2" s="16">
        <f>HOTEL!P9</f>
        <v>604</v>
      </c>
      <c r="J2" s="16">
        <f>HOTEL!U9</f>
        <v>399</v>
      </c>
      <c r="K2" s="16">
        <f>HOTEL!Y9</f>
        <v>24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10</v>
      </c>
      <c r="D3" s="13">
        <v>2020</v>
      </c>
      <c r="E3" s="16">
        <f>HOTEL!D10</f>
        <v>3225</v>
      </c>
      <c r="F3" s="16">
        <f>HOTEL!F10</f>
        <v>3222</v>
      </c>
      <c r="G3" s="16">
        <f>HOTEL!H10</f>
        <v>2991</v>
      </c>
      <c r="H3" s="16">
        <f>HOTEL!N10</f>
        <v>121</v>
      </c>
      <c r="I3" s="16">
        <f>HOTEL!P10</f>
        <v>915</v>
      </c>
      <c r="J3" s="16">
        <f>HOTEL!U10</f>
        <v>440</v>
      </c>
      <c r="K3" s="16">
        <f>HOTEL!Y10</f>
        <v>30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1" si="0">B3+1</f>
        <v>3</v>
      </c>
      <c r="C4" s="13">
        <v>10</v>
      </c>
      <c r="D4" s="13">
        <v>2020</v>
      </c>
      <c r="E4" s="16">
        <f>HOTEL!D11</f>
        <v>3549</v>
      </c>
      <c r="F4" s="16">
        <f>HOTEL!F11</f>
        <v>3558</v>
      </c>
      <c r="G4" s="16">
        <f>HOTEL!H11</f>
        <v>3330</v>
      </c>
      <c r="H4" s="16">
        <f>HOTEL!N11</f>
        <v>120</v>
      </c>
      <c r="I4" s="16">
        <f>HOTEL!P11</f>
        <v>823</v>
      </c>
      <c r="J4" s="16">
        <f>HOTEL!U11</f>
        <v>411</v>
      </c>
      <c r="K4" s="16">
        <f>HOTEL!Y11</f>
        <v>33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10</v>
      </c>
      <c r="D5" s="13">
        <v>2020</v>
      </c>
      <c r="E5" s="16">
        <f>HOTEL!D12</f>
        <v>3648</v>
      </c>
      <c r="F5" s="16">
        <f>HOTEL!F12</f>
        <v>3651</v>
      </c>
      <c r="G5" s="16">
        <f>HOTEL!H12</f>
        <v>3425</v>
      </c>
      <c r="H5" s="16">
        <f>HOTEL!N12</f>
        <v>130</v>
      </c>
      <c r="I5" s="16">
        <f>HOTEL!P12</f>
        <v>916</v>
      </c>
      <c r="J5" s="16">
        <f>HOTEL!U12</f>
        <v>543</v>
      </c>
      <c r="K5" s="16">
        <f>HOTEL!Y12</f>
        <v>33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10</v>
      </c>
      <c r="D6" s="13">
        <v>2020</v>
      </c>
      <c r="E6" s="16">
        <f>HOTEL!D13</f>
        <v>3231</v>
      </c>
      <c r="F6" s="16">
        <f>HOTEL!F13</f>
        <v>3222</v>
      </c>
      <c r="G6" s="16">
        <f>HOTEL!H13</f>
        <v>3015</v>
      </c>
      <c r="H6" s="16">
        <f>HOTEL!N13</f>
        <v>103</v>
      </c>
      <c r="I6" s="16">
        <f>HOTEL!P13</f>
        <v>930</v>
      </c>
      <c r="J6" s="16">
        <f>HOTEL!U13</f>
        <v>405</v>
      </c>
      <c r="K6" s="16">
        <f>HOTEL!Y13</f>
        <v>24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10</v>
      </c>
      <c r="D7" s="13">
        <v>2020</v>
      </c>
      <c r="E7" s="16">
        <f>HOTEL!D14</f>
        <v>3149</v>
      </c>
      <c r="F7" s="16">
        <f>HOTEL!F14</f>
        <v>3140</v>
      </c>
      <c r="G7" s="16">
        <f>HOTEL!H14</f>
        <v>2916</v>
      </c>
      <c r="H7" s="16">
        <f>HOTEL!N14</f>
        <v>116</v>
      </c>
      <c r="I7" s="16">
        <f>HOTEL!P14</f>
        <v>839</v>
      </c>
      <c r="J7" s="16">
        <f>HOTEL!U14</f>
        <v>699</v>
      </c>
      <c r="K7" s="16">
        <f>HOTEL!Y14</f>
        <v>21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10</v>
      </c>
      <c r="D8" s="13">
        <v>2020</v>
      </c>
      <c r="E8" s="16">
        <f>HOTEL!D15</f>
        <v>2922</v>
      </c>
      <c r="F8" s="16">
        <f>HOTEL!F15</f>
        <v>2930</v>
      </c>
      <c r="G8" s="16">
        <f>HOTEL!H15</f>
        <v>2711</v>
      </c>
      <c r="H8" s="16">
        <f>HOTEL!N15</f>
        <v>140</v>
      </c>
      <c r="I8" s="16">
        <f>HOTEL!P15</f>
        <v>823</v>
      </c>
      <c r="J8" s="16">
        <f>HOTEL!U15</f>
        <v>314</v>
      </c>
      <c r="K8" s="16">
        <f>HOTEL!Y15</f>
        <v>20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10</v>
      </c>
      <c r="D9" s="13">
        <v>2020</v>
      </c>
      <c r="E9" s="16">
        <f>HOTEL!D16</f>
        <v>2837</v>
      </c>
      <c r="F9" s="16">
        <f>HOTEL!F16</f>
        <v>2855</v>
      </c>
      <c r="G9" s="16">
        <f>HOTEL!H16</f>
        <v>2609</v>
      </c>
      <c r="H9" s="16">
        <f>HOTEL!N16</f>
        <v>134</v>
      </c>
      <c r="I9" s="16">
        <f>HOTEL!P16</f>
        <v>904</v>
      </c>
      <c r="J9" s="16">
        <f>HOTEL!U16</f>
        <v>368</v>
      </c>
      <c r="K9" s="16">
        <f>HOTEL!Y16</f>
        <v>21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10</v>
      </c>
      <c r="D10" s="13">
        <v>2020</v>
      </c>
      <c r="E10" s="16">
        <f>HOTEL!D17</f>
        <v>2631</v>
      </c>
      <c r="F10" s="16">
        <f>HOTEL!F17</f>
        <v>2511</v>
      </c>
      <c r="G10" s="16">
        <f>HOTEL!H17</f>
        <v>2575</v>
      </c>
      <c r="H10" s="16">
        <f>HOTEL!N17</f>
        <v>71</v>
      </c>
      <c r="I10" s="16">
        <f>HOTEL!P17</f>
        <v>878</v>
      </c>
      <c r="J10" s="16">
        <f>HOTEL!U17</f>
        <v>309</v>
      </c>
      <c r="K10" s="16">
        <f>HOTEL!Y17</f>
        <v>21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10</v>
      </c>
      <c r="D11" s="13">
        <v>2020</v>
      </c>
      <c r="E11" s="16">
        <f>HOTEL!D18</f>
        <v>2838</v>
      </c>
      <c r="F11" s="16">
        <f>HOTEL!F18</f>
        <v>2952</v>
      </c>
      <c r="G11" s="16">
        <f>HOTEL!H18</f>
        <v>2457</v>
      </c>
      <c r="H11" s="16">
        <f>HOTEL!N18</f>
        <v>99</v>
      </c>
      <c r="I11" s="16">
        <f>HOTEL!P18</f>
        <v>808</v>
      </c>
      <c r="J11" s="16">
        <f>HOTEL!U18</f>
        <v>359</v>
      </c>
      <c r="K11" s="16">
        <f>HOTEL!Y18</f>
        <v>26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10</v>
      </c>
      <c r="D12" s="13">
        <v>2020</v>
      </c>
      <c r="E12" s="16">
        <f>HOTEL!D19</f>
        <v>2501</v>
      </c>
      <c r="F12" s="16">
        <f>HOTEL!F19</f>
        <v>2501</v>
      </c>
      <c r="G12" s="16">
        <f>HOTEL!H19</f>
        <v>2295</v>
      </c>
      <c r="H12" s="16">
        <f>HOTEL!N19</f>
        <v>91</v>
      </c>
      <c r="I12" s="16">
        <f>HOTEL!P19</f>
        <v>895</v>
      </c>
      <c r="J12" s="16">
        <f>HOTEL!U19</f>
        <v>269</v>
      </c>
      <c r="K12" s="16">
        <f>HOTEL!Y19</f>
        <v>26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10</v>
      </c>
      <c r="D13" s="13">
        <v>2020</v>
      </c>
      <c r="E13" s="16">
        <f>HOTEL!D20</f>
        <v>2388</v>
      </c>
      <c r="F13" s="16">
        <f>HOTEL!F20</f>
        <v>2373</v>
      </c>
      <c r="G13" s="16">
        <f>HOTEL!H20</f>
        <v>2194</v>
      </c>
      <c r="H13" s="16">
        <f>HOTEL!N20</f>
        <v>79</v>
      </c>
      <c r="I13" s="16">
        <f>HOTEL!P20</f>
        <v>877</v>
      </c>
      <c r="J13" s="16">
        <f>HOTEL!U20</f>
        <v>126</v>
      </c>
      <c r="K13" s="16">
        <f>HOTEL!Y20</f>
        <v>26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10</v>
      </c>
      <c r="D14" s="13">
        <v>2020</v>
      </c>
      <c r="E14" s="16">
        <f>HOTEL!D21</f>
        <v>1862</v>
      </c>
      <c r="F14" s="16">
        <f>HOTEL!F21</f>
        <v>1817</v>
      </c>
      <c r="G14" s="16">
        <f>HOTEL!H21</f>
        <v>1668</v>
      </c>
      <c r="H14" s="16">
        <f>HOTEL!N21</f>
        <v>126</v>
      </c>
      <c r="I14" s="16">
        <f>HOTEL!P21</f>
        <v>893</v>
      </c>
      <c r="J14" s="16">
        <f>HOTEL!U21</f>
        <v>140</v>
      </c>
      <c r="K14" s="16">
        <f>HOTEL!Y21</f>
        <v>22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10</v>
      </c>
      <c r="D15" s="13">
        <v>2020</v>
      </c>
      <c r="E15" s="16">
        <f>HOTEL!D22</f>
        <v>2055</v>
      </c>
      <c r="F15" s="16">
        <f>HOTEL!F22</f>
        <v>2020</v>
      </c>
      <c r="G15" s="16">
        <f>HOTEL!H22</f>
        <v>1858</v>
      </c>
      <c r="H15" s="16">
        <f>HOTEL!N22</f>
        <v>124</v>
      </c>
      <c r="I15" s="16">
        <f>HOTEL!P22</f>
        <v>925</v>
      </c>
      <c r="J15" s="16">
        <f>HOTEL!U22</f>
        <v>134</v>
      </c>
      <c r="K15" s="16">
        <f>HOTEL!Y22</f>
        <v>16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10</v>
      </c>
      <c r="D16" s="13">
        <v>2020</v>
      </c>
      <c r="E16" s="16">
        <f>HOTEL!D23</f>
        <v>2047</v>
      </c>
      <c r="F16" s="16">
        <f>HOTEL!F23</f>
        <v>2025</v>
      </c>
      <c r="G16" s="16">
        <f>HOTEL!H23</f>
        <v>1856</v>
      </c>
      <c r="H16" s="16">
        <f>HOTEL!N23</f>
        <v>111</v>
      </c>
      <c r="I16" s="16">
        <f>HOTEL!P23</f>
        <v>645</v>
      </c>
      <c r="J16" s="16">
        <f>HOTEL!U23</f>
        <v>142</v>
      </c>
      <c r="K16" s="16">
        <f>HOTEL!Y23</f>
        <v>17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10</v>
      </c>
      <c r="D17" s="13">
        <v>2020</v>
      </c>
      <c r="E17" s="16">
        <f>HOTEL!D24</f>
        <v>2249</v>
      </c>
      <c r="F17" s="16">
        <f>HOTEL!F24</f>
        <v>2208</v>
      </c>
      <c r="G17" s="16">
        <f>HOTEL!H24</f>
        <v>2030</v>
      </c>
      <c r="H17" s="16">
        <f>HOTEL!N24</f>
        <v>120</v>
      </c>
      <c r="I17" s="16">
        <f>HOTEL!P24</f>
        <v>948</v>
      </c>
      <c r="J17" s="16">
        <f>HOTEL!U24</f>
        <v>135</v>
      </c>
      <c r="K17" s="16">
        <f>HOTEL!Y24</f>
        <v>16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10</v>
      </c>
      <c r="D18" s="13">
        <v>2020</v>
      </c>
      <c r="E18" s="16">
        <f>HOTEL!D25</f>
        <v>2264</v>
      </c>
      <c r="F18" s="16">
        <f>HOTEL!F25</f>
        <v>2232</v>
      </c>
      <c r="G18" s="16">
        <f>HOTEL!H25</f>
        <v>2048</v>
      </c>
      <c r="H18" s="16">
        <f>HOTEL!N25</f>
        <v>114</v>
      </c>
      <c r="I18" s="16">
        <f>HOTEL!P25</f>
        <v>649</v>
      </c>
      <c r="J18" s="16">
        <f>HOTEL!U25</f>
        <v>471</v>
      </c>
      <c r="K18" s="16">
        <f>HOTEL!Y25</f>
        <v>19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10</v>
      </c>
      <c r="D19" s="13">
        <v>2020</v>
      </c>
      <c r="E19" s="16">
        <f>HOTEL!D26</f>
        <v>2074</v>
      </c>
      <c r="F19" s="16">
        <f>HOTEL!F26</f>
        <v>2065</v>
      </c>
      <c r="G19" s="16">
        <f>HOTEL!H26</f>
        <v>1899</v>
      </c>
      <c r="H19" s="16">
        <f>HOTEL!N26</f>
        <v>105</v>
      </c>
      <c r="I19" s="16">
        <f>HOTEL!P26</f>
        <v>1235</v>
      </c>
      <c r="J19" s="16">
        <f>HOTEL!U26</f>
        <v>83</v>
      </c>
      <c r="K19" s="16">
        <f>HOTEL!Y26</f>
        <v>19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10</v>
      </c>
      <c r="D20" s="13">
        <v>2020</v>
      </c>
      <c r="E20" s="16">
        <f>HOTEL!D27</f>
        <v>2185</v>
      </c>
      <c r="F20" s="16">
        <f>HOTEL!F27</f>
        <v>2168</v>
      </c>
      <c r="G20" s="16">
        <f>HOTEL!H27</f>
        <v>2000</v>
      </c>
      <c r="H20" s="16">
        <f>HOTEL!N27</f>
        <v>109</v>
      </c>
      <c r="I20" s="16">
        <f>HOTEL!P27</f>
        <v>858</v>
      </c>
      <c r="J20" s="16">
        <f>HOTEL!U27</f>
        <v>119</v>
      </c>
      <c r="K20" s="16">
        <f>HOTEL!Y27</f>
        <v>19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10</v>
      </c>
      <c r="D21" s="13">
        <v>2020</v>
      </c>
      <c r="E21" s="16">
        <f>HOTEL!D28</f>
        <v>2261</v>
      </c>
      <c r="F21" s="16">
        <f>HOTEL!F28</f>
        <v>2273</v>
      </c>
      <c r="G21" s="16">
        <f>HOTEL!H28</f>
        <v>2095</v>
      </c>
      <c r="H21" s="16">
        <f>HOTEL!N28</f>
        <v>104</v>
      </c>
      <c r="I21" s="16">
        <f>HOTEL!P28</f>
        <v>888</v>
      </c>
      <c r="J21" s="16">
        <f>HOTEL!U28</f>
        <v>90</v>
      </c>
      <c r="K21" s="16">
        <f>HOTEL!Y28</f>
        <v>21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10</v>
      </c>
      <c r="D22" s="13">
        <v>2020</v>
      </c>
      <c r="E22" s="16">
        <f>HOTEL!D29</f>
        <v>2242</v>
      </c>
      <c r="F22" s="16">
        <f>HOTEL!F29</f>
        <v>2230</v>
      </c>
      <c r="G22" s="16">
        <f>HOTEL!H29</f>
        <v>2046</v>
      </c>
      <c r="H22" s="16">
        <f>HOTEL!N29</f>
        <v>91</v>
      </c>
      <c r="I22" s="16">
        <f>HOTEL!P29</f>
        <v>741</v>
      </c>
      <c r="J22" s="16">
        <f>HOTEL!U29</f>
        <v>112</v>
      </c>
      <c r="K22" s="16">
        <f>HOTEL!Y29</f>
        <v>20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10</v>
      </c>
      <c r="D23" s="13">
        <v>2020</v>
      </c>
      <c r="E23" s="16">
        <f>HOTEL!D30</f>
        <v>2110</v>
      </c>
      <c r="F23" s="16">
        <f>HOTEL!F30</f>
        <v>2120</v>
      </c>
      <c r="G23" s="16">
        <f>HOTEL!H30</f>
        <v>1937</v>
      </c>
      <c r="H23" s="16">
        <f>HOTEL!N30</f>
        <v>94</v>
      </c>
      <c r="I23" s="16">
        <f>HOTEL!P30</f>
        <v>625</v>
      </c>
      <c r="J23" s="16">
        <f>HOTEL!U30</f>
        <v>109</v>
      </c>
      <c r="K23" s="16">
        <f>HOTEL!Y30</f>
        <v>25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10</v>
      </c>
      <c r="D24" s="13">
        <v>2020</v>
      </c>
      <c r="E24" s="16">
        <f>HOTEL!D31</f>
        <v>2083</v>
      </c>
      <c r="F24" s="16">
        <f>HOTEL!F31</f>
        <v>2105</v>
      </c>
      <c r="G24" s="16">
        <f>HOTEL!H31</f>
        <v>1896</v>
      </c>
      <c r="H24" s="16">
        <f>HOTEL!N31</f>
        <v>115</v>
      </c>
      <c r="I24" s="16">
        <f>HOTEL!P31</f>
        <v>1045</v>
      </c>
      <c r="J24" s="16">
        <f>HOTEL!U31</f>
        <v>273</v>
      </c>
      <c r="K24" s="16">
        <f>HOTEL!Y31</f>
        <v>29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10</v>
      </c>
      <c r="D25" s="13">
        <v>2020</v>
      </c>
      <c r="E25" s="16">
        <f>HOTEL!D32</f>
        <v>2652</v>
      </c>
      <c r="F25" s="16">
        <f>HOTEL!F32</f>
        <v>2658</v>
      </c>
      <c r="G25" s="16">
        <f>HOTEL!H32</f>
        <v>2444</v>
      </c>
      <c r="H25" s="16">
        <f>HOTEL!N32</f>
        <v>99</v>
      </c>
      <c r="I25" s="16">
        <f>HOTEL!P32</f>
        <v>1177</v>
      </c>
      <c r="J25" s="16">
        <f>HOTEL!U32</f>
        <v>136</v>
      </c>
      <c r="K25" s="16">
        <f>HOTEL!Y32</f>
        <v>36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10</v>
      </c>
      <c r="D26" s="13">
        <v>2020</v>
      </c>
      <c r="E26" s="16">
        <f>HOTEL!D33</f>
        <v>2759</v>
      </c>
      <c r="F26" s="16">
        <f>HOTEL!F33</f>
        <v>2918</v>
      </c>
      <c r="G26" s="16">
        <f>HOTEL!H33</f>
        <v>2726</v>
      </c>
      <c r="H26" s="16">
        <f>HOTEL!N33</f>
        <v>140</v>
      </c>
      <c r="I26" s="16">
        <f>HOTEL!P33</f>
        <v>1381</v>
      </c>
      <c r="J26" s="16">
        <f>HOTEL!U33</f>
        <v>260</v>
      </c>
      <c r="K26" s="16">
        <f>HOTEL!Y33</f>
        <v>55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10</v>
      </c>
      <c r="D27" s="13">
        <v>2020</v>
      </c>
      <c r="E27" s="16">
        <f>HOTEL!D34</f>
        <v>3003</v>
      </c>
      <c r="F27" s="16">
        <f>HOTEL!F34</f>
        <v>2817</v>
      </c>
      <c r="G27" s="16">
        <f>HOTEL!H34</f>
        <v>2634</v>
      </c>
      <c r="H27" s="16">
        <f>HOTEL!N34</f>
        <v>126</v>
      </c>
      <c r="I27" s="16">
        <f>HOTEL!P34</f>
        <v>1169</v>
      </c>
      <c r="J27" s="16">
        <f>HOTEL!U34</f>
        <v>237</v>
      </c>
      <c r="K27" s="16">
        <f>HOTEL!Y34</f>
        <v>26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10</v>
      </c>
      <c r="D28" s="13">
        <v>2020</v>
      </c>
      <c r="E28" s="16">
        <f>HOTEL!D35</f>
        <v>2760</v>
      </c>
      <c r="F28" s="16">
        <f>HOTEL!F35</f>
        <v>2751</v>
      </c>
      <c r="G28" s="16">
        <f>HOTEL!H35</f>
        <v>2561</v>
      </c>
      <c r="H28" s="16">
        <f>HOTEL!N35</f>
        <v>108</v>
      </c>
      <c r="I28" s="16">
        <f>HOTEL!P35</f>
        <v>1192</v>
      </c>
      <c r="J28" s="16">
        <f>HOTEL!U35</f>
        <v>264</v>
      </c>
      <c r="K28" s="16">
        <f>HOTEL!Y35</f>
        <v>29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10</v>
      </c>
      <c r="D29" s="13">
        <v>2020</v>
      </c>
      <c r="E29" s="16">
        <f>HOTEL!D36</f>
        <v>2523</v>
      </c>
      <c r="F29" s="16">
        <f>HOTEL!F36</f>
        <v>2509</v>
      </c>
      <c r="G29" s="16">
        <f>HOTEL!H36</f>
        <v>2330</v>
      </c>
      <c r="H29" s="16">
        <f>HOTEL!N36</f>
        <v>120</v>
      </c>
      <c r="I29" s="16">
        <f>HOTEL!P36</f>
        <v>1090</v>
      </c>
      <c r="J29" s="16">
        <f>HOTEL!U36</f>
        <v>153</v>
      </c>
      <c r="K29" s="16">
        <f>HOTEL!Y36</f>
        <v>29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10</v>
      </c>
      <c r="D30" s="13">
        <v>2020</v>
      </c>
      <c r="E30" s="16">
        <f>HOTEL!D37</f>
        <v>2003</v>
      </c>
      <c r="F30" s="16">
        <f>HOTEL!F37</f>
        <v>1982</v>
      </c>
      <c r="G30" s="16">
        <f>HOTEL!H37</f>
        <v>1815</v>
      </c>
      <c r="H30" s="16">
        <f>HOTEL!N37</f>
        <v>110</v>
      </c>
      <c r="I30" s="16">
        <f>HOTEL!P37</f>
        <v>891</v>
      </c>
      <c r="J30" s="16">
        <f>HOTEL!U37</f>
        <v>96</v>
      </c>
      <c r="K30" s="16">
        <f>HOTEL!Y37</f>
        <v>26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10</v>
      </c>
      <c r="D31" s="13">
        <v>2020</v>
      </c>
      <c r="E31" s="16">
        <f>HOTEL!D38</f>
        <v>2277</v>
      </c>
      <c r="F31" s="16">
        <f>HOTEL!F38</f>
        <v>2252</v>
      </c>
      <c r="G31" s="16">
        <f>HOTEL!H38</f>
        <v>2091</v>
      </c>
      <c r="H31" s="16">
        <f>HOTEL!N38</f>
        <v>133</v>
      </c>
      <c r="I31" s="16">
        <f>HOTEL!P38</f>
        <v>759</v>
      </c>
      <c r="J31" s="16">
        <f>HOTEL!U38</f>
        <v>162</v>
      </c>
      <c r="K31" s="16">
        <f>HOTEL!Y38</f>
        <v>23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7" workbookViewId="0">
      <selection activeCell="AB35" sqref="AB35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33"/>
      <c r="C1" s="133"/>
      <c r="D1" s="133"/>
      <c r="E1" s="133"/>
      <c r="F1" s="134" t="s">
        <v>95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4" t="s">
        <v>122</v>
      </c>
      <c r="X1" s="135"/>
      <c r="Y1" s="135"/>
      <c r="Z1" s="136"/>
    </row>
    <row r="2" spans="1:27" x14ac:dyDescent="0.25">
      <c r="A2" s="13"/>
      <c r="B2" s="133"/>
      <c r="C2" s="133"/>
      <c r="D2" s="133"/>
      <c r="E2" s="133"/>
      <c r="F2" s="137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7"/>
      <c r="X2" s="138"/>
      <c r="Y2" s="138"/>
      <c r="Z2" s="139"/>
    </row>
    <row r="3" spans="1:27" x14ac:dyDescent="0.25">
      <c r="A3" s="13"/>
      <c r="B3" s="133"/>
      <c r="C3" s="133"/>
      <c r="D3" s="133"/>
      <c r="E3" s="133"/>
      <c r="F3" s="137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7">
        <v>2020</v>
      </c>
      <c r="X3" s="138"/>
      <c r="Y3" s="138"/>
      <c r="Z3" s="139"/>
    </row>
    <row r="4" spans="1:27" x14ac:dyDescent="0.25">
      <c r="A4" s="13"/>
      <c r="B4" s="133"/>
      <c r="C4" s="133"/>
      <c r="D4" s="133"/>
      <c r="E4" s="133"/>
      <c r="F4" s="140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140"/>
      <c r="X4" s="141"/>
      <c r="Y4" s="141"/>
      <c r="Z4" s="142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4779999</v>
      </c>
      <c r="D6" s="36"/>
      <c r="E6" s="37">
        <v>4732330</v>
      </c>
      <c r="F6" s="38"/>
      <c r="G6" s="35">
        <v>4481628</v>
      </c>
      <c r="H6" s="39">
        <f>G6-G5</f>
        <v>4481628</v>
      </c>
      <c r="I6" s="40"/>
      <c r="J6" s="41">
        <f>D6+F6+H6</f>
        <v>4481628</v>
      </c>
      <c r="K6" s="41" t="e">
        <f>D6*0.152+F6*0.238+H6*0.115+#REF!*0.218</f>
        <v>#REF!</v>
      </c>
      <c r="L6" s="42"/>
      <c r="M6" s="43">
        <v>110855</v>
      </c>
      <c r="N6" s="39" t="e">
        <f>M6-#REF!</f>
        <v>#REF!</v>
      </c>
      <c r="O6" s="44">
        <v>1889119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215323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43" t="s">
        <v>97</v>
      </c>
      <c r="D7" s="144"/>
      <c r="E7" s="144"/>
      <c r="F7" s="144"/>
      <c r="G7" s="144"/>
      <c r="H7" s="144"/>
      <c r="I7" s="144"/>
      <c r="J7" s="144"/>
      <c r="K7" s="145"/>
      <c r="L7" s="49"/>
      <c r="M7" s="143" t="s">
        <v>98</v>
      </c>
      <c r="N7" s="144"/>
      <c r="O7" s="144"/>
      <c r="P7" s="144"/>
      <c r="Q7" s="144"/>
      <c r="R7" s="145"/>
      <c r="S7" s="49"/>
      <c r="T7" s="146" t="s">
        <v>99</v>
      </c>
      <c r="U7" s="146"/>
      <c r="V7" s="147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118</v>
      </c>
      <c r="B9" s="67">
        <v>1</v>
      </c>
      <c r="C9" s="104">
        <v>4783440</v>
      </c>
      <c r="D9" s="69">
        <f>IF((C9-C6&lt;0), "0",C9-C6)</f>
        <v>3441</v>
      </c>
      <c r="E9" s="105">
        <v>4735756</v>
      </c>
      <c r="F9" s="69">
        <f>IF((E9-E6&lt;0), "0",E9-E6)</f>
        <v>3426</v>
      </c>
      <c r="G9" s="88">
        <v>4484833</v>
      </c>
      <c r="H9" s="69">
        <f>IF((G9-G6&lt;0), "0",G9-G6)</f>
        <v>3205</v>
      </c>
      <c r="I9" s="71">
        <f>SUM(H9,F9,D9)</f>
        <v>10072</v>
      </c>
      <c r="J9" s="72">
        <v>0.99</v>
      </c>
      <c r="K9" s="73">
        <f>I9*0.251</f>
        <v>2528.0720000000001</v>
      </c>
      <c r="L9" s="74"/>
      <c r="M9" s="104">
        <v>110955</v>
      </c>
      <c r="N9" s="69">
        <f>IF((M9-M6&lt;0), "0",M9-M6)</f>
        <v>100</v>
      </c>
      <c r="O9" s="104">
        <v>1889723</v>
      </c>
      <c r="P9" s="69">
        <f>IF((O9-O6&lt;0), "0",O9-O6)</f>
        <v>604</v>
      </c>
      <c r="Q9" s="75">
        <f t="shared" ref="Q9:Q39" si="0">N9+P9</f>
        <v>704</v>
      </c>
      <c r="R9" s="76">
        <f>(P9+N9)*0.056*10.211</f>
        <v>402.55846400000001</v>
      </c>
      <c r="S9" s="77"/>
      <c r="T9" s="106">
        <v>215722</v>
      </c>
      <c r="U9" s="69">
        <f>IF((T9-T6&lt;0), "0",T9-T6)</f>
        <v>399</v>
      </c>
      <c r="V9" s="79">
        <f>U9*(1.315+1.54)</f>
        <v>1139.145</v>
      </c>
      <c r="W9" s="80"/>
      <c r="X9" s="81">
        <f t="shared" ref="X9:X39" si="1">K9+R9+V9</f>
        <v>4069.7754640000003</v>
      </c>
      <c r="Y9" s="82">
        <v>24</v>
      </c>
      <c r="Z9" s="83">
        <f>X9/Y9</f>
        <v>169.57397766666668</v>
      </c>
    </row>
    <row r="10" spans="1:27" x14ac:dyDescent="0.25">
      <c r="A10" s="13" t="s">
        <v>119</v>
      </c>
      <c r="B10" s="67">
        <f>B9+1</f>
        <v>2</v>
      </c>
      <c r="C10" s="68">
        <v>4786665</v>
      </c>
      <c r="D10" s="69">
        <f t="shared" ref="D10:D19" si="2">IF((C10-C9&lt;0), "0",C10-C9)</f>
        <v>3225</v>
      </c>
      <c r="E10" s="70">
        <v>4738978</v>
      </c>
      <c r="F10" s="69">
        <f>IF((E10-E9&lt;0), "0",E10-E9)</f>
        <v>3222</v>
      </c>
      <c r="G10" s="70">
        <v>4487824</v>
      </c>
      <c r="H10" s="69">
        <f>IF((G10-G9&lt;0), "0",G10-G9)</f>
        <v>2991</v>
      </c>
      <c r="I10" s="71">
        <f t="shared" ref="I10:I38" si="3">SUM(H10,F10,D10)</f>
        <v>9438</v>
      </c>
      <c r="J10" s="72">
        <v>0.99</v>
      </c>
      <c r="K10" s="73">
        <f t="shared" ref="K10:K39" si="4">I10*0.251</f>
        <v>2368.9380000000001</v>
      </c>
      <c r="L10" s="74"/>
      <c r="M10" s="70">
        <v>111076</v>
      </c>
      <c r="N10" s="69">
        <f>IF((M10-M9&lt;0), "0",M10-M9)</f>
        <v>121</v>
      </c>
      <c r="O10" s="70">
        <v>1890638</v>
      </c>
      <c r="P10" s="69">
        <f>IF((O10-O9&lt;0), "0",O10-O9)</f>
        <v>915</v>
      </c>
      <c r="Q10" s="75">
        <f t="shared" si="0"/>
        <v>1036</v>
      </c>
      <c r="R10" s="76">
        <f t="shared" ref="R10:R39" si="5">(P10+N10)*0.056*10.211</f>
        <v>592.40137600000003</v>
      </c>
      <c r="S10" s="77"/>
      <c r="T10" s="78">
        <v>216162</v>
      </c>
      <c r="U10" s="69">
        <f>IF((T10-T9&lt;0), "0",T10-T9)</f>
        <v>440</v>
      </c>
      <c r="V10" s="79">
        <f t="shared" ref="V10:V39" si="6">U10*(1.315+1.54)</f>
        <v>1256.2</v>
      </c>
      <c r="W10" s="80"/>
      <c r="X10" s="84">
        <f t="shared" si="1"/>
        <v>4217.5393759999997</v>
      </c>
      <c r="Y10" s="85">
        <v>30</v>
      </c>
      <c r="Z10" s="86">
        <f t="shared" ref="Z10:Z38" si="7">X10/Y10</f>
        <v>140.58464586666665</v>
      </c>
    </row>
    <row r="11" spans="1:27" x14ac:dyDescent="0.25">
      <c r="A11" s="13" t="s">
        <v>120</v>
      </c>
      <c r="B11" s="67">
        <f t="shared" ref="B11:B39" si="8">B10+1</f>
        <v>3</v>
      </c>
      <c r="C11" s="68">
        <v>4790214</v>
      </c>
      <c r="D11" s="69">
        <f t="shared" si="2"/>
        <v>3549</v>
      </c>
      <c r="E11" s="68">
        <v>4742536</v>
      </c>
      <c r="F11" s="69">
        <f t="shared" ref="F11:F39" si="9">IF((E11-E10&lt;0), "0",E11-E10)</f>
        <v>3558</v>
      </c>
      <c r="G11" s="70">
        <v>4491154</v>
      </c>
      <c r="H11" s="69">
        <f t="shared" ref="H11:H39" si="10">IF((G11-G10&lt;0), "0",G11-G10)</f>
        <v>3330</v>
      </c>
      <c r="I11" s="71">
        <f t="shared" si="3"/>
        <v>10437</v>
      </c>
      <c r="J11" s="72">
        <v>0.99</v>
      </c>
      <c r="K11" s="73">
        <f t="shared" si="4"/>
        <v>2619.6869999999999</v>
      </c>
      <c r="L11" s="74"/>
      <c r="M11" s="70">
        <v>111196</v>
      </c>
      <c r="N11" s="69">
        <f t="shared" ref="N11:N39" si="11">IF((M11-M10&lt;0), "0",M11-M10)</f>
        <v>120</v>
      </c>
      <c r="O11" s="70">
        <v>1891461</v>
      </c>
      <c r="P11" s="69">
        <f t="shared" ref="P11:P39" si="12">IF((O11-O10&lt;0), "0",O11-O10)</f>
        <v>823</v>
      </c>
      <c r="Q11" s="75">
        <f t="shared" si="0"/>
        <v>943</v>
      </c>
      <c r="R11" s="76">
        <f t="shared" si="5"/>
        <v>539.222488</v>
      </c>
      <c r="S11" s="77"/>
      <c r="T11" s="87">
        <v>216573</v>
      </c>
      <c r="U11" s="69">
        <f t="shared" ref="U11:U39" si="13">IF((T11-T10&lt;0), "0",T11-T10)</f>
        <v>411</v>
      </c>
      <c r="V11" s="79">
        <f t="shared" si="6"/>
        <v>1173.405</v>
      </c>
      <c r="W11" s="80"/>
      <c r="X11" s="84">
        <f t="shared" si="1"/>
        <v>4332.314488</v>
      </c>
      <c r="Y11" s="85">
        <v>33</v>
      </c>
      <c r="Z11" s="86">
        <f t="shared" si="7"/>
        <v>131.28225721212121</v>
      </c>
    </row>
    <row r="12" spans="1:27" x14ac:dyDescent="0.25">
      <c r="A12" s="13" t="s">
        <v>96</v>
      </c>
      <c r="B12" s="67">
        <f t="shared" si="8"/>
        <v>4</v>
      </c>
      <c r="C12" s="68">
        <v>4793862</v>
      </c>
      <c r="D12" s="69">
        <f t="shared" si="2"/>
        <v>3648</v>
      </c>
      <c r="E12" s="68">
        <v>4746187</v>
      </c>
      <c r="F12" s="69">
        <f t="shared" si="9"/>
        <v>3651</v>
      </c>
      <c r="G12" s="70">
        <v>4494579</v>
      </c>
      <c r="H12" s="69">
        <f t="shared" si="10"/>
        <v>3425</v>
      </c>
      <c r="I12" s="71">
        <f t="shared" si="3"/>
        <v>10724</v>
      </c>
      <c r="J12" s="72">
        <v>0.99</v>
      </c>
      <c r="K12" s="73">
        <f t="shared" si="4"/>
        <v>2691.7240000000002</v>
      </c>
      <c r="L12" s="74"/>
      <c r="M12" s="70">
        <v>111326</v>
      </c>
      <c r="N12" s="69">
        <f t="shared" si="11"/>
        <v>130</v>
      </c>
      <c r="O12" s="70">
        <v>1892377</v>
      </c>
      <c r="P12" s="69">
        <f t="shared" si="12"/>
        <v>916</v>
      </c>
      <c r="Q12" s="75">
        <f t="shared" si="0"/>
        <v>1046</v>
      </c>
      <c r="R12" s="76">
        <f t="shared" si="5"/>
        <v>598.11953600000004</v>
      </c>
      <c r="S12" s="77"/>
      <c r="T12" s="78">
        <v>217116</v>
      </c>
      <c r="U12" s="69">
        <f t="shared" si="13"/>
        <v>543</v>
      </c>
      <c r="V12" s="79">
        <f t="shared" si="6"/>
        <v>1550.2650000000001</v>
      </c>
      <c r="W12" s="80"/>
      <c r="X12" s="84">
        <f t="shared" si="1"/>
        <v>4840.1085360000006</v>
      </c>
      <c r="Y12" s="85">
        <v>33</v>
      </c>
      <c r="Z12" s="86">
        <f t="shared" si="7"/>
        <v>146.66995563636365</v>
      </c>
    </row>
    <row r="13" spans="1:27" x14ac:dyDescent="0.25">
      <c r="A13" s="13" t="s">
        <v>121</v>
      </c>
      <c r="B13" s="67">
        <f t="shared" si="8"/>
        <v>5</v>
      </c>
      <c r="C13" s="88">
        <v>4797093</v>
      </c>
      <c r="D13" s="69">
        <f t="shared" si="2"/>
        <v>3231</v>
      </c>
      <c r="E13" s="68">
        <v>4749409</v>
      </c>
      <c r="F13" s="69">
        <f t="shared" si="9"/>
        <v>3222</v>
      </c>
      <c r="G13" s="88">
        <v>4497594</v>
      </c>
      <c r="H13" s="69">
        <f t="shared" si="10"/>
        <v>3015</v>
      </c>
      <c r="I13" s="71">
        <f t="shared" si="3"/>
        <v>9468</v>
      </c>
      <c r="J13" s="72">
        <v>0.99</v>
      </c>
      <c r="K13" s="73">
        <f t="shared" si="4"/>
        <v>2376.4679999999998</v>
      </c>
      <c r="L13" s="74"/>
      <c r="M13" s="70">
        <v>111429</v>
      </c>
      <c r="N13" s="69">
        <f t="shared" si="11"/>
        <v>103</v>
      </c>
      <c r="O13" s="68">
        <v>1893307</v>
      </c>
      <c r="P13" s="69">
        <f t="shared" si="12"/>
        <v>930</v>
      </c>
      <c r="Q13" s="75">
        <f t="shared" si="0"/>
        <v>1033</v>
      </c>
      <c r="R13" s="76">
        <f t="shared" si="5"/>
        <v>590.68592799999999</v>
      </c>
      <c r="S13" s="77"/>
      <c r="T13" s="89">
        <v>217521</v>
      </c>
      <c r="U13" s="69">
        <f t="shared" si="13"/>
        <v>405</v>
      </c>
      <c r="V13" s="79">
        <f t="shared" si="6"/>
        <v>1156.2750000000001</v>
      </c>
      <c r="W13" s="80"/>
      <c r="X13" s="84">
        <f t="shared" si="1"/>
        <v>4123.4289279999994</v>
      </c>
      <c r="Y13" s="85">
        <v>24</v>
      </c>
      <c r="Z13" s="86">
        <f t="shared" si="7"/>
        <v>171.80953866666664</v>
      </c>
    </row>
    <row r="14" spans="1:27" x14ac:dyDescent="0.25">
      <c r="A14" s="13" t="s">
        <v>116</v>
      </c>
      <c r="B14" s="67">
        <f t="shared" si="8"/>
        <v>6</v>
      </c>
      <c r="C14" s="68">
        <v>4800242</v>
      </c>
      <c r="D14" s="69">
        <f t="shared" si="2"/>
        <v>3149</v>
      </c>
      <c r="E14" s="68">
        <v>4752549</v>
      </c>
      <c r="F14" s="69">
        <f t="shared" si="9"/>
        <v>3140</v>
      </c>
      <c r="G14" s="88">
        <v>4500510</v>
      </c>
      <c r="H14" s="69">
        <f t="shared" si="10"/>
        <v>2916</v>
      </c>
      <c r="I14" s="71">
        <f t="shared" si="3"/>
        <v>9205</v>
      </c>
      <c r="J14" s="72">
        <v>0.99</v>
      </c>
      <c r="K14" s="73">
        <f t="shared" si="4"/>
        <v>2310.4549999999999</v>
      </c>
      <c r="L14" s="74"/>
      <c r="M14" s="70">
        <v>111545</v>
      </c>
      <c r="N14" s="69">
        <f t="shared" si="11"/>
        <v>116</v>
      </c>
      <c r="O14" s="68">
        <v>1894146</v>
      </c>
      <c r="P14" s="69">
        <f t="shared" si="12"/>
        <v>839</v>
      </c>
      <c r="Q14" s="75">
        <f t="shared" si="0"/>
        <v>955</v>
      </c>
      <c r="R14" s="76">
        <f t="shared" si="5"/>
        <v>546.08428000000004</v>
      </c>
      <c r="S14" s="77"/>
      <c r="T14" s="89">
        <v>218220</v>
      </c>
      <c r="U14" s="69">
        <f t="shared" si="13"/>
        <v>699</v>
      </c>
      <c r="V14" s="79">
        <f t="shared" si="6"/>
        <v>1995.645</v>
      </c>
      <c r="W14" s="80"/>
      <c r="X14" s="84">
        <f t="shared" si="1"/>
        <v>4852.1842799999995</v>
      </c>
      <c r="Y14" s="85">
        <v>21</v>
      </c>
      <c r="Z14" s="86">
        <f t="shared" si="7"/>
        <v>231.05639428571425</v>
      </c>
    </row>
    <row r="15" spans="1:27" x14ac:dyDescent="0.25">
      <c r="A15" s="13" t="s">
        <v>117</v>
      </c>
      <c r="B15" s="67">
        <f t="shared" si="8"/>
        <v>7</v>
      </c>
      <c r="C15" s="68">
        <v>4803164</v>
      </c>
      <c r="D15" s="69">
        <f t="shared" si="2"/>
        <v>2922</v>
      </c>
      <c r="E15" s="68">
        <v>4755479</v>
      </c>
      <c r="F15" s="69">
        <f t="shared" si="9"/>
        <v>2930</v>
      </c>
      <c r="G15" s="68">
        <v>4503221</v>
      </c>
      <c r="H15" s="69">
        <f t="shared" si="10"/>
        <v>2711</v>
      </c>
      <c r="I15" s="71">
        <f t="shared" si="3"/>
        <v>8563</v>
      </c>
      <c r="J15" s="72">
        <v>0.99</v>
      </c>
      <c r="K15" s="73">
        <f t="shared" si="4"/>
        <v>2149.3130000000001</v>
      </c>
      <c r="L15" s="74"/>
      <c r="M15" s="70">
        <v>111685</v>
      </c>
      <c r="N15" s="69">
        <f t="shared" si="11"/>
        <v>140</v>
      </c>
      <c r="O15" s="68">
        <v>1894969</v>
      </c>
      <c r="P15" s="69">
        <f t="shared" si="12"/>
        <v>823</v>
      </c>
      <c r="Q15" s="75">
        <f t="shared" si="0"/>
        <v>963</v>
      </c>
      <c r="R15" s="76">
        <f t="shared" si="5"/>
        <v>550.65880800000002</v>
      </c>
      <c r="S15" s="77"/>
      <c r="T15" s="89">
        <v>218534</v>
      </c>
      <c r="U15" s="69">
        <f t="shared" si="13"/>
        <v>314</v>
      </c>
      <c r="V15" s="79">
        <f t="shared" si="6"/>
        <v>896.47</v>
      </c>
      <c r="W15" s="80"/>
      <c r="X15" s="84">
        <f t="shared" si="1"/>
        <v>3596.4418080000005</v>
      </c>
      <c r="Y15" s="85">
        <v>20</v>
      </c>
      <c r="Z15" s="86">
        <f t="shared" si="7"/>
        <v>179.82209040000004</v>
      </c>
    </row>
    <row r="16" spans="1:27" x14ac:dyDescent="0.25">
      <c r="A16" s="13" t="s">
        <v>118</v>
      </c>
      <c r="B16" s="67">
        <f t="shared" si="8"/>
        <v>8</v>
      </c>
      <c r="C16" s="68">
        <v>4806001</v>
      </c>
      <c r="D16" s="69">
        <f t="shared" si="2"/>
        <v>2837</v>
      </c>
      <c r="E16" s="68">
        <v>4758334</v>
      </c>
      <c r="F16" s="69">
        <f t="shared" si="9"/>
        <v>2855</v>
      </c>
      <c r="G16" s="68">
        <v>4505830</v>
      </c>
      <c r="H16" s="69">
        <f t="shared" si="10"/>
        <v>2609</v>
      </c>
      <c r="I16" s="71">
        <f t="shared" si="3"/>
        <v>8301</v>
      </c>
      <c r="J16" s="72">
        <v>0.99</v>
      </c>
      <c r="K16" s="73">
        <f t="shared" si="4"/>
        <v>2083.5509999999999</v>
      </c>
      <c r="L16" s="74"/>
      <c r="M16" s="70">
        <v>111819</v>
      </c>
      <c r="N16" s="69">
        <f t="shared" si="11"/>
        <v>134</v>
      </c>
      <c r="O16" s="68">
        <v>1895873</v>
      </c>
      <c r="P16" s="69">
        <f t="shared" si="12"/>
        <v>904</v>
      </c>
      <c r="Q16" s="75">
        <f t="shared" si="0"/>
        <v>1038</v>
      </c>
      <c r="R16" s="76">
        <f t="shared" si="5"/>
        <v>593.54500800000005</v>
      </c>
      <c r="S16" s="77"/>
      <c r="T16" s="89">
        <v>218902</v>
      </c>
      <c r="U16" s="69">
        <f t="shared" si="13"/>
        <v>368</v>
      </c>
      <c r="V16" s="79">
        <f t="shared" si="6"/>
        <v>1050.6400000000001</v>
      </c>
      <c r="W16" s="80"/>
      <c r="X16" s="84">
        <f t="shared" si="1"/>
        <v>3727.7360079999999</v>
      </c>
      <c r="Y16" s="85">
        <v>21</v>
      </c>
      <c r="Z16" s="86">
        <f t="shared" si="7"/>
        <v>177.51123847619047</v>
      </c>
    </row>
    <row r="17" spans="1:26" x14ac:dyDescent="0.25">
      <c r="A17" s="13" t="s">
        <v>119</v>
      </c>
      <c r="B17" s="67">
        <v>9</v>
      </c>
      <c r="C17" s="90">
        <v>4808632</v>
      </c>
      <c r="D17" s="69">
        <f t="shared" si="2"/>
        <v>2631</v>
      </c>
      <c r="E17" s="90">
        <v>4760845</v>
      </c>
      <c r="F17" s="69">
        <f t="shared" si="9"/>
        <v>2511</v>
      </c>
      <c r="G17" s="90">
        <v>4508405</v>
      </c>
      <c r="H17" s="69">
        <f t="shared" si="10"/>
        <v>2575</v>
      </c>
      <c r="I17" s="71">
        <f t="shared" si="3"/>
        <v>7717</v>
      </c>
      <c r="J17" s="72">
        <v>0.99</v>
      </c>
      <c r="K17" s="73">
        <f t="shared" si="4"/>
        <v>1936.9670000000001</v>
      </c>
      <c r="L17" s="74"/>
      <c r="M17" s="90">
        <v>111890</v>
      </c>
      <c r="N17" s="69">
        <f t="shared" si="11"/>
        <v>71</v>
      </c>
      <c r="O17" s="90">
        <v>1896751</v>
      </c>
      <c r="P17" s="69">
        <f t="shared" si="12"/>
        <v>878</v>
      </c>
      <c r="Q17" s="75">
        <f t="shared" si="0"/>
        <v>949</v>
      </c>
      <c r="R17" s="76">
        <f t="shared" si="5"/>
        <v>542.65338399999996</v>
      </c>
      <c r="S17" s="77"/>
      <c r="T17" s="91">
        <v>219211</v>
      </c>
      <c r="U17" s="69">
        <f t="shared" si="13"/>
        <v>309</v>
      </c>
      <c r="V17" s="79">
        <f t="shared" si="6"/>
        <v>882.19500000000005</v>
      </c>
      <c r="W17" s="80"/>
      <c r="X17" s="84">
        <f t="shared" si="1"/>
        <v>3361.815384</v>
      </c>
      <c r="Y17" s="85">
        <v>21</v>
      </c>
      <c r="Z17" s="86">
        <f t="shared" si="7"/>
        <v>160.08644685714285</v>
      </c>
    </row>
    <row r="18" spans="1:26" x14ac:dyDescent="0.25">
      <c r="A18" s="13" t="s">
        <v>120</v>
      </c>
      <c r="B18" s="92">
        <f t="shared" si="8"/>
        <v>10</v>
      </c>
      <c r="C18" s="90">
        <v>4811470</v>
      </c>
      <c r="D18" s="69">
        <f t="shared" si="2"/>
        <v>2838</v>
      </c>
      <c r="E18" s="68">
        <v>4763797</v>
      </c>
      <c r="F18" s="69">
        <f t="shared" si="9"/>
        <v>2952</v>
      </c>
      <c r="G18" s="68">
        <v>4510862</v>
      </c>
      <c r="H18" s="69">
        <f t="shared" si="10"/>
        <v>2457</v>
      </c>
      <c r="I18" s="71">
        <f t="shared" si="3"/>
        <v>8247</v>
      </c>
      <c r="J18" s="72">
        <v>0.99</v>
      </c>
      <c r="K18" s="73">
        <f t="shared" si="4"/>
        <v>2069.9969999999998</v>
      </c>
      <c r="L18" s="93"/>
      <c r="M18" s="70">
        <v>111989</v>
      </c>
      <c r="N18" s="69">
        <f t="shared" si="11"/>
        <v>99</v>
      </c>
      <c r="O18" s="68">
        <v>1897559</v>
      </c>
      <c r="P18" s="69">
        <f t="shared" si="12"/>
        <v>808</v>
      </c>
      <c r="Q18" s="75">
        <f t="shared" si="0"/>
        <v>907</v>
      </c>
      <c r="R18" s="76">
        <f t="shared" si="5"/>
        <v>518.637112</v>
      </c>
      <c r="S18" s="94"/>
      <c r="T18" s="89">
        <v>219570</v>
      </c>
      <c r="U18" s="69">
        <f t="shared" si="13"/>
        <v>359</v>
      </c>
      <c r="V18" s="79">
        <f t="shared" si="6"/>
        <v>1024.9449999999999</v>
      </c>
      <c r="W18" s="80"/>
      <c r="X18" s="84">
        <f t="shared" si="1"/>
        <v>3613.5791119999994</v>
      </c>
      <c r="Y18" s="85">
        <v>26</v>
      </c>
      <c r="Z18" s="95">
        <f t="shared" si="7"/>
        <v>138.98381199999997</v>
      </c>
    </row>
    <row r="19" spans="1:26" x14ac:dyDescent="0.25">
      <c r="A19" s="13" t="s">
        <v>96</v>
      </c>
      <c r="B19" s="96">
        <f t="shared" si="8"/>
        <v>11</v>
      </c>
      <c r="C19" s="68">
        <v>4813971</v>
      </c>
      <c r="D19" s="69">
        <f t="shared" si="2"/>
        <v>2501</v>
      </c>
      <c r="E19" s="68">
        <v>4766298</v>
      </c>
      <c r="F19" s="69">
        <f t="shared" si="9"/>
        <v>2501</v>
      </c>
      <c r="G19" s="68">
        <v>4513157</v>
      </c>
      <c r="H19" s="69">
        <f t="shared" si="10"/>
        <v>2295</v>
      </c>
      <c r="I19" s="71">
        <f t="shared" si="3"/>
        <v>7297</v>
      </c>
      <c r="J19" s="72">
        <v>0.99</v>
      </c>
      <c r="K19" s="73">
        <f t="shared" si="4"/>
        <v>1831.547</v>
      </c>
      <c r="L19" s="74"/>
      <c r="M19" s="70">
        <v>112080</v>
      </c>
      <c r="N19" s="69">
        <f t="shared" si="11"/>
        <v>91</v>
      </c>
      <c r="O19" s="97">
        <v>1898454</v>
      </c>
      <c r="P19" s="69">
        <f t="shared" si="12"/>
        <v>895</v>
      </c>
      <c r="Q19" s="75">
        <f t="shared" si="0"/>
        <v>986</v>
      </c>
      <c r="R19" s="76">
        <f t="shared" si="5"/>
        <v>563.81057600000008</v>
      </c>
      <c r="S19" s="77"/>
      <c r="T19" s="98">
        <v>219839</v>
      </c>
      <c r="U19" s="69">
        <f t="shared" si="13"/>
        <v>269</v>
      </c>
      <c r="V19" s="79">
        <f t="shared" si="6"/>
        <v>767.995</v>
      </c>
      <c r="W19" s="80"/>
      <c r="X19" s="84">
        <f t="shared" si="1"/>
        <v>3163.3525760000002</v>
      </c>
      <c r="Y19" s="85">
        <v>26</v>
      </c>
      <c r="Z19" s="83">
        <f t="shared" si="7"/>
        <v>121.66740676923078</v>
      </c>
    </row>
    <row r="20" spans="1:26" x14ac:dyDescent="0.25">
      <c r="A20" s="13" t="s">
        <v>121</v>
      </c>
      <c r="B20" s="67">
        <f t="shared" si="8"/>
        <v>12</v>
      </c>
      <c r="C20" s="68">
        <v>4816359</v>
      </c>
      <c r="D20" s="69">
        <f t="shared" ref="D20:D39" si="14">IF((C20-C19&lt;0), "0",C20-C19)</f>
        <v>2388</v>
      </c>
      <c r="E20" s="68">
        <v>4768671</v>
      </c>
      <c r="F20" s="69">
        <f t="shared" si="9"/>
        <v>2373</v>
      </c>
      <c r="G20" s="68">
        <v>4515351</v>
      </c>
      <c r="H20" s="69">
        <f t="shared" si="10"/>
        <v>2194</v>
      </c>
      <c r="I20" s="71">
        <f t="shared" si="3"/>
        <v>6955</v>
      </c>
      <c r="J20" s="72">
        <v>0.99</v>
      </c>
      <c r="K20" s="73">
        <f t="shared" si="4"/>
        <v>1745.7049999999999</v>
      </c>
      <c r="L20" s="74"/>
      <c r="M20" s="70">
        <v>112159</v>
      </c>
      <c r="N20" s="69">
        <f t="shared" si="11"/>
        <v>79</v>
      </c>
      <c r="O20" s="68">
        <v>1899331</v>
      </c>
      <c r="P20" s="69">
        <f t="shared" si="12"/>
        <v>877</v>
      </c>
      <c r="Q20" s="75">
        <f t="shared" si="0"/>
        <v>956</v>
      </c>
      <c r="R20" s="76">
        <f t="shared" si="5"/>
        <v>546.65609600000005</v>
      </c>
      <c r="S20" s="77"/>
      <c r="T20" s="89">
        <v>219965</v>
      </c>
      <c r="U20" s="69">
        <f t="shared" si="13"/>
        <v>126</v>
      </c>
      <c r="V20" s="79">
        <f t="shared" si="6"/>
        <v>359.73</v>
      </c>
      <c r="W20" s="80"/>
      <c r="X20" s="84">
        <f t="shared" si="1"/>
        <v>2652.0910960000001</v>
      </c>
      <c r="Y20" s="85">
        <v>26</v>
      </c>
      <c r="Z20" s="86">
        <f t="shared" si="7"/>
        <v>102.0035036923077</v>
      </c>
    </row>
    <row r="21" spans="1:26" x14ac:dyDescent="0.25">
      <c r="A21" s="13" t="s">
        <v>116</v>
      </c>
      <c r="B21" s="67">
        <f t="shared" si="8"/>
        <v>13</v>
      </c>
      <c r="C21" s="90">
        <v>4818221</v>
      </c>
      <c r="D21" s="69">
        <f t="shared" si="14"/>
        <v>1862</v>
      </c>
      <c r="E21" s="68">
        <v>4770488</v>
      </c>
      <c r="F21" s="69">
        <f t="shared" si="9"/>
        <v>1817</v>
      </c>
      <c r="G21" s="68">
        <v>4517019</v>
      </c>
      <c r="H21" s="69">
        <f t="shared" si="10"/>
        <v>1668</v>
      </c>
      <c r="I21" s="71">
        <f t="shared" si="3"/>
        <v>5347</v>
      </c>
      <c r="J21" s="72">
        <v>0.99</v>
      </c>
      <c r="K21" s="73">
        <f t="shared" si="4"/>
        <v>1342.097</v>
      </c>
      <c r="L21" s="74"/>
      <c r="M21" s="70">
        <v>112285</v>
      </c>
      <c r="N21" s="69">
        <f t="shared" si="11"/>
        <v>126</v>
      </c>
      <c r="O21" s="68">
        <v>1900224</v>
      </c>
      <c r="P21" s="69">
        <f t="shared" si="12"/>
        <v>893</v>
      </c>
      <c r="Q21" s="75">
        <f t="shared" si="0"/>
        <v>1019</v>
      </c>
      <c r="R21" s="76">
        <f t="shared" si="5"/>
        <v>582.68050400000004</v>
      </c>
      <c r="S21" s="77"/>
      <c r="T21" s="89">
        <v>220105</v>
      </c>
      <c r="U21" s="69">
        <f t="shared" si="13"/>
        <v>140</v>
      </c>
      <c r="V21" s="79">
        <f t="shared" si="6"/>
        <v>399.7</v>
      </c>
      <c r="W21" s="80"/>
      <c r="X21" s="84">
        <f t="shared" si="1"/>
        <v>2324.477504</v>
      </c>
      <c r="Y21" s="85">
        <v>22</v>
      </c>
      <c r="Z21" s="86">
        <f t="shared" si="7"/>
        <v>105.65806836363636</v>
      </c>
    </row>
    <row r="22" spans="1:26" x14ac:dyDescent="0.25">
      <c r="A22" s="13" t="s">
        <v>117</v>
      </c>
      <c r="B22" s="67">
        <f t="shared" si="8"/>
        <v>14</v>
      </c>
      <c r="C22" s="90">
        <v>4820276</v>
      </c>
      <c r="D22" s="69">
        <f t="shared" si="14"/>
        <v>2055</v>
      </c>
      <c r="E22" s="68">
        <v>4772508</v>
      </c>
      <c r="F22" s="69">
        <f t="shared" si="9"/>
        <v>2020</v>
      </c>
      <c r="G22" s="68">
        <v>4518877</v>
      </c>
      <c r="H22" s="69">
        <f t="shared" si="10"/>
        <v>1858</v>
      </c>
      <c r="I22" s="71">
        <f t="shared" si="3"/>
        <v>5933</v>
      </c>
      <c r="J22" s="72">
        <v>0.99</v>
      </c>
      <c r="K22" s="73">
        <f t="shared" si="4"/>
        <v>1489.183</v>
      </c>
      <c r="L22" s="74"/>
      <c r="M22" s="70">
        <v>112409</v>
      </c>
      <c r="N22" s="69">
        <f t="shared" si="11"/>
        <v>124</v>
      </c>
      <c r="O22" s="68">
        <v>1901149</v>
      </c>
      <c r="P22" s="69">
        <f t="shared" si="12"/>
        <v>925</v>
      </c>
      <c r="Q22" s="75">
        <f t="shared" si="0"/>
        <v>1049</v>
      </c>
      <c r="R22" s="76">
        <f t="shared" si="5"/>
        <v>599.83498399999996</v>
      </c>
      <c r="S22" s="77"/>
      <c r="T22" s="89">
        <v>220239</v>
      </c>
      <c r="U22" s="69">
        <f t="shared" si="13"/>
        <v>134</v>
      </c>
      <c r="V22" s="79">
        <f t="shared" si="6"/>
        <v>382.57</v>
      </c>
      <c r="W22" s="80"/>
      <c r="X22" s="84">
        <f t="shared" si="1"/>
        <v>2471.5879840000002</v>
      </c>
      <c r="Y22" s="85">
        <v>16</v>
      </c>
      <c r="Z22" s="86">
        <f t="shared" si="7"/>
        <v>154.47424900000001</v>
      </c>
    </row>
    <row r="23" spans="1:26" x14ac:dyDescent="0.25">
      <c r="A23" s="13" t="s">
        <v>118</v>
      </c>
      <c r="B23" s="67">
        <f t="shared" si="8"/>
        <v>15</v>
      </c>
      <c r="C23" s="68">
        <v>4822323</v>
      </c>
      <c r="D23" s="69">
        <f t="shared" si="14"/>
        <v>2047</v>
      </c>
      <c r="E23" s="68">
        <v>4774533</v>
      </c>
      <c r="F23" s="69">
        <f t="shared" si="9"/>
        <v>2025</v>
      </c>
      <c r="G23" s="68">
        <v>4520733</v>
      </c>
      <c r="H23" s="69">
        <f t="shared" si="10"/>
        <v>1856</v>
      </c>
      <c r="I23" s="71">
        <f t="shared" si="3"/>
        <v>5928</v>
      </c>
      <c r="J23" s="72">
        <v>0.99</v>
      </c>
      <c r="K23" s="73">
        <f t="shared" si="4"/>
        <v>1487.9280000000001</v>
      </c>
      <c r="L23" s="74"/>
      <c r="M23" s="70">
        <v>112520</v>
      </c>
      <c r="N23" s="69">
        <f t="shared" si="11"/>
        <v>111</v>
      </c>
      <c r="O23" s="68">
        <v>1901794</v>
      </c>
      <c r="P23" s="69">
        <f t="shared" si="12"/>
        <v>645</v>
      </c>
      <c r="Q23" s="75">
        <f t="shared" si="0"/>
        <v>756</v>
      </c>
      <c r="R23" s="76">
        <f t="shared" si="5"/>
        <v>432.29289599999998</v>
      </c>
      <c r="S23" s="77"/>
      <c r="T23" s="89">
        <v>220381</v>
      </c>
      <c r="U23" s="69">
        <f t="shared" si="13"/>
        <v>142</v>
      </c>
      <c r="V23" s="79">
        <f t="shared" si="6"/>
        <v>405.41</v>
      </c>
      <c r="W23" s="80"/>
      <c r="X23" s="84">
        <f t="shared" si="1"/>
        <v>2325.6308960000001</v>
      </c>
      <c r="Y23" s="85">
        <v>17</v>
      </c>
      <c r="Z23" s="86">
        <f t="shared" si="7"/>
        <v>136.80181741176472</v>
      </c>
    </row>
    <row r="24" spans="1:26" x14ac:dyDescent="0.25">
      <c r="A24" s="13" t="s">
        <v>119</v>
      </c>
      <c r="B24" s="67">
        <f t="shared" si="8"/>
        <v>16</v>
      </c>
      <c r="C24" s="68">
        <v>4824572</v>
      </c>
      <c r="D24" s="69">
        <f t="shared" si="14"/>
        <v>2249</v>
      </c>
      <c r="E24" s="68">
        <v>4776741</v>
      </c>
      <c r="F24" s="69">
        <f t="shared" si="9"/>
        <v>2208</v>
      </c>
      <c r="G24" s="68">
        <v>4522763</v>
      </c>
      <c r="H24" s="69">
        <f t="shared" si="10"/>
        <v>2030</v>
      </c>
      <c r="I24" s="71">
        <f t="shared" si="3"/>
        <v>6487</v>
      </c>
      <c r="J24" s="72">
        <v>0.99</v>
      </c>
      <c r="K24" s="73">
        <f t="shared" si="4"/>
        <v>1628.2370000000001</v>
      </c>
      <c r="L24" s="74"/>
      <c r="M24" s="70">
        <v>112640</v>
      </c>
      <c r="N24" s="69">
        <f t="shared" si="11"/>
        <v>120</v>
      </c>
      <c r="O24" s="68">
        <v>1902742</v>
      </c>
      <c r="P24" s="69">
        <f t="shared" si="12"/>
        <v>948</v>
      </c>
      <c r="Q24" s="75">
        <f t="shared" si="0"/>
        <v>1068</v>
      </c>
      <c r="R24" s="76">
        <f t="shared" si="5"/>
        <v>610.69948799999997</v>
      </c>
      <c r="S24" s="77"/>
      <c r="T24" s="89">
        <v>220516</v>
      </c>
      <c r="U24" s="69">
        <f t="shared" si="13"/>
        <v>135</v>
      </c>
      <c r="V24" s="79">
        <f t="shared" si="6"/>
        <v>385.42500000000001</v>
      </c>
      <c r="W24" s="80"/>
      <c r="X24" s="84">
        <f t="shared" si="1"/>
        <v>2624.3614880000005</v>
      </c>
      <c r="Y24" s="85">
        <v>16</v>
      </c>
      <c r="Z24" s="86">
        <f t="shared" si="7"/>
        <v>164.02259300000003</v>
      </c>
    </row>
    <row r="25" spans="1:26" x14ac:dyDescent="0.25">
      <c r="A25" s="13" t="s">
        <v>120</v>
      </c>
      <c r="B25" s="67">
        <f t="shared" si="8"/>
        <v>17</v>
      </c>
      <c r="C25" s="68">
        <v>4826836</v>
      </c>
      <c r="D25" s="69">
        <f t="shared" si="14"/>
        <v>2264</v>
      </c>
      <c r="E25" s="68">
        <v>4778973</v>
      </c>
      <c r="F25" s="69">
        <f t="shared" si="9"/>
        <v>2232</v>
      </c>
      <c r="G25" s="68">
        <v>4524811</v>
      </c>
      <c r="H25" s="69">
        <f t="shared" si="10"/>
        <v>2048</v>
      </c>
      <c r="I25" s="71">
        <f t="shared" si="3"/>
        <v>6544</v>
      </c>
      <c r="J25" s="72">
        <v>0.99</v>
      </c>
      <c r="K25" s="73">
        <f t="shared" si="4"/>
        <v>1642.5440000000001</v>
      </c>
      <c r="L25" s="74"/>
      <c r="M25" s="70">
        <v>112754</v>
      </c>
      <c r="N25" s="69">
        <f t="shared" si="11"/>
        <v>114</v>
      </c>
      <c r="O25" s="68">
        <v>1903391</v>
      </c>
      <c r="P25" s="69">
        <f t="shared" si="12"/>
        <v>649</v>
      </c>
      <c r="Q25" s="75">
        <f t="shared" si="0"/>
        <v>763</v>
      </c>
      <c r="R25" s="76">
        <f t="shared" si="5"/>
        <v>436.29560800000002</v>
      </c>
      <c r="S25" s="77"/>
      <c r="T25" s="89">
        <v>220987</v>
      </c>
      <c r="U25" s="69">
        <f t="shared" si="13"/>
        <v>471</v>
      </c>
      <c r="V25" s="79">
        <f t="shared" si="6"/>
        <v>1344.7049999999999</v>
      </c>
      <c r="W25" s="80"/>
      <c r="X25" s="84">
        <f t="shared" si="1"/>
        <v>3423.5446080000002</v>
      </c>
      <c r="Y25" s="85">
        <v>19</v>
      </c>
      <c r="Z25" s="86">
        <f t="shared" si="7"/>
        <v>180.18655831578948</v>
      </c>
    </row>
    <row r="26" spans="1:26" x14ac:dyDescent="0.25">
      <c r="A26" s="13" t="s">
        <v>96</v>
      </c>
      <c r="B26" s="67">
        <f t="shared" si="8"/>
        <v>18</v>
      </c>
      <c r="C26" s="68">
        <v>4828910</v>
      </c>
      <c r="D26" s="69">
        <f t="shared" si="14"/>
        <v>2074</v>
      </c>
      <c r="E26" s="68">
        <v>4781038</v>
      </c>
      <c r="F26" s="69">
        <f t="shared" si="9"/>
        <v>2065</v>
      </c>
      <c r="G26" s="68">
        <v>4526710</v>
      </c>
      <c r="H26" s="69">
        <f t="shared" si="10"/>
        <v>1899</v>
      </c>
      <c r="I26" s="71">
        <f t="shared" si="3"/>
        <v>6038</v>
      </c>
      <c r="J26" s="72">
        <v>0.99</v>
      </c>
      <c r="K26" s="73">
        <f t="shared" si="4"/>
        <v>1515.538</v>
      </c>
      <c r="L26" s="74"/>
      <c r="M26" s="70">
        <v>112859</v>
      </c>
      <c r="N26" s="69">
        <f t="shared" si="11"/>
        <v>105</v>
      </c>
      <c r="O26" s="68">
        <v>1904626</v>
      </c>
      <c r="P26" s="69">
        <f t="shared" si="12"/>
        <v>1235</v>
      </c>
      <c r="Q26" s="75">
        <f t="shared" si="0"/>
        <v>1340</v>
      </c>
      <c r="R26" s="76">
        <f t="shared" si="5"/>
        <v>766.23344000000009</v>
      </c>
      <c r="S26" s="77"/>
      <c r="T26" s="89">
        <v>221070</v>
      </c>
      <c r="U26" s="69">
        <f t="shared" si="13"/>
        <v>83</v>
      </c>
      <c r="V26" s="79">
        <f t="shared" si="6"/>
        <v>236.965</v>
      </c>
      <c r="W26" s="80"/>
      <c r="X26" s="84">
        <f t="shared" si="1"/>
        <v>2518.7364400000001</v>
      </c>
      <c r="Y26" s="85">
        <v>19</v>
      </c>
      <c r="Z26" s="86">
        <f t="shared" si="7"/>
        <v>132.5650757894737</v>
      </c>
    </row>
    <row r="27" spans="1:26" x14ac:dyDescent="0.25">
      <c r="A27" s="13" t="s">
        <v>121</v>
      </c>
      <c r="B27" s="67">
        <f t="shared" si="8"/>
        <v>19</v>
      </c>
      <c r="C27" s="68">
        <v>4831095</v>
      </c>
      <c r="D27" s="69">
        <f t="shared" si="14"/>
        <v>2185</v>
      </c>
      <c r="E27" s="68">
        <v>4783206</v>
      </c>
      <c r="F27" s="69">
        <f t="shared" si="9"/>
        <v>2168</v>
      </c>
      <c r="G27" s="68">
        <v>4528710</v>
      </c>
      <c r="H27" s="69">
        <f t="shared" si="10"/>
        <v>2000</v>
      </c>
      <c r="I27" s="71">
        <f t="shared" si="3"/>
        <v>6353</v>
      </c>
      <c r="J27" s="72">
        <v>0.99</v>
      </c>
      <c r="K27" s="73">
        <f t="shared" si="4"/>
        <v>1594.6030000000001</v>
      </c>
      <c r="L27" s="99"/>
      <c r="M27" s="70">
        <v>112968</v>
      </c>
      <c r="N27" s="69">
        <f t="shared" si="11"/>
        <v>109</v>
      </c>
      <c r="O27" s="68">
        <v>1905484</v>
      </c>
      <c r="P27" s="69">
        <f t="shared" si="12"/>
        <v>858</v>
      </c>
      <c r="Q27" s="75">
        <f t="shared" si="0"/>
        <v>967</v>
      </c>
      <c r="R27" s="76">
        <f t="shared" si="5"/>
        <v>552.94607200000007</v>
      </c>
      <c r="S27" s="77"/>
      <c r="T27" s="89">
        <v>221189</v>
      </c>
      <c r="U27" s="69">
        <f t="shared" si="13"/>
        <v>119</v>
      </c>
      <c r="V27" s="79">
        <f t="shared" si="6"/>
        <v>339.745</v>
      </c>
      <c r="W27" s="80"/>
      <c r="X27" s="84">
        <f t="shared" si="1"/>
        <v>2487.2940720000001</v>
      </c>
      <c r="Y27" s="85">
        <v>19</v>
      </c>
      <c r="Z27" s="86">
        <f t="shared" si="7"/>
        <v>130.91021431578949</v>
      </c>
    </row>
    <row r="28" spans="1:26" x14ac:dyDescent="0.25">
      <c r="A28" s="13" t="s">
        <v>116</v>
      </c>
      <c r="B28" s="92">
        <f t="shared" si="8"/>
        <v>20</v>
      </c>
      <c r="C28" s="90">
        <v>4833356</v>
      </c>
      <c r="D28" s="69">
        <f t="shared" si="14"/>
        <v>2261</v>
      </c>
      <c r="E28" s="90">
        <v>4785479</v>
      </c>
      <c r="F28" s="69">
        <f t="shared" si="9"/>
        <v>2273</v>
      </c>
      <c r="G28" s="90">
        <v>4530805</v>
      </c>
      <c r="H28" s="69">
        <f t="shared" si="10"/>
        <v>2095</v>
      </c>
      <c r="I28" s="71">
        <f t="shared" si="3"/>
        <v>6629</v>
      </c>
      <c r="J28" s="72">
        <v>0.99</v>
      </c>
      <c r="K28" s="73">
        <f t="shared" si="4"/>
        <v>1663.8789999999999</v>
      </c>
      <c r="L28" s="100"/>
      <c r="M28" s="70">
        <v>113072</v>
      </c>
      <c r="N28" s="69">
        <f t="shared" si="11"/>
        <v>104</v>
      </c>
      <c r="O28" s="68">
        <v>1906372</v>
      </c>
      <c r="P28" s="69">
        <f t="shared" si="12"/>
        <v>888</v>
      </c>
      <c r="Q28" s="75">
        <f t="shared" si="0"/>
        <v>992</v>
      </c>
      <c r="R28" s="76">
        <f t="shared" si="5"/>
        <v>567.24147200000004</v>
      </c>
      <c r="S28" s="68"/>
      <c r="T28" s="89">
        <v>221279</v>
      </c>
      <c r="U28" s="69">
        <f t="shared" si="13"/>
        <v>90</v>
      </c>
      <c r="V28" s="79">
        <f t="shared" si="6"/>
        <v>256.95</v>
      </c>
      <c r="W28" s="80"/>
      <c r="X28" s="101">
        <f t="shared" si="1"/>
        <v>2488.0704719999999</v>
      </c>
      <c r="Y28" s="85">
        <v>21</v>
      </c>
      <c r="Z28" s="95">
        <f t="shared" si="7"/>
        <v>118.47954628571428</v>
      </c>
    </row>
    <row r="29" spans="1:26" x14ac:dyDescent="0.25">
      <c r="A29" s="13" t="s">
        <v>117</v>
      </c>
      <c r="B29" s="96">
        <f t="shared" si="8"/>
        <v>21</v>
      </c>
      <c r="C29" s="68">
        <v>4835598</v>
      </c>
      <c r="D29" s="69">
        <f t="shared" si="14"/>
        <v>2242</v>
      </c>
      <c r="E29" s="68">
        <v>4787709</v>
      </c>
      <c r="F29" s="69">
        <f t="shared" si="9"/>
        <v>2230</v>
      </c>
      <c r="G29" s="68">
        <v>4532851</v>
      </c>
      <c r="H29" s="69">
        <f t="shared" si="10"/>
        <v>2046</v>
      </c>
      <c r="I29" s="71">
        <f t="shared" si="3"/>
        <v>6518</v>
      </c>
      <c r="J29" s="72">
        <v>0.99</v>
      </c>
      <c r="K29" s="73">
        <f t="shared" si="4"/>
        <v>1636.018</v>
      </c>
      <c r="L29" s="74"/>
      <c r="M29" s="70">
        <v>113163</v>
      </c>
      <c r="N29" s="69">
        <f t="shared" si="11"/>
        <v>91</v>
      </c>
      <c r="O29" s="68">
        <v>1907113</v>
      </c>
      <c r="P29" s="69">
        <f t="shared" si="12"/>
        <v>741</v>
      </c>
      <c r="Q29" s="75">
        <f t="shared" si="0"/>
        <v>832</v>
      </c>
      <c r="R29" s="76">
        <f t="shared" si="5"/>
        <v>475.75091200000003</v>
      </c>
      <c r="S29" s="77"/>
      <c r="T29" s="89">
        <v>221391</v>
      </c>
      <c r="U29" s="69">
        <f t="shared" si="13"/>
        <v>112</v>
      </c>
      <c r="V29" s="79">
        <f t="shared" si="6"/>
        <v>319.76</v>
      </c>
      <c r="W29" s="80"/>
      <c r="X29" s="81">
        <f t="shared" si="1"/>
        <v>2431.5289119999998</v>
      </c>
      <c r="Y29" s="85">
        <v>20</v>
      </c>
      <c r="Z29" s="83">
        <f t="shared" si="7"/>
        <v>121.57644559999999</v>
      </c>
    </row>
    <row r="30" spans="1:26" x14ac:dyDescent="0.25">
      <c r="A30" s="13" t="s">
        <v>118</v>
      </c>
      <c r="B30" s="67">
        <f t="shared" si="8"/>
        <v>22</v>
      </c>
      <c r="C30" s="68">
        <v>4837708</v>
      </c>
      <c r="D30" s="69">
        <f t="shared" si="14"/>
        <v>2110</v>
      </c>
      <c r="E30" s="68">
        <v>4789829</v>
      </c>
      <c r="F30" s="69">
        <f t="shared" si="9"/>
        <v>2120</v>
      </c>
      <c r="G30" s="68">
        <v>4534788</v>
      </c>
      <c r="H30" s="69">
        <f t="shared" si="10"/>
        <v>1937</v>
      </c>
      <c r="I30" s="71">
        <f t="shared" si="3"/>
        <v>6167</v>
      </c>
      <c r="J30" s="72">
        <v>0.99</v>
      </c>
      <c r="K30" s="73">
        <f t="shared" si="4"/>
        <v>1547.9169999999999</v>
      </c>
      <c r="L30" s="74"/>
      <c r="M30" s="70">
        <v>113257</v>
      </c>
      <c r="N30" s="69">
        <f t="shared" si="11"/>
        <v>94</v>
      </c>
      <c r="O30" s="68">
        <v>1907738</v>
      </c>
      <c r="P30" s="69">
        <f t="shared" si="12"/>
        <v>625</v>
      </c>
      <c r="Q30" s="75">
        <f t="shared" si="0"/>
        <v>719</v>
      </c>
      <c r="R30" s="76">
        <f t="shared" si="5"/>
        <v>411.13570400000003</v>
      </c>
      <c r="S30" s="77"/>
      <c r="T30" s="89">
        <v>221500</v>
      </c>
      <c r="U30" s="69">
        <f t="shared" si="13"/>
        <v>109</v>
      </c>
      <c r="V30" s="79">
        <f t="shared" si="6"/>
        <v>311.19499999999999</v>
      </c>
      <c r="W30" s="80"/>
      <c r="X30" s="84">
        <f t="shared" si="1"/>
        <v>2270.2477039999999</v>
      </c>
      <c r="Y30" s="85">
        <v>25</v>
      </c>
      <c r="Z30" s="86">
        <f t="shared" si="7"/>
        <v>90.809908159999992</v>
      </c>
    </row>
    <row r="31" spans="1:26" x14ac:dyDescent="0.25">
      <c r="A31" s="13" t="s">
        <v>119</v>
      </c>
      <c r="B31" s="67">
        <f t="shared" si="8"/>
        <v>23</v>
      </c>
      <c r="C31" s="68">
        <v>4839791</v>
      </c>
      <c r="D31" s="69">
        <f t="shared" si="14"/>
        <v>2083</v>
      </c>
      <c r="E31" s="68">
        <v>4791934</v>
      </c>
      <c r="F31" s="69">
        <f t="shared" si="9"/>
        <v>2105</v>
      </c>
      <c r="G31" s="68">
        <v>4536684</v>
      </c>
      <c r="H31" s="69">
        <f t="shared" si="10"/>
        <v>1896</v>
      </c>
      <c r="I31" s="71">
        <f t="shared" si="3"/>
        <v>6084</v>
      </c>
      <c r="J31" s="72">
        <v>0.99</v>
      </c>
      <c r="K31" s="73">
        <f t="shared" si="4"/>
        <v>1527.0840000000001</v>
      </c>
      <c r="L31" s="74"/>
      <c r="M31" s="70">
        <v>113372</v>
      </c>
      <c r="N31" s="69">
        <f t="shared" si="11"/>
        <v>115</v>
      </c>
      <c r="O31" s="68">
        <v>1908783</v>
      </c>
      <c r="P31" s="69">
        <f t="shared" si="12"/>
        <v>1045</v>
      </c>
      <c r="Q31" s="75">
        <f t="shared" si="0"/>
        <v>1160</v>
      </c>
      <c r="R31" s="76">
        <f t="shared" si="5"/>
        <v>663.3065600000001</v>
      </c>
      <c r="S31" s="77"/>
      <c r="T31" s="89">
        <v>221773</v>
      </c>
      <c r="U31" s="69">
        <f t="shared" si="13"/>
        <v>273</v>
      </c>
      <c r="V31" s="79">
        <f t="shared" si="6"/>
        <v>779.41499999999996</v>
      </c>
      <c r="W31" s="80"/>
      <c r="X31" s="102">
        <f t="shared" si="1"/>
        <v>2969.8055600000002</v>
      </c>
      <c r="Y31" s="85">
        <v>29</v>
      </c>
      <c r="Z31" s="86">
        <f t="shared" si="7"/>
        <v>102.40708827586208</v>
      </c>
    </row>
    <row r="32" spans="1:26" x14ac:dyDescent="0.25">
      <c r="A32" s="13" t="s">
        <v>120</v>
      </c>
      <c r="B32" s="67">
        <f t="shared" si="8"/>
        <v>24</v>
      </c>
      <c r="C32" s="68">
        <v>4842443</v>
      </c>
      <c r="D32" s="69">
        <f t="shared" si="14"/>
        <v>2652</v>
      </c>
      <c r="E32" s="68">
        <v>4794592</v>
      </c>
      <c r="F32" s="69">
        <f t="shared" si="9"/>
        <v>2658</v>
      </c>
      <c r="G32" s="68">
        <v>4539128</v>
      </c>
      <c r="H32" s="69">
        <f t="shared" si="10"/>
        <v>2444</v>
      </c>
      <c r="I32" s="71">
        <f t="shared" si="3"/>
        <v>7754</v>
      </c>
      <c r="J32" s="72">
        <v>0.99</v>
      </c>
      <c r="K32" s="73">
        <f t="shared" si="4"/>
        <v>1946.2539999999999</v>
      </c>
      <c r="L32" s="74"/>
      <c r="M32" s="70">
        <v>113471</v>
      </c>
      <c r="N32" s="69">
        <f t="shared" si="11"/>
        <v>99</v>
      </c>
      <c r="O32" s="68">
        <v>1909960</v>
      </c>
      <c r="P32" s="69">
        <f t="shared" si="12"/>
        <v>1177</v>
      </c>
      <c r="Q32" s="75">
        <f t="shared" si="0"/>
        <v>1276</v>
      </c>
      <c r="R32" s="76">
        <f t="shared" si="5"/>
        <v>729.63721600000008</v>
      </c>
      <c r="S32" s="77"/>
      <c r="T32" s="89">
        <v>221909</v>
      </c>
      <c r="U32" s="69">
        <f t="shared" si="13"/>
        <v>136</v>
      </c>
      <c r="V32" s="79">
        <f t="shared" si="6"/>
        <v>388.28</v>
      </c>
      <c r="W32" s="80"/>
      <c r="X32" s="102">
        <f t="shared" si="1"/>
        <v>3064.1712159999997</v>
      </c>
      <c r="Y32" s="85">
        <v>36</v>
      </c>
      <c r="Z32" s="86">
        <f t="shared" si="7"/>
        <v>85.1158671111111</v>
      </c>
    </row>
    <row r="33" spans="1:26" x14ac:dyDescent="0.25">
      <c r="A33" s="13" t="s">
        <v>96</v>
      </c>
      <c r="B33" s="67">
        <f t="shared" si="8"/>
        <v>25</v>
      </c>
      <c r="C33" s="68">
        <v>4845202</v>
      </c>
      <c r="D33" s="69">
        <f t="shared" si="14"/>
        <v>2759</v>
      </c>
      <c r="E33" s="68">
        <v>4797510</v>
      </c>
      <c r="F33" s="69">
        <f t="shared" si="9"/>
        <v>2918</v>
      </c>
      <c r="G33" s="68">
        <v>4541854</v>
      </c>
      <c r="H33" s="69">
        <f t="shared" si="10"/>
        <v>2726</v>
      </c>
      <c r="I33" s="71">
        <f t="shared" si="3"/>
        <v>8403</v>
      </c>
      <c r="J33" s="72">
        <v>0.99</v>
      </c>
      <c r="K33" s="73">
        <f t="shared" si="4"/>
        <v>2109.1529999999998</v>
      </c>
      <c r="L33" s="74"/>
      <c r="M33" s="70">
        <v>113611</v>
      </c>
      <c r="N33" s="69">
        <f t="shared" si="11"/>
        <v>140</v>
      </c>
      <c r="O33" s="68">
        <v>1911341</v>
      </c>
      <c r="P33" s="69">
        <f t="shared" si="12"/>
        <v>1381</v>
      </c>
      <c r="Q33" s="75">
        <f t="shared" si="0"/>
        <v>1521</v>
      </c>
      <c r="R33" s="76">
        <f t="shared" si="5"/>
        <v>869.73213600000008</v>
      </c>
      <c r="S33" s="77"/>
      <c r="T33" s="89">
        <v>222169</v>
      </c>
      <c r="U33" s="69">
        <f t="shared" si="13"/>
        <v>260</v>
      </c>
      <c r="V33" s="79">
        <f t="shared" si="6"/>
        <v>742.3</v>
      </c>
      <c r="W33" s="80"/>
      <c r="X33" s="102">
        <f t="shared" si="1"/>
        <v>3721.1851360000001</v>
      </c>
      <c r="Y33" s="85">
        <v>55</v>
      </c>
      <c r="Z33" s="86">
        <f t="shared" si="7"/>
        <v>67.657911563636361</v>
      </c>
    </row>
    <row r="34" spans="1:26" x14ac:dyDescent="0.25">
      <c r="A34" s="13" t="s">
        <v>121</v>
      </c>
      <c r="B34" s="67">
        <f t="shared" si="8"/>
        <v>26</v>
      </c>
      <c r="C34" s="90">
        <v>4848205</v>
      </c>
      <c r="D34" s="69">
        <f t="shared" si="14"/>
        <v>3003</v>
      </c>
      <c r="E34" s="68">
        <v>4800327</v>
      </c>
      <c r="F34" s="69">
        <f t="shared" si="9"/>
        <v>2817</v>
      </c>
      <c r="G34" s="68">
        <v>4544488</v>
      </c>
      <c r="H34" s="69">
        <f t="shared" si="10"/>
        <v>2634</v>
      </c>
      <c r="I34" s="71">
        <f t="shared" si="3"/>
        <v>8454</v>
      </c>
      <c r="J34" s="72">
        <v>0.99</v>
      </c>
      <c r="K34" s="73">
        <f t="shared" si="4"/>
        <v>2121.9540000000002</v>
      </c>
      <c r="L34" s="74"/>
      <c r="M34" s="70">
        <v>113737</v>
      </c>
      <c r="N34" s="69">
        <f t="shared" si="11"/>
        <v>126</v>
      </c>
      <c r="O34" s="68">
        <v>1912510</v>
      </c>
      <c r="P34" s="69">
        <f t="shared" si="12"/>
        <v>1169</v>
      </c>
      <c r="Q34" s="75">
        <f t="shared" si="0"/>
        <v>1295</v>
      </c>
      <c r="R34" s="76">
        <f t="shared" si="5"/>
        <v>740.50171999999998</v>
      </c>
      <c r="S34" s="77"/>
      <c r="T34" s="89">
        <v>222406</v>
      </c>
      <c r="U34" s="69">
        <f t="shared" si="13"/>
        <v>237</v>
      </c>
      <c r="V34" s="79">
        <f t="shared" si="6"/>
        <v>676.63499999999999</v>
      </c>
      <c r="W34" s="80"/>
      <c r="X34" s="102">
        <f t="shared" si="1"/>
        <v>3539.0907200000001</v>
      </c>
      <c r="Y34" s="85">
        <v>26</v>
      </c>
      <c r="Z34" s="86">
        <f t="shared" si="7"/>
        <v>136.11887384615386</v>
      </c>
    </row>
    <row r="35" spans="1:26" x14ac:dyDescent="0.25">
      <c r="A35" s="13" t="s">
        <v>116</v>
      </c>
      <c r="B35" s="67">
        <f t="shared" si="8"/>
        <v>27</v>
      </c>
      <c r="C35" s="90">
        <v>4850965</v>
      </c>
      <c r="D35" s="69">
        <f t="shared" si="14"/>
        <v>2760</v>
      </c>
      <c r="E35" s="68">
        <v>4803078</v>
      </c>
      <c r="F35" s="69">
        <f t="shared" si="9"/>
        <v>2751</v>
      </c>
      <c r="G35" s="68">
        <v>4547049</v>
      </c>
      <c r="H35" s="69">
        <f t="shared" si="10"/>
        <v>2561</v>
      </c>
      <c r="I35" s="71">
        <f t="shared" si="3"/>
        <v>8072</v>
      </c>
      <c r="J35" s="72">
        <v>0.98</v>
      </c>
      <c r="K35" s="73">
        <f t="shared" si="4"/>
        <v>2026.0720000000001</v>
      </c>
      <c r="L35" s="74"/>
      <c r="M35" s="70">
        <v>113845</v>
      </c>
      <c r="N35" s="69">
        <f t="shared" si="11"/>
        <v>108</v>
      </c>
      <c r="O35" s="68">
        <v>1913702</v>
      </c>
      <c r="P35" s="69">
        <f t="shared" si="12"/>
        <v>1192</v>
      </c>
      <c r="Q35" s="75">
        <f t="shared" si="0"/>
        <v>1300</v>
      </c>
      <c r="R35" s="76">
        <f t="shared" si="5"/>
        <v>743.36080000000004</v>
      </c>
      <c r="S35" s="77"/>
      <c r="T35" s="89">
        <v>222670</v>
      </c>
      <c r="U35" s="69">
        <f t="shared" si="13"/>
        <v>264</v>
      </c>
      <c r="V35" s="79">
        <f t="shared" si="6"/>
        <v>753.72</v>
      </c>
      <c r="W35" s="80"/>
      <c r="X35" s="102">
        <f t="shared" si="1"/>
        <v>3523.1527999999998</v>
      </c>
      <c r="Y35" s="85">
        <v>29</v>
      </c>
      <c r="Z35" s="86">
        <f t="shared" si="7"/>
        <v>121.4880275862069</v>
      </c>
    </row>
    <row r="36" spans="1:26" x14ac:dyDescent="0.25">
      <c r="A36" s="13" t="s">
        <v>117</v>
      </c>
      <c r="B36" s="67">
        <f>B35+1</f>
        <v>28</v>
      </c>
      <c r="C36" s="90">
        <v>4853488</v>
      </c>
      <c r="D36" s="69">
        <f t="shared" si="14"/>
        <v>2523</v>
      </c>
      <c r="E36" s="103">
        <v>4805587</v>
      </c>
      <c r="F36" s="69">
        <f t="shared" si="9"/>
        <v>2509</v>
      </c>
      <c r="G36" s="103">
        <v>4549379</v>
      </c>
      <c r="H36" s="69">
        <f t="shared" si="10"/>
        <v>2330</v>
      </c>
      <c r="I36" s="71">
        <f t="shared" si="3"/>
        <v>7362</v>
      </c>
      <c r="J36" s="72">
        <v>0.98</v>
      </c>
      <c r="K36" s="73">
        <f t="shared" si="4"/>
        <v>1847.8620000000001</v>
      </c>
      <c r="L36" s="74"/>
      <c r="M36" s="70">
        <v>113965</v>
      </c>
      <c r="N36" s="69">
        <f t="shared" si="11"/>
        <v>120</v>
      </c>
      <c r="O36" s="68">
        <v>1914792</v>
      </c>
      <c r="P36" s="69">
        <f t="shared" si="12"/>
        <v>1090</v>
      </c>
      <c r="Q36" s="75">
        <f t="shared" si="0"/>
        <v>1210</v>
      </c>
      <c r="R36" s="76">
        <f t="shared" si="5"/>
        <v>691.89736000000005</v>
      </c>
      <c r="S36" s="77"/>
      <c r="T36" s="89">
        <v>222823</v>
      </c>
      <c r="U36" s="69">
        <f t="shared" si="13"/>
        <v>153</v>
      </c>
      <c r="V36" s="79">
        <f t="shared" si="6"/>
        <v>436.815</v>
      </c>
      <c r="W36" s="80"/>
      <c r="X36" s="102">
        <f t="shared" si="1"/>
        <v>2976.5743600000001</v>
      </c>
      <c r="Y36" s="85">
        <v>29</v>
      </c>
      <c r="Z36" s="86">
        <f t="shared" si="7"/>
        <v>102.64049517241379</v>
      </c>
    </row>
    <row r="37" spans="1:26" x14ac:dyDescent="0.25">
      <c r="A37" s="13" t="s">
        <v>118</v>
      </c>
      <c r="B37" s="67">
        <f t="shared" si="8"/>
        <v>29</v>
      </c>
      <c r="C37" s="90">
        <v>4855491</v>
      </c>
      <c r="D37" s="69">
        <f t="shared" si="14"/>
        <v>2003</v>
      </c>
      <c r="E37" s="103">
        <v>4807569</v>
      </c>
      <c r="F37" s="69">
        <f t="shared" si="9"/>
        <v>1982</v>
      </c>
      <c r="G37" s="103">
        <v>4551194</v>
      </c>
      <c r="H37" s="69">
        <f t="shared" si="10"/>
        <v>1815</v>
      </c>
      <c r="I37" s="71">
        <f t="shared" si="3"/>
        <v>5800</v>
      </c>
      <c r="J37" s="72">
        <v>0.99</v>
      </c>
      <c r="K37" s="73">
        <f t="shared" si="4"/>
        <v>1455.8</v>
      </c>
      <c r="L37" s="74"/>
      <c r="M37" s="70">
        <v>114075</v>
      </c>
      <c r="N37" s="69">
        <f t="shared" si="11"/>
        <v>110</v>
      </c>
      <c r="O37" s="68">
        <v>1915683</v>
      </c>
      <c r="P37" s="69">
        <f t="shared" si="12"/>
        <v>891</v>
      </c>
      <c r="Q37" s="75">
        <f t="shared" si="0"/>
        <v>1001</v>
      </c>
      <c r="R37" s="76">
        <f t="shared" si="5"/>
        <v>572.38781600000004</v>
      </c>
      <c r="S37" s="77"/>
      <c r="T37" s="89">
        <v>222919</v>
      </c>
      <c r="U37" s="69">
        <f t="shared" si="13"/>
        <v>96</v>
      </c>
      <c r="V37" s="79">
        <f t="shared" si="6"/>
        <v>274.08</v>
      </c>
      <c r="W37" s="80"/>
      <c r="X37" s="102">
        <f t="shared" si="1"/>
        <v>2302.267816</v>
      </c>
      <c r="Y37" s="80">
        <v>26</v>
      </c>
      <c r="Z37" s="86">
        <f t="shared" si="7"/>
        <v>88.548762153846155</v>
      </c>
    </row>
    <row r="38" spans="1:26" x14ac:dyDescent="0.25">
      <c r="A38" s="13" t="s">
        <v>119</v>
      </c>
      <c r="B38" s="67">
        <f t="shared" si="8"/>
        <v>30</v>
      </c>
      <c r="C38" s="68">
        <v>4857768</v>
      </c>
      <c r="D38" s="69">
        <f t="shared" si="14"/>
        <v>2277</v>
      </c>
      <c r="E38" s="90">
        <v>4809821</v>
      </c>
      <c r="F38" s="69">
        <f t="shared" si="9"/>
        <v>2252</v>
      </c>
      <c r="G38" s="90">
        <v>4553285</v>
      </c>
      <c r="H38" s="69">
        <f t="shared" si="10"/>
        <v>2091</v>
      </c>
      <c r="I38" s="71">
        <f t="shared" si="3"/>
        <v>6620</v>
      </c>
      <c r="J38" s="72">
        <v>0.99</v>
      </c>
      <c r="K38" s="73">
        <f t="shared" si="4"/>
        <v>1661.6200000000001</v>
      </c>
      <c r="L38" s="74"/>
      <c r="M38" s="70">
        <v>114208</v>
      </c>
      <c r="N38" s="69">
        <f t="shared" si="11"/>
        <v>133</v>
      </c>
      <c r="O38" s="68">
        <v>1916442</v>
      </c>
      <c r="P38" s="69">
        <f t="shared" si="12"/>
        <v>759</v>
      </c>
      <c r="Q38" s="75">
        <f t="shared" si="0"/>
        <v>892</v>
      </c>
      <c r="R38" s="76">
        <f t="shared" si="5"/>
        <v>510.05987199999998</v>
      </c>
      <c r="S38" s="77"/>
      <c r="T38" s="89">
        <v>223081</v>
      </c>
      <c r="U38" s="69">
        <f t="shared" si="13"/>
        <v>162</v>
      </c>
      <c r="V38" s="79">
        <f t="shared" si="6"/>
        <v>462.51</v>
      </c>
      <c r="W38" s="80"/>
      <c r="X38" s="102">
        <f t="shared" si="1"/>
        <v>2634.1898719999999</v>
      </c>
      <c r="Y38" s="80">
        <v>23</v>
      </c>
      <c r="Z38" s="86">
        <f t="shared" si="7"/>
        <v>114.52999443478261</v>
      </c>
    </row>
    <row r="39" spans="1:26" x14ac:dyDescent="0.25">
      <c r="A39" s="13"/>
      <c r="B39" s="67">
        <f t="shared" si="8"/>
        <v>31</v>
      </c>
      <c r="C39" s="104">
        <v>4859918</v>
      </c>
      <c r="D39" s="69">
        <f t="shared" si="14"/>
        <v>2150</v>
      </c>
      <c r="E39" s="105">
        <v>4811963</v>
      </c>
      <c r="F39" s="69">
        <f t="shared" si="9"/>
        <v>2142</v>
      </c>
      <c r="G39" s="88">
        <v>4555244</v>
      </c>
      <c r="H39" s="69">
        <f t="shared" si="10"/>
        <v>1959</v>
      </c>
      <c r="I39" s="153"/>
      <c r="J39" s="72">
        <v>0.99</v>
      </c>
      <c r="K39" s="73">
        <f t="shared" si="4"/>
        <v>0</v>
      </c>
      <c r="L39" s="74"/>
      <c r="M39" s="104">
        <v>114332</v>
      </c>
      <c r="N39" s="69">
        <f t="shared" si="11"/>
        <v>124</v>
      </c>
      <c r="O39" s="104">
        <v>1917511</v>
      </c>
      <c r="P39" s="69">
        <f t="shared" si="12"/>
        <v>1069</v>
      </c>
      <c r="Q39" s="75">
        <f t="shared" si="0"/>
        <v>1193</v>
      </c>
      <c r="R39" s="76">
        <f t="shared" si="5"/>
        <v>682.17648800000006</v>
      </c>
      <c r="S39" s="77"/>
      <c r="T39" s="106">
        <v>223309</v>
      </c>
      <c r="U39" s="69">
        <f t="shared" si="13"/>
        <v>228</v>
      </c>
      <c r="V39" s="79">
        <f t="shared" si="6"/>
        <v>650.93999999999994</v>
      </c>
      <c r="W39" s="80"/>
      <c r="X39" s="102">
        <f t="shared" si="1"/>
        <v>1333.1164880000001</v>
      </c>
      <c r="Y39" s="80">
        <v>30</v>
      </c>
      <c r="Z39" s="154"/>
    </row>
    <row r="40" spans="1:26" x14ac:dyDescent="0.25">
      <c r="A40" s="13"/>
      <c r="B40" s="107"/>
      <c r="C40" s="151">
        <f>SUMIF(D9:D38,"&gt;0")</f>
        <v>77769</v>
      </c>
      <c r="D40" s="152"/>
      <c r="E40" s="149">
        <f>SUMIF(F9:F38,"&gt;0")</f>
        <v>77491</v>
      </c>
      <c r="F40" s="150"/>
      <c r="G40" s="148">
        <f>SUMIF(H9:H38,"&gt;0")</f>
        <v>71657</v>
      </c>
      <c r="H40" s="150"/>
      <c r="I40" s="108">
        <f>SUMIF(I9:I38,"&gt;0")</f>
        <v>226917</v>
      </c>
      <c r="J40" s="109"/>
      <c r="K40" s="110">
        <f>SUMIF(K9:K38,"&gt;0")</f>
        <v>56956.167000000009</v>
      </c>
      <c r="L40" s="108"/>
      <c r="M40" s="148">
        <f>SUMIF(N9:N38,"&gt;0")</f>
        <v>3353</v>
      </c>
      <c r="N40" s="150"/>
      <c r="O40" s="148">
        <f>SUMIF(P9:P38,"&gt;0")</f>
        <v>27323</v>
      </c>
      <c r="P40" s="150"/>
      <c r="Q40" s="109">
        <f>SUMIF(Q9:Q38,"&gt;0")</f>
        <v>30676</v>
      </c>
      <c r="R40" s="110">
        <f>SUMIF(R9:R38,"&gt;0")</f>
        <v>17541.027616000003</v>
      </c>
      <c r="S40" s="111"/>
      <c r="T40" s="132">
        <f>SUMIF(U9:U38,"&gt;0")</f>
        <v>7758</v>
      </c>
      <c r="U40" s="132"/>
      <c r="V40" s="112">
        <f>SUMIF(V9:V38,"&gt;0")</f>
        <v>22149.089999999993</v>
      </c>
      <c r="W40" s="113"/>
      <c r="X40" s="114">
        <f>SUMIF(X9:X38,"&gt;0")</f>
        <v>96646.28461599999</v>
      </c>
      <c r="Y40" s="115">
        <f>SUM(Y9:Y39)</f>
        <v>782</v>
      </c>
      <c r="Z40" s="116">
        <f>(SUMIF(Z9:Z36,"&gt;0")/31)</f>
        <v>123.28916152666525</v>
      </c>
    </row>
  </sheetData>
  <mergeCells count="12">
    <mergeCell ref="T40:U40"/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topLeftCell="AU1" zoomScale="75" zoomScaleNormal="75" workbookViewId="0">
      <selection activeCell="BN43" sqref="BN43"/>
    </sheetView>
  </sheetViews>
  <sheetFormatPr defaultRowHeight="15" x14ac:dyDescent="0.25"/>
  <sheetData>
    <row r="6" spans="1:83" ht="15.75" thickBot="1" x14ac:dyDescent="0.3">
      <c r="B6" s="117">
        <v>49433</v>
      </c>
      <c r="C6" s="118">
        <v>79236</v>
      </c>
      <c r="D6" s="119">
        <v>15207</v>
      </c>
      <c r="E6" s="119">
        <v>13719</v>
      </c>
      <c r="F6" s="119">
        <v>189420</v>
      </c>
      <c r="G6" s="119">
        <v>3495</v>
      </c>
      <c r="H6" s="118">
        <v>1485</v>
      </c>
      <c r="I6" s="119">
        <v>380288</v>
      </c>
      <c r="J6" s="119">
        <v>68377</v>
      </c>
      <c r="K6" s="119">
        <v>7921</v>
      </c>
      <c r="L6" s="119">
        <v>29890</v>
      </c>
      <c r="M6" s="119">
        <v>52115</v>
      </c>
      <c r="N6" s="119">
        <v>38542</v>
      </c>
      <c r="O6" s="119">
        <v>181658</v>
      </c>
      <c r="P6" s="119">
        <v>375920</v>
      </c>
      <c r="Q6" s="119">
        <v>2808</v>
      </c>
      <c r="R6" s="119">
        <v>18050</v>
      </c>
      <c r="S6" s="119">
        <v>25503</v>
      </c>
      <c r="T6" s="119">
        <v>278413</v>
      </c>
      <c r="U6" s="119">
        <v>375407</v>
      </c>
      <c r="V6" s="119">
        <v>40159</v>
      </c>
      <c r="W6" s="119">
        <v>5416</v>
      </c>
      <c r="X6" s="119">
        <v>13927</v>
      </c>
      <c r="Y6" s="119">
        <v>86195</v>
      </c>
      <c r="Z6" s="118">
        <v>540</v>
      </c>
      <c r="AA6" s="119">
        <v>170186</v>
      </c>
      <c r="AB6" s="119">
        <v>7562</v>
      </c>
      <c r="AC6" s="119">
        <v>1974</v>
      </c>
      <c r="AD6" s="119">
        <v>17975</v>
      </c>
      <c r="AE6" s="119">
        <v>76508</v>
      </c>
      <c r="AF6" s="119">
        <v>205359</v>
      </c>
      <c r="AG6" s="119">
        <v>1125790</v>
      </c>
      <c r="AH6" s="119">
        <v>11123</v>
      </c>
      <c r="AI6" s="119">
        <v>483379</v>
      </c>
      <c r="AJ6" s="119">
        <v>637743</v>
      </c>
      <c r="AK6" s="119">
        <v>9334</v>
      </c>
      <c r="AL6" s="120">
        <v>29315</v>
      </c>
      <c r="AM6" s="119">
        <v>28542</v>
      </c>
      <c r="AN6" s="121">
        <v>596531</v>
      </c>
      <c r="AO6" s="121">
        <v>5246</v>
      </c>
      <c r="AP6" s="122">
        <v>0</v>
      </c>
      <c r="AQ6" s="119">
        <v>109712</v>
      </c>
      <c r="AR6" s="119">
        <v>217210</v>
      </c>
      <c r="AS6" s="119">
        <v>63112</v>
      </c>
      <c r="AT6" s="119">
        <v>560</v>
      </c>
      <c r="AU6" s="119">
        <v>107079</v>
      </c>
      <c r="AV6" s="119">
        <v>44534</v>
      </c>
      <c r="AW6" s="119">
        <v>38275</v>
      </c>
      <c r="AX6" s="119">
        <v>175158</v>
      </c>
      <c r="AY6" s="123">
        <v>481902</v>
      </c>
    </row>
    <row r="7" spans="1:83" ht="90" x14ac:dyDescent="0.25">
      <c r="A7" s="124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5" t="s">
        <v>63</v>
      </c>
      <c r="BA7" s="125" t="s">
        <v>64</v>
      </c>
      <c r="BB7" s="125" t="s">
        <v>65</v>
      </c>
      <c r="BC7" s="125" t="s">
        <v>66</v>
      </c>
      <c r="BD7" s="125" t="s">
        <v>67</v>
      </c>
      <c r="BE7" s="125" t="s">
        <v>68</v>
      </c>
      <c r="BF7" s="125" t="s">
        <v>69</v>
      </c>
      <c r="BG7" s="125" t="s">
        <v>70</v>
      </c>
      <c r="BH7" s="125" t="s">
        <v>71</v>
      </c>
      <c r="BI7" s="125" t="s">
        <v>72</v>
      </c>
      <c r="BJ7" s="125" t="s">
        <v>73</v>
      </c>
      <c r="BK7" s="125" t="s">
        <v>74</v>
      </c>
      <c r="BL7" s="125" t="s">
        <v>75</v>
      </c>
      <c r="BM7" s="125" t="s">
        <v>76</v>
      </c>
      <c r="BN7" s="125" t="s">
        <v>77</v>
      </c>
      <c r="BO7" s="125" t="s">
        <v>78</v>
      </c>
      <c r="BP7" s="125" t="s">
        <v>79</v>
      </c>
      <c r="BQ7" s="125" t="s">
        <v>80</v>
      </c>
      <c r="BR7" s="125" t="s">
        <v>81</v>
      </c>
      <c r="BS7" s="126" t="s">
        <v>82</v>
      </c>
      <c r="BT7" s="126" t="s">
        <v>83</v>
      </c>
      <c r="BU7" s="126" t="s">
        <v>84</v>
      </c>
      <c r="BV7" s="126" t="s">
        <v>85</v>
      </c>
      <c r="BW7" s="126" t="s">
        <v>86</v>
      </c>
      <c r="BX7" s="126" t="s">
        <v>87</v>
      </c>
      <c r="BY7" s="126" t="s">
        <v>88</v>
      </c>
      <c r="BZ7" s="126" t="s">
        <v>89</v>
      </c>
      <c r="CA7" s="126" t="s">
        <v>90</v>
      </c>
      <c r="CB7" s="126" t="s">
        <v>91</v>
      </c>
      <c r="CC7" s="126" t="s">
        <v>92</v>
      </c>
      <c r="CD7" s="126" t="s">
        <v>93</v>
      </c>
      <c r="CE7" s="126" t="s">
        <v>94</v>
      </c>
    </row>
    <row r="8" spans="1:83" x14ac:dyDescent="0.25">
      <c r="A8">
        <v>1</v>
      </c>
      <c r="B8" s="128">
        <v>60423</v>
      </c>
      <c r="C8" s="128">
        <v>96241</v>
      </c>
      <c r="D8" s="128">
        <v>17312</v>
      </c>
      <c r="E8" s="128">
        <v>15427</v>
      </c>
      <c r="F8" s="128">
        <v>216411</v>
      </c>
      <c r="G8" s="128">
        <v>4084</v>
      </c>
      <c r="H8" s="128">
        <v>3413</v>
      </c>
      <c r="I8" s="128">
        <v>432093</v>
      </c>
      <c r="J8" s="128">
        <v>78891</v>
      </c>
      <c r="K8" s="128">
        <v>7952</v>
      </c>
      <c r="L8" s="128">
        <v>32769</v>
      </c>
      <c r="M8" s="128">
        <v>56958</v>
      </c>
      <c r="N8" s="128">
        <v>44110</v>
      </c>
      <c r="O8" s="128">
        <v>213263</v>
      </c>
      <c r="P8" s="128">
        <v>463260</v>
      </c>
      <c r="Q8" s="128">
        <v>3618</v>
      </c>
      <c r="R8" s="128">
        <v>21621</v>
      </c>
      <c r="S8" s="128">
        <v>25503</v>
      </c>
      <c r="T8" s="128">
        <v>313375</v>
      </c>
      <c r="U8" s="128">
        <v>433168</v>
      </c>
      <c r="V8" s="128">
        <v>47289</v>
      </c>
      <c r="W8" s="128">
        <v>5937</v>
      </c>
      <c r="X8" s="128">
        <v>16259</v>
      </c>
      <c r="Y8" s="128">
        <v>101879</v>
      </c>
      <c r="Z8" s="128">
        <v>650</v>
      </c>
      <c r="AA8" s="128">
        <v>193402</v>
      </c>
      <c r="AB8" s="128">
        <v>10070</v>
      </c>
      <c r="AC8" s="128">
        <v>2243</v>
      </c>
      <c r="AD8" s="128">
        <v>20485</v>
      </c>
      <c r="AE8" s="128">
        <v>92865</v>
      </c>
      <c r="AF8" s="128">
        <v>238501</v>
      </c>
      <c r="AG8" s="128">
        <v>1255721.5</v>
      </c>
      <c r="AH8" s="128">
        <v>12614</v>
      </c>
      <c r="AI8" s="128">
        <v>487064</v>
      </c>
      <c r="AJ8" s="128">
        <v>721404</v>
      </c>
      <c r="AK8" s="128">
        <v>11170</v>
      </c>
      <c r="AL8" s="131">
        <v>39897</v>
      </c>
      <c r="AM8" s="128">
        <v>35628</v>
      </c>
      <c r="AN8" s="130">
        <v>681310</v>
      </c>
      <c r="AO8" s="130">
        <v>5414</v>
      </c>
      <c r="AP8" s="130">
        <v>0</v>
      </c>
      <c r="AQ8" s="128">
        <v>121132</v>
      </c>
      <c r="AR8" s="128">
        <v>244103</v>
      </c>
      <c r="AS8" s="128">
        <v>70163</v>
      </c>
      <c r="AT8" s="128">
        <v>674</v>
      </c>
      <c r="AU8" s="128">
        <v>122333</v>
      </c>
      <c r="AV8" s="128">
        <v>48031</v>
      </c>
      <c r="AW8" s="128">
        <v>41346</v>
      </c>
      <c r="AX8" s="128">
        <v>203289</v>
      </c>
      <c r="AY8" s="128">
        <v>559585</v>
      </c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28">
        <v>60487</v>
      </c>
      <c r="C9" s="128">
        <v>96354</v>
      </c>
      <c r="D9" s="128">
        <v>17318</v>
      </c>
      <c r="E9" s="128">
        <v>15442</v>
      </c>
      <c r="F9" s="128">
        <v>216608</v>
      </c>
      <c r="G9" s="128">
        <v>4088</v>
      </c>
      <c r="H9" s="128">
        <v>3432</v>
      </c>
      <c r="I9" s="128">
        <v>432353</v>
      </c>
      <c r="J9" s="128">
        <v>78949</v>
      </c>
      <c r="K9" s="128">
        <v>7953</v>
      </c>
      <c r="L9" s="128">
        <v>32798</v>
      </c>
      <c r="M9" s="128">
        <v>56967</v>
      </c>
      <c r="N9" s="128">
        <v>44147</v>
      </c>
      <c r="O9" s="128">
        <v>213458</v>
      </c>
      <c r="P9" s="128">
        <v>463706</v>
      </c>
      <c r="Q9" s="128">
        <v>3623</v>
      </c>
      <c r="R9" s="128">
        <v>21636</v>
      </c>
      <c r="S9" s="128">
        <v>25503</v>
      </c>
      <c r="T9" s="128">
        <v>313583</v>
      </c>
      <c r="U9" s="128">
        <v>433498</v>
      </c>
      <c r="V9" s="128">
        <v>47330</v>
      </c>
      <c r="W9" s="128">
        <v>5944</v>
      </c>
      <c r="X9" s="128">
        <v>16283</v>
      </c>
      <c r="Y9" s="128">
        <v>101967</v>
      </c>
      <c r="Z9" s="128">
        <v>653</v>
      </c>
      <c r="AA9" s="128">
        <v>193548</v>
      </c>
      <c r="AB9" s="128">
        <v>10072</v>
      </c>
      <c r="AC9" s="128">
        <v>2246</v>
      </c>
      <c r="AD9" s="128">
        <v>20500</v>
      </c>
      <c r="AE9" s="128">
        <v>92957</v>
      </c>
      <c r="AF9" s="128">
        <v>238697</v>
      </c>
      <c r="AG9" s="128">
        <v>1256568</v>
      </c>
      <c r="AH9" s="128">
        <v>12617</v>
      </c>
      <c r="AI9" s="128">
        <v>487082</v>
      </c>
      <c r="AJ9" s="128">
        <v>721854</v>
      </c>
      <c r="AK9" s="128">
        <v>11183</v>
      </c>
      <c r="AL9" s="131">
        <v>39912</v>
      </c>
      <c r="AM9" s="128">
        <v>35748</v>
      </c>
      <c r="AN9" s="130">
        <v>681844</v>
      </c>
      <c r="AO9" s="130">
        <v>5415</v>
      </c>
      <c r="AP9" s="130">
        <v>0</v>
      </c>
      <c r="AQ9" s="128">
        <v>121186</v>
      </c>
      <c r="AR9" s="128">
        <v>244191</v>
      </c>
      <c r="AS9" s="128">
        <v>70177</v>
      </c>
      <c r="AT9" s="128">
        <v>675</v>
      </c>
      <c r="AU9" s="128">
        <v>122410</v>
      </c>
      <c r="AV9" s="128">
        <v>48078</v>
      </c>
      <c r="AW9" s="128">
        <v>41389</v>
      </c>
      <c r="AX9" s="128">
        <v>203465</v>
      </c>
      <c r="AY9" s="128">
        <v>560243</v>
      </c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28">
        <v>60563</v>
      </c>
      <c r="C10" s="128">
        <v>96458</v>
      </c>
      <c r="D10" s="128">
        <v>17319</v>
      </c>
      <c r="E10" s="128">
        <v>15460</v>
      </c>
      <c r="F10" s="128">
        <v>216806</v>
      </c>
      <c r="G10" s="128">
        <v>4091</v>
      </c>
      <c r="H10" s="128">
        <v>3445</v>
      </c>
      <c r="I10" s="128">
        <v>432606</v>
      </c>
      <c r="J10" s="128">
        <v>79052</v>
      </c>
      <c r="K10" s="128">
        <v>7953</v>
      </c>
      <c r="L10" s="128">
        <v>32825</v>
      </c>
      <c r="M10" s="128">
        <v>56976</v>
      </c>
      <c r="N10" s="128">
        <v>44184</v>
      </c>
      <c r="O10" s="128">
        <v>213655</v>
      </c>
      <c r="P10" s="128">
        <v>464266</v>
      </c>
      <c r="Q10" s="128">
        <v>3629</v>
      </c>
      <c r="R10" s="128">
        <v>21648</v>
      </c>
      <c r="S10" s="128">
        <v>25503</v>
      </c>
      <c r="T10" s="128">
        <v>313796</v>
      </c>
      <c r="U10" s="128">
        <v>433838</v>
      </c>
      <c r="V10" s="128">
        <v>47373</v>
      </c>
      <c r="W10" s="128">
        <v>5959</v>
      </c>
      <c r="X10" s="128">
        <v>16307</v>
      </c>
      <c r="Y10" s="128">
        <v>102036</v>
      </c>
      <c r="Z10" s="128">
        <v>656</v>
      </c>
      <c r="AA10" s="128">
        <v>193692</v>
      </c>
      <c r="AB10" s="128">
        <v>10074</v>
      </c>
      <c r="AC10" s="128">
        <v>2247</v>
      </c>
      <c r="AD10" s="128">
        <v>20512</v>
      </c>
      <c r="AE10" s="128">
        <v>93044</v>
      </c>
      <c r="AF10" s="128">
        <v>238908</v>
      </c>
      <c r="AG10" s="128">
        <v>1257706</v>
      </c>
      <c r="AH10" s="128">
        <v>12620</v>
      </c>
      <c r="AI10" s="128">
        <v>487100</v>
      </c>
      <c r="AJ10" s="128">
        <v>722388</v>
      </c>
      <c r="AK10" s="128">
        <v>11200</v>
      </c>
      <c r="AL10" s="131">
        <v>39927</v>
      </c>
      <c r="AM10" s="128">
        <v>35868</v>
      </c>
      <c r="AN10" s="130">
        <v>682515</v>
      </c>
      <c r="AO10" s="130">
        <v>5417</v>
      </c>
      <c r="AP10" s="130">
        <v>0</v>
      </c>
      <c r="AQ10" s="128">
        <v>121240</v>
      </c>
      <c r="AR10" s="128">
        <v>244281</v>
      </c>
      <c r="AS10" s="128">
        <v>70192</v>
      </c>
      <c r="AT10" s="128">
        <v>676</v>
      </c>
      <c r="AU10" s="128">
        <v>122515</v>
      </c>
      <c r="AV10" s="128">
        <v>48124</v>
      </c>
      <c r="AW10" s="128">
        <v>41430</v>
      </c>
      <c r="AX10" s="128">
        <v>203643</v>
      </c>
      <c r="AY10" s="128">
        <v>560746</v>
      </c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28">
        <v>60625</v>
      </c>
      <c r="C11" s="128">
        <v>96581</v>
      </c>
      <c r="D11" s="128">
        <v>17326</v>
      </c>
      <c r="E11" s="128">
        <v>15475</v>
      </c>
      <c r="F11" s="128">
        <v>216992</v>
      </c>
      <c r="G11" s="128">
        <v>4094</v>
      </c>
      <c r="H11" s="128">
        <v>3455</v>
      </c>
      <c r="I11" s="128">
        <v>432869</v>
      </c>
      <c r="J11" s="128">
        <v>79081</v>
      </c>
      <c r="K11" s="128">
        <v>7953</v>
      </c>
      <c r="L11" s="128">
        <v>32851</v>
      </c>
      <c r="M11" s="128">
        <v>56982</v>
      </c>
      <c r="N11" s="128">
        <v>44216</v>
      </c>
      <c r="O11" s="128">
        <v>213849</v>
      </c>
      <c r="P11" s="128">
        <v>464831</v>
      </c>
      <c r="Q11" s="128">
        <v>3635</v>
      </c>
      <c r="R11" s="128">
        <v>21663</v>
      </c>
      <c r="S11" s="128">
        <v>25503</v>
      </c>
      <c r="T11" s="128">
        <v>314007</v>
      </c>
      <c r="U11" s="128">
        <v>434159</v>
      </c>
      <c r="V11" s="128">
        <v>47412</v>
      </c>
      <c r="W11" s="128">
        <v>5970</v>
      </c>
      <c r="X11" s="128">
        <v>16330</v>
      </c>
      <c r="Y11" s="128">
        <v>102109</v>
      </c>
      <c r="Z11" s="128">
        <v>659</v>
      </c>
      <c r="AA11" s="128">
        <v>193832</v>
      </c>
      <c r="AB11" s="128">
        <v>10077</v>
      </c>
      <c r="AC11" s="128">
        <v>2248</v>
      </c>
      <c r="AD11" s="128">
        <v>20523</v>
      </c>
      <c r="AE11" s="128">
        <v>93130</v>
      </c>
      <c r="AF11" s="128">
        <v>239113</v>
      </c>
      <c r="AG11" s="128">
        <v>1258439</v>
      </c>
      <c r="AH11" s="128">
        <v>12622</v>
      </c>
      <c r="AI11" s="128">
        <v>487117</v>
      </c>
      <c r="AJ11" s="128">
        <v>722945</v>
      </c>
      <c r="AK11" s="128">
        <v>11210</v>
      </c>
      <c r="AL11" s="131">
        <v>39942</v>
      </c>
      <c r="AM11" s="128">
        <v>35966</v>
      </c>
      <c r="AN11" s="130">
        <v>683112</v>
      </c>
      <c r="AO11" s="130">
        <v>5418</v>
      </c>
      <c r="AP11" s="130">
        <v>0</v>
      </c>
      <c r="AQ11" s="128">
        <v>121284</v>
      </c>
      <c r="AR11" s="128">
        <v>244370</v>
      </c>
      <c r="AS11" s="128">
        <v>70206</v>
      </c>
      <c r="AT11" s="128">
        <v>676</v>
      </c>
      <c r="AU11" s="128">
        <v>122592</v>
      </c>
      <c r="AV11" s="128">
        <v>48170</v>
      </c>
      <c r="AW11" s="128">
        <v>41470</v>
      </c>
      <c r="AX11" s="128">
        <v>203776</v>
      </c>
      <c r="AY11" s="128">
        <v>561208</v>
      </c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28">
        <v>60688</v>
      </c>
      <c r="C12" s="128">
        <v>96701</v>
      </c>
      <c r="D12" s="128">
        <v>17331</v>
      </c>
      <c r="E12" s="128">
        <v>15487</v>
      </c>
      <c r="F12" s="128">
        <v>217170</v>
      </c>
      <c r="G12" s="128">
        <v>4097</v>
      </c>
      <c r="H12" s="128">
        <v>3462</v>
      </c>
      <c r="I12" s="128">
        <v>433138</v>
      </c>
      <c r="J12" s="128">
        <v>79146</v>
      </c>
      <c r="K12" s="128">
        <v>7953</v>
      </c>
      <c r="L12" s="128">
        <v>32876</v>
      </c>
      <c r="M12" s="128">
        <v>56987</v>
      </c>
      <c r="N12" s="128">
        <v>44252</v>
      </c>
      <c r="O12" s="128">
        <v>214050</v>
      </c>
      <c r="P12" s="128">
        <v>465096</v>
      </c>
      <c r="Q12" s="128">
        <v>3640</v>
      </c>
      <c r="R12" s="128">
        <v>21677</v>
      </c>
      <c r="S12" s="128">
        <v>25503</v>
      </c>
      <c r="T12" s="128">
        <v>314217</v>
      </c>
      <c r="U12" s="128">
        <v>434497</v>
      </c>
      <c r="V12" s="128">
        <v>47453</v>
      </c>
      <c r="W12" s="128">
        <v>5984</v>
      </c>
      <c r="X12" s="128">
        <v>16352</v>
      </c>
      <c r="Y12" s="128">
        <v>102192</v>
      </c>
      <c r="Z12" s="128">
        <v>662</v>
      </c>
      <c r="AA12" s="128">
        <v>193977</v>
      </c>
      <c r="AB12" s="128">
        <v>10079</v>
      </c>
      <c r="AC12" s="128">
        <v>2249</v>
      </c>
      <c r="AD12" s="128">
        <v>20536</v>
      </c>
      <c r="AE12" s="128">
        <v>93220</v>
      </c>
      <c r="AF12" s="128">
        <v>239298</v>
      </c>
      <c r="AG12" s="128">
        <v>1259248</v>
      </c>
      <c r="AH12" s="128">
        <v>12624</v>
      </c>
      <c r="AI12" s="128">
        <v>487135</v>
      </c>
      <c r="AJ12" s="128">
        <v>723468</v>
      </c>
      <c r="AK12" s="128">
        <v>11215</v>
      </c>
      <c r="AL12" s="128">
        <v>39958</v>
      </c>
      <c r="AM12" s="128">
        <v>36068</v>
      </c>
      <c r="AN12" s="128">
        <v>683701</v>
      </c>
      <c r="AO12" s="128">
        <v>5419</v>
      </c>
      <c r="AP12" s="128">
        <v>0</v>
      </c>
      <c r="AQ12" s="128">
        <v>121329</v>
      </c>
      <c r="AR12" s="128">
        <v>244462</v>
      </c>
      <c r="AS12" s="128">
        <v>70222</v>
      </c>
      <c r="AT12" s="128">
        <v>677</v>
      </c>
      <c r="AU12" s="128">
        <v>122689</v>
      </c>
      <c r="AV12" s="128">
        <v>48218</v>
      </c>
      <c r="AW12" s="128">
        <v>41512</v>
      </c>
      <c r="AX12" s="128">
        <v>203952</v>
      </c>
      <c r="AY12" s="128">
        <v>561689</v>
      </c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28">
        <v>60749</v>
      </c>
      <c r="C13" s="128">
        <v>96799</v>
      </c>
      <c r="D13" s="128">
        <v>17338</v>
      </c>
      <c r="E13" s="128">
        <v>15492</v>
      </c>
      <c r="F13" s="128">
        <v>217346</v>
      </c>
      <c r="G13" s="128">
        <v>4100</v>
      </c>
      <c r="H13" s="128">
        <v>3475</v>
      </c>
      <c r="I13" s="128">
        <v>433400</v>
      </c>
      <c r="J13" s="128">
        <v>79199</v>
      </c>
      <c r="K13" s="128">
        <v>7953</v>
      </c>
      <c r="L13" s="128">
        <v>32899</v>
      </c>
      <c r="M13" s="128">
        <v>56991</v>
      </c>
      <c r="N13" s="128">
        <v>44289</v>
      </c>
      <c r="O13" s="128">
        <v>214243</v>
      </c>
      <c r="P13" s="128">
        <v>465550</v>
      </c>
      <c r="Q13" s="128">
        <v>3645</v>
      </c>
      <c r="R13" s="128">
        <v>21689</v>
      </c>
      <c r="S13" s="128">
        <v>25503</v>
      </c>
      <c r="T13" s="128">
        <v>314428</v>
      </c>
      <c r="U13" s="128">
        <v>434834</v>
      </c>
      <c r="V13" s="128">
        <v>47491</v>
      </c>
      <c r="W13" s="128">
        <v>5998</v>
      </c>
      <c r="X13" s="128">
        <v>16374</v>
      </c>
      <c r="Y13" s="128">
        <v>102286</v>
      </c>
      <c r="Z13" s="128">
        <v>666</v>
      </c>
      <c r="AA13" s="128">
        <v>194112</v>
      </c>
      <c r="AB13" s="128">
        <v>10082</v>
      </c>
      <c r="AC13" s="128">
        <v>2251</v>
      </c>
      <c r="AD13" s="128">
        <v>20548</v>
      </c>
      <c r="AE13" s="128">
        <v>93310</v>
      </c>
      <c r="AF13" s="128">
        <v>239505</v>
      </c>
      <c r="AG13" s="128">
        <v>1260046</v>
      </c>
      <c r="AH13" s="128">
        <v>12630</v>
      </c>
      <c r="AI13" s="128">
        <v>487153</v>
      </c>
      <c r="AJ13" s="128">
        <v>723993</v>
      </c>
      <c r="AK13" s="128">
        <v>11226</v>
      </c>
      <c r="AL13" s="131">
        <v>39973</v>
      </c>
      <c r="AM13" s="128">
        <v>36152</v>
      </c>
      <c r="AN13" s="130">
        <v>684335</v>
      </c>
      <c r="AO13" s="130">
        <v>5421</v>
      </c>
      <c r="AP13" s="130">
        <v>0</v>
      </c>
      <c r="AQ13" s="128">
        <v>121375</v>
      </c>
      <c r="AR13" s="128">
        <v>244551</v>
      </c>
      <c r="AS13" s="128">
        <v>70236</v>
      </c>
      <c r="AT13" s="128">
        <v>678</v>
      </c>
      <c r="AU13" s="128">
        <v>122766</v>
      </c>
      <c r="AV13" s="128">
        <v>48253</v>
      </c>
      <c r="AW13" s="128">
        <v>41540</v>
      </c>
      <c r="AX13" s="128">
        <v>204121</v>
      </c>
      <c r="AY13" s="128">
        <v>562149</v>
      </c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28">
        <v>60799</v>
      </c>
      <c r="C14" s="128">
        <v>96890</v>
      </c>
      <c r="D14" s="128">
        <v>17344</v>
      </c>
      <c r="E14" s="128">
        <v>15499</v>
      </c>
      <c r="F14" s="128">
        <v>217522</v>
      </c>
      <c r="G14" s="128">
        <v>4104</v>
      </c>
      <c r="H14" s="128">
        <v>3488</v>
      </c>
      <c r="I14" s="128">
        <v>433669</v>
      </c>
      <c r="J14" s="128">
        <v>79253</v>
      </c>
      <c r="K14" s="128">
        <v>7954</v>
      </c>
      <c r="L14" s="128">
        <v>32922</v>
      </c>
      <c r="M14" s="128">
        <v>56997</v>
      </c>
      <c r="N14" s="128">
        <v>44325</v>
      </c>
      <c r="O14" s="128">
        <v>214441</v>
      </c>
      <c r="P14" s="128">
        <v>465770</v>
      </c>
      <c r="Q14" s="128">
        <v>3650</v>
      </c>
      <c r="R14" s="128">
        <v>21705</v>
      </c>
      <c r="S14" s="128">
        <v>25503</v>
      </c>
      <c r="T14" s="128">
        <v>314637</v>
      </c>
      <c r="U14" s="128">
        <v>435156</v>
      </c>
      <c r="V14" s="128">
        <v>47530</v>
      </c>
      <c r="W14" s="128">
        <v>6009</v>
      </c>
      <c r="X14" s="128">
        <v>16396</v>
      </c>
      <c r="Y14" s="128">
        <v>102370</v>
      </c>
      <c r="Z14" s="128">
        <v>669</v>
      </c>
      <c r="AA14" s="128">
        <v>194248</v>
      </c>
      <c r="AB14" s="128">
        <v>10089</v>
      </c>
      <c r="AC14" s="128">
        <v>2252</v>
      </c>
      <c r="AD14" s="128">
        <v>20563</v>
      </c>
      <c r="AE14" s="128">
        <v>93402</v>
      </c>
      <c r="AF14" s="128">
        <v>239728</v>
      </c>
      <c r="AG14" s="128">
        <v>1260845</v>
      </c>
      <c r="AH14" s="128">
        <v>12632</v>
      </c>
      <c r="AI14" s="128">
        <v>487171</v>
      </c>
      <c r="AJ14" s="128">
        <v>724499</v>
      </c>
      <c r="AK14" s="128">
        <v>11237</v>
      </c>
      <c r="AL14" s="131">
        <v>39988</v>
      </c>
      <c r="AM14" s="128">
        <v>36245</v>
      </c>
      <c r="AN14" s="130">
        <v>684980</v>
      </c>
      <c r="AO14" s="130">
        <v>5422</v>
      </c>
      <c r="AP14" s="130">
        <v>0</v>
      </c>
      <c r="AQ14" s="128">
        <v>121423</v>
      </c>
      <c r="AR14" s="128">
        <v>244644</v>
      </c>
      <c r="AS14" s="128">
        <v>70251</v>
      </c>
      <c r="AT14" s="128">
        <v>678</v>
      </c>
      <c r="AU14" s="128">
        <v>122843</v>
      </c>
      <c r="AV14" s="128">
        <v>48272</v>
      </c>
      <c r="AW14" s="128">
        <v>41556</v>
      </c>
      <c r="AX14" s="128">
        <v>204281</v>
      </c>
      <c r="AY14" s="128">
        <v>562516</v>
      </c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28">
        <v>60856</v>
      </c>
      <c r="C15" s="128">
        <v>96965</v>
      </c>
      <c r="D15" s="128">
        <v>17350</v>
      </c>
      <c r="E15" s="128">
        <v>15505</v>
      </c>
      <c r="F15" s="128">
        <v>217715</v>
      </c>
      <c r="G15" s="128">
        <v>4107</v>
      </c>
      <c r="H15" s="128">
        <v>3499</v>
      </c>
      <c r="I15" s="128">
        <v>433929</v>
      </c>
      <c r="J15" s="128">
        <v>79313</v>
      </c>
      <c r="K15" s="128">
        <v>7954</v>
      </c>
      <c r="L15" s="128">
        <v>32946</v>
      </c>
      <c r="M15" s="128">
        <v>57003</v>
      </c>
      <c r="N15" s="128">
        <v>44361</v>
      </c>
      <c r="O15" s="128">
        <v>214636</v>
      </c>
      <c r="P15" s="128">
        <v>466191</v>
      </c>
      <c r="Q15" s="128">
        <v>3654</v>
      </c>
      <c r="R15" s="128">
        <v>21721</v>
      </c>
      <c r="S15" s="128">
        <v>25503</v>
      </c>
      <c r="T15" s="128">
        <v>314850</v>
      </c>
      <c r="U15" s="128">
        <v>435494</v>
      </c>
      <c r="V15" s="128">
        <v>47568</v>
      </c>
      <c r="W15" s="128">
        <v>6013</v>
      </c>
      <c r="X15" s="128">
        <v>16413</v>
      </c>
      <c r="Y15" s="128">
        <v>102462</v>
      </c>
      <c r="Z15" s="128">
        <v>672</v>
      </c>
      <c r="AA15" s="128">
        <v>194385</v>
      </c>
      <c r="AB15" s="128">
        <v>10099</v>
      </c>
      <c r="AC15" s="128">
        <v>2253</v>
      </c>
      <c r="AD15" s="128">
        <v>20581</v>
      </c>
      <c r="AE15" s="128">
        <v>93494</v>
      </c>
      <c r="AF15" s="128">
        <v>239905</v>
      </c>
      <c r="AG15" s="128">
        <v>1261606</v>
      </c>
      <c r="AH15" s="128">
        <v>12632</v>
      </c>
      <c r="AI15" s="128">
        <v>487189</v>
      </c>
      <c r="AJ15" s="128">
        <v>724951</v>
      </c>
      <c r="AK15" s="128">
        <v>11246</v>
      </c>
      <c r="AL15" s="131">
        <v>40004</v>
      </c>
      <c r="AM15" s="128">
        <v>36328</v>
      </c>
      <c r="AN15" s="130">
        <v>685526</v>
      </c>
      <c r="AO15" s="130">
        <v>5423</v>
      </c>
      <c r="AP15" s="130">
        <v>0</v>
      </c>
      <c r="AQ15" s="128">
        <v>121468</v>
      </c>
      <c r="AR15" s="128">
        <v>244736</v>
      </c>
      <c r="AS15" s="128">
        <v>70269</v>
      </c>
      <c r="AT15" s="128">
        <v>679</v>
      </c>
      <c r="AU15" s="128">
        <v>122918</v>
      </c>
      <c r="AV15" s="128">
        <v>48313</v>
      </c>
      <c r="AW15" s="128">
        <v>41590</v>
      </c>
      <c r="AX15" s="128">
        <v>204433</v>
      </c>
      <c r="AY15" s="128">
        <v>563025</v>
      </c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28">
        <v>60883</v>
      </c>
      <c r="C16" s="128">
        <v>97010</v>
      </c>
      <c r="D16" s="128">
        <v>17355</v>
      </c>
      <c r="E16" s="128">
        <v>15508</v>
      </c>
      <c r="F16" s="128">
        <v>217813</v>
      </c>
      <c r="G16" s="128">
        <v>4109</v>
      </c>
      <c r="H16" s="128">
        <v>3504</v>
      </c>
      <c r="I16" s="128">
        <v>434063</v>
      </c>
      <c r="J16" s="128">
        <v>79342</v>
      </c>
      <c r="K16" s="128">
        <v>7955</v>
      </c>
      <c r="L16" s="128">
        <v>32960</v>
      </c>
      <c r="M16" s="128">
        <v>57007</v>
      </c>
      <c r="N16" s="128">
        <v>44379</v>
      </c>
      <c r="O16" s="128">
        <v>214730</v>
      </c>
      <c r="P16" s="128">
        <v>466325</v>
      </c>
      <c r="Q16" s="128">
        <v>3657</v>
      </c>
      <c r="R16" s="128">
        <v>21728</v>
      </c>
      <c r="S16" s="128">
        <v>25503</v>
      </c>
      <c r="T16" s="128">
        <v>314958</v>
      </c>
      <c r="U16" s="128">
        <v>435660</v>
      </c>
      <c r="V16" s="128">
        <v>47588</v>
      </c>
      <c r="W16" s="128">
        <v>6015</v>
      </c>
      <c r="X16" s="128">
        <v>16423</v>
      </c>
      <c r="Y16" s="128">
        <v>102507</v>
      </c>
      <c r="Z16" s="128">
        <v>674</v>
      </c>
      <c r="AA16" s="128">
        <v>194453</v>
      </c>
      <c r="AB16" s="128">
        <v>10103</v>
      </c>
      <c r="AC16" s="128">
        <v>2254</v>
      </c>
      <c r="AD16" s="128">
        <v>20587</v>
      </c>
      <c r="AE16" s="128">
        <v>93537</v>
      </c>
      <c r="AF16" s="128">
        <v>239993</v>
      </c>
      <c r="AG16" s="128">
        <v>1262032</v>
      </c>
      <c r="AH16" s="128">
        <v>12633</v>
      </c>
      <c r="AI16" s="128">
        <v>487198</v>
      </c>
      <c r="AJ16" s="128">
        <v>725163</v>
      </c>
      <c r="AK16" s="128">
        <v>11251</v>
      </c>
      <c r="AL16" s="131">
        <v>40012</v>
      </c>
      <c r="AM16" s="128">
        <v>36372</v>
      </c>
      <c r="AN16" s="130">
        <v>685674</v>
      </c>
      <c r="AO16" s="130">
        <v>5424</v>
      </c>
      <c r="AP16" s="130">
        <v>0</v>
      </c>
      <c r="AQ16" s="128">
        <v>121490</v>
      </c>
      <c r="AR16" s="128">
        <v>244780</v>
      </c>
      <c r="AS16" s="128">
        <v>70277</v>
      </c>
      <c r="AT16" s="128">
        <v>680</v>
      </c>
      <c r="AU16" s="128">
        <v>122949</v>
      </c>
      <c r="AV16" s="128">
        <v>48332</v>
      </c>
      <c r="AW16" s="128">
        <v>41607</v>
      </c>
      <c r="AX16" s="128">
        <v>204519</v>
      </c>
      <c r="AY16" s="128">
        <v>563246</v>
      </c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28">
        <v>60910</v>
      </c>
      <c r="C17" s="128">
        <v>97054</v>
      </c>
      <c r="D17" s="128">
        <v>17360</v>
      </c>
      <c r="E17" s="128">
        <v>15511</v>
      </c>
      <c r="F17" s="128">
        <v>217910</v>
      </c>
      <c r="G17" s="128">
        <v>4111</v>
      </c>
      <c r="H17" s="128">
        <v>3508</v>
      </c>
      <c r="I17" s="128">
        <v>434200</v>
      </c>
      <c r="J17" s="128">
        <v>79371</v>
      </c>
      <c r="K17" s="128">
        <v>7955</v>
      </c>
      <c r="L17" s="128">
        <v>32974</v>
      </c>
      <c r="M17" s="128">
        <v>57011</v>
      </c>
      <c r="N17" s="128">
        <v>44396</v>
      </c>
      <c r="O17" s="128">
        <v>214823</v>
      </c>
      <c r="P17" s="128">
        <v>466458</v>
      </c>
      <c r="Q17" s="128">
        <v>3660</v>
      </c>
      <c r="R17" s="128">
        <v>21735</v>
      </c>
      <c r="S17" s="128">
        <v>25503</v>
      </c>
      <c r="T17" s="128">
        <v>315065</v>
      </c>
      <c r="U17" s="128">
        <v>435825</v>
      </c>
      <c r="V17" s="128">
        <v>47607</v>
      </c>
      <c r="W17" s="128">
        <v>6016</v>
      </c>
      <c r="X17" s="128">
        <v>16433</v>
      </c>
      <c r="Y17" s="128">
        <v>102551</v>
      </c>
      <c r="Z17" s="128">
        <v>675</v>
      </c>
      <c r="AA17" s="128">
        <v>194520</v>
      </c>
      <c r="AB17" s="128">
        <v>10107</v>
      </c>
      <c r="AC17" s="128">
        <v>2254</v>
      </c>
      <c r="AD17" s="128">
        <v>20593</v>
      </c>
      <c r="AE17" s="128">
        <v>93580</v>
      </c>
      <c r="AF17" s="128">
        <v>240081</v>
      </c>
      <c r="AG17" s="128">
        <v>1262458</v>
      </c>
      <c r="AH17" s="128">
        <v>12633</v>
      </c>
      <c r="AI17" s="128">
        <v>487207</v>
      </c>
      <c r="AJ17" s="128">
        <v>725375</v>
      </c>
      <c r="AK17" s="128">
        <v>11256</v>
      </c>
      <c r="AL17" s="131">
        <v>40019</v>
      </c>
      <c r="AM17" s="128">
        <v>36415</v>
      </c>
      <c r="AN17" s="130">
        <v>685822</v>
      </c>
      <c r="AO17" s="130">
        <v>5425</v>
      </c>
      <c r="AP17" s="130">
        <v>0</v>
      </c>
      <c r="AQ17" s="128">
        <v>121512</v>
      </c>
      <c r="AR17" s="128">
        <v>244824</v>
      </c>
      <c r="AS17" s="128">
        <v>70284</v>
      </c>
      <c r="AT17" s="128">
        <v>680</v>
      </c>
      <c r="AU17" s="128">
        <v>122979</v>
      </c>
      <c r="AV17" s="128">
        <v>48350</v>
      </c>
      <c r="AW17" s="128">
        <v>41624</v>
      </c>
      <c r="AX17" s="128">
        <v>204606</v>
      </c>
      <c r="AY17" s="128">
        <v>563468</v>
      </c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28">
        <v>60956</v>
      </c>
      <c r="C18" s="128">
        <v>97155</v>
      </c>
      <c r="D18" s="128">
        <v>17362</v>
      </c>
      <c r="E18" s="128">
        <v>15525</v>
      </c>
      <c r="F18" s="128">
        <v>218102</v>
      </c>
      <c r="G18" s="128">
        <v>4114</v>
      </c>
      <c r="H18" s="128">
        <v>3508</v>
      </c>
      <c r="I18" s="128">
        <v>434484</v>
      </c>
      <c r="J18" s="128">
        <v>79435</v>
      </c>
      <c r="K18" s="128">
        <v>7955</v>
      </c>
      <c r="L18" s="128">
        <v>33001</v>
      </c>
      <c r="M18" s="128">
        <v>57016</v>
      </c>
      <c r="N18" s="128">
        <v>44429</v>
      </c>
      <c r="O18" s="128">
        <v>215012</v>
      </c>
      <c r="P18" s="128">
        <v>466641</v>
      </c>
      <c r="Q18" s="128">
        <v>3664</v>
      </c>
      <c r="R18" s="128">
        <v>21752</v>
      </c>
      <c r="S18" s="128">
        <v>25503</v>
      </c>
      <c r="T18" s="128">
        <v>315274</v>
      </c>
      <c r="U18" s="128">
        <v>436161</v>
      </c>
      <c r="V18" s="128">
        <v>47647</v>
      </c>
      <c r="W18" s="128">
        <v>6030</v>
      </c>
      <c r="X18" s="128">
        <v>16454</v>
      </c>
      <c r="Y18" s="128">
        <v>102629</v>
      </c>
      <c r="Z18" s="128">
        <v>678</v>
      </c>
      <c r="AA18" s="128">
        <v>194663</v>
      </c>
      <c r="AB18" s="128">
        <v>10114</v>
      </c>
      <c r="AC18" s="128">
        <v>2255</v>
      </c>
      <c r="AD18" s="128">
        <v>20610</v>
      </c>
      <c r="AE18" s="128">
        <v>93667</v>
      </c>
      <c r="AF18" s="128">
        <v>240244</v>
      </c>
      <c r="AG18" s="128">
        <v>1263110</v>
      </c>
      <c r="AH18" s="128">
        <v>12634</v>
      </c>
      <c r="AI18" s="128">
        <v>487225</v>
      </c>
      <c r="AJ18" s="128">
        <v>725838</v>
      </c>
      <c r="AK18" s="128">
        <v>11268</v>
      </c>
      <c r="AL18" s="131">
        <v>40035</v>
      </c>
      <c r="AM18" s="128">
        <v>36478</v>
      </c>
      <c r="AN18" s="130">
        <v>686303</v>
      </c>
      <c r="AO18" s="130">
        <v>5426</v>
      </c>
      <c r="AP18" s="130">
        <v>0</v>
      </c>
      <c r="AQ18" s="128">
        <v>121557</v>
      </c>
      <c r="AR18" s="128">
        <v>244915</v>
      </c>
      <c r="AS18" s="128">
        <v>70297</v>
      </c>
      <c r="AT18" s="128">
        <v>680</v>
      </c>
      <c r="AU18" s="128">
        <v>123047</v>
      </c>
      <c r="AV18" s="128">
        <v>48389</v>
      </c>
      <c r="AW18" s="128">
        <v>41662</v>
      </c>
      <c r="AX18" s="128">
        <v>204770</v>
      </c>
      <c r="AY18" s="128">
        <v>563942</v>
      </c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28">
        <v>61004</v>
      </c>
      <c r="C19" s="128">
        <v>97212</v>
      </c>
      <c r="D19" s="128">
        <v>17366</v>
      </c>
      <c r="E19" s="128">
        <v>15532</v>
      </c>
      <c r="F19" s="128">
        <v>218293</v>
      </c>
      <c r="G19" s="128">
        <v>4117</v>
      </c>
      <c r="H19" s="128">
        <v>3509</v>
      </c>
      <c r="I19" s="128">
        <v>434768</v>
      </c>
      <c r="J19" s="128">
        <v>79498</v>
      </c>
      <c r="K19" s="128">
        <v>7955</v>
      </c>
      <c r="L19" s="128">
        <v>33027</v>
      </c>
      <c r="M19" s="128">
        <v>57021</v>
      </c>
      <c r="N19" s="128">
        <v>44462</v>
      </c>
      <c r="O19" s="128">
        <v>215196</v>
      </c>
      <c r="P19" s="128">
        <v>467011</v>
      </c>
      <c r="Q19" s="128">
        <v>3669</v>
      </c>
      <c r="R19" s="128">
        <v>21768</v>
      </c>
      <c r="S19" s="128">
        <v>25503</v>
      </c>
      <c r="T19" s="128">
        <v>315480</v>
      </c>
      <c r="U19" s="128">
        <v>436472</v>
      </c>
      <c r="V19" s="128">
        <v>47688</v>
      </c>
      <c r="W19" s="128">
        <v>6045</v>
      </c>
      <c r="X19" s="128">
        <v>16474</v>
      </c>
      <c r="Y19" s="128">
        <v>102701</v>
      </c>
      <c r="Z19" s="128">
        <v>680</v>
      </c>
      <c r="AA19" s="128">
        <v>194800</v>
      </c>
      <c r="AB19" s="128">
        <v>10115</v>
      </c>
      <c r="AC19" s="128">
        <v>2256</v>
      </c>
      <c r="AD19" s="128">
        <v>20623</v>
      </c>
      <c r="AE19" s="128">
        <v>93748</v>
      </c>
      <c r="AF19" s="128">
        <v>240388</v>
      </c>
      <c r="AG19" s="128">
        <v>1263618</v>
      </c>
      <c r="AH19" s="128">
        <v>12636</v>
      </c>
      <c r="AI19" s="128">
        <v>487243</v>
      </c>
      <c r="AJ19" s="128">
        <v>726269</v>
      </c>
      <c r="AK19" s="128">
        <v>11280</v>
      </c>
      <c r="AL19" s="131">
        <v>40050</v>
      </c>
      <c r="AM19" s="128">
        <v>36535</v>
      </c>
      <c r="AN19" s="130">
        <v>686858</v>
      </c>
      <c r="AO19" s="130">
        <v>5427</v>
      </c>
      <c r="AP19" s="130">
        <v>0</v>
      </c>
      <c r="AQ19" s="128">
        <v>121598</v>
      </c>
      <c r="AR19" s="128">
        <v>245008</v>
      </c>
      <c r="AS19" s="128">
        <v>70308</v>
      </c>
      <c r="AT19" s="128">
        <v>681</v>
      </c>
      <c r="AU19" s="128">
        <v>123112</v>
      </c>
      <c r="AV19" s="128">
        <v>48429</v>
      </c>
      <c r="AW19" s="128">
        <v>41699</v>
      </c>
      <c r="AX19" s="128">
        <v>204911</v>
      </c>
      <c r="AY19" s="128">
        <v>564401</v>
      </c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28">
        <v>61048</v>
      </c>
      <c r="C20" s="128">
        <v>97215</v>
      </c>
      <c r="D20" s="128">
        <v>17377</v>
      </c>
      <c r="E20" s="128">
        <v>15542</v>
      </c>
      <c r="F20" s="128">
        <v>218487</v>
      </c>
      <c r="G20" s="128">
        <v>4120</v>
      </c>
      <c r="H20" s="128">
        <v>3509</v>
      </c>
      <c r="I20" s="128">
        <v>435053</v>
      </c>
      <c r="J20" s="128">
        <v>79539</v>
      </c>
      <c r="K20" s="128">
        <v>7955</v>
      </c>
      <c r="L20" s="128">
        <v>33052</v>
      </c>
      <c r="M20" s="128">
        <v>57024</v>
      </c>
      <c r="N20" s="128">
        <v>44497</v>
      </c>
      <c r="O20" s="128">
        <v>215379</v>
      </c>
      <c r="P20" s="128">
        <v>467222</v>
      </c>
      <c r="Q20" s="128">
        <v>3671</v>
      </c>
      <c r="R20" s="128">
        <v>21784</v>
      </c>
      <c r="S20" s="128">
        <v>25503</v>
      </c>
      <c r="T20" s="128">
        <v>315708</v>
      </c>
      <c r="U20" s="128">
        <v>436774</v>
      </c>
      <c r="V20" s="128">
        <v>47727</v>
      </c>
      <c r="W20" s="128">
        <v>6066</v>
      </c>
      <c r="X20" s="128">
        <v>16495</v>
      </c>
      <c r="Y20" s="128">
        <v>102791</v>
      </c>
      <c r="Z20" s="128">
        <v>683</v>
      </c>
      <c r="AA20" s="128">
        <v>194928</v>
      </c>
      <c r="AB20" s="128">
        <v>10116</v>
      </c>
      <c r="AC20" s="128">
        <v>2257</v>
      </c>
      <c r="AD20" s="128">
        <v>20635</v>
      </c>
      <c r="AE20" s="128">
        <v>93825</v>
      </c>
      <c r="AF20" s="128">
        <v>240560</v>
      </c>
      <c r="AG20" s="128">
        <v>1264068</v>
      </c>
      <c r="AH20" s="128">
        <v>12636</v>
      </c>
      <c r="AI20" s="128">
        <v>487260</v>
      </c>
      <c r="AJ20" s="130">
        <v>726759</v>
      </c>
      <c r="AK20" s="130">
        <v>11288</v>
      </c>
      <c r="AL20" s="131">
        <v>40066</v>
      </c>
      <c r="AM20" s="130">
        <v>36556</v>
      </c>
      <c r="AN20" s="130">
        <v>687232</v>
      </c>
      <c r="AO20" s="130">
        <v>5429</v>
      </c>
      <c r="AP20" s="130">
        <v>0</v>
      </c>
      <c r="AQ20" s="130">
        <v>121640</v>
      </c>
      <c r="AR20" s="130">
        <v>245098</v>
      </c>
      <c r="AS20" s="130">
        <v>70324</v>
      </c>
      <c r="AT20" s="130">
        <v>681</v>
      </c>
      <c r="AU20" s="130">
        <v>123218</v>
      </c>
      <c r="AV20" s="130">
        <v>48449</v>
      </c>
      <c r="AW20" s="130">
        <v>41711</v>
      </c>
      <c r="AX20" s="130">
        <v>204988</v>
      </c>
      <c r="AY20" s="130">
        <v>564861</v>
      </c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28">
        <v>61095</v>
      </c>
      <c r="C21" s="128">
        <v>97217</v>
      </c>
      <c r="D21" s="128">
        <v>17388</v>
      </c>
      <c r="E21" s="128">
        <v>15557</v>
      </c>
      <c r="F21" s="128">
        <v>218679</v>
      </c>
      <c r="G21" s="128">
        <v>4122</v>
      </c>
      <c r="H21" s="128">
        <v>3511</v>
      </c>
      <c r="I21" s="128">
        <v>435325</v>
      </c>
      <c r="J21" s="128">
        <v>79596</v>
      </c>
      <c r="K21" s="128">
        <v>7955</v>
      </c>
      <c r="L21" s="128">
        <v>33075</v>
      </c>
      <c r="M21" s="128">
        <v>57027</v>
      </c>
      <c r="N21" s="128">
        <v>44535</v>
      </c>
      <c r="O21" s="128">
        <v>215566</v>
      </c>
      <c r="P21" s="128">
        <v>467542</v>
      </c>
      <c r="Q21" s="128">
        <v>3675</v>
      </c>
      <c r="R21" s="128">
        <v>21789</v>
      </c>
      <c r="S21" s="128">
        <v>25503</v>
      </c>
      <c r="T21" s="128">
        <v>315914</v>
      </c>
      <c r="U21" s="128">
        <v>437075</v>
      </c>
      <c r="V21" s="128">
        <v>47768</v>
      </c>
      <c r="W21" s="128">
        <v>6072</v>
      </c>
      <c r="X21" s="128">
        <v>16511</v>
      </c>
      <c r="Y21" s="128">
        <v>102887</v>
      </c>
      <c r="Z21" s="128">
        <v>686</v>
      </c>
      <c r="AA21" s="128">
        <v>195063</v>
      </c>
      <c r="AB21" s="128">
        <v>10117</v>
      </c>
      <c r="AC21" s="128">
        <v>2259</v>
      </c>
      <c r="AD21" s="128">
        <v>20647</v>
      </c>
      <c r="AE21" s="128">
        <v>93904</v>
      </c>
      <c r="AF21" s="128">
        <v>240732</v>
      </c>
      <c r="AG21" s="128">
        <v>1264491</v>
      </c>
      <c r="AH21" s="128">
        <v>12636</v>
      </c>
      <c r="AI21" s="128">
        <v>487279</v>
      </c>
      <c r="AJ21" s="130">
        <v>727191</v>
      </c>
      <c r="AK21" s="130">
        <v>11299</v>
      </c>
      <c r="AL21" s="131">
        <v>40082</v>
      </c>
      <c r="AM21" s="130">
        <v>36588</v>
      </c>
      <c r="AN21" s="130">
        <v>687778</v>
      </c>
      <c r="AO21" s="130">
        <v>5430</v>
      </c>
      <c r="AP21" s="130">
        <v>0</v>
      </c>
      <c r="AQ21" s="130">
        <v>121683</v>
      </c>
      <c r="AR21" s="130">
        <v>245180</v>
      </c>
      <c r="AS21" s="130">
        <v>70339</v>
      </c>
      <c r="AT21" s="130">
        <v>682</v>
      </c>
      <c r="AU21" s="130">
        <v>123335</v>
      </c>
      <c r="AV21" s="130">
        <v>48465</v>
      </c>
      <c r="AW21" s="130">
        <v>41725</v>
      </c>
      <c r="AX21" s="130">
        <v>205044</v>
      </c>
      <c r="AY21" s="130">
        <v>565301</v>
      </c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28">
        <v>61139</v>
      </c>
      <c r="C22" s="128">
        <v>97217</v>
      </c>
      <c r="D22" s="128">
        <v>17394</v>
      </c>
      <c r="E22" s="128">
        <v>15565</v>
      </c>
      <c r="F22" s="128">
        <v>218867</v>
      </c>
      <c r="G22" s="128">
        <v>4125</v>
      </c>
      <c r="H22" s="128">
        <v>3515</v>
      </c>
      <c r="I22" s="128">
        <v>435599</v>
      </c>
      <c r="J22" s="128">
        <v>79653</v>
      </c>
      <c r="K22" s="128">
        <v>7956</v>
      </c>
      <c r="L22" s="128">
        <v>33094</v>
      </c>
      <c r="M22" s="128">
        <v>57035</v>
      </c>
      <c r="N22" s="128">
        <v>44574</v>
      </c>
      <c r="O22" s="128">
        <v>215748</v>
      </c>
      <c r="P22" s="128">
        <v>467704</v>
      </c>
      <c r="Q22" s="128">
        <v>3678</v>
      </c>
      <c r="R22" s="128">
        <v>21811</v>
      </c>
      <c r="S22" s="128">
        <v>25503</v>
      </c>
      <c r="T22" s="128">
        <v>316130</v>
      </c>
      <c r="U22" s="128">
        <v>437363</v>
      </c>
      <c r="V22" s="128">
        <v>47807</v>
      </c>
      <c r="W22" s="128">
        <v>6075</v>
      </c>
      <c r="X22" s="128">
        <v>16530</v>
      </c>
      <c r="Y22" s="128">
        <v>102975</v>
      </c>
      <c r="Z22" s="128">
        <v>689</v>
      </c>
      <c r="AA22" s="128">
        <v>195197</v>
      </c>
      <c r="AB22" s="128">
        <v>10121</v>
      </c>
      <c r="AC22" s="128">
        <v>2259</v>
      </c>
      <c r="AD22" s="128">
        <v>20664</v>
      </c>
      <c r="AE22" s="128">
        <v>93982</v>
      </c>
      <c r="AF22" s="128">
        <v>240906</v>
      </c>
      <c r="AG22" s="128">
        <v>1264987</v>
      </c>
      <c r="AH22" s="128">
        <v>12637</v>
      </c>
      <c r="AI22" s="128">
        <v>487296</v>
      </c>
      <c r="AJ22" s="130">
        <v>727585</v>
      </c>
      <c r="AK22" s="130">
        <v>11305</v>
      </c>
      <c r="AL22" s="131">
        <v>40097</v>
      </c>
      <c r="AM22" s="130">
        <v>36623</v>
      </c>
      <c r="AN22" s="130">
        <v>688333</v>
      </c>
      <c r="AO22" s="130">
        <v>5431</v>
      </c>
      <c r="AP22" s="130">
        <v>0</v>
      </c>
      <c r="AQ22" s="130">
        <v>121724</v>
      </c>
      <c r="AR22" s="130">
        <v>245256</v>
      </c>
      <c r="AS22" s="130">
        <v>70358</v>
      </c>
      <c r="AT22" s="130">
        <v>683</v>
      </c>
      <c r="AU22" s="130">
        <v>123450</v>
      </c>
      <c r="AV22" s="130">
        <v>48483</v>
      </c>
      <c r="AW22" s="130">
        <v>41738</v>
      </c>
      <c r="AX22" s="130">
        <v>205098</v>
      </c>
      <c r="AY22" s="130">
        <v>565760</v>
      </c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28">
        <v>61184</v>
      </c>
      <c r="C23" s="128">
        <v>97218</v>
      </c>
      <c r="D23" s="128">
        <v>17399</v>
      </c>
      <c r="E23" s="128">
        <v>15571</v>
      </c>
      <c r="F23" s="128">
        <v>219074</v>
      </c>
      <c r="G23" s="128">
        <v>4127</v>
      </c>
      <c r="H23" s="128">
        <v>3515</v>
      </c>
      <c r="I23" s="128">
        <v>435892</v>
      </c>
      <c r="J23" s="128">
        <v>79710</v>
      </c>
      <c r="K23" s="128">
        <v>7956</v>
      </c>
      <c r="L23" s="128">
        <v>33120</v>
      </c>
      <c r="M23" s="128">
        <v>57041</v>
      </c>
      <c r="N23" s="128">
        <v>44612</v>
      </c>
      <c r="O23" s="128">
        <v>215938</v>
      </c>
      <c r="P23" s="128">
        <v>467928</v>
      </c>
      <c r="Q23" s="128">
        <v>3681</v>
      </c>
      <c r="R23" s="128">
        <v>21825</v>
      </c>
      <c r="S23" s="128">
        <v>25503</v>
      </c>
      <c r="T23" s="128">
        <v>316337</v>
      </c>
      <c r="U23" s="128">
        <v>437672</v>
      </c>
      <c r="V23" s="128">
        <v>47847</v>
      </c>
      <c r="W23" s="128">
        <v>6075</v>
      </c>
      <c r="X23" s="128">
        <v>16548</v>
      </c>
      <c r="Y23" s="128">
        <v>103066</v>
      </c>
      <c r="Z23" s="128">
        <v>690</v>
      </c>
      <c r="AA23" s="128">
        <v>195338</v>
      </c>
      <c r="AB23" s="128">
        <v>10126</v>
      </c>
      <c r="AC23" s="128">
        <v>2260</v>
      </c>
      <c r="AD23" s="128">
        <v>20676</v>
      </c>
      <c r="AE23" s="128">
        <v>94071</v>
      </c>
      <c r="AF23" s="128">
        <v>241095</v>
      </c>
      <c r="AG23" s="128">
        <v>1265468</v>
      </c>
      <c r="AH23" s="128">
        <v>12637</v>
      </c>
      <c r="AI23" s="128">
        <v>487314</v>
      </c>
      <c r="AJ23" s="128">
        <v>728087</v>
      </c>
      <c r="AK23" s="128">
        <v>11317</v>
      </c>
      <c r="AL23" s="131">
        <v>40112</v>
      </c>
      <c r="AM23" s="128">
        <v>36675</v>
      </c>
      <c r="AN23" s="130">
        <v>688757</v>
      </c>
      <c r="AO23" s="130">
        <v>5433</v>
      </c>
      <c r="AP23" s="130">
        <v>0</v>
      </c>
      <c r="AQ23" s="128">
        <v>121767</v>
      </c>
      <c r="AR23" s="128">
        <v>245334</v>
      </c>
      <c r="AS23" s="128">
        <v>70383</v>
      </c>
      <c r="AT23" s="128">
        <v>683</v>
      </c>
      <c r="AU23" s="128">
        <v>123587</v>
      </c>
      <c r="AV23" s="128">
        <v>48503</v>
      </c>
      <c r="AW23" s="128">
        <v>41752</v>
      </c>
      <c r="AX23" s="128">
        <v>205155</v>
      </c>
      <c r="AY23" s="128">
        <v>566226</v>
      </c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28">
        <v>61232</v>
      </c>
      <c r="C24" s="128">
        <v>97219</v>
      </c>
      <c r="D24" s="128">
        <v>17407</v>
      </c>
      <c r="E24" s="128">
        <v>15585</v>
      </c>
      <c r="F24" s="128">
        <v>219253</v>
      </c>
      <c r="G24" s="128">
        <v>4130</v>
      </c>
      <c r="H24" s="128">
        <v>3519</v>
      </c>
      <c r="I24" s="128">
        <v>436168</v>
      </c>
      <c r="J24" s="128">
        <v>79758</v>
      </c>
      <c r="K24" s="128">
        <v>7956</v>
      </c>
      <c r="L24" s="128">
        <v>33149</v>
      </c>
      <c r="M24" s="128">
        <v>57041</v>
      </c>
      <c r="N24" s="128">
        <v>44650</v>
      </c>
      <c r="O24" s="128">
        <v>216111</v>
      </c>
      <c r="P24" s="128">
        <v>468081</v>
      </c>
      <c r="Q24" s="128">
        <v>3686</v>
      </c>
      <c r="R24" s="128">
        <v>21839</v>
      </c>
      <c r="S24" s="128">
        <v>25503</v>
      </c>
      <c r="T24" s="128">
        <v>316518</v>
      </c>
      <c r="U24" s="128">
        <v>437971</v>
      </c>
      <c r="V24" s="128">
        <v>47883</v>
      </c>
      <c r="W24" s="128">
        <v>6077</v>
      </c>
      <c r="X24" s="128">
        <v>16564</v>
      </c>
      <c r="Y24" s="128">
        <v>103148</v>
      </c>
      <c r="Z24" s="128">
        <v>691</v>
      </c>
      <c r="AA24" s="128">
        <v>195471</v>
      </c>
      <c r="AB24" s="128">
        <v>10132</v>
      </c>
      <c r="AC24" s="128">
        <v>2261</v>
      </c>
      <c r="AD24" s="128">
        <v>20687</v>
      </c>
      <c r="AE24" s="128">
        <v>94146</v>
      </c>
      <c r="AF24" s="128">
        <v>241282</v>
      </c>
      <c r="AG24" s="128">
        <v>1265892</v>
      </c>
      <c r="AH24" s="128">
        <v>12637</v>
      </c>
      <c r="AI24" s="128">
        <v>487331</v>
      </c>
      <c r="AJ24" s="128">
        <v>728592</v>
      </c>
      <c r="AK24" s="128">
        <v>11326</v>
      </c>
      <c r="AL24" s="131">
        <v>40127</v>
      </c>
      <c r="AM24" s="128">
        <v>36726</v>
      </c>
      <c r="AN24" s="130">
        <v>689190</v>
      </c>
      <c r="AO24" s="130">
        <v>5434</v>
      </c>
      <c r="AP24" s="130">
        <v>0</v>
      </c>
      <c r="AQ24" s="128">
        <v>121807</v>
      </c>
      <c r="AR24" s="128">
        <v>245405</v>
      </c>
      <c r="AS24" s="128">
        <v>70406</v>
      </c>
      <c r="AT24" s="128">
        <v>684</v>
      </c>
      <c r="AU24" s="128">
        <v>123709</v>
      </c>
      <c r="AV24" s="128">
        <v>48518</v>
      </c>
      <c r="AW24" s="128">
        <v>41766</v>
      </c>
      <c r="AX24" s="128">
        <v>205208</v>
      </c>
      <c r="AY24" s="128">
        <v>566636</v>
      </c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28">
        <v>61281</v>
      </c>
      <c r="C25" s="128">
        <v>97219</v>
      </c>
      <c r="D25" s="128">
        <v>17409</v>
      </c>
      <c r="E25" s="128">
        <v>15606</v>
      </c>
      <c r="F25" s="128">
        <v>219474</v>
      </c>
      <c r="G25" s="128">
        <v>4132</v>
      </c>
      <c r="H25" s="128">
        <v>3519</v>
      </c>
      <c r="I25" s="128">
        <v>436458</v>
      </c>
      <c r="J25" s="128">
        <v>79814</v>
      </c>
      <c r="K25" s="128">
        <v>7956</v>
      </c>
      <c r="L25" s="128">
        <v>33175</v>
      </c>
      <c r="M25" s="128">
        <v>57048</v>
      </c>
      <c r="N25" s="128">
        <v>44689</v>
      </c>
      <c r="O25" s="128">
        <v>216312</v>
      </c>
      <c r="P25" s="128">
        <v>468290</v>
      </c>
      <c r="Q25" s="128">
        <v>3691</v>
      </c>
      <c r="R25" s="128">
        <v>21851</v>
      </c>
      <c r="S25" s="128">
        <v>25503</v>
      </c>
      <c r="T25" s="128">
        <v>316704</v>
      </c>
      <c r="U25" s="128">
        <v>438304</v>
      </c>
      <c r="V25" s="128">
        <v>47924</v>
      </c>
      <c r="W25" s="128">
        <v>6081</v>
      </c>
      <c r="X25" s="128">
        <v>16583</v>
      </c>
      <c r="Y25" s="128">
        <v>103228</v>
      </c>
      <c r="Z25" s="128">
        <v>693</v>
      </c>
      <c r="AA25" s="128">
        <v>195607</v>
      </c>
      <c r="AB25" s="128">
        <v>10140</v>
      </c>
      <c r="AC25" s="128">
        <v>2262</v>
      </c>
      <c r="AD25" s="128">
        <v>20700</v>
      </c>
      <c r="AE25" s="128">
        <v>94232</v>
      </c>
      <c r="AF25" s="128">
        <v>241449</v>
      </c>
      <c r="AG25" s="128">
        <v>1266531</v>
      </c>
      <c r="AH25" s="128">
        <v>12638</v>
      </c>
      <c r="AI25" s="128">
        <v>487350</v>
      </c>
      <c r="AJ25" s="128">
        <v>729118</v>
      </c>
      <c r="AK25" s="128">
        <v>11339</v>
      </c>
      <c r="AL25" s="131">
        <v>40143</v>
      </c>
      <c r="AM25" s="128">
        <v>36774</v>
      </c>
      <c r="AN25" s="130">
        <v>689465</v>
      </c>
      <c r="AO25" s="130">
        <v>5435</v>
      </c>
      <c r="AP25" s="130">
        <v>0</v>
      </c>
      <c r="AQ25" s="128">
        <v>121856</v>
      </c>
      <c r="AR25" s="128">
        <v>245483</v>
      </c>
      <c r="AS25" s="128">
        <v>70431</v>
      </c>
      <c r="AT25" s="128">
        <v>684</v>
      </c>
      <c r="AU25" s="128">
        <v>123831</v>
      </c>
      <c r="AV25" s="128">
        <v>48548</v>
      </c>
      <c r="AW25" s="128">
        <v>41780</v>
      </c>
      <c r="AX25" s="128">
        <v>205258</v>
      </c>
      <c r="AY25" s="128">
        <v>567064</v>
      </c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28">
        <v>61325</v>
      </c>
      <c r="C26" s="128">
        <v>97219</v>
      </c>
      <c r="D26" s="128">
        <v>17412</v>
      </c>
      <c r="E26" s="128">
        <v>15636</v>
      </c>
      <c r="F26" s="128">
        <v>219669</v>
      </c>
      <c r="G26" s="128">
        <v>4135</v>
      </c>
      <c r="H26" s="128">
        <v>3520</v>
      </c>
      <c r="I26" s="128">
        <v>436726</v>
      </c>
      <c r="J26" s="128">
        <v>79882</v>
      </c>
      <c r="K26" s="128">
        <v>7956</v>
      </c>
      <c r="L26" s="128">
        <v>33197</v>
      </c>
      <c r="M26" s="128">
        <v>57054</v>
      </c>
      <c r="N26" s="128">
        <v>44727</v>
      </c>
      <c r="O26" s="128">
        <v>216500</v>
      </c>
      <c r="P26" s="128">
        <v>468445</v>
      </c>
      <c r="Q26" s="128">
        <v>3697</v>
      </c>
      <c r="R26" s="128">
        <v>21861</v>
      </c>
      <c r="S26" s="128">
        <v>25503</v>
      </c>
      <c r="T26" s="128">
        <v>316871</v>
      </c>
      <c r="U26" s="128">
        <v>438624</v>
      </c>
      <c r="V26" s="128">
        <v>47964</v>
      </c>
      <c r="W26" s="128">
        <v>6088</v>
      </c>
      <c r="X26" s="128">
        <v>16603</v>
      </c>
      <c r="Y26" s="128">
        <v>103303</v>
      </c>
      <c r="Z26" s="128">
        <v>696</v>
      </c>
      <c r="AA26" s="128">
        <v>195739</v>
      </c>
      <c r="AB26" s="128">
        <v>10142</v>
      </c>
      <c r="AC26" s="128">
        <v>2263</v>
      </c>
      <c r="AD26" s="128">
        <v>20712</v>
      </c>
      <c r="AE26" s="128">
        <v>94312</v>
      </c>
      <c r="AF26" s="128">
        <v>241700</v>
      </c>
      <c r="AG26" s="128">
        <v>1267004</v>
      </c>
      <c r="AH26" s="128">
        <v>12638</v>
      </c>
      <c r="AI26" s="128">
        <v>487368</v>
      </c>
      <c r="AJ26" s="128">
        <v>729516</v>
      </c>
      <c r="AK26" s="128">
        <v>11350</v>
      </c>
      <c r="AL26" s="131">
        <v>40159</v>
      </c>
      <c r="AM26" s="128">
        <v>36827</v>
      </c>
      <c r="AN26" s="130">
        <v>689967</v>
      </c>
      <c r="AO26" s="130">
        <v>5437</v>
      </c>
      <c r="AP26" s="130">
        <v>0</v>
      </c>
      <c r="AQ26" s="128">
        <v>121899</v>
      </c>
      <c r="AR26" s="128">
        <v>245558</v>
      </c>
      <c r="AS26" s="128">
        <v>70455</v>
      </c>
      <c r="AT26" s="128">
        <v>685</v>
      </c>
      <c r="AU26" s="128">
        <v>123983</v>
      </c>
      <c r="AV26" s="128">
        <v>48575</v>
      </c>
      <c r="AW26" s="128">
        <v>41802</v>
      </c>
      <c r="AX26" s="128">
        <v>205311</v>
      </c>
      <c r="AY26" s="128">
        <v>567151</v>
      </c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28">
        <v>61369</v>
      </c>
      <c r="C27" s="128">
        <v>97219</v>
      </c>
      <c r="D27" s="128">
        <v>17421</v>
      </c>
      <c r="E27" s="128">
        <v>15689</v>
      </c>
      <c r="F27" s="128">
        <v>219875</v>
      </c>
      <c r="G27" s="128">
        <v>4137</v>
      </c>
      <c r="H27" s="128">
        <v>3520</v>
      </c>
      <c r="I27" s="128">
        <v>436997</v>
      </c>
      <c r="J27" s="128">
        <v>79942</v>
      </c>
      <c r="K27" s="128">
        <v>7956</v>
      </c>
      <c r="L27" s="129">
        <v>33221</v>
      </c>
      <c r="M27">
        <v>57062</v>
      </c>
      <c r="N27">
        <v>44765</v>
      </c>
      <c r="O27">
        <v>216687</v>
      </c>
      <c r="P27">
        <v>468600</v>
      </c>
      <c r="Q27">
        <v>3702</v>
      </c>
      <c r="R27">
        <v>21875</v>
      </c>
      <c r="S27">
        <v>25503</v>
      </c>
      <c r="T27">
        <v>317040</v>
      </c>
      <c r="U27">
        <v>438919</v>
      </c>
      <c r="V27">
        <v>48004</v>
      </c>
      <c r="W27">
        <v>6092</v>
      </c>
      <c r="X27">
        <v>16623</v>
      </c>
      <c r="Y27">
        <v>103391</v>
      </c>
      <c r="Z27">
        <v>699</v>
      </c>
      <c r="AA27">
        <v>195880</v>
      </c>
      <c r="AB27">
        <v>10149</v>
      </c>
      <c r="AC27">
        <v>2264</v>
      </c>
      <c r="AD27">
        <v>20724</v>
      </c>
      <c r="AE27">
        <v>94394</v>
      </c>
      <c r="AF27">
        <v>241905</v>
      </c>
      <c r="AG27">
        <v>1267518</v>
      </c>
      <c r="AH27">
        <v>12638</v>
      </c>
      <c r="AI27">
        <v>487387</v>
      </c>
      <c r="AJ27">
        <v>729978</v>
      </c>
      <c r="AK27">
        <v>11359</v>
      </c>
      <c r="AL27">
        <v>40175</v>
      </c>
      <c r="AM27">
        <v>36879</v>
      </c>
      <c r="AN27">
        <v>690491</v>
      </c>
      <c r="AO27">
        <v>5438</v>
      </c>
      <c r="AP27">
        <v>0</v>
      </c>
      <c r="AQ27">
        <v>121942</v>
      </c>
      <c r="AR27">
        <v>245633</v>
      </c>
      <c r="AS27">
        <v>70479</v>
      </c>
      <c r="AT27">
        <v>686</v>
      </c>
      <c r="AU27">
        <v>124123</v>
      </c>
      <c r="AV27">
        <v>48602</v>
      </c>
      <c r="AW27">
        <v>41826</v>
      </c>
      <c r="AX27">
        <v>205441</v>
      </c>
      <c r="AY27">
        <v>567941</v>
      </c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28">
        <v>61413</v>
      </c>
      <c r="C28" s="128">
        <v>97219</v>
      </c>
      <c r="D28" s="128">
        <v>17430</v>
      </c>
      <c r="E28" s="128">
        <v>15704</v>
      </c>
      <c r="F28" s="128">
        <v>220068</v>
      </c>
      <c r="G28" s="128">
        <v>4140</v>
      </c>
      <c r="H28" s="128">
        <v>3523</v>
      </c>
      <c r="I28" s="128">
        <v>437267</v>
      </c>
      <c r="J28" s="128">
        <v>79995</v>
      </c>
      <c r="K28" s="128">
        <v>7956</v>
      </c>
      <c r="L28" s="128">
        <v>33238</v>
      </c>
      <c r="M28" s="128">
        <v>57069</v>
      </c>
      <c r="N28" s="128">
        <v>44801</v>
      </c>
      <c r="O28" s="128">
        <v>216877</v>
      </c>
      <c r="P28" s="128">
        <v>468912</v>
      </c>
      <c r="Q28" s="128">
        <v>3706</v>
      </c>
      <c r="R28" s="128">
        <v>21890</v>
      </c>
      <c r="S28" s="128">
        <v>25503</v>
      </c>
      <c r="T28" s="128">
        <v>317208</v>
      </c>
      <c r="U28" s="128">
        <v>439208</v>
      </c>
      <c r="V28" s="128">
        <v>48043</v>
      </c>
      <c r="W28" s="128">
        <v>6097</v>
      </c>
      <c r="X28" s="128">
        <v>16645</v>
      </c>
      <c r="Y28" s="128">
        <v>103479</v>
      </c>
      <c r="Z28" s="128">
        <v>701</v>
      </c>
      <c r="AA28" s="128">
        <v>196017</v>
      </c>
      <c r="AB28" s="128">
        <v>10149</v>
      </c>
      <c r="AC28" s="128">
        <v>2265</v>
      </c>
      <c r="AD28" s="128">
        <v>20736</v>
      </c>
      <c r="AE28" s="128">
        <v>94483</v>
      </c>
      <c r="AF28" s="128">
        <v>242103</v>
      </c>
      <c r="AG28" s="128">
        <v>1268024</v>
      </c>
      <c r="AH28" s="128">
        <v>12638</v>
      </c>
      <c r="AI28" s="128">
        <v>487405</v>
      </c>
      <c r="AJ28" s="128">
        <v>730368</v>
      </c>
      <c r="AK28" s="128">
        <v>11366</v>
      </c>
      <c r="AL28" s="131">
        <v>40191</v>
      </c>
      <c r="AM28" s="128">
        <v>36924</v>
      </c>
      <c r="AN28" s="130">
        <v>691020</v>
      </c>
      <c r="AO28" s="130">
        <v>5439</v>
      </c>
      <c r="AP28" s="130">
        <v>0</v>
      </c>
      <c r="AQ28" s="128">
        <v>121983</v>
      </c>
      <c r="AR28" s="128">
        <v>245707</v>
      </c>
      <c r="AS28" s="128">
        <v>70501</v>
      </c>
      <c r="AT28" s="128">
        <v>686</v>
      </c>
      <c r="AU28" s="128">
        <v>124261</v>
      </c>
      <c r="AV28" s="128">
        <v>48628</v>
      </c>
      <c r="AW28" s="128">
        <v>41851</v>
      </c>
      <c r="AX28" s="128">
        <v>205572</v>
      </c>
      <c r="AY28" s="128">
        <v>568350</v>
      </c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28">
        <v>61460</v>
      </c>
      <c r="C29" s="128">
        <v>97219</v>
      </c>
      <c r="D29" s="128">
        <v>17440</v>
      </c>
      <c r="E29" s="128">
        <v>15735</v>
      </c>
      <c r="F29" s="128">
        <v>220266</v>
      </c>
      <c r="G29" s="128">
        <v>4142</v>
      </c>
      <c r="H29" s="128">
        <v>3525</v>
      </c>
      <c r="I29" s="128">
        <v>437550</v>
      </c>
      <c r="J29" s="128">
        <v>80043</v>
      </c>
      <c r="K29" s="128">
        <v>7956</v>
      </c>
      <c r="L29" s="128">
        <v>33252</v>
      </c>
      <c r="M29" s="128">
        <v>57080</v>
      </c>
      <c r="N29" s="128">
        <v>44840</v>
      </c>
      <c r="O29" s="128">
        <v>217067</v>
      </c>
      <c r="P29" s="128">
        <v>469190</v>
      </c>
      <c r="Q29" s="128">
        <v>3710</v>
      </c>
      <c r="R29" s="128">
        <v>21906</v>
      </c>
      <c r="S29" s="128">
        <v>25503</v>
      </c>
      <c r="T29" s="128">
        <v>317375</v>
      </c>
      <c r="U29" s="128">
        <v>439538</v>
      </c>
      <c r="V29" s="128">
        <v>48084</v>
      </c>
      <c r="W29" s="128">
        <v>6104</v>
      </c>
      <c r="X29" s="128">
        <v>16664</v>
      </c>
      <c r="Y29" s="128">
        <v>103569</v>
      </c>
      <c r="Z29" s="128">
        <v>703</v>
      </c>
      <c r="AA29" s="128">
        <v>196159</v>
      </c>
      <c r="AB29" s="128">
        <v>10150</v>
      </c>
      <c r="AC29" s="128">
        <v>2266</v>
      </c>
      <c r="AD29" s="128">
        <v>20760</v>
      </c>
      <c r="AE29" s="128">
        <v>94576</v>
      </c>
      <c r="AF29" s="128">
        <v>242287</v>
      </c>
      <c r="AG29" s="128">
        <v>1268549</v>
      </c>
      <c r="AH29" s="128">
        <v>12638</v>
      </c>
      <c r="AI29" s="128">
        <v>487423</v>
      </c>
      <c r="AJ29" s="128">
        <v>730731</v>
      </c>
      <c r="AK29" s="128">
        <v>11376</v>
      </c>
      <c r="AL29" s="131">
        <v>40206</v>
      </c>
      <c r="AM29" s="128">
        <v>36956</v>
      </c>
      <c r="AN29" s="130">
        <v>691149</v>
      </c>
      <c r="AO29" s="130">
        <v>5441</v>
      </c>
      <c r="AP29" s="130">
        <v>0</v>
      </c>
      <c r="AQ29" s="128">
        <v>122028</v>
      </c>
      <c r="AR29" s="128">
        <v>245781</v>
      </c>
      <c r="AS29" s="128">
        <v>70522</v>
      </c>
      <c r="AT29" s="128">
        <v>687</v>
      </c>
      <c r="AU29" s="128">
        <v>124407</v>
      </c>
      <c r="AV29" s="128">
        <v>48653</v>
      </c>
      <c r="AW29" s="128">
        <v>41878</v>
      </c>
      <c r="AX29" s="128">
        <v>205723</v>
      </c>
      <c r="AY29" s="128">
        <v>568781</v>
      </c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28">
        <v>61511</v>
      </c>
      <c r="C30" s="128">
        <v>97219</v>
      </c>
      <c r="D30" s="128">
        <v>17446</v>
      </c>
      <c r="E30" s="128">
        <v>15743</v>
      </c>
      <c r="F30" s="128">
        <v>220457</v>
      </c>
      <c r="G30" s="128">
        <v>4144</v>
      </c>
      <c r="H30" s="128">
        <v>3528</v>
      </c>
      <c r="I30" s="128">
        <v>437852</v>
      </c>
      <c r="J30" s="128">
        <v>80093</v>
      </c>
      <c r="K30" s="128">
        <v>7957</v>
      </c>
      <c r="L30" s="128">
        <v>33276</v>
      </c>
      <c r="M30" s="128">
        <v>57090</v>
      </c>
      <c r="N30" s="128">
        <v>44881</v>
      </c>
      <c r="O30" s="128">
        <v>217255</v>
      </c>
      <c r="P30" s="128">
        <v>469617</v>
      </c>
      <c r="Q30" s="128">
        <v>3715</v>
      </c>
      <c r="R30" s="128">
        <v>21926</v>
      </c>
      <c r="S30" s="128">
        <v>25503</v>
      </c>
      <c r="T30" s="128">
        <v>317542</v>
      </c>
      <c r="U30" s="128">
        <v>439851</v>
      </c>
      <c r="V30" s="128">
        <v>48125</v>
      </c>
      <c r="W30" s="128">
        <v>6107</v>
      </c>
      <c r="X30" s="128">
        <v>16681</v>
      </c>
      <c r="Y30" s="128">
        <v>103667</v>
      </c>
      <c r="Z30" s="128">
        <v>704</v>
      </c>
      <c r="AA30" s="128">
        <v>196297</v>
      </c>
      <c r="AB30" s="128">
        <v>10153</v>
      </c>
      <c r="AC30" s="128">
        <v>2267</v>
      </c>
      <c r="AD30" s="128">
        <v>20776</v>
      </c>
      <c r="AE30" s="128">
        <v>94669</v>
      </c>
      <c r="AF30" s="128">
        <v>242472</v>
      </c>
      <c r="AG30" s="128">
        <v>1269178</v>
      </c>
      <c r="AH30" s="128">
        <v>12638</v>
      </c>
      <c r="AI30" s="128">
        <v>487441</v>
      </c>
      <c r="AJ30" s="128">
        <v>731172</v>
      </c>
      <c r="AK30" s="128">
        <v>11388</v>
      </c>
      <c r="AL30" s="131">
        <v>40222</v>
      </c>
      <c r="AM30" s="128">
        <v>36973</v>
      </c>
      <c r="AN30" s="130">
        <v>691577</v>
      </c>
      <c r="AO30" s="130">
        <v>5442</v>
      </c>
      <c r="AP30" s="130">
        <v>0</v>
      </c>
      <c r="AQ30" s="128">
        <v>122083</v>
      </c>
      <c r="AR30" s="130">
        <v>245872</v>
      </c>
      <c r="AS30" s="128">
        <v>70543</v>
      </c>
      <c r="AT30" s="128">
        <v>688</v>
      </c>
      <c r="AU30" s="128">
        <v>124557</v>
      </c>
      <c r="AV30" s="128">
        <v>48683</v>
      </c>
      <c r="AW30" s="128">
        <v>41902</v>
      </c>
      <c r="AX30" s="128">
        <v>205853</v>
      </c>
      <c r="AY30" s="128">
        <v>569251</v>
      </c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28">
        <v>61560</v>
      </c>
      <c r="C31" s="128">
        <v>97219</v>
      </c>
      <c r="D31" s="128">
        <v>17450</v>
      </c>
      <c r="E31" s="128">
        <v>15751</v>
      </c>
      <c r="F31" s="128">
        <v>220682</v>
      </c>
      <c r="G31" s="128">
        <v>4147</v>
      </c>
      <c r="H31" s="128">
        <v>3531</v>
      </c>
      <c r="I31" s="128">
        <v>438171</v>
      </c>
      <c r="J31" s="128">
        <v>80143</v>
      </c>
      <c r="K31" s="128">
        <v>7957</v>
      </c>
      <c r="L31" s="128">
        <v>33303</v>
      </c>
      <c r="M31" s="128">
        <v>57101</v>
      </c>
      <c r="N31" s="128">
        <v>44923</v>
      </c>
      <c r="O31" s="128">
        <v>217447</v>
      </c>
      <c r="P31" s="128">
        <v>469888</v>
      </c>
      <c r="Q31" s="128">
        <v>3719</v>
      </c>
      <c r="R31" s="128">
        <v>21943</v>
      </c>
      <c r="S31" s="128">
        <v>25503</v>
      </c>
      <c r="T31" s="128">
        <v>317706</v>
      </c>
      <c r="U31" s="128">
        <v>440188</v>
      </c>
      <c r="V31" s="128">
        <v>48169</v>
      </c>
      <c r="W31" s="128">
        <v>6110</v>
      </c>
      <c r="X31" s="128">
        <v>16698</v>
      </c>
      <c r="Y31" s="128">
        <v>103763</v>
      </c>
      <c r="Z31" s="128">
        <v>706</v>
      </c>
      <c r="AA31" s="128">
        <v>196437</v>
      </c>
      <c r="AB31" s="128">
        <v>10163</v>
      </c>
      <c r="AC31" s="128">
        <v>2268</v>
      </c>
      <c r="AD31" s="128">
        <v>20788</v>
      </c>
      <c r="AE31" s="128">
        <v>94765</v>
      </c>
      <c r="AF31" s="128">
        <v>242667</v>
      </c>
      <c r="AG31" s="128">
        <v>1269985</v>
      </c>
      <c r="AH31" s="128">
        <v>12639</v>
      </c>
      <c r="AI31" s="128">
        <v>487459</v>
      </c>
      <c r="AJ31" s="128">
        <v>731707</v>
      </c>
      <c r="AK31" s="128">
        <v>11397</v>
      </c>
      <c r="AL31" s="131">
        <v>40238</v>
      </c>
      <c r="AM31" s="128">
        <v>37046</v>
      </c>
      <c r="AN31" s="130">
        <v>692086</v>
      </c>
      <c r="AO31" s="130">
        <v>5443</v>
      </c>
      <c r="AP31" s="130">
        <v>0</v>
      </c>
      <c r="AQ31" s="128">
        <v>122139</v>
      </c>
      <c r="AR31" s="128">
        <v>245971</v>
      </c>
      <c r="AS31" s="128">
        <v>70563</v>
      </c>
      <c r="AT31" s="128">
        <v>688</v>
      </c>
      <c r="AU31" s="128">
        <v>124701</v>
      </c>
      <c r="AV31" s="128">
        <v>48708</v>
      </c>
      <c r="AW31" s="128">
        <v>41926</v>
      </c>
      <c r="AX31" s="128">
        <v>205996</v>
      </c>
      <c r="AY31" s="128">
        <v>569733</v>
      </c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28">
        <v>61618</v>
      </c>
      <c r="C32" s="128">
        <v>97219</v>
      </c>
      <c r="D32" s="128">
        <v>17454</v>
      </c>
      <c r="E32" s="128">
        <v>15759</v>
      </c>
      <c r="F32" s="128">
        <v>220885</v>
      </c>
      <c r="G32" s="128">
        <v>4150</v>
      </c>
      <c r="H32" s="128">
        <v>3532</v>
      </c>
      <c r="I32" s="128">
        <v>438479</v>
      </c>
      <c r="J32" s="128">
        <v>80194</v>
      </c>
      <c r="K32" s="128">
        <v>7958</v>
      </c>
      <c r="L32" s="128">
        <v>33327</v>
      </c>
      <c r="M32" s="128">
        <v>57109</v>
      </c>
      <c r="N32" s="128">
        <v>44963</v>
      </c>
      <c r="O32" s="128">
        <v>217630</v>
      </c>
      <c r="P32" s="128">
        <v>470141</v>
      </c>
      <c r="Q32" s="128">
        <v>3725</v>
      </c>
      <c r="R32" s="128">
        <v>21958</v>
      </c>
      <c r="S32" s="128">
        <v>25503</v>
      </c>
      <c r="T32" s="128">
        <v>317869</v>
      </c>
      <c r="U32" s="128">
        <v>440531</v>
      </c>
      <c r="V32" s="128">
        <v>48214</v>
      </c>
      <c r="W32" s="128">
        <v>6112</v>
      </c>
      <c r="X32" s="128">
        <v>16717</v>
      </c>
      <c r="Y32" s="128">
        <v>103905</v>
      </c>
      <c r="Z32" s="128">
        <v>708</v>
      </c>
      <c r="AA32" s="128">
        <v>196581</v>
      </c>
      <c r="AB32" s="128">
        <v>10169</v>
      </c>
      <c r="AC32" s="128">
        <v>2270</v>
      </c>
      <c r="AD32" s="128">
        <v>20800</v>
      </c>
      <c r="AE32" s="128">
        <v>94854</v>
      </c>
      <c r="AF32" s="128">
        <v>242851</v>
      </c>
      <c r="AG32" s="128">
        <v>1270824</v>
      </c>
      <c r="AH32" s="128">
        <v>12641</v>
      </c>
      <c r="AI32" s="128">
        <v>487477</v>
      </c>
      <c r="AJ32" s="128">
        <v>732283</v>
      </c>
      <c r="AK32" s="128">
        <v>11406</v>
      </c>
      <c r="AL32" s="131">
        <v>40253</v>
      </c>
      <c r="AM32" s="128">
        <v>37110</v>
      </c>
      <c r="AN32" s="130">
        <v>692513</v>
      </c>
      <c r="AO32" s="130">
        <v>5445</v>
      </c>
      <c r="AP32" s="130">
        <v>0</v>
      </c>
      <c r="AQ32" s="128">
        <v>122195</v>
      </c>
      <c r="AR32" s="128">
        <v>246069</v>
      </c>
      <c r="AS32" s="128">
        <v>70596</v>
      </c>
      <c r="AT32" s="128">
        <v>689</v>
      </c>
      <c r="AU32" s="128">
        <v>124839</v>
      </c>
      <c r="AV32" s="128">
        <v>48746</v>
      </c>
      <c r="AW32" s="128">
        <v>41948</v>
      </c>
      <c r="AX32" s="128">
        <v>206130</v>
      </c>
      <c r="AY32" s="128">
        <v>570244</v>
      </c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28">
        <v>61676</v>
      </c>
      <c r="C33" s="128">
        <v>97219</v>
      </c>
      <c r="D33" s="128">
        <v>17458</v>
      </c>
      <c r="E33" s="128">
        <v>15766</v>
      </c>
      <c r="F33" s="128">
        <v>221087</v>
      </c>
      <c r="G33" s="128">
        <v>4152</v>
      </c>
      <c r="H33" s="128">
        <v>3532</v>
      </c>
      <c r="I33" s="128">
        <v>438787</v>
      </c>
      <c r="J33" s="128">
        <v>80245</v>
      </c>
      <c r="K33" s="128">
        <v>7958</v>
      </c>
      <c r="L33" s="128">
        <v>33351</v>
      </c>
      <c r="M33" s="128">
        <v>57117</v>
      </c>
      <c r="N33" s="128">
        <v>45002</v>
      </c>
      <c r="O33" s="128">
        <v>217812</v>
      </c>
      <c r="P33" s="128">
        <v>470394</v>
      </c>
      <c r="Q33" s="128">
        <v>3730</v>
      </c>
      <c r="R33" s="128">
        <v>21972</v>
      </c>
      <c r="S33" s="128">
        <v>25503</v>
      </c>
      <c r="T33" s="128">
        <v>318031</v>
      </c>
      <c r="U33" s="128">
        <v>440874</v>
      </c>
      <c r="V33" s="128">
        <v>48258</v>
      </c>
      <c r="W33" s="128">
        <v>6113</v>
      </c>
      <c r="X33" s="128">
        <v>16736</v>
      </c>
      <c r="Y33" s="128">
        <v>103930</v>
      </c>
      <c r="Z33" s="128">
        <v>709</v>
      </c>
      <c r="AA33" s="128">
        <v>196724</v>
      </c>
      <c r="AB33" s="128">
        <v>10175</v>
      </c>
      <c r="AC33" s="128">
        <v>2271</v>
      </c>
      <c r="AD33" s="128">
        <v>20812</v>
      </c>
      <c r="AE33" s="128">
        <v>94942</v>
      </c>
      <c r="AF33" s="128">
        <v>243035</v>
      </c>
      <c r="AG33" s="128">
        <v>1271663</v>
      </c>
      <c r="AH33" s="128">
        <v>12642</v>
      </c>
      <c r="AI33" s="128">
        <v>487495</v>
      </c>
      <c r="AJ33" s="128">
        <v>732856</v>
      </c>
      <c r="AK33" s="128">
        <v>11415</v>
      </c>
      <c r="AL33" s="131">
        <v>40268</v>
      </c>
      <c r="AM33" s="128">
        <v>37173</v>
      </c>
      <c r="AN33" s="130">
        <v>692939</v>
      </c>
      <c r="AO33" s="130">
        <v>5446</v>
      </c>
      <c r="AP33" s="130">
        <v>0</v>
      </c>
      <c r="AQ33" s="128">
        <v>122251</v>
      </c>
      <c r="AR33" s="128">
        <v>246167</v>
      </c>
      <c r="AS33" s="128">
        <v>70628</v>
      </c>
      <c r="AT33" s="128">
        <v>689</v>
      </c>
      <c r="AU33" s="128">
        <v>124976</v>
      </c>
      <c r="AV33" s="128">
        <v>48783</v>
      </c>
      <c r="AW33" s="128">
        <v>41970</v>
      </c>
      <c r="AX33" s="128">
        <v>206264</v>
      </c>
      <c r="AY33" s="128">
        <v>570755</v>
      </c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28">
        <v>61736</v>
      </c>
      <c r="C34" s="128">
        <v>97219</v>
      </c>
      <c r="D34" s="128">
        <v>17466</v>
      </c>
      <c r="E34" s="128">
        <v>15784</v>
      </c>
      <c r="F34" s="128">
        <v>221293</v>
      </c>
      <c r="G34" s="128">
        <v>4155</v>
      </c>
      <c r="H34" s="128">
        <v>3532</v>
      </c>
      <c r="I34" s="128">
        <v>439077</v>
      </c>
      <c r="J34" s="128">
        <v>80283</v>
      </c>
      <c r="K34" s="128">
        <v>7958</v>
      </c>
      <c r="L34" s="128">
        <v>33371</v>
      </c>
      <c r="M34" s="128">
        <v>57121</v>
      </c>
      <c r="N34" s="128">
        <v>45040</v>
      </c>
      <c r="O34" s="128">
        <v>217995</v>
      </c>
      <c r="P34" s="128">
        <v>470704</v>
      </c>
      <c r="Q34" s="128">
        <v>3736</v>
      </c>
      <c r="R34" s="128">
        <v>21988</v>
      </c>
      <c r="S34" s="128">
        <v>25503</v>
      </c>
      <c r="T34" s="128">
        <v>318198</v>
      </c>
      <c r="U34" s="128">
        <v>441212</v>
      </c>
      <c r="V34" s="128">
        <v>48302</v>
      </c>
      <c r="W34" s="128">
        <v>6119</v>
      </c>
      <c r="X34" s="128">
        <v>16760</v>
      </c>
      <c r="Y34" s="128">
        <v>104014</v>
      </c>
      <c r="Z34" s="128">
        <v>712</v>
      </c>
      <c r="AA34" s="128">
        <v>196863</v>
      </c>
      <c r="AB34" s="128">
        <v>10181</v>
      </c>
      <c r="AC34" s="128">
        <v>2272</v>
      </c>
      <c r="AD34" s="128">
        <v>20827</v>
      </c>
      <c r="AE34" s="128">
        <v>95031</v>
      </c>
      <c r="AF34" s="128">
        <v>243230</v>
      </c>
      <c r="AG34" s="128">
        <v>1272691</v>
      </c>
      <c r="AH34" s="128">
        <v>12642</v>
      </c>
      <c r="AI34" s="128">
        <v>487513</v>
      </c>
      <c r="AJ34" s="128">
        <v>733413</v>
      </c>
      <c r="AK34" s="128">
        <v>11425</v>
      </c>
      <c r="AL34" s="131">
        <v>40284</v>
      </c>
      <c r="AM34" s="128">
        <v>37241</v>
      </c>
      <c r="AN34" s="130">
        <v>693457</v>
      </c>
      <c r="AO34" s="130">
        <v>5447</v>
      </c>
      <c r="AP34" s="130">
        <v>0</v>
      </c>
      <c r="AQ34" s="128">
        <v>122290</v>
      </c>
      <c r="AR34" s="128">
        <v>246266</v>
      </c>
      <c r="AS34" s="128">
        <v>70650</v>
      </c>
      <c r="AT34" s="128">
        <v>690</v>
      </c>
      <c r="AU34" s="128">
        <v>125110</v>
      </c>
      <c r="AV34" s="128">
        <v>48807</v>
      </c>
      <c r="AW34" s="128">
        <v>41994</v>
      </c>
      <c r="AX34" s="128">
        <v>206416</v>
      </c>
      <c r="AY34" s="128">
        <v>571255</v>
      </c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28">
        <v>61787</v>
      </c>
      <c r="C35" s="128">
        <v>97219</v>
      </c>
      <c r="D35" s="128">
        <v>17474</v>
      </c>
      <c r="E35" s="128">
        <v>15801</v>
      </c>
      <c r="F35" s="128">
        <v>221480</v>
      </c>
      <c r="G35" s="128">
        <v>4158</v>
      </c>
      <c r="H35" s="128">
        <v>3536</v>
      </c>
      <c r="I35" s="128">
        <v>439399</v>
      </c>
      <c r="J35" s="128">
        <v>80314</v>
      </c>
      <c r="K35" s="128">
        <v>7958</v>
      </c>
      <c r="L35" s="128">
        <v>33393</v>
      </c>
      <c r="M35" s="128">
        <v>57126</v>
      </c>
      <c r="N35" s="128">
        <v>45078</v>
      </c>
      <c r="O35" s="128">
        <v>218181</v>
      </c>
      <c r="P35" s="128">
        <v>471001</v>
      </c>
      <c r="Q35" s="128">
        <v>3740</v>
      </c>
      <c r="R35" s="128">
        <v>22002</v>
      </c>
      <c r="S35" s="128">
        <v>25503</v>
      </c>
      <c r="T35" s="128">
        <v>318364</v>
      </c>
      <c r="U35" s="128">
        <v>441542</v>
      </c>
      <c r="V35" s="128">
        <v>48343</v>
      </c>
      <c r="W35" s="128">
        <v>6121</v>
      </c>
      <c r="X35" s="128">
        <v>16778</v>
      </c>
      <c r="Y35" s="128">
        <v>104100</v>
      </c>
      <c r="Z35" s="128">
        <v>714</v>
      </c>
      <c r="AA35" s="128">
        <v>197007</v>
      </c>
      <c r="AB35" s="128">
        <v>10181</v>
      </c>
      <c r="AC35" s="128">
        <v>2273</v>
      </c>
      <c r="AD35" s="128">
        <v>20839</v>
      </c>
      <c r="AE35" s="128">
        <v>95113</v>
      </c>
      <c r="AF35" s="128">
        <v>243433</v>
      </c>
      <c r="AG35" s="128">
        <v>1273397</v>
      </c>
      <c r="AH35" s="128">
        <v>12643</v>
      </c>
      <c r="AI35" s="128">
        <v>487531</v>
      </c>
      <c r="AJ35" s="128">
        <v>733871</v>
      </c>
      <c r="AK35" s="128">
        <v>11432</v>
      </c>
      <c r="AL35" s="131">
        <v>40300</v>
      </c>
      <c r="AM35" s="128">
        <v>37299</v>
      </c>
      <c r="AN35" s="130">
        <v>693978</v>
      </c>
      <c r="AO35" s="130">
        <v>5448</v>
      </c>
      <c r="AP35" s="130">
        <v>0</v>
      </c>
      <c r="AQ35" s="128">
        <v>122341</v>
      </c>
      <c r="AR35" s="128">
        <v>246374</v>
      </c>
      <c r="AS35" s="128">
        <v>70672</v>
      </c>
      <c r="AT35" s="128">
        <v>691</v>
      </c>
      <c r="AU35" s="128">
        <v>125238</v>
      </c>
      <c r="AV35" s="128">
        <v>48843</v>
      </c>
      <c r="AW35" s="128">
        <v>42017</v>
      </c>
      <c r="AX35" s="128">
        <v>206561</v>
      </c>
      <c r="AY35" s="128">
        <v>571729</v>
      </c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28">
        <v>61836</v>
      </c>
      <c r="C36" s="128">
        <v>97219</v>
      </c>
      <c r="D36" s="128">
        <v>17486</v>
      </c>
      <c r="E36" s="128">
        <v>15816</v>
      </c>
      <c r="F36" s="128">
        <v>221660</v>
      </c>
      <c r="G36" s="128">
        <v>4160</v>
      </c>
      <c r="H36" s="128">
        <v>3555</v>
      </c>
      <c r="I36" s="128">
        <v>439734</v>
      </c>
      <c r="J36" s="128">
        <v>80359</v>
      </c>
      <c r="K36" s="128">
        <v>7958</v>
      </c>
      <c r="L36" s="128">
        <v>33408</v>
      </c>
      <c r="M36" s="128">
        <v>57127</v>
      </c>
      <c r="N36" s="128">
        <v>45118</v>
      </c>
      <c r="O36" s="128">
        <v>218366</v>
      </c>
      <c r="P36" s="128">
        <v>471278</v>
      </c>
      <c r="Q36" s="128">
        <v>3743</v>
      </c>
      <c r="R36" s="128">
        <v>22016</v>
      </c>
      <c r="S36" s="128">
        <v>25503</v>
      </c>
      <c r="T36" s="128">
        <v>318519</v>
      </c>
      <c r="U36" s="128">
        <v>441858</v>
      </c>
      <c r="V36" s="128">
        <v>48381</v>
      </c>
      <c r="W36" s="128">
        <v>6122</v>
      </c>
      <c r="X36" s="128">
        <v>16799</v>
      </c>
      <c r="Y36" s="128">
        <v>104194</v>
      </c>
      <c r="Z36" s="128">
        <v>716</v>
      </c>
      <c r="AA36" s="128">
        <v>197147</v>
      </c>
      <c r="AB36" s="128">
        <v>10182</v>
      </c>
      <c r="AC36" s="128">
        <v>2274</v>
      </c>
      <c r="AD36" s="128">
        <v>20852</v>
      </c>
      <c r="AE36" s="128">
        <v>95194</v>
      </c>
      <c r="AF36" s="128">
        <v>243642</v>
      </c>
      <c r="AG36" s="128">
        <v>1274007</v>
      </c>
      <c r="AH36" s="128">
        <v>12643</v>
      </c>
      <c r="AI36" s="128">
        <v>487549</v>
      </c>
      <c r="AJ36" s="128">
        <v>734385</v>
      </c>
      <c r="AK36" s="128">
        <v>11439</v>
      </c>
      <c r="AL36" s="131">
        <v>40315</v>
      </c>
      <c r="AM36" s="128">
        <v>37319</v>
      </c>
      <c r="AN36" s="130">
        <v>694298</v>
      </c>
      <c r="AO36" s="130">
        <v>5450</v>
      </c>
      <c r="AP36" s="130">
        <v>0</v>
      </c>
      <c r="AQ36" s="128">
        <v>122391</v>
      </c>
      <c r="AR36" s="128">
        <v>246491</v>
      </c>
      <c r="AS36" s="128">
        <v>70689</v>
      </c>
      <c r="AT36" s="128">
        <v>691</v>
      </c>
      <c r="AU36" s="128">
        <v>125372</v>
      </c>
      <c r="AV36" s="128">
        <v>48868</v>
      </c>
      <c r="AW36" s="128">
        <v>42042</v>
      </c>
      <c r="AX36" s="128">
        <v>206670</v>
      </c>
      <c r="AY36" s="128">
        <v>572194</v>
      </c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x14ac:dyDescent="0.25">
      <c r="A37">
        <v>30</v>
      </c>
      <c r="B37" s="129">
        <v>61886</v>
      </c>
      <c r="C37" s="128">
        <v>97219</v>
      </c>
      <c r="D37" s="128">
        <v>17487</v>
      </c>
      <c r="E37" s="128">
        <v>15828</v>
      </c>
      <c r="F37" s="128">
        <v>221865</v>
      </c>
      <c r="G37" s="128">
        <v>4163</v>
      </c>
      <c r="H37" s="128">
        <v>3573</v>
      </c>
      <c r="I37" s="128">
        <v>440085</v>
      </c>
      <c r="J37" s="128">
        <v>80410</v>
      </c>
      <c r="K37" s="128">
        <v>7958</v>
      </c>
      <c r="L37" s="128">
        <v>33423</v>
      </c>
      <c r="M37" s="128">
        <v>57134</v>
      </c>
      <c r="N37" s="128">
        <v>45154</v>
      </c>
      <c r="O37" s="128">
        <v>218551</v>
      </c>
      <c r="P37" s="128">
        <v>471657</v>
      </c>
      <c r="Q37" s="128">
        <v>3747</v>
      </c>
      <c r="R37" s="128">
        <v>22029</v>
      </c>
      <c r="S37" s="128">
        <v>25503</v>
      </c>
      <c r="T37" s="128">
        <v>318683</v>
      </c>
      <c r="U37" s="128">
        <v>442173</v>
      </c>
      <c r="V37" s="128">
        <v>48419</v>
      </c>
      <c r="W37" s="128">
        <v>6123</v>
      </c>
      <c r="X37" s="128">
        <v>16817</v>
      </c>
      <c r="Y37" s="128">
        <v>104270</v>
      </c>
      <c r="Z37" s="128">
        <v>718</v>
      </c>
      <c r="AA37" s="128">
        <v>197287</v>
      </c>
      <c r="AB37" s="128">
        <v>10186</v>
      </c>
      <c r="AC37" s="128">
        <v>2275</v>
      </c>
      <c r="AD37" s="128">
        <v>20868</v>
      </c>
      <c r="AE37" s="128">
        <v>95276</v>
      </c>
      <c r="AF37" s="128">
        <v>243855</v>
      </c>
      <c r="AG37" s="128">
        <v>1274570</v>
      </c>
      <c r="AH37" s="128">
        <v>12644</v>
      </c>
      <c r="AI37" s="128">
        <v>487567</v>
      </c>
      <c r="AJ37" s="128">
        <v>734839</v>
      </c>
      <c r="AK37" s="128">
        <v>11450</v>
      </c>
      <c r="AL37" s="131">
        <v>40331</v>
      </c>
      <c r="AM37" s="128">
        <v>37363</v>
      </c>
      <c r="AN37" s="130">
        <v>694649</v>
      </c>
      <c r="AO37" s="130">
        <v>5451</v>
      </c>
      <c r="AP37" s="130">
        <v>0</v>
      </c>
      <c r="AQ37" s="128">
        <v>122440</v>
      </c>
      <c r="AR37" s="128">
        <v>246604</v>
      </c>
      <c r="AS37" s="128">
        <v>70715</v>
      </c>
      <c r="AT37" s="128">
        <v>692</v>
      </c>
      <c r="AU37" s="128">
        <v>125514</v>
      </c>
      <c r="AV37" s="128">
        <v>48895</v>
      </c>
      <c r="AW37" s="128">
        <v>42069</v>
      </c>
      <c r="AX37" s="128">
        <v>206811</v>
      </c>
      <c r="AY37" s="155">
        <v>572642</v>
      </c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</row>
    <row r="38" spans="1:83" x14ac:dyDescent="0.25">
      <c r="A38">
        <v>31</v>
      </c>
      <c r="B38" s="117">
        <v>61947</v>
      </c>
      <c r="C38" s="128">
        <v>97219</v>
      </c>
      <c r="D38" s="119">
        <v>17492</v>
      </c>
      <c r="E38" s="119">
        <v>15851</v>
      </c>
      <c r="F38" s="119">
        <v>222079</v>
      </c>
      <c r="G38" s="119">
        <v>4165</v>
      </c>
      <c r="H38" s="128">
        <v>3594</v>
      </c>
      <c r="I38" s="119">
        <v>440440</v>
      </c>
      <c r="J38" s="119">
        <v>80460</v>
      </c>
      <c r="K38" s="119">
        <v>7958</v>
      </c>
      <c r="L38" s="119">
        <v>33450</v>
      </c>
      <c r="M38" s="119">
        <v>57137</v>
      </c>
      <c r="N38" s="119">
        <v>45194</v>
      </c>
      <c r="O38" s="119">
        <v>218741</v>
      </c>
      <c r="P38" s="119">
        <v>471838</v>
      </c>
      <c r="Q38" s="119">
        <v>3751</v>
      </c>
      <c r="R38" s="119">
        <v>22043</v>
      </c>
      <c r="S38" s="119">
        <v>25503</v>
      </c>
      <c r="T38" s="119">
        <v>318851</v>
      </c>
      <c r="U38" s="119">
        <v>442517</v>
      </c>
      <c r="V38" s="119">
        <v>48458</v>
      </c>
      <c r="W38" s="119">
        <v>6125</v>
      </c>
      <c r="X38" s="119">
        <v>16838</v>
      </c>
      <c r="Y38" s="119">
        <v>104352</v>
      </c>
      <c r="Z38" s="128">
        <v>720</v>
      </c>
      <c r="AA38" s="119">
        <v>197427</v>
      </c>
      <c r="AB38" s="119">
        <v>10192</v>
      </c>
      <c r="AC38" s="119">
        <v>2276</v>
      </c>
      <c r="AD38" s="119">
        <v>20881</v>
      </c>
      <c r="AE38" s="119">
        <v>95356</v>
      </c>
      <c r="AF38" s="119">
        <v>244097</v>
      </c>
      <c r="AG38" s="119">
        <v>1275493</v>
      </c>
      <c r="AH38" s="119">
        <v>12644</v>
      </c>
      <c r="AI38" s="119">
        <v>487585</v>
      </c>
      <c r="AJ38" s="119">
        <v>735283</v>
      </c>
      <c r="AK38" s="119">
        <v>11461</v>
      </c>
      <c r="AL38" s="120">
        <v>40347</v>
      </c>
      <c r="AM38" s="119">
        <v>37386</v>
      </c>
      <c r="AN38" s="121">
        <v>695011</v>
      </c>
      <c r="AO38" s="121">
        <v>5453</v>
      </c>
      <c r="AP38" s="130">
        <v>0</v>
      </c>
      <c r="AQ38" s="119">
        <v>122505</v>
      </c>
      <c r="AR38" s="119">
        <v>246722</v>
      </c>
      <c r="AS38" s="119">
        <v>70744</v>
      </c>
      <c r="AT38" s="119">
        <v>693</v>
      </c>
      <c r="AU38" s="119">
        <v>125653</v>
      </c>
      <c r="AV38" s="119">
        <v>48920</v>
      </c>
      <c r="AW38" s="119">
        <v>42086</v>
      </c>
      <c r="AX38" s="119">
        <v>206969</v>
      </c>
      <c r="AY38" s="128">
        <v>573121</v>
      </c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</row>
    <row r="39" spans="1:83" x14ac:dyDescent="0.25">
      <c r="D39" s="30"/>
      <c r="E39" s="29"/>
    </row>
    <row r="40" spans="1:83" x14ac:dyDescent="0.25">
      <c r="D40" s="30"/>
      <c r="E40" s="29"/>
    </row>
    <row r="41" spans="1:83" x14ac:dyDescent="0.25">
      <c r="D41" s="30"/>
      <c r="E41" s="29"/>
    </row>
    <row r="42" spans="1:83" x14ac:dyDescent="0.25">
      <c r="D42" s="30"/>
      <c r="E42" s="29"/>
    </row>
    <row r="43" spans="1:83" x14ac:dyDescent="0.25">
      <c r="D43" s="30"/>
      <c r="E43" s="29"/>
    </row>
    <row r="44" spans="1:83" x14ac:dyDescent="0.25">
      <c r="D44" s="30"/>
      <c r="E44" s="29"/>
    </row>
    <row r="45" spans="1:83" x14ac:dyDescent="0.25">
      <c r="D45" s="30"/>
      <c r="E45" s="29"/>
    </row>
    <row r="46" spans="1:83" x14ac:dyDescent="0.25">
      <c r="D46" s="30"/>
      <c r="E46" s="29"/>
    </row>
    <row r="47" spans="1:83" x14ac:dyDescent="0.25">
      <c r="D47" s="30"/>
      <c r="E47" s="29"/>
    </row>
    <row r="48" spans="1:83" x14ac:dyDescent="0.25">
      <c r="D48" s="30"/>
      <c r="E48" s="29"/>
    </row>
    <row r="49" spans="4:5" x14ac:dyDescent="0.25">
      <c r="D49" s="30"/>
      <c r="E49" s="29"/>
    </row>
    <row r="50" spans="4:5" x14ac:dyDescent="0.25">
      <c r="D50" s="30"/>
      <c r="E5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2020-11-01T07:42:40Z</dcterms:modified>
</cp:coreProperties>
</file>