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15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70" documentId="11_C5F5619C06E299C08D23ED2C3B78A570D4149A46" xr6:coauthVersionLast="47" xr6:coauthVersionMax="47" xr10:uidLastSave="{D801D507-6D61-43CD-AB6A-F93EF0979C70}"/>
  <bookViews>
    <workbookView xWindow="0" yWindow="0" windowWidth="15690" windowHeight="8055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<sst xmlns="http://schemas.openxmlformats.org/spreadsheetml/2006/main" count="606" uniqueCount="76">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</sst>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B139" workbookViewId="0">
      <selection activeCell="L180" sqref="L180"/>
    </sheetView>
  </sheetViews>
  <sheetFormatPr defaultRowHeight="1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2.4300000000000002</v>
      </c>
      <c r="G173" s="4">
        <f>'Gas Water'!M176</f>
        <v>1915</v>
      </c>
      <c r="H173" s="132">
        <v>16.5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2.4300000000000002</v>
      </c>
      <c r="G174" s="4">
        <f>'Gas Water'!M177</f>
        <v>22731</v>
      </c>
      <c r="H174" s="132">
        <v>16.5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2.4300000000000002</v>
      </c>
      <c r="G175" s="4">
        <f>'Gas Water'!M178</f>
        <v>1890</v>
      </c>
      <c r="H175" s="132">
        <v>16.5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2.4300000000000002</v>
      </c>
      <c r="G176" s="4">
        <f>'Gas Water'!M179</f>
        <v>1760</v>
      </c>
      <c r="H176" s="132">
        <v>16.5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2.4300000000000002</v>
      </c>
      <c r="G177" s="4">
        <f>'Gas Water'!M180</f>
        <v>1951</v>
      </c>
      <c r="H177" s="132">
        <v>16.5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2.4300000000000002</v>
      </c>
      <c r="G178" s="4">
        <f>'Gas Water'!M181</f>
        <v>1802</v>
      </c>
      <c r="H178" s="132">
        <v>16.5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2.4300000000000002</v>
      </c>
      <c r="G179" s="4">
        <f>'Gas Water'!M182</f>
        <v>1826</v>
      </c>
      <c r="H179" s="132">
        <v>16.5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176" workbookViewId="0">
      <selection activeCell="F183" sqref="F183"/>
    </sheetView>
  </sheetViews>
  <sheetFormatPr defaultColWidth="9.140625" defaultRowHeight="1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7"/>
    </row>
    <row r="2" spans="1:41" ht="15.75" thickBot="1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8"/>
    </row>
    <row r="22" spans="1:21" ht="15.75" thickBot="1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8"/>
    </row>
    <row r="23" spans="1:21" ht="15.75" thickBot="1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7"/>
    </row>
    <row r="24" spans="1:21" ht="15.75" thickBot="1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8"/>
    </row>
    <row r="27" spans="1:21" ht="15.75" thickBot="1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7"/>
    </row>
    <row r="29" spans="1:21" ht="15.75" thickBot="1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35</v>
      </c>
      <c r="Q30" s="160" t="s">
        <v>36</v>
      </c>
      <c r="R30" s="19">
        <f t="shared" si="7"/>
        <v>1</v>
      </c>
      <c r="S30" s="19">
        <f t="shared" si="8"/>
        <v>0</v>
      </c>
      <c r="T30" s="158"/>
    </row>
    <row r="31" spans="1:21" ht="15.75" thickBot="1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37</v>
      </c>
      <c r="Q32" s="162" t="s">
        <v>38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7"/>
    </row>
    <row r="50" spans="1:20" ht="15.75" thickBot="1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7"/>
    </row>
    <row r="51" spans="1:20" ht="15.75" thickBot="1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8"/>
    </row>
    <row r="52" spans="1:20" ht="15.75" thickBot="1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7"/>
    </row>
    <row r="55" spans="1:20" ht="15.75" thickBot="1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8"/>
    </row>
    <row r="57" spans="1:20" ht="15.75" thickBot="1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35</v>
      </c>
      <c r="Q58" s="160" t="s">
        <v>42</v>
      </c>
      <c r="R58" s="19">
        <f t="shared" si="7"/>
        <v>1</v>
      </c>
      <c r="S58" s="19">
        <f t="shared" si="8"/>
        <v>0</v>
      </c>
      <c r="T58" s="158"/>
    </row>
    <row r="59" spans="1:20" ht="15.75" thickBot="1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37</v>
      </c>
      <c r="Q60" s="162" t="s">
        <v>38</v>
      </c>
      <c r="R60" s="19">
        <f t="shared" si="7"/>
        <v>1</v>
      </c>
      <c r="S60" s="19">
        <f t="shared" si="8"/>
        <v>0</v>
      </c>
      <c r="T60" s="157"/>
    </row>
    <row r="61" spans="1:20" ht="15.75" thickBot="1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8"/>
    </row>
    <row r="82" spans="1:20" ht="15.75" thickBot="1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7"/>
    </row>
    <row r="83" spans="1:20" ht="15.75" thickBot="1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7"/>
    </row>
    <row r="84" spans="1:20" ht="15.75" thickBot="1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8"/>
    </row>
    <row r="87" spans="1:20" ht="15.75" thickBot="1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7"/>
    </row>
    <row r="89" spans="1:20" ht="15.75" thickBot="1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35</v>
      </c>
      <c r="Q90" s="160" t="s">
        <v>42</v>
      </c>
      <c r="R90" s="19">
        <f t="shared" si="39"/>
        <v>1</v>
      </c>
      <c r="S90" s="19">
        <f t="shared" si="40"/>
        <v>0</v>
      </c>
      <c r="T90" s="158"/>
    </row>
    <row r="91" spans="1:20" ht="15.75" thickBot="1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37</v>
      </c>
      <c r="Q92" s="162" t="s">
        <v>38</v>
      </c>
      <c r="R92" s="19">
        <f t="shared" si="39"/>
        <v>1</v>
      </c>
      <c r="S92" s="19">
        <f t="shared" si="40"/>
        <v>0</v>
      </c>
      <c r="T92" s="158"/>
    </row>
    <row r="93" spans="1:20" ht="15.75" thickBot="1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8"/>
    </row>
    <row r="112" spans="1:20" ht="15.75" thickBot="1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8"/>
    </row>
    <row r="113" spans="1:20" ht="15.75" thickBot="1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35</v>
      </c>
      <c r="Q120" s="160" t="s">
        <v>42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37</v>
      </c>
      <c r="Q122" s="162" t="s">
        <v>38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8"/>
    </row>
    <row r="143" spans="1:20" ht="15.75" thickBot="1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7"/>
    </row>
    <row r="144" spans="1:20" ht="15.75" thickBot="1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35</v>
      </c>
      <c r="Q151" s="160" t="s">
        <v>42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1" t="s">
        <v>37</v>
      </c>
      <c r="Q153" s="162" t="s">
        <v>38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8"/>
    </row>
    <row r="173" spans="1:20" ht="15.75" thickBot="1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8"/>
    </row>
    <row r="174" spans="1:20" ht="15.75" thickBot="1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3.2031079210085224E-2</v>
      </c>
      <c r="Q175" s="66">
        <f>IF(L155="",0,+SUM(L155:L184)/SUM(I155:I184))</f>
        <v>3.2031079210085224E-2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8"/>
    </row>
    <row r="178" spans="1:20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8"/>
    </row>
    <row r="180" spans="1:20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9" t="s">
        <v>35</v>
      </c>
      <c r="Q181" s="160" t="s">
        <v>42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37</v>
      </c>
      <c r="Q183" s="162" t="s">
        <v>38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8"/>
    </row>
    <row r="204" spans="1:20" ht="15.75" thickBot="1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7"/>
    </row>
    <row r="205" spans="1:20" ht="15.75" thickBot="1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35</v>
      </c>
      <c r="Q212" s="160" t="s">
        <v>42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37</v>
      </c>
      <c r="Q214" s="162" t="s">
        <v>38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8"/>
    </row>
    <row r="235" spans="1:20" ht="15.75" thickBot="1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7"/>
    </row>
    <row r="236" spans="1:20" ht="15.75" thickBot="1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35</v>
      </c>
      <c r="Q243" s="160" t="s">
        <v>42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37</v>
      </c>
      <c r="Q245" s="162" t="s">
        <v>38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35</v>
      </c>
      <c r="Q273" s="160" t="s">
        <v>42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37</v>
      </c>
      <c r="Q275" s="162" t="s">
        <v>38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50</v>
      </c>
    </row>
    <row r="279" spans="1:23" ht="15.75" thickBot="1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8"/>
    </row>
    <row r="296" spans="1:20" ht="15.75" thickBot="1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7"/>
    </row>
    <row r="297" spans="1:20" ht="15.75" thickBot="1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35</v>
      </c>
      <c r="Q304" s="160" t="s">
        <v>42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37</v>
      </c>
      <c r="Q306" s="162" t="s">
        <v>38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8"/>
    </row>
    <row r="326" spans="1:20" ht="15.75" thickBot="1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8"/>
    </row>
    <row r="327" spans="1:20" ht="15.75" thickBot="1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35</v>
      </c>
      <c r="Q334" s="160" t="s">
        <v>42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37</v>
      </c>
      <c r="Q336" s="163" t="s">
        <v>38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8"/>
    </row>
    <row r="357" spans="1:20" ht="15.75" thickBot="1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7"/>
    </row>
    <row r="358" spans="1:20" ht="15.75" thickBot="1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35</v>
      </c>
      <c r="Q365" s="160" t="s">
        <v>42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37</v>
      </c>
      <c r="Q367" s="162" t="s">
        <v>38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B166" workbookViewId="0">
      <selection activeCell="D183" sqref="D183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74"/>
      <c r="C1" s="174"/>
      <c r="D1" s="174"/>
      <c r="E1" s="174"/>
      <c r="F1" s="174"/>
    </row>
    <row r="2" spans="1:23" s="9" customFormat="1" ht="39.950000000000003" customHeight="1" thickBot="1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4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8537</v>
      </c>
      <c r="O178" s="30">
        <f>SUM(M156:M185)</f>
        <v>74080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316.18518518518516</v>
      </c>
      <c r="O181" s="30">
        <f>AVERAGE(M156:M185)</f>
        <v>2743.7037037037039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73</v>
      </c>
      <c r="Q193" s="19">
        <f t="shared" si="90"/>
        <v>1</v>
      </c>
    </row>
    <row r="194" spans="2:17" ht="12.95" customHeight="1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1" t="s">
        <v>65</v>
      </c>
      <c r="O206" s="171" t="s">
        <v>66</v>
      </c>
      <c r="Q206" s="19">
        <f t="shared" si="96"/>
        <v>1</v>
      </c>
    </row>
    <row r="207" spans="2:17" ht="12.95" customHeight="1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2"/>
      <c r="O207" s="172"/>
      <c r="Q207" s="19">
        <f t="shared" si="96"/>
        <v>1</v>
      </c>
    </row>
    <row r="208" spans="2:17" ht="12.95" customHeight="1" thickBot="1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3"/>
      <c r="O208" s="173"/>
      <c r="Q208" s="19">
        <f t="shared" si="96"/>
        <v>1</v>
      </c>
    </row>
    <row r="209" spans="2:17" ht="12.95" customHeight="1" thickBot="1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1" t="s">
        <v>67</v>
      </c>
      <c r="O210" s="171" t="s">
        <v>68</v>
      </c>
      <c r="Q210" s="19">
        <f t="shared" si="96"/>
        <v>1</v>
      </c>
    </row>
    <row r="211" spans="2:17" ht="12.95" customHeight="1" thickBot="1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>
      <c r="A313" s="8" t="s">
        <v>74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>
      <c r="A324" s="8" t="s">
        <v>75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A291-D7F4-414F-BBBF-0EF57D90586D}"/>
</file>

<file path=customXml/itemProps2.xml><?xml version="1.0" encoding="utf-8"?>
<ds:datastoreItem xmlns:ds="http://schemas.openxmlformats.org/officeDocument/2006/customXml" ds:itemID="{BC3EB6BD-495D-4F4B-BF33-ED3526A0B531}"/>
</file>

<file path=customXml/itemProps3.xml><?xml version="1.0" encoding="utf-8"?>
<ds:datastoreItem xmlns:ds="http://schemas.openxmlformats.org/officeDocument/2006/customXml" ds:itemID="{CEBED28E-7EB1-4939-B257-E9DD061D1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2022-06-28T09:12:31Z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