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6170" windowHeight="6030" activeTab="1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7" i="9" l="1"/>
  <c r="G26" i="9" l="1"/>
  <c r="I26" i="9"/>
  <c r="I28" i="5" l="1"/>
  <c r="I27" i="5"/>
  <c r="I23" i="5"/>
  <c r="I29" i="5"/>
  <c r="I30" i="5"/>
  <c r="I31" i="5"/>
  <c r="I32" i="5"/>
  <c r="G25" i="9"/>
  <c r="I22" i="5" l="1"/>
  <c r="I21" i="5" l="1"/>
  <c r="I20" i="5" l="1"/>
  <c r="I19" i="5" l="1"/>
  <c r="I18" i="5" l="1"/>
  <c r="I17" i="5" l="1"/>
  <c r="I16" i="5" l="1"/>
  <c r="I15" i="5"/>
  <c r="I14" i="5"/>
  <c r="I13" i="5"/>
  <c r="I12" i="5"/>
  <c r="I6" i="5" l="1"/>
  <c r="I5" i="5"/>
  <c r="I4" i="5"/>
  <c r="I3" i="5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H4" i="8" s="1"/>
  <c r="H4" i="10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H28" i="10"/>
  <c r="H27" i="10"/>
  <c r="I28" i="10" s="1"/>
  <c r="H26" i="10"/>
  <c r="H25" i="10"/>
  <c r="H24" i="10"/>
  <c r="H23" i="10"/>
  <c r="I24" i="10" s="1"/>
  <c r="H22" i="10"/>
  <c r="H21" i="10"/>
  <c r="H20" i="10"/>
  <c r="H19" i="10"/>
  <c r="I20" i="10" s="1"/>
  <c r="H18" i="10"/>
  <c r="H17" i="10"/>
  <c r="I17" i="10" s="1"/>
  <c r="H16" i="10"/>
  <c r="H15" i="10"/>
  <c r="H14" i="10"/>
  <c r="H13" i="10"/>
  <c r="H12" i="10"/>
  <c r="I13" i="10" s="1"/>
  <c r="H11" i="10"/>
  <c r="H10" i="10"/>
  <c r="I11" i="10" s="1"/>
  <c r="H9" i="10"/>
  <c r="H8" i="10"/>
  <c r="H7" i="10"/>
  <c r="I6" i="10"/>
  <c r="H6" i="10"/>
  <c r="H5" i="10"/>
  <c r="I5" i="10" s="1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I27" i="9"/>
  <c r="I25" i="9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H34" i="8"/>
  <c r="H33" i="8"/>
  <c r="H32" i="8"/>
  <c r="H31" i="8"/>
  <c r="H30" i="8"/>
  <c r="H29" i="8"/>
  <c r="H28" i="8"/>
  <c r="I26" i="5" s="1"/>
  <c r="H27" i="8"/>
  <c r="I25" i="5" s="1"/>
  <c r="H26" i="8"/>
  <c r="I24" i="5" s="1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I11" i="5" s="1"/>
  <c r="H12" i="8"/>
  <c r="I10" i="5" s="1"/>
  <c r="H11" i="8"/>
  <c r="I9" i="5" s="1"/>
  <c r="H10" i="8"/>
  <c r="I8" i="5" s="1"/>
  <c r="H9" i="8"/>
  <c r="I7" i="5" s="1"/>
  <c r="H8" i="8"/>
  <c r="H7" i="8"/>
  <c r="H5" i="8"/>
  <c r="J31" i="9" l="1"/>
  <c r="J30" i="9"/>
  <c r="J25" i="9"/>
  <c r="J26" i="9"/>
  <c r="J33" i="9"/>
  <c r="J15" i="9"/>
  <c r="J32" i="9"/>
  <c r="J28" i="9"/>
  <c r="I27" i="10"/>
  <c r="I26" i="10"/>
  <c r="I25" i="10"/>
  <c r="I23" i="10"/>
  <c r="J27" i="9"/>
  <c r="J24" i="9"/>
  <c r="I22" i="10"/>
  <c r="J22" i="9"/>
  <c r="I21" i="10"/>
  <c r="J20" i="9"/>
  <c r="I19" i="10"/>
  <c r="J17" i="9"/>
  <c r="I18" i="10"/>
  <c r="I16" i="10"/>
  <c r="J16" i="9"/>
  <c r="I15" i="10"/>
  <c r="I14" i="10"/>
  <c r="J14" i="9"/>
  <c r="I12" i="10"/>
  <c r="J12" i="9"/>
  <c r="I10" i="10"/>
  <c r="J11" i="9"/>
  <c r="I9" i="10"/>
  <c r="J9" i="9"/>
  <c r="I8" i="10"/>
  <c r="I7" i="10"/>
  <c r="J8" i="9"/>
  <c r="H6" i="8"/>
  <c r="J6" i="9"/>
  <c r="J10" i="9"/>
  <c r="J13" i="9"/>
  <c r="J19" i="9"/>
  <c r="J29" i="9"/>
  <c r="J7" i="9"/>
  <c r="J23" i="9"/>
  <c r="J5" i="9"/>
  <c r="J18" i="9"/>
  <c r="J21" i="9"/>
  <c r="J34" i="9"/>
  <c r="H35" i="8"/>
  <c r="I36" i="10" l="1"/>
  <c r="J35" i="9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<sst xmlns="http://schemas.openxmlformats.org/spreadsheetml/2006/main" count="73" uniqueCount="38">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</sst>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opLeftCell="A10" zoomScale="110" zoomScaleNormal="110" workbookViewId="0">
      <selection activeCell="A25" sqref="A25:XFD2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>
        <f>Electricity!I4</f>
        <v>2354.3000000000002</v>
      </c>
      <c r="F2" s="3">
        <v>2.21</v>
      </c>
      <c r="G2" s="13">
        <v>0</v>
      </c>
      <c r="H2" s="3">
        <v>4.12</v>
      </c>
      <c r="I2" s="13">
        <v>0</v>
      </c>
      <c r="J2" s="3">
        <v>18.03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2.21</v>
      </c>
      <c r="G3" s="13">
        <f>Gas!J5</f>
        <v>0</v>
      </c>
      <c r="H3" s="3">
        <v>4.12</v>
      </c>
      <c r="I3" s="13">
        <f>Water!H5</f>
        <v>8</v>
      </c>
      <c r="J3" s="3">
        <v>18.03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2.21</v>
      </c>
      <c r="G4" s="13">
        <f>Gas!J6</f>
        <v>0</v>
      </c>
      <c r="H4" s="3">
        <v>4.12</v>
      </c>
      <c r="I4" s="13">
        <f>Water!H6</f>
        <v>2</v>
      </c>
      <c r="J4" s="3">
        <v>18.03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1672.5600000005215</v>
      </c>
      <c r="F5" s="3">
        <v>2.21</v>
      </c>
      <c r="G5" s="13">
        <f>Gas!J7</f>
        <v>0</v>
      </c>
      <c r="H5" s="3">
        <v>4.12</v>
      </c>
      <c r="I5" s="13">
        <f>Water!H7</f>
        <v>9</v>
      </c>
      <c r="J5" s="3">
        <v>18.03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1915.4399999976158</v>
      </c>
      <c r="F6" s="3">
        <v>2.21</v>
      </c>
      <c r="G6" s="13">
        <f>Gas!J8</f>
        <v>254.7786779999733</v>
      </c>
      <c r="H6" s="3">
        <v>4.12</v>
      </c>
      <c r="I6" s="13">
        <f>Water!H8</f>
        <v>20</v>
      </c>
      <c r="J6" s="3">
        <v>18.03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2194.2000000011176</v>
      </c>
      <c r="F7" s="3">
        <v>2.21</v>
      </c>
      <c r="G7" s="13">
        <f>Gas!J9</f>
        <v>386.02829999988899</v>
      </c>
      <c r="H7" s="3">
        <v>4.12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2141.7600000016391</v>
      </c>
      <c r="F8" s="3">
        <v>2.21</v>
      </c>
      <c r="G8" s="13">
        <f>Gas!J10</f>
        <v>298.52855199994519</v>
      </c>
      <c r="H8" s="3">
        <v>4.12</v>
      </c>
      <c r="I8" s="13">
        <f>Water!H10</f>
        <v>11</v>
      </c>
      <c r="J8" s="3">
        <v>18.03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1934.7599999997765</v>
      </c>
      <c r="F9" s="3">
        <v>2.21</v>
      </c>
      <c r="G9" s="13">
        <f>Gas!J11</f>
        <v>207.16852100007236</v>
      </c>
      <c r="H9" s="3">
        <v>4.12</v>
      </c>
      <c r="I9" s="13">
        <f>Water!H11</f>
        <v>6</v>
      </c>
      <c r="J9" s="3">
        <v>18.03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1752.5999999977648</v>
      </c>
      <c r="F10" s="3">
        <v>2.21</v>
      </c>
      <c r="G10" s="13">
        <f>Gas!J12</f>
        <v>165.99216899997555</v>
      </c>
      <c r="H10" s="3">
        <v>4.12</v>
      </c>
      <c r="I10" s="13">
        <f>Water!H12</f>
        <v>9</v>
      </c>
      <c r="J10" s="3">
        <v>18.03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1691.8800000008196</v>
      </c>
      <c r="F11" s="3">
        <v>2.21</v>
      </c>
      <c r="G11" s="13">
        <f>Gas!J13</f>
        <v>346.13870900007896</v>
      </c>
      <c r="H11" s="3">
        <v>4.12</v>
      </c>
      <c r="I11" s="13">
        <f>Water!H13</f>
        <v>25</v>
      </c>
      <c r="J11" s="3">
        <v>18.03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1678.0800000019372</v>
      </c>
      <c r="F12" s="3">
        <v>2.21</v>
      </c>
      <c r="G12" s="13">
        <f>Gas!J14</f>
        <v>347.42546999990009</v>
      </c>
      <c r="H12" s="3">
        <v>4.12</v>
      </c>
      <c r="I12" s="13">
        <f>Water!H14</f>
        <v>2</v>
      </c>
      <c r="J12" s="3">
        <v>18.03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1595.2799999974668</v>
      </c>
      <c r="F13" s="3">
        <v>2.21</v>
      </c>
      <c r="G13" s="13">
        <f>Gas!J15</f>
        <v>285.66094200010411</v>
      </c>
      <c r="H13" s="3">
        <v>4.12</v>
      </c>
      <c r="I13" s="13">
        <f>Water!H15</f>
        <v>15</v>
      </c>
      <c r="J13" s="3">
        <v>18.03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1932</v>
      </c>
      <c r="F14" s="3">
        <v>2.21</v>
      </c>
      <c r="G14" s="13">
        <f>Gas!J16</f>
        <v>263.78600499988534</v>
      </c>
      <c r="H14" s="3">
        <v>4.12</v>
      </c>
      <c r="I14" s="13">
        <f>Water!H16</f>
        <v>5</v>
      </c>
      <c r="J14" s="3">
        <v>18.03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1976.160000000149</v>
      </c>
      <c r="F15" s="3">
        <v>2.21</v>
      </c>
      <c r="G15" s="13">
        <f>Gas!J17</f>
        <v>248.34487300016917</v>
      </c>
      <c r="H15" s="3">
        <v>4.12</v>
      </c>
      <c r="I15" s="13">
        <f>Water!H17</f>
        <v>17</v>
      </c>
      <c r="J15" s="3">
        <v>18.03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1857.480000000447</v>
      </c>
      <c r="F16" s="3">
        <v>2.21</v>
      </c>
      <c r="G16" s="13">
        <f>Gas!J18</f>
        <v>250.91839499981143</v>
      </c>
      <c r="H16" s="3">
        <v>4.12</v>
      </c>
      <c r="I16" s="13">
        <f>Water!H18</f>
        <v>8</v>
      </c>
      <c r="J16" s="3">
        <v>18.03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1738.8000000007451</v>
      </c>
      <c r="F17" s="3">
        <v>2.21</v>
      </c>
      <c r="G17" s="13">
        <f>Gas!J19</f>
        <v>230.33021900011227</v>
      </c>
      <c r="H17" s="3">
        <v>4.12</v>
      </c>
      <c r="I17" s="13">
        <f>Water!H19</f>
        <v>2</v>
      </c>
      <c r="J17" s="3">
        <v>18.03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1876.8000000007451</v>
      </c>
      <c r="F18" s="3">
        <v>2.21</v>
      </c>
      <c r="G18" s="13">
        <f>Gas!J20</f>
        <v>235.47726300009526</v>
      </c>
      <c r="H18" s="3">
        <v>4.12</v>
      </c>
      <c r="I18" s="13">
        <f>Water!H20</f>
        <v>20</v>
      </c>
      <c r="J18" s="3">
        <v>18.03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1785.7199999988079</v>
      </c>
      <c r="F19" s="3">
        <v>2.21</v>
      </c>
      <c r="G19" s="13">
        <f>Gas!J21</f>
        <v>248.34487299993634</v>
      </c>
      <c r="H19" s="3">
        <v>4.12</v>
      </c>
      <c r="I19" s="13">
        <f>Water!H21</f>
        <v>14</v>
      </c>
      <c r="J19" s="3">
        <v>18.03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1545.6000000014901</v>
      </c>
      <c r="F20" s="3">
        <v>2.21</v>
      </c>
      <c r="G20" s="13">
        <f>Gas!J22</f>
        <v>55.330722999991849</v>
      </c>
      <c r="H20" s="3">
        <v>4.12</v>
      </c>
      <c r="I20" s="13">
        <f>Water!H22</f>
        <v>13</v>
      </c>
      <c r="J20" s="3">
        <v>18.03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1575.9599999990314</v>
      </c>
      <c r="F21" s="3">
        <v>2.21</v>
      </c>
      <c r="G21" s="13">
        <f>Gas!J23</f>
        <v>2.5735219998750836</v>
      </c>
      <c r="H21" s="3">
        <v>4.12</v>
      </c>
      <c r="I21" s="13">
        <f>Water!H23</f>
        <v>9</v>
      </c>
      <c r="J21" s="3">
        <v>18.03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1929.2400000002235</v>
      </c>
      <c r="F22" s="3">
        <v>2.21</v>
      </c>
      <c r="G22" s="13">
        <f>Gas!J24</f>
        <v>142.83047100016847</v>
      </c>
      <c r="H22" s="3">
        <v>4.12</v>
      </c>
      <c r="I22" s="13">
        <f>Water!H24</f>
        <v>10</v>
      </c>
      <c r="J22" s="3">
        <v>18.03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1686.359999999404</v>
      </c>
      <c r="F23" s="3">
        <v>2.21</v>
      </c>
      <c r="G23" s="13">
        <f>Gas!J25</f>
        <v>171.13921299995854</v>
      </c>
      <c r="H23" s="3">
        <v>4.12</v>
      </c>
      <c r="I23" s="13">
        <f>Water!H25</f>
        <v>9</v>
      </c>
      <c r="J23" s="3">
        <v>18.03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1564.9199999999255</v>
      </c>
      <c r="F24" s="3">
        <v>2.21</v>
      </c>
      <c r="G24" s="13">
        <f>Gas!J26</f>
        <v>164.70540799992159</v>
      </c>
      <c r="H24" s="3">
        <v>4.12</v>
      </c>
      <c r="I24" s="13">
        <f>Water!H26</f>
        <v>5</v>
      </c>
      <c r="J24" s="3">
        <v>18.03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2845.5599999986589</v>
      </c>
      <c r="F25" s="3">
        <v>2.21</v>
      </c>
      <c r="G25" s="13">
        <f>Gas!J27</f>
        <v>165.99216899997555</v>
      </c>
      <c r="H25" s="3">
        <v>4.12</v>
      </c>
      <c r="I25" s="13">
        <f>Water!H27</f>
        <v>12</v>
      </c>
      <c r="J25" s="3">
        <v>18.03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-13442367.479999999</v>
      </c>
      <c r="F26" s="3">
        <v>2.21</v>
      </c>
      <c r="G26" s="13">
        <f>Gas!J28</f>
        <v>-1204938.441532</v>
      </c>
      <c r="H26" s="3">
        <v>4.12</v>
      </c>
      <c r="I26" s="13">
        <f>Water!H28</f>
        <v>-12459</v>
      </c>
      <c r="J26" s="3">
        <v>18.03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0</v>
      </c>
      <c r="F27" s="3">
        <v>2.21</v>
      </c>
      <c r="G27" s="13">
        <f>Gas!J29</f>
        <v>0</v>
      </c>
      <c r="H27" s="3">
        <v>4.12</v>
      </c>
      <c r="I27" s="13">
        <f>Water!H29</f>
        <v>0</v>
      </c>
      <c r="J27" s="3">
        <v>18.03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2.21</v>
      </c>
      <c r="G28" s="13">
        <f>Gas!J30</f>
        <v>0</v>
      </c>
      <c r="H28" s="3">
        <v>4.12</v>
      </c>
      <c r="I28" s="13">
        <f>Water!H30</f>
        <v>0</v>
      </c>
      <c r="J28" s="3">
        <v>18.03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2.21</v>
      </c>
      <c r="G29" s="13">
        <f>Gas!J31</f>
        <v>0</v>
      </c>
      <c r="H29" s="3">
        <v>4.12</v>
      </c>
      <c r="I29" s="13">
        <f>Water!H31</f>
        <v>0</v>
      </c>
      <c r="J29" s="3">
        <v>18.03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2.21</v>
      </c>
      <c r="G30" s="13">
        <f>Gas!J32</f>
        <v>0</v>
      </c>
      <c r="H30" s="3">
        <v>4.12</v>
      </c>
      <c r="I30" s="13">
        <f>Water!H32</f>
        <v>0</v>
      </c>
      <c r="J30" s="3">
        <v>18.03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2.21</v>
      </c>
      <c r="G31" s="13">
        <f>Gas!J33</f>
        <v>0</v>
      </c>
      <c r="H31" s="3">
        <v>4.12</v>
      </c>
      <c r="I31" s="13">
        <f>Water!H33</f>
        <v>0</v>
      </c>
      <c r="J31" s="3">
        <v>18.03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2.21</v>
      </c>
      <c r="G32" s="13">
        <f>Gas!J34</f>
        <v>0</v>
      </c>
      <c r="H32" s="3">
        <v>4.12</v>
      </c>
      <c r="I32" s="13">
        <f>Water!H34</f>
        <v>-1065</v>
      </c>
      <c r="J32" s="3">
        <v>18.03</v>
      </c>
      <c r="K32" s="12">
        <v>0</v>
      </c>
    </row>
    <row r="33" spans="8:8" x14ac:dyDescent="0.25">
      <c r="H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abSelected="1" topLeftCell="B1" workbookViewId="0">
      <selection activeCell="E28" sqref="E2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12228</v>
      </c>
      <c r="F4" s="24">
        <v>1065</v>
      </c>
      <c r="G4" s="24">
        <f>E4+F5</f>
        <v>13293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8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>
        <v>12247</v>
      </c>
      <c r="F7" s="24">
        <v>1065</v>
      </c>
      <c r="G7" s="24">
        <f t="shared" si="0"/>
        <v>13312</v>
      </c>
      <c r="H7" s="25">
        <f t="shared" si="1"/>
        <v>9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>
        <v>12267</v>
      </c>
      <c r="F8" s="24">
        <v>1065</v>
      </c>
      <c r="G8" s="24">
        <f t="shared" si="0"/>
        <v>13332</v>
      </c>
      <c r="H8" s="25">
        <f t="shared" si="1"/>
        <v>20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>
        <v>12267</v>
      </c>
      <c r="F9" s="24">
        <v>1065</v>
      </c>
      <c r="G9" s="24">
        <f t="shared" si="0"/>
        <v>13332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>
        <v>12278</v>
      </c>
      <c r="F10" s="24">
        <v>1065</v>
      </c>
      <c r="G10" s="24">
        <f t="shared" si="0"/>
        <v>13343</v>
      </c>
      <c r="H10" s="25">
        <f>G10-G9</f>
        <v>11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>
        <v>12284</v>
      </c>
      <c r="F11" s="24">
        <v>1065</v>
      </c>
      <c r="G11" s="24">
        <f t="shared" si="0"/>
        <v>13349</v>
      </c>
      <c r="H11" s="25">
        <f t="shared" si="1"/>
        <v>6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>
        <v>12293</v>
      </c>
      <c r="F12" s="24">
        <v>1065</v>
      </c>
      <c r="G12" s="24">
        <f t="shared" si="0"/>
        <v>13358</v>
      </c>
      <c r="H12" s="25">
        <f t="shared" si="1"/>
        <v>9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>
        <v>12318</v>
      </c>
      <c r="F13" s="24">
        <v>1065</v>
      </c>
      <c r="G13" s="24">
        <f t="shared" si="0"/>
        <v>13383</v>
      </c>
      <c r="H13" s="25">
        <f t="shared" si="1"/>
        <v>25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>
        <v>12320</v>
      </c>
      <c r="F14" s="24">
        <v>1065</v>
      </c>
      <c r="G14" s="24">
        <f t="shared" si="0"/>
        <v>13385</v>
      </c>
      <c r="H14" s="25">
        <f t="shared" si="1"/>
        <v>2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>
        <v>12335</v>
      </c>
      <c r="F15" s="24">
        <v>1065</v>
      </c>
      <c r="G15" s="24">
        <f t="shared" si="0"/>
        <v>13400</v>
      </c>
      <c r="H15" s="25">
        <f t="shared" si="1"/>
        <v>15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>
        <v>12340</v>
      </c>
      <c r="F16" s="24">
        <v>1065</v>
      </c>
      <c r="G16" s="24">
        <f t="shared" si="0"/>
        <v>13405</v>
      </c>
      <c r="H16" s="25">
        <f t="shared" si="1"/>
        <v>5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>
        <v>12357</v>
      </c>
      <c r="F17" s="24">
        <v>1065</v>
      </c>
      <c r="G17" s="24">
        <f t="shared" si="0"/>
        <v>13422</v>
      </c>
      <c r="H17" s="25">
        <f t="shared" si="1"/>
        <v>17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>
        <v>12365</v>
      </c>
      <c r="F18" s="24">
        <v>1065</v>
      </c>
      <c r="G18" s="24">
        <f t="shared" si="0"/>
        <v>13430</v>
      </c>
      <c r="H18" s="25">
        <f t="shared" si="1"/>
        <v>8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>
        <v>12367</v>
      </c>
      <c r="F19" s="24">
        <v>1065</v>
      </c>
      <c r="G19" s="24">
        <f t="shared" si="0"/>
        <v>13432</v>
      </c>
      <c r="H19" s="25">
        <f t="shared" si="1"/>
        <v>2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>
        <v>12387</v>
      </c>
      <c r="F20" s="24">
        <v>1065</v>
      </c>
      <c r="G20" s="24">
        <f t="shared" si="0"/>
        <v>13452</v>
      </c>
      <c r="H20" s="25">
        <f t="shared" si="1"/>
        <v>20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>
        <v>12401</v>
      </c>
      <c r="F21" s="24">
        <v>1065</v>
      </c>
      <c r="G21" s="24">
        <f t="shared" si="0"/>
        <v>13466</v>
      </c>
      <c r="H21" s="25">
        <f t="shared" si="1"/>
        <v>14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>
        <v>12414</v>
      </c>
      <c r="F22" s="24">
        <v>1065</v>
      </c>
      <c r="G22" s="24">
        <f t="shared" si="0"/>
        <v>13479</v>
      </c>
      <c r="H22" s="25">
        <f t="shared" si="1"/>
        <v>13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>
        <v>12423</v>
      </c>
      <c r="F23" s="24">
        <v>1065</v>
      </c>
      <c r="G23" s="24">
        <f t="shared" si="0"/>
        <v>13488</v>
      </c>
      <c r="H23" s="25">
        <f t="shared" si="1"/>
        <v>9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>
        <v>12433</v>
      </c>
      <c r="F24" s="24">
        <v>1065</v>
      </c>
      <c r="G24" s="24">
        <f t="shared" si="0"/>
        <v>13498</v>
      </c>
      <c r="H24" s="25">
        <f t="shared" si="1"/>
        <v>10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>
        <v>12442</v>
      </c>
      <c r="F25" s="24">
        <v>1065</v>
      </c>
      <c r="G25" s="24">
        <f t="shared" si="0"/>
        <v>13507</v>
      </c>
      <c r="H25" s="25">
        <f t="shared" si="1"/>
        <v>9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>
        <v>12447</v>
      </c>
      <c r="F26" s="24">
        <v>1065</v>
      </c>
      <c r="G26" s="24">
        <f t="shared" si="0"/>
        <v>13512</v>
      </c>
      <c r="H26" s="25">
        <f t="shared" si="1"/>
        <v>5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>
        <v>12459</v>
      </c>
      <c r="F27" s="24">
        <v>1065</v>
      </c>
      <c r="G27" s="24">
        <f t="shared" si="0"/>
        <v>13524</v>
      </c>
      <c r="H27" s="25">
        <f t="shared" si="1"/>
        <v>12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/>
      <c r="F28" s="24">
        <v>1065</v>
      </c>
      <c r="G28" s="24">
        <f t="shared" si="0"/>
        <v>1065</v>
      </c>
      <c r="H28" s="25">
        <f t="shared" si="1"/>
        <v>-12459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H27" sqref="H2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1.286761</v>
      </c>
      <c r="I4" s="24">
        <f t="shared" ref="I4:I34" si="0">H4*G4</f>
        <v>1200466.9470570001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1.286761</v>
      </c>
      <c r="I5" s="24">
        <f t="shared" si="0"/>
        <v>1200466.9470570001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1.286761</v>
      </c>
      <c r="I6" s="24">
        <f t="shared" si="0"/>
        <v>1200466.9470570001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>
        <v>760795</v>
      </c>
      <c r="F7" s="24">
        <v>172142</v>
      </c>
      <c r="G7" s="24">
        <f t="shared" si="1"/>
        <v>932937</v>
      </c>
      <c r="H7" s="18">
        <v>1.286761</v>
      </c>
      <c r="I7" s="24">
        <f t="shared" si="0"/>
        <v>1200466.9470570001</v>
      </c>
      <c r="J7" s="25">
        <f t="shared" ref="J7:J34" si="2">I7-I6</f>
        <v>0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>
        <v>760993</v>
      </c>
      <c r="F8" s="24">
        <v>172142</v>
      </c>
      <c r="G8" s="24">
        <f t="shared" si="1"/>
        <v>933135</v>
      </c>
      <c r="H8" s="18">
        <v>1.286761</v>
      </c>
      <c r="I8" s="24">
        <f t="shared" si="0"/>
        <v>1200721.7257350001</v>
      </c>
      <c r="J8" s="25">
        <f t="shared" si="2"/>
        <v>254.7786779999733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>
        <v>761293</v>
      </c>
      <c r="F9" s="24">
        <v>172142</v>
      </c>
      <c r="G9" s="24">
        <f t="shared" si="1"/>
        <v>933435</v>
      </c>
      <c r="H9" s="18">
        <v>1.286761</v>
      </c>
      <c r="I9" s="24">
        <f t="shared" si="0"/>
        <v>1201107.754035</v>
      </c>
      <c r="J9" s="25">
        <f t="shared" si="2"/>
        <v>386.02829999988899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>
        <v>761525</v>
      </c>
      <c r="F10" s="24">
        <v>172142</v>
      </c>
      <c r="G10" s="24">
        <f t="shared" si="1"/>
        <v>933667</v>
      </c>
      <c r="H10" s="18">
        <v>1.286761</v>
      </c>
      <c r="I10" s="24">
        <f t="shared" si="0"/>
        <v>1201406.2825869999</v>
      </c>
      <c r="J10" s="25">
        <f t="shared" si="2"/>
        <v>298.52855199994519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>
        <v>761686</v>
      </c>
      <c r="F11" s="24">
        <v>172142</v>
      </c>
      <c r="G11" s="24">
        <f t="shared" si="1"/>
        <v>933828</v>
      </c>
      <c r="H11" s="18">
        <v>1.286761</v>
      </c>
      <c r="I11" s="24">
        <f>H11*G11</f>
        <v>1201613.451108</v>
      </c>
      <c r="J11" s="25">
        <f t="shared" si="2"/>
        <v>207.16852100007236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>
        <v>761815</v>
      </c>
      <c r="F12" s="24">
        <v>172142</v>
      </c>
      <c r="G12" s="24">
        <f t="shared" si="1"/>
        <v>933957</v>
      </c>
      <c r="H12" s="18">
        <v>1.286761</v>
      </c>
      <c r="I12" s="24">
        <f t="shared" si="0"/>
        <v>1201779.443277</v>
      </c>
      <c r="J12" s="25">
        <f t="shared" si="2"/>
        <v>165.99216899997555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>
        <v>762084</v>
      </c>
      <c r="F13" s="24">
        <v>172142</v>
      </c>
      <c r="G13" s="24">
        <f t="shared" si="1"/>
        <v>934226</v>
      </c>
      <c r="H13" s="18">
        <v>1.286761</v>
      </c>
      <c r="I13" s="24">
        <f t="shared" si="0"/>
        <v>1202125.5819860001</v>
      </c>
      <c r="J13" s="25">
        <f t="shared" si="2"/>
        <v>346.13870900007896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>
        <v>762344</v>
      </c>
      <c r="F14" s="24">
        <v>172152</v>
      </c>
      <c r="G14" s="24">
        <f t="shared" si="1"/>
        <v>934496</v>
      </c>
      <c r="H14" s="18">
        <v>1.286761</v>
      </c>
      <c r="I14" s="24">
        <f t="shared" si="0"/>
        <v>1202473.007456</v>
      </c>
      <c r="J14" s="25">
        <f t="shared" si="2"/>
        <v>347.42546999990009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>
        <v>762560</v>
      </c>
      <c r="F15" s="24">
        <v>172158</v>
      </c>
      <c r="G15" s="24">
        <f>E15+F15</f>
        <v>934718</v>
      </c>
      <c r="H15" s="18">
        <v>1.286761</v>
      </c>
      <c r="I15" s="24">
        <f t="shared" si="0"/>
        <v>1202758.6683980001</v>
      </c>
      <c r="J15" s="25">
        <f t="shared" si="2"/>
        <v>285.66094200010411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>
        <v>762755</v>
      </c>
      <c r="F16" s="24">
        <v>172168</v>
      </c>
      <c r="G16" s="24">
        <f t="shared" si="1"/>
        <v>934923</v>
      </c>
      <c r="H16" s="18">
        <v>1.286761</v>
      </c>
      <c r="I16" s="24">
        <f t="shared" si="0"/>
        <v>1203022.454403</v>
      </c>
      <c r="J16" s="25">
        <f t="shared" si="2"/>
        <v>263.78600499988534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>
        <v>762936</v>
      </c>
      <c r="F17" s="24">
        <v>172180</v>
      </c>
      <c r="G17" s="24">
        <f>E17+F17</f>
        <v>935116</v>
      </c>
      <c r="H17" s="18">
        <v>1.286761</v>
      </c>
      <c r="I17" s="24">
        <f t="shared" si="0"/>
        <v>1203270.7992760001</v>
      </c>
      <c r="J17" s="25">
        <f t="shared" si="2"/>
        <v>248.34487300016917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>
        <v>763120</v>
      </c>
      <c r="F18" s="24">
        <v>172191</v>
      </c>
      <c r="G18" s="24">
        <f t="shared" si="1"/>
        <v>935311</v>
      </c>
      <c r="H18" s="18">
        <v>1.286761</v>
      </c>
      <c r="I18" s="24">
        <f t="shared" si="0"/>
        <v>1203521.7176709999</v>
      </c>
      <c r="J18" s="25">
        <f t="shared" si="2"/>
        <v>250.91839499981143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>
        <v>763294</v>
      </c>
      <c r="F19" s="24">
        <v>172196</v>
      </c>
      <c r="G19" s="24">
        <f t="shared" si="1"/>
        <v>935490</v>
      </c>
      <c r="H19" s="18">
        <v>1.286761</v>
      </c>
      <c r="I19" s="24">
        <f t="shared" si="0"/>
        <v>1203752.04789</v>
      </c>
      <c r="J19" s="25">
        <f t="shared" si="2"/>
        <v>230.33021900011227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>
        <v>763468</v>
      </c>
      <c r="F20" s="24">
        <v>172205</v>
      </c>
      <c r="G20" s="24">
        <f t="shared" si="1"/>
        <v>935673</v>
      </c>
      <c r="H20" s="18">
        <v>1.286761</v>
      </c>
      <c r="I20" s="24">
        <f t="shared" si="0"/>
        <v>1203987.5251530001</v>
      </c>
      <c r="J20" s="25">
        <f t="shared" si="2"/>
        <v>235.47726300009526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>
        <v>763655</v>
      </c>
      <c r="F21" s="24">
        <v>172211</v>
      </c>
      <c r="G21" s="24">
        <f t="shared" si="1"/>
        <v>935866</v>
      </c>
      <c r="H21" s="18">
        <v>1.286761</v>
      </c>
      <c r="I21" s="24">
        <f t="shared" si="0"/>
        <v>1204235.8700260001</v>
      </c>
      <c r="J21" s="25">
        <f t="shared" si="2"/>
        <v>248.34487299993634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>
        <v>763692</v>
      </c>
      <c r="F22" s="24">
        <v>172217</v>
      </c>
      <c r="G22" s="24">
        <f t="shared" si="1"/>
        <v>935909</v>
      </c>
      <c r="H22" s="18">
        <v>1.286761</v>
      </c>
      <c r="I22" s="24">
        <f t="shared" si="0"/>
        <v>1204291.2007490001</v>
      </c>
      <c r="J22" s="25">
        <f t="shared" si="2"/>
        <v>55.330722999991849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>
        <v>763692</v>
      </c>
      <c r="F23" s="24">
        <v>172219</v>
      </c>
      <c r="G23" s="24">
        <f t="shared" si="1"/>
        <v>935911</v>
      </c>
      <c r="H23" s="18">
        <v>1.286761</v>
      </c>
      <c r="I23" s="24">
        <f t="shared" si="0"/>
        <v>1204293.7742709999</v>
      </c>
      <c r="J23" s="25">
        <f t="shared" si="2"/>
        <v>2.5735219998750836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>
        <v>763802</v>
      </c>
      <c r="F24" s="24">
        <v>172220</v>
      </c>
      <c r="G24" s="24">
        <f t="shared" si="1"/>
        <v>936022</v>
      </c>
      <c r="H24" s="18">
        <v>1.286761</v>
      </c>
      <c r="I24" s="24">
        <f t="shared" si="0"/>
        <v>1204436.6047420001</v>
      </c>
      <c r="J24" s="25">
        <f t="shared" si="2"/>
        <v>142.83047100016847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>
        <v>763935</v>
      </c>
      <c r="F25" s="24">
        <v>172220</v>
      </c>
      <c r="G25" s="24">
        <f>E25+F25</f>
        <v>936155</v>
      </c>
      <c r="H25" s="18">
        <v>1.286761</v>
      </c>
      <c r="I25" s="24">
        <f t="shared" si="0"/>
        <v>1204607.7439550001</v>
      </c>
      <c r="J25" s="25">
        <f>I25-I24</f>
        <v>171.13921299995854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>
        <v>764063</v>
      </c>
      <c r="F26" s="24">
        <v>172220</v>
      </c>
      <c r="G26" s="24">
        <f>E26+F26</f>
        <v>936283</v>
      </c>
      <c r="H26" s="18">
        <v>1.286761</v>
      </c>
      <c r="I26" s="24">
        <f>H26*G26</f>
        <v>1204772.449363</v>
      </c>
      <c r="J26" s="25">
        <f>I26-I25</f>
        <v>164.70540799992159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>
        <v>764192</v>
      </c>
      <c r="F27" s="24">
        <v>172220</v>
      </c>
      <c r="G27" s="24">
        <f>E27+F27</f>
        <v>936412</v>
      </c>
      <c r="H27" s="18">
        <v>1.286761</v>
      </c>
      <c r="I27" s="24">
        <f t="shared" si="0"/>
        <v>1204938.441532</v>
      </c>
      <c r="J27" s="25">
        <f t="shared" si="2"/>
        <v>165.99216899997555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/>
      <c r="F28" s="24"/>
      <c r="G28" s="24">
        <f t="shared" ref="G28:G34" si="3">E28+F29</f>
        <v>0</v>
      </c>
      <c r="H28" s="18">
        <v>1.286761</v>
      </c>
      <c r="I28" s="24">
        <f t="shared" si="0"/>
        <v>0</v>
      </c>
      <c r="J28" s="25">
        <f t="shared" si="2"/>
        <v>-1204938.441532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si="3"/>
        <v>0</v>
      </c>
      <c r="H29" s="18">
        <v>1.286761</v>
      </c>
      <c r="I29" s="24">
        <f t="shared" si="0"/>
        <v>0</v>
      </c>
      <c r="J29" s="25">
        <f t="shared" si="2"/>
        <v>0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1.286761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1.286761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1.286761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1.286761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1.286761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7" workbookViewId="0">
      <selection activeCell="F27" sqref="F27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>
        <v>2354.3000000000002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>
        <v>4856.9380000000001</v>
      </c>
      <c r="G7" s="23">
        <v>2760</v>
      </c>
      <c r="H7" s="24">
        <f>G7*F7</f>
        <v>13405148.880000001</v>
      </c>
      <c r="I7" s="25">
        <f>H7-H6</f>
        <v>1672.5600000005215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>
        <v>4857.6319999999996</v>
      </c>
      <c r="G8" s="23">
        <v>2760</v>
      </c>
      <c r="H8" s="24">
        <f t="shared" si="1"/>
        <v>13407064.319999998</v>
      </c>
      <c r="I8" s="25">
        <f t="shared" ref="I8:I32" si="2">H8-H7</f>
        <v>1915.4399999976158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>
        <v>4858.4269999999997</v>
      </c>
      <c r="G9" s="23">
        <v>2760</v>
      </c>
      <c r="H9" s="24">
        <f t="shared" si="1"/>
        <v>13409258.52</v>
      </c>
      <c r="I9" s="25">
        <f t="shared" si="2"/>
        <v>2194.2000000011176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>
        <v>4859.2030000000004</v>
      </c>
      <c r="G10" s="23">
        <v>2760</v>
      </c>
      <c r="H10" s="24">
        <f t="shared" si="1"/>
        <v>13411400.280000001</v>
      </c>
      <c r="I10" s="25">
        <f t="shared" si="2"/>
        <v>2141.7600000016391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>
        <v>4859.9040000000005</v>
      </c>
      <c r="G11" s="23">
        <v>2760</v>
      </c>
      <c r="H11" s="24">
        <f t="shared" si="1"/>
        <v>13413335.040000001</v>
      </c>
      <c r="I11" s="25">
        <f t="shared" si="2"/>
        <v>1934.7599999997765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>
        <v>4860.5389999999998</v>
      </c>
      <c r="G12" s="23">
        <v>2760</v>
      </c>
      <c r="H12" s="24">
        <f t="shared" si="1"/>
        <v>13415087.639999999</v>
      </c>
      <c r="I12" s="25">
        <f t="shared" si="2"/>
        <v>1752.5999999977648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>
        <v>4861.152</v>
      </c>
      <c r="G13" s="23">
        <v>2760</v>
      </c>
      <c r="H13" s="24">
        <f t="shared" si="1"/>
        <v>13416779.52</v>
      </c>
      <c r="I13" s="25">
        <f t="shared" si="2"/>
        <v>1691.8800000008196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>
        <v>4861.76</v>
      </c>
      <c r="G14" s="23">
        <v>2760</v>
      </c>
      <c r="H14" s="24">
        <f t="shared" si="1"/>
        <v>13418457.600000001</v>
      </c>
      <c r="I14" s="25">
        <f t="shared" si="2"/>
        <v>1678.0800000019372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>
        <v>4862.3379999999997</v>
      </c>
      <c r="G15" s="23">
        <v>2760</v>
      </c>
      <c r="H15" s="24">
        <f t="shared" si="1"/>
        <v>13420052.879999999</v>
      </c>
      <c r="I15" s="25">
        <f t="shared" si="2"/>
        <v>1595.2799999974668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>
        <v>4863.0379999999996</v>
      </c>
      <c r="G16" s="23">
        <v>2760</v>
      </c>
      <c r="H16" s="24">
        <f>G16*F16</f>
        <v>13421984.879999999</v>
      </c>
      <c r="I16" s="25">
        <f>H16-H15</f>
        <v>1932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>
        <v>4863.7539999999999</v>
      </c>
      <c r="G17" s="23">
        <v>2760</v>
      </c>
      <c r="H17" s="24">
        <f t="shared" si="1"/>
        <v>13423961.039999999</v>
      </c>
      <c r="I17" s="25">
        <f>H17-H16</f>
        <v>1976.160000000149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>
        <v>4864.4269999999997</v>
      </c>
      <c r="G18" s="23">
        <v>2760</v>
      </c>
      <c r="H18" s="24">
        <f t="shared" si="1"/>
        <v>13425818.52</v>
      </c>
      <c r="I18" s="25">
        <f t="shared" si="2"/>
        <v>1857.480000000447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>
        <v>4865.0569999999998</v>
      </c>
      <c r="G19" s="23">
        <v>2760</v>
      </c>
      <c r="H19" s="24">
        <f t="shared" si="1"/>
        <v>13427557.32</v>
      </c>
      <c r="I19" s="25">
        <f t="shared" si="2"/>
        <v>1738.8000000007451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>
        <v>4865.7370000000001</v>
      </c>
      <c r="G20" s="23">
        <v>2760</v>
      </c>
      <c r="H20" s="24">
        <f>G20*F20</f>
        <v>13429434.120000001</v>
      </c>
      <c r="I20" s="25">
        <f>H20-H19</f>
        <v>1876.8000000007451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>
        <v>4866.384</v>
      </c>
      <c r="G21" s="23">
        <v>2760</v>
      </c>
      <c r="H21" s="24">
        <f t="shared" si="1"/>
        <v>13431219.84</v>
      </c>
      <c r="I21" s="25">
        <f t="shared" si="2"/>
        <v>1785.7199999988079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>
        <v>4866.9440000000004</v>
      </c>
      <c r="G22" s="23">
        <v>2760</v>
      </c>
      <c r="H22" s="24">
        <f t="shared" si="1"/>
        <v>13432765.440000001</v>
      </c>
      <c r="I22" s="25">
        <f t="shared" si="2"/>
        <v>1545.6000000014901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>
        <v>4867.5150000000003</v>
      </c>
      <c r="G23" s="23">
        <v>2760</v>
      </c>
      <c r="H23" s="24">
        <f t="shared" si="1"/>
        <v>13434341.4</v>
      </c>
      <c r="I23" s="25">
        <f t="shared" si="2"/>
        <v>1575.9599999990314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>
        <v>4868.2139999999999</v>
      </c>
      <c r="G24" s="23">
        <v>2760</v>
      </c>
      <c r="H24" s="24">
        <f t="shared" si="1"/>
        <v>13436270.640000001</v>
      </c>
      <c r="I24" s="25">
        <f t="shared" si="2"/>
        <v>1929.2400000002235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>
        <v>4868.8249999999998</v>
      </c>
      <c r="G25" s="23">
        <v>2760</v>
      </c>
      <c r="H25" s="24">
        <f t="shared" si="1"/>
        <v>13437957</v>
      </c>
      <c r="I25" s="25">
        <f t="shared" si="2"/>
        <v>1686.359999999404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>
        <v>4869.3919999999998</v>
      </c>
      <c r="G26" s="23">
        <v>2760</v>
      </c>
      <c r="H26" s="24">
        <f t="shared" si="1"/>
        <v>13439521.92</v>
      </c>
      <c r="I26" s="25">
        <f t="shared" si="2"/>
        <v>1564.9199999999255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>
        <v>4870.4229999999998</v>
      </c>
      <c r="G27" s="23">
        <v>2760</v>
      </c>
      <c r="H27" s="24">
        <f t="shared" si="1"/>
        <v>13442367.479999999</v>
      </c>
      <c r="I27" s="25">
        <f t="shared" si="2"/>
        <v>2845.5599999986589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/>
      <c r="G28" s="23">
        <v>2760</v>
      </c>
      <c r="H28" s="24">
        <f t="shared" si="1"/>
        <v>0</v>
      </c>
      <c r="I28" s="25">
        <f t="shared" si="2"/>
        <v>-13442367.479999999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0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>
        <f>SUM(I4:I34)</f>
        <v>-13397269.059999999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2022-05-24T04:29:57Z</dcterms:modified>
</cp:coreProperties>
</file>