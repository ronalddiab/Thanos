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1D234576-B6CD-473D-A22D-7B898270F66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Q11" i="2"/>
  <c r="Q12" i="2"/>
  <c r="Q13" i="2"/>
  <c r="Q14" i="2"/>
  <c r="Q15" i="2"/>
  <c r="Q16" i="2"/>
  <c r="Q17" i="2"/>
  <c r="Q18" i="2"/>
  <c r="Q19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H26" i="2" s="1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Q24" i="2" s="1"/>
  <c r="L25" i="2"/>
  <c r="L26" i="2"/>
  <c r="L27" i="2"/>
  <c r="L28" i="2"/>
  <c r="L29" i="2"/>
  <c r="L30" i="2"/>
  <c r="L31" i="2"/>
  <c r="L32" i="2"/>
  <c r="Q32" i="2" s="1"/>
  <c r="L33" i="2"/>
  <c r="L34" i="2"/>
  <c r="L35" i="2"/>
  <c r="L36" i="2"/>
  <c r="L37" i="2"/>
  <c r="L38" i="2"/>
  <c r="L39" i="2"/>
  <c r="L4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H23" i="2"/>
  <c r="H31" i="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X10" i="2"/>
  <c r="M48" i="4"/>
  <c r="P43" i="4"/>
  <c r="P35" i="4"/>
  <c r="P36" i="4"/>
  <c r="P37" i="4"/>
  <c r="P38" i="4"/>
  <c r="P39" i="4"/>
  <c r="P4" i="4"/>
  <c r="C40" i="6"/>
  <c r="C39" i="6"/>
  <c r="C38" i="6"/>
  <c r="C35" i="6"/>
  <c r="C36" i="6"/>
  <c r="C37" i="6"/>
  <c r="C34" i="6"/>
  <c r="C33" i="6"/>
  <c r="C32" i="6"/>
  <c r="C31" i="6"/>
  <c r="C29" i="6"/>
  <c r="C30" i="6"/>
  <c r="C28" i="6"/>
  <c r="C27" i="6"/>
  <c r="C26" i="6"/>
  <c r="C25" i="6"/>
  <c r="C24" i="6"/>
  <c r="C23" i="6"/>
  <c r="Q23" i="2"/>
  <c r="C22" i="6"/>
  <c r="C21" i="6"/>
  <c r="C20" i="6"/>
  <c r="C19" i="6"/>
  <c r="C18" i="6"/>
  <c r="C17" i="6"/>
  <c r="C16" i="6"/>
  <c r="C14" i="6"/>
  <c r="C15" i="6"/>
  <c r="C12" i="6"/>
  <c r="C13" i="6"/>
  <c r="C11" i="6"/>
  <c r="V10" i="2"/>
  <c r="K10" i="6"/>
  <c r="I10" i="6"/>
  <c r="G10" i="6"/>
  <c r="E10" i="6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B31" i="21"/>
  <c r="B32" i="21"/>
  <c r="B31" i="22"/>
  <c r="B32" i="22"/>
  <c r="C35" i="4"/>
  <c r="D29" i="10"/>
  <c r="Q10" i="2"/>
  <c r="Q36" i="2"/>
  <c r="Q37" i="2"/>
  <c r="O36" i="2"/>
  <c r="O37" i="2"/>
  <c r="H37" i="2"/>
  <c r="G21" i="4"/>
  <c r="E21" i="4"/>
  <c r="C21" i="4"/>
  <c r="M4" i="4"/>
  <c r="M5" i="4"/>
  <c r="M6" i="4"/>
  <c r="M7" i="4"/>
  <c r="G17" i="4"/>
  <c r="P42" i="4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O11" i="2"/>
  <c r="I23" i="21"/>
  <c r="I24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H38" i="2"/>
  <c r="H30" i="2"/>
  <c r="Q22" i="2"/>
  <c r="H21" i="2"/>
  <c r="Q20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2" i="2"/>
  <c r="I19" i="10"/>
  <c r="E20" i="10"/>
  <c r="D25" i="10"/>
  <c r="F25" i="10"/>
  <c r="F32" i="10"/>
  <c r="H25" i="10"/>
  <c r="I25" i="10"/>
  <c r="I32" i="10"/>
  <c r="F18" i="10"/>
  <c r="Q38" i="2"/>
  <c r="O16" i="2"/>
  <c r="O38" i="2"/>
  <c r="O20" i="2"/>
  <c r="H15" i="2"/>
  <c r="H29" i="2"/>
  <c r="O30" i="2"/>
  <c r="O29" i="2"/>
  <c r="O24" i="2"/>
  <c r="Q29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J2" i="21"/>
  <c r="H10" i="2"/>
  <c r="E2" i="22"/>
  <c r="Q44" i="4"/>
  <c r="AC44" i="4"/>
  <c r="K48" i="4" s="1"/>
  <c r="L48" i="4" s="1"/>
  <c r="L9" i="4"/>
  <c r="N9" i="4"/>
  <c r="AC43" i="4"/>
  <c r="I9" i="4"/>
  <c r="H18" i="2" l="1"/>
  <c r="Q30" i="2"/>
  <c r="O22" i="2"/>
  <c r="O26" i="2"/>
  <c r="O25" i="2"/>
  <c r="O33" i="2"/>
  <c r="J8" i="21"/>
  <c r="O32" i="2"/>
  <c r="O34" i="2"/>
  <c r="Q34" i="2"/>
  <c r="J26" i="21"/>
  <c r="O18" i="2"/>
  <c r="J10" i="21"/>
  <c r="N41" i="2"/>
  <c r="I46" i="2" s="1"/>
  <c r="L46" i="2" s="1"/>
  <c r="Q28" i="2"/>
  <c r="J3" i="21"/>
  <c r="O28" i="2"/>
  <c r="Q25" i="2"/>
  <c r="Q26" i="2"/>
  <c r="O17" i="2"/>
  <c r="J9" i="21"/>
  <c r="J17" i="21"/>
  <c r="M41" i="2"/>
  <c r="I45" i="2" s="1"/>
  <c r="L45" i="2" s="1"/>
  <c r="Q21" i="2"/>
  <c r="J15" i="21"/>
  <c r="J12" i="21"/>
  <c r="O23" i="2"/>
  <c r="Q31" i="2"/>
  <c r="Q33" i="2"/>
  <c r="O21" i="2"/>
  <c r="J18" i="21"/>
  <c r="J16" i="21"/>
  <c r="O35" i="2"/>
  <c r="Q35" i="2"/>
  <c r="Q27" i="2"/>
  <c r="O27" i="2"/>
  <c r="O19" i="2"/>
  <c r="J22" i="21"/>
  <c r="J21" i="21"/>
  <c r="J13" i="21"/>
  <c r="J25" i="21"/>
  <c r="J24" i="21"/>
  <c r="J20" i="21"/>
  <c r="O31" i="2"/>
  <c r="H17" i="2"/>
  <c r="H36" i="2"/>
  <c r="H28" i="2"/>
  <c r="H20" i="2"/>
  <c r="H35" i="2"/>
  <c r="H27" i="2"/>
  <c r="H19" i="2"/>
  <c r="H32" i="2"/>
  <c r="H24" i="2"/>
  <c r="H33" i="2"/>
  <c r="H25" i="2"/>
  <c r="H34" i="2"/>
  <c r="Q40" i="2"/>
  <c r="O40" i="2"/>
  <c r="Q39" i="2"/>
  <c r="O39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J14" i="21"/>
  <c r="I4" i="4"/>
  <c r="L4" i="4"/>
  <c r="N4" i="4" s="1"/>
  <c r="M10" i="22" l="1"/>
  <c r="M15" i="22"/>
  <c r="M8" i="22"/>
  <c r="J11" i="21"/>
  <c r="M11" i="22"/>
  <c r="J19" i="21"/>
  <c r="M19" i="22"/>
  <c r="M23" i="22"/>
  <c r="J23" i="21"/>
  <c r="H39" i="2"/>
  <c r="F41" i="2"/>
  <c r="H40" i="2"/>
  <c r="Q41" i="2"/>
  <c r="M20" i="22"/>
  <c r="M14" i="22"/>
  <c r="M25" i="22"/>
  <c r="M13" i="22"/>
  <c r="M24" i="22"/>
  <c r="M18" i="22"/>
  <c r="M26" i="22"/>
  <c r="M21" i="22"/>
  <c r="M9" i="22"/>
  <c r="M22" i="22"/>
  <c r="M16" i="22"/>
  <c r="M17" i="22"/>
  <c r="M12" i="22"/>
  <c r="O15" i="2"/>
  <c r="O13" i="2"/>
  <c r="O12" i="2"/>
  <c r="H16" i="2"/>
  <c r="H14" i="2"/>
  <c r="H13" i="2"/>
  <c r="H12" i="2"/>
  <c r="H11" i="2"/>
  <c r="O4" i="4"/>
  <c r="N43" i="4"/>
  <c r="M3" i="22"/>
  <c r="O41" i="2" l="1"/>
  <c r="H41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<sst xmlns="http://schemas.openxmlformats.org/spreadsheetml/2006/main" count="484" uniqueCount="187">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</sst>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  <c:pt idx="25">
                  <c:v>190</c:v>
                </c:pt>
                <c:pt idx="26">
                  <c:v>151</c:v>
                </c:pt>
                <c:pt idx="27">
                  <c:v>158</c:v>
                </c:pt>
                <c:pt idx="28">
                  <c:v>151</c:v>
                </c:pt>
                <c:pt idx="29">
                  <c:v>157</c:v>
                </c:pt>
                <c:pt idx="30">
                  <c:v>135.89999999999418</c:v>
                </c:pt>
                <c:pt idx="31">
                  <c:v>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  <c:pt idx="25">
                  <c:v>5855</c:v>
                </c:pt>
                <c:pt idx="26">
                  <c:v>4632</c:v>
                </c:pt>
                <c:pt idx="27">
                  <c:v>4743</c:v>
                </c:pt>
                <c:pt idx="28">
                  <c:v>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  <c:pt idx="25">
                  <c:v>9605</c:v>
                </c:pt>
                <c:pt idx="26">
                  <c:v>9765</c:v>
                </c:pt>
                <c:pt idx="27">
                  <c:v>8747</c:v>
                </c:pt>
                <c:pt idx="28">
                  <c:v>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  <c:pt idx="25">
                  <c:v>3796</c:v>
                </c:pt>
                <c:pt idx="26">
                  <c:v>3888</c:v>
                </c:pt>
                <c:pt idx="27">
                  <c:v>3641</c:v>
                </c:pt>
                <c:pt idx="28">
                  <c:v>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223.99447000000001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159.99605</c:v>
                </c:pt>
                <c:pt idx="25">
                  <c:v>415.98973000000001</c:v>
                </c:pt>
                <c:pt idx="26">
                  <c:v>255.99368000000001</c:v>
                </c:pt>
                <c:pt idx="27">
                  <c:v>351.99131</c:v>
                </c:pt>
                <c:pt idx="28">
                  <c:v>159.99605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T21" sqref="T2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12.84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22510</v>
      </c>
      <c r="F3" s="134">
        <v>1.05</v>
      </c>
      <c r="G3" s="134">
        <f>'Consommation mensuel énergie'!V11</f>
        <v>127.99684000000001</v>
      </c>
      <c r="H3" s="134">
        <v>12.84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12.84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223.99447000000001</v>
      </c>
      <c r="H5" s="134">
        <v>12.84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12.84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12.84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12.84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12.84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12.84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12.84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12.84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12.84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12.84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12.84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12.84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12.84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12.84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12.84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12.84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12.84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12.84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287.99288999999999</v>
      </c>
      <c r="H25" s="134">
        <v>12.84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1.05</v>
      </c>
      <c r="G26" s="134">
        <f>'Consommation mensuel énergie'!V34</f>
        <v>159.99605</v>
      </c>
      <c r="H26" s="134">
        <v>12.84</v>
      </c>
      <c r="I26" s="134">
        <f>'Consommation mensuel énergie'!F34</f>
        <v>134.5</v>
      </c>
      <c r="J26" s="134">
        <v>11.4</v>
      </c>
      <c r="K26" s="137">
        <f>'Consommation mensuel énergie'!D34</f>
        <v>138</v>
      </c>
      <c r="L26" s="137">
        <f>'Consommation mensuel énergie'!E34</f>
        <v>223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19256</v>
      </c>
      <c r="F27" s="134">
        <v>1.05</v>
      </c>
      <c r="G27" s="134">
        <f>'Consommation mensuel énergie'!V35</f>
        <v>415.98973000000001</v>
      </c>
      <c r="H27" s="134">
        <v>12.84</v>
      </c>
      <c r="I27" s="134">
        <f>'Consommation mensuel énergie'!F35</f>
        <v>190</v>
      </c>
      <c r="J27" s="134">
        <v>11.4</v>
      </c>
      <c r="K27" s="137">
        <f>'Consommation mensuel énergie'!D35</f>
        <v>151</v>
      </c>
      <c r="L27" s="137">
        <f>'Consommation mensuel énergie'!E35</f>
        <v>252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18285</v>
      </c>
      <c r="F28" s="134">
        <v>1.05</v>
      </c>
      <c r="G28" s="134">
        <f>'Consommation mensuel énergie'!V36</f>
        <v>255.99368000000001</v>
      </c>
      <c r="H28" s="134">
        <v>12.84</v>
      </c>
      <c r="I28" s="134">
        <f>'Consommation mensuel énergie'!F36</f>
        <v>151</v>
      </c>
      <c r="J28" s="134">
        <v>11.4</v>
      </c>
      <c r="K28" s="137">
        <f>'Consommation mensuel énergie'!D36</f>
        <v>141</v>
      </c>
      <c r="L28" s="137">
        <f>'Consommation mensuel énergie'!E36</f>
        <v>244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17131</v>
      </c>
      <c r="F29" s="134">
        <v>1.05</v>
      </c>
      <c r="G29" s="134">
        <f>'Consommation mensuel énergie'!V37</f>
        <v>351.99131</v>
      </c>
      <c r="H29" s="134">
        <v>12.84</v>
      </c>
      <c r="I29" s="134">
        <f>'Consommation mensuel énergie'!F37</f>
        <v>158</v>
      </c>
      <c r="J29" s="134">
        <v>11.4</v>
      </c>
      <c r="K29" s="137">
        <f>'Consommation mensuel énergie'!D37</f>
        <v>132</v>
      </c>
      <c r="L29" s="137">
        <f>'Consommation mensuel énergie'!E37</f>
        <v>221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16904</v>
      </c>
      <c r="F30" s="134">
        <v>1.05</v>
      </c>
      <c r="G30" s="134">
        <f>'Consommation mensuel énergie'!V38</f>
        <v>159.99605</v>
      </c>
      <c r="H30" s="134">
        <v>12.84</v>
      </c>
      <c r="I30" s="134">
        <f>'Consommation mensuel énergie'!F38</f>
        <v>151</v>
      </c>
      <c r="J30" s="134">
        <v>11.4</v>
      </c>
      <c r="K30" s="137">
        <f>'Consommation mensuel énergie'!D38</f>
        <v>141</v>
      </c>
      <c r="L30" s="137">
        <f>'Consommation mensuel énergie'!E38</f>
        <v>231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19823</v>
      </c>
      <c r="F31" s="134">
        <v>1.05</v>
      </c>
      <c r="G31" s="134">
        <f>'Consommation mensuel énergie'!V39</f>
        <v>287.99288999999999</v>
      </c>
      <c r="H31" s="134">
        <v>12.84</v>
      </c>
      <c r="I31" s="134">
        <f>'Consommation mensuel énergie'!F39</f>
        <v>157</v>
      </c>
      <c r="J31" s="134">
        <v>11.4</v>
      </c>
      <c r="K31" s="137">
        <f>'Consommation mensuel énergie'!D39</f>
        <v>132</v>
      </c>
      <c r="L31" s="137">
        <f>'Consommation mensuel énergie'!E39</f>
        <v>207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18445</v>
      </c>
      <c r="F32" s="134">
        <v>1.05</v>
      </c>
      <c r="G32" s="134">
        <f>'Consommation mensuel énergie'!V40</f>
        <v>159.99605</v>
      </c>
      <c r="H32" s="134">
        <v>12.84</v>
      </c>
      <c r="I32" s="134">
        <f>'Consommation mensuel énergie'!F40</f>
        <v>135.89999999999418</v>
      </c>
      <c r="J32" s="134">
        <v>11.4</v>
      </c>
      <c r="K32" s="137">
        <f>'Consommation mensuel énergie'!D40</f>
        <v>126</v>
      </c>
      <c r="L32" s="137">
        <f>'Consommation mensuel énergie'!E40</f>
        <v>191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N30" sqref="N3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énergie'!N11</f>
        <v>4772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138</v>
      </c>
      <c r="I26" s="137">
        <f>'Consommation mensuel énergie'!E34</f>
        <v>223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5855</v>
      </c>
      <c r="F27" s="137">
        <f>'Consommation mensuel énergie'!M35</f>
        <v>9605</v>
      </c>
      <c r="G27" s="137">
        <f>'Consommation mensuel énergie'!N35</f>
        <v>3796</v>
      </c>
      <c r="H27" s="137">
        <f>'Consommation mensuel énergie'!D35</f>
        <v>151</v>
      </c>
      <c r="I27" s="137">
        <f>'Consommation mensuel énergie'!E35</f>
        <v>252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4632</v>
      </c>
      <c r="F28" s="137">
        <f>'Consommation mensuel énergie'!M36</f>
        <v>9765</v>
      </c>
      <c r="G28" s="137">
        <f>'Consommation mensuel énergie'!N36</f>
        <v>3888</v>
      </c>
      <c r="H28" s="137">
        <f>'Consommation mensuel énergie'!D36</f>
        <v>141</v>
      </c>
      <c r="I28" s="137">
        <f>'Consommation mensuel énergie'!E36</f>
        <v>244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4743</v>
      </c>
      <c r="F29" s="137">
        <f>'Consommation mensuel énergie'!M37</f>
        <v>8747</v>
      </c>
      <c r="G29" s="137">
        <f>'Consommation mensuel énergie'!N37</f>
        <v>3641</v>
      </c>
      <c r="H29" s="137">
        <f>'Consommation mensuel énergie'!D37</f>
        <v>132</v>
      </c>
      <c r="I29" s="137">
        <f>'Consommation mensuel énergie'!E37</f>
        <v>221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4517</v>
      </c>
      <c r="F30" s="137">
        <f>'Consommation mensuel énergie'!M38</f>
        <v>8832</v>
      </c>
      <c r="G30" s="137">
        <f>'Consommation mensuel énergie'!N38</f>
        <v>3555</v>
      </c>
      <c r="H30" s="137">
        <f>'Consommation mensuel énergie'!D38</f>
        <v>141</v>
      </c>
      <c r="I30" s="137">
        <f>'Consommation mensuel énergie'!E38</f>
        <v>231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5023</v>
      </c>
      <c r="F31" s="137">
        <f>'Consommation mensuel énergie'!M39</f>
        <v>10449</v>
      </c>
      <c r="G31" s="137">
        <f>'Consommation mensuel énergie'!N39</f>
        <v>4351</v>
      </c>
      <c r="H31" s="137">
        <f>'Consommation mensuel énergie'!D39</f>
        <v>132</v>
      </c>
      <c r="I31" s="137">
        <f>'Consommation mensuel énergie'!E39</f>
        <v>207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4191</v>
      </c>
      <c r="F32" s="137">
        <f>'Consommation mensuel énergie'!M40</f>
        <v>10204</v>
      </c>
      <c r="G32" s="137">
        <f>'Consommation mensuel énergie'!N40</f>
        <v>4050</v>
      </c>
      <c r="H32" s="137">
        <f>'Consommation mensuel énergie'!D40</f>
        <v>126</v>
      </c>
      <c r="I32" s="137">
        <f>'Consommation mensuel énergie'!E40</f>
        <v>191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D37" sqref="AD37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 x14ac:dyDescent="0.25"/>
    <row r="4" spans="1:24" ht="39" hidden="1" customHeight="1" thickBot="1" x14ac:dyDescent="0.25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 x14ac:dyDescent="0.25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 x14ac:dyDescent="0.25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 x14ac:dyDescent="0.25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 x14ac:dyDescent="0.25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4" t="s">
        <v>30</v>
      </c>
      <c r="M9" s="154" t="s">
        <v>31</v>
      </c>
      <c r="N9" s="154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 x14ac:dyDescent="0.2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7">
        <f>F10*8.79</f>
        <v>1538.2499999999998</v>
      </c>
      <c r="I10" s="168"/>
      <c r="J10" s="168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V10*12.84</f>
        <v>2054.3492820000001</v>
      </c>
    </row>
    <row r="11" spans="1:24" ht="32.25" customHeight="1" x14ac:dyDescent="0.2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7">
        <f t="shared" ref="H11:H21" si="0">F11*8.79</f>
        <v>1380.03</v>
      </c>
      <c r="I11" s="168"/>
      <c r="J11" s="168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 t="shared" ref="Q11:Q19" si="1">L11*0.6985+M11*0.9514+N11*1.3304</f>
        <v>21860.965200000002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2">V11*12.84</f>
        <v>1643.4794256</v>
      </c>
    </row>
    <row r="12" spans="1:24" ht="32.25" customHeight="1" x14ac:dyDescent="0.2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7">
        <f t="shared" si="0"/>
        <v>1590.9899999999998</v>
      </c>
      <c r="I12" s="168"/>
      <c r="J12" s="168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 t="shared" si="1"/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2"/>
        <v>1643.4794256</v>
      </c>
    </row>
    <row r="13" spans="1:24" ht="32.25" customHeight="1" x14ac:dyDescent="0.2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7">
        <f t="shared" si="0"/>
        <v>1362.4499999999998</v>
      </c>
      <c r="I13" s="168"/>
      <c r="J13" s="168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3">L13+M13+N13</f>
        <v>22596</v>
      </c>
      <c r="P13" s="11"/>
      <c r="Q13" s="34">
        <f t="shared" si="1"/>
        <v>21621.319500000001</v>
      </c>
      <c r="R13" s="11"/>
      <c r="S13" s="28"/>
      <c r="T13" s="11"/>
      <c r="U13" s="28"/>
      <c r="V13" s="146">
        <f>'Suvi Gaz'!O7</f>
        <v>223.99447000000001</v>
      </c>
      <c r="W13" s="11"/>
      <c r="X13" s="34">
        <f t="shared" si="2"/>
        <v>2876.0889947999999</v>
      </c>
    </row>
    <row r="14" spans="1:24" ht="32.25" customHeight="1" x14ac:dyDescent="0.2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7">
        <f t="shared" si="0"/>
        <v>1485.5099999999998</v>
      </c>
      <c r="I14" s="168"/>
      <c r="J14" s="168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3"/>
        <v>21668</v>
      </c>
      <c r="P14" s="12"/>
      <c r="Q14" s="34">
        <f t="shared" si="1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2"/>
        <v>3697.8287075999997</v>
      </c>
    </row>
    <row r="15" spans="1:24" ht="32.25" customHeight="1" x14ac:dyDescent="0.2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7">
        <f t="shared" si="0"/>
        <v>1547.04</v>
      </c>
      <c r="I15" s="168"/>
      <c r="J15" s="168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3"/>
        <v>21526</v>
      </c>
      <c r="P15" s="12"/>
      <c r="Q15" s="34">
        <f t="shared" si="1"/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2"/>
        <v>2054.3492820000001</v>
      </c>
    </row>
    <row r="16" spans="1:24" ht="32.25" customHeight="1" x14ac:dyDescent="0.2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7">
        <f t="shared" si="0"/>
        <v>1714.929000000051</v>
      </c>
      <c r="I16" s="168"/>
      <c r="J16" s="168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3"/>
        <v>19512</v>
      </c>
      <c r="P16" s="11"/>
      <c r="Q16" s="34">
        <f t="shared" si="1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2"/>
        <v>3697.8287075999997</v>
      </c>
    </row>
    <row r="17" spans="1:24" s="5" customFormat="1" ht="32.25" customHeight="1" x14ac:dyDescent="0.2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7">
        <f t="shared" si="0"/>
        <v>1477.5990000000511</v>
      </c>
      <c r="I17" s="168"/>
      <c r="J17" s="168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3"/>
        <v>19606</v>
      </c>
      <c r="P17" s="12"/>
      <c r="Q17" s="34">
        <f t="shared" si="1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2"/>
        <v>1643.4794256</v>
      </c>
    </row>
    <row r="18" spans="1:24" ht="32.25" customHeight="1" x14ac:dyDescent="0.2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7">
        <f t="shared" si="0"/>
        <v>1932.9209999999487</v>
      </c>
      <c r="I18" s="168"/>
      <c r="J18" s="168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3"/>
        <v>19679</v>
      </c>
      <c r="P18" s="12"/>
      <c r="Q18" s="34">
        <f t="shared" si="1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2"/>
        <v>2465.2191383999998</v>
      </c>
    </row>
    <row r="19" spans="1:24" ht="32.25" customHeight="1" x14ac:dyDescent="0.2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7">
        <f t="shared" si="0"/>
        <v>1479.3569999998974</v>
      </c>
      <c r="I19" s="168"/>
      <c r="J19" s="168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3"/>
        <v>20345</v>
      </c>
      <c r="P19" s="12"/>
      <c r="Q19" s="34">
        <f t="shared" si="1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2"/>
        <v>1232.6095691999999</v>
      </c>
    </row>
    <row r="20" spans="1:24" ht="32.25" customHeight="1" x14ac:dyDescent="0.2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7">
        <f t="shared" si="0"/>
        <v>1781.7330000001023</v>
      </c>
      <c r="I20" s="168"/>
      <c r="J20" s="168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3"/>
        <v>20262</v>
      </c>
      <c r="P20" s="12"/>
      <c r="Q20" s="34">
        <f t="shared" ref="Q13:Q36" si="4">L20*0.6985+M20*0.9514+N20*1.3304</f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2"/>
        <v>2054.3492820000001</v>
      </c>
    </row>
    <row r="21" spans="1:24" ht="32.25" customHeight="1" x14ac:dyDescent="0.2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7">
        <f t="shared" si="0"/>
        <v>1730.7509999999486</v>
      </c>
      <c r="I21" s="168"/>
      <c r="J21" s="168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4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2"/>
        <v>4519.5684203999999</v>
      </c>
    </row>
    <row r="22" spans="1:24" ht="32.25" customHeight="1" x14ac:dyDescent="0.2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7">
        <f t="shared" ref="H22:H35" si="5">F22*8.79</f>
        <v>1409.9159999999488</v>
      </c>
      <c r="I22" s="168"/>
      <c r="J22" s="168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3"/>
        <v>21945</v>
      </c>
      <c r="P22" s="12"/>
      <c r="Q22" s="34">
        <f t="shared" si="4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2"/>
        <v>1232.6095691999999</v>
      </c>
    </row>
    <row r="23" spans="1:24" ht="32.25" customHeight="1" x14ac:dyDescent="0.2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7">
        <f t="shared" si="5"/>
        <v>1748.3309999999487</v>
      </c>
      <c r="I23" s="168"/>
      <c r="J23" s="168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2"/>
        <v>821.73971280000001</v>
      </c>
    </row>
    <row r="24" spans="1:24" ht="32.25" customHeight="1" x14ac:dyDescent="0.2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7">
        <f t="shared" si="5"/>
        <v>1343.9910000002046</v>
      </c>
      <c r="I24" s="168"/>
      <c r="J24" s="168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2"/>
        <v>2054.3492820000001</v>
      </c>
    </row>
    <row r="25" spans="1:24" ht="32.25" customHeight="1" x14ac:dyDescent="0.2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7">
        <f t="shared" si="5"/>
        <v>1456.5029999998465</v>
      </c>
      <c r="I25" s="168"/>
      <c r="J25" s="168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2"/>
        <v>4930.4382767999996</v>
      </c>
    </row>
    <row r="26" spans="1:24" ht="32.25" customHeight="1" x14ac:dyDescent="0.2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7">
        <f t="shared" si="5"/>
        <v>1409.9159999999488</v>
      </c>
      <c r="I26" s="168"/>
      <c r="J26" s="168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2"/>
        <v>1232.6095691999999</v>
      </c>
    </row>
    <row r="27" spans="1:24" ht="32.25" customHeight="1" x14ac:dyDescent="0.2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7">
        <f t="shared" si="5"/>
        <v>1464.4140000000509</v>
      </c>
      <c r="I27" s="168"/>
      <c r="J27" s="168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3"/>
        <v>18840</v>
      </c>
      <c r="P27" s="14"/>
      <c r="Q27" s="34">
        <f t="shared" si="4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2"/>
        <v>3697.8287075999997</v>
      </c>
    </row>
    <row r="28" spans="1:24" ht="32.25" customHeight="1" x14ac:dyDescent="0.2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7">
        <f t="shared" si="5"/>
        <v>1334.3220000001534</v>
      </c>
      <c r="I28" s="168"/>
      <c r="J28" s="168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3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2"/>
        <v>3697.8287075999997</v>
      </c>
    </row>
    <row r="29" spans="1:24" ht="32.25" customHeight="1" x14ac:dyDescent="0.2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7">
        <f t="shared" si="5"/>
        <v>1441.56</v>
      </c>
      <c r="I29" s="168"/>
      <c r="J29" s="168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4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2"/>
        <v>2876.0889947999999</v>
      </c>
    </row>
    <row r="30" spans="1:24" ht="32.25" customHeight="1" x14ac:dyDescent="0.2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7">
        <f t="shared" si="5"/>
        <v>1655.1569999998976</v>
      </c>
      <c r="I30" s="168"/>
      <c r="J30" s="168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2876.0889947999999</v>
      </c>
    </row>
    <row r="31" spans="1:24" ht="27.75" customHeight="1" x14ac:dyDescent="0.2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7">
        <f t="shared" si="5"/>
        <v>1513.6380000001022</v>
      </c>
      <c r="I31" s="168"/>
      <c r="J31" s="168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2"/>
        <v>2465.2191383999998</v>
      </c>
    </row>
    <row r="32" spans="1:24" ht="37.5" customHeight="1" x14ac:dyDescent="0.2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7">
        <f t="shared" si="5"/>
        <v>1410.7949999999998</v>
      </c>
      <c r="I32" s="168"/>
      <c r="J32" s="168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3"/>
        <v>20840</v>
      </c>
      <c r="P32" s="11"/>
      <c r="Q32" s="34">
        <f t="shared" si="4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2"/>
        <v>2876.0889947999999</v>
      </c>
    </row>
    <row r="33" spans="1:24" ht="37.5" customHeight="1" x14ac:dyDescent="0.2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67">
        <f t="shared" si="5"/>
        <v>1343.1119999998975</v>
      </c>
      <c r="I33" s="168"/>
      <c r="J33" s="168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3"/>
        <v>21054</v>
      </c>
      <c r="P33" s="11"/>
      <c r="Q33" s="34">
        <f t="shared" si="4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2"/>
        <v>3697.8287075999997</v>
      </c>
    </row>
    <row r="34" spans="1:24" ht="37.5" customHeight="1" x14ac:dyDescent="0.2">
      <c r="A34" s="2"/>
      <c r="B34" s="6">
        <v>44798</v>
      </c>
      <c r="C34" s="7"/>
      <c r="D34" s="143">
        <v>138</v>
      </c>
      <c r="E34" s="143">
        <v>223</v>
      </c>
      <c r="F34" s="13">
        <f>'Suivi EAU-ELEC'!E33</f>
        <v>134.5</v>
      </c>
      <c r="G34" s="11"/>
      <c r="H34" s="167">
        <f t="shared" si="5"/>
        <v>1182.2549999999999</v>
      </c>
      <c r="I34" s="168"/>
      <c r="J34" s="168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3"/>
        <v>20367</v>
      </c>
      <c r="P34" s="11"/>
      <c r="Q34" s="34">
        <f t="shared" si="4"/>
        <v>19801.527099999999</v>
      </c>
      <c r="R34" s="11"/>
      <c r="S34" s="28"/>
      <c r="T34" s="11"/>
      <c r="U34" s="28"/>
      <c r="V34" s="146">
        <f>'Suvi Gaz'!O28</f>
        <v>159.99605</v>
      </c>
      <c r="W34" s="11"/>
      <c r="X34" s="34">
        <f t="shared" si="2"/>
        <v>2054.3492820000001</v>
      </c>
    </row>
    <row r="35" spans="1:24" ht="33.75" customHeight="1" x14ac:dyDescent="0.2">
      <c r="A35" s="2"/>
      <c r="B35" s="6">
        <v>44799</v>
      </c>
      <c r="C35" s="7"/>
      <c r="D35" s="143">
        <v>151</v>
      </c>
      <c r="E35" s="143">
        <v>252</v>
      </c>
      <c r="F35" s="13">
        <f>'Suivi EAU-ELEC'!E34</f>
        <v>190</v>
      </c>
      <c r="G35" s="11"/>
      <c r="H35" s="167">
        <f t="shared" si="5"/>
        <v>1670.1</v>
      </c>
      <c r="I35" s="168"/>
      <c r="J35" s="168"/>
      <c r="K35" s="60">
        <v>42303</v>
      </c>
      <c r="L35" s="90">
        <f>'Suivi EAU-ELEC'!G34</f>
        <v>5855</v>
      </c>
      <c r="M35" s="91">
        <f>'Suivi EAU-ELEC'!I34</f>
        <v>9605</v>
      </c>
      <c r="N35" s="91">
        <f>'Suivi EAU-ELEC'!K34</f>
        <v>3796</v>
      </c>
      <c r="O35" s="91">
        <f t="shared" si="3"/>
        <v>19256</v>
      </c>
      <c r="P35" s="11"/>
      <c r="Q35" s="34">
        <f t="shared" si="4"/>
        <v>18278.1129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2"/>
        <v>5341.3081332000002</v>
      </c>
    </row>
    <row r="36" spans="1:24" ht="33.75" customHeight="1" x14ac:dyDescent="0.2">
      <c r="A36" s="2"/>
      <c r="B36" s="6">
        <v>44800</v>
      </c>
      <c r="C36" s="7"/>
      <c r="D36" s="143">
        <v>141</v>
      </c>
      <c r="E36" s="143">
        <v>244</v>
      </c>
      <c r="F36" s="13">
        <f>'Suivi EAU-ELEC'!E35</f>
        <v>151</v>
      </c>
      <c r="G36" s="11"/>
      <c r="H36" s="167">
        <f t="shared" ref="H36:H37" si="6">F36*8.79</f>
        <v>1327.29</v>
      </c>
      <c r="I36" s="168"/>
      <c r="J36" s="168"/>
      <c r="K36" s="60"/>
      <c r="L36" s="90">
        <f>'Suivi EAU-ELEC'!G35</f>
        <v>4632</v>
      </c>
      <c r="M36" s="91">
        <f>'Suivi EAU-ELEC'!I35</f>
        <v>9765</v>
      </c>
      <c r="N36" s="91">
        <f>'Suivi EAU-ELEC'!K35</f>
        <v>3888</v>
      </c>
      <c r="O36" s="91">
        <f t="shared" si="3"/>
        <v>18285</v>
      </c>
      <c r="P36" s="11"/>
      <c r="Q36" s="34">
        <f t="shared" si="4"/>
        <v>17698.468199999999</v>
      </c>
      <c r="R36" s="11"/>
      <c r="S36" s="28"/>
      <c r="T36" s="11"/>
      <c r="U36" s="28"/>
      <c r="V36" s="146">
        <f>'Suvi Gaz'!O30</f>
        <v>255.99368000000001</v>
      </c>
      <c r="W36" s="11"/>
      <c r="X36" s="34">
        <f t="shared" si="2"/>
        <v>3286.9588512</v>
      </c>
    </row>
    <row r="37" spans="1:24" ht="33.75" customHeight="1" x14ac:dyDescent="0.2">
      <c r="A37" s="2"/>
      <c r="B37" s="6">
        <v>44801</v>
      </c>
      <c r="C37" s="7"/>
      <c r="D37" s="143">
        <v>132</v>
      </c>
      <c r="E37" s="143">
        <v>221</v>
      </c>
      <c r="F37" s="13">
        <f>'Suivi EAU-ELEC'!E36</f>
        <v>158</v>
      </c>
      <c r="G37" s="11"/>
      <c r="H37" s="167">
        <f t="shared" si="6"/>
        <v>1388.82</v>
      </c>
      <c r="I37" s="168"/>
      <c r="J37" s="168"/>
      <c r="K37" s="60"/>
      <c r="L37" s="90">
        <f>'Suivi EAU-ELEC'!G36</f>
        <v>4743</v>
      </c>
      <c r="M37" s="91">
        <f>'Suivi EAU-ELEC'!I36</f>
        <v>8747</v>
      </c>
      <c r="N37" s="91">
        <f>'Suivi EAU-ELEC'!K36</f>
        <v>3641</v>
      </c>
      <c r="O37" s="91">
        <f>L37+M37+N37</f>
        <v>17131</v>
      </c>
      <c r="P37" s="11"/>
      <c r="Q37" s="34">
        <f>L37*0.6985+M37*0.9514+N37*1.3304</f>
        <v>16478.867700000003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2"/>
        <v>4519.5684203999999</v>
      </c>
    </row>
    <row r="38" spans="1:24" ht="33.75" customHeight="1" x14ac:dyDescent="0.2">
      <c r="A38" s="2"/>
      <c r="B38" s="6">
        <v>44802</v>
      </c>
      <c r="C38" s="7"/>
      <c r="D38" s="143">
        <v>141</v>
      </c>
      <c r="E38" s="143">
        <v>231</v>
      </c>
      <c r="F38" s="13">
        <f>'Suivi EAU-ELEC'!E37</f>
        <v>151</v>
      </c>
      <c r="G38" s="11"/>
      <c r="H38" s="167">
        <f>F38*8.79</f>
        <v>1327.29</v>
      </c>
      <c r="I38" s="168"/>
      <c r="J38" s="168"/>
      <c r="K38" s="60">
        <v>42304</v>
      </c>
      <c r="L38" s="90">
        <f>'Suivi EAU-ELEC'!G37</f>
        <v>4517</v>
      </c>
      <c r="M38" s="91">
        <f>'Suivi EAU-ELEC'!I37</f>
        <v>8832</v>
      </c>
      <c r="N38" s="91">
        <f>'Suivi EAU-ELEC'!K37</f>
        <v>3555</v>
      </c>
      <c r="O38" s="91">
        <f>L38+M38+N38</f>
        <v>16904</v>
      </c>
      <c r="P38" s="11"/>
      <c r="Q38" s="34">
        <f>L38*0.6985+M38*0.9514+N38*1.3304</f>
        <v>16287.461300000001</v>
      </c>
      <c r="R38" s="11"/>
      <c r="S38" s="28"/>
      <c r="T38" s="11"/>
      <c r="U38" s="28"/>
      <c r="V38" s="146">
        <f>'Suvi Gaz'!O32</f>
        <v>159.99605</v>
      </c>
      <c r="W38" s="11"/>
      <c r="X38" s="34">
        <f t="shared" si="2"/>
        <v>2054.3492820000001</v>
      </c>
    </row>
    <row r="39" spans="1:24" ht="33.75" customHeight="1" x14ac:dyDescent="0.2">
      <c r="A39" s="2"/>
      <c r="B39" s="6">
        <v>44803</v>
      </c>
      <c r="C39" s="7"/>
      <c r="D39" s="143">
        <v>132</v>
      </c>
      <c r="E39" s="143">
        <v>207</v>
      </c>
      <c r="F39" s="13">
        <f>'Suivi EAU-ELEC'!E38</f>
        <v>157</v>
      </c>
      <c r="G39" s="11"/>
      <c r="H39" s="167">
        <f>F39*8.79</f>
        <v>1380.03</v>
      </c>
      <c r="I39" s="168"/>
      <c r="J39" s="168"/>
      <c r="K39" s="60"/>
      <c r="L39" s="90">
        <f>'Suivi EAU-ELEC'!G38</f>
        <v>5023</v>
      </c>
      <c r="M39" s="91">
        <f>'Suivi EAU-ELEC'!I38</f>
        <v>10449</v>
      </c>
      <c r="N39" s="91">
        <f>'Suivi EAU-ELEC'!K38</f>
        <v>4351</v>
      </c>
      <c r="O39" s="91">
        <f t="shared" ref="O39:O40" si="7">L39+M39+N39</f>
        <v>19823</v>
      </c>
      <c r="P39" s="11"/>
      <c r="Q39" s="34">
        <f t="shared" ref="Q39:Q40" si="8">L39*0.6985+M39*0.9514+N39*1.3304</f>
        <v>19238.3145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3697.8287075999997</v>
      </c>
    </row>
    <row r="40" spans="1:24" ht="33.75" customHeight="1" x14ac:dyDescent="0.2">
      <c r="A40" s="2"/>
      <c r="B40" s="6">
        <v>44804</v>
      </c>
      <c r="C40" s="7"/>
      <c r="D40" s="143">
        <v>126</v>
      </c>
      <c r="E40" s="143">
        <v>191</v>
      </c>
      <c r="F40" s="13">
        <f>'Suivi EAU-ELEC'!E39</f>
        <v>135.89999999999418</v>
      </c>
      <c r="G40" s="11"/>
      <c r="H40" s="167">
        <f>F40*8.79</f>
        <v>1194.5609999999488</v>
      </c>
      <c r="I40" s="168"/>
      <c r="J40" s="168"/>
      <c r="K40" s="60"/>
      <c r="L40" s="90">
        <f>'Suivi EAU-ELEC'!G39</f>
        <v>4191</v>
      </c>
      <c r="M40" s="91">
        <f>'Suivi EAU-ELEC'!I39</f>
        <v>10204</v>
      </c>
      <c r="N40" s="91">
        <f>'Suivi EAU-ELEC'!K39</f>
        <v>4050</v>
      </c>
      <c r="O40" s="91">
        <f t="shared" si="7"/>
        <v>18445</v>
      </c>
      <c r="P40" s="11"/>
      <c r="Q40" s="34">
        <f t="shared" si="8"/>
        <v>18023.6191</v>
      </c>
      <c r="R40" s="11"/>
      <c r="S40" s="28"/>
      <c r="T40" s="11"/>
      <c r="U40" s="28"/>
      <c r="V40" s="146">
        <f>'Suvi Gaz'!O34</f>
        <v>159.99605</v>
      </c>
      <c r="W40" s="11"/>
      <c r="X40" s="34">
        <f t="shared" si="2"/>
        <v>2054.3492820000001</v>
      </c>
    </row>
    <row r="41" spans="1:24" ht="42.75" customHeight="1" x14ac:dyDescent="0.2">
      <c r="A41" s="2"/>
      <c r="B41" s="10"/>
      <c r="C41" s="10"/>
      <c r="D41" s="8">
        <f>SUM(D10:D40)</f>
        <v>4593</v>
      </c>
      <c r="E41" s="8">
        <f>SUM(E10:E40)</f>
        <v>8265</v>
      </c>
      <c r="F41" s="151">
        <f>SUM(F10:F40)</f>
        <v>5235.8999999999942</v>
      </c>
      <c r="G41" s="1"/>
      <c r="H41" s="205">
        <f>SUM(H10:H40)</f>
        <v>46023.560999999951</v>
      </c>
      <c r="I41" s="206"/>
      <c r="J41" s="207"/>
      <c r="K41" s="1"/>
      <c r="L41" s="53">
        <f>SUM(L10:L40)</f>
        <v>167899</v>
      </c>
      <c r="M41" s="53">
        <f>SUM(M10:M40)</f>
        <v>324141</v>
      </c>
      <c r="N41" s="54">
        <f>SUM(N10:N40)</f>
        <v>136233</v>
      </c>
      <c r="O41" s="55">
        <f>SUM(O10:O40)</f>
        <v>628273</v>
      </c>
      <c r="P41" s="31"/>
      <c r="Q41" s="34">
        <f t="shared" ref="Q41" si="9">L41*0.6985+M41*0.9514+N41*1.3304</f>
        <v>606909.5821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6623.8364699999984</v>
      </c>
      <c r="W41" s="31"/>
      <c r="X41" s="32">
        <f>SUM(X10:X40)</f>
        <v>85050.06027479998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 x14ac:dyDescent="0.25">
      <c r="A44" s="222" t="s">
        <v>38</v>
      </c>
      <c r="B44" s="223"/>
      <c r="C44" s="224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9">
        <f>L41</f>
        <v>167899</v>
      </c>
      <c r="J44" s="220"/>
      <c r="K44" s="221"/>
      <c r="L44" s="203">
        <f>I44*H44</f>
        <v>117277.4515</v>
      </c>
      <c r="M44" s="204"/>
      <c r="N44" s="176">
        <f>L44+L45+L46</f>
        <v>606909.5821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 x14ac:dyDescent="0.25">
      <c r="A45" s="225"/>
      <c r="B45" s="226"/>
      <c r="C45" s="227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9">
        <f>M41</f>
        <v>324141</v>
      </c>
      <c r="J45" s="220"/>
      <c r="K45" s="221"/>
      <c r="L45" s="203">
        <f>I45*H45</f>
        <v>308387.74739999999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 x14ac:dyDescent="0.25">
      <c r="A46" s="225"/>
      <c r="B46" s="226"/>
      <c r="C46" s="227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194">
        <f>N41</f>
        <v>136233</v>
      </c>
      <c r="J46" s="195"/>
      <c r="K46" s="196"/>
      <c r="L46" s="203">
        <f>I46*H46</f>
        <v>181244.38320000001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00">
        <f>N44*1.3</f>
        <v>788982.45672999998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 x14ac:dyDescent="0.25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5235.8999999999942</v>
      </c>
      <c r="J48" s="215"/>
      <c r="K48" s="216"/>
      <c r="L48" s="217">
        <f>I48*H48</f>
        <v>46023.560999999943</v>
      </c>
      <c r="M48" s="218"/>
      <c r="N48" s="173">
        <f>L48</f>
        <v>46023.560999999943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 x14ac:dyDescent="0.2">
      <c r="A49" s="188" t="s">
        <v>40</v>
      </c>
      <c r="B49" s="189"/>
      <c r="C49" s="189"/>
      <c r="D49" s="189"/>
      <c r="E49" s="189"/>
      <c r="F49" s="190"/>
      <c r="G49" s="24"/>
      <c r="H49" s="25">
        <v>12.84</v>
      </c>
      <c r="I49" s="191">
        <f>V41</f>
        <v>6623.8364699999984</v>
      </c>
      <c r="J49" s="192"/>
      <c r="K49" s="193"/>
      <c r="L49" s="191">
        <f>I49*H49</f>
        <v>85050.06027479998</v>
      </c>
      <c r="M49" s="193"/>
      <c r="N49" s="170">
        <f>L49</f>
        <v>85050.06027479998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 x14ac:dyDescent="0.3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 x14ac:dyDescent="0.3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 t="shared" ref="E11:E40" si="0">D11-D10</f>
        <v>181</v>
      </c>
      <c r="F11" s="51">
        <v>12160348</v>
      </c>
      <c r="G11" s="50">
        <f t="shared" ref="G11:G40" si="1">F11-F10</f>
        <v>4890</v>
      </c>
      <c r="H11" s="51">
        <v>20772172</v>
      </c>
      <c r="I11" s="50">
        <f t="shared" ref="I11:I40" si="2">H11-H10</f>
        <v>12487</v>
      </c>
      <c r="J11" s="51">
        <v>9092599</v>
      </c>
      <c r="K11" s="50">
        <f t="shared" ref="K11:K40" si="3">J11-J10</f>
        <v>4562</v>
      </c>
    </row>
    <row r="12" spans="1:12" ht="19.5" x14ac:dyDescent="0.3">
      <c r="A12" s="59">
        <v>44777</v>
      </c>
      <c r="B12" s="116">
        <v>2560</v>
      </c>
      <c r="C12" s="115">
        <f t="shared" ref="C12:C30" si="4">B12-B11</f>
        <v>0</v>
      </c>
      <c r="D12" s="57">
        <v>159087</v>
      </c>
      <c r="E12" s="50">
        <f t="shared" si="0"/>
        <v>155</v>
      </c>
      <c r="F12" s="51">
        <v>12166599</v>
      </c>
      <c r="G12" s="50">
        <f t="shared" si="1"/>
        <v>6251</v>
      </c>
      <c r="H12" s="51">
        <v>20784020</v>
      </c>
      <c r="I12" s="50">
        <f t="shared" si="2"/>
        <v>11848</v>
      </c>
      <c r="J12" s="51">
        <v>9097096</v>
      </c>
      <c r="K12" s="50">
        <f t="shared" si="3"/>
        <v>4497</v>
      </c>
    </row>
    <row r="13" spans="1:12" ht="19.5" x14ac:dyDescent="0.3">
      <c r="A13" s="59">
        <v>44778</v>
      </c>
      <c r="B13" s="116">
        <v>2560</v>
      </c>
      <c r="C13" s="115">
        <f t="shared" si="4"/>
        <v>0</v>
      </c>
      <c r="D13" s="57">
        <v>159256</v>
      </c>
      <c r="E13" s="50">
        <f t="shared" si="0"/>
        <v>169</v>
      </c>
      <c r="F13" s="51">
        <v>12171877</v>
      </c>
      <c r="G13" s="50">
        <f t="shared" si="1"/>
        <v>5278</v>
      </c>
      <c r="H13" s="51">
        <v>20795470</v>
      </c>
      <c r="I13" s="50">
        <f t="shared" si="2"/>
        <v>11450</v>
      </c>
      <c r="J13" s="51">
        <v>9102036</v>
      </c>
      <c r="K13" s="50">
        <f t="shared" si="3"/>
        <v>4940</v>
      </c>
    </row>
    <row r="14" spans="1:12" ht="19.5" x14ac:dyDescent="0.3">
      <c r="A14" s="59">
        <v>44779</v>
      </c>
      <c r="B14" s="116">
        <v>2560</v>
      </c>
      <c r="C14" s="115">
        <f t="shared" si="4"/>
        <v>0</v>
      </c>
      <c r="D14" s="57">
        <v>159432</v>
      </c>
      <c r="E14" s="50">
        <f t="shared" si="0"/>
        <v>176</v>
      </c>
      <c r="F14" s="51">
        <v>12176932</v>
      </c>
      <c r="G14" s="50">
        <f t="shared" si="1"/>
        <v>5055</v>
      </c>
      <c r="H14" s="51">
        <v>20807009</v>
      </c>
      <c r="I14" s="50">
        <f t="shared" si="2"/>
        <v>11539</v>
      </c>
      <c r="J14" s="51">
        <v>9106968</v>
      </c>
      <c r="K14" s="50">
        <f t="shared" si="3"/>
        <v>4932</v>
      </c>
    </row>
    <row r="15" spans="1:12" ht="19.5" x14ac:dyDescent="0.3">
      <c r="A15" s="59">
        <v>44780</v>
      </c>
      <c r="B15" s="116">
        <v>2560</v>
      </c>
      <c r="C15" s="115">
        <f t="shared" si="4"/>
        <v>0</v>
      </c>
      <c r="D15" s="57">
        <v>159627.1</v>
      </c>
      <c r="E15" s="50">
        <f t="shared" si="0"/>
        <v>195.10000000000582</v>
      </c>
      <c r="F15" s="51">
        <v>12181499</v>
      </c>
      <c r="G15" s="50">
        <f t="shared" si="1"/>
        <v>4567</v>
      </c>
      <c r="H15" s="51">
        <v>20817516</v>
      </c>
      <c r="I15" s="50">
        <f t="shared" si="2"/>
        <v>10507</v>
      </c>
      <c r="J15" s="51">
        <v>9111406</v>
      </c>
      <c r="K15" s="50">
        <f t="shared" si="3"/>
        <v>4438</v>
      </c>
    </row>
    <row r="16" spans="1:12" ht="19.5" x14ac:dyDescent="0.3">
      <c r="A16" s="59">
        <v>44781</v>
      </c>
      <c r="B16" s="116">
        <v>2560</v>
      </c>
      <c r="C16" s="115">
        <f t="shared" si="4"/>
        <v>0</v>
      </c>
      <c r="D16" s="57">
        <v>159795.20000000001</v>
      </c>
      <c r="E16" s="50">
        <f t="shared" si="0"/>
        <v>168.10000000000582</v>
      </c>
      <c r="F16" s="51">
        <v>12186433</v>
      </c>
      <c r="G16" s="50">
        <f t="shared" si="1"/>
        <v>4934</v>
      </c>
      <c r="H16" s="51">
        <v>20827828</v>
      </c>
      <c r="I16" s="50">
        <f t="shared" si="2"/>
        <v>10312</v>
      </c>
      <c r="J16" s="51">
        <v>9115766</v>
      </c>
      <c r="K16" s="50">
        <f t="shared" si="3"/>
        <v>4360</v>
      </c>
    </row>
    <row r="17" spans="1:29" ht="19.5" x14ac:dyDescent="0.3">
      <c r="A17" s="59">
        <v>44782</v>
      </c>
      <c r="B17" s="116">
        <v>2560</v>
      </c>
      <c r="C17" s="115">
        <f t="shared" si="4"/>
        <v>0</v>
      </c>
      <c r="D17" s="57">
        <v>160015.1</v>
      </c>
      <c r="E17" s="50">
        <f t="shared" si="0"/>
        <v>219.89999999999418</v>
      </c>
      <c r="F17" s="51">
        <v>12191196</v>
      </c>
      <c r="G17" s="50">
        <f t="shared" si="1"/>
        <v>4763</v>
      </c>
      <c r="H17" s="51">
        <v>20838250</v>
      </c>
      <c r="I17" s="50">
        <f t="shared" si="2"/>
        <v>10422</v>
      </c>
      <c r="J17" s="51">
        <v>9120260</v>
      </c>
      <c r="K17" s="50">
        <f t="shared" si="3"/>
        <v>4494</v>
      </c>
    </row>
    <row r="18" spans="1:29" ht="19.5" x14ac:dyDescent="0.3">
      <c r="A18" s="59">
        <v>44783</v>
      </c>
      <c r="B18" s="116">
        <v>2560</v>
      </c>
      <c r="C18" s="115">
        <f t="shared" si="4"/>
        <v>0</v>
      </c>
      <c r="D18" s="57">
        <v>160183.4</v>
      </c>
      <c r="E18" s="50">
        <f t="shared" si="0"/>
        <v>168.29999999998836</v>
      </c>
      <c r="F18" s="51">
        <v>12196798</v>
      </c>
      <c r="G18" s="50">
        <f t="shared" si="1"/>
        <v>5602</v>
      </c>
      <c r="H18" s="51">
        <v>20848484</v>
      </c>
      <c r="I18" s="50">
        <f t="shared" si="2"/>
        <v>10234</v>
      </c>
      <c r="J18" s="51">
        <v>9124769</v>
      </c>
      <c r="K18" s="50">
        <f t="shared" si="3"/>
        <v>4509</v>
      </c>
    </row>
    <row r="19" spans="1:29" ht="19.5" x14ac:dyDescent="0.3">
      <c r="A19" s="59">
        <v>44784</v>
      </c>
      <c r="B19" s="116">
        <v>2560</v>
      </c>
      <c r="C19" s="115">
        <f t="shared" si="4"/>
        <v>0</v>
      </c>
      <c r="D19" s="57">
        <v>160386.1</v>
      </c>
      <c r="E19" s="50">
        <f t="shared" si="0"/>
        <v>202.70000000001164</v>
      </c>
      <c r="F19" s="51">
        <v>12202500</v>
      </c>
      <c r="G19" s="50">
        <f t="shared" si="1"/>
        <v>5702</v>
      </c>
      <c r="H19" s="51">
        <v>20858740</v>
      </c>
      <c r="I19" s="50">
        <f t="shared" si="2"/>
        <v>10256</v>
      </c>
      <c r="J19" s="51">
        <v>9129073</v>
      </c>
      <c r="K19" s="50">
        <f t="shared" si="3"/>
        <v>4304</v>
      </c>
    </row>
    <row r="20" spans="1:29" ht="25.5" x14ac:dyDescent="0.35">
      <c r="A20" s="59">
        <v>44785</v>
      </c>
      <c r="B20" s="116">
        <v>2560</v>
      </c>
      <c r="C20" s="115">
        <f t="shared" si="4"/>
        <v>0</v>
      </c>
      <c r="D20" s="57">
        <v>160583</v>
      </c>
      <c r="E20" s="50">
        <f t="shared" si="0"/>
        <v>196.89999999999418</v>
      </c>
      <c r="F20" s="51">
        <v>12208263</v>
      </c>
      <c r="G20" s="50">
        <f t="shared" si="1"/>
        <v>5763</v>
      </c>
      <c r="H20" s="51">
        <v>20868619</v>
      </c>
      <c r="I20" s="50">
        <f t="shared" si="2"/>
        <v>9879</v>
      </c>
      <c r="J20" s="51">
        <v>9133451</v>
      </c>
      <c r="K20" s="50">
        <f t="shared" si="3"/>
        <v>4378</v>
      </c>
      <c r="L20" s="117" t="s">
        <v>18</v>
      </c>
      <c r="AC20" t="s">
        <v>56</v>
      </c>
    </row>
    <row r="21" spans="1:29" ht="19.5" x14ac:dyDescent="0.3">
      <c r="A21" s="59">
        <v>44786</v>
      </c>
      <c r="B21" s="116">
        <v>2560</v>
      </c>
      <c r="C21" s="115">
        <f t="shared" si="4"/>
        <v>0</v>
      </c>
      <c r="D21" s="57">
        <v>160743.4</v>
      </c>
      <c r="E21" s="50">
        <f t="shared" si="0"/>
        <v>160.39999999999418</v>
      </c>
      <c r="F21" s="51">
        <v>12214990</v>
      </c>
      <c r="G21" s="50">
        <f t="shared" si="1"/>
        <v>6727</v>
      </c>
      <c r="H21" s="51">
        <v>20879177</v>
      </c>
      <c r="I21" s="50">
        <f t="shared" si="2"/>
        <v>10558</v>
      </c>
      <c r="J21" s="51">
        <v>9138111</v>
      </c>
      <c r="K21" s="50">
        <f t="shared" si="3"/>
        <v>4660</v>
      </c>
    </row>
    <row r="22" spans="1:29" ht="19.5" x14ac:dyDescent="0.3">
      <c r="A22" s="59">
        <v>44787</v>
      </c>
      <c r="B22" s="116">
        <v>2560</v>
      </c>
      <c r="C22" s="115">
        <f t="shared" si="4"/>
        <v>0</v>
      </c>
      <c r="D22" s="57">
        <v>160942.29999999999</v>
      </c>
      <c r="E22" s="50">
        <f t="shared" si="0"/>
        <v>198.89999999999418</v>
      </c>
      <c r="F22" s="51">
        <v>12221208</v>
      </c>
      <c r="G22" s="50">
        <f t="shared" si="1"/>
        <v>6218</v>
      </c>
      <c r="H22" s="51">
        <v>20889418</v>
      </c>
      <c r="I22" s="50">
        <f t="shared" si="2"/>
        <v>10241</v>
      </c>
      <c r="J22" s="51">
        <v>9142490</v>
      </c>
      <c r="K22" s="50">
        <f t="shared" si="3"/>
        <v>4379</v>
      </c>
    </row>
    <row r="23" spans="1:29" ht="19.5" x14ac:dyDescent="0.3">
      <c r="A23" s="59">
        <v>44788</v>
      </c>
      <c r="B23" s="116">
        <v>2560</v>
      </c>
      <c r="C23" s="115">
        <f t="shared" si="4"/>
        <v>0</v>
      </c>
      <c r="D23" s="57">
        <v>161095.20000000001</v>
      </c>
      <c r="E23" s="50">
        <f t="shared" si="0"/>
        <v>152.90000000002328</v>
      </c>
      <c r="F23" s="51">
        <v>12226766</v>
      </c>
      <c r="G23" s="50">
        <f t="shared" si="1"/>
        <v>5558</v>
      </c>
      <c r="H23" s="51">
        <v>20899869</v>
      </c>
      <c r="I23" s="50">
        <f t="shared" si="2"/>
        <v>10451</v>
      </c>
      <c r="J23" s="51">
        <v>9146711</v>
      </c>
      <c r="K23" s="50">
        <f t="shared" si="3"/>
        <v>4221</v>
      </c>
    </row>
    <row r="24" spans="1:29" ht="19.5" x14ac:dyDescent="0.3">
      <c r="A24" s="59">
        <v>44789</v>
      </c>
      <c r="B24" s="116">
        <v>2560</v>
      </c>
      <c r="C24" s="115">
        <f t="shared" si="4"/>
        <v>0</v>
      </c>
      <c r="D24" s="57">
        <v>161260.9</v>
      </c>
      <c r="E24" s="50">
        <f t="shared" si="0"/>
        <v>165.69999999998254</v>
      </c>
      <c r="F24" s="51">
        <v>12232471</v>
      </c>
      <c r="G24" s="50">
        <f t="shared" si="1"/>
        <v>5705</v>
      </c>
      <c r="H24" s="51">
        <v>20909961</v>
      </c>
      <c r="I24" s="50">
        <f t="shared" si="2"/>
        <v>10092</v>
      </c>
      <c r="J24" s="51">
        <v>9151133</v>
      </c>
      <c r="K24" s="50">
        <f t="shared" si="3"/>
        <v>4422</v>
      </c>
    </row>
    <row r="25" spans="1:29" ht="19.5" x14ac:dyDescent="0.3">
      <c r="A25" s="59">
        <v>44790</v>
      </c>
      <c r="B25" s="116">
        <v>2560</v>
      </c>
      <c r="C25" s="115">
        <f t="shared" si="4"/>
        <v>0</v>
      </c>
      <c r="D25" s="57">
        <v>161421.29999999999</v>
      </c>
      <c r="E25" s="50">
        <f t="shared" si="0"/>
        <v>160.39999999999418</v>
      </c>
      <c r="F25" s="51">
        <v>12237864</v>
      </c>
      <c r="G25" s="50">
        <f t="shared" si="1"/>
        <v>5393</v>
      </c>
      <c r="H25" s="51">
        <v>20920243</v>
      </c>
      <c r="I25" s="50">
        <f t="shared" si="2"/>
        <v>10282</v>
      </c>
      <c r="J25" s="51">
        <v>9155509</v>
      </c>
      <c r="K25" s="50">
        <f t="shared" si="3"/>
        <v>4376</v>
      </c>
    </row>
    <row r="26" spans="1:29" ht="19.5" x14ac:dyDescent="0.3">
      <c r="A26" s="59">
        <v>44791</v>
      </c>
      <c r="B26" s="116">
        <v>2560</v>
      </c>
      <c r="C26" s="115">
        <f t="shared" si="4"/>
        <v>0</v>
      </c>
      <c r="D26" s="57">
        <v>161587.9</v>
      </c>
      <c r="E26" s="50">
        <f t="shared" si="0"/>
        <v>166.60000000000582</v>
      </c>
      <c r="F26" s="51">
        <v>12242456</v>
      </c>
      <c r="G26" s="50">
        <f t="shared" si="1"/>
        <v>4592</v>
      </c>
      <c r="H26" s="51">
        <v>20930579</v>
      </c>
      <c r="I26" s="50">
        <f t="shared" si="2"/>
        <v>10336</v>
      </c>
      <c r="J26" s="51">
        <v>9159421</v>
      </c>
      <c r="K26" s="50">
        <f t="shared" si="3"/>
        <v>3912</v>
      </c>
    </row>
    <row r="27" spans="1:29" ht="19.5" x14ac:dyDescent="0.3">
      <c r="A27" s="59">
        <v>44792</v>
      </c>
      <c r="B27" s="116">
        <v>2560</v>
      </c>
      <c r="C27" s="115">
        <f t="shared" si="4"/>
        <v>0</v>
      </c>
      <c r="D27" s="57">
        <v>161739.70000000001</v>
      </c>
      <c r="E27" s="50">
        <f t="shared" si="0"/>
        <v>151.80000000001746</v>
      </c>
      <c r="F27" s="51">
        <v>12247451</v>
      </c>
      <c r="G27" s="50">
        <f t="shared" si="1"/>
        <v>4995</v>
      </c>
      <c r="H27" s="51">
        <v>20939360</v>
      </c>
      <c r="I27" s="50">
        <f t="shared" si="2"/>
        <v>8781</v>
      </c>
      <c r="J27" s="51">
        <v>9163313</v>
      </c>
      <c r="K27" s="50">
        <f t="shared" si="3"/>
        <v>3892</v>
      </c>
    </row>
    <row r="28" spans="1:29" ht="19.5" x14ac:dyDescent="0.3">
      <c r="A28" s="59">
        <v>44793</v>
      </c>
      <c r="B28" s="116">
        <v>2560</v>
      </c>
      <c r="C28" s="115">
        <f t="shared" si="4"/>
        <v>0</v>
      </c>
      <c r="D28" s="57">
        <v>161903.70000000001</v>
      </c>
      <c r="E28" s="50">
        <f t="shared" si="0"/>
        <v>164</v>
      </c>
      <c r="F28" s="51">
        <v>12252704</v>
      </c>
      <c r="G28" s="50">
        <f t="shared" si="1"/>
        <v>5253</v>
      </c>
      <c r="H28" s="51">
        <v>20948799</v>
      </c>
      <c r="I28" s="50">
        <f t="shared" si="2"/>
        <v>9439</v>
      </c>
      <c r="J28" s="51">
        <v>9167462</v>
      </c>
      <c r="K28" s="50">
        <f t="shared" si="3"/>
        <v>4149</v>
      </c>
    </row>
    <row r="29" spans="1:29" ht="19.5" x14ac:dyDescent="0.3">
      <c r="A29" s="59">
        <v>44794</v>
      </c>
      <c r="B29" s="116">
        <v>2560</v>
      </c>
      <c r="C29" s="115">
        <f t="shared" si="4"/>
        <v>0</v>
      </c>
      <c r="D29" s="57">
        <v>162092</v>
      </c>
      <c r="E29" s="50">
        <f t="shared" si="0"/>
        <v>188.29999999998836</v>
      </c>
      <c r="F29" s="51">
        <v>12259991</v>
      </c>
      <c r="G29" s="50">
        <f t="shared" si="1"/>
        <v>7287</v>
      </c>
      <c r="H29" s="51">
        <v>20960792</v>
      </c>
      <c r="I29" s="50">
        <f t="shared" si="2"/>
        <v>11993</v>
      </c>
      <c r="J29" s="51">
        <v>9172842</v>
      </c>
      <c r="K29" s="50">
        <f t="shared" si="3"/>
        <v>5380</v>
      </c>
    </row>
    <row r="30" spans="1:29" ht="19.5" x14ac:dyDescent="0.3">
      <c r="A30" s="59">
        <v>44795</v>
      </c>
      <c r="B30" s="116">
        <v>2560</v>
      </c>
      <c r="C30" s="115">
        <f t="shared" si="4"/>
        <v>0</v>
      </c>
      <c r="D30" s="57">
        <v>162264.20000000001</v>
      </c>
      <c r="E30" s="50">
        <f t="shared" si="0"/>
        <v>172.20000000001164</v>
      </c>
      <c r="F30" s="51">
        <v>12267185</v>
      </c>
      <c r="G30" s="50">
        <f t="shared" si="1"/>
        <v>7194</v>
      </c>
      <c r="H30" s="51">
        <v>20971508</v>
      </c>
      <c r="I30" s="50">
        <f t="shared" si="2"/>
        <v>10716</v>
      </c>
      <c r="J30" s="51">
        <v>9177596</v>
      </c>
      <c r="K30" s="50">
        <f t="shared" si="3"/>
        <v>4754</v>
      </c>
    </row>
    <row r="31" spans="1:29" ht="19.5" x14ac:dyDescent="0.3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0"/>
        <v>160.5</v>
      </c>
      <c r="F31" s="51">
        <v>12272744</v>
      </c>
      <c r="G31" s="50">
        <f t="shared" si="1"/>
        <v>5559</v>
      </c>
      <c r="H31" s="51">
        <v>20982257</v>
      </c>
      <c r="I31" s="50">
        <f t="shared" si="2"/>
        <v>10749</v>
      </c>
      <c r="J31" s="51">
        <v>9182128</v>
      </c>
      <c r="K31" s="50">
        <f t="shared" si="3"/>
        <v>4532</v>
      </c>
    </row>
    <row r="32" spans="1:29" ht="19.5" x14ac:dyDescent="0.3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0"/>
        <v>152.79999999998836</v>
      </c>
      <c r="F32" s="51">
        <v>12278327</v>
      </c>
      <c r="G32" s="50">
        <f t="shared" si="1"/>
        <v>5583</v>
      </c>
      <c r="H32" s="51">
        <v>20993019</v>
      </c>
      <c r="I32" s="50">
        <f t="shared" si="2"/>
        <v>10762</v>
      </c>
      <c r="J32" s="51">
        <v>9186837</v>
      </c>
      <c r="K32" s="50">
        <f t="shared" si="3"/>
        <v>4709</v>
      </c>
    </row>
    <row r="33" spans="1:11" ht="19.5" x14ac:dyDescent="0.3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0"/>
        <v>134.5</v>
      </c>
      <c r="F33" s="51">
        <v>12283700</v>
      </c>
      <c r="G33" s="50">
        <f t="shared" si="1"/>
        <v>5373</v>
      </c>
      <c r="H33" s="51">
        <v>21003308</v>
      </c>
      <c r="I33" s="50">
        <f t="shared" si="2"/>
        <v>10289</v>
      </c>
      <c r="J33" s="51">
        <v>9191542</v>
      </c>
      <c r="K33" s="50">
        <f t="shared" si="3"/>
        <v>4705</v>
      </c>
    </row>
    <row r="34" spans="1:11" ht="19.5" x14ac:dyDescent="0.3">
      <c r="A34" s="59">
        <v>44799</v>
      </c>
      <c r="B34" s="116">
        <v>2560</v>
      </c>
      <c r="C34" s="115">
        <f>B34-B33</f>
        <v>0</v>
      </c>
      <c r="D34" s="57">
        <v>162902</v>
      </c>
      <c r="E34" s="50">
        <f t="shared" si="0"/>
        <v>190</v>
      </c>
      <c r="F34" s="51">
        <v>12289555</v>
      </c>
      <c r="G34" s="50">
        <f t="shared" si="1"/>
        <v>5855</v>
      </c>
      <c r="H34" s="51">
        <v>21012913</v>
      </c>
      <c r="I34" s="50">
        <f t="shared" si="2"/>
        <v>9605</v>
      </c>
      <c r="J34" s="51">
        <v>9195338</v>
      </c>
      <c r="K34" s="50">
        <f t="shared" si="3"/>
        <v>3796</v>
      </c>
    </row>
    <row r="35" spans="1:11" ht="19.5" x14ac:dyDescent="0.3">
      <c r="A35" s="59">
        <v>44800</v>
      </c>
      <c r="B35" s="116">
        <v>2560</v>
      </c>
      <c r="C35" s="115">
        <f t="shared" ref="C35:C40" si="5">B35-B34</f>
        <v>0</v>
      </c>
      <c r="D35" s="57">
        <v>163053</v>
      </c>
      <c r="E35" s="50">
        <f t="shared" si="0"/>
        <v>151</v>
      </c>
      <c r="F35" s="51">
        <v>12294187</v>
      </c>
      <c r="G35" s="50">
        <f t="shared" si="1"/>
        <v>4632</v>
      </c>
      <c r="H35" s="51">
        <v>21022678</v>
      </c>
      <c r="I35" s="50">
        <f t="shared" si="2"/>
        <v>9765</v>
      </c>
      <c r="J35" s="51">
        <v>9199226</v>
      </c>
      <c r="K35" s="50">
        <f t="shared" si="3"/>
        <v>3888</v>
      </c>
    </row>
    <row r="36" spans="1:11" ht="19.5" x14ac:dyDescent="0.3">
      <c r="A36" s="59">
        <v>44801</v>
      </c>
      <c r="B36" s="116">
        <v>2560</v>
      </c>
      <c r="C36" s="115">
        <f t="shared" si="5"/>
        <v>0</v>
      </c>
      <c r="D36" s="57">
        <v>163211</v>
      </c>
      <c r="E36" s="50">
        <f t="shared" si="0"/>
        <v>158</v>
      </c>
      <c r="F36" s="51">
        <v>12298930</v>
      </c>
      <c r="G36" s="50">
        <f t="shared" si="1"/>
        <v>4743</v>
      </c>
      <c r="H36" s="51">
        <v>21031425</v>
      </c>
      <c r="I36" s="50">
        <f t="shared" si="2"/>
        <v>8747</v>
      </c>
      <c r="J36" s="51">
        <v>9202867</v>
      </c>
      <c r="K36" s="50">
        <f t="shared" si="3"/>
        <v>3641</v>
      </c>
    </row>
    <row r="37" spans="1:11" ht="19.5" x14ac:dyDescent="0.3">
      <c r="A37" s="59">
        <v>44802</v>
      </c>
      <c r="B37" s="116">
        <v>2560</v>
      </c>
      <c r="C37" s="115">
        <f t="shared" si="5"/>
        <v>0</v>
      </c>
      <c r="D37" s="57">
        <v>163362</v>
      </c>
      <c r="E37" s="50">
        <f t="shared" si="0"/>
        <v>151</v>
      </c>
      <c r="F37" s="51">
        <v>12303447</v>
      </c>
      <c r="G37" s="50">
        <f t="shared" si="1"/>
        <v>4517</v>
      </c>
      <c r="H37" s="51">
        <v>21040257</v>
      </c>
      <c r="I37" s="50">
        <f t="shared" si="2"/>
        <v>8832</v>
      </c>
      <c r="J37" s="51">
        <v>9206422</v>
      </c>
      <c r="K37" s="50">
        <f t="shared" si="3"/>
        <v>3555</v>
      </c>
    </row>
    <row r="38" spans="1:11" ht="19.5" x14ac:dyDescent="0.3">
      <c r="A38" s="59">
        <v>44803</v>
      </c>
      <c r="B38" s="116">
        <v>2560</v>
      </c>
      <c r="C38" s="115">
        <f t="shared" si="5"/>
        <v>0</v>
      </c>
      <c r="D38" s="57">
        <v>163519</v>
      </c>
      <c r="E38" s="50">
        <f t="shared" si="0"/>
        <v>157</v>
      </c>
      <c r="F38" s="51">
        <v>12308470</v>
      </c>
      <c r="G38" s="50">
        <f t="shared" si="1"/>
        <v>5023</v>
      </c>
      <c r="H38" s="51">
        <v>21050706</v>
      </c>
      <c r="I38" s="50">
        <f t="shared" si="2"/>
        <v>10449</v>
      </c>
      <c r="J38" s="51">
        <v>9210773</v>
      </c>
      <c r="K38" s="50">
        <f t="shared" si="3"/>
        <v>4351</v>
      </c>
    </row>
    <row r="39" spans="1:11" ht="19.5" x14ac:dyDescent="0.3">
      <c r="A39" s="59">
        <v>44804</v>
      </c>
      <c r="B39" s="116">
        <v>2560</v>
      </c>
      <c r="C39" s="115">
        <f t="shared" si="5"/>
        <v>0</v>
      </c>
      <c r="D39" s="57">
        <v>163654.9</v>
      </c>
      <c r="E39" s="50">
        <f t="shared" si="0"/>
        <v>135.89999999999418</v>
      </c>
      <c r="F39" s="51">
        <v>12312661</v>
      </c>
      <c r="G39" s="50">
        <f t="shared" si="1"/>
        <v>4191</v>
      </c>
      <c r="H39" s="51">
        <v>21060910</v>
      </c>
      <c r="I39" s="50">
        <f t="shared" si="2"/>
        <v>10204</v>
      </c>
      <c r="J39" s="51">
        <v>9214823</v>
      </c>
      <c r="K39" s="50">
        <f t="shared" si="3"/>
        <v>4050</v>
      </c>
    </row>
    <row r="40" spans="1:11" ht="19.5" x14ac:dyDescent="0.3">
      <c r="A40" s="59">
        <v>44805</v>
      </c>
      <c r="B40" s="116">
        <v>2560</v>
      </c>
      <c r="C40" s="115">
        <f t="shared" si="5"/>
        <v>0</v>
      </c>
      <c r="D40" s="57">
        <v>163792.4</v>
      </c>
      <c r="E40" s="50">
        <f t="shared" si="0"/>
        <v>137.5</v>
      </c>
      <c r="F40" s="51">
        <v>12318161</v>
      </c>
      <c r="G40" s="50">
        <f t="shared" si="1"/>
        <v>5500</v>
      </c>
      <c r="H40" s="51">
        <v>21070927</v>
      </c>
      <c r="I40" s="50">
        <f t="shared" si="2"/>
        <v>10017</v>
      </c>
      <c r="J40" s="51">
        <v>9218960</v>
      </c>
      <c r="K40" s="50">
        <f t="shared" si="3"/>
        <v>4137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8">
        <f t="shared" ref="M4:M7" si="3">6049*4</f>
        <v>24196</v>
      </c>
      <c r="N4" s="39">
        <f>L4*M4/100</f>
        <v>302.45</v>
      </c>
      <c r="O4" s="166">
        <f>N4*0.529</f>
        <v>159.99605</v>
      </c>
      <c r="P4" s="42">
        <f>O4*12.84</f>
        <v>2054.3492820000001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44775</v>
      </c>
      <c r="B5" s="41">
        <v>70</v>
      </c>
      <c r="C5" s="39">
        <f t="shared" ref="C5:C35" si="7">IF(AC5&gt;0,((B5-R5)+(S5-B6)),IF(B6=0, ,(B5-B6)))</f>
        <v>0</v>
      </c>
      <c r="D5" s="41">
        <v>70</v>
      </c>
      <c r="E5" s="39">
        <f t="shared" ref="E5:E35" si="8">IF(AC5&gt;0,((D5-U5)+(V5-D6)),IF(D6=0, ,(D5-D6)))</f>
        <v>2</v>
      </c>
      <c r="F5" s="41">
        <v>71</v>
      </c>
      <c r="G5" s="39">
        <f t="shared" ref="G5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8">
        <f t="shared" si="3"/>
        <v>24196</v>
      </c>
      <c r="N5" s="39">
        <f>L5*M5/100</f>
        <v>241.96</v>
      </c>
      <c r="O5" s="166">
        <f t="shared" ref="O5:O34" si="10">N5*0.529</f>
        <v>127.99684000000001</v>
      </c>
      <c r="P5" s="42">
        <f t="shared" ref="P5:P34" si="11">O5*12.84</f>
        <v>1643.4794256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2">IF(AC6&gt;0,((H6-AA6)+(AB6-H7)),IF(H7=0, ,(H6-H7)))</f>
        <v>0</v>
      </c>
      <c r="J6" s="39">
        <f t="shared" ref="J6:J42" si="13">B6+D6+F6+H6</f>
        <v>277</v>
      </c>
      <c r="K6" s="39">
        <f t="shared" ref="K6:K42" si="14">J6/4</f>
        <v>69.25</v>
      </c>
      <c r="L6" s="39">
        <f t="shared" ref="L6:L19" si="15">IF(AC6&gt;0,((K6-AD6)+(AE6-K7)),IF(K7=0, ,(K6-K7)))</f>
        <v>1</v>
      </c>
      <c r="M6" s="148">
        <f t="shared" si="3"/>
        <v>24196</v>
      </c>
      <c r="N6" s="39">
        <f t="shared" ref="N6:N42" si="16">L6*M6/100</f>
        <v>241.96</v>
      </c>
      <c r="O6" s="166">
        <f t="shared" si="10"/>
        <v>127.99684000000001</v>
      </c>
      <c r="P6" s="42">
        <f t="shared" si="11"/>
        <v>1643.4794256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2"/>
        <v>1</v>
      </c>
      <c r="J7" s="39">
        <f t="shared" si="13"/>
        <v>273</v>
      </c>
      <c r="K7" s="39">
        <f t="shared" si="14"/>
        <v>68.25</v>
      </c>
      <c r="L7" s="39">
        <f t="shared" si="15"/>
        <v>1.75</v>
      </c>
      <c r="M7" s="148">
        <f t="shared" si="3"/>
        <v>24196</v>
      </c>
      <c r="N7" s="39">
        <f t="shared" si="16"/>
        <v>423.43</v>
      </c>
      <c r="O7" s="166">
        <f t="shared" si="10"/>
        <v>223.99447000000001</v>
      </c>
      <c r="P7" s="42">
        <f t="shared" si="11"/>
        <v>2876.0889947999999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2"/>
        <v>2</v>
      </c>
      <c r="J8" s="39">
        <f t="shared" si="13"/>
        <v>266</v>
      </c>
      <c r="K8" s="39">
        <f t="shared" si="14"/>
        <v>66.5</v>
      </c>
      <c r="L8" s="39">
        <f t="shared" si="15"/>
        <v>2.25</v>
      </c>
      <c r="M8" s="148">
        <f>6049*4</f>
        <v>24196</v>
      </c>
      <c r="N8" s="39">
        <f t="shared" si="16"/>
        <v>544.41</v>
      </c>
      <c r="O8" s="166">
        <f t="shared" si="10"/>
        <v>287.99288999999999</v>
      </c>
      <c r="P8" s="42">
        <f t="shared" si="11"/>
        <v>3697.8287075999997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2"/>
        <v>1</v>
      </c>
      <c r="J9" s="39">
        <f t="shared" si="13"/>
        <v>257</v>
      </c>
      <c r="K9" s="39">
        <f t="shared" si="14"/>
        <v>64.25</v>
      </c>
      <c r="L9" s="39">
        <f t="shared" si="15"/>
        <v>1.25</v>
      </c>
      <c r="M9" s="148">
        <f t="shared" ref="M9:M42" si="17">6049*4</f>
        <v>24196</v>
      </c>
      <c r="N9" s="39">
        <f t="shared" si="16"/>
        <v>302.45</v>
      </c>
      <c r="O9" s="166">
        <f t="shared" si="10"/>
        <v>159.99605</v>
      </c>
      <c r="P9" s="42">
        <f t="shared" si="11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2"/>
        <v>4</v>
      </c>
      <c r="J10" s="39">
        <f t="shared" si="13"/>
        <v>252</v>
      </c>
      <c r="K10" s="39">
        <f t="shared" si="14"/>
        <v>63</v>
      </c>
      <c r="L10" s="39">
        <f t="shared" si="15"/>
        <v>2.25</v>
      </c>
      <c r="M10" s="148">
        <f t="shared" si="17"/>
        <v>24196</v>
      </c>
      <c r="N10" s="39">
        <f t="shared" si="16"/>
        <v>544.41</v>
      </c>
      <c r="O10" s="166">
        <f t="shared" si="10"/>
        <v>287.99288999999999</v>
      </c>
      <c r="P10" s="42">
        <f t="shared" si="11"/>
        <v>3697.8287075999997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2"/>
        <v>1</v>
      </c>
      <c r="J11" s="39">
        <f t="shared" si="13"/>
        <v>243</v>
      </c>
      <c r="K11" s="39">
        <f t="shared" si="14"/>
        <v>60.75</v>
      </c>
      <c r="L11" s="39">
        <f t="shared" si="15"/>
        <v>1</v>
      </c>
      <c r="M11" s="148">
        <f t="shared" si="17"/>
        <v>24196</v>
      </c>
      <c r="N11" s="39">
        <f t="shared" si="16"/>
        <v>241.96</v>
      </c>
      <c r="O11" s="166">
        <f t="shared" si="10"/>
        <v>127.99684000000001</v>
      </c>
      <c r="P11" s="42">
        <f t="shared" si="11"/>
        <v>1643.4794256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2"/>
        <v>0</v>
      </c>
      <c r="J12" s="39">
        <f t="shared" si="13"/>
        <v>239</v>
      </c>
      <c r="K12" s="39">
        <f t="shared" si="14"/>
        <v>59.75</v>
      </c>
      <c r="L12" s="39">
        <f t="shared" si="15"/>
        <v>1.5</v>
      </c>
      <c r="M12" s="148">
        <f t="shared" si="17"/>
        <v>24196</v>
      </c>
      <c r="N12" s="39">
        <f t="shared" si="16"/>
        <v>362.94</v>
      </c>
      <c r="O12" s="166">
        <f t="shared" si="10"/>
        <v>191.99526</v>
      </c>
      <c r="P12" s="42">
        <f t="shared" si="11"/>
        <v>2465.2191383999998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2"/>
        <v>0</v>
      </c>
      <c r="J13" s="39">
        <f t="shared" si="13"/>
        <v>233</v>
      </c>
      <c r="K13" s="39">
        <f t="shared" si="14"/>
        <v>58.25</v>
      </c>
      <c r="L13" s="39">
        <f t="shared" si="15"/>
        <v>0.75</v>
      </c>
      <c r="M13" s="148">
        <f t="shared" si="17"/>
        <v>24196</v>
      </c>
      <c r="N13" s="39">
        <f t="shared" si="16"/>
        <v>181.47</v>
      </c>
      <c r="O13" s="166">
        <f t="shared" si="10"/>
        <v>95.997630000000001</v>
      </c>
      <c r="P13" s="42">
        <f t="shared" si="11"/>
        <v>1232.6095691999999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 x14ac:dyDescent="0.3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3"/>
        <v>340</v>
      </c>
      <c r="K14" s="39">
        <f t="shared" si="14"/>
        <v>85</v>
      </c>
      <c r="L14" s="39">
        <f t="shared" si="15"/>
        <v>1.25</v>
      </c>
      <c r="M14" s="148">
        <f t="shared" si="17"/>
        <v>24196</v>
      </c>
      <c r="N14" s="39">
        <f t="shared" si="16"/>
        <v>302.45</v>
      </c>
      <c r="O14" s="166">
        <f t="shared" si="10"/>
        <v>159.99605</v>
      </c>
      <c r="P14" s="42">
        <f t="shared" si="11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3"/>
        <v>335</v>
      </c>
      <c r="K15" s="39">
        <f t="shared" si="14"/>
        <v>83.75</v>
      </c>
      <c r="L15" s="39">
        <f t="shared" si="15"/>
        <v>2.75</v>
      </c>
      <c r="M15" s="148">
        <f t="shared" si="17"/>
        <v>24196</v>
      </c>
      <c r="N15" s="39">
        <f t="shared" si="16"/>
        <v>665.39</v>
      </c>
      <c r="O15" s="166">
        <f t="shared" si="10"/>
        <v>351.99131</v>
      </c>
      <c r="P15" s="42">
        <f t="shared" si="11"/>
        <v>4519.5684203999999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2"/>
        <v>1</v>
      </c>
      <c r="J16" s="39">
        <f t="shared" si="13"/>
        <v>324</v>
      </c>
      <c r="K16" s="39">
        <f t="shared" si="14"/>
        <v>81</v>
      </c>
      <c r="L16" s="39">
        <f t="shared" si="15"/>
        <v>0.75</v>
      </c>
      <c r="M16" s="148">
        <f t="shared" si="17"/>
        <v>24196</v>
      </c>
      <c r="N16" s="39">
        <f t="shared" si="16"/>
        <v>181.47</v>
      </c>
      <c r="O16" s="166">
        <f t="shared" si="10"/>
        <v>95.997630000000001</v>
      </c>
      <c r="P16" s="42">
        <f t="shared" si="11"/>
        <v>1232.6095691999999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2"/>
        <v>1</v>
      </c>
      <c r="J17" s="39">
        <f t="shared" si="13"/>
        <v>321</v>
      </c>
      <c r="K17" s="39">
        <f t="shared" si="14"/>
        <v>80.25</v>
      </c>
      <c r="L17" s="39">
        <f t="shared" si="15"/>
        <v>0.5</v>
      </c>
      <c r="M17" s="148">
        <f t="shared" si="17"/>
        <v>24196</v>
      </c>
      <c r="N17" s="39">
        <f t="shared" si="16"/>
        <v>120.98</v>
      </c>
      <c r="O17" s="166">
        <f t="shared" si="10"/>
        <v>63.998420000000003</v>
      </c>
      <c r="P17" s="42">
        <f t="shared" si="11"/>
        <v>821.73971280000001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2"/>
        <v>2</v>
      </c>
      <c r="J18" s="39">
        <f t="shared" si="13"/>
        <v>319</v>
      </c>
      <c r="K18" s="39">
        <f t="shared" si="14"/>
        <v>79.75</v>
      </c>
      <c r="L18" s="39">
        <f t="shared" si="15"/>
        <v>1.25</v>
      </c>
      <c r="M18" s="148">
        <f t="shared" si="17"/>
        <v>24196</v>
      </c>
      <c r="N18" s="39">
        <f t="shared" si="16"/>
        <v>302.45</v>
      </c>
      <c r="O18" s="166">
        <f t="shared" si="10"/>
        <v>159.99605</v>
      </c>
      <c r="P18" s="42">
        <f t="shared" si="11"/>
        <v>2054.3492820000001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2"/>
        <v>2</v>
      </c>
      <c r="J19" s="39">
        <f t="shared" si="13"/>
        <v>314</v>
      </c>
      <c r="K19" s="39">
        <f t="shared" si="14"/>
        <v>78.5</v>
      </c>
      <c r="L19" s="39">
        <f t="shared" si="15"/>
        <v>3</v>
      </c>
      <c r="M19" s="148">
        <f t="shared" si="17"/>
        <v>24196</v>
      </c>
      <c r="N19" s="39">
        <f t="shared" si="16"/>
        <v>725.88</v>
      </c>
      <c r="O19" s="166">
        <f t="shared" si="10"/>
        <v>383.99052</v>
      </c>
      <c r="P19" s="42">
        <f t="shared" si="11"/>
        <v>4930.4382767999996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2"/>
        <v>0</v>
      </c>
      <c r="J20" s="39">
        <f t="shared" si="13"/>
        <v>302</v>
      </c>
      <c r="K20" s="39">
        <f t="shared" si="14"/>
        <v>75.5</v>
      </c>
      <c r="L20" s="39">
        <f t="shared" ref="L20:L42" si="18">IF(AC20&gt;0,((K20-AD20)+(AE20-K21)),IF(K21=0, ,(K20-K21)))</f>
        <v>0.75</v>
      </c>
      <c r="M20" s="148">
        <f t="shared" si="17"/>
        <v>24196</v>
      </c>
      <c r="N20" s="39">
        <f t="shared" si="16"/>
        <v>181.47</v>
      </c>
      <c r="O20" s="166">
        <f t="shared" si="10"/>
        <v>95.997630000000001</v>
      </c>
      <c r="P20" s="42">
        <f t="shared" si="11"/>
        <v>1232.6095691999999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2"/>
        <v>2</v>
      </c>
      <c r="J21" s="39">
        <f t="shared" si="13"/>
        <v>299</v>
      </c>
      <c r="K21" s="39">
        <f t="shared" si="14"/>
        <v>74.75</v>
      </c>
      <c r="L21" s="39">
        <f>IF(AC21&gt;0,((K21-AD21)+(AE21-K22)),IF(K22=0, ,(K21-K22)))</f>
        <v>2.25</v>
      </c>
      <c r="M21" s="148">
        <f t="shared" si="17"/>
        <v>24196</v>
      </c>
      <c r="N21" s="39">
        <f t="shared" si="16"/>
        <v>544.41</v>
      </c>
      <c r="O21" s="166">
        <f t="shared" si="10"/>
        <v>287.99288999999999</v>
      </c>
      <c r="P21" s="42">
        <f t="shared" si="11"/>
        <v>3697.8287075999997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2"/>
        <v>4</v>
      </c>
      <c r="J22" s="39">
        <f t="shared" si="13"/>
        <v>290</v>
      </c>
      <c r="K22" s="39">
        <f t="shared" si="14"/>
        <v>72.5</v>
      </c>
      <c r="L22" s="39">
        <f>IF(AC22&gt;0,((K22-AD22)+(AE22-K23)),IF(K23=0, ,(K22-K23)))</f>
        <v>2.25</v>
      </c>
      <c r="M22" s="148">
        <f t="shared" si="17"/>
        <v>24196</v>
      </c>
      <c r="N22" s="39">
        <f t="shared" si="16"/>
        <v>544.41</v>
      </c>
      <c r="O22" s="166">
        <f t="shared" si="10"/>
        <v>287.99288999999999</v>
      </c>
      <c r="P22" s="42">
        <f t="shared" si="11"/>
        <v>3697.8287075999997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2"/>
        <v>1</v>
      </c>
      <c r="J23" s="39">
        <f t="shared" si="13"/>
        <v>281</v>
      </c>
      <c r="K23" s="39">
        <f t="shared" si="14"/>
        <v>70.25</v>
      </c>
      <c r="L23" s="39">
        <f t="shared" si="18"/>
        <v>1.75</v>
      </c>
      <c r="M23" s="148">
        <f t="shared" si="17"/>
        <v>24196</v>
      </c>
      <c r="N23" s="39">
        <f t="shared" si="16"/>
        <v>423.43</v>
      </c>
      <c r="O23" s="166">
        <f t="shared" si="10"/>
        <v>223.99447000000001</v>
      </c>
      <c r="P23" s="42">
        <f t="shared" si="11"/>
        <v>2876.0889947999999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2"/>
        <v>2</v>
      </c>
      <c r="J24" s="39">
        <f t="shared" si="13"/>
        <v>274</v>
      </c>
      <c r="K24" s="39">
        <f t="shared" si="14"/>
        <v>68.5</v>
      </c>
      <c r="L24" s="39">
        <f t="shared" si="18"/>
        <v>1.75</v>
      </c>
      <c r="M24" s="148">
        <f t="shared" si="17"/>
        <v>24196</v>
      </c>
      <c r="N24" s="39">
        <f t="shared" si="16"/>
        <v>423.43</v>
      </c>
      <c r="O24" s="166">
        <f t="shared" si="10"/>
        <v>223.99447000000001</v>
      </c>
      <c r="P24" s="42">
        <f t="shared" si="11"/>
        <v>2876.0889947999999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2"/>
        <v>1</v>
      </c>
      <c r="J25" s="39">
        <f t="shared" si="13"/>
        <v>267</v>
      </c>
      <c r="K25" s="39">
        <f t="shared" si="14"/>
        <v>66.75</v>
      </c>
      <c r="L25" s="39">
        <f t="shared" si="18"/>
        <v>1.5</v>
      </c>
      <c r="M25" s="148">
        <f t="shared" si="17"/>
        <v>24196</v>
      </c>
      <c r="N25" s="39">
        <f t="shared" si="16"/>
        <v>362.94</v>
      </c>
      <c r="O25" s="166">
        <f t="shared" si="10"/>
        <v>191.99526</v>
      </c>
      <c r="P25" s="42">
        <f t="shared" si="11"/>
        <v>2465.2191383999998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2"/>
        <v>1</v>
      </c>
      <c r="J26" s="39">
        <f t="shared" si="13"/>
        <v>261</v>
      </c>
      <c r="K26" s="39">
        <f t="shared" si="14"/>
        <v>65.25</v>
      </c>
      <c r="L26" s="39">
        <f t="shared" si="18"/>
        <v>1.75</v>
      </c>
      <c r="M26" s="148">
        <f t="shared" si="17"/>
        <v>24196</v>
      </c>
      <c r="N26" s="39">
        <f t="shared" si="16"/>
        <v>423.43</v>
      </c>
      <c r="O26" s="166">
        <f t="shared" si="10"/>
        <v>223.99447000000001</v>
      </c>
      <c r="P26" s="42">
        <f t="shared" si="11"/>
        <v>2876.0889947999999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2"/>
        <v>1</v>
      </c>
      <c r="J27" s="39">
        <f t="shared" si="13"/>
        <v>254</v>
      </c>
      <c r="K27" s="39">
        <f t="shared" si="14"/>
        <v>63.5</v>
      </c>
      <c r="L27" s="39">
        <f t="shared" si="18"/>
        <v>2.25</v>
      </c>
      <c r="M27" s="148">
        <f t="shared" si="17"/>
        <v>24196</v>
      </c>
      <c r="N27" s="39">
        <f t="shared" si="16"/>
        <v>544.41</v>
      </c>
      <c r="O27" s="166">
        <f t="shared" si="10"/>
        <v>287.99288999999999</v>
      </c>
      <c r="P27" s="42">
        <f t="shared" si="11"/>
        <v>3697.8287075999997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44798</v>
      </c>
      <c r="B28" s="41">
        <v>60</v>
      </c>
      <c r="C28" s="39">
        <f t="shared" si="7"/>
        <v>1</v>
      </c>
      <c r="D28" s="41">
        <v>60</v>
      </c>
      <c r="E28" s="39">
        <f t="shared" si="8"/>
        <v>1</v>
      </c>
      <c r="F28" s="41">
        <v>61</v>
      </c>
      <c r="G28" s="39">
        <f t="shared" si="9"/>
        <v>1</v>
      </c>
      <c r="H28" s="41">
        <v>64</v>
      </c>
      <c r="I28" s="39">
        <f>IF(AC28&gt;0,((H28-AA28)+(AB28-H29)),IF(H29=0, ,(H28-H29)))</f>
        <v>2</v>
      </c>
      <c r="J28" s="39">
        <f t="shared" si="13"/>
        <v>245</v>
      </c>
      <c r="K28" s="39">
        <f t="shared" si="14"/>
        <v>61.25</v>
      </c>
      <c r="L28" s="39">
        <f t="shared" si="18"/>
        <v>1.25</v>
      </c>
      <c r="M28" s="148">
        <f t="shared" si="17"/>
        <v>24196</v>
      </c>
      <c r="N28" s="39">
        <f t="shared" si="16"/>
        <v>302.45</v>
      </c>
      <c r="O28" s="166">
        <f t="shared" si="10"/>
        <v>159.99605</v>
      </c>
      <c r="P28" s="42">
        <f t="shared" si="11"/>
        <v>2054.3492820000001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44799</v>
      </c>
      <c r="B29" s="41">
        <v>59</v>
      </c>
      <c r="C29" s="39">
        <f t="shared" si="7"/>
        <v>5</v>
      </c>
      <c r="D29" s="41">
        <v>59</v>
      </c>
      <c r="E29" s="39">
        <f t="shared" si="8"/>
        <v>3</v>
      </c>
      <c r="F29" s="41">
        <v>60</v>
      </c>
      <c r="G29" s="39">
        <f t="shared" si="9"/>
        <v>3</v>
      </c>
      <c r="H29" s="41">
        <v>62</v>
      </c>
      <c r="I29" s="39">
        <f t="shared" si="12"/>
        <v>2</v>
      </c>
      <c r="J29" s="39">
        <f t="shared" si="13"/>
        <v>240</v>
      </c>
      <c r="K29" s="39">
        <f t="shared" si="14"/>
        <v>60</v>
      </c>
      <c r="L29" s="39">
        <f t="shared" si="18"/>
        <v>3.25</v>
      </c>
      <c r="M29" s="148">
        <f t="shared" si="17"/>
        <v>24196</v>
      </c>
      <c r="N29" s="39">
        <f t="shared" si="16"/>
        <v>786.37</v>
      </c>
      <c r="O29" s="166">
        <f t="shared" si="10"/>
        <v>415.98973000000001</v>
      </c>
      <c r="P29" s="42">
        <f t="shared" si="11"/>
        <v>5341.3081332000002</v>
      </c>
      <c r="Q29" s="39">
        <v>2049</v>
      </c>
      <c r="R29" s="39">
        <v>55</v>
      </c>
      <c r="S29" s="39">
        <v>85</v>
      </c>
      <c r="T29" s="39">
        <v>2012</v>
      </c>
      <c r="U29" s="39">
        <v>57</v>
      </c>
      <c r="V29" s="39">
        <v>85</v>
      </c>
      <c r="W29" s="39">
        <v>2012</v>
      </c>
      <c r="X29" s="39">
        <v>57</v>
      </c>
      <c r="Y29" s="39">
        <v>85</v>
      </c>
      <c r="Z29" s="39">
        <v>2012</v>
      </c>
      <c r="AA29" s="39">
        <v>60</v>
      </c>
      <c r="AB29" s="39">
        <v>85</v>
      </c>
      <c r="AC29" s="39">
        <f>Q29+T29+W29+Z29</f>
        <v>8085</v>
      </c>
      <c r="AD29" s="38">
        <f t="shared" si="19"/>
        <v>57.25</v>
      </c>
      <c r="AE29" s="38">
        <f>(S29+V29+Y29+AB29)/4</f>
        <v>85</v>
      </c>
    </row>
    <row r="30" spans="1:31" ht="32.25" customHeight="1" x14ac:dyDescent="0.3">
      <c r="A30" s="40">
        <v>44800</v>
      </c>
      <c r="B30" s="41">
        <v>84</v>
      </c>
      <c r="C30" s="39">
        <f t="shared" si="7"/>
        <v>3</v>
      </c>
      <c r="D30" s="41">
        <v>84</v>
      </c>
      <c r="E30" s="39">
        <f t="shared" si="8"/>
        <v>3</v>
      </c>
      <c r="F30" s="41">
        <v>85</v>
      </c>
      <c r="G30" s="39">
        <f t="shared" si="9"/>
        <v>1</v>
      </c>
      <c r="H30" s="41">
        <v>85</v>
      </c>
      <c r="I30" s="39">
        <f t="shared" si="12"/>
        <v>1</v>
      </c>
      <c r="J30" s="39">
        <f t="shared" si="13"/>
        <v>338</v>
      </c>
      <c r="K30" s="39">
        <f t="shared" si="14"/>
        <v>84.5</v>
      </c>
      <c r="L30" s="39">
        <f t="shared" si="18"/>
        <v>2</v>
      </c>
      <c r="M30" s="148">
        <f t="shared" si="17"/>
        <v>24196</v>
      </c>
      <c r="N30" s="39">
        <f t="shared" si="16"/>
        <v>483.92</v>
      </c>
      <c r="O30" s="166">
        <f t="shared" si="10"/>
        <v>255.99368000000001</v>
      </c>
      <c r="P30" s="42">
        <f t="shared" si="11"/>
        <v>3286.9588512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44801</v>
      </c>
      <c r="B31" s="41">
        <v>81</v>
      </c>
      <c r="C31" s="39">
        <f t="shared" si="7"/>
        <v>1</v>
      </c>
      <c r="D31" s="41">
        <v>81</v>
      </c>
      <c r="E31" s="39">
        <f t="shared" si="8"/>
        <v>2</v>
      </c>
      <c r="F31" s="41">
        <v>84</v>
      </c>
      <c r="G31" s="39">
        <f t="shared" si="9"/>
        <v>4</v>
      </c>
      <c r="H31" s="41">
        <v>84</v>
      </c>
      <c r="I31" s="39">
        <f t="shared" si="12"/>
        <v>4</v>
      </c>
      <c r="J31" s="39">
        <f t="shared" si="13"/>
        <v>330</v>
      </c>
      <c r="K31" s="39">
        <f t="shared" si="14"/>
        <v>82.5</v>
      </c>
      <c r="L31" s="39">
        <f t="shared" si="18"/>
        <v>2.75</v>
      </c>
      <c r="M31" s="148">
        <f t="shared" si="17"/>
        <v>24196</v>
      </c>
      <c r="N31" s="39">
        <f t="shared" si="16"/>
        <v>665.39</v>
      </c>
      <c r="O31" s="166">
        <f t="shared" si="10"/>
        <v>351.99131</v>
      </c>
      <c r="P31" s="42">
        <f t="shared" si="11"/>
        <v>4519.5684203999999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44802</v>
      </c>
      <c r="B32" s="41">
        <v>80</v>
      </c>
      <c r="C32" s="39">
        <f t="shared" si="7"/>
        <v>2</v>
      </c>
      <c r="D32" s="41">
        <v>79</v>
      </c>
      <c r="E32" s="39">
        <f t="shared" si="8"/>
        <v>3</v>
      </c>
      <c r="F32" s="41">
        <v>80</v>
      </c>
      <c r="G32" s="39">
        <f t="shared" si="9"/>
        <v>0</v>
      </c>
      <c r="H32" s="41">
        <v>80</v>
      </c>
      <c r="I32" s="39">
        <f t="shared" si="12"/>
        <v>0</v>
      </c>
      <c r="J32" s="39">
        <f t="shared" si="13"/>
        <v>319</v>
      </c>
      <c r="K32" s="39">
        <f t="shared" si="14"/>
        <v>79.75</v>
      </c>
      <c r="L32" s="39">
        <f t="shared" si="18"/>
        <v>1.25</v>
      </c>
      <c r="M32" s="148">
        <f t="shared" si="17"/>
        <v>24196</v>
      </c>
      <c r="N32" s="39">
        <f t="shared" si="16"/>
        <v>302.45</v>
      </c>
      <c r="O32" s="166">
        <f t="shared" si="10"/>
        <v>159.99605</v>
      </c>
      <c r="P32" s="42">
        <f t="shared" si="11"/>
        <v>2054.3492820000001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44803</v>
      </c>
      <c r="B33" s="41">
        <v>78</v>
      </c>
      <c r="C33" s="39">
        <f t="shared" si="7"/>
        <v>3</v>
      </c>
      <c r="D33" s="41">
        <v>76</v>
      </c>
      <c r="E33" s="39">
        <f t="shared" si="8"/>
        <v>1</v>
      </c>
      <c r="F33" s="41">
        <v>80</v>
      </c>
      <c r="G33" s="39">
        <f t="shared" si="9"/>
        <v>3</v>
      </c>
      <c r="H33" s="41">
        <v>80</v>
      </c>
      <c r="I33" s="39">
        <f t="shared" si="12"/>
        <v>2</v>
      </c>
      <c r="J33" s="39">
        <f t="shared" si="13"/>
        <v>314</v>
      </c>
      <c r="K33" s="39">
        <f t="shared" si="14"/>
        <v>78.5</v>
      </c>
      <c r="L33" s="39">
        <f t="shared" si="18"/>
        <v>2.25</v>
      </c>
      <c r="M33" s="148">
        <f t="shared" si="17"/>
        <v>24196</v>
      </c>
      <c r="N33" s="39">
        <f t="shared" si="16"/>
        <v>544.41</v>
      </c>
      <c r="O33" s="166">
        <f t="shared" si="10"/>
        <v>287.99288999999999</v>
      </c>
      <c r="P33" s="42">
        <f t="shared" si="11"/>
        <v>3697.8287075999997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44804</v>
      </c>
      <c r="B34" s="41">
        <v>75</v>
      </c>
      <c r="C34" s="39">
        <f t="shared" si="7"/>
        <v>2</v>
      </c>
      <c r="D34" s="41">
        <v>75</v>
      </c>
      <c r="E34" s="39">
        <f t="shared" si="8"/>
        <v>1</v>
      </c>
      <c r="F34" s="41">
        <v>77</v>
      </c>
      <c r="G34" s="39">
        <f t="shared" si="9"/>
        <v>1</v>
      </c>
      <c r="H34" s="41">
        <v>78</v>
      </c>
      <c r="I34" s="39">
        <f t="shared" si="12"/>
        <v>1</v>
      </c>
      <c r="J34" s="39">
        <f>B34+D34+F34+H34</f>
        <v>305</v>
      </c>
      <c r="K34" s="39">
        <f>J34/4</f>
        <v>76.25</v>
      </c>
      <c r="L34" s="39">
        <f>IF(AC34&gt;0,((K34-AD34)+(AE34-K35)),IF(K35=0, ,(K34-K35)))</f>
        <v>1.25</v>
      </c>
      <c r="M34" s="148">
        <f t="shared" si="17"/>
        <v>24196</v>
      </c>
      <c r="N34" s="39">
        <f>L34*M34/100</f>
        <v>302.45</v>
      </c>
      <c r="O34" s="166">
        <f t="shared" si="10"/>
        <v>159.99605</v>
      </c>
      <c r="P34" s="42">
        <f t="shared" si="11"/>
        <v>2054.3492820000001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44805</v>
      </c>
      <c r="B35" s="41">
        <v>73</v>
      </c>
      <c r="C35" s="39">
        <f t="shared" si="7"/>
        <v>0</v>
      </c>
      <c r="D35" s="41">
        <v>74</v>
      </c>
      <c r="E35" s="39">
        <f t="shared" si="8"/>
        <v>0</v>
      </c>
      <c r="F35" s="41">
        <v>76</v>
      </c>
      <c r="G35" s="39">
        <f t="shared" si="9"/>
        <v>0</v>
      </c>
      <c r="H35" s="41">
        <v>77</v>
      </c>
      <c r="I35" s="39">
        <f t="shared" si="12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ref="P35:P39" si="26">O35*12.84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si="2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2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12521.430000000002</v>
      </c>
      <c r="O43" s="39">
        <f>N43*0.529</f>
        <v>6623.8364700000011</v>
      </c>
      <c r="P43" s="42">
        <f>O43*12.84</f>
        <v>85050.060274800009</v>
      </c>
      <c r="Q43" s="285">
        <f>SUM(Q4:Q42)</f>
        <v>4483</v>
      </c>
      <c r="R43" s="286"/>
      <c r="S43" s="287"/>
      <c r="T43" s="288">
        <f>SUM(T4:T42)</f>
        <v>4430</v>
      </c>
      <c r="U43" s="286"/>
      <c r="V43" s="287"/>
      <c r="W43" s="288">
        <f>SUM(W4:W42)</f>
        <v>4204</v>
      </c>
      <c r="X43" s="286"/>
      <c r="Y43" s="287"/>
      <c r="Z43" s="288">
        <f>SUM(Z4:Z42)</f>
        <v>4287</v>
      </c>
      <c r="AA43" s="286"/>
      <c r="AB43" s="287"/>
      <c r="AC43" s="39">
        <f t="shared" si="20"/>
        <v>17404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17404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17404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12521.430000000002</v>
      </c>
      <c r="L47" s="46">
        <f>O43</f>
        <v>6623.8364700000011</v>
      </c>
      <c r="M47" s="46">
        <f>P43</f>
        <v>85050.060274800009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17404</v>
      </c>
      <c r="L48" s="44">
        <f>K48*0.529</f>
        <v>9206.7160000000003</v>
      </c>
      <c r="M48" s="44">
        <f>L48*12.84</f>
        <v>118214.23344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9"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>
        <v>44599</v>
      </c>
      <c r="D8" s="327"/>
      <c r="E8" s="113">
        <v>44627</v>
      </c>
      <c r="F8" s="162" t="s">
        <v>97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 x14ac:dyDescent="0.2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 x14ac:dyDescent="0.2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 x14ac:dyDescent="0.2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114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121</v>
      </c>
      <c r="H24" s="71" t="s">
        <v>122</v>
      </c>
      <c r="I24" s="367"/>
      <c r="J24" s="367"/>
    </row>
    <row r="25" spans="1:10" ht="15" x14ac:dyDescent="0.2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0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 x14ac:dyDescent="0.2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 x14ac:dyDescent="0.2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 x14ac:dyDescent="0.2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>
        <v>44405</v>
      </c>
      <c r="D8" s="327"/>
      <c r="E8" s="113">
        <v>44801</v>
      </c>
      <c r="F8" s="162" t="s">
        <v>132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1400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39" t="s">
        <v>110</v>
      </c>
      <c r="B17" s="340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1"/>
      <c r="H17" s="342"/>
      <c r="I17" s="341">
        <f>+E17</f>
        <v>329853</v>
      </c>
      <c r="J17" s="342"/>
    </row>
    <row r="18" spans="1:10" x14ac:dyDescent="0.2">
      <c r="A18" s="339" t="s">
        <v>111</v>
      </c>
      <c r="B18" s="340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1"/>
      <c r="H18" s="342"/>
      <c r="I18" s="341">
        <f>+E18</f>
        <v>171013</v>
      </c>
      <c r="J18" s="342"/>
    </row>
    <row r="19" spans="1:10" x14ac:dyDescent="0.2">
      <c r="A19" s="339" t="s">
        <v>112</v>
      </c>
      <c r="B19" s="340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1"/>
      <c r="H19" s="342"/>
      <c r="I19" s="341">
        <f>+E19</f>
        <v>138178</v>
      </c>
      <c r="J19" s="342"/>
    </row>
    <row r="20" spans="1:10" ht="15" x14ac:dyDescent="0.25">
      <c r="A20" s="361" t="s">
        <v>113</v>
      </c>
      <c r="B20" s="362"/>
      <c r="C20" s="68"/>
      <c r="D20" s="69"/>
      <c r="E20" s="68">
        <f>SUM(E17:E19)</f>
        <v>639044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114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121</v>
      </c>
      <c r="H24" s="71" t="s">
        <v>122</v>
      </c>
      <c r="I24" s="367"/>
      <c r="J24" s="367"/>
    </row>
    <row r="25" spans="1:10" ht="15" x14ac:dyDescent="0.25">
      <c r="A25" s="343" t="s">
        <v>123</v>
      </c>
      <c r="B25" s="344"/>
      <c r="C25" s="345"/>
      <c r="D25" s="67">
        <f>+E17</f>
        <v>329853</v>
      </c>
      <c r="E25" s="72">
        <v>0.95140000000000002</v>
      </c>
      <c r="F25" s="73">
        <f>PRODUCT(D25*E25)</f>
        <v>313822.14419999998</v>
      </c>
      <c r="G25" s="150">
        <v>14</v>
      </c>
      <c r="H25" s="65">
        <f>PRODUCT(0.14,F25)</f>
        <v>43935.100188000004</v>
      </c>
      <c r="I25" s="346">
        <f>SUM(H25,F25)</f>
        <v>357757.24438799999</v>
      </c>
      <c r="J25" s="347"/>
    </row>
    <row r="26" spans="1:10" ht="15" x14ac:dyDescent="0.25">
      <c r="A26" s="348" t="s">
        <v>124</v>
      </c>
      <c r="B26" s="349"/>
      <c r="C26" s="350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6">
        <f t="shared" ref="I26:I31" si="0">SUM(H26,F26)</f>
        <v>136175.94177</v>
      </c>
      <c r="J26" s="347"/>
    </row>
    <row r="27" spans="1:10" ht="15" x14ac:dyDescent="0.25">
      <c r="A27" s="348" t="s">
        <v>125</v>
      </c>
      <c r="B27" s="349"/>
      <c r="C27" s="350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6">
        <f>SUM(H27,F27)</f>
        <v>209568.492768</v>
      </c>
      <c r="J27" s="347"/>
    </row>
    <row r="28" spans="1:10" ht="15" x14ac:dyDescent="0.2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127</v>
      </c>
      <c r="B29" s="377"/>
      <c r="C29" s="378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79">
        <f t="shared" si="0"/>
        <v>30015.062280000006</v>
      </c>
      <c r="J29" s="380"/>
    </row>
    <row r="30" spans="1:10" ht="15" x14ac:dyDescent="0.2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689650.40789999999</v>
      </c>
      <c r="G32" s="85"/>
      <c r="H32" s="86"/>
      <c r="I32" s="375">
        <f>SUM(I25:J31)</f>
        <v>786147.48500599992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133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5198.3999999999942</v>
      </c>
      <c r="C13" s="396"/>
      <c r="D13" s="396">
        <v>8.7899999999999991</v>
      </c>
      <c r="E13" s="396"/>
      <c r="F13" s="403">
        <f>PRODUCT(D13,B13)</f>
        <v>45693.935999999943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5198.3999999999942</v>
      </c>
      <c r="C19" s="396"/>
      <c r="D19" s="396">
        <v>2.61</v>
      </c>
      <c r="E19" s="396"/>
      <c r="F19" s="396">
        <f>PRODUCT(D19,B19)</f>
        <v>13567.823999999984</v>
      </c>
      <c r="G19" s="396"/>
      <c r="H19" s="396"/>
    </row>
    <row r="20" spans="1:8" ht="18.75" x14ac:dyDescent="0.3">
      <c r="A20" s="392" t="s">
        <v>149</v>
      </c>
      <c r="B20" s="393"/>
      <c r="C20" s="393"/>
      <c r="D20" s="393"/>
      <c r="E20" s="394"/>
      <c r="F20" s="395">
        <f>SUM(F11+F13+F16+F17+F18+F19)</f>
        <v>59284.759999999929</v>
      </c>
      <c r="G20" s="395"/>
      <c r="H20" s="395"/>
    </row>
    <row r="21" spans="1:8" ht="15" x14ac:dyDescent="0.25">
      <c r="A21" s="381" t="s">
        <v>150</v>
      </c>
      <c r="B21" s="382"/>
      <c r="C21" s="382"/>
      <c r="D21" s="382"/>
      <c r="E21" s="383"/>
      <c r="F21" s="396">
        <f>PRODUCT(F20,0.07)</f>
        <v>4149.9331999999958</v>
      </c>
      <c r="G21" s="396"/>
      <c r="H21" s="396"/>
    </row>
    <row r="22" spans="1:8" ht="15" x14ac:dyDescent="0.25">
      <c r="A22" s="397" t="s">
        <v>151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152</v>
      </c>
      <c r="B23" s="382"/>
      <c r="C23" s="382"/>
      <c r="D23" s="382"/>
      <c r="E23" s="383"/>
      <c r="F23" s="384">
        <f>SUM(F21:H22)</f>
        <v>4358.1931999999961</v>
      </c>
      <c r="G23" s="384"/>
      <c r="H23" s="384"/>
    </row>
    <row r="24" spans="1:8" x14ac:dyDescent="0.2">
      <c r="A24" s="385" t="s">
        <v>153</v>
      </c>
      <c r="B24" s="386"/>
      <c r="C24" s="386"/>
      <c r="D24" s="386"/>
      <c r="E24" s="387"/>
      <c r="F24" s="391">
        <f>SUM(F20,F23)</f>
        <v>63642.953199999924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133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199</v>
      </c>
      <c r="C13" s="396"/>
      <c r="D13" s="396">
        <v>8.5</v>
      </c>
      <c r="E13" s="396"/>
      <c r="F13" s="403">
        <f>PRODUCT(D13,B13)</f>
        <v>1691.5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4"/>
    </row>
    <row r="20" spans="1:8" ht="15" x14ac:dyDescent="0.2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 x14ac:dyDescent="0.3">
      <c r="A21" s="392" t="s">
        <v>149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 x14ac:dyDescent="0.25">
      <c r="A22" s="381" t="s">
        <v>150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 x14ac:dyDescent="0.25">
      <c r="A23" s="397" t="s">
        <v>151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152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 x14ac:dyDescent="0.2">
      <c r="A25" s="385" t="s">
        <v>153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155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4"/>
    </row>
    <row r="25" spans="1:8" ht="18.75" x14ac:dyDescent="0.3">
      <c r="A25" s="392" t="s">
        <v>149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151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 x14ac:dyDescent="0.35">
      <c r="C16" s="426" t="s">
        <v>182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 x14ac:dyDescent="0.35">
      <c r="C16" s="426" t="s">
        <v>184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 x14ac:dyDescent="0.35">
      <c r="C16" s="426" t="s">
        <v>186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