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<sst xmlns="http://schemas.openxmlformats.org/spreadsheetml/2006/main" count="128" uniqueCount="49">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</sst>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69350</v>
      </c>
      <c r="F19" s="11">
        <v>5.0000000000000001E-3</v>
      </c>
      <c r="G19" s="12">
        <f>Submetering!R19</f>
        <v>793.800477</v>
      </c>
      <c r="H19" s="11">
        <v>0.52800000000000002</v>
      </c>
      <c r="I19" s="12">
        <f>Hotel!B24</f>
        <v>57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69700</v>
      </c>
      <c r="F20" s="11">
        <v>5.0000000000000001E-3</v>
      </c>
      <c r="G20" s="12">
        <f>Submetering!R20</f>
        <v>1087.5482930000001</v>
      </c>
      <c r="H20" s="11">
        <v>0.52800000000000002</v>
      </c>
      <c r="I20" s="12">
        <f>Hotel!B25</f>
        <v>56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65670</v>
      </c>
      <c r="F21" s="11">
        <v>5.0000000000000001E-3</v>
      </c>
      <c r="G21" s="12">
        <f>Submetering!R21</f>
        <v>889.57134999999994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10170</v>
      </c>
      <c r="F19" s="4">
        <f>Hotel!R24</f>
        <v>13090</v>
      </c>
      <c r="G19" s="4">
        <f>Hotel!S24</f>
        <v>130</v>
      </c>
      <c r="H19" s="4">
        <f>Hotel!T24</f>
        <v>1710</v>
      </c>
      <c r="I19" s="4">
        <f>Hotel!U24</f>
        <v>4190</v>
      </c>
      <c r="J19" s="4">
        <f>Hotel!V24</f>
        <v>3750</v>
      </c>
      <c r="K19" s="4">
        <f>Hotel!W24</f>
        <v>2300</v>
      </c>
      <c r="L19" s="4">
        <f>Hotel!X24</f>
        <v>4870</v>
      </c>
      <c r="M19" s="4">
        <f>Hotel!Y24</f>
        <v>5690</v>
      </c>
      <c r="N19" s="4">
        <f>Hotel!Z24</f>
        <v>2610</v>
      </c>
      <c r="O19" s="4">
        <f>Hotel!AA24</f>
        <v>3140</v>
      </c>
      <c r="P19" s="4">
        <f>Hotel!AB24</f>
        <v>7490</v>
      </c>
      <c r="Q19" s="4">
        <f>Hotel!AC24</f>
        <v>10210</v>
      </c>
      <c r="R19" s="4">
        <f>Hotel!AV24*0.00378541*100</f>
        <v>793.800477</v>
      </c>
      <c r="S19" s="4">
        <f>Hotel!B24</f>
        <v>57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10500</v>
      </c>
      <c r="F20" s="4">
        <f>Hotel!R25</f>
        <v>13590</v>
      </c>
      <c r="G20" s="4">
        <f>Hotel!S25</f>
        <v>140</v>
      </c>
      <c r="H20" s="4">
        <f>Hotel!T25</f>
        <v>1760</v>
      </c>
      <c r="I20" s="4">
        <f>Hotel!U25</f>
        <v>4280</v>
      </c>
      <c r="J20" s="4">
        <f>Hotel!V25</f>
        <v>3770</v>
      </c>
      <c r="K20" s="4">
        <f>Hotel!W25</f>
        <v>2400</v>
      </c>
      <c r="L20" s="4">
        <f>Hotel!X25</f>
        <v>4840</v>
      </c>
      <c r="M20" s="4">
        <f>Hotel!Y25</f>
        <v>5550</v>
      </c>
      <c r="N20" s="4">
        <f>Hotel!Z25</f>
        <v>2490</v>
      </c>
      <c r="O20" s="4">
        <f>Hotel!AA25</f>
        <v>3160</v>
      </c>
      <c r="P20" s="4">
        <f>Hotel!AB25</f>
        <v>7580</v>
      </c>
      <c r="Q20" s="4">
        <f>Hotel!AC25</f>
        <v>9640</v>
      </c>
      <c r="R20" s="4">
        <f>Hotel!AV25*0.00378541*100</f>
        <v>1087.5482930000001</v>
      </c>
      <c r="S20" s="4">
        <f>Hotel!B25</f>
        <v>56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9600</v>
      </c>
      <c r="F21" s="4">
        <f>Hotel!R26</f>
        <v>12400</v>
      </c>
      <c r="G21" s="4">
        <f>Hotel!S26</f>
        <v>120</v>
      </c>
      <c r="H21" s="4">
        <f>Hotel!T26</f>
        <v>1730</v>
      </c>
      <c r="I21" s="4">
        <f>Hotel!U26</f>
        <v>3770</v>
      </c>
      <c r="J21" s="4">
        <f>Hotel!V26</f>
        <v>3570</v>
      </c>
      <c r="K21" s="4">
        <f>Hotel!W26</f>
        <v>2190</v>
      </c>
      <c r="L21" s="4">
        <f>Hotel!X26</f>
        <v>4390</v>
      </c>
      <c r="M21" s="4">
        <f>Hotel!Y26</f>
        <v>5160</v>
      </c>
      <c r="N21" s="4">
        <f>Hotel!Z26</f>
        <v>2340</v>
      </c>
      <c r="O21" s="4">
        <f>Hotel!AA26</f>
        <v>2800</v>
      </c>
      <c r="P21" s="4">
        <f>Hotel!AB26</f>
        <v>6780</v>
      </c>
      <c r="Q21" s="4">
        <f>Hotel!AC26</f>
        <v>10820</v>
      </c>
      <c r="R21" s="4">
        <f>Hotel!AV26*0.00378541*100</f>
        <v>889.57134999999994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P31" sqref="AP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>
        <v>57</v>
      </c>
      <c r="C24" s="24">
        <v>6967190</v>
      </c>
      <c r="D24" s="24">
        <v>17035730</v>
      </c>
      <c r="E24" s="24">
        <v>3055560</v>
      </c>
      <c r="F24" s="24">
        <v>3656600</v>
      </c>
      <c r="G24" s="24">
        <v>10811630</v>
      </c>
      <c r="H24" s="24">
        <v>5866350</v>
      </c>
      <c r="I24" s="24">
        <v>5318650</v>
      </c>
      <c r="J24" s="24">
        <v>6334300</v>
      </c>
      <c r="K24" s="24">
        <v>9718320</v>
      </c>
      <c r="L24" s="24">
        <v>4094650</v>
      </c>
      <c r="M24" s="24">
        <v>8212220</v>
      </c>
      <c r="N24" s="24">
        <v>12760030</v>
      </c>
      <c r="O24" s="24">
        <v>17580480</v>
      </c>
      <c r="Q24" s="37">
        <f t="shared" si="17"/>
        <v>10170</v>
      </c>
      <c r="R24" s="37">
        <f t="shared" si="18"/>
        <v>13090</v>
      </c>
      <c r="S24" s="37">
        <f t="shared" si="16"/>
        <v>130</v>
      </c>
      <c r="T24" s="37">
        <f t="shared" si="19"/>
        <v>1710</v>
      </c>
      <c r="U24" s="37">
        <f t="shared" si="20"/>
        <v>4190</v>
      </c>
      <c r="V24" s="37">
        <f t="shared" si="21"/>
        <v>3750</v>
      </c>
      <c r="W24" s="37">
        <f t="shared" si="22"/>
        <v>2300</v>
      </c>
      <c r="X24" s="37">
        <f t="shared" si="23"/>
        <v>4870</v>
      </c>
      <c r="Y24" s="37">
        <f t="shared" si="24"/>
        <v>5690</v>
      </c>
      <c r="Z24" s="37">
        <f t="shared" si="25"/>
        <v>2610</v>
      </c>
      <c r="AA24" s="37">
        <f t="shared" si="26"/>
        <v>3140</v>
      </c>
      <c r="AB24" s="37">
        <f t="shared" si="27"/>
        <v>7490</v>
      </c>
      <c r="AC24" s="37">
        <f t="shared" si="28"/>
        <v>10210</v>
      </c>
      <c r="AD24" s="35">
        <f t="shared" si="29"/>
        <v>69350</v>
      </c>
      <c r="AF24" s="20">
        <f t="shared" si="1"/>
        <v>50.85</v>
      </c>
      <c r="AG24" s="20">
        <f t="shared" si="2"/>
        <v>65.45</v>
      </c>
      <c r="AH24" s="20">
        <f t="shared" si="3"/>
        <v>0.65</v>
      </c>
      <c r="AI24" s="20">
        <f t="shared" si="4"/>
        <v>8.5500000000000007</v>
      </c>
      <c r="AJ24" s="20">
        <f t="shared" si="5"/>
        <v>20.95</v>
      </c>
      <c r="AK24" s="20">
        <f t="shared" si="6"/>
        <v>18.75</v>
      </c>
      <c r="AL24" s="20">
        <f t="shared" si="7"/>
        <v>11.5</v>
      </c>
      <c r="AM24" s="20">
        <f t="shared" si="8"/>
        <v>24.35</v>
      </c>
      <c r="AN24" s="20">
        <f t="shared" si="9"/>
        <v>28.45</v>
      </c>
      <c r="AO24" s="20">
        <f t="shared" si="10"/>
        <v>13.05</v>
      </c>
      <c r="AP24" s="20">
        <f t="shared" si="11"/>
        <v>15.700000000000001</v>
      </c>
      <c r="AQ24" s="20">
        <f t="shared" si="12"/>
        <v>37.450000000000003</v>
      </c>
      <c r="AR24" s="20">
        <f t="shared" si="13"/>
        <v>51.050000000000004</v>
      </c>
      <c r="AS24" s="35">
        <f t="shared" si="30"/>
        <v>346.75</v>
      </c>
      <c r="AU24" s="47">
        <v>239089</v>
      </c>
      <c r="AV24" s="37">
        <f t="shared" si="31"/>
        <v>2097</v>
      </c>
      <c r="AW24" s="35">
        <f t="shared" si="14"/>
        <v>4.194</v>
      </c>
    </row>
    <row r="25" spans="1:49" x14ac:dyDescent="0.25">
      <c r="A25" s="23">
        <v>44458</v>
      </c>
      <c r="B25" s="40">
        <v>56</v>
      </c>
      <c r="C25" s="24">
        <v>6977690</v>
      </c>
      <c r="D25" s="24">
        <v>17049320</v>
      </c>
      <c r="E25" s="24">
        <v>3055700</v>
      </c>
      <c r="F25" s="24">
        <v>3658360</v>
      </c>
      <c r="G25" s="24">
        <v>10815910</v>
      </c>
      <c r="H25" s="24">
        <v>5870120</v>
      </c>
      <c r="I25" s="24">
        <v>5321050</v>
      </c>
      <c r="J25" s="24">
        <v>6339140</v>
      </c>
      <c r="K25" s="24">
        <v>9723870</v>
      </c>
      <c r="L25" s="24">
        <v>4097140</v>
      </c>
      <c r="M25" s="24">
        <v>8215380</v>
      </c>
      <c r="N25" s="24">
        <v>12767610</v>
      </c>
      <c r="O25" s="24">
        <v>17590120</v>
      </c>
      <c r="Q25" s="37">
        <f t="shared" ref="Q25:AC27" si="33">IF((C25-C24&lt;0), "0",C25-C24)</f>
        <v>10500</v>
      </c>
      <c r="R25" s="37">
        <f t="shared" si="33"/>
        <v>13590</v>
      </c>
      <c r="S25" s="37">
        <f t="shared" si="33"/>
        <v>140</v>
      </c>
      <c r="T25" s="37">
        <f t="shared" si="33"/>
        <v>1760</v>
      </c>
      <c r="U25" s="37">
        <f t="shared" si="33"/>
        <v>4280</v>
      </c>
      <c r="V25" s="37">
        <f t="shared" si="33"/>
        <v>3770</v>
      </c>
      <c r="W25" s="37">
        <f t="shared" si="33"/>
        <v>2400</v>
      </c>
      <c r="X25" s="37">
        <f t="shared" si="33"/>
        <v>4840</v>
      </c>
      <c r="Y25" s="37">
        <f t="shared" si="33"/>
        <v>5550</v>
      </c>
      <c r="Z25" s="37">
        <f t="shared" si="33"/>
        <v>2490</v>
      </c>
      <c r="AA25" s="37">
        <f t="shared" si="33"/>
        <v>3160</v>
      </c>
      <c r="AB25" s="37">
        <f t="shared" si="33"/>
        <v>7580</v>
      </c>
      <c r="AC25" s="37">
        <f t="shared" si="33"/>
        <v>9640</v>
      </c>
      <c r="AD25" s="35">
        <f t="shared" si="29"/>
        <v>69700</v>
      </c>
      <c r="AF25" s="20">
        <f t="shared" si="1"/>
        <v>52.5</v>
      </c>
      <c r="AG25" s="20">
        <f t="shared" si="2"/>
        <v>67.95</v>
      </c>
      <c r="AH25" s="20">
        <f t="shared" si="3"/>
        <v>0.70000000000000007</v>
      </c>
      <c r="AI25" s="20">
        <f t="shared" si="4"/>
        <v>8.8000000000000007</v>
      </c>
      <c r="AJ25" s="20">
        <f t="shared" si="5"/>
        <v>21.400000000000002</v>
      </c>
      <c r="AK25" s="20">
        <f t="shared" si="6"/>
        <v>18.850000000000001</v>
      </c>
      <c r="AL25" s="20">
        <f t="shared" si="7"/>
        <v>12</v>
      </c>
      <c r="AM25" s="20">
        <f t="shared" si="8"/>
        <v>24.2</v>
      </c>
      <c r="AN25" s="20">
        <f t="shared" si="9"/>
        <v>27.75</v>
      </c>
      <c r="AO25" s="20">
        <f t="shared" si="10"/>
        <v>12.450000000000001</v>
      </c>
      <c r="AP25" s="20">
        <f t="shared" si="11"/>
        <v>15.8</v>
      </c>
      <c r="AQ25" s="20">
        <f t="shared" si="12"/>
        <v>37.9</v>
      </c>
      <c r="AR25" s="20">
        <f t="shared" si="13"/>
        <v>48.2</v>
      </c>
      <c r="AS25" s="35">
        <f t="shared" si="30"/>
        <v>348.49999999999994</v>
      </c>
      <c r="AU25" s="47">
        <v>241962</v>
      </c>
      <c r="AV25" s="37">
        <f t="shared" si="31"/>
        <v>2873</v>
      </c>
      <c r="AW25" s="35">
        <f t="shared" si="14"/>
        <v>5.7460000000000004</v>
      </c>
    </row>
    <row r="26" spans="1:49" x14ac:dyDescent="0.25">
      <c r="A26" s="23">
        <v>44459</v>
      </c>
      <c r="B26" s="40">
        <v>62</v>
      </c>
      <c r="C26" s="24">
        <v>6987290</v>
      </c>
      <c r="D26" s="24">
        <v>17061720</v>
      </c>
      <c r="E26" s="24">
        <v>3055820</v>
      </c>
      <c r="F26" s="24">
        <v>3660090</v>
      </c>
      <c r="G26" s="24">
        <v>10819680</v>
      </c>
      <c r="H26" s="24">
        <v>5873690</v>
      </c>
      <c r="I26" s="24">
        <v>5323240</v>
      </c>
      <c r="J26" s="24">
        <v>6343530</v>
      </c>
      <c r="K26" s="24">
        <v>9729030</v>
      </c>
      <c r="L26" s="24">
        <v>4099480</v>
      </c>
      <c r="M26" s="24">
        <v>8218180</v>
      </c>
      <c r="N26" s="24">
        <v>12774390</v>
      </c>
      <c r="O26" s="24">
        <v>17600940</v>
      </c>
      <c r="Q26" s="37">
        <f t="shared" si="33"/>
        <v>9600</v>
      </c>
      <c r="R26" s="37">
        <f t="shared" si="33"/>
        <v>12400</v>
      </c>
      <c r="S26" s="37">
        <f t="shared" si="33"/>
        <v>120</v>
      </c>
      <c r="T26" s="37">
        <f t="shared" si="33"/>
        <v>1730</v>
      </c>
      <c r="U26" s="37">
        <f t="shared" si="33"/>
        <v>3770</v>
      </c>
      <c r="V26" s="37">
        <f t="shared" si="33"/>
        <v>3570</v>
      </c>
      <c r="W26" s="37">
        <f t="shared" si="33"/>
        <v>2190</v>
      </c>
      <c r="X26" s="37">
        <f t="shared" si="33"/>
        <v>4390</v>
      </c>
      <c r="Y26" s="37">
        <f t="shared" si="33"/>
        <v>5160</v>
      </c>
      <c r="Z26" s="37">
        <f t="shared" si="33"/>
        <v>2340</v>
      </c>
      <c r="AA26" s="37">
        <f t="shared" si="33"/>
        <v>2800</v>
      </c>
      <c r="AB26" s="37">
        <f t="shared" si="33"/>
        <v>6780</v>
      </c>
      <c r="AC26" s="37">
        <f t="shared" si="33"/>
        <v>10820</v>
      </c>
      <c r="AD26" s="35">
        <f t="shared" si="29"/>
        <v>65670</v>
      </c>
      <c r="AF26" s="20">
        <f t="shared" si="1"/>
        <v>48</v>
      </c>
      <c r="AG26" s="20">
        <f t="shared" si="2"/>
        <v>62</v>
      </c>
      <c r="AH26" s="20">
        <f t="shared" si="3"/>
        <v>0.6</v>
      </c>
      <c r="AI26" s="20">
        <f t="shared" si="4"/>
        <v>8.65</v>
      </c>
      <c r="AJ26" s="20">
        <f t="shared" si="5"/>
        <v>18.850000000000001</v>
      </c>
      <c r="AK26" s="20">
        <f t="shared" si="6"/>
        <v>17.850000000000001</v>
      </c>
      <c r="AL26" s="20">
        <f t="shared" si="7"/>
        <v>10.950000000000001</v>
      </c>
      <c r="AM26" s="20">
        <f t="shared" si="8"/>
        <v>21.95</v>
      </c>
      <c r="AN26" s="20">
        <f t="shared" si="9"/>
        <v>25.8</v>
      </c>
      <c r="AO26" s="20">
        <f t="shared" si="10"/>
        <v>11.700000000000001</v>
      </c>
      <c r="AP26" s="20">
        <f t="shared" si="11"/>
        <v>14</v>
      </c>
      <c r="AQ26" s="20">
        <f t="shared" si="12"/>
        <v>33.9</v>
      </c>
      <c r="AR26" s="20">
        <f t="shared" si="13"/>
        <v>54.1</v>
      </c>
      <c r="AS26" s="35">
        <f t="shared" si="30"/>
        <v>328.34999999999997</v>
      </c>
      <c r="AU26" s="47">
        <v>244312</v>
      </c>
      <c r="AV26" s="37">
        <f t="shared" si="31"/>
        <v>2350</v>
      </c>
      <c r="AW26" s="35">
        <f t="shared" si="14"/>
        <v>4.7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3"/>
        <v>0</v>
      </c>
      <c r="R27" s="37" t="str">
        <f t="shared" si="33"/>
        <v>0</v>
      </c>
      <c r="S27" s="37" t="str">
        <f t="shared" si="33"/>
        <v>0</v>
      </c>
      <c r="T27" s="37" t="str">
        <f t="shared" si="33"/>
        <v>0</v>
      </c>
      <c r="U27" s="37" t="str">
        <f t="shared" si="33"/>
        <v>0</v>
      </c>
      <c r="V27" s="37" t="str">
        <f t="shared" si="33"/>
        <v>0</v>
      </c>
      <c r="W27" s="37" t="str">
        <f t="shared" si="33"/>
        <v>0</v>
      </c>
      <c r="X27" s="37" t="str">
        <f t="shared" si="33"/>
        <v>0</v>
      </c>
      <c r="Y27" s="37" t="str">
        <f t="shared" si="33"/>
        <v>0</v>
      </c>
      <c r="Z27" s="37" t="str">
        <f t="shared" si="33"/>
        <v>0</v>
      </c>
      <c r="AA27" s="37" t="str">
        <f t="shared" si="33"/>
        <v>0</v>
      </c>
      <c r="AB27" s="37" t="str">
        <f t="shared" si="33"/>
        <v>0</v>
      </c>
      <c r="AC27" s="37" t="str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 t="str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207510</v>
      </c>
      <c r="R38" s="38">
        <f t="shared" ref="R38:AD38" si="62">SUM(R7:R37)</f>
        <v>267650</v>
      </c>
      <c r="S38" s="38">
        <f t="shared" si="62"/>
        <v>11850</v>
      </c>
      <c r="T38" s="38">
        <f t="shared" si="62"/>
        <v>33970</v>
      </c>
      <c r="U38" s="38">
        <f t="shared" si="62"/>
        <v>80410</v>
      </c>
      <c r="V38" s="38">
        <f t="shared" si="62"/>
        <v>73120</v>
      </c>
      <c r="W38" s="38">
        <f t="shared" si="62"/>
        <v>45800</v>
      </c>
      <c r="X38" s="38">
        <f t="shared" si="62"/>
        <v>92700</v>
      </c>
      <c r="Y38" s="38">
        <f t="shared" si="62"/>
        <v>110850</v>
      </c>
      <c r="Z38" s="38">
        <f t="shared" si="62"/>
        <v>52230</v>
      </c>
      <c r="AA38" s="38">
        <f t="shared" si="62"/>
        <v>60780</v>
      </c>
      <c r="AB38" s="38">
        <f t="shared" si="62"/>
        <v>144260</v>
      </c>
      <c r="AC38" s="38">
        <f t="shared" si="62"/>
        <v>198900</v>
      </c>
      <c r="AD38" s="38">
        <f t="shared" si="62"/>
        <v>1380030</v>
      </c>
      <c r="AF38" s="35">
        <f>SUM(AF7:AF37)</f>
        <v>1037.55</v>
      </c>
      <c r="AG38" s="35">
        <f t="shared" ref="AG38:AS38" si="63">SUM(AG7:AG37)</f>
        <v>1338.25</v>
      </c>
      <c r="AH38" s="35">
        <f t="shared" si="63"/>
        <v>59.250000000000007</v>
      </c>
      <c r="AI38" s="35">
        <f t="shared" si="63"/>
        <v>169.85000000000005</v>
      </c>
      <c r="AJ38" s="35">
        <f t="shared" si="63"/>
        <v>402.04999999999995</v>
      </c>
      <c r="AK38" s="35">
        <f t="shared" si="63"/>
        <v>365.60000000000008</v>
      </c>
      <c r="AL38" s="35">
        <f t="shared" si="63"/>
        <v>229</v>
      </c>
      <c r="AM38" s="35">
        <f t="shared" si="63"/>
        <v>463.49999999999994</v>
      </c>
      <c r="AN38" s="35">
        <f t="shared" si="63"/>
        <v>554.24999999999989</v>
      </c>
      <c r="AO38" s="35">
        <f t="shared" si="63"/>
        <v>261.14999999999998</v>
      </c>
      <c r="AP38" s="35">
        <f t="shared" si="63"/>
        <v>303.90000000000003</v>
      </c>
      <c r="AQ38" s="35">
        <f t="shared" si="63"/>
        <v>721.3</v>
      </c>
      <c r="AR38" s="35">
        <f t="shared" si="63"/>
        <v>994.50000000000011</v>
      </c>
      <c r="AS38" s="35">
        <f t="shared" si="63"/>
        <v>6900.1500000000005</v>
      </c>
      <c r="AU38" s="48"/>
      <c r="AV38" s="34">
        <f>SUM(AV7:AV37)</f>
        <v>49410</v>
      </c>
      <c r="AW38" s="35">
        <f>SUM(AW7:AW37)</f>
        <v>98.819999999999979</v>
      </c>
    </row>
    <row r="39" spans="1:49" x14ac:dyDescent="0.25">
      <c r="D39">
        <v>5.0000000000000001E-3</v>
      </c>
      <c r="AV39" s="36">
        <f>AV38*0.00378541*1000</f>
        <v>187037.10809999998</v>
      </c>
    </row>
    <row r="40" spans="1:49" x14ac:dyDescent="0.25">
      <c r="D40">
        <v>2E-3</v>
      </c>
      <c r="AV40">
        <f>AV39/31</f>
        <v>6033.4550999999992</v>
      </c>
    </row>
    <row r="41" spans="1:49" x14ac:dyDescent="0.25">
      <c r="AV41">
        <f>AV38*0.00378541</f>
        <v>187.03710809999998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2021-09-21T04:49:42Z</dcterms:modified>
</cp:coreProperties>
</file>