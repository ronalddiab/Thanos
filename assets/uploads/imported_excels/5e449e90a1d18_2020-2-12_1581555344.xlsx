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AF20" i="7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<sst xmlns="http://schemas.openxmlformats.org/spreadsheetml/2006/main" count="296" uniqueCount="138">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</sst>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 t="e">
        <f>Submetering!E14+Submetering!F14+Submetering!G14+Submetering!H14-Submetering!AV14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 t="str">
        <f>'FS Desroches Daily'!D16</f>
        <v>0</v>
      </c>
      <c r="F14" s="36" t="str">
        <f>'FS Desroches Daily'!F16</f>
        <v>0</v>
      </c>
      <c r="G14" s="35" t="str">
        <f>'FS Desroches Daily'!H16</f>
        <v>0</v>
      </c>
      <c r="H14" s="36" t="str">
        <f>'FS Desroches Daily'!J16</f>
        <v>0</v>
      </c>
      <c r="I14" s="35" t="str">
        <f>'FS Desroches Daily'!L16</f>
        <v>0</v>
      </c>
      <c r="J14" s="36" t="str">
        <f>'FS Desroches Daily'!N16</f>
        <v/>
      </c>
      <c r="K14" s="13" t="str">
        <f>'FS Desroches Daily'!P16</f>
        <v/>
      </c>
      <c r="L14" s="35" t="str">
        <f>'FS Desroches Daily'!R16</f>
        <v/>
      </c>
      <c r="M14" s="35" t="str">
        <f>'FS Desroches Daily'!T16</f>
        <v/>
      </c>
      <c r="N14" s="35" t="str">
        <f>'FS Desroches Daily'!V16</f>
        <v/>
      </c>
      <c r="O14" s="35" t="str">
        <f>'FS Desroches Daily'!X16</f>
        <v/>
      </c>
      <c r="P14" s="35" t="str">
        <f>'FS Desroches Daily'!Z16</f>
        <v/>
      </c>
      <c r="Q14" s="35" t="str">
        <f>'FS Desroches Daily'!AB16</f>
        <v/>
      </c>
      <c r="R14" s="35" t="str">
        <f>'FS Desroches Daily'!AD16</f>
        <v/>
      </c>
      <c r="S14" s="35" t="str">
        <f>'FS Desroches Daily'!AF16</f>
        <v/>
      </c>
      <c r="T14" s="35" t="str">
        <f>'FS Desroches Daily'!AH16</f>
        <v/>
      </c>
      <c r="U14" s="39" t="str">
        <f>'FS Desroches Daily'!AJ16</f>
        <v/>
      </c>
      <c r="V14" s="39" t="str">
        <f>'FS Desroches Daily'!AL16</f>
        <v/>
      </c>
      <c r="W14" s="39" t="str">
        <f>'FS Desroches Daily'!AN16</f>
        <v/>
      </c>
      <c r="X14" s="39" t="str">
        <f>'FS Desroches Daily'!AP16</f>
        <v/>
      </c>
      <c r="Y14" s="39" t="str">
        <f>'FS Desroches Daily'!AR16</f>
        <v/>
      </c>
      <c r="Z14" s="39" t="str">
        <f>'FS Desroches Daily'!AT16</f>
        <v/>
      </c>
      <c r="AA14" s="39" t="str">
        <f>'FS Desroches Daily'!AT16</f>
        <v/>
      </c>
      <c r="AB14" s="39" t="str">
        <f>'FS Desroches Daily'!AV16</f>
        <v/>
      </c>
      <c r="AC14" s="39" t="str">
        <f>'FS Desroches Daily'!AZ16</f>
        <v/>
      </c>
      <c r="AD14" s="39" t="str">
        <f>'FS Desroches Daily'!BB16</f>
        <v/>
      </c>
      <c r="AE14" s="39" t="str">
        <f>'FS Desroches Daily'!BD16</f>
        <v/>
      </c>
      <c r="AF14" s="35" t="str">
        <f>'FS Desroches Daily'!BF16</f>
        <v/>
      </c>
      <c r="AG14" s="36" t="str">
        <f>'FS Desroches Daily'!BH16</f>
        <v/>
      </c>
      <c r="AH14" s="36" t="str">
        <f>'FS Desroches Daily'!BJ16</f>
        <v/>
      </c>
      <c r="AI14" s="36" t="str">
        <f>'FS Desroches Daily'!BL16</f>
        <v/>
      </c>
      <c r="AJ14" s="36" t="str">
        <f>'FS Desroches Daily'!BN16</f>
        <v/>
      </c>
      <c r="AK14" s="36" t="str">
        <f>'FS Desroches Daily'!BP16</f>
        <v/>
      </c>
      <c r="AL14" s="36" t="str">
        <f>'FS Desroches Daily'!BR16</f>
        <v/>
      </c>
      <c r="AM14" s="36" t="str">
        <f>'FS Desroches Daily'!BT16</f>
        <v/>
      </c>
      <c r="AN14" s="36" t="str">
        <f>'FS Desroches Daily'!BV16</f>
        <v/>
      </c>
      <c r="AO14" s="36" t="str">
        <f>'FS Desroches Daily'!BX16</f>
        <v/>
      </c>
      <c r="AP14" s="36" t="str">
        <f>'FS Desroches Daily'!BZ16</f>
        <v/>
      </c>
      <c r="AQ14" s="35" t="str">
        <f>'FS Desroches Daily'!CB16</f>
        <v/>
      </c>
      <c r="AR14" s="35" t="str">
        <f>'FS Desroches Daily'!CD16</f>
        <v/>
      </c>
      <c r="AS14" s="35" t="str">
        <f>'FS Desroches Daily'!CF16</f>
        <v/>
      </c>
      <c r="AT14" s="35" t="str">
        <f>'FS Desroches Daily'!CH16</f>
        <v/>
      </c>
      <c r="AU14" s="35" t="str">
        <f>'FS Desroches Daily'!CJ16</f>
        <v/>
      </c>
      <c r="AV14" s="35" t="str">
        <f>'FS Desroches Daily'!CL16</f>
        <v/>
      </c>
      <c r="AW14" s="35">
        <f>'FS Desroches Daily'!CM16</f>
        <v>0</v>
      </c>
      <c r="AX14" s="35" t="str">
        <f>IF(LPG!F21-LPG!F20&lt;0,"0",(LPG!F21-LPG!F20)*1.8315)</f>
        <v>0</v>
      </c>
      <c r="AY14" s="35" t="str">
        <f>IF(LPG!H21-LPG!H20&lt;0,"0",(LPG!H21-LPG!H20)*1.8315)</f>
        <v>0</v>
      </c>
      <c r="AZ14" s="35" t="str">
        <f>IF(LPG!J21-LPG!J20&lt;0,"0",(LPG!J21-LPG!J20)*1.8315)</f>
        <v>0</v>
      </c>
      <c r="BA14" s="35" t="str">
        <f>IF(LPG!M21-LPG!M20&lt;0,"0",(LPG!M21-LPG!M20)*1.8315)</f>
        <v>0</v>
      </c>
      <c r="BB14" s="35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26900.000000000142</v>
      </c>
      <c r="F33" s="17">
        <f t="shared" ref="F33:BC33" si="1">SUM(F2:F32)</f>
        <v>43499.999999999869</v>
      </c>
      <c r="G33" s="17">
        <f t="shared" si="1"/>
        <v>35999.999999999585</v>
      </c>
      <c r="H33" s="17">
        <f t="shared" si="1"/>
        <v>18000.000000000015</v>
      </c>
      <c r="I33" s="17">
        <f t="shared" si="1"/>
        <v>24900.000000000149</v>
      </c>
      <c r="J33" s="17">
        <f t="shared" si="1"/>
        <v>22599.999999999956</v>
      </c>
      <c r="K33" s="17">
        <f t="shared" si="1"/>
        <v>221</v>
      </c>
      <c r="L33" s="17">
        <f t="shared" si="1"/>
        <v>93</v>
      </c>
      <c r="M33" s="17">
        <f t="shared" si="1"/>
        <v>13311</v>
      </c>
      <c r="N33" s="17">
        <f t="shared" si="1"/>
        <v>5112</v>
      </c>
      <c r="O33" s="17">
        <f t="shared" si="1"/>
        <v>5130.0000000000528</v>
      </c>
      <c r="P33" s="17">
        <f t="shared" si="1"/>
        <v>38699.999999999956</v>
      </c>
      <c r="Q33" s="17">
        <f t="shared" si="1"/>
        <v>5960.0000000000364</v>
      </c>
      <c r="R33" s="17">
        <f t="shared" si="1"/>
        <v>4870.0000000000055</v>
      </c>
      <c r="S33" s="17">
        <f t="shared" si="1"/>
        <v>10329.999999999984</v>
      </c>
      <c r="T33" s="17">
        <f t="shared" si="1"/>
        <v>21.100000000000136</v>
      </c>
      <c r="U33" s="39">
        <f t="shared" si="1"/>
        <v>4889.9999999999864</v>
      </c>
      <c r="V33" s="39">
        <f t="shared" si="1"/>
        <v>2.9700000000000131</v>
      </c>
      <c r="W33" s="39">
        <f t="shared" si="1"/>
        <v>2.4399999999999977</v>
      </c>
      <c r="X33" s="39">
        <f t="shared" si="1"/>
        <v>2.019999999999996</v>
      </c>
      <c r="Y33" s="39">
        <f t="shared" si="1"/>
        <v>1810.0000000000023</v>
      </c>
      <c r="Z33" s="39">
        <f t="shared" si="1"/>
        <v>2759.9999999999909</v>
      </c>
      <c r="AA33" s="39">
        <f t="shared" si="1"/>
        <v>2759.9999999999909</v>
      </c>
      <c r="AB33" s="39">
        <f t="shared" si="1"/>
        <v>2159.9999999999964</v>
      </c>
      <c r="AC33" s="39">
        <f t="shared" si="1"/>
        <v>1680.0000000000068</v>
      </c>
      <c r="AD33" s="39">
        <f t="shared" si="1"/>
        <v>1120.0000000000045</v>
      </c>
      <c r="AE33" s="39">
        <f t="shared" si="1"/>
        <v>129.99999999999545</v>
      </c>
      <c r="AF33" s="17">
        <f t="shared" si="1"/>
        <v>718</v>
      </c>
      <c r="AG33" s="36">
        <f t="shared" si="1"/>
        <v>380.00000000002387</v>
      </c>
      <c r="AH33" s="36">
        <f t="shared" si="1"/>
        <v>429.99999999994998</v>
      </c>
      <c r="AI33" s="36">
        <f t="shared" si="1"/>
        <v>479.99999999998977</v>
      </c>
      <c r="AJ33" s="36">
        <f t="shared" si="1"/>
        <v>460.00000000000796</v>
      </c>
      <c r="AK33" s="36">
        <f t="shared" si="1"/>
        <v>469.99999999997044</v>
      </c>
      <c r="AL33" s="36">
        <f t="shared" si="1"/>
        <v>451</v>
      </c>
      <c r="AM33" s="36">
        <f t="shared" si="1"/>
        <v>489.99999999998067</v>
      </c>
      <c r="AN33" s="36">
        <f t="shared" si="1"/>
        <v>447</v>
      </c>
      <c r="AO33" s="36">
        <f t="shared" si="1"/>
        <v>460.00000000000796</v>
      </c>
      <c r="AP33" s="36">
        <f t="shared" si="1"/>
        <v>658</v>
      </c>
      <c r="AQ33" s="17">
        <f t="shared" si="1"/>
        <v>432</v>
      </c>
      <c r="AR33" s="17">
        <f t="shared" si="1"/>
        <v>121.10000000000036</v>
      </c>
      <c r="AS33" s="17">
        <f t="shared" si="1"/>
        <v>126.80000000000018</v>
      </c>
      <c r="AT33" s="17">
        <f t="shared" si="1"/>
        <v>878.70000000000437</v>
      </c>
      <c r="AU33" s="17">
        <f t="shared" si="1"/>
        <v>3477</v>
      </c>
      <c r="AV33" s="17">
        <f t="shared" si="1"/>
        <v>6100.0000000000227</v>
      </c>
      <c r="AW33" s="17">
        <f t="shared" si="1"/>
        <v>939.3</v>
      </c>
      <c r="AX33" s="17">
        <f t="shared" si="1"/>
        <v>170.3295</v>
      </c>
      <c r="AY33" s="17">
        <f t="shared" si="1"/>
        <v>40.292999999999992</v>
      </c>
      <c r="AZ33" s="17">
        <f t="shared" si="1"/>
        <v>0</v>
      </c>
      <c r="BA33" s="17">
        <f t="shared" si="1"/>
        <v>47.618999999999993</v>
      </c>
      <c r="BB33" s="17">
        <f t="shared" si="1"/>
        <v>53.113499999999995</v>
      </c>
      <c r="BC33" s="17">
        <f t="shared" si="1"/>
        <v>510</v>
      </c>
    </row>
    <row r="35" spans="5:55" x14ac:dyDescent="0.25">
      <c r="E35" s="42">
        <f>E33/E37</f>
        <v>0.19473280342845725</v>
      </c>
      <c r="G35" s="33">
        <f>G33-M36</f>
        <v>17576.999999999585</v>
      </c>
      <c r="AE35" s="39">
        <f>SUM(U33:AE33)</f>
        <v>17317.429999999975</v>
      </c>
      <c r="AG35" s="36">
        <f>SUM(AG33:AP33)</f>
        <v>4725.9999999999309</v>
      </c>
    </row>
    <row r="36" spans="5:55" x14ac:dyDescent="0.25">
      <c r="G36" s="33">
        <f>G35-633*14</f>
        <v>8714.9999999995853</v>
      </c>
      <c r="M36" s="33">
        <f>M33+N33</f>
        <v>18423</v>
      </c>
    </row>
    <row r="37" spans="5:55" x14ac:dyDescent="0.25">
      <c r="E37" s="17">
        <f>E33+F33+G33+H33+J33-633*14</f>
        <v>138137.99999999956</v>
      </c>
      <c r="G37" s="41">
        <f>M36/E37</f>
        <v>0.13336663336663379</v>
      </c>
      <c r="M37" s="39">
        <f>AE35</f>
        <v>17317.429999999975</v>
      </c>
    </row>
    <row r="38" spans="5:55" x14ac:dyDescent="0.25">
      <c r="L38" s="31">
        <f>M38/E37</f>
        <v>3.421216464694686E-2</v>
      </c>
      <c r="M38" s="33">
        <f>AG35</f>
        <v>4725.9999999999309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R1" zoomScale="70" zoomScaleNormal="70" workbookViewId="0">
      <pane ySplit="1" topLeftCell="A2" activePane="bottomLeft" state="frozen"/>
      <selection pane="bottomLeft" activeCell="CO15" sqref="CO15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/>
      <c r="D16" s="71" t="str">
        <f t="shared" si="3"/>
        <v>0</v>
      </c>
      <c r="E16" s="64"/>
      <c r="F16" s="71" t="str">
        <f t="shared" si="4"/>
        <v>0</v>
      </c>
      <c r="G16" s="64"/>
      <c r="H16" s="71" t="str">
        <f t="shared" si="5"/>
        <v>0</v>
      </c>
      <c r="I16" s="64"/>
      <c r="J16" s="71" t="str">
        <f t="shared" si="43"/>
        <v>0</v>
      </c>
      <c r="K16" s="64"/>
      <c r="L16" s="71" t="str">
        <f t="shared" si="0"/>
        <v>0</v>
      </c>
      <c r="M16" s="64"/>
      <c r="N16" s="71" t="str">
        <f t="shared" si="6"/>
        <v/>
      </c>
      <c r="O16" s="64"/>
      <c r="P16" s="72" t="str">
        <f t="shared" si="7"/>
        <v/>
      </c>
      <c r="Q16" s="64"/>
      <c r="R16" s="72" t="str">
        <f t="shared" si="8"/>
        <v/>
      </c>
      <c r="S16" s="64"/>
      <c r="T16" s="72" t="str">
        <f t="shared" si="44"/>
        <v/>
      </c>
      <c r="U16" s="64"/>
      <c r="V16" s="72" t="str">
        <f t="shared" si="10"/>
        <v/>
      </c>
      <c r="W16" s="64"/>
      <c r="X16" s="72" t="str">
        <f t="shared" si="23"/>
        <v/>
      </c>
      <c r="Y16" s="64"/>
      <c r="Z16" s="72" t="str">
        <f t="shared" si="24"/>
        <v/>
      </c>
      <c r="AA16" s="64"/>
      <c r="AB16" s="72" t="str">
        <f t="shared" si="25"/>
        <v/>
      </c>
      <c r="AC16" s="64"/>
      <c r="AD16" s="72" t="str">
        <f t="shared" si="26"/>
        <v/>
      </c>
      <c r="AE16" s="64"/>
      <c r="AF16" s="72" t="str">
        <f t="shared" si="27"/>
        <v/>
      </c>
      <c r="AG16" s="64"/>
      <c r="AH16" s="72" t="str">
        <f t="shared" si="11"/>
        <v/>
      </c>
      <c r="AI16" s="64"/>
      <c r="AJ16" s="72" t="str">
        <f t="shared" si="28"/>
        <v/>
      </c>
      <c r="AK16" s="64"/>
      <c r="AL16" s="72" t="str">
        <f t="shared" si="12"/>
        <v/>
      </c>
      <c r="AM16" s="64"/>
      <c r="AN16" s="72" t="str">
        <f t="shared" si="13"/>
        <v/>
      </c>
      <c r="AO16" s="64"/>
      <c r="AP16" s="72" t="str">
        <f t="shared" si="14"/>
        <v/>
      </c>
      <c r="AQ16" s="64"/>
      <c r="AR16" s="72" t="str">
        <f t="shared" si="29"/>
        <v/>
      </c>
      <c r="AS16" s="64"/>
      <c r="AT16" s="72" t="str">
        <f t="shared" si="30"/>
        <v/>
      </c>
      <c r="AU16" s="64"/>
      <c r="AV16" s="72" t="str">
        <f t="shared" si="31"/>
        <v/>
      </c>
      <c r="AW16" s="64"/>
      <c r="AX16" s="72" t="str">
        <f t="shared" si="32"/>
        <v/>
      </c>
      <c r="AY16" s="64"/>
      <c r="AZ16" s="72" t="str">
        <f t="shared" si="33"/>
        <v/>
      </c>
      <c r="BA16" s="64"/>
      <c r="BB16" s="72" t="str">
        <f t="shared" si="34"/>
        <v/>
      </c>
      <c r="BC16" s="64"/>
      <c r="BD16" s="72" t="str">
        <f t="shared" si="35"/>
        <v/>
      </c>
      <c r="BE16" s="66"/>
      <c r="BF16" s="72" t="str">
        <f t="shared" si="15"/>
        <v/>
      </c>
      <c r="BG16" s="67"/>
      <c r="BH16" s="72" t="str">
        <f t="shared" si="36"/>
        <v/>
      </c>
      <c r="BI16" s="67"/>
      <c r="BJ16" s="72" t="str">
        <f t="shared" si="37"/>
        <v/>
      </c>
      <c r="BK16" s="67"/>
      <c r="BL16" s="72" t="str">
        <f t="shared" si="38"/>
        <v/>
      </c>
      <c r="BM16" s="67"/>
      <c r="BN16" s="72" t="str">
        <f t="shared" si="39"/>
        <v/>
      </c>
      <c r="BO16" s="67"/>
      <c r="BP16" s="72" t="str">
        <f t="shared" si="40"/>
        <v/>
      </c>
      <c r="BQ16" s="67"/>
      <c r="BR16" s="72" t="str">
        <f t="shared" si="16"/>
        <v/>
      </c>
      <c r="BS16" s="67"/>
      <c r="BT16" s="72" t="str">
        <f t="shared" si="41"/>
        <v/>
      </c>
      <c r="BU16" s="67"/>
      <c r="BV16" s="72" t="str">
        <f t="shared" si="1"/>
        <v/>
      </c>
      <c r="BW16" s="67"/>
      <c r="BX16" s="72" t="str">
        <f t="shared" si="42"/>
        <v/>
      </c>
      <c r="BY16" s="67"/>
      <c r="BZ16" s="72" t="str">
        <f t="shared" si="17"/>
        <v/>
      </c>
      <c r="CA16" s="67"/>
      <c r="CB16" s="72" t="str">
        <f t="shared" si="18"/>
        <v/>
      </c>
      <c r="CC16" s="67"/>
      <c r="CD16" s="72" t="str">
        <f t="shared" si="19"/>
        <v/>
      </c>
      <c r="CE16" s="67"/>
      <c r="CF16" s="72" t="str">
        <f t="shared" si="20"/>
        <v/>
      </c>
      <c r="CG16" s="67"/>
      <c r="CH16" s="72" t="str">
        <f t="shared" si="21"/>
        <v/>
      </c>
      <c r="CI16" s="67"/>
      <c r="CJ16" s="72" t="str">
        <f t="shared" si="2"/>
        <v/>
      </c>
      <c r="CK16" s="67"/>
      <c r="CL16" s="71" t="str">
        <f t="shared" si="22"/>
        <v/>
      </c>
      <c r="CM16" s="72"/>
      <c r="CN16" s="69"/>
      <c r="CO16" s="69"/>
    </row>
    <row r="17" spans="1:93" ht="25.5" customHeight="1" thickBot="1" x14ac:dyDescent="0.45">
      <c r="A17" s="70">
        <v>43875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43876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43877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43878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>IF((AE20-AE19&lt;0), "",(AE20-AE19)*10000)</f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43879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221</v>
      </c>
      <c r="R35" s="76">
        <f>SUM(R4:R33)</f>
        <v>93</v>
      </c>
      <c r="AX35" s="72">
        <f t="shared" si="32"/>
        <v>0</v>
      </c>
      <c r="BF35" s="76">
        <f>SUM(BF4:BF33)</f>
        <v>718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B21" sqref="B2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43875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43876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43877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43878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2020-02-13T00:55:00Z</dcterms:modified>
</cp:coreProperties>
</file>