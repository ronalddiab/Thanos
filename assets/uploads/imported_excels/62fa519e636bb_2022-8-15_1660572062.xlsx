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-my.sharepoint.com/personal/tom_wuebben_fourseasons_com/Documents/Utilities/HEP/2022/"/>
    </mc:Choice>
  </mc:AlternateContent>
  <xr:revisionPtr revIDLastSave="651" documentId="8_{722EA937-C075-44E3-AE1E-2699536DFD5C}" xr6:coauthVersionLast="47" xr6:coauthVersionMax="47" xr10:uidLastSave="{B123BD19-538B-4E26-8879-6CD3F3DB9436}"/>
  <bookViews>
    <workbookView xWindow="-120" yWindow="-120" windowWidth="16440" windowHeight="28440" activeTab="2" xr2:uid="{00000000-000D-0000-FFFF-FFFF00000000}"/>
  </bookViews>
  <sheets>
    <sheet name="TOTAL" sheetId="1" r:id="rId1"/>
    <sheet name="Submetering" sheetId="3" r:id="rId2"/>
    <sheet name="Elect" sheetId="5" r:id="rId3"/>
    <sheet name="Wtr-Gas" sheetId="6" r:id="rId4"/>
    <sheet name="Occupancy" sheetId="14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B41" i="5" l="1"/>
  <c r="AZ41" i="5"/>
  <c r="AX41" i="5"/>
  <c r="AV41" i="5"/>
  <c r="AL41" i="5"/>
  <c r="AJ41" i="5"/>
  <c r="AG41" i="5"/>
  <c r="AD41" i="5"/>
  <c r="AA41" i="5"/>
  <c r="X41" i="5"/>
  <c r="U41" i="5"/>
  <c r="R41" i="5"/>
  <c r="O41" i="5"/>
  <c r="AO41" i="5" s="1"/>
  <c r="L41" i="5"/>
  <c r="R39" i="3" s="1"/>
  <c r="I41" i="5"/>
  <c r="F41" i="5"/>
  <c r="BH41" i="6"/>
  <c r="BF41" i="6"/>
  <c r="BD41" i="6"/>
  <c r="BA41" i="6"/>
  <c r="AY41" i="6"/>
  <c r="BB41" i="6" s="1"/>
  <c r="AX39" i="3" s="1"/>
  <c r="AV41" i="6"/>
  <c r="AR41" i="6"/>
  <c r="AP41" i="6"/>
  <c r="AN41" i="6"/>
  <c r="AL41" i="6"/>
  <c r="AJ41" i="6"/>
  <c r="AH41" i="6"/>
  <c r="AF41" i="6"/>
  <c r="AD41" i="6"/>
  <c r="AB41" i="6"/>
  <c r="BH40" i="6"/>
  <c r="BF40" i="6"/>
  <c r="BD40" i="6"/>
  <c r="BA40" i="6"/>
  <c r="AY40" i="6"/>
  <c r="BB40" i="6" s="1"/>
  <c r="AX38" i="3" s="1"/>
  <c r="AV40" i="6"/>
  <c r="AR40" i="6"/>
  <c r="AP40" i="6"/>
  <c r="AN40" i="6"/>
  <c r="AL40" i="6"/>
  <c r="AJ40" i="6"/>
  <c r="AH40" i="6"/>
  <c r="AF40" i="6"/>
  <c r="AD40" i="6"/>
  <c r="AB40" i="6"/>
  <c r="BB40" i="5"/>
  <c r="AZ40" i="5"/>
  <c r="AX40" i="5"/>
  <c r="AV40" i="5"/>
  <c r="AL40" i="5"/>
  <c r="AJ40" i="5"/>
  <c r="AG40" i="5"/>
  <c r="AD40" i="5"/>
  <c r="AA40" i="5"/>
  <c r="X40" i="5"/>
  <c r="AO40" i="5" s="1"/>
  <c r="AQ40" i="5" s="1"/>
  <c r="U40" i="5"/>
  <c r="R40" i="5"/>
  <c r="O40" i="5"/>
  <c r="L40" i="5"/>
  <c r="I40" i="5"/>
  <c r="F40" i="5"/>
  <c r="H38" i="3" s="1"/>
  <c r="BH39" i="6"/>
  <c r="BF39" i="6"/>
  <c r="BD39" i="6"/>
  <c r="AY39" i="6"/>
  <c r="BA39" i="6"/>
  <c r="BB39" i="6"/>
  <c r="AV39" i="6"/>
  <c r="BH38" i="6"/>
  <c r="BF38" i="6"/>
  <c r="BD38" i="6"/>
  <c r="AY38" i="6"/>
  <c r="BA38" i="6"/>
  <c r="BB38" i="6"/>
  <c r="AV38" i="6"/>
  <c r="AR39" i="6"/>
  <c r="AP39" i="6"/>
  <c r="AN39" i="6"/>
  <c r="AL39" i="6"/>
  <c r="AJ39" i="6"/>
  <c r="AH39" i="6"/>
  <c r="AF39" i="6"/>
  <c r="AD39" i="6"/>
  <c r="AB39" i="6"/>
  <c r="AR38" i="6"/>
  <c r="AP38" i="6"/>
  <c r="AN38" i="6"/>
  <c r="AL38" i="6"/>
  <c r="AJ38" i="6"/>
  <c r="AH38" i="6"/>
  <c r="AF38" i="6"/>
  <c r="AD38" i="6"/>
  <c r="AB38" i="6"/>
  <c r="BB39" i="5"/>
  <c r="AZ39" i="5"/>
  <c r="AX39" i="5"/>
  <c r="AV39" i="5"/>
  <c r="BB38" i="5"/>
  <c r="AZ38" i="5"/>
  <c r="AX38" i="5"/>
  <c r="AV38" i="5"/>
  <c r="AL39" i="5"/>
  <c r="AJ39" i="5"/>
  <c r="AG39" i="5"/>
  <c r="AD39" i="5"/>
  <c r="AA39" i="5"/>
  <c r="X39" i="5"/>
  <c r="U39" i="5"/>
  <c r="R39" i="5"/>
  <c r="O39" i="5"/>
  <c r="L39" i="5"/>
  <c r="I39" i="5"/>
  <c r="F39" i="5"/>
  <c r="AL38" i="5"/>
  <c r="AJ38" i="5"/>
  <c r="AG38" i="5"/>
  <c r="AD38" i="5"/>
  <c r="AA38" i="5"/>
  <c r="X38" i="5"/>
  <c r="U38" i="5"/>
  <c r="R38" i="5"/>
  <c r="O38" i="5"/>
  <c r="L38" i="5"/>
  <c r="I38" i="5"/>
  <c r="F38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BH37" i="6"/>
  <c r="BF37" i="6"/>
  <c r="BD37" i="6"/>
  <c r="AY37" i="6"/>
  <c r="BA37" i="6"/>
  <c r="BB37" i="6"/>
  <c r="AV37" i="6"/>
  <c r="AR37" i="6"/>
  <c r="AP37" i="6"/>
  <c r="AN37" i="6"/>
  <c r="AL37" i="6"/>
  <c r="AJ37" i="6"/>
  <c r="AH37" i="6"/>
  <c r="AF37" i="6"/>
  <c r="AD37" i="6"/>
  <c r="AB37" i="6"/>
  <c r="BB37" i="5"/>
  <c r="AZ37" i="5"/>
  <c r="AX37" i="5"/>
  <c r="AV37" i="5"/>
  <c r="AL37" i="5"/>
  <c r="AJ37" i="5"/>
  <c r="AG37" i="5"/>
  <c r="AD37" i="5"/>
  <c r="AA37" i="5"/>
  <c r="X37" i="5"/>
  <c r="U37" i="5"/>
  <c r="R37" i="5"/>
  <c r="O37" i="5"/>
  <c r="L37" i="5"/>
  <c r="I37" i="5"/>
  <c r="F37" i="5"/>
  <c r="BH36" i="6"/>
  <c r="BF36" i="6"/>
  <c r="BD36" i="6"/>
  <c r="AY36" i="6"/>
  <c r="BA36" i="6"/>
  <c r="BB36" i="6"/>
  <c r="AV36" i="6"/>
  <c r="AR36" i="6"/>
  <c r="AP36" i="6"/>
  <c r="AN36" i="6"/>
  <c r="AL36" i="6"/>
  <c r="AJ36" i="6"/>
  <c r="AH36" i="6"/>
  <c r="AF36" i="6"/>
  <c r="AD36" i="6"/>
  <c r="AB36" i="6"/>
  <c r="BB36" i="5"/>
  <c r="AZ36" i="5"/>
  <c r="AX36" i="5"/>
  <c r="AV36" i="5"/>
  <c r="AL36" i="5"/>
  <c r="AJ36" i="5"/>
  <c r="AG36" i="5"/>
  <c r="AD36" i="5"/>
  <c r="AA36" i="5"/>
  <c r="X36" i="5"/>
  <c r="U36" i="5"/>
  <c r="R36" i="5"/>
  <c r="O36" i="5"/>
  <c r="L36" i="5"/>
  <c r="I36" i="5"/>
  <c r="F36" i="5"/>
  <c r="BH35" i="6"/>
  <c r="BF35" i="6"/>
  <c r="BD35" i="6"/>
  <c r="AY35" i="6"/>
  <c r="BA35" i="6"/>
  <c r="BB35" i="6"/>
  <c r="AV35" i="6"/>
  <c r="BH34" i="6"/>
  <c r="BF34" i="6"/>
  <c r="BD34" i="6"/>
  <c r="AY34" i="6"/>
  <c r="BA34" i="6"/>
  <c r="BB34" i="6"/>
  <c r="AV34" i="6"/>
  <c r="AR35" i="6"/>
  <c r="AP35" i="6"/>
  <c r="AN35" i="6"/>
  <c r="AL35" i="6"/>
  <c r="AJ35" i="6"/>
  <c r="AH35" i="6"/>
  <c r="AF35" i="6"/>
  <c r="AD35" i="6"/>
  <c r="AB35" i="6"/>
  <c r="AR34" i="6"/>
  <c r="AP34" i="6"/>
  <c r="AN34" i="6"/>
  <c r="AL34" i="6"/>
  <c r="AJ34" i="6"/>
  <c r="AH34" i="6"/>
  <c r="AF34" i="6"/>
  <c r="AD34" i="6"/>
  <c r="AB34" i="6"/>
  <c r="BB35" i="5"/>
  <c r="AZ35" i="5"/>
  <c r="AX35" i="5"/>
  <c r="AV35" i="5"/>
  <c r="BB34" i="5"/>
  <c r="AZ34" i="5"/>
  <c r="AX34" i="5"/>
  <c r="AV34" i="5"/>
  <c r="AL35" i="5"/>
  <c r="AJ35" i="5"/>
  <c r="AG35" i="5"/>
  <c r="AD35" i="5"/>
  <c r="AA35" i="5"/>
  <c r="X35" i="5"/>
  <c r="U35" i="5"/>
  <c r="R35" i="5"/>
  <c r="O35" i="5"/>
  <c r="L35" i="5"/>
  <c r="I35" i="5"/>
  <c r="F35" i="5"/>
  <c r="AL34" i="5"/>
  <c r="AJ34" i="5"/>
  <c r="AG34" i="5"/>
  <c r="AD34" i="5"/>
  <c r="AA34" i="5"/>
  <c r="X34" i="5"/>
  <c r="U34" i="5"/>
  <c r="R34" i="5"/>
  <c r="O34" i="5"/>
  <c r="L34" i="5"/>
  <c r="I34" i="5"/>
  <c r="F34" i="5"/>
  <c r="BB33" i="5"/>
  <c r="AZ33" i="5"/>
  <c r="AX33" i="5"/>
  <c r="AV33" i="5"/>
  <c r="AL33" i="5"/>
  <c r="AJ33" i="5"/>
  <c r="AG33" i="5"/>
  <c r="AD33" i="5"/>
  <c r="AA33" i="5"/>
  <c r="X33" i="5"/>
  <c r="U33" i="5"/>
  <c r="R33" i="5"/>
  <c r="O33" i="5"/>
  <c r="L33" i="5"/>
  <c r="I33" i="5"/>
  <c r="F33" i="5"/>
  <c r="BH33" i="6"/>
  <c r="BF33" i="6"/>
  <c r="BD33" i="6"/>
  <c r="AY33" i="6"/>
  <c r="BA33" i="6"/>
  <c r="BB33" i="6"/>
  <c r="AV33" i="6"/>
  <c r="AR33" i="6"/>
  <c r="AP33" i="6"/>
  <c r="AN33" i="6"/>
  <c r="AL33" i="6"/>
  <c r="AJ33" i="6"/>
  <c r="AH33" i="6"/>
  <c r="AF33" i="6"/>
  <c r="AD33" i="6"/>
  <c r="AB33" i="6"/>
  <c r="BB32" i="5"/>
  <c r="AZ32" i="5"/>
  <c r="AX32" i="5"/>
  <c r="AV32" i="5"/>
  <c r="AL32" i="5"/>
  <c r="AJ32" i="5"/>
  <c r="AG32" i="5"/>
  <c r="AD32" i="5"/>
  <c r="AA32" i="5"/>
  <c r="X32" i="5"/>
  <c r="U32" i="5"/>
  <c r="R32" i="5"/>
  <c r="O32" i="5"/>
  <c r="L32" i="5"/>
  <c r="I32" i="5"/>
  <c r="F32" i="5"/>
  <c r="BH32" i="6"/>
  <c r="BF32" i="6"/>
  <c r="BD32" i="6"/>
  <c r="AY32" i="6"/>
  <c r="BA32" i="6"/>
  <c r="BB32" i="6"/>
  <c r="AV32" i="6"/>
  <c r="AR32" i="6"/>
  <c r="AP32" i="6"/>
  <c r="AN32" i="6"/>
  <c r="AL32" i="6"/>
  <c r="AJ32" i="6"/>
  <c r="AH32" i="6"/>
  <c r="AF32" i="6"/>
  <c r="AD32" i="6"/>
  <c r="AB32" i="6"/>
  <c r="BH31" i="6"/>
  <c r="BF31" i="6"/>
  <c r="BD31" i="6"/>
  <c r="AY31" i="6"/>
  <c r="BA31" i="6"/>
  <c r="BB31" i="6"/>
  <c r="AV31" i="6"/>
  <c r="AR31" i="6"/>
  <c r="AP31" i="6"/>
  <c r="AN31" i="6"/>
  <c r="AL31" i="6"/>
  <c r="AJ31" i="6"/>
  <c r="AH31" i="6"/>
  <c r="AF31" i="6"/>
  <c r="AD31" i="6"/>
  <c r="AB31" i="6"/>
  <c r="BB31" i="5"/>
  <c r="AZ31" i="5"/>
  <c r="AX31" i="5"/>
  <c r="AV31" i="5"/>
  <c r="AL31" i="5"/>
  <c r="AJ31" i="5"/>
  <c r="AG31" i="5"/>
  <c r="AD31" i="5"/>
  <c r="AA31" i="5"/>
  <c r="X31" i="5"/>
  <c r="U31" i="5"/>
  <c r="R31" i="5"/>
  <c r="O31" i="5"/>
  <c r="L31" i="5"/>
  <c r="I31" i="5"/>
  <c r="F31" i="5"/>
  <c r="BH30" i="6"/>
  <c r="BF30" i="6"/>
  <c r="BD30" i="6"/>
  <c r="AY30" i="6"/>
  <c r="BA30" i="6"/>
  <c r="BB30" i="6"/>
  <c r="AV30" i="6"/>
  <c r="BH29" i="6"/>
  <c r="BF29" i="6"/>
  <c r="BD29" i="6"/>
  <c r="AY29" i="6"/>
  <c r="BA29" i="6"/>
  <c r="BB29" i="6"/>
  <c r="AV29" i="6"/>
  <c r="AR30" i="6"/>
  <c r="AP30" i="6"/>
  <c r="AN30" i="6"/>
  <c r="AL30" i="6"/>
  <c r="AJ30" i="6"/>
  <c r="AH30" i="6"/>
  <c r="AF30" i="6"/>
  <c r="AD30" i="6"/>
  <c r="AB30" i="6"/>
  <c r="AR29" i="6"/>
  <c r="AP29" i="6"/>
  <c r="AN29" i="6"/>
  <c r="AL29" i="6"/>
  <c r="AJ29" i="6"/>
  <c r="AH29" i="6"/>
  <c r="AF29" i="6"/>
  <c r="AD29" i="6"/>
  <c r="AB29" i="6"/>
  <c r="BB30" i="5"/>
  <c r="AZ30" i="5"/>
  <c r="AX30" i="5"/>
  <c r="AV30" i="5"/>
  <c r="BB29" i="5"/>
  <c r="AZ29" i="5"/>
  <c r="AX29" i="5"/>
  <c r="AV29" i="5"/>
  <c r="AL30" i="5"/>
  <c r="AJ30" i="5"/>
  <c r="AG30" i="5"/>
  <c r="AD30" i="5"/>
  <c r="AA30" i="5"/>
  <c r="X30" i="5"/>
  <c r="U30" i="5"/>
  <c r="R30" i="5"/>
  <c r="O30" i="5"/>
  <c r="L30" i="5"/>
  <c r="I30" i="5"/>
  <c r="F30" i="5"/>
  <c r="AL29" i="5"/>
  <c r="AJ29" i="5"/>
  <c r="AG29" i="5"/>
  <c r="AD29" i="5"/>
  <c r="AA29" i="5"/>
  <c r="X29" i="5"/>
  <c r="U29" i="5"/>
  <c r="R29" i="5"/>
  <c r="O29" i="5"/>
  <c r="L29" i="5"/>
  <c r="I29" i="5"/>
  <c r="F29" i="5"/>
  <c r="C39" i="5"/>
  <c r="C38" i="5"/>
  <c r="C37" i="5"/>
  <c r="C36" i="5"/>
  <c r="C35" i="5"/>
  <c r="C34" i="5"/>
  <c r="C33" i="5"/>
  <c r="C32" i="5"/>
  <c r="C31" i="5"/>
  <c r="C30" i="5"/>
  <c r="BH28" i="6"/>
  <c r="BF28" i="6"/>
  <c r="BD28" i="6"/>
  <c r="BA28" i="6"/>
  <c r="AY28" i="6"/>
  <c r="BB28" i="6"/>
  <c r="AV28" i="6"/>
  <c r="AR28" i="6"/>
  <c r="AP28" i="6"/>
  <c r="AN28" i="6"/>
  <c r="AL28" i="6"/>
  <c r="AJ28" i="6"/>
  <c r="AH28" i="6"/>
  <c r="AF28" i="6"/>
  <c r="AD28" i="6"/>
  <c r="AB28" i="6"/>
  <c r="BB28" i="5"/>
  <c r="AZ28" i="5"/>
  <c r="AX28" i="5"/>
  <c r="AV28" i="5"/>
  <c r="AL28" i="5"/>
  <c r="AJ28" i="5"/>
  <c r="AG28" i="5"/>
  <c r="AD28" i="5"/>
  <c r="AA28" i="5"/>
  <c r="X28" i="5"/>
  <c r="U28" i="5"/>
  <c r="R28" i="5"/>
  <c r="O28" i="5"/>
  <c r="L28" i="5"/>
  <c r="I28" i="5"/>
  <c r="F28" i="5"/>
  <c r="BH27" i="6"/>
  <c r="BF27" i="6"/>
  <c r="BD27" i="6"/>
  <c r="BA27" i="6"/>
  <c r="AY27" i="6"/>
  <c r="BB27" i="6"/>
  <c r="AV27" i="6"/>
  <c r="AR27" i="6"/>
  <c r="AP27" i="6"/>
  <c r="AN27" i="6"/>
  <c r="AL27" i="6"/>
  <c r="AJ27" i="6"/>
  <c r="AH27" i="6"/>
  <c r="AF27" i="6"/>
  <c r="AD27" i="6"/>
  <c r="AB27" i="6"/>
  <c r="BD28" i="5"/>
  <c r="BD29" i="5"/>
  <c r="BD30" i="5"/>
  <c r="BD31" i="5"/>
  <c r="BD32" i="5"/>
  <c r="BD33" i="5"/>
  <c r="BD34" i="5"/>
  <c r="BD35" i="5"/>
  <c r="BD36" i="5"/>
  <c r="BD37" i="5"/>
  <c r="BD38" i="5"/>
  <c r="BD39" i="5"/>
  <c r="BD40" i="5"/>
  <c r="BD41" i="5"/>
  <c r="BD42" i="5"/>
  <c r="BD43" i="5"/>
  <c r="BD44" i="5"/>
  <c r="BD45" i="5"/>
  <c r="BD46" i="5"/>
  <c r="BD47" i="5"/>
  <c r="BD48" i="5"/>
  <c r="BD49" i="5"/>
  <c r="BD50" i="5"/>
  <c r="BD51" i="5"/>
  <c r="BD52" i="5"/>
  <c r="BD53" i="5"/>
  <c r="BD54" i="5"/>
  <c r="BD55" i="5"/>
  <c r="BD56" i="5"/>
  <c r="BD57" i="5"/>
  <c r="BD58" i="5"/>
  <c r="BD59" i="5"/>
  <c r="BD60" i="5"/>
  <c r="BD61" i="5"/>
  <c r="BD62" i="5"/>
  <c r="BD63" i="5"/>
  <c r="BD64" i="5"/>
  <c r="BD27" i="5"/>
  <c r="BD6" i="5"/>
  <c r="BD7" i="5"/>
  <c r="BD8" i="5"/>
  <c r="BD9" i="5"/>
  <c r="BD10" i="5"/>
  <c r="BD11" i="5"/>
  <c r="BD12" i="5"/>
  <c r="BD13" i="5"/>
  <c r="BD14" i="5"/>
  <c r="BD15" i="5"/>
  <c r="BD16" i="5"/>
  <c r="BD17" i="5"/>
  <c r="BD18" i="5"/>
  <c r="BD19" i="5"/>
  <c r="BD20" i="5"/>
  <c r="BD21" i="5"/>
  <c r="BD22" i="5"/>
  <c r="BD23" i="5"/>
  <c r="BD24" i="5"/>
  <c r="BD25" i="5"/>
  <c r="BD26" i="5"/>
  <c r="BD5" i="5"/>
  <c r="BB27" i="5"/>
  <c r="AZ27" i="5"/>
  <c r="AX27" i="5"/>
  <c r="AV27" i="5"/>
  <c r="AL27" i="5"/>
  <c r="AJ27" i="5"/>
  <c r="AG27" i="5"/>
  <c r="AD27" i="5"/>
  <c r="AA27" i="5"/>
  <c r="X27" i="5"/>
  <c r="U27" i="5"/>
  <c r="R27" i="5"/>
  <c r="O27" i="5"/>
  <c r="L27" i="5"/>
  <c r="I27" i="5"/>
  <c r="F27" i="5"/>
  <c r="AF26" i="6"/>
  <c r="BH26" i="6"/>
  <c r="BF26" i="6"/>
  <c r="BD26" i="6"/>
  <c r="BA26" i="6"/>
  <c r="AY26" i="6"/>
  <c r="BB26" i="6"/>
  <c r="AV26" i="6"/>
  <c r="BH25" i="6"/>
  <c r="BF25" i="6"/>
  <c r="BD25" i="6"/>
  <c r="BA25" i="6"/>
  <c r="AY25" i="6"/>
  <c r="AV25" i="6"/>
  <c r="AR26" i="6"/>
  <c r="AP26" i="6"/>
  <c r="AN26" i="6"/>
  <c r="AL26" i="6"/>
  <c r="AJ26" i="6"/>
  <c r="AH26" i="6"/>
  <c r="AD26" i="6"/>
  <c r="AB26" i="6"/>
  <c r="AR25" i="6"/>
  <c r="AP25" i="6"/>
  <c r="AN25" i="6"/>
  <c r="AL25" i="6"/>
  <c r="AJ25" i="6"/>
  <c r="AH25" i="6"/>
  <c r="AD25" i="6"/>
  <c r="AB25" i="6"/>
  <c r="BB26" i="5"/>
  <c r="AZ26" i="5"/>
  <c r="AX26" i="5"/>
  <c r="AV26" i="5"/>
  <c r="BB25" i="5"/>
  <c r="AZ25" i="5"/>
  <c r="AX25" i="5"/>
  <c r="AV25" i="5"/>
  <c r="AL26" i="5"/>
  <c r="AJ26" i="5"/>
  <c r="AG26" i="5"/>
  <c r="AD26" i="5"/>
  <c r="AA26" i="5"/>
  <c r="X26" i="5"/>
  <c r="U26" i="5"/>
  <c r="R26" i="5"/>
  <c r="O26" i="5"/>
  <c r="L26" i="5"/>
  <c r="I26" i="5"/>
  <c r="F26" i="5"/>
  <c r="AL25" i="5"/>
  <c r="AJ25" i="5"/>
  <c r="AG25" i="5"/>
  <c r="AD25" i="5"/>
  <c r="AA25" i="5"/>
  <c r="X25" i="5"/>
  <c r="U25" i="5"/>
  <c r="R25" i="5"/>
  <c r="O25" i="5"/>
  <c r="L25" i="5"/>
  <c r="I25" i="5"/>
  <c r="F25" i="5"/>
  <c r="C29" i="5"/>
  <c r="C28" i="5"/>
  <c r="C27" i="5"/>
  <c r="C26" i="5"/>
  <c r="C25" i="5"/>
  <c r="C24" i="5"/>
  <c r="BB24" i="5"/>
  <c r="AZ24" i="5"/>
  <c r="AX24" i="5"/>
  <c r="AV24" i="5"/>
  <c r="BB23" i="5"/>
  <c r="AZ23" i="5"/>
  <c r="AX23" i="5"/>
  <c r="AV23" i="5"/>
  <c r="AL24" i="5"/>
  <c r="AJ24" i="5"/>
  <c r="AG24" i="5"/>
  <c r="AD24" i="5"/>
  <c r="AA24" i="5"/>
  <c r="X24" i="5"/>
  <c r="U24" i="5"/>
  <c r="R24" i="5"/>
  <c r="O24" i="5"/>
  <c r="L24" i="5"/>
  <c r="I24" i="5"/>
  <c r="F24" i="5"/>
  <c r="AL23" i="5"/>
  <c r="AJ23" i="5"/>
  <c r="AG23" i="5"/>
  <c r="AD23" i="5"/>
  <c r="AA23" i="5"/>
  <c r="X23" i="5"/>
  <c r="U23" i="5"/>
  <c r="R23" i="5"/>
  <c r="O23" i="5"/>
  <c r="L23" i="5"/>
  <c r="I23" i="5"/>
  <c r="F23" i="5"/>
  <c r="BH24" i="6"/>
  <c r="BF24" i="6"/>
  <c r="BD24" i="6"/>
  <c r="BA24" i="6"/>
  <c r="AY24" i="6"/>
  <c r="AV24" i="6"/>
  <c r="BH23" i="6"/>
  <c r="BF23" i="6"/>
  <c r="BD23" i="6"/>
  <c r="BA23" i="6"/>
  <c r="BB23" i="6"/>
  <c r="AY23" i="6"/>
  <c r="AV23" i="6"/>
  <c r="AR24" i="6"/>
  <c r="AP24" i="6"/>
  <c r="AN24" i="6"/>
  <c r="AL24" i="6"/>
  <c r="AJ24" i="6"/>
  <c r="AH24" i="6"/>
  <c r="AD24" i="6"/>
  <c r="AB24" i="6"/>
  <c r="AR23" i="6"/>
  <c r="AP23" i="6"/>
  <c r="AN23" i="6"/>
  <c r="AL23" i="6"/>
  <c r="AJ23" i="6"/>
  <c r="AH23" i="6"/>
  <c r="AD23" i="6"/>
  <c r="AB23" i="6"/>
  <c r="BH22" i="6"/>
  <c r="BF22" i="6"/>
  <c r="BD22" i="6"/>
  <c r="BA22" i="6"/>
  <c r="AY22" i="6"/>
  <c r="BB22" i="6"/>
  <c r="AV22" i="6"/>
  <c r="AR22" i="6"/>
  <c r="AP22" i="6"/>
  <c r="AN22" i="6"/>
  <c r="AL22" i="6"/>
  <c r="AJ22" i="6"/>
  <c r="AH22" i="6"/>
  <c r="AD22" i="6"/>
  <c r="AB22" i="6"/>
  <c r="BB22" i="5"/>
  <c r="AZ22" i="5"/>
  <c r="AX22" i="5"/>
  <c r="AV22" i="5"/>
  <c r="AL22" i="5"/>
  <c r="AJ22" i="5"/>
  <c r="AG22" i="5"/>
  <c r="AD22" i="5"/>
  <c r="AA22" i="5"/>
  <c r="X22" i="5"/>
  <c r="U22" i="5"/>
  <c r="R22" i="5"/>
  <c r="O22" i="5"/>
  <c r="L22" i="5"/>
  <c r="I22" i="5"/>
  <c r="F22" i="5"/>
  <c r="BB25" i="6"/>
  <c r="BB24" i="6"/>
  <c r="BB21" i="5"/>
  <c r="AZ21" i="5"/>
  <c r="AX21" i="5"/>
  <c r="AV21" i="5"/>
  <c r="AL21" i="5"/>
  <c r="AJ21" i="5"/>
  <c r="AG21" i="5"/>
  <c r="AD21" i="5"/>
  <c r="AA21" i="5"/>
  <c r="X21" i="5"/>
  <c r="U21" i="5"/>
  <c r="AO21" i="5"/>
  <c r="R21" i="5"/>
  <c r="O21" i="5"/>
  <c r="L21" i="5"/>
  <c r="I21" i="5"/>
  <c r="F21" i="5"/>
  <c r="BH21" i="6"/>
  <c r="BF21" i="6"/>
  <c r="BD21" i="6"/>
  <c r="BA21" i="6"/>
  <c r="AY21" i="6"/>
  <c r="BB21" i="6"/>
  <c r="AV21" i="6"/>
  <c r="AR21" i="6"/>
  <c r="AP21" i="6"/>
  <c r="AN21" i="6"/>
  <c r="AL21" i="6"/>
  <c r="AJ21" i="6"/>
  <c r="AH21" i="6"/>
  <c r="AD21" i="6"/>
  <c r="AB21" i="6"/>
  <c r="BB20" i="5"/>
  <c r="AZ20" i="5"/>
  <c r="AX20" i="5"/>
  <c r="AV20" i="5"/>
  <c r="BB19" i="5"/>
  <c r="AZ19" i="5"/>
  <c r="AX19" i="5"/>
  <c r="AV19" i="5"/>
  <c r="AL20" i="5"/>
  <c r="AJ20" i="5"/>
  <c r="AG20" i="5"/>
  <c r="AD20" i="5"/>
  <c r="AA20" i="5"/>
  <c r="X20" i="5"/>
  <c r="U20" i="5"/>
  <c r="R20" i="5"/>
  <c r="O20" i="5"/>
  <c r="L20" i="5"/>
  <c r="I20" i="5"/>
  <c r="F20" i="5"/>
  <c r="AO20" i="5"/>
  <c r="AQ20" i="5"/>
  <c r="AL19" i="5"/>
  <c r="AJ19" i="5"/>
  <c r="AG19" i="5"/>
  <c r="AD19" i="5"/>
  <c r="AA19" i="5"/>
  <c r="X19" i="5"/>
  <c r="U19" i="5"/>
  <c r="R19" i="5"/>
  <c r="O19" i="5"/>
  <c r="L19" i="5"/>
  <c r="I19" i="5"/>
  <c r="F19" i="5"/>
  <c r="AO19" i="5"/>
  <c r="BH20" i="6"/>
  <c r="BF20" i="6"/>
  <c r="BD20" i="6"/>
  <c r="BA20" i="6"/>
  <c r="AY20" i="6"/>
  <c r="BB20" i="6"/>
  <c r="AV20" i="6"/>
  <c r="BH19" i="6"/>
  <c r="BF19" i="6"/>
  <c r="BD19" i="6"/>
  <c r="BA19" i="6"/>
  <c r="AY19" i="6"/>
  <c r="BB19" i="6"/>
  <c r="AV19" i="6"/>
  <c r="AR20" i="6"/>
  <c r="AP20" i="6"/>
  <c r="AN20" i="6"/>
  <c r="AL20" i="6"/>
  <c r="AJ20" i="6"/>
  <c r="AH20" i="6"/>
  <c r="AD20" i="6"/>
  <c r="AB20" i="6"/>
  <c r="AR19" i="6"/>
  <c r="AP19" i="6"/>
  <c r="AN19" i="6"/>
  <c r="AL19" i="6"/>
  <c r="AJ19" i="6"/>
  <c r="AH19" i="6"/>
  <c r="AD19" i="6"/>
  <c r="AB19" i="6"/>
  <c r="C23" i="5"/>
  <c r="C22" i="5"/>
  <c r="C21" i="5"/>
  <c r="C20" i="5"/>
  <c r="C18" i="5"/>
  <c r="C19" i="5"/>
  <c r="BH18" i="6"/>
  <c r="BF18" i="6"/>
  <c r="BD18" i="6"/>
  <c r="BA18" i="6"/>
  <c r="AY18" i="6"/>
  <c r="BB18" i="6"/>
  <c r="AV18" i="6"/>
  <c r="AR18" i="6"/>
  <c r="AP18" i="6"/>
  <c r="AN18" i="6"/>
  <c r="AL18" i="6"/>
  <c r="AJ18" i="6"/>
  <c r="AH18" i="6"/>
  <c r="AD18" i="6"/>
  <c r="AB18" i="6"/>
  <c r="BB18" i="5"/>
  <c r="AZ18" i="5"/>
  <c r="AX18" i="5"/>
  <c r="AV18" i="5"/>
  <c r="AL18" i="5"/>
  <c r="AJ18" i="5"/>
  <c r="AG18" i="5"/>
  <c r="AD18" i="5"/>
  <c r="AA18" i="5"/>
  <c r="X18" i="5"/>
  <c r="U18" i="5"/>
  <c r="R18" i="5"/>
  <c r="O18" i="5"/>
  <c r="L18" i="5"/>
  <c r="AO18" i="5"/>
  <c r="I18" i="5"/>
  <c r="F18" i="5"/>
  <c r="BH17" i="6"/>
  <c r="BF17" i="6"/>
  <c r="BD17" i="6"/>
  <c r="BA17" i="6"/>
  <c r="AY17" i="6"/>
  <c r="BB17" i="6"/>
  <c r="AV17" i="6"/>
  <c r="AR17" i="6"/>
  <c r="AP17" i="6"/>
  <c r="AN17" i="6"/>
  <c r="AL17" i="6"/>
  <c r="AJ17" i="6"/>
  <c r="AH17" i="6"/>
  <c r="AD17" i="6"/>
  <c r="AB17" i="6"/>
  <c r="BB17" i="5"/>
  <c r="AZ17" i="5"/>
  <c r="AX17" i="5"/>
  <c r="AV17" i="5"/>
  <c r="AL17" i="5"/>
  <c r="AJ17" i="5"/>
  <c r="AG17" i="5"/>
  <c r="AD17" i="5"/>
  <c r="AA17" i="5"/>
  <c r="X17" i="5"/>
  <c r="U17" i="5"/>
  <c r="R17" i="5"/>
  <c r="O17" i="5"/>
  <c r="L17" i="5"/>
  <c r="I17" i="5"/>
  <c r="AO17" i="5"/>
  <c r="F17" i="5"/>
  <c r="BB16" i="5"/>
  <c r="AZ16" i="5"/>
  <c r="AX16" i="5"/>
  <c r="AV16" i="5"/>
  <c r="AL16" i="5"/>
  <c r="AJ16" i="5"/>
  <c r="AG16" i="5"/>
  <c r="AD16" i="5"/>
  <c r="AA16" i="5"/>
  <c r="X16" i="5"/>
  <c r="U16" i="5"/>
  <c r="R16" i="5"/>
  <c r="O16" i="5"/>
  <c r="L16" i="5"/>
  <c r="I16" i="5"/>
  <c r="F16" i="5"/>
  <c r="AO16" i="5"/>
  <c r="BH16" i="6"/>
  <c r="BF16" i="6"/>
  <c r="BD16" i="6"/>
  <c r="BA16" i="6"/>
  <c r="AY16" i="6"/>
  <c r="AV16" i="6"/>
  <c r="AR16" i="6"/>
  <c r="AP16" i="6"/>
  <c r="AN16" i="6"/>
  <c r="AL16" i="6"/>
  <c r="AJ16" i="6"/>
  <c r="AH16" i="6"/>
  <c r="AD16" i="6"/>
  <c r="AB16" i="6"/>
  <c r="BH15" i="6"/>
  <c r="BF15" i="6"/>
  <c r="BD15" i="6"/>
  <c r="BA15" i="6"/>
  <c r="AY15" i="6"/>
  <c r="BB15" i="6"/>
  <c r="AV15" i="6"/>
  <c r="BH14" i="6"/>
  <c r="BF14" i="6"/>
  <c r="BD14" i="6"/>
  <c r="BA14" i="6"/>
  <c r="AY14" i="6"/>
  <c r="BB14" i="6"/>
  <c r="AV14" i="6"/>
  <c r="AR15" i="6"/>
  <c r="AP15" i="6"/>
  <c r="AN15" i="6"/>
  <c r="AL15" i="6"/>
  <c r="AJ15" i="6"/>
  <c r="AH15" i="6"/>
  <c r="AD15" i="6"/>
  <c r="AB15" i="6"/>
  <c r="AR14" i="6"/>
  <c r="AP14" i="6"/>
  <c r="AN14" i="6"/>
  <c r="AL14" i="6"/>
  <c r="AJ14" i="6"/>
  <c r="AH14" i="6"/>
  <c r="AD14" i="6"/>
  <c r="AB14" i="6"/>
  <c r="BB15" i="5"/>
  <c r="AZ15" i="5"/>
  <c r="AX15" i="5"/>
  <c r="AV15" i="5"/>
  <c r="BB14" i="5"/>
  <c r="AZ14" i="5"/>
  <c r="AX14" i="5"/>
  <c r="AV14" i="5"/>
  <c r="AL15" i="5"/>
  <c r="AJ15" i="5"/>
  <c r="AG15" i="5"/>
  <c r="AD15" i="5"/>
  <c r="AA15" i="5"/>
  <c r="X15" i="5"/>
  <c r="U15" i="5"/>
  <c r="R15" i="5"/>
  <c r="O15" i="5"/>
  <c r="L15" i="5"/>
  <c r="I15" i="5"/>
  <c r="F15" i="5"/>
  <c r="AO15" i="5"/>
  <c r="AL14" i="5"/>
  <c r="AJ14" i="5"/>
  <c r="AG14" i="5"/>
  <c r="AD14" i="5"/>
  <c r="AA14" i="5"/>
  <c r="X14" i="5"/>
  <c r="U14" i="5"/>
  <c r="R14" i="5"/>
  <c r="O14" i="5"/>
  <c r="L14" i="5"/>
  <c r="I14" i="5"/>
  <c r="F14" i="5"/>
  <c r="AO14" i="5"/>
  <c r="E14" i="6"/>
  <c r="H14" i="6"/>
  <c r="K14" i="6"/>
  <c r="N14" i="6"/>
  <c r="Q14" i="6"/>
  <c r="U14" i="6"/>
  <c r="X14" i="6"/>
  <c r="E15" i="6"/>
  <c r="H15" i="6"/>
  <c r="K15" i="6"/>
  <c r="N15" i="6"/>
  <c r="Q15" i="6"/>
  <c r="U15" i="6"/>
  <c r="BH13" i="6"/>
  <c r="BF13" i="6"/>
  <c r="BD13" i="6"/>
  <c r="BA13" i="6"/>
  <c r="AY13" i="6"/>
  <c r="BB13" i="6"/>
  <c r="AV13" i="6"/>
  <c r="BH12" i="6"/>
  <c r="BF12" i="6"/>
  <c r="BD12" i="6"/>
  <c r="BA12" i="6"/>
  <c r="AY12" i="6"/>
  <c r="AV12" i="6"/>
  <c r="AR13" i="6"/>
  <c r="AP13" i="6"/>
  <c r="AN13" i="6"/>
  <c r="AL13" i="6"/>
  <c r="AJ13" i="6"/>
  <c r="AH13" i="6"/>
  <c r="AD13" i="6"/>
  <c r="AB13" i="6"/>
  <c r="AR12" i="6"/>
  <c r="AP12" i="6"/>
  <c r="AN12" i="6"/>
  <c r="AL12" i="6"/>
  <c r="AJ12" i="6"/>
  <c r="AH12" i="6"/>
  <c r="AD12" i="6"/>
  <c r="AB12" i="6"/>
  <c r="BB13" i="5"/>
  <c r="AZ13" i="5"/>
  <c r="AX13" i="5"/>
  <c r="AV13" i="5"/>
  <c r="BB12" i="5"/>
  <c r="AZ12" i="5"/>
  <c r="AX12" i="5"/>
  <c r="AV12" i="5"/>
  <c r="AL13" i="5"/>
  <c r="AJ13" i="5"/>
  <c r="AG13" i="5"/>
  <c r="AD13" i="5"/>
  <c r="AA13" i="5"/>
  <c r="X13" i="5"/>
  <c r="U13" i="5"/>
  <c r="R13" i="5"/>
  <c r="O13" i="5"/>
  <c r="L13" i="5"/>
  <c r="I13" i="5"/>
  <c r="AO13" i="5"/>
  <c r="F13" i="5"/>
  <c r="AL12" i="5"/>
  <c r="AJ12" i="5"/>
  <c r="AG12" i="5"/>
  <c r="AD12" i="5"/>
  <c r="AA12" i="5"/>
  <c r="X12" i="5"/>
  <c r="U12" i="5"/>
  <c r="R12" i="5"/>
  <c r="O12" i="5"/>
  <c r="L12" i="5"/>
  <c r="I12" i="5"/>
  <c r="F12" i="5"/>
  <c r="C17" i="5"/>
  <c r="C16" i="5"/>
  <c r="C15" i="5"/>
  <c r="C14" i="5"/>
  <c r="BH11" i="6"/>
  <c r="BF11" i="6"/>
  <c r="BD11" i="6"/>
  <c r="BA11" i="6"/>
  <c r="AY11" i="6"/>
  <c r="BB11" i="6"/>
  <c r="AV11" i="6"/>
  <c r="AR11" i="6"/>
  <c r="AP11" i="6"/>
  <c r="AN11" i="6"/>
  <c r="AL11" i="6"/>
  <c r="AJ11" i="6"/>
  <c r="AH11" i="6"/>
  <c r="AD11" i="6"/>
  <c r="AB11" i="6"/>
  <c r="H11" i="6"/>
  <c r="BB11" i="5"/>
  <c r="AZ11" i="5"/>
  <c r="AX11" i="5"/>
  <c r="AV11" i="5"/>
  <c r="AL11" i="5"/>
  <c r="AJ11" i="5"/>
  <c r="AG11" i="5"/>
  <c r="AD11" i="5"/>
  <c r="AA11" i="5"/>
  <c r="X11" i="5"/>
  <c r="U11" i="5"/>
  <c r="R11" i="5"/>
  <c r="O11" i="5"/>
  <c r="L11" i="5"/>
  <c r="I11" i="5"/>
  <c r="F11" i="5"/>
  <c r="BH10" i="6"/>
  <c r="BF10" i="6"/>
  <c r="BD10" i="6"/>
  <c r="BA10" i="6"/>
  <c r="AY10" i="6"/>
  <c r="BB10" i="6"/>
  <c r="AV10" i="6"/>
  <c r="AR10" i="6"/>
  <c r="AP10" i="6"/>
  <c r="AN10" i="6"/>
  <c r="AL10" i="6"/>
  <c r="AJ10" i="6"/>
  <c r="AH10" i="6"/>
  <c r="AD10" i="6"/>
  <c r="AB10" i="6"/>
  <c r="BB10" i="5"/>
  <c r="AZ10" i="5"/>
  <c r="AX10" i="5"/>
  <c r="AV10" i="5"/>
  <c r="AL10" i="5"/>
  <c r="AJ10" i="5"/>
  <c r="AG10" i="5"/>
  <c r="AO10" i="5"/>
  <c r="AD10" i="5"/>
  <c r="AA10" i="5"/>
  <c r="X10" i="5"/>
  <c r="U10" i="5"/>
  <c r="R10" i="5"/>
  <c r="O10" i="5"/>
  <c r="L10" i="5"/>
  <c r="I10" i="5"/>
  <c r="F10" i="5"/>
  <c r="I62" i="1"/>
  <c r="C13" i="5"/>
  <c r="C12" i="5"/>
  <c r="C11" i="5"/>
  <c r="C10" i="5"/>
  <c r="BB9" i="5"/>
  <c r="AZ9" i="5"/>
  <c r="AX9" i="5"/>
  <c r="AV9" i="5"/>
  <c r="BB8" i="5"/>
  <c r="AZ8" i="5"/>
  <c r="AX8" i="5"/>
  <c r="AV8" i="5"/>
  <c r="AL9" i="5"/>
  <c r="AJ9" i="5"/>
  <c r="AG9" i="5"/>
  <c r="AD9" i="5"/>
  <c r="AA9" i="5"/>
  <c r="X9" i="5"/>
  <c r="U9" i="5"/>
  <c r="R9" i="5"/>
  <c r="O9" i="5"/>
  <c r="L9" i="5"/>
  <c r="I9" i="5"/>
  <c r="AO9" i="5"/>
  <c r="F9" i="5"/>
  <c r="AL8" i="5"/>
  <c r="AJ8" i="5"/>
  <c r="AG8" i="5"/>
  <c r="AD8" i="5"/>
  <c r="AA8" i="5"/>
  <c r="X8" i="5"/>
  <c r="U8" i="5"/>
  <c r="R8" i="5"/>
  <c r="AO8" i="5"/>
  <c r="AQ8" i="5"/>
  <c r="O8" i="5"/>
  <c r="L8" i="5"/>
  <c r="I8" i="5"/>
  <c r="F8" i="5"/>
  <c r="BH9" i="6"/>
  <c r="BF9" i="6"/>
  <c r="BD9" i="6"/>
  <c r="BA9" i="6"/>
  <c r="AY9" i="6"/>
  <c r="BB9" i="6"/>
  <c r="AV9" i="6"/>
  <c r="BH8" i="6"/>
  <c r="BF8" i="6"/>
  <c r="BD8" i="6"/>
  <c r="BA8" i="6"/>
  <c r="AY8" i="6"/>
  <c r="AV8" i="6"/>
  <c r="AR9" i="6"/>
  <c r="AP9" i="6"/>
  <c r="AN9" i="6"/>
  <c r="AL9" i="6"/>
  <c r="AJ9" i="6"/>
  <c r="AH9" i="6"/>
  <c r="AD9" i="6"/>
  <c r="AB9" i="6"/>
  <c r="AR8" i="6"/>
  <c r="AP8" i="6"/>
  <c r="AN8" i="6"/>
  <c r="AL8" i="6"/>
  <c r="AJ8" i="6"/>
  <c r="AH8" i="6"/>
  <c r="AD8" i="6"/>
  <c r="AB8" i="6"/>
  <c r="BH7" i="6"/>
  <c r="BF7" i="6"/>
  <c r="BD7" i="6"/>
  <c r="BA7" i="6"/>
  <c r="AY7" i="6"/>
  <c r="AV7" i="6"/>
  <c r="AR7" i="6"/>
  <c r="AP7" i="6"/>
  <c r="AN7" i="6"/>
  <c r="AL7" i="6"/>
  <c r="AJ7" i="6"/>
  <c r="AH7" i="6"/>
  <c r="AD7" i="6"/>
  <c r="AB7" i="6"/>
  <c r="AP8" i="5"/>
  <c r="AP9" i="5"/>
  <c r="AP11" i="5"/>
  <c r="AP12" i="5"/>
  <c r="AP13" i="5"/>
  <c r="AP14" i="5"/>
  <c r="AP15" i="5"/>
  <c r="AP16" i="5"/>
  <c r="AP17" i="5"/>
  <c r="AP18" i="5"/>
  <c r="AP19" i="5"/>
  <c r="AP20" i="5"/>
  <c r="AP21" i="5"/>
  <c r="AO22" i="5"/>
  <c r="AP22" i="5"/>
  <c r="AO23" i="5"/>
  <c r="AP23" i="5"/>
  <c r="AQ23" i="5"/>
  <c r="AO24" i="5"/>
  <c r="AP24" i="5"/>
  <c r="AQ24" i="5"/>
  <c r="AO25" i="5"/>
  <c r="AP25" i="5"/>
  <c r="AQ25" i="5"/>
  <c r="AO26" i="5"/>
  <c r="AP26" i="5"/>
  <c r="AQ26" i="5"/>
  <c r="AO27" i="5"/>
  <c r="AP27" i="5"/>
  <c r="AQ27" i="5"/>
  <c r="AO28" i="5"/>
  <c r="AP28" i="5"/>
  <c r="AQ28" i="5"/>
  <c r="AO29" i="5"/>
  <c r="AP29" i="5"/>
  <c r="AQ29" i="5"/>
  <c r="AO30" i="5"/>
  <c r="AP30" i="5"/>
  <c r="AQ30" i="5"/>
  <c r="AO31" i="5"/>
  <c r="AP31" i="5"/>
  <c r="AQ31" i="5"/>
  <c r="AO32" i="5"/>
  <c r="AP32" i="5"/>
  <c r="AQ32" i="5"/>
  <c r="AO33" i="5"/>
  <c r="AP33" i="5"/>
  <c r="AQ33" i="5"/>
  <c r="AO34" i="5"/>
  <c r="AP34" i="5"/>
  <c r="AQ34" i="5"/>
  <c r="AO35" i="5"/>
  <c r="AP35" i="5"/>
  <c r="AQ35" i="5"/>
  <c r="AO36" i="5"/>
  <c r="AP36" i="5"/>
  <c r="AQ36" i="5"/>
  <c r="AO37" i="5"/>
  <c r="AP37" i="5"/>
  <c r="AQ37" i="5"/>
  <c r="AO38" i="5"/>
  <c r="AP38" i="5"/>
  <c r="AQ38" i="5"/>
  <c r="AO39" i="5"/>
  <c r="AP39" i="5"/>
  <c r="AQ39" i="5"/>
  <c r="AP40" i="5"/>
  <c r="AP41" i="5"/>
  <c r="AQ41" i="5" s="1"/>
  <c r="AO42" i="5"/>
  <c r="AP42" i="5"/>
  <c r="AQ42" i="5"/>
  <c r="AO43" i="5"/>
  <c r="AP43" i="5"/>
  <c r="AQ43" i="5"/>
  <c r="AO44" i="5"/>
  <c r="AP44" i="5"/>
  <c r="AQ44" i="5"/>
  <c r="AO45" i="5"/>
  <c r="AP45" i="5"/>
  <c r="AQ45" i="5"/>
  <c r="AO46" i="5"/>
  <c r="AP46" i="5"/>
  <c r="AQ46" i="5"/>
  <c r="AO47" i="5"/>
  <c r="AP47" i="5"/>
  <c r="AQ47" i="5"/>
  <c r="AO48" i="5"/>
  <c r="AP48" i="5"/>
  <c r="AQ48" i="5"/>
  <c r="AO49" i="5"/>
  <c r="AP49" i="5"/>
  <c r="AQ49" i="5"/>
  <c r="AO50" i="5"/>
  <c r="AP50" i="5"/>
  <c r="AQ50" i="5"/>
  <c r="AO51" i="5"/>
  <c r="AP51" i="5"/>
  <c r="AQ51" i="5"/>
  <c r="AO52" i="5"/>
  <c r="AP52" i="5"/>
  <c r="AQ52" i="5"/>
  <c r="AO53" i="5"/>
  <c r="AP53" i="5"/>
  <c r="AQ53" i="5"/>
  <c r="AO54" i="5"/>
  <c r="AP54" i="5"/>
  <c r="AQ54" i="5"/>
  <c r="AO55" i="5"/>
  <c r="AP55" i="5"/>
  <c r="AQ55" i="5"/>
  <c r="AO56" i="5"/>
  <c r="AP56" i="5"/>
  <c r="AQ56" i="5"/>
  <c r="AO57" i="5"/>
  <c r="AP57" i="5"/>
  <c r="AQ57" i="5"/>
  <c r="AO58" i="5"/>
  <c r="AP58" i="5"/>
  <c r="AQ58" i="5"/>
  <c r="AO59" i="5"/>
  <c r="AP59" i="5"/>
  <c r="AQ59" i="5"/>
  <c r="AO60" i="5"/>
  <c r="AP60" i="5"/>
  <c r="AQ60" i="5"/>
  <c r="AO61" i="5"/>
  <c r="AP61" i="5"/>
  <c r="AQ61" i="5"/>
  <c r="AO62" i="5"/>
  <c r="AP62" i="5"/>
  <c r="AQ62" i="5"/>
  <c r="AO63" i="5"/>
  <c r="AP63" i="5"/>
  <c r="AQ63" i="5"/>
  <c r="AO64" i="5"/>
  <c r="AP64" i="5"/>
  <c r="AQ64" i="5"/>
  <c r="AO7" i="5"/>
  <c r="AP7" i="5"/>
  <c r="AQ7" i="5"/>
  <c r="BB7" i="5"/>
  <c r="AZ7" i="5"/>
  <c r="AX7" i="5"/>
  <c r="AV7" i="5"/>
  <c r="AL7" i="5"/>
  <c r="AJ7" i="5"/>
  <c r="AG7" i="5"/>
  <c r="AD7" i="5"/>
  <c r="AA7" i="5"/>
  <c r="X7" i="5"/>
  <c r="U7" i="5"/>
  <c r="R7" i="5"/>
  <c r="O7" i="5"/>
  <c r="L7" i="5"/>
  <c r="I7" i="5"/>
  <c r="F7" i="5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3" i="3"/>
  <c r="E4" i="3"/>
  <c r="E2" i="3"/>
  <c r="BH6" i="6"/>
  <c r="BF6" i="6"/>
  <c r="BD6" i="6"/>
  <c r="BA6" i="6"/>
  <c r="AY6" i="6"/>
  <c r="BB6" i="6"/>
  <c r="AV6" i="6"/>
  <c r="AR6" i="6"/>
  <c r="AP6" i="6"/>
  <c r="AN6" i="6"/>
  <c r="AL6" i="6"/>
  <c r="AJ6" i="6"/>
  <c r="AH6" i="6"/>
  <c r="AD6" i="6"/>
  <c r="AB6" i="6"/>
  <c r="X6" i="6"/>
  <c r="X7" i="6"/>
  <c r="X8" i="6"/>
  <c r="X9" i="6"/>
  <c r="X10" i="6"/>
  <c r="X11" i="6"/>
  <c r="X12" i="6"/>
  <c r="X13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U35" i="6"/>
  <c r="Y35" i="6"/>
  <c r="X36" i="6"/>
  <c r="X37" i="6"/>
  <c r="X38" i="6"/>
  <c r="X39" i="6"/>
  <c r="X40" i="6"/>
  <c r="X41" i="6"/>
  <c r="AL39" i="3" s="1"/>
  <c r="X42" i="6"/>
  <c r="X43" i="6"/>
  <c r="X44" i="6"/>
  <c r="X45" i="6"/>
  <c r="X46" i="6"/>
  <c r="X47" i="6"/>
  <c r="X48" i="6"/>
  <c r="Y48" i="6"/>
  <c r="X49" i="6"/>
  <c r="X50" i="6"/>
  <c r="X51" i="6"/>
  <c r="X52" i="6"/>
  <c r="X53" i="6"/>
  <c r="X54" i="6"/>
  <c r="Y54" i="6"/>
  <c r="X55" i="6"/>
  <c r="X56" i="6"/>
  <c r="X57" i="6"/>
  <c r="X58" i="6"/>
  <c r="X59" i="6"/>
  <c r="X60" i="6"/>
  <c r="X61" i="6"/>
  <c r="Y61" i="6"/>
  <c r="X62" i="6"/>
  <c r="X63" i="6"/>
  <c r="X64" i="6"/>
  <c r="U6" i="6"/>
  <c r="U7" i="6"/>
  <c r="Y7" i="6"/>
  <c r="U8" i="6"/>
  <c r="U9" i="6"/>
  <c r="U10" i="6"/>
  <c r="Y10" i="6"/>
  <c r="U11" i="6"/>
  <c r="Y11" i="6"/>
  <c r="U12" i="6"/>
  <c r="Y12" i="6"/>
  <c r="U13" i="6"/>
  <c r="Y13" i="6"/>
  <c r="U16" i="6"/>
  <c r="U17" i="6"/>
  <c r="U18" i="6"/>
  <c r="U19" i="6"/>
  <c r="U20" i="6"/>
  <c r="U21" i="6"/>
  <c r="U22" i="6"/>
  <c r="U23" i="6"/>
  <c r="U24" i="6"/>
  <c r="Y24" i="6"/>
  <c r="U25" i="6"/>
  <c r="U26" i="6"/>
  <c r="U27" i="6"/>
  <c r="U28" i="6"/>
  <c r="U29" i="6"/>
  <c r="U30" i="6"/>
  <c r="Y30" i="6"/>
  <c r="U31" i="6"/>
  <c r="Y31" i="6"/>
  <c r="U32" i="6"/>
  <c r="U33" i="6"/>
  <c r="Y33" i="6"/>
  <c r="U34" i="6"/>
  <c r="Y34" i="6"/>
  <c r="U36" i="6"/>
  <c r="Y36" i="6"/>
  <c r="U37" i="6"/>
  <c r="Y37" i="6"/>
  <c r="U38" i="6"/>
  <c r="U39" i="6"/>
  <c r="Y39" i="6"/>
  <c r="U40" i="6"/>
  <c r="Y40" i="6" s="1"/>
  <c r="U41" i="6"/>
  <c r="U42" i="6"/>
  <c r="Y42" i="6"/>
  <c r="U43" i="6"/>
  <c r="Y43" i="6"/>
  <c r="U44" i="6"/>
  <c r="U45" i="6"/>
  <c r="Y45" i="6"/>
  <c r="U46" i="6"/>
  <c r="Y46" i="6"/>
  <c r="U47" i="6"/>
  <c r="Y47" i="6"/>
  <c r="U48" i="6"/>
  <c r="U49" i="6"/>
  <c r="Y49" i="6"/>
  <c r="U50" i="6"/>
  <c r="U51" i="6"/>
  <c r="Y51" i="6"/>
  <c r="U52" i="6"/>
  <c r="Y52" i="6"/>
  <c r="U53" i="6"/>
  <c r="Y53" i="6"/>
  <c r="U54" i="6"/>
  <c r="U55" i="6"/>
  <c r="Y55" i="6"/>
  <c r="U56" i="6"/>
  <c r="U57" i="6"/>
  <c r="Y57" i="6"/>
  <c r="U58" i="6"/>
  <c r="Y58" i="6"/>
  <c r="U59" i="6"/>
  <c r="Y59" i="6"/>
  <c r="U60" i="6"/>
  <c r="Y60" i="6"/>
  <c r="U61" i="6"/>
  <c r="U62" i="6"/>
  <c r="U63" i="6"/>
  <c r="Y63" i="6"/>
  <c r="U64" i="6"/>
  <c r="Y64" i="6"/>
  <c r="Q6" i="6"/>
  <c r="Q7" i="6"/>
  <c r="Q8" i="6"/>
  <c r="Q9" i="6"/>
  <c r="Q10" i="6"/>
  <c r="Q11" i="6"/>
  <c r="Q12" i="6"/>
  <c r="Q13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AJ40" i="3" s="1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N6" i="6"/>
  <c r="N7" i="6"/>
  <c r="N8" i="6"/>
  <c r="N9" i="6"/>
  <c r="N10" i="6"/>
  <c r="N11" i="6"/>
  <c r="N12" i="6"/>
  <c r="N13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K6" i="6"/>
  <c r="K7" i="6"/>
  <c r="K8" i="6"/>
  <c r="K9" i="6"/>
  <c r="K10" i="6"/>
  <c r="K11" i="6"/>
  <c r="K12" i="6"/>
  <c r="K13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H6" i="6"/>
  <c r="H7" i="6"/>
  <c r="H8" i="6"/>
  <c r="H9" i="6"/>
  <c r="H10" i="6"/>
  <c r="H12" i="6"/>
  <c r="H13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AG38" i="3" s="1"/>
  <c r="H41" i="6"/>
  <c r="AG39" i="3" s="1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E6" i="6"/>
  <c r="E7" i="6"/>
  <c r="E8" i="6"/>
  <c r="E9" i="6"/>
  <c r="E10" i="6"/>
  <c r="E11" i="6"/>
  <c r="E12" i="6"/>
  <c r="E13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AO6" i="5"/>
  <c r="AP6" i="5"/>
  <c r="AQ6" i="5"/>
  <c r="BB6" i="5"/>
  <c r="AZ6" i="5"/>
  <c r="AX6" i="5"/>
  <c r="AV6" i="5"/>
  <c r="AL6" i="5"/>
  <c r="AJ6" i="5"/>
  <c r="AG6" i="5"/>
  <c r="AD6" i="5"/>
  <c r="AA6" i="5"/>
  <c r="X6" i="5"/>
  <c r="U6" i="5"/>
  <c r="R6" i="5"/>
  <c r="O6" i="5"/>
  <c r="L6" i="5"/>
  <c r="I6" i="5"/>
  <c r="F6" i="5"/>
  <c r="BH5" i="6"/>
  <c r="BF5" i="6"/>
  <c r="BD5" i="6"/>
  <c r="BA5" i="6"/>
  <c r="AY5" i="6"/>
  <c r="AV5" i="6"/>
  <c r="AT6" i="6"/>
  <c r="AT7" i="6"/>
  <c r="AT8" i="6"/>
  <c r="AT9" i="6"/>
  <c r="AT10" i="6"/>
  <c r="AT11" i="6"/>
  <c r="AT12" i="6"/>
  <c r="AT13" i="6"/>
  <c r="AT14" i="6"/>
  <c r="AT15" i="6"/>
  <c r="AT16" i="6"/>
  <c r="AT17" i="6"/>
  <c r="AT18" i="6"/>
  <c r="AT19" i="6"/>
  <c r="AT20" i="6"/>
  <c r="AT21" i="6"/>
  <c r="AT22" i="6"/>
  <c r="AT23" i="6"/>
  <c r="AT24" i="6"/>
  <c r="AT25" i="6"/>
  <c r="AT26" i="6"/>
  <c r="AT27" i="6"/>
  <c r="AT28" i="6"/>
  <c r="AT29" i="6"/>
  <c r="AT30" i="6"/>
  <c r="AT31" i="6"/>
  <c r="AT32" i="6"/>
  <c r="AT33" i="6"/>
  <c r="AT34" i="6"/>
  <c r="AT35" i="6"/>
  <c r="AT36" i="6"/>
  <c r="AT37" i="6"/>
  <c r="AT38" i="6"/>
  <c r="AT39" i="6"/>
  <c r="AT40" i="6"/>
  <c r="AT41" i="6"/>
  <c r="AT42" i="6"/>
  <c r="AT43" i="6"/>
  <c r="AT44" i="6"/>
  <c r="AT45" i="6"/>
  <c r="AT46" i="6"/>
  <c r="AT47" i="6"/>
  <c r="AT48" i="6"/>
  <c r="AT49" i="6"/>
  <c r="AT50" i="6"/>
  <c r="AT51" i="6"/>
  <c r="AT52" i="6"/>
  <c r="AT53" i="6"/>
  <c r="AT54" i="6"/>
  <c r="AT55" i="6"/>
  <c r="AT56" i="6"/>
  <c r="AT57" i="6"/>
  <c r="AT58" i="6"/>
  <c r="AT59" i="6"/>
  <c r="AT60" i="6"/>
  <c r="AT61" i="6"/>
  <c r="AT62" i="6"/>
  <c r="AT63" i="6"/>
  <c r="AT64" i="6"/>
  <c r="AT5" i="6"/>
  <c r="AT4" i="6"/>
  <c r="AR5" i="6"/>
  <c r="AP5" i="6"/>
  <c r="AN5" i="6"/>
  <c r="AL5" i="6"/>
  <c r="AJ5" i="6"/>
  <c r="AH5" i="6"/>
  <c r="AD5" i="6"/>
  <c r="AB5" i="6"/>
  <c r="X5" i="6"/>
  <c r="U5" i="6"/>
  <c r="Y5" i="6"/>
  <c r="Q5" i="6"/>
  <c r="N5" i="6"/>
  <c r="K5" i="6"/>
  <c r="H5" i="6"/>
  <c r="E5" i="6"/>
  <c r="BB5" i="5"/>
  <c r="AZ5" i="5"/>
  <c r="AX5" i="5"/>
  <c r="AV5" i="5"/>
  <c r="AP5" i="5"/>
  <c r="AQ5" i="5"/>
  <c r="AO5" i="5"/>
  <c r="AL5" i="5"/>
  <c r="AJ5" i="5"/>
  <c r="AG5" i="5"/>
  <c r="AD5" i="5"/>
  <c r="AA5" i="5"/>
  <c r="X5" i="5"/>
  <c r="U5" i="5"/>
  <c r="R5" i="5"/>
  <c r="O5" i="5"/>
  <c r="L5" i="5"/>
  <c r="I5" i="5"/>
  <c r="F5" i="5"/>
  <c r="AT5" i="5"/>
  <c r="AT6" i="5"/>
  <c r="AT7" i="5"/>
  <c r="AT8" i="5"/>
  <c r="AT9" i="5"/>
  <c r="AT10" i="5"/>
  <c r="AT11" i="5"/>
  <c r="AT12" i="5"/>
  <c r="AT13" i="5"/>
  <c r="AT14" i="5"/>
  <c r="AT15" i="5"/>
  <c r="AT16" i="5"/>
  <c r="AT17" i="5"/>
  <c r="AT18" i="5"/>
  <c r="AT19" i="5"/>
  <c r="AT20" i="5"/>
  <c r="AT21" i="5"/>
  <c r="AT22" i="5"/>
  <c r="AT23" i="5"/>
  <c r="AT24" i="5"/>
  <c r="AT25" i="5"/>
  <c r="AT26" i="5"/>
  <c r="AT27" i="5"/>
  <c r="AT28" i="5"/>
  <c r="AT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49" i="5"/>
  <c r="AT50" i="5"/>
  <c r="AT51" i="5"/>
  <c r="AT52" i="5"/>
  <c r="AT53" i="5"/>
  <c r="AT54" i="5"/>
  <c r="AT55" i="5"/>
  <c r="AT56" i="5"/>
  <c r="AT57" i="5"/>
  <c r="AT58" i="5"/>
  <c r="AT59" i="5"/>
  <c r="AT60" i="5"/>
  <c r="AT61" i="5"/>
  <c r="AT62" i="5"/>
  <c r="AT63" i="5"/>
  <c r="AT64" i="5"/>
  <c r="AT4" i="5"/>
  <c r="Y29" i="6"/>
  <c r="Y28" i="6"/>
  <c r="Y27" i="6"/>
  <c r="Y62" i="6"/>
  <c r="BB16" i="6"/>
  <c r="BB5" i="6"/>
  <c r="BB8" i="6"/>
  <c r="BB12" i="6"/>
  <c r="BB7" i="6"/>
  <c r="Y32" i="6"/>
  <c r="Y38" i="6"/>
  <c r="Y44" i="6"/>
  <c r="Y50" i="6"/>
  <c r="Y56" i="6"/>
  <c r="Y6" i="6"/>
  <c r="Y26" i="6"/>
  <c r="Y25" i="6"/>
  <c r="Y23" i="6"/>
  <c r="AQ22" i="5"/>
  <c r="AQ21" i="5"/>
  <c r="Y22" i="6"/>
  <c r="Y21" i="6"/>
  <c r="AQ19" i="5"/>
  <c r="Y20" i="6"/>
  <c r="Y19" i="6"/>
  <c r="Y18" i="6"/>
  <c r="AQ18" i="5"/>
  <c r="AQ17" i="5"/>
  <c r="AQ16" i="5"/>
  <c r="Y16" i="6"/>
  <c r="Y17" i="6"/>
  <c r="Y15" i="6"/>
  <c r="Y14" i="6"/>
  <c r="AQ15" i="5"/>
  <c r="AQ14" i="5"/>
  <c r="AO11" i="5"/>
  <c r="AQ11" i="5"/>
  <c r="AO12" i="5"/>
  <c r="AQ12" i="5"/>
  <c r="AQ13" i="5"/>
  <c r="AP10" i="5"/>
  <c r="AQ10" i="5"/>
  <c r="AQ9" i="5"/>
  <c r="Y9" i="6"/>
  <c r="Y8" i="6"/>
  <c r="C9" i="5"/>
  <c r="C8" i="5"/>
  <c r="C7" i="5"/>
  <c r="C6" i="5"/>
  <c r="C5" i="5"/>
  <c r="C4" i="5"/>
  <c r="K61" i="1"/>
  <c r="E62" i="1"/>
  <c r="F62" i="1"/>
  <c r="G62" i="1"/>
  <c r="J62" i="1"/>
  <c r="K62" i="1"/>
  <c r="AX61" i="3"/>
  <c r="R61" i="3"/>
  <c r="AX60" i="3"/>
  <c r="AX59" i="3"/>
  <c r="AQ59" i="3"/>
  <c r="AX58" i="3"/>
  <c r="AW57" i="3"/>
  <c r="AX57" i="3"/>
  <c r="AX56" i="3"/>
  <c r="AQ56" i="3"/>
  <c r="AX55" i="3"/>
  <c r="AB54" i="3"/>
  <c r="AC54" i="3"/>
  <c r="AX54" i="3"/>
  <c r="AX53" i="3"/>
  <c r="X53" i="3"/>
  <c r="AB52" i="3"/>
  <c r="AX52" i="3"/>
  <c r="AT52" i="3"/>
  <c r="V51" i="3"/>
  <c r="N51" i="3"/>
  <c r="AX51" i="3"/>
  <c r="K54" i="1"/>
  <c r="K53" i="1"/>
  <c r="K52" i="1"/>
  <c r="K50" i="1"/>
  <c r="AE50" i="3"/>
  <c r="AD50" i="3"/>
  <c r="R50" i="3"/>
  <c r="AX50" i="3"/>
  <c r="AT62" i="3"/>
  <c r="AS62" i="3"/>
  <c r="AR52" i="3"/>
  <c r="AR57" i="3"/>
  <c r="AR59" i="3"/>
  <c r="AR62" i="3"/>
  <c r="AQ52" i="3"/>
  <c r="AQ57" i="3"/>
  <c r="AQ58" i="3"/>
  <c r="AQ61" i="3"/>
  <c r="AQ62" i="3"/>
  <c r="AP53" i="3"/>
  <c r="AP55" i="3"/>
  <c r="AP57" i="3"/>
  <c r="AP62" i="3"/>
  <c r="AO53" i="3"/>
  <c r="AO54" i="3"/>
  <c r="AO62" i="3"/>
  <c r="AN53" i="3"/>
  <c r="AN55" i="3"/>
  <c r="AN57" i="3"/>
  <c r="AN60" i="3"/>
  <c r="AN62" i="3"/>
  <c r="AM56" i="3"/>
  <c r="AM61" i="3"/>
  <c r="AM62" i="3"/>
  <c r="AL53" i="3"/>
  <c r="AL55" i="3"/>
  <c r="AL57" i="3"/>
  <c r="AL61" i="3"/>
  <c r="AL62" i="3"/>
  <c r="AK57" i="3"/>
  <c r="AK58" i="3"/>
  <c r="AK59" i="3"/>
  <c r="AK61" i="3"/>
  <c r="AJ52" i="3"/>
  <c r="AJ60" i="3"/>
  <c r="AJ61" i="3"/>
  <c r="AJ62" i="3"/>
  <c r="AI51" i="3"/>
  <c r="AI52" i="3"/>
  <c r="AI56" i="3"/>
  <c r="AI60" i="3"/>
  <c r="AI61" i="3"/>
  <c r="AH52" i="3"/>
  <c r="AH55" i="3"/>
  <c r="AH56" i="3"/>
  <c r="AH61" i="3"/>
  <c r="AH62" i="3"/>
  <c r="AG51" i="3"/>
  <c r="AG54" i="3"/>
  <c r="AG55" i="3"/>
  <c r="AG57" i="3"/>
  <c r="AG61" i="3"/>
  <c r="AG62" i="3"/>
  <c r="AF53" i="3"/>
  <c r="AF54" i="3"/>
  <c r="AF56" i="3"/>
  <c r="AF57" i="3"/>
  <c r="AF58" i="3"/>
  <c r="AF59" i="3"/>
  <c r="AF61" i="3"/>
  <c r="AF62" i="3"/>
  <c r="K49" i="1"/>
  <c r="K48" i="1"/>
  <c r="K46" i="1"/>
  <c r="K47" i="1"/>
  <c r="AL45" i="3"/>
  <c r="AJ45" i="3"/>
  <c r="AF47" i="3"/>
  <c r="AX44" i="3"/>
  <c r="AM44" i="3"/>
  <c r="K51" i="1"/>
  <c r="K55" i="1"/>
  <c r="K56" i="1"/>
  <c r="K57" i="1"/>
  <c r="K58" i="1"/>
  <c r="K59" i="1"/>
  <c r="K60" i="1"/>
  <c r="BA44" i="3"/>
  <c r="BA45" i="3"/>
  <c r="BA50" i="3"/>
  <c r="BA51" i="3"/>
  <c r="BA52" i="3"/>
  <c r="BA53" i="3"/>
  <c r="BA54" i="3"/>
  <c r="BA55" i="3"/>
  <c r="BA56" i="3"/>
  <c r="BA57" i="3"/>
  <c r="BA58" i="3"/>
  <c r="BA59" i="3"/>
  <c r="BA60" i="3"/>
  <c r="BA61" i="3"/>
  <c r="BA62" i="3"/>
  <c r="AZ44" i="3"/>
  <c r="AZ45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Y44" i="3"/>
  <c r="AY45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X45" i="3"/>
  <c r="AX62" i="3"/>
  <c r="AW44" i="3"/>
  <c r="AW45" i="3"/>
  <c r="AW50" i="3"/>
  <c r="AW51" i="3"/>
  <c r="AW52" i="3"/>
  <c r="AW53" i="3"/>
  <c r="AW54" i="3"/>
  <c r="AW55" i="3"/>
  <c r="AW56" i="3"/>
  <c r="AW58" i="3"/>
  <c r="AW59" i="3"/>
  <c r="AW60" i="3"/>
  <c r="AW61" i="3"/>
  <c r="AW62" i="3"/>
  <c r="AV44" i="3"/>
  <c r="AV45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U44" i="3"/>
  <c r="AU45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T44" i="3"/>
  <c r="AT45" i="3"/>
  <c r="AT50" i="3"/>
  <c r="AT51" i="3"/>
  <c r="AT53" i="3"/>
  <c r="AT54" i="3"/>
  <c r="AT55" i="3"/>
  <c r="AT56" i="3"/>
  <c r="AT57" i="3"/>
  <c r="AT58" i="3"/>
  <c r="AT59" i="3"/>
  <c r="AT60" i="3"/>
  <c r="AT61" i="3"/>
  <c r="AS44" i="3"/>
  <c r="AS45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R44" i="3"/>
  <c r="AR45" i="3"/>
  <c r="AR50" i="3"/>
  <c r="AR51" i="3"/>
  <c r="AR53" i="3"/>
  <c r="AR54" i="3"/>
  <c r="AR55" i="3"/>
  <c r="AR56" i="3"/>
  <c r="AR58" i="3"/>
  <c r="AR60" i="3"/>
  <c r="AR61" i="3"/>
  <c r="AQ44" i="3"/>
  <c r="AQ45" i="3"/>
  <c r="AQ50" i="3"/>
  <c r="AQ51" i="3"/>
  <c r="AQ53" i="3"/>
  <c r="AQ54" i="3"/>
  <c r="AQ55" i="3"/>
  <c r="AQ60" i="3"/>
  <c r="AP44" i="3"/>
  <c r="AP45" i="3"/>
  <c r="AP50" i="3"/>
  <c r="AP51" i="3"/>
  <c r="AP52" i="3"/>
  <c r="AP54" i="3"/>
  <c r="AP56" i="3"/>
  <c r="AP58" i="3"/>
  <c r="AP59" i="3"/>
  <c r="AP60" i="3"/>
  <c r="AP61" i="3"/>
  <c r="AO44" i="3"/>
  <c r="AO45" i="3"/>
  <c r="AO50" i="3"/>
  <c r="AO51" i="3"/>
  <c r="AO52" i="3"/>
  <c r="AO55" i="3"/>
  <c r="AO56" i="3"/>
  <c r="AO57" i="3"/>
  <c r="AO58" i="3"/>
  <c r="AO59" i="3"/>
  <c r="AO60" i="3"/>
  <c r="AO61" i="3"/>
  <c r="AN44" i="3"/>
  <c r="AN45" i="3"/>
  <c r="AN50" i="3"/>
  <c r="AN51" i="3"/>
  <c r="AN52" i="3"/>
  <c r="AN54" i="3"/>
  <c r="AN56" i="3"/>
  <c r="AN58" i="3"/>
  <c r="AN59" i="3"/>
  <c r="AN61" i="3"/>
  <c r="AM45" i="3"/>
  <c r="AM50" i="3"/>
  <c r="AM51" i="3"/>
  <c r="AM52" i="3"/>
  <c r="AM53" i="3"/>
  <c r="AM54" i="3"/>
  <c r="AM55" i="3"/>
  <c r="AM57" i="3"/>
  <c r="AM58" i="3"/>
  <c r="AM59" i="3"/>
  <c r="AM60" i="3"/>
  <c r="AL50" i="3"/>
  <c r="AL51" i="3"/>
  <c r="AL52" i="3"/>
  <c r="AL54" i="3"/>
  <c r="AL56" i="3"/>
  <c r="AL58" i="3"/>
  <c r="AL59" i="3"/>
  <c r="AL60" i="3"/>
  <c r="AK45" i="3"/>
  <c r="AK50" i="3"/>
  <c r="AK51" i="3"/>
  <c r="AK53" i="3"/>
  <c r="AK55" i="3"/>
  <c r="AK56" i="3"/>
  <c r="AK60" i="3"/>
  <c r="AK62" i="3"/>
  <c r="AJ50" i="3"/>
  <c r="AJ51" i="3"/>
  <c r="AJ53" i="3"/>
  <c r="AJ54" i="3"/>
  <c r="AJ55" i="3"/>
  <c r="AJ56" i="3"/>
  <c r="AJ57" i="3"/>
  <c r="AJ58" i="3"/>
  <c r="AJ59" i="3"/>
  <c r="AI45" i="3"/>
  <c r="AI50" i="3"/>
  <c r="AI53" i="3"/>
  <c r="AI54" i="3"/>
  <c r="AI55" i="3"/>
  <c r="AI57" i="3"/>
  <c r="AI58" i="3"/>
  <c r="AI59" i="3"/>
  <c r="AI62" i="3"/>
  <c r="AH45" i="3"/>
  <c r="AH50" i="3"/>
  <c r="AH51" i="3"/>
  <c r="AH53" i="3"/>
  <c r="AH54" i="3"/>
  <c r="AH57" i="3"/>
  <c r="AH58" i="3"/>
  <c r="AH59" i="3"/>
  <c r="AH60" i="3"/>
  <c r="AG45" i="3"/>
  <c r="AG50" i="3"/>
  <c r="AG52" i="3"/>
  <c r="AG53" i="3"/>
  <c r="AG56" i="3"/>
  <c r="AG58" i="3"/>
  <c r="AG59" i="3"/>
  <c r="AG60" i="3"/>
  <c r="AF45" i="3"/>
  <c r="AF50" i="3"/>
  <c r="I49" i="1"/>
  <c r="AF51" i="3"/>
  <c r="I50" i="1"/>
  <c r="AF52" i="3"/>
  <c r="AF55" i="3"/>
  <c r="AF60" i="3"/>
  <c r="K43" i="1"/>
  <c r="K44" i="1"/>
  <c r="K45" i="1"/>
  <c r="K42" i="1"/>
  <c r="AW3" i="3"/>
  <c r="AX3" i="3"/>
  <c r="AY3" i="3"/>
  <c r="AZ3" i="3"/>
  <c r="BA3" i="3"/>
  <c r="AW4" i="3"/>
  <c r="AX4" i="3"/>
  <c r="AY4" i="3"/>
  <c r="AZ4" i="3"/>
  <c r="BA4" i="3"/>
  <c r="AW5" i="3"/>
  <c r="AX5" i="3"/>
  <c r="AY5" i="3"/>
  <c r="AZ5" i="3"/>
  <c r="BA5" i="3"/>
  <c r="AW6" i="3"/>
  <c r="AX6" i="3"/>
  <c r="AY6" i="3"/>
  <c r="AZ6" i="3"/>
  <c r="BA6" i="3"/>
  <c r="AW7" i="3"/>
  <c r="AX7" i="3"/>
  <c r="AY7" i="3"/>
  <c r="AZ7" i="3"/>
  <c r="BA7" i="3"/>
  <c r="AW8" i="3"/>
  <c r="AX8" i="3"/>
  <c r="AY8" i="3"/>
  <c r="AZ8" i="3"/>
  <c r="BA8" i="3"/>
  <c r="AW9" i="3"/>
  <c r="AX9" i="3"/>
  <c r="AY9" i="3"/>
  <c r="AZ9" i="3"/>
  <c r="BA9" i="3"/>
  <c r="AW10" i="3"/>
  <c r="AX10" i="3"/>
  <c r="AY10" i="3"/>
  <c r="AZ10" i="3"/>
  <c r="BA10" i="3"/>
  <c r="AW11" i="3"/>
  <c r="AX11" i="3"/>
  <c r="AY11" i="3"/>
  <c r="AZ11" i="3"/>
  <c r="BA11" i="3"/>
  <c r="AW12" i="3"/>
  <c r="AX12" i="3"/>
  <c r="AY12" i="3"/>
  <c r="AZ12" i="3"/>
  <c r="BA12" i="3"/>
  <c r="AW13" i="3"/>
  <c r="AX13" i="3"/>
  <c r="AY13" i="3"/>
  <c r="AZ13" i="3"/>
  <c r="BA13" i="3"/>
  <c r="AW14" i="3"/>
  <c r="AX14" i="3"/>
  <c r="AY14" i="3"/>
  <c r="AZ14" i="3"/>
  <c r="BA14" i="3"/>
  <c r="AW22" i="3"/>
  <c r="AX22" i="3"/>
  <c r="AY22" i="3"/>
  <c r="AZ22" i="3"/>
  <c r="BA22" i="3"/>
  <c r="BA2" i="3"/>
  <c r="AZ2" i="3"/>
  <c r="AY2" i="3"/>
  <c r="AX2" i="3"/>
  <c r="AW2" i="3"/>
  <c r="AV3" i="3"/>
  <c r="AV4" i="3"/>
  <c r="AV5" i="3"/>
  <c r="AV6" i="3"/>
  <c r="AV7" i="3"/>
  <c r="AV8" i="3"/>
  <c r="AV9" i="3"/>
  <c r="AV10" i="3"/>
  <c r="AV11" i="3"/>
  <c r="AV12" i="3"/>
  <c r="AV13" i="3"/>
  <c r="AV14" i="3"/>
  <c r="AV22" i="3"/>
  <c r="AV2" i="3"/>
  <c r="AU3" i="3"/>
  <c r="AU5" i="3"/>
  <c r="AU6" i="3"/>
  <c r="AU7" i="3"/>
  <c r="AU8" i="3"/>
  <c r="AU9" i="3"/>
  <c r="AU10" i="3"/>
  <c r="AU11" i="3"/>
  <c r="AU12" i="3"/>
  <c r="AU13" i="3"/>
  <c r="AU14" i="3"/>
  <c r="AU22" i="3"/>
  <c r="AU2" i="3"/>
  <c r="AT2" i="3"/>
  <c r="AT4" i="3"/>
  <c r="AT5" i="3"/>
  <c r="AT6" i="3"/>
  <c r="AT7" i="3"/>
  <c r="AT8" i="3"/>
  <c r="AT9" i="3"/>
  <c r="AT10" i="3"/>
  <c r="AT11" i="3"/>
  <c r="AT12" i="3"/>
  <c r="AT13" i="3"/>
  <c r="AT14" i="3"/>
  <c r="AT22" i="3"/>
  <c r="AT3" i="3"/>
  <c r="AS3" i="3"/>
  <c r="AS4" i="3"/>
  <c r="AS5" i="3"/>
  <c r="AS6" i="3"/>
  <c r="AS7" i="3"/>
  <c r="AS8" i="3"/>
  <c r="AS9" i="3"/>
  <c r="AS10" i="3"/>
  <c r="AS11" i="3"/>
  <c r="AS12" i="3"/>
  <c r="AS13" i="3"/>
  <c r="AS14" i="3"/>
  <c r="AS22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22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22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22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22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22" i="3"/>
  <c r="AN2" i="3"/>
  <c r="AM4" i="3"/>
  <c r="AM5" i="3"/>
  <c r="AM6" i="3"/>
  <c r="AM7" i="3"/>
  <c r="AM8" i="3"/>
  <c r="AM9" i="3"/>
  <c r="AM10" i="3"/>
  <c r="AM11" i="3"/>
  <c r="AM12" i="3"/>
  <c r="AM13" i="3"/>
  <c r="AM14" i="3"/>
  <c r="AM22" i="3"/>
  <c r="AM3" i="3"/>
  <c r="AM2" i="3"/>
  <c r="AL2" i="3"/>
  <c r="AK2" i="3"/>
  <c r="AJ2" i="3"/>
  <c r="AJ30" i="3"/>
  <c r="AI2" i="3"/>
  <c r="AH2" i="3"/>
  <c r="AG2" i="3"/>
  <c r="AF2" i="3"/>
  <c r="AE2" i="3"/>
  <c r="AE4" i="3"/>
  <c r="AE5" i="3"/>
  <c r="AE6" i="3"/>
  <c r="AE7" i="3"/>
  <c r="AE8" i="3"/>
  <c r="AE9" i="3"/>
  <c r="AE10" i="3"/>
  <c r="AE11" i="3"/>
  <c r="AE12" i="3"/>
  <c r="AE13" i="3"/>
  <c r="AE14" i="3"/>
  <c r="AE22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3" i="3"/>
  <c r="AD3" i="3"/>
  <c r="AD4" i="3"/>
  <c r="AD5" i="3"/>
  <c r="AD6" i="3"/>
  <c r="AD7" i="3"/>
  <c r="AD8" i="3"/>
  <c r="AD9" i="3"/>
  <c r="AD10" i="3"/>
  <c r="AD11" i="3"/>
  <c r="AD12" i="3"/>
  <c r="AD13" i="3"/>
  <c r="AD14" i="3"/>
  <c r="AD22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2" i="3"/>
  <c r="AC4" i="3"/>
  <c r="AC5" i="3"/>
  <c r="AC6" i="3"/>
  <c r="AC7" i="3"/>
  <c r="AC8" i="3"/>
  <c r="AC9" i="3"/>
  <c r="AC10" i="3"/>
  <c r="AC11" i="3"/>
  <c r="AC12" i="3"/>
  <c r="AC13" i="3"/>
  <c r="AC14" i="3"/>
  <c r="AC22" i="3"/>
  <c r="AC50" i="3"/>
  <c r="AC51" i="3"/>
  <c r="AC53" i="3"/>
  <c r="AC55" i="3"/>
  <c r="AC56" i="3"/>
  <c r="AC57" i="3"/>
  <c r="AC58" i="3"/>
  <c r="AC59" i="3"/>
  <c r="AC60" i="3"/>
  <c r="AC61" i="3"/>
  <c r="AC62" i="3"/>
  <c r="AC3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22" i="3"/>
  <c r="AB50" i="3"/>
  <c r="AB51" i="3"/>
  <c r="AB53" i="3"/>
  <c r="AB55" i="3"/>
  <c r="AB56" i="3"/>
  <c r="AB57" i="3"/>
  <c r="AB58" i="3"/>
  <c r="AB59" i="3"/>
  <c r="AB60" i="3"/>
  <c r="AB61" i="3"/>
  <c r="AB62" i="3"/>
  <c r="AB2" i="3"/>
  <c r="Z3" i="3"/>
  <c r="Z4" i="3"/>
  <c r="Z5" i="3"/>
  <c r="Z6" i="3"/>
  <c r="Z7" i="3"/>
  <c r="Z8" i="3"/>
  <c r="Z9" i="3"/>
  <c r="Z10" i="3"/>
  <c r="Z11" i="3"/>
  <c r="Z12" i="3"/>
  <c r="Z13" i="3"/>
  <c r="Z14" i="3"/>
  <c r="Z22" i="3"/>
  <c r="Z50" i="3"/>
  <c r="Z51" i="3"/>
  <c r="Z52" i="3"/>
  <c r="Z54" i="3"/>
  <c r="Z55" i="3"/>
  <c r="Z56" i="3"/>
  <c r="Z57" i="3"/>
  <c r="Z58" i="3"/>
  <c r="Z59" i="3"/>
  <c r="Z60" i="3"/>
  <c r="Z61" i="3"/>
  <c r="Z62" i="3"/>
  <c r="Z2" i="3"/>
  <c r="X3" i="3"/>
  <c r="X4" i="3"/>
  <c r="X5" i="3"/>
  <c r="X6" i="3"/>
  <c r="X7" i="3"/>
  <c r="X8" i="3"/>
  <c r="X9" i="3"/>
  <c r="X10" i="3"/>
  <c r="X11" i="3"/>
  <c r="X12" i="3"/>
  <c r="X13" i="3"/>
  <c r="X14" i="3"/>
  <c r="X22" i="3"/>
  <c r="X50" i="3"/>
  <c r="X51" i="3"/>
  <c r="X52" i="3"/>
  <c r="X54" i="3"/>
  <c r="X55" i="3"/>
  <c r="X56" i="3"/>
  <c r="X57" i="3"/>
  <c r="X58" i="3"/>
  <c r="X59" i="3"/>
  <c r="X60" i="3"/>
  <c r="X61" i="3"/>
  <c r="X62" i="3"/>
  <c r="X2" i="3"/>
  <c r="V3" i="3"/>
  <c r="V4" i="3"/>
  <c r="V5" i="3"/>
  <c r="V6" i="3"/>
  <c r="V7" i="3"/>
  <c r="V8" i="3"/>
  <c r="V9" i="3"/>
  <c r="V10" i="3"/>
  <c r="V11" i="3"/>
  <c r="V12" i="3"/>
  <c r="V13" i="3"/>
  <c r="V14" i="3"/>
  <c r="V22" i="3"/>
  <c r="V50" i="3"/>
  <c r="V52" i="3"/>
  <c r="V53" i="3"/>
  <c r="V54" i="3"/>
  <c r="V55" i="3"/>
  <c r="V56" i="3"/>
  <c r="V57" i="3"/>
  <c r="V58" i="3"/>
  <c r="V59" i="3"/>
  <c r="V60" i="3"/>
  <c r="V61" i="3"/>
  <c r="V62" i="3"/>
  <c r="V2" i="3"/>
  <c r="T3" i="3"/>
  <c r="T4" i="3"/>
  <c r="T5" i="3"/>
  <c r="T6" i="3"/>
  <c r="T7" i="3"/>
  <c r="T8" i="3"/>
  <c r="T9" i="3"/>
  <c r="T10" i="3"/>
  <c r="T11" i="3"/>
  <c r="T12" i="3"/>
  <c r="T13" i="3"/>
  <c r="T14" i="3"/>
  <c r="T22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2" i="3"/>
  <c r="R4" i="3"/>
  <c r="R5" i="3"/>
  <c r="R6" i="3"/>
  <c r="R7" i="3"/>
  <c r="R8" i="3"/>
  <c r="R9" i="3"/>
  <c r="R10" i="3"/>
  <c r="R11" i="3"/>
  <c r="R12" i="3"/>
  <c r="R13" i="3"/>
  <c r="R14" i="3"/>
  <c r="R22" i="3"/>
  <c r="R51" i="3"/>
  <c r="R52" i="3"/>
  <c r="R53" i="3"/>
  <c r="R54" i="3"/>
  <c r="R55" i="3"/>
  <c r="R56" i="3"/>
  <c r="R57" i="3"/>
  <c r="R58" i="3"/>
  <c r="R59" i="3"/>
  <c r="R60" i="3"/>
  <c r="R62" i="3"/>
  <c r="R3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22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22" i="3"/>
  <c r="N50" i="3"/>
  <c r="N52" i="3"/>
  <c r="N53" i="3"/>
  <c r="N54" i="3"/>
  <c r="N55" i="3"/>
  <c r="N56" i="3"/>
  <c r="N57" i="3"/>
  <c r="N58" i="3"/>
  <c r="N59" i="3"/>
  <c r="N60" i="3"/>
  <c r="N61" i="3"/>
  <c r="N62" i="3"/>
  <c r="N2" i="3"/>
  <c r="I59" i="1"/>
  <c r="I54" i="1"/>
  <c r="I51" i="1"/>
  <c r="I61" i="1"/>
  <c r="I60" i="1"/>
  <c r="I58" i="1"/>
  <c r="J58" i="1"/>
  <c r="I44" i="1"/>
  <c r="I57" i="1"/>
  <c r="J57" i="1"/>
  <c r="I56" i="1"/>
  <c r="J56" i="1"/>
  <c r="I55" i="1"/>
  <c r="J55" i="1"/>
  <c r="I53" i="1"/>
  <c r="I52" i="1"/>
  <c r="G61" i="1"/>
  <c r="J61" i="1"/>
  <c r="G59" i="1"/>
  <c r="G58" i="1"/>
  <c r="G56" i="1"/>
  <c r="G55" i="1"/>
  <c r="Z53" i="3"/>
  <c r="AC52" i="3"/>
  <c r="AK54" i="3"/>
  <c r="G53" i="1"/>
  <c r="G52" i="1"/>
  <c r="AK52" i="3"/>
  <c r="G51" i="1"/>
  <c r="G57" i="1"/>
  <c r="G54" i="1"/>
  <c r="G50" i="1"/>
  <c r="G60" i="1"/>
  <c r="G49" i="1"/>
  <c r="J50" i="1"/>
  <c r="J54" i="1"/>
  <c r="J53" i="1"/>
  <c r="J52" i="1"/>
  <c r="J51" i="1"/>
  <c r="J49" i="1"/>
  <c r="J60" i="1"/>
  <c r="J59" i="1"/>
  <c r="G44" i="1"/>
  <c r="J44" i="1"/>
  <c r="L3" i="3"/>
  <c r="L4" i="3"/>
  <c r="L5" i="3"/>
  <c r="L6" i="3"/>
  <c r="L7" i="3"/>
  <c r="L8" i="3"/>
  <c r="L9" i="3"/>
  <c r="L10" i="3"/>
  <c r="L11" i="3"/>
  <c r="L12" i="3"/>
  <c r="L13" i="3"/>
  <c r="L14" i="3"/>
  <c r="L22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22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22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22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2" i="3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14" i="1"/>
  <c r="K13" i="1"/>
  <c r="K12" i="1"/>
  <c r="K11" i="1"/>
  <c r="K10" i="1"/>
  <c r="K9" i="1"/>
  <c r="K8" i="1"/>
  <c r="AH8" i="3"/>
  <c r="K6" i="1"/>
  <c r="K7" i="1"/>
  <c r="F61" i="1"/>
  <c r="E61" i="1"/>
  <c r="E55" i="1"/>
  <c r="K5" i="1"/>
  <c r="K4" i="1"/>
  <c r="K3" i="1"/>
  <c r="K2" i="1"/>
  <c r="AD26" i="3"/>
  <c r="J15" i="3"/>
  <c r="J16" i="3"/>
  <c r="J17" i="3"/>
  <c r="J18" i="3"/>
  <c r="J19" i="3"/>
  <c r="J20" i="3"/>
  <c r="J21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G62" i="3"/>
  <c r="I62" i="3"/>
  <c r="K62" i="3"/>
  <c r="M62" i="3"/>
  <c r="O62" i="3"/>
  <c r="Q62" i="3"/>
  <c r="S62" i="3"/>
  <c r="U62" i="3"/>
  <c r="W62" i="3"/>
  <c r="Y62" i="3"/>
  <c r="AA62" i="3"/>
  <c r="BA43" i="3"/>
  <c r="BA46" i="3"/>
  <c r="BA47" i="3"/>
  <c r="BA48" i="3"/>
  <c r="BA49" i="3"/>
  <c r="AZ43" i="3"/>
  <c r="AZ46" i="3"/>
  <c r="AZ47" i="3"/>
  <c r="AZ48" i="3"/>
  <c r="AZ49" i="3"/>
  <c r="AY43" i="3"/>
  <c r="AY46" i="3"/>
  <c r="AY47" i="3"/>
  <c r="AY48" i="3"/>
  <c r="AY49" i="3"/>
  <c r="AW43" i="3"/>
  <c r="AW46" i="3"/>
  <c r="AW47" i="3"/>
  <c r="AW48" i="3"/>
  <c r="AW49" i="3"/>
  <c r="AV43" i="3"/>
  <c r="AV46" i="3"/>
  <c r="AV47" i="3"/>
  <c r="AV48" i="3"/>
  <c r="AV49" i="3"/>
  <c r="AU43" i="3"/>
  <c r="AU46" i="3"/>
  <c r="AU47" i="3"/>
  <c r="AU48" i="3"/>
  <c r="AU49" i="3"/>
  <c r="AT43" i="3"/>
  <c r="AT46" i="3"/>
  <c r="AT47" i="3"/>
  <c r="AT48" i="3"/>
  <c r="AT49" i="3"/>
  <c r="AS43" i="3"/>
  <c r="AS46" i="3"/>
  <c r="AS47" i="3"/>
  <c r="AS48" i="3"/>
  <c r="AS49" i="3"/>
  <c r="AR43" i="3"/>
  <c r="AR46" i="3"/>
  <c r="AR47" i="3"/>
  <c r="AR48" i="3"/>
  <c r="AR49" i="3"/>
  <c r="AQ43" i="3"/>
  <c r="AQ46" i="3"/>
  <c r="AQ47" i="3"/>
  <c r="AQ48" i="3"/>
  <c r="AQ49" i="3"/>
  <c r="AP43" i="3"/>
  <c r="AP46" i="3"/>
  <c r="AP47" i="3"/>
  <c r="AP48" i="3"/>
  <c r="AP49" i="3"/>
  <c r="AO43" i="3"/>
  <c r="AO46" i="3"/>
  <c r="AO47" i="3"/>
  <c r="AO48" i="3"/>
  <c r="AO49" i="3"/>
  <c r="AN43" i="3"/>
  <c r="AN46" i="3"/>
  <c r="AN47" i="3"/>
  <c r="AN48" i="3"/>
  <c r="AN49" i="3"/>
  <c r="AM43" i="3"/>
  <c r="AM46" i="3"/>
  <c r="AM47" i="3"/>
  <c r="AM48" i="3"/>
  <c r="AM49" i="3"/>
  <c r="AL43" i="3"/>
  <c r="AL44" i="3"/>
  <c r="AL46" i="3"/>
  <c r="AL47" i="3"/>
  <c r="AL48" i="3"/>
  <c r="AL49" i="3"/>
  <c r="AK43" i="3"/>
  <c r="AK44" i="3"/>
  <c r="AK46" i="3"/>
  <c r="AK47" i="3"/>
  <c r="AK48" i="3"/>
  <c r="AK49" i="3"/>
  <c r="AJ43" i="3"/>
  <c r="AJ44" i="3"/>
  <c r="AJ46" i="3"/>
  <c r="AJ47" i="3"/>
  <c r="AJ48" i="3"/>
  <c r="AJ49" i="3"/>
  <c r="AI43" i="3"/>
  <c r="AI44" i="3"/>
  <c r="AI46" i="3"/>
  <c r="AI47" i="3"/>
  <c r="AI48" i="3"/>
  <c r="AI49" i="3"/>
  <c r="AH43" i="3"/>
  <c r="AH44" i="3"/>
  <c r="AH46" i="3"/>
  <c r="AH47" i="3"/>
  <c r="AH48" i="3"/>
  <c r="AH49" i="3"/>
  <c r="AG43" i="3"/>
  <c r="AG44" i="3"/>
  <c r="AG46" i="3"/>
  <c r="AG47" i="3"/>
  <c r="AG48" i="3"/>
  <c r="AG49" i="3"/>
  <c r="AF43" i="3"/>
  <c r="I42" i="1"/>
  <c r="AF44" i="3"/>
  <c r="I43" i="1"/>
  <c r="AF46" i="3"/>
  <c r="AF48" i="3"/>
  <c r="AF49" i="3"/>
  <c r="AE43" i="3"/>
  <c r="AE44" i="3"/>
  <c r="AE45" i="3"/>
  <c r="AE46" i="3"/>
  <c r="AE47" i="3"/>
  <c r="AE48" i="3"/>
  <c r="AE49" i="3"/>
  <c r="AD43" i="3"/>
  <c r="AD44" i="3"/>
  <c r="AD45" i="3"/>
  <c r="AD46" i="3"/>
  <c r="AD47" i="3"/>
  <c r="AD48" i="3"/>
  <c r="AD49" i="3"/>
  <c r="AB43" i="3"/>
  <c r="AB44" i="3"/>
  <c r="AB45" i="3"/>
  <c r="AB46" i="3"/>
  <c r="AB47" i="3"/>
  <c r="AB48" i="3"/>
  <c r="AB49" i="3"/>
  <c r="AC43" i="3"/>
  <c r="AC44" i="3"/>
  <c r="AC45" i="3"/>
  <c r="AC46" i="3"/>
  <c r="AC47" i="3"/>
  <c r="AC48" i="3"/>
  <c r="AC49" i="3"/>
  <c r="L43" i="3"/>
  <c r="L44" i="3"/>
  <c r="L45" i="3"/>
  <c r="L46" i="3"/>
  <c r="L47" i="3"/>
  <c r="L48" i="3"/>
  <c r="L49" i="3"/>
  <c r="Z43" i="3"/>
  <c r="Z44" i="3"/>
  <c r="Z45" i="3"/>
  <c r="Z46" i="3"/>
  <c r="Z47" i="3"/>
  <c r="Z48" i="3"/>
  <c r="Z49" i="3"/>
  <c r="X43" i="3"/>
  <c r="X44" i="3"/>
  <c r="X45" i="3"/>
  <c r="X46" i="3"/>
  <c r="X47" i="3"/>
  <c r="X48" i="3"/>
  <c r="X49" i="3"/>
  <c r="V43" i="3"/>
  <c r="V44" i="3"/>
  <c r="V45" i="3"/>
  <c r="V46" i="3"/>
  <c r="V47" i="3"/>
  <c r="V48" i="3"/>
  <c r="V49" i="3"/>
  <c r="N43" i="3"/>
  <c r="N44" i="3"/>
  <c r="N45" i="3"/>
  <c r="N46" i="3"/>
  <c r="N47" i="3"/>
  <c r="N48" i="3"/>
  <c r="N49" i="3"/>
  <c r="T43" i="3"/>
  <c r="T44" i="3"/>
  <c r="T45" i="3"/>
  <c r="T46" i="3"/>
  <c r="T47" i="3"/>
  <c r="T48" i="3"/>
  <c r="T49" i="3"/>
  <c r="P43" i="3"/>
  <c r="P44" i="3"/>
  <c r="P45" i="3"/>
  <c r="P46" i="3"/>
  <c r="P47" i="3"/>
  <c r="P48" i="3"/>
  <c r="P49" i="3"/>
  <c r="R43" i="3"/>
  <c r="R44" i="3"/>
  <c r="R45" i="3"/>
  <c r="R46" i="3"/>
  <c r="R47" i="3"/>
  <c r="R48" i="3"/>
  <c r="R49" i="3"/>
  <c r="F43" i="3"/>
  <c r="F44" i="3"/>
  <c r="F45" i="3"/>
  <c r="F46" i="3"/>
  <c r="F47" i="3"/>
  <c r="F48" i="3"/>
  <c r="F49" i="3"/>
  <c r="H43" i="3"/>
  <c r="H44" i="3"/>
  <c r="H45" i="3"/>
  <c r="H46" i="3"/>
  <c r="H47" i="3"/>
  <c r="H48" i="3"/>
  <c r="H49" i="3"/>
  <c r="F42" i="3"/>
  <c r="G42" i="3"/>
  <c r="H42" i="3"/>
  <c r="I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Y42" i="3"/>
  <c r="AZ42" i="3"/>
  <c r="BA42" i="3"/>
  <c r="G43" i="3"/>
  <c r="I43" i="3"/>
  <c r="K43" i="3"/>
  <c r="M43" i="3"/>
  <c r="O43" i="3"/>
  <c r="Q43" i="3"/>
  <c r="S43" i="3"/>
  <c r="U43" i="3"/>
  <c r="W43" i="3"/>
  <c r="Y43" i="3"/>
  <c r="AA43" i="3"/>
  <c r="G44" i="3"/>
  <c r="I44" i="3"/>
  <c r="K44" i="3"/>
  <c r="M44" i="3"/>
  <c r="O44" i="3"/>
  <c r="Q44" i="3"/>
  <c r="S44" i="3"/>
  <c r="U44" i="3"/>
  <c r="W44" i="3"/>
  <c r="Y44" i="3"/>
  <c r="AA44" i="3"/>
  <c r="G45" i="3"/>
  <c r="I45" i="3"/>
  <c r="K45" i="3"/>
  <c r="M45" i="3"/>
  <c r="O45" i="3"/>
  <c r="Q45" i="3"/>
  <c r="S45" i="3"/>
  <c r="U45" i="3"/>
  <c r="W45" i="3"/>
  <c r="Y45" i="3"/>
  <c r="AA45" i="3"/>
  <c r="G46" i="3"/>
  <c r="I46" i="3"/>
  <c r="K46" i="3"/>
  <c r="M46" i="3"/>
  <c r="O46" i="3"/>
  <c r="Q46" i="3"/>
  <c r="S46" i="3"/>
  <c r="U46" i="3"/>
  <c r="W46" i="3"/>
  <c r="Y46" i="3"/>
  <c r="AA46" i="3"/>
  <c r="G47" i="3"/>
  <c r="I47" i="3"/>
  <c r="K47" i="3"/>
  <c r="M47" i="3"/>
  <c r="O47" i="3"/>
  <c r="Q47" i="3"/>
  <c r="S47" i="3"/>
  <c r="U47" i="3"/>
  <c r="W47" i="3"/>
  <c r="Y47" i="3"/>
  <c r="AA47" i="3"/>
  <c r="G48" i="3"/>
  <c r="I48" i="3"/>
  <c r="K48" i="3"/>
  <c r="M48" i="3"/>
  <c r="O48" i="3"/>
  <c r="Q48" i="3"/>
  <c r="S48" i="3"/>
  <c r="U48" i="3"/>
  <c r="W48" i="3"/>
  <c r="Y48" i="3"/>
  <c r="AA48" i="3"/>
  <c r="G49" i="3"/>
  <c r="I49" i="3"/>
  <c r="K49" i="3"/>
  <c r="M49" i="3"/>
  <c r="O49" i="3"/>
  <c r="Q49" i="3"/>
  <c r="S49" i="3"/>
  <c r="U49" i="3"/>
  <c r="W49" i="3"/>
  <c r="Y49" i="3"/>
  <c r="AA49" i="3"/>
  <c r="G50" i="3"/>
  <c r="I50" i="3"/>
  <c r="K50" i="3"/>
  <c r="M50" i="3"/>
  <c r="O50" i="3"/>
  <c r="Q50" i="3"/>
  <c r="S50" i="3"/>
  <c r="U50" i="3"/>
  <c r="W50" i="3"/>
  <c r="Y50" i="3"/>
  <c r="AA50" i="3"/>
  <c r="G51" i="3"/>
  <c r="I51" i="3"/>
  <c r="K51" i="3"/>
  <c r="M51" i="3"/>
  <c r="O51" i="3"/>
  <c r="Q51" i="3"/>
  <c r="S51" i="3"/>
  <c r="U51" i="3"/>
  <c r="W51" i="3"/>
  <c r="Y51" i="3"/>
  <c r="AA51" i="3"/>
  <c r="G52" i="3"/>
  <c r="I52" i="3"/>
  <c r="K52" i="3"/>
  <c r="M52" i="3"/>
  <c r="O52" i="3"/>
  <c r="Q52" i="3"/>
  <c r="S52" i="3"/>
  <c r="U52" i="3"/>
  <c r="W52" i="3"/>
  <c r="Y52" i="3"/>
  <c r="AA52" i="3"/>
  <c r="G53" i="3"/>
  <c r="I53" i="3"/>
  <c r="K53" i="3"/>
  <c r="M53" i="3"/>
  <c r="O53" i="3"/>
  <c r="Q53" i="3"/>
  <c r="S53" i="3"/>
  <c r="U53" i="3"/>
  <c r="W53" i="3"/>
  <c r="Y53" i="3"/>
  <c r="AA53" i="3"/>
  <c r="G54" i="3"/>
  <c r="I54" i="3"/>
  <c r="K54" i="3"/>
  <c r="M54" i="3"/>
  <c r="O54" i="3"/>
  <c r="Q54" i="3"/>
  <c r="S54" i="3"/>
  <c r="U54" i="3"/>
  <c r="W54" i="3"/>
  <c r="Y54" i="3"/>
  <c r="AA54" i="3"/>
  <c r="G55" i="3"/>
  <c r="I55" i="3"/>
  <c r="K55" i="3"/>
  <c r="M55" i="3"/>
  <c r="O55" i="3"/>
  <c r="Q55" i="3"/>
  <c r="S55" i="3"/>
  <c r="U55" i="3"/>
  <c r="W55" i="3"/>
  <c r="Y55" i="3"/>
  <c r="AA55" i="3"/>
  <c r="G56" i="3"/>
  <c r="I56" i="3"/>
  <c r="K56" i="3"/>
  <c r="M56" i="3"/>
  <c r="O56" i="3"/>
  <c r="Q56" i="3"/>
  <c r="S56" i="3"/>
  <c r="U56" i="3"/>
  <c r="W56" i="3"/>
  <c r="Y56" i="3"/>
  <c r="AA56" i="3"/>
  <c r="G57" i="3"/>
  <c r="I57" i="3"/>
  <c r="K57" i="3"/>
  <c r="M57" i="3"/>
  <c r="O57" i="3"/>
  <c r="Q57" i="3"/>
  <c r="S57" i="3"/>
  <c r="U57" i="3"/>
  <c r="W57" i="3"/>
  <c r="Y57" i="3"/>
  <c r="AA57" i="3"/>
  <c r="G58" i="3"/>
  <c r="I58" i="3"/>
  <c r="K58" i="3"/>
  <c r="M58" i="3"/>
  <c r="O58" i="3"/>
  <c r="Q58" i="3"/>
  <c r="S58" i="3"/>
  <c r="U58" i="3"/>
  <c r="W58" i="3"/>
  <c r="Y58" i="3"/>
  <c r="AA58" i="3"/>
  <c r="G59" i="3"/>
  <c r="I59" i="3"/>
  <c r="K59" i="3"/>
  <c r="M59" i="3"/>
  <c r="O59" i="3"/>
  <c r="Q59" i="3"/>
  <c r="S59" i="3"/>
  <c r="U59" i="3"/>
  <c r="W59" i="3"/>
  <c r="Y59" i="3"/>
  <c r="AA59" i="3"/>
  <c r="G60" i="3"/>
  <c r="I60" i="3"/>
  <c r="K60" i="3"/>
  <c r="M60" i="3"/>
  <c r="O60" i="3"/>
  <c r="Q60" i="3"/>
  <c r="S60" i="3"/>
  <c r="U60" i="3"/>
  <c r="W60" i="3"/>
  <c r="Y60" i="3"/>
  <c r="AA60" i="3"/>
  <c r="G61" i="3"/>
  <c r="I61" i="3"/>
  <c r="K61" i="3"/>
  <c r="M61" i="3"/>
  <c r="O61" i="3"/>
  <c r="Q61" i="3"/>
  <c r="S61" i="3"/>
  <c r="U61" i="3"/>
  <c r="W61" i="3"/>
  <c r="Y61" i="3"/>
  <c r="AA61" i="3"/>
  <c r="F32" i="3"/>
  <c r="G32" i="3"/>
  <c r="H32" i="3"/>
  <c r="I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V32" i="3"/>
  <c r="AY32" i="3"/>
  <c r="AZ32" i="3"/>
  <c r="I31" i="1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W32" i="3"/>
  <c r="BA32" i="3"/>
  <c r="F33" i="3"/>
  <c r="G33" i="3"/>
  <c r="H33" i="3"/>
  <c r="I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Y33" i="3"/>
  <c r="AZ33" i="3"/>
  <c r="BA33" i="3"/>
  <c r="F34" i="3"/>
  <c r="G34" i="3"/>
  <c r="H34" i="3"/>
  <c r="I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Y34" i="3"/>
  <c r="AZ34" i="3"/>
  <c r="BA34" i="3"/>
  <c r="F35" i="3"/>
  <c r="G35" i="3"/>
  <c r="H35" i="3"/>
  <c r="I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Y35" i="3"/>
  <c r="AZ35" i="3"/>
  <c r="BA35" i="3"/>
  <c r="F36" i="3"/>
  <c r="G36" i="3"/>
  <c r="H36" i="3"/>
  <c r="I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Y36" i="3"/>
  <c r="AZ36" i="3"/>
  <c r="BA36" i="3"/>
  <c r="F37" i="3"/>
  <c r="G37" i="3"/>
  <c r="H37" i="3"/>
  <c r="I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V37" i="3"/>
  <c r="AY37" i="3"/>
  <c r="AZ37" i="3"/>
  <c r="I36" i="1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W37" i="3"/>
  <c r="BA37" i="3"/>
  <c r="F38" i="3"/>
  <c r="G38" i="3"/>
  <c r="I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Y38" i="3"/>
  <c r="AZ38" i="3"/>
  <c r="BA38" i="3"/>
  <c r="F39" i="3"/>
  <c r="G39" i="3"/>
  <c r="H39" i="3"/>
  <c r="I39" i="3"/>
  <c r="K39" i="3"/>
  <c r="L39" i="3"/>
  <c r="M39" i="3"/>
  <c r="N39" i="3"/>
  <c r="O39" i="3"/>
  <c r="P39" i="3"/>
  <c r="Q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H39" i="3"/>
  <c r="AI39" i="3"/>
  <c r="AJ39" i="3"/>
  <c r="AK39" i="3"/>
  <c r="AM39" i="3"/>
  <c r="AN39" i="3"/>
  <c r="AO39" i="3"/>
  <c r="AP39" i="3"/>
  <c r="AQ39" i="3"/>
  <c r="AR39" i="3"/>
  <c r="AS39" i="3"/>
  <c r="AT39" i="3"/>
  <c r="AU39" i="3"/>
  <c r="AV39" i="3"/>
  <c r="AW39" i="3"/>
  <c r="AY39" i="3"/>
  <c r="AZ39" i="3"/>
  <c r="BA39" i="3"/>
  <c r="F40" i="3"/>
  <c r="G40" i="3"/>
  <c r="H40" i="3"/>
  <c r="I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Y40" i="3"/>
  <c r="AZ40" i="3"/>
  <c r="BA40" i="3"/>
  <c r="F41" i="3"/>
  <c r="G41" i="3"/>
  <c r="H41" i="3"/>
  <c r="I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Y41" i="3"/>
  <c r="AZ41" i="3"/>
  <c r="BA41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1" i="3"/>
  <c r="AL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" i="3"/>
  <c r="G2" i="1"/>
  <c r="AU4" i="3"/>
  <c r="AU15" i="3"/>
  <c r="AU16" i="3"/>
  <c r="AU17" i="3"/>
  <c r="AU18" i="3"/>
  <c r="AU19" i="3"/>
  <c r="AU20" i="3"/>
  <c r="AU21" i="3"/>
  <c r="AU23" i="3"/>
  <c r="AU24" i="3"/>
  <c r="AU25" i="3"/>
  <c r="AU26" i="3"/>
  <c r="AU27" i="3"/>
  <c r="AU28" i="3"/>
  <c r="AU29" i="3"/>
  <c r="AU30" i="3"/>
  <c r="AU31" i="3"/>
  <c r="BA15" i="3"/>
  <c r="BA16" i="3"/>
  <c r="BA17" i="3"/>
  <c r="BA18" i="3"/>
  <c r="BA19" i="3"/>
  <c r="BA20" i="3"/>
  <c r="BA21" i="3"/>
  <c r="BA23" i="3"/>
  <c r="BA24" i="3"/>
  <c r="BA25" i="3"/>
  <c r="BA26" i="3"/>
  <c r="BA27" i="3"/>
  <c r="BA28" i="3"/>
  <c r="BA29" i="3"/>
  <c r="BA30" i="3"/>
  <c r="BA31" i="3"/>
  <c r="AZ15" i="3"/>
  <c r="AZ16" i="3"/>
  <c r="AZ17" i="3"/>
  <c r="AZ18" i="3"/>
  <c r="AZ19" i="3"/>
  <c r="AZ20" i="3"/>
  <c r="AZ21" i="3"/>
  <c r="AZ23" i="3"/>
  <c r="AZ24" i="3"/>
  <c r="AZ25" i="3"/>
  <c r="AZ26" i="3"/>
  <c r="AZ27" i="3"/>
  <c r="AZ28" i="3"/>
  <c r="AZ29" i="3"/>
  <c r="AZ30" i="3"/>
  <c r="AZ31" i="3"/>
  <c r="AY15" i="3"/>
  <c r="AY16" i="3"/>
  <c r="AY17" i="3"/>
  <c r="AY18" i="3"/>
  <c r="AY19" i="3"/>
  <c r="AY20" i="3"/>
  <c r="AY21" i="3"/>
  <c r="AY23" i="3"/>
  <c r="AY24" i="3"/>
  <c r="AY25" i="3"/>
  <c r="AY26" i="3"/>
  <c r="AY27" i="3"/>
  <c r="AY28" i="3"/>
  <c r="AY29" i="3"/>
  <c r="AY30" i="3"/>
  <c r="AY31" i="3"/>
  <c r="AV15" i="3"/>
  <c r="AW15" i="3"/>
  <c r="AV16" i="3"/>
  <c r="AW16" i="3"/>
  <c r="AV17" i="3"/>
  <c r="AW17" i="3"/>
  <c r="AV18" i="3"/>
  <c r="AW18" i="3"/>
  <c r="AV19" i="3"/>
  <c r="AW19" i="3"/>
  <c r="AV20" i="3"/>
  <c r="AW20" i="3"/>
  <c r="AV21" i="3"/>
  <c r="AW21" i="3"/>
  <c r="AV23" i="3"/>
  <c r="AW23" i="3"/>
  <c r="AV24" i="3"/>
  <c r="AW24" i="3"/>
  <c r="AV25" i="3"/>
  <c r="AW25" i="3"/>
  <c r="AV26" i="3"/>
  <c r="AW26" i="3"/>
  <c r="AV27" i="3"/>
  <c r="AW27" i="3"/>
  <c r="AV28" i="3"/>
  <c r="AW28" i="3"/>
  <c r="AV29" i="3"/>
  <c r="AW29" i="3"/>
  <c r="AV30" i="3"/>
  <c r="AW30" i="3"/>
  <c r="AV31" i="3"/>
  <c r="AW31" i="3"/>
  <c r="AT15" i="3"/>
  <c r="AT16" i="3"/>
  <c r="AT17" i="3"/>
  <c r="AT18" i="3"/>
  <c r="AT19" i="3"/>
  <c r="AT20" i="3"/>
  <c r="AT21" i="3"/>
  <c r="AT23" i="3"/>
  <c r="AT24" i="3"/>
  <c r="AT25" i="3"/>
  <c r="AT26" i="3"/>
  <c r="AT27" i="3"/>
  <c r="AT28" i="3"/>
  <c r="AT29" i="3"/>
  <c r="AT30" i="3"/>
  <c r="AT31" i="3"/>
  <c r="AS15" i="3"/>
  <c r="AS16" i="3"/>
  <c r="AS17" i="3"/>
  <c r="AS18" i="3"/>
  <c r="AS19" i="3"/>
  <c r="AS20" i="3"/>
  <c r="AS21" i="3"/>
  <c r="AS23" i="3"/>
  <c r="AS24" i="3"/>
  <c r="AS25" i="3"/>
  <c r="AS26" i="3"/>
  <c r="AS27" i="3"/>
  <c r="AS28" i="3"/>
  <c r="AS29" i="3"/>
  <c r="AS30" i="3"/>
  <c r="AS31" i="3"/>
  <c r="AR15" i="3"/>
  <c r="AR16" i="3"/>
  <c r="AR17" i="3"/>
  <c r="AR18" i="3"/>
  <c r="AR19" i="3"/>
  <c r="AR20" i="3"/>
  <c r="AR21" i="3"/>
  <c r="AR23" i="3"/>
  <c r="AR24" i="3"/>
  <c r="AR25" i="3"/>
  <c r="AR26" i="3"/>
  <c r="AR27" i="3"/>
  <c r="AR28" i="3"/>
  <c r="AR29" i="3"/>
  <c r="AR30" i="3"/>
  <c r="AR31" i="3"/>
  <c r="AQ15" i="3"/>
  <c r="AQ16" i="3"/>
  <c r="AQ17" i="3"/>
  <c r="AQ18" i="3"/>
  <c r="AQ19" i="3"/>
  <c r="AQ20" i="3"/>
  <c r="AQ21" i="3"/>
  <c r="AQ23" i="3"/>
  <c r="AQ24" i="3"/>
  <c r="AQ25" i="3"/>
  <c r="AQ26" i="3"/>
  <c r="AQ27" i="3"/>
  <c r="AQ28" i="3"/>
  <c r="AQ29" i="3"/>
  <c r="AQ30" i="3"/>
  <c r="AQ31" i="3"/>
  <c r="AP15" i="3"/>
  <c r="AP16" i="3"/>
  <c r="AP17" i="3"/>
  <c r="AP18" i="3"/>
  <c r="AP19" i="3"/>
  <c r="AP20" i="3"/>
  <c r="AP21" i="3"/>
  <c r="AP23" i="3"/>
  <c r="AP24" i="3"/>
  <c r="AP25" i="3"/>
  <c r="AP26" i="3"/>
  <c r="AP27" i="3"/>
  <c r="AP28" i="3"/>
  <c r="AP29" i="3"/>
  <c r="AP30" i="3"/>
  <c r="AP31" i="3"/>
  <c r="AO15" i="3"/>
  <c r="AO16" i="3"/>
  <c r="AO17" i="3"/>
  <c r="AO18" i="3"/>
  <c r="AO19" i="3"/>
  <c r="AO20" i="3"/>
  <c r="AO21" i="3"/>
  <c r="AO23" i="3"/>
  <c r="AO24" i="3"/>
  <c r="AO25" i="3"/>
  <c r="AO26" i="3"/>
  <c r="AO27" i="3"/>
  <c r="AO28" i="3"/>
  <c r="AO29" i="3"/>
  <c r="AO30" i="3"/>
  <c r="AO31" i="3"/>
  <c r="AN15" i="3"/>
  <c r="AN16" i="3"/>
  <c r="AN17" i="3"/>
  <c r="AN18" i="3"/>
  <c r="AN19" i="3"/>
  <c r="AN20" i="3"/>
  <c r="AN21" i="3"/>
  <c r="AN23" i="3"/>
  <c r="AN24" i="3"/>
  <c r="AN25" i="3"/>
  <c r="AN26" i="3"/>
  <c r="AN27" i="3"/>
  <c r="AN28" i="3"/>
  <c r="AN29" i="3"/>
  <c r="AN30" i="3"/>
  <c r="AN31" i="3"/>
  <c r="AM15" i="3"/>
  <c r="AM16" i="3"/>
  <c r="AM17" i="3"/>
  <c r="AM18" i="3"/>
  <c r="AM19" i="3"/>
  <c r="AM20" i="3"/>
  <c r="AM21" i="3"/>
  <c r="AM23" i="3"/>
  <c r="AM24" i="3"/>
  <c r="AM25" i="3"/>
  <c r="AM26" i="3"/>
  <c r="AM27" i="3"/>
  <c r="AM28" i="3"/>
  <c r="AM29" i="3"/>
  <c r="AM30" i="3"/>
  <c r="AM31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1" i="3"/>
  <c r="AJ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" i="3"/>
  <c r="AH4" i="3"/>
  <c r="AH5" i="3"/>
  <c r="AH6" i="3"/>
  <c r="AH7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" i="3"/>
  <c r="AF4" i="3"/>
  <c r="AF5" i="3"/>
  <c r="I4" i="1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I26" i="1"/>
  <c r="AF28" i="3"/>
  <c r="AF29" i="3"/>
  <c r="AF30" i="3"/>
  <c r="AF31" i="3"/>
  <c r="AF3" i="3"/>
  <c r="AE15" i="3"/>
  <c r="AE16" i="3"/>
  <c r="AE17" i="3"/>
  <c r="AE18" i="3"/>
  <c r="AE19" i="3"/>
  <c r="AE20" i="3"/>
  <c r="AE21" i="3"/>
  <c r="AE23" i="3"/>
  <c r="AE24" i="3"/>
  <c r="AE25" i="3"/>
  <c r="AE26" i="3"/>
  <c r="AE27" i="3"/>
  <c r="AE28" i="3"/>
  <c r="AE29" i="3"/>
  <c r="AE30" i="3"/>
  <c r="AE31" i="3"/>
  <c r="AD15" i="3"/>
  <c r="AD16" i="3"/>
  <c r="AD17" i="3"/>
  <c r="AD18" i="3"/>
  <c r="AD19" i="3"/>
  <c r="AD20" i="3"/>
  <c r="AD21" i="3"/>
  <c r="AD23" i="3"/>
  <c r="AD24" i="3"/>
  <c r="AD25" i="3"/>
  <c r="AD27" i="3"/>
  <c r="AD28" i="3"/>
  <c r="AD29" i="3"/>
  <c r="AD30" i="3"/>
  <c r="AD31" i="3"/>
  <c r="AC15" i="3"/>
  <c r="AC16" i="3"/>
  <c r="AC17" i="3"/>
  <c r="AC18" i="3"/>
  <c r="AC19" i="3"/>
  <c r="AC20" i="3"/>
  <c r="AC21" i="3"/>
  <c r="AC23" i="3"/>
  <c r="AC24" i="3"/>
  <c r="AC25" i="3"/>
  <c r="AC26" i="3"/>
  <c r="AC27" i="3"/>
  <c r="AC28" i="3"/>
  <c r="AC29" i="3"/>
  <c r="AC30" i="3"/>
  <c r="AC31" i="3"/>
  <c r="AB15" i="3"/>
  <c r="AB16" i="3"/>
  <c r="AB17" i="3"/>
  <c r="AB18" i="3"/>
  <c r="AB19" i="3"/>
  <c r="AB20" i="3"/>
  <c r="AB21" i="3"/>
  <c r="AB23" i="3"/>
  <c r="AB24" i="3"/>
  <c r="AB25" i="3"/>
  <c r="AB26" i="3"/>
  <c r="AB27" i="3"/>
  <c r="AB28" i="3"/>
  <c r="AB29" i="3"/>
  <c r="AB30" i="3"/>
  <c r="AB31" i="3"/>
  <c r="Z15" i="3"/>
  <c r="Z16" i="3"/>
  <c r="Z17" i="3"/>
  <c r="Z18" i="3"/>
  <c r="Z19" i="3"/>
  <c r="Z20" i="3"/>
  <c r="Z21" i="3"/>
  <c r="Z23" i="3"/>
  <c r="Z24" i="3"/>
  <c r="Z25" i="3"/>
  <c r="Z26" i="3"/>
  <c r="Z27" i="3"/>
  <c r="Z28" i="3"/>
  <c r="Z29" i="3"/>
  <c r="Z30" i="3"/>
  <c r="Z31" i="3"/>
  <c r="X15" i="3"/>
  <c r="X16" i="3"/>
  <c r="X17" i="3"/>
  <c r="X18" i="3"/>
  <c r="X19" i="3"/>
  <c r="X20" i="3"/>
  <c r="X21" i="3"/>
  <c r="X23" i="3"/>
  <c r="X24" i="3"/>
  <c r="X25" i="3"/>
  <c r="X26" i="3"/>
  <c r="X27" i="3"/>
  <c r="X28" i="3"/>
  <c r="X29" i="3"/>
  <c r="X30" i="3"/>
  <c r="X31" i="3"/>
  <c r="V15" i="3"/>
  <c r="V16" i="3"/>
  <c r="V17" i="3"/>
  <c r="V18" i="3"/>
  <c r="V19" i="3"/>
  <c r="V20" i="3"/>
  <c r="V21" i="3"/>
  <c r="V23" i="3"/>
  <c r="V24" i="3"/>
  <c r="V25" i="3"/>
  <c r="V26" i="3"/>
  <c r="V27" i="3"/>
  <c r="V28" i="3"/>
  <c r="V29" i="3"/>
  <c r="V30" i="3"/>
  <c r="V31" i="3"/>
  <c r="T15" i="3"/>
  <c r="T16" i="3"/>
  <c r="T17" i="3"/>
  <c r="T18" i="3"/>
  <c r="T19" i="3"/>
  <c r="T20" i="3"/>
  <c r="T21" i="3"/>
  <c r="T23" i="3"/>
  <c r="T24" i="3"/>
  <c r="T25" i="3"/>
  <c r="T26" i="3"/>
  <c r="T27" i="3"/>
  <c r="T28" i="3"/>
  <c r="T29" i="3"/>
  <c r="T30" i="3"/>
  <c r="T31" i="3"/>
  <c r="R15" i="3"/>
  <c r="R16" i="3"/>
  <c r="R17" i="3"/>
  <c r="R18" i="3"/>
  <c r="R19" i="3"/>
  <c r="R20" i="3"/>
  <c r="R21" i="3"/>
  <c r="R23" i="3"/>
  <c r="R24" i="3"/>
  <c r="R25" i="3"/>
  <c r="R26" i="3"/>
  <c r="R27" i="3"/>
  <c r="R28" i="3"/>
  <c r="R29" i="3"/>
  <c r="R30" i="3"/>
  <c r="R31" i="3"/>
  <c r="P15" i="3"/>
  <c r="P16" i="3"/>
  <c r="P17" i="3"/>
  <c r="P18" i="3"/>
  <c r="P19" i="3"/>
  <c r="P20" i="3"/>
  <c r="P21" i="3"/>
  <c r="P23" i="3"/>
  <c r="P24" i="3"/>
  <c r="P25" i="3"/>
  <c r="P26" i="3"/>
  <c r="P27" i="3"/>
  <c r="P28" i="3"/>
  <c r="P29" i="3"/>
  <c r="P30" i="3"/>
  <c r="P31" i="3"/>
  <c r="N15" i="3"/>
  <c r="N16" i="3"/>
  <c r="N17" i="3"/>
  <c r="N18" i="3"/>
  <c r="N19" i="3"/>
  <c r="N20" i="3"/>
  <c r="N21" i="3"/>
  <c r="N23" i="3"/>
  <c r="N24" i="3"/>
  <c r="N25" i="3"/>
  <c r="N26" i="3"/>
  <c r="N27" i="3"/>
  <c r="N28" i="3"/>
  <c r="N29" i="3"/>
  <c r="N30" i="3"/>
  <c r="N31" i="3"/>
  <c r="L15" i="3"/>
  <c r="L16" i="3"/>
  <c r="L17" i="3"/>
  <c r="L18" i="3"/>
  <c r="L19" i="3"/>
  <c r="L20" i="3"/>
  <c r="L21" i="3"/>
  <c r="L23" i="3"/>
  <c r="L24" i="3"/>
  <c r="L25" i="3"/>
  <c r="L26" i="3"/>
  <c r="L27" i="3"/>
  <c r="L28" i="3"/>
  <c r="L29" i="3"/>
  <c r="L30" i="3"/>
  <c r="L31" i="3"/>
  <c r="H15" i="3"/>
  <c r="H16" i="3"/>
  <c r="H17" i="3"/>
  <c r="H18" i="3"/>
  <c r="H19" i="3"/>
  <c r="H20" i="3"/>
  <c r="H21" i="3"/>
  <c r="H23" i="3"/>
  <c r="H24" i="3"/>
  <c r="H25" i="3"/>
  <c r="H26" i="3"/>
  <c r="H27" i="3"/>
  <c r="H28" i="3"/>
  <c r="H29" i="3"/>
  <c r="H30" i="3"/>
  <c r="H31" i="3"/>
  <c r="F15" i="3"/>
  <c r="F16" i="3"/>
  <c r="F17" i="3"/>
  <c r="F18" i="3"/>
  <c r="F19" i="3"/>
  <c r="F20" i="3"/>
  <c r="F21" i="3"/>
  <c r="F23" i="3"/>
  <c r="F24" i="3"/>
  <c r="F25" i="3"/>
  <c r="F26" i="3"/>
  <c r="F27" i="3"/>
  <c r="F28" i="3"/>
  <c r="F29" i="3"/>
  <c r="F30" i="3"/>
  <c r="F31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I25" i="1"/>
  <c r="J25" i="1"/>
  <c r="I27" i="1"/>
  <c r="I3" i="1"/>
  <c r="I46" i="1"/>
  <c r="I32" i="1"/>
  <c r="I41" i="1"/>
  <c r="I39" i="1"/>
  <c r="J39" i="1" s="1"/>
  <c r="I33" i="1"/>
  <c r="I2" i="1"/>
  <c r="I30" i="1"/>
  <c r="I40" i="1"/>
  <c r="J40" i="1"/>
  <c r="I34" i="1"/>
  <c r="J34" i="1"/>
  <c r="I48" i="1"/>
  <c r="I29" i="1"/>
  <c r="I5" i="1"/>
  <c r="I47" i="1"/>
  <c r="I28" i="1"/>
  <c r="I35" i="1"/>
  <c r="I45" i="1"/>
  <c r="I24" i="1"/>
  <c r="J24" i="1"/>
  <c r="I23" i="1"/>
  <c r="I22" i="1"/>
  <c r="I21" i="1"/>
  <c r="J21" i="1"/>
  <c r="I20" i="1"/>
  <c r="J20" i="1"/>
  <c r="I19" i="1"/>
  <c r="I18" i="1"/>
  <c r="I17" i="1"/>
  <c r="I15" i="1"/>
  <c r="I16" i="1"/>
  <c r="I14" i="1"/>
  <c r="I13" i="1"/>
  <c r="I12" i="1"/>
  <c r="I11" i="1"/>
  <c r="J11" i="1"/>
  <c r="I10" i="1"/>
  <c r="I9" i="1"/>
  <c r="J9" i="1"/>
  <c r="I8" i="1"/>
  <c r="J8" i="1"/>
  <c r="I7" i="1"/>
  <c r="I6" i="1"/>
  <c r="J42" i="1"/>
  <c r="G42" i="1"/>
  <c r="AC42" i="3"/>
  <c r="G48" i="1"/>
  <c r="J48" i="1"/>
  <c r="G47" i="1"/>
  <c r="G46" i="1"/>
  <c r="J47" i="1"/>
  <c r="J46" i="1"/>
  <c r="G45" i="1"/>
  <c r="G43" i="1"/>
  <c r="J45" i="1"/>
  <c r="J43" i="1"/>
  <c r="G14" i="1"/>
  <c r="AL30" i="3"/>
  <c r="G29" i="1"/>
  <c r="G13" i="1"/>
  <c r="G30" i="1"/>
  <c r="G10" i="1"/>
  <c r="AX49" i="3"/>
  <c r="AX48" i="3"/>
  <c r="G27" i="1"/>
  <c r="G7" i="1"/>
  <c r="AX34" i="3"/>
  <c r="G5" i="1"/>
  <c r="AX30" i="3"/>
  <c r="AX26" i="3"/>
  <c r="AX18" i="3"/>
  <c r="G15" i="1"/>
  <c r="G11" i="1"/>
  <c r="G18" i="1"/>
  <c r="G24" i="1"/>
  <c r="E45" i="1"/>
  <c r="F45" i="1"/>
  <c r="G17" i="1"/>
  <c r="G8" i="1"/>
  <c r="AX43" i="3"/>
  <c r="AX42" i="3"/>
  <c r="J3" i="1"/>
  <c r="G3" i="1"/>
  <c r="G37" i="1"/>
  <c r="G9" i="1"/>
  <c r="J28" i="1"/>
  <c r="J12" i="1"/>
  <c r="E9" i="1"/>
  <c r="F9" i="1"/>
  <c r="E14" i="1"/>
  <c r="F14" i="1"/>
  <c r="E3" i="1"/>
  <c r="F3" i="1"/>
  <c r="E22" i="1"/>
  <c r="F22" i="1"/>
  <c r="E2" i="1"/>
  <c r="F2" i="1"/>
  <c r="E4" i="1"/>
  <c r="F4" i="1"/>
  <c r="E26" i="1"/>
  <c r="E25" i="1"/>
  <c r="F25" i="1"/>
  <c r="E17" i="1"/>
  <c r="F17" i="1"/>
  <c r="E13" i="1"/>
  <c r="F13" i="1"/>
  <c r="E18" i="1"/>
  <c r="F18" i="1"/>
  <c r="G28" i="1"/>
  <c r="G21" i="1"/>
  <c r="G4" i="1"/>
  <c r="G26" i="1"/>
  <c r="G23" i="1"/>
  <c r="G20" i="1"/>
  <c r="G16" i="1"/>
  <c r="G12" i="1"/>
  <c r="E30" i="1"/>
  <c r="F30" i="1"/>
  <c r="E6" i="1"/>
  <c r="F6" i="1"/>
  <c r="E28" i="1"/>
  <c r="E20" i="1"/>
  <c r="F20" i="1"/>
  <c r="E16" i="1"/>
  <c r="F16" i="1"/>
  <c r="E21" i="1"/>
  <c r="F21" i="1"/>
  <c r="E23" i="1"/>
  <c r="F23" i="1"/>
  <c r="E27" i="1"/>
  <c r="F27" i="1"/>
  <c r="E8" i="1"/>
  <c r="F8" i="1"/>
  <c r="J26" i="1"/>
  <c r="J18" i="1"/>
  <c r="J10" i="1"/>
  <c r="J2" i="1"/>
  <c r="J23" i="1"/>
  <c r="J15" i="1"/>
  <c r="J7" i="1"/>
  <c r="J4" i="1"/>
  <c r="J30" i="1"/>
  <c r="J22" i="1"/>
  <c r="J14" i="1"/>
  <c r="J6" i="1"/>
  <c r="J27" i="1"/>
  <c r="G22" i="1"/>
  <c r="E35" i="1"/>
  <c r="F35" i="1"/>
  <c r="E10" i="1"/>
  <c r="F10" i="1"/>
  <c r="E5" i="1"/>
  <c r="F5" i="1"/>
  <c r="J19" i="1"/>
  <c r="J16" i="1"/>
  <c r="E39" i="1"/>
  <c r="F39" i="1"/>
  <c r="E54" i="1"/>
  <c r="F54" i="1"/>
  <c r="E41" i="1"/>
  <c r="F41" i="1"/>
  <c r="E46" i="1"/>
  <c r="E7" i="1"/>
  <c r="F7" i="1"/>
  <c r="E11" i="1"/>
  <c r="F11" i="1"/>
  <c r="J41" i="1"/>
  <c r="G33" i="1"/>
  <c r="AX31" i="3"/>
  <c r="AX29" i="3"/>
  <c r="AX27" i="3"/>
  <c r="AX25" i="3"/>
  <c r="AX23" i="3"/>
  <c r="AX21" i="3"/>
  <c r="AX19" i="3"/>
  <c r="AX17" i="3"/>
  <c r="AX15" i="3"/>
  <c r="G19" i="1"/>
  <c r="G6" i="1"/>
  <c r="G32" i="1"/>
  <c r="E42" i="1"/>
  <c r="F42" i="1"/>
  <c r="G25" i="1"/>
  <c r="G36" i="1"/>
  <c r="E34" i="1"/>
  <c r="F34" i="1"/>
  <c r="J33" i="1"/>
  <c r="G41" i="1"/>
  <c r="G39" i="1"/>
  <c r="AX32" i="3"/>
  <c r="F55" i="1"/>
  <c r="E49" i="1"/>
  <c r="F49" i="1"/>
  <c r="G40" i="1"/>
  <c r="G31" i="1"/>
  <c r="E56" i="1"/>
  <c r="F56" i="1"/>
  <c r="G35" i="1"/>
  <c r="E51" i="1"/>
  <c r="F51" i="1"/>
  <c r="E60" i="1"/>
  <c r="F60" i="1"/>
  <c r="E58" i="1"/>
  <c r="F58" i="1"/>
  <c r="E52" i="1"/>
  <c r="F52" i="1"/>
  <c r="E50" i="1"/>
  <c r="F50" i="1"/>
  <c r="E48" i="1"/>
  <c r="F48" i="1"/>
  <c r="J36" i="1"/>
  <c r="AX35" i="3"/>
  <c r="G34" i="1"/>
  <c r="J29" i="1"/>
  <c r="J17" i="1"/>
  <c r="J13" i="1"/>
  <c r="J5" i="1"/>
  <c r="AX40" i="3"/>
  <c r="E36" i="1"/>
  <c r="F36" i="1"/>
  <c r="AX28" i="3"/>
  <c r="AX24" i="3"/>
  <c r="AX20" i="3"/>
  <c r="AX16" i="3"/>
  <c r="E33" i="1"/>
  <c r="F33" i="1"/>
  <c r="E32" i="1"/>
  <c r="F32" i="1"/>
  <c r="J31" i="1"/>
  <c r="E31" i="1"/>
  <c r="F31" i="1"/>
  <c r="AX41" i="3"/>
  <c r="AX37" i="3"/>
  <c r="J32" i="1"/>
  <c r="AX33" i="3"/>
  <c r="AX36" i="3"/>
  <c r="J35" i="1"/>
  <c r="E59" i="1"/>
  <c r="F59" i="1"/>
  <c r="E57" i="1"/>
  <c r="F57" i="1"/>
  <c r="E53" i="1"/>
  <c r="F53" i="1"/>
  <c r="E44" i="1"/>
  <c r="F44" i="1"/>
  <c r="E47" i="1"/>
  <c r="F47" i="1"/>
  <c r="E43" i="1"/>
  <c r="F43" i="1"/>
  <c r="AX46" i="3"/>
  <c r="AX47" i="3"/>
  <c r="E29" i="1"/>
  <c r="F29" i="1"/>
  <c r="E24" i="1"/>
  <c r="F24" i="1"/>
  <c r="E40" i="1"/>
  <c r="F40" i="1"/>
  <c r="F28" i="1"/>
  <c r="F46" i="1"/>
  <c r="E15" i="1"/>
  <c r="F15" i="1"/>
  <c r="E19" i="1"/>
  <c r="F19" i="1"/>
  <c r="E12" i="1"/>
  <c r="F12" i="1"/>
  <c r="F26" i="1"/>
  <c r="E38" i="1" l="1"/>
  <c r="F38" i="1"/>
  <c r="Y41" i="6"/>
  <c r="G38" i="1"/>
  <c r="I38" i="1"/>
  <c r="J38" i="1" s="1"/>
  <c r="I37" i="1"/>
  <c r="J37" i="1"/>
  <c r="E37" i="1"/>
  <c r="F37" i="1"/>
</calcChain>
</file>

<file path=xl/sharedStrings.xml><?xml version="1.0" encoding="utf-8"?>
<sst xmlns="http://schemas.openxmlformats.org/spreadsheetml/2006/main" count="1161" uniqueCount="218">
  <si>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</si>
  <si>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</si>
  <si>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</si>
  <si>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</si>
  <si>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</si>
  <si>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</si>
  <si>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</si>
  <si>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</si>
  <si>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</si>
  <si>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</si>
  <si>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</si>
  <si>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</si>
  <si>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</si>
  <si>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</si>
  <si>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</si>
  <si>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</si>
  <si>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</si>
  <si>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</si>
  <si>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</si>
  <si>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</si>
  <si>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</si>
  <si>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</si>
  <si>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</si>
  <si>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</si>
  <si>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</si>
  <si>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</si>
  <si>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</si>
  <si>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</si>
  <si>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</si>
  <si>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</si>
  <si>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</si>
  <si>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</si>
  <si>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</si>
  <si>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</si>
  <si>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</si>
  <si>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</si>
  <si>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</si>
  <si>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</si>
  <si>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</si>
  <si>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</si>
  <si>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</si>
  <si>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</si>
  <si>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</si>
  <si>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</si>
  <si>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</si>
  <si>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</si>
  <si>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</si>
  <si>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</si>
  <si>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</si>
  <si>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</si>
  <si>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</si>
  <si>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</si>
  <si>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</si>
  <si>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</si>
  <si>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</si>
  <si>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</si>
  <si>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</si>
  <si>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</si>
  <si>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</si>
  <si>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</si>
  <si>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</si>
  <si>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T7384</t>
  </si>
  <si>
    <t>68 425 008</t>
  </si>
  <si>
    <t>CC0913A018</t>
  </si>
  <si>
    <t>T2392</t>
  </si>
  <si>
    <t>68 425 010</t>
  </si>
  <si>
    <t>CC0913A020</t>
  </si>
  <si>
    <t>T2393</t>
  </si>
  <si>
    <t>68 425 078</t>
  </si>
  <si>
    <t>CC0913A060</t>
  </si>
  <si>
    <t>T2395</t>
  </si>
  <si>
    <t>68 425 077</t>
  </si>
  <si>
    <t>CC0913A059</t>
  </si>
  <si>
    <t>T7285</t>
  </si>
  <si>
    <t>68 425 071</t>
  </si>
  <si>
    <t>CC0913A081</t>
  </si>
  <si>
    <t>T7380</t>
  </si>
  <si>
    <t>68 425 060</t>
  </si>
  <si>
    <t>CC0913A054</t>
  </si>
  <si>
    <t>T2390</t>
  </si>
  <si>
    <t>68 425 059</t>
  </si>
  <si>
    <t>CC0913A053</t>
  </si>
  <si>
    <t>T7382</t>
  </si>
  <si>
    <t>68 425 093</t>
  </si>
  <si>
    <t>CC0913A075</t>
  </si>
  <si>
    <t>T2391</t>
  </si>
  <si>
    <t>68 425 094</t>
  </si>
  <si>
    <t>CC0913A076</t>
  </si>
  <si>
    <t>T7283</t>
  </si>
  <si>
    <t>90 625 242</t>
  </si>
  <si>
    <t>CC0912A18</t>
  </si>
  <si>
    <t>T7281</t>
  </si>
  <si>
    <t>68 425 097</t>
  </si>
  <si>
    <t>CC0913A095</t>
  </si>
  <si>
    <t>90 630 431</t>
  </si>
  <si>
    <t>CS0212A003</t>
  </si>
  <si>
    <t>CC0612A036</t>
  </si>
  <si>
    <t>CG0612A084</t>
  </si>
  <si>
    <t>CS0210A030</t>
  </si>
  <si>
    <t>x10</t>
  </si>
  <si>
    <t>x100</t>
  </si>
  <si>
    <t>x1000</t>
  </si>
  <si>
    <t>112014001775</t>
  </si>
  <si>
    <t>112014001771</t>
  </si>
  <si>
    <t>12C004186-C1</t>
  </si>
  <si>
    <t>Main PW Feed</t>
  </si>
  <si>
    <t>Main RW Feed</t>
  </si>
  <si>
    <t>Fire Prot Water Feed</t>
  </si>
  <si>
    <t>Steam Boiler M/U</t>
  </si>
  <si>
    <t>KWH</t>
  </si>
  <si>
    <t>Demand</t>
  </si>
  <si>
    <t>676 62 513</t>
  </si>
  <si>
    <t>672 73 163</t>
  </si>
  <si>
    <t>61 979 920</t>
  </si>
  <si>
    <t>56 253 208</t>
  </si>
  <si>
    <t>82SJ729151</t>
  </si>
  <si>
    <t>Water Meter</t>
  </si>
  <si>
    <t>Gas Meter</t>
  </si>
  <si>
    <t>Bldg J Irrigation</t>
  </si>
  <si>
    <t>Meter</t>
  </si>
  <si>
    <t>Total Occupied</t>
  </si>
  <si>
    <t>01</t>
  </si>
  <si>
    <t>Month: January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</si>
  <si>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</si>
  <si>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</si>
  <si>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</si>
  <si>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</si>
  <si>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</si>
  <si>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</si>
  <si>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</si>
  <si>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</si>
  <si>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</si>
  <si>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</si>
  <si>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</si>
  <si>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</si>
  <si>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</si>
  <si>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</si>
  <si>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</si>
  <si>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</si>
  <si>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</si>
  <si>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</si>
  <si>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</si>
  <si>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</si>
  <si>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</si>
  <si>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</si>
  <si>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</si>
  <si>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</si>
  <si>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</si>
  <si>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</si>
  <si>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</si>
  <si>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</si>
  <si>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</si>
  <si>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</si>
  <si>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Month: February</t>
  </si>
  <si>
    <t>Month: March</t>
  </si>
  <si>
    <t>Month: April</t>
  </si>
  <si>
    <t>Month: May</t>
  </si>
  <si>
    <t>Month: June</t>
  </si>
  <si>
    <t>Month: July</t>
  </si>
  <si>
    <t>Month: August</t>
  </si>
  <si>
    <t>Month: September</t>
  </si>
  <si>
    <t>Month: October</t>
  </si>
  <si>
    <t>Water Pk</t>
  </si>
  <si>
    <t>% of KWH</t>
  </si>
  <si>
    <t>IIC0608A03</t>
  </si>
  <si>
    <t>Date</t>
  </si>
  <si>
    <t>Occupancy</t>
  </si>
  <si>
    <t>KWH Total</t>
  </si>
  <si>
    <t>Total KWH</t>
  </si>
  <si>
    <t>Total Mnth</t>
  </si>
  <si>
    <t>Total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</si>
  <si>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</si>
  <si>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</si>
  <si>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</si>
  <si>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</si>
  <si>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</si>
  <si>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</si>
  <si>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</si>
  <si>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</si>
  <si>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</si>
  <si>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Total Gas Usage</t>
  </si>
  <si>
    <t>67327447 / 80606729</t>
  </si>
  <si>
    <t>X10</t>
  </si>
  <si>
    <t>cfm</t>
  </si>
  <si>
    <t>Cooling Tower M/U (x10,000)</t>
  </si>
  <si>
    <t>Cooling Tower B/D</t>
  </si>
  <si>
    <t>Bldg E Potable (x10)</t>
  </si>
  <si>
    <t>Bldg E Irrigation (x10)</t>
  </si>
  <si>
    <t>Lazy River Potable (X1000)</t>
  </si>
  <si>
    <t>Bldg E - Pool Hyrdanic</t>
  </si>
  <si>
    <t>Spa Jacuzzi M/U Water</t>
  </si>
  <si>
    <t>Deduct</t>
  </si>
  <si>
    <t>Gallons</t>
  </si>
  <si>
    <t>Potable Water Bldg A</t>
  </si>
  <si>
    <t>Main Gas Meter</t>
  </si>
  <si>
    <t>Total Gal</t>
  </si>
  <si>
    <t>Total Room Nights</t>
  </si>
  <si>
    <t>FS Resort Orlando Walt Disney World (Total)</t>
  </si>
  <si>
    <t>Base Currency</t>
  </si>
  <si>
    <t>Class</t>
  </si>
  <si>
    <t>Category</t>
  </si>
  <si>
    <t>Actual</t>
  </si>
  <si>
    <t>Final</t>
  </si>
  <si>
    <t>Working</t>
  </si>
  <si>
    <t>Year: 2014</t>
  </si>
  <si>
    <t>Year: 2015</t>
  </si>
  <si>
    <t>Year: 2016</t>
  </si>
  <si>
    <t>Year: 2017</t>
  </si>
  <si>
    <t>Year: 2018</t>
  </si>
  <si>
    <t>Year: 2019</t>
  </si>
  <si>
    <t>Year: 2020</t>
  </si>
  <si>
    <t>Year: 2021</t>
  </si>
  <si>
    <t>Total Rooms</t>
  </si>
  <si>
    <t>Month: November</t>
  </si>
  <si>
    <t>Month: December</t>
  </si>
  <si>
    <t>Budget</t>
  </si>
  <si>
    <t>Year: 2022</t>
  </si>
  <si>
    <t>Hydraunic Water M/U (x100)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</si>
</sst>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3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20"/>
      <color rgb="FFFF000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</fills>
  <borders count="26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3" fontId="21" fillId="0" borderId="0" applyFont="0" applyFill="0" applyBorder="0" applyAlignment="0" applyProtection="0"/>
  </cellStyleXfs>
  <cellXfs count="147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Fill="1" applyBorder="1" applyAlignment="1">
      <alignment horizontal="center"/>
    </xf>
    <xf numFmtId="0" fontId="0" fillId="23" borderId="0" xfId="0" applyFill="1" applyBorder="1" applyAlignment="1">
      <alignment horizontal="center"/>
    </xf>
    <xf numFmtId="0" fontId="0" fillId="0" borderId="12" xfId="0" applyBorder="1"/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0" xfId="0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23" fillId="0" borderId="14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3" xfId="0" applyBorder="1" applyAlignment="1">
      <alignment horizontal="center"/>
    </xf>
    <xf numFmtId="0" fontId="0" fillId="0" borderId="23" xfId="0" applyBorder="1"/>
    <xf numFmtId="0" fontId="0" fillId="0" borderId="0" xfId="0" applyBorder="1" applyAlignment="1">
      <alignment wrapText="1"/>
    </xf>
    <xf numFmtId="0" fontId="0" fillId="23" borderId="11" xfId="0" applyFill="1" applyBorder="1" applyAlignment="1">
      <alignment horizontal="center"/>
    </xf>
    <xf numFmtId="0" fontId="0" fillId="23" borderId="16" xfId="0" applyFont="1" applyFill="1" applyBorder="1" applyAlignment="1">
      <alignment horizontal="center"/>
    </xf>
    <xf numFmtId="0" fontId="0" fillId="23" borderId="0" xfId="0" applyFont="1" applyFill="1" applyBorder="1" applyAlignment="1">
      <alignment horizontal="center"/>
    </xf>
    <xf numFmtId="0" fontId="0" fillId="23" borderId="0" xfId="0" applyFont="1" applyFill="1"/>
    <xf numFmtId="0" fontId="0" fillId="24" borderId="12" xfId="0" applyFill="1" applyBorder="1" applyAlignment="1">
      <alignment wrapText="1"/>
    </xf>
    <xf numFmtId="0" fontId="0" fillId="24" borderId="12" xfId="0" applyFill="1" applyBorder="1"/>
    <xf numFmtId="1" fontId="0" fillId="24" borderId="12" xfId="0" applyNumberFormat="1" applyFill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4" fillId="0" borderId="13" xfId="0" applyNumberFormat="1" applyFont="1" applyBorder="1" applyAlignment="1">
      <alignment horizontal="center" vertical="center" wrapText="1"/>
    </xf>
    <xf numFmtId="1" fontId="26" fillId="0" borderId="13" xfId="0" applyNumberFormat="1" applyFont="1" applyBorder="1" applyAlignment="1">
      <alignment horizontal="center" vertical="center" wrapText="1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10" xfId="0" applyBorder="1" applyAlignment="1"/>
    <xf numFmtId="14" fontId="0" fillId="0" borderId="12" xfId="0" applyNumberFormat="1" applyBorder="1"/>
    <xf numFmtId="0" fontId="0" fillId="23" borderId="0" xfId="0" applyFill="1" applyBorder="1"/>
    <xf numFmtId="0" fontId="23" fillId="0" borderId="0" xfId="0" applyFont="1" applyFill="1" applyBorder="1" applyAlignment="1">
      <alignment horizontal="center"/>
    </xf>
    <xf numFmtId="14" fontId="0" fillId="25" borderId="12" xfId="0" applyNumberFormat="1" applyFill="1" applyBorder="1"/>
    <xf numFmtId="0" fontId="23" fillId="0" borderId="0" xfId="0" applyFont="1" applyFill="1"/>
    <xf numFmtId="0" fontId="28" fillId="0" borderId="12" xfId="0" applyFont="1" applyFill="1" applyBorder="1" applyAlignment="1">
      <alignment horizontal="center"/>
    </xf>
    <xf numFmtId="0" fontId="29" fillId="0" borderId="0" xfId="0" applyFont="1" applyFill="1"/>
    <xf numFmtId="0" fontId="30" fillId="0" borderId="0" xfId="0" applyFont="1" applyFill="1"/>
    <xf numFmtId="0" fontId="0" fillId="0" borderId="24" xfId="0" applyBorder="1"/>
    <xf numFmtId="0" fontId="0" fillId="24" borderId="21" xfId="0" applyFill="1" applyBorder="1"/>
    <xf numFmtId="0" fontId="0" fillId="0" borderId="0" xfId="0" applyFill="1" applyAlignment="1">
      <alignment wrapText="1"/>
    </xf>
    <xf numFmtId="0" fontId="22" fillId="0" borderId="14" xfId="0" applyFont="1" applyFill="1" applyBorder="1" applyAlignment="1">
      <alignment horizontal="center"/>
    </xf>
    <xf numFmtId="14" fontId="0" fillId="0" borderId="12" xfId="0" applyNumberFormat="1" applyFont="1" applyBorder="1"/>
    <xf numFmtId="0" fontId="0" fillId="0" borderId="0" xfId="0" applyFont="1"/>
    <xf numFmtId="0" fontId="31" fillId="0" borderId="12" xfId="0" applyFont="1" applyBorder="1"/>
    <xf numFmtId="0" fontId="31" fillId="0" borderId="24" xfId="0" applyFont="1" applyBorder="1"/>
    <xf numFmtId="0" fontId="31" fillId="26" borderId="12" xfId="0" applyFont="1" applyFill="1" applyBorder="1"/>
    <xf numFmtId="0" fontId="31" fillId="27" borderId="0" xfId="0" applyFont="1" applyFill="1"/>
    <xf numFmtId="0" fontId="31" fillId="26" borderId="18" xfId="0" applyFont="1" applyFill="1" applyBorder="1"/>
    <xf numFmtId="0" fontId="31" fillId="26" borderId="21" xfId="0" applyFont="1" applyFill="1" applyBorder="1"/>
    <xf numFmtId="0" fontId="31" fillId="0" borderId="12" xfId="0" applyFont="1" applyBorder="1" applyAlignment="1">
      <alignment horizontal="center"/>
    </xf>
    <xf numFmtId="43" fontId="0" fillId="0" borderId="0" xfId="44" applyFont="1"/>
    <xf numFmtId="1" fontId="32" fillId="0" borderId="18" xfId="0" applyNumberFormat="1" applyFont="1" applyFill="1" applyBorder="1" applyAlignment="1">
      <alignment horizontal="center"/>
    </xf>
    <xf numFmtId="1" fontId="20" fillId="0" borderId="23" xfId="0" applyNumberFormat="1" applyFont="1" applyBorder="1" applyAlignment="1">
      <alignment horizontal="center"/>
    </xf>
    <xf numFmtId="1" fontId="20" fillId="0" borderId="10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18" fillId="0" borderId="12" xfId="0" applyFont="1" applyBorder="1"/>
    <xf numFmtId="0" fontId="25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23" borderId="16" xfId="0" applyNumberFormat="1" applyFont="1" applyFill="1" applyBorder="1" applyAlignment="1">
      <alignment horizontal="center"/>
    </xf>
    <xf numFmtId="1" fontId="0" fillId="23" borderId="0" xfId="0" applyNumberFormat="1" applyFont="1" applyFill="1" applyBorder="1" applyAlignment="1">
      <alignment horizontal="center"/>
    </xf>
    <xf numFmtId="1" fontId="31" fillId="0" borderId="12" xfId="0" applyNumberFormat="1" applyFont="1" applyBorder="1"/>
    <xf numFmtId="1" fontId="31" fillId="26" borderId="12" xfId="0" applyNumberFormat="1" applyFont="1" applyFill="1" applyBorder="1"/>
    <xf numFmtId="1" fontId="0" fillId="23" borderId="0" xfId="0" applyNumberFormat="1" applyFont="1" applyFill="1"/>
    <xf numFmtId="1" fontId="31" fillId="27" borderId="0" xfId="0" applyNumberFormat="1" applyFont="1" applyFill="1"/>
    <xf numFmtId="1" fontId="31" fillId="0" borderId="24" xfId="0" applyNumberFormat="1" applyFont="1" applyBorder="1"/>
    <xf numFmtId="1" fontId="31" fillId="26" borderId="18" xfId="0" applyNumberFormat="1" applyFont="1" applyFill="1" applyBorder="1"/>
    <xf numFmtId="1" fontId="31" fillId="26" borderId="21" xfId="0" applyNumberFormat="1" applyFont="1" applyFill="1" applyBorder="1"/>
    <xf numFmtId="1" fontId="0" fillId="0" borderId="0" xfId="0" applyNumberFormat="1" applyFont="1"/>
    <xf numFmtId="0" fontId="27" fillId="0" borderId="0" xfId="0" applyFont="1" applyAlignment="1">
      <alignment horizontal="center"/>
    </xf>
    <xf numFmtId="0" fontId="0" fillId="23" borderId="0" xfId="0" applyFont="1" applyFill="1" applyAlignment="1">
      <alignment horizontal="right"/>
    </xf>
    <xf numFmtId="0" fontId="0" fillId="24" borderId="18" xfId="0" applyFill="1" applyBorder="1"/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9" fillId="0" borderId="0" xfId="0" applyFont="1" applyBorder="1" applyAlignment="1">
      <alignment horizontal="center" vertical="center"/>
    </xf>
    <xf numFmtId="0" fontId="0" fillId="0" borderId="0" xfId="0" applyNumberFormat="1" applyBorder="1" applyAlignment="1">
      <alignment horizontal="center"/>
    </xf>
    <xf numFmtId="14" fontId="0" fillId="0" borderId="0" xfId="0" applyNumberFormat="1" applyFont="1" applyBorder="1"/>
    <xf numFmtId="0" fontId="0" fillId="0" borderId="25" xfId="0" applyBorder="1" applyProtection="1">
      <protection locked="0"/>
    </xf>
    <xf numFmtId="0" fontId="0" fillId="0" borderId="25" xfId="0" quotePrefix="1" applyBorder="1" applyProtection="1">
      <protection locked="0"/>
    </xf>
    <xf numFmtId="0" fontId="0" fillId="0" borderId="12" xfId="0" applyBorder="1" applyAlignment="1">
      <alignment horizontal="right"/>
    </xf>
    <xf numFmtId="0" fontId="0" fillId="0" borderId="18" xfId="0" applyBorder="1"/>
    <xf numFmtId="0" fontId="0" fillId="23" borderId="25" xfId="0" applyFill="1" applyBorder="1" applyProtection="1">
      <protection locked="0"/>
    </xf>
    <xf numFmtId="0" fontId="0" fillId="0" borderId="12" xfId="0" applyBorder="1" applyAlignment="1">
      <alignment horizontal="center"/>
    </xf>
    <xf numFmtId="0" fontId="0" fillId="0" borderId="25" xfId="0" applyFill="1" applyBorder="1" applyProtection="1">
      <protection locked="0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29" fillId="0" borderId="18" xfId="0" applyFont="1" applyFill="1" applyBorder="1" applyAlignment="1">
      <alignment horizontal="center"/>
    </xf>
    <xf numFmtId="0" fontId="29" fillId="0" borderId="22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31" fillId="0" borderId="18" xfId="0" applyFont="1" applyBorder="1" applyAlignment="1">
      <alignment horizontal="center"/>
    </xf>
    <xf numFmtId="0" fontId="31" fillId="0" borderId="21" xfId="0" applyFont="1" applyBorder="1" applyAlignment="1">
      <alignment horizontal="center"/>
    </xf>
    <xf numFmtId="1" fontId="31" fillId="0" borderId="18" xfId="0" applyNumberFormat="1" applyFont="1" applyBorder="1" applyAlignment="1">
      <alignment horizontal="center"/>
    </xf>
    <xf numFmtId="1" fontId="31" fillId="0" borderId="21" xfId="0" applyNumberFormat="1" applyFont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3" fillId="0" borderId="21" xfId="0" applyFont="1" applyFill="1" applyBorder="1" applyAlignment="1">
      <alignment horizontal="center"/>
    </xf>
    <xf numFmtId="0" fontId="23" fillId="0" borderId="22" xfId="0" applyFont="1" applyFill="1" applyBorder="1" applyAlignment="1">
      <alignment horizontal="center"/>
    </xf>
    <xf numFmtId="0" fontId="23" fillId="0" borderId="17" xfId="0" applyFont="1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23" fillId="0" borderId="19" xfId="0" applyFont="1" applyFill="1" applyBorder="1" applyAlignment="1">
      <alignment horizontal="center"/>
    </xf>
    <xf numFmtId="0" fontId="23" fillId="0" borderId="20" xfId="0" applyFont="1" applyFill="1" applyBorder="1" applyAlignment="1">
      <alignment horizontal="center"/>
    </xf>
    <xf numFmtId="0" fontId="23" fillId="0" borderId="19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</cellXfs>
  <cellStyles count="45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Comma" xfId="44" builtinId="3"/>
    <cellStyle name="Eingabe" xfId="27" xr:uid="{00000000-0005-0000-0000-00001C000000}"/>
    <cellStyle name="Ergebnis" xfId="28" xr:uid="{00000000-0005-0000-0000-00001D000000}"/>
    <cellStyle name="Erklärender Text" xfId="29" xr:uid="{00000000-0005-0000-0000-00001E000000}"/>
    <cellStyle name="Gut" xfId="30" xr:uid="{00000000-0005-0000-0000-00001F000000}"/>
    <cellStyle name="Normal" xfId="0" builtinId="0"/>
    <cellStyle name="Normale 2" xfId="31" xr:uid="{00000000-0005-0000-0000-000021000000}"/>
    <cellStyle name="Notiz" xfId="32" xr:uid="{00000000-0005-0000-0000-000022000000}"/>
    <cellStyle name="Percentuale 2" xfId="33" xr:uid="{00000000-0005-0000-0000-000024000000}"/>
    <cellStyle name="Schlecht" xfId="34" xr:uid="{00000000-0005-0000-0000-000025000000}"/>
    <cellStyle name="Überschrift" xfId="35" xr:uid="{00000000-0005-0000-0000-000026000000}"/>
    <cellStyle name="Überschrift 1" xfId="36" xr:uid="{00000000-0005-0000-0000-000027000000}"/>
    <cellStyle name="Überschrift 2" xfId="37" xr:uid="{00000000-0005-0000-0000-000028000000}"/>
    <cellStyle name="Überschrift 3" xfId="38" xr:uid="{00000000-0005-0000-0000-000029000000}"/>
    <cellStyle name="Überschrift 4" xfId="39" xr:uid="{00000000-0005-0000-0000-00002A000000}"/>
    <cellStyle name="Valuta 2" xfId="40" xr:uid="{00000000-0005-0000-0000-00002B000000}"/>
    <cellStyle name="Verknüpfte Zelle" xfId="41" xr:uid="{00000000-0005-0000-0000-00002C000000}"/>
    <cellStyle name="Warnender Text" xfId="42" xr:uid="{00000000-0005-0000-0000-00002D000000}"/>
    <cellStyle name="Zelle überprüfen" xfId="43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62"/>
  <sheetViews>
    <sheetView workbookViewId="0">
      <selection activeCell="I2" sqref="I2:I62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1" customWidth="1"/>
    <col min="7" max="7" width="11.5703125" style="1"/>
    <col min="8" max="8" width="11.5703125" style="11"/>
    <col min="9" max="9" width="11.5703125" style="1"/>
    <col min="10" max="10" width="11.5703125" style="13"/>
    <col min="11" max="23" width="11.5703125" style="1"/>
  </cols>
  <sheetData>
    <row r="1" spans="1:23" s="3" customFormat="1" ht="60" x14ac:dyDescent="0.25">
      <c r="A1" s="5" t="s">
        <v>0</v>
      </c>
      <c r="B1" s="94" t="s">
        <v>1</v>
      </c>
      <c r="C1" s="94" t="s">
        <v>2</v>
      </c>
      <c r="D1" s="94" t="s">
        <v>3</v>
      </c>
      <c r="E1" s="6" t="s">
        <v>4</v>
      </c>
      <c r="F1" s="9" t="s">
        <v>5</v>
      </c>
      <c r="G1" s="6" t="s">
        <v>6</v>
      </c>
      <c r="H1" s="9" t="s">
        <v>7</v>
      </c>
      <c r="I1" s="6" t="s">
        <v>8</v>
      </c>
      <c r="J1" s="12" t="s">
        <v>9</v>
      </c>
      <c r="K1" s="6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114">
        <v>1</v>
      </c>
      <c r="C2" s="2">
        <v>1</v>
      </c>
      <c r="D2" s="2">
        <v>2022</v>
      </c>
      <c r="E2" s="4">
        <f>Submetering!F3+Submetering!H3+Submetering!J3+Submetering!L3+Submetering!N3+Submetering!P3+Submetering!R3+Submetering!T3+Submetering!V3+Submetering!X3+Submetering!Z3+Submetering!AB3+Submetering!AC3+Submetering!AD3+Submetering!AE3</f>
        <v>105883</v>
      </c>
      <c r="F2" s="10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8.0524989424175727E-2</v>
      </c>
      <c r="G2" s="4">
        <f>Submetering!AK3+Submetering!AL3+Submetering!AU3</f>
        <v>1424.8252000000002</v>
      </c>
      <c r="H2" s="11">
        <v>0.81659999999999999</v>
      </c>
      <c r="I2" s="4">
        <f>Submetering!AF3+Submetering!AG3+Submetering!AV3+Submetering!AY3+Submetering!AZ3</f>
        <v>1752.4649999999997</v>
      </c>
      <c r="J2" s="11">
        <f>((Submetering!AG3+Submetering!BA3)*0.8868+(1712.96+1070.52)/30+(Submetering!AF3+Submetering!AY3+Submetering!AV3+Submetering!AZ3)*1.1251+(2076.11+129.67+207.57+207.57)/30+(11680.53+56.61)/30)/I2</f>
        <v>1.4176249655009756</v>
      </c>
      <c r="K2" s="4">
        <f>Elect!C5</f>
        <v>242.25</v>
      </c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</row>
    <row r="3" spans="1:23" x14ac:dyDescent="0.25">
      <c r="A3" s="3" t="s">
        <v>11</v>
      </c>
      <c r="B3" s="114">
        <v>3</v>
      </c>
      <c r="C3" s="2">
        <v>1</v>
      </c>
      <c r="D3" s="2">
        <v>2022</v>
      </c>
      <c r="E3" s="4">
        <f>Submetering!F4+Submetering!H4+Submetering!J4+Submetering!L4+Submetering!N4+Submetering!P4+Submetering!R4+Submetering!T4+Submetering!V4+Submetering!X4+Submetering!Z4+Submetering!AB4+Submetering!AC4+Submetering!AD4+Submetering!AE4</f>
        <v>280408</v>
      </c>
      <c r="F3" s="10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8.0862565938204331E-2</v>
      </c>
      <c r="G3" s="4">
        <f>Submetering!AK4+Submetering!AL4+Submetering!AU4</f>
        <v>6586.6539999999995</v>
      </c>
      <c r="H3" s="11">
        <v>0.81659999999999999</v>
      </c>
      <c r="I3" s="4">
        <f>Submetering!AF4+Submetering!AG4+Submetering!AV4+Submetering!AY4+Submetering!AZ4</f>
        <v>5054.4598000000005</v>
      </c>
      <c r="J3" s="11">
        <f>((Submetering!AG4+Submetering!BA4)*0.8868+(1712.96+1070.52)/30+(Submetering!AF4+Submetering!AY4+Submetering!AV4+Submetering!AZ4)*1.1251+(2076.11+129.67+207.57+207.57)/30+(11680.53+56.61)/30)/I3</f>
        <v>1.2130453455474444</v>
      </c>
      <c r="K3" s="4">
        <f>Elect!C6</f>
        <v>1355</v>
      </c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</row>
    <row r="4" spans="1:23" x14ac:dyDescent="0.25">
      <c r="A4" s="3" t="s">
        <v>11</v>
      </c>
      <c r="B4" s="114">
        <v>10</v>
      </c>
      <c r="C4" s="2">
        <v>1</v>
      </c>
      <c r="D4" s="2">
        <v>2022</v>
      </c>
      <c r="E4" s="4">
        <f>Submetering!F5+Submetering!H5+Submetering!J5+Submetering!L5+Submetering!N5+Submetering!P5+Submetering!R5+Submetering!T5+Submetering!V5+Submetering!X5+Submetering!Z5+Submetering!AB5+Submetering!AC5+Submetering!AD5+Submetering!AE5</f>
        <v>286418</v>
      </c>
      <c r="F4" s="10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8.0762706362030326E-2</v>
      </c>
      <c r="G4" s="4">
        <f>Submetering!AK5+Submetering!AL5+Submetering!AU5</f>
        <v>8168.8637999999992</v>
      </c>
      <c r="H4" s="11">
        <v>0.81659999999999999</v>
      </c>
      <c r="I4" s="4">
        <f>Submetering!AF5+Submetering!AG5+Submetering!AV5+Submetering!AY5+Submetering!AZ5</f>
        <v>4647.0010000000011</v>
      </c>
      <c r="J4" s="11">
        <f>((Submetering!AG5+Submetering!BA5)*0.8868+(1712.96+1070.52)/30+(Submetering!AF5+Submetering!AY5+Submetering!AV5+Submetering!AZ5)*1.1251+(2076.11+129.67+207.57+207.57)/30+(11680.53+56.61)/30)/I4</f>
        <v>1.2293121720711198</v>
      </c>
      <c r="K4" s="4">
        <f>Elect!C7</f>
        <v>1610</v>
      </c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</row>
    <row r="5" spans="1:23" x14ac:dyDescent="0.25">
      <c r="A5" s="3" t="s">
        <v>11</v>
      </c>
      <c r="B5" s="114">
        <v>17</v>
      </c>
      <c r="C5" s="2">
        <v>1</v>
      </c>
      <c r="D5" s="2">
        <v>2022</v>
      </c>
      <c r="E5" s="4">
        <f>Submetering!F6+Submetering!H6+Submetering!J6+Submetering!L6+Submetering!N6+Submetering!P6+Submetering!R6+Submetering!T6+Submetering!V6+Submetering!X6+Submetering!Z6+Submetering!AB6+Submetering!AC6+Submetering!AD6+Submetering!AE6</f>
        <v>279751</v>
      </c>
      <c r="F5" s="10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8.0725820271598664E-2</v>
      </c>
      <c r="G5" s="4">
        <f>Submetering!AK6+Submetering!AL6+Submetering!AU6</f>
        <v>8793.7472000000016</v>
      </c>
      <c r="H5" s="11">
        <v>0.81659999999999999</v>
      </c>
      <c r="I5" s="4">
        <f>Submetering!AF6+Submetering!AG6+Submetering!AV6+Submetering!AY6+Submetering!AZ6</f>
        <v>4520.7118</v>
      </c>
      <c r="J5" s="11">
        <f>((Submetering!AG6+Submetering!BA6)*0.8868+(1712.96+1070.52)/30+(Submetering!AF6+Submetering!AY6+Submetering!AV6+Submetering!AZ6)*1.1251+(2076.11+129.67+207.57+207.57)/30+(11680.53+56.61)/30)/I5</f>
        <v>1.2385967288705877</v>
      </c>
      <c r="K5" s="4">
        <f>Elect!C8</f>
        <v>1849</v>
      </c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</row>
    <row r="6" spans="1:23" x14ac:dyDescent="0.25">
      <c r="A6" s="3" t="s">
        <v>11</v>
      </c>
      <c r="B6" s="114">
        <v>24</v>
      </c>
      <c r="C6" s="2">
        <v>1</v>
      </c>
      <c r="D6" s="2">
        <v>2022</v>
      </c>
      <c r="E6" s="4">
        <f>Submetering!F7+Submetering!H7+Submetering!J7+Submetering!L7+Submetering!N7+Submetering!P7+Submetering!R7+Submetering!T7+Submetering!V7+Submetering!X7+Submetering!Z7+Submetering!AB7+Submetering!AC7+Submetering!AD7+Submetering!AE7</f>
        <v>261801</v>
      </c>
      <c r="F6" s="10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8.0697066193024469E-2</v>
      </c>
      <c r="G6" s="4">
        <f>Submetering!AK7+Submetering!AL7+Submetering!AU7</f>
        <v>9082.3305999999993</v>
      </c>
      <c r="H6" s="11">
        <v>0.81659999999999999</v>
      </c>
      <c r="I6" s="4">
        <f>Submetering!AF7+Submetering!AG7+Submetering!AV7+Submetering!AY7+Submetering!AZ7</f>
        <v>3812.8896</v>
      </c>
      <c r="J6" s="11">
        <f>((Submetering!AG7+Submetering!BA7)*0.8868+(1712.96+1070.52)/30+(Submetering!AF7+Submetering!AY7+Submetering!AV7+Submetering!AZ7)*1.1251+(2076.11+129.67+207.57+207.57)/30+(11680.53+56.61)/30)/I6</f>
        <v>1.2732171340462275</v>
      </c>
      <c r="K6" s="4">
        <f>Elect!C9</f>
        <v>724</v>
      </c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</row>
    <row r="7" spans="1:23" x14ac:dyDescent="0.25">
      <c r="A7" s="3" t="s">
        <v>11</v>
      </c>
      <c r="B7" s="114">
        <v>31</v>
      </c>
      <c r="C7" s="2">
        <v>1</v>
      </c>
      <c r="D7" s="2">
        <v>2022</v>
      </c>
      <c r="E7" s="4">
        <f>Submetering!F8+Submetering!H8+Submetering!J8+Submetering!L8+Submetering!N8+Submetering!P8+Submetering!R8+Submetering!T8+Submetering!V8+Submetering!X8+Submetering!Z8+Submetering!AB8+Submetering!AC8+Submetering!AD8+Submetering!AE8</f>
        <v>280505</v>
      </c>
      <c r="F7" s="10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8.0991603372488896E-2</v>
      </c>
      <c r="G7" s="4">
        <f>Submetering!AK8+Submetering!AL8+Submetering!AU8</f>
        <v>7215.915</v>
      </c>
      <c r="H7" s="11">
        <v>0.81659999999999999</v>
      </c>
      <c r="I7" s="4">
        <f>Submetering!AF8+Submetering!AG8+Submetering!AV8+Submetering!AY8+Submetering!AZ8</f>
        <v>4725.3303999999998</v>
      </c>
      <c r="J7" s="11">
        <f>((Submetering!AG8+Submetering!BA8)*0.8868+(1712.96+1070.52)/30+(Submetering!AF8+Submetering!AY8+Submetering!AV8+Submetering!AZ8)*1.1251+(2076.11+129.67+207.57+207.57)/30+(11680.53+56.61)/30)/I7</f>
        <v>1.2277024861640715</v>
      </c>
      <c r="K7" s="4">
        <f>Elect!C10</f>
        <v>1557</v>
      </c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</row>
    <row r="8" spans="1:23" x14ac:dyDescent="0.25">
      <c r="A8" s="3" t="s">
        <v>11</v>
      </c>
      <c r="B8" s="114">
        <v>7</v>
      </c>
      <c r="C8" s="2">
        <v>2</v>
      </c>
      <c r="D8" s="2">
        <v>2022</v>
      </c>
      <c r="E8" s="4">
        <f>Submetering!F9+Submetering!H9+Submetering!J9+Submetering!L9+Submetering!N9+Submetering!P9+Submetering!R9+Submetering!T9+Submetering!V9+Submetering!X9+Submetering!Z9+Submetering!AB9+Submetering!AC9+Submetering!AD9+Submetering!AE9</f>
        <v>260532</v>
      </c>
      <c r="F8" s="10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8.0416304048638934E-2</v>
      </c>
      <c r="G8" s="4">
        <f>Submetering!AK9+Submetering!AL9+Submetering!AU9</f>
        <v>4121.6472000000003</v>
      </c>
      <c r="H8" s="11">
        <v>0.81659999999999999</v>
      </c>
      <c r="I8" s="4">
        <f>Submetering!AF9+Submetering!AG9+Submetering!AV9+Submetering!AY9+Submetering!AZ9</f>
        <v>4498.5388000000012</v>
      </c>
      <c r="J8" s="11">
        <f>((Submetering!AG9+Submetering!BA9)*0.8868+(1712.96+1070.52)/30+(Submetering!AF9+Submetering!AY9+Submetering!AV9+Submetering!AZ9)*1.1251+(2076.11+129.67+207.57+207.57)/30+(11680.53+56.61)/30)/I8</f>
        <v>1.237891958754844</v>
      </c>
      <c r="K8" s="4">
        <f>Elect!C11</f>
        <v>1315</v>
      </c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</row>
    <row r="9" spans="1:23" x14ac:dyDescent="0.25">
      <c r="A9" s="3" t="s">
        <v>11</v>
      </c>
      <c r="B9" s="114">
        <v>14</v>
      </c>
      <c r="C9" s="2">
        <v>2</v>
      </c>
      <c r="D9" s="2">
        <v>2022</v>
      </c>
      <c r="E9" s="4">
        <f>Submetering!F10+Submetering!H10+Submetering!J10+Submetering!L10+Submetering!N10+Submetering!P10+Submetering!R10+Submetering!T10+Submetering!V10+Submetering!X10+Submetering!Z10+Submetering!AB10+Submetering!AC10+Submetering!AD10+Submetering!AE10</f>
        <v>316895</v>
      </c>
      <c r="F9" s="10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8.0646165786143684E-2</v>
      </c>
      <c r="G9" s="4">
        <f>Submetering!AK10+Submetering!AL10+Submetering!AU10</f>
        <v>10809.195000000002</v>
      </c>
      <c r="H9" s="11">
        <v>0.81659999999999999</v>
      </c>
      <c r="I9" s="4">
        <f>Submetering!AF10+Submetering!AG10+Submetering!AV10+Submetering!AY10+Submetering!AZ10</f>
        <v>5814.1709999999994</v>
      </c>
      <c r="J9" s="11">
        <f>((Submetering!AG10+Submetering!BA10)*0.8868+(1712.96+1070.52)/30+(Submetering!AF10+Submetering!AY10+Submetering!AV10+Submetering!AZ10)*1.1251+(2076.11+129.67+207.57+207.57)/30+(11680.53+56.61)/30)/I9</f>
        <v>1.2057537012734347</v>
      </c>
      <c r="K9" s="4">
        <f>Elect!C12</f>
        <v>2448</v>
      </c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</row>
    <row r="10" spans="1:23" x14ac:dyDescent="0.25">
      <c r="A10" s="3" t="s">
        <v>11</v>
      </c>
      <c r="B10" s="72">
        <v>21</v>
      </c>
      <c r="C10" s="2">
        <v>2</v>
      </c>
      <c r="D10" s="2">
        <v>2022</v>
      </c>
      <c r="E10" s="4">
        <f>Submetering!F11+Submetering!H11+Submetering!J11+Submetering!L11+Submetering!N11+Submetering!P11+Submetering!R11+Submetering!T11+Submetering!V11+Submetering!X11+Submetering!Z11+Submetering!AB11+Submetering!AC11+Submetering!AD11+Submetering!AE11</f>
        <v>344088</v>
      </c>
      <c r="F10" s="10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8.0661383006672721E-2</v>
      </c>
      <c r="G10" s="4">
        <f>Submetering!AK11+Submetering!AL11+Submetering!AU11</f>
        <v>4867.116</v>
      </c>
      <c r="H10" s="11">
        <v>0.81659999999999999</v>
      </c>
      <c r="I10" s="4">
        <f>Submetering!AF11+Submetering!AG11+Submetering!AV11+Submetering!AY11+Submetering!AZ11</f>
        <v>6283.1328000000003</v>
      </c>
      <c r="J10" s="11">
        <f>((Submetering!AG11+Submetering!BA11)*0.8868+(1712.96+1070.52)/30+(Submetering!AF11+Submetering!AY11+Submetering!AV11+Submetering!AZ11)*1.1251+(2076.11+129.67+207.57+207.57)/30+(11680.53+56.61)/30)/I10</f>
        <v>1.1954698415711771</v>
      </c>
      <c r="K10" s="4">
        <f>Elect!C13</f>
        <v>2437</v>
      </c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</row>
    <row r="11" spans="1:23" x14ac:dyDescent="0.25">
      <c r="A11" s="3" t="s">
        <v>11</v>
      </c>
      <c r="B11" s="72">
        <v>28</v>
      </c>
      <c r="C11" s="2">
        <v>2</v>
      </c>
      <c r="D11" s="2">
        <v>2022</v>
      </c>
      <c r="E11" s="4">
        <f>Submetering!F12+Submetering!H12+Submetering!J12+Submetering!L12+Submetering!N12+Submetering!P12+Submetering!R12+Submetering!T12+Submetering!V12+Submetering!X12+Submetering!Z12+Submetering!AB12+Submetering!AC12+Submetering!AD12+Submetering!AE12</f>
        <v>296800</v>
      </c>
      <c r="F11" s="10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8.0660521063342303E-2</v>
      </c>
      <c r="G11" s="4">
        <f>Submetering!AK12+Submetering!AL12+Submetering!AU12</f>
        <v>5659.7466000000004</v>
      </c>
      <c r="H11" s="11">
        <v>0.81659999999999999</v>
      </c>
      <c r="I11" s="4">
        <f>Submetering!AF12+Submetering!AG12+Submetering!AV12+Submetering!AY12+Submetering!AZ12</f>
        <v>5705.7759999999998</v>
      </c>
      <c r="J11" s="11">
        <f>((Submetering!AG12+Submetering!BA12)*0.8868+(1712.96+1070.52)/30+(Submetering!AF12+Submetering!AY12+Submetering!AV12+Submetering!AZ12)*1.1251+(2076.11+129.67+207.57+207.57)/30+(11680.53+56.61)/30)/I11</f>
        <v>1.2029924385721882</v>
      </c>
      <c r="K11" s="4">
        <f>Elect!C14</f>
        <v>2099</v>
      </c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</row>
    <row r="12" spans="1:23" x14ac:dyDescent="0.25">
      <c r="A12" s="3" t="s">
        <v>11</v>
      </c>
      <c r="B12" s="72">
        <v>7</v>
      </c>
      <c r="C12" s="2">
        <v>3</v>
      </c>
      <c r="D12" s="2">
        <v>2022</v>
      </c>
      <c r="E12" s="4">
        <f>Submetering!F13+Submetering!H13+Submetering!J13+Submetering!L13+Submetering!N13+Submetering!P13+Submetering!R13+Submetering!T13+Submetering!V13+Submetering!X13+Submetering!Z13+Submetering!AB13+Submetering!AC13+Submetering!AD13+Submetering!AE13</f>
        <v>348260</v>
      </c>
      <c r="F12" s="10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8.0669362865675068E-2</v>
      </c>
      <c r="G12" s="4">
        <f>Submetering!AK13+Submetering!AL13+Submetering!AU13</f>
        <v>4913.8863999999994</v>
      </c>
      <c r="H12" s="11">
        <v>0.81659999999999999</v>
      </c>
      <c r="I12" s="4">
        <f>Submetering!AF13+Submetering!AG13+Submetering!AV13+Submetering!AY13+Submetering!AZ13</f>
        <v>5010.1328000000003</v>
      </c>
      <c r="J12" s="11">
        <f>((Submetering!AG13+Submetering!BA13)*0.8868+(1712.96+1070.52)/30+(Submetering!AF13+Submetering!AY13+Submetering!AV13+Submetering!AZ13)*1.1251+(2076.11+129.67+207.57+207.57)/30+(11680.53+56.61)/30)/I12</f>
        <v>1.2312130587330274</v>
      </c>
      <c r="K12" s="4">
        <f>Elect!C15</f>
        <v>2923</v>
      </c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</row>
    <row r="13" spans="1:23" x14ac:dyDescent="0.25">
      <c r="A13" s="3" t="s">
        <v>11</v>
      </c>
      <c r="B13" s="72">
        <v>14</v>
      </c>
      <c r="C13" s="2">
        <v>3</v>
      </c>
      <c r="D13" s="2">
        <v>2022</v>
      </c>
      <c r="E13" s="4">
        <f>Submetering!F14+Submetering!H14+Submetering!J14+Submetering!L14+Submetering!N14+Submetering!P14+Submetering!R14+Submetering!T14+Submetering!V14+Submetering!X14+Submetering!Z14+Submetering!AB14+Submetering!AC14+Submetering!AD14+Submetering!AE14</f>
        <v>324382</v>
      </c>
      <c r="F13" s="10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8.0641548030408586E-2</v>
      </c>
      <c r="G13" s="4">
        <f>Submetering!AK14+Submetering!AL14+Submetering!AU14</f>
        <v>1344.8162</v>
      </c>
      <c r="H13" s="11">
        <v>0.81659999999999999</v>
      </c>
      <c r="I13" s="4">
        <f>Submetering!AF14+Submetering!AG14+Submetering!AV14+Submetering!AY14+Submetering!AZ14</f>
        <v>5668.0001999999995</v>
      </c>
      <c r="J13" s="11">
        <f>((Submetering!AG14+Submetering!BA14)*0.8868+(1712.96+1070.52)/30+(Submetering!AF14+Submetering!AY14+Submetering!AV14+Submetering!AZ14)*1.1251+(2076.11+129.67+207.57+207.57)/30+(11680.53+56.61)/30)/I13</f>
        <v>1.2078635686510149</v>
      </c>
      <c r="K13" s="4">
        <f>Elect!C16</f>
        <v>2941</v>
      </c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</row>
    <row r="14" spans="1:23" x14ac:dyDescent="0.25">
      <c r="A14" s="3" t="s">
        <v>11</v>
      </c>
      <c r="B14" s="72">
        <v>21</v>
      </c>
      <c r="C14" s="2">
        <v>3</v>
      </c>
      <c r="D14" s="2">
        <v>2022</v>
      </c>
      <c r="E14" s="4">
        <f>Submetering!F15+Submetering!H15+Submetering!J15+Submetering!L15+Submetering!N15+Submetering!P15+Submetering!R15+Submetering!T15+Submetering!V15+Submetering!X15+Submetering!Z15+Submetering!AB15+Submetering!AC15+Submetering!AD15+Submetering!AE15</f>
        <v>308772</v>
      </c>
      <c r="F14" s="10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8.0711045395307865E-2</v>
      </c>
      <c r="G14" s="4">
        <f>Submetering!AK15+Submetering!AL15+Submetering!AU15</f>
        <v>1423.8942</v>
      </c>
      <c r="H14" s="11">
        <v>0.81659999999999999</v>
      </c>
      <c r="I14" s="4">
        <f>Submetering!AF15+Submetering!AG15+Submetering!AV15+Submetering!AY15+Submetering!AZ15</f>
        <v>5510.4787999999999</v>
      </c>
      <c r="J14" s="11">
        <f>((Submetering!AG15+Submetering!BA15)*0.8868+(1712.96+1070.52)/30+(Submetering!AF15+Submetering!AY15+Submetering!AV15+Submetering!AZ15)*1.1251+(2076.11+129.67+207.57+207.57)/30+(11680.53+56.61)/30)/I14</f>
        <v>1.2141772620895788</v>
      </c>
      <c r="K14" s="4">
        <f>Elect!C17</f>
        <v>2217</v>
      </c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</row>
    <row r="15" spans="1:23" x14ac:dyDescent="0.25">
      <c r="A15" s="3" t="s">
        <v>11</v>
      </c>
      <c r="B15" s="72">
        <v>28</v>
      </c>
      <c r="C15" s="2">
        <v>3</v>
      </c>
      <c r="D15" s="2">
        <v>2022</v>
      </c>
      <c r="E15" s="4">
        <f>Submetering!F16+Submetering!H16+Submetering!J16+Submetering!L16+Submetering!N16+Submetering!P16+Submetering!R16+Submetering!T16+Submetering!V16+Submetering!X16+Submetering!Z16+Submetering!AB16+Submetering!AC16+Submetering!AD16+Submetering!AE16</f>
        <v>200133</v>
      </c>
      <c r="F15" s="10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8.0770083940179774E-2</v>
      </c>
      <c r="G15" s="4">
        <f>Submetering!AK16+Submetering!AL16+Submetering!AU16</f>
        <v>836.19759999999997</v>
      </c>
      <c r="H15" s="11">
        <v>0.81659999999999999</v>
      </c>
      <c r="I15" s="4">
        <f>Submetering!AF16+Submetering!AG16+Submetering!AV16+Submetering!AY16+Submetering!AZ16</f>
        <v>3594.7429999999999</v>
      </c>
      <c r="J15" s="11">
        <f>((Submetering!AG16+Submetering!BA16)*0.8868+(1712.96+1070.52)/30+(Submetering!AF16+Submetering!AY16+Submetering!AV16+Submetering!AZ16)*1.1251+(2076.11+129.67+207.57+207.57)/30+(11680.53+56.61)/30)/I15</f>
        <v>1.2678316739323692</v>
      </c>
      <c r="K15" s="4">
        <f>Elect!C18</f>
        <v>707</v>
      </c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</row>
    <row r="16" spans="1:23" x14ac:dyDescent="0.25">
      <c r="A16" s="3" t="s">
        <v>11</v>
      </c>
      <c r="B16" s="72">
        <v>31</v>
      </c>
      <c r="C16" s="2">
        <v>3</v>
      </c>
      <c r="D16" s="2">
        <v>2022</v>
      </c>
      <c r="E16" s="4">
        <f>Submetering!F17+Submetering!H17+Submetering!J17+Submetering!L17+Submetering!N17+Submetering!P17+Submetering!R17+Submetering!T17+Submetering!V17+Submetering!X17+Submetering!Z17+Submetering!AB17+Submetering!AC17+Submetering!AD17+Submetering!AE17</f>
        <v>132193</v>
      </c>
      <c r="F16" s="10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8.04643210790284E-2</v>
      </c>
      <c r="G16" s="4">
        <f>Submetering!AK17+Submetering!AL17+Submetering!AU17</f>
        <v>490.39</v>
      </c>
      <c r="H16" s="11">
        <v>0.81659999999999999</v>
      </c>
      <c r="I16" s="4">
        <f>Submetering!AF17+Submetering!AG17+Submetering!AV17+Submetering!AY17+Submetering!AZ17</f>
        <v>1781.8428000000001</v>
      </c>
      <c r="J16" s="11">
        <f>((Submetering!AG17+Submetering!BA17)*0.8868+(1712.96+1070.52)/30+(Submetering!AF17+Submetering!AY17+Submetering!AV17+Submetering!AZ17)*1.1251+(2076.11+129.67+207.57+207.57)/30+(11680.53+56.61)/30)/I16</f>
        <v>1.4457706375369741</v>
      </c>
      <c r="K16" s="4">
        <f>Elect!C19</f>
        <v>1256</v>
      </c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</row>
    <row r="17" spans="1:11" x14ac:dyDescent="0.25">
      <c r="A17" s="3" t="s">
        <v>11</v>
      </c>
      <c r="B17" s="72">
        <v>4</v>
      </c>
      <c r="C17" s="2">
        <v>4</v>
      </c>
      <c r="D17" s="2">
        <v>2022</v>
      </c>
      <c r="E17" s="4">
        <f>Submetering!F18+Submetering!H18+Submetering!J18+Submetering!L18+Submetering!N18+Submetering!P18+Submetering!R18+Submetering!T18+Submetering!V18+Submetering!X18+Submetering!Z18+Submetering!AB18+Submetering!AC18+Submetering!AD18+Submetering!AE18</f>
        <v>314404</v>
      </c>
      <c r="F17" s="10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8.068751039808654E-2</v>
      </c>
      <c r="G17" s="4">
        <f>Submetering!AK18+Submetering!AL18+Submetering!AU18</f>
        <v>1295.8266000000001</v>
      </c>
      <c r="H17" s="11">
        <v>0.81659999999999999</v>
      </c>
      <c r="I17" s="4">
        <f>Submetering!AF18+Submetering!AG18+Submetering!AV18+Submetering!AY18+Submetering!AZ18</f>
        <v>5406.5906000000004</v>
      </c>
      <c r="J17" s="11">
        <f>((Submetering!AG18+Submetering!BA18)*0.8868+(1712.96+1070.52)/30+(Submetering!AF18+Submetering!AY18+Submetering!AV18+Submetering!AZ18)*1.1251+(2076.11+129.67+207.57+207.57)/30+(11680.53+56.61)/30)/I17</f>
        <v>1.2171377294457373</v>
      </c>
      <c r="K17" s="4">
        <f>Elect!C20</f>
        <v>2587</v>
      </c>
    </row>
    <row r="18" spans="1:11" x14ac:dyDescent="0.25">
      <c r="A18" s="3" t="s">
        <v>11</v>
      </c>
      <c r="B18" s="72">
        <v>11</v>
      </c>
      <c r="C18" s="2">
        <v>4</v>
      </c>
      <c r="D18" s="2">
        <v>2022</v>
      </c>
      <c r="E18" s="4">
        <f>Submetering!F19+Submetering!H19+Submetering!J19+Submetering!L19+Submetering!N19+Submetering!P19+Submetering!R19+Submetering!T19+Submetering!V19+Submetering!X19+Submetering!Z19+Submetering!AB19+Submetering!AC19+Submetering!AD19+Submetering!AE19</f>
        <v>337732</v>
      </c>
      <c r="F18" s="10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8.0642199329645989E-2</v>
      </c>
      <c r="G18" s="4">
        <f>Submetering!AK19+Submetering!AL19+Submetering!AU19</f>
        <v>1248.3342</v>
      </c>
      <c r="H18" s="11">
        <v>0.81659999999999999</v>
      </c>
      <c r="I18" s="4">
        <f>Submetering!AF19+Submetering!AG19+Submetering!AV19+Submetering!AY19+Submetering!AZ19</f>
        <v>5974.7665999999999</v>
      </c>
      <c r="J18" s="11">
        <f>((Submetering!AG19+Submetering!BA19)*0.8868+(1712.96+1070.52)/30+(Submetering!AF19+Submetering!AY19+Submetering!AV19+Submetering!AZ19)*1.1251+(2076.11+129.67+207.57+207.57)/30+(11680.53+56.61)/30)/I18</f>
        <v>1.2108663649433045</v>
      </c>
      <c r="K18" s="4">
        <f>Elect!C21</f>
        <v>2538</v>
      </c>
    </row>
    <row r="19" spans="1:11" x14ac:dyDescent="0.25">
      <c r="A19" s="3" t="s">
        <v>11</v>
      </c>
      <c r="B19" s="72">
        <v>18</v>
      </c>
      <c r="C19" s="2">
        <v>4</v>
      </c>
      <c r="D19" s="2">
        <v>2022</v>
      </c>
      <c r="E19" s="4">
        <f>Submetering!F20+Submetering!H20+Submetering!J20+Submetering!L20+Submetering!N20+Submetering!P20+Submetering!R20+Submetering!T20+Submetering!V20+Submetering!X20+Submetering!Z20+Submetering!AB20+Submetering!AC20+Submetering!AD20+Submetering!AE20</f>
        <v>338390</v>
      </c>
      <c r="F19" s="10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8.0675300192086047E-2</v>
      </c>
      <c r="G19" s="4">
        <f>Submetering!AK20+Submetering!AL20+Submetering!AU20</f>
        <v>1360.951</v>
      </c>
      <c r="H19" s="11">
        <v>0.81659999999999999</v>
      </c>
      <c r="I19" s="4">
        <f>Submetering!AF20+Submetering!AG20+Submetering!AV20+Submetering!AY20+Submetering!AZ20</f>
        <v>5974.6563999999998</v>
      </c>
      <c r="J19" s="11">
        <f>((Submetering!AG20+Submetering!BA20)*0.8868+(1712.96+1070.52)/30+(Submetering!AF20+Submetering!AY20+Submetering!AV20+Submetering!AZ20)*1.1251+(2076.11+129.67+207.57+207.57)/30+(11680.53+56.61)/30)/I19</f>
        <v>1.202295513748149</v>
      </c>
      <c r="K19" s="4">
        <f>Elect!C22</f>
        <v>2385</v>
      </c>
    </row>
    <row r="20" spans="1:11" x14ac:dyDescent="0.25">
      <c r="A20" s="3" t="s">
        <v>11</v>
      </c>
      <c r="B20" s="72">
        <v>25</v>
      </c>
      <c r="C20" s="2">
        <v>4</v>
      </c>
      <c r="D20" s="2">
        <v>2022</v>
      </c>
      <c r="E20" s="4">
        <f>Submetering!F21+Submetering!H21+Submetering!J21+Submetering!L21+Submetering!N21+Submetering!P21+Submetering!R21+Submetering!T21+Submetering!V21+Submetering!X21+Submetering!Z21+Submetering!AB21+Submetering!AC21+Submetering!AD21+Submetering!AE21</f>
        <v>373590</v>
      </c>
      <c r="F20" s="10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8.0535466745897913E-2</v>
      </c>
      <c r="G20" s="4">
        <f>Submetering!AK21+Submetering!AL21+Submetering!AU21</f>
        <v>1184.8286000000001</v>
      </c>
      <c r="H20" s="11">
        <v>0.81659999999999999</v>
      </c>
      <c r="I20" s="4">
        <f>Submetering!AF21+Submetering!AG21+Submetering!AV21+Submetering!AY21+Submetering!AZ21</f>
        <v>5861.4885999999997</v>
      </c>
      <c r="J20" s="11">
        <f>((Submetering!AG21+Submetering!BA21)*0.8868+(1712.96+1070.52)/30+(Submetering!AF21+Submetering!AY21+Submetering!AV21+Submetering!AZ21)*1.1251+(2076.11+129.67+207.57+207.57)/30+(11680.53+56.61)/30)/I20</f>
        <v>1.2040053035207927</v>
      </c>
      <c r="K20" s="4">
        <f>Elect!C23</f>
        <v>1646</v>
      </c>
    </row>
    <row r="21" spans="1:11" x14ac:dyDescent="0.25">
      <c r="A21" s="3" t="s">
        <v>11</v>
      </c>
      <c r="B21" s="72">
        <v>30</v>
      </c>
      <c r="C21" s="2">
        <v>4</v>
      </c>
      <c r="D21" s="2">
        <v>2022</v>
      </c>
      <c r="E21" s="4">
        <f>Submetering!F22+Submetering!H22+Submetering!J22+Submetering!L22+Submetering!N22+Submetering!P22+Submetering!R22+Submetering!T22+Submetering!V22+Submetering!X22+Submetering!Z22+Submetering!AB22+Submetering!AC22+Submetering!AD22+Submetering!AE22</f>
        <v>0</v>
      </c>
      <c r="F21" s="10" t="e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#DIV/0!</v>
      </c>
      <c r="G21" s="4">
        <f>Submetering!AK22+Submetering!AL22+Submetering!AU22</f>
        <v>0</v>
      </c>
      <c r="H21" s="11">
        <v>0.81659999999999999</v>
      </c>
      <c r="I21" s="4">
        <f>Submetering!AF22+Submetering!AG22+Submetering!AV22+Submetering!AY22+Submetering!AZ22</f>
        <v>0</v>
      </c>
      <c r="J21" s="11" t="e">
        <f>((Submetering!AG22+Submetering!BA22)*0.8868+(1712.96+1070.52)/30+(Submetering!AF22+Submetering!AY22+Submetering!AV22+Submetering!AZ22)*1.1251+(2076.11+129.67+207.57+207.57)/30+(11680.53+56.61)/30)/I21</f>
        <v>#DIV/0!</v>
      </c>
      <c r="K21" s="4">
        <f>Elect!C24</f>
        <v>568</v>
      </c>
    </row>
    <row r="22" spans="1:11" x14ac:dyDescent="0.25">
      <c r="A22" s="3" t="s">
        <v>11</v>
      </c>
      <c r="B22" s="72">
        <v>2</v>
      </c>
      <c r="C22" s="2">
        <v>5</v>
      </c>
      <c r="D22" s="2">
        <v>2022</v>
      </c>
      <c r="E22" s="4">
        <f>Submetering!F23+Submetering!H23+Submetering!J23+Submetering!L23+Submetering!N23+Submetering!P23+Submetering!R23+Submetering!T23+Submetering!V23+Submetering!X23+Submetering!Z23+Submetering!AB23+Submetering!AC23+Submetering!AD23+Submetering!AE23</f>
        <v>337689</v>
      </c>
      <c r="F22" s="10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8.0626590103912182E-2</v>
      </c>
      <c r="G22" s="4">
        <f>Submetering!AK23+Submetering!AL23+Submetering!AU23</f>
        <v>1032.8248000000001</v>
      </c>
      <c r="H22" s="11">
        <v>0.81659999999999999</v>
      </c>
      <c r="I22" s="4">
        <f>Submetering!AF23+Submetering!AG23+Submetering!AV23+Submetering!AY23+Submetering!AZ23</f>
        <v>5998.6534000000001</v>
      </c>
      <c r="J22" s="11">
        <f>((Submetering!AG23+Submetering!BA23)*0.8868+(1712.96+1070.52)/30+(Submetering!AF23+Submetering!AY23+Submetering!AV23+Submetering!AZ23)*1.1251+(2076.11+129.67+207.57+207.57)/30+(11680.53+56.61)/30)/I22</f>
        <v>1.2075102254127013</v>
      </c>
      <c r="K22" s="4">
        <f>Elect!C25</f>
        <v>2284</v>
      </c>
    </row>
    <row r="23" spans="1:11" x14ac:dyDescent="0.25">
      <c r="A23" s="3" t="s">
        <v>11</v>
      </c>
      <c r="B23" s="72">
        <v>9</v>
      </c>
      <c r="C23" s="2">
        <v>5</v>
      </c>
      <c r="D23" s="2">
        <v>2022</v>
      </c>
      <c r="E23" s="4">
        <f>Submetering!F24+Submetering!H24+Submetering!J24+Submetering!L24+Submetering!N24+Submetering!P24+Submetering!R24+Submetering!T24+Submetering!V24+Submetering!X24+Submetering!Z24+Submetering!AB24+Submetering!AC24+Submetering!AD24+Submetering!AE24</f>
        <v>344652</v>
      </c>
      <c r="F23" s="10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8.0608821301486722E-2</v>
      </c>
      <c r="G23" s="4">
        <f>Submetering!AK24+Submetering!AL24+Submetering!AU24</f>
        <v>1183.3010000000002</v>
      </c>
      <c r="H23" s="11">
        <v>0.81659999999999999</v>
      </c>
      <c r="I23" s="4">
        <f>Submetering!AF24+Submetering!AG24+Submetering!AV24+Submetering!AY24+Submetering!AZ24</f>
        <v>6077.7047999999995</v>
      </c>
      <c r="J23" s="11">
        <f>((Submetering!AG24+Submetering!BA24)*0.8868+(1712.96+1070.52)/30+(Submetering!AF24+Submetering!AY24+Submetering!AV24+Submetering!AZ24)*1.1251+(2076.11+129.67+207.57+207.57)/30+(11680.53+56.61)/30)/I23</f>
        <v>1.1959938717896708</v>
      </c>
      <c r="K23" s="4">
        <f>Elect!C26</f>
        <v>2301</v>
      </c>
    </row>
    <row r="24" spans="1:11" x14ac:dyDescent="0.25">
      <c r="A24" s="3" t="s">
        <v>11</v>
      </c>
      <c r="B24" s="72">
        <v>16</v>
      </c>
      <c r="C24" s="2">
        <v>5</v>
      </c>
      <c r="D24" s="2">
        <v>2022</v>
      </c>
      <c r="E24" s="4">
        <f>Submetering!F25+Submetering!H25+Submetering!J25+Submetering!L25+Submetering!N25+Submetering!P25+Submetering!R25+Submetering!T25+Submetering!V25+Submetering!X25+Submetering!Z25+Submetering!AB25+Submetering!AC25+Submetering!AD25+Submetering!AE25</f>
        <v>401706</v>
      </c>
      <c r="F24" s="10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8.0565452936226994E-2</v>
      </c>
      <c r="G24" s="4">
        <f>Submetering!AK25+Submetering!AL25+Submetering!AU25</f>
        <v>1043.8371999999999</v>
      </c>
      <c r="H24" s="11">
        <v>0.81659999999999999</v>
      </c>
      <c r="I24" s="4">
        <f>Submetering!AF25+Submetering!AG25+Submetering!AV25+Submetering!AY25+Submetering!AZ25</f>
        <v>6284.5235999999995</v>
      </c>
      <c r="J24" s="11">
        <f>((Submetering!AG25+Submetering!BA25)*0.8868+(1712.96+1070.52)/30+(Submetering!AF25+Submetering!AY25+Submetering!AV25+Submetering!AZ25)*1.1251+(2076.11+129.67+207.57+207.57)/30+(11680.53+56.61)/30)/I24</f>
        <v>1.188685365272026</v>
      </c>
      <c r="K24" s="4">
        <f>Elect!C27</f>
        <v>2351</v>
      </c>
    </row>
    <row r="25" spans="1:11" x14ac:dyDescent="0.25">
      <c r="A25" s="3" t="s">
        <v>11</v>
      </c>
      <c r="B25" s="72">
        <v>23</v>
      </c>
      <c r="C25" s="2">
        <v>5</v>
      </c>
      <c r="D25" s="2">
        <v>2022</v>
      </c>
      <c r="E25" s="4">
        <f>Submetering!F26+Submetering!H26+Submetering!J26+Submetering!L26+Submetering!N26+Submetering!P26+Submetering!R26+Submetering!T26+Submetering!V26+Submetering!X26+Submetering!Z26+Submetering!AB26+Submetering!AC26+Submetering!AD26+Submetering!AE26</f>
        <v>387175</v>
      </c>
      <c r="F25" s="10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8.0550310826887059E-2</v>
      </c>
      <c r="G25" s="4">
        <f>Submetering!AK26+Submetering!AL26+Submetering!AU26</f>
        <v>1027.4667999999999</v>
      </c>
      <c r="H25" s="11">
        <v>0.81659999999999999</v>
      </c>
      <c r="I25" s="4">
        <f>Submetering!AF26+Submetering!AG26+Submetering!AV26+Submetering!AY26+Submetering!AZ26</f>
        <v>6508.4310000000005</v>
      </c>
      <c r="J25" s="11">
        <f>((Submetering!AG26+Submetering!BA26)*0.8868+(1712.96+1070.52)/30+(Submetering!AF26+Submetering!AY26+Submetering!AV26+Submetering!AZ26)*1.1251+(2076.11+129.67+207.57+207.57)/30+(11680.53+56.61)/30)/I25</f>
        <v>1.185976108798982</v>
      </c>
      <c r="K25" s="4">
        <f>Elect!C28</f>
        <v>2203</v>
      </c>
    </row>
    <row r="26" spans="1:11" x14ac:dyDescent="0.25">
      <c r="A26" s="3" t="s">
        <v>11</v>
      </c>
      <c r="B26" s="72">
        <v>30</v>
      </c>
      <c r="C26" s="2">
        <v>5</v>
      </c>
      <c r="D26" s="2">
        <v>2022</v>
      </c>
      <c r="E26" s="4">
        <f>Submetering!F27+Submetering!H27+Submetering!J27+Submetering!L27+Submetering!N27+Submetering!P27+Submetering!R27+Submetering!T27+Submetering!V27+Submetering!X27+Submetering!Z27+Submetering!AB27+Submetering!AC27+Submetering!AD27+Submetering!AE27</f>
        <v>85222</v>
      </c>
      <c r="F26" s="10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8.0672164887001019E-2</v>
      </c>
      <c r="G26" s="4">
        <f>Submetering!AK27+Submetering!AL27+Submetering!AU27</f>
        <v>220.875</v>
      </c>
      <c r="H26" s="11">
        <v>0.81659999999999999</v>
      </c>
      <c r="I26" s="4">
        <f>Submetering!AF27+Submetering!AG27+Submetering!AV27+Submetering!AY27+Submetering!AZ27</f>
        <v>1661.5462</v>
      </c>
      <c r="J26" s="11">
        <f>((Submetering!AG27+Submetering!BA27)*0.8868+(1712.96+1070.52)/30+(Submetering!AF27+Submetering!AY27+Submetering!AV27+Submetering!AZ27)*1.1251+(2076.11+129.67+207.57+207.57)/30+(11680.53+56.61)/30)/I26</f>
        <v>1.410389091490003</v>
      </c>
      <c r="K26" s="4">
        <f>Elect!C29</f>
        <v>200</v>
      </c>
    </row>
    <row r="27" spans="1:11" x14ac:dyDescent="0.25">
      <c r="A27" s="3" t="s">
        <v>11</v>
      </c>
      <c r="B27" s="72">
        <v>31</v>
      </c>
      <c r="C27" s="2">
        <v>5</v>
      </c>
      <c r="D27" s="2">
        <v>2022</v>
      </c>
      <c r="E27" s="4">
        <f>Submetering!F28+Submetering!H28+Submetering!J28+Submetering!L28+Submetering!N28+Submetering!P28+Submetering!R28+Submetering!T28+Submetering!V28+Submetering!X28+Submetering!Z28+Submetering!AB28+Submetering!AC28+Submetering!AD28+Submetering!AE28</f>
        <v>281714</v>
      </c>
      <c r="F27" s="10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8.066045388159622E-2</v>
      </c>
      <c r="G27" s="4">
        <f>Submetering!AK28+Submetering!AL28+Submetering!AU28</f>
        <v>745.45739999999989</v>
      </c>
      <c r="H27" s="11">
        <v>0.81659999999999999</v>
      </c>
      <c r="I27" s="4">
        <f>Submetering!AF28+Submetering!AG28+Submetering!AV28+Submetering!AY28+Submetering!AZ28</f>
        <v>4673.4489999999996</v>
      </c>
      <c r="J27" s="11">
        <f>((Submetering!AG28+Submetering!BA28)*0.8868+(1712.96+1070.52)/30+(Submetering!AF28+Submetering!AY28+Submetering!AV28+Submetering!AZ28)*1.1251+(2076.11+129.67+207.57+207.57)/30+(11680.53+56.61)/30)/I27</f>
        <v>1.2220254732996267</v>
      </c>
      <c r="K27" s="4">
        <f>Elect!C30</f>
        <v>1933</v>
      </c>
    </row>
    <row r="28" spans="1:11" x14ac:dyDescent="0.25">
      <c r="A28" s="3" t="s">
        <v>11</v>
      </c>
      <c r="B28" s="72">
        <v>6</v>
      </c>
      <c r="C28" s="2">
        <v>6</v>
      </c>
      <c r="D28" s="2">
        <v>2022</v>
      </c>
      <c r="E28" s="4">
        <f>Submetering!F29+Submetering!H29+Submetering!J29+Submetering!L29+Submetering!N29+Submetering!P29+Submetering!R29+Submetering!T29+Submetering!V29+Submetering!X29+Submetering!Z29+Submetering!AB29+Submetering!AC29+Submetering!AD29+Submetering!AE29</f>
        <v>370385</v>
      </c>
      <c r="F28" s="10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8.0493591129230393E-2</v>
      </c>
      <c r="G28" s="4">
        <f>Submetering!AK29+Submetering!AL29+Submetering!AU29</f>
        <v>905.56660000000011</v>
      </c>
      <c r="H28" s="11">
        <v>0.81659999999999999</v>
      </c>
      <c r="I28" s="4">
        <f>Submetering!AF29+Submetering!AG29+Submetering!AV29+Submetering!AY29+Submetering!AZ29</f>
        <v>5761.8259999999991</v>
      </c>
      <c r="J28" s="11">
        <f>((Submetering!AG29+Submetering!BA29)*0.8868+(1712.96+1070.52)/30+(Submetering!AF29+Submetering!AY29+Submetering!AV29+Submetering!AZ29)*1.1251+(2076.11+129.67+207.57+207.57)/30+(11680.53+56.61)/30)/I28</f>
        <v>1.2094421995851083</v>
      </c>
      <c r="K28" s="4">
        <f>Elect!C31</f>
        <v>2194</v>
      </c>
    </row>
    <row r="29" spans="1:11" x14ac:dyDescent="0.25">
      <c r="A29" s="3" t="s">
        <v>11</v>
      </c>
      <c r="B29" s="72">
        <v>13</v>
      </c>
      <c r="C29" s="2">
        <v>6</v>
      </c>
      <c r="D29" s="2">
        <v>2022</v>
      </c>
      <c r="E29" s="4">
        <f>Submetering!F30+Submetering!H30+Submetering!J30+Submetering!L30+Submetering!N30+Submetering!P30+Submetering!R30+Submetering!T30+Submetering!V30+Submetering!X30+Submetering!Z30+Submetering!AB30+Submetering!AC30+Submetering!AD30+Submetering!AE30</f>
        <v>424088</v>
      </c>
      <c r="F29" s="10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8.0536219265812753E-2</v>
      </c>
      <c r="G29" s="4">
        <f>Submetering!AK30+Submetering!AL30+Submetering!AU30</f>
        <v>951.98360000000002</v>
      </c>
      <c r="H29" s="11">
        <v>0.81659999999999999</v>
      </c>
      <c r="I29" s="4">
        <f>Submetering!AF30+Submetering!AG30+Submetering!AV30+Submetering!AY30+Submetering!AZ30</f>
        <v>6565.9098000000004</v>
      </c>
      <c r="J29" s="11">
        <f>((Submetering!AG30+Submetering!BA30)*0.8868+(1712.96+1070.52)/30+(Submetering!AF30+Submetering!AY30+Submetering!AV30+Submetering!AZ30)*1.1251+(2076.11+129.67+207.57+207.57)/30+(11680.53+56.61)/30)/I29</f>
        <v>1.1837495907188165</v>
      </c>
      <c r="K29" s="4">
        <f>Elect!C32</f>
        <v>2258</v>
      </c>
    </row>
    <row r="30" spans="1:11" x14ac:dyDescent="0.25">
      <c r="A30" s="3" t="s">
        <v>11</v>
      </c>
      <c r="B30" s="72">
        <v>20</v>
      </c>
      <c r="C30" s="2">
        <v>6</v>
      </c>
      <c r="D30" s="2">
        <v>2022</v>
      </c>
      <c r="E30" s="4">
        <f>Submetering!F31+Submetering!H31+Submetering!J31+Submetering!L31+Submetering!N31+Submetering!P31+Submetering!R31+Submetering!T31+Submetering!V31+Submetering!X31+Submetering!Z31+Submetering!AB31+Submetering!AC31+Submetering!AD31+Submetering!AE31</f>
        <v>383640</v>
      </c>
      <c r="F30" s="10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8.0558061191742261E-2</v>
      </c>
      <c r="G30" s="4">
        <f>Submetering!AK31+Submetering!AL31+Submetering!AU31</f>
        <v>939.30680000000007</v>
      </c>
      <c r="H30" s="11">
        <v>0.81659999999999999</v>
      </c>
      <c r="I30" s="4">
        <f>Submetering!AF31+Submetering!AG31+Submetering!AV31+Submetering!AY31+Submetering!AZ31</f>
        <v>6363.0962</v>
      </c>
      <c r="J30" s="11">
        <f>((Submetering!AG31+Submetering!BA31)*0.8868+(1712.96+1070.52)/30+(Submetering!AF31+Submetering!AY31+Submetering!AV31+Submetering!AZ31)*1.1251+(2076.11+129.67+207.57+207.57)/30+(11680.53+56.61)/30)/I30</f>
        <v>1.1827456898241877</v>
      </c>
      <c r="K30" s="4">
        <f>Elect!C33</f>
        <v>2415</v>
      </c>
    </row>
    <row r="31" spans="1:11" x14ac:dyDescent="0.25">
      <c r="A31" s="3" t="s">
        <v>11</v>
      </c>
      <c r="B31" s="72">
        <v>27</v>
      </c>
      <c r="C31" s="2">
        <v>6</v>
      </c>
      <c r="D31" s="2">
        <v>2022</v>
      </c>
      <c r="E31" s="4">
        <f>Submetering!F32+Submetering!H32+Submetering!J32+Submetering!L32+Submetering!N32+Submetering!P32+Submetering!R32+Submetering!T32+Submetering!V32+Submetering!X32+Submetering!Z32+Submetering!AB32+Submetering!AC32+Submetering!AD32+Submetering!AE32</f>
        <v>186900</v>
      </c>
      <c r="F31" s="10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8.0602263006955596E-2</v>
      </c>
      <c r="G31" s="4">
        <f>Submetering!AK32+Submetering!AL32+Submetering!AU32</f>
        <v>351.67099999999999</v>
      </c>
      <c r="H31" s="11">
        <v>0.81659999999999999</v>
      </c>
      <c r="I31" s="4">
        <f>Submetering!AF32+Submetering!AG32+Submetering!AV32+Submetering!AY32+Submetering!AZ32</f>
        <v>2603.4028000000003</v>
      </c>
      <c r="J31" s="11">
        <f>((Submetering!AG32+Submetering!BA32)*0.8868+(1712.96+1070.52)/30+(Submetering!AF32+Submetering!AY32+Submetering!AV32+Submetering!AZ32)*1.1251+(2076.11+129.67+207.57+207.57)/30+(11680.53+56.61)/30)/I31</f>
        <v>1.3209341263467438</v>
      </c>
      <c r="K31" s="4">
        <f>Elect!C34</f>
        <v>833</v>
      </c>
    </row>
    <row r="32" spans="1:11" x14ac:dyDescent="0.25">
      <c r="A32" s="3" t="s">
        <v>11</v>
      </c>
      <c r="B32" s="72">
        <v>30</v>
      </c>
      <c r="C32" s="2">
        <v>6</v>
      </c>
      <c r="D32" s="2">
        <v>2022</v>
      </c>
      <c r="E32" s="4">
        <f>Submetering!F33+Submetering!H33+Submetering!J33+Submetering!L33+Submetering!N33+Submetering!P33+Submetering!R33+Submetering!T33+Submetering!V33+Submetering!X33+Submetering!Z33+Submetering!AB33+Submetering!AC33+Submetering!AD33+Submetering!AE33</f>
        <v>210335</v>
      </c>
      <c r="F32" s="10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8.0563079078612695E-2</v>
      </c>
      <c r="G32" s="4">
        <f>Submetering!AK33+Submetering!AL33+Submetering!AU33</f>
        <v>484.25299999999999</v>
      </c>
      <c r="H32" s="11">
        <v>0.81659999999999999</v>
      </c>
      <c r="I32" s="4">
        <f>Submetering!AF33+Submetering!AG33+Submetering!AV33+Submetering!AY33+Submetering!AZ33</f>
        <v>3086.5423999999998</v>
      </c>
      <c r="J32" s="11">
        <f>((Submetering!AG33+Submetering!BA33)*0.8868+(1712.96+1070.52)/30+(Submetering!AF33+Submetering!AY33+Submetering!AV33+Submetering!AZ33)*1.1251+(2076.11+129.67+207.57+207.57)/30+(11680.53+56.61)/30)/I32</f>
        <v>1.2781779515183938</v>
      </c>
      <c r="K32" s="4">
        <f>Elect!C35</f>
        <v>833</v>
      </c>
    </row>
    <row r="33" spans="1:12" x14ac:dyDescent="0.25">
      <c r="A33" s="3" t="s">
        <v>11</v>
      </c>
      <c r="B33" s="72">
        <v>4</v>
      </c>
      <c r="C33" s="2">
        <v>7</v>
      </c>
      <c r="D33" s="2">
        <v>2022</v>
      </c>
      <c r="E33" s="4">
        <f>Submetering!F34+Submetering!H34+Submetering!J34+Submetering!L34+Submetering!N34+Submetering!P34+Submetering!R34+Submetering!T34+Submetering!V34+Submetering!X34+Submetering!Z34+Submetering!AB34+Submetering!AC34+Submetering!AD34+Submetering!AE34</f>
        <v>411269</v>
      </c>
      <c r="F33" s="10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8.0601841899097679E-2</v>
      </c>
      <c r="G33" s="4">
        <f>Submetering!AK34+Submetering!AL34+Submetering!AU34</f>
        <v>794.7281999999999</v>
      </c>
      <c r="H33" s="11">
        <v>0.81659999999999999</v>
      </c>
      <c r="I33" s="4">
        <f>Submetering!AF34+Submetering!AG34+Submetering!AV34+Submetering!AY34+Submetering!AZ34</f>
        <v>6277.9306000000006</v>
      </c>
      <c r="J33" s="11">
        <f>((Submetering!AG34+Submetering!BA34)*0.8868+(1712.96+1070.52)/30+(Submetering!AF34+Submetering!AY34+Submetering!AV34+Submetering!AZ34)*1.1251+(2076.11+129.67+207.57+207.57)/30+(11680.53+56.61)/30)/I33</f>
        <v>1.1872116393778975</v>
      </c>
      <c r="K33" s="4">
        <f>Elect!C36</f>
        <v>1964</v>
      </c>
      <c r="L33" s="95"/>
    </row>
    <row r="34" spans="1:12" x14ac:dyDescent="0.25">
      <c r="A34" s="3" t="s">
        <v>11</v>
      </c>
      <c r="B34" s="72">
        <v>11</v>
      </c>
      <c r="C34" s="2">
        <v>7</v>
      </c>
      <c r="D34" s="2">
        <v>2022</v>
      </c>
      <c r="E34" s="4">
        <f>Submetering!F35+Submetering!H35+Submetering!J35+Submetering!L35+Submetering!N35+Submetering!P35+Submetering!R35+Submetering!T35+Submetering!V35+Submetering!X35+Submetering!Z35+Submetering!AB35+Submetering!AC35+Submetering!AD35+Submetering!AE35</f>
        <v>372510</v>
      </c>
      <c r="F34" s="10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8.0447067696437682E-2</v>
      </c>
      <c r="G34" s="4">
        <f>Submetering!AK35+Submetering!AL35+Submetering!AU35</f>
        <v>806.92240000000004</v>
      </c>
      <c r="H34" s="11">
        <v>0.81659999999999999</v>
      </c>
      <c r="I34" s="4">
        <f>Submetering!AF35+Submetering!AG35+Submetering!AV35+Submetering!AY35+Submetering!AZ35</f>
        <v>5672.2372000000005</v>
      </c>
      <c r="J34" s="11">
        <f>((Submetering!AG35+Submetering!BA35)*0.8868+(1712.96+1070.52)/30+(Submetering!AF35+Submetering!AY35+Submetering!AV35+Submetering!AZ35)*1.1251+(2076.11+129.67+207.57+207.57)/30+(11680.53+56.61)/30)/I34</f>
        <v>1.1970113923985175</v>
      </c>
      <c r="K34" s="4">
        <f>Elect!C37</f>
        <v>2387</v>
      </c>
      <c r="L34" s="95"/>
    </row>
    <row r="35" spans="1:12" x14ac:dyDescent="0.25">
      <c r="A35" s="3" t="s">
        <v>11</v>
      </c>
      <c r="B35" s="72">
        <v>18</v>
      </c>
      <c r="C35" s="2">
        <v>7</v>
      </c>
      <c r="D35" s="2">
        <v>2022</v>
      </c>
      <c r="E35" s="4">
        <f>Submetering!F36+Submetering!H36+Submetering!J36+Submetering!L36+Submetering!N36+Submetering!P36+Submetering!R36+Submetering!T36+Submetering!V36+Submetering!X36+Submetering!Z36+Submetering!AB36+Submetering!AC36+Submetering!AD36+Submetering!AE36</f>
        <v>416416</v>
      </c>
      <c r="F35" s="10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8.0509416811073542E-2</v>
      </c>
      <c r="G35" s="4">
        <f>Submetering!AK36+Submetering!AL36+Submetering!AU36</f>
        <v>835.90879999999993</v>
      </c>
      <c r="H35" s="11">
        <v>0.81659999999999999</v>
      </c>
      <c r="I35" s="4">
        <f>Submetering!AF36+Submetering!AG36+Submetering!AV36+Submetering!AY36+Submetering!AZ36</f>
        <v>6500.9678000000004</v>
      </c>
      <c r="J35" s="11">
        <f>((Submetering!AG36+Submetering!BA36)*0.8868+(1712.96+1070.52)/30+(Submetering!AF36+Submetering!AY36+Submetering!AV36+Submetering!AZ36)*1.1251+(2076.11+129.67+207.57+207.57)/30+(11680.53+56.61)/30)/I35</f>
        <v>1.1876980116478451</v>
      </c>
      <c r="K35" s="4">
        <f>Elect!C38</f>
        <v>2231</v>
      </c>
      <c r="L35" s="95"/>
    </row>
    <row r="36" spans="1:12" x14ac:dyDescent="0.25">
      <c r="A36" s="3" t="s">
        <v>11</v>
      </c>
      <c r="B36" s="72">
        <v>25</v>
      </c>
      <c r="C36" s="2">
        <v>7</v>
      </c>
      <c r="D36" s="2">
        <v>2022</v>
      </c>
      <c r="E36" s="4">
        <f>Submetering!F37+Submetering!H37+Submetering!J37+Submetering!L37+Submetering!N37+Submetering!P37+Submetering!R37+Submetering!T37+Submetering!V37+Submetering!X37+Submetering!Z37+Submetering!AB37+Submetering!AC37+Submetering!AD37+Submetering!AE37</f>
        <v>397229</v>
      </c>
      <c r="F36" s="10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8.0598605193477807E-2</v>
      </c>
      <c r="G36" s="4">
        <f>Submetering!AK37+Submetering!AL37+Submetering!AU37</f>
        <v>796.41920000000005</v>
      </c>
      <c r="H36" s="11">
        <v>0.81659999999999999</v>
      </c>
      <c r="I36" s="4">
        <f>Submetering!AF37+Submetering!AG37+Submetering!AV37+Submetering!AY37+Submetering!AZ37</f>
        <v>6000.1961999999994</v>
      </c>
      <c r="J36" s="11">
        <f>((Submetering!AG37+Submetering!BA37)*0.8868+(1712.96+1070.52)/30+(Submetering!AF37+Submetering!AY37+Submetering!AV37+Submetering!AZ37)*1.1251+(2076.11+129.67+207.57+207.57)/30+(11680.53+56.61)/30)/I36</f>
        <v>1.1942836758382447</v>
      </c>
      <c r="K36" s="4">
        <f>Elect!C39</f>
        <v>1830</v>
      </c>
      <c r="L36" s="95"/>
    </row>
    <row r="37" spans="1:12" x14ac:dyDescent="0.25">
      <c r="A37" s="3" t="s">
        <v>11</v>
      </c>
      <c r="B37" s="72">
        <v>1</v>
      </c>
      <c r="C37" s="2">
        <v>8</v>
      </c>
      <c r="D37" s="2">
        <v>2022</v>
      </c>
      <c r="E37" s="4">
        <f>Submetering!F38+Submetering!H38+Submetering!J38+Submetering!L38+Submetering!N38+Submetering!P38+Submetering!R38+Submetering!T38+Submetering!V38+Submetering!X38+Submetering!Z38+Submetering!AB38+Submetering!AC38+Submetering!AD38+Submetering!AE38</f>
        <v>408796</v>
      </c>
      <c r="F37" s="10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8.0546259254004451E-2</v>
      </c>
      <c r="G37" s="4">
        <f>Submetering!AK38+Submetering!AL38+Submetering!AU38</f>
        <v>824.22760000000005</v>
      </c>
      <c r="H37" s="11">
        <v>0.81659999999999999</v>
      </c>
      <c r="I37" s="4">
        <f>Submetering!AF38+Submetering!AG38+Submetering!AV38+Submetering!AY38+Submetering!AZ38</f>
        <v>6426.6968000000006</v>
      </c>
      <c r="J37" s="11">
        <f>((Submetering!AG38+Submetering!BA38)*0.8868+(1712.96+1070.52)/30+(Submetering!AF38+Submetering!AY38+Submetering!AV38+Submetering!AZ38)*1.1251+(2076.11+129.67+207.57+207.57)/30+(11680.53+56.61)/30)/I37</f>
        <v>1.1891329936004864</v>
      </c>
      <c r="K37" s="4">
        <f>Elect!C40</f>
        <v>2258</v>
      </c>
      <c r="L37" s="95"/>
    </row>
    <row r="38" spans="1:12" x14ac:dyDescent="0.25">
      <c r="A38" s="3" t="s">
        <v>11</v>
      </c>
      <c r="B38" s="72">
        <v>8</v>
      </c>
      <c r="C38" s="2">
        <v>8</v>
      </c>
      <c r="D38" s="2">
        <v>2022</v>
      </c>
      <c r="E38" s="4">
        <f>Submetering!F39+Submetering!H39+Submetering!J39+Submetering!L39+Submetering!N39+Submetering!P39+Submetering!R39+Submetering!T39+Submetering!V39+Submetering!X39+Submetering!Z39+Submetering!AB39+Submetering!AC39+Submetering!AD39+Submetering!AE39</f>
        <v>392676</v>
      </c>
      <c r="F38" s="10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8.0492854748444018E-2</v>
      </c>
      <c r="G38" s="4">
        <f>Submetering!AK39+Submetering!AL39+Submetering!AU39</f>
        <v>812.66419999999994</v>
      </c>
      <c r="H38" s="11">
        <v>0.81659999999999999</v>
      </c>
      <c r="I38" s="4">
        <f>Submetering!AF39+Submetering!AG39+Submetering!AV39+Submetering!AY39+Submetering!AZ39</f>
        <v>6638.9952000000003</v>
      </c>
      <c r="J38" s="11">
        <f>((Submetering!AG39+Submetering!BA39)*0.8868+(1712.96+1070.52)/30+(Submetering!AF39+Submetering!AY39+Submetering!AV39+Submetering!AZ39)*1.1251+(2076.11+129.67+207.57+207.57)/30+(11680.53+56.61)/30)/I38</f>
        <v>1.1820550524553275</v>
      </c>
      <c r="K38" s="4">
        <f>Elect!C41</f>
        <v>2191</v>
      </c>
      <c r="L38" s="95"/>
    </row>
    <row r="39" spans="1:12" x14ac:dyDescent="0.25">
      <c r="A39" s="3" t="s">
        <v>11</v>
      </c>
      <c r="B39" s="72">
        <v>15</v>
      </c>
      <c r="C39" s="2">
        <v>8</v>
      </c>
      <c r="D39" s="2">
        <v>2022</v>
      </c>
      <c r="E39" s="4">
        <f>Submetering!F40+Submetering!H40+Submetering!J40+Submetering!L40+Submetering!N40+Submetering!P40+Submetering!R40+Submetering!T40+Submetering!V40+Submetering!X40+Submetering!Z40+Submetering!AB40+Submetering!AC40+Submetering!AD40+Submetering!AE40</f>
        <v>0</v>
      </c>
      <c r="F39" s="10" t="e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#DIV/0!</v>
      </c>
      <c r="G39" s="4">
        <f>Submetering!AK40+Submetering!AL40+Submetering!AU40</f>
        <v>0</v>
      </c>
      <c r="H39" s="11">
        <v>0.81659999999999999</v>
      </c>
      <c r="I39" s="4">
        <f>Submetering!AF40+Submetering!AG40+Submetering!AV40+Submetering!AY40+Submetering!AZ40</f>
        <v>0</v>
      </c>
      <c r="J39" s="11" t="e">
        <f>((Submetering!AG40+Submetering!BA40)*0.8868+(1712.96+1070.52)/30+(Submetering!AF40+Submetering!AY40+Submetering!AV40+Submetering!AZ40)*1.1251+(2076.11+129.67+207.57+207.57)/30+(11680.53+56.61)/30)/I39</f>
        <v>#DIV/0!</v>
      </c>
      <c r="K39" s="4">
        <f>Elect!C42</f>
        <v>2145</v>
      </c>
      <c r="L39" s="95"/>
    </row>
    <row r="40" spans="1:12" x14ac:dyDescent="0.25">
      <c r="A40" s="3" t="s">
        <v>11</v>
      </c>
      <c r="B40" s="72">
        <v>22</v>
      </c>
      <c r="C40" s="2">
        <v>8</v>
      </c>
      <c r="D40" s="2">
        <v>2022</v>
      </c>
      <c r="E40" s="4">
        <f>Submetering!F41+Submetering!H41+Submetering!J41+Submetering!L41+Submetering!N41+Submetering!P41+Submetering!R41+Submetering!T41+Submetering!V41+Submetering!X41+Submetering!Z41+Submetering!AB41+Submetering!AC41+Submetering!AD41+Submetering!AE41</f>
        <v>0</v>
      </c>
      <c r="F40" s="10" t="e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#DIV/0!</v>
      </c>
      <c r="G40" s="4">
        <f>Submetering!AK41+Submetering!AL41+Submetering!AU41</f>
        <v>0</v>
      </c>
      <c r="H40" s="11">
        <v>0.81659999999999999</v>
      </c>
      <c r="I40" s="4">
        <f>Submetering!AF41+Submetering!AG41+Submetering!AV41+Submetering!AY41+Submetering!AZ41</f>
        <v>0</v>
      </c>
      <c r="J40" s="11" t="e">
        <f>((Submetering!AG41+Submetering!BA41)*0.8868+(1712.96+1070.52)/30+(Submetering!AF41+Submetering!AY41+Submetering!AV41+Submetering!AZ41)*1.1251+(2076.11+129.67+207.57+207.57)/30+(11680.53+56.61)/30)/I40</f>
        <v>#DIV/0!</v>
      </c>
      <c r="K40" s="4">
        <f>Elect!C43</f>
        <v>2293</v>
      </c>
      <c r="L40" s="95"/>
    </row>
    <row r="41" spans="1:12" x14ac:dyDescent="0.25">
      <c r="A41" s="3" t="s">
        <v>11</v>
      </c>
      <c r="B41" s="72">
        <v>29</v>
      </c>
      <c r="C41" s="2">
        <v>8</v>
      </c>
      <c r="D41" s="2">
        <v>2022</v>
      </c>
      <c r="E41" s="4">
        <f>Submetering!F42+Submetering!H42+Submetering!J42+Submetering!L42+Submetering!N42+Submetering!P42+Submetering!R42+Submetering!T42+Submetering!V42+Submetering!X42+Submetering!Z42+Submetering!AB42+Submetering!AC42+Submetering!AD42+Submetering!AE42</f>
        <v>0</v>
      </c>
      <c r="F41" s="10" t="e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#DIV/0!</v>
      </c>
      <c r="G41" s="4">
        <f>Submetering!AK42+Submetering!AL42+Submetering!AU42</f>
        <v>0</v>
      </c>
      <c r="H41" s="11">
        <v>0.81659999999999999</v>
      </c>
      <c r="I41" s="4">
        <f>Submetering!AF42+Submetering!AG42+Submetering!AV42+Submetering!AY42+Submetering!AZ42</f>
        <v>0</v>
      </c>
      <c r="J41" s="11" t="e">
        <f>((Submetering!AG42+Submetering!BA42)*0.8868+(1712.96+1070.52)/30+(Submetering!AF42+Submetering!AY42+Submetering!AV42+Submetering!AZ42)*1.1251+(2076.11+129.67+207.57+207.57)/30+(11680.53+56.61)/30)/I41</f>
        <v>#DIV/0!</v>
      </c>
      <c r="K41" s="4">
        <f>Elect!C44</f>
        <v>634</v>
      </c>
      <c r="L41" s="4"/>
    </row>
    <row r="42" spans="1:12" x14ac:dyDescent="0.25">
      <c r="A42" s="3" t="s">
        <v>11</v>
      </c>
      <c r="B42" s="72">
        <v>31</v>
      </c>
      <c r="C42" s="2">
        <v>8</v>
      </c>
      <c r="D42" s="2">
        <v>2022</v>
      </c>
      <c r="E42" s="4">
        <f>Submetering!F43+Submetering!H43+Submetering!J43+Submetering!L43+Submetering!N43+Submetering!P43+Submetering!R43+Submetering!T43+Submetering!V43+Submetering!X43+Submetering!Z43+Submetering!AB43+Submetering!AC43+Submetering!AD43+Submetering!AE43</f>
        <v>0</v>
      </c>
      <c r="F42" s="10" t="e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#DIV/0!</v>
      </c>
      <c r="G42" s="4">
        <f>Submetering!AK43+Submetering!AL43+Submetering!AU43</f>
        <v>0</v>
      </c>
      <c r="H42" s="11">
        <v>0.81659999999999999</v>
      </c>
      <c r="I42" s="4">
        <f>Submetering!AF43+Submetering!AG43+Submetering!AV43+Submetering!AY43+Submetering!AZ43</f>
        <v>0</v>
      </c>
      <c r="J42" s="11" t="e">
        <f>((Submetering!AG43+Submetering!BA43)*0.8868+(1712.96+1070.52)/30+(Submetering!AF43+Submetering!AY43+Submetering!AV43+Submetering!AZ43)*1.1251+(2076.11+129.67+207.57+207.57)/30+(11680.53+56.61)/30)/I42</f>
        <v>#DIV/0!</v>
      </c>
      <c r="K42" s="4">
        <f>Elect!C45</f>
        <v>1594</v>
      </c>
      <c r="L42" s="95"/>
    </row>
    <row r="43" spans="1:12" x14ac:dyDescent="0.25">
      <c r="A43" s="3" t="s">
        <v>11</v>
      </c>
      <c r="B43" s="72">
        <v>5</v>
      </c>
      <c r="C43" s="2">
        <v>9</v>
      </c>
      <c r="D43" s="2">
        <v>2022</v>
      </c>
      <c r="E43" s="4">
        <f>Submetering!F44+Submetering!H44+Submetering!J44+Submetering!L44+Submetering!N44+Submetering!P44+Submetering!R44+Submetering!T44+Submetering!V44+Submetering!X44+Submetering!Z44+Submetering!AB44+Submetering!AC44+Submetering!AD44+Submetering!AE44</f>
        <v>0</v>
      </c>
      <c r="F43" s="10" t="e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#DIV/0!</v>
      </c>
      <c r="G43" s="4">
        <f>Submetering!AK44+Submetering!AL44+Submetering!AU44</f>
        <v>0</v>
      </c>
      <c r="H43" s="11">
        <v>0.81659999999999999</v>
      </c>
      <c r="I43" s="4">
        <f>Submetering!AF44+Submetering!AG44+Submetering!AV44+Submetering!AY44+Submetering!AZ44</f>
        <v>0</v>
      </c>
      <c r="J43" s="11" t="e">
        <f>((Submetering!AG44+Submetering!BA44)*0.8868+(1712.96+1070.52)/30+(Submetering!AF44+Submetering!AY44+Submetering!AV44+Submetering!AZ44)*1.1251+(2076.11+129.67+207.57+207.57)/30+(11680.53+56.61)/30)/I43</f>
        <v>#DIV/0!</v>
      </c>
      <c r="K43" s="4">
        <f>Elect!C46</f>
        <v>1912</v>
      </c>
      <c r="L43" s="95"/>
    </row>
    <row r="44" spans="1:12" x14ac:dyDescent="0.25">
      <c r="A44" s="3" t="s">
        <v>11</v>
      </c>
      <c r="B44" s="72">
        <v>12</v>
      </c>
      <c r="C44" s="2">
        <v>9</v>
      </c>
      <c r="D44" s="2">
        <v>2022</v>
      </c>
      <c r="E44" s="4">
        <f>Submetering!F45+Submetering!H45+Submetering!J45+Submetering!L45+Submetering!N45+Submetering!P45+Submetering!R45+Submetering!T45+Submetering!V45+Submetering!X45+Submetering!Z45+Submetering!AB45+Submetering!AC45+Submetering!AD45+Submetering!AE45</f>
        <v>0</v>
      </c>
      <c r="F44" s="10" t="e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#DIV/0!</v>
      </c>
      <c r="G44" s="4">
        <f>Submetering!AK45+Submetering!AL45+Submetering!AU45</f>
        <v>0</v>
      </c>
      <c r="H44" s="11">
        <v>0.81659999999999999</v>
      </c>
      <c r="I44" s="4">
        <f>Submetering!AF45+Submetering!AG45+Submetering!AV45+Submetering!AY45+Submetering!AZ45</f>
        <v>0</v>
      </c>
      <c r="J44" s="11" t="e">
        <f>((Submetering!AG45+Submetering!BA45)*0.8868+(1712.96+1070.52)/30+(Submetering!AF45+Submetering!AY45+Submetering!AV45+Submetering!AZ45)*1.1251+(2076.11+129.67+207.57+207.57)/30+(11680.53+56.61)/30)/I44</f>
        <v>#DIV/0!</v>
      </c>
      <c r="K44" s="4">
        <f>Elect!C47</f>
        <v>1823</v>
      </c>
      <c r="L44" s="95"/>
    </row>
    <row r="45" spans="1:12" x14ac:dyDescent="0.25">
      <c r="A45" s="3" t="s">
        <v>11</v>
      </c>
      <c r="B45" s="72">
        <v>19</v>
      </c>
      <c r="C45" s="2">
        <v>9</v>
      </c>
      <c r="D45" s="2">
        <v>2022</v>
      </c>
      <c r="E45" s="4">
        <f>Submetering!F46+Submetering!H46+Submetering!J46+Submetering!L46+Submetering!N46+Submetering!P46+Submetering!R46+Submetering!T46+Submetering!V46+Submetering!X46+Submetering!Z46+Submetering!AB46+Submetering!AC46+Submetering!AD46+Submetering!AE46</f>
        <v>0</v>
      </c>
      <c r="F45" s="10" t="e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#DIV/0!</v>
      </c>
      <c r="G45" s="4">
        <f>Submetering!AK46+Submetering!AL46+Submetering!AU46</f>
        <v>0</v>
      </c>
      <c r="H45" s="11">
        <v>0.81659999999999999</v>
      </c>
      <c r="I45" s="4">
        <f>Submetering!AF46+Submetering!AG46+Submetering!AV46+Submetering!AY46+Submetering!AZ46</f>
        <v>0</v>
      </c>
      <c r="J45" s="11" t="e">
        <f>((Submetering!AG46+Submetering!BA46)*0.8868+(1712.96+1070.52)/30+(Submetering!AF46+Submetering!AY46+Submetering!AV46+Submetering!AZ46)*1.1251+(2076.11+129.67+207.57+207.57)/30+(11680.53+56.61)/30)/I45</f>
        <v>#DIV/0!</v>
      </c>
      <c r="K45" s="4">
        <f>Elect!C48</f>
        <v>2363</v>
      </c>
      <c r="L45" s="95"/>
    </row>
    <row r="46" spans="1:12" x14ac:dyDescent="0.25">
      <c r="A46" s="3" t="s">
        <v>11</v>
      </c>
      <c r="B46" s="72">
        <v>26</v>
      </c>
      <c r="C46" s="2">
        <v>9</v>
      </c>
      <c r="D46" s="2">
        <v>2022</v>
      </c>
      <c r="E46" s="4">
        <f>Submetering!F47+Submetering!H47+Submetering!J47+Submetering!L47+Submetering!N47+Submetering!P47+Submetering!R47+Submetering!T47+Submetering!V47+Submetering!X47+Submetering!Z47+Submetering!AB47+Submetering!AC47+Submetering!AD47+Submetering!AE47</f>
        <v>0</v>
      </c>
      <c r="F46" s="10" t="e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#DIV/0!</v>
      </c>
      <c r="G46" s="4">
        <f>Submetering!AK47+Submetering!AL47+Submetering!AU47</f>
        <v>0</v>
      </c>
      <c r="H46" s="11">
        <v>0.81659999999999999</v>
      </c>
      <c r="I46" s="4">
        <f>Submetering!AF47+Submetering!AG47+Submetering!AV47+Submetering!AY47+Submetering!AZ47</f>
        <v>0</v>
      </c>
      <c r="J46" s="11" t="e">
        <f>((Submetering!AG47+Submetering!BA47)*0.8868+(1712.96+1070.52)/30+(Submetering!AF47+Submetering!AY47+Submetering!AV47+Submetering!AZ47)*1.1251+(2076.11+129.67+207.57+207.57)/30+(11680.53+56.61)/30)/I46</f>
        <v>#DIV/0!</v>
      </c>
      <c r="K46" s="4">
        <f>Elect!C49</f>
        <v>615</v>
      </c>
      <c r="L46" s="95"/>
    </row>
    <row r="47" spans="1:12" x14ac:dyDescent="0.25">
      <c r="A47" s="3" t="s">
        <v>11</v>
      </c>
      <c r="B47" s="72">
        <v>30</v>
      </c>
      <c r="C47" s="2">
        <v>9</v>
      </c>
      <c r="D47" s="2">
        <v>2022</v>
      </c>
      <c r="E47" s="4">
        <f>Submetering!F48+Submetering!H48+Submetering!J48+Submetering!L48+Submetering!N48+Submetering!P48+Submetering!R48+Submetering!T48+Submetering!V48+Submetering!X48+Submetering!Z48+Submetering!AB48+Submetering!AC48+Submetering!AD48+Submetering!AE48</f>
        <v>0</v>
      </c>
      <c r="F47" s="10" t="e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#DIV/0!</v>
      </c>
      <c r="G47" s="4">
        <f>Submetering!AK48+Submetering!AL48+Submetering!AU48</f>
        <v>0</v>
      </c>
      <c r="H47" s="11">
        <v>0.81659999999999999</v>
      </c>
      <c r="I47" s="4">
        <f>Submetering!AF48+Submetering!AG48+Submetering!AV48+Submetering!AY48+Submetering!AZ48</f>
        <v>0</v>
      </c>
      <c r="J47" s="11" t="e">
        <f>((Submetering!AG48+Submetering!BA48)*0.8868+(1712.96+1070.52)/30+(Submetering!AF48+Submetering!AY48+Submetering!AV48+Submetering!AZ48)*1.1251+(2076.11+129.67+207.57+207.57)/30+(11680.53+56.61)/30)/I47</f>
        <v>#DIV/0!</v>
      </c>
      <c r="K47" s="4">
        <f>Elect!C50</f>
        <v>1116</v>
      </c>
      <c r="L47" s="95"/>
    </row>
    <row r="48" spans="1:12" x14ac:dyDescent="0.25">
      <c r="A48" s="3" t="s">
        <v>11</v>
      </c>
      <c r="B48" s="72">
        <v>3</v>
      </c>
      <c r="C48" s="2">
        <v>10</v>
      </c>
      <c r="D48" s="2">
        <v>2022</v>
      </c>
      <c r="E48" s="4">
        <f>Submetering!F49+Submetering!H49+Submetering!J49+Submetering!L49+Submetering!N49+Submetering!P49+Submetering!R49+Submetering!T49+Submetering!V49+Submetering!X49+Submetering!Z49+Submetering!AB49+Submetering!AC49+Submetering!AD49+Submetering!AE49</f>
        <v>0</v>
      </c>
      <c r="F48" s="10" t="e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#DIV/0!</v>
      </c>
      <c r="G48" s="4">
        <f>Submetering!AK49+Submetering!AL49+Submetering!AU49</f>
        <v>0</v>
      </c>
      <c r="H48" s="11">
        <v>0.81659999999999999</v>
      </c>
      <c r="I48" s="4">
        <f>Submetering!AF49+Submetering!AG49+Submetering!AV49+Submetering!AY49+Submetering!AZ49</f>
        <v>0</v>
      </c>
      <c r="J48" s="11" t="e">
        <f>((Submetering!AG49+Submetering!BA49)*0.8868+(1712.96+1070.52)/30+(Submetering!AF49+Submetering!AY49+Submetering!AV49+Submetering!AZ49)*1.1251+(2076.11+129.67+207.57+207.57)/30+(11680.53+56.61)/30)/I48</f>
        <v>#DIV/0!</v>
      </c>
      <c r="K48" s="4">
        <f>Elect!C51</f>
        <v>2472</v>
      </c>
      <c r="L48" s="95"/>
    </row>
    <row r="49" spans="1:11" x14ac:dyDescent="0.25">
      <c r="A49" s="3" t="s">
        <v>11</v>
      </c>
      <c r="B49" s="72">
        <v>10</v>
      </c>
      <c r="C49" s="2">
        <v>10</v>
      </c>
      <c r="D49" s="2">
        <v>2022</v>
      </c>
      <c r="E49" s="4">
        <f>Submetering!F50+Submetering!H50+Submetering!J50+Submetering!L50+Submetering!N50+Submetering!P50+Submetering!R50+Submetering!T50+Submetering!V50+Submetering!X50+Submetering!Z50+Submetering!AB50+Submetering!AC50+Submetering!AD50+Submetering!AE50</f>
        <v>0</v>
      </c>
      <c r="F49" s="10" t="e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#DIV/0!</v>
      </c>
      <c r="G49" s="4">
        <f>Submetering!AK50+Submetering!AL50+Submetering!AU50</f>
        <v>0</v>
      </c>
      <c r="H49" s="11">
        <v>0.81659999999999999</v>
      </c>
      <c r="I49" s="4">
        <f>Submetering!AF50+Submetering!AG50+Submetering!AV50+Submetering!AY50+Submetering!AZ50</f>
        <v>0</v>
      </c>
      <c r="J49" s="11" t="e">
        <f>((Submetering!AG50+Submetering!BA50)*0.8868+(1712.96+1070.52)/30+(Submetering!AF50+Submetering!AY50+Submetering!AV50+Submetering!AZ50)*1.1251+(2076.11+129.67+207.57+207.57)/30+(11680.53+56.61)/30)/I49</f>
        <v>#DIV/0!</v>
      </c>
      <c r="K49" s="4">
        <f>Elect!C52</f>
        <v>2766</v>
      </c>
    </row>
    <row r="50" spans="1:11" x14ac:dyDescent="0.25">
      <c r="A50" s="3" t="s">
        <v>11</v>
      </c>
      <c r="B50" s="72">
        <v>17</v>
      </c>
      <c r="C50" s="2">
        <v>10</v>
      </c>
      <c r="D50" s="2">
        <v>2022</v>
      </c>
      <c r="E50" s="4">
        <f>Submetering!F51+Submetering!H51+Submetering!J51+Submetering!L51+Submetering!N51+Submetering!P51+Submetering!R51+Submetering!T51+Submetering!V51+Submetering!X51+Submetering!Z51+Submetering!AB51+Submetering!AC51+Submetering!AD51+Submetering!AE51</f>
        <v>0</v>
      </c>
      <c r="F50" s="10" t="e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#DIV/0!</v>
      </c>
      <c r="G50" s="4">
        <f>Submetering!AK51+Submetering!AL51+Submetering!AU51</f>
        <v>0</v>
      </c>
      <c r="H50" s="11">
        <v>0.81659999999999999</v>
      </c>
      <c r="I50" s="4">
        <f>Submetering!AF51+Submetering!AG51+Submetering!AV51+Submetering!AY51+Submetering!AZ51</f>
        <v>0</v>
      </c>
      <c r="J50" s="11" t="e">
        <f>((Submetering!AG51+Submetering!BA51)*0.8868+(1712.96+1070.52)/30+(Submetering!AF51+Submetering!AY51+Submetering!AV51+Submetering!AZ51)*1.1251+(2076.11+129.67+207.57+207.57)/30+(11680.53+56.61)/30)/I50</f>
        <v>#DIV/0!</v>
      </c>
      <c r="K50" s="4">
        <f>Elect!C53</f>
        <v>2075</v>
      </c>
    </row>
    <row r="51" spans="1:11" x14ac:dyDescent="0.25">
      <c r="A51" s="3" t="s">
        <v>11</v>
      </c>
      <c r="B51" s="72">
        <v>24</v>
      </c>
      <c r="C51" s="2">
        <v>10</v>
      </c>
      <c r="D51" s="2">
        <v>2022</v>
      </c>
      <c r="E51" s="4">
        <f>Submetering!F52+Submetering!H52+Submetering!J52+Submetering!L52+Submetering!N52+Submetering!P52+Submetering!R52+Submetering!T52+Submetering!V52+Submetering!X52+Submetering!Z52+Submetering!AB52+Submetering!AC52+Submetering!AD52+Submetering!AE52</f>
        <v>0</v>
      </c>
      <c r="F51" s="10" t="e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#DIV/0!</v>
      </c>
      <c r="G51" s="4">
        <f>Submetering!AK52+Submetering!AL52+Submetering!AU52</f>
        <v>0</v>
      </c>
      <c r="H51" s="11">
        <v>0.81659999999999999</v>
      </c>
      <c r="I51" s="4">
        <f>Submetering!AF52+Submetering!AG52+Submetering!AV52+Submetering!AY52+Submetering!AZ52</f>
        <v>0</v>
      </c>
      <c r="J51" s="11" t="e">
        <f>((Submetering!AG52+Submetering!BA52)*0.8868+(1712.96+1070.52)/30+(Submetering!AF52+Submetering!AY52+Submetering!AV52+Submetering!AZ52)*1.1251+(2076.11+129.67+207.57+207.57)/30+(11680.53+56.61)/30)/I51</f>
        <v>#DIV/0!</v>
      </c>
      <c r="K51" s="4">
        <f>Elect!C54</f>
        <v>1818</v>
      </c>
    </row>
    <row r="52" spans="1:11" x14ac:dyDescent="0.25">
      <c r="A52" s="3" t="s">
        <v>11</v>
      </c>
      <c r="B52" s="72">
        <v>31</v>
      </c>
      <c r="C52" s="2">
        <v>10</v>
      </c>
      <c r="D52" s="2">
        <v>2022</v>
      </c>
      <c r="E52" s="4">
        <f>Submetering!F53+Submetering!H53+Submetering!J53+Submetering!L53+Submetering!N53+Submetering!P53+Submetering!R53+Submetering!T53+Submetering!V53+Submetering!X53+Submetering!Z53+Submetering!AB53+Submetering!AC53+Submetering!AD53+Submetering!AE53</f>
        <v>0</v>
      </c>
      <c r="F52" s="10" t="e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#DIV/0!</v>
      </c>
      <c r="G52" s="4">
        <f>Submetering!AK53+Submetering!AL53+Submetering!AU53</f>
        <v>0</v>
      </c>
      <c r="H52" s="11">
        <v>0.81659999999999999</v>
      </c>
      <c r="I52" s="4">
        <f>Submetering!AF53+Submetering!AG53+Submetering!AV53+Submetering!AY53+Submetering!AZ53</f>
        <v>0</v>
      </c>
      <c r="J52" s="11" t="e">
        <f>((Submetering!AG53+Submetering!BA53)*0.8868+(1712.96+1070.52)/30+(Submetering!AF53+Submetering!AY53+Submetering!AV53+Submetering!AZ53)*1.1251+(2076.11+129.67+207.57+207.57)/30+(11680.53+56.61)/30)/I52</f>
        <v>#DIV/0!</v>
      </c>
      <c r="K52" s="4">
        <f>Elect!C55</f>
        <v>2001</v>
      </c>
    </row>
    <row r="53" spans="1:11" x14ac:dyDescent="0.25">
      <c r="A53" s="3" t="s">
        <v>11</v>
      </c>
      <c r="B53" s="72">
        <v>7</v>
      </c>
      <c r="C53" s="2">
        <v>11</v>
      </c>
      <c r="D53" s="2">
        <v>2022</v>
      </c>
      <c r="E53" s="4">
        <f>Submetering!F54+Submetering!H54+Submetering!J54+Submetering!L54+Submetering!N54+Submetering!P54+Submetering!R54+Submetering!T54+Submetering!V54+Submetering!X54+Submetering!Z54+Submetering!AB54+Submetering!AC54+Submetering!AD54+Submetering!AE54</f>
        <v>0</v>
      </c>
      <c r="F53" s="10" t="e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#DIV/0!</v>
      </c>
      <c r="G53" s="4">
        <f>Submetering!AK54+Submetering!AL54+Submetering!AU54</f>
        <v>0</v>
      </c>
      <c r="H53" s="11">
        <v>0.81659999999999999</v>
      </c>
      <c r="I53" s="4">
        <f>Submetering!AF54+Submetering!AG54+Submetering!AV54+Submetering!AY54+Submetering!AZ54</f>
        <v>0</v>
      </c>
      <c r="J53" s="11" t="e">
        <f>((Submetering!AG54+Submetering!BA54)*0.8868+(1712.96+1070.52)/30+(Submetering!AF54+Submetering!AY54+Submetering!AV54+Submetering!AZ54)*1.1251+(2076.11+129.67+207.57+207.57)/30+(11680.53+56.61)/30)/I53</f>
        <v>#DIV/0!</v>
      </c>
      <c r="K53" s="4">
        <f>Elect!C56</f>
        <v>2113</v>
      </c>
    </row>
    <row r="54" spans="1:11" x14ac:dyDescent="0.25">
      <c r="A54" s="3" t="s">
        <v>11</v>
      </c>
      <c r="B54" s="72">
        <v>14</v>
      </c>
      <c r="C54" s="2">
        <v>11</v>
      </c>
      <c r="D54" s="2">
        <v>2022</v>
      </c>
      <c r="E54" s="4">
        <f>Submetering!F55+Submetering!H55+Submetering!J55+Submetering!L55+Submetering!N55+Submetering!P55+Submetering!R55+Submetering!T55+Submetering!V55+Submetering!X55+Submetering!Z55+Submetering!AB55+Submetering!AC55+Submetering!AD55+Submetering!AE55</f>
        <v>0</v>
      </c>
      <c r="F54" s="10" t="e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#DIV/0!</v>
      </c>
      <c r="G54" s="4">
        <f>Submetering!AK55+Submetering!AL55+Submetering!AU55</f>
        <v>0</v>
      </c>
      <c r="H54" s="11">
        <v>0.81659999999999999</v>
      </c>
      <c r="I54" s="4">
        <f>Submetering!AF55+Submetering!AG55+Submetering!AV55+Submetering!AY55+Submetering!AZ55</f>
        <v>0</v>
      </c>
      <c r="J54" s="11" t="e">
        <f>((Submetering!AG55+Submetering!BA55)*0.8868+(1712.96+1070.52)/30+(Submetering!AF55+Submetering!AY55+Submetering!AV55+Submetering!AZ55)*1.1251+(2076.11+129.67+207.57+207.57)/30+(11680.53+56.61)/30)/I54</f>
        <v>#DIV/0!</v>
      </c>
      <c r="K54" s="4">
        <f>Elect!C57</f>
        <v>2102</v>
      </c>
    </row>
    <row r="55" spans="1:11" x14ac:dyDescent="0.25">
      <c r="A55" s="3" t="s">
        <v>11</v>
      </c>
      <c r="B55" s="72">
        <v>21</v>
      </c>
      <c r="C55" s="2">
        <v>11</v>
      </c>
      <c r="D55" s="2">
        <v>2022</v>
      </c>
      <c r="E55" s="4">
        <f>Submetering!F56+Submetering!H56+Submetering!J56+Submetering!L56+Submetering!N56+Submetering!P56+Submetering!R56+Submetering!T56+Submetering!V56+Submetering!X56+Submetering!Z56+Submetering!AB56+Submetering!AC56+Submetering!AD56+Submetering!AE56</f>
        <v>0</v>
      </c>
      <c r="F55" s="10" t="e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#DIV/0!</v>
      </c>
      <c r="G55" s="4">
        <f>Submetering!AK56+Submetering!AL56+Submetering!AU56</f>
        <v>0</v>
      </c>
      <c r="H55" s="11">
        <v>0.81659999999999999</v>
      </c>
      <c r="I55" s="4">
        <f>Submetering!AF56+Submetering!AG56+Submetering!AV56+Submetering!AY56+Submetering!AZ56</f>
        <v>0</v>
      </c>
      <c r="J55" s="11" t="e">
        <f>((Submetering!AG56+Submetering!BA56)*0.8868+(1712.96+1070.52)/30+(Submetering!AF56+Submetering!AY56+Submetering!AV56+Submetering!AZ56)*1.1251+(2076.11+129.67+207.57+207.57)/30+(11680.53+56.61)/30)/I55</f>
        <v>#DIV/0!</v>
      </c>
      <c r="K55" s="4">
        <f>Elect!C58</f>
        <v>2027</v>
      </c>
    </row>
    <row r="56" spans="1:11" x14ac:dyDescent="0.25">
      <c r="A56" s="3" t="s">
        <v>11</v>
      </c>
      <c r="B56" s="72">
        <v>28</v>
      </c>
      <c r="C56" s="2">
        <v>11</v>
      </c>
      <c r="D56" s="2">
        <v>2022</v>
      </c>
      <c r="E56" s="4">
        <f>Submetering!F57+Submetering!H57+Submetering!J57+Submetering!L57+Submetering!N57+Submetering!P57+Submetering!R57+Submetering!T57+Submetering!V57+Submetering!X57+Submetering!Z57+Submetering!AB57+Submetering!AC57+Submetering!AD57+Submetering!AE57</f>
        <v>0</v>
      </c>
      <c r="F56" s="10" t="e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#DIV/0!</v>
      </c>
      <c r="G56" s="4">
        <f>Submetering!AK57+Submetering!AL57+Submetering!AU57</f>
        <v>0</v>
      </c>
      <c r="H56" s="11">
        <v>0.81659999999999999</v>
      </c>
      <c r="I56" s="4">
        <f>Submetering!AF57+Submetering!AG57+Submetering!AV57+Submetering!AY57+Submetering!AZ57</f>
        <v>0</v>
      </c>
      <c r="J56" s="11" t="e">
        <f>((Submetering!AG57+Submetering!BA57)*0.8868+(1712.96+1070.52)/30+(Submetering!AF57+Submetering!AY57+Submetering!AV57+Submetering!AZ57)*1.1251+(2076.11+129.67+207.57+207.57)/30+(11680.53+56.61)/30)/I56</f>
        <v>#DIV/0!</v>
      </c>
      <c r="K56" s="4">
        <f>Elect!C59</f>
        <v>379</v>
      </c>
    </row>
    <row r="57" spans="1:11" x14ac:dyDescent="0.25">
      <c r="A57" s="3" t="s">
        <v>11</v>
      </c>
      <c r="B57" s="72">
        <v>30</v>
      </c>
      <c r="C57" s="2">
        <v>11</v>
      </c>
      <c r="D57" s="2">
        <v>2022</v>
      </c>
      <c r="E57" s="4">
        <f>Submetering!F58+Submetering!H58+Submetering!J58+Submetering!L58+Submetering!N58+Submetering!P58+Submetering!R58+Submetering!T58+Submetering!V58+Submetering!X58+Submetering!Z58+Submetering!AB58+Submetering!AC58+Submetering!AD58+Submetering!AE58</f>
        <v>0</v>
      </c>
      <c r="F57" s="10" t="e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#DIV/0!</v>
      </c>
      <c r="G57" s="4">
        <f>Submetering!AK58+Submetering!AL58+Submetering!AU58</f>
        <v>0</v>
      </c>
      <c r="H57" s="11">
        <v>0.81659999999999999</v>
      </c>
      <c r="I57" s="4">
        <f>Submetering!AF58+Submetering!AG58+Submetering!AV58+Submetering!AY58+Submetering!AZ58</f>
        <v>0</v>
      </c>
      <c r="J57" s="11" t="e">
        <f>((Submetering!AG58+Submetering!BA58)*0.8868+(1712.96+1070.52)/30+(Submetering!AF58+Submetering!AY58+Submetering!AV58+Submetering!AZ58)*1.1251+(2076.11+129.67+207.57+207.57)/30+(11680.53+56.61)/30)/I57</f>
        <v>#DIV/0!</v>
      </c>
      <c r="K57" s="4">
        <f>Elect!C60</f>
        <v>1564</v>
      </c>
    </row>
    <row r="58" spans="1:11" x14ac:dyDescent="0.25">
      <c r="A58" s="3" t="s">
        <v>11</v>
      </c>
      <c r="B58" s="72">
        <v>5</v>
      </c>
      <c r="C58" s="2">
        <v>12</v>
      </c>
      <c r="D58" s="2">
        <v>2022</v>
      </c>
      <c r="E58" s="4">
        <f>Submetering!F59+Submetering!H59+Submetering!J59+Submetering!L59+Submetering!N59+Submetering!P59+Submetering!R59+Submetering!T59+Submetering!V59+Submetering!X59+Submetering!Z59+Submetering!AB59+Submetering!AC59+Submetering!AD59+Submetering!AE59</f>
        <v>0</v>
      </c>
      <c r="F58" s="10" t="e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#DIV/0!</v>
      </c>
      <c r="G58" s="4">
        <f>Submetering!AK59+Submetering!AL59+Submetering!AU59</f>
        <v>0</v>
      </c>
      <c r="H58" s="11">
        <v>0.81659999999999999</v>
      </c>
      <c r="I58" s="4">
        <f>Submetering!AF59+Submetering!AG59+Submetering!AV59+Submetering!AY59+Submetering!AZ59</f>
        <v>0</v>
      </c>
      <c r="J58" s="11" t="e">
        <f>((Submetering!AG59+Submetering!BA59)*0.8868+(1712.96+1070.52)/30+(Submetering!AF59+Submetering!AY59+Submetering!AV59+Submetering!AZ59)*1.1251+(2076.11+129.67+207.57+207.57)/30+(11680.53+56.61)/30)/I58</f>
        <v>#DIV/0!</v>
      </c>
      <c r="K58" s="4">
        <f>Elect!C61</f>
        <v>2033</v>
      </c>
    </row>
    <row r="59" spans="1:11" x14ac:dyDescent="0.25">
      <c r="A59" s="3" t="s">
        <v>11</v>
      </c>
      <c r="B59" s="72">
        <v>12</v>
      </c>
      <c r="C59" s="2">
        <v>12</v>
      </c>
      <c r="D59" s="2">
        <v>2022</v>
      </c>
      <c r="E59" s="4">
        <f>Submetering!F60+Submetering!H60+Submetering!J60+Submetering!L60+Submetering!N60+Submetering!P60+Submetering!R60+Submetering!T60+Submetering!V60+Submetering!X60+Submetering!Z60+Submetering!AB60+Submetering!AC60+Submetering!AD60+Submetering!AE60</f>
        <v>0</v>
      </c>
      <c r="F59" s="10" t="e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#DIV/0!</v>
      </c>
      <c r="G59" s="4">
        <f>Submetering!AK60+Submetering!AL60+Submetering!AU60</f>
        <v>0</v>
      </c>
      <c r="H59" s="11">
        <v>0.81659999999999999</v>
      </c>
      <c r="I59" s="4">
        <f>Submetering!AF60+Submetering!AG60+Submetering!AV60+Submetering!AY60+Submetering!AZ60</f>
        <v>0</v>
      </c>
      <c r="J59" s="11" t="e">
        <f>((Submetering!AG60+Submetering!BA60)*0.8868+(1712.96+1070.52)/30+(Submetering!AF60+Submetering!AY60+Submetering!AV60+Submetering!AZ60)*1.1251+(2076.11+129.67+207.57+207.57)/30+(11680.53+56.61)/30)/I59</f>
        <v>#DIV/0!</v>
      </c>
      <c r="K59" s="4">
        <f>Elect!C62</f>
        <v>1679</v>
      </c>
    </row>
    <row r="60" spans="1:11" x14ac:dyDescent="0.25">
      <c r="A60" s="3" t="s">
        <v>11</v>
      </c>
      <c r="B60" s="72">
        <v>19</v>
      </c>
      <c r="C60" s="2">
        <v>12</v>
      </c>
      <c r="D60" s="2">
        <v>2022</v>
      </c>
      <c r="E60" s="4">
        <f>Submetering!F61+Submetering!H61+Submetering!J61+Submetering!L61+Submetering!N61+Submetering!P61+Submetering!R61+Submetering!T61+Submetering!V61+Submetering!X61+Submetering!Z61+Submetering!AB61+Submetering!AC61+Submetering!AD61+Submetering!AE61</f>
        <v>0</v>
      </c>
      <c r="F60" s="10" t="e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#DIV/0!</v>
      </c>
      <c r="G60" s="4">
        <f>Submetering!AK61+Submetering!AL61+Submetering!AU61</f>
        <v>0</v>
      </c>
      <c r="H60" s="11">
        <v>0.81659999999999999</v>
      </c>
      <c r="I60" s="4">
        <f>Submetering!AF61+Submetering!AG61+Submetering!AV61+Submetering!AY61+Submetering!AZ61</f>
        <v>0</v>
      </c>
      <c r="J60" s="11" t="e">
        <f>((Submetering!AG61+Submetering!BA61)*0.8868+(1712.96+1070.52)/30+(Submetering!AF61+Submetering!AY61+Submetering!AV61+Submetering!AZ61)*1.1251+(2076.11+129.67+207.57+207.57)/30+(11680.53+56.61)/30)/I60</f>
        <v>#DIV/0!</v>
      </c>
      <c r="K60" s="4">
        <f>Elect!C63</f>
        <v>2405</v>
      </c>
    </row>
    <row r="61" spans="1:11" x14ac:dyDescent="0.25">
      <c r="A61" s="3" t="s">
        <v>11</v>
      </c>
      <c r="B61" s="72">
        <v>26</v>
      </c>
      <c r="C61" s="2">
        <v>12</v>
      </c>
      <c r="D61" s="2">
        <v>2022</v>
      </c>
      <c r="E61" s="4">
        <f>Submetering!F62+Submetering!H62+Submetering!J62+Submetering!L62+Submetering!N62+Submetering!P62+Submetering!R62+Submetering!T62+Submetering!V62+Submetering!X62+Submetering!Z62+Submetering!AB62+Submetering!AC62+Submetering!AD62+Submetering!AE62</f>
        <v>0</v>
      </c>
      <c r="F61" s="10" t="e">
        <f>((((Submetering!E62+Submetering!AD62)*0.13773+(Submetering!E62+Submetering!AD62)*0.02095)*1.09+(2.85/30)*2)+(((Submetering!F62+Submetering!H62+Submetering!J62+Submetering!L62+Submetering!N62+Submetering!P62+Submetering!R62+Submetering!T62+Submetering!V62+Submetering!X62+Submetering!Z62+Submetering!AB62+Submetering!AC62+Submetering!AE62)*0.05155)+((Submetering!F62+Submetering!H62+Submetering!J62+Submetering!L62+Submetering!N62+Submetering!P62+Submetering!R62+Submetering!T62+Submetering!V62+Submetering!X62+Submetering!Z62+Submetering!AB62+Submetering!AC62+Submetering!AE62)*0.02095)+(20/30)*15)*1.1048)/E61</f>
        <v>#DIV/0!</v>
      </c>
      <c r="G61" s="4">
        <f>Submetering!AK62+Submetering!AL62+Submetering!AU62</f>
        <v>0</v>
      </c>
      <c r="H61" s="11">
        <v>1.8166</v>
      </c>
      <c r="I61" s="4">
        <f>Submetering!AF62+Submetering!AG62+Submetering!AV62+Submetering!AY62+Submetering!AZ62</f>
        <v>0</v>
      </c>
      <c r="J61" s="11" t="e">
        <f>((Submetering!AG62+Submetering!BA62)*0.8868+(1712.96+1070.52)/30+(Submetering!AF62+Submetering!AY62+Submetering!AV62+Submetering!AZ62)*1.1251+(2076.11+129.67+207.57+207.57)/30+(11680.53+56.61)/30)/I61</f>
        <v>#DIV/0!</v>
      </c>
      <c r="K61" s="4">
        <f>Elect!C64</f>
        <v>1759</v>
      </c>
    </row>
    <row r="62" spans="1:11" x14ac:dyDescent="0.25">
      <c r="A62" s="3" t="s">
        <v>11</v>
      </c>
      <c r="B62" s="72">
        <v>31</v>
      </c>
      <c r="C62" s="2">
        <v>12</v>
      </c>
      <c r="D62" s="2">
        <v>2022</v>
      </c>
      <c r="E62" s="4">
        <f>Submetering!F63+Submetering!H63+Submetering!J63+Submetering!L63+Submetering!N63+Submetering!P63+Submetering!R63+Submetering!T63+Submetering!V63+Submetering!X63+Submetering!Z63+Submetering!AB63+Submetering!AC63+Submetering!AD63+Submetering!AE63</f>
        <v>0</v>
      </c>
      <c r="F62" s="10" t="e">
        <f>((((Submetering!E63+Submetering!AD63)*0.13773+(Submetering!E63+Submetering!AD63)*0.02095)*1.09+(2.85/30)*2)+(((Submetering!F63+Submetering!H63+Submetering!J63+Submetering!L63+Submetering!N63+Submetering!P63+Submetering!R63+Submetering!T63+Submetering!V63+Submetering!X63+Submetering!Z63+Submetering!AB63+Submetering!AC63+Submetering!AE63)*0.05155)+((Submetering!F63+Submetering!H63+Submetering!J63+Submetering!L63+Submetering!N63+Submetering!P63+Submetering!R63+Submetering!T63+Submetering!V63+Submetering!X63+Submetering!Z63+Submetering!AB63+Submetering!AC63+Submetering!AE63)*0.02095)+(20/30)*15)*1.1048)/E62</f>
        <v>#DIV/0!</v>
      </c>
      <c r="G62" s="4">
        <f>Submetering!AK63+Submetering!AL63+Submetering!AU63</f>
        <v>0</v>
      </c>
      <c r="H62" s="11">
        <v>2.8166000000000002</v>
      </c>
      <c r="I62" s="4">
        <f>Submetering!AF63+Submetering!AG63+Submetering!AV63+Submetering!AY63+Submetering!AZ63</f>
        <v>0</v>
      </c>
      <c r="J62" s="11" t="e">
        <f>((Submetering!AG63+Submetering!BA63)*0.8868+(1712.96+1070.52)/30+(Submetering!AF63+Submetering!AY63+Submetering!AV63+Submetering!AZ63)*1.1251+(2076.11+129.67+207.57+207.57)/30+(11680.53+56.61)/30)/I62</f>
        <v>#DIV/0!</v>
      </c>
      <c r="K62" s="4">
        <f>Elect!C65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B6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V3" sqref="AV3"/>
    </sheetView>
  </sheetViews>
  <sheetFormatPr defaultColWidth="11.5703125" defaultRowHeight="15" x14ac:dyDescent="0.25"/>
  <cols>
    <col min="1" max="1" width="13.85546875" style="3" customWidth="1"/>
    <col min="2" max="2" width="11.5703125" style="112" customWidth="1"/>
    <col min="3" max="3" width="11.5703125" style="1" customWidth="1"/>
    <col min="4" max="4" width="13.42578125" style="1" customWidth="1"/>
    <col min="5" max="7" width="12.5703125" style="4" customWidth="1"/>
    <col min="8" max="8" width="15.42578125" customWidth="1"/>
    <col min="37" max="37" width="11.5703125" style="76"/>
    <col min="39" max="40" width="11.5703125" style="71"/>
    <col min="47" max="47" width="11.5703125" style="71"/>
    <col min="49" max="49" width="11.5703125" style="71"/>
    <col min="51" max="51" width="12.85546875" customWidth="1"/>
  </cols>
  <sheetData>
    <row r="1" spans="1:54" s="3" customFormat="1" ht="105" x14ac:dyDescent="0.25">
      <c r="A1" s="7" t="s">
        <v>0</v>
      </c>
      <c r="B1" s="113" t="s">
        <v>1</v>
      </c>
      <c r="C1" s="7" t="s">
        <v>2</v>
      </c>
      <c r="D1" s="7" t="s">
        <v>3</v>
      </c>
      <c r="E1" s="35" t="s">
        <v>12</v>
      </c>
      <c r="F1" s="35" t="s">
        <v>13</v>
      </c>
      <c r="G1" s="35" t="s">
        <v>14</v>
      </c>
      <c r="H1" s="35" t="s">
        <v>15</v>
      </c>
      <c r="I1" s="35" t="s">
        <v>16</v>
      </c>
      <c r="J1" s="35" t="s">
        <v>17</v>
      </c>
      <c r="K1" s="35" t="s">
        <v>18</v>
      </c>
      <c r="L1" s="35" t="s">
        <v>19</v>
      </c>
      <c r="M1" s="35" t="s">
        <v>20</v>
      </c>
      <c r="N1" s="35" t="s">
        <v>21</v>
      </c>
      <c r="O1" s="35" t="s">
        <v>22</v>
      </c>
      <c r="P1" s="35" t="s">
        <v>23</v>
      </c>
      <c r="Q1" s="35" t="s">
        <v>24</v>
      </c>
      <c r="R1" s="35" t="s">
        <v>25</v>
      </c>
      <c r="S1" s="35" t="s">
        <v>26</v>
      </c>
      <c r="T1" s="35" t="s">
        <v>27</v>
      </c>
      <c r="U1" s="35" t="s">
        <v>28</v>
      </c>
      <c r="V1" s="35" t="s">
        <v>29</v>
      </c>
      <c r="W1" s="35" t="s">
        <v>30</v>
      </c>
      <c r="X1" s="35" t="s">
        <v>31</v>
      </c>
      <c r="Y1" s="35" t="s">
        <v>32</v>
      </c>
      <c r="Z1" s="35" t="s">
        <v>33</v>
      </c>
      <c r="AA1" s="35" t="s">
        <v>34</v>
      </c>
      <c r="AB1" s="35" t="s">
        <v>35</v>
      </c>
      <c r="AC1" s="35" t="s">
        <v>36</v>
      </c>
      <c r="AD1" s="35" t="s">
        <v>37</v>
      </c>
      <c r="AE1" s="35" t="s">
        <v>38</v>
      </c>
      <c r="AF1" s="37" t="s">
        <v>39</v>
      </c>
      <c r="AG1" s="37" t="s">
        <v>40</v>
      </c>
      <c r="AH1" s="37" t="s">
        <v>41</v>
      </c>
      <c r="AI1" s="37" t="s">
        <v>42</v>
      </c>
      <c r="AJ1" s="37" t="s">
        <v>43</v>
      </c>
      <c r="AK1" s="38" t="s">
        <v>44</v>
      </c>
      <c r="AL1" s="38" t="s">
        <v>45</v>
      </c>
      <c r="AM1" s="37" t="s">
        <v>46</v>
      </c>
      <c r="AN1" s="37" t="s">
        <v>47</v>
      </c>
      <c r="AO1" s="37" t="s">
        <v>48</v>
      </c>
      <c r="AP1" s="37" t="s">
        <v>49</v>
      </c>
      <c r="AQ1" s="37" t="s">
        <v>50</v>
      </c>
      <c r="AR1" s="37" t="s">
        <v>51</v>
      </c>
      <c r="AS1" s="37" t="s">
        <v>52</v>
      </c>
      <c r="AT1" s="37" t="s">
        <v>53</v>
      </c>
      <c r="AU1" s="38" t="s">
        <v>54</v>
      </c>
      <c r="AV1" s="37" t="s">
        <v>55</v>
      </c>
      <c r="AW1" s="37" t="s">
        <v>56</v>
      </c>
      <c r="AX1" s="37" t="s">
        <v>57</v>
      </c>
      <c r="AY1" s="37" t="s">
        <v>58</v>
      </c>
      <c r="AZ1" s="37" t="s">
        <v>59</v>
      </c>
      <c r="BA1" s="37" t="s">
        <v>60</v>
      </c>
      <c r="BB1" s="8"/>
    </row>
    <row r="2" spans="1:54" x14ac:dyDescent="0.25">
      <c r="A2" s="3" t="s">
        <v>11</v>
      </c>
      <c r="B2" s="114">
        <v>1</v>
      </c>
      <c r="C2" s="2">
        <v>1</v>
      </c>
      <c r="D2" s="2">
        <v>2022</v>
      </c>
      <c r="E2" s="36">
        <f>IF(Elect!AL4&lt;0,"0",Elect!AL4)</f>
        <v>0</v>
      </c>
      <c r="F2" s="36">
        <f>IF(Elect!I4&lt;0,"0",Elect!I4)</f>
        <v>0</v>
      </c>
      <c r="G2" s="36">
        <f>Elect!H4</f>
        <v>2.5649999999999999</v>
      </c>
      <c r="H2" s="36">
        <f>IF(Elect!F4&lt;0,"0",Elect!F4)</f>
        <v>0</v>
      </c>
      <c r="I2" s="36">
        <f>Elect!E4</f>
        <v>1.923</v>
      </c>
      <c r="J2" s="36">
        <f>IF(Elect!U4&lt;0,"0",Elect!U4)</f>
        <v>0</v>
      </c>
      <c r="K2" s="36">
        <f>Elect!T4</f>
        <v>2.2490000000000001</v>
      </c>
      <c r="L2" s="36">
        <f>IF(Elect!AJ4&lt;0,"0",Elect!AJ4)</f>
        <v>0</v>
      </c>
      <c r="M2" s="36">
        <f>Elect!AI4</f>
        <v>0.29399999999999998</v>
      </c>
      <c r="N2" s="36">
        <f>IF(Elect!X4&lt;0,"0",Elect!X4)</f>
        <v>0</v>
      </c>
      <c r="O2" s="36">
        <f>Elect!W4</f>
        <v>1.671</v>
      </c>
      <c r="P2" s="36">
        <f>IF(Elect!O4&lt;0,"0",Elect!O4)</f>
        <v>0</v>
      </c>
      <c r="Q2" s="36">
        <f>Elect!N4</f>
        <v>2.73</v>
      </c>
      <c r="R2" s="36">
        <f>IF(Elect!L4&lt;0,"0",Elect!L4)</f>
        <v>0</v>
      </c>
      <c r="S2" s="36">
        <f>Elect!K4</f>
        <v>3.65</v>
      </c>
      <c r="T2" s="36">
        <f>IF(Elect!R4&lt;0,"0",Elect!R4)</f>
        <v>0</v>
      </c>
      <c r="U2" s="36">
        <f>Elect!Q4</f>
        <v>3.73</v>
      </c>
      <c r="V2" s="36">
        <f>IF(Elect!AA4&lt;0,"0",Elect!AA4)</f>
        <v>0</v>
      </c>
      <c r="W2" s="36">
        <f>Elect!Z4</f>
        <v>2.75</v>
      </c>
      <c r="X2" s="36">
        <f>IF(Elect!AD4&lt;0,"0",Elect!AD4)</f>
        <v>0</v>
      </c>
      <c r="Y2" s="36">
        <f>Elect!AC4</f>
        <v>2.31</v>
      </c>
      <c r="Z2" s="36">
        <f>IF(Elect!AG4&lt;0,"0",Elect!AG4)</f>
        <v>0</v>
      </c>
      <c r="AA2" s="36">
        <f>Elect!AF4</f>
        <v>2.1659999999999999</v>
      </c>
      <c r="AB2" s="36">
        <f>IF(Elect!AX4&lt;0,"0",Elect!AX4)</f>
        <v>0</v>
      </c>
      <c r="AC2" s="36">
        <f>IF(Elect!AV4&lt;0,"0",Elect!AV4)</f>
        <v>0</v>
      </c>
      <c r="AD2" s="36">
        <f>IF(Elect!AZ4&lt;0,"0",Elect!AZ4)</f>
        <v>0</v>
      </c>
      <c r="AE2" s="36">
        <f>IF(Elect!BB4&lt;0,"0",Elect!BB4)</f>
        <v>0</v>
      </c>
      <c r="AF2" s="74">
        <f>IF('Wtr-Gas'!E4&lt;0,"0",('Wtr-Gas'!E4)*0.0038)</f>
        <v>0</v>
      </c>
      <c r="AG2" s="74">
        <f>IF('Wtr-Gas'!H4&lt;0,"0",('Wtr-Gas'!H4)*0.0038)</f>
        <v>0</v>
      </c>
      <c r="AH2" s="74">
        <f>IF('Wtr-Gas'!K4&lt;0,"0",('Wtr-Gas'!K4)*0.0038)</f>
        <v>0</v>
      </c>
      <c r="AI2" s="74">
        <f>IF('Wtr-Gas'!N4&lt;0,"0",('Wtr-Gas'!N4)*0.0038)</f>
        <v>0</v>
      </c>
      <c r="AJ2" s="74">
        <f>IF('Wtr-Gas'!Q4&lt;0,"0",('Wtr-Gas'!Q4)*0.0038)</f>
        <v>0</v>
      </c>
      <c r="AK2" s="75">
        <f>IF('Wtr-Gas'!U4&lt;0,"0",('Wtr-Gas'!U4)*0.0038)</f>
        <v>0</v>
      </c>
      <c r="AL2" s="75">
        <f>IF('Wtr-Gas'!X4&lt;0,"0",('Wtr-Gas'!X4)*0.0038)</f>
        <v>0</v>
      </c>
      <c r="AM2" s="74">
        <f>IF('Wtr-Gas'!AB4&lt;0,"0",('Wtr-Gas'!AB4)*0.0038)</f>
        <v>0</v>
      </c>
      <c r="AN2" s="74">
        <f>IF('Wtr-Gas'!AD4&lt;0,"0",('Wtr-Gas'!AD4)*0.0038)</f>
        <v>0</v>
      </c>
      <c r="AO2" s="74">
        <f>IF('Wtr-Gas'!AH4&lt;0,"0",('Wtr-Gas'!AH4)*0.0038)</f>
        <v>0</v>
      </c>
      <c r="AP2" s="74">
        <f>IF('Wtr-Gas'!AJ4&lt;0,"0",('Wtr-Gas'!AJ4)*0.0038)</f>
        <v>0</v>
      </c>
      <c r="AQ2" s="74">
        <f>IF('Wtr-Gas'!AL4&lt;0,"0",('Wtr-Gas'!AL4)*0.0038)</f>
        <v>0</v>
      </c>
      <c r="AR2" s="74">
        <f>IF('Wtr-Gas'!AN4&lt;0,"0",('Wtr-Gas'!AN4)*0.0038)</f>
        <v>0</v>
      </c>
      <c r="AS2" s="74">
        <f>IF('Wtr-Gas'!AP4&lt;0,"0",('Wtr-Gas'!AP4)*0.0038)</f>
        <v>0</v>
      </c>
      <c r="AT2" s="74">
        <f>IF('Wtr-Gas'!AR4&lt;0,"0",('Wtr-Gas'!AR4)*0.0038)</f>
        <v>0</v>
      </c>
      <c r="AU2" s="87">
        <f>IF('Wtr-Gas'!AV4&lt;0,"0",('Wtr-Gas'!AV4)*0.0038)</f>
        <v>0</v>
      </c>
      <c r="AV2" s="74">
        <f>IF('Wtr-Gas'!AY4&lt;0,"0",('Wtr-Gas'!AY4)*0.0038)</f>
        <v>0</v>
      </c>
      <c r="AW2" s="74">
        <f>IF('Wtr-Gas'!BA4&lt;0,"0",('Wtr-Gas'!BA4)*0.0038)</f>
        <v>0</v>
      </c>
      <c r="AX2" s="74">
        <f>IF('Wtr-Gas'!BB4&lt;0,"0",('Wtr-Gas'!BB4)*0.0038)</f>
        <v>0</v>
      </c>
      <c r="AY2" s="74">
        <f>IF('Wtr-Gas'!BD4&lt;0,"0",('Wtr-Gas'!BD4)*0.0038)</f>
        <v>0</v>
      </c>
      <c r="AZ2" s="74">
        <f>IF('Wtr-Gas'!BF4&lt;0,"0",('Wtr-Gas'!BF4)*0.0038)</f>
        <v>0</v>
      </c>
      <c r="BA2" s="74">
        <f>IF('Wtr-Gas'!BH4&lt;0,"0",('Wtr-Gas'!BH4)*0.0038)</f>
        <v>0</v>
      </c>
    </row>
    <row r="3" spans="1:54" x14ac:dyDescent="0.25">
      <c r="A3" s="3" t="s">
        <v>11</v>
      </c>
      <c r="B3" s="114">
        <v>3</v>
      </c>
      <c r="C3" s="2">
        <v>1</v>
      </c>
      <c r="D3" s="2">
        <v>2022</v>
      </c>
      <c r="E3" s="36">
        <f>IF(Elect!AL5&lt;0,"0",Elect!AL5)</f>
        <v>23</v>
      </c>
      <c r="F3" s="36">
        <f>IF(Elect!I5&lt;0,"0",Elect!I5)</f>
        <v>14560</v>
      </c>
      <c r="G3" s="36">
        <f>Elect!H5</f>
        <v>2.5649999999999999</v>
      </c>
      <c r="H3" s="36">
        <f>IF(Elect!F5&lt;0,"0",Elect!F5)</f>
        <v>19680</v>
      </c>
      <c r="I3" s="36">
        <f>Elect!E5</f>
        <v>1.923</v>
      </c>
      <c r="J3" s="36">
        <f>IF(Elect!U5&lt;0,"0",Elect!U5)</f>
        <v>18300</v>
      </c>
      <c r="K3" s="36">
        <f>Elect!T5</f>
        <v>2.2490000000000001</v>
      </c>
      <c r="L3" s="36">
        <f>IF(Elect!AJ5&lt;0,"0",Elect!AJ5)</f>
        <v>400</v>
      </c>
      <c r="M3" s="36">
        <f>Elect!AI5</f>
        <v>0.29699999999999999</v>
      </c>
      <c r="N3" s="36">
        <f>IF(Elect!X5&lt;0,"0",Elect!X5)</f>
        <v>17700</v>
      </c>
      <c r="O3" s="36">
        <f>Elect!W5</f>
        <v>1.8380000000000001</v>
      </c>
      <c r="P3" s="36">
        <f>IF(Elect!O5&lt;0,"0",Elect!O5)</f>
        <v>3200</v>
      </c>
      <c r="Q3" s="36">
        <f>Elect!N5</f>
        <v>3.73</v>
      </c>
      <c r="R3" s="36">
        <f>IF(Elect!L5&lt;0,"0",Elect!L5)</f>
        <v>3600</v>
      </c>
      <c r="S3" s="36">
        <f>Elect!K5</f>
        <v>3.65</v>
      </c>
      <c r="T3" s="36">
        <f>IF(Elect!R5&lt;0,"0",Elect!R5)</f>
        <v>3200</v>
      </c>
      <c r="U3" s="36">
        <f>Elect!Q5</f>
        <v>3.73</v>
      </c>
      <c r="V3" s="36">
        <f>IF(Elect!AA5&lt;0,"0",Elect!AA5)</f>
        <v>1440</v>
      </c>
      <c r="W3" s="36">
        <f>Elect!Z5</f>
        <v>2.75</v>
      </c>
      <c r="X3" s="36">
        <f>IF(Elect!AD5&lt;0,"0",Elect!AD5)</f>
        <v>960</v>
      </c>
      <c r="Y3" s="36">
        <f>Elect!AC5</f>
        <v>2.31</v>
      </c>
      <c r="Z3" s="36">
        <f>IF(Elect!AG5&lt;0,"0",Elect!AG5)</f>
        <v>15200</v>
      </c>
      <c r="AA3" s="36">
        <f>Elect!AF5</f>
        <v>2.1659999999999999</v>
      </c>
      <c r="AB3" s="36">
        <f>IF(Elect!AX5&lt;0,"0",Elect!AX5)</f>
        <v>600</v>
      </c>
      <c r="AC3" s="36">
        <f>IF(Elect!AV5&lt;0,"0",Elect!AV5)</f>
        <v>6200</v>
      </c>
      <c r="AD3" s="36">
        <f>IF(Elect!AZ5&lt;0,"0",Elect!AZ5)</f>
        <v>323</v>
      </c>
      <c r="AE3" s="36">
        <f>IF(Elect!BB5&lt;0,"0",Elect!BB5)</f>
        <v>520</v>
      </c>
      <c r="AF3" s="74">
        <f>IF('Wtr-Gas'!E5&lt;0,"0",('Wtr-Gas'!E5)*0.0038)</f>
        <v>1415.1959999999999</v>
      </c>
      <c r="AG3" s="74">
        <f>IF('Wtr-Gas'!H5&lt;0,"0",('Wtr-Gas'!H5)*0.0038)</f>
        <v>246.65799999999999</v>
      </c>
      <c r="AH3" s="74">
        <f>IF('Wtr-Gas'!K5&lt;0,"0",('Wtr-Gas'!K5)*0.0038)</f>
        <v>0.114</v>
      </c>
      <c r="AI3" s="74">
        <f>IF('Wtr-Gas'!N5&lt;0,"0",('Wtr-Gas'!N5)*0.0038)</f>
        <v>1064</v>
      </c>
      <c r="AJ3" s="74">
        <f>IF('Wtr-Gas'!Q5&lt;0,"0",('Wtr-Gas'!Q5)*0.0038)</f>
        <v>44.84</v>
      </c>
      <c r="AK3" s="75">
        <f>IF('Wtr-Gas'!U5&lt;0,"0",('Wtr-Gas'!U5)*0.0038)</f>
        <v>291.45999999999998</v>
      </c>
      <c r="AL3" s="75">
        <f>IF('Wtr-Gas'!X5&lt;0,"0",('Wtr-Gas'!X5)*0.0038)</f>
        <v>1133.1600000000001</v>
      </c>
      <c r="AM3" s="74">
        <f>IF('Wtr-Gas'!AB5&lt;0,"0",('Wtr-Gas'!AB5)*0.0038)</f>
        <v>2470</v>
      </c>
      <c r="AN3" s="74">
        <f>IF('Wtr-Gas'!AD5&lt;0,"0",('Wtr-Gas'!AD5)*0.0038)</f>
        <v>657.45357999999999</v>
      </c>
      <c r="AO3" s="74">
        <f>IF('Wtr-Gas'!AH5&lt;0,"0",('Wtr-Gas'!AH5)*0.0038)</f>
        <v>2.964</v>
      </c>
      <c r="AP3" s="74">
        <f>IF('Wtr-Gas'!AJ5&lt;0,"0",('Wtr-Gas'!AJ5)*0.0038)</f>
        <v>43.13</v>
      </c>
      <c r="AQ3" s="74">
        <f>IF('Wtr-Gas'!AL5&lt;0,"0",('Wtr-Gas'!AL5)*0.0038)</f>
        <v>10.476599999999999</v>
      </c>
      <c r="AR3" s="74">
        <f>IF('Wtr-Gas'!AN5&lt;0,"0",('Wtr-Gas'!AN5)*0.0038)</f>
        <v>193.8</v>
      </c>
      <c r="AS3" s="74">
        <f>IF('Wtr-Gas'!AP5&lt;0,"0",('Wtr-Gas'!AP5)*0.0038)</f>
        <v>1.14E-2</v>
      </c>
      <c r="AT3" s="74">
        <f>IF('Wtr-Gas'!AR5&lt;0,"0",('Wtr-Gas'!AR5)*0.0038)</f>
        <v>3.42</v>
      </c>
      <c r="AU3" s="87">
        <f>IF('Wtr-Gas'!AV5&lt;0,"0",('Wtr-Gas'!AV5)*0.0038)</f>
        <v>0.20519999999999999</v>
      </c>
      <c r="AV3" s="74">
        <f>IF('Wtr-Gas'!AY5&lt;0,"0",('Wtr-Gas'!AY5)*0.0038)</f>
        <v>88.331000000000003</v>
      </c>
      <c r="AW3" s="74">
        <f>IF('Wtr-Gas'!BA5&lt;0,"0",('Wtr-Gas'!BA5)*0.0038)</f>
        <v>64.104936000000009</v>
      </c>
      <c r="AX3" s="74">
        <f>IF('Wtr-Gas'!BB5&lt;0,"0",('Wtr-Gas'!BB5)*0.0038)</f>
        <v>24.226063999999994</v>
      </c>
      <c r="AY3" s="74">
        <f>IF('Wtr-Gas'!BD5&lt;0,"0",('Wtr-Gas'!BD5)*0.0038)</f>
        <v>1.52</v>
      </c>
      <c r="AZ3" s="74">
        <f>IF('Wtr-Gas'!BF5&lt;0,"0",('Wtr-Gas'!BF5)*0.0038)</f>
        <v>0.76</v>
      </c>
      <c r="BA3" s="74">
        <f>IF('Wtr-Gas'!BH5&lt;0,"0",('Wtr-Gas'!BH5)*0.0038)</f>
        <v>3.7999999999999999E-2</v>
      </c>
    </row>
    <row r="4" spans="1:54" x14ac:dyDescent="0.25">
      <c r="A4" s="3" t="s">
        <v>11</v>
      </c>
      <c r="B4" s="114">
        <v>10</v>
      </c>
      <c r="C4" s="2">
        <v>1</v>
      </c>
      <c r="D4" s="2">
        <v>2022</v>
      </c>
      <c r="E4" s="36">
        <f>IF(Elect!AL6&lt;0,"0",Elect!AL6)</f>
        <v>730</v>
      </c>
      <c r="F4" s="36">
        <f>IF(Elect!I6&lt;0,"0",Elect!I6)</f>
        <v>51200</v>
      </c>
      <c r="G4" s="36">
        <f>Elect!H6</f>
        <v>2.5649999999999999</v>
      </c>
      <c r="H4" s="36">
        <f>IF(Elect!F6&lt;0,"0",Elect!F6)</f>
        <v>40320</v>
      </c>
      <c r="I4" s="36">
        <f>Elect!E6</f>
        <v>1.923</v>
      </c>
      <c r="J4" s="36">
        <f>IF(Elect!U6&lt;0,"0",Elect!U6)</f>
        <v>42000</v>
      </c>
      <c r="K4" s="36">
        <f>Elect!T6</f>
        <v>2.2490000000000001</v>
      </c>
      <c r="L4" s="36">
        <f>IF(Elect!AJ6&lt;0,"0",Elect!AJ6)</f>
        <v>1440</v>
      </c>
      <c r="M4" s="36">
        <f>Elect!AI6</f>
        <v>0.29699999999999999</v>
      </c>
      <c r="N4" s="36">
        <f>IF(Elect!X6&lt;0,"0",Elect!X6)</f>
        <v>33900</v>
      </c>
      <c r="O4" s="36">
        <f>Elect!W6</f>
        <v>1.8380000000000001</v>
      </c>
      <c r="P4" s="36">
        <f>IF(Elect!O6&lt;0,"0",Elect!O6)</f>
        <v>9200</v>
      </c>
      <c r="Q4" s="36">
        <f>Elect!N6</f>
        <v>2.73</v>
      </c>
      <c r="R4" s="36">
        <f>IF(Elect!L6&lt;0,"0",Elect!L6)</f>
        <v>10800</v>
      </c>
      <c r="S4" s="36">
        <f>Elect!K6</f>
        <v>3.65</v>
      </c>
      <c r="T4" s="36">
        <f>IF(Elect!R6&lt;0,"0",Elect!R6)</f>
        <v>10000</v>
      </c>
      <c r="U4" s="36">
        <f>Elect!Q6</f>
        <v>3.73</v>
      </c>
      <c r="V4" s="36">
        <f>IF(Elect!AA6&lt;0,"0",Elect!AA6)</f>
        <v>5440</v>
      </c>
      <c r="W4" s="36">
        <f>Elect!Z6</f>
        <v>3.16</v>
      </c>
      <c r="X4" s="36">
        <f>IF(Elect!AD6&lt;0,"0",Elect!AD6)</f>
        <v>3680</v>
      </c>
      <c r="Y4" s="36">
        <f>Elect!AC6</f>
        <v>3.23</v>
      </c>
      <c r="Z4" s="36">
        <f>IF(Elect!AG6&lt;0,"0",Elect!AG6)</f>
        <v>54200</v>
      </c>
      <c r="AA4" s="36">
        <f>Elect!AF6</f>
        <v>2.1659999999999999</v>
      </c>
      <c r="AB4" s="36">
        <f>IF(Elect!AX6&lt;0,"0",Elect!AX6)</f>
        <v>1800</v>
      </c>
      <c r="AC4" s="36">
        <f>IF(Elect!AV6&lt;0,"0",Elect!AV6)</f>
        <v>13200</v>
      </c>
      <c r="AD4" s="36">
        <f>IF(Elect!AZ6&lt;0,"0",Elect!AZ6)</f>
        <v>828</v>
      </c>
      <c r="AE4" s="36">
        <f>IF(Elect!BB6&lt;0,"0",Elect!BB6)</f>
        <v>2400</v>
      </c>
      <c r="AF4" s="74">
        <f>IF('Wtr-Gas'!E6&lt;0,"0",('Wtr-Gas'!E6)*0.0038)</f>
        <v>4305.134</v>
      </c>
      <c r="AG4" s="74">
        <f>IF('Wtr-Gas'!H6&lt;0,"0",('Wtr-Gas'!H6)*0.0038)</f>
        <v>533.02599999999995</v>
      </c>
      <c r="AH4" s="74">
        <f>IF('Wtr-Gas'!K6&lt;0,"0",('Wtr-Gas'!K6)*0.0038)</f>
        <v>0.79800000000000004</v>
      </c>
      <c r="AI4" s="74">
        <f>IF('Wtr-Gas'!N6&lt;0,"0",('Wtr-Gas'!N6)*0.0038)</f>
        <v>2967.8</v>
      </c>
      <c r="AJ4" s="74">
        <f>IF('Wtr-Gas'!Q6&lt;0,"0",('Wtr-Gas'!Q6)*0.0038)</f>
        <v>147.44</v>
      </c>
      <c r="AK4" s="75">
        <f>IF('Wtr-Gas'!U6&lt;0,"0",('Wtr-Gas'!U6)*0.0038)</f>
        <v>954.56</v>
      </c>
      <c r="AL4" s="75">
        <f>IF('Wtr-Gas'!X6&lt;0,"0",('Wtr-Gas'!X6)*0.0038)</f>
        <v>5631.6</v>
      </c>
      <c r="AM4" s="74">
        <f>IF('Wtr-Gas'!AB6&lt;0,"0",('Wtr-Gas'!AB6)*0.0038)</f>
        <v>4864</v>
      </c>
      <c r="AN4" s="74">
        <f>IF('Wtr-Gas'!AD6&lt;0,"0",('Wtr-Gas'!AD6)*0.0038)</f>
        <v>1206.0060000000001</v>
      </c>
      <c r="AO4" s="74">
        <f>IF('Wtr-Gas'!AH6&lt;0,"0",('Wtr-Gas'!AH6)*0.0038)</f>
        <v>10.336</v>
      </c>
      <c r="AP4" s="74">
        <f>IF('Wtr-Gas'!AJ6&lt;0,"0",('Wtr-Gas'!AJ6)*0.0038)</f>
        <v>146.90799999999999</v>
      </c>
      <c r="AQ4" s="74">
        <f>IF('Wtr-Gas'!AL6&lt;0,"0",('Wtr-Gas'!AL6)*0.0038)</f>
        <v>46.606999999999999</v>
      </c>
      <c r="AR4" s="74">
        <f>IF('Wtr-Gas'!AN6&lt;0,"0",('Wtr-Gas'!AN6)*0.0038)</f>
        <v>752.4</v>
      </c>
      <c r="AS4" s="74">
        <f>IF('Wtr-Gas'!AP6&lt;0,"0",('Wtr-Gas'!AP6)*0.0038)</f>
        <v>6.4600000000000005E-2</v>
      </c>
      <c r="AT4" s="74">
        <f>IF('Wtr-Gas'!AR6&lt;0,"0",('Wtr-Gas'!AR6)*0.0038)</f>
        <v>10.64</v>
      </c>
      <c r="AU4" s="87">
        <f>IF('Wtr-Gas'!AV6&lt;0,"0",('Wtr-Gas'!AV6)*0.0038)</f>
        <v>0.49399999999999999</v>
      </c>
      <c r="AV4" s="74">
        <f>IF('Wtr-Gas'!AY6&lt;0,"0",('Wtr-Gas'!AY6)*0.0038)</f>
        <v>195.0198</v>
      </c>
      <c r="AW4" s="74">
        <f>IF('Wtr-Gas'!BA6&lt;0,"0",('Wtr-Gas'!BA6)*0.0038)</f>
        <v>150.3109</v>
      </c>
      <c r="AX4" s="74">
        <f>IF('Wtr-Gas'!BB6&lt;0,"0",('Wtr-Gas'!BB6)*0.0038)</f>
        <v>44.7089</v>
      </c>
      <c r="AY4" s="74">
        <f>IF('Wtr-Gas'!BD6&lt;0,"0",('Wtr-Gas'!BD6)*0.0038)</f>
        <v>20.14</v>
      </c>
      <c r="AZ4" s="74">
        <f>IF('Wtr-Gas'!BF6&lt;0,"0",('Wtr-Gas'!BF6)*0.0038)</f>
        <v>1.1399999999999999</v>
      </c>
      <c r="BA4" s="74">
        <f>IF('Wtr-Gas'!BH6&lt;0,"0",('Wtr-Gas'!BH6)*0.0038)</f>
        <v>0.17100000000000001</v>
      </c>
    </row>
    <row r="5" spans="1:54" x14ac:dyDescent="0.25">
      <c r="A5" s="3" t="s">
        <v>11</v>
      </c>
      <c r="B5" s="114">
        <v>17</v>
      </c>
      <c r="C5" s="2">
        <v>1</v>
      </c>
      <c r="D5" s="2">
        <v>2022</v>
      </c>
      <c r="E5" s="36">
        <f>IF(Elect!AL7&lt;0,"0",Elect!AL7)</f>
        <v>661</v>
      </c>
      <c r="F5" s="36">
        <f>IF(Elect!I7&lt;0,"0",Elect!I7)</f>
        <v>53280</v>
      </c>
      <c r="G5" s="36">
        <f>Elect!H7</f>
        <v>2.5649999999999999</v>
      </c>
      <c r="H5" s="36">
        <f>IF(Elect!F7&lt;0,"0",Elect!F7)</f>
        <v>42560</v>
      </c>
      <c r="I5" s="36">
        <f>Elect!E7</f>
        <v>1.9610000000000001</v>
      </c>
      <c r="J5" s="36">
        <f>IF(Elect!U7&lt;0,"0",Elect!U7)</f>
        <v>44400</v>
      </c>
      <c r="K5" s="36">
        <f>Elect!T7</f>
        <v>2.2490000000000001</v>
      </c>
      <c r="L5" s="36">
        <f>IF(Elect!AJ7&lt;0,"0",Elect!AJ7)</f>
        <v>1520</v>
      </c>
      <c r="M5" s="36">
        <f>Elect!AI7</f>
        <v>0.29699999999999999</v>
      </c>
      <c r="N5" s="36">
        <f>IF(Elect!X7&lt;0,"0",Elect!X7)</f>
        <v>30900</v>
      </c>
      <c r="O5" s="36">
        <f>Elect!W7</f>
        <v>1.8380000000000001</v>
      </c>
      <c r="P5" s="36">
        <f>IF(Elect!O7&lt;0,"0",Elect!O7)</f>
        <v>10400</v>
      </c>
      <c r="Q5" s="36">
        <f>Elect!N7</f>
        <v>2.73</v>
      </c>
      <c r="R5" s="36">
        <f>IF(Elect!L7&lt;0,"0",Elect!L7)</f>
        <v>11200</v>
      </c>
      <c r="S5" s="36">
        <f>Elect!K7</f>
        <v>3.65</v>
      </c>
      <c r="T5" s="36">
        <f>IF(Elect!R7&lt;0,"0",Elect!R7)</f>
        <v>11600</v>
      </c>
      <c r="U5" s="36">
        <f>Elect!Q7</f>
        <v>3.73</v>
      </c>
      <c r="V5" s="36">
        <f>IF(Elect!AA7&lt;0,"0",Elect!AA7)</f>
        <v>6080</v>
      </c>
      <c r="W5" s="36">
        <f>Elect!Z7</f>
        <v>3.18</v>
      </c>
      <c r="X5" s="36">
        <f>IF(Elect!AD7&lt;0,"0",Elect!AD7)</f>
        <v>3840</v>
      </c>
      <c r="Y5" s="36">
        <f>Elect!AC7</f>
        <v>3.23</v>
      </c>
      <c r="Z5" s="36">
        <f>IF(Elect!AG7&lt;0,"0",Elect!AG7)</f>
        <v>55600</v>
      </c>
      <c r="AA5" s="36">
        <f>Elect!AF7</f>
        <v>2.1659999999999999</v>
      </c>
      <c r="AB5" s="36">
        <f>IF(Elect!AX7&lt;0,"0",Elect!AX7)</f>
        <v>1600</v>
      </c>
      <c r="AC5" s="36">
        <f>IF(Elect!AV7&lt;0,"0",Elect!AV7)</f>
        <v>10900</v>
      </c>
      <c r="AD5" s="36">
        <f>IF(Elect!AZ7&lt;0,"0",Elect!AZ7)</f>
        <v>698</v>
      </c>
      <c r="AE5" s="36">
        <f>IF(Elect!BB7&lt;0,"0",Elect!BB7)</f>
        <v>1840</v>
      </c>
      <c r="AF5" s="74">
        <f>IF('Wtr-Gas'!E7&lt;0,"0",('Wtr-Gas'!E7)*0.0038)</f>
        <v>4065.4679999999998</v>
      </c>
      <c r="AG5" s="74">
        <f>IF('Wtr-Gas'!H7&lt;0,"0",('Wtr-Gas'!H7)*0.0038)</f>
        <v>366.738</v>
      </c>
      <c r="AH5" s="74">
        <f>IF('Wtr-Gas'!K7&lt;0,"0",('Wtr-Gas'!K7)*0.0038)</f>
        <v>1.52</v>
      </c>
      <c r="AI5" s="74">
        <f>IF('Wtr-Gas'!N7&lt;0,"0",('Wtr-Gas'!N7)*0.0038)</f>
        <v>2694.2</v>
      </c>
      <c r="AJ5" s="74">
        <f>IF('Wtr-Gas'!Q7&lt;0,"0",('Wtr-Gas'!Q7)*0.0038)</f>
        <v>148.96</v>
      </c>
      <c r="AK5" s="75">
        <f>IF('Wtr-Gas'!U7&lt;0,"0",('Wtr-Gas'!U7)*0.0038)</f>
        <v>943.54</v>
      </c>
      <c r="AL5" s="75">
        <f>IF('Wtr-Gas'!X7&lt;0,"0",('Wtr-Gas'!X7)*0.0038)</f>
        <v>7224.94</v>
      </c>
      <c r="AM5" s="74">
        <f>IF('Wtr-Gas'!AB7&lt;0,"0",('Wtr-Gas'!AB7)*0.0038)</f>
        <v>3724</v>
      </c>
      <c r="AN5" s="74">
        <f>IF('Wtr-Gas'!AD7&lt;0,"0",('Wtr-Gas'!AD7)*0.0038)</f>
        <v>992.78724000000011</v>
      </c>
      <c r="AO5" s="74">
        <f>IF('Wtr-Gas'!AH7&lt;0,"0",('Wtr-Gas'!AH7)*0.0038)</f>
        <v>9.5</v>
      </c>
      <c r="AP5" s="74">
        <f>IF('Wtr-Gas'!AJ7&lt;0,"0",('Wtr-Gas'!AJ7)*0.0038)</f>
        <v>72.504000000000005</v>
      </c>
      <c r="AQ5" s="74">
        <f>IF('Wtr-Gas'!AL7&lt;0,"0",('Wtr-Gas'!AL7)*0.0038)</f>
        <v>50.718600000000002</v>
      </c>
      <c r="AR5" s="74">
        <f>IF('Wtr-Gas'!AN7&lt;0,"0",('Wtr-Gas'!AN7)*0.0038)</f>
        <v>820.8</v>
      </c>
      <c r="AS5" s="74">
        <f>IF('Wtr-Gas'!AP7&lt;0,"0",('Wtr-Gas'!AP7)*0.0038)</f>
        <v>7.22E-2</v>
      </c>
      <c r="AT5" s="74">
        <f>IF('Wtr-Gas'!AR7&lt;0,"0",('Wtr-Gas'!AR7)*0.0038)</f>
        <v>12.16</v>
      </c>
      <c r="AU5" s="87">
        <f>IF('Wtr-Gas'!AV7&lt;0,"0",('Wtr-Gas'!AV7)*0.0038)</f>
        <v>0.38379999999999997</v>
      </c>
      <c r="AV5" s="74">
        <f>IF('Wtr-Gas'!AY7&lt;0,"0",('Wtr-Gas'!AY7)*0.0038)</f>
        <v>196.55500000000001</v>
      </c>
      <c r="AW5" s="74">
        <f>IF('Wtr-Gas'!BA7&lt;0,"0",('Wtr-Gas'!BA7)*0.0038)</f>
        <v>150.14392799999999</v>
      </c>
      <c r="AX5" s="74">
        <f>IF('Wtr-Gas'!BB7&lt;0,"0",('Wtr-Gas'!BB7)*0.0038)</f>
        <v>46.411072000000011</v>
      </c>
      <c r="AY5" s="74">
        <f>IF('Wtr-Gas'!BD7&lt;0,"0",('Wtr-Gas'!BD7)*0.0038)</f>
        <v>17.100000000000001</v>
      </c>
      <c r="AZ5" s="74">
        <f>IF('Wtr-Gas'!BF7&lt;0,"0",('Wtr-Gas'!BF7)*0.0038)</f>
        <v>1.1399999999999999</v>
      </c>
      <c r="BA5" s="74">
        <f>IF('Wtr-Gas'!BH7&lt;0,"0",('Wtr-Gas'!BH7)*0.0038)</f>
        <v>0.31919999999999998</v>
      </c>
    </row>
    <row r="6" spans="1:54" x14ac:dyDescent="0.25">
      <c r="A6" s="3" t="s">
        <v>11</v>
      </c>
      <c r="B6" s="114">
        <v>24</v>
      </c>
      <c r="C6" s="2">
        <v>1</v>
      </c>
      <c r="D6" s="2">
        <v>2022</v>
      </c>
      <c r="E6" s="36">
        <f>IF(Elect!AL8&lt;0,"0",Elect!AL8)</f>
        <v>558</v>
      </c>
      <c r="F6" s="36">
        <f>IF(Elect!I8&lt;0,"0",Elect!I8)</f>
        <v>51680</v>
      </c>
      <c r="G6" s="36">
        <f>Elect!H8</f>
        <v>2.403</v>
      </c>
      <c r="H6" s="36">
        <f>IF(Elect!F8&lt;0,"0",Elect!F8)</f>
        <v>41600</v>
      </c>
      <c r="I6" s="36">
        <f>Elect!E8</f>
        <v>1.86</v>
      </c>
      <c r="J6" s="36">
        <f>IF(Elect!U8&lt;0,"0",Elect!U8)</f>
        <v>32700</v>
      </c>
      <c r="K6" s="36">
        <f>Elect!T8</f>
        <v>2.2490000000000001</v>
      </c>
      <c r="L6" s="36">
        <f>IF(Elect!AJ8&lt;0,"0",Elect!AJ8)</f>
        <v>1480</v>
      </c>
      <c r="M6" s="36">
        <f>Elect!AI8</f>
        <v>0.29199999999999998</v>
      </c>
      <c r="N6" s="36">
        <f>IF(Elect!X8&lt;0,"0",Elect!X8)</f>
        <v>35700</v>
      </c>
      <c r="O6" s="36">
        <f>Elect!W8</f>
        <v>1.8380000000000001</v>
      </c>
      <c r="P6" s="36">
        <f>IF(Elect!O8&lt;0,"0",Elect!O8)</f>
        <v>12000</v>
      </c>
      <c r="Q6" s="36">
        <f>Elect!N8</f>
        <v>2.85</v>
      </c>
      <c r="R6" s="36">
        <f>IF(Elect!L8&lt;0,"0",Elect!L8)</f>
        <v>13600</v>
      </c>
      <c r="S6" s="36">
        <f>Elect!K8</f>
        <v>3.25</v>
      </c>
      <c r="T6" s="36">
        <f>IF(Elect!R8&lt;0,"0",Elect!R8)</f>
        <v>13200</v>
      </c>
      <c r="U6" s="36">
        <f>Elect!Q8</f>
        <v>3.1</v>
      </c>
      <c r="V6" s="36">
        <f>IF(Elect!AA8&lt;0,"0",Elect!AA8)</f>
        <v>6080</v>
      </c>
      <c r="W6" s="36">
        <f>Elect!Z8</f>
        <v>2.99</v>
      </c>
      <c r="X6" s="36">
        <f>IF(Elect!AD8&lt;0,"0",Elect!AD8)</f>
        <v>4480</v>
      </c>
      <c r="Y6" s="36">
        <f>Elect!AC8</f>
        <v>2.4500000000000002</v>
      </c>
      <c r="Z6" s="36">
        <f>IF(Elect!AG8&lt;0,"0",Elect!AG8)</f>
        <v>54000</v>
      </c>
      <c r="AA6" s="36">
        <f>Elect!AF8</f>
        <v>2.1110000000000002</v>
      </c>
      <c r="AB6" s="36">
        <f>IF(Elect!AX8&lt;0,"0",Elect!AX8)</f>
        <v>1800</v>
      </c>
      <c r="AC6" s="36">
        <f>IF(Elect!AV8&lt;0,"0",Elect!AV8)</f>
        <v>9500</v>
      </c>
      <c r="AD6" s="36">
        <f>IF(Elect!AZ8&lt;0,"0",Elect!AZ8)</f>
        <v>731</v>
      </c>
      <c r="AE6" s="36">
        <f>IF(Elect!BB8&lt;0,"0",Elect!BB8)</f>
        <v>1200</v>
      </c>
      <c r="AF6" s="74">
        <f>IF('Wtr-Gas'!E8&lt;0,"0",('Wtr-Gas'!E8)*0.0038)</f>
        <v>4070.2939999999999</v>
      </c>
      <c r="AG6" s="74">
        <f>IF('Wtr-Gas'!H8&lt;0,"0",('Wtr-Gas'!H8)*0.0038)</f>
        <v>244.64400000000001</v>
      </c>
      <c r="AH6" s="74">
        <f>IF('Wtr-Gas'!K8&lt;0,"0",('Wtr-Gas'!K8)*0.0038)</f>
        <v>1.8240000000000001</v>
      </c>
      <c r="AI6" s="74">
        <f>IF('Wtr-Gas'!N8&lt;0,"0",('Wtr-Gas'!N8)*0.0038)</f>
        <v>2850</v>
      </c>
      <c r="AJ6" s="74">
        <f>IF('Wtr-Gas'!Q8&lt;0,"0",('Wtr-Gas'!Q8)*0.0038)</f>
        <v>132.62</v>
      </c>
      <c r="AK6" s="75">
        <f>IF('Wtr-Gas'!U8&lt;0,"0",('Wtr-Gas'!U8)*0.0038)</f>
        <v>1027.1400000000001</v>
      </c>
      <c r="AL6" s="75">
        <f>IF('Wtr-Gas'!X8&lt;0,"0",('Wtr-Gas'!X8)*0.0038)</f>
        <v>7766.06</v>
      </c>
      <c r="AM6" s="74">
        <f>IF('Wtr-Gas'!AB8&lt;0,"0",('Wtr-Gas'!AB8)*0.0038)</f>
        <v>2698</v>
      </c>
      <c r="AN6" s="74">
        <f>IF('Wtr-Gas'!AD8&lt;0,"0",('Wtr-Gas'!AD8)*0.0038)</f>
        <v>703.15276000000006</v>
      </c>
      <c r="AO6" s="74">
        <f>IF('Wtr-Gas'!AH8&lt;0,"0",('Wtr-Gas'!AH8)*0.0038)</f>
        <v>12.654</v>
      </c>
      <c r="AP6" s="74">
        <f>IF('Wtr-Gas'!AJ8&lt;0,"0",('Wtr-Gas'!AJ8)*0.0038)</f>
        <v>249.31800000000001</v>
      </c>
      <c r="AQ6" s="74">
        <f>IF('Wtr-Gas'!AL8&lt;0,"0",('Wtr-Gas'!AL8)*0.0038)</f>
        <v>38.767600000000002</v>
      </c>
      <c r="AR6" s="74">
        <f>IF('Wtr-Gas'!AN8&lt;0,"0",('Wtr-Gas'!AN8)*0.0038)</f>
        <v>509.2</v>
      </c>
      <c r="AS6" s="74">
        <f>IF('Wtr-Gas'!AP8&lt;0,"0",('Wtr-Gas'!AP8)*0.0038)</f>
        <v>7.5999999999999998E-2</v>
      </c>
      <c r="AT6" s="74">
        <f>IF('Wtr-Gas'!AR8&lt;0,"0",('Wtr-Gas'!AR8)*0.0038)</f>
        <v>10.26</v>
      </c>
      <c r="AU6" s="87">
        <f>IF('Wtr-Gas'!AV8&lt;0,"0",('Wtr-Gas'!AV8)*0.0038)</f>
        <v>0.54720000000000002</v>
      </c>
      <c r="AV6" s="74">
        <f>IF('Wtr-Gas'!AY8&lt;0,"0",('Wtr-Gas'!AY8)*0.0038)</f>
        <v>195.8938</v>
      </c>
      <c r="AW6" s="74">
        <f>IF('Wtr-Gas'!BA8&lt;0,"0",('Wtr-Gas'!BA8)*0.0038)</f>
        <v>153.01999599999999</v>
      </c>
      <c r="AX6" s="74">
        <f>IF('Wtr-Gas'!BB8&lt;0,"0",('Wtr-Gas'!BB8)*0.0038)</f>
        <v>42.873804000000007</v>
      </c>
      <c r="AY6" s="74">
        <f>IF('Wtr-Gas'!BD8&lt;0,"0",('Wtr-Gas'!BD8)*0.0038)</f>
        <v>8.74</v>
      </c>
      <c r="AZ6" s="74">
        <f>IF('Wtr-Gas'!BF8&lt;0,"0",('Wtr-Gas'!BF8)*0.0038)</f>
        <v>1.1399999999999999</v>
      </c>
      <c r="BA6" s="74">
        <f>IF('Wtr-Gas'!BH8&lt;0,"0",('Wtr-Gas'!BH8)*0.0038)</f>
        <v>0</v>
      </c>
    </row>
    <row r="7" spans="1:54" x14ac:dyDescent="0.25">
      <c r="A7" s="3" t="s">
        <v>11</v>
      </c>
      <c r="B7" s="114">
        <v>31</v>
      </c>
      <c r="C7" s="2">
        <v>1</v>
      </c>
      <c r="D7" s="2">
        <v>2022</v>
      </c>
      <c r="E7" s="36">
        <f>IF(Elect!AL9&lt;0,"0",Elect!AL9)</f>
        <v>401</v>
      </c>
      <c r="F7" s="36">
        <f>IF(Elect!I9&lt;0,"0",Elect!I9)</f>
        <v>50720</v>
      </c>
      <c r="G7" s="36">
        <f>Elect!H9</f>
        <v>2.4780000000000002</v>
      </c>
      <c r="H7" s="36">
        <f>IF(Elect!F9&lt;0,"0",Elect!F9)</f>
        <v>41280</v>
      </c>
      <c r="I7" s="36">
        <f>Elect!E9</f>
        <v>1.9059999999999999</v>
      </c>
      <c r="J7" s="36">
        <f>IF(Elect!U9&lt;0,"0",Elect!U9)</f>
        <v>24600</v>
      </c>
      <c r="K7" s="36">
        <f>Elect!T9</f>
        <v>1.359</v>
      </c>
      <c r="L7" s="36">
        <f>IF(Elect!AJ9&lt;0,"0",Elect!AJ9)</f>
        <v>1400</v>
      </c>
      <c r="M7" s="36">
        <f>Elect!AI9</f>
        <v>0.29199999999999998</v>
      </c>
      <c r="N7" s="36">
        <f>IF(Elect!X9&lt;0,"0",Elect!X9)</f>
        <v>30600</v>
      </c>
      <c r="O7" s="36">
        <f>Elect!W9</f>
        <v>0.98</v>
      </c>
      <c r="P7" s="36">
        <f>IF(Elect!O9&lt;0,"0",Elect!O9)</f>
        <v>11200</v>
      </c>
      <c r="Q7" s="36">
        <f>Elect!N9</f>
        <v>2.96</v>
      </c>
      <c r="R7" s="36">
        <f>IF(Elect!L9&lt;0,"0",Elect!L9)</f>
        <v>12400</v>
      </c>
      <c r="S7" s="36">
        <f>Elect!K9</f>
        <v>3.25</v>
      </c>
      <c r="T7" s="36">
        <f>IF(Elect!R9&lt;0,"0",Elect!R9)</f>
        <v>11200</v>
      </c>
      <c r="U7" s="36">
        <f>Elect!Q9</f>
        <v>3.1</v>
      </c>
      <c r="V7" s="36">
        <f>IF(Elect!AA9&lt;0,"0",Elect!AA9)</f>
        <v>5440</v>
      </c>
      <c r="W7" s="36">
        <f>Elect!Z9</f>
        <v>3.25</v>
      </c>
      <c r="X7" s="36">
        <f>IF(Elect!AD9&lt;0,"0",Elect!AD9)</f>
        <v>3200</v>
      </c>
      <c r="Y7" s="36">
        <f>Elect!AC9</f>
        <v>2.85</v>
      </c>
      <c r="Z7" s="36">
        <f>IF(Elect!AG9&lt;0,"0",Elect!AG9)</f>
        <v>53200</v>
      </c>
      <c r="AA7" s="36">
        <f>Elect!AF9</f>
        <v>2.1859999999999999</v>
      </c>
      <c r="AB7" s="36">
        <f>IF(Elect!AX9&lt;0,"0",Elect!AX9)</f>
        <v>1600</v>
      </c>
      <c r="AC7" s="36">
        <f>IF(Elect!AV9&lt;0,"0",Elect!AV9)</f>
        <v>12700</v>
      </c>
      <c r="AD7" s="36">
        <f>IF(Elect!AZ9&lt;0,"0",Elect!AZ9)</f>
        <v>821</v>
      </c>
      <c r="AE7" s="36">
        <f>IF(Elect!BB9&lt;0,"0",Elect!BB9)</f>
        <v>1440</v>
      </c>
      <c r="AF7" s="74">
        <f>IF('Wtr-Gas'!E9&lt;0,"0",('Wtr-Gas'!E9)*0.0038)</f>
        <v>3572.19</v>
      </c>
      <c r="AG7" s="74">
        <f>IF('Wtr-Gas'!H9&lt;0,"0",('Wtr-Gas'!H9)*0.0038)</f>
        <v>30.058</v>
      </c>
      <c r="AH7" s="74">
        <f>IF('Wtr-Gas'!K9&lt;0,"0",('Wtr-Gas'!K9)*0.0038)</f>
        <v>0.53200000000000003</v>
      </c>
      <c r="AI7" s="74">
        <f>IF('Wtr-Gas'!N9&lt;0,"0",('Wtr-Gas'!N9)*0.0038)</f>
        <v>2078.6</v>
      </c>
      <c r="AJ7" s="74">
        <f>IF('Wtr-Gas'!Q9&lt;0,"0",('Wtr-Gas'!Q9)*0.0038)</f>
        <v>139.08000000000001</v>
      </c>
      <c r="AK7" s="75">
        <f>IF('Wtr-Gas'!U9&lt;0,"0",('Wtr-Gas'!U9)*0.0038)</f>
        <v>953.42</v>
      </c>
      <c r="AL7" s="75">
        <f>IF('Wtr-Gas'!X9&lt;0,"0",('Wtr-Gas'!X9)*0.0038)</f>
        <v>8128.2</v>
      </c>
      <c r="AM7" s="74">
        <f>IF('Wtr-Gas'!AB9&lt;0,"0",('Wtr-Gas'!AB9)*0.0038)</f>
        <v>1862</v>
      </c>
      <c r="AN7" s="74">
        <f>IF('Wtr-Gas'!AD9&lt;0,"0",('Wtr-Gas'!AD9)*0.0038)</f>
        <v>542.53284000000008</v>
      </c>
      <c r="AO7" s="74">
        <f>IF('Wtr-Gas'!AH9&lt;0,"0",('Wtr-Gas'!AH9)*0.0038)</f>
        <v>8.702</v>
      </c>
      <c r="AP7" s="74">
        <f>IF('Wtr-Gas'!AJ9&lt;0,"0",('Wtr-Gas'!AJ9)*0.0038)</f>
        <v>194.636</v>
      </c>
      <c r="AQ7" s="74">
        <f>IF('Wtr-Gas'!AL9&lt;0,"0",('Wtr-Gas'!AL9)*0.0038)</f>
        <v>45.1402</v>
      </c>
      <c r="AR7" s="74">
        <f>IF('Wtr-Gas'!AN9&lt;0,"0",('Wtr-Gas'!AN9)*0.0038)</f>
        <v>805.6</v>
      </c>
      <c r="AS7" s="74">
        <f>IF('Wtr-Gas'!AP9&lt;0,"0",('Wtr-Gas'!AP9)*0.0038)</f>
        <v>9.8799999999999999E-2</v>
      </c>
      <c r="AT7" s="74">
        <f>IF('Wtr-Gas'!AR9&lt;0,"0",('Wtr-Gas'!AR9)*0.0038)</f>
        <v>11.78</v>
      </c>
      <c r="AU7" s="87">
        <f>IF('Wtr-Gas'!AV9&lt;0,"0",('Wtr-Gas'!AV9)*0.0038)</f>
        <v>0.71060000000000001</v>
      </c>
      <c r="AV7" s="74">
        <f>IF('Wtr-Gas'!AY9&lt;0,"0",('Wtr-Gas'!AY9)*0.0038)</f>
        <v>197.3416</v>
      </c>
      <c r="AW7" s="74">
        <f>IF('Wtr-Gas'!BA9&lt;0,"0",('Wtr-Gas'!BA9)*0.0038)</f>
        <v>151.64124199999998</v>
      </c>
      <c r="AX7" s="74">
        <f>IF('Wtr-Gas'!BB9&lt;0,"0",('Wtr-Gas'!BB9)*0.0038)</f>
        <v>45.700358000000016</v>
      </c>
      <c r="AY7" s="74">
        <f>IF('Wtr-Gas'!BD9&lt;0,"0",('Wtr-Gas'!BD9)*0.0038)</f>
        <v>12.16</v>
      </c>
      <c r="AZ7" s="74">
        <f>IF('Wtr-Gas'!BF9&lt;0,"0",('Wtr-Gas'!BF9)*0.0038)</f>
        <v>1.1399999999999999</v>
      </c>
      <c r="BA7" s="74">
        <f>IF('Wtr-Gas'!BH9&lt;0,"0",('Wtr-Gas'!BH9)*0.0038)</f>
        <v>0.60040000000000004</v>
      </c>
    </row>
    <row r="8" spans="1:54" x14ac:dyDescent="0.25">
      <c r="A8" s="3" t="s">
        <v>11</v>
      </c>
      <c r="B8" s="114">
        <v>7</v>
      </c>
      <c r="C8" s="2">
        <v>2</v>
      </c>
      <c r="D8" s="2">
        <v>2022</v>
      </c>
      <c r="E8" s="36">
        <f>IF(Elect!AL10&lt;0,"0",Elect!AL10)</f>
        <v>995</v>
      </c>
      <c r="F8" s="36">
        <f>IF(Elect!I10&lt;0,"0",Elect!I10)</f>
        <v>48800</v>
      </c>
      <c r="G8" s="36">
        <f>Elect!H10</f>
        <v>2.4780000000000002</v>
      </c>
      <c r="H8" s="36">
        <f>IF(Elect!F10&lt;0,"0",Elect!F10)</f>
        <v>40640</v>
      </c>
      <c r="I8" s="36">
        <f>Elect!E10</f>
        <v>1.9079999999999999</v>
      </c>
      <c r="J8" s="36">
        <f>IF(Elect!U10&lt;0,"0",Elect!U10)</f>
        <v>37800</v>
      </c>
      <c r="K8" s="36">
        <f>Elect!T10</f>
        <v>2.0099999999999998</v>
      </c>
      <c r="L8" s="36">
        <f>IF(Elect!AJ10&lt;0,"0",Elect!AJ10)</f>
        <v>1400</v>
      </c>
      <c r="M8" s="36">
        <f>Elect!AI10</f>
        <v>0.30099999999999999</v>
      </c>
      <c r="N8" s="36">
        <f>IF(Elect!X10&lt;0,"0",Elect!X10)</f>
        <v>41400</v>
      </c>
      <c r="O8" s="36">
        <f>Elect!W10</f>
        <v>1.7370000000000001</v>
      </c>
      <c r="P8" s="36">
        <f>IF(Elect!O10&lt;0,"0",Elect!O10)</f>
        <v>10800</v>
      </c>
      <c r="Q8" s="36">
        <f>Elect!N10</f>
        <v>2.96</v>
      </c>
      <c r="R8" s="36">
        <f>IF(Elect!L10&lt;0,"0",Elect!L10)</f>
        <v>10800</v>
      </c>
      <c r="S8" s="36">
        <f>Elect!K10</f>
        <v>3.25</v>
      </c>
      <c r="T8" s="36">
        <f>IF(Elect!R10&lt;0,"0",Elect!R10)</f>
        <v>10800</v>
      </c>
      <c r="U8" s="36">
        <f>Elect!Q10</f>
        <v>3.1</v>
      </c>
      <c r="V8" s="36">
        <f>IF(Elect!AA10&lt;0,"0",Elect!AA10)</f>
        <v>5920</v>
      </c>
      <c r="W8" s="36">
        <f>Elect!Z10</f>
        <v>3.25</v>
      </c>
      <c r="X8" s="36">
        <f>IF(Elect!AD10&lt;0,"0",Elect!AD10)</f>
        <v>4160</v>
      </c>
      <c r="Y8" s="36">
        <f>Elect!AC10</f>
        <v>3.15</v>
      </c>
      <c r="Z8" s="36">
        <f>IF(Elect!AG10&lt;0,"0",Elect!AG10)</f>
        <v>52000</v>
      </c>
      <c r="AA8" s="36">
        <f>Elect!AF10</f>
        <v>2.1859999999999999</v>
      </c>
      <c r="AB8" s="36">
        <f>IF(Elect!AX10&lt;0,"0",Elect!AX10)</f>
        <v>1400</v>
      </c>
      <c r="AC8" s="36">
        <f>IF(Elect!AV10&lt;0,"0",Elect!AV10)</f>
        <v>11500</v>
      </c>
      <c r="AD8" s="36">
        <f>IF(Elect!AZ10&lt;0,"0",Elect!AZ10)</f>
        <v>725</v>
      </c>
      <c r="AE8" s="36">
        <f>IF(Elect!BB10&lt;0,"0",Elect!BB10)</f>
        <v>2360</v>
      </c>
      <c r="AF8" s="74">
        <f>IF('Wtr-Gas'!E10&lt;0,"0",('Wtr-Gas'!E10)*0.0038)</f>
        <v>4160.3919999999998</v>
      </c>
      <c r="AG8" s="74">
        <f>IF('Wtr-Gas'!H10&lt;0,"0",('Wtr-Gas'!H10)*0.0038)</f>
        <v>363.964</v>
      </c>
      <c r="AH8" s="74">
        <f>IF('Wtr-Gas'!K10&lt;0,"0",('Wtr-Gas'!K10)*0.0038)</f>
        <v>1.6719999999999999</v>
      </c>
      <c r="AI8" s="74">
        <f>IF('Wtr-Gas'!N10&lt;0,"0",('Wtr-Gas'!N10)*0.0038)</f>
        <v>2774</v>
      </c>
      <c r="AJ8" s="74">
        <f>IF('Wtr-Gas'!Q10&lt;0,"0",('Wtr-Gas'!Q10)*0.0038)</f>
        <v>145.54</v>
      </c>
      <c r="AK8" s="75">
        <f>IF('Wtr-Gas'!U10&lt;0,"0",('Wtr-Gas'!U10)*0.0038)</f>
        <v>953.04</v>
      </c>
      <c r="AL8" s="75">
        <f>IF('Wtr-Gas'!X10&lt;0,"0",('Wtr-Gas'!X10)*0.0038)</f>
        <v>6262.4</v>
      </c>
      <c r="AM8" s="74">
        <f>IF('Wtr-Gas'!AB10&lt;0,"0",('Wtr-Gas'!AB10)*0.0038)</f>
        <v>4636</v>
      </c>
      <c r="AN8" s="74">
        <f>IF('Wtr-Gas'!AD10&lt;0,"0",('Wtr-Gas'!AD10)*0.0038)</f>
        <v>1138.2451599999999</v>
      </c>
      <c r="AO8" s="74">
        <f>IF('Wtr-Gas'!AH10&lt;0,"0",('Wtr-Gas'!AH10)*0.0038)</f>
        <v>13.3</v>
      </c>
      <c r="AP8" s="74">
        <f>IF('Wtr-Gas'!AJ10&lt;0,"0",('Wtr-Gas'!AJ10)*0.0038)</f>
        <v>244.53</v>
      </c>
      <c r="AQ8" s="74">
        <f>IF('Wtr-Gas'!AL10&lt;0,"0",('Wtr-Gas'!AL10)*0.0038)</f>
        <v>47.135199999999998</v>
      </c>
      <c r="AR8" s="74">
        <f>IF('Wtr-Gas'!AN10&lt;0,"0",('Wtr-Gas'!AN10)*0.0038)</f>
        <v>646</v>
      </c>
      <c r="AS8" s="74">
        <f>IF('Wtr-Gas'!AP10&lt;0,"0",('Wtr-Gas'!AP10)*0.0038)</f>
        <v>4.9399999999999999E-2</v>
      </c>
      <c r="AT8" s="74">
        <f>IF('Wtr-Gas'!AR10&lt;0,"0",('Wtr-Gas'!AR10)*0.0038)</f>
        <v>10.26</v>
      </c>
      <c r="AU8" s="87">
        <f>IF('Wtr-Gas'!AV10&lt;0,"0",('Wtr-Gas'!AV10)*0.0038)</f>
        <v>0.47499999999999998</v>
      </c>
      <c r="AV8" s="74">
        <f>IF('Wtr-Gas'!AY10&lt;0,"0",('Wtr-Gas'!AY10)*0.0038)</f>
        <v>190.33439999999999</v>
      </c>
      <c r="AW8" s="74">
        <f>IF('Wtr-Gas'!BA10&lt;0,"0",('Wtr-Gas'!BA10)*0.0038)</f>
        <v>148.11742599999999</v>
      </c>
      <c r="AX8" s="74">
        <f>IF('Wtr-Gas'!BB10&lt;0,"0",('Wtr-Gas'!BB10)*0.0038)</f>
        <v>42.216974000000015</v>
      </c>
      <c r="AY8" s="74">
        <f>IF('Wtr-Gas'!BD10&lt;0,"0",('Wtr-Gas'!BD10)*0.0038)</f>
        <v>9.1199999999999992</v>
      </c>
      <c r="AZ8" s="74">
        <f>IF('Wtr-Gas'!BF10&lt;0,"0",('Wtr-Gas'!BF10)*0.0038)</f>
        <v>1.52</v>
      </c>
      <c r="BA8" s="74">
        <f>IF('Wtr-Gas'!BH10&lt;0,"0",('Wtr-Gas'!BH10)*0.0038)</f>
        <v>0.2014</v>
      </c>
    </row>
    <row r="9" spans="1:54" x14ac:dyDescent="0.25">
      <c r="A9" s="3" t="s">
        <v>11</v>
      </c>
      <c r="B9" s="114">
        <v>14</v>
      </c>
      <c r="C9" s="2">
        <v>2</v>
      </c>
      <c r="D9" s="2">
        <v>2022</v>
      </c>
      <c r="E9" s="36" t="str">
        <f>IF(Elect!AL11&lt;0,"0",Elect!AL11)</f>
        <v>0</v>
      </c>
      <c r="F9" s="36">
        <f>IF(Elect!I11&lt;0,"0",Elect!I11)</f>
        <v>50880</v>
      </c>
      <c r="G9" s="36">
        <f>Elect!H11</f>
        <v>2.4780000000000002</v>
      </c>
      <c r="H9" s="36">
        <f>IF(Elect!F11&lt;0,"0",Elect!F11)</f>
        <v>41280</v>
      </c>
      <c r="I9" s="36">
        <f>Elect!E11</f>
        <v>1.9379999999999999</v>
      </c>
      <c r="J9" s="36">
        <f>IF(Elect!U11&lt;0,"0",Elect!U11)</f>
        <v>42000</v>
      </c>
      <c r="K9" s="36">
        <f>Elect!T11</f>
        <v>2.0099999999999998</v>
      </c>
      <c r="L9" s="36">
        <f>IF(Elect!AJ11&lt;0,"0",Elect!AJ11)</f>
        <v>1440</v>
      </c>
      <c r="M9" s="36">
        <f>Elect!AI11</f>
        <v>0.30099999999999999</v>
      </c>
      <c r="N9" s="36">
        <f>IF(Elect!X11&lt;0,"0",Elect!X11)</f>
        <v>26100</v>
      </c>
      <c r="O9" s="36">
        <f>Elect!W11</f>
        <v>1.7370000000000001</v>
      </c>
      <c r="P9" s="36">
        <f>IF(Elect!O11&lt;0,"0",Elect!O11)</f>
        <v>10000</v>
      </c>
      <c r="Q9" s="36">
        <f>Elect!N11</f>
        <v>2.96</v>
      </c>
      <c r="R9" s="36">
        <f>IF(Elect!L11&lt;0,"0",Elect!L11)</f>
        <v>1600</v>
      </c>
      <c r="S9" s="36">
        <f>Elect!K11</f>
        <v>3.25</v>
      </c>
      <c r="T9" s="36">
        <f>IF(Elect!R11&lt;0,"0",Elect!R11)</f>
        <v>10000</v>
      </c>
      <c r="U9" s="36">
        <f>Elect!Q11</f>
        <v>3.1</v>
      </c>
      <c r="V9" s="36">
        <f>IF(Elect!AA11&lt;0,"0",Elect!AA11)</f>
        <v>5760</v>
      </c>
      <c r="W9" s="36">
        <f>Elect!Z11</f>
        <v>3.25</v>
      </c>
      <c r="X9" s="36">
        <f>IF(Elect!AD11&lt;0,"0",Elect!AD11)</f>
        <v>3360</v>
      </c>
      <c r="Y9" s="36">
        <f>Elect!AC11</f>
        <v>3.15</v>
      </c>
      <c r="Z9" s="36">
        <f>IF(Elect!AG11&lt;0,"0",Elect!AG11)</f>
        <v>52800</v>
      </c>
      <c r="AA9" s="36">
        <f>Elect!AF11</f>
        <v>2.1859999999999999</v>
      </c>
      <c r="AB9" s="36">
        <f>IF(Elect!AX11&lt;0,"0",Elect!AX11)</f>
        <v>1700</v>
      </c>
      <c r="AC9" s="36">
        <f>IF(Elect!AV11&lt;0,"0",Elect!AV11)</f>
        <v>11200</v>
      </c>
      <c r="AD9" s="36">
        <f>IF(Elect!AZ11&lt;0,"0",Elect!AZ11)</f>
        <v>772</v>
      </c>
      <c r="AE9" s="36">
        <f>IF(Elect!BB11&lt;0,"0",Elect!BB11)</f>
        <v>1640</v>
      </c>
      <c r="AF9" s="74">
        <f>IF('Wtr-Gas'!E11&lt;0,"0",('Wtr-Gas'!E11)*0.0038)</f>
        <v>4025.2640000000001</v>
      </c>
      <c r="AG9" s="74">
        <f>IF('Wtr-Gas'!H11&lt;0,"0",('Wtr-Gas'!H11)*0.0038)</f>
        <v>268.62200000000001</v>
      </c>
      <c r="AH9" s="74">
        <f>IF('Wtr-Gas'!K11&lt;0,"0",('Wtr-Gas'!K11)*0.0038)</f>
        <v>1.216</v>
      </c>
      <c r="AI9" s="74">
        <f>IF('Wtr-Gas'!N11&lt;0,"0",('Wtr-Gas'!N11)*0.0038)</f>
        <v>2606.8000000000002</v>
      </c>
      <c r="AJ9" s="74">
        <f>IF('Wtr-Gas'!Q11&lt;0,"0",('Wtr-Gas'!Q11)*0.0038)</f>
        <v>144.02000000000001</v>
      </c>
      <c r="AK9" s="75">
        <f>IF('Wtr-Gas'!U11&lt;0,"0",('Wtr-Gas'!U11)*0.0038)</f>
        <v>929.1</v>
      </c>
      <c r="AL9" s="75">
        <f>IF('Wtr-Gas'!X11&lt;0,"0",('Wtr-Gas'!X11)*0.0038)</f>
        <v>3192</v>
      </c>
      <c r="AM9" s="74">
        <f>IF('Wtr-Gas'!AB11&lt;0,"0",('Wtr-Gas'!AB11)*0.0038)</f>
        <v>2926</v>
      </c>
      <c r="AN9" s="74">
        <f>IF('Wtr-Gas'!AD11&lt;0,"0",('Wtr-Gas'!AD11)*0.0038)</f>
        <v>894.44399999999996</v>
      </c>
      <c r="AO9" s="74">
        <f>IF('Wtr-Gas'!AH11&lt;0,"0",('Wtr-Gas'!AH11)*0.0038)</f>
        <v>23.521999999999998</v>
      </c>
      <c r="AP9" s="74">
        <f>IF('Wtr-Gas'!AJ11&lt;0,"0",('Wtr-Gas'!AJ11)*0.0038)</f>
        <v>293.892</v>
      </c>
      <c r="AQ9" s="74">
        <f>IF('Wtr-Gas'!AL11&lt;0,"0",('Wtr-Gas'!AL11)*0.0038)</f>
        <v>43.707599999999999</v>
      </c>
      <c r="AR9" s="74">
        <f>IF('Wtr-Gas'!AN11&lt;0,"0",('Wtr-Gas'!AN11)*0.0038)</f>
        <v>687.8</v>
      </c>
      <c r="AS9" s="74">
        <f>IF('Wtr-Gas'!AP11&lt;0,"0",('Wtr-Gas'!AP11)*0.0038)</f>
        <v>7.5999999999999998E-2</v>
      </c>
      <c r="AT9" s="74">
        <f>IF('Wtr-Gas'!AR11&lt;0,"0",('Wtr-Gas'!AR11)*0.0038)</f>
        <v>7.22</v>
      </c>
      <c r="AU9" s="87">
        <f>IF('Wtr-Gas'!AV11&lt;0,"0",('Wtr-Gas'!AV11)*0.0038)</f>
        <v>0.54720000000000002</v>
      </c>
      <c r="AV9" s="74">
        <f>IF('Wtr-Gas'!AY11&lt;0,"0",('Wtr-Gas'!AY11)*0.0038)</f>
        <v>189.83279999999999</v>
      </c>
      <c r="AW9" s="74">
        <f>IF('Wtr-Gas'!BA11&lt;0,"0",('Wtr-Gas'!BA11)*0.0038)</f>
        <v>150.72304800000001</v>
      </c>
      <c r="AX9" s="74">
        <f>IF('Wtr-Gas'!BB11&lt;0,"0",('Wtr-Gas'!BB11)*0.0038)</f>
        <v>39.109752</v>
      </c>
      <c r="AY9" s="74">
        <f>IF('Wtr-Gas'!BD11&lt;0,"0",('Wtr-Gas'!BD11)*0.0038)</f>
        <v>13.68</v>
      </c>
      <c r="AZ9" s="74">
        <f>IF('Wtr-Gas'!BF11&lt;0,"0",('Wtr-Gas'!BF11)*0.0038)</f>
        <v>1.1399999999999999</v>
      </c>
      <c r="BA9" s="74">
        <f>IF('Wtr-Gas'!BH11&lt;0,"0",('Wtr-Gas'!BH11)*0.0038)</f>
        <v>3.04E-2</v>
      </c>
    </row>
    <row r="10" spans="1:54" x14ac:dyDescent="0.25">
      <c r="A10" s="3" t="s">
        <v>11</v>
      </c>
      <c r="B10" s="72">
        <v>21</v>
      </c>
      <c r="C10" s="2">
        <v>2</v>
      </c>
      <c r="D10" s="2">
        <v>2022</v>
      </c>
      <c r="E10" s="36">
        <f>IF(Elect!AL12&lt;0,"0",Elect!AL12)</f>
        <v>534</v>
      </c>
      <c r="F10" s="36">
        <f>IF(Elect!I12&lt;0,"0",Elect!I12)</f>
        <v>52960</v>
      </c>
      <c r="G10" s="36">
        <f>Elect!H12</f>
        <v>2.4780000000000002</v>
      </c>
      <c r="H10" s="36">
        <f>IF(Elect!F12&lt;0,"0",Elect!F12)</f>
        <v>43520</v>
      </c>
      <c r="I10" s="36">
        <f>Elect!E12</f>
        <v>1.9379999999999999</v>
      </c>
      <c r="J10" s="36">
        <f>IF(Elect!U12&lt;0,"0",Elect!U12)</f>
        <v>57000</v>
      </c>
      <c r="K10" s="36">
        <f>Elect!T12</f>
        <v>2.2210000000000001</v>
      </c>
      <c r="L10" s="36">
        <f>IF(Elect!AJ12&lt;0,"0",Elect!AJ12)</f>
        <v>1480</v>
      </c>
      <c r="M10" s="36">
        <f>Elect!AI12</f>
        <v>0.30099999999999999</v>
      </c>
      <c r="N10" s="36">
        <f>IF(Elect!X12&lt;0,"0",Elect!X12)</f>
        <v>34500</v>
      </c>
      <c r="O10" s="36">
        <f>Elect!W12</f>
        <v>1.7370000000000001</v>
      </c>
      <c r="P10" s="36">
        <f>IF(Elect!O12&lt;0,"0",Elect!O12)</f>
        <v>11600</v>
      </c>
      <c r="Q10" s="36">
        <f>Elect!N12</f>
        <v>2.96</v>
      </c>
      <c r="R10" s="36">
        <f>IF(Elect!L12&lt;0,"0",Elect!L12)</f>
        <v>22000</v>
      </c>
      <c r="S10" s="36">
        <f>Elect!K12</f>
        <v>3.25</v>
      </c>
      <c r="T10" s="36">
        <f>IF(Elect!R12&lt;0,"0",Elect!R12)</f>
        <v>11600</v>
      </c>
      <c r="U10" s="36">
        <f>Elect!Q12</f>
        <v>3.1</v>
      </c>
      <c r="V10" s="36">
        <f>IF(Elect!AA12&lt;0,"0",Elect!AA12)</f>
        <v>6080</v>
      </c>
      <c r="W10" s="36">
        <f>Elect!Z12</f>
        <v>3.25</v>
      </c>
      <c r="X10" s="36">
        <f>IF(Elect!AD12&lt;0,"0",Elect!AD12)</f>
        <v>3840</v>
      </c>
      <c r="Y10" s="36">
        <f>Elect!AC12</f>
        <v>3.15</v>
      </c>
      <c r="Z10" s="36">
        <f>IF(Elect!AG12&lt;0,"0",Elect!AG12)</f>
        <v>55000</v>
      </c>
      <c r="AA10" s="36">
        <f>Elect!AF12</f>
        <v>2.1859999999999999</v>
      </c>
      <c r="AB10" s="36">
        <f>IF(Elect!AX12&lt;0,"0",Elect!AX12)</f>
        <v>1500</v>
      </c>
      <c r="AC10" s="36">
        <f>IF(Elect!AV12&lt;0,"0",Elect!AV12)</f>
        <v>12300</v>
      </c>
      <c r="AD10" s="36">
        <f>IF(Elect!AZ12&lt;0,"0",Elect!AZ12)</f>
        <v>755</v>
      </c>
      <c r="AE10" s="36">
        <f>IF(Elect!BB12&lt;0,"0",Elect!BB12)</f>
        <v>2760</v>
      </c>
      <c r="AF10" s="74">
        <f>IF('Wtr-Gas'!E12&lt;0,"0",('Wtr-Gas'!E12)*0.0038)</f>
        <v>5169.8999999999996</v>
      </c>
      <c r="AG10" s="74">
        <f>IF('Wtr-Gas'!H12&lt;0,"0",('Wtr-Gas'!H12)*0.0038)</f>
        <v>430.38799999999998</v>
      </c>
      <c r="AH10" s="74">
        <f>IF('Wtr-Gas'!K12&lt;0,"0",('Wtr-Gas'!K12)*0.0038)</f>
        <v>1.1779999999999999</v>
      </c>
      <c r="AI10" s="74">
        <f>IF('Wtr-Gas'!N12&lt;0,"0",('Wtr-Gas'!N12)*0.0038)</f>
        <v>3739.2</v>
      </c>
      <c r="AJ10" s="74">
        <f>IF('Wtr-Gas'!Q12&lt;0,"0",('Wtr-Gas'!Q12)*0.0038)</f>
        <v>108.68</v>
      </c>
      <c r="AK10" s="75">
        <f>IF('Wtr-Gas'!U12&lt;0,"0",('Wtr-Gas'!U12)*0.0038)</f>
        <v>1008.52</v>
      </c>
      <c r="AL10" s="75">
        <f>IF('Wtr-Gas'!X12&lt;0,"0",('Wtr-Gas'!X12)*0.0038)</f>
        <v>9800.2000000000007</v>
      </c>
      <c r="AM10" s="74">
        <f>IF('Wtr-Gas'!AB12&lt;0,"0",('Wtr-Gas'!AB12)*0.0038)</f>
        <v>5700</v>
      </c>
      <c r="AN10" s="74">
        <f>IF('Wtr-Gas'!AD12&lt;0,"0",('Wtr-Gas'!AD12)*0.0038)</f>
        <v>1468.22918</v>
      </c>
      <c r="AO10" s="74">
        <f>IF('Wtr-Gas'!AH12&lt;0,"0",('Wtr-Gas'!AH12)*0.0038)</f>
        <v>18.771999999999998</v>
      </c>
      <c r="AP10" s="74">
        <f>IF('Wtr-Gas'!AJ12&lt;0,"0",('Wtr-Gas'!AJ12)*0.0038)</f>
        <v>333.83</v>
      </c>
      <c r="AQ10" s="74">
        <f>IF('Wtr-Gas'!AL12&lt;0,"0",('Wtr-Gas'!AL12)*0.0038)</f>
        <v>42.962800000000001</v>
      </c>
      <c r="AR10" s="74">
        <f>IF('Wtr-Gas'!AN12&lt;0,"0",('Wtr-Gas'!AN12)*0.0038)</f>
        <v>516.79999999999995</v>
      </c>
      <c r="AS10" s="74">
        <f>IF('Wtr-Gas'!AP12&lt;0,"0",('Wtr-Gas'!AP12)*0.0038)</f>
        <v>4.9399999999999999E-2</v>
      </c>
      <c r="AT10" s="74">
        <f>IF('Wtr-Gas'!AR12&lt;0,"0",('Wtr-Gas'!AR12)*0.0038)</f>
        <v>10.64</v>
      </c>
      <c r="AU10" s="87">
        <f>IF('Wtr-Gas'!AV12&lt;0,"0",('Wtr-Gas'!AV12)*0.0038)</f>
        <v>0.47499999999999998</v>
      </c>
      <c r="AV10" s="74">
        <f>IF('Wtr-Gas'!AY12&lt;0,"0",('Wtr-Gas'!AY12)*0.0038)</f>
        <v>200.96299999999999</v>
      </c>
      <c r="AW10" s="74">
        <f>IF('Wtr-Gas'!BA12&lt;0,"0",('Wtr-Gas'!BA12)*0.0038)</f>
        <v>148.43423200000001</v>
      </c>
      <c r="AX10" s="74">
        <f>IF('Wtr-Gas'!BB12&lt;0,"0",('Wtr-Gas'!BB12)*0.0038)</f>
        <v>52.528767999999999</v>
      </c>
      <c r="AY10" s="74">
        <f>IF('Wtr-Gas'!BD12&lt;0,"0",('Wtr-Gas'!BD12)*0.0038)</f>
        <v>11.78</v>
      </c>
      <c r="AZ10" s="74">
        <f>IF('Wtr-Gas'!BF12&lt;0,"0",('Wtr-Gas'!BF12)*0.0038)</f>
        <v>1.1399999999999999</v>
      </c>
      <c r="BA10" s="74">
        <f>IF('Wtr-Gas'!BH12&lt;0,"0",('Wtr-Gas'!BH12)*0.0038)</f>
        <v>0.12540000000000001</v>
      </c>
    </row>
    <row r="11" spans="1:54" x14ac:dyDescent="0.25">
      <c r="A11" s="3" t="s">
        <v>11</v>
      </c>
      <c r="B11" s="72">
        <v>28</v>
      </c>
      <c r="C11" s="2">
        <v>2</v>
      </c>
      <c r="D11" s="2">
        <v>2022</v>
      </c>
      <c r="E11" s="36">
        <f>IF(Elect!AL13&lt;0,"0",Elect!AL13)</f>
        <v>622</v>
      </c>
      <c r="F11" s="36">
        <f>IF(Elect!I13&lt;0,"0",Elect!I13)</f>
        <v>52160</v>
      </c>
      <c r="G11" s="36">
        <f>Elect!H13</f>
        <v>2.2879999999999998</v>
      </c>
      <c r="H11" s="36">
        <f>IF(Elect!F13&lt;0,"0",Elect!F13)</f>
        <v>42400</v>
      </c>
      <c r="I11" s="36">
        <f>Elect!E13</f>
        <v>1.8939999999999999</v>
      </c>
      <c r="J11" s="36">
        <f>IF(Elect!U13&lt;0,"0",Elect!U13)</f>
        <v>52200</v>
      </c>
      <c r="K11" s="36">
        <f>Elect!T13</f>
        <v>1.589</v>
      </c>
      <c r="L11" s="36">
        <f>IF(Elect!AJ13&lt;0,"0",Elect!AJ13)</f>
        <v>1440</v>
      </c>
      <c r="M11" s="36">
        <f>Elect!AI13</f>
        <v>2.81</v>
      </c>
      <c r="N11" s="36">
        <f>IF(Elect!X13&lt;0,"0",Elect!X13)</f>
        <v>72000</v>
      </c>
      <c r="O11" s="36">
        <f>Elect!W13</f>
        <v>1.8839999999999999</v>
      </c>
      <c r="P11" s="36">
        <f>IF(Elect!O13&lt;0,"0",Elect!O13)</f>
        <v>11200</v>
      </c>
      <c r="Q11" s="36">
        <f>Elect!N13</f>
        <v>2.2799999999999998</v>
      </c>
      <c r="R11" s="36">
        <f>IF(Elect!L13&lt;0,"0",Elect!L13)</f>
        <v>12800</v>
      </c>
      <c r="S11" s="36">
        <f>Elect!K13</f>
        <v>2.41</v>
      </c>
      <c r="T11" s="36">
        <f>IF(Elect!R13&lt;0,"0",Elect!R13)</f>
        <v>11200</v>
      </c>
      <c r="U11" s="36">
        <f>Elect!Q13</f>
        <v>2.08</v>
      </c>
      <c r="V11" s="36">
        <f>IF(Elect!AA13&lt;0,"0",Elect!AA13)</f>
        <v>6560</v>
      </c>
      <c r="W11" s="36">
        <f>Elect!Z13</f>
        <v>3.72</v>
      </c>
      <c r="X11" s="36">
        <f>IF(Elect!AD13&lt;0,"0",Elect!AD13)</f>
        <v>4000</v>
      </c>
      <c r="Y11" s="36">
        <f>Elect!AC13</f>
        <v>2.66</v>
      </c>
      <c r="Z11" s="36">
        <f>IF(Elect!AG13&lt;0,"0",Elect!AG13)</f>
        <v>57400</v>
      </c>
      <c r="AA11" s="36">
        <f>Elect!AF13</f>
        <v>2.141</v>
      </c>
      <c r="AB11" s="36">
        <f>IF(Elect!AX13&lt;0,"0",Elect!AX13)</f>
        <v>1600</v>
      </c>
      <c r="AC11" s="36">
        <f>IF(Elect!AV13&lt;0,"0",Elect!AV13)</f>
        <v>14600</v>
      </c>
      <c r="AD11" s="36">
        <f>IF(Elect!AZ13&lt;0,"0",Elect!AZ13)</f>
        <v>808</v>
      </c>
      <c r="AE11" s="36">
        <f>IF(Elect!BB13&lt;0,"0",Elect!BB13)</f>
        <v>3720</v>
      </c>
      <c r="AF11" s="74">
        <f>IF('Wtr-Gas'!E13&lt;0,"0",('Wtr-Gas'!E13)*0.0038)</f>
        <v>5539.6019999999999</v>
      </c>
      <c r="AG11" s="74">
        <f>IF('Wtr-Gas'!H13&lt;0,"0",('Wtr-Gas'!H13)*0.0038)</f>
        <v>542.71600000000001</v>
      </c>
      <c r="AH11" s="74">
        <f>IF('Wtr-Gas'!K13&lt;0,"0",('Wtr-Gas'!K13)*0.0038)</f>
        <v>4.37</v>
      </c>
      <c r="AI11" s="74">
        <f>IF('Wtr-Gas'!N13&lt;0,"0",('Wtr-Gas'!N13)*0.0038)</f>
        <v>4164.8</v>
      </c>
      <c r="AJ11" s="74">
        <f>IF('Wtr-Gas'!Q13&lt;0,"0",('Wtr-Gas'!Q13)*0.0038)</f>
        <v>99.94</v>
      </c>
      <c r="AK11" s="75">
        <f>IF('Wtr-Gas'!U13&lt;0,"0",('Wtr-Gas'!U13)*0.0038)</f>
        <v>964.82</v>
      </c>
      <c r="AL11" s="75">
        <f>IF('Wtr-Gas'!X13&lt;0,"0",('Wtr-Gas'!X13)*0.0038)</f>
        <v>3901.84</v>
      </c>
      <c r="AM11" s="74">
        <f>IF('Wtr-Gas'!AB13&lt;0,"0",('Wtr-Gas'!AB13)*0.0038)</f>
        <v>8816</v>
      </c>
      <c r="AN11" s="74">
        <f>IF('Wtr-Gas'!AD13&lt;0,"0",('Wtr-Gas'!AD13)*0.0038)</f>
        <v>2391.5011199999999</v>
      </c>
      <c r="AO11" s="74">
        <f>IF('Wtr-Gas'!AH13&lt;0,"0",('Wtr-Gas'!AH13)*0.0038)</f>
        <v>15.01</v>
      </c>
      <c r="AP11" s="74">
        <f>IF('Wtr-Gas'!AJ13&lt;0,"0",('Wtr-Gas'!AJ13)*0.0038)</f>
        <v>372.43799999999999</v>
      </c>
      <c r="AQ11" s="74">
        <f>IF('Wtr-Gas'!AL13&lt;0,"0",('Wtr-Gas'!AL13)*0.0038)</f>
        <v>50.9086</v>
      </c>
      <c r="AR11" s="74">
        <f>IF('Wtr-Gas'!AN13&lt;0,"0",('Wtr-Gas'!AN13)*0.0038)</f>
        <v>425.6</v>
      </c>
      <c r="AS11" s="74">
        <f>IF('Wtr-Gas'!AP13&lt;0,"0",('Wtr-Gas'!AP13)*0.0038)</f>
        <v>4.1799999999999997E-2</v>
      </c>
      <c r="AT11" s="74">
        <f>IF('Wtr-Gas'!AR13&lt;0,"0",('Wtr-Gas'!AR13)*0.0038)</f>
        <v>7.6</v>
      </c>
      <c r="AU11" s="87">
        <f>IF('Wtr-Gas'!AV13&lt;0,"0",('Wtr-Gas'!AV13)*0.0038)</f>
        <v>0.45600000000000002</v>
      </c>
      <c r="AV11" s="74">
        <f>IF('Wtr-Gas'!AY13&lt;0,"0",('Wtr-Gas'!AY13)*0.0038)</f>
        <v>192.45480000000001</v>
      </c>
      <c r="AW11" s="74">
        <f>IF('Wtr-Gas'!BA13&lt;0,"0",('Wtr-Gas'!BA13)*0.0038)</f>
        <v>148.08828</v>
      </c>
      <c r="AX11" s="74">
        <f>IF('Wtr-Gas'!BB13&lt;0,"0",('Wtr-Gas'!BB13)*0.0038)</f>
        <v>44.366520000000008</v>
      </c>
      <c r="AY11" s="74">
        <f>IF('Wtr-Gas'!BD13&lt;0,"0",('Wtr-Gas'!BD13)*0.0038)</f>
        <v>6.46</v>
      </c>
      <c r="AZ11" s="74">
        <f>IF('Wtr-Gas'!BF13&lt;0,"0",('Wtr-Gas'!BF13)*0.0038)</f>
        <v>1.9</v>
      </c>
      <c r="BA11" s="74">
        <f>IF('Wtr-Gas'!BH13&lt;0,"0",('Wtr-Gas'!BH13)*0.0038)</f>
        <v>9.8799999999999999E-2</v>
      </c>
    </row>
    <row r="12" spans="1:54" x14ac:dyDescent="0.25">
      <c r="A12" s="3" t="s">
        <v>11</v>
      </c>
      <c r="B12" s="72">
        <v>7</v>
      </c>
      <c r="C12" s="2">
        <v>3</v>
      </c>
      <c r="D12" s="2">
        <v>2022</v>
      </c>
      <c r="E12" s="36">
        <f>IF(Elect!AL14&lt;0,"0",Elect!AL14)</f>
        <v>503</v>
      </c>
      <c r="F12" s="36">
        <f>IF(Elect!I14&lt;0,"0",Elect!I14)</f>
        <v>49600</v>
      </c>
      <c r="G12" s="36">
        <f>Elect!H14</f>
        <v>2.39</v>
      </c>
      <c r="H12" s="36">
        <f>IF(Elect!F14&lt;0,"0",Elect!F14)</f>
        <v>40000</v>
      </c>
      <c r="I12" s="36">
        <f>Elect!E14</f>
        <v>1.9690000000000001</v>
      </c>
      <c r="J12" s="36">
        <f>IF(Elect!U14&lt;0,"0",Elect!U14)</f>
        <v>45900</v>
      </c>
      <c r="K12" s="36">
        <f>Elect!T14</f>
        <v>1.7490000000000001</v>
      </c>
      <c r="L12" s="36">
        <f>IF(Elect!AJ14&lt;0,"0",Elect!AJ14)</f>
        <v>1320</v>
      </c>
      <c r="M12" s="36">
        <f>Elect!AI14</f>
        <v>2.81</v>
      </c>
      <c r="N12" s="36">
        <f>IF(Elect!X14&lt;0,"0",Elect!X14)</f>
        <v>45300</v>
      </c>
      <c r="O12" s="36">
        <f>Elect!W14</f>
        <v>1.8839999999999999</v>
      </c>
      <c r="P12" s="36">
        <f>IF(Elect!O14&lt;0,"0",Elect!O14)</f>
        <v>10400</v>
      </c>
      <c r="Q12" s="36">
        <f>Elect!N14</f>
        <v>2.2799999999999998</v>
      </c>
      <c r="R12" s="36">
        <f>IF(Elect!L14&lt;0,"0",Elect!L14)</f>
        <v>11200</v>
      </c>
      <c r="S12" s="36">
        <f>Elect!K14</f>
        <v>2.79</v>
      </c>
      <c r="T12" s="36">
        <f>IF(Elect!R14&lt;0,"0",Elect!R14)</f>
        <v>10400</v>
      </c>
      <c r="U12" s="36">
        <f>Elect!Q14</f>
        <v>2.34</v>
      </c>
      <c r="V12" s="36">
        <f>IF(Elect!AA14&lt;0,"0",Elect!AA14)</f>
        <v>5920</v>
      </c>
      <c r="W12" s="36">
        <f>Elect!Z14</f>
        <v>3.72</v>
      </c>
      <c r="X12" s="36">
        <f>IF(Elect!AD14&lt;0,"0",Elect!AD14)</f>
        <v>4160</v>
      </c>
      <c r="Y12" s="36">
        <f>Elect!AC14</f>
        <v>2.79</v>
      </c>
      <c r="Z12" s="36">
        <f>IF(Elect!AG14&lt;0,"0",Elect!AG14)</f>
        <v>54400</v>
      </c>
      <c r="AA12" s="36">
        <f>Elect!AF14</f>
        <v>2.2719999999999998</v>
      </c>
      <c r="AB12" s="36">
        <f>IF(Elect!AX14&lt;0,"0",Elect!AX14)</f>
        <v>1400</v>
      </c>
      <c r="AC12" s="36">
        <f>IF(Elect!AV14&lt;0,"0",Elect!AV14)</f>
        <v>13500</v>
      </c>
      <c r="AD12" s="36">
        <f>IF(Elect!AZ14&lt;0,"0",Elect!AZ14)</f>
        <v>740</v>
      </c>
      <c r="AE12" s="36">
        <f>IF(Elect!BB14&lt;0,"0",Elect!BB14)</f>
        <v>2560</v>
      </c>
      <c r="AF12" s="74">
        <f>IF('Wtr-Gas'!E14&lt;0,"0",('Wtr-Gas'!E14)*0.0038)</f>
        <v>4951.0200000000004</v>
      </c>
      <c r="AG12" s="74">
        <f>IF('Wtr-Gas'!H14&lt;0,"0",('Wtr-Gas'!H14)*0.0038)</f>
        <v>532.83600000000001</v>
      </c>
      <c r="AH12" s="74">
        <f>IF('Wtr-Gas'!K14&lt;0,"0",('Wtr-Gas'!K14)*0.0038)</f>
        <v>0.98799999999999999</v>
      </c>
      <c r="AI12" s="74">
        <f>IF('Wtr-Gas'!N14&lt;0,"0",('Wtr-Gas'!N14)*0.0038)</f>
        <v>3986.2</v>
      </c>
      <c r="AJ12" s="74">
        <f>IF('Wtr-Gas'!Q14&lt;0,"0",('Wtr-Gas'!Q14)*0.0038)</f>
        <v>22.8</v>
      </c>
      <c r="AK12" s="75">
        <f>IF('Wtr-Gas'!U14&lt;0,"0",('Wtr-Gas'!U14)*0.0038)</f>
        <v>954.18</v>
      </c>
      <c r="AL12" s="75">
        <f>IF('Wtr-Gas'!X14&lt;0,"0",('Wtr-Gas'!X14)*0.0038)</f>
        <v>4705.16</v>
      </c>
      <c r="AM12" s="74">
        <f>IF('Wtr-Gas'!AB14&lt;0,"0",('Wtr-Gas'!AB14)*0.0038)</f>
        <v>6042</v>
      </c>
      <c r="AN12" s="74">
        <f>IF('Wtr-Gas'!AD14&lt;0,"0",('Wtr-Gas'!AD14)*0.0038)</f>
        <v>1336.12826</v>
      </c>
      <c r="AO12" s="74">
        <f>IF('Wtr-Gas'!AH14&lt;0,"0",('Wtr-Gas'!AH14)*0.0038)</f>
        <v>12.502000000000001</v>
      </c>
      <c r="AP12" s="74">
        <f>IF('Wtr-Gas'!AJ14&lt;0,"0",('Wtr-Gas'!AJ14)*0.0038)</f>
        <v>319.01</v>
      </c>
      <c r="AQ12" s="74">
        <f>IF('Wtr-Gas'!AL14&lt;0,"0",('Wtr-Gas'!AL14)*0.0038)</f>
        <v>50.733800000000002</v>
      </c>
      <c r="AR12" s="74">
        <f>IF('Wtr-Gas'!AN14&lt;0,"0",('Wtr-Gas'!AN14)*0.0038)</f>
        <v>326.8</v>
      </c>
      <c r="AS12" s="74">
        <f>IF('Wtr-Gas'!AP14&lt;0,"0",('Wtr-Gas'!AP14)*0.0038)</f>
        <v>4.9399999999999999E-2</v>
      </c>
      <c r="AT12" s="74">
        <f>IF('Wtr-Gas'!AR14&lt;0,"0",('Wtr-Gas'!AR14)*0.0038)</f>
        <v>11.02</v>
      </c>
      <c r="AU12" s="87">
        <f>IF('Wtr-Gas'!AV14&lt;0,"0",('Wtr-Gas'!AV14)*0.0038)</f>
        <v>0.40660000000000002</v>
      </c>
      <c r="AV12" s="74">
        <f>IF('Wtr-Gas'!AY14&lt;0,"0",('Wtr-Gas'!AY14)*0.0038)</f>
        <v>206.53</v>
      </c>
      <c r="AW12" s="74">
        <f>IF('Wtr-Gas'!BA14&lt;0,"0",('Wtr-Gas'!BA14)*0.0038)</f>
        <v>147.255358</v>
      </c>
      <c r="AX12" s="74">
        <f>IF('Wtr-Gas'!BB14&lt;0,"0",('Wtr-Gas'!BB14)*0.0038)</f>
        <v>59.274641999999986</v>
      </c>
      <c r="AY12" s="74">
        <f>IF('Wtr-Gas'!BD14&lt;0,"0",('Wtr-Gas'!BD14)*0.0038)</f>
        <v>12.16</v>
      </c>
      <c r="AZ12" s="74">
        <f>IF('Wtr-Gas'!BF14&lt;0,"0",('Wtr-Gas'!BF14)*0.0038)</f>
        <v>3.23</v>
      </c>
      <c r="BA12" s="74">
        <f>IF('Wtr-Gas'!BH14&lt;0,"0",('Wtr-Gas'!BH14)*0.0038)</f>
        <v>3.04E-2</v>
      </c>
    </row>
    <row r="13" spans="1:54" x14ac:dyDescent="0.25">
      <c r="A13" s="3" t="s">
        <v>11</v>
      </c>
      <c r="B13" s="72">
        <v>14</v>
      </c>
      <c r="C13" s="2">
        <v>3</v>
      </c>
      <c r="D13" s="2">
        <v>2022</v>
      </c>
      <c r="E13" s="36">
        <f>IF(Elect!AL15&lt;0,"0",Elect!AL15)</f>
        <v>613</v>
      </c>
      <c r="F13" s="36">
        <f>IF(Elect!I15&lt;0,"0",Elect!I15)</f>
        <v>52320</v>
      </c>
      <c r="G13" s="36">
        <f>Elect!H15</f>
        <v>2.4129999999999998</v>
      </c>
      <c r="H13" s="36">
        <f>IF(Elect!F15&lt;0,"0",Elect!F15)</f>
        <v>41920</v>
      </c>
      <c r="I13" s="36">
        <f>Elect!E15</f>
        <v>1.9610000000000001</v>
      </c>
      <c r="J13" s="36">
        <f>IF(Elect!U15&lt;0,"0",Elect!U15)</f>
        <v>60900</v>
      </c>
      <c r="K13" s="36">
        <f>Elect!T15</f>
        <v>2.726</v>
      </c>
      <c r="L13" s="36">
        <f>IF(Elect!AJ15&lt;0,"0",Elect!AJ15)</f>
        <v>1440</v>
      </c>
      <c r="M13" s="36">
        <f>Elect!AI15</f>
        <v>0.29199999999999998</v>
      </c>
      <c r="N13" s="36">
        <f>IF(Elect!X15&lt;0,"0",Elect!X15)</f>
        <v>67500</v>
      </c>
      <c r="O13" s="36">
        <f>Elect!W15</f>
        <v>1.9630000000000001</v>
      </c>
      <c r="P13" s="36">
        <f>IF(Elect!O15&lt;0,"0",Elect!O15)</f>
        <v>12000</v>
      </c>
      <c r="Q13" s="36">
        <f>Elect!N15</f>
        <v>3.2</v>
      </c>
      <c r="R13" s="36">
        <f>IF(Elect!L15&lt;0,"0",Elect!L15)</f>
        <v>13600</v>
      </c>
      <c r="S13" s="36">
        <f>Elect!K15</f>
        <v>3.44</v>
      </c>
      <c r="T13" s="36">
        <f>IF(Elect!R15&lt;0,"0",Elect!R15)</f>
        <v>11600</v>
      </c>
      <c r="U13" s="36">
        <f>Elect!Q15</f>
        <v>3.54</v>
      </c>
      <c r="V13" s="36">
        <f>IF(Elect!AA15&lt;0,"0",Elect!AA15)</f>
        <v>9120</v>
      </c>
      <c r="W13" s="36">
        <f>Elect!Z15</f>
        <v>0.61799999999999999</v>
      </c>
      <c r="X13" s="36">
        <f>IF(Elect!AD15&lt;0,"0",Elect!AD15)</f>
        <v>4160</v>
      </c>
      <c r="Y13" s="36">
        <f>Elect!AC15</f>
        <v>2.93</v>
      </c>
      <c r="Z13" s="36">
        <f>IF(Elect!AG15&lt;0,"0",Elect!AG15)</f>
        <v>54000</v>
      </c>
      <c r="AA13" s="36">
        <f>Elect!AF15</f>
        <v>2.222</v>
      </c>
      <c r="AB13" s="36">
        <f>IF(Elect!AX15&lt;0,"0",Elect!AX15)</f>
        <v>1900</v>
      </c>
      <c r="AC13" s="36">
        <f>IF(Elect!AV15&lt;0,"0",Elect!AV15)</f>
        <v>15800</v>
      </c>
      <c r="AD13" s="36">
        <f>IF(Elect!AZ15&lt;0,"0",Elect!AZ15)</f>
        <v>880</v>
      </c>
      <c r="AE13" s="36">
        <f>IF(Elect!BB15&lt;0,"0",Elect!BB15)</f>
        <v>1120</v>
      </c>
      <c r="AF13" s="74">
        <f>IF('Wtr-Gas'!E15&lt;0,"0",('Wtr-Gas'!E15)*0.0038)</f>
        <v>4622.3580000000002</v>
      </c>
      <c r="AG13" s="74">
        <f>IF('Wtr-Gas'!H15&lt;0,"0",('Wtr-Gas'!H15)*0.0038)</f>
        <v>166.78200000000001</v>
      </c>
      <c r="AH13" s="74">
        <f>IF('Wtr-Gas'!K15&lt;0,"0",('Wtr-Gas'!K15)*0.0038)</f>
        <v>0.91200000000000003</v>
      </c>
      <c r="AI13" s="74">
        <f>IF('Wtr-Gas'!N15&lt;0,"0",('Wtr-Gas'!N15)*0.0038)</f>
        <v>3727.8</v>
      </c>
      <c r="AJ13" s="74">
        <f>IF('Wtr-Gas'!Q15&lt;0,"0",('Wtr-Gas'!Q15)*0.0038)</f>
        <v>215.84</v>
      </c>
      <c r="AK13" s="75">
        <f>IF('Wtr-Gas'!U15&lt;0,"0",('Wtr-Gas'!U15)*0.0038)</f>
        <v>991.8</v>
      </c>
      <c r="AL13" s="75">
        <f>IF('Wtr-Gas'!X15&lt;0,"0",('Wtr-Gas'!X15)*0.0038)</f>
        <v>3921.6</v>
      </c>
      <c r="AM13" s="74">
        <f>IF('Wtr-Gas'!AB15&lt;0,"0",('Wtr-Gas'!AB15)*0.0038)</f>
        <v>8056</v>
      </c>
      <c r="AN13" s="74">
        <f>IF('Wtr-Gas'!AD15&lt;0,"0",('Wtr-Gas'!AD15)*0.0038)</f>
        <v>2040.1394400000001</v>
      </c>
      <c r="AO13" s="74">
        <f>IF('Wtr-Gas'!AH15&lt;0,"0",('Wtr-Gas'!AH15)*0.0038)</f>
        <v>5.7379999999999995</v>
      </c>
      <c r="AP13" s="74">
        <f>IF('Wtr-Gas'!AJ15&lt;0,"0",('Wtr-Gas'!AJ15)*0.0038)</f>
        <v>232.21799999999999</v>
      </c>
      <c r="AQ13" s="74">
        <f>IF('Wtr-Gas'!AL15&lt;0,"0",('Wtr-Gas'!AL15)*0.0038)</f>
        <v>28.538</v>
      </c>
      <c r="AR13" s="74">
        <f>IF('Wtr-Gas'!AN15&lt;0,"0",('Wtr-Gas'!AN15)*0.0038)</f>
        <v>30.4</v>
      </c>
      <c r="AS13" s="74">
        <f>IF('Wtr-Gas'!AP15&lt;0,"0",('Wtr-Gas'!AP15)*0.0038)</f>
        <v>4.5600000000000002E-2</v>
      </c>
      <c r="AT13" s="74">
        <f>IF('Wtr-Gas'!AR15&lt;0,"0",('Wtr-Gas'!AR15)*0.0038)</f>
        <v>10.26</v>
      </c>
      <c r="AU13" s="87">
        <f>IF('Wtr-Gas'!AV15&lt;0,"0",('Wtr-Gas'!AV15)*0.0038)</f>
        <v>0.4864</v>
      </c>
      <c r="AV13" s="74">
        <f>IF('Wtr-Gas'!AY15&lt;0,"0",('Wtr-Gas'!AY15)*0.0038)</f>
        <v>211.49279999999999</v>
      </c>
      <c r="AW13" s="74">
        <f>IF('Wtr-Gas'!BA15&lt;0,"0",('Wtr-Gas'!BA15)*0.0038)</f>
        <v>165.60149199999998</v>
      </c>
      <c r="AX13" s="74">
        <f>IF('Wtr-Gas'!BB15&lt;0,"0",('Wtr-Gas'!BB15)*0.0038)</f>
        <v>45.891308000000016</v>
      </c>
      <c r="AY13" s="74">
        <f>IF('Wtr-Gas'!BD15&lt;0,"0",('Wtr-Gas'!BD15)*0.0038)</f>
        <v>9.5</v>
      </c>
      <c r="AZ13" s="74">
        <f>IF('Wtr-Gas'!BF15&lt;0,"0",('Wtr-Gas'!BF15)*0.0038)</f>
        <v>0</v>
      </c>
      <c r="BA13" s="74">
        <f>IF('Wtr-Gas'!BH15&lt;0,"0",('Wtr-Gas'!BH15)*0.0038)</f>
        <v>0</v>
      </c>
    </row>
    <row r="14" spans="1:54" x14ac:dyDescent="0.25">
      <c r="A14" s="3" t="s">
        <v>11</v>
      </c>
      <c r="B14" s="72">
        <v>21</v>
      </c>
      <c r="C14" s="2">
        <v>3</v>
      </c>
      <c r="D14" s="2">
        <v>2022</v>
      </c>
      <c r="E14" s="36">
        <f>IF(Elect!AL16&lt;0,"0",Elect!AL16)</f>
        <v>599</v>
      </c>
      <c r="F14" s="36">
        <f>IF(Elect!I16&lt;0,"0",Elect!I16)</f>
        <v>51520</v>
      </c>
      <c r="G14" s="36">
        <f>Elect!H16</f>
        <v>2.4129999999999998</v>
      </c>
      <c r="H14" s="36">
        <f>IF(Elect!F16&lt;0,"0",Elect!F16)</f>
        <v>41280</v>
      </c>
      <c r="I14" s="36">
        <f>Elect!E16</f>
        <v>2.0030000000000001</v>
      </c>
      <c r="J14" s="36">
        <f>IF(Elect!U16&lt;0,"0",Elect!U16)</f>
        <v>53100</v>
      </c>
      <c r="K14" s="36">
        <f>Elect!T16</f>
        <v>2.726</v>
      </c>
      <c r="L14" s="36">
        <f>IF(Elect!AJ16&lt;0,"0",Elect!AJ16)</f>
        <v>1400</v>
      </c>
      <c r="M14" s="36">
        <f>Elect!AI16</f>
        <v>0.29199999999999998</v>
      </c>
      <c r="N14" s="36">
        <f>IF(Elect!X16&lt;0,"0",Elect!X16)</f>
        <v>60000</v>
      </c>
      <c r="O14" s="36">
        <f>Elect!W16</f>
        <v>1.9630000000000001</v>
      </c>
      <c r="P14" s="36">
        <f>IF(Elect!O16&lt;0,"0",Elect!O16)</f>
        <v>12000</v>
      </c>
      <c r="Q14" s="36">
        <f>Elect!N16</f>
        <v>3.2</v>
      </c>
      <c r="R14" s="36">
        <f>IF(Elect!L16&lt;0,"0",Elect!L16)</f>
        <v>14000</v>
      </c>
      <c r="S14" s="36">
        <f>Elect!K16</f>
        <v>3.44</v>
      </c>
      <c r="T14" s="36">
        <f>IF(Elect!R16&lt;0,"0",Elect!R16)</f>
        <v>11600</v>
      </c>
      <c r="U14" s="36">
        <f>Elect!Q16</f>
        <v>3.54</v>
      </c>
      <c r="V14" s="36">
        <f>IF(Elect!AA16&lt;0,"0",Elect!AA16)</f>
        <v>6240</v>
      </c>
      <c r="W14" s="36">
        <f>Elect!Z16</f>
        <v>0.61799999999999999</v>
      </c>
      <c r="X14" s="36">
        <f>IF(Elect!AD16&lt;0,"0",Elect!AD16)</f>
        <v>4160</v>
      </c>
      <c r="Y14" s="36">
        <f>Elect!AC16</f>
        <v>2.93</v>
      </c>
      <c r="Z14" s="36">
        <f>IF(Elect!AG16&lt;0,"0",Elect!AG16)</f>
        <v>53000</v>
      </c>
      <c r="AA14" s="36">
        <f>Elect!AF16</f>
        <v>2.222</v>
      </c>
      <c r="AB14" s="36">
        <f>IF(Elect!AX16&lt;0,"0",Elect!AX16)</f>
        <v>1300</v>
      </c>
      <c r="AC14" s="36">
        <f>IF(Elect!AV16&lt;0,"0",Elect!AV16)</f>
        <v>12400</v>
      </c>
      <c r="AD14" s="36">
        <f>IF(Elect!AZ16&lt;0,"0",Elect!AZ16)</f>
        <v>662</v>
      </c>
      <c r="AE14" s="36">
        <f>IF(Elect!BB16&lt;0,"0",Elect!BB16)</f>
        <v>1720</v>
      </c>
      <c r="AF14" s="74">
        <f>IF('Wtr-Gas'!E16&lt;0,"0",('Wtr-Gas'!E16)*0.0038)</f>
        <v>5057.5339999999997</v>
      </c>
      <c r="AG14" s="74">
        <f>IF('Wtr-Gas'!H16&lt;0,"0",('Wtr-Gas'!H16)*0.0038)</f>
        <v>429.21</v>
      </c>
      <c r="AH14" s="74">
        <f>IF('Wtr-Gas'!K16&lt;0,"0",('Wtr-Gas'!K16)*0.0038)</f>
        <v>1.0640000000000001</v>
      </c>
      <c r="AI14" s="74">
        <f>IF('Wtr-Gas'!N16&lt;0,"0",('Wtr-Gas'!N16)*0.0038)</f>
        <v>4134.3999999999996</v>
      </c>
      <c r="AJ14" s="74">
        <f>IF('Wtr-Gas'!Q16&lt;0,"0",('Wtr-Gas'!Q16)*0.0038)</f>
        <v>108.68</v>
      </c>
      <c r="AK14" s="75">
        <f>IF('Wtr-Gas'!U16&lt;0,"0",('Wtr-Gas'!U16)*0.0038)</f>
        <v>971.66</v>
      </c>
      <c r="AL14" s="75">
        <f>IF('Wtr-Gas'!X16&lt;0,"0",('Wtr-Gas'!X16)*0.0038)</f>
        <v>372.78</v>
      </c>
      <c r="AM14" s="74">
        <f>IF('Wtr-Gas'!AB16&lt;0,"0",('Wtr-Gas'!AB16)*0.0038)</f>
        <v>7448</v>
      </c>
      <c r="AN14" s="74">
        <f>IF('Wtr-Gas'!AD16&lt;0,"0",('Wtr-Gas'!AD16)*0.0038)</f>
        <v>1663.5640000000001</v>
      </c>
      <c r="AO14" s="74">
        <f>IF('Wtr-Gas'!AH16&lt;0,"0",('Wtr-Gas'!AH16)*0.0038)</f>
        <v>4.6740000000000004</v>
      </c>
      <c r="AP14" s="74">
        <f>IF('Wtr-Gas'!AJ16&lt;0,"0",('Wtr-Gas'!AJ16)*0.0038)</f>
        <v>323.76</v>
      </c>
      <c r="AQ14" s="74">
        <f>IF('Wtr-Gas'!AL16&lt;0,"0",('Wtr-Gas'!AL16)*0.0038)</f>
        <v>29.7806</v>
      </c>
      <c r="AR14" s="74">
        <f>IF('Wtr-Gas'!AN16&lt;0,"0",('Wtr-Gas'!AN16)*0.0038)</f>
        <v>201.4</v>
      </c>
      <c r="AS14" s="74">
        <f>IF('Wtr-Gas'!AP16&lt;0,"0",('Wtr-Gas'!AP16)*0.0038)</f>
        <v>3.4200000000000001E-2</v>
      </c>
      <c r="AT14" s="74">
        <f>IF('Wtr-Gas'!AR16&lt;0,"0",('Wtr-Gas'!AR16)*0.0038)</f>
        <v>4.9400000000000004</v>
      </c>
      <c r="AU14" s="87">
        <f>IF('Wtr-Gas'!AV16&lt;0,"0",('Wtr-Gas'!AV16)*0.0038)</f>
        <v>0.37619999999999998</v>
      </c>
      <c r="AV14" s="74">
        <f>IF('Wtr-Gas'!AY16&lt;0,"0",('Wtr-Gas'!AY16)*0.0038)</f>
        <v>173.08619999999999</v>
      </c>
      <c r="AW14" s="74">
        <f>IF('Wtr-Gas'!BA16&lt;0,"0",('Wtr-Gas'!BA16)*0.0038)</f>
        <v>128.06524399999998</v>
      </c>
      <c r="AX14" s="74">
        <f>IF('Wtr-Gas'!BB16&lt;0,"0",('Wtr-Gas'!BB16)*0.0038)</f>
        <v>45.020956000000012</v>
      </c>
      <c r="AY14" s="74">
        <f>IF('Wtr-Gas'!BD16&lt;0,"0",('Wtr-Gas'!BD16)*0.0038)</f>
        <v>7.22</v>
      </c>
      <c r="AZ14" s="74">
        <f>IF('Wtr-Gas'!BF16&lt;0,"0",('Wtr-Gas'!BF16)*0.0038)</f>
        <v>0.95</v>
      </c>
      <c r="BA14" s="74">
        <f>IF('Wtr-Gas'!BH16&lt;0,"0",('Wtr-Gas'!BH16)*0.0038)</f>
        <v>0</v>
      </c>
    </row>
    <row r="15" spans="1:54" x14ac:dyDescent="0.25">
      <c r="A15" s="3" t="s">
        <v>11</v>
      </c>
      <c r="B15" s="72">
        <v>28</v>
      </c>
      <c r="C15" s="2">
        <v>3</v>
      </c>
      <c r="D15" s="2">
        <v>2022</v>
      </c>
      <c r="E15" s="36">
        <f>IF(Elect!AL17&lt;0,"0",Elect!AL17)</f>
        <v>572</v>
      </c>
      <c r="F15" s="36">
        <f>IF(Elect!I17&lt;0,"0",Elect!I17)</f>
        <v>51360</v>
      </c>
      <c r="G15" s="36">
        <f>Elect!H17</f>
        <v>2.4889999999999999</v>
      </c>
      <c r="H15" s="36">
        <f>IF(Elect!F17&lt;0,"0",Elect!F17)</f>
        <v>40640</v>
      </c>
      <c r="I15" s="36">
        <f>Elect!E17</f>
        <v>1.819</v>
      </c>
      <c r="J15" s="36">
        <f>IF(Elect!U17&lt;0,"0",Elect!U17)</f>
        <v>54300</v>
      </c>
      <c r="K15" s="36">
        <f>Elect!T17</f>
        <v>2.444</v>
      </c>
      <c r="L15" s="36">
        <f>IF(Elect!AJ17&lt;0,"0",Elect!AJ17)</f>
        <v>1400</v>
      </c>
      <c r="M15" s="36">
        <f>Elect!AI17</f>
        <v>0.28499999999999998</v>
      </c>
      <c r="N15" s="36">
        <f>IF(Elect!X17&lt;0,"0",Elect!X17)</f>
        <v>41400</v>
      </c>
      <c r="O15" s="36">
        <f>Elect!W17</f>
        <v>1.853</v>
      </c>
      <c r="P15" s="36">
        <f>IF(Elect!O17&lt;0,"0",Elect!O17)</f>
        <v>11200</v>
      </c>
      <c r="Q15" s="36">
        <f>Elect!N17</f>
        <v>2.23</v>
      </c>
      <c r="R15" s="36">
        <f>IF(Elect!L17&lt;0,"0",Elect!L17)</f>
        <v>13600</v>
      </c>
      <c r="S15" s="36">
        <f>Elect!K17</f>
        <v>2.48</v>
      </c>
      <c r="T15" s="36">
        <f>IF(Elect!R17&lt;0,"0",Elect!R17)</f>
        <v>11600</v>
      </c>
      <c r="U15" s="36">
        <f>Elect!Q17</f>
        <v>2.56</v>
      </c>
      <c r="V15" s="36">
        <f>IF(Elect!AA17&lt;0,"0",Elect!AA17)</f>
        <v>6080</v>
      </c>
      <c r="W15" s="36">
        <f>Elect!Z17</f>
        <v>3.16</v>
      </c>
      <c r="X15" s="36">
        <f>IF(Elect!AD17&lt;0,"0",Elect!AD17)</f>
        <v>3840</v>
      </c>
      <c r="Y15" s="36">
        <f>Elect!AC17</f>
        <v>2.77</v>
      </c>
      <c r="Z15" s="36">
        <f>IF(Elect!AG17&lt;0,"0",Elect!AG17)</f>
        <v>55200</v>
      </c>
      <c r="AA15" s="36">
        <f>Elect!AF17</f>
        <v>2.194</v>
      </c>
      <c r="AB15" s="36">
        <f>IF(Elect!AX17&lt;0,"0",Elect!AX17)</f>
        <v>1600</v>
      </c>
      <c r="AC15" s="36">
        <f>IF(Elect!AV17&lt;0,"0",Elect!AV17)</f>
        <v>13900</v>
      </c>
      <c r="AD15" s="36">
        <f>IF(Elect!AZ17&lt;0,"0",Elect!AZ17)</f>
        <v>852</v>
      </c>
      <c r="AE15" s="36">
        <f>IF(Elect!BB17&lt;0,"0",Elect!BB17)</f>
        <v>1800</v>
      </c>
      <c r="AF15" s="74">
        <f>IF('Wtr-Gas'!E17&lt;0,"0",('Wtr-Gas'!E17)*0.0038)</f>
        <v>4954.7439999999997</v>
      </c>
      <c r="AG15" s="74">
        <f>IF('Wtr-Gas'!H17&lt;0,"0",('Wtr-Gas'!H17)*0.0038)</f>
        <v>337.93400000000003</v>
      </c>
      <c r="AH15" s="74">
        <f>IF('Wtr-Gas'!K17&lt;0,"0",('Wtr-Gas'!K17)*0.0038)</f>
        <v>0.83599999999999997</v>
      </c>
      <c r="AI15" s="74">
        <f>IF('Wtr-Gas'!N17&lt;0,"0",('Wtr-Gas'!N17)*0.0038)</f>
        <v>3906.4</v>
      </c>
      <c r="AJ15" s="74">
        <f>IF('Wtr-Gas'!Q17&lt;0,"0",('Wtr-Gas'!Q17)*0.0038)</f>
        <v>114.76</v>
      </c>
      <c r="AK15" s="75">
        <f>IF('Wtr-Gas'!U17&lt;0,"0",('Wtr-Gas'!U17)*0.0038)</f>
        <v>985.34</v>
      </c>
      <c r="AL15" s="75">
        <f>IF('Wtr-Gas'!X17&lt;0,"0",('Wtr-Gas'!X17)*0.0038)</f>
        <v>438.14</v>
      </c>
      <c r="AM15" s="74">
        <f>IF('Wtr-Gas'!AB17&lt;0,"0",('Wtr-Gas'!AB17)*0.0038)</f>
        <v>6498</v>
      </c>
      <c r="AN15" s="74">
        <f>IF('Wtr-Gas'!AD17&lt;0,"0",('Wtr-Gas'!AD17)*0.0038)</f>
        <v>1577.2280000000001</v>
      </c>
      <c r="AO15" s="74">
        <f>IF('Wtr-Gas'!AH17&lt;0,"0",('Wtr-Gas'!AH17)*0.0038)</f>
        <v>16.986000000000001</v>
      </c>
      <c r="AP15" s="74">
        <f>IF('Wtr-Gas'!AJ17&lt;0,"0",('Wtr-Gas'!AJ17)*0.0038)</f>
        <v>366.85199999999998</v>
      </c>
      <c r="AQ15" s="74">
        <f>IF('Wtr-Gas'!AL17&lt;0,"0",('Wtr-Gas'!AL17)*0.0038)</f>
        <v>49.506399999999999</v>
      </c>
      <c r="AR15" s="74">
        <f>IF('Wtr-Gas'!AN17&lt;0,"0",('Wtr-Gas'!AN17)*0.0038)</f>
        <v>224.2</v>
      </c>
      <c r="AS15" s="74">
        <f>IF('Wtr-Gas'!AP17&lt;0,"0",('Wtr-Gas'!AP17)*0.0038)</f>
        <v>5.3199999999999997E-2</v>
      </c>
      <c r="AT15" s="74">
        <f>IF('Wtr-Gas'!AR17&lt;0,"0",('Wtr-Gas'!AR17)*0.0038)</f>
        <v>9.8800000000000008</v>
      </c>
      <c r="AU15" s="87">
        <f>IF('Wtr-Gas'!AV17&lt;0,"0",('Wtr-Gas'!AV17)*0.0038)</f>
        <v>0.41420000000000001</v>
      </c>
      <c r="AV15" s="74">
        <f>IF('Wtr-Gas'!AY17&lt;0,"0",('Wtr-Gas'!AY17)*0.0038)</f>
        <v>198.80080000000001</v>
      </c>
      <c r="AW15" s="74">
        <f>IF('Wtr-Gas'!BA17&lt;0,"0",('Wtr-Gas'!BA17)*0.0038)</f>
        <v>148.58930999999998</v>
      </c>
      <c r="AX15" s="74">
        <f>IF('Wtr-Gas'!BB17&lt;0,"0",('Wtr-Gas'!BB17)*0.0038)</f>
        <v>50.211490000000012</v>
      </c>
      <c r="AY15" s="74">
        <f>IF('Wtr-Gas'!BD17&lt;0,"0",('Wtr-Gas'!BD17)*0.0038)</f>
        <v>17.86</v>
      </c>
      <c r="AZ15" s="74">
        <f>IF('Wtr-Gas'!BF17&lt;0,"0",('Wtr-Gas'!BF17)*0.0038)</f>
        <v>1.1399999999999999</v>
      </c>
      <c r="BA15" s="74">
        <f>IF('Wtr-Gas'!BH17&lt;0,"0",('Wtr-Gas'!BH17)*0.0038)</f>
        <v>3.8E-3</v>
      </c>
    </row>
    <row r="16" spans="1:54" x14ac:dyDescent="0.25">
      <c r="A16" s="3" t="s">
        <v>11</v>
      </c>
      <c r="B16" s="72">
        <v>31</v>
      </c>
      <c r="C16" s="2">
        <v>3</v>
      </c>
      <c r="D16" s="2">
        <v>2022</v>
      </c>
      <c r="E16" s="36">
        <f>IF(Elect!AL18&lt;0,"0",Elect!AL18)</f>
        <v>448</v>
      </c>
      <c r="F16" s="36">
        <f>IF(Elect!I18&lt;0,"0",Elect!I18)</f>
        <v>30720</v>
      </c>
      <c r="G16" s="36">
        <f>Elect!H18</f>
        <v>2.4889999999999999</v>
      </c>
      <c r="H16" s="36">
        <f>IF(Elect!F18&lt;0,"0",Elect!F18)</f>
        <v>24160</v>
      </c>
      <c r="I16" s="36">
        <f>Elect!E18</f>
        <v>1.819</v>
      </c>
      <c r="J16" s="36">
        <f>IF(Elect!U18&lt;0,"0",Elect!U18)</f>
        <v>32700</v>
      </c>
      <c r="K16" s="36">
        <f>Elect!T18</f>
        <v>2.444</v>
      </c>
      <c r="L16" s="36">
        <f>IF(Elect!AJ18&lt;0,"0",Elect!AJ18)</f>
        <v>880</v>
      </c>
      <c r="M16" s="36">
        <f>Elect!AI18</f>
        <v>0.28499999999999998</v>
      </c>
      <c r="N16" s="36">
        <f>IF(Elect!X18&lt;0,"0",Elect!X18)</f>
        <v>37200</v>
      </c>
      <c r="O16" s="36">
        <f>Elect!W18</f>
        <v>2.0150000000000001</v>
      </c>
      <c r="P16" s="36">
        <f>IF(Elect!O18&lt;0,"0",Elect!O18)</f>
        <v>6800</v>
      </c>
      <c r="Q16" s="36">
        <f>Elect!N18</f>
        <v>2.23</v>
      </c>
      <c r="R16" s="36">
        <f>IF(Elect!L18&lt;0,"0",Elect!L18)</f>
        <v>8000</v>
      </c>
      <c r="S16" s="36">
        <f>Elect!K18</f>
        <v>2.98</v>
      </c>
      <c r="T16" s="36">
        <f>IF(Elect!R18&lt;0,"0",Elect!R18)</f>
        <v>6800</v>
      </c>
      <c r="U16" s="36">
        <f>Elect!Q18</f>
        <v>2.56</v>
      </c>
      <c r="V16" s="36">
        <f>IF(Elect!AA18&lt;0,"0",Elect!AA18)</f>
        <v>4160</v>
      </c>
      <c r="W16" s="36">
        <f>Elect!Z18</f>
        <v>3.85</v>
      </c>
      <c r="X16" s="36">
        <f>IF(Elect!AD18&lt;0,"0",Elect!AD18)</f>
        <v>2720</v>
      </c>
      <c r="Y16" s="36">
        <f>Elect!AC18</f>
        <v>2.77</v>
      </c>
      <c r="Z16" s="36">
        <f>IF(Elect!AG18&lt;0,"0",Elect!AG18)</f>
        <v>35000</v>
      </c>
      <c r="AA16" s="36">
        <f>Elect!AF18</f>
        <v>2.302</v>
      </c>
      <c r="AB16" s="36">
        <f>IF(Elect!AX18&lt;0,"0",Elect!AX18)</f>
        <v>1000</v>
      </c>
      <c r="AC16" s="36">
        <f>IF(Elect!AV18&lt;0,"0",Elect!AV18)</f>
        <v>7900</v>
      </c>
      <c r="AD16" s="36">
        <f>IF(Elect!AZ18&lt;0,"0",Elect!AZ18)</f>
        <v>493</v>
      </c>
      <c r="AE16" s="36">
        <f>IF(Elect!BB18&lt;0,"0",Elect!BB18)</f>
        <v>1600</v>
      </c>
      <c r="AF16" s="74">
        <f>IF('Wtr-Gas'!E18&lt;0,"0",('Wtr-Gas'!E18)*0.0038)</f>
        <v>3236.6120000000001</v>
      </c>
      <c r="AG16" s="74">
        <f>IF('Wtr-Gas'!H18&lt;0,"0",('Wtr-Gas'!H18)*0.0038)</f>
        <v>244.68199999999999</v>
      </c>
      <c r="AH16" s="74">
        <f>IF('Wtr-Gas'!K18&lt;0,"0",('Wtr-Gas'!K18)*0.0038)</f>
        <v>0.91200000000000003</v>
      </c>
      <c r="AI16" s="74">
        <f>IF('Wtr-Gas'!N18&lt;0,"0",('Wtr-Gas'!N18)*0.0038)</f>
        <v>2443.4</v>
      </c>
      <c r="AJ16" s="74">
        <f>IF('Wtr-Gas'!Q18&lt;0,"0",('Wtr-Gas'!Q18)*0.0038)</f>
        <v>76.760000000000005</v>
      </c>
      <c r="AK16" s="75">
        <f>IF('Wtr-Gas'!U18&lt;0,"0",('Wtr-Gas'!U18)*0.0038)</f>
        <v>599.64</v>
      </c>
      <c r="AL16" s="75">
        <f>IF('Wtr-Gas'!X18&lt;0,"0",('Wtr-Gas'!X18)*0.0038)</f>
        <v>236.36</v>
      </c>
      <c r="AM16" s="74">
        <f>IF('Wtr-Gas'!AB18&lt;0,"0",('Wtr-Gas'!AB18)*0.0038)</f>
        <v>4674</v>
      </c>
      <c r="AN16" s="74">
        <f>IF('Wtr-Gas'!AD18&lt;0,"0",('Wtr-Gas'!AD18)*0.0038)</f>
        <v>1045.722</v>
      </c>
      <c r="AO16" s="74">
        <f>IF('Wtr-Gas'!AH18&lt;0,"0",('Wtr-Gas'!AH18)*0.0038)</f>
        <v>12.426</v>
      </c>
      <c r="AP16" s="74">
        <f>IF('Wtr-Gas'!AJ18&lt;0,"0",('Wtr-Gas'!AJ18)*0.0038)</f>
        <v>287.62200000000001</v>
      </c>
      <c r="AQ16" s="74">
        <f>IF('Wtr-Gas'!AL18&lt;0,"0",('Wtr-Gas'!AL18)*0.0038)</f>
        <v>46.2042</v>
      </c>
      <c r="AR16" s="74">
        <f>IF('Wtr-Gas'!AN18&lt;0,"0",('Wtr-Gas'!AN18)*0.0038)</f>
        <v>201.4</v>
      </c>
      <c r="AS16" s="74">
        <f>IF('Wtr-Gas'!AP18&lt;0,"0",('Wtr-Gas'!AP18)*0.0038)</f>
        <v>3.04E-2</v>
      </c>
      <c r="AT16" s="74">
        <f>IF('Wtr-Gas'!AR18&lt;0,"0",('Wtr-Gas'!AR18)*0.0038)</f>
        <v>5.7</v>
      </c>
      <c r="AU16" s="87">
        <f>IF('Wtr-Gas'!AV18&lt;0,"0",('Wtr-Gas'!AV18)*0.0038)</f>
        <v>0.1976</v>
      </c>
      <c r="AV16" s="74">
        <f>IF('Wtr-Gas'!AY18&lt;0,"0",('Wtr-Gas'!AY18)*0.0038)</f>
        <v>107.369</v>
      </c>
      <c r="AW16" s="74">
        <f>IF('Wtr-Gas'!BA18&lt;0,"0",('Wtr-Gas'!BA18)*0.0038)</f>
        <v>44.041429999999998</v>
      </c>
      <c r="AX16" s="74">
        <f>IF('Wtr-Gas'!BB18&lt;0,"0",('Wtr-Gas'!BB18)*0.0038)</f>
        <v>63.327570000000009</v>
      </c>
      <c r="AY16" s="74">
        <f>IF('Wtr-Gas'!BD18&lt;0,"0",('Wtr-Gas'!BD18)*0.0038)</f>
        <v>4.9400000000000004</v>
      </c>
      <c r="AZ16" s="74">
        <f>IF('Wtr-Gas'!BF18&lt;0,"0",('Wtr-Gas'!BF18)*0.0038)</f>
        <v>1.1399999999999999</v>
      </c>
      <c r="BA16" s="74">
        <f>IF('Wtr-Gas'!BH18&lt;0,"0",('Wtr-Gas'!BH18)*0.0038)</f>
        <v>7.6E-3</v>
      </c>
    </row>
    <row r="17" spans="1:53" x14ac:dyDescent="0.25">
      <c r="A17" s="3" t="s">
        <v>11</v>
      </c>
      <c r="B17" s="72">
        <v>4</v>
      </c>
      <c r="C17" s="2">
        <v>4</v>
      </c>
      <c r="D17" s="2">
        <v>2022</v>
      </c>
      <c r="E17" s="36">
        <f>IF(Elect!AL19&lt;0,"0",Elect!AL19)</f>
        <v>4</v>
      </c>
      <c r="F17" s="36">
        <f>IF(Elect!I19&lt;0,"0",Elect!I19)</f>
        <v>20000</v>
      </c>
      <c r="G17" s="36">
        <f>Elect!H19</f>
        <v>2.4889999999999999</v>
      </c>
      <c r="H17" s="36">
        <f>IF(Elect!F19&lt;0,"0",Elect!F19)</f>
        <v>15840</v>
      </c>
      <c r="I17" s="36">
        <f>Elect!E19</f>
        <v>1.8680000000000001</v>
      </c>
      <c r="J17" s="36">
        <f>IF(Elect!U19&lt;0,"0",Elect!U19)</f>
        <v>18000</v>
      </c>
      <c r="K17" s="36">
        <f>Elect!T19</f>
        <v>2.444</v>
      </c>
      <c r="L17" s="36">
        <f>IF(Elect!AJ19&lt;0,"0",Elect!AJ19)</f>
        <v>560</v>
      </c>
      <c r="M17" s="36">
        <f>Elect!AI19</f>
        <v>0.313</v>
      </c>
      <c r="N17" s="36">
        <f>IF(Elect!X19&lt;0,"0",Elect!X19)</f>
        <v>29100</v>
      </c>
      <c r="O17" s="36">
        <f>Elect!W19</f>
        <v>2.0150000000000001</v>
      </c>
      <c r="P17" s="36">
        <f>IF(Elect!O19&lt;0,"0",Elect!O19)</f>
        <v>4800</v>
      </c>
      <c r="Q17" s="36">
        <f>Elect!N19</f>
        <v>2.4500000000000002</v>
      </c>
      <c r="R17" s="36">
        <f>IF(Elect!L19&lt;0,"0",Elect!L19)</f>
        <v>5200</v>
      </c>
      <c r="S17" s="36">
        <f>Elect!K19</f>
        <v>2.98</v>
      </c>
      <c r="T17" s="36">
        <f>IF(Elect!R19&lt;0,"0",Elect!R19)</f>
        <v>4800</v>
      </c>
      <c r="U17" s="36">
        <f>Elect!Q19</f>
        <v>2.56</v>
      </c>
      <c r="V17" s="36">
        <f>IF(Elect!AA19&lt;0,"0",Elect!AA19)</f>
        <v>2240</v>
      </c>
      <c r="W17" s="36">
        <f>Elect!Z19</f>
        <v>3.85</v>
      </c>
      <c r="X17" s="36">
        <f>IF(Elect!AD19&lt;0,"0",Elect!AD19)</f>
        <v>1600</v>
      </c>
      <c r="Y17" s="36">
        <f>Elect!AC19</f>
        <v>2.77</v>
      </c>
      <c r="Z17" s="36">
        <f>IF(Elect!AG19&lt;0,"0",Elect!AG19)</f>
        <v>23200</v>
      </c>
      <c r="AA17" s="36">
        <f>Elect!AF19</f>
        <v>2.302</v>
      </c>
      <c r="AB17" s="36">
        <f>IF(Elect!AX19&lt;0,"0",Elect!AX19)</f>
        <v>700</v>
      </c>
      <c r="AC17" s="36">
        <f>IF(Elect!AV19&lt;0,"0",Elect!AV19)</f>
        <v>5600</v>
      </c>
      <c r="AD17" s="36">
        <f>IF(Elect!AZ19&lt;0,"0",Elect!AZ19)</f>
        <v>393</v>
      </c>
      <c r="AE17" s="36">
        <f>IF(Elect!BB19&lt;0,"0",Elect!BB19)</f>
        <v>160</v>
      </c>
      <c r="AF17" s="74">
        <f>IF('Wtr-Gas'!E19&lt;0,"0",('Wtr-Gas'!E19)*0.0038)</f>
        <v>1693.6980000000001</v>
      </c>
      <c r="AG17" s="74">
        <f>IF('Wtr-Gas'!H19&lt;0,"0",('Wtr-Gas'!H19)*0.0038)</f>
        <v>0</v>
      </c>
      <c r="AH17" s="74">
        <f>IF('Wtr-Gas'!K19&lt;0,"0",('Wtr-Gas'!K19)*0.0038)</f>
        <v>0.19</v>
      </c>
      <c r="AI17" s="74">
        <f>IF('Wtr-Gas'!N19&lt;0,"0",('Wtr-Gas'!N19)*0.0038)</f>
        <v>1459.2</v>
      </c>
      <c r="AJ17" s="74">
        <f>IF('Wtr-Gas'!Q19&lt;0,"0",('Wtr-Gas'!Q19)*0.0038)</f>
        <v>44.46</v>
      </c>
      <c r="AK17" s="75">
        <f>IF('Wtr-Gas'!U19&lt;0,"0",('Wtr-Gas'!U19)*0.0038)</f>
        <v>372.4</v>
      </c>
      <c r="AL17" s="75">
        <f>IF('Wtr-Gas'!X19&lt;0,"0",('Wtr-Gas'!X19)*0.0038)</f>
        <v>117.8</v>
      </c>
      <c r="AM17" s="74">
        <f>IF('Wtr-Gas'!AB19&lt;0,"0",('Wtr-Gas'!AB19)*0.0038)</f>
        <v>2964</v>
      </c>
      <c r="AN17" s="74">
        <f>IF('Wtr-Gas'!AD19&lt;0,"0",('Wtr-Gas'!AD19)*0.0038)</f>
        <v>713.14599999999996</v>
      </c>
      <c r="AO17" s="74">
        <f>IF('Wtr-Gas'!AH19&lt;0,"0",('Wtr-Gas'!AH19)*0.0038)</f>
        <v>1.1399999999999999</v>
      </c>
      <c r="AP17" s="74">
        <f>IF('Wtr-Gas'!AJ19&lt;0,"0",('Wtr-Gas'!AJ19)*0.0038)</f>
        <v>58.33</v>
      </c>
      <c r="AQ17" s="74">
        <f>IF('Wtr-Gas'!AL19&lt;0,"0",('Wtr-Gas'!AL19)*0.0038)</f>
        <v>0</v>
      </c>
      <c r="AR17" s="74">
        <f>IF('Wtr-Gas'!AN19&lt;0,"0",('Wtr-Gas'!AN19)*0.0038)</f>
        <v>60.8</v>
      </c>
      <c r="AS17" s="74">
        <f>IF('Wtr-Gas'!AP19&lt;0,"0",('Wtr-Gas'!AP19)*0.0038)</f>
        <v>1.9E-2</v>
      </c>
      <c r="AT17" s="74">
        <f>IF('Wtr-Gas'!AR19&lt;0,"0",('Wtr-Gas'!AR19)*0.0038)</f>
        <v>2.66</v>
      </c>
      <c r="AU17" s="87">
        <f>IF('Wtr-Gas'!AV19&lt;0,"0",('Wtr-Gas'!AV19)*0.0038)</f>
        <v>0.19</v>
      </c>
      <c r="AV17" s="74">
        <f>IF('Wtr-Gas'!AY19&lt;0,"0",('Wtr-Gas'!AY19)*0.0038)</f>
        <v>83.204800000000006</v>
      </c>
      <c r="AW17" s="74">
        <f>IF('Wtr-Gas'!BA19&lt;0,"0",('Wtr-Gas'!BA19)*0.0038)</f>
        <v>102.640584</v>
      </c>
      <c r="AX17" s="74" t="str">
        <f>IF('Wtr-Gas'!BB19&lt;0,"0",('Wtr-Gas'!BB19)*0.0038)</f>
        <v>0</v>
      </c>
      <c r="AY17" s="74">
        <f>IF('Wtr-Gas'!BD19&lt;0,"0",('Wtr-Gas'!BD19)*0.0038)</f>
        <v>4.5599999999999996</v>
      </c>
      <c r="AZ17" s="74">
        <f>IF('Wtr-Gas'!BF19&lt;0,"0",('Wtr-Gas'!BF19)*0.0038)</f>
        <v>0.38</v>
      </c>
      <c r="BA17" s="74">
        <f>IF('Wtr-Gas'!BH19&lt;0,"0",('Wtr-Gas'!BH19)*0.0038)</f>
        <v>0</v>
      </c>
    </row>
    <row r="18" spans="1:53" x14ac:dyDescent="0.25">
      <c r="A18" s="3" t="s">
        <v>11</v>
      </c>
      <c r="B18" s="72">
        <v>11</v>
      </c>
      <c r="C18" s="2">
        <v>4</v>
      </c>
      <c r="D18" s="2">
        <v>2022</v>
      </c>
      <c r="E18" s="36">
        <f>IF(Elect!AL20&lt;0,"0",Elect!AL20)</f>
        <v>532</v>
      </c>
      <c r="F18" s="36">
        <f>IF(Elect!I20&lt;0,"0",Elect!I20)</f>
        <v>50880</v>
      </c>
      <c r="G18" s="36">
        <f>Elect!H20</f>
        <v>2.4889999999999999</v>
      </c>
      <c r="H18" s="36">
        <f>IF(Elect!F20&lt;0,"0",Elect!F20)</f>
        <v>41440</v>
      </c>
      <c r="I18" s="36">
        <f>Elect!E20</f>
        <v>1.879</v>
      </c>
      <c r="J18" s="36">
        <f>IF(Elect!U20&lt;0,"0",Elect!U20)</f>
        <v>48300</v>
      </c>
      <c r="K18" s="36">
        <f>Elect!T20</f>
        <v>2.444</v>
      </c>
      <c r="L18" s="36">
        <f>IF(Elect!AJ20&lt;0,"0",Elect!AJ20)</f>
        <v>1400</v>
      </c>
      <c r="M18" s="36">
        <f>Elect!AI20</f>
        <v>0.313</v>
      </c>
      <c r="N18" s="36">
        <f>IF(Elect!X20&lt;0,"0",Elect!X20)</f>
        <v>51600</v>
      </c>
      <c r="O18" s="36">
        <f>Elect!W20</f>
        <v>2.0150000000000001</v>
      </c>
      <c r="P18" s="36">
        <f>IF(Elect!O20&lt;0,"0",Elect!O20)</f>
        <v>12000</v>
      </c>
      <c r="Q18" s="36">
        <f>Elect!N20</f>
        <v>2.4500000000000002</v>
      </c>
      <c r="R18" s="36">
        <f>IF(Elect!L20&lt;0,"0",Elect!L20)</f>
        <v>14000</v>
      </c>
      <c r="S18" s="36">
        <f>Elect!K20</f>
        <v>2.98</v>
      </c>
      <c r="T18" s="36">
        <f>IF(Elect!R20&lt;0,"0",Elect!R20)</f>
        <v>12400</v>
      </c>
      <c r="U18" s="36">
        <f>Elect!Q20</f>
        <v>2.7</v>
      </c>
      <c r="V18" s="36">
        <f>IF(Elect!AA20&lt;0,"0",Elect!AA20)</f>
        <v>5600</v>
      </c>
      <c r="W18" s="36">
        <f>Elect!Z20</f>
        <v>3.85</v>
      </c>
      <c r="X18" s="36">
        <f>IF(Elect!AD20&lt;0,"0",Elect!AD20)</f>
        <v>3360</v>
      </c>
      <c r="Y18" s="36">
        <f>Elect!AC20</f>
        <v>3.85</v>
      </c>
      <c r="Z18" s="36">
        <f>IF(Elect!AG20&lt;0,"0",Elect!AG20)</f>
        <v>56800</v>
      </c>
      <c r="AA18" s="36">
        <f>Elect!AF20</f>
        <v>2.302</v>
      </c>
      <c r="AB18" s="36">
        <f>IF(Elect!AX20&lt;0,"0",Elect!AX20)</f>
        <v>1600</v>
      </c>
      <c r="AC18" s="36">
        <f>IF(Elect!AV20&lt;0,"0",Elect!AV20)</f>
        <v>12500</v>
      </c>
      <c r="AD18" s="36">
        <f>IF(Elect!AZ20&lt;0,"0",Elect!AZ20)</f>
        <v>884</v>
      </c>
      <c r="AE18" s="36">
        <f>IF(Elect!BB20&lt;0,"0",Elect!BB20)</f>
        <v>1640</v>
      </c>
      <c r="AF18" s="74">
        <f>IF('Wtr-Gas'!E20&lt;0,"0",('Wtr-Gas'!E20)*0.0038)</f>
        <v>4885.0519999999997</v>
      </c>
      <c r="AG18" s="74">
        <f>IF('Wtr-Gas'!H20&lt;0,"0",('Wtr-Gas'!H20)*0.0038)</f>
        <v>309.58600000000001</v>
      </c>
      <c r="AH18" s="74">
        <f>IF('Wtr-Gas'!K20&lt;0,"0",('Wtr-Gas'!K20)*0.0038)</f>
        <v>0.91200000000000003</v>
      </c>
      <c r="AI18" s="74">
        <f>IF('Wtr-Gas'!N20&lt;0,"0",('Wtr-Gas'!N20)*0.0038)</f>
        <v>3743</v>
      </c>
      <c r="AJ18" s="74">
        <f>IF('Wtr-Gas'!Q20&lt;0,"0",('Wtr-Gas'!Q20)*0.0038)</f>
        <v>112.48</v>
      </c>
      <c r="AK18" s="75">
        <f>IF('Wtr-Gas'!U20&lt;0,"0",('Wtr-Gas'!U20)*0.0038)</f>
        <v>885.78</v>
      </c>
      <c r="AL18" s="75">
        <f>IF('Wtr-Gas'!X20&lt;0,"0",('Wtr-Gas'!X20)*0.0038)</f>
        <v>409.64</v>
      </c>
      <c r="AM18" s="74">
        <f>IF('Wtr-Gas'!AB20&lt;0,"0",('Wtr-Gas'!AB20)*0.0038)</f>
        <v>6574</v>
      </c>
      <c r="AN18" s="74">
        <f>IF('Wtr-Gas'!AD20&lt;0,"0",('Wtr-Gas'!AD20)*0.0038)</f>
        <v>1581.2180000000001</v>
      </c>
      <c r="AO18" s="74">
        <f>IF('Wtr-Gas'!AH20&lt;0,"0",('Wtr-Gas'!AH20)*0.0038)</f>
        <v>11.438000000000001</v>
      </c>
      <c r="AP18" s="74">
        <f>IF('Wtr-Gas'!AJ20&lt;0,"0",('Wtr-Gas'!AJ20)*0.0038)</f>
        <v>319.99799999999999</v>
      </c>
      <c r="AQ18" s="74">
        <f>IF('Wtr-Gas'!AL20&lt;0,"0",('Wtr-Gas'!AL20)*0.0038)</f>
        <v>53.454599999999999</v>
      </c>
      <c r="AR18" s="74">
        <f>IF('Wtr-Gas'!AN20&lt;0,"0",('Wtr-Gas'!AN20)*0.0038)</f>
        <v>315.39999999999998</v>
      </c>
      <c r="AS18" s="74">
        <f>IF('Wtr-Gas'!AP20&lt;0,"0",('Wtr-Gas'!AP20)*0.0038)</f>
        <v>5.3199999999999997E-2</v>
      </c>
      <c r="AT18" s="74">
        <f>IF('Wtr-Gas'!AR20&lt;0,"0",('Wtr-Gas'!AR20)*0.0038)</f>
        <v>8.74</v>
      </c>
      <c r="AU18" s="87">
        <f>IF('Wtr-Gas'!AV20&lt;0,"0",('Wtr-Gas'!AV20)*0.0038)</f>
        <v>0.40660000000000002</v>
      </c>
      <c r="AV18" s="74">
        <f>IF('Wtr-Gas'!AY20&lt;0,"0",('Wtr-Gas'!AY20)*0.0038)</f>
        <v>200.93260000000001</v>
      </c>
      <c r="AW18" s="74">
        <f>IF('Wtr-Gas'!BA20&lt;0,"0",('Wtr-Gas'!BA20)*0.0038)</f>
        <v>150.952302</v>
      </c>
      <c r="AX18" s="74">
        <f>IF('Wtr-Gas'!BB20&lt;0,"0",('Wtr-Gas'!BB20)*0.0038)</f>
        <v>49.980297999999998</v>
      </c>
      <c r="AY18" s="74">
        <f>IF('Wtr-Gas'!BD20&lt;0,"0",('Wtr-Gas'!BD20)*0.0038)</f>
        <v>9.5</v>
      </c>
      <c r="AZ18" s="74">
        <f>IF('Wtr-Gas'!BF20&lt;0,"0",('Wtr-Gas'!BF20)*0.0038)</f>
        <v>1.52</v>
      </c>
      <c r="BA18" s="74">
        <f>IF('Wtr-Gas'!BH20&lt;0,"0",('Wtr-Gas'!BH20)*0.0038)</f>
        <v>0</v>
      </c>
    </row>
    <row r="19" spans="1:53" x14ac:dyDescent="0.25">
      <c r="A19" s="3" t="s">
        <v>11</v>
      </c>
      <c r="B19" s="72">
        <v>18</v>
      </c>
      <c r="C19" s="2">
        <v>4</v>
      </c>
      <c r="D19" s="2">
        <v>2022</v>
      </c>
      <c r="E19" s="36">
        <f>IF(Elect!AL21&lt;0,"0",Elect!AL21)</f>
        <v>508</v>
      </c>
      <c r="F19" s="36">
        <f>IF(Elect!I21&lt;0,"0",Elect!I21)</f>
        <v>49600</v>
      </c>
      <c r="G19" s="36">
        <f>Elect!H21</f>
        <v>2.4889999999999999</v>
      </c>
      <c r="H19" s="36">
        <f>IF(Elect!F21&lt;0,"0",Elect!F21)</f>
        <v>42240</v>
      </c>
      <c r="I19" s="36">
        <f>Elect!E21</f>
        <v>1.92</v>
      </c>
      <c r="J19" s="36">
        <f>IF(Elect!U21&lt;0,"0",Elect!U21)</f>
        <v>62400</v>
      </c>
      <c r="K19" s="36">
        <f>Elect!T21</f>
        <v>2.444</v>
      </c>
      <c r="L19" s="36">
        <f>IF(Elect!AJ21&lt;0,"0",Elect!AJ21)</f>
        <v>1440</v>
      </c>
      <c r="M19" s="36">
        <f>Elect!AI21</f>
        <v>0.313</v>
      </c>
      <c r="N19" s="36">
        <f>IF(Elect!X21&lt;0,"0",Elect!X21)</f>
        <v>60600</v>
      </c>
      <c r="O19" s="36">
        <f>Elect!W21</f>
        <v>2.0150000000000001</v>
      </c>
      <c r="P19" s="36">
        <f>IF(Elect!O21&lt;0,"0",Elect!O21)</f>
        <v>11600</v>
      </c>
      <c r="Q19" s="36">
        <f>Elect!N21</f>
        <v>2.4500000000000002</v>
      </c>
      <c r="R19" s="36">
        <f>IF(Elect!L21&lt;0,"0",Elect!L21)</f>
        <v>12400</v>
      </c>
      <c r="S19" s="36">
        <f>Elect!K21</f>
        <v>2.98</v>
      </c>
      <c r="T19" s="36">
        <f>IF(Elect!R21&lt;0,"0",Elect!R21)</f>
        <v>11600</v>
      </c>
      <c r="U19" s="36">
        <f>Elect!Q21</f>
        <v>2.7</v>
      </c>
      <c r="V19" s="36">
        <f>IF(Elect!AA21&lt;0,"0",Elect!AA21)</f>
        <v>5600</v>
      </c>
      <c r="W19" s="36">
        <f>Elect!Z21</f>
        <v>3.85</v>
      </c>
      <c r="X19" s="36">
        <f>IF(Elect!AD21&lt;0,"0",Elect!AD21)</f>
        <v>3360</v>
      </c>
      <c r="Y19" s="36">
        <f>Elect!AC21</f>
        <v>3.85</v>
      </c>
      <c r="Z19" s="36">
        <f>IF(Elect!AG21&lt;0,"0",Elect!AG21)</f>
        <v>57800</v>
      </c>
      <c r="AA19" s="36">
        <f>Elect!AF21</f>
        <v>2.302</v>
      </c>
      <c r="AB19" s="36">
        <f>IF(Elect!AX21&lt;0,"0",Elect!AX21)</f>
        <v>1700</v>
      </c>
      <c r="AC19" s="36">
        <f>IF(Elect!AV21&lt;0,"0",Elect!AV21)</f>
        <v>13800</v>
      </c>
      <c r="AD19" s="36">
        <f>IF(Elect!AZ21&lt;0,"0",Elect!AZ21)</f>
        <v>912</v>
      </c>
      <c r="AE19" s="36">
        <f>IF(Elect!BB21&lt;0,"0",Elect!BB21)</f>
        <v>2680</v>
      </c>
      <c r="AF19" s="74">
        <f>IF('Wtr-Gas'!E21&lt;0,"0",('Wtr-Gas'!E21)*0.0038)</f>
        <v>5515.3580000000002</v>
      </c>
      <c r="AG19" s="74">
        <f>IF('Wtr-Gas'!H21&lt;0,"0",('Wtr-Gas'!H21)*0.0038)</f>
        <v>247.38</v>
      </c>
      <c r="AH19" s="74">
        <f>IF('Wtr-Gas'!K21&lt;0,"0",('Wtr-Gas'!K21)*0.0038)</f>
        <v>0.874</v>
      </c>
      <c r="AI19" s="74">
        <f>IF('Wtr-Gas'!N21&lt;0,"0",('Wtr-Gas'!N21)*0.0038)</f>
        <v>4157.2</v>
      </c>
      <c r="AJ19" s="74">
        <f>IF('Wtr-Gas'!Q21&lt;0,"0",('Wtr-Gas'!Q21)*0.0038)</f>
        <v>117.8</v>
      </c>
      <c r="AK19" s="75">
        <f>IF('Wtr-Gas'!U21&lt;0,"0",('Wtr-Gas'!U21)*0.0038)</f>
        <v>929.1</v>
      </c>
      <c r="AL19" s="75">
        <f>IF('Wtr-Gas'!X21&lt;0,"0",('Wtr-Gas'!X21)*0.0038)</f>
        <v>318.82</v>
      </c>
      <c r="AM19" s="74">
        <f>IF('Wtr-Gas'!AB21&lt;0,"0",('Wtr-Gas'!AB21)*0.0038)</f>
        <v>8322</v>
      </c>
      <c r="AN19" s="74">
        <f>IF('Wtr-Gas'!AD21&lt;0,"0",('Wtr-Gas'!AD21)*0.0038)</f>
        <v>1678.498</v>
      </c>
      <c r="AO19" s="74">
        <f>IF('Wtr-Gas'!AH21&lt;0,"0",('Wtr-Gas'!AH21)*0.0038)</f>
        <v>17.86</v>
      </c>
      <c r="AP19" s="74">
        <f>IF('Wtr-Gas'!AJ21&lt;0,"0",('Wtr-Gas'!AJ21)*0.0038)</f>
        <v>367.46</v>
      </c>
      <c r="AQ19" s="74">
        <f>IF('Wtr-Gas'!AL21&lt;0,"0",('Wtr-Gas'!AL21)*0.0038)</f>
        <v>41.058999999999997</v>
      </c>
      <c r="AR19" s="74">
        <f>IF('Wtr-Gas'!AN21&lt;0,"0",('Wtr-Gas'!AN21)*0.0038)</f>
        <v>459.8</v>
      </c>
      <c r="AS19" s="74">
        <f>IF('Wtr-Gas'!AP21&lt;0,"0",('Wtr-Gas'!AP21)*0.0038)</f>
        <v>4.5600000000000002E-2</v>
      </c>
      <c r="AT19" s="74">
        <f>IF('Wtr-Gas'!AR21&lt;0,"0",('Wtr-Gas'!AR21)*0.0038)</f>
        <v>10.64</v>
      </c>
      <c r="AU19" s="87">
        <f>IF('Wtr-Gas'!AV21&lt;0,"0",('Wtr-Gas'!AV21)*0.0038)</f>
        <v>0.41420000000000001</v>
      </c>
      <c r="AV19" s="74">
        <f>IF('Wtr-Gas'!AY21&lt;0,"0",('Wtr-Gas'!AY21)*0.0038)</f>
        <v>189.6086</v>
      </c>
      <c r="AW19" s="74">
        <f>IF('Wtr-Gas'!BA21&lt;0,"0",('Wtr-Gas'!BA21)*0.0038)</f>
        <v>136.27385200000001</v>
      </c>
      <c r="AX19" s="74">
        <f>IF('Wtr-Gas'!BB21&lt;0,"0",('Wtr-Gas'!BB21)*0.0038)</f>
        <v>53.334747999999998</v>
      </c>
      <c r="AY19" s="74">
        <f>IF('Wtr-Gas'!BD21&lt;0,"0",('Wtr-Gas'!BD21)*0.0038)</f>
        <v>21.28</v>
      </c>
      <c r="AZ19" s="74">
        <f>IF('Wtr-Gas'!BF21&lt;0,"0",('Wtr-Gas'!BF21)*0.0038)</f>
        <v>1.1399999999999999</v>
      </c>
      <c r="BA19" s="74">
        <f>IF('Wtr-Gas'!BH21&lt;0,"0",('Wtr-Gas'!BH21)*0.0038)</f>
        <v>0</v>
      </c>
    </row>
    <row r="20" spans="1:53" x14ac:dyDescent="0.25">
      <c r="A20" s="3" t="s">
        <v>11</v>
      </c>
      <c r="B20" s="72">
        <v>25</v>
      </c>
      <c r="C20" s="2">
        <v>4</v>
      </c>
      <c r="D20" s="2">
        <v>2022</v>
      </c>
      <c r="E20" s="36">
        <f>IF(Elect!AL22&lt;0,"0",Elect!AL22)</f>
        <v>490</v>
      </c>
      <c r="F20" s="36">
        <f>IF(Elect!I22&lt;0,"0",Elect!I22)</f>
        <v>51200</v>
      </c>
      <c r="G20" s="36">
        <f>Elect!H22</f>
        <v>2.2930000000000001</v>
      </c>
      <c r="H20" s="36">
        <f>IF(Elect!F22&lt;0,"0",Elect!F22)</f>
        <v>43040</v>
      </c>
      <c r="I20" s="36">
        <f>Elect!E22</f>
        <v>1.845</v>
      </c>
      <c r="J20" s="36">
        <f>IF(Elect!U22&lt;0,"0",Elect!U22)</f>
        <v>60600</v>
      </c>
      <c r="K20" s="36">
        <f>Elect!T22</f>
        <v>1.619</v>
      </c>
      <c r="L20" s="36">
        <f>IF(Elect!AJ22&lt;0,"0",Elect!AJ22)</f>
        <v>1520</v>
      </c>
      <c r="M20" s="36">
        <f>Elect!AI22</f>
        <v>0.28399999999999997</v>
      </c>
      <c r="N20" s="36">
        <f>IF(Elect!X22&lt;0,"0",Elect!X22)</f>
        <v>54000</v>
      </c>
      <c r="O20" s="36">
        <f>Elect!W22</f>
        <v>1.8089999999999999</v>
      </c>
      <c r="P20" s="36">
        <f>IF(Elect!O22&lt;0,"0",Elect!O22)</f>
        <v>12000</v>
      </c>
      <c r="Q20" s="36">
        <f>Elect!N22</f>
        <v>2.02</v>
      </c>
      <c r="R20" s="36">
        <f>IF(Elect!L22&lt;0,"0",Elect!L22)</f>
        <v>12800</v>
      </c>
      <c r="S20" s="36">
        <f>Elect!K22</f>
        <v>2.5</v>
      </c>
      <c r="T20" s="36">
        <f>IF(Elect!R22&lt;0,"0",Elect!R22)</f>
        <v>12000</v>
      </c>
      <c r="U20" s="36">
        <f>Elect!Q22</f>
        <v>2.29</v>
      </c>
      <c r="V20" s="36">
        <f>IF(Elect!AA22&lt;0,"0",Elect!AA22)</f>
        <v>6080</v>
      </c>
      <c r="W20" s="36">
        <f>Elect!Z22</f>
        <v>3.17</v>
      </c>
      <c r="X20" s="36">
        <f>IF(Elect!AD22&lt;0,"0",Elect!AD22)</f>
        <v>3840</v>
      </c>
      <c r="Y20" s="36">
        <f>Elect!AC22</f>
        <v>2.39</v>
      </c>
      <c r="Z20" s="36">
        <f>IF(Elect!AG22&lt;0,"0",Elect!AG22)</f>
        <v>57800</v>
      </c>
      <c r="AA20" s="36">
        <f>Elect!AF22</f>
        <v>2.1619999999999999</v>
      </c>
      <c r="AB20" s="36">
        <f>IF(Elect!AX22&lt;0,"0",Elect!AX22)</f>
        <v>1900</v>
      </c>
      <c r="AC20" s="36">
        <f>IF(Elect!AV22&lt;0,"0",Elect!AV22)</f>
        <v>17100</v>
      </c>
      <c r="AD20" s="36">
        <f>IF(Elect!AZ22&lt;0,"0",Elect!AZ22)</f>
        <v>1070</v>
      </c>
      <c r="AE20" s="36">
        <f>IF(Elect!BB22&lt;0,"0",Elect!BB22)</f>
        <v>3440</v>
      </c>
      <c r="AF20" s="74">
        <f>IF('Wtr-Gas'!E22&lt;0,"0",('Wtr-Gas'!E22)*0.0038)</f>
        <v>5260.4160000000002</v>
      </c>
      <c r="AG20" s="74">
        <f>IF('Wtr-Gas'!H22&lt;0,"0",('Wtr-Gas'!H22)*0.0038)</f>
        <v>462.30799999999999</v>
      </c>
      <c r="AH20" s="74">
        <f>IF('Wtr-Gas'!K22&lt;0,"0",('Wtr-Gas'!K22)*0.0038)</f>
        <v>1.4059999999999999</v>
      </c>
      <c r="AI20" s="74">
        <f>IF('Wtr-Gas'!N22&lt;0,"0",('Wtr-Gas'!N22)*0.0038)</f>
        <v>4252.2</v>
      </c>
      <c r="AJ20" s="74">
        <f>IF('Wtr-Gas'!Q22&lt;0,"0",('Wtr-Gas'!Q22)*0.0038)</f>
        <v>133</v>
      </c>
      <c r="AK20" s="75">
        <f>IF('Wtr-Gas'!U22&lt;0,"0",('Wtr-Gas'!U22)*0.0038)</f>
        <v>956.08</v>
      </c>
      <c r="AL20" s="75">
        <f>IF('Wtr-Gas'!X22&lt;0,"0",('Wtr-Gas'!X22)*0.0038)</f>
        <v>404.32</v>
      </c>
      <c r="AM20" s="74">
        <f>IF('Wtr-Gas'!AB22&lt;0,"0",('Wtr-Gas'!AB22)*0.0038)</f>
        <v>8246</v>
      </c>
      <c r="AN20" s="74">
        <f>IF('Wtr-Gas'!AD22&lt;0,"0",('Wtr-Gas'!AD22)*0.0038)</f>
        <v>1926.182</v>
      </c>
      <c r="AO20" s="74">
        <f>IF('Wtr-Gas'!AH22&lt;0,"0",('Wtr-Gas'!AH22)*0.0038)</f>
        <v>14.364000000000001</v>
      </c>
      <c r="AP20" s="74">
        <f>IF('Wtr-Gas'!AJ22&lt;0,"0",('Wtr-Gas'!AJ22)*0.0038)</f>
        <v>355.52800000000002</v>
      </c>
      <c r="AQ20" s="74">
        <f>IF('Wtr-Gas'!AL22&lt;0,"0",('Wtr-Gas'!AL22)*0.0038)</f>
        <v>70.816800000000001</v>
      </c>
      <c r="AR20" s="74">
        <f>IF('Wtr-Gas'!AN22&lt;0,"0",('Wtr-Gas'!AN22)*0.0038)</f>
        <v>311.60000000000002</v>
      </c>
      <c r="AS20" s="74">
        <f>IF('Wtr-Gas'!AP22&lt;0,"0",('Wtr-Gas'!AP22)*0.0038)</f>
        <v>4.1799999999999997E-2</v>
      </c>
      <c r="AT20" s="74">
        <f>IF('Wtr-Gas'!AR22&lt;0,"0",('Wtr-Gas'!AR22)*0.0038)</f>
        <v>6.08</v>
      </c>
      <c r="AU20" s="87">
        <f>IF('Wtr-Gas'!AV22&lt;0,"0",('Wtr-Gas'!AV22)*0.0038)</f>
        <v>0.55100000000000005</v>
      </c>
      <c r="AV20" s="74">
        <f>IF('Wtr-Gas'!AY22&lt;0,"0",('Wtr-Gas'!AY22)*0.0038)</f>
        <v>236.73240000000001</v>
      </c>
      <c r="AW20" s="74">
        <f>IF('Wtr-Gas'!BA22&lt;0,"0",('Wtr-Gas'!BA22)*0.0038)</f>
        <v>170.40955600000001</v>
      </c>
      <c r="AX20" s="74">
        <f>IF('Wtr-Gas'!BB22&lt;0,"0",('Wtr-Gas'!BB22)*0.0038)</f>
        <v>66.322843999999989</v>
      </c>
      <c r="AY20" s="74">
        <f>IF('Wtr-Gas'!BD22&lt;0,"0",('Wtr-Gas'!BD22)*0.0038)</f>
        <v>13.3</v>
      </c>
      <c r="AZ20" s="74">
        <f>IF('Wtr-Gas'!BF22&lt;0,"0",('Wtr-Gas'!BF22)*0.0038)</f>
        <v>1.9</v>
      </c>
      <c r="BA20" s="74">
        <f>IF('Wtr-Gas'!BH22&lt;0,"0",('Wtr-Gas'!BH22)*0.0038)</f>
        <v>0</v>
      </c>
    </row>
    <row r="21" spans="1:53" x14ac:dyDescent="0.25">
      <c r="A21" s="3" t="s">
        <v>11</v>
      </c>
      <c r="B21" s="72">
        <v>30</v>
      </c>
      <c r="C21" s="2">
        <v>4</v>
      </c>
      <c r="D21" s="2">
        <v>2022</v>
      </c>
      <c r="E21" s="36">
        <f>IF(Elect!AL23&lt;0,"0",Elect!AL23)</f>
        <v>488</v>
      </c>
      <c r="F21" s="36">
        <f>IF(Elect!I23&lt;0,"0",Elect!I23)</f>
        <v>79840</v>
      </c>
      <c r="G21" s="36">
        <f>Elect!H23</f>
        <v>2.343</v>
      </c>
      <c r="H21" s="36">
        <f>IF(Elect!F23&lt;0,"0",Elect!F23)</f>
        <v>40640</v>
      </c>
      <c r="I21" s="36">
        <f>Elect!E23</f>
        <v>1.9430000000000001</v>
      </c>
      <c r="J21" s="36">
        <f>IF(Elect!U23&lt;0,"0",Elect!U23)</f>
        <v>59100</v>
      </c>
      <c r="K21" s="36">
        <f>Elect!T23</f>
        <v>2.4359999999999999</v>
      </c>
      <c r="L21" s="36">
        <f>IF(Elect!AJ23&lt;0,"0",Elect!AJ23)</f>
        <v>1400</v>
      </c>
      <c r="M21" s="36">
        <f>Elect!AI23</f>
        <v>0.28899999999999998</v>
      </c>
      <c r="N21" s="36">
        <f>IF(Elect!X23&lt;0,"0",Elect!X23)</f>
        <v>72600</v>
      </c>
      <c r="O21" s="36">
        <f>Elect!W23</f>
        <v>1.901</v>
      </c>
      <c r="P21" s="36">
        <f>IF(Elect!O23&lt;0,"0",Elect!O23)</f>
        <v>10800</v>
      </c>
      <c r="Q21" s="36">
        <f>Elect!N23</f>
        <v>2.21</v>
      </c>
      <c r="R21" s="36">
        <f>IF(Elect!L23&lt;0,"0",Elect!L23)</f>
        <v>13600</v>
      </c>
      <c r="S21" s="36">
        <f>Elect!K23</f>
        <v>2.5499999999999998</v>
      </c>
      <c r="T21" s="36">
        <f>IF(Elect!R23&lt;0,"0",Elect!R23)</f>
        <v>12000</v>
      </c>
      <c r="U21" s="36">
        <f>Elect!Q23</f>
        <v>2.42</v>
      </c>
      <c r="V21" s="36">
        <f>IF(Elect!AA23&lt;0,"0",Elect!AA23)</f>
        <v>6080</v>
      </c>
      <c r="W21" s="36">
        <f>Elect!Z23</f>
        <v>3.23</v>
      </c>
      <c r="X21" s="36">
        <f>IF(Elect!AD23&lt;0,"0",Elect!AD23)</f>
        <v>4320</v>
      </c>
      <c r="Y21" s="36">
        <f>Elect!AC23</f>
        <v>3.02</v>
      </c>
      <c r="Z21" s="36">
        <f>IF(Elect!AG23&lt;0,"0",Elect!AG23)</f>
        <v>55800</v>
      </c>
      <c r="AA21" s="36">
        <f>Elect!AF23</f>
        <v>2.2050000000000001</v>
      </c>
      <c r="AB21" s="36">
        <f>IF(Elect!AX23&lt;0,"0",Elect!AX23)</f>
        <v>1500</v>
      </c>
      <c r="AC21" s="36">
        <f>IF(Elect!AV23&lt;0,"0",Elect!AV23)</f>
        <v>12500</v>
      </c>
      <c r="AD21" s="36">
        <f>IF(Elect!AZ23&lt;0,"0",Elect!AZ23)</f>
        <v>730</v>
      </c>
      <c r="AE21" s="36">
        <f>IF(Elect!BB23&lt;0,"0",Elect!BB23)</f>
        <v>2680</v>
      </c>
      <c r="AF21" s="74">
        <f>IF('Wtr-Gas'!E23&lt;0,"0",('Wtr-Gas'!E23)*0.0038)</f>
        <v>5223.442</v>
      </c>
      <c r="AG21" s="74">
        <f>IF('Wtr-Gas'!H23&lt;0,"0",('Wtr-Gas'!H23)*0.0038)</f>
        <v>456.91199999999998</v>
      </c>
      <c r="AH21" s="74">
        <f>IF('Wtr-Gas'!K23&lt;0,"0",('Wtr-Gas'!K23)*0.0038)</f>
        <v>0.26600000000000001</v>
      </c>
      <c r="AI21" s="74">
        <f>IF('Wtr-Gas'!N23&lt;0,"0",('Wtr-Gas'!N23)*0.0038)</f>
        <v>3887.4</v>
      </c>
      <c r="AJ21" s="74">
        <f>IF('Wtr-Gas'!Q23&lt;0,"0",('Wtr-Gas'!Q23)*0.0038)</f>
        <v>121.98</v>
      </c>
      <c r="AK21" s="75">
        <f>IF('Wtr-Gas'!U23&lt;0,"0",('Wtr-Gas'!U23)*0.0038)</f>
        <v>900.98</v>
      </c>
      <c r="AL21" s="75">
        <f>IF('Wtr-Gas'!X23&lt;0,"0",('Wtr-Gas'!X23)*0.0038)</f>
        <v>283.48</v>
      </c>
      <c r="AM21" s="74">
        <f>IF('Wtr-Gas'!AB23&lt;0,"0",('Wtr-Gas'!AB23)*0.0038)</f>
        <v>9234</v>
      </c>
      <c r="AN21" s="74">
        <f>IF('Wtr-Gas'!AD23&lt;0,"0",('Wtr-Gas'!AD23)*0.0038)</f>
        <v>2044.742</v>
      </c>
      <c r="AO21" s="74">
        <f>IF('Wtr-Gas'!AH23&lt;0,"0",('Wtr-Gas'!AH23)*0.0038)</f>
        <v>19.835999999999999</v>
      </c>
      <c r="AP21" s="74">
        <f>IF('Wtr-Gas'!AJ23&lt;0,"0",('Wtr-Gas'!AJ23)*0.0038)</f>
        <v>305.93799999999999</v>
      </c>
      <c r="AQ21" s="74">
        <f>IF('Wtr-Gas'!AL23&lt;0,"0",('Wtr-Gas'!AL23)*0.0038)</f>
        <v>50.825000000000003</v>
      </c>
      <c r="AR21" s="74">
        <f>IF('Wtr-Gas'!AN23&lt;0,"0",('Wtr-Gas'!AN23)*0.0038)</f>
        <v>376.2</v>
      </c>
      <c r="AS21" s="74">
        <f>IF('Wtr-Gas'!AP23&lt;0,"0",('Wtr-Gas'!AP23)*0.0038)</f>
        <v>3.4200000000000001E-2</v>
      </c>
      <c r="AT21" s="74">
        <f>IF('Wtr-Gas'!AR23&lt;0,"0",('Wtr-Gas'!AR23)*0.0038)</f>
        <v>9.1199999999999992</v>
      </c>
      <c r="AU21" s="87">
        <f>IF('Wtr-Gas'!AV23&lt;0,"0",('Wtr-Gas'!AV23)*0.0038)</f>
        <v>0.36859999999999998</v>
      </c>
      <c r="AV21" s="74">
        <f>IF('Wtr-Gas'!AY23&lt;0,"0",('Wtr-Gas'!AY23)*0.0038)</f>
        <v>172.3946</v>
      </c>
      <c r="AW21" s="74">
        <f>IF('Wtr-Gas'!BA23&lt;0,"0",('Wtr-Gas'!BA23)*0.0038)</f>
        <v>127.58644399999999</v>
      </c>
      <c r="AX21" s="74">
        <f>IF('Wtr-Gas'!BB23&lt;0,"0",('Wtr-Gas'!BB23)*0.0038)</f>
        <v>44.808156000000011</v>
      </c>
      <c r="AY21" s="74">
        <f>IF('Wtr-Gas'!BD23&lt;0,"0",('Wtr-Gas'!BD23)*0.0038)</f>
        <v>7.98</v>
      </c>
      <c r="AZ21" s="74">
        <f>IF('Wtr-Gas'!BF23&lt;0,"0",('Wtr-Gas'!BF23)*0.0038)</f>
        <v>0.76</v>
      </c>
      <c r="BA21" s="74">
        <f>IF('Wtr-Gas'!BH23&lt;0,"0",('Wtr-Gas'!BH23)*0.0038)</f>
        <v>0</v>
      </c>
    </row>
    <row r="22" spans="1:53" x14ac:dyDescent="0.25">
      <c r="A22" s="3" t="s">
        <v>11</v>
      </c>
      <c r="B22" s="72">
        <v>2</v>
      </c>
      <c r="C22" s="2">
        <v>5</v>
      </c>
      <c r="D22" s="2">
        <v>2022</v>
      </c>
      <c r="E22" s="36">
        <f>IF(Elect!AL24&lt;0,"0",Elect!AL24)</f>
        <v>0</v>
      </c>
      <c r="F22" s="36">
        <f>IF(Elect!I24&lt;0,"0",Elect!I24)</f>
        <v>0</v>
      </c>
      <c r="G22" s="36">
        <f>Elect!H24</f>
        <v>2.343</v>
      </c>
      <c r="H22" s="36">
        <f>IF(Elect!F24&lt;0,"0",Elect!F24)</f>
        <v>0</v>
      </c>
      <c r="I22" s="36">
        <f>Elect!E24</f>
        <v>1.9430000000000001</v>
      </c>
      <c r="J22" s="36">
        <f>IF(Elect!U24&lt;0,"0",Elect!U24)</f>
        <v>0</v>
      </c>
      <c r="K22" s="36">
        <f>Elect!T24</f>
        <v>2.4359999999999999</v>
      </c>
      <c r="L22" s="36">
        <f>IF(Elect!AJ24&lt;0,"0",Elect!AJ24)</f>
        <v>0</v>
      </c>
      <c r="M22" s="36">
        <f>Elect!AI24</f>
        <v>0.28899999999999998</v>
      </c>
      <c r="N22" s="36">
        <f>IF(Elect!X24&lt;0,"0",Elect!X24)</f>
        <v>0</v>
      </c>
      <c r="O22" s="36">
        <f>Elect!W24</f>
        <v>1.901</v>
      </c>
      <c r="P22" s="36">
        <f>IF(Elect!O24&lt;0,"0",Elect!O24)</f>
        <v>0</v>
      </c>
      <c r="Q22" s="36">
        <f>Elect!N24</f>
        <v>2.21</v>
      </c>
      <c r="R22" s="36">
        <f>IF(Elect!L24&lt;0,"0",Elect!L24)</f>
        <v>0</v>
      </c>
      <c r="S22" s="36">
        <f>Elect!K24</f>
        <v>2.5499999999999998</v>
      </c>
      <c r="T22" s="36">
        <f>IF(Elect!R24&lt;0,"0",Elect!R24)</f>
        <v>0</v>
      </c>
      <c r="U22" s="36">
        <f>Elect!Q24</f>
        <v>2.42</v>
      </c>
      <c r="V22" s="36">
        <f>IF(Elect!AA24&lt;0,"0",Elect!AA24)</f>
        <v>0</v>
      </c>
      <c r="W22" s="36">
        <f>Elect!Z24</f>
        <v>3.23</v>
      </c>
      <c r="X22" s="36">
        <f>IF(Elect!AD24&lt;0,"0",Elect!AD24)</f>
        <v>0</v>
      </c>
      <c r="Y22" s="36">
        <f>Elect!AC24</f>
        <v>3.02</v>
      </c>
      <c r="Z22" s="36">
        <f>IF(Elect!AG24&lt;0,"0",Elect!AG24)</f>
        <v>0</v>
      </c>
      <c r="AA22" s="36">
        <f>Elect!AF24</f>
        <v>2.2050000000000001</v>
      </c>
      <c r="AB22" s="36">
        <f>IF(Elect!AX24&lt;0,"0",Elect!AX24)</f>
        <v>0</v>
      </c>
      <c r="AC22" s="36">
        <f>IF(Elect!AV24&lt;0,"0",Elect!AV24)</f>
        <v>0</v>
      </c>
      <c r="AD22" s="36">
        <f>IF(Elect!AZ24&lt;0,"0",Elect!AZ24)</f>
        <v>0</v>
      </c>
      <c r="AE22" s="36">
        <f>IF(Elect!BB24&lt;0,"0",Elect!BB24)</f>
        <v>0</v>
      </c>
      <c r="AF22" s="74">
        <f>IF('Wtr-Gas'!E24&lt;0,"0",('Wtr-Gas'!E24)*0.0038)</f>
        <v>0</v>
      </c>
      <c r="AG22" s="74">
        <f>IF('Wtr-Gas'!H24&lt;0,"0",('Wtr-Gas'!H24)*0.0038)</f>
        <v>0</v>
      </c>
      <c r="AH22" s="74">
        <f>IF('Wtr-Gas'!K24&lt;0,"0",('Wtr-Gas'!K24)*0.0038)</f>
        <v>0</v>
      </c>
      <c r="AI22" s="74">
        <f>IF('Wtr-Gas'!N24&lt;0,"0",('Wtr-Gas'!N24)*0.0038)</f>
        <v>0</v>
      </c>
      <c r="AJ22" s="74">
        <f>IF('Wtr-Gas'!Q24&lt;0,"0",('Wtr-Gas'!Q24)*0.0038)</f>
        <v>0</v>
      </c>
      <c r="AK22" s="75">
        <f>IF('Wtr-Gas'!U24&lt;0,"0",('Wtr-Gas'!U24)*0.0038)</f>
        <v>0</v>
      </c>
      <c r="AL22" s="75">
        <f>IF('Wtr-Gas'!X24&lt;0,"0",('Wtr-Gas'!X24)*0.0038)</f>
        <v>0</v>
      </c>
      <c r="AM22" s="74">
        <f>IF('Wtr-Gas'!AB24&lt;0,"0",('Wtr-Gas'!AB24)*0.0038)</f>
        <v>0</v>
      </c>
      <c r="AN22" s="74">
        <f>IF('Wtr-Gas'!AD24&lt;0,"0",('Wtr-Gas'!AD24)*0.0038)</f>
        <v>0</v>
      </c>
      <c r="AO22" s="74">
        <f>IF('Wtr-Gas'!AH24&lt;0,"0",('Wtr-Gas'!AH24)*0.0038)</f>
        <v>0</v>
      </c>
      <c r="AP22" s="74">
        <f>IF('Wtr-Gas'!AJ24&lt;0,"0",('Wtr-Gas'!AJ24)*0.0038)</f>
        <v>0</v>
      </c>
      <c r="AQ22" s="74">
        <f>IF('Wtr-Gas'!AL24&lt;0,"0",('Wtr-Gas'!AL24)*0.0038)</f>
        <v>0</v>
      </c>
      <c r="AR22" s="74">
        <f>IF('Wtr-Gas'!AN24&lt;0,"0",('Wtr-Gas'!AN24)*0.0038)</f>
        <v>0</v>
      </c>
      <c r="AS22" s="74">
        <f>IF('Wtr-Gas'!AP24&lt;0,"0",('Wtr-Gas'!AP24)*0.0038)</f>
        <v>0</v>
      </c>
      <c r="AT22" s="74">
        <f>IF('Wtr-Gas'!AR24&lt;0,"0",('Wtr-Gas'!AR24)*0.0038)</f>
        <v>0</v>
      </c>
      <c r="AU22" s="87">
        <f>IF('Wtr-Gas'!AV24&lt;0,"0",('Wtr-Gas'!AV24)*0.0038)</f>
        <v>0</v>
      </c>
      <c r="AV22" s="74">
        <f>IF('Wtr-Gas'!AY24&lt;0,"0",('Wtr-Gas'!AY24)*0.0038)</f>
        <v>0</v>
      </c>
      <c r="AW22" s="74">
        <f>IF('Wtr-Gas'!BA24&lt;0,"0",('Wtr-Gas'!BA24)*0.0038)</f>
        <v>0</v>
      </c>
      <c r="AX22" s="74">
        <f>IF('Wtr-Gas'!BB24&lt;0,"0",('Wtr-Gas'!BB24)*0.0038)</f>
        <v>0</v>
      </c>
      <c r="AY22" s="74">
        <f>IF('Wtr-Gas'!BD24&lt;0,"0",('Wtr-Gas'!BD24)*0.0038)</f>
        <v>0</v>
      </c>
      <c r="AZ22" s="74">
        <f>IF('Wtr-Gas'!BF24&lt;0,"0",('Wtr-Gas'!BF24)*0.0038)</f>
        <v>0</v>
      </c>
      <c r="BA22" s="74">
        <f>IF('Wtr-Gas'!BH24&lt;0,"0",('Wtr-Gas'!BH24)*0.0038)</f>
        <v>0</v>
      </c>
    </row>
    <row r="23" spans="1:53" x14ac:dyDescent="0.25">
      <c r="A23" s="3" t="s">
        <v>11</v>
      </c>
      <c r="B23" s="72">
        <v>9</v>
      </c>
      <c r="C23" s="2">
        <v>5</v>
      </c>
      <c r="D23" s="2">
        <v>2022</v>
      </c>
      <c r="E23" s="36">
        <f>IF(Elect!AL25&lt;0,"0",Elect!AL25)</f>
        <v>479</v>
      </c>
      <c r="F23" s="36">
        <f>IF(Elect!I25&lt;0,"0",Elect!I25)</f>
        <v>17760</v>
      </c>
      <c r="G23" s="36">
        <f>Elect!H25</f>
        <v>2.3559999999999999</v>
      </c>
      <c r="H23" s="36">
        <f>IF(Elect!F25&lt;0,"0",Elect!F25)</f>
        <v>42240</v>
      </c>
      <c r="I23" s="36">
        <f>Elect!E25</f>
        <v>1.9430000000000001</v>
      </c>
      <c r="J23" s="36">
        <f>IF(Elect!U25&lt;0,"0",Elect!U25)</f>
        <v>79500</v>
      </c>
      <c r="K23" s="36">
        <f>Elect!T25</f>
        <v>2.492</v>
      </c>
      <c r="L23" s="36">
        <f>IF(Elect!AJ25&lt;0,"0",Elect!AJ25)</f>
        <v>1440</v>
      </c>
      <c r="M23" s="36">
        <f>Elect!AI25</f>
        <v>0.29199999999999998</v>
      </c>
      <c r="N23" s="36">
        <f>IF(Elect!X25&lt;0,"0",Elect!X25)</f>
        <v>69900</v>
      </c>
      <c r="O23" s="36">
        <f>Elect!W25</f>
        <v>1.948</v>
      </c>
      <c r="P23" s="36">
        <f>IF(Elect!O25&lt;0,"0",Elect!O25)</f>
        <v>10800</v>
      </c>
      <c r="Q23" s="36">
        <f>Elect!N25</f>
        <v>2.21</v>
      </c>
      <c r="R23" s="36">
        <f>IF(Elect!L25&lt;0,"0",Elect!L25)</f>
        <v>12800</v>
      </c>
      <c r="S23" s="36">
        <f>Elect!K25</f>
        <v>2.5499999999999998</v>
      </c>
      <c r="T23" s="36">
        <f>IF(Elect!R25&lt;0,"0",Elect!R25)</f>
        <v>11200</v>
      </c>
      <c r="U23" s="36">
        <f>Elect!Q25</f>
        <v>2.42</v>
      </c>
      <c r="V23" s="36">
        <f>IF(Elect!AA25&lt;0,"0",Elect!AA25)</f>
        <v>6240</v>
      </c>
      <c r="W23" s="36">
        <f>Elect!Z25</f>
        <v>3.31</v>
      </c>
      <c r="X23" s="36">
        <f>IF(Elect!AD25&lt;0,"0",Elect!AD25)</f>
        <v>4320</v>
      </c>
      <c r="Y23" s="36">
        <f>Elect!AC25</f>
        <v>3.02</v>
      </c>
      <c r="Z23" s="36">
        <f>IF(Elect!AG25&lt;0,"0",Elect!AG25)</f>
        <v>57400</v>
      </c>
      <c r="AA23" s="36">
        <f>Elect!AF25</f>
        <v>2.2050000000000001</v>
      </c>
      <c r="AB23" s="36">
        <f>IF(Elect!AX25&lt;0,"0",Elect!AX25)</f>
        <v>2000</v>
      </c>
      <c r="AC23" s="36">
        <f>IF(Elect!AV25&lt;0,"0",Elect!AV25)</f>
        <v>15900</v>
      </c>
      <c r="AD23" s="36">
        <f>IF(Elect!AZ25&lt;0,"0",Elect!AZ25)</f>
        <v>909</v>
      </c>
      <c r="AE23" s="36">
        <f>IF(Elect!BB25&lt;0,"0",Elect!BB25)</f>
        <v>5280</v>
      </c>
      <c r="AF23" s="74">
        <f>IF('Wtr-Gas'!E25&lt;0,"0",('Wtr-Gas'!E25)*0.0038)</f>
        <v>5465.0460000000003</v>
      </c>
      <c r="AG23" s="74">
        <f>IF('Wtr-Gas'!H25&lt;0,"0",('Wtr-Gas'!H25)*0.0038)</f>
        <v>323.26600000000002</v>
      </c>
      <c r="AH23" s="74">
        <f>IF('Wtr-Gas'!K25&lt;0,"0",('Wtr-Gas'!K25)*0.0038)</f>
        <v>1.026</v>
      </c>
      <c r="AI23" s="74">
        <f>IF('Wtr-Gas'!N25&lt;0,"0",('Wtr-Gas'!N25)*0.0038)</f>
        <v>4244.6000000000004</v>
      </c>
      <c r="AJ23" s="74">
        <f>IF('Wtr-Gas'!Q25&lt;0,"0",('Wtr-Gas'!Q25)*0.0038)</f>
        <v>136.41999999999999</v>
      </c>
      <c r="AK23" s="75">
        <f>IF('Wtr-Gas'!U25&lt;0,"0",('Wtr-Gas'!U25)*0.0038)</f>
        <v>899.46</v>
      </c>
      <c r="AL23" s="75">
        <f>IF('Wtr-Gas'!X25&lt;0,"0",('Wtr-Gas'!X25)*0.0038)</f>
        <v>133</v>
      </c>
      <c r="AM23" s="74">
        <f>IF('Wtr-Gas'!AB25&lt;0,"0",('Wtr-Gas'!AB25)*0.0038)</f>
        <v>10868</v>
      </c>
      <c r="AN23" s="74">
        <f>IF('Wtr-Gas'!AD25&lt;0,"0",('Wtr-Gas'!AD25)*0.0038)</f>
        <v>2607.1419999999998</v>
      </c>
      <c r="AO23" s="74">
        <f>IF('Wtr-Gas'!AH25&lt;0,"0",('Wtr-Gas'!AH25)*0.0038)</f>
        <v>23.256</v>
      </c>
      <c r="AP23" s="74">
        <f>IF('Wtr-Gas'!AJ25&lt;0,"0",('Wtr-Gas'!AJ25)*0.0038)</f>
        <v>378.67</v>
      </c>
      <c r="AQ23" s="74">
        <f>IF('Wtr-Gas'!AL25&lt;0,"0",('Wtr-Gas'!AL25)*0.0038)</f>
        <v>51.326599999999999</v>
      </c>
      <c r="AR23" s="74">
        <f>IF('Wtr-Gas'!AN25&lt;0,"0",('Wtr-Gas'!AN25)*0.0038)</f>
        <v>296.39999999999998</v>
      </c>
      <c r="AS23" s="74">
        <f>IF('Wtr-Gas'!AP25&lt;0,"0",('Wtr-Gas'!AP25)*0.0038)</f>
        <v>6.8400000000000002E-2</v>
      </c>
      <c r="AT23" s="74">
        <f>IF('Wtr-Gas'!AR25&lt;0,"0",('Wtr-Gas'!AR25)*0.0038)</f>
        <v>11.78</v>
      </c>
      <c r="AU23" s="87">
        <f>IF('Wtr-Gas'!AV25&lt;0,"0",('Wtr-Gas'!AV25)*0.0038)</f>
        <v>0.36480000000000001</v>
      </c>
      <c r="AV23" s="74">
        <f>IF('Wtr-Gas'!AY25&lt;0,"0",('Wtr-Gas'!AY25)*0.0038)</f>
        <v>199.32140000000001</v>
      </c>
      <c r="AW23" s="74">
        <f>IF('Wtr-Gas'!BA25&lt;0,"0",('Wtr-Gas'!BA25)*0.0038)</f>
        <v>149.396354</v>
      </c>
      <c r="AX23" s="74">
        <f>IF('Wtr-Gas'!BB25&lt;0,"0",('Wtr-Gas'!BB25)*0.0038)</f>
        <v>49.925045999999995</v>
      </c>
      <c r="AY23" s="74">
        <f>IF('Wtr-Gas'!BD25&lt;0,"0",('Wtr-Gas'!BD25)*0.0038)</f>
        <v>9.8800000000000008</v>
      </c>
      <c r="AZ23" s="74">
        <f>IF('Wtr-Gas'!BF25&lt;0,"0",('Wtr-Gas'!BF25)*0.0038)</f>
        <v>1.1399999999999999</v>
      </c>
      <c r="BA23" s="74">
        <f>IF('Wtr-Gas'!BH25&lt;0,"0",('Wtr-Gas'!BH25)*0.0038)</f>
        <v>0</v>
      </c>
    </row>
    <row r="24" spans="1:53" x14ac:dyDescent="0.25">
      <c r="A24" s="3" t="s">
        <v>11</v>
      </c>
      <c r="B24" s="72">
        <v>16</v>
      </c>
      <c r="C24" s="2">
        <v>5</v>
      </c>
      <c r="D24" s="2">
        <v>2022</v>
      </c>
      <c r="E24" s="36">
        <f>IF(Elect!AL26&lt;0,"0",Elect!AL26)</f>
        <v>474</v>
      </c>
      <c r="F24" s="36">
        <f>IF(Elect!I26&lt;0,"0",Elect!I26)</f>
        <v>49280</v>
      </c>
      <c r="G24" s="36">
        <f>Elect!H26</f>
        <v>2.3690000000000002</v>
      </c>
      <c r="H24" s="36">
        <f>IF(Elect!F26&lt;0,"0",Elect!F26)</f>
        <v>42400</v>
      </c>
      <c r="I24" s="36">
        <f>Elect!E26</f>
        <v>1.9430000000000001</v>
      </c>
      <c r="J24" s="36">
        <f>IF(Elect!U26&lt;0,"0",Elect!U26)</f>
        <v>61500</v>
      </c>
      <c r="K24" s="36">
        <f>Elect!T26</f>
        <v>2.492</v>
      </c>
      <c r="L24" s="36">
        <f>IF(Elect!AJ26&lt;0,"0",Elect!AJ26)</f>
        <v>1440</v>
      </c>
      <c r="M24" s="36">
        <f>Elect!AI26</f>
        <v>0.29199999999999998</v>
      </c>
      <c r="N24" s="36">
        <f>IF(Elect!X26&lt;0,"0",Elect!X26)</f>
        <v>62100</v>
      </c>
      <c r="O24" s="36">
        <f>Elect!W26</f>
        <v>1.9550000000000001</v>
      </c>
      <c r="P24" s="36">
        <f>IF(Elect!O26&lt;0,"0",Elect!O26)</f>
        <v>11200</v>
      </c>
      <c r="Q24" s="36">
        <f>Elect!N26</f>
        <v>2.21</v>
      </c>
      <c r="R24" s="36">
        <f>IF(Elect!L26&lt;0,"0",Elect!L26)</f>
        <v>12800</v>
      </c>
      <c r="S24" s="36">
        <f>Elect!K26</f>
        <v>2.5499999999999998</v>
      </c>
      <c r="T24" s="36">
        <f>IF(Elect!R26&lt;0,"0",Elect!R26)</f>
        <v>12000</v>
      </c>
      <c r="U24" s="36">
        <f>Elect!Q26</f>
        <v>2.42</v>
      </c>
      <c r="V24" s="36">
        <f>IF(Elect!AA26&lt;0,"0",Elect!AA26)</f>
        <v>6720</v>
      </c>
      <c r="W24" s="36">
        <f>Elect!Z26</f>
        <v>4.0199999999999996</v>
      </c>
      <c r="X24" s="36">
        <f>IF(Elect!AD26&lt;0,"0",Elect!AD26)</f>
        <v>4000</v>
      </c>
      <c r="Y24" s="36">
        <f>Elect!AC26</f>
        <v>3.02</v>
      </c>
      <c r="Z24" s="36">
        <f>IF(Elect!AG26&lt;0,"0",Elect!AG26)</f>
        <v>56600</v>
      </c>
      <c r="AA24" s="36">
        <f>Elect!AF26</f>
        <v>2.2050000000000001</v>
      </c>
      <c r="AB24" s="36">
        <f>IF(Elect!AX26&lt;0,"0",Elect!AX26)</f>
        <v>1900</v>
      </c>
      <c r="AC24" s="36">
        <f>IF(Elect!AV26&lt;0,"0",Elect!AV26)</f>
        <v>14100</v>
      </c>
      <c r="AD24" s="36">
        <f>IF(Elect!AZ26&lt;0,"0",Elect!AZ26)</f>
        <v>892</v>
      </c>
      <c r="AE24" s="36">
        <f>IF(Elect!BB26&lt;0,"0",Elect!BB26)</f>
        <v>7720</v>
      </c>
      <c r="AF24" s="74">
        <f>IF('Wtr-Gas'!E26&lt;0,"0",('Wtr-Gas'!E26)*0.0038)</f>
        <v>5287.1679999999997</v>
      </c>
      <c r="AG24" s="74">
        <f>IF('Wtr-Gas'!H26&lt;0,"0",('Wtr-Gas'!H26)*0.0038)</f>
        <v>589.64599999999996</v>
      </c>
      <c r="AH24" s="74">
        <f>IF('Wtr-Gas'!K26&lt;0,"0",('Wtr-Gas'!K26)*0.0038)</f>
        <v>0.83599999999999997</v>
      </c>
      <c r="AI24" s="74">
        <f>IF('Wtr-Gas'!N26&lt;0,"0",('Wtr-Gas'!N26)*0.0038)</f>
        <v>3967.2</v>
      </c>
      <c r="AJ24" s="74">
        <f>IF('Wtr-Gas'!Q26&lt;0,"0",('Wtr-Gas'!Q26)*0.0038)</f>
        <v>121.98</v>
      </c>
      <c r="AK24" s="75">
        <f>IF('Wtr-Gas'!U26&lt;0,"0",('Wtr-Gas'!U26)*0.0038)</f>
        <v>873.24</v>
      </c>
      <c r="AL24" s="75">
        <f>IF('Wtr-Gas'!X26&lt;0,"0",('Wtr-Gas'!X26)*0.0038)</f>
        <v>309.7</v>
      </c>
      <c r="AM24" s="74">
        <f>IF('Wtr-Gas'!AB26&lt;0,"0",('Wtr-Gas'!AB26)*0.0038)</f>
        <v>8854</v>
      </c>
      <c r="AN24" s="74">
        <f>IF('Wtr-Gas'!AD26&lt;0,"0",('Wtr-Gas'!AD26)*0.0038)</f>
        <v>2172.1179999999999</v>
      </c>
      <c r="AO24" s="74">
        <f>IF('Wtr-Gas'!AH26&lt;0,"0",('Wtr-Gas'!AH26)*0.0038)</f>
        <v>17.213999999999999</v>
      </c>
      <c r="AP24" s="74">
        <f>IF('Wtr-Gas'!AJ26&lt;0,"0",('Wtr-Gas'!AJ26)*0.0038)</f>
        <v>398.58199999999999</v>
      </c>
      <c r="AQ24" s="74">
        <f>IF('Wtr-Gas'!AL26&lt;0,"0",('Wtr-Gas'!AL26)*0.0038)</f>
        <v>0</v>
      </c>
      <c r="AR24" s="74">
        <f>IF('Wtr-Gas'!AN26&lt;0,"0",('Wtr-Gas'!AN26)*0.0038)</f>
        <v>247</v>
      </c>
      <c r="AS24" s="74">
        <f>IF('Wtr-Gas'!AP26&lt;0,"0",('Wtr-Gas'!AP26)*0.0038)</f>
        <v>6.8400000000000002E-2</v>
      </c>
      <c r="AT24" s="74">
        <f>IF('Wtr-Gas'!AR26&lt;0,"0",('Wtr-Gas'!AR26)*0.0038)</f>
        <v>8.74</v>
      </c>
      <c r="AU24" s="87">
        <f>IF('Wtr-Gas'!AV26&lt;0,"0",('Wtr-Gas'!AV26)*0.0038)</f>
        <v>0.36099999999999999</v>
      </c>
      <c r="AV24" s="74">
        <f>IF('Wtr-Gas'!AY26&lt;0,"0",('Wtr-Gas'!AY26)*0.0038)</f>
        <v>192.1508</v>
      </c>
      <c r="AW24" s="74">
        <f>IF('Wtr-Gas'!BA26&lt;0,"0",('Wtr-Gas'!BA26)*0.0038)</f>
        <v>149.68219000000002</v>
      </c>
      <c r="AX24" s="74">
        <f>IF('Wtr-Gas'!BB26&lt;0,"0",('Wtr-Gas'!BB26)*0.0038)</f>
        <v>42.468609999999991</v>
      </c>
      <c r="AY24" s="74">
        <f>IF('Wtr-Gas'!BD26&lt;0,"0",('Wtr-Gas'!BD26)*0.0038)</f>
        <v>7.98</v>
      </c>
      <c r="AZ24" s="74">
        <f>IF('Wtr-Gas'!BF26&lt;0,"0",('Wtr-Gas'!BF26)*0.0038)</f>
        <v>0.76</v>
      </c>
      <c r="BA24" s="74">
        <f>IF('Wtr-Gas'!BH26&lt;0,"0",('Wtr-Gas'!BH26)*0.0038)</f>
        <v>0</v>
      </c>
    </row>
    <row r="25" spans="1:53" x14ac:dyDescent="0.25">
      <c r="A25" s="3" t="s">
        <v>11</v>
      </c>
      <c r="B25" s="72">
        <v>23</v>
      </c>
      <c r="C25" s="2">
        <v>5</v>
      </c>
      <c r="D25" s="2">
        <v>2022</v>
      </c>
      <c r="E25" s="36">
        <f>IF(Elect!AL27&lt;0,"0",Elect!AL27)</f>
        <v>545</v>
      </c>
      <c r="F25" s="36">
        <f>IF(Elect!I27&lt;0,"0",Elect!I27)</f>
        <v>51200</v>
      </c>
      <c r="G25" s="36">
        <f>Elect!H27</f>
        <v>2.1459999999999999</v>
      </c>
      <c r="H25" s="36">
        <f>IF(Elect!F27&lt;0,"0",Elect!F27)</f>
        <v>44960</v>
      </c>
      <c r="I25" s="36">
        <f>Elect!E27</f>
        <v>1.8280000000000001</v>
      </c>
      <c r="J25" s="36">
        <f>IF(Elect!U27&lt;0,"0",Elect!U27)</f>
        <v>89100</v>
      </c>
      <c r="K25" s="36">
        <f>Elect!T27</f>
        <v>2.3250000000000002</v>
      </c>
      <c r="L25" s="36">
        <f>IF(Elect!AJ27&lt;0,"0",Elect!AJ27)</f>
        <v>1560</v>
      </c>
      <c r="M25" s="36">
        <f>Elect!AI27</f>
        <v>0.28100000000000003</v>
      </c>
      <c r="N25" s="36">
        <f>IF(Elect!X27&lt;0,"0",Elect!X27)</f>
        <v>81300</v>
      </c>
      <c r="O25" s="36">
        <f>Elect!W27</f>
        <v>2.06</v>
      </c>
      <c r="P25" s="36">
        <f>IF(Elect!O27&lt;0,"0",Elect!O27)</f>
        <v>12000</v>
      </c>
      <c r="Q25" s="36">
        <f>Elect!N27</f>
        <v>2.16</v>
      </c>
      <c r="R25" s="36">
        <f>IF(Elect!L27&lt;0,"0",Elect!L27)</f>
        <v>15200</v>
      </c>
      <c r="S25" s="36">
        <f>Elect!K27</f>
        <v>2.39</v>
      </c>
      <c r="T25" s="36">
        <f>IF(Elect!R27&lt;0,"0",Elect!R27)</f>
        <v>12400</v>
      </c>
      <c r="U25" s="36">
        <f>Elect!Q27</f>
        <v>2.29</v>
      </c>
      <c r="V25" s="36">
        <f>IF(Elect!AA27&lt;0,"0",Elect!AA27)</f>
        <v>7200</v>
      </c>
      <c r="W25" s="36">
        <f>Elect!Z27</f>
        <v>2.8</v>
      </c>
      <c r="X25" s="36">
        <f>IF(Elect!AD27&lt;0,"0",Elect!AD27)</f>
        <v>5120</v>
      </c>
      <c r="Y25" s="36">
        <f>Elect!AC27</f>
        <v>2.34</v>
      </c>
      <c r="Z25" s="36">
        <f>IF(Elect!AG27&lt;0,"0",Elect!AG27)</f>
        <v>58800</v>
      </c>
      <c r="AA25" s="36">
        <f>Elect!AF27</f>
        <v>2.0649999999999999</v>
      </c>
      <c r="AB25" s="36">
        <f>IF(Elect!AX27&lt;0,"0",Elect!AX27)</f>
        <v>2000</v>
      </c>
      <c r="AC25" s="36">
        <f>IF(Elect!AV27&lt;0,"0",Elect!AV27)</f>
        <v>16900</v>
      </c>
      <c r="AD25" s="36">
        <f>IF(Elect!AZ27&lt;0,"0",Elect!AZ27)</f>
        <v>886</v>
      </c>
      <c r="AE25" s="36">
        <f>IF(Elect!BB27&lt;0,"0",Elect!BB27)</f>
        <v>3080</v>
      </c>
      <c r="AF25" s="74">
        <f>IF('Wtr-Gas'!E27&lt;0,"0",('Wtr-Gas'!E27)*0.0038)</f>
        <v>5348.1959999999999</v>
      </c>
      <c r="AG25" s="74">
        <f>IF('Wtr-Gas'!H27&lt;0,"0",('Wtr-Gas'!H27)*0.0038)</f>
        <v>720.86</v>
      </c>
      <c r="AH25" s="74">
        <f>IF('Wtr-Gas'!K27&lt;0,"0",('Wtr-Gas'!K27)*0.0038)</f>
        <v>1.1020000000000001</v>
      </c>
      <c r="AI25" s="74">
        <f>IF('Wtr-Gas'!N27&lt;0,"0",('Wtr-Gas'!N27)*0.0038)</f>
        <v>4290.2</v>
      </c>
      <c r="AJ25" s="74">
        <f>IF('Wtr-Gas'!Q27&lt;0,"0",('Wtr-Gas'!Q27)*0.0038)</f>
        <v>125.78</v>
      </c>
      <c r="AK25" s="75">
        <f>IF('Wtr-Gas'!U27&lt;0,"0",('Wtr-Gas'!U27)*0.0038)</f>
        <v>878.18</v>
      </c>
      <c r="AL25" s="75">
        <f>IF('Wtr-Gas'!X27&lt;0,"0",('Wtr-Gas'!X27)*0.0038)</f>
        <v>165.3</v>
      </c>
      <c r="AM25" s="74">
        <f>IF('Wtr-Gas'!AB27&lt;0,"0",('Wtr-Gas'!AB27)*0.0038)</f>
        <v>11552</v>
      </c>
      <c r="AN25" s="74">
        <f>IF('Wtr-Gas'!AD27&lt;0,"0",('Wtr-Gas'!AD27)*0.0038)</f>
        <v>2697.9019600000001</v>
      </c>
      <c r="AO25" s="74">
        <f>IF('Wtr-Gas'!AH27&lt;0,"0",('Wtr-Gas'!AH27)*0.0038)</f>
        <v>16.53</v>
      </c>
      <c r="AP25" s="74">
        <f>IF('Wtr-Gas'!AJ27&lt;0,"0",('Wtr-Gas'!AJ27)*0.0038)</f>
        <v>288.23</v>
      </c>
      <c r="AQ25" s="74">
        <f>IF('Wtr-Gas'!AL27&lt;0,"0",('Wtr-Gas'!AL27)*0.0038)</f>
        <v>129.01759999999999</v>
      </c>
      <c r="AR25" s="74">
        <f>IF('Wtr-Gas'!AN27&lt;0,"0",('Wtr-Gas'!AN27)*0.0038)</f>
        <v>186.2</v>
      </c>
      <c r="AS25" s="74">
        <f>IF('Wtr-Gas'!AP27&lt;0,"0",('Wtr-Gas'!AP27)*0.0038)</f>
        <v>6.08E-2</v>
      </c>
      <c r="AT25" s="74">
        <f>IF('Wtr-Gas'!AR27&lt;0,"0",('Wtr-Gas'!AR27)*0.0038)</f>
        <v>13.3</v>
      </c>
      <c r="AU25" s="87">
        <f>IF('Wtr-Gas'!AV27&lt;0,"0",('Wtr-Gas'!AV27)*0.0038)</f>
        <v>0.35720000000000002</v>
      </c>
      <c r="AV25" s="74">
        <f>IF('Wtr-Gas'!AY27&lt;0,"0",('Wtr-Gas'!AY27)*0.0038)</f>
        <v>206.7276</v>
      </c>
      <c r="AW25" s="74">
        <f>IF('Wtr-Gas'!BA27&lt;0,"0",('Wtr-Gas'!BA27)*0.0038)</f>
        <v>150.84802999999999</v>
      </c>
      <c r="AX25" s="74">
        <f>IF('Wtr-Gas'!BB27&lt;0,"0",('Wtr-Gas'!BB27)*0.0038)</f>
        <v>55.879570000000008</v>
      </c>
      <c r="AY25" s="74">
        <f>IF('Wtr-Gas'!BD27&lt;0,"0",('Wtr-Gas'!BD27)*0.0038)</f>
        <v>7.98</v>
      </c>
      <c r="AZ25" s="74">
        <f>IF('Wtr-Gas'!BF27&lt;0,"0",('Wtr-Gas'!BF27)*0.0038)</f>
        <v>0.76</v>
      </c>
      <c r="BA25" s="74">
        <f>IF('Wtr-Gas'!BH27&lt;0,"0",('Wtr-Gas'!BH27)*0.0038)</f>
        <v>0</v>
      </c>
    </row>
    <row r="26" spans="1:53" x14ac:dyDescent="0.25">
      <c r="A26" s="3" t="s">
        <v>11</v>
      </c>
      <c r="B26" s="72">
        <v>30</v>
      </c>
      <c r="C26" s="2">
        <v>5</v>
      </c>
      <c r="D26" s="2">
        <v>2022</v>
      </c>
      <c r="E26" s="36">
        <f>IF(Elect!AL28&lt;0,"0",Elect!AL28)</f>
        <v>467</v>
      </c>
      <c r="F26" s="36">
        <f>IF(Elect!I28&lt;0,"0",Elect!I28)</f>
        <v>51360</v>
      </c>
      <c r="G26" s="36">
        <f>Elect!H28</f>
        <v>2.3130000000000002</v>
      </c>
      <c r="H26" s="36">
        <f>IF(Elect!F28&lt;0,"0",Elect!F28)</f>
        <v>43200</v>
      </c>
      <c r="I26" s="36">
        <f>Elect!E28</f>
        <v>1.964</v>
      </c>
      <c r="J26" s="36">
        <f>IF(Elect!U28&lt;0,"0",Elect!U28)</f>
        <v>80700</v>
      </c>
      <c r="K26" s="36">
        <f>Elect!T28</f>
        <v>2.3250000000000002</v>
      </c>
      <c r="L26" s="36">
        <f>IF(Elect!AJ28&lt;0,"0",Elect!AJ28)</f>
        <v>1560</v>
      </c>
      <c r="M26" s="36">
        <f>Elect!AI28</f>
        <v>0.28999999999999998</v>
      </c>
      <c r="N26" s="36">
        <f>IF(Elect!X28&lt;0,"0",Elect!X28)</f>
        <v>82500</v>
      </c>
      <c r="O26" s="36">
        <f>Elect!W28</f>
        <v>2.109</v>
      </c>
      <c r="P26" s="36">
        <f>IF(Elect!O28&lt;0,"0",Elect!O28)</f>
        <v>11600</v>
      </c>
      <c r="Q26" s="36">
        <f>Elect!N28</f>
        <v>2.16</v>
      </c>
      <c r="R26" s="36">
        <f>IF(Elect!L28&lt;0,"0",Elect!L28)</f>
        <v>14000</v>
      </c>
      <c r="S26" s="36">
        <f>Elect!K28</f>
        <v>2.5</v>
      </c>
      <c r="T26" s="36">
        <f>IF(Elect!R28&lt;0,"0",Elect!R28)</f>
        <v>12000</v>
      </c>
      <c r="U26" s="36">
        <f>Elect!Q28</f>
        <v>2.29</v>
      </c>
      <c r="V26" s="36">
        <f>IF(Elect!AA28&lt;0,"0",Elect!AA28)</f>
        <v>6080</v>
      </c>
      <c r="W26" s="36">
        <f>Elect!Z28</f>
        <v>3.3</v>
      </c>
      <c r="X26" s="36">
        <f>IF(Elect!AD28&lt;0,"0",Elect!AD28)</f>
        <v>3200</v>
      </c>
      <c r="Y26" s="36">
        <f>Elect!AC28</f>
        <v>2.67</v>
      </c>
      <c r="Z26" s="36">
        <f>IF(Elect!AG28&lt;0,"0",Elect!AG28)</f>
        <v>57400</v>
      </c>
      <c r="AA26" s="36">
        <f>Elect!AF28</f>
        <v>2.073</v>
      </c>
      <c r="AB26" s="36">
        <f>IF(Elect!AX28&lt;0,"0",Elect!AX28)</f>
        <v>1900</v>
      </c>
      <c r="AC26" s="36">
        <f>IF(Elect!AV28&lt;0,"0",Elect!AV28)</f>
        <v>16300</v>
      </c>
      <c r="AD26" s="36">
        <f>IF(Elect!AZ28&lt;0,"0",Elect!AZ28)</f>
        <v>895</v>
      </c>
      <c r="AE26" s="36">
        <f>IF(Elect!BB28&lt;0,"0",Elect!BB28)</f>
        <v>4480</v>
      </c>
      <c r="AF26" s="74">
        <f>IF('Wtr-Gas'!E28&lt;0,"0",('Wtr-Gas'!E28)*0.0038)</f>
        <v>5561.4520000000002</v>
      </c>
      <c r="AG26" s="74">
        <f>IF('Wtr-Gas'!H28&lt;0,"0",('Wtr-Gas'!H28)*0.0038)</f>
        <v>735.11</v>
      </c>
      <c r="AH26" s="74">
        <f>IF('Wtr-Gas'!K28&lt;0,"0",('Wtr-Gas'!K28)*0.0038)</f>
        <v>3.04</v>
      </c>
      <c r="AI26" s="74">
        <f>IF('Wtr-Gas'!N28&lt;0,"0",('Wtr-Gas'!N28)*0.0038)</f>
        <v>4297.8</v>
      </c>
      <c r="AJ26" s="74">
        <f>IF('Wtr-Gas'!Q28&lt;0,"0",('Wtr-Gas'!Q28)*0.0038)</f>
        <v>141.74</v>
      </c>
      <c r="AK26" s="75">
        <f>IF('Wtr-Gas'!U28&lt;0,"0",('Wtr-Gas'!U28)*0.0038)</f>
        <v>896.42</v>
      </c>
      <c r="AL26" s="75">
        <f>IF('Wtr-Gas'!X28&lt;0,"0",('Wtr-Gas'!X28)*0.0038)</f>
        <v>130.72</v>
      </c>
      <c r="AM26" s="74">
        <f>IF('Wtr-Gas'!AB28&lt;0,"0",('Wtr-Gas'!AB28)*0.0038)</f>
        <v>12084</v>
      </c>
      <c r="AN26" s="74">
        <f>IF('Wtr-Gas'!AD28&lt;0,"0",('Wtr-Gas'!AD28)*0.0038)</f>
        <v>2877.6556399999999</v>
      </c>
      <c r="AO26" s="74">
        <f>IF('Wtr-Gas'!AH28&lt;0,"0",('Wtr-Gas'!AH28)*0.0038)</f>
        <v>4.5599999999999996</v>
      </c>
      <c r="AP26" s="74">
        <f>IF('Wtr-Gas'!AJ28&lt;0,"0",('Wtr-Gas'!AJ28)*0.0038)</f>
        <v>275.57600000000002</v>
      </c>
      <c r="AQ26" s="74">
        <f>IF('Wtr-Gas'!AL28&lt;0,"0",('Wtr-Gas'!AL28)*0.0038)</f>
        <v>43.0426</v>
      </c>
      <c r="AR26" s="74">
        <f>IF('Wtr-Gas'!AN28&lt;0,"0",('Wtr-Gas'!AN28)*0.0038)</f>
        <v>342</v>
      </c>
      <c r="AS26" s="74">
        <f>IF('Wtr-Gas'!AP28&lt;0,"0",('Wtr-Gas'!AP28)*0.0038)</f>
        <v>3.4200000000000001E-2</v>
      </c>
      <c r="AT26" s="74">
        <f>IF('Wtr-Gas'!AR28&lt;0,"0",('Wtr-Gas'!AR28)*0.0038)</f>
        <v>7.6</v>
      </c>
      <c r="AU26" s="87">
        <f>IF('Wtr-Gas'!AV28&lt;0,"0",('Wtr-Gas'!AV28)*0.0038)</f>
        <v>0.32679999999999998</v>
      </c>
      <c r="AV26" s="74">
        <f>IF('Wtr-Gas'!AY28&lt;0,"0",('Wtr-Gas'!AY28)*0.0038)</f>
        <v>198.56899999999999</v>
      </c>
      <c r="AW26" s="74">
        <f>IF('Wtr-Gas'!BA28&lt;0,"0",('Wtr-Gas'!BA28)*0.0038)</f>
        <v>148.949702</v>
      </c>
      <c r="AX26" s="74">
        <f>IF('Wtr-Gas'!BB28&lt;0,"0",('Wtr-Gas'!BB28)*0.0038)</f>
        <v>49.619297999999993</v>
      </c>
      <c r="AY26" s="74">
        <f>IF('Wtr-Gas'!BD28&lt;0,"0",('Wtr-Gas'!BD28)*0.0038)</f>
        <v>12.16</v>
      </c>
      <c r="AZ26" s="74">
        <f>IF('Wtr-Gas'!BF28&lt;0,"0",('Wtr-Gas'!BF28)*0.0038)</f>
        <v>1.1399999999999999</v>
      </c>
      <c r="BA26" s="74">
        <f>IF('Wtr-Gas'!BH28&lt;0,"0",('Wtr-Gas'!BH28)*0.0038)</f>
        <v>0</v>
      </c>
    </row>
    <row r="27" spans="1:53" x14ac:dyDescent="0.25">
      <c r="A27" s="3" t="s">
        <v>11</v>
      </c>
      <c r="B27" s="72">
        <v>31</v>
      </c>
      <c r="C27" s="2">
        <v>5</v>
      </c>
      <c r="D27" s="2">
        <v>2022</v>
      </c>
      <c r="E27" s="36">
        <f>IF(Elect!AL29&lt;0,"0",Elect!AL29)</f>
        <v>88</v>
      </c>
      <c r="F27" s="36">
        <f>IF(Elect!I29&lt;0,"0",Elect!I29)</f>
        <v>11520</v>
      </c>
      <c r="G27" s="36">
        <f>Elect!H29</f>
        <v>2.3130000000000002</v>
      </c>
      <c r="H27" s="36">
        <f>IF(Elect!F29&lt;0,"0",Elect!F29)</f>
        <v>9920</v>
      </c>
      <c r="I27" s="36">
        <f>Elect!E29</f>
        <v>1.964</v>
      </c>
      <c r="J27" s="36">
        <f>IF(Elect!U29&lt;0,"0",Elect!U29)</f>
        <v>15000</v>
      </c>
      <c r="K27" s="36">
        <f>Elect!T29</f>
        <v>2.3250000000000002</v>
      </c>
      <c r="L27" s="36">
        <f>IF(Elect!AJ29&lt;0,"0",Elect!AJ29)</f>
        <v>320</v>
      </c>
      <c r="M27" s="36">
        <f>Elect!AI29</f>
        <v>0.28999999999999998</v>
      </c>
      <c r="N27" s="36">
        <f>IF(Elect!X29&lt;0,"0",Elect!X29)</f>
        <v>18600</v>
      </c>
      <c r="O27" s="36">
        <f>Elect!W29</f>
        <v>2.109</v>
      </c>
      <c r="P27" s="36">
        <f>IF(Elect!O29&lt;0,"0",Elect!O29)</f>
        <v>2800</v>
      </c>
      <c r="Q27" s="36">
        <f>Elect!N29</f>
        <v>2.16</v>
      </c>
      <c r="R27" s="36">
        <f>IF(Elect!L29&lt;0,"0",Elect!L29)</f>
        <v>3200</v>
      </c>
      <c r="S27" s="36">
        <f>Elect!K29</f>
        <v>2.5</v>
      </c>
      <c r="T27" s="36">
        <f>IF(Elect!R29&lt;0,"0",Elect!R29)</f>
        <v>2800</v>
      </c>
      <c r="U27" s="36">
        <f>Elect!Q29</f>
        <v>2.29</v>
      </c>
      <c r="V27" s="36">
        <f>IF(Elect!AA29&lt;0,"0",Elect!AA29)</f>
        <v>1280</v>
      </c>
      <c r="W27" s="36">
        <f>Elect!Z29</f>
        <v>3.3</v>
      </c>
      <c r="X27" s="36">
        <f>IF(Elect!AD29&lt;0,"0",Elect!AD29)</f>
        <v>800</v>
      </c>
      <c r="Y27" s="36">
        <f>Elect!AC29</f>
        <v>2.67</v>
      </c>
      <c r="Z27" s="36">
        <f>IF(Elect!AG29&lt;0,"0",Elect!AG29)</f>
        <v>12600</v>
      </c>
      <c r="AA27" s="36">
        <f>Elect!AF29</f>
        <v>2.073</v>
      </c>
      <c r="AB27" s="36">
        <f>IF(Elect!AX29&lt;0,"0",Elect!AX29)</f>
        <v>500</v>
      </c>
      <c r="AC27" s="36">
        <f>IF(Elect!AV29&lt;0,"0",Elect!AV29)</f>
        <v>4400</v>
      </c>
      <c r="AD27" s="36">
        <f>IF(Elect!AZ29&lt;0,"0",Elect!AZ29)</f>
        <v>242</v>
      </c>
      <c r="AE27" s="36">
        <f>IF(Elect!BB29&lt;0,"0",Elect!BB29)</f>
        <v>1240</v>
      </c>
      <c r="AF27" s="74">
        <f>IF('Wtr-Gas'!E29&lt;0,"0",('Wtr-Gas'!E29)*0.0038)</f>
        <v>1194.0360000000001</v>
      </c>
      <c r="AG27" s="74">
        <f>IF('Wtr-Gas'!H29&lt;0,"0",('Wtr-Gas'!H29)*0.0038)</f>
        <v>408.57600000000002</v>
      </c>
      <c r="AH27" s="74">
        <f>IF('Wtr-Gas'!K29&lt;0,"0",('Wtr-Gas'!K29)*0.0038)</f>
        <v>1.292</v>
      </c>
      <c r="AI27" s="74">
        <f>IF('Wtr-Gas'!N29&lt;0,"0",('Wtr-Gas'!N29)*0.0038)</f>
        <v>896.8</v>
      </c>
      <c r="AJ27" s="74">
        <f>IF('Wtr-Gas'!Q29&lt;0,"0",('Wtr-Gas'!Q29)*0.0038)</f>
        <v>37.24</v>
      </c>
      <c r="AK27" s="75">
        <f>IF('Wtr-Gas'!U29&lt;0,"0",('Wtr-Gas'!U29)*0.0038)</f>
        <v>197.22</v>
      </c>
      <c r="AL27" s="75">
        <f>IF('Wtr-Gas'!X29&lt;0,"0",('Wtr-Gas'!X29)*0.0038)</f>
        <v>23.56</v>
      </c>
      <c r="AM27" s="74">
        <f>IF('Wtr-Gas'!AB29&lt;0,"0",('Wtr-Gas'!AB29)*0.0038)</f>
        <v>2508</v>
      </c>
      <c r="AN27" s="74">
        <f>IF('Wtr-Gas'!AD29&lt;0,"0",('Wtr-Gas'!AD29)*0.0038)</f>
        <v>541.80096000000003</v>
      </c>
      <c r="AO27" s="74">
        <f>IF('Wtr-Gas'!AH29&lt;0,"0",('Wtr-Gas'!AH29)*0.0038)</f>
        <v>4.7119999999999997</v>
      </c>
      <c r="AP27" s="74">
        <f>IF('Wtr-Gas'!AJ29&lt;0,"0",('Wtr-Gas'!AJ29)*0.0038)</f>
        <v>87.21</v>
      </c>
      <c r="AQ27" s="74">
        <f>IF('Wtr-Gas'!AL29&lt;0,"0",('Wtr-Gas'!AL29)*0.0038)</f>
        <v>8.0825999999999993</v>
      </c>
      <c r="AR27" s="74">
        <f>IF('Wtr-Gas'!AN29&lt;0,"0",('Wtr-Gas'!AN29)*0.0038)</f>
        <v>60.8</v>
      </c>
      <c r="AS27" s="74">
        <f>IF('Wtr-Gas'!AP29&lt;0,"0",('Wtr-Gas'!AP29)*0.0038)</f>
        <v>7.6E-3</v>
      </c>
      <c r="AT27" s="74">
        <f>IF('Wtr-Gas'!AR29&lt;0,"0",('Wtr-Gas'!AR29)*0.0038)</f>
        <v>2.2799999999999998</v>
      </c>
      <c r="AU27" s="87">
        <f>IF('Wtr-Gas'!AV29&lt;0,"0",('Wtr-Gas'!AV29)*0.0038)</f>
        <v>9.5000000000000001E-2</v>
      </c>
      <c r="AV27" s="74">
        <f>IF('Wtr-Gas'!AY29&lt;0,"0",('Wtr-Gas'!AY29)*0.0038)</f>
        <v>56.654200000000003</v>
      </c>
      <c r="AW27" s="74">
        <f>IF('Wtr-Gas'!BA29&lt;0,"0",('Wtr-Gas'!BA29)*0.0038)</f>
        <v>42.536402000000002</v>
      </c>
      <c r="AX27" s="74">
        <f>IF('Wtr-Gas'!BB29&lt;0,"0",('Wtr-Gas'!BB29)*0.0038)</f>
        <v>14.117797999999997</v>
      </c>
      <c r="AY27" s="74">
        <f>IF('Wtr-Gas'!BD29&lt;0,"0",('Wtr-Gas'!BD29)*0.0038)</f>
        <v>2.2799999999999998</v>
      </c>
      <c r="AZ27" s="74">
        <f>IF('Wtr-Gas'!BF29&lt;0,"0",('Wtr-Gas'!BF29)*0.0038)</f>
        <v>0</v>
      </c>
      <c r="BA27" s="74">
        <f>IF('Wtr-Gas'!BH29&lt;0,"0",('Wtr-Gas'!BH29)*0.0038)</f>
        <v>0</v>
      </c>
    </row>
    <row r="28" spans="1:53" x14ac:dyDescent="0.25">
      <c r="A28" s="3" t="s">
        <v>11</v>
      </c>
      <c r="B28" s="72">
        <v>6</v>
      </c>
      <c r="C28" s="2">
        <v>6</v>
      </c>
      <c r="D28" s="2">
        <v>2022</v>
      </c>
      <c r="E28" s="36">
        <f>IF(Elect!AL30&lt;0,"0",Elect!AL30)</f>
        <v>500</v>
      </c>
      <c r="F28" s="36">
        <f>IF(Elect!I30&lt;0,"0",Elect!I30)</f>
        <v>36960</v>
      </c>
      <c r="G28" s="36">
        <f>Elect!H30</f>
        <v>2.3130000000000002</v>
      </c>
      <c r="H28" s="36">
        <f>IF(Elect!F30&lt;0,"0",Elect!F30)</f>
        <v>31520</v>
      </c>
      <c r="I28" s="36">
        <f>Elect!E30</f>
        <v>1.964</v>
      </c>
      <c r="J28" s="36">
        <f>IF(Elect!U30&lt;0,"0",Elect!U30)</f>
        <v>58800</v>
      </c>
      <c r="K28" s="36">
        <f>Elect!T30</f>
        <v>2.5979999999999999</v>
      </c>
      <c r="L28" s="36">
        <f>IF(Elect!AJ30&lt;0,"0",Elect!AJ30)</f>
        <v>1120</v>
      </c>
      <c r="M28" s="36">
        <f>Elect!AI30</f>
        <v>0.29199999999999998</v>
      </c>
      <c r="N28" s="36">
        <f>IF(Elect!X30&lt;0,"0",Elect!X30)</f>
        <v>59400</v>
      </c>
      <c r="O28" s="36">
        <f>Elect!W30</f>
        <v>2.2429999999999999</v>
      </c>
      <c r="P28" s="36">
        <f>IF(Elect!O30&lt;0,"0",Elect!O30)</f>
        <v>8800</v>
      </c>
      <c r="Q28" s="36">
        <f>Elect!N30</f>
        <v>2.16</v>
      </c>
      <c r="R28" s="36">
        <f>IF(Elect!L30&lt;0,"0",Elect!L30)</f>
        <v>10400</v>
      </c>
      <c r="S28" s="36">
        <f>Elect!K30</f>
        <v>2.77</v>
      </c>
      <c r="T28" s="36">
        <f>IF(Elect!R30&lt;0,"0",Elect!R30)</f>
        <v>8400</v>
      </c>
      <c r="U28" s="36">
        <f>Elect!Q30</f>
        <v>2.29</v>
      </c>
      <c r="V28" s="36">
        <f>IF(Elect!AA30&lt;0,"0",Elect!AA30)</f>
        <v>4640</v>
      </c>
      <c r="W28" s="36">
        <f>Elect!Z30</f>
        <v>3.42</v>
      </c>
      <c r="X28" s="36">
        <f>IF(Elect!AD30&lt;0,"0",Elect!AD30)</f>
        <v>2880</v>
      </c>
      <c r="Y28" s="36">
        <f>Elect!AC30</f>
        <v>2.67</v>
      </c>
      <c r="Z28" s="36">
        <f>IF(Elect!AG30&lt;0,"0",Elect!AG30)</f>
        <v>41600</v>
      </c>
      <c r="AA28" s="36">
        <f>Elect!AF30</f>
        <v>2.1379999999999999</v>
      </c>
      <c r="AB28" s="36">
        <f>IF(Elect!AX30&lt;0,"0",Elect!AX30)</f>
        <v>1400</v>
      </c>
      <c r="AC28" s="36">
        <f>IF(Elect!AV30&lt;0,"0",Elect!AV30)</f>
        <v>12300</v>
      </c>
      <c r="AD28" s="36">
        <f>IF(Elect!AZ30&lt;0,"0",Elect!AZ30)</f>
        <v>654</v>
      </c>
      <c r="AE28" s="36">
        <f>IF(Elect!BB30&lt;0,"0",Elect!BB30)</f>
        <v>2840</v>
      </c>
      <c r="AF28" s="74">
        <f>IF('Wtr-Gas'!E30&lt;0,"0",('Wtr-Gas'!E30)*0.0038)</f>
        <v>4012.5720000000001</v>
      </c>
      <c r="AG28" s="74">
        <f>IF('Wtr-Gas'!H30&lt;0,"0",('Wtr-Gas'!H30)*0.0038)</f>
        <v>496.88799999999998</v>
      </c>
      <c r="AH28" s="74">
        <f>IF('Wtr-Gas'!K30&lt;0,"0",('Wtr-Gas'!K30)*0.0038)</f>
        <v>3.6480000000000001</v>
      </c>
      <c r="AI28" s="74">
        <f>IF('Wtr-Gas'!N30&lt;0,"0",('Wtr-Gas'!N30)*0.0038)</f>
        <v>3131.2</v>
      </c>
      <c r="AJ28" s="74">
        <f>IF('Wtr-Gas'!Q30&lt;0,"0",('Wtr-Gas'!Q30)*0.0038)</f>
        <v>98.8</v>
      </c>
      <c r="AK28" s="75">
        <f>IF('Wtr-Gas'!U30&lt;0,"0",('Wtr-Gas'!U30)*0.0038)</f>
        <v>622.05999999999995</v>
      </c>
      <c r="AL28" s="75">
        <f>IF('Wtr-Gas'!X30&lt;0,"0",('Wtr-Gas'!X30)*0.0038)</f>
        <v>123.12</v>
      </c>
      <c r="AM28" s="74">
        <f>IF('Wtr-Gas'!AB30&lt;0,"0",('Wtr-Gas'!AB30)*0.0038)</f>
        <v>8208</v>
      </c>
      <c r="AN28" s="74">
        <f>IF('Wtr-Gas'!AD30&lt;0,"0",('Wtr-Gas'!AD30)*0.0038)</f>
        <v>1867.0114400000002</v>
      </c>
      <c r="AO28" s="74">
        <f>IF('Wtr-Gas'!AH30&lt;0,"0",('Wtr-Gas'!AH30)*0.0038)</f>
        <v>12.236000000000001</v>
      </c>
      <c r="AP28" s="74">
        <f>IF('Wtr-Gas'!AJ30&lt;0,"0",('Wtr-Gas'!AJ30)*0.0038)</f>
        <v>273.714</v>
      </c>
      <c r="AQ28" s="74">
        <f>IF('Wtr-Gas'!AL30&lt;0,"0",('Wtr-Gas'!AL30)*0.0038)</f>
        <v>63.118000000000002</v>
      </c>
      <c r="AR28" s="74">
        <f>IF('Wtr-Gas'!AN30&lt;0,"0",('Wtr-Gas'!AN30)*0.0038)</f>
        <v>216.6</v>
      </c>
      <c r="AS28" s="74">
        <f>IF('Wtr-Gas'!AP30&lt;0,"0",('Wtr-Gas'!AP30)*0.0038)</f>
        <v>3.4200000000000001E-2</v>
      </c>
      <c r="AT28" s="74">
        <f>IF('Wtr-Gas'!AR30&lt;0,"0",('Wtr-Gas'!AR30)*0.0038)</f>
        <v>5.32</v>
      </c>
      <c r="AU28" s="87">
        <f>IF('Wtr-Gas'!AV30&lt;0,"0",('Wtr-Gas'!AV30)*0.0038)</f>
        <v>0.27739999999999998</v>
      </c>
      <c r="AV28" s="74">
        <f>IF('Wtr-Gas'!AY30&lt;0,"0",('Wtr-Gas'!AY30)*0.0038)</f>
        <v>151.44900000000001</v>
      </c>
      <c r="AW28" s="74">
        <f>IF('Wtr-Gas'!BA30&lt;0,"0",('Wtr-Gas'!BA30)*0.0038)</f>
        <v>107.082442</v>
      </c>
      <c r="AX28" s="74">
        <f>IF('Wtr-Gas'!BB30&lt;0,"0",('Wtr-Gas'!BB30)*0.0038)</f>
        <v>44.366557999999998</v>
      </c>
      <c r="AY28" s="74">
        <f>IF('Wtr-Gas'!BD30&lt;0,"0",('Wtr-Gas'!BD30)*0.0038)</f>
        <v>11.78</v>
      </c>
      <c r="AZ28" s="74">
        <f>IF('Wtr-Gas'!BF30&lt;0,"0",('Wtr-Gas'!BF30)*0.0038)</f>
        <v>0.76</v>
      </c>
      <c r="BA28" s="74">
        <f>IF('Wtr-Gas'!BH30&lt;0,"0",('Wtr-Gas'!BH30)*0.0038)</f>
        <v>0</v>
      </c>
    </row>
    <row r="29" spans="1:53" x14ac:dyDescent="0.25">
      <c r="A29" s="3" t="s">
        <v>11</v>
      </c>
      <c r="B29" s="72">
        <v>13</v>
      </c>
      <c r="C29" s="2">
        <v>6</v>
      </c>
      <c r="D29" s="2">
        <v>2022</v>
      </c>
      <c r="E29" s="36">
        <f>IF(Elect!AL31&lt;0,"0",Elect!AL31)</f>
        <v>307</v>
      </c>
      <c r="F29" s="36">
        <f>IF(Elect!I31&lt;0,"0",Elect!I31)</f>
        <v>48160</v>
      </c>
      <c r="G29" s="36">
        <f>Elect!H31</f>
        <v>2.3130000000000002</v>
      </c>
      <c r="H29" s="36">
        <f>IF(Elect!F31&lt;0,"0",Elect!F31)</f>
        <v>32640</v>
      </c>
      <c r="I29" s="36">
        <f>Elect!E31</f>
        <v>1.964</v>
      </c>
      <c r="J29" s="36">
        <f>IF(Elect!U31&lt;0,"0",Elect!U31)</f>
        <v>81900</v>
      </c>
      <c r="K29" s="36">
        <f>Elect!T31</f>
        <v>2.5979999999999999</v>
      </c>
      <c r="L29" s="36">
        <f>IF(Elect!AJ31&lt;0,"0",Elect!AJ31)</f>
        <v>1480</v>
      </c>
      <c r="M29" s="36">
        <f>Elect!AI31</f>
        <v>0.30299999999999999</v>
      </c>
      <c r="N29" s="36">
        <f>IF(Elect!X31&lt;0,"0",Elect!X31)</f>
        <v>81000</v>
      </c>
      <c r="O29" s="36">
        <f>Elect!W31</f>
        <v>2.2429999999999999</v>
      </c>
      <c r="P29" s="36">
        <f>IF(Elect!O31&lt;0,"0",Elect!O31)</f>
        <v>11600</v>
      </c>
      <c r="Q29" s="36">
        <f>Elect!N31</f>
        <v>2.1800000000000002</v>
      </c>
      <c r="R29" s="36">
        <f>IF(Elect!L31&lt;0,"0",Elect!L31)</f>
        <v>14000</v>
      </c>
      <c r="S29" s="36">
        <f>Elect!K31</f>
        <v>2.73</v>
      </c>
      <c r="T29" s="36">
        <f>IF(Elect!R31&lt;0,"0",Elect!R31)</f>
        <v>11200</v>
      </c>
      <c r="U29" s="36">
        <f>Elect!Q31</f>
        <v>2.29</v>
      </c>
      <c r="V29" s="36">
        <f>IF(Elect!AA31&lt;0,"0",Elect!AA31)</f>
        <v>5760</v>
      </c>
      <c r="W29" s="36">
        <f>Elect!Z31</f>
        <v>3.48</v>
      </c>
      <c r="X29" s="36">
        <f>IF(Elect!AD31&lt;0,"0",Elect!AD31)</f>
        <v>3520</v>
      </c>
      <c r="Y29" s="36">
        <f>Elect!AC31</f>
        <v>2.67</v>
      </c>
      <c r="Z29" s="36">
        <f>IF(Elect!AG31&lt;0,"0",Elect!AG31)</f>
        <v>54600</v>
      </c>
      <c r="AA29" s="36">
        <f>Elect!AF31</f>
        <v>2.1379999999999999</v>
      </c>
      <c r="AB29" s="36">
        <f>IF(Elect!AX31&lt;0,"0",Elect!AX31)</f>
        <v>2000</v>
      </c>
      <c r="AC29" s="36">
        <f>IF(Elect!AV31&lt;0,"0",Elect!AV31)</f>
        <v>18000</v>
      </c>
      <c r="AD29" s="36">
        <f>IF(Elect!AZ31&lt;0,"0",Elect!AZ31)</f>
        <v>885</v>
      </c>
      <c r="AE29" s="36">
        <f>IF(Elect!BB31&lt;0,"0",Elect!BB31)</f>
        <v>3640</v>
      </c>
      <c r="AF29" s="74">
        <f>IF('Wtr-Gas'!E31&lt;0,"0",('Wtr-Gas'!E31)*0.0038)</f>
        <v>5159.83</v>
      </c>
      <c r="AG29" s="74">
        <f>IF('Wtr-Gas'!H31&lt;0,"0",('Wtr-Gas'!H31)*0.0038)</f>
        <v>358.45400000000001</v>
      </c>
      <c r="AH29" s="74">
        <f>IF('Wtr-Gas'!K31&lt;0,"0",('Wtr-Gas'!K31)*0.0038)</f>
        <v>2.3940000000000001</v>
      </c>
      <c r="AI29" s="74">
        <f>IF('Wtr-Gas'!N31&lt;0,"0",('Wtr-Gas'!N31)*0.0038)</f>
        <v>4062.2</v>
      </c>
      <c r="AJ29" s="74">
        <f>IF('Wtr-Gas'!Q31&lt;0,"0",('Wtr-Gas'!Q31)*0.0038)</f>
        <v>131.86000000000001</v>
      </c>
      <c r="AK29" s="75">
        <f>IF('Wtr-Gas'!U31&lt;0,"0",('Wtr-Gas'!U31)*0.0038)</f>
        <v>812.44</v>
      </c>
      <c r="AL29" s="75">
        <f>IF('Wtr-Gas'!X31&lt;0,"0",('Wtr-Gas'!X31)*0.0038)</f>
        <v>92.72</v>
      </c>
      <c r="AM29" s="74">
        <f>IF('Wtr-Gas'!AB31&lt;0,"0",('Wtr-Gas'!AB31)*0.0038)</f>
        <v>11476</v>
      </c>
      <c r="AN29" s="74">
        <f>IF('Wtr-Gas'!AD31&lt;0,"0",('Wtr-Gas'!AD31)*0.0038)</f>
        <v>2735.5592000000001</v>
      </c>
      <c r="AO29" s="74">
        <f>IF('Wtr-Gas'!AH31&lt;0,"0",('Wtr-Gas'!AH31)*0.0038)</f>
        <v>14.782</v>
      </c>
      <c r="AP29" s="74">
        <f>IF('Wtr-Gas'!AJ31&lt;0,"0",('Wtr-Gas'!AJ31)*0.0038)</f>
        <v>335.38799999999998</v>
      </c>
      <c r="AQ29" s="74">
        <f>IF('Wtr-Gas'!AL31&lt;0,"0",('Wtr-Gas'!AL31)*0.0038)</f>
        <v>45.6342</v>
      </c>
      <c r="AR29" s="74">
        <f>IF('Wtr-Gas'!AN31&lt;0,"0",('Wtr-Gas'!AN31)*0.0038)</f>
        <v>281.2</v>
      </c>
      <c r="AS29" s="74">
        <f>IF('Wtr-Gas'!AP31&lt;0,"0",('Wtr-Gas'!AP31)*0.0038)</f>
        <v>4.1799999999999997E-2</v>
      </c>
      <c r="AT29" s="74">
        <f>IF('Wtr-Gas'!AR31&lt;0,"0",('Wtr-Gas'!AR31)*0.0038)</f>
        <v>6.46</v>
      </c>
      <c r="AU29" s="87">
        <f>IF('Wtr-Gas'!AV31&lt;0,"0",('Wtr-Gas'!AV31)*0.0038)</f>
        <v>0.40660000000000002</v>
      </c>
      <c r="AV29" s="74">
        <f>IF('Wtr-Gas'!AY31&lt;0,"0",('Wtr-Gas'!AY31)*0.0038)</f>
        <v>218.46199999999999</v>
      </c>
      <c r="AW29" s="74">
        <f>IF('Wtr-Gas'!BA31&lt;0,"0",('Wtr-Gas'!BA31)*0.0038)</f>
        <v>149.35177999999999</v>
      </c>
      <c r="AX29" s="74">
        <f>IF('Wtr-Gas'!BB31&lt;0,"0",('Wtr-Gas'!BB31)*0.0038)</f>
        <v>69.110220000000012</v>
      </c>
      <c r="AY29" s="74">
        <f>IF('Wtr-Gas'!BD31&lt;0,"0",('Wtr-Gas'!BD31)*0.0038)</f>
        <v>24.32</v>
      </c>
      <c r="AZ29" s="74">
        <f>IF('Wtr-Gas'!BF31&lt;0,"0",('Wtr-Gas'!BF31)*0.0038)</f>
        <v>0.76</v>
      </c>
      <c r="BA29" s="74">
        <f>IF('Wtr-Gas'!BH31&lt;0,"0",('Wtr-Gas'!BH31)*0.0038)</f>
        <v>0</v>
      </c>
    </row>
    <row r="30" spans="1:53" x14ac:dyDescent="0.25">
      <c r="A30" s="3" t="s">
        <v>11</v>
      </c>
      <c r="B30" s="72">
        <v>20</v>
      </c>
      <c r="C30" s="2">
        <v>6</v>
      </c>
      <c r="D30" s="2">
        <v>2022</v>
      </c>
      <c r="E30" s="36">
        <f>IF(Elect!AL32&lt;0,"0",Elect!AL32)</f>
        <v>522</v>
      </c>
      <c r="F30" s="36">
        <f>IF(Elect!I32&lt;0,"0",Elect!I32)</f>
        <v>50720</v>
      </c>
      <c r="G30" s="36">
        <f>Elect!H32</f>
        <v>2.4159999999999999</v>
      </c>
      <c r="H30" s="36">
        <f>IF(Elect!F32&lt;0,"0",Elect!F32)</f>
        <v>52000</v>
      </c>
      <c r="I30" s="36">
        <f>Elect!E32</f>
        <v>1.9930000000000001</v>
      </c>
      <c r="J30" s="36">
        <f>IF(Elect!U32&lt;0,"0",Elect!U32)</f>
        <v>88800</v>
      </c>
      <c r="K30" s="36">
        <f>Elect!T32</f>
        <v>2.5979999999999999</v>
      </c>
      <c r="L30" s="36">
        <f>IF(Elect!AJ32&lt;0,"0",Elect!AJ32)</f>
        <v>1520</v>
      </c>
      <c r="M30" s="36">
        <f>Elect!AI32</f>
        <v>0.30299999999999999</v>
      </c>
      <c r="N30" s="36">
        <f>IF(Elect!X32&lt;0,"0",Elect!X32)</f>
        <v>75900</v>
      </c>
      <c r="O30" s="36">
        <f>Elect!W32</f>
        <v>2.2429999999999999</v>
      </c>
      <c r="P30" s="36">
        <f>IF(Elect!O32&lt;0,"0",Elect!O32)</f>
        <v>12400</v>
      </c>
      <c r="Q30" s="36">
        <f>Elect!N32</f>
        <v>2.2599999999999998</v>
      </c>
      <c r="R30" s="36">
        <f>IF(Elect!L32&lt;0,"0",Elect!L32)</f>
        <v>14400</v>
      </c>
      <c r="S30" s="36">
        <f>Elect!K32</f>
        <v>2.77</v>
      </c>
      <c r="T30" s="36">
        <f>IF(Elect!R32&lt;0,"0",Elect!R32)</f>
        <v>11600</v>
      </c>
      <c r="U30" s="36">
        <f>Elect!Q32</f>
        <v>2.29</v>
      </c>
      <c r="V30" s="36">
        <f>IF(Elect!AA32&lt;0,"0",Elect!AA32)</f>
        <v>6080</v>
      </c>
      <c r="W30" s="36">
        <f>Elect!Z32</f>
        <v>3.48</v>
      </c>
      <c r="X30" s="36">
        <f>IF(Elect!AD32&lt;0,"0",Elect!AD32)</f>
        <v>3680</v>
      </c>
      <c r="Y30" s="36">
        <f>Elect!AC32</f>
        <v>2.67</v>
      </c>
      <c r="Z30" s="36">
        <f>IF(Elect!AG32&lt;0,"0",Elect!AG32)</f>
        <v>80600</v>
      </c>
      <c r="AA30" s="36">
        <f>Elect!AF32</f>
        <v>2.1379999999999999</v>
      </c>
      <c r="AB30" s="36">
        <f>IF(Elect!AX32&lt;0,"0",Elect!AX32)</f>
        <v>2000</v>
      </c>
      <c r="AC30" s="36">
        <f>IF(Elect!AV32&lt;0,"0",Elect!AV32)</f>
        <v>19000</v>
      </c>
      <c r="AD30" s="36">
        <f>IF(Elect!AZ32&lt;0,"0",Elect!AZ32)</f>
        <v>908</v>
      </c>
      <c r="AE30" s="36">
        <f>IF(Elect!BB32&lt;0,"0",Elect!BB32)</f>
        <v>4480</v>
      </c>
      <c r="AF30" s="74">
        <f>IF('Wtr-Gas'!E32&lt;0,"0",('Wtr-Gas'!E32)*0.0038)</f>
        <v>5556.018</v>
      </c>
      <c r="AG30" s="74">
        <f>IF('Wtr-Gas'!H32&lt;0,"0",('Wtr-Gas'!H32)*0.0038)</f>
        <v>781.774</v>
      </c>
      <c r="AH30" s="74">
        <f>IF('Wtr-Gas'!K32&lt;0,"0",('Wtr-Gas'!K32)*0.0038)</f>
        <v>1.0640000000000001</v>
      </c>
      <c r="AI30" s="74">
        <f>IF('Wtr-Gas'!N32&lt;0,"0",('Wtr-Gas'!N32)*0.0038)</f>
        <v>4449.8</v>
      </c>
      <c r="AJ30" s="74">
        <f>IF('Wtr-Gas'!Q32&lt;0,"0",('Wtr-Gas'!Q32)*0.0038)</f>
        <v>156.56</v>
      </c>
      <c r="AK30" s="75">
        <f>IF('Wtr-Gas'!U32&lt;0,"0",('Wtr-Gas'!U32)*0.0038)</f>
        <v>891.1</v>
      </c>
      <c r="AL30" s="75">
        <f>IF('Wtr-Gas'!X32&lt;0,"0",('Wtr-Gas'!X32)*0.0038)</f>
        <v>60.42</v>
      </c>
      <c r="AM30" s="74">
        <f>IF('Wtr-Gas'!AB32&lt;0,"0",('Wtr-Gas'!AB32)*0.0038)</f>
        <v>12958</v>
      </c>
      <c r="AN30" s="74">
        <f>IF('Wtr-Gas'!AD32&lt;0,"0",('Wtr-Gas'!AD32)*0.0038)</f>
        <v>2960.4641000000001</v>
      </c>
      <c r="AO30" s="74">
        <f>IF('Wtr-Gas'!AH32&lt;0,"0",('Wtr-Gas'!AH32)*0.0038)</f>
        <v>17.745999999999999</v>
      </c>
      <c r="AP30" s="74">
        <f>IF('Wtr-Gas'!AJ32&lt;0,"0",('Wtr-Gas'!AJ32)*0.0038)</f>
        <v>376.61799999999999</v>
      </c>
      <c r="AQ30" s="74">
        <f>IF('Wtr-Gas'!AL32&lt;0,"0",('Wtr-Gas'!AL32)*0.0038)</f>
        <v>32.945999999999998</v>
      </c>
      <c r="AR30" s="74">
        <f>IF('Wtr-Gas'!AN32&lt;0,"0",('Wtr-Gas'!AN32)*0.0038)</f>
        <v>231.8</v>
      </c>
      <c r="AS30" s="74">
        <f>IF('Wtr-Gas'!AP32&lt;0,"0",('Wtr-Gas'!AP32)*0.0038)</f>
        <v>1.52E-2</v>
      </c>
      <c r="AT30" s="74">
        <f>IF('Wtr-Gas'!AR32&lt;0,"0",('Wtr-Gas'!AR32)*0.0038)</f>
        <v>4.5599999999999996</v>
      </c>
      <c r="AU30" s="87">
        <f>IF('Wtr-Gas'!AV32&lt;0,"0",('Wtr-Gas'!AV32)*0.0038)</f>
        <v>0.46360000000000001</v>
      </c>
      <c r="AV30" s="74">
        <f>IF('Wtr-Gas'!AY32&lt;0,"0",('Wtr-Gas'!AY32)*0.0038)</f>
        <v>212.5378</v>
      </c>
      <c r="AW30" s="74">
        <f>IF('Wtr-Gas'!BA32&lt;0,"0",('Wtr-Gas'!BA32)*0.0038)</f>
        <v>149.10249999999999</v>
      </c>
      <c r="AX30" s="74">
        <f>IF('Wtr-Gas'!BB32&lt;0,"0",('Wtr-Gas'!BB32)*0.0038)</f>
        <v>63.435299999999998</v>
      </c>
      <c r="AY30" s="74">
        <f>IF('Wtr-Gas'!BD32&lt;0,"0",('Wtr-Gas'!BD32)*0.0038)</f>
        <v>14.44</v>
      </c>
      <c r="AZ30" s="74">
        <f>IF('Wtr-Gas'!BF32&lt;0,"0",('Wtr-Gas'!BF32)*0.0038)</f>
        <v>1.1399999999999999</v>
      </c>
      <c r="BA30" s="74">
        <f>IF('Wtr-Gas'!BH32&lt;0,"0",('Wtr-Gas'!BH32)*0.0038)</f>
        <v>0</v>
      </c>
    </row>
    <row r="31" spans="1:53" x14ac:dyDescent="0.25">
      <c r="A31" s="3" t="s">
        <v>11</v>
      </c>
      <c r="B31" s="72">
        <v>27</v>
      </c>
      <c r="C31" s="2">
        <v>6</v>
      </c>
      <c r="D31" s="2">
        <v>2022</v>
      </c>
      <c r="E31" s="36">
        <f>IF(Elect!AL33&lt;0,"0",Elect!AL33)</f>
        <v>483</v>
      </c>
      <c r="F31" s="36">
        <f>IF(Elect!I33&lt;0,"0",Elect!I33)</f>
        <v>50080</v>
      </c>
      <c r="G31" s="36">
        <f>Elect!H33</f>
        <v>2.3570000000000002</v>
      </c>
      <c r="H31" s="36">
        <f>IF(Elect!F33&lt;0,"0",Elect!F33)</f>
        <v>42400</v>
      </c>
      <c r="I31" s="36">
        <f>Elect!E33</f>
        <v>1.956</v>
      </c>
      <c r="J31" s="36">
        <f>IF(Elect!U33&lt;0,"0",Elect!U33)</f>
        <v>84000</v>
      </c>
      <c r="K31" s="36">
        <f>Elect!T33</f>
        <v>2.7829999999999999</v>
      </c>
      <c r="L31" s="36">
        <f>IF(Elect!AJ33&lt;0,"0",Elect!AJ33)</f>
        <v>1560</v>
      </c>
      <c r="M31" s="36">
        <f>Elect!AI33</f>
        <v>0.27500000000000002</v>
      </c>
      <c r="N31" s="36">
        <f>IF(Elect!X33&lt;0,"0",Elect!X33)</f>
        <v>100800</v>
      </c>
      <c r="O31" s="36">
        <f>Elect!W33</f>
        <v>2.302</v>
      </c>
      <c r="P31" s="36">
        <f>IF(Elect!O33&lt;0,"0",Elect!O33)</f>
        <v>13200</v>
      </c>
      <c r="Q31" s="36">
        <f>Elect!N33</f>
        <v>2.39</v>
      </c>
      <c r="R31" s="36">
        <f>IF(Elect!L33&lt;0,"0",Elect!L33)</f>
        <v>13600</v>
      </c>
      <c r="S31" s="36">
        <f>Elect!K33</f>
        <v>2.64</v>
      </c>
      <c r="T31" s="36">
        <f>IF(Elect!R33&lt;0,"0",Elect!R33)</f>
        <v>11600</v>
      </c>
      <c r="U31" s="36">
        <f>Elect!Q33</f>
        <v>2.2000000000000002</v>
      </c>
      <c r="V31" s="36">
        <f>IF(Elect!AA33&lt;0,"0",Elect!AA33)</f>
        <v>7040</v>
      </c>
      <c r="W31" s="36">
        <f>Elect!Z33</f>
        <v>5.52</v>
      </c>
      <c r="X31" s="36">
        <f>IF(Elect!AD33&lt;0,"0",Elect!AD33)</f>
        <v>3680</v>
      </c>
      <c r="Y31" s="36">
        <f>Elect!AC33</f>
        <v>2.52</v>
      </c>
      <c r="Z31" s="36">
        <f>IF(Elect!AG33&lt;0,"0",Elect!AG33)</f>
        <v>31600</v>
      </c>
      <c r="AA31" s="36">
        <f>Elect!AF33</f>
        <v>2.121</v>
      </c>
      <c r="AB31" s="36">
        <f>IF(Elect!AX33&lt;0,"0",Elect!AX33)</f>
        <v>1900</v>
      </c>
      <c r="AC31" s="36">
        <f>IF(Elect!AV33&lt;0,"0",Elect!AV33)</f>
        <v>17500</v>
      </c>
      <c r="AD31" s="36">
        <f>IF(Elect!AZ33&lt;0,"0",Elect!AZ33)</f>
        <v>880</v>
      </c>
      <c r="AE31" s="36">
        <f>IF(Elect!BB33&lt;0,"0",Elect!BB33)</f>
        <v>3800</v>
      </c>
      <c r="AF31" s="74">
        <f>IF('Wtr-Gas'!E33&lt;0,"0",('Wtr-Gas'!E33)*0.0038)</f>
        <v>5269.3459999999995</v>
      </c>
      <c r="AG31" s="74">
        <f>IF('Wtr-Gas'!H33&lt;0,"0",('Wtr-Gas'!H33)*0.0038)</f>
        <v>858.49599999999998</v>
      </c>
      <c r="AH31" s="74">
        <f>IF('Wtr-Gas'!K33&lt;0,"0",('Wtr-Gas'!K33)*0.0038)</f>
        <v>0.60799999999999998</v>
      </c>
      <c r="AI31" s="74">
        <f>IF('Wtr-Gas'!N33&lt;0,"0",('Wtr-Gas'!N33)*0.0038)</f>
        <v>4347.2</v>
      </c>
      <c r="AJ31" s="74">
        <f>IF('Wtr-Gas'!Q33&lt;0,"0",('Wtr-Gas'!Q33)*0.0038)</f>
        <v>121.6</v>
      </c>
      <c r="AK31" s="75">
        <f>IF('Wtr-Gas'!U33&lt;0,"0",('Wtr-Gas'!U33)*0.0038)</f>
        <v>840.94</v>
      </c>
      <c r="AL31" s="75">
        <f>IF('Wtr-Gas'!X33&lt;0,"0",('Wtr-Gas'!X33)*0.0038)</f>
        <v>98.04</v>
      </c>
      <c r="AM31" s="74">
        <f>IF('Wtr-Gas'!AB33&lt;0,"0",('Wtr-Gas'!AB33)*0.0038)</f>
        <v>12426</v>
      </c>
      <c r="AN31" s="74">
        <f>IF('Wtr-Gas'!AD33&lt;0,"0",('Wtr-Gas'!AD33)*0.0038)</f>
        <v>3075.0987</v>
      </c>
      <c r="AO31" s="74">
        <f>IF('Wtr-Gas'!AH33&lt;0,"0",('Wtr-Gas'!AH33)*0.0038)</f>
        <v>10.146000000000001</v>
      </c>
      <c r="AP31" s="74">
        <f>IF('Wtr-Gas'!AJ33&lt;0,"0",('Wtr-Gas'!AJ33)*0.0038)</f>
        <v>322.202</v>
      </c>
      <c r="AQ31" s="74">
        <f>IF('Wtr-Gas'!AL33&lt;0,"0",('Wtr-Gas'!AL33)*0.0038)</f>
        <v>23.829799999999999</v>
      </c>
      <c r="AR31" s="74">
        <f>IF('Wtr-Gas'!AN33&lt;0,"0",('Wtr-Gas'!AN33)*0.0038)</f>
        <v>129.19999999999999</v>
      </c>
      <c r="AS31" s="74">
        <f>IF('Wtr-Gas'!AP33&lt;0,"0",('Wtr-Gas'!AP33)*0.0038)</f>
        <v>1.52E-2</v>
      </c>
      <c r="AT31" s="74">
        <f>IF('Wtr-Gas'!AR33&lt;0,"0",('Wtr-Gas'!AR33)*0.0038)</f>
        <v>3.04</v>
      </c>
      <c r="AU31" s="87">
        <f>IF('Wtr-Gas'!AV33&lt;0,"0",('Wtr-Gas'!AV33)*0.0038)</f>
        <v>0.32679999999999998</v>
      </c>
      <c r="AV31" s="74">
        <f>IF('Wtr-Gas'!AY33&lt;0,"0",('Wtr-Gas'!AY33)*0.0038)</f>
        <v>215.11420000000001</v>
      </c>
      <c r="AW31" s="74">
        <f>IF('Wtr-Gas'!BA33&lt;0,"0",('Wtr-Gas'!BA33)*0.0038)</f>
        <v>150.55809000000002</v>
      </c>
      <c r="AX31" s="74">
        <f>IF('Wtr-Gas'!BB33&lt;0,"0",('Wtr-Gas'!BB33)*0.0038)</f>
        <v>64.55610999999999</v>
      </c>
      <c r="AY31" s="74">
        <f>IF('Wtr-Gas'!BD33&lt;0,"0",('Wtr-Gas'!BD33)*0.0038)</f>
        <v>19</v>
      </c>
      <c r="AZ31" s="74">
        <f>IF('Wtr-Gas'!BF33&lt;0,"0",('Wtr-Gas'!BF33)*0.0038)</f>
        <v>1.1399999999999999</v>
      </c>
      <c r="BA31" s="74">
        <f>IF('Wtr-Gas'!BH33&lt;0,"0",('Wtr-Gas'!BH33)*0.0038)</f>
        <v>0</v>
      </c>
    </row>
    <row r="32" spans="1:53" x14ac:dyDescent="0.25">
      <c r="A32" s="3" t="s">
        <v>11</v>
      </c>
      <c r="B32" s="72">
        <v>30</v>
      </c>
      <c r="C32" s="2">
        <v>6</v>
      </c>
      <c r="D32" s="2">
        <v>2022</v>
      </c>
      <c r="E32" s="36">
        <f>IF(Elect!AL34&lt;0,"0",Elect!AL34)</f>
        <v>190</v>
      </c>
      <c r="F32" s="36">
        <f>IF(Elect!I34&lt;0,"0",Elect!I34)</f>
        <v>20960</v>
      </c>
      <c r="G32" s="36">
        <f>Elect!H34</f>
        <v>2.3570000000000002</v>
      </c>
      <c r="H32" s="36">
        <f>IF(Elect!F34&lt;0,"0",Elect!F34)</f>
        <v>18400</v>
      </c>
      <c r="I32" s="36">
        <f>Elect!E34</f>
        <v>1.956</v>
      </c>
      <c r="J32" s="36">
        <f>IF(Elect!U34&lt;0,"0",Elect!U34)</f>
        <v>43800</v>
      </c>
      <c r="K32" s="36">
        <f>Elect!T34</f>
        <v>2.802</v>
      </c>
      <c r="L32" s="36">
        <f>IF(Elect!AJ34&lt;0,"0",Elect!AJ34)</f>
        <v>640</v>
      </c>
      <c r="M32" s="36">
        <f>Elect!AI34</f>
        <v>0.27500000000000002</v>
      </c>
      <c r="N32" s="36">
        <f>IF(Elect!X34&lt;0,"0",Elect!X34)</f>
        <v>41400</v>
      </c>
      <c r="O32" s="36">
        <f>Elect!W34</f>
        <v>2.302</v>
      </c>
      <c r="P32" s="36">
        <f>IF(Elect!O34&lt;0,"0",Elect!O34)</f>
        <v>5600</v>
      </c>
      <c r="Q32" s="36">
        <f>Elect!N34</f>
        <v>2.39</v>
      </c>
      <c r="R32" s="36">
        <f>IF(Elect!L34&lt;0,"0",Elect!L34)</f>
        <v>6400</v>
      </c>
      <c r="S32" s="36">
        <f>Elect!K34</f>
        <v>2.74</v>
      </c>
      <c r="T32" s="36">
        <f>IF(Elect!R34&lt;0,"0",Elect!R34)</f>
        <v>5200</v>
      </c>
      <c r="U32" s="36">
        <f>Elect!Q34</f>
        <v>2.2000000000000002</v>
      </c>
      <c r="V32" s="36">
        <f>IF(Elect!AA34&lt;0,"0",Elect!AA34)</f>
        <v>4800</v>
      </c>
      <c r="W32" s="36">
        <f>Elect!Z34</f>
        <v>5.9</v>
      </c>
      <c r="X32" s="36">
        <f>IF(Elect!AD34&lt;0,"0",Elect!AD34)</f>
        <v>1920</v>
      </c>
      <c r="Y32" s="36">
        <f>Elect!AC34</f>
        <v>2.54</v>
      </c>
      <c r="Z32" s="36">
        <f>IF(Elect!AG34&lt;0,"0",Elect!AG34)</f>
        <v>22600</v>
      </c>
      <c r="AA32" s="36">
        <f>Elect!AF34</f>
        <v>2.121</v>
      </c>
      <c r="AB32" s="36">
        <f>IF(Elect!AX34&lt;0,"0",Elect!AX34)</f>
        <v>1300</v>
      </c>
      <c r="AC32" s="36">
        <f>IF(Elect!AV34&lt;0,"0",Elect!AV34)</f>
        <v>10900</v>
      </c>
      <c r="AD32" s="36">
        <f>IF(Elect!AZ34&lt;0,"0",Elect!AZ34)</f>
        <v>540</v>
      </c>
      <c r="AE32" s="36">
        <f>IF(Elect!BB34&lt;0,"0",Elect!BB34)</f>
        <v>2440</v>
      </c>
      <c r="AF32" s="74">
        <f>IF('Wtr-Gas'!E34&lt;0,"0",('Wtr-Gas'!E34)*0.0038)</f>
        <v>2211.942</v>
      </c>
      <c r="AG32" s="74">
        <f>IF('Wtr-Gas'!H34&lt;0,"0",('Wtr-Gas'!H34)*0.0038)</f>
        <v>258.286</v>
      </c>
      <c r="AH32" s="74">
        <f>IF('Wtr-Gas'!K34&lt;0,"0",('Wtr-Gas'!K34)*0.0038)</f>
        <v>0.98799999999999999</v>
      </c>
      <c r="AI32" s="74">
        <f>IF('Wtr-Gas'!N34&lt;0,"0",('Wtr-Gas'!N34)*0.0038)</f>
        <v>1759.4</v>
      </c>
      <c r="AJ32" s="74">
        <f>IF('Wtr-Gas'!Q34&lt;0,"0",('Wtr-Gas'!Q34)*0.0038)</f>
        <v>41.42</v>
      </c>
      <c r="AK32" s="75">
        <f>IF('Wtr-Gas'!U34&lt;0,"0",('Wtr-Gas'!U34)*0.0038)</f>
        <v>321.10000000000002</v>
      </c>
      <c r="AL32" s="75">
        <f>IF('Wtr-Gas'!X34&lt;0,"0",('Wtr-Gas'!X34)*0.0038)</f>
        <v>30.4</v>
      </c>
      <c r="AM32" s="74">
        <f>IF('Wtr-Gas'!AB34&lt;0,"0",('Wtr-Gas'!AB34)*0.0038)</f>
        <v>6194</v>
      </c>
      <c r="AN32" s="74">
        <f>IF('Wtr-Gas'!AD34&lt;0,"0",('Wtr-Gas'!AD34)*0.0038)</f>
        <v>1414.2080000000001</v>
      </c>
      <c r="AO32" s="74">
        <f>IF('Wtr-Gas'!AH34&lt;0,"0",('Wtr-Gas'!AH34)*0.0038)</f>
        <v>0.68400000000000005</v>
      </c>
      <c r="AP32" s="74">
        <f>IF('Wtr-Gas'!AJ34&lt;0,"0",('Wtr-Gas'!AJ34)*0.0038)</f>
        <v>116.35599999999999</v>
      </c>
      <c r="AQ32" s="74">
        <f>IF('Wtr-Gas'!AL34&lt;0,"0",('Wtr-Gas'!AL34)*0.0038)</f>
        <v>14.2082</v>
      </c>
      <c r="AR32" s="74">
        <f>IF('Wtr-Gas'!AN34&lt;0,"0",('Wtr-Gas'!AN34)*0.0038)</f>
        <v>106.4</v>
      </c>
      <c r="AS32" s="74">
        <f>IF('Wtr-Gas'!AP34&lt;0,"0",('Wtr-Gas'!AP34)*0.0038)</f>
        <v>3.8E-3</v>
      </c>
      <c r="AT32" s="74">
        <f>IF('Wtr-Gas'!AR34&lt;0,"0",('Wtr-Gas'!AR34)*0.0038)</f>
        <v>1.52</v>
      </c>
      <c r="AU32" s="87">
        <f>IF('Wtr-Gas'!AV34&lt;0,"0",('Wtr-Gas'!AV34)*0.0038)</f>
        <v>0.17100000000000001</v>
      </c>
      <c r="AV32" s="74">
        <f>IF('Wtr-Gas'!AY34&lt;0,"0",('Wtr-Gas'!AY34)*0.0038)</f>
        <v>116.45480000000001</v>
      </c>
      <c r="AW32" s="74">
        <f>IF('Wtr-Gas'!BA34&lt;0,"0",('Wtr-Gas'!BA34)*0.0038)</f>
        <v>83.763210000000001</v>
      </c>
      <c r="AX32" s="74">
        <f>IF('Wtr-Gas'!BB34&lt;0,"0",('Wtr-Gas'!BB34)*0.0038)</f>
        <v>32.691589999999998</v>
      </c>
      <c r="AY32" s="74">
        <f>IF('Wtr-Gas'!BD34&lt;0,"0",('Wtr-Gas'!BD34)*0.0038)</f>
        <v>15.96</v>
      </c>
      <c r="AZ32" s="74">
        <f>IF('Wtr-Gas'!BF34&lt;0,"0",('Wtr-Gas'!BF34)*0.0038)</f>
        <v>0.76</v>
      </c>
      <c r="BA32" s="74">
        <f>IF('Wtr-Gas'!BH34&lt;0,"0",('Wtr-Gas'!BH34)*0.0038)</f>
        <v>0</v>
      </c>
    </row>
    <row r="33" spans="1:53" x14ac:dyDescent="0.25">
      <c r="A33" s="3" t="s">
        <v>11</v>
      </c>
      <c r="B33" s="72">
        <v>4</v>
      </c>
      <c r="C33" s="2">
        <v>7</v>
      </c>
      <c r="D33" s="2">
        <v>2022</v>
      </c>
      <c r="E33" s="36">
        <f>IF(Elect!AL35&lt;0,"0",Elect!AL35)</f>
        <v>310</v>
      </c>
      <c r="F33" s="36">
        <f>IF(Elect!I35&lt;0,"0",Elect!I35)</f>
        <v>27520</v>
      </c>
      <c r="G33" s="36">
        <f>Elect!H35</f>
        <v>2.3570000000000002</v>
      </c>
      <c r="H33" s="36">
        <f>IF(Elect!F35&lt;0,"0",Elect!F35)</f>
        <v>23040</v>
      </c>
      <c r="I33" s="36">
        <f>Elect!E35</f>
        <v>1.956</v>
      </c>
      <c r="J33" s="36">
        <f>IF(Elect!U35&lt;0,"0",Elect!U35)</f>
        <v>48300</v>
      </c>
      <c r="K33" s="36">
        <f>Elect!T35</f>
        <v>2.802</v>
      </c>
      <c r="L33" s="36">
        <f>IF(Elect!AJ35&lt;0,"0",Elect!AJ35)</f>
        <v>800</v>
      </c>
      <c r="M33" s="36">
        <f>Elect!AI35</f>
        <v>0.30299999999999999</v>
      </c>
      <c r="N33" s="36">
        <f>IF(Elect!X35&lt;0,"0",Elect!X35)</f>
        <v>46800</v>
      </c>
      <c r="O33" s="36">
        <f>Elect!W35</f>
        <v>2.302</v>
      </c>
      <c r="P33" s="36">
        <f>IF(Elect!O35&lt;0,"0",Elect!O35)</f>
        <v>6400</v>
      </c>
      <c r="Q33" s="36">
        <f>Elect!N35</f>
        <v>2.39</v>
      </c>
      <c r="R33" s="36">
        <f>IF(Elect!L35&lt;0,"0",Elect!L35)</f>
        <v>7200</v>
      </c>
      <c r="S33" s="36">
        <f>Elect!K35</f>
        <v>2.74</v>
      </c>
      <c r="T33" s="36">
        <f>IF(Elect!R35&lt;0,"0",Elect!R35)</f>
        <v>6800</v>
      </c>
      <c r="U33" s="36">
        <f>Elect!Q35</f>
        <v>2.2000000000000002</v>
      </c>
      <c r="V33" s="36">
        <f>IF(Elect!AA35&lt;0,"0",Elect!AA35)</f>
        <v>3040</v>
      </c>
      <c r="W33" s="36">
        <f>Elect!Z35</f>
        <v>5.9</v>
      </c>
      <c r="X33" s="36">
        <f>IF(Elect!AD35&lt;0,"0",Elect!AD35)</f>
        <v>1760</v>
      </c>
      <c r="Y33" s="36">
        <f>Elect!AC35</f>
        <v>2.54</v>
      </c>
      <c r="Z33" s="36">
        <f>IF(Elect!AG35&lt;0,"0",Elect!AG35)</f>
        <v>30600</v>
      </c>
      <c r="AA33" s="36">
        <f>Elect!AF35</f>
        <v>2.121</v>
      </c>
      <c r="AB33" s="36">
        <f>IF(Elect!AX35&lt;0,"0",Elect!AX35)</f>
        <v>600</v>
      </c>
      <c r="AC33" s="36">
        <f>IF(Elect!AV35&lt;0,"0",Elect!AV35)</f>
        <v>6600</v>
      </c>
      <c r="AD33" s="36">
        <f>IF(Elect!AZ35&lt;0,"0",Elect!AZ35)</f>
        <v>355</v>
      </c>
      <c r="AE33" s="36">
        <f>IF(Elect!BB35&lt;0,"0",Elect!BB35)</f>
        <v>520</v>
      </c>
      <c r="AF33" s="74">
        <f>IF('Wtr-Gas'!E35&lt;0,"0",('Wtr-Gas'!E35)*0.0038)</f>
        <v>2582.0619999999999</v>
      </c>
      <c r="AG33" s="74">
        <f>IF('Wtr-Gas'!H35&lt;0,"0",('Wtr-Gas'!H35)*0.0038)</f>
        <v>415.036</v>
      </c>
      <c r="AH33" s="74">
        <f>IF('Wtr-Gas'!K35&lt;0,"0",('Wtr-Gas'!K35)*0.0038)</f>
        <v>0.76</v>
      </c>
      <c r="AI33" s="74">
        <f>IF('Wtr-Gas'!N35&lt;0,"0",('Wtr-Gas'!N35)*0.0038)</f>
        <v>2139.4</v>
      </c>
      <c r="AJ33" s="74">
        <f>IF('Wtr-Gas'!Q35&lt;0,"0",('Wtr-Gas'!Q35)*0.0038)</f>
        <v>53.58</v>
      </c>
      <c r="AK33" s="75">
        <f>IF('Wtr-Gas'!U35&lt;0,"0",('Wtr-Gas'!U35)*0.0038)</f>
        <v>430.54</v>
      </c>
      <c r="AL33" s="75">
        <f>IF('Wtr-Gas'!X35&lt;0,"0",('Wtr-Gas'!X35)*0.0038)</f>
        <v>53.58</v>
      </c>
      <c r="AM33" s="74">
        <f>IF('Wtr-Gas'!AB35&lt;0,"0",('Wtr-Gas'!AB35)*0.0038)</f>
        <v>6498</v>
      </c>
      <c r="AN33" s="74">
        <f>IF('Wtr-Gas'!AD35&lt;0,"0",('Wtr-Gas'!AD35)*0.0038)</f>
        <v>1520.19</v>
      </c>
      <c r="AO33" s="74">
        <f>IF('Wtr-Gas'!AH35&lt;0,"0",('Wtr-Gas'!AH35)*0.0038)</f>
        <v>4.4459999999999997</v>
      </c>
      <c r="AP33" s="74">
        <f>IF('Wtr-Gas'!AJ35&lt;0,"0",('Wtr-Gas'!AJ35)*0.0038)</f>
        <v>109.858</v>
      </c>
      <c r="AQ33" s="74">
        <f>IF('Wtr-Gas'!AL35&lt;0,"0",('Wtr-Gas'!AL35)*0.0038)</f>
        <v>11.502599999999999</v>
      </c>
      <c r="AR33" s="74">
        <f>IF('Wtr-Gas'!AN35&lt;0,"0",('Wtr-Gas'!AN35)*0.0038)</f>
        <v>60.8</v>
      </c>
      <c r="AS33" s="74">
        <f>IF('Wtr-Gas'!AP35&lt;0,"0",('Wtr-Gas'!AP35)*0.0038)</f>
        <v>1.9E-2</v>
      </c>
      <c r="AT33" s="74">
        <f>IF('Wtr-Gas'!AR35&lt;0,"0",('Wtr-Gas'!AR35)*0.0038)</f>
        <v>3.04</v>
      </c>
      <c r="AU33" s="87">
        <f>IF('Wtr-Gas'!AV35&lt;0,"0",('Wtr-Gas'!AV35)*0.0038)</f>
        <v>0.13300000000000001</v>
      </c>
      <c r="AV33" s="74">
        <f>IF('Wtr-Gas'!AY35&lt;0,"0",('Wtr-Gas'!AY35)*0.0038)</f>
        <v>86.784400000000005</v>
      </c>
      <c r="AW33" s="74">
        <f>IF('Wtr-Gas'!BA35&lt;0,"0",('Wtr-Gas'!BA35)*0.0038)</f>
        <v>66.268770000000004</v>
      </c>
      <c r="AX33" s="74">
        <f>IF('Wtr-Gas'!BB35&lt;0,"0",('Wtr-Gas'!BB35)*0.0038)</f>
        <v>20.515629999999994</v>
      </c>
      <c r="AY33" s="74">
        <f>IF('Wtr-Gas'!BD35&lt;0,"0",('Wtr-Gas'!BD35)*0.0038)</f>
        <v>2.66</v>
      </c>
      <c r="AZ33" s="74">
        <f>IF('Wtr-Gas'!BF35&lt;0,"0",('Wtr-Gas'!BF35)*0.0038)</f>
        <v>0</v>
      </c>
      <c r="BA33" s="74">
        <f>IF('Wtr-Gas'!BH35&lt;0,"0",('Wtr-Gas'!BH35)*0.0038)</f>
        <v>0</v>
      </c>
    </row>
    <row r="34" spans="1:53" x14ac:dyDescent="0.25">
      <c r="A34" s="3" t="s">
        <v>11</v>
      </c>
      <c r="B34" s="72">
        <v>11</v>
      </c>
      <c r="C34" s="2">
        <v>7</v>
      </c>
      <c r="D34" s="2">
        <v>2022</v>
      </c>
      <c r="E34" s="36">
        <f>IF(Elect!AL36&lt;0,"0",Elect!AL36)</f>
        <v>441</v>
      </c>
      <c r="F34" s="36">
        <f>IF(Elect!I36&lt;0,"0",Elect!I36)</f>
        <v>49440</v>
      </c>
      <c r="G34" s="36">
        <f>Elect!H36</f>
        <v>2.3660000000000001</v>
      </c>
      <c r="H34" s="36">
        <f>IF(Elect!F36&lt;0,"0",Elect!F36)</f>
        <v>42720</v>
      </c>
      <c r="I34" s="36">
        <f>Elect!E36</f>
        <v>1.956</v>
      </c>
      <c r="J34" s="36">
        <f>IF(Elect!U36&lt;0,"0",Elect!U36)</f>
        <v>92400</v>
      </c>
      <c r="K34" s="36">
        <f>Elect!T36</f>
        <v>2.802</v>
      </c>
      <c r="L34" s="36">
        <f>IF(Elect!AJ36&lt;0,"0",Elect!AJ36)</f>
        <v>1600</v>
      </c>
      <c r="M34" s="36">
        <f>Elect!AI36</f>
        <v>0.30299999999999999</v>
      </c>
      <c r="N34" s="36">
        <f>IF(Elect!X36&lt;0,"0",Elect!X36)</f>
        <v>87300</v>
      </c>
      <c r="O34" s="36">
        <f>Elect!W36</f>
        <v>2.302</v>
      </c>
      <c r="P34" s="36">
        <f>IF(Elect!O36&lt;0,"0",Elect!O36)</f>
        <v>11600</v>
      </c>
      <c r="Q34" s="36">
        <f>Elect!N36</f>
        <v>2.39</v>
      </c>
      <c r="R34" s="36">
        <f>IF(Elect!L36&lt;0,"0",Elect!L36)</f>
        <v>13200</v>
      </c>
      <c r="S34" s="36">
        <f>Elect!K36</f>
        <v>2.74</v>
      </c>
      <c r="T34" s="36">
        <f>IF(Elect!R36&lt;0,"0",Elect!R36)</f>
        <v>11600</v>
      </c>
      <c r="U34" s="36">
        <f>Elect!Q36</f>
        <v>2.2000000000000002</v>
      </c>
      <c r="V34" s="36">
        <f>IF(Elect!AA36&lt;0,"0",Elect!AA36)</f>
        <v>5760</v>
      </c>
      <c r="W34" s="36">
        <f>Elect!Z36</f>
        <v>5.9</v>
      </c>
      <c r="X34" s="36">
        <f>IF(Elect!AD36&lt;0,"0",Elect!AD36)</f>
        <v>3360</v>
      </c>
      <c r="Y34" s="36">
        <f>Elect!AC36</f>
        <v>2.54</v>
      </c>
      <c r="Z34" s="36">
        <f>IF(Elect!AG36&lt;0,"0",Elect!AG36)</f>
        <v>56600</v>
      </c>
      <c r="AA34" s="36">
        <f>Elect!AF36</f>
        <v>2.121</v>
      </c>
      <c r="AB34" s="36">
        <f>IF(Elect!AX36&lt;0,"0",Elect!AX36)</f>
        <v>3100</v>
      </c>
      <c r="AC34" s="36">
        <f>IF(Elect!AV36&lt;0,"0",Elect!AV36)</f>
        <v>25900</v>
      </c>
      <c r="AD34" s="36">
        <f>IF(Elect!AZ36&lt;0,"0",Elect!AZ36)</f>
        <v>1289</v>
      </c>
      <c r="AE34" s="36">
        <f>IF(Elect!BB36&lt;0,"0",Elect!BB36)</f>
        <v>5400</v>
      </c>
      <c r="AF34" s="74">
        <f>IF('Wtr-Gas'!E36&lt;0,"0",('Wtr-Gas'!E36)*0.0038)</f>
        <v>5060.84</v>
      </c>
      <c r="AG34" s="74">
        <f>IF('Wtr-Gas'!H36&lt;0,"0",('Wtr-Gas'!H36)*0.0038)</f>
        <v>761.44399999999996</v>
      </c>
      <c r="AH34" s="74">
        <f>IF('Wtr-Gas'!K36&lt;0,"0",('Wtr-Gas'!K36)*0.0038)</f>
        <v>2.052</v>
      </c>
      <c r="AI34" s="74">
        <f>IF('Wtr-Gas'!N36&lt;0,"0",('Wtr-Gas'!N36)*0.0038)</f>
        <v>4191.3999999999996</v>
      </c>
      <c r="AJ34" s="74">
        <f>IF('Wtr-Gas'!Q36&lt;0,"0",('Wtr-Gas'!Q36)*0.0038)</f>
        <v>96.14</v>
      </c>
      <c r="AK34" s="75">
        <f>IF('Wtr-Gas'!U36&lt;0,"0",('Wtr-Gas'!U36)*0.0038)</f>
        <v>742.52</v>
      </c>
      <c r="AL34" s="75">
        <f>IF('Wtr-Gas'!X36&lt;0,"0",('Wtr-Gas'!X36)*0.0038)</f>
        <v>51.68</v>
      </c>
      <c r="AM34" s="74">
        <f>IF('Wtr-Gas'!AB36&lt;0,"0",('Wtr-Gas'!AB36)*0.0038)</f>
        <v>12844</v>
      </c>
      <c r="AN34" s="74">
        <f>IF('Wtr-Gas'!AD36&lt;0,"0",('Wtr-Gas'!AD36)*0.0038)</f>
        <v>3197.8018400000001</v>
      </c>
      <c r="AO34" s="74">
        <f>IF('Wtr-Gas'!AH36&lt;0,"0",('Wtr-Gas'!AH36)*0.0038)</f>
        <v>11.362</v>
      </c>
      <c r="AP34" s="74">
        <f>IF('Wtr-Gas'!AJ36&lt;0,"0",('Wtr-Gas'!AJ36)*0.0038)</f>
        <v>314.26</v>
      </c>
      <c r="AQ34" s="74">
        <f>IF('Wtr-Gas'!AL36&lt;0,"0",('Wtr-Gas'!AL36)*0.0038)</f>
        <v>25.543600000000001</v>
      </c>
      <c r="AR34" s="74">
        <f>IF('Wtr-Gas'!AN36&lt;0,"0",('Wtr-Gas'!AN36)*0.0038)</f>
        <v>91.2</v>
      </c>
      <c r="AS34" s="74">
        <f>IF('Wtr-Gas'!AP36&lt;0,"0",('Wtr-Gas'!AP36)*0.0038)</f>
        <v>4.1799999999999997E-2</v>
      </c>
      <c r="AT34" s="74">
        <f>IF('Wtr-Gas'!AR36&lt;0,"0",('Wtr-Gas'!AR36)*0.0038)</f>
        <v>1.9</v>
      </c>
      <c r="AU34" s="87">
        <f>IF('Wtr-Gas'!AV36&lt;0,"0",('Wtr-Gas'!AV36)*0.0038)</f>
        <v>0.5282</v>
      </c>
      <c r="AV34" s="74">
        <f>IF('Wtr-Gas'!AY36&lt;0,"0",('Wtr-Gas'!AY36)*0.0038)</f>
        <v>424.86660000000001</v>
      </c>
      <c r="AW34" s="74">
        <f>IF('Wtr-Gas'!BA36&lt;0,"0",('Wtr-Gas'!BA36)*0.0038)</f>
        <v>358.08190400000001</v>
      </c>
      <c r="AX34" s="74">
        <f>IF('Wtr-Gas'!BB36&lt;0,"0",('Wtr-Gas'!BB36)*0.0038)</f>
        <v>66.784695999999997</v>
      </c>
      <c r="AY34" s="74">
        <f>IF('Wtr-Gas'!BD36&lt;0,"0",('Wtr-Gas'!BD36)*0.0038)</f>
        <v>29.26</v>
      </c>
      <c r="AZ34" s="74">
        <f>IF('Wtr-Gas'!BF36&lt;0,"0",('Wtr-Gas'!BF36)*0.0038)</f>
        <v>1.52</v>
      </c>
      <c r="BA34" s="74">
        <f>IF('Wtr-Gas'!BH36&lt;0,"0",('Wtr-Gas'!BH36)*0.0038)</f>
        <v>0</v>
      </c>
    </row>
    <row r="35" spans="1:53" x14ac:dyDescent="0.25">
      <c r="A35" s="3" t="s">
        <v>11</v>
      </c>
      <c r="B35" s="72">
        <v>18</v>
      </c>
      <c r="C35" s="2">
        <v>7</v>
      </c>
      <c r="D35" s="2">
        <v>2022</v>
      </c>
      <c r="E35" s="36">
        <f>IF(Elect!AL37&lt;0,"0",Elect!AL37)</f>
        <v>413</v>
      </c>
      <c r="F35" s="36">
        <f>IF(Elect!I37&lt;0,"0",Elect!I37)</f>
        <v>47840</v>
      </c>
      <c r="G35" s="36">
        <f>Elect!H37</f>
        <v>2.3660000000000001</v>
      </c>
      <c r="H35" s="36">
        <f>IF(Elect!F37&lt;0,"0",Elect!F37)</f>
        <v>42400</v>
      </c>
      <c r="I35" s="36">
        <f>Elect!E37</f>
        <v>2.02</v>
      </c>
      <c r="J35" s="36">
        <f>IF(Elect!U37&lt;0,"0",Elect!U37)</f>
        <v>79200</v>
      </c>
      <c r="K35" s="36">
        <f>Elect!T37</f>
        <v>2.802</v>
      </c>
      <c r="L35" s="36">
        <f>IF(Elect!AJ37&lt;0,"0",Elect!AJ37)</f>
        <v>1640</v>
      </c>
      <c r="M35" s="36">
        <f>Elect!AI37</f>
        <v>0.33200000000000002</v>
      </c>
      <c r="N35" s="36">
        <f>IF(Elect!X37&lt;0,"0",Elect!X37)</f>
        <v>87000</v>
      </c>
      <c r="O35" s="36">
        <f>Elect!W37</f>
        <v>2.302</v>
      </c>
      <c r="P35" s="36">
        <f>IF(Elect!O37&lt;0,"0",Elect!O37)</f>
        <v>12000</v>
      </c>
      <c r="Q35" s="36">
        <f>Elect!N37</f>
        <v>2.46</v>
      </c>
      <c r="R35" s="36">
        <f>IF(Elect!L37&lt;0,"0",Elect!L37)</f>
        <v>13200</v>
      </c>
      <c r="S35" s="36">
        <f>Elect!K37</f>
        <v>2.74</v>
      </c>
      <c r="T35" s="36">
        <f>IF(Elect!R37&lt;0,"0",Elect!R37)</f>
        <v>11600</v>
      </c>
      <c r="U35" s="36">
        <f>Elect!Q37</f>
        <v>2.2000000000000002</v>
      </c>
      <c r="V35" s="36">
        <f>IF(Elect!AA37&lt;0,"0",Elect!AA37)</f>
        <v>5920</v>
      </c>
      <c r="W35" s="36">
        <f>Elect!Z37</f>
        <v>5.9</v>
      </c>
      <c r="X35" s="36">
        <f>IF(Elect!AD37&lt;0,"0",Elect!AD37)</f>
        <v>3840</v>
      </c>
      <c r="Y35" s="36">
        <f>Elect!AC37</f>
        <v>2.54</v>
      </c>
      <c r="Z35" s="36">
        <f>IF(Elect!AG37&lt;0,"0",Elect!AG37)</f>
        <v>55400</v>
      </c>
      <c r="AA35" s="36">
        <f>Elect!AF37</f>
        <v>2.2000000000000002</v>
      </c>
      <c r="AB35" s="36">
        <f>IF(Elect!AX37&lt;0,"0",Elect!AX37)</f>
        <v>1100</v>
      </c>
      <c r="AC35" s="36">
        <f>IF(Elect!AV37&lt;0,"0",Elect!AV37)</f>
        <v>10100</v>
      </c>
      <c r="AD35" s="36">
        <f>IF(Elect!AZ37&lt;0,"0",Elect!AZ37)</f>
        <v>510</v>
      </c>
      <c r="AE35" s="36">
        <f>IF(Elect!BB37&lt;0,"0",Elect!BB37)</f>
        <v>760</v>
      </c>
      <c r="AF35" s="74">
        <f>IF('Wtr-Gas'!E37&lt;0,"0",('Wtr-Gas'!E37)*0.0038)</f>
        <v>4862.7460000000001</v>
      </c>
      <c r="AG35" s="74">
        <f>IF('Wtr-Gas'!H37&lt;0,"0",('Wtr-Gas'!H37)*0.0038)</f>
        <v>686.05200000000002</v>
      </c>
      <c r="AH35" s="74">
        <f>IF('Wtr-Gas'!K37&lt;0,"0",('Wtr-Gas'!K37)*0.0038)</f>
        <v>1.33</v>
      </c>
      <c r="AI35" s="74">
        <f>IF('Wtr-Gas'!N37&lt;0,"0",('Wtr-Gas'!N37)*0.0038)</f>
        <v>4221.8</v>
      </c>
      <c r="AJ35" s="74">
        <f>IF('Wtr-Gas'!Q37&lt;0,"0",('Wtr-Gas'!Q37)*0.0038)</f>
        <v>90.44</v>
      </c>
      <c r="AK35" s="75">
        <f>IF('Wtr-Gas'!U37&lt;0,"0",('Wtr-Gas'!U37)*0.0038)</f>
        <v>763.8</v>
      </c>
      <c r="AL35" s="75">
        <f>IF('Wtr-Gas'!X37&lt;0,"0",('Wtr-Gas'!X37)*0.0038)</f>
        <v>42.94</v>
      </c>
      <c r="AM35" s="74">
        <f>IF('Wtr-Gas'!AB37&lt;0,"0",('Wtr-Gas'!AB37)*0.0038)</f>
        <v>12160</v>
      </c>
      <c r="AN35" s="74">
        <f>IF('Wtr-Gas'!AD37&lt;0,"0",('Wtr-Gas'!AD37)*0.0038)</f>
        <v>2812.2781600000003</v>
      </c>
      <c r="AO35" s="74">
        <f>IF('Wtr-Gas'!AH37&lt;0,"0",('Wtr-Gas'!AH37)*0.0038)</f>
        <v>1.8620000000000001</v>
      </c>
      <c r="AP35" s="74">
        <f>IF('Wtr-Gas'!AJ37&lt;0,"0",('Wtr-Gas'!AJ37)*0.0038)</f>
        <v>225.30199999999999</v>
      </c>
      <c r="AQ35" s="74">
        <f>IF('Wtr-Gas'!AL37&lt;0,"0",('Wtr-Gas'!AL37)*0.0038)</f>
        <v>14.903600000000001</v>
      </c>
      <c r="AR35" s="74">
        <f>IF('Wtr-Gas'!AN37&lt;0,"0",('Wtr-Gas'!AN37)*0.0038)</f>
        <v>26.6</v>
      </c>
      <c r="AS35" s="74">
        <f>IF('Wtr-Gas'!AP37&lt;0,"0",('Wtr-Gas'!AP37)*0.0038)</f>
        <v>3.04E-2</v>
      </c>
      <c r="AT35" s="74">
        <f>IF('Wtr-Gas'!AR37&lt;0,"0",('Wtr-Gas'!AR37)*0.0038)</f>
        <v>2.66</v>
      </c>
      <c r="AU35" s="87">
        <f>IF('Wtr-Gas'!AV37&lt;0,"0",('Wtr-Gas'!AV37)*0.0038)</f>
        <v>0.18240000000000001</v>
      </c>
      <c r="AV35" s="74">
        <f>IF('Wtr-Gas'!AY37&lt;0,"0",('Wtr-Gas'!AY37)*0.0038)</f>
        <v>115.4592</v>
      </c>
      <c r="AW35" s="74">
        <f>IF('Wtr-Gas'!BA37&lt;0,"0",('Wtr-Gas'!BA37)*0.0038)</f>
        <v>84.849326000000005</v>
      </c>
      <c r="AX35" s="74">
        <f>IF('Wtr-Gas'!BB37&lt;0,"0",('Wtr-Gas'!BB37)*0.0038)</f>
        <v>30.609873999999998</v>
      </c>
      <c r="AY35" s="74">
        <f>IF('Wtr-Gas'!BD37&lt;0,"0",('Wtr-Gas'!BD37)*0.0038)</f>
        <v>7.6</v>
      </c>
      <c r="AZ35" s="74">
        <f>IF('Wtr-Gas'!BF37&lt;0,"0",('Wtr-Gas'!BF37)*0.0038)</f>
        <v>0.38</v>
      </c>
      <c r="BA35" s="74">
        <f>IF('Wtr-Gas'!BH37&lt;0,"0",('Wtr-Gas'!BH37)*0.0038)</f>
        <v>0</v>
      </c>
    </row>
    <row r="36" spans="1:53" x14ac:dyDescent="0.25">
      <c r="A36" s="3" t="s">
        <v>11</v>
      </c>
      <c r="B36" s="72">
        <v>25</v>
      </c>
      <c r="C36" s="2">
        <v>7</v>
      </c>
      <c r="D36" s="2">
        <v>2022</v>
      </c>
      <c r="E36" s="36">
        <f>IF(Elect!AL38&lt;0,"0",Elect!AL38)</f>
        <v>423</v>
      </c>
      <c r="F36" s="36">
        <f>IF(Elect!I38&lt;0,"0",Elect!I38)</f>
        <v>50080</v>
      </c>
      <c r="G36" s="36">
        <f>Elect!H38</f>
        <v>2.2320000000000002</v>
      </c>
      <c r="H36" s="36">
        <f>IF(Elect!F38&lt;0,"0",Elect!F38)</f>
        <v>43200</v>
      </c>
      <c r="I36" s="36">
        <f>Elect!E38</f>
        <v>1.89</v>
      </c>
      <c r="J36" s="36">
        <f>IF(Elect!U38&lt;0,"0",Elect!U38)</f>
        <v>97800</v>
      </c>
      <c r="K36" s="36">
        <f>Elect!T38</f>
        <v>2.4660000000000002</v>
      </c>
      <c r="L36" s="36">
        <f>IF(Elect!AJ38&lt;0,"0",Elect!AJ38)</f>
        <v>1680</v>
      </c>
      <c r="M36" s="36">
        <f>Elect!AI38</f>
        <v>0.30299999999999999</v>
      </c>
      <c r="N36" s="36">
        <f>IF(Elect!X38&lt;0,"0",Elect!X38)</f>
        <v>90000</v>
      </c>
      <c r="O36" s="36">
        <f>Elect!W38</f>
        <v>2.0790000000000002</v>
      </c>
      <c r="P36" s="36">
        <f>IF(Elect!O38&lt;0,"0",Elect!O38)</f>
        <v>12000</v>
      </c>
      <c r="Q36" s="36">
        <f>Elect!N38</f>
        <v>2.1</v>
      </c>
      <c r="R36" s="36">
        <f>IF(Elect!L38&lt;0,"0",Elect!L38)</f>
        <v>14800</v>
      </c>
      <c r="S36" s="36">
        <f>Elect!K38</f>
        <v>2.5099999999999998</v>
      </c>
      <c r="T36" s="36">
        <f>IF(Elect!R38&lt;0,"0",Elect!R38)</f>
        <v>12000</v>
      </c>
      <c r="U36" s="36">
        <f>Elect!Q38</f>
        <v>2.21</v>
      </c>
      <c r="V36" s="36">
        <f>IF(Elect!AA38&lt;0,"0",Elect!AA38)</f>
        <v>6080</v>
      </c>
      <c r="W36" s="36">
        <f>Elect!Z38</f>
        <v>2.99</v>
      </c>
      <c r="X36" s="36">
        <f>IF(Elect!AD38&lt;0,"0",Elect!AD38)</f>
        <v>3520</v>
      </c>
      <c r="Y36" s="36">
        <f>Elect!AC38</f>
        <v>2.0499999999999998</v>
      </c>
      <c r="Z36" s="36">
        <f>IF(Elect!AG38&lt;0,"0",Elect!AG38)</f>
        <v>58800</v>
      </c>
      <c r="AA36" s="36">
        <f>Elect!AF38</f>
        <v>2.2959999999999998</v>
      </c>
      <c r="AB36" s="36">
        <f>IF(Elect!AX38&lt;0,"0",Elect!AX38)</f>
        <v>2300</v>
      </c>
      <c r="AC36" s="36">
        <f>IF(Elect!AV38&lt;0,"0",Elect!AV38)</f>
        <v>19300</v>
      </c>
      <c r="AD36" s="36">
        <f>IF(Elect!AZ38&lt;0,"0",Elect!AZ38)</f>
        <v>936</v>
      </c>
      <c r="AE36" s="36">
        <f>IF(Elect!BB38&lt;0,"0",Elect!BB38)</f>
        <v>3920</v>
      </c>
      <c r="AF36" s="74">
        <f>IF('Wtr-Gas'!E38&lt;0,"0",('Wtr-Gas'!E38)*0.0038)</f>
        <v>5583.15</v>
      </c>
      <c r="AG36" s="74">
        <f>IF('Wtr-Gas'!H38&lt;0,"0",('Wtr-Gas'!H38)*0.0038)</f>
        <v>690.04200000000003</v>
      </c>
      <c r="AH36" s="74">
        <f>IF('Wtr-Gas'!K38&lt;0,"0",('Wtr-Gas'!K38)*0.0038)</f>
        <v>1.71</v>
      </c>
      <c r="AI36" s="74">
        <f>IF('Wtr-Gas'!N38&lt;0,"0",('Wtr-Gas'!N38)*0.0038)</f>
        <v>4609.3999999999996</v>
      </c>
      <c r="AJ36" s="74">
        <f>IF('Wtr-Gas'!Q38&lt;0,"0",('Wtr-Gas'!Q38)*0.0038)</f>
        <v>92.34</v>
      </c>
      <c r="AK36" s="75">
        <f>IF('Wtr-Gas'!U38&lt;0,"0",('Wtr-Gas'!U38)*0.0038)</f>
        <v>793.06</v>
      </c>
      <c r="AL36" s="75">
        <f>IF('Wtr-Gas'!X38&lt;0,"0",('Wtr-Gas'!X38)*0.0038)</f>
        <v>42.56</v>
      </c>
      <c r="AM36" s="74">
        <f>IF('Wtr-Gas'!AB38&lt;0,"0",('Wtr-Gas'!AB38)*0.0038)</f>
        <v>32224</v>
      </c>
      <c r="AN36" s="74">
        <f>IF('Wtr-Gas'!AD38&lt;0,"0",('Wtr-Gas'!AD38)*0.0038)</f>
        <v>3240.6779999999999</v>
      </c>
      <c r="AO36" s="74">
        <f>IF('Wtr-Gas'!AH38&lt;0,"0",('Wtr-Gas'!AH38)*0.0038)</f>
        <v>6.46</v>
      </c>
      <c r="AP36" s="74">
        <f>IF('Wtr-Gas'!AJ38&lt;0,"0",('Wtr-Gas'!AJ38)*0.0038)</f>
        <v>272.726</v>
      </c>
      <c r="AQ36" s="74">
        <f>IF('Wtr-Gas'!AL38&lt;0,"0",('Wtr-Gas'!AL38)*0.0038)</f>
        <v>0</v>
      </c>
      <c r="AR36" s="74">
        <f>IF('Wtr-Gas'!AN38&lt;0,"0",('Wtr-Gas'!AN38)*0.0038)</f>
        <v>235.6</v>
      </c>
      <c r="AS36" s="74">
        <f>IF('Wtr-Gas'!AP38&lt;0,"0",('Wtr-Gas'!AP38)*0.0038)</f>
        <v>0</v>
      </c>
      <c r="AT36" s="74">
        <f>IF('Wtr-Gas'!AR38&lt;0,"0",('Wtr-Gas'!AR38)*0.0038)</f>
        <v>0</v>
      </c>
      <c r="AU36" s="87">
        <f>IF('Wtr-Gas'!AV38&lt;0,"0",('Wtr-Gas'!AV38)*0.0038)</f>
        <v>0.2888</v>
      </c>
      <c r="AV36" s="74">
        <f>IF('Wtr-Gas'!AY38&lt;0,"0",('Wtr-Gas'!AY38)*0.0038)</f>
        <v>208.7758</v>
      </c>
      <c r="AW36" s="74">
        <f>IF('Wtr-Gas'!BA38&lt;0,"0",('Wtr-Gas'!BA38)*0.0038)</f>
        <v>150.746038</v>
      </c>
      <c r="AX36" s="74">
        <f>IF('Wtr-Gas'!BB38&lt;0,"0",('Wtr-Gas'!BB38)*0.0038)</f>
        <v>58.029761999999991</v>
      </c>
      <c r="AY36" s="74">
        <f>IF('Wtr-Gas'!BD38&lt;0,"0",('Wtr-Gas'!BD38)*0.0038)</f>
        <v>17.86</v>
      </c>
      <c r="AZ36" s="74">
        <f>IF('Wtr-Gas'!BF38&lt;0,"0",('Wtr-Gas'!BF38)*0.0038)</f>
        <v>1.1399999999999999</v>
      </c>
      <c r="BA36" s="74">
        <f>IF('Wtr-Gas'!BH38&lt;0,"0",('Wtr-Gas'!BH38)*0.0038)</f>
        <v>0</v>
      </c>
    </row>
    <row r="37" spans="1:53" x14ac:dyDescent="0.25">
      <c r="A37" s="3" t="s">
        <v>11</v>
      </c>
      <c r="B37" s="72">
        <v>1</v>
      </c>
      <c r="C37" s="2">
        <v>8</v>
      </c>
      <c r="D37" s="2">
        <v>2022</v>
      </c>
      <c r="E37" s="36">
        <f>IF(Elect!AL39&lt;0,"0",Elect!AL39)</f>
        <v>543</v>
      </c>
      <c r="F37" s="36">
        <f>IF(Elect!I39&lt;0,"0",Elect!I39)</f>
        <v>49600</v>
      </c>
      <c r="G37" s="36">
        <f>Elect!H39</f>
        <v>2.403</v>
      </c>
      <c r="H37" s="36">
        <f>IF(Elect!F39&lt;0,"0",Elect!F39)</f>
        <v>42560</v>
      </c>
      <c r="I37" s="36">
        <f>Elect!E39</f>
        <v>2.0009999999999999</v>
      </c>
      <c r="J37" s="36">
        <f>IF(Elect!U39&lt;0,"0",Elect!U39)</f>
        <v>86400</v>
      </c>
      <c r="K37" s="36">
        <f>Elect!T39</f>
        <v>2.4980000000000002</v>
      </c>
      <c r="L37" s="36">
        <f>IF(Elect!AJ39&lt;0,"0",Elect!AJ39)</f>
        <v>1600</v>
      </c>
      <c r="M37" s="36">
        <f>Elect!AI39</f>
        <v>0.30299999999999999</v>
      </c>
      <c r="N37" s="36">
        <f>IF(Elect!X39&lt;0,"0",Elect!X39)</f>
        <v>85500</v>
      </c>
      <c r="O37" s="36">
        <f>Elect!W39</f>
        <v>2.2850000000000001</v>
      </c>
      <c r="P37" s="36">
        <f>IF(Elect!O39&lt;0,"0",Elect!O39)</f>
        <v>11200</v>
      </c>
      <c r="Q37" s="36">
        <f>Elect!N39</f>
        <v>2.17</v>
      </c>
      <c r="R37" s="36">
        <f>IF(Elect!L39&lt;0,"0",Elect!L39)</f>
        <v>12800</v>
      </c>
      <c r="S37" s="36">
        <f>Elect!K39</f>
        <v>2.5099999999999998</v>
      </c>
      <c r="T37" s="36">
        <f>IF(Elect!R39&lt;0,"0",Elect!R39)</f>
        <v>10800</v>
      </c>
      <c r="U37" s="36">
        <f>Elect!Q39</f>
        <v>2.21</v>
      </c>
      <c r="V37" s="36">
        <f>IF(Elect!AA39&lt;0,"0",Elect!AA39)</f>
        <v>5920</v>
      </c>
      <c r="W37" s="36">
        <f>Elect!Z39</f>
        <v>2.99</v>
      </c>
      <c r="X37" s="36">
        <f>IF(Elect!AD39&lt;0,"0",Elect!AD39)</f>
        <v>3520</v>
      </c>
      <c r="Y37" s="36">
        <f>Elect!AC39</f>
        <v>2.1800000000000002</v>
      </c>
      <c r="Z37" s="36">
        <f>IF(Elect!AG39&lt;0,"0",Elect!AG39)</f>
        <v>57000</v>
      </c>
      <c r="AA37" s="36">
        <f>Elect!AF39</f>
        <v>2.2959999999999998</v>
      </c>
      <c r="AB37" s="36">
        <f>IF(Elect!AX39&lt;0,"0",Elect!AX39)</f>
        <v>2600</v>
      </c>
      <c r="AC37" s="36">
        <f>IF(Elect!AV39&lt;0,"0",Elect!AV39)</f>
        <v>21400</v>
      </c>
      <c r="AD37" s="36">
        <f>IF(Elect!AZ39&lt;0,"0",Elect!AZ39)</f>
        <v>1009</v>
      </c>
      <c r="AE37" s="36">
        <f>IF(Elect!BB39&lt;0,"0",Elect!BB39)</f>
        <v>5320</v>
      </c>
      <c r="AF37" s="74">
        <f>IF('Wtr-Gas'!E39&lt;0,"0",('Wtr-Gas'!E39)*0.0038)</f>
        <v>5094.3559999999998</v>
      </c>
      <c r="AG37" s="74">
        <f>IF('Wtr-Gas'!H39&lt;0,"0",('Wtr-Gas'!H39)*0.0038)</f>
        <v>655.76599999999996</v>
      </c>
      <c r="AH37" s="74">
        <f>IF('Wtr-Gas'!K39&lt;0,"0",('Wtr-Gas'!K39)*0.0038)</f>
        <v>0.874</v>
      </c>
      <c r="AI37" s="74">
        <f>IF('Wtr-Gas'!N39&lt;0,"0",('Wtr-Gas'!N39)*0.0038)</f>
        <v>4202.8</v>
      </c>
      <c r="AJ37" s="74">
        <f>IF('Wtr-Gas'!Q39&lt;0,"0",('Wtr-Gas'!Q39)*0.0038)</f>
        <v>101.08</v>
      </c>
      <c r="AK37" s="75">
        <f>IF('Wtr-Gas'!U39&lt;0,"0",('Wtr-Gas'!U39)*0.0038)</f>
        <v>748.6</v>
      </c>
      <c r="AL37" s="75">
        <f>IF('Wtr-Gas'!X39&lt;0,"0",('Wtr-Gas'!X39)*0.0038)</f>
        <v>47.5</v>
      </c>
      <c r="AM37" s="74">
        <f>IF('Wtr-Gas'!AB39&lt;0,"0",('Wtr-Gas'!AB39)*0.0038)</f>
        <v>4750</v>
      </c>
      <c r="AN37" s="74">
        <f>IF('Wtr-Gas'!AD39&lt;0,"0",('Wtr-Gas'!AD39)*0.0038)</f>
        <v>3934.4059999999999</v>
      </c>
      <c r="AO37" s="74">
        <f>IF('Wtr-Gas'!AH39&lt;0,"0",('Wtr-Gas'!AH39)*0.0038)</f>
        <v>10.792</v>
      </c>
      <c r="AP37" s="74">
        <f>IF('Wtr-Gas'!AJ39&lt;0,"0",('Wtr-Gas'!AJ39)*0.0038)</f>
        <v>157.51</v>
      </c>
      <c r="AQ37" s="74">
        <f>IF('Wtr-Gas'!AL39&lt;0,"0",('Wtr-Gas'!AL39)*0.0038)</f>
        <v>61.708199999999998</v>
      </c>
      <c r="AR37" s="74">
        <f>IF('Wtr-Gas'!AN39&lt;0,"0",('Wtr-Gas'!AN39)*0.0038)</f>
        <v>125.4</v>
      </c>
      <c r="AS37" s="74">
        <f>IF('Wtr-Gas'!AP39&lt;0,"0",('Wtr-Gas'!AP39)*0.0038)</f>
        <v>3.4200000000000001E-2</v>
      </c>
      <c r="AT37" s="74">
        <f>IF('Wtr-Gas'!AR39&lt;0,"0",('Wtr-Gas'!AR39)*0.0038)</f>
        <v>7.98</v>
      </c>
      <c r="AU37" s="87">
        <f>IF('Wtr-Gas'!AV39&lt;0,"0",('Wtr-Gas'!AV39)*0.0038)</f>
        <v>0.31919999999999998</v>
      </c>
      <c r="AV37" s="74">
        <f>IF('Wtr-Gas'!AY39&lt;0,"0",('Wtr-Gas'!AY39)*0.0038)</f>
        <v>232.9742</v>
      </c>
      <c r="AW37" s="74">
        <f>IF('Wtr-Gas'!BA39&lt;0,"0",('Wtr-Gas'!BA39)*0.0038)</f>
        <v>171.26493600000001</v>
      </c>
      <c r="AX37" s="74">
        <f>IF('Wtr-Gas'!BB39&lt;0,"0",('Wtr-Gas'!BB39)*0.0038)</f>
        <v>61.709263999999997</v>
      </c>
      <c r="AY37" s="74">
        <f>IF('Wtr-Gas'!BD39&lt;0,"0",('Wtr-Gas'!BD39)*0.0038)</f>
        <v>16.34</v>
      </c>
      <c r="AZ37" s="74">
        <f>IF('Wtr-Gas'!BF39&lt;0,"0",('Wtr-Gas'!BF39)*0.0038)</f>
        <v>0.76</v>
      </c>
      <c r="BA37" s="74">
        <f>IF('Wtr-Gas'!BH39&lt;0,"0",('Wtr-Gas'!BH39)*0.0038)</f>
        <v>0</v>
      </c>
    </row>
    <row r="38" spans="1:53" x14ac:dyDescent="0.25">
      <c r="A38" s="3" t="s">
        <v>11</v>
      </c>
      <c r="B38" s="72">
        <v>8</v>
      </c>
      <c r="C38" s="2">
        <v>8</v>
      </c>
      <c r="D38" s="2">
        <v>2022</v>
      </c>
      <c r="E38" s="36">
        <f>IF(Elect!AL40&lt;0,"0",Elect!AL40)</f>
        <v>449</v>
      </c>
      <c r="F38" s="36">
        <f>IF(Elect!I40&lt;0,"0",Elect!I40)</f>
        <v>49920</v>
      </c>
      <c r="G38" s="36">
        <f>Elect!H40</f>
        <v>2.403</v>
      </c>
      <c r="H38" s="36">
        <f>IF(Elect!F40&lt;0,"0",Elect!F40)</f>
        <v>43040</v>
      </c>
      <c r="I38" s="36">
        <f>Elect!E40</f>
        <v>2.052</v>
      </c>
      <c r="J38" s="36">
        <f>IF(Elect!U40&lt;0,"0",Elect!U40)</f>
        <v>94500</v>
      </c>
      <c r="K38" s="36">
        <f>Elect!T40</f>
        <v>2.7240000000000002</v>
      </c>
      <c r="L38" s="36">
        <f>IF(Elect!AJ40&lt;0,"0",Elect!AJ40)</f>
        <v>1520</v>
      </c>
      <c r="M38" s="36">
        <f>Elect!AI40</f>
        <v>0.30299999999999999</v>
      </c>
      <c r="N38" s="36">
        <f>IF(Elect!X40&lt;0,"0",Elect!X40)</f>
        <v>90600</v>
      </c>
      <c r="O38" s="36">
        <f>Elect!W40</f>
        <v>2.2850000000000001</v>
      </c>
      <c r="P38" s="36">
        <f>IF(Elect!O40&lt;0,"0",Elect!O40)</f>
        <v>11600</v>
      </c>
      <c r="Q38" s="36">
        <f>Elect!N40</f>
        <v>2.2999999999999998</v>
      </c>
      <c r="R38" s="36">
        <f>IF(Elect!L40&lt;0,"0",Elect!L40)</f>
        <v>13200</v>
      </c>
      <c r="S38" s="36">
        <f>Elect!K40</f>
        <v>2.5099999999999998</v>
      </c>
      <c r="T38" s="36">
        <f>IF(Elect!R40&lt;0,"0",Elect!R40)</f>
        <v>12000</v>
      </c>
      <c r="U38" s="36">
        <f>Elect!Q40</f>
        <v>2.21</v>
      </c>
      <c r="V38" s="36">
        <f>IF(Elect!AA40&lt;0,"0",Elect!AA40)</f>
        <v>6560</v>
      </c>
      <c r="W38" s="36">
        <f>Elect!Z40</f>
        <v>4.12</v>
      </c>
      <c r="X38" s="36">
        <f>IF(Elect!AD40&lt;0,"0",Elect!AD40)</f>
        <v>3840</v>
      </c>
      <c r="Y38" s="36">
        <f>Elect!AC40</f>
        <v>2.9</v>
      </c>
      <c r="Z38" s="36">
        <f>IF(Elect!AG40&lt;0,"0",Elect!AG40)</f>
        <v>54800</v>
      </c>
      <c r="AA38" s="36">
        <f>Elect!AF40</f>
        <v>2.2959999999999998</v>
      </c>
      <c r="AB38" s="36">
        <f>IF(Elect!AX40&lt;0,"0",Elect!AX40)</f>
        <v>2500</v>
      </c>
      <c r="AC38" s="36">
        <f>IF(Elect!AV40&lt;0,"0",Elect!AV40)</f>
        <v>20300</v>
      </c>
      <c r="AD38" s="36">
        <f>IF(Elect!AZ40&lt;0,"0",Elect!AZ40)</f>
        <v>1016</v>
      </c>
      <c r="AE38" s="36">
        <f>IF(Elect!BB40&lt;0,"0",Elect!BB40)</f>
        <v>3400</v>
      </c>
      <c r="AF38" s="74">
        <f>IF('Wtr-Gas'!E40&lt;0,"0",('Wtr-Gas'!E40)*0.0038)</f>
        <v>5503.0460000000003</v>
      </c>
      <c r="AG38" s="74">
        <f>IF('Wtr-Gas'!H40&lt;0,"0",('Wtr-Gas'!H40)*0.0038)</f>
        <v>670.85199999999998</v>
      </c>
      <c r="AH38" s="74">
        <f>IF('Wtr-Gas'!K40&lt;0,"0",('Wtr-Gas'!K40)*0.0038)</f>
        <v>1.444</v>
      </c>
      <c r="AI38" s="74">
        <f>IF('Wtr-Gas'!N40&lt;0,"0",('Wtr-Gas'!N40)*0.0038)</f>
        <v>4613.2</v>
      </c>
      <c r="AJ38" s="74">
        <f>IF('Wtr-Gas'!Q40&lt;0,"0",('Wtr-Gas'!Q40)*0.0038)</f>
        <v>110.2</v>
      </c>
      <c r="AK38" s="75">
        <f>IF('Wtr-Gas'!U40&lt;0,"0",('Wtr-Gas'!U40)*0.0038)</f>
        <v>774.82</v>
      </c>
      <c r="AL38" s="75">
        <f>IF('Wtr-Gas'!X40&lt;0,"0",('Wtr-Gas'!X40)*0.0038)</f>
        <v>49.02</v>
      </c>
      <c r="AM38" s="74">
        <f>IF('Wtr-Gas'!AB40&lt;0,"0",('Wtr-Gas'!AB40)*0.0038)</f>
        <v>4598</v>
      </c>
      <c r="AN38" s="74">
        <f>IF('Wtr-Gas'!AD40&lt;0,"0",('Wtr-Gas'!AD40)*0.0038)</f>
        <v>4898.1620000000003</v>
      </c>
      <c r="AO38" s="74">
        <f>IF('Wtr-Gas'!AH40&lt;0,"0",('Wtr-Gas'!AH40)*0.0038)</f>
        <v>7.4859999999999998</v>
      </c>
      <c r="AP38" s="74">
        <f>IF('Wtr-Gas'!AJ40&lt;0,"0",('Wtr-Gas'!AJ40)*0.0038)</f>
        <v>191.36799999999999</v>
      </c>
      <c r="AQ38" s="74">
        <f>IF('Wtr-Gas'!AL40&lt;0,"0",('Wtr-Gas'!AL40)*0.0038)</f>
        <v>20.607399999999998</v>
      </c>
      <c r="AR38" s="74">
        <f>IF('Wtr-Gas'!AN40&lt;0,"0",('Wtr-Gas'!AN40)*0.0038)</f>
        <v>148.19999999999999</v>
      </c>
      <c r="AS38" s="74">
        <f>IF('Wtr-Gas'!AP40&lt;0,"0",('Wtr-Gas'!AP40)*0.0038)</f>
        <v>2.6599999999999999E-2</v>
      </c>
      <c r="AT38" s="74">
        <f>IF('Wtr-Gas'!AR40&lt;0,"0",('Wtr-Gas'!AR40)*0.0038)</f>
        <v>3.8</v>
      </c>
      <c r="AU38" s="87">
        <f>IF('Wtr-Gas'!AV40&lt;0,"0",('Wtr-Gas'!AV40)*0.0038)</f>
        <v>0.3876</v>
      </c>
      <c r="AV38" s="74">
        <f>IF('Wtr-Gas'!AY40&lt;0,"0",('Wtr-Gas'!AY40)*0.0038)</f>
        <v>239.49879999999999</v>
      </c>
      <c r="AW38" s="74">
        <f>IF('Wtr-Gas'!BA40&lt;0,"0",('Wtr-Gas'!BA40)*0.0038)</f>
        <v>171.30354399999999</v>
      </c>
      <c r="AX38" s="74">
        <f>IF('Wtr-Gas'!BB40&lt;0,"0",('Wtr-Gas'!BB40)*0.0038)</f>
        <v>68.195256000000015</v>
      </c>
      <c r="AY38" s="74">
        <f>IF('Wtr-Gas'!BD40&lt;0,"0",('Wtr-Gas'!BD40)*0.0038)</f>
        <v>8.74</v>
      </c>
      <c r="AZ38" s="74">
        <f>IF('Wtr-Gas'!BF40&lt;0,"0",('Wtr-Gas'!BF40)*0.0038)</f>
        <v>4.5599999999999996</v>
      </c>
      <c r="BA38" s="74">
        <f>IF('Wtr-Gas'!BH40&lt;0,"0",('Wtr-Gas'!BH40)*0.0038)</f>
        <v>0</v>
      </c>
    </row>
    <row r="39" spans="1:53" x14ac:dyDescent="0.25">
      <c r="A39" s="3" t="s">
        <v>11</v>
      </c>
      <c r="B39" s="72">
        <v>15</v>
      </c>
      <c r="C39" s="2">
        <v>8</v>
      </c>
      <c r="D39" s="2">
        <v>2022</v>
      </c>
      <c r="E39" s="36">
        <f>IF(Elect!AL41&lt;0,"0",Elect!AL41)</f>
        <v>490</v>
      </c>
      <c r="F39" s="36">
        <f>IF(Elect!I41&lt;0,"0",Elect!I41)</f>
        <v>48960</v>
      </c>
      <c r="G39" s="36">
        <f>Elect!H41</f>
        <v>2.403</v>
      </c>
      <c r="H39" s="36">
        <f>IF(Elect!F41&lt;0,"0",Elect!F41)</f>
        <v>43200</v>
      </c>
      <c r="I39" s="36">
        <f>Elect!E41</f>
        <v>2.052</v>
      </c>
      <c r="J39" s="36">
        <f>IF(Elect!U41&lt;0,"0",Elect!U41)</f>
        <v>89100</v>
      </c>
      <c r="K39" s="36">
        <f>Elect!T41</f>
        <v>2.7240000000000002</v>
      </c>
      <c r="L39" s="36">
        <f>IF(Elect!AJ41&lt;0,"0",Elect!AJ41)</f>
        <v>1560</v>
      </c>
      <c r="M39" s="36">
        <f>Elect!AI41</f>
        <v>0.30299999999999999</v>
      </c>
      <c r="N39" s="36">
        <f>IF(Elect!X41&lt;0,"0",Elect!X41)</f>
        <v>88500</v>
      </c>
      <c r="O39" s="36">
        <f>Elect!W41</f>
        <v>2.2850000000000001</v>
      </c>
      <c r="P39" s="36">
        <f>IF(Elect!O41&lt;0,"0",Elect!O41)</f>
        <v>12400</v>
      </c>
      <c r="Q39" s="36">
        <f>Elect!N41</f>
        <v>2.5</v>
      </c>
      <c r="R39" s="36">
        <f>IF(Elect!L41&lt;0,"0",Elect!L41)</f>
        <v>14800</v>
      </c>
      <c r="S39" s="36">
        <f>Elect!K41</f>
        <v>3.14</v>
      </c>
      <c r="T39" s="36">
        <f>IF(Elect!R41&lt;0,"0",Elect!R41)</f>
        <v>12000</v>
      </c>
      <c r="U39" s="36">
        <f>Elect!Q41</f>
        <v>2.59</v>
      </c>
      <c r="V39" s="36">
        <f>IF(Elect!AA41&lt;0,"0",Elect!AA41)</f>
        <v>5920</v>
      </c>
      <c r="W39" s="36">
        <f>Elect!Z41</f>
        <v>4.12</v>
      </c>
      <c r="X39" s="36">
        <f>IF(Elect!AD41&lt;0,"0",Elect!AD41)</f>
        <v>3840</v>
      </c>
      <c r="Y39" s="36">
        <f>Elect!AC41</f>
        <v>2.9</v>
      </c>
      <c r="Z39" s="36">
        <f>IF(Elect!AG41&lt;0,"0",Elect!AG41)</f>
        <v>55600</v>
      </c>
      <c r="AA39" s="36">
        <f>Elect!AF41</f>
        <v>2.2959999999999998</v>
      </c>
      <c r="AB39" s="36">
        <f>IF(Elect!AX41&lt;0,"0",Elect!AX41)</f>
        <v>1500</v>
      </c>
      <c r="AC39" s="36">
        <f>IF(Elect!AV41&lt;0,"0",Elect!AV41)</f>
        <v>12500</v>
      </c>
      <c r="AD39" s="36">
        <f>IF(Elect!AZ41&lt;0,"0",Elect!AZ41)</f>
        <v>636</v>
      </c>
      <c r="AE39" s="36">
        <f>IF(Elect!BB41&lt;0,"0",Elect!BB41)</f>
        <v>2160</v>
      </c>
      <c r="AF39" s="74">
        <f>IF('Wtr-Gas'!E41&lt;0,"0",('Wtr-Gas'!E41)*0.0038)</f>
        <v>5670.0940000000001</v>
      </c>
      <c r="AG39" s="74">
        <f>IF('Wtr-Gas'!H41&lt;0,"0",('Wtr-Gas'!H41)*0.0038)</f>
        <v>810.99599999999998</v>
      </c>
      <c r="AH39" s="74">
        <f>IF('Wtr-Gas'!K41&lt;0,"0",('Wtr-Gas'!K41)*0.0038)</f>
        <v>0.60799999999999998</v>
      </c>
      <c r="AI39" s="74">
        <f>IF('Wtr-Gas'!N41&lt;0,"0",('Wtr-Gas'!N41)*0.0038)</f>
        <v>4529.6000000000004</v>
      </c>
      <c r="AJ39" s="74">
        <f>IF('Wtr-Gas'!Q41&lt;0,"0",('Wtr-Gas'!Q41)*0.0038)</f>
        <v>84.74</v>
      </c>
      <c r="AK39" s="75">
        <f>IF('Wtr-Gas'!U41&lt;0,"0",('Wtr-Gas'!U41)*0.0038)</f>
        <v>752.02</v>
      </c>
      <c r="AL39" s="75">
        <f>IF('Wtr-Gas'!X41&lt;0,"0",('Wtr-Gas'!X41)*0.0038)</f>
        <v>60.42</v>
      </c>
      <c r="AM39" s="74">
        <f>IF('Wtr-Gas'!AB41&lt;0,"0",('Wtr-Gas'!AB41)*0.0038)</f>
        <v>13718</v>
      </c>
      <c r="AN39" s="74">
        <f>IF('Wtr-Gas'!AD41&lt;0,"0",('Wtr-Gas'!AD41)*0.0038)</f>
        <v>4231.0720000000001</v>
      </c>
      <c r="AO39" s="74">
        <f>IF('Wtr-Gas'!AH41&lt;0,"0",('Wtr-Gas'!AH41)*0.0038)</f>
        <v>11.856</v>
      </c>
      <c r="AP39" s="74">
        <f>IF('Wtr-Gas'!AJ41&lt;0,"0",('Wtr-Gas'!AJ41)*0.0038)</f>
        <v>228.38</v>
      </c>
      <c r="AQ39" s="74">
        <f>IF('Wtr-Gas'!AL41&lt;0,"0",('Wtr-Gas'!AL41)*0.0038)</f>
        <v>46.515799999999999</v>
      </c>
      <c r="AR39" s="74">
        <f>IF('Wtr-Gas'!AN41&lt;0,"0",('Wtr-Gas'!AN41)*0.0038)</f>
        <v>201.4</v>
      </c>
      <c r="AS39" s="74">
        <f>IF('Wtr-Gas'!AP41&lt;0,"0",('Wtr-Gas'!AP41)*0.0038)</f>
        <v>3.04E-2</v>
      </c>
      <c r="AT39" s="74">
        <f>IF('Wtr-Gas'!AR41&lt;0,"0",('Wtr-Gas'!AR41)*0.0038)</f>
        <v>3.8</v>
      </c>
      <c r="AU39" s="87">
        <f>IF('Wtr-Gas'!AV41&lt;0,"0",('Wtr-Gas'!AV41)*0.0038)</f>
        <v>0.22420000000000001</v>
      </c>
      <c r="AV39" s="74">
        <f>IF('Wtr-Gas'!AY41&lt;0,"0",('Wtr-Gas'!AY41)*0.0038)</f>
        <v>139.2852</v>
      </c>
      <c r="AW39" s="74">
        <f>IF('Wtr-Gas'!BA41&lt;0,"0",('Wtr-Gas'!BA41)*0.0038)</f>
        <v>107.24063600000001</v>
      </c>
      <c r="AX39" s="74">
        <f>IF('Wtr-Gas'!BB41&lt;0,"0",('Wtr-Gas'!BB41)*0.0038)</f>
        <v>32.044563999999994</v>
      </c>
      <c r="AY39" s="74">
        <f>IF('Wtr-Gas'!BD41&lt;0,"0",('Wtr-Gas'!BD41)*0.0038)</f>
        <v>17.86</v>
      </c>
      <c r="AZ39" s="74">
        <f>IF('Wtr-Gas'!BF41&lt;0,"0",('Wtr-Gas'!BF41)*0.0038)</f>
        <v>0.76</v>
      </c>
      <c r="BA39" s="74">
        <f>IF('Wtr-Gas'!BH41&lt;0,"0",('Wtr-Gas'!BH41)*0.0038)</f>
        <v>0</v>
      </c>
    </row>
    <row r="40" spans="1:53" x14ac:dyDescent="0.25">
      <c r="A40" s="3" t="s">
        <v>11</v>
      </c>
      <c r="B40" s="72">
        <v>22</v>
      </c>
      <c r="C40" s="2">
        <v>8</v>
      </c>
      <c r="D40" s="2">
        <v>2022</v>
      </c>
      <c r="E40" s="36">
        <f>IF(Elect!AL42&lt;0,"0",Elect!AL42)</f>
        <v>0</v>
      </c>
      <c r="F40" s="36">
        <f>IF(Elect!I42&lt;0,"0",Elect!I42)</f>
        <v>0</v>
      </c>
      <c r="G40" s="36">
        <f>Elect!H42</f>
        <v>0</v>
      </c>
      <c r="H40" s="36">
        <f>IF(Elect!F42&lt;0,"0",Elect!F42)</f>
        <v>0</v>
      </c>
      <c r="I40" s="36">
        <f>Elect!E42</f>
        <v>0</v>
      </c>
      <c r="J40" s="36">
        <f>IF(Elect!U42&lt;0,"0",Elect!U42)</f>
        <v>0</v>
      </c>
      <c r="K40" s="36">
        <f>Elect!T42</f>
        <v>0</v>
      </c>
      <c r="L40" s="36">
        <f>IF(Elect!AJ42&lt;0,"0",Elect!AJ42)</f>
        <v>0</v>
      </c>
      <c r="M40" s="36">
        <f>Elect!AI42</f>
        <v>0</v>
      </c>
      <c r="N40" s="36">
        <f>IF(Elect!X42&lt;0,"0",Elect!X42)</f>
        <v>0</v>
      </c>
      <c r="O40" s="36">
        <f>Elect!W42</f>
        <v>0</v>
      </c>
      <c r="P40" s="36">
        <f>IF(Elect!O42&lt;0,"0",Elect!O42)</f>
        <v>0</v>
      </c>
      <c r="Q40" s="36">
        <f>Elect!N42</f>
        <v>0</v>
      </c>
      <c r="R40" s="36">
        <f>IF(Elect!L42&lt;0,"0",Elect!L42)</f>
        <v>0</v>
      </c>
      <c r="S40" s="36">
        <f>Elect!K42</f>
        <v>0</v>
      </c>
      <c r="T40" s="36">
        <f>IF(Elect!R42&lt;0,"0",Elect!R42)</f>
        <v>0</v>
      </c>
      <c r="U40" s="36">
        <f>Elect!Q42</f>
        <v>0</v>
      </c>
      <c r="V40" s="36">
        <f>IF(Elect!AA42&lt;0,"0",Elect!AA42)</f>
        <v>0</v>
      </c>
      <c r="W40" s="36">
        <f>Elect!Z42</f>
        <v>0</v>
      </c>
      <c r="X40" s="36">
        <f>IF(Elect!AD42&lt;0,"0",Elect!AD42)</f>
        <v>0</v>
      </c>
      <c r="Y40" s="36">
        <f>Elect!AC42</f>
        <v>0</v>
      </c>
      <c r="Z40" s="36">
        <f>IF(Elect!AG42&lt;0,"0",Elect!AG42)</f>
        <v>0</v>
      </c>
      <c r="AA40" s="36">
        <f>Elect!AF42</f>
        <v>0</v>
      </c>
      <c r="AB40" s="36">
        <f>IF(Elect!AX42&lt;0,"0",Elect!AX42)</f>
        <v>0</v>
      </c>
      <c r="AC40" s="36">
        <f>IF(Elect!AV42&lt;0,"0",Elect!AV42)</f>
        <v>0</v>
      </c>
      <c r="AD40" s="36">
        <f>IF(Elect!AZ42&lt;0,"0",Elect!AZ42)</f>
        <v>0</v>
      </c>
      <c r="AE40" s="36">
        <f>IF(Elect!BB42&lt;0,"0",Elect!BB42)</f>
        <v>0</v>
      </c>
      <c r="AF40" s="74" t="str">
        <f>IF('Wtr-Gas'!E42&lt;0,"0",('Wtr-Gas'!E42)*0.0038)</f>
        <v>0</v>
      </c>
      <c r="AG40" s="74" t="str">
        <f>IF('Wtr-Gas'!H42&lt;0,"0",('Wtr-Gas'!H42)*0.0038)</f>
        <v>0</v>
      </c>
      <c r="AH40" s="74" t="str">
        <f>IF('Wtr-Gas'!K42&lt;0,"0",('Wtr-Gas'!K42)*0.0038)</f>
        <v>0</v>
      </c>
      <c r="AI40" s="74" t="str">
        <f>IF('Wtr-Gas'!N42&lt;0,"0",('Wtr-Gas'!N42)*0.0038)</f>
        <v>0</v>
      </c>
      <c r="AJ40" s="74" t="str">
        <f>IF('Wtr-Gas'!Q42&lt;0,"0",('Wtr-Gas'!Q42)*0.0038)</f>
        <v>0</v>
      </c>
      <c r="AK40" s="75" t="str">
        <f>IF('Wtr-Gas'!U42&lt;0,"0",('Wtr-Gas'!U42)*0.0038)</f>
        <v>0</v>
      </c>
      <c r="AL40" s="75" t="str">
        <f>IF('Wtr-Gas'!X42&lt;0,"0",('Wtr-Gas'!X42)*0.0038)</f>
        <v>0</v>
      </c>
      <c r="AM40" s="74">
        <f>IF('Wtr-Gas'!AB42&lt;0,"0",('Wtr-Gas'!AB42)*0.0038)</f>
        <v>0</v>
      </c>
      <c r="AN40" s="74">
        <f>IF('Wtr-Gas'!AD42&lt;0,"0",('Wtr-Gas'!AD42)*0.0038)</f>
        <v>0</v>
      </c>
      <c r="AO40" s="74">
        <f>IF('Wtr-Gas'!AH42&lt;0,"0",('Wtr-Gas'!AH42)*0.0038)</f>
        <v>0</v>
      </c>
      <c r="AP40" s="74">
        <f>IF('Wtr-Gas'!AJ42&lt;0,"0",('Wtr-Gas'!AJ42)*0.0038)</f>
        <v>0</v>
      </c>
      <c r="AQ40" s="74">
        <f>IF('Wtr-Gas'!AL42&lt;0,"0",('Wtr-Gas'!AL42)*0.0038)</f>
        <v>0</v>
      </c>
      <c r="AR40" s="74">
        <f>IF('Wtr-Gas'!AN42&lt;0,"0",('Wtr-Gas'!AN42)*0.0038)</f>
        <v>0</v>
      </c>
      <c r="AS40" s="74">
        <f>IF('Wtr-Gas'!AP42&lt;0,"0",('Wtr-Gas'!AP42)*0.0038)</f>
        <v>0</v>
      </c>
      <c r="AT40" s="74">
        <f>IF('Wtr-Gas'!AR42&lt;0,"0",('Wtr-Gas'!AR42)*0.0038)</f>
        <v>0</v>
      </c>
      <c r="AU40" s="87">
        <f>IF('Wtr-Gas'!AV42&lt;0,"0",('Wtr-Gas'!AV42)*0.0038)</f>
        <v>0</v>
      </c>
      <c r="AV40" s="74">
        <f>IF('Wtr-Gas'!AY42&lt;0,"0",('Wtr-Gas'!AY42)*0.0038)</f>
        <v>0</v>
      </c>
      <c r="AW40" s="74">
        <f>IF('Wtr-Gas'!BA42&lt;0,"0",('Wtr-Gas'!BA42)*0.0038)</f>
        <v>0</v>
      </c>
      <c r="AX40" s="74">
        <f>IF('Wtr-Gas'!BB42&lt;0,"0",('Wtr-Gas'!BB42)*0.0038)</f>
        <v>0</v>
      </c>
      <c r="AY40" s="74">
        <f>IF('Wtr-Gas'!BD42&lt;0,"0",('Wtr-Gas'!BD42)*0.0038)</f>
        <v>0</v>
      </c>
      <c r="AZ40" s="74">
        <f>IF('Wtr-Gas'!BF42&lt;0,"0",('Wtr-Gas'!BF42)*0.0038)</f>
        <v>0</v>
      </c>
      <c r="BA40" s="74">
        <f>IF('Wtr-Gas'!BH42&lt;0,"0",('Wtr-Gas'!BH42)*0.0038)</f>
        <v>0</v>
      </c>
    </row>
    <row r="41" spans="1:53" x14ac:dyDescent="0.25">
      <c r="A41" s="3" t="s">
        <v>11</v>
      </c>
      <c r="B41" s="72">
        <v>29</v>
      </c>
      <c r="C41" s="2">
        <v>8</v>
      </c>
      <c r="D41" s="2">
        <v>2022</v>
      </c>
      <c r="E41" s="36">
        <f>IF(Elect!AL43&lt;0,"0",Elect!AL43)</f>
        <v>0</v>
      </c>
      <c r="F41" s="36">
        <f>IF(Elect!I43&lt;0,"0",Elect!I43)</f>
        <v>0</v>
      </c>
      <c r="G41" s="36">
        <f>Elect!H43</f>
        <v>0</v>
      </c>
      <c r="H41" s="36">
        <f>IF(Elect!F43&lt;0,"0",Elect!F43)</f>
        <v>0</v>
      </c>
      <c r="I41" s="36">
        <f>Elect!E43</f>
        <v>0</v>
      </c>
      <c r="J41" s="36">
        <f>IF(Elect!U43&lt;0,"0",Elect!U43)</f>
        <v>0</v>
      </c>
      <c r="K41" s="36">
        <f>Elect!T43</f>
        <v>0</v>
      </c>
      <c r="L41" s="36">
        <f>IF(Elect!AJ43&lt;0,"0",Elect!AJ43)</f>
        <v>0</v>
      </c>
      <c r="M41" s="36">
        <f>Elect!AI43</f>
        <v>0</v>
      </c>
      <c r="N41" s="36">
        <f>IF(Elect!X43&lt;0,"0",Elect!X43)</f>
        <v>0</v>
      </c>
      <c r="O41" s="36">
        <f>Elect!W43</f>
        <v>0</v>
      </c>
      <c r="P41" s="36">
        <f>IF(Elect!O43&lt;0,"0",Elect!O43)</f>
        <v>0</v>
      </c>
      <c r="Q41" s="36">
        <f>Elect!N43</f>
        <v>0</v>
      </c>
      <c r="R41" s="36">
        <f>IF(Elect!L43&lt;0,"0",Elect!L43)</f>
        <v>0</v>
      </c>
      <c r="S41" s="36">
        <f>Elect!K43</f>
        <v>0</v>
      </c>
      <c r="T41" s="36">
        <f>IF(Elect!R43&lt;0,"0",Elect!R43)</f>
        <v>0</v>
      </c>
      <c r="U41" s="36">
        <f>Elect!Q43</f>
        <v>0</v>
      </c>
      <c r="V41" s="36">
        <f>IF(Elect!AA43&lt;0,"0",Elect!AA43)</f>
        <v>0</v>
      </c>
      <c r="W41" s="36">
        <f>Elect!Z43</f>
        <v>0</v>
      </c>
      <c r="X41" s="36">
        <f>IF(Elect!AD43&lt;0,"0",Elect!AD43)</f>
        <v>0</v>
      </c>
      <c r="Y41" s="36">
        <f>Elect!AC43</f>
        <v>0</v>
      </c>
      <c r="Z41" s="36">
        <f>IF(Elect!AG43&lt;0,"0",Elect!AG43)</f>
        <v>0</v>
      </c>
      <c r="AA41" s="36">
        <f>Elect!AF43</f>
        <v>0</v>
      </c>
      <c r="AB41" s="36">
        <f>IF(Elect!AX43&lt;0,"0",Elect!AX43)</f>
        <v>0</v>
      </c>
      <c r="AC41" s="36">
        <f>IF(Elect!AV43&lt;0,"0",Elect!AV43)</f>
        <v>0</v>
      </c>
      <c r="AD41" s="36">
        <f>IF(Elect!AZ43&lt;0,"0",Elect!AZ43)</f>
        <v>0</v>
      </c>
      <c r="AE41" s="36">
        <f>IF(Elect!BB43&lt;0,"0",Elect!BB43)</f>
        <v>0</v>
      </c>
      <c r="AF41" s="74">
        <f>IF('Wtr-Gas'!E43&lt;0,"0",('Wtr-Gas'!E43)*0.0038)</f>
        <v>0</v>
      </c>
      <c r="AG41" s="74">
        <f>IF('Wtr-Gas'!H43&lt;0,"0",('Wtr-Gas'!H43)*0.0038)</f>
        <v>0</v>
      </c>
      <c r="AH41" s="74">
        <f>IF('Wtr-Gas'!K43&lt;0,"0",('Wtr-Gas'!K43)*0.0038)</f>
        <v>0</v>
      </c>
      <c r="AI41" s="74">
        <f>IF('Wtr-Gas'!N43&lt;0,"0",('Wtr-Gas'!N43)*0.0038)</f>
        <v>0</v>
      </c>
      <c r="AJ41" s="74">
        <f>IF('Wtr-Gas'!Q43&lt;0,"0",('Wtr-Gas'!Q43)*0.0038)</f>
        <v>0</v>
      </c>
      <c r="AK41" s="75">
        <f>IF('Wtr-Gas'!U43&lt;0,"0",('Wtr-Gas'!U43)*0.0038)</f>
        <v>0</v>
      </c>
      <c r="AL41" s="75">
        <f>IF('Wtr-Gas'!X43&lt;0,"0",('Wtr-Gas'!X43)*0.0038)</f>
        <v>0</v>
      </c>
      <c r="AM41" s="74">
        <f>IF('Wtr-Gas'!AB43&lt;0,"0",('Wtr-Gas'!AB43)*0.0038)</f>
        <v>0</v>
      </c>
      <c r="AN41" s="74">
        <f>IF('Wtr-Gas'!AD43&lt;0,"0",('Wtr-Gas'!AD43)*0.0038)</f>
        <v>0</v>
      </c>
      <c r="AO41" s="74">
        <f>IF('Wtr-Gas'!AH43&lt;0,"0",('Wtr-Gas'!AH43)*0.0038)</f>
        <v>0</v>
      </c>
      <c r="AP41" s="74">
        <f>IF('Wtr-Gas'!AJ43&lt;0,"0",('Wtr-Gas'!AJ43)*0.0038)</f>
        <v>0</v>
      </c>
      <c r="AQ41" s="74">
        <f>IF('Wtr-Gas'!AL43&lt;0,"0",('Wtr-Gas'!AL43)*0.0038)</f>
        <v>0</v>
      </c>
      <c r="AR41" s="74">
        <f>IF('Wtr-Gas'!AN43&lt;0,"0",('Wtr-Gas'!AN43)*0.0038)</f>
        <v>0</v>
      </c>
      <c r="AS41" s="74">
        <f>IF('Wtr-Gas'!AP43&lt;0,"0",('Wtr-Gas'!AP43)*0.0038)</f>
        <v>0</v>
      </c>
      <c r="AT41" s="74">
        <f>IF('Wtr-Gas'!AR43&lt;0,"0",('Wtr-Gas'!AR43)*0.0038)</f>
        <v>0</v>
      </c>
      <c r="AU41" s="87">
        <f>IF('Wtr-Gas'!AV43&lt;0,"0",('Wtr-Gas'!AV43)*0.0038)</f>
        <v>0</v>
      </c>
      <c r="AV41" s="74">
        <f>IF('Wtr-Gas'!AY43&lt;0,"0",('Wtr-Gas'!AY43)*0.0038)</f>
        <v>0</v>
      </c>
      <c r="AW41" s="74">
        <f>IF('Wtr-Gas'!BA43&lt;0,"0",('Wtr-Gas'!BA43)*0.0038)</f>
        <v>0</v>
      </c>
      <c r="AX41" s="74">
        <f>IF('Wtr-Gas'!BB43&lt;0,"0",('Wtr-Gas'!BB43)*0.0038)</f>
        <v>0</v>
      </c>
      <c r="AY41" s="74">
        <f>IF('Wtr-Gas'!BD43&lt;0,"0",('Wtr-Gas'!BD43)*0.0038)</f>
        <v>0</v>
      </c>
      <c r="AZ41" s="74">
        <f>IF('Wtr-Gas'!BF43&lt;0,"0",('Wtr-Gas'!BF43)*0.0038)</f>
        <v>0</v>
      </c>
      <c r="BA41" s="74">
        <f>IF('Wtr-Gas'!BH43&lt;0,"0",('Wtr-Gas'!BH43)*0.0038)</f>
        <v>0</v>
      </c>
    </row>
    <row r="42" spans="1:53" x14ac:dyDescent="0.25">
      <c r="A42" s="3" t="s">
        <v>11</v>
      </c>
      <c r="B42" s="72">
        <v>31</v>
      </c>
      <c r="C42" s="2">
        <v>8</v>
      </c>
      <c r="D42" s="2">
        <v>2022</v>
      </c>
      <c r="E42" s="36">
        <f>IF(Elect!AL44&lt;0,"0",Elect!AL44)</f>
        <v>0</v>
      </c>
      <c r="F42" s="36">
        <f>IF(Elect!I44&lt;0,"0",Elect!I44)</f>
        <v>0</v>
      </c>
      <c r="G42" s="36">
        <f>Elect!H44</f>
        <v>0</v>
      </c>
      <c r="H42" s="36">
        <f>IF(Elect!F44&lt;0,"0",Elect!F44)</f>
        <v>0</v>
      </c>
      <c r="I42" s="36">
        <f>Elect!E44</f>
        <v>0</v>
      </c>
      <c r="J42" s="36">
        <f>IF(Elect!U44&lt;0,"0",Elect!U44)</f>
        <v>0</v>
      </c>
      <c r="K42" s="36">
        <f>Elect!T44</f>
        <v>0</v>
      </c>
      <c r="L42" s="36">
        <f>IF(Elect!AJ44&lt;0,"0",Elect!AJ44)</f>
        <v>0</v>
      </c>
      <c r="M42" s="36">
        <f>Elect!AI44</f>
        <v>0</v>
      </c>
      <c r="N42" s="36">
        <f>IF(Elect!X44&lt;0,"0",Elect!X44)</f>
        <v>0</v>
      </c>
      <c r="O42" s="36">
        <f>Elect!W44</f>
        <v>0</v>
      </c>
      <c r="P42" s="36">
        <f>IF(Elect!O44&lt;0,"0",Elect!O44)</f>
        <v>0</v>
      </c>
      <c r="Q42" s="36">
        <f>Elect!N44</f>
        <v>0</v>
      </c>
      <c r="R42" s="36">
        <f>IF(Elect!L44&lt;0,"0",Elect!L44)</f>
        <v>0</v>
      </c>
      <c r="S42" s="36">
        <f>Elect!K44</f>
        <v>0</v>
      </c>
      <c r="T42" s="36">
        <f>IF(Elect!R44&lt;0,"0",Elect!R44)</f>
        <v>0</v>
      </c>
      <c r="U42" s="36">
        <f>Elect!Q44</f>
        <v>0</v>
      </c>
      <c r="V42" s="36">
        <f>IF(Elect!AA44&lt;0,"0",Elect!AA44)</f>
        <v>0</v>
      </c>
      <c r="W42" s="36">
        <f>Elect!Z44</f>
        <v>0</v>
      </c>
      <c r="X42" s="36">
        <f>IF(Elect!AD44&lt;0,"0",Elect!AD44)</f>
        <v>0</v>
      </c>
      <c r="Y42" s="36">
        <f>Elect!AC44</f>
        <v>0</v>
      </c>
      <c r="Z42" s="36">
        <f>IF(Elect!AG44&lt;0,"0",Elect!AG44)</f>
        <v>0</v>
      </c>
      <c r="AA42" s="36">
        <f>Elect!AF44</f>
        <v>0</v>
      </c>
      <c r="AB42" s="36">
        <f>IF(Elect!AX44&lt;0,"0",Elect!AX44)</f>
        <v>0</v>
      </c>
      <c r="AC42" s="36">
        <f>IF(Elect!AV44&lt;0,"0",Elect!AV44)</f>
        <v>0</v>
      </c>
      <c r="AD42" s="36">
        <f>IF(Elect!AZ44&lt;0,"0",Elect!AZ44)</f>
        <v>0</v>
      </c>
      <c r="AE42" s="36">
        <f>IF(Elect!BB44&lt;0,"0",Elect!BB44)</f>
        <v>0</v>
      </c>
      <c r="AF42" s="74">
        <f>IF('Wtr-Gas'!E44&lt;0,"0",('Wtr-Gas'!E44)*0.0038)</f>
        <v>0</v>
      </c>
      <c r="AG42" s="74">
        <f>IF('Wtr-Gas'!H44&lt;0,"0",('Wtr-Gas'!H44)*0.0038)</f>
        <v>0</v>
      </c>
      <c r="AH42" s="74">
        <f>IF('Wtr-Gas'!K44&lt;0,"0",('Wtr-Gas'!K44)*0.0038)</f>
        <v>0</v>
      </c>
      <c r="AI42" s="74">
        <f>IF('Wtr-Gas'!N44&lt;0,"0",('Wtr-Gas'!N44)*0.0038)</f>
        <v>0</v>
      </c>
      <c r="AJ42" s="74">
        <f>IF('Wtr-Gas'!Q44&lt;0,"0",('Wtr-Gas'!Q44)*0.0038)</f>
        <v>0</v>
      </c>
      <c r="AK42" s="75">
        <f>IF('Wtr-Gas'!U44&lt;0,"0",('Wtr-Gas'!U44)*0.0038)</f>
        <v>0</v>
      </c>
      <c r="AL42" s="75">
        <f>IF('Wtr-Gas'!X44&lt;0,"0",('Wtr-Gas'!X44)*0.0038)</f>
        <v>0</v>
      </c>
      <c r="AM42" s="74">
        <f>IF('Wtr-Gas'!AB44&lt;0,"0",('Wtr-Gas'!AB44)*0.0038)</f>
        <v>0</v>
      </c>
      <c r="AN42" s="74">
        <f>IF('Wtr-Gas'!AD44&lt;0,"0",('Wtr-Gas'!AD44)*0.0038)</f>
        <v>0</v>
      </c>
      <c r="AO42" s="74">
        <f>IF('Wtr-Gas'!AH44&lt;0,"0",('Wtr-Gas'!AH44)*0.0038)</f>
        <v>0</v>
      </c>
      <c r="AP42" s="74">
        <f>IF('Wtr-Gas'!AJ44&lt;0,"0",('Wtr-Gas'!AJ44)*0.0038)</f>
        <v>0</v>
      </c>
      <c r="AQ42" s="74">
        <f>IF('Wtr-Gas'!AL44&lt;0,"0",('Wtr-Gas'!AL44)*0.0038)</f>
        <v>0</v>
      </c>
      <c r="AR42" s="74">
        <f>IF('Wtr-Gas'!AN44&lt;0,"0",('Wtr-Gas'!AN44)*0.0038)</f>
        <v>0</v>
      </c>
      <c r="AS42" s="74">
        <f>IF('Wtr-Gas'!AP44&lt;0,"0",('Wtr-Gas'!AP44)*0.0038)</f>
        <v>0</v>
      </c>
      <c r="AT42" s="74">
        <f>IF('Wtr-Gas'!AR44&lt;0,"0",('Wtr-Gas'!AR44)*0.0038)</f>
        <v>0</v>
      </c>
      <c r="AU42" s="87">
        <f>IF('Wtr-Gas'!AV44&lt;0,"0",('Wtr-Gas'!AV44)*0.0038)</f>
        <v>0</v>
      </c>
      <c r="AV42" s="74">
        <f>IF('Wtr-Gas'!AY44&lt;0,"0",('Wtr-Gas'!AY44)*0.0038)</f>
        <v>0</v>
      </c>
      <c r="AW42" s="74">
        <f>IF('Wtr-Gas'!BA44&lt;0,"0",('Wtr-Gas'!BA44)*0.0038)</f>
        <v>0</v>
      </c>
      <c r="AX42" s="74">
        <f>IF('Wtr-Gas'!BB44&lt;0,"0",('Wtr-Gas'!BB44)*0.0038)</f>
        <v>0</v>
      </c>
      <c r="AY42" s="74">
        <f>IF('Wtr-Gas'!BD44&lt;0,"0",('Wtr-Gas'!BD44)*0.0038)</f>
        <v>0</v>
      </c>
      <c r="AZ42" s="74">
        <f>IF('Wtr-Gas'!BF44&lt;0,"0",('Wtr-Gas'!BF44)*0.0038)</f>
        <v>0</v>
      </c>
      <c r="BA42" s="74">
        <f>IF('Wtr-Gas'!BH44&lt;0,"0",('Wtr-Gas'!BH44)*0.0038)</f>
        <v>0</v>
      </c>
    </row>
    <row r="43" spans="1:53" x14ac:dyDescent="0.25">
      <c r="A43" s="3" t="s">
        <v>11</v>
      </c>
      <c r="B43" s="72">
        <v>5</v>
      </c>
      <c r="C43" s="2">
        <v>9</v>
      </c>
      <c r="D43" s="2">
        <v>2022</v>
      </c>
      <c r="E43" s="36">
        <f>IF(Elect!AL45&lt;0,"0",Elect!AL45)</f>
        <v>0</v>
      </c>
      <c r="F43" s="36">
        <f>IF(Elect!I45&lt;0,"0",Elect!I45)</f>
        <v>0</v>
      </c>
      <c r="G43" s="36">
        <f>Elect!H45</f>
        <v>0</v>
      </c>
      <c r="H43" s="36">
        <f>IF(Elect!F45&lt;0,"0",Elect!F45)</f>
        <v>0</v>
      </c>
      <c r="I43" s="36">
        <f>Elect!E45</f>
        <v>0</v>
      </c>
      <c r="J43" s="36">
        <f>IF(Elect!U45&lt;0,"0",Elect!U45)</f>
        <v>0</v>
      </c>
      <c r="K43" s="36">
        <f>Elect!T45</f>
        <v>0</v>
      </c>
      <c r="L43" s="36">
        <f>IF(Elect!AJ45&lt;0,"0",Elect!AJ45)</f>
        <v>0</v>
      </c>
      <c r="M43" s="36">
        <f>Elect!AI45</f>
        <v>0</v>
      </c>
      <c r="N43" s="36">
        <f>IF(Elect!X45&lt;0,"0",Elect!X45)</f>
        <v>0</v>
      </c>
      <c r="O43" s="36">
        <f>Elect!W45</f>
        <v>0</v>
      </c>
      <c r="P43" s="36">
        <f>IF(Elect!O45&lt;0,"0",Elect!O45)</f>
        <v>0</v>
      </c>
      <c r="Q43" s="36">
        <f>Elect!N45</f>
        <v>0</v>
      </c>
      <c r="R43" s="36">
        <f>IF(Elect!L45&lt;0,"0",Elect!L45)</f>
        <v>0</v>
      </c>
      <c r="S43" s="36">
        <f>Elect!K45</f>
        <v>0</v>
      </c>
      <c r="T43" s="36">
        <f>IF(Elect!R45&lt;0,"0",Elect!R45)</f>
        <v>0</v>
      </c>
      <c r="U43" s="36">
        <f>Elect!Q45</f>
        <v>0</v>
      </c>
      <c r="V43" s="36">
        <f>IF(Elect!AA45&lt;0,"0",Elect!AA45)</f>
        <v>0</v>
      </c>
      <c r="W43" s="36">
        <f>Elect!Z45</f>
        <v>0</v>
      </c>
      <c r="X43" s="36">
        <f>IF(Elect!AD45&lt;0,"0",Elect!AD45)</f>
        <v>0</v>
      </c>
      <c r="Y43" s="36">
        <f>Elect!AC45</f>
        <v>0</v>
      </c>
      <c r="Z43" s="36">
        <f>IF(Elect!AG45&lt;0,"0",Elect!AG45)</f>
        <v>0</v>
      </c>
      <c r="AA43" s="36">
        <f>Elect!AF45</f>
        <v>0</v>
      </c>
      <c r="AB43" s="36">
        <f>IF(Elect!AX45&lt;0,"0",Elect!AX45)</f>
        <v>0</v>
      </c>
      <c r="AC43" s="36">
        <f>IF(Elect!AV45&lt;0,"0",Elect!AV45)</f>
        <v>0</v>
      </c>
      <c r="AD43" s="36">
        <f>IF(Elect!AZ45&lt;0,"0",Elect!AZ45)</f>
        <v>0</v>
      </c>
      <c r="AE43" s="36">
        <f>IF(Elect!BB45&lt;0,"0",Elect!BB45)</f>
        <v>0</v>
      </c>
      <c r="AF43" s="74">
        <f>IF('Wtr-Gas'!E45&lt;0,"0",('Wtr-Gas'!E45)*0.0038)</f>
        <v>0</v>
      </c>
      <c r="AG43" s="74">
        <f>IF('Wtr-Gas'!H45&lt;0,"0",('Wtr-Gas'!H45)*0.0038)</f>
        <v>0</v>
      </c>
      <c r="AH43" s="74">
        <f>IF('Wtr-Gas'!K45&lt;0,"0",('Wtr-Gas'!K45)*0.0038)</f>
        <v>0</v>
      </c>
      <c r="AI43" s="74">
        <f>IF('Wtr-Gas'!N45&lt;0,"0",('Wtr-Gas'!N45)*0.0038)</f>
        <v>0</v>
      </c>
      <c r="AJ43" s="74">
        <f>IF('Wtr-Gas'!Q45&lt;0,"0",('Wtr-Gas'!Q45)*0.0038)</f>
        <v>0</v>
      </c>
      <c r="AK43" s="75">
        <f>IF('Wtr-Gas'!U45&lt;0,"0",('Wtr-Gas'!U45)*0.0038)</f>
        <v>0</v>
      </c>
      <c r="AL43" s="75">
        <f>IF('Wtr-Gas'!X45&lt;0,"0",('Wtr-Gas'!X45)*0.0038)</f>
        <v>0</v>
      </c>
      <c r="AM43" s="74">
        <f>IF('Wtr-Gas'!AB45&lt;0,"0",('Wtr-Gas'!AB45)*0.0038)</f>
        <v>0</v>
      </c>
      <c r="AN43" s="74">
        <f>IF('Wtr-Gas'!AD45&lt;0,"0",('Wtr-Gas'!AD45)*0.0038)</f>
        <v>0</v>
      </c>
      <c r="AO43" s="74">
        <f>IF('Wtr-Gas'!AH45&lt;0,"0",('Wtr-Gas'!AH45)*0.0038)</f>
        <v>0</v>
      </c>
      <c r="AP43" s="74">
        <f>IF('Wtr-Gas'!AJ45&lt;0,"0",('Wtr-Gas'!AJ45)*0.0038)</f>
        <v>0</v>
      </c>
      <c r="AQ43" s="74">
        <f>IF('Wtr-Gas'!AL45&lt;0,"0",('Wtr-Gas'!AL45)*0.0038)</f>
        <v>0</v>
      </c>
      <c r="AR43" s="74">
        <f>IF('Wtr-Gas'!AN45&lt;0,"0",('Wtr-Gas'!AN45)*0.0038)</f>
        <v>0</v>
      </c>
      <c r="AS43" s="74">
        <f>IF('Wtr-Gas'!AP45&lt;0,"0",('Wtr-Gas'!AP45)*0.0038)</f>
        <v>0</v>
      </c>
      <c r="AT43" s="74">
        <f>IF('Wtr-Gas'!AR45&lt;0,"0",('Wtr-Gas'!AR45)*0.0038)</f>
        <v>0</v>
      </c>
      <c r="AU43" s="87">
        <f>IF('Wtr-Gas'!AV45&lt;0,"0",('Wtr-Gas'!AV45)*0.0038)</f>
        <v>0</v>
      </c>
      <c r="AV43" s="74">
        <f>IF('Wtr-Gas'!AY45&lt;0,"0",('Wtr-Gas'!AY45)*0.0038)</f>
        <v>0</v>
      </c>
      <c r="AW43" s="74">
        <f>IF('Wtr-Gas'!BA45&lt;0,"0",('Wtr-Gas'!BA45)*0.0038)</f>
        <v>0</v>
      </c>
      <c r="AX43" s="74">
        <f>IF('Wtr-Gas'!BB45&lt;0,"0",('Wtr-Gas'!BB45)*0.0038)</f>
        <v>0</v>
      </c>
      <c r="AY43" s="74">
        <f>IF('Wtr-Gas'!BD45&lt;0,"0",('Wtr-Gas'!BD45)*0.0038)</f>
        <v>0</v>
      </c>
      <c r="AZ43" s="74">
        <f>IF('Wtr-Gas'!BF45&lt;0,"0",('Wtr-Gas'!BF45)*0.0038)</f>
        <v>0</v>
      </c>
      <c r="BA43" s="74">
        <f>IF('Wtr-Gas'!BH45&lt;0,"0",('Wtr-Gas'!BH45)*0.0038)</f>
        <v>0</v>
      </c>
    </row>
    <row r="44" spans="1:53" x14ac:dyDescent="0.25">
      <c r="A44" s="3" t="s">
        <v>11</v>
      </c>
      <c r="B44" s="72">
        <v>12</v>
      </c>
      <c r="C44" s="2">
        <v>9</v>
      </c>
      <c r="D44" s="2">
        <v>2022</v>
      </c>
      <c r="E44" s="36">
        <f>IF(Elect!AL46&lt;0,"0",Elect!AL46)</f>
        <v>0</v>
      </c>
      <c r="F44" s="36">
        <f>IF(Elect!I46&lt;0,"0",Elect!I46)</f>
        <v>0</v>
      </c>
      <c r="G44" s="36">
        <f>Elect!H46</f>
        <v>0</v>
      </c>
      <c r="H44" s="36">
        <f>IF(Elect!F46&lt;0,"0",Elect!F46)</f>
        <v>0</v>
      </c>
      <c r="I44" s="36">
        <f>Elect!E46</f>
        <v>0</v>
      </c>
      <c r="J44" s="36">
        <f>IF(Elect!U46&lt;0,"0",Elect!U46)</f>
        <v>0</v>
      </c>
      <c r="K44" s="36">
        <f>Elect!T46</f>
        <v>0</v>
      </c>
      <c r="L44" s="36">
        <f>IF(Elect!AJ46&lt;0,"0",Elect!AJ46)</f>
        <v>0</v>
      </c>
      <c r="M44" s="36">
        <f>Elect!AI46</f>
        <v>0</v>
      </c>
      <c r="N44" s="36">
        <f>IF(Elect!X46&lt;0,"0",Elect!X46)</f>
        <v>0</v>
      </c>
      <c r="O44" s="36">
        <f>Elect!W46</f>
        <v>0</v>
      </c>
      <c r="P44" s="36">
        <f>IF(Elect!O46&lt;0,"0",Elect!O46)</f>
        <v>0</v>
      </c>
      <c r="Q44" s="36">
        <f>Elect!N46</f>
        <v>0</v>
      </c>
      <c r="R44" s="36">
        <f>IF(Elect!L46&lt;0,"0",Elect!L46)</f>
        <v>0</v>
      </c>
      <c r="S44" s="36">
        <f>Elect!K46</f>
        <v>0</v>
      </c>
      <c r="T44" s="36">
        <f>IF(Elect!R46&lt;0,"0",Elect!R46)</f>
        <v>0</v>
      </c>
      <c r="U44" s="36">
        <f>Elect!Q46</f>
        <v>0</v>
      </c>
      <c r="V44" s="36">
        <f>IF(Elect!AA46&lt;0,"0",Elect!AA46)</f>
        <v>0</v>
      </c>
      <c r="W44" s="36">
        <f>Elect!Z46</f>
        <v>0</v>
      </c>
      <c r="X44" s="36">
        <f>IF(Elect!AD46&lt;0,"0",Elect!AD46)</f>
        <v>0</v>
      </c>
      <c r="Y44" s="36">
        <f>Elect!AC46</f>
        <v>0</v>
      </c>
      <c r="Z44" s="36">
        <f>IF(Elect!AG46&lt;0,"0",Elect!AG46)</f>
        <v>0</v>
      </c>
      <c r="AA44" s="36">
        <f>Elect!AF46</f>
        <v>0</v>
      </c>
      <c r="AB44" s="36">
        <f>IF(Elect!AX46&lt;0,"0",Elect!AX46)</f>
        <v>0</v>
      </c>
      <c r="AC44" s="36">
        <f>IF(Elect!AV46&lt;0,"0",Elect!AV46)</f>
        <v>0</v>
      </c>
      <c r="AD44" s="36">
        <f>IF(Elect!AZ46&lt;0,"0",Elect!AZ46)</f>
        <v>0</v>
      </c>
      <c r="AE44" s="36">
        <f>IF(Elect!BB46&lt;0,"0",Elect!BB46)</f>
        <v>0</v>
      </c>
      <c r="AF44" s="74">
        <f>IF('Wtr-Gas'!E46&lt;0,"0",('Wtr-Gas'!E46)*0.0038)</f>
        <v>0</v>
      </c>
      <c r="AG44" s="74">
        <f>IF('Wtr-Gas'!H46&lt;0,"0",('Wtr-Gas'!H46)*0.0038)</f>
        <v>0</v>
      </c>
      <c r="AH44" s="74">
        <f>IF('Wtr-Gas'!K46&lt;0,"0",('Wtr-Gas'!K46)*0.0038)</f>
        <v>0</v>
      </c>
      <c r="AI44" s="74">
        <f>IF('Wtr-Gas'!N46&lt;0,"0",('Wtr-Gas'!N46)*0.0038)</f>
        <v>0</v>
      </c>
      <c r="AJ44" s="74">
        <f>IF('Wtr-Gas'!Q46&lt;0,"0",('Wtr-Gas'!Q46)*0.0038)</f>
        <v>0</v>
      </c>
      <c r="AK44" s="75">
        <f>IF('Wtr-Gas'!U46&lt;0,"0",('Wtr-Gas'!U46)*0.0038)</f>
        <v>0</v>
      </c>
      <c r="AL44" s="75">
        <f>IF('Wtr-Gas'!X46&lt;0,"0",('Wtr-Gas'!X46)*0.0038)</f>
        <v>0</v>
      </c>
      <c r="AM44" s="74">
        <f>IF('Wtr-Gas'!AB46&lt;0,"0",('Wtr-Gas'!AB46)*0.0038)</f>
        <v>0</v>
      </c>
      <c r="AN44" s="74">
        <f>IF('Wtr-Gas'!AD46&lt;0,"0",('Wtr-Gas'!AD46)*0.0038)</f>
        <v>0</v>
      </c>
      <c r="AO44" s="74">
        <f>IF('Wtr-Gas'!AH46&lt;0,"0",('Wtr-Gas'!AH46)*0.0038)</f>
        <v>0</v>
      </c>
      <c r="AP44" s="74">
        <f>IF('Wtr-Gas'!AJ46&lt;0,"0",('Wtr-Gas'!AJ46)*0.0038)</f>
        <v>0</v>
      </c>
      <c r="AQ44" s="74">
        <f>IF('Wtr-Gas'!AL46&lt;0,"0",('Wtr-Gas'!AL46)*0.0038)</f>
        <v>0</v>
      </c>
      <c r="AR44" s="74">
        <f>IF('Wtr-Gas'!AN46&lt;0,"0",('Wtr-Gas'!AN46)*0.0038)</f>
        <v>0</v>
      </c>
      <c r="AS44" s="74">
        <f>IF('Wtr-Gas'!AP46&lt;0,"0",('Wtr-Gas'!AP46)*0.0038)</f>
        <v>0</v>
      </c>
      <c r="AT44" s="74">
        <f>IF('Wtr-Gas'!AR46&lt;0,"0",('Wtr-Gas'!AR46)*0.0038)</f>
        <v>0</v>
      </c>
      <c r="AU44" s="87">
        <f>IF('Wtr-Gas'!AV46&lt;0,"0",('Wtr-Gas'!AV46)*0.0038)</f>
        <v>0</v>
      </c>
      <c r="AV44" s="74">
        <f>IF('Wtr-Gas'!AY46&lt;0,"0",('Wtr-Gas'!AY46)*0.0038)</f>
        <v>0</v>
      </c>
      <c r="AW44" s="74">
        <f>IF('Wtr-Gas'!BA46&lt;0,"0",('Wtr-Gas'!BA46)*0.0038)</f>
        <v>0</v>
      </c>
      <c r="AX44" s="74">
        <f>IF('Wtr-Gas'!BB46&lt;0,"0",('Wtr-Gas'!BB46)*0.0038)</f>
        <v>0</v>
      </c>
      <c r="AY44" s="74">
        <f>IF('Wtr-Gas'!BD46&lt;0,"0",('Wtr-Gas'!BD46)*0.0038)</f>
        <v>0</v>
      </c>
      <c r="AZ44" s="74">
        <f>IF('Wtr-Gas'!BF46&lt;0,"0",('Wtr-Gas'!BF46)*0.0038)</f>
        <v>0</v>
      </c>
      <c r="BA44" s="74">
        <f>IF('Wtr-Gas'!BH46&lt;0,"0",('Wtr-Gas'!BH46)*0.0038)</f>
        <v>0</v>
      </c>
    </row>
    <row r="45" spans="1:53" x14ac:dyDescent="0.25">
      <c r="A45" s="3" t="s">
        <v>11</v>
      </c>
      <c r="B45" s="72">
        <v>19</v>
      </c>
      <c r="C45" s="2">
        <v>9</v>
      </c>
      <c r="D45" s="2">
        <v>2022</v>
      </c>
      <c r="E45" s="36">
        <f>IF(Elect!AL47&lt;0,"0",Elect!AL47)</f>
        <v>0</v>
      </c>
      <c r="F45" s="36">
        <f>IF(Elect!I47&lt;0,"0",Elect!I47)</f>
        <v>0</v>
      </c>
      <c r="G45" s="36">
        <f>Elect!H47</f>
        <v>0</v>
      </c>
      <c r="H45" s="36">
        <f>IF(Elect!F47&lt;0,"0",Elect!F47)</f>
        <v>0</v>
      </c>
      <c r="I45" s="36">
        <f>Elect!E47</f>
        <v>0</v>
      </c>
      <c r="J45" s="36">
        <f>IF(Elect!U47&lt;0,"0",Elect!U47)</f>
        <v>0</v>
      </c>
      <c r="K45" s="36">
        <f>Elect!T47</f>
        <v>0</v>
      </c>
      <c r="L45" s="36">
        <f>IF(Elect!AJ47&lt;0,"0",Elect!AJ47)</f>
        <v>0</v>
      </c>
      <c r="M45" s="36">
        <f>Elect!AI47</f>
        <v>0</v>
      </c>
      <c r="N45" s="36">
        <f>IF(Elect!X47&lt;0,"0",Elect!X47)</f>
        <v>0</v>
      </c>
      <c r="O45" s="36">
        <f>Elect!W47</f>
        <v>0</v>
      </c>
      <c r="P45" s="36">
        <f>IF(Elect!O47&lt;0,"0",Elect!O47)</f>
        <v>0</v>
      </c>
      <c r="Q45" s="36">
        <f>Elect!N47</f>
        <v>0</v>
      </c>
      <c r="R45" s="36">
        <f>IF(Elect!L47&lt;0,"0",Elect!L47)</f>
        <v>0</v>
      </c>
      <c r="S45" s="36">
        <f>Elect!K47</f>
        <v>0</v>
      </c>
      <c r="T45" s="36">
        <f>IF(Elect!R47&lt;0,"0",Elect!R47)</f>
        <v>0</v>
      </c>
      <c r="U45" s="36">
        <f>Elect!Q47</f>
        <v>0</v>
      </c>
      <c r="V45" s="36">
        <f>IF(Elect!AA47&lt;0,"0",Elect!AA47)</f>
        <v>0</v>
      </c>
      <c r="W45" s="36">
        <f>Elect!Z47</f>
        <v>0</v>
      </c>
      <c r="X45" s="36">
        <f>IF(Elect!AD47&lt;0,"0",Elect!AD47)</f>
        <v>0</v>
      </c>
      <c r="Y45" s="36">
        <f>Elect!AC47</f>
        <v>0</v>
      </c>
      <c r="Z45" s="36">
        <f>IF(Elect!AG47&lt;0,"0",Elect!AG47)</f>
        <v>0</v>
      </c>
      <c r="AA45" s="36">
        <f>Elect!AF47</f>
        <v>0</v>
      </c>
      <c r="AB45" s="36">
        <f>IF(Elect!AX47&lt;0,"0",Elect!AX47)</f>
        <v>0</v>
      </c>
      <c r="AC45" s="36">
        <f>IF(Elect!AV47&lt;0,"0",Elect!AV47)</f>
        <v>0</v>
      </c>
      <c r="AD45" s="36">
        <f>IF(Elect!AZ47&lt;0,"0",Elect!AZ47)</f>
        <v>0</v>
      </c>
      <c r="AE45" s="36">
        <f>IF(Elect!BB47&lt;0,"0",Elect!BB47)</f>
        <v>0</v>
      </c>
      <c r="AF45" s="74">
        <f>IF('Wtr-Gas'!E47&lt;0,"0",('Wtr-Gas'!E47)*0.0038)</f>
        <v>0</v>
      </c>
      <c r="AG45" s="74">
        <f>IF('Wtr-Gas'!H47&lt;0,"0",('Wtr-Gas'!H47)*0.0038)</f>
        <v>0</v>
      </c>
      <c r="AH45" s="74">
        <f>IF('Wtr-Gas'!K47&lt;0,"0",('Wtr-Gas'!K47)*0.0038)</f>
        <v>0</v>
      </c>
      <c r="AI45" s="74">
        <f>IF('Wtr-Gas'!N47&lt;0,"0",('Wtr-Gas'!N47)*0.0038)</f>
        <v>0</v>
      </c>
      <c r="AJ45" s="74">
        <f>IF('Wtr-Gas'!Q47&lt;0,"0",('Wtr-Gas'!Q47)*0.0038)</f>
        <v>0</v>
      </c>
      <c r="AK45" s="75">
        <f>IF('Wtr-Gas'!U47&lt;0,"0",('Wtr-Gas'!U47)*0.0038)</f>
        <v>0</v>
      </c>
      <c r="AL45" s="75">
        <f>IF('Wtr-Gas'!X47&lt;0,"0",('Wtr-Gas'!X47)*0.0038)</f>
        <v>0</v>
      </c>
      <c r="AM45" s="74">
        <f>IF('Wtr-Gas'!AB47&lt;0,"0",('Wtr-Gas'!AB47)*0.0038)</f>
        <v>0</v>
      </c>
      <c r="AN45" s="74">
        <f>IF('Wtr-Gas'!AD47&lt;0,"0",('Wtr-Gas'!AD47)*0.0038)</f>
        <v>0</v>
      </c>
      <c r="AO45" s="74">
        <f>IF('Wtr-Gas'!AH47&lt;0,"0",('Wtr-Gas'!AH47)*0.0038)</f>
        <v>0</v>
      </c>
      <c r="AP45" s="74">
        <f>IF('Wtr-Gas'!AJ47&lt;0,"0",('Wtr-Gas'!AJ47)*0.0038)</f>
        <v>0</v>
      </c>
      <c r="AQ45" s="74">
        <f>IF('Wtr-Gas'!AL47&lt;0,"0",('Wtr-Gas'!AL47)*0.0038)</f>
        <v>0</v>
      </c>
      <c r="AR45" s="74">
        <f>IF('Wtr-Gas'!AN47&lt;0,"0",('Wtr-Gas'!AN47)*0.0038)</f>
        <v>0</v>
      </c>
      <c r="AS45" s="74">
        <f>IF('Wtr-Gas'!AP47&lt;0,"0",('Wtr-Gas'!AP47)*0.0038)</f>
        <v>0</v>
      </c>
      <c r="AT45" s="74">
        <f>IF('Wtr-Gas'!AR47&lt;0,"0",('Wtr-Gas'!AR47)*0.0038)</f>
        <v>0</v>
      </c>
      <c r="AU45" s="87">
        <f>IF('Wtr-Gas'!AV47&lt;0,"0",('Wtr-Gas'!AV47)*0.0038)</f>
        <v>0</v>
      </c>
      <c r="AV45" s="74">
        <f>IF('Wtr-Gas'!AY47&lt;0,"0",('Wtr-Gas'!AY47)*0.0038)</f>
        <v>0</v>
      </c>
      <c r="AW45" s="74">
        <f>IF('Wtr-Gas'!BA47&lt;0,"0",('Wtr-Gas'!BA47)*0.0038)</f>
        <v>0</v>
      </c>
      <c r="AX45" s="74">
        <f>IF('Wtr-Gas'!BB47&lt;0,"0",('Wtr-Gas'!BB47)*0.0038)</f>
        <v>0</v>
      </c>
      <c r="AY45" s="74">
        <f>IF('Wtr-Gas'!BD47&lt;0,"0",('Wtr-Gas'!BD47)*0.0038)</f>
        <v>0</v>
      </c>
      <c r="AZ45" s="74">
        <f>IF('Wtr-Gas'!BF47&lt;0,"0",('Wtr-Gas'!BF47)*0.0038)</f>
        <v>0</v>
      </c>
      <c r="BA45" s="74">
        <f>IF('Wtr-Gas'!BH47&lt;0,"0",('Wtr-Gas'!BH47)*0.0038)</f>
        <v>0</v>
      </c>
    </row>
    <row r="46" spans="1:53" x14ac:dyDescent="0.25">
      <c r="A46" s="3" t="s">
        <v>11</v>
      </c>
      <c r="B46" s="72">
        <v>26</v>
      </c>
      <c r="C46" s="2">
        <v>9</v>
      </c>
      <c r="D46" s="2">
        <v>2022</v>
      </c>
      <c r="E46" s="36">
        <f>IF(Elect!AL48&lt;0,"0",Elect!AL48)</f>
        <v>0</v>
      </c>
      <c r="F46" s="36">
        <f>IF(Elect!I48&lt;0,"0",Elect!I48)</f>
        <v>0</v>
      </c>
      <c r="G46" s="36">
        <f>Elect!H48</f>
        <v>0</v>
      </c>
      <c r="H46" s="36">
        <f>IF(Elect!F48&lt;0,"0",Elect!F48)</f>
        <v>0</v>
      </c>
      <c r="I46" s="36">
        <f>Elect!E48</f>
        <v>0</v>
      </c>
      <c r="J46" s="36">
        <f>IF(Elect!U48&lt;0,"0",Elect!U48)</f>
        <v>0</v>
      </c>
      <c r="K46" s="36">
        <f>Elect!T48</f>
        <v>0</v>
      </c>
      <c r="L46" s="36">
        <f>IF(Elect!AJ48&lt;0,"0",Elect!AJ48)</f>
        <v>0</v>
      </c>
      <c r="M46" s="36">
        <f>Elect!AI48</f>
        <v>0</v>
      </c>
      <c r="N46" s="36">
        <f>IF(Elect!X48&lt;0,"0",Elect!X48)</f>
        <v>0</v>
      </c>
      <c r="O46" s="36">
        <f>Elect!W48</f>
        <v>0</v>
      </c>
      <c r="P46" s="36">
        <f>IF(Elect!O48&lt;0,"0",Elect!O48)</f>
        <v>0</v>
      </c>
      <c r="Q46" s="36">
        <f>Elect!N48</f>
        <v>0</v>
      </c>
      <c r="R46" s="36">
        <f>IF(Elect!L48&lt;0,"0",Elect!L48)</f>
        <v>0</v>
      </c>
      <c r="S46" s="36">
        <f>Elect!K48</f>
        <v>0</v>
      </c>
      <c r="T46" s="36">
        <f>IF(Elect!R48&lt;0,"0",Elect!R48)</f>
        <v>0</v>
      </c>
      <c r="U46" s="36">
        <f>Elect!Q48</f>
        <v>0</v>
      </c>
      <c r="V46" s="36">
        <f>IF(Elect!AA48&lt;0,"0",Elect!AA48)</f>
        <v>0</v>
      </c>
      <c r="W46" s="36">
        <f>Elect!Z48</f>
        <v>0</v>
      </c>
      <c r="X46" s="36">
        <f>IF(Elect!AD48&lt;0,"0",Elect!AD48)</f>
        <v>0</v>
      </c>
      <c r="Y46" s="36">
        <f>Elect!AC48</f>
        <v>0</v>
      </c>
      <c r="Z46" s="36">
        <f>IF(Elect!AG48&lt;0,"0",Elect!AG48)</f>
        <v>0</v>
      </c>
      <c r="AA46" s="36">
        <f>Elect!AF48</f>
        <v>0</v>
      </c>
      <c r="AB46" s="36">
        <f>IF(Elect!AX48&lt;0,"0",Elect!AX48)</f>
        <v>0</v>
      </c>
      <c r="AC46" s="36">
        <f>IF(Elect!AV48&lt;0,"0",Elect!AV48)</f>
        <v>0</v>
      </c>
      <c r="AD46" s="36">
        <f>IF(Elect!AZ48&lt;0,"0",Elect!AZ48)</f>
        <v>0</v>
      </c>
      <c r="AE46" s="36">
        <f>IF(Elect!BB48&lt;0,"0",Elect!BB48)</f>
        <v>0</v>
      </c>
      <c r="AF46" s="74">
        <f>IF('Wtr-Gas'!E48&lt;0,"0",('Wtr-Gas'!E48)*0.0038)</f>
        <v>0</v>
      </c>
      <c r="AG46" s="74">
        <f>IF('Wtr-Gas'!H48&lt;0,"0",('Wtr-Gas'!H48)*0.0038)</f>
        <v>0</v>
      </c>
      <c r="AH46" s="74">
        <f>IF('Wtr-Gas'!K48&lt;0,"0",('Wtr-Gas'!K48)*0.0038)</f>
        <v>0</v>
      </c>
      <c r="AI46" s="74">
        <f>IF('Wtr-Gas'!N48&lt;0,"0",('Wtr-Gas'!N48)*0.0038)</f>
        <v>0</v>
      </c>
      <c r="AJ46" s="74">
        <f>IF('Wtr-Gas'!Q48&lt;0,"0",('Wtr-Gas'!Q48)*0.0038)</f>
        <v>0</v>
      </c>
      <c r="AK46" s="75">
        <f>IF('Wtr-Gas'!U48&lt;0,"0",('Wtr-Gas'!U48)*0.0038)</f>
        <v>0</v>
      </c>
      <c r="AL46" s="75">
        <f>IF('Wtr-Gas'!X48&lt;0,"0",('Wtr-Gas'!X48)*0.0038)</f>
        <v>0</v>
      </c>
      <c r="AM46" s="74">
        <f>IF('Wtr-Gas'!AB48&lt;0,"0",('Wtr-Gas'!AB48)*0.0038)</f>
        <v>0</v>
      </c>
      <c r="AN46" s="74">
        <f>IF('Wtr-Gas'!AD48&lt;0,"0",('Wtr-Gas'!AD48)*0.0038)</f>
        <v>0</v>
      </c>
      <c r="AO46" s="74">
        <f>IF('Wtr-Gas'!AH48&lt;0,"0",('Wtr-Gas'!AH48)*0.0038)</f>
        <v>0</v>
      </c>
      <c r="AP46" s="74">
        <f>IF('Wtr-Gas'!AJ48&lt;0,"0",('Wtr-Gas'!AJ48)*0.0038)</f>
        <v>0</v>
      </c>
      <c r="AQ46" s="74">
        <f>IF('Wtr-Gas'!AL48&lt;0,"0",('Wtr-Gas'!AL48)*0.0038)</f>
        <v>0</v>
      </c>
      <c r="AR46" s="74">
        <f>IF('Wtr-Gas'!AN48&lt;0,"0",('Wtr-Gas'!AN48)*0.0038)</f>
        <v>0</v>
      </c>
      <c r="AS46" s="74">
        <f>IF('Wtr-Gas'!AP48&lt;0,"0",('Wtr-Gas'!AP48)*0.0038)</f>
        <v>0</v>
      </c>
      <c r="AT46" s="74">
        <f>IF('Wtr-Gas'!AR48&lt;0,"0",('Wtr-Gas'!AR48)*0.0038)</f>
        <v>0</v>
      </c>
      <c r="AU46" s="87">
        <f>IF('Wtr-Gas'!AV48&lt;0,"0",('Wtr-Gas'!AV48)*0.0038)</f>
        <v>0</v>
      </c>
      <c r="AV46" s="74">
        <f>IF('Wtr-Gas'!AY48&lt;0,"0",('Wtr-Gas'!AY48)*0.0038)</f>
        <v>0</v>
      </c>
      <c r="AW46" s="74">
        <f>IF('Wtr-Gas'!BA48&lt;0,"0",('Wtr-Gas'!BA48)*0.0038)</f>
        <v>0</v>
      </c>
      <c r="AX46" s="74">
        <f>IF('Wtr-Gas'!BB48&lt;0,"0",('Wtr-Gas'!BB48)*0.0038)</f>
        <v>0</v>
      </c>
      <c r="AY46" s="74">
        <f>IF('Wtr-Gas'!BD48&lt;0,"0",('Wtr-Gas'!BD48)*0.0038)</f>
        <v>0</v>
      </c>
      <c r="AZ46" s="74">
        <f>IF('Wtr-Gas'!BF48&lt;0,"0",('Wtr-Gas'!BF48)*0.0038)</f>
        <v>0</v>
      </c>
      <c r="BA46" s="74">
        <f>IF('Wtr-Gas'!BH48&lt;0,"0",('Wtr-Gas'!BH48)*0.0038)</f>
        <v>0</v>
      </c>
    </row>
    <row r="47" spans="1:53" x14ac:dyDescent="0.25">
      <c r="A47" s="3" t="s">
        <v>11</v>
      </c>
      <c r="B47" s="72">
        <v>30</v>
      </c>
      <c r="C47" s="2">
        <v>9</v>
      </c>
      <c r="D47" s="2">
        <v>2022</v>
      </c>
      <c r="E47" s="36">
        <f>IF(Elect!AL49&lt;0,"0",Elect!AL49)</f>
        <v>0</v>
      </c>
      <c r="F47" s="36">
        <f>IF(Elect!I49&lt;0,"0",Elect!I49)</f>
        <v>0</v>
      </c>
      <c r="G47" s="36">
        <f>Elect!H49</f>
        <v>0</v>
      </c>
      <c r="H47" s="36">
        <f>IF(Elect!F49&lt;0,"0",Elect!F49)</f>
        <v>0</v>
      </c>
      <c r="I47" s="36">
        <f>Elect!E49</f>
        <v>0</v>
      </c>
      <c r="J47" s="36">
        <f>IF(Elect!U49&lt;0,"0",Elect!U49)</f>
        <v>0</v>
      </c>
      <c r="K47" s="36">
        <f>Elect!T49</f>
        <v>0</v>
      </c>
      <c r="L47" s="36">
        <f>IF(Elect!AJ49&lt;0,"0",Elect!AJ49)</f>
        <v>0</v>
      </c>
      <c r="M47" s="36">
        <f>Elect!AI49</f>
        <v>0</v>
      </c>
      <c r="N47" s="36">
        <f>IF(Elect!X49&lt;0,"0",Elect!X49)</f>
        <v>0</v>
      </c>
      <c r="O47" s="36">
        <f>Elect!W49</f>
        <v>0</v>
      </c>
      <c r="P47" s="36">
        <f>IF(Elect!O49&lt;0,"0",Elect!O49)</f>
        <v>0</v>
      </c>
      <c r="Q47" s="36">
        <f>Elect!N49</f>
        <v>0</v>
      </c>
      <c r="R47" s="36">
        <f>IF(Elect!L49&lt;0,"0",Elect!L49)</f>
        <v>0</v>
      </c>
      <c r="S47" s="36">
        <f>Elect!K49</f>
        <v>0</v>
      </c>
      <c r="T47" s="36">
        <f>IF(Elect!R49&lt;0,"0",Elect!R49)</f>
        <v>0</v>
      </c>
      <c r="U47" s="36">
        <f>Elect!Q49</f>
        <v>0</v>
      </c>
      <c r="V47" s="36">
        <f>IF(Elect!AA49&lt;0,"0",Elect!AA49)</f>
        <v>0</v>
      </c>
      <c r="W47" s="36">
        <f>Elect!Z49</f>
        <v>0</v>
      </c>
      <c r="X47" s="36">
        <f>IF(Elect!AD49&lt;0,"0",Elect!AD49)</f>
        <v>0</v>
      </c>
      <c r="Y47" s="36">
        <f>Elect!AC49</f>
        <v>0</v>
      </c>
      <c r="Z47" s="36">
        <f>IF(Elect!AG49&lt;0,"0",Elect!AG49)</f>
        <v>0</v>
      </c>
      <c r="AA47" s="36">
        <f>Elect!AF49</f>
        <v>0</v>
      </c>
      <c r="AB47" s="36">
        <f>IF(Elect!AX49&lt;0,"0",Elect!AX49)</f>
        <v>0</v>
      </c>
      <c r="AC47" s="36">
        <f>IF(Elect!AV49&lt;0,"0",Elect!AV49)</f>
        <v>0</v>
      </c>
      <c r="AD47" s="36">
        <f>IF(Elect!AZ49&lt;0,"0",Elect!AZ49)</f>
        <v>0</v>
      </c>
      <c r="AE47" s="36">
        <f>IF(Elect!BB49&lt;0,"0",Elect!BB49)</f>
        <v>0</v>
      </c>
      <c r="AF47" s="74">
        <f>IF('Wtr-Gas'!E49&lt;0,"0",('Wtr-Gas'!E49)*0.0038)</f>
        <v>0</v>
      </c>
      <c r="AG47" s="74">
        <f>IF('Wtr-Gas'!H49&lt;0,"0",('Wtr-Gas'!H49)*0.0038)</f>
        <v>0</v>
      </c>
      <c r="AH47" s="74">
        <f>IF('Wtr-Gas'!K49&lt;0,"0",('Wtr-Gas'!K49)*0.0038)</f>
        <v>0</v>
      </c>
      <c r="AI47" s="74">
        <f>IF('Wtr-Gas'!N49&lt;0,"0",('Wtr-Gas'!N49)*0.0038)</f>
        <v>0</v>
      </c>
      <c r="AJ47" s="74">
        <f>IF('Wtr-Gas'!Q49&lt;0,"0",('Wtr-Gas'!Q49)*0.0038)</f>
        <v>0</v>
      </c>
      <c r="AK47" s="75">
        <f>IF('Wtr-Gas'!U49&lt;0,"0",('Wtr-Gas'!U49)*0.0038)</f>
        <v>0</v>
      </c>
      <c r="AL47" s="75">
        <f>IF('Wtr-Gas'!X49&lt;0,"0",('Wtr-Gas'!X49)*0.0038)</f>
        <v>0</v>
      </c>
      <c r="AM47" s="74">
        <f>IF('Wtr-Gas'!AB49&lt;0,"0",('Wtr-Gas'!AB49)*0.0038)</f>
        <v>0</v>
      </c>
      <c r="AN47" s="74">
        <f>IF('Wtr-Gas'!AD49&lt;0,"0",('Wtr-Gas'!AD49)*0.0038)</f>
        <v>0</v>
      </c>
      <c r="AO47" s="74">
        <f>IF('Wtr-Gas'!AH49&lt;0,"0",('Wtr-Gas'!AH49)*0.0038)</f>
        <v>0</v>
      </c>
      <c r="AP47" s="74">
        <f>IF('Wtr-Gas'!AJ49&lt;0,"0",('Wtr-Gas'!AJ49)*0.0038)</f>
        <v>0</v>
      </c>
      <c r="AQ47" s="74">
        <f>IF('Wtr-Gas'!AL49&lt;0,"0",('Wtr-Gas'!AL49)*0.0038)</f>
        <v>0</v>
      </c>
      <c r="AR47" s="74">
        <f>IF('Wtr-Gas'!AN49&lt;0,"0",('Wtr-Gas'!AN49)*0.0038)</f>
        <v>0</v>
      </c>
      <c r="AS47" s="74">
        <f>IF('Wtr-Gas'!AP49&lt;0,"0",('Wtr-Gas'!AP49)*0.0038)</f>
        <v>0</v>
      </c>
      <c r="AT47" s="74">
        <f>IF('Wtr-Gas'!AR49&lt;0,"0",('Wtr-Gas'!AR49)*0.0038)</f>
        <v>0</v>
      </c>
      <c r="AU47" s="87">
        <f>IF('Wtr-Gas'!AV49&lt;0,"0",('Wtr-Gas'!AV49)*0.0038)</f>
        <v>0</v>
      </c>
      <c r="AV47" s="74">
        <f>IF('Wtr-Gas'!AY49&lt;0,"0",('Wtr-Gas'!AY49)*0.0038)</f>
        <v>0</v>
      </c>
      <c r="AW47" s="74">
        <f>IF('Wtr-Gas'!BA49&lt;0,"0",('Wtr-Gas'!BA49)*0.0038)</f>
        <v>0</v>
      </c>
      <c r="AX47" s="74">
        <f>IF('Wtr-Gas'!BB49&lt;0,"0",('Wtr-Gas'!BB49)*0.0038)</f>
        <v>0</v>
      </c>
      <c r="AY47" s="74">
        <f>IF('Wtr-Gas'!BD49&lt;0,"0",('Wtr-Gas'!BD49)*0.0038)</f>
        <v>0</v>
      </c>
      <c r="AZ47" s="74">
        <f>IF('Wtr-Gas'!BF49&lt;0,"0",('Wtr-Gas'!BF49)*0.0038)</f>
        <v>0</v>
      </c>
      <c r="BA47" s="74">
        <f>IF('Wtr-Gas'!BH49&lt;0,"0",('Wtr-Gas'!BH49)*0.0038)</f>
        <v>0</v>
      </c>
    </row>
    <row r="48" spans="1:53" x14ac:dyDescent="0.25">
      <c r="A48" s="3" t="s">
        <v>11</v>
      </c>
      <c r="B48" s="72">
        <v>3</v>
      </c>
      <c r="C48" s="2">
        <v>10</v>
      </c>
      <c r="D48" s="2">
        <v>2022</v>
      </c>
      <c r="E48" s="36">
        <f>IF(Elect!AL50&lt;0,"0",Elect!AL50)</f>
        <v>0</v>
      </c>
      <c r="F48" s="36">
        <f>IF(Elect!I50&lt;0,"0",Elect!I50)</f>
        <v>0</v>
      </c>
      <c r="G48" s="36">
        <f>Elect!H50</f>
        <v>0</v>
      </c>
      <c r="H48" s="36">
        <f>IF(Elect!F50&lt;0,"0",Elect!F50)</f>
        <v>0</v>
      </c>
      <c r="I48" s="36">
        <f>Elect!E50</f>
        <v>0</v>
      </c>
      <c r="J48" s="36">
        <f>IF(Elect!U50&lt;0,"0",Elect!U50)</f>
        <v>0</v>
      </c>
      <c r="K48" s="36">
        <f>Elect!T50</f>
        <v>0</v>
      </c>
      <c r="L48" s="36">
        <f>IF(Elect!AJ50&lt;0,"0",Elect!AJ50)</f>
        <v>0</v>
      </c>
      <c r="M48" s="36">
        <f>Elect!AI50</f>
        <v>0</v>
      </c>
      <c r="N48" s="36">
        <f>IF(Elect!X50&lt;0,"0",Elect!X50)</f>
        <v>0</v>
      </c>
      <c r="O48" s="36">
        <f>Elect!W50</f>
        <v>0</v>
      </c>
      <c r="P48" s="36">
        <f>IF(Elect!O50&lt;0,"0",Elect!O50)</f>
        <v>0</v>
      </c>
      <c r="Q48" s="36">
        <f>Elect!N50</f>
        <v>0</v>
      </c>
      <c r="R48" s="36">
        <f>IF(Elect!L50&lt;0,"0",Elect!L50)</f>
        <v>0</v>
      </c>
      <c r="S48" s="36">
        <f>Elect!K50</f>
        <v>0</v>
      </c>
      <c r="T48" s="36">
        <f>IF(Elect!R50&lt;0,"0",Elect!R50)</f>
        <v>0</v>
      </c>
      <c r="U48" s="36">
        <f>Elect!Q50</f>
        <v>0</v>
      </c>
      <c r="V48" s="36">
        <f>IF(Elect!AA50&lt;0,"0",Elect!AA50)</f>
        <v>0</v>
      </c>
      <c r="W48" s="36">
        <f>Elect!Z50</f>
        <v>0</v>
      </c>
      <c r="X48" s="36">
        <f>IF(Elect!AD50&lt;0,"0",Elect!AD50)</f>
        <v>0</v>
      </c>
      <c r="Y48" s="36">
        <f>Elect!AC50</f>
        <v>0</v>
      </c>
      <c r="Z48" s="36">
        <f>IF(Elect!AG50&lt;0,"0",Elect!AG50)</f>
        <v>0</v>
      </c>
      <c r="AA48" s="36">
        <f>Elect!AF50</f>
        <v>0</v>
      </c>
      <c r="AB48" s="36">
        <f>IF(Elect!AX50&lt;0,"0",Elect!AX50)</f>
        <v>0</v>
      </c>
      <c r="AC48" s="36">
        <f>IF(Elect!AV50&lt;0,"0",Elect!AV50)</f>
        <v>0</v>
      </c>
      <c r="AD48" s="36">
        <f>IF(Elect!AZ50&lt;0,"0",Elect!AZ50)</f>
        <v>0</v>
      </c>
      <c r="AE48" s="36">
        <f>IF(Elect!BB50&lt;0,"0",Elect!BB50)</f>
        <v>0</v>
      </c>
      <c r="AF48" s="74">
        <f>IF('Wtr-Gas'!E50&lt;0,"0",('Wtr-Gas'!E50)*0.0038)</f>
        <v>0</v>
      </c>
      <c r="AG48" s="74">
        <f>IF('Wtr-Gas'!H50&lt;0,"0",('Wtr-Gas'!H50)*0.0038)</f>
        <v>0</v>
      </c>
      <c r="AH48" s="74">
        <f>IF('Wtr-Gas'!K50&lt;0,"0",('Wtr-Gas'!K50)*0.0038)</f>
        <v>0</v>
      </c>
      <c r="AI48" s="74">
        <f>IF('Wtr-Gas'!N50&lt;0,"0",('Wtr-Gas'!N50)*0.0038)</f>
        <v>0</v>
      </c>
      <c r="AJ48" s="74">
        <f>IF('Wtr-Gas'!Q50&lt;0,"0",('Wtr-Gas'!Q50)*0.0038)</f>
        <v>0</v>
      </c>
      <c r="AK48" s="75">
        <f>IF('Wtr-Gas'!U50&lt;0,"0",('Wtr-Gas'!U50)*0.0038)</f>
        <v>0</v>
      </c>
      <c r="AL48" s="75">
        <f>IF('Wtr-Gas'!X50&lt;0,"0",('Wtr-Gas'!X50)*0.0038)</f>
        <v>0</v>
      </c>
      <c r="AM48" s="74">
        <f>IF('Wtr-Gas'!AB50&lt;0,"0",('Wtr-Gas'!AB50)*0.0038)</f>
        <v>0</v>
      </c>
      <c r="AN48" s="74">
        <f>IF('Wtr-Gas'!AD50&lt;0,"0",('Wtr-Gas'!AD50)*0.0038)</f>
        <v>0</v>
      </c>
      <c r="AO48" s="74">
        <f>IF('Wtr-Gas'!AH50&lt;0,"0",('Wtr-Gas'!AH50)*0.0038)</f>
        <v>0</v>
      </c>
      <c r="AP48" s="74">
        <f>IF('Wtr-Gas'!AJ50&lt;0,"0",('Wtr-Gas'!AJ50)*0.0038)</f>
        <v>0</v>
      </c>
      <c r="AQ48" s="74">
        <f>IF('Wtr-Gas'!AL50&lt;0,"0",('Wtr-Gas'!AL50)*0.0038)</f>
        <v>0</v>
      </c>
      <c r="AR48" s="74">
        <f>IF('Wtr-Gas'!AN50&lt;0,"0",('Wtr-Gas'!AN50)*0.0038)</f>
        <v>0</v>
      </c>
      <c r="AS48" s="74">
        <f>IF('Wtr-Gas'!AP50&lt;0,"0",('Wtr-Gas'!AP50)*0.0038)</f>
        <v>0</v>
      </c>
      <c r="AT48" s="74">
        <f>IF('Wtr-Gas'!AR50&lt;0,"0",('Wtr-Gas'!AR50)*0.0038)</f>
        <v>0</v>
      </c>
      <c r="AU48" s="87">
        <f>IF('Wtr-Gas'!AV50&lt;0,"0",('Wtr-Gas'!AV50)*0.0038)</f>
        <v>0</v>
      </c>
      <c r="AV48" s="74">
        <f>IF('Wtr-Gas'!AY50&lt;0,"0",('Wtr-Gas'!AY50)*0.0038)</f>
        <v>0</v>
      </c>
      <c r="AW48" s="74">
        <f>IF('Wtr-Gas'!BA50&lt;0,"0",('Wtr-Gas'!BA50)*0.0038)</f>
        <v>0</v>
      </c>
      <c r="AX48" s="74">
        <f>IF('Wtr-Gas'!BB50&lt;0,"0",('Wtr-Gas'!BB50)*0.0038)</f>
        <v>0</v>
      </c>
      <c r="AY48" s="74">
        <f>IF('Wtr-Gas'!BD50&lt;0,"0",('Wtr-Gas'!BD50)*0.0038)</f>
        <v>0</v>
      </c>
      <c r="AZ48" s="74">
        <f>IF('Wtr-Gas'!BF50&lt;0,"0",('Wtr-Gas'!BF50)*0.0038)</f>
        <v>0</v>
      </c>
      <c r="BA48" s="74">
        <f>IF('Wtr-Gas'!BH50&lt;0,"0",('Wtr-Gas'!BH50)*0.0038)</f>
        <v>0</v>
      </c>
    </row>
    <row r="49" spans="1:53" x14ac:dyDescent="0.25">
      <c r="A49" s="3" t="s">
        <v>11</v>
      </c>
      <c r="B49" s="72">
        <v>10</v>
      </c>
      <c r="C49" s="2">
        <v>10</v>
      </c>
      <c r="D49" s="2">
        <v>2022</v>
      </c>
      <c r="E49" s="36">
        <f>IF(Elect!AL51&lt;0,"0",Elect!AL51)</f>
        <v>0</v>
      </c>
      <c r="F49" s="36">
        <f>IF(Elect!I51&lt;0,"0",Elect!I51)</f>
        <v>0</v>
      </c>
      <c r="G49" s="36">
        <f>Elect!H51</f>
        <v>0</v>
      </c>
      <c r="H49" s="36">
        <f>IF(Elect!F51&lt;0,"0",Elect!F51)</f>
        <v>0</v>
      </c>
      <c r="I49" s="36">
        <f>Elect!E51</f>
        <v>0</v>
      </c>
      <c r="J49" s="36">
        <f>IF(Elect!U51&lt;0,"0",Elect!U51)</f>
        <v>0</v>
      </c>
      <c r="K49" s="36">
        <f>Elect!T51</f>
        <v>0</v>
      </c>
      <c r="L49" s="36">
        <f>IF(Elect!AJ51&lt;0,"0",Elect!AJ51)</f>
        <v>0</v>
      </c>
      <c r="M49" s="36">
        <f>Elect!AI51</f>
        <v>0</v>
      </c>
      <c r="N49" s="36">
        <f>IF(Elect!X51&lt;0,"0",Elect!X51)</f>
        <v>0</v>
      </c>
      <c r="O49" s="36">
        <f>Elect!W51</f>
        <v>0</v>
      </c>
      <c r="P49" s="36">
        <f>IF(Elect!O51&lt;0,"0",Elect!O51)</f>
        <v>0</v>
      </c>
      <c r="Q49" s="36">
        <f>Elect!N51</f>
        <v>0</v>
      </c>
      <c r="R49" s="36">
        <f>IF(Elect!L51&lt;0,"0",Elect!L51)</f>
        <v>0</v>
      </c>
      <c r="S49" s="36">
        <f>Elect!K51</f>
        <v>0</v>
      </c>
      <c r="T49" s="36">
        <f>IF(Elect!R51&lt;0,"0",Elect!R51)</f>
        <v>0</v>
      </c>
      <c r="U49" s="36">
        <f>Elect!Q51</f>
        <v>0</v>
      </c>
      <c r="V49" s="36">
        <f>IF(Elect!AA51&lt;0,"0",Elect!AA51)</f>
        <v>0</v>
      </c>
      <c r="W49" s="36">
        <f>Elect!Z51</f>
        <v>0</v>
      </c>
      <c r="X49" s="36">
        <f>IF(Elect!AD51&lt;0,"0",Elect!AD51)</f>
        <v>0</v>
      </c>
      <c r="Y49" s="36">
        <f>Elect!AC51</f>
        <v>0</v>
      </c>
      <c r="Z49" s="36">
        <f>IF(Elect!AG51&lt;0,"0",Elect!AG51)</f>
        <v>0</v>
      </c>
      <c r="AA49" s="36">
        <f>Elect!AF51</f>
        <v>0</v>
      </c>
      <c r="AB49" s="36">
        <f>IF(Elect!AX51&lt;0,"0",Elect!AX51)</f>
        <v>0</v>
      </c>
      <c r="AC49" s="36">
        <f>IF(Elect!AV51&lt;0,"0",Elect!AV51)</f>
        <v>0</v>
      </c>
      <c r="AD49" s="36">
        <f>IF(Elect!AZ51&lt;0,"0",Elect!AZ51)</f>
        <v>0</v>
      </c>
      <c r="AE49" s="36">
        <f>IF(Elect!BB51&lt;0,"0",Elect!BB51)</f>
        <v>0</v>
      </c>
      <c r="AF49" s="74">
        <f>IF('Wtr-Gas'!E51&lt;0,"0",('Wtr-Gas'!E51)*0.0038)</f>
        <v>0</v>
      </c>
      <c r="AG49" s="74">
        <f>IF('Wtr-Gas'!H51&lt;0,"0",('Wtr-Gas'!H51)*0.0038)</f>
        <v>0</v>
      </c>
      <c r="AH49" s="74">
        <f>IF('Wtr-Gas'!K51&lt;0,"0",('Wtr-Gas'!K51)*0.0038)</f>
        <v>0</v>
      </c>
      <c r="AI49" s="74">
        <f>IF('Wtr-Gas'!N51&lt;0,"0",('Wtr-Gas'!N51)*0.0038)</f>
        <v>0</v>
      </c>
      <c r="AJ49" s="74">
        <f>IF('Wtr-Gas'!Q51&lt;0,"0",('Wtr-Gas'!Q51)*0.0038)</f>
        <v>0</v>
      </c>
      <c r="AK49" s="75">
        <f>IF('Wtr-Gas'!U51&lt;0,"0",('Wtr-Gas'!U51)*0.0038)</f>
        <v>0</v>
      </c>
      <c r="AL49" s="75">
        <f>IF('Wtr-Gas'!X51&lt;0,"0",('Wtr-Gas'!X51)*0.0038)</f>
        <v>0</v>
      </c>
      <c r="AM49" s="74">
        <f>IF('Wtr-Gas'!AB51&lt;0,"0",('Wtr-Gas'!AB51)*0.0038)</f>
        <v>0</v>
      </c>
      <c r="AN49" s="74">
        <f>IF('Wtr-Gas'!AD51&lt;0,"0",('Wtr-Gas'!AD51)*0.0038)</f>
        <v>0</v>
      </c>
      <c r="AO49" s="74">
        <f>IF('Wtr-Gas'!AH51&lt;0,"0",('Wtr-Gas'!AH51)*0.0038)</f>
        <v>0</v>
      </c>
      <c r="AP49" s="74">
        <f>IF('Wtr-Gas'!AJ51&lt;0,"0",('Wtr-Gas'!AJ51)*0.0038)</f>
        <v>0</v>
      </c>
      <c r="AQ49" s="74">
        <f>IF('Wtr-Gas'!AL51&lt;0,"0",('Wtr-Gas'!AL51)*0.0038)</f>
        <v>0</v>
      </c>
      <c r="AR49" s="74">
        <f>IF('Wtr-Gas'!AN51&lt;0,"0",('Wtr-Gas'!AN51)*0.0038)</f>
        <v>0</v>
      </c>
      <c r="AS49" s="74">
        <f>IF('Wtr-Gas'!AP51&lt;0,"0",('Wtr-Gas'!AP51)*0.0038)</f>
        <v>0</v>
      </c>
      <c r="AT49" s="74">
        <f>IF('Wtr-Gas'!AR51&lt;0,"0",('Wtr-Gas'!AR51)*0.0038)</f>
        <v>0</v>
      </c>
      <c r="AU49" s="87">
        <f>IF('Wtr-Gas'!AV51&lt;0,"0",('Wtr-Gas'!AV51)*0.0038)</f>
        <v>0</v>
      </c>
      <c r="AV49" s="74">
        <f>IF('Wtr-Gas'!AY51&lt;0,"0",('Wtr-Gas'!AY51)*0.0038)</f>
        <v>0</v>
      </c>
      <c r="AW49" s="74">
        <f>IF('Wtr-Gas'!BA51&lt;0,"0",('Wtr-Gas'!BA51)*0.0038)</f>
        <v>0</v>
      </c>
      <c r="AX49" s="74">
        <f>IF('Wtr-Gas'!BB51&lt;0,"0",('Wtr-Gas'!BB51)*0.0038)</f>
        <v>0</v>
      </c>
      <c r="AY49" s="74">
        <f>IF('Wtr-Gas'!BD51&lt;0,"0",('Wtr-Gas'!BD51)*0.0038)</f>
        <v>0</v>
      </c>
      <c r="AZ49" s="74">
        <f>IF('Wtr-Gas'!BF51&lt;0,"0",('Wtr-Gas'!BF51)*0.0038)</f>
        <v>0</v>
      </c>
      <c r="BA49" s="74">
        <f>IF('Wtr-Gas'!BH51&lt;0,"0",('Wtr-Gas'!BH51)*0.0038)</f>
        <v>0</v>
      </c>
    </row>
    <row r="50" spans="1:53" x14ac:dyDescent="0.25">
      <c r="A50" s="3" t="s">
        <v>11</v>
      </c>
      <c r="B50" s="72">
        <v>17</v>
      </c>
      <c r="C50" s="2">
        <v>10</v>
      </c>
      <c r="D50" s="2">
        <v>2022</v>
      </c>
      <c r="E50" s="36">
        <f>IF(Elect!AL52&lt;0,"0",Elect!AL52)</f>
        <v>0</v>
      </c>
      <c r="F50" s="36">
        <f>IF(Elect!I52&lt;0,"0",Elect!I52)</f>
        <v>0</v>
      </c>
      <c r="G50" s="36">
        <f>Elect!H52</f>
        <v>0</v>
      </c>
      <c r="H50" s="36">
        <f>IF(Elect!F52&lt;0,"0",Elect!F52)</f>
        <v>0</v>
      </c>
      <c r="I50" s="36">
        <f>Elect!E52</f>
        <v>0</v>
      </c>
      <c r="J50" s="36">
        <f>IF(Elect!U52&lt;0,"0",Elect!U52)</f>
        <v>0</v>
      </c>
      <c r="K50" s="36">
        <f>Elect!T52</f>
        <v>0</v>
      </c>
      <c r="L50" s="36">
        <f>IF(Elect!AJ52&lt;0,"0",Elect!AJ52)</f>
        <v>0</v>
      </c>
      <c r="M50" s="36">
        <f>Elect!AI52</f>
        <v>0</v>
      </c>
      <c r="N50" s="36">
        <f>IF(Elect!X52&lt;0,"0",Elect!X52)</f>
        <v>0</v>
      </c>
      <c r="O50" s="36">
        <f>Elect!W52</f>
        <v>0</v>
      </c>
      <c r="P50" s="36">
        <f>IF(Elect!O52&lt;0,"0",Elect!O52)</f>
        <v>0</v>
      </c>
      <c r="Q50" s="36">
        <f>Elect!N52</f>
        <v>0</v>
      </c>
      <c r="R50" s="36">
        <f>IF(Elect!L52&lt;0,"0",Elect!L52)</f>
        <v>0</v>
      </c>
      <c r="S50" s="36">
        <f>Elect!K52</f>
        <v>0</v>
      </c>
      <c r="T50" s="36">
        <f>IF(Elect!R52&lt;0,"0",Elect!R52)</f>
        <v>0</v>
      </c>
      <c r="U50" s="36">
        <f>Elect!Q52</f>
        <v>0</v>
      </c>
      <c r="V50" s="36">
        <f>IF(Elect!AA52&lt;0,"0",Elect!AA52)</f>
        <v>0</v>
      </c>
      <c r="W50" s="36">
        <f>Elect!Z52</f>
        <v>0</v>
      </c>
      <c r="X50" s="36">
        <f>IF(Elect!AD52&lt;0,"0",Elect!AD52)</f>
        <v>0</v>
      </c>
      <c r="Y50" s="36">
        <f>Elect!AC52</f>
        <v>0</v>
      </c>
      <c r="Z50" s="36">
        <f>IF(Elect!AG52&lt;0,"0",Elect!AG52)</f>
        <v>0</v>
      </c>
      <c r="AA50" s="36">
        <f>Elect!AF52</f>
        <v>0</v>
      </c>
      <c r="AB50" s="36">
        <f>IF(Elect!AX52&lt;0,"0",Elect!AX52)</f>
        <v>0</v>
      </c>
      <c r="AC50" s="36">
        <f>IF(Elect!AV52&lt;0,"0",Elect!AV52)</f>
        <v>0</v>
      </c>
      <c r="AD50" s="36">
        <f>IF(Elect!AZ52&lt;0,"0",Elect!AZ52)</f>
        <v>0</v>
      </c>
      <c r="AE50" s="36">
        <f>IF(Elect!BB52&lt;0,"0",Elect!BB52)</f>
        <v>0</v>
      </c>
      <c r="AF50" s="74">
        <f>IF('Wtr-Gas'!E52&lt;0,"0",('Wtr-Gas'!E52)*0.0038)</f>
        <v>0</v>
      </c>
      <c r="AG50" s="74">
        <f>IF('Wtr-Gas'!H52&lt;0,"0",('Wtr-Gas'!H52)*0.0038)</f>
        <v>0</v>
      </c>
      <c r="AH50" s="74">
        <f>IF('Wtr-Gas'!K52&lt;0,"0",('Wtr-Gas'!K52)*0.0038)</f>
        <v>0</v>
      </c>
      <c r="AI50" s="74">
        <f>IF('Wtr-Gas'!N52&lt;0,"0",('Wtr-Gas'!N52)*0.0038)</f>
        <v>0</v>
      </c>
      <c r="AJ50" s="74">
        <f>IF('Wtr-Gas'!Q52&lt;0,"0",('Wtr-Gas'!Q52)*0.0038)</f>
        <v>0</v>
      </c>
      <c r="AK50" s="75">
        <f>IF('Wtr-Gas'!U52&lt;0,"0",('Wtr-Gas'!U52)*0.0038)</f>
        <v>0</v>
      </c>
      <c r="AL50" s="75">
        <f>IF('Wtr-Gas'!X52&lt;0,"0",('Wtr-Gas'!X52)*0.0038)</f>
        <v>0</v>
      </c>
      <c r="AM50" s="74">
        <f>IF('Wtr-Gas'!AB52&lt;0,"0",('Wtr-Gas'!AB52)*0.0038)</f>
        <v>0</v>
      </c>
      <c r="AN50" s="74">
        <f>IF('Wtr-Gas'!AD52&lt;0,"0",('Wtr-Gas'!AD52)*0.0038)</f>
        <v>0</v>
      </c>
      <c r="AO50" s="74">
        <f>IF('Wtr-Gas'!AH52&lt;0,"0",('Wtr-Gas'!AH52)*0.0038)</f>
        <v>0</v>
      </c>
      <c r="AP50" s="74">
        <f>IF('Wtr-Gas'!AJ52&lt;0,"0",('Wtr-Gas'!AJ52)*0.0038)</f>
        <v>0</v>
      </c>
      <c r="AQ50" s="74">
        <f>IF('Wtr-Gas'!AL52&lt;0,"0",('Wtr-Gas'!AL52)*0.0038)</f>
        <v>0</v>
      </c>
      <c r="AR50" s="74">
        <f>IF('Wtr-Gas'!AN52&lt;0,"0",('Wtr-Gas'!AN52)*0.0038)</f>
        <v>0</v>
      </c>
      <c r="AS50" s="74">
        <f>IF('Wtr-Gas'!AP52&lt;0,"0",('Wtr-Gas'!AP52)*0.0038)</f>
        <v>0</v>
      </c>
      <c r="AT50" s="74">
        <f>IF('Wtr-Gas'!AR52&lt;0,"0",('Wtr-Gas'!AR52)*0.0038)</f>
        <v>0</v>
      </c>
      <c r="AU50" s="87">
        <f>IF('Wtr-Gas'!AV52&lt;0,"0",('Wtr-Gas'!AV52)*0.0038)</f>
        <v>0</v>
      </c>
      <c r="AV50" s="74">
        <f>IF('Wtr-Gas'!AY52&lt;0,"0",('Wtr-Gas'!AY52)*0.0038)</f>
        <v>0</v>
      </c>
      <c r="AW50" s="74">
        <f>IF('Wtr-Gas'!BA52&lt;0,"0",('Wtr-Gas'!BA52)*0.0038)</f>
        <v>0</v>
      </c>
      <c r="AX50" s="74">
        <f>IF('Wtr-Gas'!BB52&lt;0,"0",('Wtr-Gas'!BB52)*0.0038)</f>
        <v>0</v>
      </c>
      <c r="AY50" s="74">
        <f>IF('Wtr-Gas'!BD52&lt;0,"0",('Wtr-Gas'!BD52)*0.0038)</f>
        <v>0</v>
      </c>
      <c r="AZ50" s="74">
        <f>IF('Wtr-Gas'!BF52&lt;0,"0",('Wtr-Gas'!BF52)*0.0038)</f>
        <v>0</v>
      </c>
      <c r="BA50" s="74">
        <f>IF('Wtr-Gas'!BH52&lt;0,"0",('Wtr-Gas'!BH52)*0.0038)</f>
        <v>0</v>
      </c>
    </row>
    <row r="51" spans="1:53" x14ac:dyDescent="0.25">
      <c r="A51" s="3" t="s">
        <v>11</v>
      </c>
      <c r="B51" s="72">
        <v>24</v>
      </c>
      <c r="C51" s="2">
        <v>10</v>
      </c>
      <c r="D51" s="2">
        <v>2022</v>
      </c>
      <c r="E51" s="36">
        <f>IF(Elect!AL53&lt;0,"0",Elect!AL53)</f>
        <v>0</v>
      </c>
      <c r="F51" s="36">
        <f>IF(Elect!I53&lt;0,"0",Elect!I53)</f>
        <v>0</v>
      </c>
      <c r="G51" s="36">
        <f>Elect!H53</f>
        <v>0</v>
      </c>
      <c r="H51" s="36">
        <f>IF(Elect!F53&lt;0,"0",Elect!F53)</f>
        <v>0</v>
      </c>
      <c r="I51" s="36">
        <f>Elect!E53</f>
        <v>0</v>
      </c>
      <c r="J51" s="36">
        <f>IF(Elect!U53&lt;0,"0",Elect!U53)</f>
        <v>0</v>
      </c>
      <c r="K51" s="36">
        <f>Elect!T53</f>
        <v>0</v>
      </c>
      <c r="L51" s="36">
        <f>IF(Elect!AJ53&lt;0,"0",Elect!AJ53)</f>
        <v>0</v>
      </c>
      <c r="M51" s="36">
        <f>Elect!AI53</f>
        <v>0</v>
      </c>
      <c r="N51" s="36">
        <f>IF(Elect!X53&lt;0,"0",Elect!X53)</f>
        <v>0</v>
      </c>
      <c r="O51" s="36">
        <f>Elect!W53</f>
        <v>0</v>
      </c>
      <c r="P51" s="36">
        <f>IF(Elect!O53&lt;0,"0",Elect!O53)</f>
        <v>0</v>
      </c>
      <c r="Q51" s="36">
        <f>Elect!N53</f>
        <v>0</v>
      </c>
      <c r="R51" s="36">
        <f>IF(Elect!L53&lt;0,"0",Elect!L53)</f>
        <v>0</v>
      </c>
      <c r="S51" s="36">
        <f>Elect!K53</f>
        <v>0</v>
      </c>
      <c r="T51" s="36">
        <f>IF(Elect!R53&lt;0,"0",Elect!R53)</f>
        <v>0</v>
      </c>
      <c r="U51" s="36">
        <f>Elect!Q53</f>
        <v>0</v>
      </c>
      <c r="V51" s="36">
        <f>IF(Elect!AA53&lt;0,"0",Elect!AA53)</f>
        <v>0</v>
      </c>
      <c r="W51" s="36">
        <f>Elect!Z53</f>
        <v>0</v>
      </c>
      <c r="X51" s="36">
        <f>IF(Elect!AD53&lt;0,"0",Elect!AD53)</f>
        <v>0</v>
      </c>
      <c r="Y51" s="36">
        <f>Elect!AC53</f>
        <v>0</v>
      </c>
      <c r="Z51" s="36">
        <f>IF(Elect!AG53&lt;0,"0",Elect!AG53)</f>
        <v>0</v>
      </c>
      <c r="AA51" s="36">
        <f>Elect!AF53</f>
        <v>0</v>
      </c>
      <c r="AB51" s="36">
        <f>IF(Elect!AX53&lt;0,"0",Elect!AX53)</f>
        <v>0</v>
      </c>
      <c r="AC51" s="36">
        <f>IF(Elect!AV53&lt;0,"0",Elect!AV53)</f>
        <v>0</v>
      </c>
      <c r="AD51" s="36">
        <f>IF(Elect!AZ53&lt;0,"0",Elect!AZ53)</f>
        <v>0</v>
      </c>
      <c r="AE51" s="36">
        <f>IF(Elect!BB53&lt;0,"0",Elect!BB53)</f>
        <v>0</v>
      </c>
      <c r="AF51" s="74">
        <f>IF('Wtr-Gas'!E53&lt;0,"0",('Wtr-Gas'!E53)*0.0038)</f>
        <v>0</v>
      </c>
      <c r="AG51" s="74">
        <f>IF('Wtr-Gas'!H53&lt;0,"0",('Wtr-Gas'!H53)*0.0038)</f>
        <v>0</v>
      </c>
      <c r="AH51" s="74">
        <f>IF('Wtr-Gas'!K53&lt;0,"0",('Wtr-Gas'!K53)*0.0038)</f>
        <v>0</v>
      </c>
      <c r="AI51" s="74">
        <f>IF('Wtr-Gas'!N53&lt;0,"0",('Wtr-Gas'!N53)*0.0038)</f>
        <v>0</v>
      </c>
      <c r="AJ51" s="74">
        <f>IF('Wtr-Gas'!Q53&lt;0,"0",('Wtr-Gas'!Q53)*0.0038)</f>
        <v>0</v>
      </c>
      <c r="AK51" s="75">
        <f>IF('Wtr-Gas'!U53&lt;0,"0",('Wtr-Gas'!U53)*0.0038)</f>
        <v>0</v>
      </c>
      <c r="AL51" s="75">
        <f>IF('Wtr-Gas'!X53&lt;0,"0",('Wtr-Gas'!X53)*0.0038)</f>
        <v>0</v>
      </c>
      <c r="AM51" s="74">
        <f>IF('Wtr-Gas'!AB53&lt;0,"0",('Wtr-Gas'!AB53)*0.0038)</f>
        <v>0</v>
      </c>
      <c r="AN51" s="74">
        <f>IF('Wtr-Gas'!AD53&lt;0,"0",('Wtr-Gas'!AD53)*0.0038)</f>
        <v>0</v>
      </c>
      <c r="AO51" s="74">
        <f>IF('Wtr-Gas'!AH53&lt;0,"0",('Wtr-Gas'!AH53)*0.0038)</f>
        <v>0</v>
      </c>
      <c r="AP51" s="74">
        <f>IF('Wtr-Gas'!AJ53&lt;0,"0",('Wtr-Gas'!AJ53)*0.0038)</f>
        <v>0</v>
      </c>
      <c r="AQ51" s="74">
        <f>IF('Wtr-Gas'!AL53&lt;0,"0",('Wtr-Gas'!AL53)*0.0038)</f>
        <v>0</v>
      </c>
      <c r="AR51" s="74">
        <f>IF('Wtr-Gas'!AN53&lt;0,"0",('Wtr-Gas'!AN53)*0.0038)</f>
        <v>0</v>
      </c>
      <c r="AS51" s="74">
        <f>IF('Wtr-Gas'!AP53&lt;0,"0",('Wtr-Gas'!AP53)*0.0038)</f>
        <v>0</v>
      </c>
      <c r="AT51" s="74">
        <f>IF('Wtr-Gas'!AR53&lt;0,"0",('Wtr-Gas'!AR53)*0.0038)</f>
        <v>0</v>
      </c>
      <c r="AU51" s="87">
        <f>IF('Wtr-Gas'!AV53&lt;0,"0",('Wtr-Gas'!AV53)*0.0038)</f>
        <v>0</v>
      </c>
      <c r="AV51" s="74">
        <f>IF('Wtr-Gas'!AY53&lt;0,"0",('Wtr-Gas'!AY53)*0.0038)</f>
        <v>0</v>
      </c>
      <c r="AW51" s="74">
        <f>IF('Wtr-Gas'!BA53&lt;0,"0",('Wtr-Gas'!BA53)*0.0038)</f>
        <v>0</v>
      </c>
      <c r="AX51" s="74">
        <f>IF('Wtr-Gas'!BB53&lt;0,"0",('Wtr-Gas'!BB53)*0.0038)</f>
        <v>0</v>
      </c>
      <c r="AY51" s="74">
        <f>IF('Wtr-Gas'!BD53&lt;0,"0",('Wtr-Gas'!BD53)*0.0038)</f>
        <v>0</v>
      </c>
      <c r="AZ51" s="74">
        <f>IF('Wtr-Gas'!BF53&lt;0,"0",('Wtr-Gas'!BF53)*0.0038)</f>
        <v>0</v>
      </c>
      <c r="BA51" s="74">
        <f>IF('Wtr-Gas'!BH53&lt;0,"0",('Wtr-Gas'!BH53)*0.0038)</f>
        <v>0</v>
      </c>
    </row>
    <row r="52" spans="1:53" x14ac:dyDescent="0.25">
      <c r="A52" s="3" t="s">
        <v>11</v>
      </c>
      <c r="B52" s="72">
        <v>31</v>
      </c>
      <c r="C52" s="2">
        <v>10</v>
      </c>
      <c r="D52" s="2">
        <v>2022</v>
      </c>
      <c r="E52" s="36">
        <f>IF(Elect!AL54&lt;0,"0",Elect!AL54)</f>
        <v>0</v>
      </c>
      <c r="F52" s="36">
        <f>IF(Elect!I54&lt;0,"0",Elect!I54)</f>
        <v>0</v>
      </c>
      <c r="G52" s="36">
        <f>Elect!H54</f>
        <v>0</v>
      </c>
      <c r="H52" s="36">
        <f>IF(Elect!F54&lt;0,"0",Elect!F54)</f>
        <v>0</v>
      </c>
      <c r="I52" s="36">
        <f>Elect!E54</f>
        <v>0</v>
      </c>
      <c r="J52" s="36">
        <f>IF(Elect!U54&lt;0,"0",Elect!U54)</f>
        <v>0</v>
      </c>
      <c r="K52" s="36">
        <f>Elect!T54</f>
        <v>0</v>
      </c>
      <c r="L52" s="36">
        <f>IF(Elect!AJ54&lt;0,"0",Elect!AJ54)</f>
        <v>0</v>
      </c>
      <c r="M52" s="36">
        <f>Elect!AI54</f>
        <v>0</v>
      </c>
      <c r="N52" s="36">
        <f>IF(Elect!X54&lt;0,"0",Elect!X54)</f>
        <v>0</v>
      </c>
      <c r="O52" s="36">
        <f>Elect!W54</f>
        <v>0</v>
      </c>
      <c r="P52" s="36">
        <f>IF(Elect!O54&lt;0,"0",Elect!O54)</f>
        <v>0</v>
      </c>
      <c r="Q52" s="36">
        <f>Elect!N54</f>
        <v>0</v>
      </c>
      <c r="R52" s="36">
        <f>IF(Elect!L54&lt;0,"0",Elect!L54)</f>
        <v>0</v>
      </c>
      <c r="S52" s="36">
        <f>Elect!K54</f>
        <v>0</v>
      </c>
      <c r="T52" s="36">
        <f>IF(Elect!R54&lt;0,"0",Elect!R54)</f>
        <v>0</v>
      </c>
      <c r="U52" s="36">
        <f>Elect!Q54</f>
        <v>0</v>
      </c>
      <c r="V52" s="36">
        <f>IF(Elect!AA54&lt;0,"0",Elect!AA54)</f>
        <v>0</v>
      </c>
      <c r="W52" s="36">
        <f>Elect!Z54</f>
        <v>0</v>
      </c>
      <c r="X52" s="36">
        <f>IF(Elect!AD54&lt;0,"0",Elect!AD54)</f>
        <v>0</v>
      </c>
      <c r="Y52" s="36">
        <f>Elect!AC54</f>
        <v>0</v>
      </c>
      <c r="Z52" s="36">
        <f>IF(Elect!AG54&lt;0,"0",Elect!AG54)</f>
        <v>0</v>
      </c>
      <c r="AA52" s="36">
        <f>Elect!AF54</f>
        <v>0</v>
      </c>
      <c r="AB52" s="36">
        <f>IF(Elect!AX54&lt;0,"0",Elect!AX54)</f>
        <v>0</v>
      </c>
      <c r="AC52" s="36">
        <f>IF(Elect!AV54&lt;0,"0",Elect!AV54)</f>
        <v>0</v>
      </c>
      <c r="AD52" s="36">
        <f>IF(Elect!AZ54&lt;0,"0",Elect!AZ54)</f>
        <v>0</v>
      </c>
      <c r="AE52" s="36">
        <f>IF(Elect!BB54&lt;0,"0",Elect!BB54)</f>
        <v>0</v>
      </c>
      <c r="AF52" s="74">
        <f>IF('Wtr-Gas'!E54&lt;0,"0",('Wtr-Gas'!E54)*0.0038)</f>
        <v>0</v>
      </c>
      <c r="AG52" s="74">
        <f>IF('Wtr-Gas'!H54&lt;0,"0",('Wtr-Gas'!H54)*0.0038)</f>
        <v>0</v>
      </c>
      <c r="AH52" s="74">
        <f>IF('Wtr-Gas'!K54&lt;0,"0",('Wtr-Gas'!K54)*0.0038)</f>
        <v>0</v>
      </c>
      <c r="AI52" s="74">
        <f>IF('Wtr-Gas'!N54&lt;0,"0",('Wtr-Gas'!N54)*0.0038)</f>
        <v>0</v>
      </c>
      <c r="AJ52" s="74">
        <f>IF('Wtr-Gas'!Q54&lt;0,"0",('Wtr-Gas'!Q54)*0.0038)</f>
        <v>0</v>
      </c>
      <c r="AK52" s="75">
        <f>IF('Wtr-Gas'!U54&lt;0,"0",('Wtr-Gas'!U54)*0.0038)</f>
        <v>0</v>
      </c>
      <c r="AL52" s="75">
        <f>IF('Wtr-Gas'!X54&lt;0,"0",('Wtr-Gas'!X54)*0.0038)</f>
        <v>0</v>
      </c>
      <c r="AM52" s="74">
        <f>IF('Wtr-Gas'!AB54&lt;0,"0",('Wtr-Gas'!AB54)*0.0038)</f>
        <v>0</v>
      </c>
      <c r="AN52" s="74">
        <f>IF('Wtr-Gas'!AD54&lt;0,"0",('Wtr-Gas'!AD54)*0.0038)</f>
        <v>0</v>
      </c>
      <c r="AO52" s="74">
        <f>IF('Wtr-Gas'!AH54&lt;0,"0",('Wtr-Gas'!AH54)*0.0038)</f>
        <v>0</v>
      </c>
      <c r="AP52" s="74">
        <f>IF('Wtr-Gas'!AJ54&lt;0,"0",('Wtr-Gas'!AJ54)*0.0038)</f>
        <v>0</v>
      </c>
      <c r="AQ52" s="74">
        <f>IF('Wtr-Gas'!AL54&lt;0,"0",('Wtr-Gas'!AL54)*0.0038)</f>
        <v>0</v>
      </c>
      <c r="AR52" s="74">
        <f>IF('Wtr-Gas'!AN54&lt;0,"0",('Wtr-Gas'!AN54)*0.0038)</f>
        <v>0</v>
      </c>
      <c r="AS52" s="74">
        <f>IF('Wtr-Gas'!AP54&lt;0,"0",('Wtr-Gas'!AP54)*0.0038)</f>
        <v>0</v>
      </c>
      <c r="AT52" s="74">
        <f>IF('Wtr-Gas'!AR54&lt;0,"0",('Wtr-Gas'!AR54)*0.0038)</f>
        <v>0</v>
      </c>
      <c r="AU52" s="87">
        <f>IF('Wtr-Gas'!AV54&lt;0,"0",('Wtr-Gas'!AV54)*0.0038)</f>
        <v>0</v>
      </c>
      <c r="AV52" s="74">
        <f>IF('Wtr-Gas'!AY54&lt;0,"0",('Wtr-Gas'!AY54)*0.0038)</f>
        <v>0</v>
      </c>
      <c r="AW52" s="74">
        <f>IF('Wtr-Gas'!BA54&lt;0,"0",('Wtr-Gas'!BA54)*0.0038)</f>
        <v>0</v>
      </c>
      <c r="AX52" s="74">
        <f>IF('Wtr-Gas'!BB54&lt;0,"0",('Wtr-Gas'!BB54)*0.0038)</f>
        <v>0</v>
      </c>
      <c r="AY52" s="74">
        <f>IF('Wtr-Gas'!BD54&lt;0,"0",('Wtr-Gas'!BD54)*0.0038)</f>
        <v>0</v>
      </c>
      <c r="AZ52" s="74">
        <f>IF('Wtr-Gas'!BF54&lt;0,"0",('Wtr-Gas'!BF54)*0.0038)</f>
        <v>0</v>
      </c>
      <c r="BA52" s="74">
        <f>IF('Wtr-Gas'!BH54&lt;0,"0",('Wtr-Gas'!BH54)*0.0038)</f>
        <v>0</v>
      </c>
    </row>
    <row r="53" spans="1:53" x14ac:dyDescent="0.25">
      <c r="A53" s="3" t="s">
        <v>11</v>
      </c>
      <c r="B53" s="72">
        <v>7</v>
      </c>
      <c r="C53" s="2">
        <v>11</v>
      </c>
      <c r="D53" s="2">
        <v>2022</v>
      </c>
      <c r="E53" s="36">
        <f>IF(Elect!AL55&lt;0,"0",Elect!AL55)</f>
        <v>0</v>
      </c>
      <c r="F53" s="36">
        <f>IF(Elect!I55&lt;0,"0",Elect!I55)</f>
        <v>0</v>
      </c>
      <c r="G53" s="36">
        <f>Elect!H55</f>
        <v>0</v>
      </c>
      <c r="H53" s="36">
        <f>IF(Elect!F55&lt;0,"0",Elect!F55)</f>
        <v>0</v>
      </c>
      <c r="I53" s="36">
        <f>Elect!E55</f>
        <v>0</v>
      </c>
      <c r="J53" s="36">
        <f>IF(Elect!U55&lt;0,"0",Elect!U55)</f>
        <v>0</v>
      </c>
      <c r="K53" s="36">
        <f>Elect!T55</f>
        <v>0</v>
      </c>
      <c r="L53" s="36">
        <f>IF(Elect!AJ55&lt;0,"0",Elect!AJ55)</f>
        <v>0</v>
      </c>
      <c r="M53" s="36">
        <f>Elect!AI55</f>
        <v>0</v>
      </c>
      <c r="N53" s="36">
        <f>IF(Elect!X55&lt;0,"0",Elect!X55)</f>
        <v>0</v>
      </c>
      <c r="O53" s="36">
        <f>Elect!W55</f>
        <v>0</v>
      </c>
      <c r="P53" s="36">
        <f>IF(Elect!O55&lt;0,"0",Elect!O55)</f>
        <v>0</v>
      </c>
      <c r="Q53" s="36">
        <f>Elect!N55</f>
        <v>0</v>
      </c>
      <c r="R53" s="36">
        <f>IF(Elect!L55&lt;0,"0",Elect!L55)</f>
        <v>0</v>
      </c>
      <c r="S53" s="36">
        <f>Elect!K55</f>
        <v>0</v>
      </c>
      <c r="T53" s="36">
        <f>IF(Elect!R55&lt;0,"0",Elect!R55)</f>
        <v>0</v>
      </c>
      <c r="U53" s="36">
        <f>Elect!Q55</f>
        <v>0</v>
      </c>
      <c r="V53" s="36">
        <f>IF(Elect!AA55&lt;0,"0",Elect!AA55)</f>
        <v>0</v>
      </c>
      <c r="W53" s="36">
        <f>Elect!Z55</f>
        <v>0</v>
      </c>
      <c r="X53" s="36">
        <f>IF(Elect!AD55&lt;0,"0",Elect!AD55)</f>
        <v>0</v>
      </c>
      <c r="Y53" s="36">
        <f>Elect!AC55</f>
        <v>0</v>
      </c>
      <c r="Z53" s="36">
        <f>IF(Elect!AG55&lt;0,"0",Elect!AG55)</f>
        <v>0</v>
      </c>
      <c r="AA53" s="36">
        <f>Elect!AF55</f>
        <v>0</v>
      </c>
      <c r="AB53" s="36">
        <f>IF(Elect!AX55&lt;0,"0",Elect!AX55)</f>
        <v>0</v>
      </c>
      <c r="AC53" s="36">
        <f>IF(Elect!AV55&lt;0,"0",Elect!AV55)</f>
        <v>0</v>
      </c>
      <c r="AD53" s="36">
        <f>IF(Elect!AZ55&lt;0,"0",Elect!AZ55)</f>
        <v>0</v>
      </c>
      <c r="AE53" s="36">
        <f>IF(Elect!BB55&lt;0,"0",Elect!BB55)</f>
        <v>0</v>
      </c>
      <c r="AF53" s="74">
        <f>IF('Wtr-Gas'!E55&lt;0,"0",('Wtr-Gas'!E55)*0.0038)</f>
        <v>0</v>
      </c>
      <c r="AG53" s="74">
        <f>IF('Wtr-Gas'!H55&lt;0,"0",('Wtr-Gas'!H55)*0.0038)</f>
        <v>0</v>
      </c>
      <c r="AH53" s="74">
        <f>IF('Wtr-Gas'!K55&lt;0,"0",('Wtr-Gas'!K55)*0.0038)</f>
        <v>0</v>
      </c>
      <c r="AI53" s="74">
        <f>IF('Wtr-Gas'!N55&lt;0,"0",('Wtr-Gas'!N55)*0.0038)</f>
        <v>0</v>
      </c>
      <c r="AJ53" s="74">
        <f>IF('Wtr-Gas'!Q55&lt;0,"0",('Wtr-Gas'!Q55)*0.0038)</f>
        <v>0</v>
      </c>
      <c r="AK53" s="75">
        <f>IF('Wtr-Gas'!U55&lt;0,"0",('Wtr-Gas'!U55)*0.0038)</f>
        <v>0</v>
      </c>
      <c r="AL53" s="75">
        <f>IF('Wtr-Gas'!X55&lt;0,"0",('Wtr-Gas'!X55)*0.0038)</f>
        <v>0</v>
      </c>
      <c r="AM53" s="74">
        <f>IF('Wtr-Gas'!AB55&lt;0,"0",('Wtr-Gas'!AB55)*0.0038)</f>
        <v>0</v>
      </c>
      <c r="AN53" s="74">
        <f>IF('Wtr-Gas'!AD55&lt;0,"0",('Wtr-Gas'!AD55)*0.0038)</f>
        <v>0</v>
      </c>
      <c r="AO53" s="74">
        <f>IF('Wtr-Gas'!AH55&lt;0,"0",('Wtr-Gas'!AH55)*0.0038)</f>
        <v>0</v>
      </c>
      <c r="AP53" s="74">
        <f>IF('Wtr-Gas'!AJ55&lt;0,"0",('Wtr-Gas'!AJ55)*0.0038)</f>
        <v>0</v>
      </c>
      <c r="AQ53" s="74">
        <f>IF('Wtr-Gas'!AL55&lt;0,"0",('Wtr-Gas'!AL55)*0.0038)</f>
        <v>0</v>
      </c>
      <c r="AR53" s="74">
        <f>IF('Wtr-Gas'!AN55&lt;0,"0",('Wtr-Gas'!AN55)*0.0038)</f>
        <v>0</v>
      </c>
      <c r="AS53" s="74">
        <f>IF('Wtr-Gas'!AP55&lt;0,"0",('Wtr-Gas'!AP55)*0.0038)</f>
        <v>0</v>
      </c>
      <c r="AT53" s="74">
        <f>IF('Wtr-Gas'!AR55&lt;0,"0",('Wtr-Gas'!AR55)*0.0038)</f>
        <v>0</v>
      </c>
      <c r="AU53" s="87">
        <f>IF('Wtr-Gas'!AV55&lt;0,"0",('Wtr-Gas'!AV55)*0.0038)</f>
        <v>0</v>
      </c>
      <c r="AV53" s="74">
        <f>IF('Wtr-Gas'!AY55&lt;0,"0",('Wtr-Gas'!AY55)*0.0038)</f>
        <v>0</v>
      </c>
      <c r="AW53" s="74">
        <f>IF('Wtr-Gas'!BA55&lt;0,"0",('Wtr-Gas'!BA55)*0.0038)</f>
        <v>0</v>
      </c>
      <c r="AX53" s="74">
        <f>IF('Wtr-Gas'!BB55&lt;0,"0",('Wtr-Gas'!BB55)*0.0038)</f>
        <v>0</v>
      </c>
      <c r="AY53" s="74">
        <f>IF('Wtr-Gas'!BD55&lt;0,"0",('Wtr-Gas'!BD55)*0.0038)</f>
        <v>0</v>
      </c>
      <c r="AZ53" s="74">
        <f>IF('Wtr-Gas'!BF55&lt;0,"0",('Wtr-Gas'!BF55)*0.0038)</f>
        <v>0</v>
      </c>
      <c r="BA53" s="74">
        <f>IF('Wtr-Gas'!BH55&lt;0,"0",('Wtr-Gas'!BH55)*0.0038)</f>
        <v>0</v>
      </c>
    </row>
    <row r="54" spans="1:53" x14ac:dyDescent="0.25">
      <c r="A54" s="3" t="s">
        <v>11</v>
      </c>
      <c r="B54" s="72">
        <v>14</v>
      </c>
      <c r="C54" s="2">
        <v>11</v>
      </c>
      <c r="D54" s="2">
        <v>2022</v>
      </c>
      <c r="E54" s="36">
        <f>IF(Elect!AL56&lt;0,"0",Elect!AL56)</f>
        <v>0</v>
      </c>
      <c r="F54" s="36">
        <f>IF(Elect!I56&lt;0,"0",Elect!I56)</f>
        <v>0</v>
      </c>
      <c r="G54" s="36">
        <f>Elect!H56</f>
        <v>0</v>
      </c>
      <c r="H54" s="36">
        <f>IF(Elect!F56&lt;0,"0",Elect!F56)</f>
        <v>0</v>
      </c>
      <c r="I54" s="36">
        <f>Elect!E56</f>
        <v>0</v>
      </c>
      <c r="J54" s="36">
        <f>IF(Elect!U56&lt;0,"0",Elect!U56)</f>
        <v>0</v>
      </c>
      <c r="K54" s="36">
        <f>Elect!T56</f>
        <v>0</v>
      </c>
      <c r="L54" s="36">
        <f>IF(Elect!AJ56&lt;0,"0",Elect!AJ56)</f>
        <v>0</v>
      </c>
      <c r="M54" s="36">
        <f>Elect!AI56</f>
        <v>0</v>
      </c>
      <c r="N54" s="36">
        <f>IF(Elect!X56&lt;0,"0",Elect!X56)</f>
        <v>0</v>
      </c>
      <c r="O54" s="36">
        <f>Elect!W56</f>
        <v>0</v>
      </c>
      <c r="P54" s="36">
        <f>IF(Elect!O56&lt;0,"0",Elect!O56)</f>
        <v>0</v>
      </c>
      <c r="Q54" s="36">
        <f>Elect!N56</f>
        <v>0</v>
      </c>
      <c r="R54" s="36">
        <f>IF(Elect!L56&lt;0,"0",Elect!L56)</f>
        <v>0</v>
      </c>
      <c r="S54" s="36">
        <f>Elect!K56</f>
        <v>0</v>
      </c>
      <c r="T54" s="36">
        <f>IF(Elect!R56&lt;0,"0",Elect!R56)</f>
        <v>0</v>
      </c>
      <c r="U54" s="36">
        <f>Elect!Q56</f>
        <v>0</v>
      </c>
      <c r="V54" s="36">
        <f>IF(Elect!AA56&lt;0,"0",Elect!AA56)</f>
        <v>0</v>
      </c>
      <c r="W54" s="36">
        <f>Elect!Z56</f>
        <v>0</v>
      </c>
      <c r="X54" s="36">
        <f>IF(Elect!AD56&lt;0,"0",Elect!AD56)</f>
        <v>0</v>
      </c>
      <c r="Y54" s="36">
        <f>Elect!AC56</f>
        <v>0</v>
      </c>
      <c r="Z54" s="36">
        <f>IF(Elect!AG56&lt;0,"0",Elect!AG56)</f>
        <v>0</v>
      </c>
      <c r="AA54" s="36">
        <f>Elect!AF56</f>
        <v>0</v>
      </c>
      <c r="AB54" s="36">
        <f>IF(Elect!AX56&lt;0,"0",Elect!AX56)</f>
        <v>0</v>
      </c>
      <c r="AC54" s="36">
        <f>IF(Elect!AV56&lt;0,"0",Elect!AV56)</f>
        <v>0</v>
      </c>
      <c r="AD54" s="36">
        <f>IF(Elect!AZ56&lt;0,"0",Elect!AZ56)</f>
        <v>0</v>
      </c>
      <c r="AE54" s="36">
        <f>IF(Elect!BB56&lt;0,"0",Elect!BB56)</f>
        <v>0</v>
      </c>
      <c r="AF54" s="74">
        <f>IF('Wtr-Gas'!E56&lt;0,"0",('Wtr-Gas'!E56)*0.0038)</f>
        <v>0</v>
      </c>
      <c r="AG54" s="74">
        <f>IF('Wtr-Gas'!H56&lt;0,"0",('Wtr-Gas'!H56)*0.0038)</f>
        <v>0</v>
      </c>
      <c r="AH54" s="74">
        <f>IF('Wtr-Gas'!K56&lt;0,"0",('Wtr-Gas'!K56)*0.0038)</f>
        <v>0</v>
      </c>
      <c r="AI54" s="74">
        <f>IF('Wtr-Gas'!N56&lt;0,"0",('Wtr-Gas'!N56)*0.0038)</f>
        <v>0</v>
      </c>
      <c r="AJ54" s="74">
        <f>IF('Wtr-Gas'!Q56&lt;0,"0",('Wtr-Gas'!Q56)*0.0038)</f>
        <v>0</v>
      </c>
      <c r="AK54" s="75">
        <f>IF('Wtr-Gas'!U56&lt;0,"0",('Wtr-Gas'!U56)*0.0038)</f>
        <v>0</v>
      </c>
      <c r="AL54" s="75">
        <f>IF('Wtr-Gas'!X56&lt;0,"0",('Wtr-Gas'!X56)*0.0038)</f>
        <v>0</v>
      </c>
      <c r="AM54" s="74">
        <f>IF('Wtr-Gas'!AB56&lt;0,"0",('Wtr-Gas'!AB56)*0.0038)</f>
        <v>0</v>
      </c>
      <c r="AN54" s="74">
        <f>IF('Wtr-Gas'!AD56&lt;0,"0",('Wtr-Gas'!AD56)*0.0038)</f>
        <v>0</v>
      </c>
      <c r="AO54" s="74">
        <f>IF('Wtr-Gas'!AH56&lt;0,"0",('Wtr-Gas'!AH56)*0.0038)</f>
        <v>0</v>
      </c>
      <c r="AP54" s="74">
        <f>IF('Wtr-Gas'!AJ56&lt;0,"0",('Wtr-Gas'!AJ56)*0.0038)</f>
        <v>0</v>
      </c>
      <c r="AQ54" s="74">
        <f>IF('Wtr-Gas'!AL56&lt;0,"0",('Wtr-Gas'!AL56)*0.0038)</f>
        <v>0</v>
      </c>
      <c r="AR54" s="74">
        <f>IF('Wtr-Gas'!AN56&lt;0,"0",('Wtr-Gas'!AN56)*0.0038)</f>
        <v>0</v>
      </c>
      <c r="AS54" s="74">
        <f>IF('Wtr-Gas'!AP56&lt;0,"0",('Wtr-Gas'!AP56)*0.0038)</f>
        <v>0</v>
      </c>
      <c r="AT54" s="74">
        <f>IF('Wtr-Gas'!AR56&lt;0,"0",('Wtr-Gas'!AR56)*0.0038)</f>
        <v>0</v>
      </c>
      <c r="AU54" s="87">
        <f>IF('Wtr-Gas'!AV56&lt;0,"0",('Wtr-Gas'!AV56)*0.0038)</f>
        <v>0</v>
      </c>
      <c r="AV54" s="74">
        <f>IF('Wtr-Gas'!AY56&lt;0,"0",('Wtr-Gas'!AY56)*0.0038)</f>
        <v>0</v>
      </c>
      <c r="AW54" s="74">
        <f>IF('Wtr-Gas'!BA56&lt;0,"0",('Wtr-Gas'!BA56)*0.0038)</f>
        <v>0</v>
      </c>
      <c r="AX54" s="74">
        <f>IF('Wtr-Gas'!BB56&lt;0,"0",('Wtr-Gas'!BB56)*0.0038)</f>
        <v>0</v>
      </c>
      <c r="AY54" s="74">
        <f>IF('Wtr-Gas'!BD56&lt;0,"0",('Wtr-Gas'!BD56)*0.0038)</f>
        <v>0</v>
      </c>
      <c r="AZ54" s="74">
        <f>IF('Wtr-Gas'!BF56&lt;0,"0",('Wtr-Gas'!BF56)*0.0038)</f>
        <v>0</v>
      </c>
      <c r="BA54" s="74">
        <f>IF('Wtr-Gas'!BH56&lt;0,"0",('Wtr-Gas'!BH56)*0.0038)</f>
        <v>0</v>
      </c>
    </row>
    <row r="55" spans="1:53" x14ac:dyDescent="0.25">
      <c r="A55" s="3" t="s">
        <v>11</v>
      </c>
      <c r="B55" s="72">
        <v>21</v>
      </c>
      <c r="C55" s="2">
        <v>11</v>
      </c>
      <c r="D55" s="2">
        <v>2022</v>
      </c>
      <c r="E55" s="36">
        <f>IF(Elect!AL57&lt;0,"0",Elect!AL57)</f>
        <v>0</v>
      </c>
      <c r="F55" s="36">
        <f>IF(Elect!I57&lt;0,"0",Elect!I57)</f>
        <v>0</v>
      </c>
      <c r="G55" s="36">
        <f>Elect!H57</f>
        <v>0</v>
      </c>
      <c r="H55" s="36">
        <f>IF(Elect!F57&lt;0,"0",Elect!F57)</f>
        <v>0</v>
      </c>
      <c r="I55" s="36">
        <f>Elect!E57</f>
        <v>0</v>
      </c>
      <c r="J55" s="36">
        <f>IF(Elect!U57&lt;0,"0",Elect!U57)</f>
        <v>0</v>
      </c>
      <c r="K55" s="36">
        <f>Elect!T57</f>
        <v>0</v>
      </c>
      <c r="L55" s="36">
        <f>IF(Elect!AJ57&lt;0,"0",Elect!AJ57)</f>
        <v>0</v>
      </c>
      <c r="M55" s="36">
        <f>Elect!AI57</f>
        <v>0</v>
      </c>
      <c r="N55" s="36">
        <f>IF(Elect!X57&lt;0,"0",Elect!X57)</f>
        <v>0</v>
      </c>
      <c r="O55" s="36">
        <f>Elect!W57</f>
        <v>0</v>
      </c>
      <c r="P55" s="36">
        <f>IF(Elect!O57&lt;0,"0",Elect!O57)</f>
        <v>0</v>
      </c>
      <c r="Q55" s="36">
        <f>Elect!N57</f>
        <v>0</v>
      </c>
      <c r="R55" s="36">
        <f>IF(Elect!L57&lt;0,"0",Elect!L57)</f>
        <v>0</v>
      </c>
      <c r="S55" s="36">
        <f>Elect!K57</f>
        <v>0</v>
      </c>
      <c r="T55" s="36">
        <f>IF(Elect!R57&lt;0,"0",Elect!R57)</f>
        <v>0</v>
      </c>
      <c r="U55" s="36">
        <f>Elect!Q57</f>
        <v>0</v>
      </c>
      <c r="V55" s="36">
        <f>IF(Elect!AA57&lt;0,"0",Elect!AA57)</f>
        <v>0</v>
      </c>
      <c r="W55" s="36">
        <f>Elect!Z57</f>
        <v>0</v>
      </c>
      <c r="X55" s="36">
        <f>IF(Elect!AD57&lt;0,"0",Elect!AD57)</f>
        <v>0</v>
      </c>
      <c r="Y55" s="36">
        <f>Elect!AC57</f>
        <v>0</v>
      </c>
      <c r="Z55" s="36">
        <f>IF(Elect!AG57&lt;0,"0",Elect!AG57)</f>
        <v>0</v>
      </c>
      <c r="AA55" s="36">
        <f>Elect!AF57</f>
        <v>0</v>
      </c>
      <c r="AB55" s="36">
        <f>IF(Elect!AX57&lt;0,"0",Elect!AX57)</f>
        <v>0</v>
      </c>
      <c r="AC55" s="36">
        <f>IF(Elect!AV57&lt;0,"0",Elect!AV57)</f>
        <v>0</v>
      </c>
      <c r="AD55" s="36">
        <f>IF(Elect!AZ57&lt;0,"0",Elect!AZ57)</f>
        <v>0</v>
      </c>
      <c r="AE55" s="36">
        <f>IF(Elect!BB57&lt;0,"0",Elect!BB57)</f>
        <v>0</v>
      </c>
      <c r="AF55" s="74">
        <f>IF('Wtr-Gas'!E57&lt;0,"0",('Wtr-Gas'!E57)*0.0038)</f>
        <v>0</v>
      </c>
      <c r="AG55" s="74">
        <f>IF('Wtr-Gas'!H57&lt;0,"0",('Wtr-Gas'!H57)*0.0038)</f>
        <v>0</v>
      </c>
      <c r="AH55" s="74">
        <f>IF('Wtr-Gas'!K57&lt;0,"0",('Wtr-Gas'!K57)*0.0038)</f>
        <v>0</v>
      </c>
      <c r="AI55" s="74">
        <f>IF('Wtr-Gas'!N57&lt;0,"0",('Wtr-Gas'!N57)*0.0038)</f>
        <v>0</v>
      </c>
      <c r="AJ55" s="74">
        <f>IF('Wtr-Gas'!Q57&lt;0,"0",('Wtr-Gas'!Q57)*0.0038)</f>
        <v>0</v>
      </c>
      <c r="AK55" s="75">
        <f>IF('Wtr-Gas'!U57&lt;0,"0",('Wtr-Gas'!U57)*0.0038)</f>
        <v>0</v>
      </c>
      <c r="AL55" s="75">
        <f>IF('Wtr-Gas'!X57&lt;0,"0",('Wtr-Gas'!X57)*0.0038)</f>
        <v>0</v>
      </c>
      <c r="AM55" s="74">
        <f>IF('Wtr-Gas'!AB57&lt;0,"0",('Wtr-Gas'!AB57)*0.0038)</f>
        <v>0</v>
      </c>
      <c r="AN55" s="74">
        <f>IF('Wtr-Gas'!AD57&lt;0,"0",('Wtr-Gas'!AD57)*0.0038)</f>
        <v>0</v>
      </c>
      <c r="AO55" s="74">
        <f>IF('Wtr-Gas'!AH57&lt;0,"0",('Wtr-Gas'!AH57)*0.0038)</f>
        <v>0</v>
      </c>
      <c r="AP55" s="74">
        <f>IF('Wtr-Gas'!AJ57&lt;0,"0",('Wtr-Gas'!AJ57)*0.0038)</f>
        <v>0</v>
      </c>
      <c r="AQ55" s="74">
        <f>IF('Wtr-Gas'!AL57&lt;0,"0",('Wtr-Gas'!AL57)*0.0038)</f>
        <v>0</v>
      </c>
      <c r="AR55" s="74">
        <f>IF('Wtr-Gas'!AN57&lt;0,"0",('Wtr-Gas'!AN57)*0.0038)</f>
        <v>0</v>
      </c>
      <c r="AS55" s="74">
        <f>IF('Wtr-Gas'!AP57&lt;0,"0",('Wtr-Gas'!AP57)*0.0038)</f>
        <v>0</v>
      </c>
      <c r="AT55" s="74">
        <f>IF('Wtr-Gas'!AR57&lt;0,"0",('Wtr-Gas'!AR57)*0.0038)</f>
        <v>0</v>
      </c>
      <c r="AU55" s="87">
        <f>IF('Wtr-Gas'!AV57&lt;0,"0",('Wtr-Gas'!AV57)*0.0038)</f>
        <v>0</v>
      </c>
      <c r="AV55" s="74">
        <f>IF('Wtr-Gas'!AY57&lt;0,"0",('Wtr-Gas'!AY57)*0.0038)</f>
        <v>0</v>
      </c>
      <c r="AW55" s="74">
        <f>IF('Wtr-Gas'!BA57&lt;0,"0",('Wtr-Gas'!BA57)*0.0038)</f>
        <v>0</v>
      </c>
      <c r="AX55" s="74">
        <f>IF('Wtr-Gas'!BB57&lt;0,"0",('Wtr-Gas'!BB57)*0.0038)</f>
        <v>0</v>
      </c>
      <c r="AY55" s="74">
        <f>IF('Wtr-Gas'!BD57&lt;0,"0",('Wtr-Gas'!BD57)*0.0038)</f>
        <v>0</v>
      </c>
      <c r="AZ55" s="74">
        <f>IF('Wtr-Gas'!BF57&lt;0,"0",('Wtr-Gas'!BF57)*0.0038)</f>
        <v>0</v>
      </c>
      <c r="BA55" s="74">
        <f>IF('Wtr-Gas'!BH57&lt;0,"0",('Wtr-Gas'!BH57)*0.0038)</f>
        <v>0</v>
      </c>
    </row>
    <row r="56" spans="1:53" x14ac:dyDescent="0.25">
      <c r="A56" s="3" t="s">
        <v>11</v>
      </c>
      <c r="B56" s="72">
        <v>28</v>
      </c>
      <c r="C56" s="2">
        <v>11</v>
      </c>
      <c r="D56" s="2">
        <v>2022</v>
      </c>
      <c r="E56" s="36">
        <f>IF(Elect!AL58&lt;0,"0",Elect!AL58)</f>
        <v>0</v>
      </c>
      <c r="F56" s="36">
        <f>IF(Elect!I58&lt;0,"0",Elect!I58)</f>
        <v>0</v>
      </c>
      <c r="G56" s="36">
        <f>Elect!H58</f>
        <v>0</v>
      </c>
      <c r="H56" s="36">
        <f>IF(Elect!F58&lt;0,"0",Elect!F58)</f>
        <v>0</v>
      </c>
      <c r="I56" s="36">
        <f>Elect!E58</f>
        <v>0</v>
      </c>
      <c r="J56" s="36">
        <f>IF(Elect!U58&lt;0,"0",Elect!U58)</f>
        <v>0</v>
      </c>
      <c r="K56" s="36">
        <f>Elect!T58</f>
        <v>0</v>
      </c>
      <c r="L56" s="36">
        <f>IF(Elect!AJ58&lt;0,"0",Elect!AJ58)</f>
        <v>0</v>
      </c>
      <c r="M56" s="36">
        <f>Elect!AI58</f>
        <v>0</v>
      </c>
      <c r="N56" s="36">
        <f>IF(Elect!X58&lt;0,"0",Elect!X58)</f>
        <v>0</v>
      </c>
      <c r="O56" s="36">
        <f>Elect!W58</f>
        <v>0</v>
      </c>
      <c r="P56" s="36">
        <f>IF(Elect!O58&lt;0,"0",Elect!O58)</f>
        <v>0</v>
      </c>
      <c r="Q56" s="36">
        <f>Elect!N58</f>
        <v>0</v>
      </c>
      <c r="R56" s="36">
        <f>IF(Elect!L58&lt;0,"0",Elect!L58)</f>
        <v>0</v>
      </c>
      <c r="S56" s="36">
        <f>Elect!K58</f>
        <v>0</v>
      </c>
      <c r="T56" s="36">
        <f>IF(Elect!R58&lt;0,"0",Elect!R58)</f>
        <v>0</v>
      </c>
      <c r="U56" s="36">
        <f>Elect!Q58</f>
        <v>0</v>
      </c>
      <c r="V56" s="36">
        <f>IF(Elect!AA58&lt;0,"0",Elect!AA58)</f>
        <v>0</v>
      </c>
      <c r="W56" s="36">
        <f>Elect!Z58</f>
        <v>0</v>
      </c>
      <c r="X56" s="36">
        <f>IF(Elect!AD58&lt;0,"0",Elect!AD58)</f>
        <v>0</v>
      </c>
      <c r="Y56" s="36">
        <f>Elect!AC58</f>
        <v>0</v>
      </c>
      <c r="Z56" s="36">
        <f>IF(Elect!AG58&lt;0,"0",Elect!AG58)</f>
        <v>0</v>
      </c>
      <c r="AA56" s="36">
        <f>Elect!AF58</f>
        <v>0</v>
      </c>
      <c r="AB56" s="36">
        <f>IF(Elect!AX58&lt;0,"0",Elect!AX58)</f>
        <v>0</v>
      </c>
      <c r="AC56" s="36">
        <f>IF(Elect!AV58&lt;0,"0",Elect!AV58)</f>
        <v>0</v>
      </c>
      <c r="AD56" s="36">
        <f>IF(Elect!AZ58&lt;0,"0",Elect!AZ58)</f>
        <v>0</v>
      </c>
      <c r="AE56" s="36">
        <f>IF(Elect!BB58&lt;0,"0",Elect!BB58)</f>
        <v>0</v>
      </c>
      <c r="AF56" s="74">
        <f>IF('Wtr-Gas'!E58&lt;0,"0",('Wtr-Gas'!E58)*0.0038)</f>
        <v>0</v>
      </c>
      <c r="AG56" s="74">
        <f>IF('Wtr-Gas'!H58&lt;0,"0",('Wtr-Gas'!H58)*0.0038)</f>
        <v>0</v>
      </c>
      <c r="AH56" s="74">
        <f>IF('Wtr-Gas'!K58&lt;0,"0",('Wtr-Gas'!K58)*0.0038)</f>
        <v>0</v>
      </c>
      <c r="AI56" s="74">
        <f>IF('Wtr-Gas'!N58&lt;0,"0",('Wtr-Gas'!N58)*0.0038)</f>
        <v>0</v>
      </c>
      <c r="AJ56" s="74">
        <f>IF('Wtr-Gas'!Q58&lt;0,"0",('Wtr-Gas'!Q58)*0.0038)</f>
        <v>0</v>
      </c>
      <c r="AK56" s="75">
        <f>IF('Wtr-Gas'!U58&lt;0,"0",('Wtr-Gas'!U58)*0.0038)</f>
        <v>0</v>
      </c>
      <c r="AL56" s="75">
        <f>IF('Wtr-Gas'!X58&lt;0,"0",('Wtr-Gas'!X58)*0.0038)</f>
        <v>0</v>
      </c>
      <c r="AM56" s="74">
        <f>IF('Wtr-Gas'!AB58&lt;0,"0",('Wtr-Gas'!AB58)*0.0038)</f>
        <v>0</v>
      </c>
      <c r="AN56" s="74">
        <f>IF('Wtr-Gas'!AD58&lt;0,"0",('Wtr-Gas'!AD58)*0.0038)</f>
        <v>0</v>
      </c>
      <c r="AO56" s="74">
        <f>IF('Wtr-Gas'!AH58&lt;0,"0",('Wtr-Gas'!AH58)*0.0038)</f>
        <v>0</v>
      </c>
      <c r="AP56" s="74">
        <f>IF('Wtr-Gas'!AJ58&lt;0,"0",('Wtr-Gas'!AJ58)*0.0038)</f>
        <v>0</v>
      </c>
      <c r="AQ56" s="74">
        <f>IF('Wtr-Gas'!AL58&lt;0,"0",('Wtr-Gas'!AL58)*0.0038)</f>
        <v>0</v>
      </c>
      <c r="AR56" s="74">
        <f>IF('Wtr-Gas'!AN58&lt;0,"0",('Wtr-Gas'!AN58)*0.0038)</f>
        <v>0</v>
      </c>
      <c r="AS56" s="74">
        <f>IF('Wtr-Gas'!AP58&lt;0,"0",('Wtr-Gas'!AP58)*0.0038)</f>
        <v>0</v>
      </c>
      <c r="AT56" s="74">
        <f>IF('Wtr-Gas'!AR58&lt;0,"0",('Wtr-Gas'!AR58)*0.0038)</f>
        <v>0</v>
      </c>
      <c r="AU56" s="87">
        <f>IF('Wtr-Gas'!AV58&lt;0,"0",('Wtr-Gas'!AV58)*0.0038)</f>
        <v>0</v>
      </c>
      <c r="AV56" s="74">
        <f>IF('Wtr-Gas'!AY58&lt;0,"0",('Wtr-Gas'!AY58)*0.0038)</f>
        <v>0</v>
      </c>
      <c r="AW56" s="74">
        <f>IF('Wtr-Gas'!BA58&lt;0,"0",('Wtr-Gas'!BA58)*0.0038)</f>
        <v>0</v>
      </c>
      <c r="AX56" s="74">
        <f>IF('Wtr-Gas'!BB58&lt;0,"0",('Wtr-Gas'!BB58)*0.0038)</f>
        <v>0</v>
      </c>
      <c r="AY56" s="74">
        <f>IF('Wtr-Gas'!BD58&lt;0,"0",('Wtr-Gas'!BD58)*0.0038)</f>
        <v>0</v>
      </c>
      <c r="AZ56" s="74">
        <f>IF('Wtr-Gas'!BF58&lt;0,"0",('Wtr-Gas'!BF58)*0.0038)</f>
        <v>0</v>
      </c>
      <c r="BA56" s="74">
        <f>IF('Wtr-Gas'!BH58&lt;0,"0",('Wtr-Gas'!BH58)*0.0038)</f>
        <v>0</v>
      </c>
    </row>
    <row r="57" spans="1:53" x14ac:dyDescent="0.25">
      <c r="A57" s="3" t="s">
        <v>11</v>
      </c>
      <c r="B57" s="72">
        <v>30</v>
      </c>
      <c r="C57" s="2">
        <v>11</v>
      </c>
      <c r="D57" s="2">
        <v>2022</v>
      </c>
      <c r="E57" s="36">
        <f>IF(Elect!AL59&lt;0,"0",Elect!AL59)</f>
        <v>0</v>
      </c>
      <c r="F57" s="36">
        <f>IF(Elect!I59&lt;0,"0",Elect!I59)</f>
        <v>0</v>
      </c>
      <c r="G57" s="36">
        <f>Elect!H59</f>
        <v>0</v>
      </c>
      <c r="H57" s="36">
        <f>IF(Elect!F59&lt;0,"0",Elect!F59)</f>
        <v>0</v>
      </c>
      <c r="I57" s="36">
        <f>Elect!E59</f>
        <v>0</v>
      </c>
      <c r="J57" s="36">
        <f>IF(Elect!U59&lt;0,"0",Elect!U59)</f>
        <v>0</v>
      </c>
      <c r="K57" s="36">
        <f>Elect!T59</f>
        <v>0</v>
      </c>
      <c r="L57" s="36">
        <f>IF(Elect!AJ59&lt;0,"0",Elect!AJ59)</f>
        <v>0</v>
      </c>
      <c r="M57" s="36">
        <f>Elect!AI59</f>
        <v>0</v>
      </c>
      <c r="N57" s="36">
        <f>IF(Elect!X59&lt;0,"0",Elect!X59)</f>
        <v>0</v>
      </c>
      <c r="O57" s="36">
        <f>Elect!W59</f>
        <v>0</v>
      </c>
      <c r="P57" s="36">
        <f>IF(Elect!O59&lt;0,"0",Elect!O59)</f>
        <v>0</v>
      </c>
      <c r="Q57" s="36">
        <f>Elect!N59</f>
        <v>0</v>
      </c>
      <c r="R57" s="36">
        <f>IF(Elect!L59&lt;0,"0",Elect!L59)</f>
        <v>0</v>
      </c>
      <c r="S57" s="36">
        <f>Elect!K59</f>
        <v>0</v>
      </c>
      <c r="T57" s="36">
        <f>IF(Elect!R59&lt;0,"0",Elect!R59)</f>
        <v>0</v>
      </c>
      <c r="U57" s="36">
        <f>Elect!Q59</f>
        <v>0</v>
      </c>
      <c r="V57" s="36">
        <f>IF(Elect!AA59&lt;0,"0",Elect!AA59)</f>
        <v>0</v>
      </c>
      <c r="W57" s="36">
        <f>Elect!Z59</f>
        <v>0</v>
      </c>
      <c r="X57" s="36">
        <f>IF(Elect!AD59&lt;0,"0",Elect!AD59)</f>
        <v>0</v>
      </c>
      <c r="Y57" s="36">
        <f>Elect!AC59</f>
        <v>0</v>
      </c>
      <c r="Z57" s="36">
        <f>IF(Elect!AG59&lt;0,"0",Elect!AG59)</f>
        <v>0</v>
      </c>
      <c r="AA57" s="36">
        <f>Elect!AF59</f>
        <v>0</v>
      </c>
      <c r="AB57" s="36">
        <f>IF(Elect!AX59&lt;0,"0",Elect!AX59)</f>
        <v>0</v>
      </c>
      <c r="AC57" s="36">
        <f>IF(Elect!AV59&lt;0,"0",Elect!AV59)</f>
        <v>0</v>
      </c>
      <c r="AD57" s="36">
        <f>IF(Elect!AZ59&lt;0,"0",Elect!AZ59)</f>
        <v>0</v>
      </c>
      <c r="AE57" s="36">
        <f>IF(Elect!BB59&lt;0,"0",Elect!BB59)</f>
        <v>0</v>
      </c>
      <c r="AF57" s="74">
        <f>IF('Wtr-Gas'!E59&lt;0,"0",('Wtr-Gas'!E59)*0.0038)</f>
        <v>0</v>
      </c>
      <c r="AG57" s="74">
        <f>IF('Wtr-Gas'!H59&lt;0,"0",('Wtr-Gas'!H59)*0.0038)</f>
        <v>0</v>
      </c>
      <c r="AH57" s="74">
        <f>IF('Wtr-Gas'!K59&lt;0,"0",('Wtr-Gas'!K59)*0.0038)</f>
        <v>0</v>
      </c>
      <c r="AI57" s="74">
        <f>IF('Wtr-Gas'!N59&lt;0,"0",('Wtr-Gas'!N59)*0.0038)</f>
        <v>0</v>
      </c>
      <c r="AJ57" s="74">
        <f>IF('Wtr-Gas'!Q59&lt;0,"0",('Wtr-Gas'!Q59)*0.0038)</f>
        <v>0</v>
      </c>
      <c r="AK57" s="75">
        <f>IF('Wtr-Gas'!U59&lt;0,"0",('Wtr-Gas'!U59)*0.0038)</f>
        <v>0</v>
      </c>
      <c r="AL57" s="75">
        <f>IF('Wtr-Gas'!X59&lt;0,"0",('Wtr-Gas'!X59)*0.0038)</f>
        <v>0</v>
      </c>
      <c r="AM57" s="74">
        <f>IF('Wtr-Gas'!AB59&lt;0,"0",('Wtr-Gas'!AB59)*0.0038)</f>
        <v>0</v>
      </c>
      <c r="AN57" s="74">
        <f>IF('Wtr-Gas'!AD59&lt;0,"0",('Wtr-Gas'!AD59)*0.0038)</f>
        <v>0</v>
      </c>
      <c r="AO57" s="74">
        <f>IF('Wtr-Gas'!AH59&lt;0,"0",('Wtr-Gas'!AH59)*0.0038)</f>
        <v>0</v>
      </c>
      <c r="AP57" s="74">
        <f>IF('Wtr-Gas'!AJ59&lt;0,"0",('Wtr-Gas'!AJ59)*0.0038)</f>
        <v>0</v>
      </c>
      <c r="AQ57" s="74">
        <f>IF('Wtr-Gas'!AL59&lt;0,"0",('Wtr-Gas'!AL59)*0.0038)</f>
        <v>0</v>
      </c>
      <c r="AR57" s="74">
        <f>IF('Wtr-Gas'!AN59&lt;0,"0",('Wtr-Gas'!AN59)*0.0038)</f>
        <v>0</v>
      </c>
      <c r="AS57" s="74">
        <f>IF('Wtr-Gas'!AP59&lt;0,"0",('Wtr-Gas'!AP59)*0.0038)</f>
        <v>0</v>
      </c>
      <c r="AT57" s="74">
        <f>IF('Wtr-Gas'!AR59&lt;0,"0",('Wtr-Gas'!AR59)*0.0038)</f>
        <v>0</v>
      </c>
      <c r="AU57" s="87">
        <f>IF('Wtr-Gas'!AV59&lt;0,"0",('Wtr-Gas'!AV59)*0.0038)</f>
        <v>0</v>
      </c>
      <c r="AV57" s="74">
        <f>IF('Wtr-Gas'!AY59&lt;0,"0",('Wtr-Gas'!AY59)*0.0038)</f>
        <v>0</v>
      </c>
      <c r="AW57" s="74">
        <f>IF('Wtr-Gas'!BA59&lt;0,"0",('Wtr-Gas'!BA59)*0.0038)</f>
        <v>0</v>
      </c>
      <c r="AX57" s="74">
        <f>IF('Wtr-Gas'!BB59&lt;0,"0",('Wtr-Gas'!BB59)*0.0038)</f>
        <v>0</v>
      </c>
      <c r="AY57" s="74">
        <f>IF('Wtr-Gas'!BD59&lt;0,"0",('Wtr-Gas'!BD59)*0.0038)</f>
        <v>0</v>
      </c>
      <c r="AZ57" s="74">
        <f>IF('Wtr-Gas'!BF59&lt;0,"0",('Wtr-Gas'!BF59)*0.0038)</f>
        <v>0</v>
      </c>
      <c r="BA57" s="74">
        <f>IF('Wtr-Gas'!BH59&lt;0,"0",('Wtr-Gas'!BH59)*0.0038)</f>
        <v>0</v>
      </c>
    </row>
    <row r="58" spans="1:53" x14ac:dyDescent="0.25">
      <c r="A58" s="3" t="s">
        <v>11</v>
      </c>
      <c r="B58" s="72">
        <v>5</v>
      </c>
      <c r="C58" s="2">
        <v>12</v>
      </c>
      <c r="D58" s="2">
        <v>2022</v>
      </c>
      <c r="E58" s="36">
        <f>IF(Elect!AL60&lt;0,"0",Elect!AL60)</f>
        <v>0</v>
      </c>
      <c r="F58" s="36">
        <f>IF(Elect!I60&lt;0,"0",Elect!I60)</f>
        <v>0</v>
      </c>
      <c r="G58" s="36">
        <f>Elect!H60</f>
        <v>0</v>
      </c>
      <c r="H58" s="36">
        <f>IF(Elect!F60&lt;0,"0",Elect!F60)</f>
        <v>0</v>
      </c>
      <c r="I58" s="36">
        <f>Elect!E60</f>
        <v>0</v>
      </c>
      <c r="J58" s="36">
        <f>IF(Elect!U60&lt;0,"0",Elect!U60)</f>
        <v>0</v>
      </c>
      <c r="K58" s="36">
        <f>Elect!T60</f>
        <v>0</v>
      </c>
      <c r="L58" s="36">
        <f>IF(Elect!AJ60&lt;0,"0",Elect!AJ60)</f>
        <v>0</v>
      </c>
      <c r="M58" s="36">
        <f>Elect!AI60</f>
        <v>0</v>
      </c>
      <c r="N58" s="36">
        <f>IF(Elect!X60&lt;0,"0",Elect!X60)</f>
        <v>0</v>
      </c>
      <c r="O58" s="36">
        <f>Elect!W60</f>
        <v>0</v>
      </c>
      <c r="P58" s="36">
        <f>IF(Elect!O60&lt;0,"0",Elect!O60)</f>
        <v>0</v>
      </c>
      <c r="Q58" s="36">
        <f>Elect!N60</f>
        <v>0</v>
      </c>
      <c r="R58" s="36">
        <f>IF(Elect!L60&lt;0,"0",Elect!L60)</f>
        <v>0</v>
      </c>
      <c r="S58" s="36">
        <f>Elect!K60</f>
        <v>0</v>
      </c>
      <c r="T58" s="36">
        <f>IF(Elect!R60&lt;0,"0",Elect!R60)</f>
        <v>0</v>
      </c>
      <c r="U58" s="36">
        <f>Elect!Q60</f>
        <v>0</v>
      </c>
      <c r="V58" s="36">
        <f>IF(Elect!AA60&lt;0,"0",Elect!AA60)</f>
        <v>0</v>
      </c>
      <c r="W58" s="36">
        <f>Elect!Z60</f>
        <v>0</v>
      </c>
      <c r="X58" s="36">
        <f>IF(Elect!AD60&lt;0,"0",Elect!AD60)</f>
        <v>0</v>
      </c>
      <c r="Y58" s="36">
        <f>Elect!AC60</f>
        <v>0</v>
      </c>
      <c r="Z58" s="36">
        <f>IF(Elect!AG60&lt;0,"0",Elect!AG60)</f>
        <v>0</v>
      </c>
      <c r="AA58" s="36">
        <f>Elect!AF60</f>
        <v>0</v>
      </c>
      <c r="AB58" s="36">
        <f>IF(Elect!AX60&lt;0,"0",Elect!AX60)</f>
        <v>0</v>
      </c>
      <c r="AC58" s="36">
        <f>IF(Elect!AV60&lt;0,"0",Elect!AV60)</f>
        <v>0</v>
      </c>
      <c r="AD58" s="36">
        <f>IF(Elect!AZ60&lt;0,"0",Elect!AZ60)</f>
        <v>0</v>
      </c>
      <c r="AE58" s="36">
        <f>IF(Elect!BB60&lt;0,"0",Elect!BB60)</f>
        <v>0</v>
      </c>
      <c r="AF58" s="74">
        <f>IF('Wtr-Gas'!E60&lt;0,"0",('Wtr-Gas'!E60)*0.0038)</f>
        <v>0</v>
      </c>
      <c r="AG58" s="74">
        <f>IF('Wtr-Gas'!H60&lt;0,"0",('Wtr-Gas'!H60)*0.0038)</f>
        <v>0</v>
      </c>
      <c r="AH58" s="74">
        <f>IF('Wtr-Gas'!K60&lt;0,"0",('Wtr-Gas'!K60)*0.0038)</f>
        <v>0</v>
      </c>
      <c r="AI58" s="74">
        <f>IF('Wtr-Gas'!N60&lt;0,"0",('Wtr-Gas'!N60)*0.0038)</f>
        <v>0</v>
      </c>
      <c r="AJ58" s="74">
        <f>IF('Wtr-Gas'!Q60&lt;0,"0",('Wtr-Gas'!Q60)*0.0038)</f>
        <v>0</v>
      </c>
      <c r="AK58" s="75">
        <f>IF('Wtr-Gas'!U60&lt;0,"0",('Wtr-Gas'!U60)*0.0038)</f>
        <v>0</v>
      </c>
      <c r="AL58" s="75">
        <f>IF('Wtr-Gas'!X60&lt;0,"0",('Wtr-Gas'!X60)*0.0038)</f>
        <v>0</v>
      </c>
      <c r="AM58" s="74">
        <f>IF('Wtr-Gas'!AB60&lt;0,"0",('Wtr-Gas'!AB60)*0.0038)</f>
        <v>0</v>
      </c>
      <c r="AN58" s="74">
        <f>IF('Wtr-Gas'!AD60&lt;0,"0",('Wtr-Gas'!AD60)*0.0038)</f>
        <v>0</v>
      </c>
      <c r="AO58" s="74">
        <f>IF('Wtr-Gas'!AH60&lt;0,"0",('Wtr-Gas'!AH60)*0.0038)</f>
        <v>0</v>
      </c>
      <c r="AP58" s="74">
        <f>IF('Wtr-Gas'!AJ60&lt;0,"0",('Wtr-Gas'!AJ60)*0.0038)</f>
        <v>0</v>
      </c>
      <c r="AQ58" s="74">
        <f>IF('Wtr-Gas'!AL60&lt;0,"0",('Wtr-Gas'!AL60)*0.0038)</f>
        <v>0</v>
      </c>
      <c r="AR58" s="74">
        <f>IF('Wtr-Gas'!AN60&lt;0,"0",('Wtr-Gas'!AN60)*0.0038)</f>
        <v>0</v>
      </c>
      <c r="AS58" s="74">
        <f>IF('Wtr-Gas'!AP60&lt;0,"0",('Wtr-Gas'!AP60)*0.0038)</f>
        <v>0</v>
      </c>
      <c r="AT58" s="74">
        <f>IF('Wtr-Gas'!AR60&lt;0,"0",('Wtr-Gas'!AR60)*0.0038)</f>
        <v>0</v>
      </c>
      <c r="AU58" s="87">
        <f>IF('Wtr-Gas'!AV60&lt;0,"0",('Wtr-Gas'!AV60)*0.0038)</f>
        <v>0</v>
      </c>
      <c r="AV58" s="74">
        <f>IF('Wtr-Gas'!AY60&lt;0,"0",('Wtr-Gas'!AY60)*0.0038)</f>
        <v>0</v>
      </c>
      <c r="AW58" s="74">
        <f>IF('Wtr-Gas'!BA60&lt;0,"0",('Wtr-Gas'!BA60)*0.0038)</f>
        <v>0</v>
      </c>
      <c r="AX58" s="74">
        <f>IF('Wtr-Gas'!BB60&lt;0,"0",('Wtr-Gas'!BB60)*0.0038)</f>
        <v>0</v>
      </c>
      <c r="AY58" s="74">
        <f>IF('Wtr-Gas'!BD60&lt;0,"0",('Wtr-Gas'!BD60)*0.0038)</f>
        <v>0</v>
      </c>
      <c r="AZ58" s="74">
        <f>IF('Wtr-Gas'!BF60&lt;0,"0",('Wtr-Gas'!BF60)*0.0038)</f>
        <v>0</v>
      </c>
      <c r="BA58" s="74">
        <f>IF('Wtr-Gas'!BH60&lt;0,"0",('Wtr-Gas'!BH60)*0.0038)</f>
        <v>0</v>
      </c>
    </row>
    <row r="59" spans="1:53" x14ac:dyDescent="0.25">
      <c r="A59" s="3" t="s">
        <v>11</v>
      </c>
      <c r="B59" s="72">
        <v>12</v>
      </c>
      <c r="C59" s="2">
        <v>12</v>
      </c>
      <c r="D59" s="2">
        <v>2022</v>
      </c>
      <c r="E59" s="36">
        <f>IF(Elect!AL61&lt;0,"0",Elect!AL61)</f>
        <v>0</v>
      </c>
      <c r="F59" s="36">
        <f>IF(Elect!I61&lt;0,"0",Elect!I61)</f>
        <v>0</v>
      </c>
      <c r="G59" s="36">
        <f>Elect!H61</f>
        <v>0</v>
      </c>
      <c r="H59" s="36">
        <f>IF(Elect!F61&lt;0,"0",Elect!F61)</f>
        <v>0</v>
      </c>
      <c r="I59" s="36">
        <f>Elect!E61</f>
        <v>0</v>
      </c>
      <c r="J59" s="36">
        <f>IF(Elect!U61&lt;0,"0",Elect!U61)</f>
        <v>0</v>
      </c>
      <c r="K59" s="36">
        <f>Elect!T61</f>
        <v>0</v>
      </c>
      <c r="L59" s="36">
        <f>IF(Elect!AJ61&lt;0,"0",Elect!AJ61)</f>
        <v>0</v>
      </c>
      <c r="M59" s="36">
        <f>Elect!AI61</f>
        <v>0</v>
      </c>
      <c r="N59" s="36">
        <f>IF(Elect!X61&lt;0,"0",Elect!X61)</f>
        <v>0</v>
      </c>
      <c r="O59" s="36">
        <f>Elect!W61</f>
        <v>0</v>
      </c>
      <c r="P59" s="36">
        <f>IF(Elect!O61&lt;0,"0",Elect!O61)</f>
        <v>0</v>
      </c>
      <c r="Q59" s="36">
        <f>Elect!N61</f>
        <v>0</v>
      </c>
      <c r="R59" s="36">
        <f>IF(Elect!L61&lt;0,"0",Elect!L61)</f>
        <v>0</v>
      </c>
      <c r="S59" s="36">
        <f>Elect!K61</f>
        <v>0</v>
      </c>
      <c r="T59" s="36">
        <f>IF(Elect!R61&lt;0,"0",Elect!R61)</f>
        <v>0</v>
      </c>
      <c r="U59" s="36">
        <f>Elect!Q61</f>
        <v>0</v>
      </c>
      <c r="V59" s="36">
        <f>IF(Elect!AA61&lt;0,"0",Elect!AA61)</f>
        <v>0</v>
      </c>
      <c r="W59" s="36">
        <f>Elect!Z61</f>
        <v>0</v>
      </c>
      <c r="X59" s="36">
        <f>IF(Elect!AD61&lt;0,"0",Elect!AD61)</f>
        <v>0</v>
      </c>
      <c r="Y59" s="36">
        <f>Elect!AC61</f>
        <v>0</v>
      </c>
      <c r="Z59" s="36">
        <f>IF(Elect!AG61&lt;0,"0",Elect!AG61)</f>
        <v>0</v>
      </c>
      <c r="AA59" s="36">
        <f>Elect!AF61</f>
        <v>0</v>
      </c>
      <c r="AB59" s="36">
        <f>IF(Elect!AX61&lt;0,"0",Elect!AX61)</f>
        <v>0</v>
      </c>
      <c r="AC59" s="36">
        <f>IF(Elect!AV61&lt;0,"0",Elect!AV61)</f>
        <v>0</v>
      </c>
      <c r="AD59" s="36">
        <f>IF(Elect!AZ61&lt;0,"0",Elect!AZ61)</f>
        <v>0</v>
      </c>
      <c r="AE59" s="36">
        <f>IF(Elect!BB61&lt;0,"0",Elect!BB61)</f>
        <v>0</v>
      </c>
      <c r="AF59" s="74">
        <f>IF('Wtr-Gas'!E61&lt;0,"0",('Wtr-Gas'!E61)*0.0038)</f>
        <v>0</v>
      </c>
      <c r="AG59" s="74">
        <f>IF('Wtr-Gas'!H61&lt;0,"0",('Wtr-Gas'!H61)*0.0038)</f>
        <v>0</v>
      </c>
      <c r="AH59" s="74">
        <f>IF('Wtr-Gas'!K61&lt;0,"0",('Wtr-Gas'!K61)*0.0038)</f>
        <v>0</v>
      </c>
      <c r="AI59" s="74">
        <f>IF('Wtr-Gas'!N61&lt;0,"0",('Wtr-Gas'!N61)*0.0038)</f>
        <v>0</v>
      </c>
      <c r="AJ59" s="74">
        <f>IF('Wtr-Gas'!Q61&lt;0,"0",('Wtr-Gas'!Q61)*0.0038)</f>
        <v>0</v>
      </c>
      <c r="AK59" s="75">
        <f>IF('Wtr-Gas'!U61&lt;0,"0",('Wtr-Gas'!U61)*0.0038)</f>
        <v>0</v>
      </c>
      <c r="AL59" s="75">
        <f>IF('Wtr-Gas'!X61&lt;0,"0",('Wtr-Gas'!X61)*0.0038)</f>
        <v>0</v>
      </c>
      <c r="AM59" s="74">
        <f>IF('Wtr-Gas'!AB61&lt;0,"0",('Wtr-Gas'!AB61)*0.0038)</f>
        <v>0</v>
      </c>
      <c r="AN59" s="74">
        <f>IF('Wtr-Gas'!AD61&lt;0,"0",('Wtr-Gas'!AD61)*0.0038)</f>
        <v>0</v>
      </c>
      <c r="AO59" s="74">
        <f>IF('Wtr-Gas'!AH61&lt;0,"0",('Wtr-Gas'!AH61)*0.0038)</f>
        <v>0</v>
      </c>
      <c r="AP59" s="74">
        <f>IF('Wtr-Gas'!AJ61&lt;0,"0",('Wtr-Gas'!AJ61)*0.0038)</f>
        <v>0</v>
      </c>
      <c r="AQ59" s="74">
        <f>IF('Wtr-Gas'!AL61&lt;0,"0",('Wtr-Gas'!AL61)*0.0038)</f>
        <v>0</v>
      </c>
      <c r="AR59" s="74">
        <f>IF('Wtr-Gas'!AN61&lt;0,"0",('Wtr-Gas'!AN61)*0.0038)</f>
        <v>0</v>
      </c>
      <c r="AS59" s="74">
        <f>IF('Wtr-Gas'!AP61&lt;0,"0",('Wtr-Gas'!AP61)*0.0038)</f>
        <v>0</v>
      </c>
      <c r="AT59" s="74">
        <f>IF('Wtr-Gas'!AR61&lt;0,"0",('Wtr-Gas'!AR61)*0.0038)</f>
        <v>0</v>
      </c>
      <c r="AU59" s="87">
        <f>IF('Wtr-Gas'!AV61&lt;0,"0",('Wtr-Gas'!AV61)*0.0038)</f>
        <v>0</v>
      </c>
      <c r="AV59" s="74">
        <f>IF('Wtr-Gas'!AY61&lt;0,"0",('Wtr-Gas'!AY61)*0.0038)</f>
        <v>0</v>
      </c>
      <c r="AW59" s="74">
        <f>IF('Wtr-Gas'!BA61&lt;0,"0",('Wtr-Gas'!BA61)*0.0038)</f>
        <v>0</v>
      </c>
      <c r="AX59" s="74">
        <f>IF('Wtr-Gas'!BB61&lt;0,"0",('Wtr-Gas'!BB61)*0.0038)</f>
        <v>0</v>
      </c>
      <c r="AY59" s="74">
        <f>IF('Wtr-Gas'!BD61&lt;0,"0",('Wtr-Gas'!BD61)*0.0038)</f>
        <v>0</v>
      </c>
      <c r="AZ59" s="74">
        <f>IF('Wtr-Gas'!BF61&lt;0,"0",('Wtr-Gas'!BF61)*0.0038)</f>
        <v>0</v>
      </c>
      <c r="BA59" s="74">
        <f>IF('Wtr-Gas'!BH61&lt;0,"0",('Wtr-Gas'!BH61)*0.0038)</f>
        <v>0</v>
      </c>
    </row>
    <row r="60" spans="1:53" x14ac:dyDescent="0.25">
      <c r="A60" s="3" t="s">
        <v>11</v>
      </c>
      <c r="B60" s="72">
        <v>19</v>
      </c>
      <c r="C60" s="2">
        <v>12</v>
      </c>
      <c r="D60" s="2">
        <v>2022</v>
      </c>
      <c r="E60" s="36">
        <f>IF(Elect!AL62&lt;0,"0",Elect!AL62)</f>
        <v>0</v>
      </c>
      <c r="F60" s="36">
        <f>IF(Elect!I62&lt;0,"0",Elect!I62)</f>
        <v>0</v>
      </c>
      <c r="G60" s="36">
        <f>Elect!H62</f>
        <v>0</v>
      </c>
      <c r="H60" s="36">
        <f>IF(Elect!F62&lt;0,"0",Elect!F62)</f>
        <v>0</v>
      </c>
      <c r="I60" s="36">
        <f>Elect!E62</f>
        <v>0</v>
      </c>
      <c r="J60" s="36">
        <f>IF(Elect!U62&lt;0,"0",Elect!U62)</f>
        <v>0</v>
      </c>
      <c r="K60" s="36">
        <f>Elect!T62</f>
        <v>0</v>
      </c>
      <c r="L60" s="36">
        <f>IF(Elect!AJ62&lt;0,"0",Elect!AJ62)</f>
        <v>0</v>
      </c>
      <c r="M60" s="36">
        <f>Elect!AI62</f>
        <v>0</v>
      </c>
      <c r="N60" s="36">
        <f>IF(Elect!X62&lt;0,"0",Elect!X62)</f>
        <v>0</v>
      </c>
      <c r="O60" s="36">
        <f>Elect!W62</f>
        <v>0</v>
      </c>
      <c r="P60" s="36">
        <f>IF(Elect!O62&lt;0,"0",Elect!O62)</f>
        <v>0</v>
      </c>
      <c r="Q60" s="36">
        <f>Elect!N62</f>
        <v>0</v>
      </c>
      <c r="R60" s="36">
        <f>IF(Elect!L62&lt;0,"0",Elect!L62)</f>
        <v>0</v>
      </c>
      <c r="S60" s="36">
        <f>Elect!K62</f>
        <v>0</v>
      </c>
      <c r="T60" s="36">
        <f>IF(Elect!R62&lt;0,"0",Elect!R62)</f>
        <v>0</v>
      </c>
      <c r="U60" s="36">
        <f>Elect!Q62</f>
        <v>0</v>
      </c>
      <c r="V60" s="36">
        <f>IF(Elect!AA62&lt;0,"0",Elect!AA62)</f>
        <v>0</v>
      </c>
      <c r="W60" s="36">
        <f>Elect!Z62</f>
        <v>0</v>
      </c>
      <c r="X60" s="36">
        <f>IF(Elect!AD62&lt;0,"0",Elect!AD62)</f>
        <v>0</v>
      </c>
      <c r="Y60" s="36">
        <f>Elect!AC62</f>
        <v>0</v>
      </c>
      <c r="Z60" s="36">
        <f>IF(Elect!AG62&lt;0,"0",Elect!AG62)</f>
        <v>0</v>
      </c>
      <c r="AA60" s="36">
        <f>Elect!AF62</f>
        <v>0</v>
      </c>
      <c r="AB60" s="36">
        <f>IF(Elect!AX62&lt;0,"0",Elect!AX62)</f>
        <v>0</v>
      </c>
      <c r="AC60" s="36">
        <f>IF(Elect!AV62&lt;0,"0",Elect!AV62)</f>
        <v>0</v>
      </c>
      <c r="AD60" s="36">
        <f>IF(Elect!AZ62&lt;0,"0",Elect!AZ62)</f>
        <v>0</v>
      </c>
      <c r="AE60" s="36">
        <f>IF(Elect!BB62&lt;0,"0",Elect!BB62)</f>
        <v>0</v>
      </c>
      <c r="AF60" s="74">
        <f>IF('Wtr-Gas'!E62&lt;0,"0",('Wtr-Gas'!E62)*0.0038)</f>
        <v>0</v>
      </c>
      <c r="AG60" s="74">
        <f>IF('Wtr-Gas'!H62&lt;0,"0",('Wtr-Gas'!H62)*0.0038)</f>
        <v>0</v>
      </c>
      <c r="AH60" s="74">
        <f>IF('Wtr-Gas'!K62&lt;0,"0",('Wtr-Gas'!K62)*0.0038)</f>
        <v>0</v>
      </c>
      <c r="AI60" s="74">
        <f>IF('Wtr-Gas'!N62&lt;0,"0",('Wtr-Gas'!N62)*0.0038)</f>
        <v>0</v>
      </c>
      <c r="AJ60" s="74">
        <f>IF('Wtr-Gas'!Q62&lt;0,"0",('Wtr-Gas'!Q62)*0.0038)</f>
        <v>0</v>
      </c>
      <c r="AK60" s="75">
        <f>IF('Wtr-Gas'!U62&lt;0,"0",('Wtr-Gas'!U62)*0.0038)</f>
        <v>0</v>
      </c>
      <c r="AL60" s="75">
        <f>IF('Wtr-Gas'!X62&lt;0,"0",('Wtr-Gas'!X62)*0.0038)</f>
        <v>0</v>
      </c>
      <c r="AM60" s="74">
        <f>IF('Wtr-Gas'!AB62&lt;0,"0",('Wtr-Gas'!AB62)*0.0038)</f>
        <v>0</v>
      </c>
      <c r="AN60" s="74">
        <f>IF('Wtr-Gas'!AD62&lt;0,"0",('Wtr-Gas'!AD62)*0.0038)</f>
        <v>0</v>
      </c>
      <c r="AO60" s="74">
        <f>IF('Wtr-Gas'!AH62&lt;0,"0",('Wtr-Gas'!AH62)*0.0038)</f>
        <v>0</v>
      </c>
      <c r="AP60" s="74">
        <f>IF('Wtr-Gas'!AJ62&lt;0,"0",('Wtr-Gas'!AJ62)*0.0038)</f>
        <v>0</v>
      </c>
      <c r="AQ60" s="74">
        <f>IF('Wtr-Gas'!AL62&lt;0,"0",('Wtr-Gas'!AL62)*0.0038)</f>
        <v>0</v>
      </c>
      <c r="AR60" s="74">
        <f>IF('Wtr-Gas'!AN62&lt;0,"0",('Wtr-Gas'!AN62)*0.0038)</f>
        <v>0</v>
      </c>
      <c r="AS60" s="74">
        <f>IF('Wtr-Gas'!AP62&lt;0,"0",('Wtr-Gas'!AP62)*0.0038)</f>
        <v>0</v>
      </c>
      <c r="AT60" s="74">
        <f>IF('Wtr-Gas'!AR62&lt;0,"0",('Wtr-Gas'!AR62)*0.0038)</f>
        <v>0</v>
      </c>
      <c r="AU60" s="87">
        <f>IF('Wtr-Gas'!AV62&lt;0,"0",('Wtr-Gas'!AV62)*0.0038)</f>
        <v>0</v>
      </c>
      <c r="AV60" s="74">
        <f>IF('Wtr-Gas'!AY62&lt;0,"0",('Wtr-Gas'!AY62)*0.0038)</f>
        <v>0</v>
      </c>
      <c r="AW60" s="74">
        <f>IF('Wtr-Gas'!BA62&lt;0,"0",('Wtr-Gas'!BA62)*0.0038)</f>
        <v>0</v>
      </c>
      <c r="AX60" s="74">
        <f>IF('Wtr-Gas'!BB62&lt;0,"0",('Wtr-Gas'!BB62)*0.0038)</f>
        <v>0</v>
      </c>
      <c r="AY60" s="74">
        <f>IF('Wtr-Gas'!BD62&lt;0,"0",('Wtr-Gas'!BD62)*0.0038)</f>
        <v>0</v>
      </c>
      <c r="AZ60" s="74">
        <f>IF('Wtr-Gas'!BF62&lt;0,"0",('Wtr-Gas'!BF62)*0.0038)</f>
        <v>0</v>
      </c>
      <c r="BA60" s="74">
        <f>IF('Wtr-Gas'!BH62&lt;0,"0",('Wtr-Gas'!BH62)*0.0038)</f>
        <v>0</v>
      </c>
    </row>
    <row r="61" spans="1:53" x14ac:dyDescent="0.25">
      <c r="A61" s="3" t="s">
        <v>11</v>
      </c>
      <c r="B61" s="72">
        <v>26</v>
      </c>
      <c r="C61" s="2">
        <v>12</v>
      </c>
      <c r="D61" s="2">
        <v>2022</v>
      </c>
      <c r="E61" s="36">
        <f>IF(Elect!AL63&lt;0,"0",Elect!AL63)</f>
        <v>0</v>
      </c>
      <c r="F61" s="36">
        <f>IF(Elect!I63&lt;0,"0",Elect!I63)</f>
        <v>0</v>
      </c>
      <c r="G61" s="36">
        <f>Elect!H63</f>
        <v>0</v>
      </c>
      <c r="H61" s="36">
        <f>IF(Elect!F63&lt;0,"0",Elect!F63)</f>
        <v>0</v>
      </c>
      <c r="I61" s="36">
        <f>Elect!E63</f>
        <v>0</v>
      </c>
      <c r="J61" s="36">
        <f>IF(Elect!U63&lt;0,"0",Elect!U63)</f>
        <v>0</v>
      </c>
      <c r="K61" s="36">
        <f>Elect!T63</f>
        <v>0</v>
      </c>
      <c r="L61" s="36">
        <f>IF(Elect!AJ63&lt;0,"0",Elect!AJ63)</f>
        <v>0</v>
      </c>
      <c r="M61" s="36">
        <f>Elect!AI63</f>
        <v>0</v>
      </c>
      <c r="N61" s="36">
        <f>IF(Elect!X63&lt;0,"0",Elect!X63)</f>
        <v>0</v>
      </c>
      <c r="O61" s="36">
        <f>Elect!W63</f>
        <v>0</v>
      </c>
      <c r="P61" s="36">
        <f>IF(Elect!O63&lt;0,"0",Elect!O63)</f>
        <v>0</v>
      </c>
      <c r="Q61" s="36">
        <f>Elect!N63</f>
        <v>0</v>
      </c>
      <c r="R61" s="36">
        <f>IF(Elect!L63&lt;0,"0",Elect!L63)</f>
        <v>0</v>
      </c>
      <c r="S61" s="36">
        <f>Elect!K63</f>
        <v>0</v>
      </c>
      <c r="T61" s="36">
        <f>IF(Elect!R63&lt;0,"0",Elect!R63)</f>
        <v>0</v>
      </c>
      <c r="U61" s="36">
        <f>Elect!Q63</f>
        <v>0</v>
      </c>
      <c r="V61" s="36">
        <f>IF(Elect!AA63&lt;0,"0",Elect!AA63)</f>
        <v>0</v>
      </c>
      <c r="W61" s="36">
        <f>Elect!Z63</f>
        <v>0</v>
      </c>
      <c r="X61" s="36">
        <f>IF(Elect!AD63&lt;0,"0",Elect!AD63)</f>
        <v>0</v>
      </c>
      <c r="Y61" s="36">
        <f>Elect!AC63</f>
        <v>0</v>
      </c>
      <c r="Z61" s="36">
        <f>IF(Elect!AG63&lt;0,"0",Elect!AG63)</f>
        <v>0</v>
      </c>
      <c r="AA61" s="36">
        <f>Elect!AF63</f>
        <v>0</v>
      </c>
      <c r="AB61" s="36">
        <f>IF(Elect!AX63&lt;0,"0",Elect!AX63)</f>
        <v>0</v>
      </c>
      <c r="AC61" s="36">
        <f>IF(Elect!AV63&lt;0,"0",Elect!AV63)</f>
        <v>0</v>
      </c>
      <c r="AD61" s="36">
        <f>IF(Elect!AZ63&lt;0,"0",Elect!AZ63)</f>
        <v>0</v>
      </c>
      <c r="AE61" s="36">
        <f>IF(Elect!BB63&lt;0,"0",Elect!BB63)</f>
        <v>0</v>
      </c>
      <c r="AF61" s="74">
        <f>IF('Wtr-Gas'!E63&lt;0,"0",('Wtr-Gas'!E63)*0.0038)</f>
        <v>0</v>
      </c>
      <c r="AG61" s="74">
        <f>IF('Wtr-Gas'!H63&lt;0,"0",('Wtr-Gas'!H63)*0.0038)</f>
        <v>0</v>
      </c>
      <c r="AH61" s="74">
        <f>IF('Wtr-Gas'!K63&lt;0,"0",('Wtr-Gas'!K63)*0.0038)</f>
        <v>0</v>
      </c>
      <c r="AI61" s="74">
        <f>IF('Wtr-Gas'!N63&lt;0,"0",('Wtr-Gas'!N63)*0.0038)</f>
        <v>0</v>
      </c>
      <c r="AJ61" s="74">
        <f>IF('Wtr-Gas'!Q63&lt;0,"0",('Wtr-Gas'!Q63)*0.0038)</f>
        <v>0</v>
      </c>
      <c r="AK61" s="75">
        <f>IF('Wtr-Gas'!U63&lt;0,"0",('Wtr-Gas'!U63)*0.0038)</f>
        <v>0</v>
      </c>
      <c r="AL61" s="75">
        <f>IF('Wtr-Gas'!X63&lt;0,"0",('Wtr-Gas'!X63)*0.0038)</f>
        <v>0</v>
      </c>
      <c r="AM61" s="74">
        <f>IF('Wtr-Gas'!AB63&lt;0,"0",('Wtr-Gas'!AB63)*0.0038)</f>
        <v>0</v>
      </c>
      <c r="AN61" s="74">
        <f>IF('Wtr-Gas'!AD63&lt;0,"0",('Wtr-Gas'!AD63)*0.0038)</f>
        <v>0</v>
      </c>
      <c r="AO61" s="74">
        <f>IF('Wtr-Gas'!AH63&lt;0,"0",('Wtr-Gas'!AH63)*0.0038)</f>
        <v>0</v>
      </c>
      <c r="AP61" s="74">
        <f>IF('Wtr-Gas'!AJ63&lt;0,"0",('Wtr-Gas'!AJ63)*0.0038)</f>
        <v>0</v>
      </c>
      <c r="AQ61" s="74">
        <f>IF('Wtr-Gas'!AL63&lt;0,"0",('Wtr-Gas'!AL63)*0.0038)</f>
        <v>0</v>
      </c>
      <c r="AR61" s="74">
        <f>IF('Wtr-Gas'!AN63&lt;0,"0",('Wtr-Gas'!AN63)*0.0038)</f>
        <v>0</v>
      </c>
      <c r="AS61" s="74">
        <f>IF('Wtr-Gas'!AP63&lt;0,"0",('Wtr-Gas'!AP63)*0.0038)</f>
        <v>0</v>
      </c>
      <c r="AT61" s="74">
        <f>IF('Wtr-Gas'!AR63&lt;0,"0",('Wtr-Gas'!AR63)*0.0038)</f>
        <v>0</v>
      </c>
      <c r="AU61" s="87">
        <f>IF('Wtr-Gas'!AV63&lt;0,"0",('Wtr-Gas'!AV63)*0.0038)</f>
        <v>0</v>
      </c>
      <c r="AV61" s="74">
        <f>IF('Wtr-Gas'!AY63&lt;0,"0",('Wtr-Gas'!AY63)*0.0038)</f>
        <v>0</v>
      </c>
      <c r="AW61" s="74">
        <f>IF('Wtr-Gas'!BA63&lt;0,"0",('Wtr-Gas'!BA63)*0.0038)</f>
        <v>0</v>
      </c>
      <c r="AX61" s="74">
        <f>IF('Wtr-Gas'!BB63&lt;0,"0",('Wtr-Gas'!BB63)*0.0038)</f>
        <v>0</v>
      </c>
      <c r="AY61" s="74">
        <f>IF('Wtr-Gas'!BD63&lt;0,"0",('Wtr-Gas'!BD63)*0.0038)</f>
        <v>0</v>
      </c>
      <c r="AZ61" s="74">
        <f>IF('Wtr-Gas'!BF63&lt;0,"0",('Wtr-Gas'!BF63)*0.0038)</f>
        <v>0</v>
      </c>
      <c r="BA61" s="74">
        <f>IF('Wtr-Gas'!BH63&lt;0,"0",('Wtr-Gas'!BH63)*0.0038)</f>
        <v>0</v>
      </c>
    </row>
    <row r="62" spans="1:53" x14ac:dyDescent="0.25">
      <c r="A62" s="3" t="s">
        <v>11</v>
      </c>
      <c r="B62" s="72">
        <v>31</v>
      </c>
      <c r="C62" s="2">
        <v>12</v>
      </c>
      <c r="D62" s="2">
        <v>2022</v>
      </c>
      <c r="E62" s="36">
        <f>IF(Elect!AL64&lt;0,"0",Elect!AL64)</f>
        <v>0</v>
      </c>
      <c r="F62" s="36">
        <f>IF(Elect!I64&lt;0,"0",Elect!I64)</f>
        <v>0</v>
      </c>
      <c r="G62" s="36">
        <f>Elect!H64</f>
        <v>0</v>
      </c>
      <c r="H62" s="36">
        <f>IF(Elect!F64&lt;0,"0",Elect!F64)</f>
        <v>0</v>
      </c>
      <c r="I62" s="36">
        <f>Elect!E64</f>
        <v>0</v>
      </c>
      <c r="J62" s="36">
        <f>IF(Elect!U64&lt;0,"0",Elect!U64)</f>
        <v>0</v>
      </c>
      <c r="K62" s="36">
        <f>Elect!T64</f>
        <v>0</v>
      </c>
      <c r="L62" s="36">
        <f>IF(Elect!AJ64&lt;0,"0",Elect!AJ64)</f>
        <v>0</v>
      </c>
      <c r="M62" s="36">
        <f>Elect!AI64</f>
        <v>0</v>
      </c>
      <c r="N62" s="36">
        <f>IF(Elect!X64&lt;0,"0",Elect!X64)</f>
        <v>0</v>
      </c>
      <c r="O62" s="36">
        <f>Elect!W64</f>
        <v>0</v>
      </c>
      <c r="P62" s="36">
        <f>IF(Elect!O64&lt;0,"0",Elect!O64)</f>
        <v>0</v>
      </c>
      <c r="Q62" s="36">
        <f>Elect!N64</f>
        <v>0</v>
      </c>
      <c r="R62" s="36">
        <f>IF(Elect!L64&lt;0,"0",Elect!L64)</f>
        <v>0</v>
      </c>
      <c r="S62" s="36">
        <f>Elect!K64</f>
        <v>0</v>
      </c>
      <c r="T62" s="36">
        <f>IF(Elect!R64&lt;0,"0",Elect!R64)</f>
        <v>0</v>
      </c>
      <c r="U62" s="36">
        <f>Elect!Q64</f>
        <v>0</v>
      </c>
      <c r="V62" s="36">
        <f>IF(Elect!AA64&lt;0,"0",Elect!AA64)</f>
        <v>0</v>
      </c>
      <c r="W62" s="36">
        <f>Elect!Z64</f>
        <v>0</v>
      </c>
      <c r="X62" s="36">
        <f>IF(Elect!AD64&lt;0,"0",Elect!AD64)</f>
        <v>0</v>
      </c>
      <c r="Y62" s="36">
        <f>Elect!AC64</f>
        <v>0</v>
      </c>
      <c r="Z62" s="36">
        <f>IF(Elect!AG64&lt;0,"0",Elect!AG64)</f>
        <v>0</v>
      </c>
      <c r="AA62" s="36">
        <f>Elect!AF64</f>
        <v>0</v>
      </c>
      <c r="AB62" s="36">
        <f>IF(Elect!AX64&lt;0,"0",Elect!AX64)</f>
        <v>0</v>
      </c>
      <c r="AC62" s="36">
        <f>IF(Elect!AV64&lt;0,"0",Elect!AV64)</f>
        <v>0</v>
      </c>
      <c r="AD62" s="36">
        <f>IF(Elect!AZ64&lt;0,"0",Elect!AZ64)</f>
        <v>0</v>
      </c>
      <c r="AE62" s="36">
        <f>IF(Elect!BB64&lt;0,"0",Elect!BB64)</f>
        <v>0</v>
      </c>
      <c r="AF62" s="74">
        <f>IF('Wtr-Gas'!E64&lt;0,"0",('Wtr-Gas'!E64)*0.0038)</f>
        <v>0</v>
      </c>
      <c r="AG62" s="74">
        <f>IF('Wtr-Gas'!H64&lt;0,"0",('Wtr-Gas'!H64)*0.0038)</f>
        <v>0</v>
      </c>
      <c r="AH62" s="74">
        <f>IF('Wtr-Gas'!K64&lt;0,"0",('Wtr-Gas'!K64)*0.0038)</f>
        <v>0</v>
      </c>
      <c r="AI62" s="74">
        <f>IF('Wtr-Gas'!N64&lt;0,"0",('Wtr-Gas'!N64)*0.0038)</f>
        <v>0</v>
      </c>
      <c r="AJ62" s="74">
        <f>IF('Wtr-Gas'!Q64&lt;0,"0",('Wtr-Gas'!Q64)*0.0038)</f>
        <v>0</v>
      </c>
      <c r="AK62" s="75">
        <f>IF('Wtr-Gas'!U64&lt;0,"0",('Wtr-Gas'!U64)*0.0038)</f>
        <v>0</v>
      </c>
      <c r="AL62" s="75">
        <f>IF('Wtr-Gas'!X64&lt;0,"0",('Wtr-Gas'!X64)*0.0038)</f>
        <v>0</v>
      </c>
      <c r="AM62" s="74">
        <f>IF('Wtr-Gas'!AB64&lt;0,"0",('Wtr-Gas'!AB64)*0.0038)</f>
        <v>0</v>
      </c>
      <c r="AN62" s="74">
        <f>IF('Wtr-Gas'!AD64&lt;0,"0",('Wtr-Gas'!AD64)*0.0038)</f>
        <v>0</v>
      </c>
      <c r="AO62" s="74">
        <f>IF('Wtr-Gas'!AH64&lt;0,"0",('Wtr-Gas'!AH64)*0.0038)</f>
        <v>0</v>
      </c>
      <c r="AP62" s="74">
        <f>IF('Wtr-Gas'!AJ64&lt;0,"0",('Wtr-Gas'!AJ64)*0.0038)</f>
        <v>0</v>
      </c>
      <c r="AQ62" s="74">
        <f>IF('Wtr-Gas'!AL64&lt;0,"0",('Wtr-Gas'!AL64)*0.0038)</f>
        <v>0</v>
      </c>
      <c r="AR62" s="74">
        <f>IF('Wtr-Gas'!AN64&lt;0,"0",('Wtr-Gas'!AN64)*0.0038)</f>
        <v>0</v>
      </c>
      <c r="AS62" s="74">
        <f>IF('Wtr-Gas'!AP64&lt;0,"0",('Wtr-Gas'!AP64)*0.0038)</f>
        <v>0</v>
      </c>
      <c r="AT62" s="74">
        <f>IF('Wtr-Gas'!AR64&lt;0,"0",('Wtr-Gas'!AR64)*0.0038)</f>
        <v>0</v>
      </c>
      <c r="AU62" s="87">
        <f>IF('Wtr-Gas'!AV64&lt;0,"0",('Wtr-Gas'!AV64)*0.0038)</f>
        <v>0</v>
      </c>
      <c r="AV62" s="74">
        <f>IF('Wtr-Gas'!AY64&lt;0,"0",('Wtr-Gas'!AY64)*0.0038)</f>
        <v>0</v>
      </c>
      <c r="AW62" s="74">
        <f>IF('Wtr-Gas'!BA64&lt;0,"0",('Wtr-Gas'!BA64)*0.0038)</f>
        <v>0</v>
      </c>
      <c r="AX62" s="74">
        <f>IF('Wtr-Gas'!BB64&lt;0,"0",('Wtr-Gas'!BB64)*0.0038)</f>
        <v>0</v>
      </c>
      <c r="AY62" s="74">
        <f>IF('Wtr-Gas'!BD64&lt;0,"0",('Wtr-Gas'!BD64)*0.0038)</f>
        <v>0</v>
      </c>
      <c r="AZ62" s="74">
        <f>IF('Wtr-Gas'!BF64&lt;0,"0",('Wtr-Gas'!BF64)*0.0038)</f>
        <v>0</v>
      </c>
      <c r="BA62" s="74">
        <f>IF('Wtr-Gas'!BH64&lt;0,"0",('Wtr-Gas'!BH64)*0.0038)</f>
        <v>0</v>
      </c>
    </row>
    <row r="63" spans="1:53" x14ac:dyDescent="0.25">
      <c r="B63" s="72"/>
    </row>
    <row r="64" spans="1:53" x14ac:dyDescent="0.25">
      <c r="B64" s="72"/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G64"/>
  <sheetViews>
    <sheetView tabSelected="1" topLeftCell="B6" zoomScale="115" zoomScaleNormal="115" workbookViewId="0">
      <selection activeCell="AU41" sqref="AU41:BB41"/>
    </sheetView>
  </sheetViews>
  <sheetFormatPr defaultRowHeight="15" x14ac:dyDescent="0.25"/>
  <cols>
    <col min="1" max="1" width="1.7109375" hidden="1" customWidth="1"/>
    <col min="2" max="2" width="13.5703125" customWidth="1"/>
    <col min="3" max="3" width="13.5703125" style="36" customWidth="1"/>
    <col min="4" max="4" width="11.140625" customWidth="1"/>
    <col min="6" max="6" width="11.28515625" customWidth="1"/>
    <col min="7" max="7" width="11" customWidth="1"/>
    <col min="8" max="8" width="9.5703125" bestFit="1" customWidth="1"/>
    <col min="9" max="9" width="10.42578125" customWidth="1"/>
    <col min="10" max="10" width="10.85546875" customWidth="1"/>
    <col min="12" max="13" width="10.28515625" customWidth="1"/>
    <col min="15" max="15" width="10.42578125" customWidth="1"/>
    <col min="16" max="16" width="10.28515625" customWidth="1"/>
    <col min="18" max="19" width="10.140625" customWidth="1"/>
    <col min="21" max="21" width="12" bestFit="1" customWidth="1"/>
    <col min="22" max="22" width="10.42578125" customWidth="1"/>
    <col min="24" max="24" width="10.140625" bestFit="1" customWidth="1"/>
    <col min="25" max="25" width="10.85546875" customWidth="1"/>
    <col min="28" max="28" width="10.140625" customWidth="1"/>
    <col min="30" max="30" width="10.42578125" customWidth="1"/>
    <col min="31" max="31" width="9.85546875" customWidth="1"/>
    <col min="33" max="33" width="10.7109375" customWidth="1"/>
    <col min="34" max="34" width="9.85546875" customWidth="1"/>
    <col min="36" max="36" width="10.28515625" customWidth="1"/>
    <col min="39" max="39" width="10.7109375" hidden="1" customWidth="1"/>
    <col min="40" max="40" width="1.7109375" customWidth="1"/>
    <col min="41" max="41" width="11.42578125" customWidth="1"/>
    <col min="44" max="44" width="11.7109375" customWidth="1"/>
    <col min="45" max="45" width="1.7109375" customWidth="1"/>
    <col min="46" max="46" width="12.5703125" customWidth="1"/>
    <col min="47" max="47" width="12.7109375" customWidth="1"/>
    <col min="48" max="48" width="10.7109375" customWidth="1"/>
    <col min="49" max="49" width="12.7109375" customWidth="1"/>
    <col min="50" max="50" width="9.85546875" customWidth="1"/>
    <col min="51" max="51" width="12.7109375" customWidth="1"/>
    <col min="52" max="52" width="10.28515625" customWidth="1"/>
    <col min="53" max="53" width="12.7109375" customWidth="1"/>
    <col min="54" max="54" width="10.7109375" customWidth="1"/>
    <col min="55" max="55" width="1.7109375" style="39" customWidth="1"/>
    <col min="56" max="58" width="10.7109375" style="39" customWidth="1"/>
    <col min="59" max="59" width="9.140625" style="39"/>
  </cols>
  <sheetData>
    <row r="1" spans="2:59" s="49" customFormat="1" ht="26.25" x14ac:dyDescent="0.4">
      <c r="B1" s="50">
        <v>2021</v>
      </c>
      <c r="C1" s="67"/>
      <c r="D1" s="125" t="s">
        <v>63</v>
      </c>
      <c r="E1" s="126"/>
      <c r="F1" s="126"/>
      <c r="G1" s="125" t="s">
        <v>66</v>
      </c>
      <c r="H1" s="126"/>
      <c r="I1" s="126"/>
      <c r="J1" s="125" t="s">
        <v>69</v>
      </c>
      <c r="K1" s="126"/>
      <c r="L1" s="126"/>
      <c r="M1" s="125" t="s">
        <v>72</v>
      </c>
      <c r="N1" s="126"/>
      <c r="O1" s="126"/>
      <c r="P1" s="125" t="s">
        <v>75</v>
      </c>
      <c r="Q1" s="126"/>
      <c r="R1" s="126"/>
      <c r="S1" s="125" t="s">
        <v>78</v>
      </c>
      <c r="T1" s="126"/>
      <c r="U1" s="126"/>
      <c r="V1" s="125" t="s">
        <v>81</v>
      </c>
      <c r="W1" s="126"/>
      <c r="X1" s="126"/>
      <c r="Y1" s="125" t="s">
        <v>84</v>
      </c>
      <c r="Z1" s="126"/>
      <c r="AA1" s="126"/>
      <c r="AB1" s="125" t="s">
        <v>87</v>
      </c>
      <c r="AC1" s="126"/>
      <c r="AD1" s="126"/>
      <c r="AE1" s="125" t="s">
        <v>90</v>
      </c>
      <c r="AF1" s="126"/>
      <c r="AG1" s="126"/>
      <c r="AH1" s="125" t="s">
        <v>93</v>
      </c>
      <c r="AI1" s="126"/>
      <c r="AJ1" s="126"/>
      <c r="AK1" s="125" t="s">
        <v>95</v>
      </c>
      <c r="AL1" s="126"/>
      <c r="AM1" s="126"/>
      <c r="AN1" s="51"/>
      <c r="AO1" s="51"/>
      <c r="AP1" s="52" t="s">
        <v>162</v>
      </c>
      <c r="AQ1" s="52" t="s">
        <v>163</v>
      </c>
      <c r="AR1" s="52"/>
      <c r="AS1" s="51"/>
      <c r="AT1" s="51"/>
      <c r="AU1" s="125" t="s">
        <v>97</v>
      </c>
      <c r="AV1" s="126"/>
      <c r="AW1" s="125" t="s">
        <v>96</v>
      </c>
      <c r="AX1" s="126"/>
      <c r="AY1" s="125" t="s">
        <v>98</v>
      </c>
      <c r="AZ1" s="126"/>
      <c r="BA1" s="125" t="s">
        <v>164</v>
      </c>
      <c r="BB1" s="126"/>
      <c r="BC1" s="47"/>
      <c r="BD1" s="47"/>
      <c r="BE1" s="47"/>
      <c r="BF1" s="15" t="s">
        <v>109</v>
      </c>
      <c r="BG1" s="47"/>
    </row>
    <row r="2" spans="2:59" x14ac:dyDescent="0.3">
      <c r="B2" s="25" t="s">
        <v>165</v>
      </c>
      <c r="C2" s="68" t="s">
        <v>166</v>
      </c>
      <c r="D2" s="18" t="s">
        <v>62</v>
      </c>
      <c r="E2" s="91" t="s">
        <v>61</v>
      </c>
      <c r="F2" s="41" t="s">
        <v>167</v>
      </c>
      <c r="G2" s="93" t="s">
        <v>65</v>
      </c>
      <c r="H2" s="91" t="s">
        <v>64</v>
      </c>
      <c r="I2" s="41" t="s">
        <v>167</v>
      </c>
      <c r="J2" s="91" t="s">
        <v>68</v>
      </c>
      <c r="K2" s="91" t="s">
        <v>67</v>
      </c>
      <c r="L2" s="41" t="s">
        <v>167</v>
      </c>
      <c r="M2" s="91" t="s">
        <v>71</v>
      </c>
      <c r="N2" s="91" t="s">
        <v>70</v>
      </c>
      <c r="O2" s="41" t="s">
        <v>167</v>
      </c>
      <c r="P2" s="91" t="s">
        <v>74</v>
      </c>
      <c r="Q2" s="91" t="s">
        <v>73</v>
      </c>
      <c r="R2" s="41" t="s">
        <v>167</v>
      </c>
      <c r="S2" s="91" t="s">
        <v>77</v>
      </c>
      <c r="T2" s="91" t="s">
        <v>76</v>
      </c>
      <c r="U2" s="41" t="s">
        <v>167</v>
      </c>
      <c r="V2" s="91" t="s">
        <v>80</v>
      </c>
      <c r="W2" s="91" t="s">
        <v>79</v>
      </c>
      <c r="X2" s="41" t="s">
        <v>167</v>
      </c>
      <c r="Y2" s="91" t="s">
        <v>83</v>
      </c>
      <c r="Z2" s="91" t="s">
        <v>82</v>
      </c>
      <c r="AA2" s="41" t="s">
        <v>167</v>
      </c>
      <c r="AB2" s="91" t="s">
        <v>86</v>
      </c>
      <c r="AC2" s="91" t="s">
        <v>85</v>
      </c>
      <c r="AD2" s="41" t="s">
        <v>167</v>
      </c>
      <c r="AE2" s="91" t="s">
        <v>89</v>
      </c>
      <c r="AF2" s="91" t="s">
        <v>88</v>
      </c>
      <c r="AG2" s="41" t="s">
        <v>167</v>
      </c>
      <c r="AH2" s="91" t="s">
        <v>92</v>
      </c>
      <c r="AI2" s="91" t="s">
        <v>91</v>
      </c>
      <c r="AJ2" s="41" t="s">
        <v>167</v>
      </c>
      <c r="AK2" s="123" t="s">
        <v>94</v>
      </c>
      <c r="AL2" s="124"/>
      <c r="AM2" s="41" t="s">
        <v>167</v>
      </c>
      <c r="AO2" s="42" t="s">
        <v>168</v>
      </c>
      <c r="AP2" s="42" t="s">
        <v>109</v>
      </c>
      <c r="AQ2" s="40"/>
      <c r="AR2" t="s">
        <v>169</v>
      </c>
      <c r="AS2" s="16"/>
      <c r="AT2" s="40"/>
      <c r="AU2" s="92" t="s">
        <v>111</v>
      </c>
      <c r="AV2" s="41" t="s">
        <v>167</v>
      </c>
      <c r="AW2" s="92" t="s">
        <v>112</v>
      </c>
      <c r="AX2" s="41" t="s">
        <v>167</v>
      </c>
      <c r="AY2" s="92" t="s">
        <v>113</v>
      </c>
      <c r="AZ2" s="41" t="s">
        <v>167</v>
      </c>
      <c r="BA2" s="92" t="s">
        <v>114</v>
      </c>
      <c r="BB2" s="41" t="s">
        <v>167</v>
      </c>
      <c r="BC2" s="16"/>
      <c r="BD2" s="15" t="s">
        <v>168</v>
      </c>
      <c r="BE2" s="15" t="s">
        <v>169</v>
      </c>
      <c r="BF2" s="43" t="s">
        <v>170</v>
      </c>
      <c r="BG2" s="40"/>
    </row>
    <row r="3" spans="2:59" x14ac:dyDescent="0.25">
      <c r="B3" s="44"/>
      <c r="C3" s="69" t="s">
        <v>10</v>
      </c>
      <c r="D3" s="91" t="s">
        <v>109</v>
      </c>
      <c r="E3" s="92" t="s">
        <v>110</v>
      </c>
      <c r="F3" s="18" t="s">
        <v>171</v>
      </c>
      <c r="G3" s="93" t="s">
        <v>109</v>
      </c>
      <c r="H3" s="91" t="s">
        <v>110</v>
      </c>
      <c r="I3" s="18" t="s">
        <v>171</v>
      </c>
      <c r="J3" s="91" t="s">
        <v>109</v>
      </c>
      <c r="K3" s="91" t="s">
        <v>110</v>
      </c>
      <c r="L3" s="18" t="s">
        <v>172</v>
      </c>
      <c r="M3" s="91" t="s">
        <v>109</v>
      </c>
      <c r="N3" s="91" t="s">
        <v>110</v>
      </c>
      <c r="O3" s="18" t="s">
        <v>172</v>
      </c>
      <c r="P3" s="91" t="s">
        <v>109</v>
      </c>
      <c r="Q3" s="91" t="s">
        <v>110</v>
      </c>
      <c r="R3" s="18" t="s">
        <v>172</v>
      </c>
      <c r="S3" s="91" t="s">
        <v>109</v>
      </c>
      <c r="T3" s="91" t="s">
        <v>110</v>
      </c>
      <c r="U3" s="18" t="s">
        <v>173</v>
      </c>
      <c r="V3" s="91" t="s">
        <v>109</v>
      </c>
      <c r="W3" s="91" t="s">
        <v>110</v>
      </c>
      <c r="X3" s="18" t="s">
        <v>173</v>
      </c>
      <c r="Y3" s="91" t="s">
        <v>109</v>
      </c>
      <c r="Z3" s="91" t="s">
        <v>110</v>
      </c>
      <c r="AA3" s="18" t="s">
        <v>171</v>
      </c>
      <c r="AB3" s="91" t="s">
        <v>109</v>
      </c>
      <c r="AC3" s="91" t="s">
        <v>110</v>
      </c>
      <c r="AD3" s="18" t="s">
        <v>171</v>
      </c>
      <c r="AE3" s="91" t="s">
        <v>109</v>
      </c>
      <c r="AF3" s="91" t="s">
        <v>110</v>
      </c>
      <c r="AG3" s="18" t="s">
        <v>174</v>
      </c>
      <c r="AH3" s="91" t="s">
        <v>109</v>
      </c>
      <c r="AI3" s="91" t="s">
        <v>110</v>
      </c>
      <c r="AJ3" s="18" t="s">
        <v>175</v>
      </c>
      <c r="AK3" s="123" t="s">
        <v>109</v>
      </c>
      <c r="AL3" s="124"/>
      <c r="AM3" s="18" t="s">
        <v>176</v>
      </c>
      <c r="AR3" s="40" t="s">
        <v>109</v>
      </c>
      <c r="AS3" s="14"/>
      <c r="AU3" s="92" t="s">
        <v>109</v>
      </c>
      <c r="AV3" s="18" t="s">
        <v>177</v>
      </c>
      <c r="AW3" s="92" t="s">
        <v>109</v>
      </c>
      <c r="AX3" s="18" t="s">
        <v>177</v>
      </c>
      <c r="AY3" s="92" t="s">
        <v>109</v>
      </c>
      <c r="AZ3" s="18" t="s">
        <v>176</v>
      </c>
      <c r="BA3" s="92" t="s">
        <v>109</v>
      </c>
      <c r="BB3" s="18" t="s">
        <v>175</v>
      </c>
      <c r="BC3" s="16"/>
      <c r="BD3" s="20" t="s">
        <v>178</v>
      </c>
      <c r="BE3" s="20" t="s">
        <v>178</v>
      </c>
      <c r="BF3" s="20" t="s">
        <v>179</v>
      </c>
      <c r="BG3" s="40"/>
    </row>
    <row r="4" spans="2:59" x14ac:dyDescent="0.25">
      <c r="B4" s="45">
        <v>44562</v>
      </c>
      <c r="C4" s="70">
        <f>(Occupancy!K8)</f>
        <v>298</v>
      </c>
      <c r="D4" s="59">
        <v>11321</v>
      </c>
      <c r="E4" s="59">
        <v>1.923</v>
      </c>
      <c r="F4" s="61">
        <v>0</v>
      </c>
      <c r="G4" s="59">
        <v>10100</v>
      </c>
      <c r="H4" s="59">
        <v>2.5649999999999999</v>
      </c>
      <c r="I4" s="61">
        <v>0</v>
      </c>
      <c r="J4" s="59">
        <v>12287</v>
      </c>
      <c r="K4" s="59">
        <v>3.65</v>
      </c>
      <c r="L4" s="61">
        <v>0</v>
      </c>
      <c r="M4" s="59">
        <v>12096</v>
      </c>
      <c r="N4" s="59">
        <v>2.73</v>
      </c>
      <c r="O4" s="61">
        <v>0</v>
      </c>
      <c r="P4" s="59">
        <v>12723</v>
      </c>
      <c r="Q4" s="59">
        <v>3.73</v>
      </c>
      <c r="R4" s="61">
        <v>0</v>
      </c>
      <c r="S4" s="59">
        <v>87171</v>
      </c>
      <c r="T4" s="59">
        <v>2.2490000000000001</v>
      </c>
      <c r="U4" s="61">
        <v>0</v>
      </c>
      <c r="V4" s="59">
        <v>83846</v>
      </c>
      <c r="W4" s="59">
        <v>1.671</v>
      </c>
      <c r="X4" s="61">
        <v>0</v>
      </c>
      <c r="Y4" s="59">
        <v>19760</v>
      </c>
      <c r="Z4" s="59">
        <v>2.75</v>
      </c>
      <c r="AA4" s="61">
        <v>0</v>
      </c>
      <c r="AB4" s="59">
        <v>12886</v>
      </c>
      <c r="AC4" s="59">
        <v>2.31</v>
      </c>
      <c r="AD4" s="61">
        <v>0</v>
      </c>
      <c r="AE4" s="59">
        <v>6617</v>
      </c>
      <c r="AF4" s="59">
        <v>2.1659999999999999</v>
      </c>
      <c r="AG4" s="61">
        <v>0</v>
      </c>
      <c r="AH4" s="73">
        <v>19427</v>
      </c>
      <c r="AI4" s="59">
        <v>0.29399999999999998</v>
      </c>
      <c r="AJ4" s="61">
        <v>0</v>
      </c>
      <c r="AK4" s="65">
        <v>96927</v>
      </c>
      <c r="AL4" s="61">
        <v>0</v>
      </c>
      <c r="AM4" s="33"/>
      <c r="AO4" s="33"/>
      <c r="AP4" s="17"/>
      <c r="AQ4" s="17"/>
      <c r="AR4" s="17"/>
      <c r="AS4" s="14"/>
      <c r="AT4" s="48">
        <f>B4</f>
        <v>44562</v>
      </c>
      <c r="AU4" s="59">
        <v>70527</v>
      </c>
      <c r="AV4" s="59">
        <v>0</v>
      </c>
      <c r="AW4" s="60">
        <v>9004</v>
      </c>
      <c r="AX4" s="59">
        <v>0</v>
      </c>
      <c r="AY4" s="60">
        <v>72470</v>
      </c>
      <c r="AZ4" s="64">
        <v>0</v>
      </c>
      <c r="BA4" s="59">
        <v>3543</v>
      </c>
      <c r="BB4" s="61">
        <v>0</v>
      </c>
      <c r="BC4" s="46"/>
      <c r="BD4" s="33"/>
      <c r="BE4" s="17"/>
      <c r="BF4" s="17"/>
    </row>
    <row r="5" spans="2:59" x14ac:dyDescent="0.25">
      <c r="B5" s="45">
        <v>44564</v>
      </c>
      <c r="C5" s="70">
        <f>(Occupancy!K9+K10)</f>
        <v>242.25</v>
      </c>
      <c r="D5" s="17">
        <v>11444</v>
      </c>
      <c r="E5" s="17">
        <v>1.923</v>
      </c>
      <c r="F5" s="33">
        <f t="shared" ref="F5" si="0">SUM(D5-D4)*160</f>
        <v>19680</v>
      </c>
      <c r="G5" s="17">
        <v>10191</v>
      </c>
      <c r="H5" s="17">
        <v>2.5649999999999999</v>
      </c>
      <c r="I5" s="33">
        <f t="shared" ref="I5:I41" si="1">SUM(G5-G4)*160</f>
        <v>14560</v>
      </c>
      <c r="J5" s="17">
        <v>12296</v>
      </c>
      <c r="K5" s="17">
        <v>3.65</v>
      </c>
      <c r="L5" s="33">
        <f t="shared" ref="L5:L41" si="2">SUM(J5-J4)*400</f>
        <v>3600</v>
      </c>
      <c r="M5" s="17">
        <v>12104</v>
      </c>
      <c r="N5" s="17">
        <v>3.73</v>
      </c>
      <c r="O5" s="33">
        <f t="shared" ref="O5:O41" si="3">SUM(M5-M4)*400</f>
        <v>3200</v>
      </c>
      <c r="P5" s="17">
        <v>12731</v>
      </c>
      <c r="Q5" s="17">
        <v>3.73</v>
      </c>
      <c r="R5" s="33">
        <f t="shared" ref="R5:R41" si="4">SUM(P5-P4)*400</f>
        <v>3200</v>
      </c>
      <c r="S5" s="17">
        <v>87232</v>
      </c>
      <c r="T5" s="17">
        <v>2.2490000000000001</v>
      </c>
      <c r="U5" s="33">
        <f t="shared" ref="U5:U41" si="5">SUM(S5-S4)*300</f>
        <v>18300</v>
      </c>
      <c r="V5" s="17">
        <v>83905</v>
      </c>
      <c r="W5" s="17">
        <v>1.8380000000000001</v>
      </c>
      <c r="X5" s="33">
        <f t="shared" ref="X5:X41" si="6">SUM(V5-V4)*300</f>
        <v>17700</v>
      </c>
      <c r="Y5" s="17">
        <v>19769</v>
      </c>
      <c r="Z5" s="17">
        <v>2.75</v>
      </c>
      <c r="AA5" s="33">
        <f t="shared" ref="AA5:AA41" si="7">SUM(Y5-Y4)*160</f>
        <v>1440</v>
      </c>
      <c r="AB5" s="17">
        <v>12892</v>
      </c>
      <c r="AC5" s="17">
        <v>2.31</v>
      </c>
      <c r="AD5" s="33">
        <f t="shared" ref="AD5:AD41" si="8">SUM(AB5-AB4)*160</f>
        <v>960</v>
      </c>
      <c r="AE5" s="17">
        <v>6693</v>
      </c>
      <c r="AF5" s="17">
        <v>2.1659999999999999</v>
      </c>
      <c r="AG5" s="33">
        <f t="shared" ref="AG5:AG41" si="9">SUM(AE5-AE4)*200</f>
        <v>15200</v>
      </c>
      <c r="AH5" s="17">
        <v>19437</v>
      </c>
      <c r="AI5" s="17">
        <v>0.29699999999999999</v>
      </c>
      <c r="AJ5" s="33">
        <f t="shared" ref="AJ5:AJ41" si="10">SUM(AH5-AH4)*40</f>
        <v>400</v>
      </c>
      <c r="AK5" s="118">
        <v>96950</v>
      </c>
      <c r="AL5" s="33">
        <f t="shared" ref="AL5:AL13" si="11">SUM(AK5-AK4)</f>
        <v>23</v>
      </c>
      <c r="AM5" s="33"/>
      <c r="AO5" s="33">
        <f t="shared" ref="AO5" si="12">SUM(AG5+AD5+AA5+X5+U5+R5+O5+L5+I5+F5+AJ5+AL5)</f>
        <v>98263</v>
      </c>
      <c r="AP5" s="119">
        <f t="shared" ref="AP5" si="13">SUM(AG5+AJ5)</f>
        <v>15600</v>
      </c>
      <c r="AQ5" s="53">
        <f t="shared" ref="AQ5" si="14">SUM(AP5/AO5)</f>
        <v>0.15875761985691461</v>
      </c>
      <c r="AR5" s="17"/>
      <c r="AS5" s="14"/>
      <c r="AT5" s="48">
        <f t="shared" ref="AT5:AT64" si="15">B5</f>
        <v>44564</v>
      </c>
      <c r="AU5" s="17">
        <v>70589</v>
      </c>
      <c r="AV5" s="33">
        <f t="shared" ref="AV5:AV41" si="16">SUM(AU5-AU4)*100</f>
        <v>6200</v>
      </c>
      <c r="AW5" s="17">
        <v>9010</v>
      </c>
      <c r="AX5" s="33">
        <f t="shared" ref="AX5:AX41" si="17">SUM(AW5-AW4)*100</f>
        <v>600</v>
      </c>
      <c r="AY5" s="53">
        <v>72793</v>
      </c>
      <c r="AZ5" s="54">
        <f t="shared" ref="AZ5:AZ9" si="18">SUM(AY5-AY4)</f>
        <v>323</v>
      </c>
      <c r="BA5" s="17">
        <v>3556</v>
      </c>
      <c r="BB5" s="33">
        <f t="shared" ref="BB5:BB41" si="19">SUM(BA5-BA4)*40</f>
        <v>520</v>
      </c>
      <c r="BC5" s="46"/>
      <c r="BD5" s="17">
        <f>SUM(AV5+AX5,AZ5,BB5)</f>
        <v>7643</v>
      </c>
      <c r="BE5" s="17"/>
      <c r="BF5" s="17"/>
    </row>
    <row r="6" spans="2:59" x14ac:dyDescent="0.25">
      <c r="B6" s="45">
        <v>44571</v>
      </c>
      <c r="C6" s="70">
        <f>SUM(Occupancy!K11:K17)</f>
        <v>1355</v>
      </c>
      <c r="D6" s="17">
        <v>11696</v>
      </c>
      <c r="E6" s="17">
        <v>1.923</v>
      </c>
      <c r="F6" s="33">
        <f t="shared" ref="F6:F41" si="20">SUM(D6-D5)*160</f>
        <v>40320</v>
      </c>
      <c r="G6" s="17">
        <v>10511</v>
      </c>
      <c r="H6" s="17">
        <v>2.5649999999999999</v>
      </c>
      <c r="I6" s="33">
        <f t="shared" si="1"/>
        <v>51200</v>
      </c>
      <c r="J6" s="17">
        <v>12323</v>
      </c>
      <c r="K6" s="17">
        <v>3.65</v>
      </c>
      <c r="L6" s="33">
        <f t="shared" si="2"/>
        <v>10800</v>
      </c>
      <c r="M6" s="17">
        <v>12127</v>
      </c>
      <c r="N6" s="17">
        <v>2.73</v>
      </c>
      <c r="O6" s="33">
        <f t="shared" si="3"/>
        <v>9200</v>
      </c>
      <c r="P6" s="17">
        <v>12756</v>
      </c>
      <c r="Q6" s="17">
        <v>3.73</v>
      </c>
      <c r="R6" s="33">
        <f t="shared" si="4"/>
        <v>10000</v>
      </c>
      <c r="S6" s="17">
        <v>87372</v>
      </c>
      <c r="T6" s="17">
        <v>2.2490000000000001</v>
      </c>
      <c r="U6" s="33">
        <f t="shared" si="5"/>
        <v>42000</v>
      </c>
      <c r="V6" s="17">
        <v>84018</v>
      </c>
      <c r="W6" s="17">
        <v>1.8380000000000001</v>
      </c>
      <c r="X6" s="33">
        <f t="shared" si="6"/>
        <v>33900</v>
      </c>
      <c r="Y6" s="17">
        <v>19803</v>
      </c>
      <c r="Z6" s="17">
        <v>3.16</v>
      </c>
      <c r="AA6" s="33">
        <f t="shared" si="7"/>
        <v>5440</v>
      </c>
      <c r="AB6" s="17">
        <v>12915</v>
      </c>
      <c r="AC6" s="17">
        <v>3.23</v>
      </c>
      <c r="AD6" s="33">
        <f t="shared" si="8"/>
        <v>3680</v>
      </c>
      <c r="AE6" s="17">
        <v>6964</v>
      </c>
      <c r="AF6" s="17">
        <v>2.1659999999999999</v>
      </c>
      <c r="AG6" s="33">
        <f t="shared" si="9"/>
        <v>54200</v>
      </c>
      <c r="AH6" s="17">
        <v>19473</v>
      </c>
      <c r="AI6" s="17">
        <v>0.29699999999999999</v>
      </c>
      <c r="AJ6" s="33">
        <f t="shared" si="10"/>
        <v>1440</v>
      </c>
      <c r="AK6" s="118">
        <v>97680</v>
      </c>
      <c r="AL6" s="33">
        <f t="shared" si="11"/>
        <v>730</v>
      </c>
      <c r="AM6" s="33"/>
      <c r="AO6" s="33">
        <f t="shared" ref="AO6" si="21">SUM(AG6+AD6+AA6+X6+U6+R6+O6+L6+I6+F6+AJ6+AL6)</f>
        <v>262910</v>
      </c>
      <c r="AP6" s="119">
        <f t="shared" ref="AP6" si="22">SUM(AG6+AJ6)</f>
        <v>55640</v>
      </c>
      <c r="AQ6" s="53">
        <f t="shared" ref="AQ6" si="23">SUM(AP6/AO6)</f>
        <v>0.21163135673804723</v>
      </c>
      <c r="AR6" s="17"/>
      <c r="AS6" s="14"/>
      <c r="AT6" s="48">
        <f t="shared" si="15"/>
        <v>44571</v>
      </c>
      <c r="AU6" s="17">
        <v>70721</v>
      </c>
      <c r="AV6" s="33">
        <f t="shared" si="16"/>
        <v>13200</v>
      </c>
      <c r="AW6" s="17">
        <v>9028</v>
      </c>
      <c r="AX6" s="33">
        <f t="shared" si="17"/>
        <v>1800</v>
      </c>
      <c r="AY6" s="53">
        <v>73621</v>
      </c>
      <c r="AZ6" s="54">
        <f t="shared" si="18"/>
        <v>828</v>
      </c>
      <c r="BA6" s="17">
        <v>3616</v>
      </c>
      <c r="BB6" s="33">
        <f t="shared" si="19"/>
        <v>2400</v>
      </c>
      <c r="BC6" s="46"/>
      <c r="BD6" s="17">
        <f t="shared" ref="BD6:BD64" si="24">SUM(AV6+AX6,AZ6,BB6)</f>
        <v>18228</v>
      </c>
      <c r="BE6" s="17"/>
      <c r="BF6" s="17"/>
    </row>
    <row r="7" spans="2:59" x14ac:dyDescent="0.25">
      <c r="B7" s="45">
        <v>44578</v>
      </c>
      <c r="C7" s="70">
        <f>SUM(Occupancy!K18:K24)</f>
        <v>1610</v>
      </c>
      <c r="D7" s="17">
        <v>11962</v>
      </c>
      <c r="E7" s="17">
        <v>1.9610000000000001</v>
      </c>
      <c r="F7" s="33">
        <f t="shared" si="20"/>
        <v>42560</v>
      </c>
      <c r="G7" s="17">
        <v>10844</v>
      </c>
      <c r="H7" s="17">
        <v>2.5649999999999999</v>
      </c>
      <c r="I7" s="33">
        <f t="shared" si="1"/>
        <v>53280</v>
      </c>
      <c r="J7" s="17">
        <v>12351</v>
      </c>
      <c r="K7" s="17">
        <v>3.65</v>
      </c>
      <c r="L7" s="33">
        <f t="shared" si="2"/>
        <v>11200</v>
      </c>
      <c r="M7" s="17">
        <v>12153</v>
      </c>
      <c r="N7" s="17">
        <v>2.73</v>
      </c>
      <c r="O7" s="33">
        <f t="shared" si="3"/>
        <v>10400</v>
      </c>
      <c r="P7" s="17">
        <v>12785</v>
      </c>
      <c r="Q7" s="17">
        <v>3.73</v>
      </c>
      <c r="R7" s="33">
        <f t="shared" si="4"/>
        <v>11600</v>
      </c>
      <c r="S7" s="17">
        <v>87520</v>
      </c>
      <c r="T7" s="17">
        <v>2.2490000000000001</v>
      </c>
      <c r="U7" s="33">
        <f t="shared" si="5"/>
        <v>44400</v>
      </c>
      <c r="V7" s="17">
        <v>84121</v>
      </c>
      <c r="W7" s="17">
        <v>1.8380000000000001</v>
      </c>
      <c r="X7" s="33">
        <f t="shared" si="6"/>
        <v>30900</v>
      </c>
      <c r="Y7" s="17">
        <v>19841</v>
      </c>
      <c r="Z7" s="17">
        <v>3.18</v>
      </c>
      <c r="AA7" s="33">
        <f t="shared" si="7"/>
        <v>6080</v>
      </c>
      <c r="AB7" s="17">
        <v>12939</v>
      </c>
      <c r="AC7" s="17">
        <v>3.23</v>
      </c>
      <c r="AD7" s="33">
        <f t="shared" si="8"/>
        <v>3840</v>
      </c>
      <c r="AE7" s="17">
        <v>7242</v>
      </c>
      <c r="AF7" s="17">
        <v>2.1659999999999999</v>
      </c>
      <c r="AG7" s="33">
        <f t="shared" si="9"/>
        <v>55600</v>
      </c>
      <c r="AH7" s="17">
        <v>19511</v>
      </c>
      <c r="AI7" s="17">
        <v>0.29699999999999999</v>
      </c>
      <c r="AJ7" s="33">
        <f t="shared" si="10"/>
        <v>1520</v>
      </c>
      <c r="AK7" s="118">
        <v>98341</v>
      </c>
      <c r="AL7" s="33">
        <f t="shared" si="11"/>
        <v>661</v>
      </c>
      <c r="AM7" s="33"/>
      <c r="AO7" s="33">
        <f t="shared" ref="AO7" si="25">SUM(AG7+AD7+AA7+X7+U7+R7+O7+L7+I7+F7+AJ7+AL7)</f>
        <v>272041</v>
      </c>
      <c r="AP7" s="119">
        <f t="shared" ref="AP7" si="26">SUM(AG7+AJ7)</f>
        <v>57120</v>
      </c>
      <c r="AQ7" s="53">
        <f t="shared" ref="AQ7" si="27">SUM(AP7/AO7)</f>
        <v>0.20996835035895325</v>
      </c>
      <c r="AR7" s="17"/>
      <c r="AS7" s="14"/>
      <c r="AT7" s="48">
        <f t="shared" si="15"/>
        <v>44578</v>
      </c>
      <c r="AU7" s="17">
        <v>70830</v>
      </c>
      <c r="AV7" s="33">
        <f t="shared" si="16"/>
        <v>10900</v>
      </c>
      <c r="AW7" s="17">
        <v>9044</v>
      </c>
      <c r="AX7" s="33">
        <f t="shared" si="17"/>
        <v>1600</v>
      </c>
      <c r="AY7" s="53">
        <v>74319</v>
      </c>
      <c r="AZ7" s="54">
        <f t="shared" si="18"/>
        <v>698</v>
      </c>
      <c r="BA7" s="17">
        <v>3662</v>
      </c>
      <c r="BB7" s="33">
        <f t="shared" si="19"/>
        <v>1840</v>
      </c>
      <c r="BC7" s="46"/>
      <c r="BD7" s="17">
        <f t="shared" si="24"/>
        <v>15038</v>
      </c>
      <c r="BE7" s="17"/>
      <c r="BF7" s="17"/>
    </row>
    <row r="8" spans="2:59" x14ac:dyDescent="0.25">
      <c r="B8" s="45">
        <v>44585</v>
      </c>
      <c r="C8" s="70">
        <f>SUM(Occupancy!K25:K31)</f>
        <v>1849</v>
      </c>
      <c r="D8" s="17">
        <v>12222</v>
      </c>
      <c r="E8" s="17">
        <v>1.86</v>
      </c>
      <c r="F8" s="33">
        <f t="shared" si="20"/>
        <v>41600</v>
      </c>
      <c r="G8" s="17">
        <v>11167</v>
      </c>
      <c r="H8" s="17">
        <v>2.403</v>
      </c>
      <c r="I8" s="33">
        <f t="shared" si="1"/>
        <v>51680</v>
      </c>
      <c r="J8" s="17">
        <v>12385</v>
      </c>
      <c r="K8" s="17">
        <v>3.25</v>
      </c>
      <c r="L8" s="33">
        <f t="shared" si="2"/>
        <v>13600</v>
      </c>
      <c r="M8" s="17">
        <v>12183</v>
      </c>
      <c r="N8" s="17">
        <v>2.85</v>
      </c>
      <c r="O8" s="33">
        <f t="shared" si="3"/>
        <v>12000</v>
      </c>
      <c r="P8" s="17">
        <v>12818</v>
      </c>
      <c r="Q8" s="17">
        <v>3.1</v>
      </c>
      <c r="R8" s="33">
        <f t="shared" si="4"/>
        <v>13200</v>
      </c>
      <c r="S8" s="17">
        <v>87629</v>
      </c>
      <c r="T8" s="17">
        <v>2.2490000000000001</v>
      </c>
      <c r="U8" s="33">
        <f t="shared" si="5"/>
        <v>32700</v>
      </c>
      <c r="V8" s="17">
        <v>84240</v>
      </c>
      <c r="W8" s="17">
        <v>1.8380000000000001</v>
      </c>
      <c r="X8" s="33">
        <f t="shared" si="6"/>
        <v>35700</v>
      </c>
      <c r="Y8" s="17">
        <v>19879</v>
      </c>
      <c r="Z8" s="17">
        <v>2.99</v>
      </c>
      <c r="AA8" s="33">
        <f t="shared" si="7"/>
        <v>6080</v>
      </c>
      <c r="AB8" s="17">
        <v>12967</v>
      </c>
      <c r="AC8" s="17">
        <v>2.4500000000000002</v>
      </c>
      <c r="AD8" s="33">
        <f t="shared" si="8"/>
        <v>4480</v>
      </c>
      <c r="AE8" s="17">
        <v>7512</v>
      </c>
      <c r="AF8" s="17">
        <v>2.1110000000000002</v>
      </c>
      <c r="AG8" s="33">
        <f t="shared" si="9"/>
        <v>54000</v>
      </c>
      <c r="AH8" s="17">
        <v>19548</v>
      </c>
      <c r="AI8" s="17">
        <v>0.29199999999999998</v>
      </c>
      <c r="AJ8" s="33">
        <f t="shared" si="10"/>
        <v>1480</v>
      </c>
      <c r="AK8" s="118">
        <v>98899</v>
      </c>
      <c r="AL8" s="33">
        <f t="shared" si="11"/>
        <v>558</v>
      </c>
      <c r="AM8" s="33"/>
      <c r="AO8" s="33">
        <f t="shared" ref="AO8:AO64" si="28">SUM(AG8+AD8+AA8+X8+U8+R8+O8+L8+I8+F8+AJ8+AL8)</f>
        <v>267078</v>
      </c>
      <c r="AP8" s="119">
        <f t="shared" ref="AP8:AP64" si="29">SUM(AG8+AJ8)</f>
        <v>55480</v>
      </c>
      <c r="AQ8" s="53">
        <f t="shared" ref="AQ8:AQ64" si="30">SUM(AP8/AO8)</f>
        <v>0.20772957712728116</v>
      </c>
      <c r="AR8" s="17"/>
      <c r="AS8" s="14"/>
      <c r="AT8" s="48">
        <f t="shared" si="15"/>
        <v>44585</v>
      </c>
      <c r="AU8" s="17">
        <v>70925</v>
      </c>
      <c r="AV8" s="33">
        <f t="shared" si="16"/>
        <v>9500</v>
      </c>
      <c r="AW8" s="17">
        <v>9062</v>
      </c>
      <c r="AX8" s="33">
        <f t="shared" si="17"/>
        <v>1800</v>
      </c>
      <c r="AY8" s="53">
        <v>75050</v>
      </c>
      <c r="AZ8" s="54">
        <f t="shared" si="18"/>
        <v>731</v>
      </c>
      <c r="BA8" s="17">
        <v>3692</v>
      </c>
      <c r="BB8" s="33">
        <f t="shared" si="19"/>
        <v>1200</v>
      </c>
      <c r="BC8" s="46"/>
      <c r="BD8" s="17">
        <f t="shared" si="24"/>
        <v>13231</v>
      </c>
      <c r="BE8" s="17"/>
      <c r="BF8" s="17"/>
    </row>
    <row r="9" spans="2:59" x14ac:dyDescent="0.25">
      <c r="B9" s="45">
        <v>44592</v>
      </c>
      <c r="C9" s="70">
        <f>SUM(Occupancy!K32:K38)</f>
        <v>724</v>
      </c>
      <c r="D9" s="17">
        <v>12480</v>
      </c>
      <c r="E9" s="17">
        <v>1.9059999999999999</v>
      </c>
      <c r="F9" s="33">
        <f t="shared" si="20"/>
        <v>41280</v>
      </c>
      <c r="G9" s="17">
        <v>11484</v>
      </c>
      <c r="H9" s="17">
        <v>2.4780000000000002</v>
      </c>
      <c r="I9" s="33">
        <f t="shared" si="1"/>
        <v>50720</v>
      </c>
      <c r="J9" s="17">
        <v>12416</v>
      </c>
      <c r="K9" s="17">
        <v>3.25</v>
      </c>
      <c r="L9" s="33">
        <f t="shared" si="2"/>
        <v>12400</v>
      </c>
      <c r="M9" s="17">
        <v>12211</v>
      </c>
      <c r="N9" s="17">
        <v>2.96</v>
      </c>
      <c r="O9" s="33">
        <f t="shared" si="3"/>
        <v>11200</v>
      </c>
      <c r="P9" s="17">
        <v>12846</v>
      </c>
      <c r="Q9" s="17">
        <v>3.1</v>
      </c>
      <c r="R9" s="33">
        <f t="shared" si="4"/>
        <v>11200</v>
      </c>
      <c r="S9" s="17">
        <v>87711</v>
      </c>
      <c r="T9" s="17">
        <v>1.359</v>
      </c>
      <c r="U9" s="33">
        <f t="shared" si="5"/>
        <v>24600</v>
      </c>
      <c r="V9" s="17">
        <v>84342</v>
      </c>
      <c r="W9" s="17">
        <v>0.98</v>
      </c>
      <c r="X9" s="33">
        <f t="shared" si="6"/>
        <v>30600</v>
      </c>
      <c r="Y9" s="17">
        <v>19913</v>
      </c>
      <c r="Z9" s="17">
        <v>3.25</v>
      </c>
      <c r="AA9" s="33">
        <f t="shared" si="7"/>
        <v>5440</v>
      </c>
      <c r="AB9" s="17">
        <v>12987</v>
      </c>
      <c r="AC9" s="17">
        <v>2.85</v>
      </c>
      <c r="AD9" s="33">
        <f t="shared" si="8"/>
        <v>3200</v>
      </c>
      <c r="AE9" s="17">
        <v>7778</v>
      </c>
      <c r="AF9" s="17">
        <v>2.1859999999999999</v>
      </c>
      <c r="AG9" s="33">
        <f t="shared" si="9"/>
        <v>53200</v>
      </c>
      <c r="AH9" s="17">
        <v>19583</v>
      </c>
      <c r="AI9" s="17">
        <v>0.29199999999999998</v>
      </c>
      <c r="AJ9" s="33">
        <f t="shared" si="10"/>
        <v>1400</v>
      </c>
      <c r="AK9" s="118">
        <v>99300</v>
      </c>
      <c r="AL9" s="33">
        <f t="shared" si="11"/>
        <v>401</v>
      </c>
      <c r="AM9" s="33"/>
      <c r="AO9" s="33">
        <f t="shared" si="28"/>
        <v>245641</v>
      </c>
      <c r="AP9" s="119">
        <f t="shared" si="29"/>
        <v>54600</v>
      </c>
      <c r="AQ9" s="53">
        <f t="shared" si="30"/>
        <v>0.22227559731478053</v>
      </c>
      <c r="AR9" s="17"/>
      <c r="AS9" s="14"/>
      <c r="AT9" s="48">
        <f t="shared" si="15"/>
        <v>44592</v>
      </c>
      <c r="AU9" s="17">
        <v>71052</v>
      </c>
      <c r="AV9" s="33">
        <f t="shared" si="16"/>
        <v>12700</v>
      </c>
      <c r="AW9" s="17">
        <v>9078</v>
      </c>
      <c r="AX9" s="33">
        <f t="shared" si="17"/>
        <v>1600</v>
      </c>
      <c r="AY9" s="53">
        <v>75871</v>
      </c>
      <c r="AZ9" s="54">
        <f t="shared" si="18"/>
        <v>821</v>
      </c>
      <c r="BA9" s="17">
        <v>3728</v>
      </c>
      <c r="BB9" s="33">
        <f t="shared" si="19"/>
        <v>1440</v>
      </c>
      <c r="BC9" s="46"/>
      <c r="BD9" s="17">
        <f t="shared" si="24"/>
        <v>16561</v>
      </c>
      <c r="BE9" s="17"/>
      <c r="BF9" s="17"/>
    </row>
    <row r="10" spans="2:59" x14ac:dyDescent="0.25">
      <c r="B10" s="45">
        <v>44599</v>
      </c>
      <c r="C10" s="70">
        <f>SUM(Occupancy!K39:K45)</f>
        <v>1557</v>
      </c>
      <c r="D10" s="17">
        <v>12734</v>
      </c>
      <c r="E10" s="17">
        <v>1.9079999999999999</v>
      </c>
      <c r="F10" s="33">
        <f t="shared" si="20"/>
        <v>40640</v>
      </c>
      <c r="G10" s="17">
        <v>11789</v>
      </c>
      <c r="H10" s="17">
        <v>2.4780000000000002</v>
      </c>
      <c r="I10" s="33">
        <f t="shared" si="1"/>
        <v>48800</v>
      </c>
      <c r="J10" s="17">
        <v>12443</v>
      </c>
      <c r="K10" s="17">
        <v>3.25</v>
      </c>
      <c r="L10" s="33">
        <f t="shared" si="2"/>
        <v>10800</v>
      </c>
      <c r="M10" s="17">
        <v>12238</v>
      </c>
      <c r="N10" s="17">
        <v>2.96</v>
      </c>
      <c r="O10" s="33">
        <f t="shared" si="3"/>
        <v>10800</v>
      </c>
      <c r="P10" s="17">
        <v>12873</v>
      </c>
      <c r="Q10" s="17">
        <v>3.1</v>
      </c>
      <c r="R10" s="33">
        <f t="shared" si="4"/>
        <v>10800</v>
      </c>
      <c r="S10" s="17">
        <v>87837</v>
      </c>
      <c r="T10" s="17">
        <v>2.0099999999999998</v>
      </c>
      <c r="U10" s="33">
        <f t="shared" si="5"/>
        <v>37800</v>
      </c>
      <c r="V10" s="17">
        <v>84480</v>
      </c>
      <c r="W10" s="17">
        <v>1.7370000000000001</v>
      </c>
      <c r="X10" s="33">
        <f t="shared" si="6"/>
        <v>41400</v>
      </c>
      <c r="Y10" s="17">
        <v>19950</v>
      </c>
      <c r="Z10" s="17">
        <v>3.25</v>
      </c>
      <c r="AA10" s="33">
        <f t="shared" si="7"/>
        <v>5920</v>
      </c>
      <c r="AB10" s="17">
        <v>13013</v>
      </c>
      <c r="AC10" s="17">
        <v>3.15</v>
      </c>
      <c r="AD10" s="33">
        <f t="shared" si="8"/>
        <v>4160</v>
      </c>
      <c r="AE10" s="17">
        <v>8038</v>
      </c>
      <c r="AF10" s="17">
        <v>2.1859999999999999</v>
      </c>
      <c r="AG10" s="33">
        <f t="shared" si="9"/>
        <v>52000</v>
      </c>
      <c r="AH10" s="17">
        <v>19618</v>
      </c>
      <c r="AI10" s="17">
        <v>0.30099999999999999</v>
      </c>
      <c r="AJ10" s="33">
        <f t="shared" si="10"/>
        <v>1400</v>
      </c>
      <c r="AK10" s="118">
        <v>100295</v>
      </c>
      <c r="AL10" s="33">
        <f t="shared" si="11"/>
        <v>995</v>
      </c>
      <c r="AM10" s="33"/>
      <c r="AO10" s="33">
        <f t="shared" si="28"/>
        <v>265515</v>
      </c>
      <c r="AP10" s="119">
        <f t="shared" si="29"/>
        <v>53400</v>
      </c>
      <c r="AQ10" s="53">
        <f t="shared" si="30"/>
        <v>0.20111858087113724</v>
      </c>
      <c r="AR10" s="17"/>
      <c r="AS10" s="14"/>
      <c r="AT10" s="48">
        <f t="shared" si="15"/>
        <v>44599</v>
      </c>
      <c r="AU10" s="17">
        <v>71167</v>
      </c>
      <c r="AV10" s="33">
        <f t="shared" si="16"/>
        <v>11500</v>
      </c>
      <c r="AW10" s="17">
        <v>9092</v>
      </c>
      <c r="AX10" s="33">
        <f t="shared" si="17"/>
        <v>1400</v>
      </c>
      <c r="AY10" s="53">
        <v>76596</v>
      </c>
      <c r="AZ10" s="54">
        <f t="shared" ref="AZ10" si="31">SUM(AY10-AY9)</f>
        <v>725</v>
      </c>
      <c r="BA10" s="17">
        <v>3787</v>
      </c>
      <c r="BB10" s="33">
        <f t="shared" si="19"/>
        <v>2360</v>
      </c>
      <c r="BC10" s="46"/>
      <c r="BD10" s="17">
        <f t="shared" si="24"/>
        <v>15985</v>
      </c>
      <c r="BE10" s="17"/>
      <c r="BF10" s="17"/>
    </row>
    <row r="11" spans="2:59" x14ac:dyDescent="0.25">
      <c r="B11" s="45">
        <v>44606</v>
      </c>
      <c r="C11" s="70">
        <f>SUM(Occupancy!K46:K52)</f>
        <v>1315</v>
      </c>
      <c r="D11" s="17">
        <v>12992</v>
      </c>
      <c r="E11" s="17">
        <v>1.9379999999999999</v>
      </c>
      <c r="F11" s="33">
        <f t="shared" si="20"/>
        <v>41280</v>
      </c>
      <c r="G11" s="17">
        <v>12107</v>
      </c>
      <c r="H11" s="17">
        <v>2.4780000000000002</v>
      </c>
      <c r="I11" s="33">
        <f t="shared" si="1"/>
        <v>50880</v>
      </c>
      <c r="J11" s="17">
        <v>12447</v>
      </c>
      <c r="K11" s="17">
        <v>3.25</v>
      </c>
      <c r="L11" s="33">
        <f t="shared" si="2"/>
        <v>1600</v>
      </c>
      <c r="M11" s="17">
        <v>12263</v>
      </c>
      <c r="N11" s="17">
        <v>2.96</v>
      </c>
      <c r="O11" s="33">
        <f t="shared" si="3"/>
        <v>10000</v>
      </c>
      <c r="P11" s="17">
        <v>12898</v>
      </c>
      <c r="Q11" s="17">
        <v>3.1</v>
      </c>
      <c r="R11" s="33">
        <f t="shared" si="4"/>
        <v>10000</v>
      </c>
      <c r="S11" s="17">
        <v>87977</v>
      </c>
      <c r="T11" s="17">
        <v>2.0099999999999998</v>
      </c>
      <c r="U11" s="33">
        <f t="shared" si="5"/>
        <v>42000</v>
      </c>
      <c r="V11" s="17">
        <v>84567</v>
      </c>
      <c r="W11" s="17">
        <v>1.7370000000000001</v>
      </c>
      <c r="X11" s="33">
        <f t="shared" si="6"/>
        <v>26100</v>
      </c>
      <c r="Y11" s="17">
        <v>19986</v>
      </c>
      <c r="Z11" s="17">
        <v>3.25</v>
      </c>
      <c r="AA11" s="33">
        <f t="shared" si="7"/>
        <v>5760</v>
      </c>
      <c r="AB11" s="17">
        <v>13034</v>
      </c>
      <c r="AC11" s="17">
        <v>3.15</v>
      </c>
      <c r="AD11" s="33">
        <f t="shared" si="8"/>
        <v>3360</v>
      </c>
      <c r="AE11" s="17">
        <v>8302</v>
      </c>
      <c r="AF11" s="17">
        <v>2.1859999999999999</v>
      </c>
      <c r="AG11" s="33">
        <f t="shared" si="9"/>
        <v>52800</v>
      </c>
      <c r="AH11" s="17">
        <v>19654</v>
      </c>
      <c r="AI11" s="17">
        <v>0.30099999999999999</v>
      </c>
      <c r="AJ11" s="33">
        <f t="shared" si="10"/>
        <v>1440</v>
      </c>
      <c r="AK11" s="118">
        <v>959</v>
      </c>
      <c r="AL11" s="33">
        <f t="shared" si="11"/>
        <v>-99336</v>
      </c>
      <c r="AM11" s="33"/>
      <c r="AO11" s="33">
        <f t="shared" si="28"/>
        <v>145884</v>
      </c>
      <c r="AP11" s="119">
        <f t="shared" si="29"/>
        <v>54240</v>
      </c>
      <c r="AQ11" s="53">
        <f t="shared" si="30"/>
        <v>0.37180225384552112</v>
      </c>
      <c r="AR11" s="17"/>
      <c r="AS11" s="14"/>
      <c r="AT11" s="48">
        <f t="shared" si="15"/>
        <v>44606</v>
      </c>
      <c r="AU11" s="17">
        <v>71279</v>
      </c>
      <c r="AV11" s="33">
        <f t="shared" si="16"/>
        <v>11200</v>
      </c>
      <c r="AW11" s="17">
        <v>9109</v>
      </c>
      <c r="AX11" s="33">
        <f t="shared" si="17"/>
        <v>1700</v>
      </c>
      <c r="AY11" s="53">
        <v>77368</v>
      </c>
      <c r="AZ11" s="54">
        <f t="shared" ref="AZ11" si="32">SUM(AY11-AY10)</f>
        <v>772</v>
      </c>
      <c r="BA11" s="17">
        <v>3828</v>
      </c>
      <c r="BB11" s="33">
        <f t="shared" si="19"/>
        <v>1640</v>
      </c>
      <c r="BC11" s="46"/>
      <c r="BD11" s="17">
        <f t="shared" si="24"/>
        <v>15312</v>
      </c>
      <c r="BE11" s="17"/>
      <c r="BF11" s="17"/>
    </row>
    <row r="12" spans="2:59" x14ac:dyDescent="0.25">
      <c r="B12" s="45">
        <v>44613</v>
      </c>
      <c r="C12" s="70">
        <f>SUM(Occupancy!K53:K59)</f>
        <v>2448</v>
      </c>
      <c r="D12" s="17">
        <v>13264</v>
      </c>
      <c r="E12" s="17">
        <v>1.9379999999999999</v>
      </c>
      <c r="F12" s="33">
        <f t="shared" si="20"/>
        <v>43520</v>
      </c>
      <c r="G12" s="17">
        <v>12438</v>
      </c>
      <c r="H12" s="17">
        <v>2.4780000000000002</v>
      </c>
      <c r="I12" s="33">
        <f t="shared" si="1"/>
        <v>52960</v>
      </c>
      <c r="J12" s="17">
        <v>12502</v>
      </c>
      <c r="K12" s="17">
        <v>3.25</v>
      </c>
      <c r="L12" s="33">
        <f t="shared" si="2"/>
        <v>22000</v>
      </c>
      <c r="M12" s="17">
        <v>12292</v>
      </c>
      <c r="N12" s="17">
        <v>2.96</v>
      </c>
      <c r="O12" s="33">
        <f t="shared" si="3"/>
        <v>11600</v>
      </c>
      <c r="P12" s="17">
        <v>12927</v>
      </c>
      <c r="Q12" s="17">
        <v>3.1</v>
      </c>
      <c r="R12" s="33">
        <f t="shared" si="4"/>
        <v>11600</v>
      </c>
      <c r="S12" s="17">
        <v>88167</v>
      </c>
      <c r="T12" s="17">
        <v>2.2210000000000001</v>
      </c>
      <c r="U12" s="33">
        <f t="shared" si="5"/>
        <v>57000</v>
      </c>
      <c r="V12" s="17">
        <v>84682</v>
      </c>
      <c r="W12" s="17">
        <v>1.7370000000000001</v>
      </c>
      <c r="X12" s="33">
        <f t="shared" si="6"/>
        <v>34500</v>
      </c>
      <c r="Y12" s="17">
        <v>20024</v>
      </c>
      <c r="Z12" s="17">
        <v>3.25</v>
      </c>
      <c r="AA12" s="33">
        <f t="shared" si="7"/>
        <v>6080</v>
      </c>
      <c r="AB12" s="17">
        <v>13058</v>
      </c>
      <c r="AC12" s="17">
        <v>3.15</v>
      </c>
      <c r="AD12" s="33">
        <f t="shared" si="8"/>
        <v>3840</v>
      </c>
      <c r="AE12" s="17">
        <v>8577</v>
      </c>
      <c r="AF12" s="17">
        <v>2.1859999999999999</v>
      </c>
      <c r="AG12" s="33">
        <f t="shared" si="9"/>
        <v>55000</v>
      </c>
      <c r="AH12" s="17">
        <v>19691</v>
      </c>
      <c r="AI12" s="17">
        <v>0.30099999999999999</v>
      </c>
      <c r="AJ12" s="33">
        <f t="shared" si="10"/>
        <v>1480</v>
      </c>
      <c r="AK12" s="118">
        <v>1493</v>
      </c>
      <c r="AL12" s="33">
        <f t="shared" si="11"/>
        <v>534</v>
      </c>
      <c r="AM12" s="33"/>
      <c r="AO12" s="33">
        <f t="shared" si="28"/>
        <v>300114</v>
      </c>
      <c r="AP12" s="119">
        <f t="shared" si="29"/>
        <v>56480</v>
      </c>
      <c r="AQ12" s="53">
        <f t="shared" si="30"/>
        <v>0.18819515250871335</v>
      </c>
      <c r="AR12" s="17"/>
      <c r="AS12" s="14"/>
      <c r="AT12" s="48">
        <f t="shared" si="15"/>
        <v>44613</v>
      </c>
      <c r="AU12" s="17">
        <v>71402</v>
      </c>
      <c r="AV12" s="33">
        <f t="shared" si="16"/>
        <v>12300</v>
      </c>
      <c r="AW12" s="17">
        <v>9124</v>
      </c>
      <c r="AX12" s="33">
        <f t="shared" si="17"/>
        <v>1500</v>
      </c>
      <c r="AY12" s="53">
        <v>78123</v>
      </c>
      <c r="AZ12" s="54">
        <f t="shared" ref="AZ12:AZ13" si="33">SUM(AY12-AY11)</f>
        <v>755</v>
      </c>
      <c r="BA12" s="17">
        <v>3897</v>
      </c>
      <c r="BB12" s="33">
        <f t="shared" si="19"/>
        <v>2760</v>
      </c>
      <c r="BC12" s="46"/>
      <c r="BD12" s="17">
        <f t="shared" si="24"/>
        <v>17315</v>
      </c>
      <c r="BE12" s="17"/>
      <c r="BF12" s="17"/>
    </row>
    <row r="13" spans="2:59" x14ac:dyDescent="0.25">
      <c r="B13" s="45">
        <v>44620</v>
      </c>
      <c r="C13" s="70">
        <f>SUM(Occupancy!K60:K66)</f>
        <v>2437</v>
      </c>
      <c r="D13" s="17">
        <v>13529</v>
      </c>
      <c r="E13" s="17">
        <v>1.8939999999999999</v>
      </c>
      <c r="F13" s="33">
        <f t="shared" si="20"/>
        <v>42400</v>
      </c>
      <c r="G13" s="17">
        <v>12764</v>
      </c>
      <c r="H13" s="17">
        <v>2.2879999999999998</v>
      </c>
      <c r="I13" s="33">
        <f t="shared" si="1"/>
        <v>52160</v>
      </c>
      <c r="J13" s="17">
        <v>12534</v>
      </c>
      <c r="K13" s="17">
        <v>2.41</v>
      </c>
      <c r="L13" s="33">
        <f t="shared" si="2"/>
        <v>12800</v>
      </c>
      <c r="M13" s="17">
        <v>12320</v>
      </c>
      <c r="N13" s="17">
        <v>2.2799999999999998</v>
      </c>
      <c r="O13" s="33">
        <f t="shared" si="3"/>
        <v>11200</v>
      </c>
      <c r="P13" s="17">
        <v>12955</v>
      </c>
      <c r="Q13" s="17">
        <v>2.08</v>
      </c>
      <c r="R13" s="33">
        <f t="shared" si="4"/>
        <v>11200</v>
      </c>
      <c r="S13" s="17">
        <v>88341</v>
      </c>
      <c r="T13" s="17">
        <v>1.589</v>
      </c>
      <c r="U13" s="33">
        <f t="shared" si="5"/>
        <v>52200</v>
      </c>
      <c r="V13" s="17">
        <v>84922</v>
      </c>
      <c r="W13" s="17">
        <v>1.8839999999999999</v>
      </c>
      <c r="X13" s="33">
        <f t="shared" si="6"/>
        <v>72000</v>
      </c>
      <c r="Y13" s="17">
        <v>20065</v>
      </c>
      <c r="Z13" s="17">
        <v>3.72</v>
      </c>
      <c r="AA13" s="33">
        <f t="shared" si="7"/>
        <v>6560</v>
      </c>
      <c r="AB13" s="17">
        <v>13083</v>
      </c>
      <c r="AC13" s="17">
        <v>2.66</v>
      </c>
      <c r="AD13" s="33">
        <f t="shared" si="8"/>
        <v>4000</v>
      </c>
      <c r="AE13" s="17">
        <v>8864</v>
      </c>
      <c r="AF13" s="17">
        <v>2.141</v>
      </c>
      <c r="AG13" s="33">
        <f t="shared" si="9"/>
        <v>57400</v>
      </c>
      <c r="AH13" s="17">
        <v>19727</v>
      </c>
      <c r="AI13" s="17">
        <v>2.81</v>
      </c>
      <c r="AJ13" s="33">
        <f t="shared" si="10"/>
        <v>1440</v>
      </c>
      <c r="AK13" s="118">
        <v>2115</v>
      </c>
      <c r="AL13" s="33">
        <f t="shared" si="11"/>
        <v>622</v>
      </c>
      <c r="AM13" s="33"/>
      <c r="AO13" s="33">
        <f t="shared" si="28"/>
        <v>323982</v>
      </c>
      <c r="AP13" s="119">
        <f t="shared" si="29"/>
        <v>58840</v>
      </c>
      <c r="AQ13" s="53">
        <f t="shared" si="30"/>
        <v>0.18161502799538246</v>
      </c>
      <c r="AR13" s="17"/>
      <c r="AS13" s="14"/>
      <c r="AT13" s="48">
        <f t="shared" si="15"/>
        <v>44620</v>
      </c>
      <c r="AU13" s="17">
        <v>71548</v>
      </c>
      <c r="AV13" s="33">
        <f t="shared" si="16"/>
        <v>14600</v>
      </c>
      <c r="AW13" s="17">
        <v>9140</v>
      </c>
      <c r="AX13" s="33">
        <f t="shared" si="17"/>
        <v>1600</v>
      </c>
      <c r="AY13" s="53">
        <v>78931</v>
      </c>
      <c r="AZ13" s="54">
        <f t="shared" si="33"/>
        <v>808</v>
      </c>
      <c r="BA13" s="17">
        <v>3990</v>
      </c>
      <c r="BB13" s="33">
        <f t="shared" si="19"/>
        <v>3720</v>
      </c>
      <c r="BC13" s="46"/>
      <c r="BD13" s="17">
        <f t="shared" si="24"/>
        <v>20728</v>
      </c>
      <c r="BE13" s="17"/>
      <c r="BF13" s="17"/>
    </row>
    <row r="14" spans="2:59" x14ac:dyDescent="0.25">
      <c r="B14" s="45">
        <v>44627</v>
      </c>
      <c r="C14" s="70">
        <f>SUM(Occupancy!K67:K74)</f>
        <v>2099</v>
      </c>
      <c r="D14" s="17">
        <v>13779</v>
      </c>
      <c r="E14" s="17">
        <v>1.9690000000000001</v>
      </c>
      <c r="F14" s="33">
        <f t="shared" si="20"/>
        <v>40000</v>
      </c>
      <c r="G14" s="17">
        <v>13074</v>
      </c>
      <c r="H14" s="17">
        <v>2.39</v>
      </c>
      <c r="I14" s="33">
        <f t="shared" si="1"/>
        <v>49600</v>
      </c>
      <c r="J14" s="17">
        <v>12562</v>
      </c>
      <c r="K14" s="17">
        <v>2.79</v>
      </c>
      <c r="L14" s="33">
        <f t="shared" si="2"/>
        <v>11200</v>
      </c>
      <c r="M14" s="17">
        <v>12346</v>
      </c>
      <c r="N14" s="17">
        <v>2.2799999999999998</v>
      </c>
      <c r="O14" s="33">
        <f t="shared" si="3"/>
        <v>10400</v>
      </c>
      <c r="P14" s="17">
        <v>12981</v>
      </c>
      <c r="Q14" s="17">
        <v>2.34</v>
      </c>
      <c r="R14" s="33">
        <f t="shared" si="4"/>
        <v>10400</v>
      </c>
      <c r="S14" s="17">
        <v>88494</v>
      </c>
      <c r="T14" s="17">
        <v>1.7490000000000001</v>
      </c>
      <c r="U14" s="33">
        <f t="shared" si="5"/>
        <v>45900</v>
      </c>
      <c r="V14" s="17">
        <v>85073</v>
      </c>
      <c r="W14" s="17">
        <v>1.8839999999999999</v>
      </c>
      <c r="X14" s="33">
        <f t="shared" si="6"/>
        <v>45300</v>
      </c>
      <c r="Y14" s="17">
        <v>20102</v>
      </c>
      <c r="Z14" s="17">
        <v>3.72</v>
      </c>
      <c r="AA14" s="33">
        <f t="shared" si="7"/>
        <v>5920</v>
      </c>
      <c r="AB14" s="17">
        <v>13109</v>
      </c>
      <c r="AC14" s="17">
        <v>2.79</v>
      </c>
      <c r="AD14" s="33">
        <f t="shared" si="8"/>
        <v>4160</v>
      </c>
      <c r="AE14" s="17">
        <v>9136</v>
      </c>
      <c r="AF14" s="17">
        <v>2.2719999999999998</v>
      </c>
      <c r="AG14" s="33">
        <f t="shared" si="9"/>
        <v>54400</v>
      </c>
      <c r="AH14" s="17">
        <v>19760</v>
      </c>
      <c r="AI14" s="17">
        <v>2.81</v>
      </c>
      <c r="AJ14" s="33">
        <f t="shared" si="10"/>
        <v>1320</v>
      </c>
      <c r="AK14" s="118">
        <v>2618</v>
      </c>
      <c r="AL14" s="33">
        <f>SUM(AK14-AK13)</f>
        <v>503</v>
      </c>
      <c r="AM14" s="33"/>
      <c r="AO14" s="33">
        <f t="shared" si="28"/>
        <v>279103</v>
      </c>
      <c r="AP14" s="119">
        <f t="shared" si="29"/>
        <v>55720</v>
      </c>
      <c r="AQ14" s="53">
        <f t="shared" si="30"/>
        <v>0.19963955958911225</v>
      </c>
      <c r="AR14" s="17"/>
      <c r="AS14" s="14"/>
      <c r="AT14" s="48">
        <f t="shared" si="15"/>
        <v>44627</v>
      </c>
      <c r="AU14" s="17">
        <v>71683</v>
      </c>
      <c r="AV14" s="33">
        <f t="shared" si="16"/>
        <v>13500</v>
      </c>
      <c r="AW14" s="17">
        <v>9154</v>
      </c>
      <c r="AX14" s="33">
        <f t="shared" si="17"/>
        <v>1400</v>
      </c>
      <c r="AY14" s="53">
        <v>79671</v>
      </c>
      <c r="AZ14" s="54">
        <f t="shared" ref="AZ14:AZ15" si="34">SUM(AY14-AY13)</f>
        <v>740</v>
      </c>
      <c r="BA14" s="17">
        <v>4054</v>
      </c>
      <c r="BB14" s="33">
        <f t="shared" si="19"/>
        <v>2560</v>
      </c>
      <c r="BC14" s="46"/>
      <c r="BD14" s="17">
        <f t="shared" si="24"/>
        <v>18200</v>
      </c>
      <c r="BE14" s="17"/>
      <c r="BF14" s="17"/>
    </row>
    <row r="15" spans="2:59" x14ac:dyDescent="0.25">
      <c r="B15" s="45">
        <v>44634</v>
      </c>
      <c r="C15" s="70">
        <f>SUM(Occupancy!K75:K82)</f>
        <v>2923</v>
      </c>
      <c r="D15" s="17">
        <v>14041</v>
      </c>
      <c r="E15" s="17">
        <v>1.9610000000000001</v>
      </c>
      <c r="F15" s="33">
        <f t="shared" si="20"/>
        <v>41920</v>
      </c>
      <c r="G15" s="17">
        <v>13401</v>
      </c>
      <c r="H15" s="17">
        <v>2.4129999999999998</v>
      </c>
      <c r="I15" s="33">
        <f t="shared" si="1"/>
        <v>52320</v>
      </c>
      <c r="J15" s="17">
        <v>12596</v>
      </c>
      <c r="K15" s="17">
        <v>3.44</v>
      </c>
      <c r="L15" s="33">
        <f t="shared" si="2"/>
        <v>13600</v>
      </c>
      <c r="M15" s="17">
        <v>12376</v>
      </c>
      <c r="N15" s="17">
        <v>3.2</v>
      </c>
      <c r="O15" s="33">
        <f t="shared" si="3"/>
        <v>12000</v>
      </c>
      <c r="P15" s="17">
        <v>13010</v>
      </c>
      <c r="Q15" s="17">
        <v>3.54</v>
      </c>
      <c r="R15" s="33">
        <f t="shared" si="4"/>
        <v>11600</v>
      </c>
      <c r="S15" s="17">
        <v>88697</v>
      </c>
      <c r="T15" s="17">
        <v>2.726</v>
      </c>
      <c r="U15" s="33">
        <f t="shared" si="5"/>
        <v>60900</v>
      </c>
      <c r="V15" s="17">
        <v>85298</v>
      </c>
      <c r="W15" s="17">
        <v>1.9630000000000001</v>
      </c>
      <c r="X15" s="33">
        <f t="shared" si="6"/>
        <v>67500</v>
      </c>
      <c r="Y15" s="17">
        <v>20159</v>
      </c>
      <c r="Z15" s="17">
        <v>0.61799999999999999</v>
      </c>
      <c r="AA15" s="33">
        <f t="shared" si="7"/>
        <v>9120</v>
      </c>
      <c r="AB15" s="17">
        <v>13135</v>
      </c>
      <c r="AC15" s="17">
        <v>2.93</v>
      </c>
      <c r="AD15" s="33">
        <f t="shared" si="8"/>
        <v>4160</v>
      </c>
      <c r="AE15" s="17">
        <v>9406</v>
      </c>
      <c r="AF15" s="17">
        <v>2.222</v>
      </c>
      <c r="AG15" s="33">
        <f t="shared" si="9"/>
        <v>54000</v>
      </c>
      <c r="AH15" s="17">
        <v>19796</v>
      </c>
      <c r="AI15" s="17">
        <v>0.29199999999999998</v>
      </c>
      <c r="AJ15" s="33">
        <f t="shared" si="10"/>
        <v>1440</v>
      </c>
      <c r="AK15" s="118">
        <v>3231</v>
      </c>
      <c r="AL15" s="33">
        <f>SUM(AK15-AK14)</f>
        <v>613</v>
      </c>
      <c r="AM15" s="33"/>
      <c r="AO15" s="33">
        <f t="shared" si="28"/>
        <v>329173</v>
      </c>
      <c r="AP15" s="119">
        <f t="shared" si="29"/>
        <v>55440</v>
      </c>
      <c r="AQ15" s="53">
        <f t="shared" si="30"/>
        <v>0.16842207592967831</v>
      </c>
      <c r="AR15" s="17"/>
      <c r="AS15" s="14"/>
      <c r="AT15" s="48">
        <f t="shared" si="15"/>
        <v>44634</v>
      </c>
      <c r="AU15" s="17">
        <v>71841</v>
      </c>
      <c r="AV15" s="33">
        <f t="shared" si="16"/>
        <v>15800</v>
      </c>
      <c r="AW15" s="17">
        <v>9173</v>
      </c>
      <c r="AX15" s="33">
        <f t="shared" si="17"/>
        <v>1900</v>
      </c>
      <c r="AY15" s="53">
        <v>80551</v>
      </c>
      <c r="AZ15" s="54">
        <f t="shared" si="34"/>
        <v>880</v>
      </c>
      <c r="BA15" s="17">
        <v>4082</v>
      </c>
      <c r="BB15" s="33">
        <f t="shared" si="19"/>
        <v>1120</v>
      </c>
      <c r="BC15" s="46"/>
      <c r="BD15" s="17">
        <f t="shared" si="24"/>
        <v>19700</v>
      </c>
      <c r="BE15" s="17"/>
      <c r="BF15" s="17"/>
    </row>
    <row r="16" spans="2:59" x14ac:dyDescent="0.25">
      <c r="B16" s="45">
        <v>44641</v>
      </c>
      <c r="C16" s="70">
        <f>SUM(Occupancy!K83:K90)</f>
        <v>2941</v>
      </c>
      <c r="D16" s="17">
        <v>14299</v>
      </c>
      <c r="E16" s="17">
        <v>2.0030000000000001</v>
      </c>
      <c r="F16" s="33">
        <f t="shared" si="20"/>
        <v>41280</v>
      </c>
      <c r="G16" s="17">
        <v>13723</v>
      </c>
      <c r="H16" s="17">
        <v>2.4129999999999998</v>
      </c>
      <c r="I16" s="33">
        <f t="shared" si="1"/>
        <v>51520</v>
      </c>
      <c r="J16" s="17">
        <v>12631</v>
      </c>
      <c r="K16" s="17">
        <v>3.44</v>
      </c>
      <c r="L16" s="33">
        <f t="shared" si="2"/>
        <v>14000</v>
      </c>
      <c r="M16" s="17">
        <v>12406</v>
      </c>
      <c r="N16" s="17">
        <v>3.2</v>
      </c>
      <c r="O16" s="33">
        <f t="shared" si="3"/>
        <v>12000</v>
      </c>
      <c r="P16" s="17">
        <v>13039</v>
      </c>
      <c r="Q16" s="17">
        <v>3.54</v>
      </c>
      <c r="R16" s="33">
        <f t="shared" si="4"/>
        <v>11600</v>
      </c>
      <c r="S16" s="17">
        <v>88874</v>
      </c>
      <c r="T16" s="17">
        <v>2.726</v>
      </c>
      <c r="U16" s="33">
        <f t="shared" si="5"/>
        <v>53100</v>
      </c>
      <c r="V16" s="17">
        <v>85498</v>
      </c>
      <c r="W16" s="17">
        <v>1.9630000000000001</v>
      </c>
      <c r="X16" s="33">
        <f t="shared" si="6"/>
        <v>60000</v>
      </c>
      <c r="Y16" s="17">
        <v>20198</v>
      </c>
      <c r="Z16" s="17">
        <v>0.61799999999999999</v>
      </c>
      <c r="AA16" s="33">
        <f t="shared" si="7"/>
        <v>6240</v>
      </c>
      <c r="AB16" s="17">
        <v>13161</v>
      </c>
      <c r="AC16" s="17">
        <v>2.93</v>
      </c>
      <c r="AD16" s="33">
        <f t="shared" si="8"/>
        <v>4160</v>
      </c>
      <c r="AE16" s="17">
        <v>9671</v>
      </c>
      <c r="AF16" s="17">
        <v>2.222</v>
      </c>
      <c r="AG16" s="33">
        <f t="shared" si="9"/>
        <v>53000</v>
      </c>
      <c r="AH16" s="17">
        <v>19831</v>
      </c>
      <c r="AI16" s="17">
        <v>0.29199999999999998</v>
      </c>
      <c r="AJ16" s="33">
        <f t="shared" si="10"/>
        <v>1400</v>
      </c>
      <c r="AK16" s="118">
        <v>3830</v>
      </c>
      <c r="AL16" s="33">
        <f>SUM(AK16-AK15)</f>
        <v>599</v>
      </c>
      <c r="AM16" s="33"/>
      <c r="AO16" s="33">
        <f t="shared" si="28"/>
        <v>308899</v>
      </c>
      <c r="AP16" s="119">
        <f t="shared" si="29"/>
        <v>54400</v>
      </c>
      <c r="AQ16" s="53">
        <f t="shared" si="30"/>
        <v>0.17610934318337063</v>
      </c>
      <c r="AR16" s="17"/>
      <c r="AS16" s="14"/>
      <c r="AT16" s="48">
        <f t="shared" si="15"/>
        <v>44641</v>
      </c>
      <c r="AU16" s="17">
        <v>71965</v>
      </c>
      <c r="AV16" s="33">
        <f t="shared" si="16"/>
        <v>12400</v>
      </c>
      <c r="AW16" s="17">
        <v>9186</v>
      </c>
      <c r="AX16" s="33">
        <f t="shared" si="17"/>
        <v>1300</v>
      </c>
      <c r="AY16" s="53">
        <v>81213</v>
      </c>
      <c r="AZ16" s="54">
        <f t="shared" ref="AZ16" si="35">SUM(AY16-AY15)</f>
        <v>662</v>
      </c>
      <c r="BA16" s="17">
        <v>4125</v>
      </c>
      <c r="BB16" s="33">
        <f t="shared" si="19"/>
        <v>1720</v>
      </c>
      <c r="BC16" s="46"/>
      <c r="BD16" s="17">
        <f t="shared" si="24"/>
        <v>16082</v>
      </c>
      <c r="BE16" s="17"/>
      <c r="BF16" s="17"/>
    </row>
    <row r="17" spans="2:58" x14ac:dyDescent="0.25">
      <c r="B17" s="45">
        <v>44648</v>
      </c>
      <c r="C17" s="70">
        <f>SUM(Occupancy!K91:K96)</f>
        <v>2217</v>
      </c>
      <c r="D17" s="17">
        <v>14553</v>
      </c>
      <c r="E17" s="17">
        <v>1.819</v>
      </c>
      <c r="F17" s="33">
        <f t="shared" si="20"/>
        <v>40640</v>
      </c>
      <c r="G17" s="17">
        <v>14044</v>
      </c>
      <c r="H17" s="17">
        <v>2.4889999999999999</v>
      </c>
      <c r="I17" s="33">
        <f t="shared" si="1"/>
        <v>51360</v>
      </c>
      <c r="J17" s="17">
        <v>12665</v>
      </c>
      <c r="K17" s="17">
        <v>2.48</v>
      </c>
      <c r="L17" s="33">
        <f t="shared" si="2"/>
        <v>13600</v>
      </c>
      <c r="M17" s="17">
        <v>12434</v>
      </c>
      <c r="N17" s="17">
        <v>2.23</v>
      </c>
      <c r="O17" s="33">
        <f t="shared" si="3"/>
        <v>11200</v>
      </c>
      <c r="P17" s="17">
        <v>13068</v>
      </c>
      <c r="Q17" s="17">
        <v>2.56</v>
      </c>
      <c r="R17" s="33">
        <f t="shared" si="4"/>
        <v>11600</v>
      </c>
      <c r="S17" s="17">
        <v>89055</v>
      </c>
      <c r="T17" s="17">
        <v>2.444</v>
      </c>
      <c r="U17" s="33">
        <f t="shared" si="5"/>
        <v>54300</v>
      </c>
      <c r="V17" s="17">
        <v>85636</v>
      </c>
      <c r="W17" s="17">
        <v>1.853</v>
      </c>
      <c r="X17" s="33">
        <f t="shared" si="6"/>
        <v>41400</v>
      </c>
      <c r="Y17" s="17">
        <v>20236</v>
      </c>
      <c r="Z17" s="17">
        <v>3.16</v>
      </c>
      <c r="AA17" s="33">
        <f t="shared" si="7"/>
        <v>6080</v>
      </c>
      <c r="AB17" s="17">
        <v>13185</v>
      </c>
      <c r="AC17" s="17">
        <v>2.77</v>
      </c>
      <c r="AD17" s="33">
        <f t="shared" si="8"/>
        <v>3840</v>
      </c>
      <c r="AE17" s="17">
        <v>9947</v>
      </c>
      <c r="AF17" s="17">
        <v>2.194</v>
      </c>
      <c r="AG17" s="33">
        <f t="shared" si="9"/>
        <v>55200</v>
      </c>
      <c r="AH17" s="17">
        <v>19866</v>
      </c>
      <c r="AI17" s="17">
        <v>0.28499999999999998</v>
      </c>
      <c r="AJ17" s="33">
        <f t="shared" si="10"/>
        <v>1400</v>
      </c>
      <c r="AK17" s="118">
        <v>4402</v>
      </c>
      <c r="AL17" s="33">
        <f>SUM(AK17-AK16)</f>
        <v>572</v>
      </c>
      <c r="AM17" s="33"/>
      <c r="AO17" s="33">
        <f t="shared" si="28"/>
        <v>291192</v>
      </c>
      <c r="AP17" s="119">
        <f t="shared" si="29"/>
        <v>56600</v>
      </c>
      <c r="AQ17" s="53">
        <f t="shared" si="30"/>
        <v>0.19437347179867578</v>
      </c>
      <c r="AR17" s="17"/>
      <c r="AS17" s="14"/>
      <c r="AT17" s="48">
        <f t="shared" si="15"/>
        <v>44648</v>
      </c>
      <c r="AU17" s="17">
        <v>72104</v>
      </c>
      <c r="AV17" s="33">
        <f t="shared" si="16"/>
        <v>13900</v>
      </c>
      <c r="AW17" s="17">
        <v>9202</v>
      </c>
      <c r="AX17" s="33">
        <f t="shared" si="17"/>
        <v>1600</v>
      </c>
      <c r="AY17" s="53">
        <v>82065</v>
      </c>
      <c r="AZ17" s="54">
        <f t="shared" ref="AZ17" si="36">SUM(AY17-AY16)</f>
        <v>852</v>
      </c>
      <c r="BA17" s="17">
        <v>4170</v>
      </c>
      <c r="BB17" s="33">
        <f t="shared" si="19"/>
        <v>1800</v>
      </c>
      <c r="BC17" s="46"/>
      <c r="BD17" s="17">
        <f t="shared" si="24"/>
        <v>18152</v>
      </c>
      <c r="BE17" s="17"/>
      <c r="BF17" s="17"/>
    </row>
    <row r="18" spans="2:58" x14ac:dyDescent="0.25">
      <c r="B18" s="45">
        <v>44651</v>
      </c>
      <c r="C18" s="70">
        <f>SUM(Occupancy!K97:K98)</f>
        <v>707</v>
      </c>
      <c r="D18" s="17">
        <v>14704</v>
      </c>
      <c r="E18" s="17">
        <v>1.819</v>
      </c>
      <c r="F18" s="33">
        <f t="shared" si="20"/>
        <v>24160</v>
      </c>
      <c r="G18" s="17">
        <v>14236</v>
      </c>
      <c r="H18" s="17">
        <v>2.4889999999999999</v>
      </c>
      <c r="I18" s="33">
        <f t="shared" si="1"/>
        <v>30720</v>
      </c>
      <c r="J18" s="17">
        <v>12685</v>
      </c>
      <c r="K18" s="17">
        <v>2.98</v>
      </c>
      <c r="L18" s="33">
        <f t="shared" si="2"/>
        <v>8000</v>
      </c>
      <c r="M18" s="17">
        <v>12451</v>
      </c>
      <c r="N18" s="17">
        <v>2.23</v>
      </c>
      <c r="O18" s="33">
        <f t="shared" si="3"/>
        <v>6800</v>
      </c>
      <c r="P18" s="17">
        <v>13085</v>
      </c>
      <c r="Q18" s="17">
        <v>2.56</v>
      </c>
      <c r="R18" s="33">
        <f t="shared" si="4"/>
        <v>6800</v>
      </c>
      <c r="S18" s="17">
        <v>89164</v>
      </c>
      <c r="T18" s="17">
        <v>2.444</v>
      </c>
      <c r="U18" s="33">
        <f t="shared" si="5"/>
        <v>32700</v>
      </c>
      <c r="V18" s="17">
        <v>85760</v>
      </c>
      <c r="W18" s="17">
        <v>2.0150000000000001</v>
      </c>
      <c r="X18" s="33">
        <f t="shared" si="6"/>
        <v>37200</v>
      </c>
      <c r="Y18" s="17">
        <v>20262</v>
      </c>
      <c r="Z18" s="17">
        <v>3.85</v>
      </c>
      <c r="AA18" s="33">
        <f t="shared" si="7"/>
        <v>4160</v>
      </c>
      <c r="AB18" s="17">
        <v>13202</v>
      </c>
      <c r="AC18" s="17">
        <v>2.77</v>
      </c>
      <c r="AD18" s="33">
        <f t="shared" si="8"/>
        <v>2720</v>
      </c>
      <c r="AE18" s="17">
        <v>10122</v>
      </c>
      <c r="AF18" s="17">
        <v>2.302</v>
      </c>
      <c r="AG18" s="33">
        <f t="shared" si="9"/>
        <v>35000</v>
      </c>
      <c r="AH18" s="17">
        <v>19888</v>
      </c>
      <c r="AI18" s="17">
        <v>0.28499999999999998</v>
      </c>
      <c r="AJ18" s="33">
        <f t="shared" si="10"/>
        <v>880</v>
      </c>
      <c r="AK18" s="118">
        <v>4850</v>
      </c>
      <c r="AL18" s="33">
        <f t="shared" ref="AL18" si="37">SUM(AK18-AK17)</f>
        <v>448</v>
      </c>
      <c r="AM18" s="33"/>
      <c r="AO18" s="33">
        <f t="shared" si="28"/>
        <v>189588</v>
      </c>
      <c r="AP18" s="119">
        <f t="shared" si="29"/>
        <v>35880</v>
      </c>
      <c r="AQ18" s="53">
        <f t="shared" si="30"/>
        <v>0.18925248433445155</v>
      </c>
      <c r="AR18" s="17"/>
      <c r="AS18" s="14"/>
      <c r="AT18" s="48">
        <f t="shared" si="15"/>
        <v>44651</v>
      </c>
      <c r="AU18" s="17">
        <v>72183</v>
      </c>
      <c r="AV18" s="33">
        <f t="shared" si="16"/>
        <v>7900</v>
      </c>
      <c r="AW18" s="17">
        <v>9212</v>
      </c>
      <c r="AX18" s="33">
        <f t="shared" si="17"/>
        <v>1000</v>
      </c>
      <c r="AY18" s="53">
        <v>82558</v>
      </c>
      <c r="AZ18" s="54">
        <f t="shared" ref="AZ18" si="38">SUM(AY18-AY17)</f>
        <v>493</v>
      </c>
      <c r="BA18" s="17">
        <v>4210</v>
      </c>
      <c r="BB18" s="33">
        <f t="shared" si="19"/>
        <v>1600</v>
      </c>
      <c r="BC18" s="46"/>
      <c r="BD18" s="17">
        <f t="shared" si="24"/>
        <v>10993</v>
      </c>
      <c r="BE18" s="17"/>
      <c r="BF18" s="17"/>
    </row>
    <row r="19" spans="2:58" x14ac:dyDescent="0.25">
      <c r="B19" s="45">
        <v>44655</v>
      </c>
      <c r="C19" s="70">
        <f>SUM(Occupancy!K99:K102)</f>
        <v>1256</v>
      </c>
      <c r="D19" s="17">
        <v>14803</v>
      </c>
      <c r="E19" s="17">
        <v>1.8680000000000001</v>
      </c>
      <c r="F19" s="33">
        <f t="shared" si="20"/>
        <v>15840</v>
      </c>
      <c r="G19" s="17">
        <v>14361</v>
      </c>
      <c r="H19" s="17">
        <v>2.4889999999999999</v>
      </c>
      <c r="I19" s="33">
        <f t="shared" si="1"/>
        <v>20000</v>
      </c>
      <c r="J19" s="17">
        <v>12698</v>
      </c>
      <c r="K19" s="17">
        <v>2.98</v>
      </c>
      <c r="L19" s="33">
        <f t="shared" si="2"/>
        <v>5200</v>
      </c>
      <c r="M19" s="17">
        <v>12463</v>
      </c>
      <c r="N19" s="17">
        <v>2.4500000000000002</v>
      </c>
      <c r="O19" s="33">
        <f t="shared" si="3"/>
        <v>4800</v>
      </c>
      <c r="P19" s="17">
        <v>13097</v>
      </c>
      <c r="Q19" s="17">
        <v>2.56</v>
      </c>
      <c r="R19" s="33">
        <f t="shared" si="4"/>
        <v>4800</v>
      </c>
      <c r="S19" s="17">
        <v>89224</v>
      </c>
      <c r="T19" s="17">
        <v>2.444</v>
      </c>
      <c r="U19" s="33">
        <f t="shared" si="5"/>
        <v>18000</v>
      </c>
      <c r="V19" s="17">
        <v>85857</v>
      </c>
      <c r="W19" s="17">
        <v>2.0150000000000001</v>
      </c>
      <c r="X19" s="33">
        <f t="shared" si="6"/>
        <v>29100</v>
      </c>
      <c r="Y19" s="17">
        <v>20276</v>
      </c>
      <c r="Z19" s="17">
        <v>3.85</v>
      </c>
      <c r="AA19" s="33">
        <f t="shared" si="7"/>
        <v>2240</v>
      </c>
      <c r="AB19" s="17">
        <v>13212</v>
      </c>
      <c r="AC19" s="17">
        <v>2.77</v>
      </c>
      <c r="AD19" s="33">
        <f t="shared" si="8"/>
        <v>1600</v>
      </c>
      <c r="AE19" s="17">
        <v>10238</v>
      </c>
      <c r="AF19" s="17">
        <v>2.302</v>
      </c>
      <c r="AG19" s="33">
        <f t="shared" si="9"/>
        <v>23200</v>
      </c>
      <c r="AH19" s="17">
        <v>19902</v>
      </c>
      <c r="AI19" s="17">
        <v>0.313</v>
      </c>
      <c r="AJ19" s="33">
        <f t="shared" si="10"/>
        <v>560</v>
      </c>
      <c r="AK19" s="118">
        <v>4854</v>
      </c>
      <c r="AL19" s="33">
        <f t="shared" ref="AL19:AL20" si="39">SUM(AK19-AK18)</f>
        <v>4</v>
      </c>
      <c r="AM19" s="33"/>
      <c r="AO19" s="33">
        <f t="shared" si="28"/>
        <v>125344</v>
      </c>
      <c r="AP19" s="119">
        <f t="shared" si="29"/>
        <v>23760</v>
      </c>
      <c r="AQ19" s="53">
        <f t="shared" si="30"/>
        <v>0.18955833546081186</v>
      </c>
      <c r="AR19" s="17"/>
      <c r="AS19" s="14"/>
      <c r="AT19" s="48">
        <f t="shared" si="15"/>
        <v>44655</v>
      </c>
      <c r="AU19" s="17">
        <v>72239</v>
      </c>
      <c r="AV19" s="33">
        <f t="shared" si="16"/>
        <v>5600</v>
      </c>
      <c r="AW19" s="17">
        <v>9219</v>
      </c>
      <c r="AX19" s="33">
        <f t="shared" si="17"/>
        <v>700</v>
      </c>
      <c r="AY19" s="53">
        <v>82951</v>
      </c>
      <c r="AZ19" s="54">
        <f t="shared" ref="AZ19:AZ20" si="40">SUM(AY19-AY18)</f>
        <v>393</v>
      </c>
      <c r="BA19" s="17">
        <v>4214</v>
      </c>
      <c r="BB19" s="33">
        <f t="shared" si="19"/>
        <v>160</v>
      </c>
      <c r="BC19" s="46"/>
      <c r="BD19" s="17">
        <f t="shared" si="24"/>
        <v>6853</v>
      </c>
      <c r="BE19" s="17"/>
      <c r="BF19" s="17"/>
    </row>
    <row r="20" spans="2:58" x14ac:dyDescent="0.25">
      <c r="B20" s="45">
        <v>44662</v>
      </c>
      <c r="C20" s="70">
        <f>SUM(Occupancy!K103:K109)</f>
        <v>2587</v>
      </c>
      <c r="D20" s="17">
        <v>15062</v>
      </c>
      <c r="E20" s="17">
        <v>1.879</v>
      </c>
      <c r="F20" s="33">
        <f t="shared" si="20"/>
        <v>41440</v>
      </c>
      <c r="G20" s="17">
        <v>14679</v>
      </c>
      <c r="H20" s="17">
        <v>2.4889999999999999</v>
      </c>
      <c r="I20" s="33">
        <f t="shared" si="1"/>
        <v>50880</v>
      </c>
      <c r="J20" s="17">
        <v>12733</v>
      </c>
      <c r="K20" s="17">
        <v>2.98</v>
      </c>
      <c r="L20" s="33">
        <f t="shared" si="2"/>
        <v>14000</v>
      </c>
      <c r="M20" s="17">
        <v>12493</v>
      </c>
      <c r="N20" s="17">
        <v>2.4500000000000002</v>
      </c>
      <c r="O20" s="33">
        <f t="shared" si="3"/>
        <v>12000</v>
      </c>
      <c r="P20" s="17">
        <v>13128</v>
      </c>
      <c r="Q20" s="17">
        <v>2.7</v>
      </c>
      <c r="R20" s="33">
        <f t="shared" si="4"/>
        <v>12400</v>
      </c>
      <c r="S20" s="17">
        <v>89385</v>
      </c>
      <c r="T20" s="17">
        <v>2.444</v>
      </c>
      <c r="U20" s="33">
        <f t="shared" si="5"/>
        <v>48300</v>
      </c>
      <c r="V20" s="17">
        <v>86029</v>
      </c>
      <c r="W20" s="17">
        <v>2.0150000000000001</v>
      </c>
      <c r="X20" s="33">
        <f t="shared" si="6"/>
        <v>51600</v>
      </c>
      <c r="Y20" s="17">
        <v>20311</v>
      </c>
      <c r="Z20" s="17">
        <v>3.85</v>
      </c>
      <c r="AA20" s="33">
        <f t="shared" si="7"/>
        <v>5600</v>
      </c>
      <c r="AB20" s="17">
        <v>13233</v>
      </c>
      <c r="AC20" s="17">
        <v>3.85</v>
      </c>
      <c r="AD20" s="33">
        <f t="shared" si="8"/>
        <v>3360</v>
      </c>
      <c r="AE20" s="17">
        <v>10522</v>
      </c>
      <c r="AF20" s="17">
        <v>2.302</v>
      </c>
      <c r="AG20" s="33">
        <f t="shared" si="9"/>
        <v>56800</v>
      </c>
      <c r="AH20" s="17">
        <v>19937</v>
      </c>
      <c r="AI20" s="17">
        <v>0.313</v>
      </c>
      <c r="AJ20" s="33">
        <f t="shared" si="10"/>
        <v>1400</v>
      </c>
      <c r="AK20" s="118">
        <v>5386</v>
      </c>
      <c r="AL20" s="33">
        <f t="shared" si="39"/>
        <v>532</v>
      </c>
      <c r="AM20" s="33"/>
      <c r="AO20" s="33">
        <f t="shared" si="28"/>
        <v>298312</v>
      </c>
      <c r="AP20" s="119">
        <f t="shared" si="29"/>
        <v>58200</v>
      </c>
      <c r="AQ20" s="53">
        <f t="shared" si="30"/>
        <v>0.1950977500067044</v>
      </c>
      <c r="AR20" s="17"/>
      <c r="AS20" s="14"/>
      <c r="AT20" s="48">
        <f t="shared" si="15"/>
        <v>44662</v>
      </c>
      <c r="AU20" s="17">
        <v>72364</v>
      </c>
      <c r="AV20" s="33">
        <f t="shared" si="16"/>
        <v>12500</v>
      </c>
      <c r="AW20" s="17">
        <v>9235</v>
      </c>
      <c r="AX20" s="33">
        <f t="shared" si="17"/>
        <v>1600</v>
      </c>
      <c r="AY20" s="53">
        <v>83835</v>
      </c>
      <c r="AZ20" s="54">
        <f t="shared" si="40"/>
        <v>884</v>
      </c>
      <c r="BA20" s="17">
        <v>4255</v>
      </c>
      <c r="BB20" s="33">
        <f t="shared" si="19"/>
        <v>1640</v>
      </c>
      <c r="BC20" s="46"/>
      <c r="BD20" s="17">
        <f t="shared" si="24"/>
        <v>16624</v>
      </c>
      <c r="BE20" s="17"/>
      <c r="BF20" s="17"/>
    </row>
    <row r="21" spans="2:58" x14ac:dyDescent="0.25">
      <c r="B21" s="45">
        <v>44669</v>
      </c>
      <c r="C21" s="70">
        <f>SUM(Occupancy!K110:K116)</f>
        <v>2538</v>
      </c>
      <c r="D21" s="17">
        <v>15326</v>
      </c>
      <c r="E21" s="17">
        <v>1.92</v>
      </c>
      <c r="F21" s="33">
        <f t="shared" si="20"/>
        <v>42240</v>
      </c>
      <c r="G21" s="17">
        <v>14989</v>
      </c>
      <c r="H21" s="17">
        <v>2.4889999999999999</v>
      </c>
      <c r="I21" s="33">
        <f t="shared" si="1"/>
        <v>49600</v>
      </c>
      <c r="J21" s="17">
        <v>12764</v>
      </c>
      <c r="K21" s="17">
        <v>2.98</v>
      </c>
      <c r="L21" s="33">
        <f t="shared" si="2"/>
        <v>12400</v>
      </c>
      <c r="M21" s="17">
        <v>12522</v>
      </c>
      <c r="N21" s="17">
        <v>2.4500000000000002</v>
      </c>
      <c r="O21" s="33">
        <f t="shared" si="3"/>
        <v>11600</v>
      </c>
      <c r="P21" s="17">
        <v>13157</v>
      </c>
      <c r="Q21" s="17">
        <v>2.7</v>
      </c>
      <c r="R21" s="33">
        <f t="shared" si="4"/>
        <v>11600</v>
      </c>
      <c r="S21" s="17">
        <v>89593</v>
      </c>
      <c r="T21" s="17">
        <v>2.444</v>
      </c>
      <c r="U21" s="33">
        <f t="shared" si="5"/>
        <v>62400</v>
      </c>
      <c r="V21" s="17">
        <v>86231</v>
      </c>
      <c r="W21" s="17">
        <v>2.0150000000000001</v>
      </c>
      <c r="X21" s="33">
        <f t="shared" si="6"/>
        <v>60600</v>
      </c>
      <c r="Y21" s="17">
        <v>20346</v>
      </c>
      <c r="Z21" s="17">
        <v>3.85</v>
      </c>
      <c r="AA21" s="33">
        <f t="shared" si="7"/>
        <v>5600</v>
      </c>
      <c r="AB21" s="17">
        <v>13254</v>
      </c>
      <c r="AC21" s="17">
        <v>3.85</v>
      </c>
      <c r="AD21" s="33">
        <f t="shared" si="8"/>
        <v>3360</v>
      </c>
      <c r="AE21" s="17">
        <v>10811</v>
      </c>
      <c r="AF21" s="17">
        <v>2.302</v>
      </c>
      <c r="AG21" s="33">
        <f t="shared" si="9"/>
        <v>57800</v>
      </c>
      <c r="AH21" s="17">
        <v>19973</v>
      </c>
      <c r="AI21" s="17">
        <v>0.313</v>
      </c>
      <c r="AJ21" s="33">
        <f t="shared" si="10"/>
        <v>1440</v>
      </c>
      <c r="AK21" s="118">
        <v>5894</v>
      </c>
      <c r="AL21" s="33">
        <f t="shared" ref="AL21" si="41">SUM(AK21-AK20)</f>
        <v>508</v>
      </c>
      <c r="AM21" s="33"/>
      <c r="AO21" s="33">
        <f t="shared" si="28"/>
        <v>319148</v>
      </c>
      <c r="AP21" s="119">
        <f t="shared" si="29"/>
        <v>59240</v>
      </c>
      <c r="AQ21" s="53">
        <f t="shared" si="30"/>
        <v>0.18561921114968605</v>
      </c>
      <c r="AR21" s="17"/>
      <c r="AS21" s="14"/>
      <c r="AT21" s="48">
        <f t="shared" si="15"/>
        <v>44669</v>
      </c>
      <c r="AU21" s="17">
        <v>72502</v>
      </c>
      <c r="AV21" s="33">
        <f t="shared" si="16"/>
        <v>13800</v>
      </c>
      <c r="AW21" s="17">
        <v>9252</v>
      </c>
      <c r="AX21" s="33">
        <f t="shared" si="17"/>
        <v>1700</v>
      </c>
      <c r="AY21" s="53">
        <v>84747</v>
      </c>
      <c r="AZ21" s="54">
        <f t="shared" ref="AZ21" si="42">SUM(AY21-AY20)</f>
        <v>912</v>
      </c>
      <c r="BA21" s="17">
        <v>4322</v>
      </c>
      <c r="BB21" s="33">
        <f t="shared" si="19"/>
        <v>2680</v>
      </c>
      <c r="BC21" s="46"/>
      <c r="BD21" s="17">
        <f t="shared" si="24"/>
        <v>19092</v>
      </c>
      <c r="BE21" s="17"/>
      <c r="BF21" s="17"/>
    </row>
    <row r="22" spans="2:58" x14ac:dyDescent="0.25">
      <c r="B22" s="45">
        <v>44676</v>
      </c>
      <c r="C22" s="70">
        <f>SUM(Occupancy!K117:K123)</f>
        <v>2385</v>
      </c>
      <c r="D22" s="17">
        <v>15595</v>
      </c>
      <c r="E22" s="17">
        <v>1.845</v>
      </c>
      <c r="F22" s="33">
        <f t="shared" si="20"/>
        <v>43040</v>
      </c>
      <c r="G22" s="17">
        <v>15309</v>
      </c>
      <c r="H22" s="17">
        <v>2.2930000000000001</v>
      </c>
      <c r="I22" s="33">
        <f t="shared" si="1"/>
        <v>51200</v>
      </c>
      <c r="J22" s="17">
        <v>12796</v>
      </c>
      <c r="K22" s="17">
        <v>2.5</v>
      </c>
      <c r="L22" s="33">
        <f t="shared" si="2"/>
        <v>12800</v>
      </c>
      <c r="M22" s="17">
        <v>12552</v>
      </c>
      <c r="N22" s="17">
        <v>2.02</v>
      </c>
      <c r="O22" s="33">
        <f t="shared" si="3"/>
        <v>12000</v>
      </c>
      <c r="P22" s="17">
        <v>13187</v>
      </c>
      <c r="Q22" s="17">
        <v>2.29</v>
      </c>
      <c r="R22" s="33">
        <f t="shared" si="4"/>
        <v>12000</v>
      </c>
      <c r="S22" s="17">
        <v>89795</v>
      </c>
      <c r="T22" s="17">
        <v>1.619</v>
      </c>
      <c r="U22" s="33">
        <f t="shared" si="5"/>
        <v>60600</v>
      </c>
      <c r="V22" s="17">
        <v>86411</v>
      </c>
      <c r="W22" s="17">
        <v>1.8089999999999999</v>
      </c>
      <c r="X22" s="33">
        <f t="shared" si="6"/>
        <v>54000</v>
      </c>
      <c r="Y22" s="17">
        <v>20384</v>
      </c>
      <c r="Z22" s="17">
        <v>3.17</v>
      </c>
      <c r="AA22" s="33">
        <f t="shared" si="7"/>
        <v>6080</v>
      </c>
      <c r="AB22" s="17">
        <v>13278</v>
      </c>
      <c r="AC22" s="17">
        <v>2.39</v>
      </c>
      <c r="AD22" s="33">
        <f t="shared" si="8"/>
        <v>3840</v>
      </c>
      <c r="AE22" s="17">
        <v>11100</v>
      </c>
      <c r="AF22" s="17">
        <v>2.1619999999999999</v>
      </c>
      <c r="AG22" s="33">
        <f t="shared" si="9"/>
        <v>57800</v>
      </c>
      <c r="AH22" s="17">
        <v>20011</v>
      </c>
      <c r="AI22" s="17">
        <v>0.28399999999999997</v>
      </c>
      <c r="AJ22" s="33">
        <f t="shared" si="10"/>
        <v>1520</v>
      </c>
      <c r="AK22" s="118">
        <v>6384</v>
      </c>
      <c r="AL22" s="33">
        <f t="shared" ref="AL22" si="43">SUM(AK22-AK21)</f>
        <v>490</v>
      </c>
      <c r="AM22" s="33"/>
      <c r="AO22" s="33">
        <f t="shared" si="28"/>
        <v>315370</v>
      </c>
      <c r="AP22" s="119">
        <f t="shared" si="29"/>
        <v>59320</v>
      </c>
      <c r="AQ22" s="53">
        <f t="shared" si="30"/>
        <v>0.18809652154612044</v>
      </c>
      <c r="AR22" s="17"/>
      <c r="AS22" s="14"/>
      <c r="AT22" s="48">
        <f t="shared" si="15"/>
        <v>44676</v>
      </c>
      <c r="AU22" s="17">
        <v>72673</v>
      </c>
      <c r="AV22" s="33">
        <f t="shared" si="16"/>
        <v>17100</v>
      </c>
      <c r="AW22" s="17">
        <v>9271</v>
      </c>
      <c r="AX22" s="33">
        <f t="shared" si="17"/>
        <v>1900</v>
      </c>
      <c r="AY22" s="53">
        <v>85817</v>
      </c>
      <c r="AZ22" s="54">
        <f t="shared" ref="AZ22" si="44">SUM(AY22-AY21)</f>
        <v>1070</v>
      </c>
      <c r="BA22" s="17">
        <v>4408</v>
      </c>
      <c r="BB22" s="33">
        <f t="shared" si="19"/>
        <v>3440</v>
      </c>
      <c r="BC22" s="46"/>
      <c r="BD22" s="17">
        <f t="shared" si="24"/>
        <v>23510</v>
      </c>
      <c r="BE22" s="17"/>
      <c r="BF22" s="17"/>
    </row>
    <row r="23" spans="2:58" x14ac:dyDescent="0.25">
      <c r="B23" s="45">
        <v>44681</v>
      </c>
      <c r="C23" s="70">
        <f>SUM(Occupancy!K124:K128)</f>
        <v>1646</v>
      </c>
      <c r="D23" s="17">
        <v>15849</v>
      </c>
      <c r="E23" s="17">
        <v>1.9430000000000001</v>
      </c>
      <c r="F23" s="33">
        <f t="shared" si="20"/>
        <v>40640</v>
      </c>
      <c r="G23" s="17">
        <v>15808</v>
      </c>
      <c r="H23" s="17">
        <v>2.343</v>
      </c>
      <c r="I23" s="33">
        <f t="shared" si="1"/>
        <v>79840</v>
      </c>
      <c r="J23" s="17">
        <v>12830</v>
      </c>
      <c r="K23" s="17">
        <v>2.5499999999999998</v>
      </c>
      <c r="L23" s="33">
        <f t="shared" si="2"/>
        <v>13600</v>
      </c>
      <c r="M23" s="17">
        <v>12579</v>
      </c>
      <c r="N23" s="17">
        <v>2.21</v>
      </c>
      <c r="O23" s="33">
        <f t="shared" si="3"/>
        <v>10800</v>
      </c>
      <c r="P23" s="17">
        <v>13217</v>
      </c>
      <c r="Q23" s="17">
        <v>2.42</v>
      </c>
      <c r="R23" s="33">
        <f t="shared" si="4"/>
        <v>12000</v>
      </c>
      <c r="S23" s="17">
        <v>89992</v>
      </c>
      <c r="T23" s="17">
        <v>2.4359999999999999</v>
      </c>
      <c r="U23" s="33">
        <f t="shared" si="5"/>
        <v>59100</v>
      </c>
      <c r="V23" s="17">
        <v>86653</v>
      </c>
      <c r="W23" s="17">
        <v>1.901</v>
      </c>
      <c r="X23" s="33">
        <f t="shared" si="6"/>
        <v>72600</v>
      </c>
      <c r="Y23" s="17">
        <v>20422</v>
      </c>
      <c r="Z23" s="17">
        <v>3.23</v>
      </c>
      <c r="AA23" s="33">
        <f t="shared" si="7"/>
        <v>6080</v>
      </c>
      <c r="AB23" s="17">
        <v>13305</v>
      </c>
      <c r="AC23" s="17">
        <v>3.02</v>
      </c>
      <c r="AD23" s="33">
        <f t="shared" si="8"/>
        <v>4320</v>
      </c>
      <c r="AE23" s="17">
        <v>11379</v>
      </c>
      <c r="AF23" s="17">
        <v>2.2050000000000001</v>
      </c>
      <c r="AG23" s="33">
        <f t="shared" si="9"/>
        <v>55800</v>
      </c>
      <c r="AH23" s="17">
        <v>20046</v>
      </c>
      <c r="AI23" s="17">
        <v>0.28899999999999998</v>
      </c>
      <c r="AJ23" s="33">
        <f t="shared" si="10"/>
        <v>1400</v>
      </c>
      <c r="AK23" s="118">
        <v>6872</v>
      </c>
      <c r="AL23" s="33">
        <f t="shared" ref="AL23:AL24" si="45">SUM(AK23-AK22)</f>
        <v>488</v>
      </c>
      <c r="AM23" s="33"/>
      <c r="AO23" s="33">
        <f t="shared" si="28"/>
        <v>356668</v>
      </c>
      <c r="AP23" s="119">
        <f t="shared" si="29"/>
        <v>57200</v>
      </c>
      <c r="AQ23" s="53">
        <f t="shared" si="30"/>
        <v>0.16037323224959907</v>
      </c>
      <c r="AR23" s="17"/>
      <c r="AS23" s="14"/>
      <c r="AT23" s="48">
        <f t="shared" si="15"/>
        <v>44681</v>
      </c>
      <c r="AU23" s="17">
        <v>72798</v>
      </c>
      <c r="AV23" s="33">
        <f t="shared" si="16"/>
        <v>12500</v>
      </c>
      <c r="AW23" s="17">
        <v>9286</v>
      </c>
      <c r="AX23" s="33">
        <f t="shared" si="17"/>
        <v>1500</v>
      </c>
      <c r="AY23" s="53">
        <v>86547</v>
      </c>
      <c r="AZ23" s="54">
        <f t="shared" ref="AZ23:AZ24" si="46">SUM(AY23-AY22)</f>
        <v>730</v>
      </c>
      <c r="BA23" s="17">
        <v>4475</v>
      </c>
      <c r="BB23" s="33">
        <f t="shared" si="19"/>
        <v>2680</v>
      </c>
      <c r="BC23" s="46"/>
      <c r="BD23" s="17">
        <f t="shared" si="24"/>
        <v>17410</v>
      </c>
      <c r="BE23" s="17"/>
      <c r="BF23" s="17"/>
    </row>
    <row r="24" spans="2:58" x14ac:dyDescent="0.25">
      <c r="B24" s="45">
        <v>44683</v>
      </c>
      <c r="C24" s="70">
        <f>SUM(Occupancy!K129:K130)</f>
        <v>568</v>
      </c>
      <c r="D24" s="17">
        <v>15849</v>
      </c>
      <c r="E24" s="17">
        <v>1.9430000000000001</v>
      </c>
      <c r="F24" s="33">
        <f t="shared" si="20"/>
        <v>0</v>
      </c>
      <c r="G24" s="17">
        <v>15808</v>
      </c>
      <c r="H24" s="17">
        <v>2.343</v>
      </c>
      <c r="I24" s="33">
        <f t="shared" si="1"/>
        <v>0</v>
      </c>
      <c r="J24" s="17">
        <v>12830</v>
      </c>
      <c r="K24" s="17">
        <v>2.5499999999999998</v>
      </c>
      <c r="L24" s="33">
        <f t="shared" si="2"/>
        <v>0</v>
      </c>
      <c r="M24" s="17">
        <v>12579</v>
      </c>
      <c r="N24" s="17">
        <v>2.21</v>
      </c>
      <c r="O24" s="33">
        <f t="shared" si="3"/>
        <v>0</v>
      </c>
      <c r="P24" s="17">
        <v>13217</v>
      </c>
      <c r="Q24" s="17">
        <v>2.42</v>
      </c>
      <c r="R24" s="33">
        <f t="shared" si="4"/>
        <v>0</v>
      </c>
      <c r="S24" s="17">
        <v>89992</v>
      </c>
      <c r="T24" s="17">
        <v>2.4359999999999999</v>
      </c>
      <c r="U24" s="33">
        <f t="shared" si="5"/>
        <v>0</v>
      </c>
      <c r="V24" s="17">
        <v>86653</v>
      </c>
      <c r="W24" s="17">
        <v>1.901</v>
      </c>
      <c r="X24" s="33">
        <f t="shared" si="6"/>
        <v>0</v>
      </c>
      <c r="Y24" s="17">
        <v>20422</v>
      </c>
      <c r="Z24" s="17">
        <v>3.23</v>
      </c>
      <c r="AA24" s="33">
        <f t="shared" si="7"/>
        <v>0</v>
      </c>
      <c r="AB24" s="17">
        <v>13305</v>
      </c>
      <c r="AC24" s="17">
        <v>3.02</v>
      </c>
      <c r="AD24" s="33">
        <f t="shared" si="8"/>
        <v>0</v>
      </c>
      <c r="AE24" s="17">
        <v>11379</v>
      </c>
      <c r="AF24" s="17">
        <v>2.2050000000000001</v>
      </c>
      <c r="AG24" s="33">
        <f t="shared" si="9"/>
        <v>0</v>
      </c>
      <c r="AH24" s="17">
        <v>20046</v>
      </c>
      <c r="AI24" s="17">
        <v>0.28899999999999998</v>
      </c>
      <c r="AJ24" s="33">
        <f t="shared" si="10"/>
        <v>0</v>
      </c>
      <c r="AK24" s="118">
        <v>6872</v>
      </c>
      <c r="AL24" s="33">
        <f t="shared" si="45"/>
        <v>0</v>
      </c>
      <c r="AM24" s="33"/>
      <c r="AO24" s="33">
        <f t="shared" si="28"/>
        <v>0</v>
      </c>
      <c r="AP24" s="119">
        <f t="shared" si="29"/>
        <v>0</v>
      </c>
      <c r="AQ24" s="53" t="e">
        <f t="shared" si="30"/>
        <v>#DIV/0!</v>
      </c>
      <c r="AR24" s="17"/>
      <c r="AS24" s="14"/>
      <c r="AT24" s="48">
        <f t="shared" si="15"/>
        <v>44683</v>
      </c>
      <c r="AU24" s="17">
        <v>72798</v>
      </c>
      <c r="AV24" s="33">
        <f t="shared" si="16"/>
        <v>0</v>
      </c>
      <c r="AW24" s="17">
        <v>9286</v>
      </c>
      <c r="AX24" s="33">
        <f t="shared" si="17"/>
        <v>0</v>
      </c>
      <c r="AY24" s="53">
        <v>86547</v>
      </c>
      <c r="AZ24" s="54">
        <f t="shared" si="46"/>
        <v>0</v>
      </c>
      <c r="BA24" s="17">
        <v>4475</v>
      </c>
      <c r="BB24" s="33">
        <f t="shared" si="19"/>
        <v>0</v>
      </c>
      <c r="BC24" s="46"/>
      <c r="BD24" s="17">
        <f t="shared" si="24"/>
        <v>0</v>
      </c>
      <c r="BE24" s="17"/>
      <c r="BF24" s="17"/>
    </row>
    <row r="25" spans="2:58" x14ac:dyDescent="0.25">
      <c r="B25" s="45">
        <v>44690</v>
      </c>
      <c r="C25" s="70">
        <f>SUM(Occupancy!K131:K137)</f>
        <v>2284</v>
      </c>
      <c r="D25" s="17">
        <v>16113</v>
      </c>
      <c r="E25" s="17">
        <v>1.9430000000000001</v>
      </c>
      <c r="F25" s="33">
        <f t="shared" si="20"/>
        <v>42240</v>
      </c>
      <c r="G25" s="17">
        <v>15919</v>
      </c>
      <c r="H25" s="17">
        <v>2.3559999999999999</v>
      </c>
      <c r="I25" s="33">
        <f t="shared" si="1"/>
        <v>17760</v>
      </c>
      <c r="J25" s="17">
        <v>12862</v>
      </c>
      <c r="K25" s="17">
        <v>2.5499999999999998</v>
      </c>
      <c r="L25" s="33">
        <f t="shared" si="2"/>
        <v>12800</v>
      </c>
      <c r="M25" s="17">
        <v>12606</v>
      </c>
      <c r="N25" s="17">
        <v>2.21</v>
      </c>
      <c r="O25" s="33">
        <f t="shared" si="3"/>
        <v>10800</v>
      </c>
      <c r="P25" s="17">
        <v>13245</v>
      </c>
      <c r="Q25" s="17">
        <v>2.42</v>
      </c>
      <c r="R25" s="33">
        <f t="shared" si="4"/>
        <v>11200</v>
      </c>
      <c r="S25" s="17">
        <v>90257</v>
      </c>
      <c r="T25" s="17">
        <v>2.492</v>
      </c>
      <c r="U25" s="33">
        <f t="shared" si="5"/>
        <v>79500</v>
      </c>
      <c r="V25" s="17">
        <v>86886</v>
      </c>
      <c r="W25" s="17">
        <v>1.948</v>
      </c>
      <c r="X25" s="33">
        <f t="shared" si="6"/>
        <v>69900</v>
      </c>
      <c r="Y25" s="17">
        <v>20461</v>
      </c>
      <c r="Z25" s="17">
        <v>3.31</v>
      </c>
      <c r="AA25" s="33">
        <f t="shared" si="7"/>
        <v>6240</v>
      </c>
      <c r="AB25" s="17">
        <v>13332</v>
      </c>
      <c r="AC25" s="17">
        <v>3.02</v>
      </c>
      <c r="AD25" s="33">
        <f t="shared" si="8"/>
        <v>4320</v>
      </c>
      <c r="AE25" s="17">
        <v>11666</v>
      </c>
      <c r="AF25" s="17">
        <v>2.2050000000000001</v>
      </c>
      <c r="AG25" s="33">
        <f t="shared" si="9"/>
        <v>57400</v>
      </c>
      <c r="AH25" s="17">
        <v>20082</v>
      </c>
      <c r="AI25" s="17">
        <v>0.29199999999999998</v>
      </c>
      <c r="AJ25" s="33">
        <f t="shared" si="10"/>
        <v>1440</v>
      </c>
      <c r="AK25" s="118">
        <v>7351</v>
      </c>
      <c r="AL25" s="33">
        <f t="shared" ref="AL25:AL26" si="47">SUM(AK25-AK24)</f>
        <v>479</v>
      </c>
      <c r="AM25" s="33"/>
      <c r="AO25" s="33">
        <f t="shared" si="28"/>
        <v>314079</v>
      </c>
      <c r="AP25" s="119">
        <f t="shared" si="29"/>
        <v>58840</v>
      </c>
      <c r="AQ25" s="53">
        <f t="shared" si="30"/>
        <v>0.18734140136717195</v>
      </c>
      <c r="AR25" s="17"/>
      <c r="AS25" s="14"/>
      <c r="AT25" s="48">
        <f t="shared" si="15"/>
        <v>44690</v>
      </c>
      <c r="AU25" s="17">
        <v>72957</v>
      </c>
      <c r="AV25" s="33">
        <f t="shared" si="16"/>
        <v>15900</v>
      </c>
      <c r="AW25" s="17">
        <v>9306</v>
      </c>
      <c r="AX25" s="33">
        <f t="shared" si="17"/>
        <v>2000</v>
      </c>
      <c r="AY25" s="53">
        <v>87456</v>
      </c>
      <c r="AZ25" s="54">
        <f t="shared" ref="AZ25:AZ26" si="48">SUM(AY25-AY24)</f>
        <v>909</v>
      </c>
      <c r="BA25" s="17">
        <v>4607</v>
      </c>
      <c r="BB25" s="33">
        <f t="shared" si="19"/>
        <v>5280</v>
      </c>
      <c r="BC25" s="46"/>
      <c r="BD25" s="17">
        <f t="shared" si="24"/>
        <v>24089</v>
      </c>
      <c r="BE25" s="17"/>
      <c r="BF25" s="17"/>
    </row>
    <row r="26" spans="2:58" x14ac:dyDescent="0.25">
      <c r="B26" s="45">
        <v>44697</v>
      </c>
      <c r="C26" s="70">
        <f>SUM(Occupancy!K138:K144)</f>
        <v>2301</v>
      </c>
      <c r="D26" s="17">
        <v>16378</v>
      </c>
      <c r="E26" s="17">
        <v>1.9430000000000001</v>
      </c>
      <c r="F26" s="33">
        <f t="shared" si="20"/>
        <v>42400</v>
      </c>
      <c r="G26" s="17">
        <v>16227</v>
      </c>
      <c r="H26" s="17">
        <v>2.3690000000000002</v>
      </c>
      <c r="I26" s="33">
        <f t="shared" si="1"/>
        <v>49280</v>
      </c>
      <c r="J26" s="17">
        <v>12894</v>
      </c>
      <c r="K26" s="17">
        <v>2.5499999999999998</v>
      </c>
      <c r="L26" s="33">
        <f t="shared" si="2"/>
        <v>12800</v>
      </c>
      <c r="M26" s="17">
        <v>12634</v>
      </c>
      <c r="N26" s="17">
        <v>2.21</v>
      </c>
      <c r="O26" s="33">
        <f t="shared" si="3"/>
        <v>11200</v>
      </c>
      <c r="P26" s="17">
        <v>13275</v>
      </c>
      <c r="Q26" s="17">
        <v>2.42</v>
      </c>
      <c r="R26" s="33">
        <f t="shared" si="4"/>
        <v>12000</v>
      </c>
      <c r="S26" s="17">
        <v>90462</v>
      </c>
      <c r="T26" s="17">
        <v>2.492</v>
      </c>
      <c r="U26" s="33">
        <f t="shared" si="5"/>
        <v>61500</v>
      </c>
      <c r="V26" s="17">
        <v>87093</v>
      </c>
      <c r="W26" s="17">
        <v>1.9550000000000001</v>
      </c>
      <c r="X26" s="33">
        <f t="shared" si="6"/>
        <v>62100</v>
      </c>
      <c r="Y26" s="17">
        <v>20503</v>
      </c>
      <c r="Z26" s="17">
        <v>4.0199999999999996</v>
      </c>
      <c r="AA26" s="33">
        <f t="shared" si="7"/>
        <v>6720</v>
      </c>
      <c r="AB26" s="17">
        <v>13357</v>
      </c>
      <c r="AC26" s="17">
        <v>3.02</v>
      </c>
      <c r="AD26" s="33">
        <f t="shared" si="8"/>
        <v>4000</v>
      </c>
      <c r="AE26" s="17">
        <v>11949</v>
      </c>
      <c r="AF26" s="17">
        <v>2.2050000000000001</v>
      </c>
      <c r="AG26" s="33">
        <f t="shared" si="9"/>
        <v>56600</v>
      </c>
      <c r="AH26" s="17">
        <v>20118</v>
      </c>
      <c r="AI26" s="17">
        <v>0.29199999999999998</v>
      </c>
      <c r="AJ26" s="33">
        <f t="shared" si="10"/>
        <v>1440</v>
      </c>
      <c r="AK26" s="118">
        <v>7825</v>
      </c>
      <c r="AL26" s="33">
        <f t="shared" si="47"/>
        <v>474</v>
      </c>
      <c r="AM26" s="33"/>
      <c r="AO26" s="33">
        <f t="shared" si="28"/>
        <v>320514</v>
      </c>
      <c r="AP26" s="119">
        <f t="shared" si="29"/>
        <v>58040</v>
      </c>
      <c r="AQ26" s="53">
        <f t="shared" si="30"/>
        <v>0.1810841336103883</v>
      </c>
      <c r="AR26" s="17"/>
      <c r="AS26" s="14"/>
      <c r="AT26" s="48">
        <f t="shared" si="15"/>
        <v>44697</v>
      </c>
      <c r="AU26" s="17">
        <v>73098</v>
      </c>
      <c r="AV26" s="33">
        <f t="shared" si="16"/>
        <v>14100</v>
      </c>
      <c r="AW26" s="17">
        <v>9325</v>
      </c>
      <c r="AX26" s="33">
        <f t="shared" si="17"/>
        <v>1900</v>
      </c>
      <c r="AY26" s="53">
        <v>88348</v>
      </c>
      <c r="AZ26" s="54">
        <f t="shared" si="48"/>
        <v>892</v>
      </c>
      <c r="BA26" s="17">
        <v>4800</v>
      </c>
      <c r="BB26" s="33">
        <f t="shared" si="19"/>
        <v>7720</v>
      </c>
      <c r="BC26" s="46"/>
      <c r="BD26" s="17">
        <f t="shared" si="24"/>
        <v>24612</v>
      </c>
      <c r="BE26" s="17"/>
      <c r="BF26" s="17"/>
    </row>
    <row r="27" spans="2:58" x14ac:dyDescent="0.25">
      <c r="B27" s="45">
        <v>44704</v>
      </c>
      <c r="C27" s="70">
        <f>SUM(Occupancy!K145:K151)</f>
        <v>2351</v>
      </c>
      <c r="D27" s="17">
        <v>16659</v>
      </c>
      <c r="E27" s="17">
        <v>1.8280000000000001</v>
      </c>
      <c r="F27" s="33">
        <f t="shared" si="20"/>
        <v>44960</v>
      </c>
      <c r="G27" s="17">
        <v>16547</v>
      </c>
      <c r="H27" s="17">
        <v>2.1459999999999999</v>
      </c>
      <c r="I27" s="33">
        <f t="shared" si="1"/>
        <v>51200</v>
      </c>
      <c r="J27" s="17">
        <v>12932</v>
      </c>
      <c r="K27" s="17">
        <v>2.39</v>
      </c>
      <c r="L27" s="33">
        <f t="shared" si="2"/>
        <v>15200</v>
      </c>
      <c r="M27" s="17">
        <v>12664</v>
      </c>
      <c r="N27" s="17">
        <v>2.16</v>
      </c>
      <c r="O27" s="33">
        <f t="shared" si="3"/>
        <v>12000</v>
      </c>
      <c r="P27" s="17">
        <v>13306</v>
      </c>
      <c r="Q27" s="17">
        <v>2.29</v>
      </c>
      <c r="R27" s="33">
        <f t="shared" si="4"/>
        <v>12400</v>
      </c>
      <c r="S27" s="17">
        <v>90759</v>
      </c>
      <c r="T27" s="17">
        <v>2.3250000000000002</v>
      </c>
      <c r="U27" s="33">
        <f t="shared" si="5"/>
        <v>89100</v>
      </c>
      <c r="V27" s="17">
        <v>87364</v>
      </c>
      <c r="W27" s="17">
        <v>2.06</v>
      </c>
      <c r="X27" s="33">
        <f t="shared" si="6"/>
        <v>81300</v>
      </c>
      <c r="Y27" s="17">
        <v>20548</v>
      </c>
      <c r="Z27" s="17">
        <v>2.8</v>
      </c>
      <c r="AA27" s="33">
        <f t="shared" si="7"/>
        <v>7200</v>
      </c>
      <c r="AB27" s="17">
        <v>13389</v>
      </c>
      <c r="AC27" s="17">
        <v>2.34</v>
      </c>
      <c r="AD27" s="33">
        <f t="shared" si="8"/>
        <v>5120</v>
      </c>
      <c r="AE27" s="17">
        <v>12243</v>
      </c>
      <c r="AF27" s="17">
        <v>2.0649999999999999</v>
      </c>
      <c r="AG27" s="33">
        <f t="shared" si="9"/>
        <v>58800</v>
      </c>
      <c r="AH27" s="17">
        <v>20157</v>
      </c>
      <c r="AI27" s="17">
        <v>0.28100000000000003</v>
      </c>
      <c r="AJ27" s="33">
        <f t="shared" si="10"/>
        <v>1560</v>
      </c>
      <c r="AK27" s="118">
        <v>8370</v>
      </c>
      <c r="AL27" s="33">
        <f t="shared" ref="AL27" si="49">SUM(AK27-AK26)</f>
        <v>545</v>
      </c>
      <c r="AM27" s="33"/>
      <c r="AO27" s="33">
        <f t="shared" si="28"/>
        <v>379385</v>
      </c>
      <c r="AP27" s="119">
        <f t="shared" si="29"/>
        <v>60360</v>
      </c>
      <c r="AQ27" s="53">
        <f t="shared" si="30"/>
        <v>0.15909959539781487</v>
      </c>
      <c r="AR27" s="17"/>
      <c r="AS27" s="14"/>
      <c r="AT27" s="48">
        <f t="shared" si="15"/>
        <v>44704</v>
      </c>
      <c r="AU27" s="17">
        <v>73267</v>
      </c>
      <c r="AV27" s="33">
        <f t="shared" si="16"/>
        <v>16900</v>
      </c>
      <c r="AW27" s="17">
        <v>9345</v>
      </c>
      <c r="AX27" s="33">
        <f t="shared" si="17"/>
        <v>2000</v>
      </c>
      <c r="AY27" s="53">
        <v>89234</v>
      </c>
      <c r="AZ27" s="54">
        <f t="shared" ref="AZ27" si="50">SUM(AY27-AY26)</f>
        <v>886</v>
      </c>
      <c r="BA27" s="17">
        <v>4877</v>
      </c>
      <c r="BB27" s="33">
        <f t="shared" si="19"/>
        <v>3080</v>
      </c>
      <c r="BC27" s="46"/>
      <c r="BD27" s="17">
        <f t="shared" si="24"/>
        <v>22866</v>
      </c>
      <c r="BE27" s="17"/>
      <c r="BF27" s="17"/>
    </row>
    <row r="28" spans="2:58" x14ac:dyDescent="0.25">
      <c r="B28" s="45">
        <v>44711</v>
      </c>
      <c r="C28" s="70">
        <f>SUM(Occupancy!K152:K158)</f>
        <v>2203</v>
      </c>
      <c r="D28" s="17">
        <v>16929</v>
      </c>
      <c r="E28" s="17">
        <v>1.964</v>
      </c>
      <c r="F28" s="33">
        <f t="shared" si="20"/>
        <v>43200</v>
      </c>
      <c r="G28" s="17">
        <v>16868</v>
      </c>
      <c r="H28" s="17">
        <v>2.3130000000000002</v>
      </c>
      <c r="I28" s="33">
        <f t="shared" si="1"/>
        <v>51360</v>
      </c>
      <c r="J28" s="17">
        <v>12967</v>
      </c>
      <c r="K28" s="17">
        <v>2.5</v>
      </c>
      <c r="L28" s="33">
        <f t="shared" si="2"/>
        <v>14000</v>
      </c>
      <c r="M28" s="17">
        <v>12693</v>
      </c>
      <c r="N28" s="17">
        <v>2.16</v>
      </c>
      <c r="O28" s="33">
        <f t="shared" si="3"/>
        <v>11600</v>
      </c>
      <c r="P28" s="17">
        <v>13336</v>
      </c>
      <c r="Q28" s="17">
        <v>2.29</v>
      </c>
      <c r="R28" s="33">
        <f t="shared" si="4"/>
        <v>12000</v>
      </c>
      <c r="S28" s="17">
        <v>91028</v>
      </c>
      <c r="T28" s="17">
        <v>2.3250000000000002</v>
      </c>
      <c r="U28" s="33">
        <f t="shared" si="5"/>
        <v>80700</v>
      </c>
      <c r="V28" s="17">
        <v>87639</v>
      </c>
      <c r="W28" s="17">
        <v>2.109</v>
      </c>
      <c r="X28" s="33">
        <f t="shared" si="6"/>
        <v>82500</v>
      </c>
      <c r="Y28" s="17">
        <v>20586</v>
      </c>
      <c r="Z28" s="17">
        <v>3.3</v>
      </c>
      <c r="AA28" s="33">
        <f t="shared" si="7"/>
        <v>6080</v>
      </c>
      <c r="AB28" s="17">
        <v>13409</v>
      </c>
      <c r="AC28" s="17">
        <v>2.67</v>
      </c>
      <c r="AD28" s="33">
        <f t="shared" si="8"/>
        <v>3200</v>
      </c>
      <c r="AE28" s="17">
        <v>12530</v>
      </c>
      <c r="AF28" s="17">
        <v>2.073</v>
      </c>
      <c r="AG28" s="33">
        <f t="shared" si="9"/>
        <v>57400</v>
      </c>
      <c r="AH28" s="17">
        <v>20196</v>
      </c>
      <c r="AI28" s="17">
        <v>0.28999999999999998</v>
      </c>
      <c r="AJ28" s="33">
        <f t="shared" si="10"/>
        <v>1560</v>
      </c>
      <c r="AK28" s="118">
        <v>8837</v>
      </c>
      <c r="AL28" s="33">
        <f t="shared" ref="AL28" si="51">SUM(AK28-AK27)</f>
        <v>467</v>
      </c>
      <c r="AM28" s="33"/>
      <c r="AO28" s="33">
        <f t="shared" si="28"/>
        <v>364067</v>
      </c>
      <c r="AP28" s="119">
        <f t="shared" si="29"/>
        <v>58960</v>
      </c>
      <c r="AQ28" s="53">
        <f t="shared" si="30"/>
        <v>0.1619482128289573</v>
      </c>
      <c r="AR28" s="17"/>
      <c r="AS28" s="14"/>
      <c r="AT28" s="48">
        <f t="shared" si="15"/>
        <v>44711</v>
      </c>
      <c r="AU28" s="17">
        <v>73430</v>
      </c>
      <c r="AV28" s="33">
        <f t="shared" si="16"/>
        <v>16300</v>
      </c>
      <c r="AW28" s="17">
        <v>9364</v>
      </c>
      <c r="AX28" s="33">
        <f t="shared" si="17"/>
        <v>1900</v>
      </c>
      <c r="AY28" s="53">
        <v>90129</v>
      </c>
      <c r="AZ28" s="54">
        <f t="shared" ref="AZ28" si="52">SUM(AY28-AY27)</f>
        <v>895</v>
      </c>
      <c r="BA28" s="17">
        <v>4989</v>
      </c>
      <c r="BB28" s="33">
        <f t="shared" si="19"/>
        <v>4480</v>
      </c>
      <c r="BC28" s="46"/>
      <c r="BD28" s="17">
        <f t="shared" si="24"/>
        <v>23575</v>
      </c>
      <c r="BE28" s="17"/>
      <c r="BF28" s="17"/>
    </row>
    <row r="29" spans="2:58" x14ac:dyDescent="0.25">
      <c r="B29" s="45">
        <v>44712</v>
      </c>
      <c r="C29" s="70">
        <f>SUM(Occupancy!K159:K159)</f>
        <v>200</v>
      </c>
      <c r="D29" s="17">
        <v>16991</v>
      </c>
      <c r="E29" s="17">
        <v>1.964</v>
      </c>
      <c r="F29" s="33">
        <f t="shared" si="20"/>
        <v>9920</v>
      </c>
      <c r="G29" s="17">
        <v>16940</v>
      </c>
      <c r="H29" s="17">
        <v>2.3130000000000002</v>
      </c>
      <c r="I29" s="33">
        <f t="shared" si="1"/>
        <v>11520</v>
      </c>
      <c r="J29" s="17">
        <v>12975</v>
      </c>
      <c r="K29" s="17">
        <v>2.5</v>
      </c>
      <c r="L29" s="33">
        <f t="shared" si="2"/>
        <v>3200</v>
      </c>
      <c r="M29" s="17">
        <v>12700</v>
      </c>
      <c r="N29" s="17">
        <v>2.16</v>
      </c>
      <c r="O29" s="33">
        <f t="shared" si="3"/>
        <v>2800</v>
      </c>
      <c r="P29" s="17">
        <v>13343</v>
      </c>
      <c r="Q29" s="17">
        <v>2.29</v>
      </c>
      <c r="R29" s="33">
        <f t="shared" si="4"/>
        <v>2800</v>
      </c>
      <c r="S29" s="17">
        <v>91078</v>
      </c>
      <c r="T29" s="17">
        <v>2.3250000000000002</v>
      </c>
      <c r="U29" s="33">
        <f t="shared" si="5"/>
        <v>15000</v>
      </c>
      <c r="V29" s="17">
        <v>87701</v>
      </c>
      <c r="W29" s="17">
        <v>2.109</v>
      </c>
      <c r="X29" s="33">
        <f t="shared" si="6"/>
        <v>18600</v>
      </c>
      <c r="Y29" s="17">
        <v>20594</v>
      </c>
      <c r="Z29" s="17">
        <v>3.3</v>
      </c>
      <c r="AA29" s="33">
        <f t="shared" si="7"/>
        <v>1280</v>
      </c>
      <c r="AB29" s="17">
        <v>13414</v>
      </c>
      <c r="AC29" s="17">
        <v>2.67</v>
      </c>
      <c r="AD29" s="33">
        <f t="shared" si="8"/>
        <v>800</v>
      </c>
      <c r="AE29" s="17">
        <v>12593</v>
      </c>
      <c r="AF29" s="17">
        <v>2.073</v>
      </c>
      <c r="AG29" s="33">
        <f t="shared" si="9"/>
        <v>12600</v>
      </c>
      <c r="AH29" s="17">
        <v>20204</v>
      </c>
      <c r="AI29" s="17">
        <v>0.28999999999999998</v>
      </c>
      <c r="AJ29" s="33">
        <f t="shared" si="10"/>
        <v>320</v>
      </c>
      <c r="AK29" s="118">
        <v>8925</v>
      </c>
      <c r="AL29" s="33">
        <f t="shared" ref="AL29:AL30" si="53">SUM(AK29-AK28)</f>
        <v>88</v>
      </c>
      <c r="AM29" s="33"/>
      <c r="AO29" s="33">
        <f t="shared" si="28"/>
        <v>78928</v>
      </c>
      <c r="AP29" s="119">
        <f t="shared" si="29"/>
        <v>12920</v>
      </c>
      <c r="AQ29" s="53">
        <f t="shared" si="30"/>
        <v>0.16369349280356782</v>
      </c>
      <c r="AR29" s="17"/>
      <c r="AS29" s="14"/>
      <c r="AT29" s="48">
        <f t="shared" si="15"/>
        <v>44712</v>
      </c>
      <c r="AU29" s="17">
        <v>73474</v>
      </c>
      <c r="AV29" s="33">
        <f t="shared" si="16"/>
        <v>4400</v>
      </c>
      <c r="AW29" s="17">
        <v>9369</v>
      </c>
      <c r="AX29" s="33">
        <f t="shared" si="17"/>
        <v>500</v>
      </c>
      <c r="AY29" s="53">
        <v>90371</v>
      </c>
      <c r="AZ29" s="54">
        <f t="shared" ref="AZ29:AZ30" si="54">SUM(AY29-AY28)</f>
        <v>242</v>
      </c>
      <c r="BA29" s="17">
        <v>5020</v>
      </c>
      <c r="BB29" s="33">
        <f t="shared" si="19"/>
        <v>1240</v>
      </c>
      <c r="BC29" s="46"/>
      <c r="BD29" s="17">
        <f t="shared" si="24"/>
        <v>6382</v>
      </c>
      <c r="BE29" s="17"/>
      <c r="BF29" s="17"/>
    </row>
    <row r="30" spans="2:58" x14ac:dyDescent="0.25">
      <c r="B30" s="45">
        <v>44718</v>
      </c>
      <c r="C30" s="70">
        <f>SUM(Occupancy!K160:K165)</f>
        <v>1933</v>
      </c>
      <c r="D30" s="17">
        <v>17188</v>
      </c>
      <c r="E30" s="17">
        <v>1.964</v>
      </c>
      <c r="F30" s="33">
        <f t="shared" si="20"/>
        <v>31520</v>
      </c>
      <c r="G30" s="17">
        <v>17171</v>
      </c>
      <c r="H30" s="17">
        <v>2.3130000000000002</v>
      </c>
      <c r="I30" s="33">
        <f t="shared" si="1"/>
        <v>36960</v>
      </c>
      <c r="J30" s="17">
        <v>13001</v>
      </c>
      <c r="K30" s="17">
        <v>2.77</v>
      </c>
      <c r="L30" s="33">
        <f t="shared" si="2"/>
        <v>10400</v>
      </c>
      <c r="M30" s="17">
        <v>12722</v>
      </c>
      <c r="N30" s="17">
        <v>2.16</v>
      </c>
      <c r="O30" s="33">
        <f t="shared" si="3"/>
        <v>8800</v>
      </c>
      <c r="P30" s="17">
        <v>13364</v>
      </c>
      <c r="Q30" s="17">
        <v>2.29</v>
      </c>
      <c r="R30" s="33">
        <f t="shared" si="4"/>
        <v>8400</v>
      </c>
      <c r="S30" s="17">
        <v>91274</v>
      </c>
      <c r="T30" s="17">
        <v>2.5979999999999999</v>
      </c>
      <c r="U30" s="33">
        <f t="shared" si="5"/>
        <v>58800</v>
      </c>
      <c r="V30" s="17">
        <v>87899</v>
      </c>
      <c r="W30" s="17">
        <v>2.2429999999999999</v>
      </c>
      <c r="X30" s="33">
        <f t="shared" si="6"/>
        <v>59400</v>
      </c>
      <c r="Y30" s="17">
        <v>20623</v>
      </c>
      <c r="Z30" s="17">
        <v>3.42</v>
      </c>
      <c r="AA30" s="33">
        <f t="shared" si="7"/>
        <v>4640</v>
      </c>
      <c r="AB30" s="17">
        <v>13432</v>
      </c>
      <c r="AC30" s="17">
        <v>2.67</v>
      </c>
      <c r="AD30" s="33">
        <f t="shared" si="8"/>
        <v>2880</v>
      </c>
      <c r="AE30" s="17">
        <v>12801</v>
      </c>
      <c r="AF30" s="17">
        <v>2.1379999999999999</v>
      </c>
      <c r="AG30" s="33">
        <f t="shared" si="9"/>
        <v>41600</v>
      </c>
      <c r="AH30" s="17">
        <v>20232</v>
      </c>
      <c r="AI30" s="17">
        <v>0.29199999999999998</v>
      </c>
      <c r="AJ30" s="33">
        <f t="shared" si="10"/>
        <v>1120</v>
      </c>
      <c r="AK30" s="118">
        <v>9425</v>
      </c>
      <c r="AL30" s="33">
        <f t="shared" si="53"/>
        <v>500</v>
      </c>
      <c r="AM30" s="33"/>
      <c r="AO30" s="33">
        <f t="shared" si="28"/>
        <v>265020</v>
      </c>
      <c r="AP30" s="119">
        <f t="shared" si="29"/>
        <v>42720</v>
      </c>
      <c r="AQ30" s="53">
        <f t="shared" si="30"/>
        <v>0.16119538148064297</v>
      </c>
      <c r="AR30" s="17"/>
      <c r="AS30" s="14"/>
      <c r="AT30" s="48">
        <f t="shared" si="15"/>
        <v>44718</v>
      </c>
      <c r="AU30" s="17">
        <v>73597</v>
      </c>
      <c r="AV30" s="33">
        <f t="shared" si="16"/>
        <v>12300</v>
      </c>
      <c r="AW30" s="17">
        <v>9383</v>
      </c>
      <c r="AX30" s="33">
        <f t="shared" si="17"/>
        <v>1400</v>
      </c>
      <c r="AY30" s="53">
        <v>91025</v>
      </c>
      <c r="AZ30" s="54">
        <f t="shared" si="54"/>
        <v>654</v>
      </c>
      <c r="BA30" s="17">
        <v>5091</v>
      </c>
      <c r="BB30" s="33">
        <f t="shared" si="19"/>
        <v>2840</v>
      </c>
      <c r="BC30" s="46"/>
      <c r="BD30" s="17">
        <f t="shared" si="24"/>
        <v>17194</v>
      </c>
      <c r="BE30" s="17"/>
      <c r="BF30" s="17"/>
    </row>
    <row r="31" spans="2:58" x14ac:dyDescent="0.25">
      <c r="B31" s="45">
        <v>44725</v>
      </c>
      <c r="C31" s="70">
        <f>SUM(Occupancy!K166:K172)</f>
        <v>2194</v>
      </c>
      <c r="D31" s="17">
        <v>17392</v>
      </c>
      <c r="E31" s="17">
        <v>1.964</v>
      </c>
      <c r="F31" s="33">
        <f t="shared" si="20"/>
        <v>32640</v>
      </c>
      <c r="G31" s="17">
        <v>17472</v>
      </c>
      <c r="H31" s="17">
        <v>2.3130000000000002</v>
      </c>
      <c r="I31" s="33">
        <f t="shared" si="1"/>
        <v>48160</v>
      </c>
      <c r="J31" s="17">
        <v>13036</v>
      </c>
      <c r="K31" s="17">
        <v>2.73</v>
      </c>
      <c r="L31" s="33">
        <f t="shared" si="2"/>
        <v>14000</v>
      </c>
      <c r="M31" s="17">
        <v>12751</v>
      </c>
      <c r="N31" s="17">
        <v>2.1800000000000002</v>
      </c>
      <c r="O31" s="33">
        <f t="shared" si="3"/>
        <v>11600</v>
      </c>
      <c r="P31" s="17">
        <v>13392</v>
      </c>
      <c r="Q31" s="17">
        <v>2.29</v>
      </c>
      <c r="R31" s="33">
        <f t="shared" si="4"/>
        <v>11200</v>
      </c>
      <c r="S31" s="17">
        <v>91547</v>
      </c>
      <c r="T31" s="17">
        <v>2.5979999999999999</v>
      </c>
      <c r="U31" s="33">
        <f t="shared" si="5"/>
        <v>81900</v>
      </c>
      <c r="V31" s="17">
        <v>88169</v>
      </c>
      <c r="W31" s="17">
        <v>2.2429999999999999</v>
      </c>
      <c r="X31" s="33">
        <f t="shared" si="6"/>
        <v>81000</v>
      </c>
      <c r="Y31" s="17">
        <v>20659</v>
      </c>
      <c r="Z31" s="17">
        <v>3.48</v>
      </c>
      <c r="AA31" s="33">
        <f t="shared" si="7"/>
        <v>5760</v>
      </c>
      <c r="AB31" s="17">
        <v>13454</v>
      </c>
      <c r="AC31" s="17">
        <v>2.67</v>
      </c>
      <c r="AD31" s="33">
        <f t="shared" si="8"/>
        <v>3520</v>
      </c>
      <c r="AE31" s="17">
        <v>13074</v>
      </c>
      <c r="AF31" s="17">
        <v>2.1379999999999999</v>
      </c>
      <c r="AG31" s="33">
        <f t="shared" si="9"/>
        <v>54600</v>
      </c>
      <c r="AH31" s="17">
        <v>20269</v>
      </c>
      <c r="AI31" s="17">
        <v>0.30299999999999999</v>
      </c>
      <c r="AJ31" s="33">
        <f t="shared" si="10"/>
        <v>1480</v>
      </c>
      <c r="AK31" s="118">
        <v>9732</v>
      </c>
      <c r="AL31" s="33">
        <f t="shared" ref="AL31" si="55">SUM(AK31-AK30)</f>
        <v>307</v>
      </c>
      <c r="AM31" s="33"/>
      <c r="AO31" s="33">
        <f t="shared" si="28"/>
        <v>346167</v>
      </c>
      <c r="AP31" s="119">
        <f t="shared" si="29"/>
        <v>56080</v>
      </c>
      <c r="AQ31" s="53">
        <f t="shared" si="30"/>
        <v>0.16200273278504307</v>
      </c>
      <c r="AR31" s="17"/>
      <c r="AS31" s="14"/>
      <c r="AT31" s="48">
        <f t="shared" si="15"/>
        <v>44725</v>
      </c>
      <c r="AU31" s="17">
        <v>73777</v>
      </c>
      <c r="AV31" s="33">
        <f t="shared" si="16"/>
        <v>18000</v>
      </c>
      <c r="AW31" s="17">
        <v>9403</v>
      </c>
      <c r="AX31" s="33">
        <f t="shared" si="17"/>
        <v>2000</v>
      </c>
      <c r="AY31" s="53">
        <v>91910</v>
      </c>
      <c r="AZ31" s="54">
        <f t="shared" ref="AZ31" si="56">SUM(AY31-AY30)</f>
        <v>885</v>
      </c>
      <c r="BA31" s="17">
        <v>5182</v>
      </c>
      <c r="BB31" s="33">
        <f t="shared" si="19"/>
        <v>3640</v>
      </c>
      <c r="BC31" s="46"/>
      <c r="BD31" s="17">
        <f t="shared" si="24"/>
        <v>24525</v>
      </c>
      <c r="BE31" s="17"/>
      <c r="BF31" s="17"/>
    </row>
    <row r="32" spans="2:58" x14ac:dyDescent="0.25">
      <c r="B32" s="45">
        <v>44732</v>
      </c>
      <c r="C32" s="70">
        <f>SUM(Occupancy!K173:K179)</f>
        <v>2258</v>
      </c>
      <c r="D32" s="17">
        <v>17717</v>
      </c>
      <c r="E32" s="17">
        <v>1.9930000000000001</v>
      </c>
      <c r="F32" s="33">
        <f t="shared" si="20"/>
        <v>52000</v>
      </c>
      <c r="G32" s="17">
        <v>17789</v>
      </c>
      <c r="H32" s="17">
        <v>2.4159999999999999</v>
      </c>
      <c r="I32" s="33">
        <f t="shared" si="1"/>
        <v>50720</v>
      </c>
      <c r="J32" s="17">
        <v>13072</v>
      </c>
      <c r="K32" s="17">
        <v>2.77</v>
      </c>
      <c r="L32" s="33">
        <f t="shared" si="2"/>
        <v>14400</v>
      </c>
      <c r="M32" s="17">
        <v>12782</v>
      </c>
      <c r="N32" s="17">
        <v>2.2599999999999998</v>
      </c>
      <c r="O32" s="33">
        <f t="shared" si="3"/>
        <v>12400</v>
      </c>
      <c r="P32" s="17">
        <v>13421</v>
      </c>
      <c r="Q32" s="17">
        <v>2.29</v>
      </c>
      <c r="R32" s="33">
        <f t="shared" si="4"/>
        <v>11600</v>
      </c>
      <c r="S32" s="17">
        <v>91843</v>
      </c>
      <c r="T32" s="17">
        <v>2.5979999999999999</v>
      </c>
      <c r="U32" s="33">
        <f t="shared" si="5"/>
        <v>88800</v>
      </c>
      <c r="V32" s="17">
        <v>88422</v>
      </c>
      <c r="W32" s="17">
        <v>2.2429999999999999</v>
      </c>
      <c r="X32" s="33">
        <f t="shared" si="6"/>
        <v>75900</v>
      </c>
      <c r="Y32" s="17">
        <v>20697</v>
      </c>
      <c r="Z32" s="17">
        <v>3.48</v>
      </c>
      <c r="AA32" s="33">
        <f t="shared" si="7"/>
        <v>6080</v>
      </c>
      <c r="AB32" s="17">
        <v>13477</v>
      </c>
      <c r="AC32" s="17">
        <v>2.67</v>
      </c>
      <c r="AD32" s="33">
        <f t="shared" si="8"/>
        <v>3680</v>
      </c>
      <c r="AE32" s="17">
        <v>13477</v>
      </c>
      <c r="AF32" s="17">
        <v>2.1379999999999999</v>
      </c>
      <c r="AG32" s="33">
        <f t="shared" si="9"/>
        <v>80600</v>
      </c>
      <c r="AH32" s="17">
        <v>20307</v>
      </c>
      <c r="AI32" s="17">
        <v>0.30299999999999999</v>
      </c>
      <c r="AJ32" s="33">
        <f t="shared" si="10"/>
        <v>1520</v>
      </c>
      <c r="AK32" s="118">
        <v>10254</v>
      </c>
      <c r="AL32" s="33">
        <f t="shared" ref="AL32" si="57">SUM(AK32-AK31)</f>
        <v>522</v>
      </c>
      <c r="AM32" s="33"/>
      <c r="AO32" s="33">
        <f t="shared" si="28"/>
        <v>398222</v>
      </c>
      <c r="AP32" s="119">
        <f t="shared" si="29"/>
        <v>82120</v>
      </c>
      <c r="AQ32" s="53">
        <f t="shared" si="30"/>
        <v>0.2062166329333889</v>
      </c>
      <c r="AR32" s="17"/>
      <c r="AS32" s="14"/>
      <c r="AT32" s="48">
        <f t="shared" si="15"/>
        <v>44732</v>
      </c>
      <c r="AU32" s="17">
        <v>73967</v>
      </c>
      <c r="AV32" s="33">
        <f t="shared" si="16"/>
        <v>19000</v>
      </c>
      <c r="AW32" s="17">
        <v>9423</v>
      </c>
      <c r="AX32" s="33">
        <f t="shared" si="17"/>
        <v>2000</v>
      </c>
      <c r="AY32" s="53">
        <v>92818</v>
      </c>
      <c r="AZ32" s="54">
        <f t="shared" ref="AZ32" si="58">SUM(AY32-AY31)</f>
        <v>908</v>
      </c>
      <c r="BA32" s="17">
        <v>5294</v>
      </c>
      <c r="BB32" s="33">
        <f t="shared" si="19"/>
        <v>4480</v>
      </c>
      <c r="BC32" s="46"/>
      <c r="BD32" s="17">
        <f t="shared" si="24"/>
        <v>26388</v>
      </c>
      <c r="BE32" s="17"/>
      <c r="BF32" s="17"/>
    </row>
    <row r="33" spans="2:58" x14ac:dyDescent="0.25">
      <c r="B33" s="45">
        <v>44739</v>
      </c>
      <c r="C33" s="70">
        <f>SUM(Occupancy!K180:K186)</f>
        <v>2415</v>
      </c>
      <c r="D33" s="17">
        <v>17982</v>
      </c>
      <c r="E33" s="17">
        <v>1.956</v>
      </c>
      <c r="F33" s="33">
        <f t="shared" si="20"/>
        <v>42400</v>
      </c>
      <c r="G33" s="17">
        <v>18102</v>
      </c>
      <c r="H33" s="17">
        <v>2.3570000000000002</v>
      </c>
      <c r="I33" s="33">
        <f t="shared" si="1"/>
        <v>50080</v>
      </c>
      <c r="J33" s="17">
        <v>13106</v>
      </c>
      <c r="K33" s="17">
        <v>2.64</v>
      </c>
      <c r="L33" s="33">
        <f t="shared" si="2"/>
        <v>13600</v>
      </c>
      <c r="M33" s="17">
        <v>12815</v>
      </c>
      <c r="N33" s="17">
        <v>2.39</v>
      </c>
      <c r="O33" s="33">
        <f t="shared" si="3"/>
        <v>13200</v>
      </c>
      <c r="P33" s="17">
        <v>13450</v>
      </c>
      <c r="Q33" s="17">
        <v>2.2000000000000002</v>
      </c>
      <c r="R33" s="33">
        <f t="shared" si="4"/>
        <v>11600</v>
      </c>
      <c r="S33" s="17">
        <v>92123</v>
      </c>
      <c r="T33" s="17">
        <v>2.7829999999999999</v>
      </c>
      <c r="U33" s="33">
        <f t="shared" si="5"/>
        <v>84000</v>
      </c>
      <c r="V33" s="17">
        <v>88758</v>
      </c>
      <c r="W33" s="17">
        <v>2.302</v>
      </c>
      <c r="X33" s="33">
        <f t="shared" si="6"/>
        <v>100800</v>
      </c>
      <c r="Y33" s="17">
        <v>20741</v>
      </c>
      <c r="Z33" s="17">
        <v>5.52</v>
      </c>
      <c r="AA33" s="33">
        <f t="shared" si="7"/>
        <v>7040</v>
      </c>
      <c r="AB33" s="17">
        <v>13500</v>
      </c>
      <c r="AC33" s="17">
        <v>2.52</v>
      </c>
      <c r="AD33" s="33">
        <f t="shared" si="8"/>
        <v>3680</v>
      </c>
      <c r="AE33" s="17">
        <v>13635</v>
      </c>
      <c r="AF33" s="17">
        <v>2.121</v>
      </c>
      <c r="AG33" s="33">
        <f t="shared" si="9"/>
        <v>31600</v>
      </c>
      <c r="AH33" s="17">
        <v>20346</v>
      </c>
      <c r="AI33" s="17">
        <v>0.27500000000000002</v>
      </c>
      <c r="AJ33" s="33">
        <f t="shared" si="10"/>
        <v>1560</v>
      </c>
      <c r="AK33" s="118">
        <v>10737</v>
      </c>
      <c r="AL33" s="33">
        <f t="shared" ref="AL33" si="59">SUM(AK33-AK32)</f>
        <v>483</v>
      </c>
      <c r="AM33" s="33"/>
      <c r="AO33" s="33">
        <f t="shared" si="28"/>
        <v>360043</v>
      </c>
      <c r="AP33" s="119">
        <f t="shared" si="29"/>
        <v>33160</v>
      </c>
      <c r="AQ33" s="53">
        <f t="shared" si="30"/>
        <v>9.2100110264607279E-2</v>
      </c>
      <c r="AR33" s="17"/>
      <c r="AS33" s="14"/>
      <c r="AT33" s="48">
        <f t="shared" si="15"/>
        <v>44739</v>
      </c>
      <c r="AU33" s="17">
        <v>74142</v>
      </c>
      <c r="AV33" s="33">
        <f t="shared" si="16"/>
        <v>17500</v>
      </c>
      <c r="AW33" s="17">
        <v>9442</v>
      </c>
      <c r="AX33" s="33">
        <f t="shared" si="17"/>
        <v>1900</v>
      </c>
      <c r="AY33" s="53">
        <v>93698</v>
      </c>
      <c r="AZ33" s="54">
        <f t="shared" ref="AZ33" si="60">SUM(AY33-AY32)</f>
        <v>880</v>
      </c>
      <c r="BA33" s="17">
        <v>5389</v>
      </c>
      <c r="BB33" s="33">
        <f t="shared" si="19"/>
        <v>3800</v>
      </c>
      <c r="BC33" s="46"/>
      <c r="BD33" s="17">
        <f t="shared" si="24"/>
        <v>24080</v>
      </c>
      <c r="BE33" s="17"/>
      <c r="BF33" s="17"/>
    </row>
    <row r="34" spans="2:58" x14ac:dyDescent="0.25">
      <c r="B34" s="45">
        <v>44742</v>
      </c>
      <c r="C34" s="70">
        <f>SUM(Occupancy!K187:K189)</f>
        <v>833</v>
      </c>
      <c r="D34" s="17">
        <v>18097</v>
      </c>
      <c r="E34" s="17">
        <v>1.956</v>
      </c>
      <c r="F34" s="33">
        <f t="shared" si="20"/>
        <v>18400</v>
      </c>
      <c r="G34" s="17">
        <v>18233</v>
      </c>
      <c r="H34" s="17">
        <v>2.3570000000000002</v>
      </c>
      <c r="I34" s="33">
        <f t="shared" si="1"/>
        <v>20960</v>
      </c>
      <c r="J34" s="17">
        <v>13122</v>
      </c>
      <c r="K34" s="17">
        <v>2.74</v>
      </c>
      <c r="L34" s="33">
        <f t="shared" si="2"/>
        <v>6400</v>
      </c>
      <c r="M34" s="17">
        <v>12829</v>
      </c>
      <c r="N34" s="17">
        <v>2.39</v>
      </c>
      <c r="O34" s="33">
        <f t="shared" si="3"/>
        <v>5600</v>
      </c>
      <c r="P34" s="17">
        <v>13463</v>
      </c>
      <c r="Q34" s="17">
        <v>2.2000000000000002</v>
      </c>
      <c r="R34" s="33">
        <f t="shared" si="4"/>
        <v>5200</v>
      </c>
      <c r="S34" s="17">
        <v>92269</v>
      </c>
      <c r="T34" s="17">
        <v>2.802</v>
      </c>
      <c r="U34" s="33">
        <f t="shared" si="5"/>
        <v>43800</v>
      </c>
      <c r="V34" s="17">
        <v>88896</v>
      </c>
      <c r="W34" s="17">
        <v>2.302</v>
      </c>
      <c r="X34" s="33">
        <f t="shared" si="6"/>
        <v>41400</v>
      </c>
      <c r="Y34" s="17">
        <v>20771</v>
      </c>
      <c r="Z34" s="17">
        <v>5.9</v>
      </c>
      <c r="AA34" s="33">
        <f t="shared" si="7"/>
        <v>4800</v>
      </c>
      <c r="AB34" s="17">
        <v>13512</v>
      </c>
      <c r="AC34" s="17">
        <v>2.54</v>
      </c>
      <c r="AD34" s="33">
        <f t="shared" si="8"/>
        <v>1920</v>
      </c>
      <c r="AE34" s="17">
        <v>13748</v>
      </c>
      <c r="AF34" s="17">
        <v>2.121</v>
      </c>
      <c r="AG34" s="33">
        <f t="shared" si="9"/>
        <v>22600</v>
      </c>
      <c r="AH34" s="17">
        <v>20362</v>
      </c>
      <c r="AI34" s="17">
        <v>0.27500000000000002</v>
      </c>
      <c r="AJ34" s="33">
        <f t="shared" si="10"/>
        <v>640</v>
      </c>
      <c r="AK34" s="118">
        <v>10927</v>
      </c>
      <c r="AL34" s="33">
        <f t="shared" ref="AL34:AL35" si="61">SUM(AK34-AK33)</f>
        <v>190</v>
      </c>
      <c r="AM34" s="33"/>
      <c r="AO34" s="33">
        <f t="shared" si="28"/>
        <v>171910</v>
      </c>
      <c r="AP34" s="119">
        <f t="shared" si="29"/>
        <v>23240</v>
      </c>
      <c r="AQ34" s="53">
        <f t="shared" si="30"/>
        <v>0.13518701646210227</v>
      </c>
      <c r="AR34" s="17"/>
      <c r="AS34" s="14"/>
      <c r="AT34" s="48">
        <f t="shared" si="15"/>
        <v>44742</v>
      </c>
      <c r="AU34" s="17">
        <v>74251</v>
      </c>
      <c r="AV34" s="33">
        <f t="shared" si="16"/>
        <v>10900</v>
      </c>
      <c r="AW34" s="17">
        <v>9455</v>
      </c>
      <c r="AX34" s="33">
        <f t="shared" si="17"/>
        <v>1300</v>
      </c>
      <c r="AY34" s="53">
        <v>94238</v>
      </c>
      <c r="AZ34" s="54">
        <f t="shared" ref="AZ34:AZ35" si="62">SUM(AY34-AY33)</f>
        <v>540</v>
      </c>
      <c r="BA34" s="17">
        <v>5450</v>
      </c>
      <c r="BB34" s="33">
        <f t="shared" si="19"/>
        <v>2440</v>
      </c>
      <c r="BC34" s="46"/>
      <c r="BD34" s="17">
        <f t="shared" si="24"/>
        <v>15180</v>
      </c>
      <c r="BE34" s="17"/>
      <c r="BF34" s="17"/>
    </row>
    <row r="35" spans="2:58" x14ac:dyDescent="0.25">
      <c r="B35" s="45">
        <v>44746</v>
      </c>
      <c r="C35" s="70">
        <f>SUM(Occupancy!K191:K193)</f>
        <v>833</v>
      </c>
      <c r="D35" s="17">
        <v>18241</v>
      </c>
      <c r="E35" s="17">
        <v>1.956</v>
      </c>
      <c r="F35" s="33">
        <f t="shared" si="20"/>
        <v>23040</v>
      </c>
      <c r="G35" s="17">
        <v>18405</v>
      </c>
      <c r="H35" s="17">
        <v>2.3570000000000002</v>
      </c>
      <c r="I35" s="33">
        <f t="shared" si="1"/>
        <v>27520</v>
      </c>
      <c r="J35" s="17">
        <v>13140</v>
      </c>
      <c r="K35" s="17">
        <v>2.74</v>
      </c>
      <c r="L35" s="33">
        <f t="shared" si="2"/>
        <v>7200</v>
      </c>
      <c r="M35" s="17">
        <v>12845</v>
      </c>
      <c r="N35" s="17">
        <v>2.39</v>
      </c>
      <c r="O35" s="33">
        <f t="shared" si="3"/>
        <v>6400</v>
      </c>
      <c r="P35" s="17">
        <v>13480</v>
      </c>
      <c r="Q35" s="17">
        <v>2.2000000000000002</v>
      </c>
      <c r="R35" s="33">
        <f t="shared" si="4"/>
        <v>6800</v>
      </c>
      <c r="S35" s="17">
        <v>92430</v>
      </c>
      <c r="T35" s="17">
        <v>2.802</v>
      </c>
      <c r="U35" s="33">
        <f t="shared" si="5"/>
        <v>48300</v>
      </c>
      <c r="V35" s="17">
        <v>89052</v>
      </c>
      <c r="W35" s="17">
        <v>2.302</v>
      </c>
      <c r="X35" s="33">
        <f t="shared" si="6"/>
        <v>46800</v>
      </c>
      <c r="Y35" s="17">
        <v>20790</v>
      </c>
      <c r="Z35" s="17">
        <v>5.9</v>
      </c>
      <c r="AA35" s="33">
        <f t="shared" si="7"/>
        <v>3040</v>
      </c>
      <c r="AB35" s="17">
        <v>13523</v>
      </c>
      <c r="AC35" s="17">
        <v>2.54</v>
      </c>
      <c r="AD35" s="33">
        <f t="shared" si="8"/>
        <v>1760</v>
      </c>
      <c r="AE35" s="17">
        <v>13901</v>
      </c>
      <c r="AF35" s="17">
        <v>2.121</v>
      </c>
      <c r="AG35" s="33">
        <f t="shared" si="9"/>
        <v>30600</v>
      </c>
      <c r="AH35" s="17">
        <v>20382</v>
      </c>
      <c r="AI35" s="17">
        <v>0.30299999999999999</v>
      </c>
      <c r="AJ35" s="33">
        <f t="shared" si="10"/>
        <v>800</v>
      </c>
      <c r="AK35" s="118">
        <v>11237</v>
      </c>
      <c r="AL35" s="33">
        <f t="shared" si="61"/>
        <v>310</v>
      </c>
      <c r="AM35" s="33"/>
      <c r="AO35" s="33">
        <f t="shared" si="28"/>
        <v>202570</v>
      </c>
      <c r="AP35" s="119">
        <f t="shared" si="29"/>
        <v>31400</v>
      </c>
      <c r="AQ35" s="53">
        <f t="shared" si="30"/>
        <v>0.15500814533247767</v>
      </c>
      <c r="AR35" s="17"/>
      <c r="AS35" s="14"/>
      <c r="AT35" s="48">
        <f t="shared" si="15"/>
        <v>44746</v>
      </c>
      <c r="AU35" s="17">
        <v>74317</v>
      </c>
      <c r="AV35" s="33">
        <f t="shared" si="16"/>
        <v>6600</v>
      </c>
      <c r="AW35" s="17">
        <v>9461</v>
      </c>
      <c r="AX35" s="33">
        <f t="shared" si="17"/>
        <v>600</v>
      </c>
      <c r="AY35" s="53">
        <v>94593</v>
      </c>
      <c r="AZ35" s="54">
        <f t="shared" si="62"/>
        <v>355</v>
      </c>
      <c r="BA35" s="17">
        <v>5463</v>
      </c>
      <c r="BB35" s="33">
        <f t="shared" si="19"/>
        <v>520</v>
      </c>
      <c r="BC35" s="46"/>
      <c r="BD35" s="17">
        <f t="shared" si="24"/>
        <v>8075</v>
      </c>
      <c r="BE35" s="17"/>
      <c r="BF35" s="17"/>
    </row>
    <row r="36" spans="2:58" x14ac:dyDescent="0.25">
      <c r="B36" s="45">
        <v>44753</v>
      </c>
      <c r="C36" s="70">
        <f>SUM(Occupancy!K194:K200)</f>
        <v>1964</v>
      </c>
      <c r="D36" s="17">
        <v>18508</v>
      </c>
      <c r="E36" s="17">
        <v>1.956</v>
      </c>
      <c r="F36" s="33">
        <f t="shared" si="20"/>
        <v>42720</v>
      </c>
      <c r="G36" s="17">
        <v>18714</v>
      </c>
      <c r="H36" s="17">
        <v>2.3660000000000001</v>
      </c>
      <c r="I36" s="33">
        <f t="shared" si="1"/>
        <v>49440</v>
      </c>
      <c r="J36" s="17">
        <v>13173</v>
      </c>
      <c r="K36" s="17">
        <v>2.74</v>
      </c>
      <c r="L36" s="33">
        <f t="shared" si="2"/>
        <v>13200</v>
      </c>
      <c r="M36" s="17">
        <v>12874</v>
      </c>
      <c r="N36" s="17">
        <v>2.39</v>
      </c>
      <c r="O36" s="33">
        <f t="shared" si="3"/>
        <v>11600</v>
      </c>
      <c r="P36" s="17">
        <v>13509</v>
      </c>
      <c r="Q36" s="17">
        <v>2.2000000000000002</v>
      </c>
      <c r="R36" s="33">
        <f t="shared" si="4"/>
        <v>11600</v>
      </c>
      <c r="S36" s="17">
        <v>92738</v>
      </c>
      <c r="T36" s="17">
        <v>2.802</v>
      </c>
      <c r="U36" s="33">
        <f t="shared" si="5"/>
        <v>92400</v>
      </c>
      <c r="V36" s="17">
        <v>89343</v>
      </c>
      <c r="W36" s="17">
        <v>2.302</v>
      </c>
      <c r="X36" s="33">
        <f t="shared" si="6"/>
        <v>87300</v>
      </c>
      <c r="Y36" s="17">
        <v>20826</v>
      </c>
      <c r="Z36" s="17">
        <v>5.9</v>
      </c>
      <c r="AA36" s="33">
        <f t="shared" si="7"/>
        <v>5760</v>
      </c>
      <c r="AB36" s="17">
        <v>13544</v>
      </c>
      <c r="AC36" s="17">
        <v>2.54</v>
      </c>
      <c r="AD36" s="33">
        <f t="shared" si="8"/>
        <v>3360</v>
      </c>
      <c r="AE36" s="17">
        <v>14184</v>
      </c>
      <c r="AF36" s="17">
        <v>2.121</v>
      </c>
      <c r="AG36" s="33">
        <f t="shared" si="9"/>
        <v>56600</v>
      </c>
      <c r="AH36" s="17">
        <v>20422</v>
      </c>
      <c r="AI36" s="17">
        <v>0.30299999999999999</v>
      </c>
      <c r="AJ36" s="33">
        <f t="shared" si="10"/>
        <v>1600</v>
      </c>
      <c r="AK36" s="118">
        <v>11678</v>
      </c>
      <c r="AL36" s="33">
        <f t="shared" ref="AL36" si="63">SUM(AK36-AK35)</f>
        <v>441</v>
      </c>
      <c r="AM36" s="33"/>
      <c r="AO36" s="33">
        <f t="shared" si="28"/>
        <v>376021</v>
      </c>
      <c r="AP36" s="119">
        <f t="shared" si="29"/>
        <v>58200</v>
      </c>
      <c r="AQ36" s="53">
        <f t="shared" si="30"/>
        <v>0.1547785894936719</v>
      </c>
      <c r="AR36" s="17"/>
      <c r="AS36" s="14"/>
      <c r="AT36" s="48">
        <f t="shared" si="15"/>
        <v>44753</v>
      </c>
      <c r="AU36" s="17">
        <v>74576</v>
      </c>
      <c r="AV36" s="33">
        <f t="shared" si="16"/>
        <v>25900</v>
      </c>
      <c r="AW36" s="17">
        <v>9492</v>
      </c>
      <c r="AX36" s="33">
        <f t="shared" si="17"/>
        <v>3100</v>
      </c>
      <c r="AY36" s="53">
        <v>95882</v>
      </c>
      <c r="AZ36" s="54">
        <f t="shared" ref="AZ36" si="64">SUM(AY36-AY35)</f>
        <v>1289</v>
      </c>
      <c r="BA36" s="17">
        <v>5598</v>
      </c>
      <c r="BB36" s="33">
        <f t="shared" si="19"/>
        <v>5400</v>
      </c>
      <c r="BC36" s="46"/>
      <c r="BD36" s="17">
        <f t="shared" si="24"/>
        <v>35689</v>
      </c>
      <c r="BE36" s="17"/>
      <c r="BF36" s="17"/>
    </row>
    <row r="37" spans="2:58" x14ac:dyDescent="0.25">
      <c r="B37" s="45">
        <v>44760</v>
      </c>
      <c r="C37" s="70">
        <f>SUM(Occupancy!K201:K207)</f>
        <v>2387</v>
      </c>
      <c r="D37" s="17">
        <v>18773</v>
      </c>
      <c r="E37" s="17">
        <v>2.02</v>
      </c>
      <c r="F37" s="33">
        <f t="shared" si="20"/>
        <v>42400</v>
      </c>
      <c r="G37" s="17">
        <v>19013</v>
      </c>
      <c r="H37" s="17">
        <v>2.3660000000000001</v>
      </c>
      <c r="I37" s="33">
        <f t="shared" si="1"/>
        <v>47840</v>
      </c>
      <c r="J37" s="17">
        <v>13206</v>
      </c>
      <c r="K37" s="17">
        <v>2.74</v>
      </c>
      <c r="L37" s="33">
        <f t="shared" si="2"/>
        <v>13200</v>
      </c>
      <c r="M37" s="17">
        <v>12904</v>
      </c>
      <c r="N37" s="17">
        <v>2.46</v>
      </c>
      <c r="O37" s="33">
        <f t="shared" si="3"/>
        <v>12000</v>
      </c>
      <c r="P37" s="17">
        <v>13538</v>
      </c>
      <c r="Q37" s="17">
        <v>2.2000000000000002</v>
      </c>
      <c r="R37" s="33">
        <f t="shared" si="4"/>
        <v>11600</v>
      </c>
      <c r="S37" s="17">
        <v>93002</v>
      </c>
      <c r="T37" s="17">
        <v>2.802</v>
      </c>
      <c r="U37" s="33">
        <f t="shared" si="5"/>
        <v>79200</v>
      </c>
      <c r="V37" s="17">
        <v>89633</v>
      </c>
      <c r="W37" s="17">
        <v>2.302</v>
      </c>
      <c r="X37" s="33">
        <f t="shared" si="6"/>
        <v>87000</v>
      </c>
      <c r="Y37" s="17">
        <v>20863</v>
      </c>
      <c r="Z37" s="17">
        <v>5.9</v>
      </c>
      <c r="AA37" s="33">
        <f t="shared" si="7"/>
        <v>5920</v>
      </c>
      <c r="AB37" s="17">
        <v>13568</v>
      </c>
      <c r="AC37" s="17">
        <v>2.54</v>
      </c>
      <c r="AD37" s="33">
        <f t="shared" si="8"/>
        <v>3840</v>
      </c>
      <c r="AE37" s="17">
        <v>14461</v>
      </c>
      <c r="AF37" s="17">
        <v>2.2000000000000002</v>
      </c>
      <c r="AG37" s="33">
        <f t="shared" si="9"/>
        <v>55400</v>
      </c>
      <c r="AH37" s="17">
        <v>20463</v>
      </c>
      <c r="AI37" s="17">
        <v>0.33200000000000002</v>
      </c>
      <c r="AJ37" s="33">
        <f t="shared" si="10"/>
        <v>1640</v>
      </c>
      <c r="AK37" s="118">
        <v>12091</v>
      </c>
      <c r="AL37" s="33">
        <f t="shared" ref="AL37" si="65">SUM(AK37-AK36)</f>
        <v>413</v>
      </c>
      <c r="AM37" s="33"/>
      <c r="AO37" s="33">
        <f t="shared" si="28"/>
        <v>360453</v>
      </c>
      <c r="AP37" s="119">
        <f t="shared" si="29"/>
        <v>57040</v>
      </c>
      <c r="AQ37" s="53">
        <f t="shared" si="30"/>
        <v>0.15824531908459633</v>
      </c>
      <c r="AR37" s="17"/>
      <c r="AS37" s="14"/>
      <c r="AT37" s="48">
        <f t="shared" si="15"/>
        <v>44760</v>
      </c>
      <c r="AU37" s="17">
        <v>74677</v>
      </c>
      <c r="AV37" s="33">
        <f t="shared" si="16"/>
        <v>10100</v>
      </c>
      <c r="AW37" s="17">
        <v>9503</v>
      </c>
      <c r="AX37" s="33">
        <f t="shared" si="17"/>
        <v>1100</v>
      </c>
      <c r="AY37" s="53">
        <v>96392</v>
      </c>
      <c r="AZ37" s="54">
        <f t="shared" ref="AZ37" si="66">SUM(AY37-AY36)</f>
        <v>510</v>
      </c>
      <c r="BA37" s="17">
        <v>5617</v>
      </c>
      <c r="BB37" s="33">
        <f t="shared" si="19"/>
        <v>760</v>
      </c>
      <c r="BC37" s="46"/>
      <c r="BD37" s="17">
        <f t="shared" si="24"/>
        <v>12470</v>
      </c>
      <c r="BE37" s="17"/>
      <c r="BF37" s="17"/>
    </row>
    <row r="38" spans="2:58" x14ac:dyDescent="0.25">
      <c r="B38" s="45">
        <v>44767</v>
      </c>
      <c r="C38" s="70">
        <f>SUM(Occupancy!K208:K214)</f>
        <v>2231</v>
      </c>
      <c r="D38" s="17">
        <v>19043</v>
      </c>
      <c r="E38" s="17">
        <v>1.89</v>
      </c>
      <c r="F38" s="33">
        <f t="shared" si="20"/>
        <v>43200</v>
      </c>
      <c r="G38" s="17">
        <v>19326</v>
      </c>
      <c r="H38" s="17">
        <v>2.2320000000000002</v>
      </c>
      <c r="I38" s="33">
        <f t="shared" si="1"/>
        <v>50080</v>
      </c>
      <c r="J38" s="17">
        <v>13243</v>
      </c>
      <c r="K38" s="17">
        <v>2.5099999999999998</v>
      </c>
      <c r="L38" s="33">
        <f t="shared" si="2"/>
        <v>14800</v>
      </c>
      <c r="M38" s="17">
        <v>12934</v>
      </c>
      <c r="N38" s="17">
        <v>2.1</v>
      </c>
      <c r="O38" s="33">
        <f t="shared" si="3"/>
        <v>12000</v>
      </c>
      <c r="P38" s="17">
        <v>13568</v>
      </c>
      <c r="Q38" s="17">
        <v>2.21</v>
      </c>
      <c r="R38" s="33">
        <f t="shared" si="4"/>
        <v>12000</v>
      </c>
      <c r="S38" s="17">
        <v>93328</v>
      </c>
      <c r="T38" s="17">
        <v>2.4660000000000002</v>
      </c>
      <c r="U38" s="33">
        <f t="shared" si="5"/>
        <v>97800</v>
      </c>
      <c r="V38" s="17">
        <v>89933</v>
      </c>
      <c r="W38" s="17">
        <v>2.0790000000000002</v>
      </c>
      <c r="X38" s="33">
        <f t="shared" si="6"/>
        <v>90000</v>
      </c>
      <c r="Y38" s="17">
        <v>20901</v>
      </c>
      <c r="Z38" s="17">
        <v>2.99</v>
      </c>
      <c r="AA38" s="33">
        <f t="shared" si="7"/>
        <v>6080</v>
      </c>
      <c r="AB38" s="17">
        <v>13590</v>
      </c>
      <c r="AC38" s="17">
        <v>2.0499999999999998</v>
      </c>
      <c r="AD38" s="33">
        <f t="shared" si="8"/>
        <v>3520</v>
      </c>
      <c r="AE38" s="17">
        <v>14755</v>
      </c>
      <c r="AF38" s="17">
        <v>2.2959999999999998</v>
      </c>
      <c r="AG38" s="33">
        <f t="shared" si="9"/>
        <v>58800</v>
      </c>
      <c r="AH38" s="17">
        <v>20505</v>
      </c>
      <c r="AI38" s="17">
        <v>0.30299999999999999</v>
      </c>
      <c r="AJ38" s="33">
        <f t="shared" si="10"/>
        <v>1680</v>
      </c>
      <c r="AK38" s="118">
        <v>12514</v>
      </c>
      <c r="AL38" s="33">
        <f t="shared" ref="AL38:AL39" si="67">SUM(AK38-AK37)</f>
        <v>423</v>
      </c>
      <c r="AM38" s="33"/>
      <c r="AO38" s="33">
        <f t="shared" si="28"/>
        <v>390383</v>
      </c>
      <c r="AP38" s="119">
        <f t="shared" si="29"/>
        <v>60480</v>
      </c>
      <c r="AQ38" s="53">
        <f t="shared" si="30"/>
        <v>0.15492477899908552</v>
      </c>
      <c r="AR38" s="17"/>
      <c r="AS38" s="14"/>
      <c r="AT38" s="48">
        <f t="shared" si="15"/>
        <v>44767</v>
      </c>
      <c r="AU38" s="17">
        <v>74870</v>
      </c>
      <c r="AV38" s="33">
        <f t="shared" si="16"/>
        <v>19300</v>
      </c>
      <c r="AW38" s="17">
        <v>9526</v>
      </c>
      <c r="AX38" s="33">
        <f t="shared" si="17"/>
        <v>2300</v>
      </c>
      <c r="AY38" s="53">
        <v>97328</v>
      </c>
      <c r="AZ38" s="54">
        <f t="shared" ref="AZ38:AZ39" si="68">SUM(AY38-AY37)</f>
        <v>936</v>
      </c>
      <c r="BA38" s="17">
        <v>5715</v>
      </c>
      <c r="BB38" s="33">
        <f t="shared" si="19"/>
        <v>3920</v>
      </c>
      <c r="BC38" s="46"/>
      <c r="BD38" s="17">
        <f t="shared" si="24"/>
        <v>26456</v>
      </c>
      <c r="BE38" s="17"/>
      <c r="BF38" s="17"/>
    </row>
    <row r="39" spans="2:58" x14ac:dyDescent="0.25">
      <c r="B39" s="45">
        <v>44774</v>
      </c>
      <c r="C39" s="70">
        <f>SUM(Occupancy!K215:K221)</f>
        <v>1830</v>
      </c>
      <c r="D39" s="17">
        <v>19309</v>
      </c>
      <c r="E39" s="17">
        <v>2.0009999999999999</v>
      </c>
      <c r="F39" s="33">
        <f t="shared" si="20"/>
        <v>42560</v>
      </c>
      <c r="G39" s="17">
        <v>19636</v>
      </c>
      <c r="H39" s="17">
        <v>2.403</v>
      </c>
      <c r="I39" s="33">
        <f t="shared" si="1"/>
        <v>49600</v>
      </c>
      <c r="J39" s="17">
        <v>13275</v>
      </c>
      <c r="K39" s="17">
        <v>2.5099999999999998</v>
      </c>
      <c r="L39" s="33">
        <f t="shared" si="2"/>
        <v>12800</v>
      </c>
      <c r="M39" s="17">
        <v>12962</v>
      </c>
      <c r="N39" s="17">
        <v>2.17</v>
      </c>
      <c r="O39" s="33">
        <f t="shared" si="3"/>
        <v>11200</v>
      </c>
      <c r="P39" s="17">
        <v>13595</v>
      </c>
      <c r="Q39" s="17">
        <v>2.21</v>
      </c>
      <c r="R39" s="33">
        <f t="shared" si="4"/>
        <v>10800</v>
      </c>
      <c r="S39" s="17">
        <v>93616</v>
      </c>
      <c r="T39" s="17">
        <v>2.4980000000000002</v>
      </c>
      <c r="U39" s="33">
        <f t="shared" si="5"/>
        <v>86400</v>
      </c>
      <c r="V39" s="17">
        <v>90218</v>
      </c>
      <c r="W39" s="17">
        <v>2.2850000000000001</v>
      </c>
      <c r="X39" s="33">
        <f t="shared" si="6"/>
        <v>85500</v>
      </c>
      <c r="Y39" s="17">
        <v>20938</v>
      </c>
      <c r="Z39" s="17">
        <v>2.99</v>
      </c>
      <c r="AA39" s="33">
        <f t="shared" si="7"/>
        <v>5920</v>
      </c>
      <c r="AB39" s="17">
        <v>13612</v>
      </c>
      <c r="AC39" s="17">
        <v>2.1800000000000002</v>
      </c>
      <c r="AD39" s="33">
        <f t="shared" si="8"/>
        <v>3520</v>
      </c>
      <c r="AE39" s="17">
        <v>15040</v>
      </c>
      <c r="AF39" s="17">
        <v>2.2959999999999998</v>
      </c>
      <c r="AG39" s="33">
        <f t="shared" si="9"/>
        <v>57000</v>
      </c>
      <c r="AH39" s="17">
        <v>20545</v>
      </c>
      <c r="AI39" s="17">
        <v>0.30299999999999999</v>
      </c>
      <c r="AJ39" s="33">
        <f t="shared" si="10"/>
        <v>1600</v>
      </c>
      <c r="AK39" s="118">
        <v>13057</v>
      </c>
      <c r="AL39" s="33">
        <f t="shared" si="67"/>
        <v>543</v>
      </c>
      <c r="AM39" s="33"/>
      <c r="AO39" s="33">
        <f t="shared" si="28"/>
        <v>367443</v>
      </c>
      <c r="AP39" s="119">
        <f t="shared" si="29"/>
        <v>58600</v>
      </c>
      <c r="AQ39" s="53">
        <f t="shared" si="30"/>
        <v>0.15948051806674776</v>
      </c>
      <c r="AR39" s="17"/>
      <c r="AS39" s="14"/>
      <c r="AT39" s="48">
        <f t="shared" si="15"/>
        <v>44774</v>
      </c>
      <c r="AU39" s="17">
        <v>75084</v>
      </c>
      <c r="AV39" s="33">
        <f t="shared" si="16"/>
        <v>21400</v>
      </c>
      <c r="AW39" s="17">
        <v>9552</v>
      </c>
      <c r="AX39" s="33">
        <f t="shared" si="17"/>
        <v>2600</v>
      </c>
      <c r="AY39" s="53">
        <v>98337</v>
      </c>
      <c r="AZ39" s="54">
        <f t="shared" si="68"/>
        <v>1009</v>
      </c>
      <c r="BA39" s="17">
        <v>5848</v>
      </c>
      <c r="BB39" s="33">
        <f t="shared" si="19"/>
        <v>5320</v>
      </c>
      <c r="BC39" s="46"/>
      <c r="BD39" s="17">
        <f t="shared" si="24"/>
        <v>30329</v>
      </c>
      <c r="BE39" s="17"/>
      <c r="BF39" s="17"/>
    </row>
    <row r="40" spans="2:58" x14ac:dyDescent="0.25">
      <c r="B40" s="45">
        <v>44781</v>
      </c>
      <c r="C40" s="70">
        <f>SUM(Occupancy!K222:K228)</f>
        <v>2258</v>
      </c>
      <c r="D40" s="17">
        <v>19578</v>
      </c>
      <c r="E40" s="17">
        <v>2.052</v>
      </c>
      <c r="F40" s="33">
        <f t="shared" si="20"/>
        <v>43040</v>
      </c>
      <c r="G40" s="17">
        <v>19948</v>
      </c>
      <c r="H40" s="17">
        <v>2.403</v>
      </c>
      <c r="I40" s="33">
        <f t="shared" si="1"/>
        <v>49920</v>
      </c>
      <c r="J40" s="17">
        <v>13308</v>
      </c>
      <c r="K40" s="17">
        <v>2.5099999999999998</v>
      </c>
      <c r="L40" s="33">
        <f t="shared" si="2"/>
        <v>13200</v>
      </c>
      <c r="M40" s="17">
        <v>12991</v>
      </c>
      <c r="N40" s="17">
        <v>2.2999999999999998</v>
      </c>
      <c r="O40" s="33">
        <f t="shared" si="3"/>
        <v>11600</v>
      </c>
      <c r="P40" s="17">
        <v>13625</v>
      </c>
      <c r="Q40" s="17">
        <v>2.21</v>
      </c>
      <c r="R40" s="33">
        <f t="shared" si="4"/>
        <v>12000</v>
      </c>
      <c r="S40" s="17">
        <v>93931</v>
      </c>
      <c r="T40" s="17">
        <v>2.7240000000000002</v>
      </c>
      <c r="U40" s="33">
        <f t="shared" si="5"/>
        <v>94500</v>
      </c>
      <c r="V40" s="17">
        <v>90520</v>
      </c>
      <c r="W40" s="17">
        <v>2.2850000000000001</v>
      </c>
      <c r="X40" s="33">
        <f t="shared" si="6"/>
        <v>90600</v>
      </c>
      <c r="Y40" s="17">
        <v>20979</v>
      </c>
      <c r="Z40" s="17">
        <v>4.12</v>
      </c>
      <c r="AA40" s="33">
        <f t="shared" si="7"/>
        <v>6560</v>
      </c>
      <c r="AB40" s="17">
        <v>13636</v>
      </c>
      <c r="AC40" s="17">
        <v>2.9</v>
      </c>
      <c r="AD40" s="33">
        <f t="shared" si="8"/>
        <v>3840</v>
      </c>
      <c r="AE40" s="17">
        <v>15314</v>
      </c>
      <c r="AF40" s="17">
        <v>2.2959999999999998</v>
      </c>
      <c r="AG40" s="33">
        <f t="shared" si="9"/>
        <v>54800</v>
      </c>
      <c r="AH40" s="17">
        <v>20583</v>
      </c>
      <c r="AI40" s="17">
        <v>0.30299999999999999</v>
      </c>
      <c r="AJ40" s="33">
        <f t="shared" si="10"/>
        <v>1520</v>
      </c>
      <c r="AK40" s="118">
        <v>13506</v>
      </c>
      <c r="AL40" s="33">
        <f t="shared" ref="AL40" si="69">SUM(AK40-AK39)</f>
        <v>449</v>
      </c>
      <c r="AM40" s="33"/>
      <c r="AO40" s="33">
        <f t="shared" si="28"/>
        <v>382029</v>
      </c>
      <c r="AP40" s="119">
        <f t="shared" si="29"/>
        <v>56320</v>
      </c>
      <c r="AQ40" s="53">
        <f t="shared" si="30"/>
        <v>0.14742336314782387</v>
      </c>
      <c r="AR40" s="17"/>
      <c r="AS40" s="14"/>
      <c r="AT40" s="48">
        <f t="shared" si="15"/>
        <v>44781</v>
      </c>
      <c r="AU40" s="17">
        <v>75287</v>
      </c>
      <c r="AV40" s="33">
        <f t="shared" si="16"/>
        <v>20300</v>
      </c>
      <c r="AW40" s="17">
        <v>9577</v>
      </c>
      <c r="AX40" s="33">
        <f t="shared" si="17"/>
        <v>2500</v>
      </c>
      <c r="AY40" s="53">
        <v>99353</v>
      </c>
      <c r="AZ40" s="54">
        <f t="shared" ref="AZ40" si="70">SUM(AY40-AY39)</f>
        <v>1016</v>
      </c>
      <c r="BA40" s="17">
        <v>5933</v>
      </c>
      <c r="BB40" s="33">
        <f t="shared" si="19"/>
        <v>3400</v>
      </c>
      <c r="BC40" s="46"/>
      <c r="BD40" s="17">
        <f t="shared" si="24"/>
        <v>27216</v>
      </c>
      <c r="BE40" s="17"/>
      <c r="BF40" s="17"/>
    </row>
    <row r="41" spans="2:58" x14ac:dyDescent="0.25">
      <c r="B41" s="45">
        <v>44788</v>
      </c>
      <c r="C41" s="70">
        <f>SUM(Occupancy!K229:K235)</f>
        <v>2191</v>
      </c>
      <c r="D41" s="17">
        <v>19848</v>
      </c>
      <c r="E41" s="17">
        <v>2.052</v>
      </c>
      <c r="F41" s="33">
        <f t="shared" si="20"/>
        <v>43200</v>
      </c>
      <c r="G41" s="17">
        <v>20254</v>
      </c>
      <c r="H41" s="17">
        <v>2.403</v>
      </c>
      <c r="I41" s="33">
        <f t="shared" si="1"/>
        <v>48960</v>
      </c>
      <c r="J41" s="17">
        <v>13345</v>
      </c>
      <c r="K41" s="17">
        <v>3.14</v>
      </c>
      <c r="L41" s="33">
        <f t="shared" si="2"/>
        <v>14800</v>
      </c>
      <c r="M41" s="17">
        <v>13022</v>
      </c>
      <c r="N41" s="17">
        <v>2.5</v>
      </c>
      <c r="O41" s="33">
        <f t="shared" si="3"/>
        <v>12400</v>
      </c>
      <c r="P41" s="17">
        <v>13655</v>
      </c>
      <c r="Q41" s="17">
        <v>2.59</v>
      </c>
      <c r="R41" s="33">
        <f t="shared" si="4"/>
        <v>12000</v>
      </c>
      <c r="S41" s="17">
        <v>94228</v>
      </c>
      <c r="T41" s="17">
        <v>2.7240000000000002</v>
      </c>
      <c r="U41" s="33">
        <f t="shared" si="5"/>
        <v>89100</v>
      </c>
      <c r="V41" s="17">
        <v>90815</v>
      </c>
      <c r="W41" s="17">
        <v>2.2850000000000001</v>
      </c>
      <c r="X41" s="33">
        <f t="shared" si="6"/>
        <v>88500</v>
      </c>
      <c r="Y41" s="17">
        <v>21016</v>
      </c>
      <c r="Z41" s="17">
        <v>4.12</v>
      </c>
      <c r="AA41" s="33">
        <f t="shared" si="7"/>
        <v>5920</v>
      </c>
      <c r="AB41" s="17">
        <v>13660</v>
      </c>
      <c r="AC41" s="17">
        <v>2.9</v>
      </c>
      <c r="AD41" s="33">
        <f t="shared" si="8"/>
        <v>3840</v>
      </c>
      <c r="AE41" s="17">
        <v>15592</v>
      </c>
      <c r="AF41" s="17">
        <v>2.2959999999999998</v>
      </c>
      <c r="AG41" s="33">
        <f t="shared" si="9"/>
        <v>55600</v>
      </c>
      <c r="AH41" s="17">
        <v>20622</v>
      </c>
      <c r="AI41" s="17">
        <v>0.30299999999999999</v>
      </c>
      <c r="AJ41" s="33">
        <f t="shared" si="10"/>
        <v>1560</v>
      </c>
      <c r="AK41" s="118">
        <v>13996</v>
      </c>
      <c r="AL41" s="33">
        <f t="shared" ref="AL41" si="71">SUM(AK41-AK40)</f>
        <v>490</v>
      </c>
      <c r="AM41" s="33"/>
      <c r="AO41" s="33">
        <f t="shared" si="28"/>
        <v>376370</v>
      </c>
      <c r="AP41" s="119">
        <f t="shared" si="29"/>
        <v>57160</v>
      </c>
      <c r="AQ41" s="53">
        <f t="shared" si="30"/>
        <v>0.15187182825411163</v>
      </c>
      <c r="AR41" s="17"/>
      <c r="AS41" s="14"/>
      <c r="AT41" s="48">
        <f t="shared" si="15"/>
        <v>44788</v>
      </c>
      <c r="AU41" s="17">
        <v>75412</v>
      </c>
      <c r="AV41" s="33">
        <f t="shared" si="16"/>
        <v>12500</v>
      </c>
      <c r="AW41" s="17">
        <v>9592</v>
      </c>
      <c r="AX41" s="33">
        <f t="shared" si="17"/>
        <v>1500</v>
      </c>
      <c r="AY41" s="53">
        <v>99989</v>
      </c>
      <c r="AZ41" s="54">
        <f t="shared" ref="AZ41" si="72">SUM(AY41-AY40)</f>
        <v>636</v>
      </c>
      <c r="BA41" s="17">
        <v>5987</v>
      </c>
      <c r="BB41" s="33">
        <f t="shared" si="19"/>
        <v>2160</v>
      </c>
      <c r="BC41" s="46"/>
      <c r="BD41" s="17">
        <f t="shared" si="24"/>
        <v>16796</v>
      </c>
      <c r="BE41" s="17"/>
      <c r="BF41" s="17"/>
    </row>
    <row r="42" spans="2:58" x14ac:dyDescent="0.25">
      <c r="B42" s="45">
        <v>44795</v>
      </c>
      <c r="C42" s="70">
        <f>SUM(Occupancy!K236:K242)</f>
        <v>2145</v>
      </c>
      <c r="D42" s="59"/>
      <c r="E42" s="59"/>
      <c r="F42" s="61"/>
      <c r="G42" s="59"/>
      <c r="H42" s="59"/>
      <c r="I42" s="61"/>
      <c r="J42" s="59"/>
      <c r="K42" s="59"/>
      <c r="L42" s="61"/>
      <c r="M42" s="59"/>
      <c r="N42" s="59"/>
      <c r="O42" s="61"/>
      <c r="P42" s="59"/>
      <c r="Q42" s="59"/>
      <c r="R42" s="61"/>
      <c r="S42" s="59"/>
      <c r="T42" s="59"/>
      <c r="U42" s="61"/>
      <c r="V42" s="59"/>
      <c r="W42" s="59"/>
      <c r="X42" s="61"/>
      <c r="Y42" s="59"/>
      <c r="Z42" s="59"/>
      <c r="AA42" s="61"/>
      <c r="AB42" s="59"/>
      <c r="AC42" s="59"/>
      <c r="AD42" s="61"/>
      <c r="AE42" s="59"/>
      <c r="AF42" s="59"/>
      <c r="AG42" s="61"/>
      <c r="AH42" s="59"/>
      <c r="AI42" s="59"/>
      <c r="AJ42" s="61"/>
      <c r="AK42" s="65"/>
      <c r="AL42" s="61"/>
      <c r="AM42" s="33"/>
      <c r="AO42" s="33">
        <f t="shared" si="28"/>
        <v>0</v>
      </c>
      <c r="AP42" s="119">
        <f t="shared" si="29"/>
        <v>0</v>
      </c>
      <c r="AQ42" s="53" t="e">
        <f t="shared" si="30"/>
        <v>#DIV/0!</v>
      </c>
      <c r="AR42" s="17"/>
      <c r="AS42" s="14"/>
      <c r="AT42" s="48">
        <f t="shared" si="15"/>
        <v>44795</v>
      </c>
      <c r="AU42" s="59"/>
      <c r="AV42" s="61"/>
      <c r="AW42" s="59"/>
      <c r="AX42" s="61"/>
      <c r="AY42" s="60"/>
      <c r="AZ42" s="64"/>
      <c r="BA42" s="59"/>
      <c r="BB42" s="61"/>
      <c r="BC42" s="46"/>
      <c r="BD42" s="17">
        <f t="shared" si="24"/>
        <v>0</v>
      </c>
      <c r="BE42" s="17"/>
      <c r="BF42" s="17"/>
    </row>
    <row r="43" spans="2:58" x14ac:dyDescent="0.25">
      <c r="B43" s="45">
        <v>44802</v>
      </c>
      <c r="C43" s="70">
        <f>SUM(Occupancy!K243:K249)</f>
        <v>2293</v>
      </c>
      <c r="D43" s="17"/>
      <c r="E43" s="17"/>
      <c r="F43" s="33"/>
      <c r="G43" s="17"/>
      <c r="H43" s="17"/>
      <c r="I43" s="33"/>
      <c r="J43" s="17"/>
      <c r="K43" s="17"/>
      <c r="L43" s="33"/>
      <c r="M43" s="17"/>
      <c r="N43" s="17"/>
      <c r="O43" s="33"/>
      <c r="P43" s="17"/>
      <c r="Q43" s="17"/>
      <c r="R43" s="33"/>
      <c r="S43" s="17"/>
      <c r="T43" s="17"/>
      <c r="U43" s="33"/>
      <c r="V43" s="17"/>
      <c r="W43" s="17"/>
      <c r="X43" s="33"/>
      <c r="Y43" s="17"/>
      <c r="Z43" s="17"/>
      <c r="AA43" s="33"/>
      <c r="AB43" s="17"/>
      <c r="AC43" s="17"/>
      <c r="AD43" s="33"/>
      <c r="AE43" s="17"/>
      <c r="AF43" s="17"/>
      <c r="AG43" s="33"/>
      <c r="AH43" s="17"/>
      <c r="AI43" s="17"/>
      <c r="AJ43" s="33"/>
      <c r="AK43" s="96"/>
      <c r="AL43" s="33"/>
      <c r="AM43" s="33"/>
      <c r="AO43" s="33">
        <f t="shared" si="28"/>
        <v>0</v>
      </c>
      <c r="AP43" s="119">
        <f t="shared" si="29"/>
        <v>0</v>
      </c>
      <c r="AQ43" s="53" t="e">
        <f t="shared" si="30"/>
        <v>#DIV/0!</v>
      </c>
      <c r="AR43" s="17"/>
      <c r="AS43" s="14"/>
      <c r="AT43" s="48">
        <f t="shared" si="15"/>
        <v>44802</v>
      </c>
      <c r="AU43" s="17"/>
      <c r="AV43" s="33"/>
      <c r="AW43" s="17"/>
      <c r="AX43" s="33"/>
      <c r="AY43" s="53"/>
      <c r="AZ43" s="54"/>
      <c r="BA43" s="17"/>
      <c r="BB43" s="33"/>
      <c r="BC43" s="46"/>
      <c r="BD43" s="17">
        <f t="shared" si="24"/>
        <v>0</v>
      </c>
      <c r="BE43" s="17"/>
      <c r="BF43" s="17"/>
    </row>
    <row r="44" spans="2:58" x14ac:dyDescent="0.25">
      <c r="B44" s="45">
        <v>44804</v>
      </c>
      <c r="C44" s="70">
        <f>SUM(Occupancy!K250:K251)</f>
        <v>634</v>
      </c>
      <c r="D44" s="17"/>
      <c r="E44" s="17"/>
      <c r="F44" s="33"/>
      <c r="G44" s="17"/>
      <c r="H44" s="17"/>
      <c r="I44" s="33"/>
      <c r="J44" s="17"/>
      <c r="K44" s="17"/>
      <c r="L44" s="33"/>
      <c r="M44" s="17"/>
      <c r="N44" s="17"/>
      <c r="O44" s="33"/>
      <c r="P44" s="17"/>
      <c r="Q44" s="17"/>
      <c r="R44" s="33"/>
      <c r="S44" s="17"/>
      <c r="T44" s="17"/>
      <c r="U44" s="33"/>
      <c r="V44" s="17"/>
      <c r="W44" s="17"/>
      <c r="X44" s="33"/>
      <c r="Y44" s="17"/>
      <c r="Z44" s="17"/>
      <c r="AA44" s="33"/>
      <c r="AB44" s="17"/>
      <c r="AC44" s="17"/>
      <c r="AD44" s="33"/>
      <c r="AE44" s="17"/>
      <c r="AF44" s="17"/>
      <c r="AG44" s="33"/>
      <c r="AH44" s="17"/>
      <c r="AI44" s="17"/>
      <c r="AJ44" s="33"/>
      <c r="AK44" s="97"/>
      <c r="AL44" s="33"/>
      <c r="AM44" s="33"/>
      <c r="AO44" s="33">
        <f t="shared" si="28"/>
        <v>0</v>
      </c>
      <c r="AP44" s="119">
        <f t="shared" si="29"/>
        <v>0</v>
      </c>
      <c r="AQ44" s="53" t="e">
        <f t="shared" si="30"/>
        <v>#DIV/0!</v>
      </c>
      <c r="AR44" s="17"/>
      <c r="AS44" s="14"/>
      <c r="AT44" s="48">
        <f t="shared" si="15"/>
        <v>44804</v>
      </c>
      <c r="AU44" s="17"/>
      <c r="AV44" s="33"/>
      <c r="AW44" s="17"/>
      <c r="AX44" s="33"/>
      <c r="AY44" s="53"/>
      <c r="AZ44" s="33"/>
      <c r="BA44" s="17"/>
      <c r="BB44" s="33"/>
      <c r="BC44" s="46"/>
      <c r="BD44" s="17">
        <f t="shared" si="24"/>
        <v>0</v>
      </c>
      <c r="BE44" s="17"/>
      <c r="BF44" s="17"/>
    </row>
    <row r="45" spans="2:58" x14ac:dyDescent="0.25">
      <c r="B45" s="45">
        <v>44809</v>
      </c>
      <c r="C45" s="70">
        <f>SUM(Occupancy!K252:K258)</f>
        <v>1594</v>
      </c>
      <c r="D45" s="59"/>
      <c r="E45" s="59"/>
      <c r="F45" s="61"/>
      <c r="G45" s="59"/>
      <c r="H45" s="59"/>
      <c r="I45" s="61"/>
      <c r="J45" s="59"/>
      <c r="K45" s="59"/>
      <c r="L45" s="61"/>
      <c r="M45" s="59"/>
      <c r="N45" s="59"/>
      <c r="O45" s="61"/>
      <c r="P45" s="59"/>
      <c r="Q45" s="59"/>
      <c r="R45" s="61"/>
      <c r="S45" s="59"/>
      <c r="T45" s="59"/>
      <c r="U45" s="61"/>
      <c r="V45" s="59"/>
      <c r="W45" s="59"/>
      <c r="X45" s="61"/>
      <c r="Y45" s="59"/>
      <c r="Z45" s="59"/>
      <c r="AA45" s="61"/>
      <c r="AB45" s="59"/>
      <c r="AC45" s="59"/>
      <c r="AD45" s="61"/>
      <c r="AE45" s="59"/>
      <c r="AF45" s="59"/>
      <c r="AG45" s="61"/>
      <c r="AH45" s="59"/>
      <c r="AI45" s="59"/>
      <c r="AJ45" s="61"/>
      <c r="AK45" s="65"/>
      <c r="AL45" s="61"/>
      <c r="AM45" s="33"/>
      <c r="AO45" s="33">
        <f t="shared" si="28"/>
        <v>0</v>
      </c>
      <c r="AP45" s="119">
        <f t="shared" si="29"/>
        <v>0</v>
      </c>
      <c r="AQ45" s="53" t="e">
        <f t="shared" si="30"/>
        <v>#DIV/0!</v>
      </c>
      <c r="AR45" s="17"/>
      <c r="AS45" s="14"/>
      <c r="AT45" s="48">
        <f t="shared" si="15"/>
        <v>44809</v>
      </c>
      <c r="AU45" s="59"/>
      <c r="AV45" s="61"/>
      <c r="AW45" s="59"/>
      <c r="AX45" s="61"/>
      <c r="AY45" s="60"/>
      <c r="AZ45" s="64"/>
      <c r="BA45" s="59"/>
      <c r="BB45" s="61"/>
      <c r="BC45" s="46"/>
      <c r="BD45" s="17">
        <f t="shared" si="24"/>
        <v>0</v>
      </c>
      <c r="BE45" s="17"/>
      <c r="BF45" s="17"/>
    </row>
    <row r="46" spans="2:58" x14ac:dyDescent="0.25">
      <c r="B46" s="45">
        <v>44816</v>
      </c>
      <c r="C46" s="70">
        <f>SUM(Occupancy!K259:K265)</f>
        <v>1912</v>
      </c>
      <c r="D46" s="17"/>
      <c r="E46" s="17"/>
      <c r="F46" s="33"/>
      <c r="G46" s="17"/>
      <c r="H46" s="17"/>
      <c r="I46" s="33"/>
      <c r="J46" s="17"/>
      <c r="K46" s="17"/>
      <c r="L46" s="33"/>
      <c r="M46" s="17"/>
      <c r="N46" s="17"/>
      <c r="O46" s="33"/>
      <c r="P46" s="17"/>
      <c r="Q46" s="17"/>
      <c r="R46" s="33"/>
      <c r="S46" s="17"/>
      <c r="T46" s="17"/>
      <c r="U46" s="33"/>
      <c r="V46" s="17"/>
      <c r="W46" s="17"/>
      <c r="X46" s="33"/>
      <c r="Y46" s="17"/>
      <c r="Z46" s="17"/>
      <c r="AA46" s="33"/>
      <c r="AB46" s="17"/>
      <c r="AC46" s="17"/>
      <c r="AD46" s="33"/>
      <c r="AE46" s="17"/>
      <c r="AF46" s="17"/>
      <c r="AG46" s="33"/>
      <c r="AH46" s="17"/>
      <c r="AI46" s="17"/>
      <c r="AJ46" s="33"/>
      <c r="AK46" s="98"/>
      <c r="AL46" s="33"/>
      <c r="AM46" s="33"/>
      <c r="AO46" s="33">
        <f t="shared" si="28"/>
        <v>0</v>
      </c>
      <c r="AP46" s="119">
        <f t="shared" si="29"/>
        <v>0</v>
      </c>
      <c r="AQ46" s="53" t="e">
        <f t="shared" si="30"/>
        <v>#DIV/0!</v>
      </c>
      <c r="AR46" s="17"/>
      <c r="AS46" s="14"/>
      <c r="AT46" s="48">
        <f t="shared" si="15"/>
        <v>44816</v>
      </c>
      <c r="AU46" s="17"/>
      <c r="AV46" s="33"/>
      <c r="AW46" s="17"/>
      <c r="AX46" s="33"/>
      <c r="AY46" s="53"/>
      <c r="AZ46" s="54"/>
      <c r="BA46" s="17"/>
      <c r="BB46" s="33"/>
      <c r="BC46" s="46"/>
      <c r="BD46" s="17">
        <f t="shared" si="24"/>
        <v>0</v>
      </c>
      <c r="BE46" s="17"/>
      <c r="BF46" s="17"/>
    </row>
    <row r="47" spans="2:58" x14ac:dyDescent="0.25">
      <c r="B47" s="45">
        <v>44823</v>
      </c>
      <c r="C47" s="70">
        <f>SUM(Occupancy!K266:K272)</f>
        <v>1823</v>
      </c>
      <c r="D47" s="59"/>
      <c r="E47" s="59"/>
      <c r="F47" s="61"/>
      <c r="G47" s="59"/>
      <c r="H47" s="59"/>
      <c r="I47" s="61"/>
      <c r="J47" s="59"/>
      <c r="K47" s="59"/>
      <c r="L47" s="61"/>
      <c r="M47" s="59"/>
      <c r="N47" s="59"/>
      <c r="O47" s="61"/>
      <c r="P47" s="59"/>
      <c r="Q47" s="59"/>
      <c r="R47" s="61"/>
      <c r="S47" s="59"/>
      <c r="T47" s="59"/>
      <c r="U47" s="61"/>
      <c r="V47" s="59"/>
      <c r="W47" s="59"/>
      <c r="X47" s="61"/>
      <c r="Y47" s="59"/>
      <c r="Z47" s="59"/>
      <c r="AA47" s="61"/>
      <c r="AB47" s="59"/>
      <c r="AC47" s="59"/>
      <c r="AD47" s="61"/>
      <c r="AE47" s="59"/>
      <c r="AF47" s="59"/>
      <c r="AG47" s="61"/>
      <c r="AH47" s="59"/>
      <c r="AI47" s="59"/>
      <c r="AJ47" s="61"/>
      <c r="AK47" s="65"/>
      <c r="AL47" s="61"/>
      <c r="AM47" s="33"/>
      <c r="AO47" s="33">
        <f t="shared" si="28"/>
        <v>0</v>
      </c>
      <c r="AP47" s="119">
        <f t="shared" si="29"/>
        <v>0</v>
      </c>
      <c r="AQ47" s="53" t="e">
        <f t="shared" si="30"/>
        <v>#DIV/0!</v>
      </c>
      <c r="AR47" s="17"/>
      <c r="AS47" s="14"/>
      <c r="AT47" s="48">
        <f t="shared" si="15"/>
        <v>44823</v>
      </c>
      <c r="AU47" s="59"/>
      <c r="AV47" s="61"/>
      <c r="AW47" s="59"/>
      <c r="AX47" s="61"/>
      <c r="AY47" s="60"/>
      <c r="AZ47" s="64"/>
      <c r="BA47" s="59"/>
      <c r="BB47" s="61"/>
      <c r="BC47" s="46"/>
      <c r="BD47" s="17">
        <f t="shared" si="24"/>
        <v>0</v>
      </c>
      <c r="BE47" s="17"/>
      <c r="BF47" s="17"/>
    </row>
    <row r="48" spans="2:58" x14ac:dyDescent="0.25">
      <c r="B48" s="45">
        <v>44830</v>
      </c>
      <c r="C48" s="70">
        <f>SUM(Occupancy!K273:K279)</f>
        <v>2363</v>
      </c>
      <c r="D48" s="59"/>
      <c r="E48" s="59"/>
      <c r="F48" s="61"/>
      <c r="G48" s="59"/>
      <c r="H48" s="59"/>
      <c r="I48" s="61"/>
      <c r="J48" s="59"/>
      <c r="K48" s="59"/>
      <c r="L48" s="61"/>
      <c r="M48" s="59"/>
      <c r="N48" s="59"/>
      <c r="O48" s="61"/>
      <c r="P48" s="59"/>
      <c r="Q48" s="59"/>
      <c r="R48" s="61"/>
      <c r="S48" s="59"/>
      <c r="T48" s="59"/>
      <c r="U48" s="61"/>
      <c r="V48" s="59"/>
      <c r="W48" s="59"/>
      <c r="X48" s="61"/>
      <c r="Y48" s="59"/>
      <c r="Z48" s="59"/>
      <c r="AA48" s="61"/>
      <c r="AB48" s="59"/>
      <c r="AC48" s="59"/>
      <c r="AD48" s="61"/>
      <c r="AE48" s="59"/>
      <c r="AF48" s="59"/>
      <c r="AG48" s="61"/>
      <c r="AH48" s="59"/>
      <c r="AI48" s="59"/>
      <c r="AJ48" s="61"/>
      <c r="AK48" s="65"/>
      <c r="AL48" s="61"/>
      <c r="AM48" s="33"/>
      <c r="AO48" s="33">
        <f t="shared" si="28"/>
        <v>0</v>
      </c>
      <c r="AP48" s="119">
        <f t="shared" si="29"/>
        <v>0</v>
      </c>
      <c r="AQ48" s="53" t="e">
        <f t="shared" si="30"/>
        <v>#DIV/0!</v>
      </c>
      <c r="AR48" s="17"/>
      <c r="AS48" s="14"/>
      <c r="AT48" s="48">
        <f t="shared" si="15"/>
        <v>44830</v>
      </c>
      <c r="AU48" s="59"/>
      <c r="AV48" s="61"/>
      <c r="AW48" s="59"/>
      <c r="AX48" s="61"/>
      <c r="AY48" s="60"/>
      <c r="AZ48" s="64"/>
      <c r="BA48" s="59"/>
      <c r="BB48" s="61"/>
      <c r="BC48" s="46"/>
      <c r="BD48" s="17">
        <f t="shared" si="24"/>
        <v>0</v>
      </c>
      <c r="BE48" s="17"/>
      <c r="BF48" s="17"/>
    </row>
    <row r="49" spans="2:58" x14ac:dyDescent="0.25">
      <c r="B49" s="45">
        <v>44834</v>
      </c>
      <c r="C49" s="70">
        <f>SUM(Occupancy!K280:K281)</f>
        <v>615</v>
      </c>
      <c r="D49" s="59"/>
      <c r="E49" s="59"/>
      <c r="F49" s="61"/>
      <c r="G49" s="59"/>
      <c r="H49" s="59"/>
      <c r="I49" s="61"/>
      <c r="J49" s="59"/>
      <c r="K49" s="59"/>
      <c r="L49" s="61"/>
      <c r="M49" s="59"/>
      <c r="N49" s="59"/>
      <c r="O49" s="61"/>
      <c r="P49" s="59"/>
      <c r="Q49" s="59"/>
      <c r="R49" s="61"/>
      <c r="S49" s="59"/>
      <c r="T49" s="59"/>
      <c r="U49" s="61"/>
      <c r="V49" s="59"/>
      <c r="W49" s="59"/>
      <c r="X49" s="61"/>
      <c r="Y49" s="59"/>
      <c r="Z49" s="59"/>
      <c r="AA49" s="61"/>
      <c r="AB49" s="59"/>
      <c r="AC49" s="59"/>
      <c r="AD49" s="61"/>
      <c r="AE49" s="59"/>
      <c r="AF49" s="59"/>
      <c r="AG49" s="61"/>
      <c r="AH49" s="59"/>
      <c r="AI49" s="59"/>
      <c r="AJ49" s="61"/>
      <c r="AK49" s="65"/>
      <c r="AL49" s="61"/>
      <c r="AM49" s="33"/>
      <c r="AO49" s="33">
        <f t="shared" si="28"/>
        <v>0</v>
      </c>
      <c r="AP49" s="119">
        <f t="shared" si="29"/>
        <v>0</v>
      </c>
      <c r="AQ49" s="53" t="e">
        <f t="shared" si="30"/>
        <v>#DIV/0!</v>
      </c>
      <c r="AR49" s="17"/>
      <c r="AS49" s="14"/>
      <c r="AT49" s="48">
        <f t="shared" si="15"/>
        <v>44834</v>
      </c>
      <c r="AU49" s="59"/>
      <c r="AV49" s="61"/>
      <c r="AW49" s="59"/>
      <c r="AX49" s="61"/>
      <c r="AY49" s="60"/>
      <c r="AZ49" s="64"/>
      <c r="BA49" s="59"/>
      <c r="BB49" s="61"/>
      <c r="BC49" s="46"/>
      <c r="BD49" s="17">
        <f t="shared" si="24"/>
        <v>0</v>
      </c>
      <c r="BE49" s="17"/>
      <c r="BF49" s="17"/>
    </row>
    <row r="50" spans="2:58" x14ac:dyDescent="0.25">
      <c r="B50" s="45">
        <v>44837</v>
      </c>
      <c r="C50" s="70">
        <f>SUM(Occupancy!K282:K284)</f>
        <v>1116</v>
      </c>
      <c r="D50" s="17"/>
      <c r="E50" s="17"/>
      <c r="F50" s="33"/>
      <c r="G50" s="17"/>
      <c r="H50" s="17"/>
      <c r="I50" s="33"/>
      <c r="J50" s="17"/>
      <c r="K50" s="17"/>
      <c r="L50" s="33"/>
      <c r="M50" s="17"/>
      <c r="N50" s="17"/>
      <c r="O50" s="33"/>
      <c r="P50" s="17"/>
      <c r="Q50" s="17"/>
      <c r="R50" s="33"/>
      <c r="S50" s="17"/>
      <c r="T50" s="17"/>
      <c r="U50" s="33"/>
      <c r="V50" s="17"/>
      <c r="W50" s="17"/>
      <c r="X50" s="33"/>
      <c r="Y50" s="17"/>
      <c r="Z50" s="17"/>
      <c r="AA50" s="33"/>
      <c r="AB50" s="17"/>
      <c r="AC50" s="17"/>
      <c r="AD50" s="33"/>
      <c r="AE50" s="17"/>
      <c r="AF50" s="17"/>
      <c r="AG50" s="33"/>
      <c r="AH50" s="17"/>
      <c r="AI50" s="17"/>
      <c r="AJ50" s="33"/>
      <c r="AK50" s="99"/>
      <c r="AL50" s="33"/>
      <c r="AM50" s="33"/>
      <c r="AO50" s="33">
        <f t="shared" si="28"/>
        <v>0</v>
      </c>
      <c r="AP50" s="119">
        <f t="shared" si="29"/>
        <v>0</v>
      </c>
      <c r="AQ50" s="53" t="e">
        <f t="shared" si="30"/>
        <v>#DIV/0!</v>
      </c>
      <c r="AR50" s="17"/>
      <c r="AS50" s="14"/>
      <c r="AT50" s="48">
        <f t="shared" si="15"/>
        <v>44837</v>
      </c>
      <c r="AU50" s="17"/>
      <c r="AV50" s="33"/>
      <c r="AW50" s="17"/>
      <c r="AX50" s="33"/>
      <c r="AY50" s="53"/>
      <c r="AZ50" s="54"/>
      <c r="BA50" s="17"/>
      <c r="BB50" s="33"/>
      <c r="BC50" s="46"/>
      <c r="BD50" s="17">
        <f t="shared" si="24"/>
        <v>0</v>
      </c>
      <c r="BE50" s="17"/>
      <c r="BF50" s="17"/>
    </row>
    <row r="51" spans="2:58" x14ac:dyDescent="0.25">
      <c r="B51" s="45">
        <v>44844</v>
      </c>
      <c r="C51" s="70">
        <f>SUM(Occupancy!K285:K291)</f>
        <v>2472</v>
      </c>
      <c r="D51" s="17"/>
      <c r="E51" s="17"/>
      <c r="F51" s="33"/>
      <c r="G51" s="17"/>
      <c r="H51" s="17"/>
      <c r="I51" s="33"/>
      <c r="J51" s="17"/>
      <c r="K51" s="17"/>
      <c r="L51" s="33"/>
      <c r="M51" s="17"/>
      <c r="N51" s="17"/>
      <c r="O51" s="33"/>
      <c r="P51" s="17"/>
      <c r="Q51" s="17"/>
      <c r="R51" s="33"/>
      <c r="S51" s="17"/>
      <c r="T51" s="17"/>
      <c r="U51" s="33"/>
      <c r="V51" s="17"/>
      <c r="W51" s="17"/>
      <c r="X51" s="33"/>
      <c r="Y51" s="17"/>
      <c r="Z51" s="17"/>
      <c r="AA51" s="33"/>
      <c r="AB51" s="17"/>
      <c r="AC51" s="17"/>
      <c r="AD51" s="33"/>
      <c r="AE51" s="17"/>
      <c r="AF51" s="17"/>
      <c r="AG51" s="33"/>
      <c r="AH51" s="17"/>
      <c r="AI51" s="17"/>
      <c r="AJ51" s="33"/>
      <c r="AK51" s="100"/>
      <c r="AL51" s="33"/>
      <c r="AM51" s="33"/>
      <c r="AO51" s="33">
        <f t="shared" si="28"/>
        <v>0</v>
      </c>
      <c r="AP51" s="119">
        <f t="shared" si="29"/>
        <v>0</v>
      </c>
      <c r="AQ51" s="53" t="e">
        <f t="shared" si="30"/>
        <v>#DIV/0!</v>
      </c>
      <c r="AR51" s="17"/>
      <c r="AS51" s="14"/>
      <c r="AT51" s="48">
        <f t="shared" si="15"/>
        <v>44844</v>
      </c>
      <c r="AU51" s="17"/>
      <c r="AV51" s="33"/>
      <c r="AW51" s="17"/>
      <c r="AX51" s="33"/>
      <c r="AY51" s="53"/>
      <c r="AZ51" s="54"/>
      <c r="BA51" s="17"/>
      <c r="BB51" s="33"/>
      <c r="BC51" s="46"/>
      <c r="BD51" s="17">
        <f t="shared" si="24"/>
        <v>0</v>
      </c>
      <c r="BE51" s="17"/>
      <c r="BF51" s="17"/>
    </row>
    <row r="52" spans="2:58" x14ac:dyDescent="0.25">
      <c r="B52" s="45">
        <v>44851</v>
      </c>
      <c r="C52" s="70">
        <f>SUM(Occupancy!K292:K298)</f>
        <v>2766</v>
      </c>
      <c r="D52" s="17"/>
      <c r="E52" s="17"/>
      <c r="F52" s="33"/>
      <c r="G52" s="17"/>
      <c r="H52" s="17"/>
      <c r="I52" s="33"/>
      <c r="J52" s="17"/>
      <c r="K52" s="17"/>
      <c r="L52" s="33"/>
      <c r="M52" s="17"/>
      <c r="N52" s="17"/>
      <c r="O52" s="33"/>
      <c r="P52" s="17"/>
      <c r="Q52" s="17"/>
      <c r="R52" s="33"/>
      <c r="S52" s="17"/>
      <c r="T52" s="17"/>
      <c r="U52" s="33"/>
      <c r="V52" s="17"/>
      <c r="W52" s="17"/>
      <c r="X52" s="33"/>
      <c r="Y52" s="17"/>
      <c r="Z52" s="17"/>
      <c r="AA52" s="33"/>
      <c r="AB52" s="17"/>
      <c r="AC52" s="17"/>
      <c r="AD52" s="33"/>
      <c r="AE52" s="17"/>
      <c r="AF52" s="17"/>
      <c r="AG52" s="33"/>
      <c r="AH52" s="17"/>
      <c r="AI52" s="17"/>
      <c r="AJ52" s="33"/>
      <c r="AK52" s="101"/>
      <c r="AL52" s="33"/>
      <c r="AM52" s="33"/>
      <c r="AO52" s="33">
        <f t="shared" si="28"/>
        <v>0</v>
      </c>
      <c r="AP52" s="119">
        <f t="shared" si="29"/>
        <v>0</v>
      </c>
      <c r="AQ52" s="53" t="e">
        <f t="shared" si="30"/>
        <v>#DIV/0!</v>
      </c>
      <c r="AR52" s="17"/>
      <c r="AS52" s="14"/>
      <c r="AT52" s="48">
        <f t="shared" si="15"/>
        <v>44851</v>
      </c>
      <c r="AU52" s="17"/>
      <c r="AV52" s="33"/>
      <c r="AW52" s="17"/>
      <c r="AX52" s="33"/>
      <c r="AY52" s="53"/>
      <c r="AZ52" s="54"/>
      <c r="BA52" s="17"/>
      <c r="BB52" s="33"/>
      <c r="BC52" s="46"/>
      <c r="BD52" s="17">
        <f t="shared" si="24"/>
        <v>0</v>
      </c>
      <c r="BE52" s="17"/>
      <c r="BF52" s="17"/>
    </row>
    <row r="53" spans="2:58" x14ac:dyDescent="0.25">
      <c r="B53" s="45">
        <v>44858</v>
      </c>
      <c r="C53" s="70">
        <f>SUM(Occupancy!K299:K305)</f>
        <v>2075</v>
      </c>
      <c r="D53" s="17"/>
      <c r="E53" s="17"/>
      <c r="F53" s="33"/>
      <c r="G53" s="17"/>
      <c r="H53" s="17"/>
      <c r="I53" s="33"/>
      <c r="J53" s="17"/>
      <c r="K53" s="17"/>
      <c r="L53" s="33"/>
      <c r="M53" s="17"/>
      <c r="N53" s="17"/>
      <c r="O53" s="33"/>
      <c r="P53" s="17"/>
      <c r="Q53" s="17"/>
      <c r="R53" s="33"/>
      <c r="S53" s="17"/>
      <c r="T53" s="17"/>
      <c r="U53" s="33"/>
      <c r="V53" s="17"/>
      <c r="W53" s="17"/>
      <c r="X53" s="33"/>
      <c r="Y53" s="17"/>
      <c r="Z53" s="17"/>
      <c r="AA53" s="33"/>
      <c r="AB53" s="17"/>
      <c r="AC53" s="17"/>
      <c r="AD53" s="33"/>
      <c r="AE53" s="17"/>
      <c r="AF53" s="17"/>
      <c r="AG53" s="33"/>
      <c r="AH53" s="17"/>
      <c r="AI53" s="17"/>
      <c r="AJ53" s="33"/>
      <c r="AK53" s="102"/>
      <c r="AL53" s="33"/>
      <c r="AM53" s="33"/>
      <c r="AO53" s="33">
        <f t="shared" si="28"/>
        <v>0</v>
      </c>
      <c r="AP53" s="119">
        <f t="shared" si="29"/>
        <v>0</v>
      </c>
      <c r="AQ53" s="53" t="e">
        <f t="shared" si="30"/>
        <v>#DIV/0!</v>
      </c>
      <c r="AR53" s="17"/>
      <c r="AS53" s="14"/>
      <c r="AT53" s="48">
        <f t="shared" si="15"/>
        <v>44858</v>
      </c>
      <c r="AU53" s="17"/>
      <c r="AV53" s="33"/>
      <c r="AW53" s="17"/>
      <c r="AX53" s="33"/>
      <c r="AY53" s="53"/>
      <c r="AZ53" s="54"/>
      <c r="BA53" s="17"/>
      <c r="BB53" s="33"/>
      <c r="BC53" s="46"/>
      <c r="BD53" s="17">
        <f t="shared" si="24"/>
        <v>0</v>
      </c>
      <c r="BE53" s="17"/>
      <c r="BF53" s="17"/>
    </row>
    <row r="54" spans="2:58" x14ac:dyDescent="0.25">
      <c r="B54" s="45">
        <v>44865</v>
      </c>
      <c r="C54" s="70">
        <f>SUM(Occupancy!K306:K312)</f>
        <v>1818</v>
      </c>
      <c r="D54" s="17"/>
      <c r="E54" s="17"/>
      <c r="F54" s="33"/>
      <c r="G54" s="17"/>
      <c r="H54" s="17"/>
      <c r="I54" s="33"/>
      <c r="J54" s="17"/>
      <c r="K54" s="17"/>
      <c r="L54" s="33"/>
      <c r="M54" s="17"/>
      <c r="N54" s="17"/>
      <c r="O54" s="33"/>
      <c r="P54" s="17"/>
      <c r="Q54" s="17"/>
      <c r="R54" s="33"/>
      <c r="S54" s="17"/>
      <c r="T54" s="17"/>
      <c r="U54" s="33"/>
      <c r="V54" s="17"/>
      <c r="W54" s="17"/>
      <c r="X54" s="33"/>
      <c r="Y54" s="17"/>
      <c r="Z54" s="17"/>
      <c r="AA54" s="33"/>
      <c r="AB54" s="17"/>
      <c r="AC54" s="17"/>
      <c r="AD54" s="33"/>
      <c r="AE54" s="17"/>
      <c r="AF54" s="17"/>
      <c r="AG54" s="33"/>
      <c r="AH54" s="17"/>
      <c r="AI54" s="17"/>
      <c r="AJ54" s="33"/>
      <c r="AK54" s="103"/>
      <c r="AL54" s="33"/>
      <c r="AM54" s="33"/>
      <c r="AO54" s="33">
        <f t="shared" si="28"/>
        <v>0</v>
      </c>
      <c r="AP54" s="119">
        <f t="shared" si="29"/>
        <v>0</v>
      </c>
      <c r="AQ54" s="53" t="e">
        <f t="shared" si="30"/>
        <v>#DIV/0!</v>
      </c>
      <c r="AR54" s="17"/>
      <c r="AS54" s="14"/>
      <c r="AT54" s="48">
        <f t="shared" si="15"/>
        <v>44865</v>
      </c>
      <c r="AU54" s="17"/>
      <c r="AV54" s="33"/>
      <c r="AW54" s="17"/>
      <c r="AX54" s="33"/>
      <c r="AY54" s="53"/>
      <c r="AZ54" s="54"/>
      <c r="BA54" s="17"/>
      <c r="BB54" s="33"/>
      <c r="BC54" s="46"/>
      <c r="BD54" s="17">
        <f t="shared" si="24"/>
        <v>0</v>
      </c>
      <c r="BE54" s="17"/>
      <c r="BF54" s="17"/>
    </row>
    <row r="55" spans="2:58" x14ac:dyDescent="0.25">
      <c r="B55" s="45">
        <v>44872</v>
      </c>
      <c r="C55" s="70">
        <f>SUM(Occupancy!K313:K319)</f>
        <v>2001</v>
      </c>
      <c r="D55" s="17"/>
      <c r="E55" s="17"/>
      <c r="F55" s="33"/>
      <c r="G55" s="17"/>
      <c r="H55" s="17"/>
      <c r="I55" s="33"/>
      <c r="J55" s="17"/>
      <c r="K55" s="17"/>
      <c r="L55" s="33"/>
      <c r="M55" s="17"/>
      <c r="N55" s="17"/>
      <c r="O55" s="33"/>
      <c r="P55" s="17"/>
      <c r="Q55" s="17"/>
      <c r="R55" s="33"/>
      <c r="S55" s="17"/>
      <c r="T55" s="17"/>
      <c r="U55" s="33"/>
      <c r="V55" s="17"/>
      <c r="W55" s="17"/>
      <c r="X55" s="33"/>
      <c r="Y55" s="17"/>
      <c r="Z55" s="17"/>
      <c r="AA55" s="33"/>
      <c r="AB55" s="17"/>
      <c r="AC55" s="17"/>
      <c r="AD55" s="33"/>
      <c r="AE55" s="17"/>
      <c r="AF55" s="17"/>
      <c r="AG55" s="33"/>
      <c r="AH55" s="17"/>
      <c r="AI55" s="17"/>
      <c r="AJ55" s="33"/>
      <c r="AK55" s="104"/>
      <c r="AL55" s="33"/>
      <c r="AM55" s="33"/>
      <c r="AO55" s="33">
        <f t="shared" si="28"/>
        <v>0</v>
      </c>
      <c r="AP55" s="119">
        <f t="shared" si="29"/>
        <v>0</v>
      </c>
      <c r="AQ55" s="53" t="e">
        <f t="shared" si="30"/>
        <v>#DIV/0!</v>
      </c>
      <c r="AR55" s="17"/>
      <c r="AS55" s="14"/>
      <c r="AT55" s="48">
        <f t="shared" si="15"/>
        <v>44872</v>
      </c>
      <c r="AU55" s="17"/>
      <c r="AV55" s="33"/>
      <c r="AW55" s="17"/>
      <c r="AX55" s="33"/>
      <c r="AY55" s="53"/>
      <c r="AZ55" s="54"/>
      <c r="BA55" s="17"/>
      <c r="BB55" s="33"/>
      <c r="BC55" s="46"/>
      <c r="BD55" s="17">
        <f t="shared" si="24"/>
        <v>0</v>
      </c>
      <c r="BE55" s="17"/>
      <c r="BF55" s="17"/>
    </row>
    <row r="56" spans="2:58" x14ac:dyDescent="0.25">
      <c r="B56" s="45">
        <v>44879</v>
      </c>
      <c r="C56" s="70">
        <f>SUM(Occupancy!K320:K326)</f>
        <v>2113</v>
      </c>
      <c r="D56" s="17"/>
      <c r="E56" s="17"/>
      <c r="F56" s="33"/>
      <c r="G56" s="17"/>
      <c r="H56" s="17"/>
      <c r="I56" s="33"/>
      <c r="J56" s="17"/>
      <c r="K56" s="17"/>
      <c r="L56" s="33"/>
      <c r="M56" s="17"/>
      <c r="N56" s="17"/>
      <c r="O56" s="33"/>
      <c r="P56" s="17"/>
      <c r="Q56" s="17"/>
      <c r="R56" s="33"/>
      <c r="S56" s="17"/>
      <c r="T56" s="17"/>
      <c r="U56" s="33"/>
      <c r="V56" s="17"/>
      <c r="W56" s="17"/>
      <c r="X56" s="33"/>
      <c r="Y56" s="17"/>
      <c r="Z56" s="17"/>
      <c r="AA56" s="33"/>
      <c r="AB56" s="17"/>
      <c r="AC56" s="17"/>
      <c r="AD56" s="33"/>
      <c r="AE56" s="17"/>
      <c r="AF56" s="17"/>
      <c r="AG56" s="33"/>
      <c r="AH56" s="17"/>
      <c r="AI56" s="17"/>
      <c r="AJ56" s="33"/>
      <c r="AK56" s="105"/>
      <c r="AL56" s="33"/>
      <c r="AM56" s="33"/>
      <c r="AO56" s="33">
        <f t="shared" si="28"/>
        <v>0</v>
      </c>
      <c r="AP56" s="119">
        <f t="shared" si="29"/>
        <v>0</v>
      </c>
      <c r="AQ56" s="53" t="e">
        <f t="shared" si="30"/>
        <v>#DIV/0!</v>
      </c>
      <c r="AR56" s="17"/>
      <c r="AS56" s="14"/>
      <c r="AT56" s="48">
        <f t="shared" si="15"/>
        <v>44879</v>
      </c>
      <c r="AU56" s="17"/>
      <c r="AV56" s="33"/>
      <c r="AW56" s="17"/>
      <c r="AX56" s="33"/>
      <c r="AY56" s="53"/>
      <c r="AZ56" s="54"/>
      <c r="BA56" s="17"/>
      <c r="BB56" s="33"/>
      <c r="BC56" s="46"/>
      <c r="BD56" s="17">
        <f t="shared" si="24"/>
        <v>0</v>
      </c>
      <c r="BE56" s="17"/>
      <c r="BF56" s="17"/>
    </row>
    <row r="57" spans="2:58" x14ac:dyDescent="0.25">
      <c r="B57" s="45">
        <v>44886</v>
      </c>
      <c r="C57" s="70">
        <f>SUM(Occupancy!K327:K333)</f>
        <v>2102</v>
      </c>
      <c r="D57" s="17"/>
      <c r="E57" s="17"/>
      <c r="F57" s="33"/>
      <c r="G57" s="17"/>
      <c r="H57" s="17"/>
      <c r="I57" s="33"/>
      <c r="J57" s="17"/>
      <c r="K57" s="17"/>
      <c r="L57" s="33"/>
      <c r="M57" s="17"/>
      <c r="N57" s="17"/>
      <c r="O57" s="33"/>
      <c r="P57" s="17"/>
      <c r="Q57" s="17"/>
      <c r="R57" s="33"/>
      <c r="S57" s="17"/>
      <c r="T57" s="17"/>
      <c r="U57" s="33"/>
      <c r="V57" s="17"/>
      <c r="W57" s="17"/>
      <c r="X57" s="33"/>
      <c r="Y57" s="17"/>
      <c r="Z57" s="17"/>
      <c r="AA57" s="33"/>
      <c r="AB57" s="17"/>
      <c r="AC57" s="17"/>
      <c r="AD57" s="33"/>
      <c r="AE57" s="17"/>
      <c r="AF57" s="17"/>
      <c r="AG57" s="33"/>
      <c r="AH57" s="17"/>
      <c r="AI57" s="17"/>
      <c r="AJ57" s="33"/>
      <c r="AK57" s="106"/>
      <c r="AL57" s="33"/>
      <c r="AM57" s="33"/>
      <c r="AO57" s="33">
        <f t="shared" si="28"/>
        <v>0</v>
      </c>
      <c r="AP57" s="119">
        <f t="shared" si="29"/>
        <v>0</v>
      </c>
      <c r="AQ57" s="53" t="e">
        <f t="shared" si="30"/>
        <v>#DIV/0!</v>
      </c>
      <c r="AR57" s="17"/>
      <c r="AS57" s="14"/>
      <c r="AT57" s="48">
        <f t="shared" si="15"/>
        <v>44886</v>
      </c>
      <c r="AU57" s="17"/>
      <c r="AV57" s="33"/>
      <c r="AW57" s="17"/>
      <c r="AX57" s="33"/>
      <c r="AY57" s="53"/>
      <c r="AZ57" s="54"/>
      <c r="BA57" s="17"/>
      <c r="BB57" s="33"/>
      <c r="BC57" s="46"/>
      <c r="BD57" s="17">
        <f t="shared" si="24"/>
        <v>0</v>
      </c>
      <c r="BE57" s="17"/>
      <c r="BF57" s="17"/>
    </row>
    <row r="58" spans="2:58" x14ac:dyDescent="0.25">
      <c r="B58" s="45">
        <v>44893</v>
      </c>
      <c r="C58" s="70">
        <f>SUM(Occupancy!K334:K340)</f>
        <v>2027</v>
      </c>
      <c r="D58" s="17"/>
      <c r="E58" s="17"/>
      <c r="F58" s="33"/>
      <c r="G58" s="17"/>
      <c r="H58" s="17"/>
      <c r="I58" s="33"/>
      <c r="J58" s="17"/>
      <c r="K58" s="17"/>
      <c r="L58" s="33"/>
      <c r="M58" s="17"/>
      <c r="N58" s="17"/>
      <c r="O58" s="33"/>
      <c r="P58" s="17"/>
      <c r="Q58" s="17"/>
      <c r="R58" s="33"/>
      <c r="S58" s="17"/>
      <c r="T58" s="17"/>
      <c r="U58" s="33"/>
      <c r="V58" s="17"/>
      <c r="W58" s="17"/>
      <c r="X58" s="33"/>
      <c r="Y58" s="17"/>
      <c r="Z58" s="17"/>
      <c r="AA58" s="33"/>
      <c r="AB58" s="17"/>
      <c r="AC58" s="17"/>
      <c r="AD58" s="33"/>
      <c r="AE58" s="17"/>
      <c r="AF58" s="17"/>
      <c r="AG58" s="33"/>
      <c r="AH58" s="17"/>
      <c r="AI58" s="17"/>
      <c r="AJ58" s="33"/>
      <c r="AK58" s="107"/>
      <c r="AL58" s="33"/>
      <c r="AM58" s="33"/>
      <c r="AO58" s="33">
        <f t="shared" si="28"/>
        <v>0</v>
      </c>
      <c r="AP58" s="119">
        <f t="shared" si="29"/>
        <v>0</v>
      </c>
      <c r="AQ58" s="53" t="e">
        <f t="shared" si="30"/>
        <v>#DIV/0!</v>
      </c>
      <c r="AR58" s="17"/>
      <c r="AS58" s="14"/>
      <c r="AT58" s="48">
        <f t="shared" si="15"/>
        <v>44893</v>
      </c>
      <c r="AU58" s="17"/>
      <c r="AV58" s="33"/>
      <c r="AW58" s="17"/>
      <c r="AX58" s="33"/>
      <c r="AY58" s="53"/>
      <c r="AZ58" s="54"/>
      <c r="BA58" s="17"/>
      <c r="BB58" s="33"/>
      <c r="BC58" s="46"/>
      <c r="BD58" s="17">
        <f t="shared" si="24"/>
        <v>0</v>
      </c>
      <c r="BE58" s="17"/>
      <c r="BF58" s="17"/>
    </row>
    <row r="59" spans="2:58" x14ac:dyDescent="0.25">
      <c r="B59" s="45">
        <v>44895</v>
      </c>
      <c r="C59" s="70">
        <f>SUM(Occupancy!K341:K342)</f>
        <v>379</v>
      </c>
      <c r="D59" s="17"/>
      <c r="E59" s="17"/>
      <c r="F59" s="33"/>
      <c r="G59" s="17"/>
      <c r="H59" s="17"/>
      <c r="I59" s="33"/>
      <c r="J59" s="17"/>
      <c r="K59" s="17"/>
      <c r="L59" s="33"/>
      <c r="M59" s="17"/>
      <c r="N59" s="17"/>
      <c r="O59" s="33"/>
      <c r="P59" s="17"/>
      <c r="Q59" s="17"/>
      <c r="R59" s="33"/>
      <c r="S59" s="17"/>
      <c r="T59" s="17"/>
      <c r="U59" s="33"/>
      <c r="V59" s="17"/>
      <c r="W59" s="17"/>
      <c r="X59" s="33"/>
      <c r="Y59" s="17"/>
      <c r="Z59" s="17"/>
      <c r="AA59" s="33"/>
      <c r="AB59" s="17"/>
      <c r="AC59" s="17"/>
      <c r="AD59" s="33"/>
      <c r="AE59" s="17"/>
      <c r="AF59" s="17"/>
      <c r="AG59" s="33"/>
      <c r="AH59" s="17"/>
      <c r="AI59" s="17"/>
      <c r="AJ59" s="33"/>
      <c r="AK59" s="108"/>
      <c r="AL59" s="33"/>
      <c r="AM59" s="33"/>
      <c r="AO59" s="33">
        <f t="shared" si="28"/>
        <v>0</v>
      </c>
      <c r="AP59" s="119">
        <f t="shared" si="29"/>
        <v>0</v>
      </c>
      <c r="AQ59" s="53" t="e">
        <f t="shared" si="30"/>
        <v>#DIV/0!</v>
      </c>
      <c r="AR59" s="17"/>
      <c r="AS59" s="14"/>
      <c r="AT59" s="48">
        <f t="shared" si="15"/>
        <v>44895</v>
      </c>
      <c r="AU59" s="17"/>
      <c r="AV59" s="33"/>
      <c r="AW59" s="17"/>
      <c r="AX59" s="33"/>
      <c r="AY59" s="53"/>
      <c r="AZ59" s="54"/>
      <c r="BA59" s="17"/>
      <c r="BB59" s="33"/>
      <c r="BC59" s="46"/>
      <c r="BD59" s="17">
        <f t="shared" si="24"/>
        <v>0</v>
      </c>
      <c r="BE59" s="17"/>
      <c r="BF59" s="17"/>
    </row>
    <row r="60" spans="2:58" x14ac:dyDescent="0.25">
      <c r="B60" s="45">
        <v>44900</v>
      </c>
      <c r="C60" s="70">
        <f>SUM(Occupancy!K343:K347)</f>
        <v>1564</v>
      </c>
      <c r="D60" s="17"/>
      <c r="E60" s="17"/>
      <c r="F60" s="33"/>
      <c r="G60" s="17"/>
      <c r="H60" s="17"/>
      <c r="I60" s="33"/>
      <c r="J60" s="17"/>
      <c r="K60" s="17"/>
      <c r="L60" s="33"/>
      <c r="M60" s="17"/>
      <c r="N60" s="17"/>
      <c r="O60" s="33"/>
      <c r="P60" s="17"/>
      <c r="Q60" s="17"/>
      <c r="R60" s="33"/>
      <c r="S60" s="17"/>
      <c r="T60" s="17"/>
      <c r="U60" s="33"/>
      <c r="V60" s="17"/>
      <c r="W60" s="17"/>
      <c r="X60" s="33"/>
      <c r="Y60" s="17"/>
      <c r="Z60" s="17"/>
      <c r="AA60" s="33"/>
      <c r="AB60" s="17"/>
      <c r="AC60" s="17"/>
      <c r="AD60" s="33"/>
      <c r="AE60" s="17"/>
      <c r="AF60" s="17"/>
      <c r="AG60" s="33"/>
      <c r="AH60" s="17"/>
      <c r="AI60" s="17"/>
      <c r="AJ60" s="33"/>
      <c r="AK60" s="109"/>
      <c r="AL60" s="33"/>
      <c r="AM60" s="33"/>
      <c r="AO60" s="33">
        <f t="shared" si="28"/>
        <v>0</v>
      </c>
      <c r="AP60" s="119">
        <f t="shared" si="29"/>
        <v>0</v>
      </c>
      <c r="AQ60" s="53" t="e">
        <f t="shared" si="30"/>
        <v>#DIV/0!</v>
      </c>
      <c r="AR60" s="17"/>
      <c r="AS60" s="14"/>
      <c r="AT60" s="48">
        <f t="shared" si="15"/>
        <v>44900</v>
      </c>
      <c r="AU60" s="17"/>
      <c r="AV60" s="33"/>
      <c r="AW60" s="17"/>
      <c r="AX60" s="33"/>
      <c r="AY60" s="53"/>
      <c r="AZ60" s="54"/>
      <c r="BA60" s="17"/>
      <c r="BB60" s="33"/>
      <c r="BC60" s="46"/>
      <c r="BD60" s="17">
        <f t="shared" si="24"/>
        <v>0</v>
      </c>
      <c r="BE60" s="17"/>
      <c r="BF60" s="17"/>
    </row>
    <row r="61" spans="2:58" x14ac:dyDescent="0.25">
      <c r="B61" s="45">
        <v>44907</v>
      </c>
      <c r="C61" s="70">
        <f>SUM(Occupancy!K348:K355)</f>
        <v>2033</v>
      </c>
      <c r="D61" s="17"/>
      <c r="E61" s="17"/>
      <c r="F61" s="33"/>
      <c r="G61" s="17"/>
      <c r="H61" s="17"/>
      <c r="I61" s="33"/>
      <c r="J61" s="17"/>
      <c r="K61" s="17"/>
      <c r="L61" s="33"/>
      <c r="M61" s="17"/>
      <c r="N61" s="17"/>
      <c r="O61" s="33"/>
      <c r="P61" s="17"/>
      <c r="Q61" s="17"/>
      <c r="R61" s="33"/>
      <c r="S61" s="17"/>
      <c r="T61" s="17"/>
      <c r="U61" s="33"/>
      <c r="V61" s="17"/>
      <c r="W61" s="17"/>
      <c r="X61" s="33"/>
      <c r="Y61" s="17"/>
      <c r="Z61" s="17"/>
      <c r="AA61" s="33"/>
      <c r="AB61" s="17"/>
      <c r="AC61" s="17"/>
      <c r="AD61" s="33"/>
      <c r="AE61" s="17"/>
      <c r="AF61" s="17"/>
      <c r="AG61" s="33"/>
      <c r="AH61" s="17"/>
      <c r="AI61" s="17"/>
      <c r="AJ61" s="33"/>
      <c r="AK61" s="110"/>
      <c r="AL61" s="33"/>
      <c r="AM61" s="33"/>
      <c r="AO61" s="33">
        <f t="shared" si="28"/>
        <v>0</v>
      </c>
      <c r="AP61" s="119">
        <f t="shared" si="29"/>
        <v>0</v>
      </c>
      <c r="AQ61" s="53" t="e">
        <f t="shared" si="30"/>
        <v>#DIV/0!</v>
      </c>
      <c r="AR61" s="17"/>
      <c r="AS61" s="14"/>
      <c r="AT61" s="48">
        <f t="shared" si="15"/>
        <v>44907</v>
      </c>
      <c r="AU61" s="17"/>
      <c r="AV61" s="33"/>
      <c r="AW61" s="17"/>
      <c r="AX61" s="33"/>
      <c r="AY61" s="53"/>
      <c r="AZ61" s="54"/>
      <c r="BA61" s="17"/>
      <c r="BB61" s="33"/>
      <c r="BC61" s="46"/>
      <c r="BD61" s="17">
        <f t="shared" si="24"/>
        <v>0</v>
      </c>
      <c r="BE61" s="17"/>
      <c r="BF61" s="17"/>
    </row>
    <row r="62" spans="2:58" x14ac:dyDescent="0.25">
      <c r="B62" s="45">
        <v>44914</v>
      </c>
      <c r="C62" s="70">
        <f>SUM(Occupancy!K356:K362)</f>
        <v>1679</v>
      </c>
      <c r="D62" s="17"/>
      <c r="E62" s="17"/>
      <c r="F62" s="33"/>
      <c r="G62" s="17"/>
      <c r="H62" s="17"/>
      <c r="I62" s="33"/>
      <c r="J62" s="17"/>
      <c r="K62" s="17"/>
      <c r="L62" s="33"/>
      <c r="M62" s="17"/>
      <c r="N62" s="17"/>
      <c r="O62" s="33"/>
      <c r="P62" s="17"/>
      <c r="Q62" s="17"/>
      <c r="R62" s="33"/>
      <c r="S62" s="17"/>
      <c r="T62" s="17"/>
      <c r="U62" s="33"/>
      <c r="V62" s="17"/>
      <c r="W62" s="17"/>
      <c r="X62" s="33"/>
      <c r="Y62" s="17"/>
      <c r="Z62" s="17"/>
      <c r="AA62" s="33"/>
      <c r="AB62" s="17"/>
      <c r="AC62" s="17"/>
      <c r="AD62" s="33"/>
      <c r="AE62" s="17"/>
      <c r="AF62" s="17"/>
      <c r="AG62" s="33"/>
      <c r="AH62" s="17"/>
      <c r="AI62" s="17"/>
      <c r="AJ62" s="33"/>
      <c r="AK62" s="110"/>
      <c r="AL62" s="33"/>
      <c r="AM62" s="33"/>
      <c r="AO62" s="33">
        <f t="shared" si="28"/>
        <v>0</v>
      </c>
      <c r="AP62" s="119">
        <f t="shared" si="29"/>
        <v>0</v>
      </c>
      <c r="AQ62" s="53" t="e">
        <f t="shared" si="30"/>
        <v>#DIV/0!</v>
      </c>
      <c r="AR62" s="17"/>
      <c r="AS62" s="14"/>
      <c r="AT62" s="48">
        <f t="shared" si="15"/>
        <v>44914</v>
      </c>
      <c r="AU62" s="17"/>
      <c r="AV62" s="33"/>
      <c r="AW62" s="17"/>
      <c r="AX62" s="33"/>
      <c r="AY62" s="53"/>
      <c r="AZ62" s="54"/>
      <c r="BA62" s="17"/>
      <c r="BB62" s="33"/>
      <c r="BC62" s="46"/>
      <c r="BD62" s="17">
        <f t="shared" si="24"/>
        <v>0</v>
      </c>
      <c r="BE62" s="17"/>
      <c r="BF62" s="17"/>
    </row>
    <row r="63" spans="2:58" x14ac:dyDescent="0.25">
      <c r="B63" s="45">
        <v>44921</v>
      </c>
      <c r="C63" s="70">
        <f>SUM(Occupancy!K363:K369)</f>
        <v>2405</v>
      </c>
      <c r="D63" s="17"/>
      <c r="E63" s="17"/>
      <c r="F63" s="33"/>
      <c r="G63" s="17"/>
      <c r="H63" s="17"/>
      <c r="I63" s="33"/>
      <c r="J63" s="17"/>
      <c r="K63" s="17"/>
      <c r="L63" s="33"/>
      <c r="M63" s="17"/>
      <c r="N63" s="17"/>
      <c r="O63" s="33"/>
      <c r="P63" s="17"/>
      <c r="Q63" s="17"/>
      <c r="R63" s="33"/>
      <c r="S63" s="17"/>
      <c r="T63" s="17"/>
      <c r="U63" s="33"/>
      <c r="V63" s="17"/>
      <c r="W63" s="17"/>
      <c r="X63" s="33"/>
      <c r="Y63" s="17"/>
      <c r="Z63" s="17"/>
      <c r="AA63" s="33"/>
      <c r="AB63" s="17"/>
      <c r="AC63" s="17"/>
      <c r="AD63" s="33"/>
      <c r="AE63" s="17"/>
      <c r="AF63" s="17"/>
      <c r="AG63" s="33"/>
      <c r="AH63" s="17"/>
      <c r="AI63" s="17"/>
      <c r="AJ63" s="33"/>
      <c r="AK63" s="111"/>
      <c r="AL63" s="33"/>
      <c r="AM63" s="33"/>
      <c r="AO63" s="33">
        <f t="shared" si="28"/>
        <v>0</v>
      </c>
      <c r="AP63" s="119">
        <f t="shared" si="29"/>
        <v>0</v>
      </c>
      <c r="AQ63" s="53" t="e">
        <f t="shared" si="30"/>
        <v>#DIV/0!</v>
      </c>
      <c r="AR63" s="17"/>
      <c r="AS63" s="14"/>
      <c r="AT63" s="48">
        <f t="shared" si="15"/>
        <v>44921</v>
      </c>
      <c r="AU63" s="17"/>
      <c r="AV63" s="33"/>
      <c r="AW63" s="17"/>
      <c r="AX63" s="33"/>
      <c r="AY63" s="53"/>
      <c r="AZ63" s="54"/>
      <c r="BA63" s="17"/>
      <c r="BB63" s="33"/>
      <c r="BC63" s="46"/>
      <c r="BD63" s="17">
        <f t="shared" si="24"/>
        <v>0</v>
      </c>
      <c r="BE63" s="17"/>
      <c r="BF63" s="17"/>
    </row>
    <row r="64" spans="2:58" x14ac:dyDescent="0.25">
      <c r="B64" s="45">
        <v>44926</v>
      </c>
      <c r="C64" s="70">
        <f>SUM(Occupancy!K370:K373)</f>
        <v>1759</v>
      </c>
      <c r="D64" s="17"/>
      <c r="E64" s="17"/>
      <c r="F64" s="33"/>
      <c r="G64" s="17"/>
      <c r="H64" s="17"/>
      <c r="I64" s="33"/>
      <c r="J64" s="17"/>
      <c r="K64" s="17"/>
      <c r="L64" s="33"/>
      <c r="M64" s="17"/>
      <c r="N64" s="17"/>
      <c r="O64" s="33"/>
      <c r="P64" s="17"/>
      <c r="Q64" s="17"/>
      <c r="R64" s="33"/>
      <c r="S64" s="17"/>
      <c r="T64" s="17"/>
      <c r="U64" s="33"/>
      <c r="V64" s="17"/>
      <c r="W64" s="17"/>
      <c r="X64" s="33"/>
      <c r="Y64" s="17"/>
      <c r="Z64" s="17"/>
      <c r="AA64" s="33"/>
      <c r="AB64" s="17"/>
      <c r="AC64" s="17"/>
      <c r="AD64" s="33"/>
      <c r="AE64" s="17"/>
      <c r="AF64" s="17"/>
      <c r="AG64" s="33"/>
      <c r="AH64" s="17"/>
      <c r="AI64" s="17"/>
      <c r="AJ64" s="33"/>
      <c r="AK64" s="123"/>
      <c r="AL64" s="124"/>
      <c r="AM64" s="33"/>
      <c r="AO64" s="33">
        <f t="shared" si="28"/>
        <v>0</v>
      </c>
      <c r="AP64" s="119">
        <f t="shared" si="29"/>
        <v>0</v>
      </c>
      <c r="AQ64" s="53" t="e">
        <f t="shared" si="30"/>
        <v>#DIV/0!</v>
      </c>
      <c r="AR64" s="17"/>
      <c r="AS64" s="14"/>
      <c r="AT64" s="48">
        <f t="shared" si="15"/>
        <v>44926</v>
      </c>
      <c r="AU64" s="17"/>
      <c r="AV64" s="33"/>
      <c r="AW64" s="17"/>
      <c r="AX64" s="33"/>
      <c r="AY64" s="53"/>
      <c r="AZ64" s="54"/>
      <c r="BA64" s="17"/>
      <c r="BB64" s="33"/>
      <c r="BC64" s="46"/>
      <c r="BD64" s="17">
        <f t="shared" si="24"/>
        <v>0</v>
      </c>
      <c r="BE64" s="17"/>
      <c r="BF64" s="17"/>
    </row>
  </sheetData>
  <mergeCells count="19">
    <mergeCell ref="AU1:AV1"/>
    <mergeCell ref="AW1:AX1"/>
    <mergeCell ref="AY1:AZ1"/>
    <mergeCell ref="BA1:BB1"/>
    <mergeCell ref="AK2:AL2"/>
    <mergeCell ref="AK64:AL64"/>
    <mergeCell ref="AH1:AJ1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K3:AL3"/>
    <mergeCell ref="AK1:AM1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BH65"/>
  <sheetViews>
    <sheetView topLeftCell="AQ7" zoomScale="85" zoomScaleNormal="85" workbookViewId="0">
      <selection activeCell="AU41" sqref="AU41:BH41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style="39" customWidth="1"/>
    <col min="25" max="25" width="9.7109375" style="55" customWidth="1"/>
    <col min="26" max="26" width="2.7109375" customWidth="1"/>
    <col min="27" max="44" width="11.7109375" style="39" customWidth="1"/>
    <col min="45" max="45" width="2.7109375" customWidth="1"/>
    <col min="46" max="46" width="12.7109375" customWidth="1"/>
    <col min="47" max="47" width="14.7109375" customWidth="1"/>
    <col min="49" max="49" width="2.7109375" customWidth="1"/>
    <col min="50" max="50" width="12.7109375" customWidth="1"/>
    <col min="51" max="51" width="9.140625" customWidth="1"/>
    <col min="52" max="52" width="12.7109375" customWidth="1"/>
    <col min="53" max="53" width="9.140625" customWidth="1"/>
    <col min="54" max="54" width="14.7109375" customWidth="1"/>
    <col min="55" max="55" width="12.7109375" customWidth="1"/>
    <col min="56" max="56" width="9.140625" customWidth="1"/>
    <col min="57" max="57" width="12.7109375" customWidth="1"/>
    <col min="58" max="58" width="9.140625" customWidth="1"/>
    <col min="59" max="59" width="12.7109375" customWidth="1"/>
    <col min="60" max="60" width="15.7109375" customWidth="1"/>
    <col min="61" max="61" width="2.7109375" customWidth="1"/>
  </cols>
  <sheetData>
    <row r="1" spans="2:60" s="49" customFormat="1" ht="31.5" x14ac:dyDescent="0.35">
      <c r="B1" s="56">
        <v>2022</v>
      </c>
      <c r="C1" s="132">
        <v>74860172</v>
      </c>
      <c r="D1" s="134"/>
      <c r="E1" s="133"/>
      <c r="F1" s="132">
        <v>74860173</v>
      </c>
      <c r="G1" s="134"/>
      <c r="H1" s="133"/>
      <c r="I1" s="132">
        <v>44553004</v>
      </c>
      <c r="J1" s="134"/>
      <c r="K1" s="133"/>
      <c r="L1" s="132">
        <v>70275191</v>
      </c>
      <c r="M1" s="134"/>
      <c r="N1" s="133"/>
      <c r="O1" s="132">
        <v>2130521</v>
      </c>
      <c r="P1" s="134"/>
      <c r="Q1" s="133"/>
      <c r="R1" s="16"/>
      <c r="S1" s="135" t="s">
        <v>104</v>
      </c>
      <c r="T1" s="134"/>
      <c r="U1" s="133"/>
      <c r="V1" s="136">
        <v>93477704</v>
      </c>
      <c r="W1" s="137"/>
      <c r="X1" s="138"/>
      <c r="Y1" s="21" t="s">
        <v>180</v>
      </c>
      <c r="Z1" s="16"/>
      <c r="AA1" s="139">
        <v>79177804</v>
      </c>
      <c r="AB1" s="140"/>
      <c r="AC1" s="139">
        <v>79305675</v>
      </c>
      <c r="AD1" s="140"/>
      <c r="AE1" s="141">
        <v>19000406</v>
      </c>
      <c r="AF1" s="142"/>
      <c r="AG1" s="139">
        <v>79190041</v>
      </c>
      <c r="AH1" s="140"/>
      <c r="AI1" s="139" t="s">
        <v>49</v>
      </c>
      <c r="AJ1" s="140"/>
      <c r="AK1" s="139">
        <v>79190039</v>
      </c>
      <c r="AL1" s="140"/>
      <c r="AM1" s="139">
        <v>79324776</v>
      </c>
      <c r="AN1" s="140"/>
      <c r="AO1" s="139" t="s">
        <v>102</v>
      </c>
      <c r="AP1" s="140"/>
      <c r="AQ1" s="139" t="s">
        <v>103</v>
      </c>
      <c r="AR1" s="140"/>
      <c r="AS1" s="14"/>
      <c r="AU1" s="132" t="s">
        <v>115</v>
      </c>
      <c r="AV1" s="133"/>
      <c r="AW1" s="14"/>
      <c r="AX1" s="132" t="s">
        <v>55</v>
      </c>
      <c r="AY1" s="133"/>
      <c r="AZ1" s="132">
        <v>65956268</v>
      </c>
      <c r="BA1" s="133"/>
      <c r="BB1" s="22" t="s">
        <v>57</v>
      </c>
      <c r="BC1" s="132">
        <v>1334021</v>
      </c>
      <c r="BD1" s="133"/>
      <c r="BE1" s="132">
        <v>63265094</v>
      </c>
      <c r="BF1" s="133"/>
      <c r="BG1" s="132" t="s">
        <v>181</v>
      </c>
      <c r="BH1" s="133"/>
    </row>
    <row r="2" spans="2:60" x14ac:dyDescent="0.25">
      <c r="B2" s="25" t="s">
        <v>165</v>
      </c>
      <c r="C2" s="23" t="s">
        <v>182</v>
      </c>
      <c r="D2" s="24"/>
      <c r="E2" s="25" t="s">
        <v>170</v>
      </c>
      <c r="F2" s="23" t="s">
        <v>99</v>
      </c>
      <c r="G2" s="24"/>
      <c r="H2" s="25" t="s">
        <v>170</v>
      </c>
      <c r="I2" s="23"/>
      <c r="J2" s="24"/>
      <c r="K2" s="26"/>
      <c r="L2" s="23" t="s">
        <v>101</v>
      </c>
      <c r="M2" s="24"/>
      <c r="N2" s="26"/>
      <c r="O2" s="145" t="s">
        <v>100</v>
      </c>
      <c r="P2" s="146"/>
      <c r="Q2" s="25" t="s">
        <v>170</v>
      </c>
      <c r="R2" s="16"/>
      <c r="S2" s="23" t="s">
        <v>100</v>
      </c>
      <c r="T2" s="24" t="s">
        <v>183</v>
      </c>
      <c r="U2" s="26"/>
      <c r="V2" s="23" t="s">
        <v>100</v>
      </c>
      <c r="W2" s="24" t="s">
        <v>183</v>
      </c>
      <c r="X2" s="26"/>
      <c r="Y2" s="27"/>
      <c r="Z2" s="14"/>
      <c r="AA2" s="143" t="s">
        <v>184</v>
      </c>
      <c r="AB2" s="144"/>
      <c r="AC2" s="143" t="s">
        <v>185</v>
      </c>
      <c r="AD2" s="144"/>
      <c r="AE2" s="143" t="s">
        <v>217</v>
      </c>
      <c r="AF2" s="144"/>
      <c r="AG2" s="143" t="s">
        <v>186</v>
      </c>
      <c r="AH2" s="144"/>
      <c r="AI2" s="143" t="s">
        <v>187</v>
      </c>
      <c r="AJ2" s="144"/>
      <c r="AK2" s="143" t="s">
        <v>118</v>
      </c>
      <c r="AL2" s="144"/>
      <c r="AM2" s="143" t="s">
        <v>188</v>
      </c>
      <c r="AN2" s="144"/>
      <c r="AO2" s="143" t="s">
        <v>189</v>
      </c>
      <c r="AP2" s="144"/>
      <c r="AQ2" s="143" t="s">
        <v>190</v>
      </c>
      <c r="AR2" s="144"/>
      <c r="AS2" s="14"/>
      <c r="AU2" s="23">
        <v>46801014</v>
      </c>
      <c r="AV2" s="26"/>
      <c r="AW2" s="14"/>
      <c r="AX2" s="23"/>
      <c r="AY2" s="25" t="s">
        <v>170</v>
      </c>
      <c r="AZ2" s="23" t="s">
        <v>191</v>
      </c>
      <c r="BA2" s="25" t="s">
        <v>170</v>
      </c>
      <c r="BB2" s="25" t="s">
        <v>170</v>
      </c>
      <c r="BC2" s="23"/>
      <c r="BD2" s="25" t="s">
        <v>170</v>
      </c>
      <c r="BE2" s="23"/>
      <c r="BF2" s="25" t="s">
        <v>170</v>
      </c>
      <c r="BG2" s="23"/>
      <c r="BH2" s="25" t="s">
        <v>170</v>
      </c>
    </row>
    <row r="3" spans="2:60" x14ac:dyDescent="0.25">
      <c r="B3" s="44"/>
      <c r="C3" s="143" t="s">
        <v>105</v>
      </c>
      <c r="D3" s="144"/>
      <c r="E3" s="18" t="s">
        <v>192</v>
      </c>
      <c r="F3" s="143" t="s">
        <v>106</v>
      </c>
      <c r="G3" s="144"/>
      <c r="H3" s="18" t="s">
        <v>192</v>
      </c>
      <c r="I3" s="143" t="s">
        <v>107</v>
      </c>
      <c r="J3" s="144"/>
      <c r="K3" s="18"/>
      <c r="L3" s="143" t="s">
        <v>193</v>
      </c>
      <c r="M3" s="144"/>
      <c r="N3" s="18"/>
      <c r="O3" s="143" t="s">
        <v>108</v>
      </c>
      <c r="P3" s="144"/>
      <c r="Q3" s="18" t="s">
        <v>192</v>
      </c>
      <c r="R3" s="28"/>
      <c r="S3" s="143" t="s">
        <v>194</v>
      </c>
      <c r="T3" s="144"/>
      <c r="U3" s="19"/>
      <c r="V3" s="143" t="s">
        <v>194</v>
      </c>
      <c r="W3" s="144"/>
      <c r="X3" s="19"/>
      <c r="Y3" s="27"/>
      <c r="Z3" s="14"/>
      <c r="AA3" s="91" t="s">
        <v>119</v>
      </c>
      <c r="AB3" s="91" t="s">
        <v>195</v>
      </c>
      <c r="AC3" s="91" t="s">
        <v>119</v>
      </c>
      <c r="AD3" s="91" t="s">
        <v>195</v>
      </c>
      <c r="AE3" s="121"/>
      <c r="AF3" s="121"/>
      <c r="AG3" s="91" t="s">
        <v>119</v>
      </c>
      <c r="AH3" s="91" t="s">
        <v>195</v>
      </c>
      <c r="AI3" s="91" t="s">
        <v>119</v>
      </c>
      <c r="AJ3" s="91" t="s">
        <v>195</v>
      </c>
      <c r="AK3" s="91" t="s">
        <v>119</v>
      </c>
      <c r="AL3" s="91" t="s">
        <v>195</v>
      </c>
      <c r="AM3" s="91" t="s">
        <v>119</v>
      </c>
      <c r="AN3" s="91" t="s">
        <v>195</v>
      </c>
      <c r="AO3" s="91" t="s">
        <v>119</v>
      </c>
      <c r="AP3" s="91" t="s">
        <v>195</v>
      </c>
      <c r="AQ3" s="91" t="s">
        <v>119</v>
      </c>
      <c r="AR3" s="91" t="s">
        <v>195</v>
      </c>
      <c r="AS3" s="14"/>
      <c r="AU3" s="90" t="s">
        <v>117</v>
      </c>
      <c r="AV3" s="19"/>
      <c r="AW3" s="14"/>
      <c r="AX3" s="90" t="s">
        <v>116</v>
      </c>
      <c r="AY3" s="18" t="s">
        <v>192</v>
      </c>
      <c r="AZ3" s="90" t="s">
        <v>116</v>
      </c>
      <c r="BA3" s="18" t="s">
        <v>192</v>
      </c>
      <c r="BB3" s="18" t="s">
        <v>192</v>
      </c>
      <c r="BC3" s="90" t="s">
        <v>116</v>
      </c>
      <c r="BD3" s="18" t="s">
        <v>192</v>
      </c>
      <c r="BE3" s="90" t="s">
        <v>116</v>
      </c>
      <c r="BF3" s="18" t="s">
        <v>192</v>
      </c>
      <c r="BG3" s="90" t="s">
        <v>116</v>
      </c>
      <c r="BH3" s="18" t="s">
        <v>192</v>
      </c>
    </row>
    <row r="4" spans="2:60" s="86" customFormat="1" x14ac:dyDescent="0.25">
      <c r="B4" s="45">
        <v>44562</v>
      </c>
      <c r="C4" s="127">
        <v>47284050</v>
      </c>
      <c r="D4" s="127"/>
      <c r="E4" s="33">
        <v>0</v>
      </c>
      <c r="F4" s="130">
        <v>5735080</v>
      </c>
      <c r="G4" s="131"/>
      <c r="H4" s="33">
        <v>0</v>
      </c>
      <c r="I4" s="130">
        <v>18184</v>
      </c>
      <c r="J4" s="131"/>
      <c r="K4" s="33">
        <v>0</v>
      </c>
      <c r="L4" s="130">
        <v>343381</v>
      </c>
      <c r="M4" s="131"/>
      <c r="N4" s="33">
        <v>0</v>
      </c>
      <c r="O4" s="130">
        <v>21347</v>
      </c>
      <c r="P4" s="131"/>
      <c r="Q4" s="33">
        <v>0</v>
      </c>
      <c r="R4" s="77"/>
      <c r="S4" s="130">
        <v>804501</v>
      </c>
      <c r="T4" s="131"/>
      <c r="U4" s="33">
        <v>0</v>
      </c>
      <c r="V4" s="130">
        <v>837808</v>
      </c>
      <c r="W4" s="131"/>
      <c r="X4" s="33">
        <v>0</v>
      </c>
      <c r="Y4" s="33">
        <v>0</v>
      </c>
      <c r="Z4" s="78"/>
      <c r="AA4" s="79">
        <v>25824</v>
      </c>
      <c r="AB4" s="80">
        <v>0</v>
      </c>
      <c r="AC4" s="79">
        <v>699356159</v>
      </c>
      <c r="AD4" s="80">
        <v>0</v>
      </c>
      <c r="AE4" s="80"/>
      <c r="AF4" s="80"/>
      <c r="AG4" s="79">
        <v>120526</v>
      </c>
      <c r="AH4" s="80">
        <v>0</v>
      </c>
      <c r="AI4" s="79">
        <v>3721338</v>
      </c>
      <c r="AJ4" s="80">
        <v>0</v>
      </c>
      <c r="AK4" s="79">
        <v>4598660</v>
      </c>
      <c r="AL4" s="80">
        <v>0</v>
      </c>
      <c r="AM4" s="79">
        <v>25450</v>
      </c>
      <c r="AN4" s="80">
        <v>0</v>
      </c>
      <c r="AO4" s="79">
        <v>1292</v>
      </c>
      <c r="AP4" s="80">
        <v>0</v>
      </c>
      <c r="AQ4" s="79">
        <v>13368</v>
      </c>
      <c r="AR4" s="80">
        <v>0</v>
      </c>
      <c r="AS4" s="81"/>
      <c r="AT4" s="57">
        <f>B4</f>
        <v>44562</v>
      </c>
      <c r="AU4" s="79">
        <v>4046</v>
      </c>
      <c r="AV4" s="80">
        <v>0</v>
      </c>
      <c r="AW4" s="82"/>
      <c r="AX4" s="79">
        <v>2108658</v>
      </c>
      <c r="AY4" s="79">
        <v>0</v>
      </c>
      <c r="AZ4" s="79">
        <v>652629730</v>
      </c>
      <c r="BA4" s="83">
        <v>0</v>
      </c>
      <c r="BB4" s="79">
        <v>0</v>
      </c>
      <c r="BC4" s="79">
        <v>7133000</v>
      </c>
      <c r="BD4" s="84">
        <v>0</v>
      </c>
      <c r="BE4" s="83">
        <v>3791200</v>
      </c>
      <c r="BF4" s="85">
        <v>0</v>
      </c>
      <c r="BG4" s="79">
        <v>1133177</v>
      </c>
      <c r="BH4" s="80">
        <v>0</v>
      </c>
    </row>
    <row r="5" spans="2:60" s="58" customFormat="1" x14ac:dyDescent="0.25">
      <c r="B5" s="45">
        <v>44564</v>
      </c>
      <c r="C5" s="127">
        <v>47321292</v>
      </c>
      <c r="D5" s="127"/>
      <c r="E5" s="33">
        <f t="shared" ref="E5:E64" si="0">SUM(C5-C4)*10</f>
        <v>372420</v>
      </c>
      <c r="F5" s="127">
        <v>5741571</v>
      </c>
      <c r="G5" s="127"/>
      <c r="H5" s="33">
        <f t="shared" ref="H5:H64" si="1">SUM(F5-F4)*10</f>
        <v>64910</v>
      </c>
      <c r="I5" s="127">
        <v>18187</v>
      </c>
      <c r="J5" s="127"/>
      <c r="K5" s="33">
        <f t="shared" ref="K5:K64" si="2">SUM(I5-I4)*10</f>
        <v>30</v>
      </c>
      <c r="L5" s="127">
        <v>343661</v>
      </c>
      <c r="M5" s="127"/>
      <c r="N5" s="33">
        <f t="shared" ref="N5:N64" si="3">SUM(L5-L4)*1000</f>
        <v>280000</v>
      </c>
      <c r="O5" s="127">
        <v>21465</v>
      </c>
      <c r="P5" s="127"/>
      <c r="Q5" s="33">
        <f t="shared" ref="Q5:Q64" si="4">SUM(O5-O4)*100</f>
        <v>11800</v>
      </c>
      <c r="R5" s="29"/>
      <c r="S5" s="123">
        <v>805268</v>
      </c>
      <c r="T5" s="124"/>
      <c r="U5" s="33">
        <f t="shared" ref="U5:U64" si="5">SUM(S5-S4)*100</f>
        <v>76700</v>
      </c>
      <c r="V5" s="127">
        <v>840790</v>
      </c>
      <c r="W5" s="127"/>
      <c r="X5" s="33">
        <f t="shared" ref="X5" si="6">SUM(V5-V4)*100</f>
        <v>298200</v>
      </c>
      <c r="Y5" s="32">
        <f t="shared" ref="Y5" si="7">SUM(U5+X5)</f>
        <v>374900</v>
      </c>
      <c r="Z5" s="30"/>
      <c r="AA5" s="17">
        <v>25889</v>
      </c>
      <c r="AB5" s="33">
        <f t="shared" ref="AB5:AB41" si="8">SUM(AA5-AA4)*10000</f>
        <v>650000</v>
      </c>
      <c r="AC5" s="17">
        <v>701086300</v>
      </c>
      <c r="AD5" s="33">
        <f t="shared" ref="AD5:AD41" si="9">SUM(AC5-AC4)*0.1</f>
        <v>173014.1</v>
      </c>
      <c r="AE5" s="33"/>
      <c r="AF5" s="80"/>
      <c r="AG5" s="17">
        <v>120604</v>
      </c>
      <c r="AH5" s="33">
        <f t="shared" ref="AH5:AH26" si="10">SUM(AG5-AG4)*10</f>
        <v>780</v>
      </c>
      <c r="AI5" s="17">
        <v>3722473</v>
      </c>
      <c r="AJ5" s="33">
        <f t="shared" ref="AJ5:AJ26" si="11">SUM(AI5-AI4)*10</f>
        <v>11350</v>
      </c>
      <c r="AK5" s="17">
        <v>4601417</v>
      </c>
      <c r="AL5" s="33">
        <f t="shared" ref="AL5:AL41" si="12">SUM(AK5-AK4)</f>
        <v>2757</v>
      </c>
      <c r="AM5" s="17">
        <v>25501</v>
      </c>
      <c r="AN5" s="33">
        <f t="shared" ref="AN5:AN41" si="13">SUM(AM5-AM4)*1000</f>
        <v>51000</v>
      </c>
      <c r="AO5" s="17">
        <v>1295</v>
      </c>
      <c r="AP5" s="33">
        <f t="shared" ref="AP5:AP41" si="14">SUM(AO5-AO4)</f>
        <v>3</v>
      </c>
      <c r="AQ5" s="17">
        <v>13377</v>
      </c>
      <c r="AR5" s="33">
        <f t="shared" ref="AR5:AR41" si="15">SUM(AQ5-AQ4)*100</f>
        <v>900</v>
      </c>
      <c r="AS5" s="31"/>
      <c r="AT5" s="57">
        <f>B5</f>
        <v>44564</v>
      </c>
      <c r="AU5" s="17">
        <v>4100</v>
      </c>
      <c r="AV5" s="33">
        <f t="shared" ref="AV5:AV41" si="16">SUM(AU5-AU4)</f>
        <v>54</v>
      </c>
      <c r="AW5" s="14"/>
      <c r="AX5" s="17">
        <v>2131903</v>
      </c>
      <c r="AY5" s="33">
        <f t="shared" ref="AY5:AY41" si="17">SUM(AX5-AX4)</f>
        <v>23245</v>
      </c>
      <c r="AZ5" s="17">
        <v>654316702</v>
      </c>
      <c r="BA5" s="34">
        <f t="shared" ref="BA5:BA41" si="18">SUM(AZ5-AZ4)/100</f>
        <v>16869.72</v>
      </c>
      <c r="BB5" s="33">
        <f t="shared" ref="BB5:BB41" si="19">SUM(AY5-BA5)</f>
        <v>6375.2799999999988</v>
      </c>
      <c r="BC5" s="17">
        <v>7133400</v>
      </c>
      <c r="BD5" s="89">
        <f t="shared" ref="BD5:BD41" si="20">SUM(BC5-BC4)</f>
        <v>400</v>
      </c>
      <c r="BE5" s="53">
        <v>3791400</v>
      </c>
      <c r="BF5" s="54">
        <f t="shared" ref="BF5:BF41" si="21">SUM(BE5-BE4)</f>
        <v>200</v>
      </c>
      <c r="BG5" s="17">
        <v>1133187</v>
      </c>
      <c r="BH5" s="33">
        <f t="shared" ref="BH5:BH41" si="22">SUM(BG5-BG4)</f>
        <v>10</v>
      </c>
    </row>
    <row r="6" spans="2:60" s="58" customFormat="1" x14ac:dyDescent="0.25">
      <c r="B6" s="45">
        <v>44571</v>
      </c>
      <c r="C6" s="127">
        <v>47434585</v>
      </c>
      <c r="D6" s="127"/>
      <c r="E6" s="33">
        <f t="shared" si="0"/>
        <v>1132930</v>
      </c>
      <c r="F6" s="127">
        <v>5755598</v>
      </c>
      <c r="G6" s="127"/>
      <c r="H6" s="33">
        <f t="shared" si="1"/>
        <v>140270</v>
      </c>
      <c r="I6" s="127">
        <v>18208</v>
      </c>
      <c r="J6" s="127"/>
      <c r="K6" s="33">
        <f t="shared" si="2"/>
        <v>210</v>
      </c>
      <c r="L6" s="127">
        <v>344442</v>
      </c>
      <c r="M6" s="127"/>
      <c r="N6" s="33">
        <f t="shared" si="3"/>
        <v>781000</v>
      </c>
      <c r="O6" s="127">
        <v>21853</v>
      </c>
      <c r="P6" s="127"/>
      <c r="Q6" s="33">
        <f t="shared" si="4"/>
        <v>38800</v>
      </c>
      <c r="R6" s="29"/>
      <c r="S6" s="123">
        <v>807780</v>
      </c>
      <c r="T6" s="124"/>
      <c r="U6" s="33">
        <f t="shared" si="5"/>
        <v>251200</v>
      </c>
      <c r="V6" s="127">
        <v>855610</v>
      </c>
      <c r="W6" s="127"/>
      <c r="X6" s="33">
        <f t="shared" ref="X6:X64" si="23">SUM(V6-V5)*100</f>
        <v>1482000</v>
      </c>
      <c r="Y6" s="32">
        <f t="shared" ref="Y6:Y64" si="24">SUM(U6+X6)</f>
        <v>1733200</v>
      </c>
      <c r="Z6" s="30"/>
      <c r="AA6" s="17">
        <v>26017</v>
      </c>
      <c r="AB6" s="33">
        <f t="shared" si="8"/>
        <v>1280000</v>
      </c>
      <c r="AC6" s="17">
        <v>704260000</v>
      </c>
      <c r="AD6" s="33">
        <f t="shared" si="9"/>
        <v>317370</v>
      </c>
      <c r="AE6" s="33"/>
      <c r="AF6" s="80"/>
      <c r="AG6" s="17">
        <v>120876</v>
      </c>
      <c r="AH6" s="33">
        <f t="shared" si="10"/>
        <v>2720</v>
      </c>
      <c r="AI6" s="17">
        <v>3726339</v>
      </c>
      <c r="AJ6" s="33">
        <f t="shared" si="11"/>
        <v>38660</v>
      </c>
      <c r="AK6" s="17">
        <v>4613682</v>
      </c>
      <c r="AL6" s="33">
        <f t="shared" si="12"/>
        <v>12265</v>
      </c>
      <c r="AM6" s="17">
        <v>25699</v>
      </c>
      <c r="AN6" s="33">
        <f t="shared" si="13"/>
        <v>198000</v>
      </c>
      <c r="AO6" s="17">
        <v>1312</v>
      </c>
      <c r="AP6" s="33">
        <f t="shared" si="14"/>
        <v>17</v>
      </c>
      <c r="AQ6" s="17">
        <v>13405</v>
      </c>
      <c r="AR6" s="33">
        <f t="shared" si="15"/>
        <v>2800</v>
      </c>
      <c r="AS6" s="31"/>
      <c r="AT6" s="57">
        <f t="shared" ref="AT6:AT64" si="25">B6</f>
        <v>44571</v>
      </c>
      <c r="AU6" s="17">
        <v>4230</v>
      </c>
      <c r="AV6" s="33">
        <f t="shared" si="16"/>
        <v>130</v>
      </c>
      <c r="AW6" s="14"/>
      <c r="AX6" s="17">
        <v>2183224</v>
      </c>
      <c r="AY6" s="33">
        <f t="shared" si="17"/>
        <v>51321</v>
      </c>
      <c r="AZ6" s="17">
        <v>658272252</v>
      </c>
      <c r="BA6" s="34">
        <f t="shared" si="18"/>
        <v>39555.5</v>
      </c>
      <c r="BB6" s="33">
        <f t="shared" si="19"/>
        <v>11765.5</v>
      </c>
      <c r="BC6" s="17">
        <v>7138700</v>
      </c>
      <c r="BD6" s="89">
        <f t="shared" si="20"/>
        <v>5300</v>
      </c>
      <c r="BE6" s="53">
        <v>3791700</v>
      </c>
      <c r="BF6" s="54">
        <f t="shared" si="21"/>
        <v>300</v>
      </c>
      <c r="BG6" s="17">
        <v>1133232</v>
      </c>
      <c r="BH6" s="33">
        <f t="shared" si="22"/>
        <v>45</v>
      </c>
    </row>
    <row r="7" spans="2:60" s="58" customFormat="1" x14ac:dyDescent="0.25">
      <c r="B7" s="45">
        <v>44578</v>
      </c>
      <c r="C7" s="127">
        <v>47541571</v>
      </c>
      <c r="D7" s="127"/>
      <c r="E7" s="33">
        <f t="shared" si="0"/>
        <v>1069860</v>
      </c>
      <c r="F7" s="127">
        <v>5765249</v>
      </c>
      <c r="G7" s="127"/>
      <c r="H7" s="33">
        <f t="shared" si="1"/>
        <v>96510</v>
      </c>
      <c r="I7" s="127">
        <v>18248</v>
      </c>
      <c r="J7" s="127"/>
      <c r="K7" s="33">
        <f t="shared" si="2"/>
        <v>400</v>
      </c>
      <c r="L7" s="127">
        <v>345151</v>
      </c>
      <c r="M7" s="127"/>
      <c r="N7" s="33">
        <f t="shared" si="3"/>
        <v>709000</v>
      </c>
      <c r="O7" s="127">
        <v>22245</v>
      </c>
      <c r="P7" s="127"/>
      <c r="Q7" s="33">
        <f t="shared" si="4"/>
        <v>39200</v>
      </c>
      <c r="R7" s="29"/>
      <c r="S7" s="123">
        <v>810263</v>
      </c>
      <c r="T7" s="124"/>
      <c r="U7" s="33">
        <f t="shared" si="5"/>
        <v>248300</v>
      </c>
      <c r="V7" s="127">
        <v>874623</v>
      </c>
      <c r="W7" s="127"/>
      <c r="X7" s="33">
        <f t="shared" si="23"/>
        <v>1901300</v>
      </c>
      <c r="Y7" s="32">
        <f t="shared" si="24"/>
        <v>2149600</v>
      </c>
      <c r="Z7" s="30"/>
      <c r="AA7" s="17">
        <v>26115</v>
      </c>
      <c r="AB7" s="33">
        <f t="shared" si="8"/>
        <v>980000</v>
      </c>
      <c r="AC7" s="17">
        <v>706872598</v>
      </c>
      <c r="AD7" s="33">
        <f t="shared" si="9"/>
        <v>261259.80000000002</v>
      </c>
      <c r="AE7" s="33"/>
      <c r="AF7" s="80"/>
      <c r="AG7" s="17">
        <v>121126</v>
      </c>
      <c r="AH7" s="33">
        <f t="shared" si="10"/>
        <v>2500</v>
      </c>
      <c r="AI7" s="17">
        <v>3728247</v>
      </c>
      <c r="AJ7" s="33">
        <f t="shared" si="11"/>
        <v>19080</v>
      </c>
      <c r="AK7" s="17">
        <v>4627029</v>
      </c>
      <c r="AL7" s="33">
        <f t="shared" si="12"/>
        <v>13347</v>
      </c>
      <c r="AM7" s="17">
        <v>25915</v>
      </c>
      <c r="AN7" s="33">
        <f t="shared" si="13"/>
        <v>216000</v>
      </c>
      <c r="AO7" s="17">
        <v>1331</v>
      </c>
      <c r="AP7" s="33">
        <f t="shared" si="14"/>
        <v>19</v>
      </c>
      <c r="AQ7" s="17">
        <v>13437</v>
      </c>
      <c r="AR7" s="33">
        <f t="shared" si="15"/>
        <v>3200</v>
      </c>
      <c r="AS7" s="31"/>
      <c r="AT7" s="57">
        <f t="shared" si="25"/>
        <v>44578</v>
      </c>
      <c r="AU7" s="17">
        <v>4331</v>
      </c>
      <c r="AV7" s="33">
        <f t="shared" si="16"/>
        <v>101</v>
      </c>
      <c r="AW7" s="14"/>
      <c r="AX7" s="17">
        <v>2234949</v>
      </c>
      <c r="AY7" s="33">
        <f t="shared" si="17"/>
        <v>51725</v>
      </c>
      <c r="AZ7" s="17">
        <v>662223408</v>
      </c>
      <c r="BA7" s="34">
        <f t="shared" si="18"/>
        <v>39511.56</v>
      </c>
      <c r="BB7" s="33">
        <f t="shared" si="19"/>
        <v>12213.440000000002</v>
      </c>
      <c r="BC7" s="17">
        <v>7143200</v>
      </c>
      <c r="BD7" s="89">
        <f t="shared" si="20"/>
        <v>4500</v>
      </c>
      <c r="BE7" s="53">
        <v>3792000</v>
      </c>
      <c r="BF7" s="54">
        <f t="shared" si="21"/>
        <v>300</v>
      </c>
      <c r="BG7" s="17">
        <v>1133316</v>
      </c>
      <c r="BH7" s="33">
        <f t="shared" si="22"/>
        <v>84</v>
      </c>
    </row>
    <row r="8" spans="2:60" s="58" customFormat="1" x14ac:dyDescent="0.25">
      <c r="B8" s="45">
        <v>44585</v>
      </c>
      <c r="C8" s="127">
        <v>47648684</v>
      </c>
      <c r="D8" s="127"/>
      <c r="E8" s="33">
        <f t="shared" si="0"/>
        <v>1071130</v>
      </c>
      <c r="F8" s="127">
        <v>5771687</v>
      </c>
      <c r="G8" s="127"/>
      <c r="H8" s="33">
        <f t="shared" si="1"/>
        <v>64380</v>
      </c>
      <c r="I8" s="127">
        <v>18296</v>
      </c>
      <c r="J8" s="127"/>
      <c r="K8" s="33">
        <f t="shared" si="2"/>
        <v>480</v>
      </c>
      <c r="L8" s="127">
        <v>345901</v>
      </c>
      <c r="M8" s="127"/>
      <c r="N8" s="33">
        <f t="shared" si="3"/>
        <v>750000</v>
      </c>
      <c r="O8" s="127">
        <v>22594</v>
      </c>
      <c r="P8" s="127"/>
      <c r="Q8" s="33">
        <f t="shared" si="4"/>
        <v>34900</v>
      </c>
      <c r="R8" s="29"/>
      <c r="S8" s="123">
        <v>812966</v>
      </c>
      <c r="T8" s="124"/>
      <c r="U8" s="33">
        <f t="shared" si="5"/>
        <v>270300</v>
      </c>
      <c r="V8" s="127">
        <v>895060</v>
      </c>
      <c r="W8" s="127"/>
      <c r="X8" s="33">
        <f t="shared" si="23"/>
        <v>2043700</v>
      </c>
      <c r="Y8" s="32">
        <f t="shared" si="24"/>
        <v>2314000</v>
      </c>
      <c r="Z8" s="30"/>
      <c r="AA8" s="17">
        <v>26186</v>
      </c>
      <c r="AB8" s="33">
        <f t="shared" si="8"/>
        <v>710000</v>
      </c>
      <c r="AC8" s="17">
        <v>708723000</v>
      </c>
      <c r="AD8" s="33">
        <f t="shared" si="9"/>
        <v>185040.2</v>
      </c>
      <c r="AE8" s="33"/>
      <c r="AF8" s="80"/>
      <c r="AG8" s="17">
        <v>121459</v>
      </c>
      <c r="AH8" s="33">
        <f t="shared" si="10"/>
        <v>3330</v>
      </c>
      <c r="AI8" s="17">
        <v>3734808</v>
      </c>
      <c r="AJ8" s="33">
        <f t="shared" si="11"/>
        <v>65610</v>
      </c>
      <c r="AK8" s="17">
        <v>4637231</v>
      </c>
      <c r="AL8" s="33">
        <f t="shared" si="12"/>
        <v>10202</v>
      </c>
      <c r="AM8" s="17">
        <v>26049</v>
      </c>
      <c r="AN8" s="33">
        <f t="shared" si="13"/>
        <v>134000</v>
      </c>
      <c r="AO8" s="17">
        <v>1351</v>
      </c>
      <c r="AP8" s="33">
        <f t="shared" si="14"/>
        <v>20</v>
      </c>
      <c r="AQ8" s="17">
        <v>13464</v>
      </c>
      <c r="AR8" s="33">
        <f t="shared" si="15"/>
        <v>2700</v>
      </c>
      <c r="AS8" s="31"/>
      <c r="AT8" s="57">
        <f t="shared" si="25"/>
        <v>44585</v>
      </c>
      <c r="AU8" s="17">
        <v>4475</v>
      </c>
      <c r="AV8" s="33">
        <f t="shared" si="16"/>
        <v>144</v>
      </c>
      <c r="AW8" s="14"/>
      <c r="AX8" s="17">
        <v>2286500</v>
      </c>
      <c r="AY8" s="33">
        <f t="shared" si="17"/>
        <v>51551</v>
      </c>
      <c r="AZ8" s="17">
        <v>666250250</v>
      </c>
      <c r="BA8" s="34">
        <f t="shared" si="18"/>
        <v>40268.42</v>
      </c>
      <c r="BB8" s="33">
        <f t="shared" si="19"/>
        <v>11282.580000000002</v>
      </c>
      <c r="BC8" s="17">
        <v>7145500</v>
      </c>
      <c r="BD8" s="89">
        <f t="shared" si="20"/>
        <v>2300</v>
      </c>
      <c r="BE8" s="53">
        <v>3792300</v>
      </c>
      <c r="BF8" s="54">
        <f t="shared" si="21"/>
        <v>300</v>
      </c>
      <c r="BG8" s="17">
        <v>1133316</v>
      </c>
      <c r="BH8" s="33">
        <f t="shared" si="22"/>
        <v>0</v>
      </c>
    </row>
    <row r="9" spans="2:60" s="58" customFormat="1" x14ac:dyDescent="0.25">
      <c r="B9" s="45">
        <v>44592</v>
      </c>
      <c r="C9" s="127">
        <v>47742689</v>
      </c>
      <c r="D9" s="127"/>
      <c r="E9" s="33">
        <f t="shared" si="0"/>
        <v>940050</v>
      </c>
      <c r="F9" s="127">
        <v>5772478</v>
      </c>
      <c r="G9" s="127"/>
      <c r="H9" s="33">
        <f t="shared" si="1"/>
        <v>7910</v>
      </c>
      <c r="I9" s="127">
        <v>18310</v>
      </c>
      <c r="J9" s="127"/>
      <c r="K9" s="33">
        <f t="shared" si="2"/>
        <v>140</v>
      </c>
      <c r="L9" s="127">
        <v>346448</v>
      </c>
      <c r="M9" s="127"/>
      <c r="N9" s="33">
        <f t="shared" si="3"/>
        <v>547000</v>
      </c>
      <c r="O9" s="127">
        <v>22960</v>
      </c>
      <c r="P9" s="127"/>
      <c r="Q9" s="33">
        <f t="shared" si="4"/>
        <v>36600</v>
      </c>
      <c r="R9" s="29"/>
      <c r="S9" s="123">
        <v>815475</v>
      </c>
      <c r="T9" s="124"/>
      <c r="U9" s="33">
        <f t="shared" si="5"/>
        <v>250900</v>
      </c>
      <c r="V9" s="127">
        <v>916450</v>
      </c>
      <c r="W9" s="127"/>
      <c r="X9" s="33">
        <f t="shared" si="23"/>
        <v>2139000</v>
      </c>
      <c r="Y9" s="32">
        <f t="shared" si="24"/>
        <v>2389900</v>
      </c>
      <c r="Z9" s="30"/>
      <c r="AA9" s="17">
        <v>26235</v>
      </c>
      <c r="AB9" s="33">
        <f t="shared" si="8"/>
        <v>490000</v>
      </c>
      <c r="AC9" s="17">
        <v>710150718</v>
      </c>
      <c r="AD9" s="33">
        <f t="shared" si="9"/>
        <v>142771.80000000002</v>
      </c>
      <c r="AE9" s="33"/>
      <c r="AF9" s="80"/>
      <c r="AG9" s="17">
        <v>121688</v>
      </c>
      <c r="AH9" s="33">
        <f t="shared" si="10"/>
        <v>2290</v>
      </c>
      <c r="AI9" s="17">
        <v>3739930</v>
      </c>
      <c r="AJ9" s="33">
        <f t="shared" si="11"/>
        <v>51220</v>
      </c>
      <c r="AK9" s="17">
        <v>4649110</v>
      </c>
      <c r="AL9" s="33">
        <f t="shared" si="12"/>
        <v>11879</v>
      </c>
      <c r="AM9" s="17">
        <v>26261</v>
      </c>
      <c r="AN9" s="33">
        <f t="shared" si="13"/>
        <v>212000</v>
      </c>
      <c r="AO9" s="17">
        <v>1377</v>
      </c>
      <c r="AP9" s="33">
        <f t="shared" si="14"/>
        <v>26</v>
      </c>
      <c r="AQ9" s="17">
        <v>13495</v>
      </c>
      <c r="AR9" s="33">
        <f t="shared" si="15"/>
        <v>3100</v>
      </c>
      <c r="AS9" s="31"/>
      <c r="AT9" s="57">
        <f t="shared" si="25"/>
        <v>44592</v>
      </c>
      <c r="AU9" s="17">
        <v>4662</v>
      </c>
      <c r="AV9" s="33">
        <f t="shared" si="16"/>
        <v>187</v>
      </c>
      <c r="AW9" s="14"/>
      <c r="AX9" s="17">
        <v>2338432</v>
      </c>
      <c r="AY9" s="33">
        <f t="shared" si="17"/>
        <v>51932</v>
      </c>
      <c r="AZ9" s="17">
        <v>670240809</v>
      </c>
      <c r="BA9" s="34">
        <f t="shared" si="18"/>
        <v>39905.589999999997</v>
      </c>
      <c r="BB9" s="33">
        <f t="shared" si="19"/>
        <v>12026.410000000003</v>
      </c>
      <c r="BC9" s="17">
        <v>7148700</v>
      </c>
      <c r="BD9" s="89">
        <f t="shared" si="20"/>
        <v>3200</v>
      </c>
      <c r="BE9" s="53">
        <v>3792600</v>
      </c>
      <c r="BF9" s="54">
        <f t="shared" si="21"/>
        <v>300</v>
      </c>
      <c r="BG9" s="17">
        <v>1133474</v>
      </c>
      <c r="BH9" s="33">
        <f t="shared" si="22"/>
        <v>158</v>
      </c>
    </row>
    <row r="10" spans="2:60" s="58" customFormat="1" x14ac:dyDescent="0.25">
      <c r="B10" s="45">
        <v>44599</v>
      </c>
      <c r="C10" s="127">
        <v>47852173</v>
      </c>
      <c r="D10" s="127"/>
      <c r="E10" s="33">
        <f t="shared" si="0"/>
        <v>1094840</v>
      </c>
      <c r="F10" s="127">
        <v>5782056</v>
      </c>
      <c r="G10" s="127"/>
      <c r="H10" s="33">
        <f t="shared" si="1"/>
        <v>95780</v>
      </c>
      <c r="I10" s="127">
        <v>18354</v>
      </c>
      <c r="J10" s="127"/>
      <c r="K10" s="33">
        <f t="shared" si="2"/>
        <v>440</v>
      </c>
      <c r="L10" s="127">
        <v>347178</v>
      </c>
      <c r="M10" s="127"/>
      <c r="N10" s="33">
        <f t="shared" si="3"/>
        <v>730000</v>
      </c>
      <c r="O10" s="127">
        <v>23343</v>
      </c>
      <c r="P10" s="127"/>
      <c r="Q10" s="33">
        <f t="shared" si="4"/>
        <v>38300</v>
      </c>
      <c r="R10" s="29"/>
      <c r="S10" s="123">
        <v>817983</v>
      </c>
      <c r="T10" s="124"/>
      <c r="U10" s="33">
        <f t="shared" si="5"/>
        <v>250800</v>
      </c>
      <c r="V10" s="127">
        <v>932930</v>
      </c>
      <c r="W10" s="127"/>
      <c r="X10" s="33">
        <f t="shared" si="23"/>
        <v>1648000</v>
      </c>
      <c r="Y10" s="32">
        <f t="shared" si="24"/>
        <v>1898800</v>
      </c>
      <c r="Z10" s="30"/>
      <c r="AA10" s="17">
        <v>26357</v>
      </c>
      <c r="AB10" s="33">
        <f t="shared" si="8"/>
        <v>1220000</v>
      </c>
      <c r="AC10" s="17">
        <v>713146100</v>
      </c>
      <c r="AD10" s="33">
        <f t="shared" si="9"/>
        <v>299538.2</v>
      </c>
      <c r="AE10" s="33"/>
      <c r="AF10" s="80"/>
      <c r="AG10" s="17">
        <v>122038</v>
      </c>
      <c r="AH10" s="33">
        <f t="shared" si="10"/>
        <v>3500</v>
      </c>
      <c r="AI10" s="17">
        <v>3746365</v>
      </c>
      <c r="AJ10" s="33">
        <f t="shared" si="11"/>
        <v>64350</v>
      </c>
      <c r="AK10" s="17">
        <v>4661514</v>
      </c>
      <c r="AL10" s="33">
        <f t="shared" si="12"/>
        <v>12404</v>
      </c>
      <c r="AM10" s="17">
        <v>26431</v>
      </c>
      <c r="AN10" s="33">
        <f t="shared" si="13"/>
        <v>170000</v>
      </c>
      <c r="AO10" s="17">
        <v>1390</v>
      </c>
      <c r="AP10" s="33">
        <f t="shared" si="14"/>
        <v>13</v>
      </c>
      <c r="AQ10" s="17">
        <v>13522</v>
      </c>
      <c r="AR10" s="33">
        <f t="shared" si="15"/>
        <v>2700</v>
      </c>
      <c r="AS10" s="31"/>
      <c r="AT10" s="57">
        <f t="shared" si="25"/>
        <v>44599</v>
      </c>
      <c r="AU10" s="17">
        <v>4787</v>
      </c>
      <c r="AV10" s="33">
        <f t="shared" si="16"/>
        <v>125</v>
      </c>
      <c r="AW10" s="14"/>
      <c r="AX10" s="17">
        <v>2388520</v>
      </c>
      <c r="AY10" s="33">
        <f t="shared" si="17"/>
        <v>50088</v>
      </c>
      <c r="AZ10" s="17">
        <v>674138636</v>
      </c>
      <c r="BA10" s="34">
        <f t="shared" si="18"/>
        <v>38978.269999999997</v>
      </c>
      <c r="BB10" s="33">
        <f t="shared" si="19"/>
        <v>11109.730000000003</v>
      </c>
      <c r="BC10" s="17">
        <v>7151100</v>
      </c>
      <c r="BD10" s="89">
        <f t="shared" si="20"/>
        <v>2400</v>
      </c>
      <c r="BE10" s="53">
        <v>3793000</v>
      </c>
      <c r="BF10" s="54">
        <f t="shared" si="21"/>
        <v>400</v>
      </c>
      <c r="BG10" s="17">
        <v>1133527</v>
      </c>
      <c r="BH10" s="33">
        <f t="shared" si="22"/>
        <v>53</v>
      </c>
    </row>
    <row r="11" spans="2:60" s="58" customFormat="1" x14ac:dyDescent="0.25">
      <c r="B11" s="45">
        <v>44606</v>
      </c>
      <c r="C11" s="127">
        <v>47958101</v>
      </c>
      <c r="D11" s="127"/>
      <c r="E11" s="33">
        <f t="shared" si="0"/>
        <v>1059280</v>
      </c>
      <c r="F11" s="127">
        <v>5789125</v>
      </c>
      <c r="G11" s="127"/>
      <c r="H11" s="33">
        <f t="shared" si="1"/>
        <v>70690</v>
      </c>
      <c r="I11" s="127">
        <v>18386</v>
      </c>
      <c r="J11" s="127"/>
      <c r="K11" s="33">
        <f t="shared" si="2"/>
        <v>320</v>
      </c>
      <c r="L11" s="127">
        <v>347864</v>
      </c>
      <c r="M11" s="127"/>
      <c r="N11" s="33">
        <f t="shared" si="3"/>
        <v>686000</v>
      </c>
      <c r="O11" s="127">
        <v>23722</v>
      </c>
      <c r="P11" s="127"/>
      <c r="Q11" s="33">
        <f t="shared" si="4"/>
        <v>37900</v>
      </c>
      <c r="R11" s="29"/>
      <c r="S11" s="123">
        <v>820428</v>
      </c>
      <c r="T11" s="124"/>
      <c r="U11" s="33">
        <f t="shared" si="5"/>
        <v>244500</v>
      </c>
      <c r="V11" s="127">
        <v>941330</v>
      </c>
      <c r="W11" s="127"/>
      <c r="X11" s="33">
        <f t="shared" si="23"/>
        <v>840000</v>
      </c>
      <c r="Y11" s="32">
        <f t="shared" si="24"/>
        <v>1084500</v>
      </c>
      <c r="Z11" s="30"/>
      <c r="AA11" s="17">
        <v>26434</v>
      </c>
      <c r="AB11" s="33">
        <f t="shared" si="8"/>
        <v>770000</v>
      </c>
      <c r="AC11" s="17">
        <v>715499900</v>
      </c>
      <c r="AD11" s="33">
        <f t="shared" si="9"/>
        <v>235380</v>
      </c>
      <c r="AE11" s="33"/>
      <c r="AF11" s="80"/>
      <c r="AG11" s="17">
        <v>122657</v>
      </c>
      <c r="AH11" s="33">
        <f t="shared" si="10"/>
        <v>6190</v>
      </c>
      <c r="AI11" s="17">
        <v>3754099</v>
      </c>
      <c r="AJ11" s="33">
        <f t="shared" si="11"/>
        <v>77340</v>
      </c>
      <c r="AK11" s="17">
        <v>4673016</v>
      </c>
      <c r="AL11" s="33">
        <f t="shared" si="12"/>
        <v>11502</v>
      </c>
      <c r="AM11" s="17">
        <v>26612</v>
      </c>
      <c r="AN11" s="33">
        <f t="shared" si="13"/>
        <v>181000</v>
      </c>
      <c r="AO11" s="17">
        <v>1410</v>
      </c>
      <c r="AP11" s="33">
        <f t="shared" si="14"/>
        <v>20</v>
      </c>
      <c r="AQ11" s="17">
        <v>13541</v>
      </c>
      <c r="AR11" s="33">
        <f t="shared" si="15"/>
        <v>1900</v>
      </c>
      <c r="AS11" s="31"/>
      <c r="AT11" s="57">
        <f t="shared" si="25"/>
        <v>44606</v>
      </c>
      <c r="AU11" s="17">
        <v>4931</v>
      </c>
      <c r="AV11" s="33">
        <f t="shared" si="16"/>
        <v>144</v>
      </c>
      <c r="AW11" s="14"/>
      <c r="AX11" s="17">
        <v>2438476</v>
      </c>
      <c r="AY11" s="33">
        <f t="shared" si="17"/>
        <v>49956</v>
      </c>
      <c r="AZ11" s="17">
        <v>678105032</v>
      </c>
      <c r="BA11" s="34">
        <f t="shared" si="18"/>
        <v>39663.96</v>
      </c>
      <c r="BB11" s="33">
        <f t="shared" si="19"/>
        <v>10292.040000000001</v>
      </c>
      <c r="BC11" s="17">
        <v>7154700</v>
      </c>
      <c r="BD11" s="89">
        <f t="shared" si="20"/>
        <v>3600</v>
      </c>
      <c r="BE11" s="53">
        <v>3793300</v>
      </c>
      <c r="BF11" s="54">
        <f t="shared" si="21"/>
        <v>300</v>
      </c>
      <c r="BG11" s="17">
        <v>1133535</v>
      </c>
      <c r="BH11" s="33">
        <f t="shared" si="22"/>
        <v>8</v>
      </c>
    </row>
    <row r="12" spans="2:60" s="58" customFormat="1" x14ac:dyDescent="0.25">
      <c r="B12" s="45">
        <v>44613</v>
      </c>
      <c r="C12" s="127">
        <v>48094151</v>
      </c>
      <c r="D12" s="127"/>
      <c r="E12" s="33">
        <f t="shared" si="0"/>
        <v>1360500</v>
      </c>
      <c r="F12" s="127">
        <v>5800451</v>
      </c>
      <c r="G12" s="127"/>
      <c r="H12" s="33">
        <f t="shared" si="1"/>
        <v>113260</v>
      </c>
      <c r="I12" s="127">
        <v>18417</v>
      </c>
      <c r="J12" s="127"/>
      <c r="K12" s="33">
        <f t="shared" si="2"/>
        <v>310</v>
      </c>
      <c r="L12" s="127">
        <v>348848</v>
      </c>
      <c r="M12" s="127"/>
      <c r="N12" s="33">
        <f t="shared" si="3"/>
        <v>984000</v>
      </c>
      <c r="O12" s="123">
        <v>24008</v>
      </c>
      <c r="P12" s="124"/>
      <c r="Q12" s="33">
        <f t="shared" si="4"/>
        <v>28600</v>
      </c>
      <c r="R12" s="29"/>
      <c r="S12" s="123">
        <v>823082</v>
      </c>
      <c r="T12" s="124"/>
      <c r="U12" s="33">
        <f t="shared" si="5"/>
        <v>265400</v>
      </c>
      <c r="V12" s="127">
        <v>967120</v>
      </c>
      <c r="W12" s="127"/>
      <c r="X12" s="33">
        <f t="shared" si="23"/>
        <v>2579000</v>
      </c>
      <c r="Y12" s="32">
        <f t="shared" si="24"/>
        <v>2844400</v>
      </c>
      <c r="Z12" s="30"/>
      <c r="AA12" s="17">
        <v>26584</v>
      </c>
      <c r="AB12" s="33">
        <f t="shared" si="8"/>
        <v>1500000</v>
      </c>
      <c r="AC12" s="17">
        <v>719363661</v>
      </c>
      <c r="AD12" s="33">
        <f t="shared" si="9"/>
        <v>386376.10000000003</v>
      </c>
      <c r="AE12" s="33"/>
      <c r="AF12" s="80"/>
      <c r="AG12" s="17">
        <v>123151</v>
      </c>
      <c r="AH12" s="33">
        <f t="shared" si="10"/>
        <v>4940</v>
      </c>
      <c r="AI12" s="17">
        <v>3762884</v>
      </c>
      <c r="AJ12" s="33">
        <f t="shared" si="11"/>
        <v>87850</v>
      </c>
      <c r="AK12" s="17">
        <v>4684322</v>
      </c>
      <c r="AL12" s="33">
        <f t="shared" si="12"/>
        <v>11306</v>
      </c>
      <c r="AM12" s="17">
        <v>26748</v>
      </c>
      <c r="AN12" s="33">
        <f t="shared" si="13"/>
        <v>136000</v>
      </c>
      <c r="AO12" s="17">
        <v>1423</v>
      </c>
      <c r="AP12" s="33">
        <f t="shared" si="14"/>
        <v>13</v>
      </c>
      <c r="AQ12" s="17">
        <v>13569</v>
      </c>
      <c r="AR12" s="33">
        <f t="shared" si="15"/>
        <v>2800</v>
      </c>
      <c r="AS12" s="31"/>
      <c r="AT12" s="57">
        <f t="shared" si="25"/>
        <v>44613</v>
      </c>
      <c r="AU12" s="17">
        <v>5056</v>
      </c>
      <c r="AV12" s="33">
        <f t="shared" si="16"/>
        <v>125</v>
      </c>
      <c r="AW12" s="14"/>
      <c r="AX12" s="17">
        <v>2491361</v>
      </c>
      <c r="AY12" s="33">
        <f t="shared" si="17"/>
        <v>52885</v>
      </c>
      <c r="AZ12" s="17">
        <v>682011196</v>
      </c>
      <c r="BA12" s="34">
        <f t="shared" si="18"/>
        <v>39061.64</v>
      </c>
      <c r="BB12" s="33">
        <f t="shared" si="19"/>
        <v>13823.36</v>
      </c>
      <c r="BC12" s="17">
        <v>7157800</v>
      </c>
      <c r="BD12" s="89">
        <f t="shared" si="20"/>
        <v>3100</v>
      </c>
      <c r="BE12" s="53">
        <v>3793600</v>
      </c>
      <c r="BF12" s="54">
        <f t="shared" si="21"/>
        <v>300</v>
      </c>
      <c r="BG12" s="17">
        <v>1133568</v>
      </c>
      <c r="BH12" s="33">
        <f t="shared" si="22"/>
        <v>33</v>
      </c>
    </row>
    <row r="13" spans="2:60" s="58" customFormat="1" x14ac:dyDescent="0.25">
      <c r="B13" s="45">
        <v>44620</v>
      </c>
      <c r="C13" s="127">
        <v>48239930</v>
      </c>
      <c r="D13" s="127"/>
      <c r="E13" s="33">
        <f t="shared" si="0"/>
        <v>1457790</v>
      </c>
      <c r="F13" s="127">
        <v>5814733</v>
      </c>
      <c r="G13" s="127"/>
      <c r="H13" s="33">
        <f t="shared" si="1"/>
        <v>142820</v>
      </c>
      <c r="I13" s="127">
        <v>18532</v>
      </c>
      <c r="J13" s="127"/>
      <c r="K13" s="33">
        <f t="shared" si="2"/>
        <v>1150</v>
      </c>
      <c r="L13" s="127">
        <v>349944</v>
      </c>
      <c r="M13" s="127"/>
      <c r="N13" s="33">
        <f t="shared" si="3"/>
        <v>1096000</v>
      </c>
      <c r="O13" s="123">
        <v>24271</v>
      </c>
      <c r="P13" s="124"/>
      <c r="Q13" s="33">
        <f t="shared" si="4"/>
        <v>26300</v>
      </c>
      <c r="R13" s="29"/>
      <c r="S13" s="123">
        <v>825621</v>
      </c>
      <c r="T13" s="124"/>
      <c r="U13" s="33">
        <f t="shared" si="5"/>
        <v>253900</v>
      </c>
      <c r="V13" s="127">
        <v>977388</v>
      </c>
      <c r="W13" s="127"/>
      <c r="X13" s="33">
        <f t="shared" si="23"/>
        <v>1026800</v>
      </c>
      <c r="Y13" s="32">
        <f t="shared" si="24"/>
        <v>1280700</v>
      </c>
      <c r="Z13" s="30"/>
      <c r="AA13" s="17">
        <v>26816</v>
      </c>
      <c r="AB13" s="33">
        <f t="shared" si="8"/>
        <v>2320000</v>
      </c>
      <c r="AC13" s="17">
        <v>725657085</v>
      </c>
      <c r="AD13" s="33">
        <f t="shared" si="9"/>
        <v>629342.4</v>
      </c>
      <c r="AE13" s="33"/>
      <c r="AF13" s="80"/>
      <c r="AG13" s="17">
        <v>123546</v>
      </c>
      <c r="AH13" s="33">
        <f t="shared" si="10"/>
        <v>3950</v>
      </c>
      <c r="AI13" s="17">
        <v>3772685</v>
      </c>
      <c r="AJ13" s="33">
        <f t="shared" si="11"/>
        <v>98010</v>
      </c>
      <c r="AK13" s="17">
        <v>4697719</v>
      </c>
      <c r="AL13" s="33">
        <f t="shared" si="12"/>
        <v>13397</v>
      </c>
      <c r="AM13" s="17">
        <v>26860</v>
      </c>
      <c r="AN13" s="33">
        <f t="shared" si="13"/>
        <v>112000</v>
      </c>
      <c r="AO13" s="17">
        <v>1434</v>
      </c>
      <c r="AP13" s="33">
        <f t="shared" si="14"/>
        <v>11</v>
      </c>
      <c r="AQ13" s="17">
        <v>13589</v>
      </c>
      <c r="AR13" s="33">
        <f t="shared" si="15"/>
        <v>2000</v>
      </c>
      <c r="AS13" s="31"/>
      <c r="AT13" s="57">
        <f t="shared" si="25"/>
        <v>44620</v>
      </c>
      <c r="AU13" s="17">
        <v>5176</v>
      </c>
      <c r="AV13" s="33">
        <f t="shared" si="16"/>
        <v>120</v>
      </c>
      <c r="AW13" s="14"/>
      <c r="AX13" s="17">
        <v>2542007</v>
      </c>
      <c r="AY13" s="33">
        <f t="shared" si="17"/>
        <v>50646</v>
      </c>
      <c r="AZ13" s="17">
        <v>685908256</v>
      </c>
      <c r="BA13" s="34">
        <f t="shared" si="18"/>
        <v>38970.6</v>
      </c>
      <c r="BB13" s="33">
        <f t="shared" si="19"/>
        <v>11675.400000000001</v>
      </c>
      <c r="BC13" s="17">
        <v>7159500</v>
      </c>
      <c r="BD13" s="89">
        <f t="shared" si="20"/>
        <v>1700</v>
      </c>
      <c r="BE13" s="53">
        <v>3794100</v>
      </c>
      <c r="BF13" s="54">
        <f t="shared" si="21"/>
        <v>500</v>
      </c>
      <c r="BG13" s="17">
        <v>1133594</v>
      </c>
      <c r="BH13" s="33">
        <f t="shared" si="22"/>
        <v>26</v>
      </c>
    </row>
    <row r="14" spans="2:60" s="72" customFormat="1" x14ac:dyDescent="0.25">
      <c r="B14" s="45">
        <v>44627</v>
      </c>
      <c r="C14" s="127">
        <v>48370220</v>
      </c>
      <c r="D14" s="127"/>
      <c r="E14" s="33">
        <f t="shared" si="0"/>
        <v>1302900</v>
      </c>
      <c r="F14" s="127">
        <v>5828755</v>
      </c>
      <c r="G14" s="127"/>
      <c r="H14" s="33">
        <f t="shared" si="1"/>
        <v>140220</v>
      </c>
      <c r="I14" s="127">
        <v>18558</v>
      </c>
      <c r="J14" s="127"/>
      <c r="K14" s="33">
        <f t="shared" si="2"/>
        <v>260</v>
      </c>
      <c r="L14" s="127">
        <v>350993</v>
      </c>
      <c r="M14" s="127"/>
      <c r="N14" s="33">
        <f t="shared" si="3"/>
        <v>1049000</v>
      </c>
      <c r="O14" s="123">
        <v>24331</v>
      </c>
      <c r="P14" s="124"/>
      <c r="Q14" s="33">
        <f t="shared" si="4"/>
        <v>6000</v>
      </c>
      <c r="R14" s="29"/>
      <c r="S14" s="123">
        <v>828132</v>
      </c>
      <c r="T14" s="124"/>
      <c r="U14" s="33">
        <f t="shared" si="5"/>
        <v>251100</v>
      </c>
      <c r="V14" s="127">
        <v>989770</v>
      </c>
      <c r="W14" s="127"/>
      <c r="X14" s="33">
        <f t="shared" si="23"/>
        <v>1238200</v>
      </c>
      <c r="Y14" s="32">
        <f t="shared" si="24"/>
        <v>1489300</v>
      </c>
      <c r="Z14" s="30"/>
      <c r="AA14" s="17">
        <v>26975</v>
      </c>
      <c r="AB14" s="33">
        <f t="shared" si="8"/>
        <v>1590000</v>
      </c>
      <c r="AC14" s="17">
        <v>729173212</v>
      </c>
      <c r="AD14" s="33">
        <f t="shared" si="9"/>
        <v>351612.7</v>
      </c>
      <c r="AE14" s="33"/>
      <c r="AF14" s="80"/>
      <c r="AG14" s="17">
        <v>123875</v>
      </c>
      <c r="AH14" s="33">
        <f t="shared" si="10"/>
        <v>3290</v>
      </c>
      <c r="AI14" s="17">
        <v>3781080</v>
      </c>
      <c r="AJ14" s="33">
        <f t="shared" si="11"/>
        <v>83950</v>
      </c>
      <c r="AK14" s="17">
        <v>4711070</v>
      </c>
      <c r="AL14" s="33">
        <f t="shared" si="12"/>
        <v>13351</v>
      </c>
      <c r="AM14" s="17">
        <v>26946</v>
      </c>
      <c r="AN14" s="33">
        <f t="shared" si="13"/>
        <v>86000</v>
      </c>
      <c r="AO14" s="17">
        <v>1447</v>
      </c>
      <c r="AP14" s="33">
        <f t="shared" si="14"/>
        <v>13</v>
      </c>
      <c r="AQ14" s="17">
        <v>13618</v>
      </c>
      <c r="AR14" s="33">
        <f t="shared" si="15"/>
        <v>2900</v>
      </c>
      <c r="AS14" s="88"/>
      <c r="AT14" s="57">
        <f t="shared" si="25"/>
        <v>44627</v>
      </c>
      <c r="AU14" s="17">
        <v>5283</v>
      </c>
      <c r="AV14" s="33">
        <f t="shared" si="16"/>
        <v>107</v>
      </c>
      <c r="AW14" s="14"/>
      <c r="AX14" s="17">
        <v>2596357</v>
      </c>
      <c r="AY14" s="33">
        <f t="shared" si="17"/>
        <v>54350</v>
      </c>
      <c r="AZ14" s="17">
        <v>689783397</v>
      </c>
      <c r="BA14" s="34">
        <f t="shared" si="18"/>
        <v>38751.410000000003</v>
      </c>
      <c r="BB14" s="33">
        <f t="shared" si="19"/>
        <v>15598.589999999997</v>
      </c>
      <c r="BC14" s="17">
        <v>7162700</v>
      </c>
      <c r="BD14" s="89">
        <f t="shared" si="20"/>
        <v>3200</v>
      </c>
      <c r="BE14" s="53">
        <v>3794950</v>
      </c>
      <c r="BF14" s="54">
        <f t="shared" si="21"/>
        <v>850</v>
      </c>
      <c r="BG14" s="17">
        <v>1133602</v>
      </c>
      <c r="BH14" s="33">
        <f t="shared" si="22"/>
        <v>8</v>
      </c>
    </row>
    <row r="15" spans="2:60" s="58" customFormat="1" x14ac:dyDescent="0.25">
      <c r="B15" s="45">
        <v>44634</v>
      </c>
      <c r="C15" s="127">
        <v>48491861</v>
      </c>
      <c r="D15" s="127"/>
      <c r="E15" s="33">
        <f t="shared" si="0"/>
        <v>1216410</v>
      </c>
      <c r="F15" s="127">
        <v>5833144</v>
      </c>
      <c r="G15" s="127"/>
      <c r="H15" s="33">
        <f t="shared" si="1"/>
        <v>43890</v>
      </c>
      <c r="I15" s="127">
        <v>18582</v>
      </c>
      <c r="J15" s="127"/>
      <c r="K15" s="33">
        <f t="shared" si="2"/>
        <v>240</v>
      </c>
      <c r="L15" s="127">
        <v>351974</v>
      </c>
      <c r="M15" s="127"/>
      <c r="N15" s="33">
        <f t="shared" si="3"/>
        <v>981000</v>
      </c>
      <c r="O15" s="123">
        <v>24899</v>
      </c>
      <c r="P15" s="124"/>
      <c r="Q15" s="33">
        <f t="shared" si="4"/>
        <v>56800</v>
      </c>
      <c r="R15" s="29"/>
      <c r="S15" s="123">
        <v>830742</v>
      </c>
      <c r="T15" s="124"/>
      <c r="U15" s="33">
        <f t="shared" si="5"/>
        <v>261000</v>
      </c>
      <c r="V15" s="127">
        <v>90</v>
      </c>
      <c r="W15" s="127"/>
      <c r="X15" s="33">
        <v>1032000</v>
      </c>
      <c r="Y15" s="32">
        <f t="shared" si="24"/>
        <v>1293000</v>
      </c>
      <c r="Z15" s="30"/>
      <c r="AA15" s="17">
        <v>27187</v>
      </c>
      <c r="AB15" s="33">
        <f t="shared" si="8"/>
        <v>2120000</v>
      </c>
      <c r="AC15" s="17">
        <v>734542000</v>
      </c>
      <c r="AD15" s="33">
        <f t="shared" si="9"/>
        <v>536878.80000000005</v>
      </c>
      <c r="AE15" s="33"/>
      <c r="AF15" s="80"/>
      <c r="AG15" s="17">
        <v>124026</v>
      </c>
      <c r="AH15" s="33">
        <f t="shared" si="10"/>
        <v>1510</v>
      </c>
      <c r="AI15" s="17">
        <v>3787191</v>
      </c>
      <c r="AJ15" s="33">
        <f t="shared" si="11"/>
        <v>61110</v>
      </c>
      <c r="AK15" s="17">
        <v>4718580</v>
      </c>
      <c r="AL15" s="33">
        <f t="shared" si="12"/>
        <v>7510</v>
      </c>
      <c r="AM15" s="17">
        <v>26954</v>
      </c>
      <c r="AN15" s="33">
        <f t="shared" si="13"/>
        <v>8000</v>
      </c>
      <c r="AO15" s="17">
        <v>1459</v>
      </c>
      <c r="AP15" s="33">
        <f t="shared" si="14"/>
        <v>12</v>
      </c>
      <c r="AQ15" s="17">
        <v>13645</v>
      </c>
      <c r="AR15" s="33">
        <f t="shared" si="15"/>
        <v>2700</v>
      </c>
      <c r="AS15" s="31"/>
      <c r="AT15" s="57">
        <f t="shared" si="25"/>
        <v>44634</v>
      </c>
      <c r="AU15" s="17">
        <v>5411</v>
      </c>
      <c r="AV15" s="33">
        <f t="shared" si="16"/>
        <v>128</v>
      </c>
      <c r="AW15" s="14"/>
      <c r="AX15" s="17">
        <v>2652013</v>
      </c>
      <c r="AY15" s="33">
        <f t="shared" si="17"/>
        <v>55656</v>
      </c>
      <c r="AZ15" s="17">
        <v>694141331</v>
      </c>
      <c r="BA15" s="34">
        <f t="shared" si="18"/>
        <v>43579.34</v>
      </c>
      <c r="BB15" s="33">
        <f t="shared" si="19"/>
        <v>12076.660000000003</v>
      </c>
      <c r="BC15" s="17">
        <v>7165200</v>
      </c>
      <c r="BD15" s="89">
        <f t="shared" si="20"/>
        <v>2500</v>
      </c>
      <c r="BE15" s="53">
        <v>3794950</v>
      </c>
      <c r="BF15" s="54">
        <f t="shared" si="21"/>
        <v>0</v>
      </c>
      <c r="BG15" s="17">
        <v>1133602</v>
      </c>
      <c r="BH15" s="33">
        <f t="shared" si="22"/>
        <v>0</v>
      </c>
    </row>
    <row r="16" spans="2:60" s="58" customFormat="1" x14ac:dyDescent="0.25">
      <c r="B16" s="45">
        <v>44641</v>
      </c>
      <c r="C16" s="127">
        <v>48624954</v>
      </c>
      <c r="D16" s="127"/>
      <c r="E16" s="33">
        <f t="shared" si="0"/>
        <v>1330930</v>
      </c>
      <c r="F16" s="127">
        <v>5844439</v>
      </c>
      <c r="G16" s="127"/>
      <c r="H16" s="33">
        <f t="shared" si="1"/>
        <v>112950</v>
      </c>
      <c r="I16" s="127">
        <v>18610</v>
      </c>
      <c r="J16" s="127"/>
      <c r="K16" s="33">
        <f t="shared" si="2"/>
        <v>280</v>
      </c>
      <c r="L16" s="127">
        <v>353062</v>
      </c>
      <c r="M16" s="127"/>
      <c r="N16" s="33">
        <f t="shared" si="3"/>
        <v>1088000</v>
      </c>
      <c r="O16" s="123">
        <v>25185</v>
      </c>
      <c r="P16" s="124"/>
      <c r="Q16" s="33">
        <f t="shared" si="4"/>
        <v>28600</v>
      </c>
      <c r="R16" s="29"/>
      <c r="S16" s="123">
        <v>833299</v>
      </c>
      <c r="T16" s="124"/>
      <c r="U16" s="33">
        <f t="shared" si="5"/>
        <v>255700</v>
      </c>
      <c r="V16" s="127">
        <v>1071</v>
      </c>
      <c r="W16" s="127"/>
      <c r="X16" s="33">
        <f t="shared" si="23"/>
        <v>98100</v>
      </c>
      <c r="Y16" s="32">
        <f t="shared" si="24"/>
        <v>353800</v>
      </c>
      <c r="Z16" s="30"/>
      <c r="AA16" s="17">
        <v>27383</v>
      </c>
      <c r="AB16" s="33">
        <f t="shared" si="8"/>
        <v>1960000</v>
      </c>
      <c r="AC16" s="17">
        <v>738919800</v>
      </c>
      <c r="AD16" s="33">
        <f t="shared" si="9"/>
        <v>437780</v>
      </c>
      <c r="AE16" s="33"/>
      <c r="AF16" s="80"/>
      <c r="AG16" s="17">
        <v>124149</v>
      </c>
      <c r="AH16" s="33">
        <f t="shared" si="10"/>
        <v>1230</v>
      </c>
      <c r="AI16" s="17">
        <v>3795711</v>
      </c>
      <c r="AJ16" s="33">
        <f t="shared" si="11"/>
        <v>85200</v>
      </c>
      <c r="AK16" s="17">
        <v>4726417</v>
      </c>
      <c r="AL16" s="33">
        <f t="shared" si="12"/>
        <v>7837</v>
      </c>
      <c r="AM16" s="17">
        <v>27007</v>
      </c>
      <c r="AN16" s="33">
        <f t="shared" si="13"/>
        <v>53000</v>
      </c>
      <c r="AO16" s="17">
        <v>1468</v>
      </c>
      <c r="AP16" s="33">
        <f t="shared" si="14"/>
        <v>9</v>
      </c>
      <c r="AQ16" s="17">
        <v>13658</v>
      </c>
      <c r="AR16" s="33">
        <f t="shared" si="15"/>
        <v>1300</v>
      </c>
      <c r="AS16" s="31"/>
      <c r="AT16" s="57">
        <f t="shared" si="25"/>
        <v>44641</v>
      </c>
      <c r="AU16" s="17">
        <v>5510</v>
      </c>
      <c r="AV16" s="33">
        <f t="shared" si="16"/>
        <v>99</v>
      </c>
      <c r="AW16" s="14"/>
      <c r="AX16" s="17">
        <v>2697562</v>
      </c>
      <c r="AY16" s="33">
        <f t="shared" si="17"/>
        <v>45549</v>
      </c>
      <c r="AZ16" s="17">
        <v>697511469</v>
      </c>
      <c r="BA16" s="34">
        <f t="shared" si="18"/>
        <v>33701.379999999997</v>
      </c>
      <c r="BB16" s="33">
        <f t="shared" si="19"/>
        <v>11847.620000000003</v>
      </c>
      <c r="BC16" s="17">
        <v>7167100</v>
      </c>
      <c r="BD16" s="89">
        <f t="shared" si="20"/>
        <v>1900</v>
      </c>
      <c r="BE16" s="53">
        <v>3795200</v>
      </c>
      <c r="BF16" s="54">
        <f t="shared" si="21"/>
        <v>250</v>
      </c>
      <c r="BG16" s="17">
        <v>1133602</v>
      </c>
      <c r="BH16" s="33">
        <f t="shared" si="22"/>
        <v>0</v>
      </c>
    </row>
    <row r="17" spans="2:60" s="58" customFormat="1" x14ac:dyDescent="0.25">
      <c r="B17" s="45">
        <v>44648</v>
      </c>
      <c r="C17" s="127">
        <v>48755342</v>
      </c>
      <c r="D17" s="127"/>
      <c r="E17" s="33">
        <f t="shared" si="0"/>
        <v>1303880</v>
      </c>
      <c r="F17" s="127">
        <v>5853332</v>
      </c>
      <c r="G17" s="127"/>
      <c r="H17" s="33">
        <f t="shared" si="1"/>
        <v>88930</v>
      </c>
      <c r="I17" s="127">
        <v>18632</v>
      </c>
      <c r="J17" s="127"/>
      <c r="K17" s="33">
        <f t="shared" si="2"/>
        <v>220</v>
      </c>
      <c r="L17" s="127">
        <v>354090</v>
      </c>
      <c r="M17" s="127"/>
      <c r="N17" s="33">
        <f t="shared" si="3"/>
        <v>1028000</v>
      </c>
      <c r="O17" s="123">
        <v>25487</v>
      </c>
      <c r="P17" s="124"/>
      <c r="Q17" s="33">
        <f t="shared" si="4"/>
        <v>30200</v>
      </c>
      <c r="R17" s="29"/>
      <c r="S17" s="123">
        <v>835892</v>
      </c>
      <c r="T17" s="124"/>
      <c r="U17" s="33">
        <f t="shared" si="5"/>
        <v>259300</v>
      </c>
      <c r="V17" s="127">
        <v>2224</v>
      </c>
      <c r="W17" s="127"/>
      <c r="X17" s="33">
        <f t="shared" si="23"/>
        <v>115300</v>
      </c>
      <c r="Y17" s="32">
        <f t="shared" si="24"/>
        <v>374600</v>
      </c>
      <c r="Z17" s="30"/>
      <c r="AA17" s="17">
        <v>27554</v>
      </c>
      <c r="AB17" s="33">
        <f t="shared" si="8"/>
        <v>1710000</v>
      </c>
      <c r="AC17" s="17">
        <v>743070400</v>
      </c>
      <c r="AD17" s="33">
        <f t="shared" si="9"/>
        <v>415060</v>
      </c>
      <c r="AE17" s="33"/>
      <c r="AF17" s="80"/>
      <c r="AG17" s="17">
        <v>124596</v>
      </c>
      <c r="AH17" s="33">
        <f t="shared" si="10"/>
        <v>4470</v>
      </c>
      <c r="AI17" s="17">
        <v>3805365</v>
      </c>
      <c r="AJ17" s="33">
        <f t="shared" si="11"/>
        <v>96540</v>
      </c>
      <c r="AK17" s="17">
        <v>4739445</v>
      </c>
      <c r="AL17" s="33">
        <f t="shared" si="12"/>
        <v>13028</v>
      </c>
      <c r="AM17" s="17">
        <v>27066</v>
      </c>
      <c r="AN17" s="33">
        <f t="shared" si="13"/>
        <v>59000</v>
      </c>
      <c r="AO17" s="17">
        <v>1482</v>
      </c>
      <c r="AP17" s="33">
        <f t="shared" si="14"/>
        <v>14</v>
      </c>
      <c r="AQ17" s="17">
        <v>13684</v>
      </c>
      <c r="AR17" s="33">
        <f t="shared" si="15"/>
        <v>2600</v>
      </c>
      <c r="AS17" s="31"/>
      <c r="AT17" s="57">
        <f t="shared" si="25"/>
        <v>44648</v>
      </c>
      <c r="AU17" s="17">
        <v>5619</v>
      </c>
      <c r="AV17" s="33">
        <f t="shared" si="16"/>
        <v>109</v>
      </c>
      <c r="AW17" s="14"/>
      <c r="AX17" s="17">
        <v>2749878</v>
      </c>
      <c r="AY17" s="33">
        <f t="shared" si="17"/>
        <v>52316</v>
      </c>
      <c r="AZ17" s="17">
        <v>701421714</v>
      </c>
      <c r="BA17" s="34">
        <f t="shared" si="18"/>
        <v>39102.449999999997</v>
      </c>
      <c r="BB17" s="33">
        <f t="shared" si="19"/>
        <v>13213.550000000003</v>
      </c>
      <c r="BC17" s="17">
        <v>7171800</v>
      </c>
      <c r="BD17" s="89">
        <f t="shared" si="20"/>
        <v>4700</v>
      </c>
      <c r="BE17" s="53">
        <v>3795500</v>
      </c>
      <c r="BF17" s="54">
        <f t="shared" si="21"/>
        <v>300</v>
      </c>
      <c r="BG17" s="17">
        <v>1133603</v>
      </c>
      <c r="BH17" s="33">
        <f t="shared" si="22"/>
        <v>1</v>
      </c>
    </row>
    <row r="18" spans="2:60" s="58" customFormat="1" x14ac:dyDescent="0.25">
      <c r="B18" s="45">
        <v>44651</v>
      </c>
      <c r="C18" s="127">
        <v>48840516</v>
      </c>
      <c r="D18" s="127"/>
      <c r="E18" s="33">
        <f t="shared" si="0"/>
        <v>851740</v>
      </c>
      <c r="F18" s="127">
        <v>5859771</v>
      </c>
      <c r="G18" s="127"/>
      <c r="H18" s="33">
        <f t="shared" si="1"/>
        <v>64390</v>
      </c>
      <c r="I18" s="127">
        <v>18656</v>
      </c>
      <c r="J18" s="127"/>
      <c r="K18" s="33">
        <f t="shared" si="2"/>
        <v>240</v>
      </c>
      <c r="L18" s="127">
        <v>354733</v>
      </c>
      <c r="M18" s="127"/>
      <c r="N18" s="33">
        <f t="shared" si="3"/>
        <v>643000</v>
      </c>
      <c r="O18" s="123">
        <v>25689</v>
      </c>
      <c r="P18" s="124"/>
      <c r="Q18" s="33">
        <f t="shared" si="4"/>
        <v>20200</v>
      </c>
      <c r="R18" s="29"/>
      <c r="S18" s="123">
        <v>837470</v>
      </c>
      <c r="T18" s="124"/>
      <c r="U18" s="33">
        <f t="shared" si="5"/>
        <v>157800</v>
      </c>
      <c r="V18" s="127">
        <v>2846</v>
      </c>
      <c r="W18" s="127"/>
      <c r="X18" s="33">
        <f t="shared" si="23"/>
        <v>62200</v>
      </c>
      <c r="Y18" s="32">
        <f t="shared" si="24"/>
        <v>220000</v>
      </c>
      <c r="Z18" s="30"/>
      <c r="AA18" s="17">
        <v>27677</v>
      </c>
      <c r="AB18" s="33">
        <f t="shared" si="8"/>
        <v>1230000</v>
      </c>
      <c r="AC18" s="17">
        <v>745822300</v>
      </c>
      <c r="AD18" s="33">
        <f t="shared" si="9"/>
        <v>275190</v>
      </c>
      <c r="AE18" s="33"/>
      <c r="AF18" s="80"/>
      <c r="AG18" s="17">
        <v>124923</v>
      </c>
      <c r="AH18" s="33">
        <f t="shared" si="10"/>
        <v>3270</v>
      </c>
      <c r="AI18" s="17">
        <v>3812934</v>
      </c>
      <c r="AJ18" s="33">
        <f t="shared" si="11"/>
        <v>75690</v>
      </c>
      <c r="AK18" s="17">
        <v>4751604</v>
      </c>
      <c r="AL18" s="33">
        <f t="shared" si="12"/>
        <v>12159</v>
      </c>
      <c r="AM18" s="17">
        <v>27119</v>
      </c>
      <c r="AN18" s="33">
        <f t="shared" si="13"/>
        <v>53000</v>
      </c>
      <c r="AO18" s="17">
        <v>1490</v>
      </c>
      <c r="AP18" s="33">
        <f t="shared" si="14"/>
        <v>8</v>
      </c>
      <c r="AQ18" s="17">
        <v>13699</v>
      </c>
      <c r="AR18" s="33">
        <f t="shared" si="15"/>
        <v>1500</v>
      </c>
      <c r="AS18" s="31"/>
      <c r="AT18" s="57">
        <f t="shared" si="25"/>
        <v>44651</v>
      </c>
      <c r="AU18" s="17">
        <v>5671</v>
      </c>
      <c r="AV18" s="33">
        <f t="shared" si="16"/>
        <v>52</v>
      </c>
      <c r="AW18" s="14"/>
      <c r="AX18" s="17">
        <v>2778133</v>
      </c>
      <c r="AY18" s="33">
        <f t="shared" si="17"/>
        <v>28255</v>
      </c>
      <c r="AZ18" s="17">
        <v>702580699</v>
      </c>
      <c r="BA18" s="34">
        <f t="shared" si="18"/>
        <v>11589.85</v>
      </c>
      <c r="BB18" s="33">
        <f t="shared" si="19"/>
        <v>16665.150000000001</v>
      </c>
      <c r="BC18" s="17">
        <v>7173100</v>
      </c>
      <c r="BD18" s="89">
        <f t="shared" si="20"/>
        <v>1300</v>
      </c>
      <c r="BE18" s="53">
        <v>3795800</v>
      </c>
      <c r="BF18" s="54">
        <f t="shared" si="21"/>
        <v>300</v>
      </c>
      <c r="BG18" s="17">
        <v>1133605</v>
      </c>
      <c r="BH18" s="33">
        <f t="shared" si="22"/>
        <v>2</v>
      </c>
    </row>
    <row r="19" spans="2:60" s="58" customFormat="1" x14ac:dyDescent="0.25">
      <c r="B19" s="45">
        <v>44655</v>
      </c>
      <c r="C19" s="127">
        <v>48885087</v>
      </c>
      <c r="D19" s="127"/>
      <c r="E19" s="33">
        <f t="shared" si="0"/>
        <v>445710</v>
      </c>
      <c r="F19" s="127">
        <v>5859771</v>
      </c>
      <c r="G19" s="127"/>
      <c r="H19" s="33">
        <f t="shared" si="1"/>
        <v>0</v>
      </c>
      <c r="I19" s="127">
        <v>18661</v>
      </c>
      <c r="J19" s="127"/>
      <c r="K19" s="33">
        <f t="shared" si="2"/>
        <v>50</v>
      </c>
      <c r="L19" s="127">
        <v>355117</v>
      </c>
      <c r="M19" s="127"/>
      <c r="N19" s="33">
        <f t="shared" si="3"/>
        <v>384000</v>
      </c>
      <c r="O19" s="123">
        <v>25806</v>
      </c>
      <c r="P19" s="124"/>
      <c r="Q19" s="33">
        <f t="shared" si="4"/>
        <v>11700</v>
      </c>
      <c r="R19" s="29"/>
      <c r="S19" s="123">
        <v>838450</v>
      </c>
      <c r="T19" s="124"/>
      <c r="U19" s="33">
        <f t="shared" si="5"/>
        <v>98000</v>
      </c>
      <c r="V19" s="127">
        <v>3156</v>
      </c>
      <c r="W19" s="127"/>
      <c r="X19" s="33">
        <f t="shared" si="23"/>
        <v>31000</v>
      </c>
      <c r="Y19" s="32">
        <f t="shared" si="24"/>
        <v>129000</v>
      </c>
      <c r="Z19" s="30"/>
      <c r="AA19" s="17">
        <v>27755</v>
      </c>
      <c r="AB19" s="33">
        <f t="shared" si="8"/>
        <v>780000</v>
      </c>
      <c r="AC19" s="17">
        <v>747699000</v>
      </c>
      <c r="AD19" s="33">
        <f t="shared" si="9"/>
        <v>187670</v>
      </c>
      <c r="AE19" s="33"/>
      <c r="AF19" s="80"/>
      <c r="AG19" s="17">
        <v>124953</v>
      </c>
      <c r="AH19" s="33">
        <f t="shared" si="10"/>
        <v>300</v>
      </c>
      <c r="AI19" s="17">
        <v>3814469</v>
      </c>
      <c r="AJ19" s="33">
        <f t="shared" si="11"/>
        <v>15350</v>
      </c>
      <c r="AK19" s="17">
        <v>4751604</v>
      </c>
      <c r="AL19" s="33">
        <f t="shared" si="12"/>
        <v>0</v>
      </c>
      <c r="AM19" s="17">
        <v>27135</v>
      </c>
      <c r="AN19" s="33">
        <f t="shared" si="13"/>
        <v>16000</v>
      </c>
      <c r="AO19" s="17">
        <v>1495</v>
      </c>
      <c r="AP19" s="33">
        <f t="shared" si="14"/>
        <v>5</v>
      </c>
      <c r="AQ19" s="17">
        <v>13706</v>
      </c>
      <c r="AR19" s="33">
        <f t="shared" si="15"/>
        <v>700</v>
      </c>
      <c r="AS19" s="31"/>
      <c r="AT19" s="57">
        <f t="shared" si="25"/>
        <v>44655</v>
      </c>
      <c r="AU19" s="17">
        <v>5721</v>
      </c>
      <c r="AV19" s="33">
        <f t="shared" si="16"/>
        <v>50</v>
      </c>
      <c r="AW19" s="14"/>
      <c r="AX19" s="17">
        <v>2800029</v>
      </c>
      <c r="AY19" s="33">
        <f t="shared" si="17"/>
        <v>21896</v>
      </c>
      <c r="AZ19" s="17">
        <v>705281767</v>
      </c>
      <c r="BA19" s="34">
        <f t="shared" si="18"/>
        <v>27010.68</v>
      </c>
      <c r="BB19" s="33">
        <f t="shared" si="19"/>
        <v>-5114.68</v>
      </c>
      <c r="BC19" s="17">
        <v>7174300</v>
      </c>
      <c r="BD19" s="89">
        <f t="shared" si="20"/>
        <v>1200</v>
      </c>
      <c r="BE19" s="53">
        <v>3795900</v>
      </c>
      <c r="BF19" s="54">
        <f t="shared" si="21"/>
        <v>100</v>
      </c>
      <c r="BG19" s="17">
        <v>1133605</v>
      </c>
      <c r="BH19" s="33">
        <f t="shared" si="22"/>
        <v>0</v>
      </c>
    </row>
    <row r="20" spans="2:60" s="58" customFormat="1" x14ac:dyDescent="0.25">
      <c r="B20" s="45">
        <v>44662</v>
      </c>
      <c r="C20" s="127">
        <v>49013641</v>
      </c>
      <c r="D20" s="127"/>
      <c r="E20" s="33">
        <f t="shared" si="0"/>
        <v>1285540</v>
      </c>
      <c r="F20" s="127">
        <v>5867918</v>
      </c>
      <c r="G20" s="127"/>
      <c r="H20" s="33">
        <f t="shared" si="1"/>
        <v>81470</v>
      </c>
      <c r="I20" s="127">
        <v>18685</v>
      </c>
      <c r="J20" s="127"/>
      <c r="K20" s="33">
        <f t="shared" si="2"/>
        <v>240</v>
      </c>
      <c r="L20" s="127">
        <v>356102</v>
      </c>
      <c r="M20" s="127"/>
      <c r="N20" s="33">
        <f t="shared" si="3"/>
        <v>985000</v>
      </c>
      <c r="O20" s="123">
        <v>26102</v>
      </c>
      <c r="P20" s="124"/>
      <c r="Q20" s="33">
        <f t="shared" si="4"/>
        <v>29600</v>
      </c>
      <c r="R20" s="29"/>
      <c r="S20" s="123">
        <v>840781</v>
      </c>
      <c r="T20" s="124"/>
      <c r="U20" s="33">
        <f t="shared" si="5"/>
        <v>233100</v>
      </c>
      <c r="V20" s="127">
        <v>4234</v>
      </c>
      <c r="W20" s="127"/>
      <c r="X20" s="33">
        <f t="shared" si="23"/>
        <v>107800</v>
      </c>
      <c r="Y20" s="32">
        <f t="shared" si="24"/>
        <v>340900</v>
      </c>
      <c r="Z20" s="30"/>
      <c r="AA20" s="17">
        <v>27928</v>
      </c>
      <c r="AB20" s="33">
        <f t="shared" si="8"/>
        <v>1730000</v>
      </c>
      <c r="AC20" s="17">
        <v>751860100</v>
      </c>
      <c r="AD20" s="33">
        <f t="shared" si="9"/>
        <v>416110</v>
      </c>
      <c r="AE20" s="33"/>
      <c r="AF20" s="80"/>
      <c r="AG20" s="17">
        <v>125254</v>
      </c>
      <c r="AH20" s="33">
        <f t="shared" si="10"/>
        <v>3010</v>
      </c>
      <c r="AI20" s="17">
        <v>3822890</v>
      </c>
      <c r="AJ20" s="33">
        <f t="shared" si="11"/>
        <v>84210</v>
      </c>
      <c r="AK20" s="17">
        <v>4765671</v>
      </c>
      <c r="AL20" s="33">
        <f t="shared" si="12"/>
        <v>14067</v>
      </c>
      <c r="AM20" s="17">
        <v>27218</v>
      </c>
      <c r="AN20" s="33">
        <f t="shared" si="13"/>
        <v>83000</v>
      </c>
      <c r="AO20" s="17">
        <v>1509</v>
      </c>
      <c r="AP20" s="33">
        <f t="shared" si="14"/>
        <v>14</v>
      </c>
      <c r="AQ20" s="17">
        <v>13729</v>
      </c>
      <c r="AR20" s="33">
        <f t="shared" si="15"/>
        <v>2300</v>
      </c>
      <c r="AS20" s="31"/>
      <c r="AT20" s="57">
        <f t="shared" si="25"/>
        <v>44662</v>
      </c>
      <c r="AU20" s="17">
        <v>5828</v>
      </c>
      <c r="AV20" s="33">
        <f t="shared" si="16"/>
        <v>107</v>
      </c>
      <c r="AW20" s="14"/>
      <c r="AX20" s="17">
        <v>2852906</v>
      </c>
      <c r="AY20" s="33">
        <f t="shared" si="17"/>
        <v>52877</v>
      </c>
      <c r="AZ20" s="17">
        <v>709254196</v>
      </c>
      <c r="BA20" s="34">
        <f t="shared" si="18"/>
        <v>39724.29</v>
      </c>
      <c r="BB20" s="33">
        <f t="shared" si="19"/>
        <v>13152.71</v>
      </c>
      <c r="BC20" s="17">
        <v>7176800</v>
      </c>
      <c r="BD20" s="89">
        <f t="shared" si="20"/>
        <v>2500</v>
      </c>
      <c r="BE20" s="53">
        <v>3796300</v>
      </c>
      <c r="BF20" s="54">
        <f t="shared" si="21"/>
        <v>400</v>
      </c>
      <c r="BG20" s="17">
        <v>1133605</v>
      </c>
      <c r="BH20" s="33">
        <f t="shared" si="22"/>
        <v>0</v>
      </c>
    </row>
    <row r="21" spans="2:60" s="58" customFormat="1" x14ac:dyDescent="0.25">
      <c r="B21" s="45">
        <v>44669</v>
      </c>
      <c r="C21" s="127">
        <v>49158782</v>
      </c>
      <c r="D21" s="127"/>
      <c r="E21" s="33">
        <f t="shared" si="0"/>
        <v>1451410</v>
      </c>
      <c r="F21" s="127">
        <v>5874428</v>
      </c>
      <c r="G21" s="127"/>
      <c r="H21" s="33">
        <f t="shared" si="1"/>
        <v>65100</v>
      </c>
      <c r="I21" s="127">
        <v>18708</v>
      </c>
      <c r="J21" s="127"/>
      <c r="K21" s="33">
        <f t="shared" si="2"/>
        <v>230</v>
      </c>
      <c r="L21" s="127">
        <v>357196</v>
      </c>
      <c r="M21" s="127"/>
      <c r="N21" s="33">
        <f t="shared" si="3"/>
        <v>1094000</v>
      </c>
      <c r="O21" s="123">
        <v>26412</v>
      </c>
      <c r="P21" s="124"/>
      <c r="Q21" s="33">
        <f t="shared" si="4"/>
        <v>31000</v>
      </c>
      <c r="R21" s="29"/>
      <c r="S21" s="123">
        <v>843226</v>
      </c>
      <c r="T21" s="124"/>
      <c r="U21" s="33">
        <f t="shared" si="5"/>
        <v>244500</v>
      </c>
      <c r="V21" s="127">
        <v>5073</v>
      </c>
      <c r="W21" s="127"/>
      <c r="X21" s="33">
        <f t="shared" si="23"/>
        <v>83900</v>
      </c>
      <c r="Y21" s="32">
        <f t="shared" si="24"/>
        <v>328400</v>
      </c>
      <c r="Z21" s="30"/>
      <c r="AA21" s="17">
        <v>28147</v>
      </c>
      <c r="AB21" s="33">
        <f t="shared" si="8"/>
        <v>2190000</v>
      </c>
      <c r="AC21" s="17">
        <v>756277200</v>
      </c>
      <c r="AD21" s="33">
        <f t="shared" si="9"/>
        <v>441710</v>
      </c>
      <c r="AE21" s="33"/>
      <c r="AF21" s="80"/>
      <c r="AG21" s="17">
        <v>125724</v>
      </c>
      <c r="AH21" s="33">
        <f t="shared" si="10"/>
        <v>4700</v>
      </c>
      <c r="AI21" s="17">
        <v>3832560</v>
      </c>
      <c r="AJ21" s="33">
        <f t="shared" si="11"/>
        <v>96700</v>
      </c>
      <c r="AK21" s="17">
        <v>4776476</v>
      </c>
      <c r="AL21" s="33">
        <f t="shared" si="12"/>
        <v>10805</v>
      </c>
      <c r="AM21" s="17">
        <v>27339</v>
      </c>
      <c r="AN21" s="33">
        <f t="shared" si="13"/>
        <v>121000</v>
      </c>
      <c r="AO21" s="17">
        <v>1521</v>
      </c>
      <c r="AP21" s="33">
        <f t="shared" si="14"/>
        <v>12</v>
      </c>
      <c r="AQ21" s="17">
        <v>13757</v>
      </c>
      <c r="AR21" s="33">
        <f t="shared" si="15"/>
        <v>2800</v>
      </c>
      <c r="AS21" s="31"/>
      <c r="AT21" s="57">
        <f t="shared" si="25"/>
        <v>44669</v>
      </c>
      <c r="AU21" s="17">
        <v>5937</v>
      </c>
      <c r="AV21" s="33">
        <f t="shared" si="16"/>
        <v>109</v>
      </c>
      <c r="AW21" s="14"/>
      <c r="AX21" s="17">
        <v>2902803</v>
      </c>
      <c r="AY21" s="33">
        <f t="shared" si="17"/>
        <v>49897</v>
      </c>
      <c r="AZ21" s="17">
        <v>712840350</v>
      </c>
      <c r="BA21" s="34">
        <f t="shared" si="18"/>
        <v>35861.54</v>
      </c>
      <c r="BB21" s="33">
        <f t="shared" si="19"/>
        <v>14035.46</v>
      </c>
      <c r="BC21" s="17">
        <v>7182400</v>
      </c>
      <c r="BD21" s="89">
        <f t="shared" si="20"/>
        <v>5600</v>
      </c>
      <c r="BE21" s="53">
        <v>3796600</v>
      </c>
      <c r="BF21" s="54">
        <f t="shared" si="21"/>
        <v>300</v>
      </c>
      <c r="BG21" s="17">
        <v>1133605</v>
      </c>
      <c r="BH21" s="33">
        <f t="shared" si="22"/>
        <v>0</v>
      </c>
    </row>
    <row r="22" spans="2:60" s="58" customFormat="1" x14ac:dyDescent="0.25">
      <c r="B22" s="45">
        <v>44676</v>
      </c>
      <c r="C22" s="127">
        <v>49297214</v>
      </c>
      <c r="D22" s="127"/>
      <c r="E22" s="33">
        <f t="shared" si="0"/>
        <v>1384320</v>
      </c>
      <c r="F22" s="127">
        <v>5886594</v>
      </c>
      <c r="G22" s="127"/>
      <c r="H22" s="33">
        <f t="shared" si="1"/>
        <v>121660</v>
      </c>
      <c r="I22" s="127">
        <v>18745</v>
      </c>
      <c r="J22" s="127"/>
      <c r="K22" s="33">
        <f t="shared" si="2"/>
        <v>370</v>
      </c>
      <c r="L22" s="127">
        <v>358315</v>
      </c>
      <c r="M22" s="127"/>
      <c r="N22" s="33">
        <f t="shared" si="3"/>
        <v>1119000</v>
      </c>
      <c r="O22" s="123">
        <v>26762</v>
      </c>
      <c r="P22" s="124"/>
      <c r="Q22" s="33">
        <f t="shared" si="4"/>
        <v>35000</v>
      </c>
      <c r="R22" s="29"/>
      <c r="S22" s="123">
        <v>845742</v>
      </c>
      <c r="T22" s="124"/>
      <c r="U22" s="33">
        <f t="shared" si="5"/>
        <v>251600</v>
      </c>
      <c r="V22" s="127">
        <v>6137</v>
      </c>
      <c r="W22" s="127"/>
      <c r="X22" s="33">
        <f t="shared" si="23"/>
        <v>106400</v>
      </c>
      <c r="Y22" s="32">
        <f t="shared" si="24"/>
        <v>358000</v>
      </c>
      <c r="Z22" s="30"/>
      <c r="AA22" s="17">
        <v>28364</v>
      </c>
      <c r="AB22" s="33">
        <f t="shared" si="8"/>
        <v>2170000</v>
      </c>
      <c r="AC22" s="17">
        <v>761346100</v>
      </c>
      <c r="AD22" s="33">
        <f t="shared" si="9"/>
        <v>506890</v>
      </c>
      <c r="AE22" s="33"/>
      <c r="AF22" s="80"/>
      <c r="AG22" s="17">
        <v>126102</v>
      </c>
      <c r="AH22" s="33">
        <f t="shared" si="10"/>
        <v>3780</v>
      </c>
      <c r="AI22" s="17">
        <v>3841916</v>
      </c>
      <c r="AJ22" s="33">
        <f t="shared" si="11"/>
        <v>93560</v>
      </c>
      <c r="AK22" s="17">
        <v>4795112</v>
      </c>
      <c r="AL22" s="33">
        <f t="shared" si="12"/>
        <v>18636</v>
      </c>
      <c r="AM22" s="17">
        <v>27421</v>
      </c>
      <c r="AN22" s="33">
        <f t="shared" si="13"/>
        <v>82000</v>
      </c>
      <c r="AO22" s="17">
        <v>1532</v>
      </c>
      <c r="AP22" s="33">
        <f t="shared" si="14"/>
        <v>11</v>
      </c>
      <c r="AQ22" s="17">
        <v>13773</v>
      </c>
      <c r="AR22" s="33">
        <f t="shared" si="15"/>
        <v>1600</v>
      </c>
      <c r="AS22" s="31"/>
      <c r="AT22" s="57">
        <f t="shared" si="25"/>
        <v>44676</v>
      </c>
      <c r="AU22" s="17">
        <v>6082</v>
      </c>
      <c r="AV22" s="33">
        <f t="shared" si="16"/>
        <v>145</v>
      </c>
      <c r="AW22" s="14"/>
      <c r="AX22" s="17">
        <v>2965101</v>
      </c>
      <c r="AY22" s="33">
        <f t="shared" si="17"/>
        <v>62298</v>
      </c>
      <c r="AZ22" s="17">
        <v>717324812</v>
      </c>
      <c r="BA22" s="34">
        <f t="shared" si="18"/>
        <v>44844.62</v>
      </c>
      <c r="BB22" s="33">
        <f t="shared" si="19"/>
        <v>17453.379999999997</v>
      </c>
      <c r="BC22" s="17">
        <v>7185900</v>
      </c>
      <c r="BD22" s="89">
        <f t="shared" si="20"/>
        <v>3500</v>
      </c>
      <c r="BE22" s="53">
        <v>3797100</v>
      </c>
      <c r="BF22" s="54">
        <f t="shared" si="21"/>
        <v>500</v>
      </c>
      <c r="BG22" s="17">
        <v>1133605</v>
      </c>
      <c r="BH22" s="33">
        <f t="shared" si="22"/>
        <v>0</v>
      </c>
    </row>
    <row r="23" spans="2:60" s="58" customFormat="1" x14ac:dyDescent="0.25">
      <c r="B23" s="45">
        <v>44681</v>
      </c>
      <c r="C23" s="127">
        <v>49434673</v>
      </c>
      <c r="D23" s="127"/>
      <c r="E23" s="33">
        <f t="shared" si="0"/>
        <v>1374590</v>
      </c>
      <c r="F23" s="127">
        <v>5898618</v>
      </c>
      <c r="G23" s="127"/>
      <c r="H23" s="33">
        <f t="shared" si="1"/>
        <v>120240</v>
      </c>
      <c r="I23" s="127">
        <v>18752</v>
      </c>
      <c r="J23" s="127"/>
      <c r="K23" s="33">
        <f t="shared" si="2"/>
        <v>70</v>
      </c>
      <c r="L23" s="127">
        <v>359338</v>
      </c>
      <c r="M23" s="127"/>
      <c r="N23" s="33">
        <f t="shared" si="3"/>
        <v>1023000</v>
      </c>
      <c r="O23" s="123">
        <v>27083</v>
      </c>
      <c r="P23" s="124"/>
      <c r="Q23" s="33">
        <f t="shared" si="4"/>
        <v>32100</v>
      </c>
      <c r="R23" s="29"/>
      <c r="S23" s="123">
        <v>848113</v>
      </c>
      <c r="T23" s="124"/>
      <c r="U23" s="33">
        <f t="shared" si="5"/>
        <v>237100</v>
      </c>
      <c r="V23" s="127">
        <v>6883</v>
      </c>
      <c r="W23" s="127"/>
      <c r="X23" s="33">
        <f t="shared" si="23"/>
        <v>74600</v>
      </c>
      <c r="Y23" s="32">
        <f t="shared" si="24"/>
        <v>311700</v>
      </c>
      <c r="Z23" s="30"/>
      <c r="AA23" s="17">
        <v>28607</v>
      </c>
      <c r="AB23" s="33">
        <f t="shared" si="8"/>
        <v>2430000</v>
      </c>
      <c r="AC23" s="17">
        <v>766727000</v>
      </c>
      <c r="AD23" s="33">
        <f t="shared" si="9"/>
        <v>538090</v>
      </c>
      <c r="AE23" s="33"/>
      <c r="AF23" s="80"/>
      <c r="AG23" s="17">
        <v>126624</v>
      </c>
      <c r="AH23" s="33">
        <f t="shared" si="10"/>
        <v>5220</v>
      </c>
      <c r="AI23" s="17">
        <v>3849967</v>
      </c>
      <c r="AJ23" s="33">
        <f t="shared" si="11"/>
        <v>80510</v>
      </c>
      <c r="AK23" s="17">
        <v>4808487</v>
      </c>
      <c r="AL23" s="33">
        <f t="shared" si="12"/>
        <v>13375</v>
      </c>
      <c r="AM23" s="17">
        <v>27520</v>
      </c>
      <c r="AN23" s="33">
        <f t="shared" si="13"/>
        <v>99000</v>
      </c>
      <c r="AO23" s="17">
        <v>1541</v>
      </c>
      <c r="AP23" s="33">
        <f t="shared" si="14"/>
        <v>9</v>
      </c>
      <c r="AQ23" s="17">
        <v>13797</v>
      </c>
      <c r="AR23" s="33">
        <f t="shared" si="15"/>
        <v>2400</v>
      </c>
      <c r="AS23" s="31"/>
      <c r="AT23" s="57">
        <f t="shared" si="25"/>
        <v>44681</v>
      </c>
      <c r="AU23" s="17">
        <v>6179</v>
      </c>
      <c r="AV23" s="33">
        <f t="shared" si="16"/>
        <v>97</v>
      </c>
      <c r="AW23" s="14"/>
      <c r="AX23" s="17">
        <v>3010468</v>
      </c>
      <c r="AY23" s="33">
        <f t="shared" si="17"/>
        <v>45367</v>
      </c>
      <c r="AZ23" s="17">
        <v>720682350</v>
      </c>
      <c r="BA23" s="34">
        <f t="shared" si="18"/>
        <v>33575.379999999997</v>
      </c>
      <c r="BB23" s="33">
        <f t="shared" si="19"/>
        <v>11791.620000000003</v>
      </c>
      <c r="BC23" s="17">
        <v>7188000</v>
      </c>
      <c r="BD23" s="89">
        <f t="shared" si="20"/>
        <v>2100</v>
      </c>
      <c r="BE23" s="53">
        <v>3797300</v>
      </c>
      <c r="BF23" s="54">
        <f t="shared" si="21"/>
        <v>200</v>
      </c>
      <c r="BG23" s="17">
        <v>1133605</v>
      </c>
      <c r="BH23" s="33">
        <f t="shared" si="22"/>
        <v>0</v>
      </c>
    </row>
    <row r="24" spans="2:60" s="58" customFormat="1" x14ac:dyDescent="0.25">
      <c r="B24" s="45">
        <v>44683</v>
      </c>
      <c r="C24" s="127">
        <v>49434673</v>
      </c>
      <c r="D24" s="127"/>
      <c r="E24" s="33">
        <f t="shared" si="0"/>
        <v>0</v>
      </c>
      <c r="F24" s="127">
        <v>5898618</v>
      </c>
      <c r="G24" s="127"/>
      <c r="H24" s="33">
        <f t="shared" si="1"/>
        <v>0</v>
      </c>
      <c r="I24" s="127">
        <v>18752</v>
      </c>
      <c r="J24" s="127"/>
      <c r="K24" s="33">
        <f t="shared" si="2"/>
        <v>0</v>
      </c>
      <c r="L24" s="127">
        <v>359338</v>
      </c>
      <c r="M24" s="127"/>
      <c r="N24" s="33">
        <f t="shared" si="3"/>
        <v>0</v>
      </c>
      <c r="O24" s="123">
        <v>27083</v>
      </c>
      <c r="P24" s="124"/>
      <c r="Q24" s="33">
        <f t="shared" si="4"/>
        <v>0</v>
      </c>
      <c r="R24" s="29"/>
      <c r="S24" s="123">
        <v>848113</v>
      </c>
      <c r="T24" s="124"/>
      <c r="U24" s="33">
        <f t="shared" si="5"/>
        <v>0</v>
      </c>
      <c r="V24" s="127">
        <v>6883</v>
      </c>
      <c r="W24" s="127"/>
      <c r="X24" s="33">
        <f t="shared" si="23"/>
        <v>0</v>
      </c>
      <c r="Y24" s="32">
        <f t="shared" si="24"/>
        <v>0</v>
      </c>
      <c r="Z24" s="30"/>
      <c r="AA24" s="17">
        <v>28607</v>
      </c>
      <c r="AB24" s="33">
        <f t="shared" si="8"/>
        <v>0</v>
      </c>
      <c r="AC24" s="17">
        <v>766727000</v>
      </c>
      <c r="AD24" s="33">
        <f t="shared" si="9"/>
        <v>0</v>
      </c>
      <c r="AE24" s="33"/>
      <c r="AF24" s="80"/>
      <c r="AG24" s="17">
        <v>126624</v>
      </c>
      <c r="AH24" s="33">
        <f t="shared" si="10"/>
        <v>0</v>
      </c>
      <c r="AI24" s="17">
        <v>3849967</v>
      </c>
      <c r="AJ24" s="33">
        <f t="shared" si="11"/>
        <v>0</v>
      </c>
      <c r="AK24" s="17">
        <v>4808487</v>
      </c>
      <c r="AL24" s="33">
        <f t="shared" si="12"/>
        <v>0</v>
      </c>
      <c r="AM24" s="17">
        <v>27520</v>
      </c>
      <c r="AN24" s="33">
        <f t="shared" si="13"/>
        <v>0</v>
      </c>
      <c r="AO24" s="17">
        <v>1541</v>
      </c>
      <c r="AP24" s="33">
        <f t="shared" si="14"/>
        <v>0</v>
      </c>
      <c r="AQ24" s="17">
        <v>13797</v>
      </c>
      <c r="AR24" s="33">
        <f t="shared" si="15"/>
        <v>0</v>
      </c>
      <c r="AS24" s="31"/>
      <c r="AT24" s="57">
        <f t="shared" si="25"/>
        <v>44683</v>
      </c>
      <c r="AU24" s="17">
        <v>6179</v>
      </c>
      <c r="AV24" s="33">
        <f t="shared" si="16"/>
        <v>0</v>
      </c>
      <c r="AW24" s="14"/>
      <c r="AX24" s="17">
        <v>3010468</v>
      </c>
      <c r="AY24" s="33">
        <f t="shared" si="17"/>
        <v>0</v>
      </c>
      <c r="AZ24" s="17">
        <v>720682350</v>
      </c>
      <c r="BA24" s="34">
        <f t="shared" si="18"/>
        <v>0</v>
      </c>
      <c r="BB24" s="33">
        <f t="shared" si="19"/>
        <v>0</v>
      </c>
      <c r="BC24" s="17">
        <v>7188000</v>
      </c>
      <c r="BD24" s="89">
        <f t="shared" si="20"/>
        <v>0</v>
      </c>
      <c r="BE24" s="53">
        <v>3797300</v>
      </c>
      <c r="BF24" s="54">
        <f t="shared" si="21"/>
        <v>0</v>
      </c>
      <c r="BG24" s="17">
        <v>1133605</v>
      </c>
      <c r="BH24" s="33">
        <f t="shared" si="22"/>
        <v>0</v>
      </c>
    </row>
    <row r="25" spans="2:60" s="58" customFormat="1" x14ac:dyDescent="0.25">
      <c r="B25" s="45">
        <v>44690</v>
      </c>
      <c r="C25" s="127">
        <v>49578490</v>
      </c>
      <c r="D25" s="127"/>
      <c r="E25" s="33">
        <f t="shared" si="0"/>
        <v>1438170</v>
      </c>
      <c r="F25" s="127">
        <v>5907125</v>
      </c>
      <c r="G25" s="127"/>
      <c r="H25" s="33">
        <f t="shared" si="1"/>
        <v>85070</v>
      </c>
      <c r="I25" s="127">
        <v>18779</v>
      </c>
      <c r="J25" s="127"/>
      <c r="K25" s="33">
        <f t="shared" si="2"/>
        <v>270</v>
      </c>
      <c r="L25" s="127">
        <v>360455</v>
      </c>
      <c r="M25" s="127"/>
      <c r="N25" s="33">
        <f t="shared" si="3"/>
        <v>1117000</v>
      </c>
      <c r="O25" s="123">
        <v>27442</v>
      </c>
      <c r="P25" s="124"/>
      <c r="Q25" s="33">
        <f t="shared" si="4"/>
        <v>35900</v>
      </c>
      <c r="R25" s="29"/>
      <c r="S25" s="123">
        <v>850480</v>
      </c>
      <c r="T25" s="124"/>
      <c r="U25" s="33">
        <f t="shared" si="5"/>
        <v>236700</v>
      </c>
      <c r="V25" s="127">
        <v>7233</v>
      </c>
      <c r="W25" s="127"/>
      <c r="X25" s="33">
        <f t="shared" si="23"/>
        <v>35000</v>
      </c>
      <c r="Y25" s="32">
        <f t="shared" si="24"/>
        <v>271700</v>
      </c>
      <c r="Z25" s="30"/>
      <c r="AA25" s="17">
        <v>28893</v>
      </c>
      <c r="AB25" s="33">
        <f t="shared" si="8"/>
        <v>2860000</v>
      </c>
      <c r="AC25" s="17">
        <v>773587900</v>
      </c>
      <c r="AD25" s="33">
        <f t="shared" si="9"/>
        <v>686090</v>
      </c>
      <c r="AE25" s="33">
        <v>0</v>
      </c>
      <c r="AF25" s="80"/>
      <c r="AG25" s="17">
        <v>127236</v>
      </c>
      <c r="AH25" s="33">
        <f t="shared" si="10"/>
        <v>6120</v>
      </c>
      <c r="AI25" s="17">
        <v>3859932</v>
      </c>
      <c r="AJ25" s="33">
        <f t="shared" si="11"/>
        <v>99650</v>
      </c>
      <c r="AK25" s="17">
        <v>4821994</v>
      </c>
      <c r="AL25" s="33">
        <f t="shared" si="12"/>
        <v>13507</v>
      </c>
      <c r="AM25" s="17">
        <v>27598</v>
      </c>
      <c r="AN25" s="33">
        <f t="shared" si="13"/>
        <v>78000</v>
      </c>
      <c r="AO25" s="17">
        <v>1559</v>
      </c>
      <c r="AP25" s="33">
        <f t="shared" si="14"/>
        <v>18</v>
      </c>
      <c r="AQ25" s="17">
        <v>13828</v>
      </c>
      <c r="AR25" s="33">
        <f t="shared" si="15"/>
        <v>3100</v>
      </c>
      <c r="AS25" s="31"/>
      <c r="AT25" s="57">
        <f t="shared" si="25"/>
        <v>44690</v>
      </c>
      <c r="AU25" s="17">
        <v>6275</v>
      </c>
      <c r="AV25" s="33">
        <f t="shared" si="16"/>
        <v>96</v>
      </c>
      <c r="AW25" s="14"/>
      <c r="AX25" s="17">
        <v>3062921</v>
      </c>
      <c r="AY25" s="33">
        <f t="shared" si="17"/>
        <v>52453</v>
      </c>
      <c r="AZ25" s="17">
        <v>724613833</v>
      </c>
      <c r="BA25" s="34">
        <f t="shared" si="18"/>
        <v>39314.83</v>
      </c>
      <c r="BB25" s="33">
        <f t="shared" si="19"/>
        <v>13138.169999999998</v>
      </c>
      <c r="BC25" s="17">
        <v>7190600</v>
      </c>
      <c r="BD25" s="89">
        <f t="shared" si="20"/>
        <v>2600</v>
      </c>
      <c r="BE25" s="53">
        <v>3797600</v>
      </c>
      <c r="BF25" s="54">
        <f t="shared" si="21"/>
        <v>300</v>
      </c>
      <c r="BG25" s="17">
        <v>1133605</v>
      </c>
      <c r="BH25" s="33">
        <f t="shared" si="22"/>
        <v>0</v>
      </c>
    </row>
    <row r="26" spans="2:60" s="58" customFormat="1" x14ac:dyDescent="0.25">
      <c r="B26" s="45">
        <v>44697</v>
      </c>
      <c r="C26" s="127">
        <v>49717626</v>
      </c>
      <c r="D26" s="127"/>
      <c r="E26" s="33">
        <f t="shared" si="0"/>
        <v>1391360</v>
      </c>
      <c r="F26" s="127">
        <v>5922642</v>
      </c>
      <c r="G26" s="127"/>
      <c r="H26" s="33">
        <f t="shared" si="1"/>
        <v>155170</v>
      </c>
      <c r="I26" s="127">
        <v>18801</v>
      </c>
      <c r="J26" s="127"/>
      <c r="K26" s="33">
        <f t="shared" si="2"/>
        <v>220</v>
      </c>
      <c r="L26" s="127">
        <v>361499</v>
      </c>
      <c r="M26" s="127"/>
      <c r="N26" s="33">
        <f t="shared" si="3"/>
        <v>1044000</v>
      </c>
      <c r="O26" s="123">
        <v>27763</v>
      </c>
      <c r="P26" s="124"/>
      <c r="Q26" s="33">
        <f t="shared" si="4"/>
        <v>32100</v>
      </c>
      <c r="R26" s="29"/>
      <c r="S26" s="123">
        <v>852778</v>
      </c>
      <c r="T26" s="124"/>
      <c r="U26" s="33">
        <f t="shared" si="5"/>
        <v>229800</v>
      </c>
      <c r="V26" s="127">
        <v>8048</v>
      </c>
      <c r="W26" s="127"/>
      <c r="X26" s="33">
        <f t="shared" si="23"/>
        <v>81500</v>
      </c>
      <c r="Y26" s="32">
        <f t="shared" si="24"/>
        <v>311300</v>
      </c>
      <c r="Z26" s="30"/>
      <c r="AA26" s="17">
        <v>29126</v>
      </c>
      <c r="AB26" s="33">
        <f t="shared" si="8"/>
        <v>2330000</v>
      </c>
      <c r="AC26" s="17">
        <v>779304000</v>
      </c>
      <c r="AD26" s="33">
        <f t="shared" si="9"/>
        <v>571610</v>
      </c>
      <c r="AE26" s="33">
        <v>0</v>
      </c>
      <c r="AF26" s="33">
        <f>SUM(AE26-AE25)*100</f>
        <v>0</v>
      </c>
      <c r="AG26" s="17">
        <v>127689</v>
      </c>
      <c r="AH26" s="33">
        <f t="shared" si="10"/>
        <v>4530</v>
      </c>
      <c r="AI26" s="17">
        <v>3870421</v>
      </c>
      <c r="AJ26" s="33">
        <f t="shared" si="11"/>
        <v>104890</v>
      </c>
      <c r="AK26" s="17">
        <v>4821994</v>
      </c>
      <c r="AL26" s="33">
        <f t="shared" si="12"/>
        <v>0</v>
      </c>
      <c r="AM26" s="17">
        <v>27663</v>
      </c>
      <c r="AN26" s="33">
        <f t="shared" si="13"/>
        <v>65000</v>
      </c>
      <c r="AO26" s="17">
        <v>1577</v>
      </c>
      <c r="AP26" s="33">
        <f t="shared" si="14"/>
        <v>18</v>
      </c>
      <c r="AQ26" s="17">
        <v>13851</v>
      </c>
      <c r="AR26" s="33">
        <f t="shared" si="15"/>
        <v>2300</v>
      </c>
      <c r="AS26" s="31"/>
      <c r="AT26" s="57">
        <f t="shared" si="25"/>
        <v>44697</v>
      </c>
      <c r="AU26" s="17">
        <v>6370</v>
      </c>
      <c r="AV26" s="33">
        <f t="shared" si="16"/>
        <v>95</v>
      </c>
      <c r="AW26" s="14"/>
      <c r="AX26" s="17">
        <v>3113487</v>
      </c>
      <c r="AY26" s="33">
        <f t="shared" si="17"/>
        <v>50566</v>
      </c>
      <c r="AZ26" s="17">
        <v>728552838</v>
      </c>
      <c r="BA26" s="34">
        <f t="shared" si="18"/>
        <v>39390.050000000003</v>
      </c>
      <c r="BB26" s="33">
        <f t="shared" si="19"/>
        <v>11175.949999999997</v>
      </c>
      <c r="BC26" s="17">
        <v>7192700</v>
      </c>
      <c r="BD26" s="89">
        <f t="shared" si="20"/>
        <v>2100</v>
      </c>
      <c r="BE26" s="53">
        <v>3797800</v>
      </c>
      <c r="BF26" s="54">
        <f t="shared" si="21"/>
        <v>200</v>
      </c>
      <c r="BG26" s="17">
        <v>1133605</v>
      </c>
      <c r="BH26" s="33">
        <f t="shared" si="22"/>
        <v>0</v>
      </c>
    </row>
    <row r="27" spans="2:60" s="58" customFormat="1" x14ac:dyDescent="0.25">
      <c r="B27" s="45">
        <v>44704</v>
      </c>
      <c r="C27" s="127">
        <v>49858368</v>
      </c>
      <c r="D27" s="127"/>
      <c r="E27" s="33">
        <f t="shared" si="0"/>
        <v>1407420</v>
      </c>
      <c r="F27" s="127">
        <v>5941612</v>
      </c>
      <c r="G27" s="127"/>
      <c r="H27" s="33">
        <f t="shared" si="1"/>
        <v>189700</v>
      </c>
      <c r="I27" s="127">
        <v>18830</v>
      </c>
      <c r="J27" s="127"/>
      <c r="K27" s="33">
        <f t="shared" si="2"/>
        <v>290</v>
      </c>
      <c r="L27" s="127">
        <v>362628</v>
      </c>
      <c r="M27" s="127"/>
      <c r="N27" s="33">
        <f t="shared" si="3"/>
        <v>1129000</v>
      </c>
      <c r="O27" s="123">
        <v>28094</v>
      </c>
      <c r="P27" s="124"/>
      <c r="Q27" s="33">
        <f t="shared" si="4"/>
        <v>33100</v>
      </c>
      <c r="R27" s="29"/>
      <c r="S27" s="123">
        <v>855089</v>
      </c>
      <c r="T27" s="124"/>
      <c r="U27" s="33">
        <f t="shared" si="5"/>
        <v>231100</v>
      </c>
      <c r="V27" s="127">
        <v>8483</v>
      </c>
      <c r="W27" s="127"/>
      <c r="X27" s="33">
        <f t="shared" si="23"/>
        <v>43500</v>
      </c>
      <c r="Y27" s="32">
        <f t="shared" si="24"/>
        <v>274600</v>
      </c>
      <c r="Z27" s="30"/>
      <c r="AA27" s="17">
        <v>29430</v>
      </c>
      <c r="AB27" s="33">
        <f t="shared" si="8"/>
        <v>3040000</v>
      </c>
      <c r="AC27" s="17">
        <v>786403742</v>
      </c>
      <c r="AD27" s="33">
        <f t="shared" si="9"/>
        <v>709974.20000000007</v>
      </c>
      <c r="AE27" s="17">
        <v>69</v>
      </c>
      <c r="AF27" s="33">
        <f>SUM(AE27-AE26)*100</f>
        <v>6900</v>
      </c>
      <c r="AG27" s="17">
        <v>128124</v>
      </c>
      <c r="AH27" s="33">
        <f t="shared" ref="AH27" si="26">SUM(AG27-AG26)*10</f>
        <v>4350</v>
      </c>
      <c r="AI27" s="17">
        <v>3878006</v>
      </c>
      <c r="AJ27" s="33">
        <f t="shared" ref="AJ27:AJ41" si="27">SUM(AI27-AI26)*10</f>
        <v>75850</v>
      </c>
      <c r="AK27" s="17">
        <v>4855946</v>
      </c>
      <c r="AL27" s="33">
        <f t="shared" si="12"/>
        <v>33952</v>
      </c>
      <c r="AM27" s="17">
        <v>27712</v>
      </c>
      <c r="AN27" s="33">
        <f t="shared" si="13"/>
        <v>49000</v>
      </c>
      <c r="AO27" s="17">
        <v>1593</v>
      </c>
      <c r="AP27" s="33">
        <f t="shared" si="14"/>
        <v>16</v>
      </c>
      <c r="AQ27" s="17">
        <v>13886</v>
      </c>
      <c r="AR27" s="33">
        <f t="shared" si="15"/>
        <v>3500</v>
      </c>
      <c r="AS27" s="31"/>
      <c r="AT27" s="57">
        <f t="shared" si="25"/>
        <v>44704</v>
      </c>
      <c r="AU27" s="17">
        <v>6464</v>
      </c>
      <c r="AV27" s="33">
        <f t="shared" si="16"/>
        <v>94</v>
      </c>
      <c r="AW27" s="14"/>
      <c r="AX27" s="17">
        <v>3167889</v>
      </c>
      <c r="AY27" s="33">
        <f t="shared" si="17"/>
        <v>54402</v>
      </c>
      <c r="AZ27" s="17">
        <v>732522523</v>
      </c>
      <c r="BA27" s="34">
        <f t="shared" si="18"/>
        <v>39696.85</v>
      </c>
      <c r="BB27" s="33">
        <f t="shared" si="19"/>
        <v>14705.150000000001</v>
      </c>
      <c r="BC27" s="17">
        <v>7194800</v>
      </c>
      <c r="BD27" s="89">
        <f t="shared" si="20"/>
        <v>2100</v>
      </c>
      <c r="BE27" s="53">
        <v>3798000</v>
      </c>
      <c r="BF27" s="54">
        <f t="shared" si="21"/>
        <v>200</v>
      </c>
      <c r="BG27" s="17">
        <v>1133605</v>
      </c>
      <c r="BH27" s="33">
        <f t="shared" si="22"/>
        <v>0</v>
      </c>
    </row>
    <row r="28" spans="2:60" s="58" customFormat="1" x14ac:dyDescent="0.25">
      <c r="B28" s="45">
        <v>44711</v>
      </c>
      <c r="C28" s="127">
        <v>50004722</v>
      </c>
      <c r="D28" s="127"/>
      <c r="E28" s="33">
        <f t="shared" si="0"/>
        <v>1463540</v>
      </c>
      <c r="F28" s="127">
        <v>5960957</v>
      </c>
      <c r="G28" s="127"/>
      <c r="H28" s="33">
        <f t="shared" si="1"/>
        <v>193450</v>
      </c>
      <c r="I28" s="127">
        <v>18910</v>
      </c>
      <c r="J28" s="127"/>
      <c r="K28" s="33">
        <f t="shared" si="2"/>
        <v>800</v>
      </c>
      <c r="L28" s="127">
        <v>363759</v>
      </c>
      <c r="M28" s="127"/>
      <c r="N28" s="33">
        <f t="shared" si="3"/>
        <v>1131000</v>
      </c>
      <c r="O28" s="123">
        <v>28467</v>
      </c>
      <c r="P28" s="124"/>
      <c r="Q28" s="33">
        <f t="shared" si="4"/>
        <v>37300</v>
      </c>
      <c r="R28" s="29"/>
      <c r="S28" s="123">
        <v>857448</v>
      </c>
      <c r="T28" s="124"/>
      <c r="U28" s="33">
        <f t="shared" si="5"/>
        <v>235900</v>
      </c>
      <c r="V28" s="127">
        <v>8827</v>
      </c>
      <c r="W28" s="127"/>
      <c r="X28" s="33">
        <f t="shared" si="23"/>
        <v>34400</v>
      </c>
      <c r="Y28" s="32">
        <f t="shared" si="24"/>
        <v>270300</v>
      </c>
      <c r="Z28" s="30"/>
      <c r="AA28" s="17">
        <v>29748</v>
      </c>
      <c r="AB28" s="33">
        <f t="shared" si="8"/>
        <v>3180000</v>
      </c>
      <c r="AC28" s="17">
        <v>793976520</v>
      </c>
      <c r="AD28" s="33">
        <f t="shared" si="9"/>
        <v>757277.8</v>
      </c>
      <c r="AE28" s="17">
        <v>192</v>
      </c>
      <c r="AF28" s="33">
        <f>SUM(AE28-AE27)*100</f>
        <v>12300</v>
      </c>
      <c r="AG28" s="17">
        <v>128244</v>
      </c>
      <c r="AH28" s="33">
        <f t="shared" ref="AH28" si="28">SUM(AG28-AG27)*10</f>
        <v>1200</v>
      </c>
      <c r="AI28" s="17">
        <v>3885258</v>
      </c>
      <c r="AJ28" s="33">
        <f t="shared" si="27"/>
        <v>72520</v>
      </c>
      <c r="AK28" s="17">
        <v>4867273</v>
      </c>
      <c r="AL28" s="33">
        <f t="shared" si="12"/>
        <v>11327</v>
      </c>
      <c r="AM28" s="17">
        <v>27802</v>
      </c>
      <c r="AN28" s="33">
        <f t="shared" si="13"/>
        <v>90000</v>
      </c>
      <c r="AO28" s="17">
        <v>1602</v>
      </c>
      <c r="AP28" s="33">
        <f t="shared" si="14"/>
        <v>9</v>
      </c>
      <c r="AQ28" s="17">
        <v>13906</v>
      </c>
      <c r="AR28" s="33">
        <f t="shared" si="15"/>
        <v>2000</v>
      </c>
      <c r="AS28" s="31"/>
      <c r="AT28" s="57">
        <f t="shared" si="25"/>
        <v>44711</v>
      </c>
      <c r="AU28" s="17">
        <v>6550</v>
      </c>
      <c r="AV28" s="33">
        <f t="shared" si="16"/>
        <v>86</v>
      </c>
      <c r="AW28" s="14"/>
      <c r="AX28" s="17">
        <v>3220144</v>
      </c>
      <c r="AY28" s="33">
        <f t="shared" si="17"/>
        <v>52255</v>
      </c>
      <c r="AZ28" s="17">
        <v>736442252</v>
      </c>
      <c r="BA28" s="34">
        <f t="shared" si="18"/>
        <v>39197.29</v>
      </c>
      <c r="BB28" s="33">
        <f t="shared" si="19"/>
        <v>13057.71</v>
      </c>
      <c r="BC28" s="17">
        <v>7198000</v>
      </c>
      <c r="BD28" s="89">
        <f t="shared" si="20"/>
        <v>3200</v>
      </c>
      <c r="BE28" s="53">
        <v>3798300</v>
      </c>
      <c r="BF28" s="54">
        <f t="shared" si="21"/>
        <v>300</v>
      </c>
      <c r="BG28" s="17">
        <v>1133605</v>
      </c>
      <c r="BH28" s="33">
        <f t="shared" si="22"/>
        <v>0</v>
      </c>
    </row>
    <row r="29" spans="2:60" s="58" customFormat="1" x14ac:dyDescent="0.25">
      <c r="B29" s="45">
        <v>44712</v>
      </c>
      <c r="C29" s="127">
        <v>50036144</v>
      </c>
      <c r="D29" s="127"/>
      <c r="E29" s="33">
        <f t="shared" si="0"/>
        <v>314220</v>
      </c>
      <c r="F29" s="127">
        <v>5971709</v>
      </c>
      <c r="G29" s="127"/>
      <c r="H29" s="33">
        <f t="shared" si="1"/>
        <v>107520</v>
      </c>
      <c r="I29" s="127">
        <v>18944</v>
      </c>
      <c r="J29" s="127"/>
      <c r="K29" s="33">
        <f t="shared" si="2"/>
        <v>340</v>
      </c>
      <c r="L29" s="127">
        <v>363995</v>
      </c>
      <c r="M29" s="127"/>
      <c r="N29" s="33">
        <f t="shared" si="3"/>
        <v>236000</v>
      </c>
      <c r="O29" s="123">
        <v>28565</v>
      </c>
      <c r="P29" s="124"/>
      <c r="Q29" s="33">
        <f t="shared" si="4"/>
        <v>9800</v>
      </c>
      <c r="R29" s="29"/>
      <c r="S29" s="123">
        <v>857967</v>
      </c>
      <c r="T29" s="124"/>
      <c r="U29" s="33">
        <f t="shared" si="5"/>
        <v>51900</v>
      </c>
      <c r="V29" s="127">
        <v>8889</v>
      </c>
      <c r="W29" s="127"/>
      <c r="X29" s="33">
        <f t="shared" si="23"/>
        <v>6200</v>
      </c>
      <c r="Y29" s="32">
        <f t="shared" si="24"/>
        <v>58100</v>
      </c>
      <c r="Z29" s="30"/>
      <c r="AA29" s="17">
        <v>29814</v>
      </c>
      <c r="AB29" s="33">
        <f t="shared" si="8"/>
        <v>660000</v>
      </c>
      <c r="AC29" s="17">
        <v>795402312</v>
      </c>
      <c r="AD29" s="33">
        <f t="shared" si="9"/>
        <v>142579.20000000001</v>
      </c>
      <c r="AE29" s="17">
        <v>223</v>
      </c>
      <c r="AF29" s="33">
        <f>SUM(AE29-AE28)*100</f>
        <v>3100</v>
      </c>
      <c r="AG29" s="17">
        <v>128368</v>
      </c>
      <c r="AH29" s="33">
        <f t="shared" ref="AH29:AH30" si="29">SUM(AG29-AG28)*10</f>
        <v>1240</v>
      </c>
      <c r="AI29" s="17">
        <v>3887553</v>
      </c>
      <c r="AJ29" s="33">
        <f t="shared" si="27"/>
        <v>22950</v>
      </c>
      <c r="AK29" s="17">
        <v>4869400</v>
      </c>
      <c r="AL29" s="33">
        <f t="shared" si="12"/>
        <v>2127</v>
      </c>
      <c r="AM29" s="17">
        <v>27818</v>
      </c>
      <c r="AN29" s="33">
        <f t="shared" si="13"/>
        <v>16000</v>
      </c>
      <c r="AO29" s="17">
        <v>1604</v>
      </c>
      <c r="AP29" s="33">
        <f t="shared" si="14"/>
        <v>2</v>
      </c>
      <c r="AQ29" s="17">
        <v>13912</v>
      </c>
      <c r="AR29" s="33">
        <f t="shared" si="15"/>
        <v>600</v>
      </c>
      <c r="AS29" s="31"/>
      <c r="AT29" s="57">
        <f t="shared" si="25"/>
        <v>44712</v>
      </c>
      <c r="AU29" s="17">
        <v>6575</v>
      </c>
      <c r="AV29" s="33">
        <f t="shared" si="16"/>
        <v>25</v>
      </c>
      <c r="AW29" s="14"/>
      <c r="AX29" s="17">
        <v>3235053</v>
      </c>
      <c r="AY29" s="33">
        <f t="shared" si="17"/>
        <v>14909</v>
      </c>
      <c r="AZ29" s="17">
        <v>737561631</v>
      </c>
      <c r="BA29" s="34">
        <f t="shared" si="18"/>
        <v>11193.79</v>
      </c>
      <c r="BB29" s="33">
        <f t="shared" si="19"/>
        <v>3715.2099999999991</v>
      </c>
      <c r="BC29" s="17">
        <v>7198600</v>
      </c>
      <c r="BD29" s="89">
        <f t="shared" si="20"/>
        <v>600</v>
      </c>
      <c r="BE29" s="53">
        <v>3798300</v>
      </c>
      <c r="BF29" s="54">
        <f t="shared" si="21"/>
        <v>0</v>
      </c>
      <c r="BG29" s="17">
        <v>1133605</v>
      </c>
      <c r="BH29" s="33">
        <f t="shared" si="22"/>
        <v>0</v>
      </c>
    </row>
    <row r="30" spans="2:60" s="58" customFormat="1" x14ac:dyDescent="0.25">
      <c r="B30" s="45">
        <v>44718</v>
      </c>
      <c r="C30" s="127">
        <v>50141738</v>
      </c>
      <c r="D30" s="127"/>
      <c r="E30" s="33">
        <f t="shared" si="0"/>
        <v>1055940</v>
      </c>
      <c r="F30" s="127">
        <v>5984785</v>
      </c>
      <c r="G30" s="127"/>
      <c r="H30" s="33">
        <f t="shared" si="1"/>
        <v>130760</v>
      </c>
      <c r="I30" s="127">
        <v>19040</v>
      </c>
      <c r="J30" s="127"/>
      <c r="K30" s="33">
        <f t="shared" si="2"/>
        <v>960</v>
      </c>
      <c r="L30" s="127">
        <v>364819</v>
      </c>
      <c r="M30" s="127"/>
      <c r="N30" s="33">
        <f t="shared" si="3"/>
        <v>824000</v>
      </c>
      <c r="O30" s="123">
        <v>28825</v>
      </c>
      <c r="P30" s="124"/>
      <c r="Q30" s="33">
        <f t="shared" si="4"/>
        <v>26000</v>
      </c>
      <c r="R30" s="29"/>
      <c r="S30" s="123">
        <v>859604</v>
      </c>
      <c r="T30" s="124"/>
      <c r="U30" s="33">
        <f t="shared" si="5"/>
        <v>163700</v>
      </c>
      <c r="V30" s="127">
        <v>9213</v>
      </c>
      <c r="W30" s="127"/>
      <c r="X30" s="33">
        <f t="shared" si="23"/>
        <v>32400</v>
      </c>
      <c r="Y30" s="32">
        <f t="shared" si="24"/>
        <v>196100</v>
      </c>
      <c r="Z30" s="30"/>
      <c r="AA30" s="17">
        <v>30030</v>
      </c>
      <c r="AB30" s="33">
        <f t="shared" si="8"/>
        <v>2160000</v>
      </c>
      <c r="AC30" s="17">
        <v>800315500</v>
      </c>
      <c r="AD30" s="33">
        <f t="shared" si="9"/>
        <v>491318.80000000005</v>
      </c>
      <c r="AE30" s="17">
        <v>305</v>
      </c>
      <c r="AF30" s="33">
        <f>SUM(AE30-AE29)*100</f>
        <v>8200</v>
      </c>
      <c r="AG30" s="17">
        <v>128690</v>
      </c>
      <c r="AH30" s="33">
        <f t="shared" si="29"/>
        <v>3220</v>
      </c>
      <c r="AI30" s="17">
        <v>3894756</v>
      </c>
      <c r="AJ30" s="33">
        <f t="shared" si="27"/>
        <v>72030</v>
      </c>
      <c r="AK30" s="17">
        <v>4886010</v>
      </c>
      <c r="AL30" s="33">
        <f t="shared" si="12"/>
        <v>16610</v>
      </c>
      <c r="AM30" s="17">
        <v>27875</v>
      </c>
      <c r="AN30" s="33">
        <f t="shared" si="13"/>
        <v>57000</v>
      </c>
      <c r="AO30" s="17">
        <v>1613</v>
      </c>
      <c r="AP30" s="33">
        <f t="shared" si="14"/>
        <v>9</v>
      </c>
      <c r="AQ30" s="17">
        <v>13926</v>
      </c>
      <c r="AR30" s="33">
        <f t="shared" si="15"/>
        <v>1400</v>
      </c>
      <c r="AS30" s="31"/>
      <c r="AT30" s="57">
        <f t="shared" si="25"/>
        <v>44718</v>
      </c>
      <c r="AU30" s="17">
        <v>6648</v>
      </c>
      <c r="AV30" s="33">
        <f t="shared" si="16"/>
        <v>73</v>
      </c>
      <c r="AW30" s="14"/>
      <c r="AX30" s="17">
        <v>3274908</v>
      </c>
      <c r="AY30" s="33">
        <f t="shared" si="17"/>
        <v>39855</v>
      </c>
      <c r="AZ30" s="17">
        <v>740379590</v>
      </c>
      <c r="BA30" s="34">
        <f t="shared" si="18"/>
        <v>28179.59</v>
      </c>
      <c r="BB30" s="33">
        <f t="shared" si="19"/>
        <v>11675.41</v>
      </c>
      <c r="BC30" s="17">
        <v>7201700</v>
      </c>
      <c r="BD30" s="89">
        <f t="shared" si="20"/>
        <v>3100</v>
      </c>
      <c r="BE30" s="53">
        <v>3798500</v>
      </c>
      <c r="BF30" s="54">
        <f t="shared" si="21"/>
        <v>200</v>
      </c>
      <c r="BG30" s="17">
        <v>1133605</v>
      </c>
      <c r="BH30" s="33">
        <f t="shared" si="22"/>
        <v>0</v>
      </c>
    </row>
    <row r="31" spans="2:60" s="58" customFormat="1" x14ac:dyDescent="0.25">
      <c r="B31" s="45">
        <v>44725</v>
      </c>
      <c r="C31" s="127">
        <v>50277523</v>
      </c>
      <c r="D31" s="127"/>
      <c r="E31" s="33">
        <f t="shared" si="0"/>
        <v>1357850</v>
      </c>
      <c r="F31" s="127">
        <v>5994218</v>
      </c>
      <c r="G31" s="127"/>
      <c r="H31" s="33">
        <f t="shared" si="1"/>
        <v>94330</v>
      </c>
      <c r="I31" s="127">
        <v>19103</v>
      </c>
      <c r="J31" s="127"/>
      <c r="K31" s="33">
        <f t="shared" si="2"/>
        <v>630</v>
      </c>
      <c r="L31" s="127">
        <v>365888</v>
      </c>
      <c r="M31" s="127"/>
      <c r="N31" s="33">
        <f t="shared" si="3"/>
        <v>1069000</v>
      </c>
      <c r="O31" s="123">
        <v>29172</v>
      </c>
      <c r="P31" s="124"/>
      <c r="Q31" s="33">
        <f t="shared" si="4"/>
        <v>34700</v>
      </c>
      <c r="R31" s="29"/>
      <c r="S31" s="123">
        <v>861742</v>
      </c>
      <c r="T31" s="124"/>
      <c r="U31" s="33">
        <f t="shared" si="5"/>
        <v>213800</v>
      </c>
      <c r="V31" s="127">
        <v>9457</v>
      </c>
      <c r="W31" s="127"/>
      <c r="X31" s="33">
        <f t="shared" si="23"/>
        <v>24400</v>
      </c>
      <c r="Y31" s="32">
        <f t="shared" si="24"/>
        <v>238200</v>
      </c>
      <c r="Z31" s="30"/>
      <c r="AA31" s="17">
        <v>30332</v>
      </c>
      <c r="AB31" s="33">
        <f t="shared" si="8"/>
        <v>3020000</v>
      </c>
      <c r="AC31" s="17">
        <v>807514340</v>
      </c>
      <c r="AD31" s="33">
        <f t="shared" si="9"/>
        <v>719884</v>
      </c>
      <c r="AE31" s="17">
        <v>417</v>
      </c>
      <c r="AF31" s="33">
        <f t="shared" ref="AF31" si="30">SUM(AE31-AE30)*100</f>
        <v>11200</v>
      </c>
      <c r="AG31" s="17">
        <v>129079</v>
      </c>
      <c r="AH31" s="33">
        <f t="shared" ref="AH31" si="31">SUM(AG31-AG30)*10</f>
        <v>3890</v>
      </c>
      <c r="AI31" s="17">
        <v>3903582</v>
      </c>
      <c r="AJ31" s="33">
        <f t="shared" si="27"/>
        <v>88260</v>
      </c>
      <c r="AK31" s="17">
        <v>4898019</v>
      </c>
      <c r="AL31" s="33">
        <f t="shared" si="12"/>
        <v>12009</v>
      </c>
      <c r="AM31" s="17">
        <v>27949</v>
      </c>
      <c r="AN31" s="33">
        <f t="shared" si="13"/>
        <v>74000</v>
      </c>
      <c r="AO31" s="17">
        <v>1624</v>
      </c>
      <c r="AP31" s="33">
        <f t="shared" si="14"/>
        <v>11</v>
      </c>
      <c r="AQ31" s="17">
        <v>13943</v>
      </c>
      <c r="AR31" s="33">
        <f t="shared" si="15"/>
        <v>1700</v>
      </c>
      <c r="AS31" s="31"/>
      <c r="AT31" s="57">
        <f t="shared" si="25"/>
        <v>44725</v>
      </c>
      <c r="AU31" s="17">
        <v>6755</v>
      </c>
      <c r="AV31" s="33">
        <f t="shared" si="16"/>
        <v>107</v>
      </c>
      <c r="AW31" s="14"/>
      <c r="AX31" s="17">
        <v>3332398</v>
      </c>
      <c r="AY31" s="33">
        <f t="shared" si="17"/>
        <v>57490</v>
      </c>
      <c r="AZ31" s="17">
        <v>744309900</v>
      </c>
      <c r="BA31" s="34">
        <f t="shared" si="18"/>
        <v>39303.1</v>
      </c>
      <c r="BB31" s="33">
        <f t="shared" si="19"/>
        <v>18186.900000000001</v>
      </c>
      <c r="BC31" s="17">
        <v>7208100</v>
      </c>
      <c r="BD31" s="89">
        <f t="shared" si="20"/>
        <v>6400</v>
      </c>
      <c r="BE31" s="53">
        <v>3798700</v>
      </c>
      <c r="BF31" s="54">
        <f t="shared" si="21"/>
        <v>200</v>
      </c>
      <c r="BG31" s="17">
        <v>1133605</v>
      </c>
      <c r="BH31" s="33">
        <f t="shared" si="22"/>
        <v>0</v>
      </c>
    </row>
    <row r="32" spans="2:60" s="58" customFormat="1" x14ac:dyDescent="0.25">
      <c r="B32" s="45">
        <v>44732</v>
      </c>
      <c r="C32" s="127">
        <v>50423734</v>
      </c>
      <c r="D32" s="127"/>
      <c r="E32" s="33">
        <f t="shared" si="0"/>
        <v>1462110</v>
      </c>
      <c r="F32" s="127">
        <v>6014791</v>
      </c>
      <c r="G32" s="127"/>
      <c r="H32" s="33">
        <f t="shared" si="1"/>
        <v>205730</v>
      </c>
      <c r="I32" s="127">
        <v>19131</v>
      </c>
      <c r="J32" s="127"/>
      <c r="K32" s="33">
        <f t="shared" si="2"/>
        <v>280</v>
      </c>
      <c r="L32" s="127">
        <v>367059</v>
      </c>
      <c r="M32" s="127"/>
      <c r="N32" s="33">
        <f t="shared" si="3"/>
        <v>1171000</v>
      </c>
      <c r="O32" s="123">
        <v>29584</v>
      </c>
      <c r="P32" s="124"/>
      <c r="Q32" s="33">
        <f t="shared" si="4"/>
        <v>41200</v>
      </c>
      <c r="R32" s="29"/>
      <c r="S32" s="123">
        <v>864087</v>
      </c>
      <c r="T32" s="124"/>
      <c r="U32" s="33">
        <f t="shared" si="5"/>
        <v>234500</v>
      </c>
      <c r="V32" s="127">
        <v>9616</v>
      </c>
      <c r="W32" s="127"/>
      <c r="X32" s="33">
        <f t="shared" si="23"/>
        <v>15900</v>
      </c>
      <c r="Y32" s="32">
        <f t="shared" si="24"/>
        <v>250400</v>
      </c>
      <c r="Z32" s="30"/>
      <c r="AA32" s="17">
        <v>30673</v>
      </c>
      <c r="AB32" s="33">
        <f t="shared" si="8"/>
        <v>3410000</v>
      </c>
      <c r="AC32" s="17">
        <v>815305035</v>
      </c>
      <c r="AD32" s="33">
        <f t="shared" si="9"/>
        <v>779069.5</v>
      </c>
      <c r="AE32" s="17">
        <v>532</v>
      </c>
      <c r="AF32" s="33">
        <f t="shared" ref="AF32" si="32">SUM(AE32-AE31)*100</f>
        <v>11500</v>
      </c>
      <c r="AG32" s="17">
        <v>129546</v>
      </c>
      <c r="AH32" s="33">
        <f t="shared" ref="AH32" si="33">SUM(AG32-AG31)*10</f>
        <v>4670</v>
      </c>
      <c r="AI32" s="17">
        <v>3913493</v>
      </c>
      <c r="AJ32" s="33">
        <f t="shared" si="27"/>
        <v>99110</v>
      </c>
      <c r="AK32" s="17">
        <v>4906689</v>
      </c>
      <c r="AL32" s="33">
        <f t="shared" si="12"/>
        <v>8670</v>
      </c>
      <c r="AM32" s="17">
        <v>28010</v>
      </c>
      <c r="AN32" s="33">
        <f t="shared" si="13"/>
        <v>61000</v>
      </c>
      <c r="AO32" s="17">
        <v>1628</v>
      </c>
      <c r="AP32" s="33">
        <f t="shared" si="14"/>
        <v>4</v>
      </c>
      <c r="AQ32" s="17">
        <v>13955</v>
      </c>
      <c r="AR32" s="33">
        <f t="shared" si="15"/>
        <v>1200</v>
      </c>
      <c r="AS32" s="31"/>
      <c r="AT32" s="57">
        <f t="shared" si="25"/>
        <v>44732</v>
      </c>
      <c r="AU32" s="17">
        <v>6877</v>
      </c>
      <c r="AV32" s="33">
        <f t="shared" si="16"/>
        <v>122</v>
      </c>
      <c r="AW32" s="14"/>
      <c r="AX32" s="17">
        <v>3388329</v>
      </c>
      <c r="AY32" s="33">
        <f t="shared" si="17"/>
        <v>55931</v>
      </c>
      <c r="AZ32" s="17">
        <v>748233650</v>
      </c>
      <c r="BA32" s="34">
        <f t="shared" si="18"/>
        <v>39237.5</v>
      </c>
      <c r="BB32" s="33">
        <f t="shared" si="19"/>
        <v>16693.5</v>
      </c>
      <c r="BC32" s="17">
        <v>7211900</v>
      </c>
      <c r="BD32" s="89">
        <f t="shared" si="20"/>
        <v>3800</v>
      </c>
      <c r="BE32" s="53">
        <v>3799000</v>
      </c>
      <c r="BF32" s="54">
        <f t="shared" si="21"/>
        <v>300</v>
      </c>
      <c r="BG32" s="17">
        <v>1133605</v>
      </c>
      <c r="BH32" s="33">
        <f t="shared" si="22"/>
        <v>0</v>
      </c>
    </row>
    <row r="33" spans="2:60" s="58" customFormat="1" x14ac:dyDescent="0.25">
      <c r="B33" s="45">
        <v>44739</v>
      </c>
      <c r="C33" s="127">
        <v>50562401</v>
      </c>
      <c r="D33" s="127"/>
      <c r="E33" s="33">
        <f t="shared" si="0"/>
        <v>1386670</v>
      </c>
      <c r="F33" s="127">
        <v>6037383</v>
      </c>
      <c r="G33" s="127"/>
      <c r="H33" s="33">
        <f t="shared" si="1"/>
        <v>225920</v>
      </c>
      <c r="I33" s="127">
        <v>19147</v>
      </c>
      <c r="J33" s="127"/>
      <c r="K33" s="33">
        <f t="shared" si="2"/>
        <v>160</v>
      </c>
      <c r="L33" s="127">
        <v>368203</v>
      </c>
      <c r="M33" s="127"/>
      <c r="N33" s="33">
        <f t="shared" si="3"/>
        <v>1144000</v>
      </c>
      <c r="O33" s="123">
        <v>29904</v>
      </c>
      <c r="P33" s="124"/>
      <c r="Q33" s="33">
        <f t="shared" si="4"/>
        <v>32000</v>
      </c>
      <c r="R33" s="29"/>
      <c r="S33" s="123">
        <v>866300</v>
      </c>
      <c r="T33" s="124"/>
      <c r="U33" s="33">
        <f t="shared" si="5"/>
        <v>221300</v>
      </c>
      <c r="V33" s="127">
        <v>9874</v>
      </c>
      <c r="W33" s="127"/>
      <c r="X33" s="33">
        <f t="shared" si="23"/>
        <v>25800</v>
      </c>
      <c r="Y33" s="32">
        <f t="shared" si="24"/>
        <v>247100</v>
      </c>
      <c r="Z33" s="30"/>
      <c r="AA33" s="17">
        <v>31000</v>
      </c>
      <c r="AB33" s="33">
        <f t="shared" si="8"/>
        <v>3270000</v>
      </c>
      <c r="AC33" s="17">
        <v>823397400</v>
      </c>
      <c r="AD33" s="33">
        <f t="shared" si="9"/>
        <v>809236.5</v>
      </c>
      <c r="AE33" s="17">
        <v>651</v>
      </c>
      <c r="AF33" s="33">
        <f t="shared" ref="AF33" si="34">SUM(AE33-AE32)*100</f>
        <v>11900</v>
      </c>
      <c r="AG33" s="17">
        <v>129813</v>
      </c>
      <c r="AH33" s="33">
        <f t="shared" ref="AH33" si="35">SUM(AG33-AG32)*10</f>
        <v>2670</v>
      </c>
      <c r="AI33" s="17">
        <v>3921972</v>
      </c>
      <c r="AJ33" s="33">
        <f t="shared" si="27"/>
        <v>84790</v>
      </c>
      <c r="AK33" s="17">
        <v>4912960</v>
      </c>
      <c r="AL33" s="33">
        <f t="shared" si="12"/>
        <v>6271</v>
      </c>
      <c r="AM33" s="17">
        <v>28044</v>
      </c>
      <c r="AN33" s="33">
        <f t="shared" si="13"/>
        <v>34000</v>
      </c>
      <c r="AO33" s="17">
        <v>1632</v>
      </c>
      <c r="AP33" s="33">
        <f t="shared" si="14"/>
        <v>4</v>
      </c>
      <c r="AQ33" s="17">
        <v>13963</v>
      </c>
      <c r="AR33" s="33">
        <f t="shared" si="15"/>
        <v>800</v>
      </c>
      <c r="AS33" s="31"/>
      <c r="AT33" s="57">
        <f t="shared" si="25"/>
        <v>44739</v>
      </c>
      <c r="AU33" s="17">
        <v>6963</v>
      </c>
      <c r="AV33" s="33">
        <f t="shared" si="16"/>
        <v>86</v>
      </c>
      <c r="AW33" s="14"/>
      <c r="AX33" s="17">
        <v>3444938</v>
      </c>
      <c r="AY33" s="33">
        <f t="shared" si="17"/>
        <v>56609</v>
      </c>
      <c r="AZ33" s="17">
        <v>752195705</v>
      </c>
      <c r="BA33" s="34">
        <f t="shared" si="18"/>
        <v>39620.550000000003</v>
      </c>
      <c r="BB33" s="33">
        <f t="shared" si="19"/>
        <v>16988.449999999997</v>
      </c>
      <c r="BC33" s="17">
        <v>7216900</v>
      </c>
      <c r="BD33" s="89">
        <f t="shared" si="20"/>
        <v>5000</v>
      </c>
      <c r="BE33" s="53">
        <v>3799300</v>
      </c>
      <c r="BF33" s="54">
        <f t="shared" si="21"/>
        <v>300</v>
      </c>
      <c r="BG33" s="17">
        <v>1133605</v>
      </c>
      <c r="BH33" s="33">
        <f t="shared" si="22"/>
        <v>0</v>
      </c>
    </row>
    <row r="34" spans="2:60" s="58" customFormat="1" x14ac:dyDescent="0.25">
      <c r="B34" s="45">
        <v>44742</v>
      </c>
      <c r="C34" s="127">
        <v>50620610</v>
      </c>
      <c r="D34" s="127"/>
      <c r="E34" s="33">
        <f t="shared" si="0"/>
        <v>582090</v>
      </c>
      <c r="F34" s="127">
        <v>6044180</v>
      </c>
      <c r="G34" s="127"/>
      <c r="H34" s="33">
        <f t="shared" si="1"/>
        <v>67970</v>
      </c>
      <c r="I34" s="127">
        <v>19173</v>
      </c>
      <c r="J34" s="127"/>
      <c r="K34" s="33">
        <f t="shared" si="2"/>
        <v>260</v>
      </c>
      <c r="L34" s="127">
        <v>368666</v>
      </c>
      <c r="M34" s="127"/>
      <c r="N34" s="33">
        <f t="shared" si="3"/>
        <v>463000</v>
      </c>
      <c r="O34" s="123">
        <v>30013</v>
      </c>
      <c r="P34" s="124"/>
      <c r="Q34" s="33">
        <f t="shared" si="4"/>
        <v>10900</v>
      </c>
      <c r="R34" s="29"/>
      <c r="S34" s="123">
        <v>867145</v>
      </c>
      <c r="T34" s="124"/>
      <c r="U34" s="33">
        <f t="shared" si="5"/>
        <v>84500</v>
      </c>
      <c r="V34" s="127">
        <v>9954</v>
      </c>
      <c r="W34" s="127"/>
      <c r="X34" s="33">
        <f t="shared" si="23"/>
        <v>8000</v>
      </c>
      <c r="Y34" s="32">
        <f t="shared" si="24"/>
        <v>92500</v>
      </c>
      <c r="Z34" s="30"/>
      <c r="AA34" s="17">
        <v>31163</v>
      </c>
      <c r="AB34" s="33">
        <f t="shared" si="8"/>
        <v>1630000</v>
      </c>
      <c r="AC34" s="17">
        <v>827119000</v>
      </c>
      <c r="AD34" s="33">
        <f t="shared" si="9"/>
        <v>372160</v>
      </c>
      <c r="AE34" s="17">
        <v>703</v>
      </c>
      <c r="AF34" s="33">
        <f t="shared" ref="AF34:AF35" si="36">SUM(AE34-AE33)*100</f>
        <v>5200</v>
      </c>
      <c r="AG34" s="17">
        <v>129831</v>
      </c>
      <c r="AH34" s="33">
        <f t="shared" ref="AH34:AH35" si="37">SUM(AG34-AG33)*10</f>
        <v>180</v>
      </c>
      <c r="AI34" s="17">
        <v>3925034</v>
      </c>
      <c r="AJ34" s="33">
        <f t="shared" si="27"/>
        <v>30620</v>
      </c>
      <c r="AK34" s="17">
        <v>4916699</v>
      </c>
      <c r="AL34" s="33">
        <f t="shared" si="12"/>
        <v>3739</v>
      </c>
      <c r="AM34" s="17">
        <v>28072</v>
      </c>
      <c r="AN34" s="33">
        <f t="shared" si="13"/>
        <v>28000</v>
      </c>
      <c r="AO34" s="17">
        <v>1633</v>
      </c>
      <c r="AP34" s="33">
        <f t="shared" si="14"/>
        <v>1</v>
      </c>
      <c r="AQ34" s="17">
        <v>13967</v>
      </c>
      <c r="AR34" s="33">
        <f t="shared" si="15"/>
        <v>400</v>
      </c>
      <c r="AS34" s="31"/>
      <c r="AT34" s="57">
        <f t="shared" si="25"/>
        <v>44742</v>
      </c>
      <c r="AU34" s="17">
        <v>7008</v>
      </c>
      <c r="AV34" s="33">
        <f t="shared" si="16"/>
        <v>45</v>
      </c>
      <c r="AW34" s="14"/>
      <c r="AX34" s="17">
        <v>3475584</v>
      </c>
      <c r="AY34" s="33">
        <f t="shared" si="17"/>
        <v>30646</v>
      </c>
      <c r="AZ34" s="17">
        <v>754400000</v>
      </c>
      <c r="BA34" s="34">
        <f t="shared" si="18"/>
        <v>22042.95</v>
      </c>
      <c r="BB34" s="33">
        <f t="shared" si="19"/>
        <v>8603.0499999999993</v>
      </c>
      <c r="BC34" s="17">
        <v>7221100</v>
      </c>
      <c r="BD34" s="89">
        <f t="shared" si="20"/>
        <v>4200</v>
      </c>
      <c r="BE34" s="53">
        <v>3799500</v>
      </c>
      <c r="BF34" s="54">
        <f t="shared" si="21"/>
        <v>200</v>
      </c>
      <c r="BG34" s="17">
        <v>1133605</v>
      </c>
      <c r="BH34" s="33">
        <f t="shared" si="22"/>
        <v>0</v>
      </c>
    </row>
    <row r="35" spans="2:60" s="58" customFormat="1" x14ac:dyDescent="0.25">
      <c r="B35" s="45">
        <v>44746</v>
      </c>
      <c r="C35" s="127">
        <v>50688559</v>
      </c>
      <c r="D35" s="127"/>
      <c r="E35" s="33">
        <f t="shared" si="0"/>
        <v>679490</v>
      </c>
      <c r="F35" s="127">
        <v>6055102</v>
      </c>
      <c r="G35" s="127"/>
      <c r="H35" s="33">
        <f t="shared" si="1"/>
        <v>109220</v>
      </c>
      <c r="I35" s="127">
        <v>19193</v>
      </c>
      <c r="J35" s="127"/>
      <c r="K35" s="33">
        <f t="shared" si="2"/>
        <v>200</v>
      </c>
      <c r="L35" s="127">
        <v>369229</v>
      </c>
      <c r="M35" s="127"/>
      <c r="N35" s="33">
        <f t="shared" si="3"/>
        <v>563000</v>
      </c>
      <c r="O35" s="123">
        <v>30154</v>
      </c>
      <c r="P35" s="124"/>
      <c r="Q35" s="33">
        <f t="shared" si="4"/>
        <v>14100</v>
      </c>
      <c r="R35" s="29"/>
      <c r="S35" s="123">
        <v>868278</v>
      </c>
      <c r="T35" s="124"/>
      <c r="U35" s="33">
        <f t="shared" si="5"/>
        <v>113300</v>
      </c>
      <c r="V35" s="127">
        <v>10095</v>
      </c>
      <c r="W35" s="127"/>
      <c r="X35" s="33">
        <f t="shared" si="23"/>
        <v>14100</v>
      </c>
      <c r="Y35" s="32">
        <f t="shared" si="24"/>
        <v>127400</v>
      </c>
      <c r="Z35" s="30"/>
      <c r="AA35" s="17">
        <v>31334</v>
      </c>
      <c r="AB35" s="33">
        <f t="shared" si="8"/>
        <v>1710000</v>
      </c>
      <c r="AC35" s="17">
        <v>831119500</v>
      </c>
      <c r="AD35" s="33">
        <f t="shared" si="9"/>
        <v>400050</v>
      </c>
      <c r="AE35" s="17">
        <v>761</v>
      </c>
      <c r="AF35" s="33">
        <f t="shared" si="36"/>
        <v>5800</v>
      </c>
      <c r="AG35" s="17">
        <v>129948</v>
      </c>
      <c r="AH35" s="33">
        <f t="shared" si="37"/>
        <v>1170</v>
      </c>
      <c r="AI35" s="17">
        <v>3927925</v>
      </c>
      <c r="AJ35" s="33">
        <f t="shared" si="27"/>
        <v>28910</v>
      </c>
      <c r="AK35" s="17">
        <v>4919726</v>
      </c>
      <c r="AL35" s="33">
        <f t="shared" si="12"/>
        <v>3027</v>
      </c>
      <c r="AM35" s="17">
        <v>28088</v>
      </c>
      <c r="AN35" s="33">
        <f t="shared" si="13"/>
        <v>16000</v>
      </c>
      <c r="AO35" s="17">
        <v>1638</v>
      </c>
      <c r="AP35" s="33">
        <f t="shared" si="14"/>
        <v>5</v>
      </c>
      <c r="AQ35" s="17">
        <v>13975</v>
      </c>
      <c r="AR35" s="33">
        <f t="shared" si="15"/>
        <v>800</v>
      </c>
      <c r="AS35" s="31"/>
      <c r="AT35" s="57">
        <f t="shared" si="25"/>
        <v>44746</v>
      </c>
      <c r="AU35" s="17">
        <v>7043</v>
      </c>
      <c r="AV35" s="33">
        <f t="shared" si="16"/>
        <v>35</v>
      </c>
      <c r="AW35" s="14"/>
      <c r="AX35" s="17">
        <v>3498422</v>
      </c>
      <c r="AY35" s="33">
        <f t="shared" si="17"/>
        <v>22838</v>
      </c>
      <c r="AZ35" s="17">
        <v>756143915</v>
      </c>
      <c r="BA35" s="34">
        <f t="shared" si="18"/>
        <v>17439.150000000001</v>
      </c>
      <c r="BB35" s="33">
        <f t="shared" si="19"/>
        <v>5398.8499999999985</v>
      </c>
      <c r="BC35" s="17">
        <v>7221800</v>
      </c>
      <c r="BD35" s="89">
        <f t="shared" si="20"/>
        <v>700</v>
      </c>
      <c r="BE35" s="53">
        <v>3799500</v>
      </c>
      <c r="BF35" s="54">
        <f t="shared" si="21"/>
        <v>0</v>
      </c>
      <c r="BG35" s="17">
        <v>1133605</v>
      </c>
      <c r="BH35" s="33">
        <f t="shared" si="22"/>
        <v>0</v>
      </c>
    </row>
    <row r="36" spans="2:60" s="58" customFormat="1" x14ac:dyDescent="0.25">
      <c r="B36" s="45">
        <v>44753</v>
      </c>
      <c r="C36" s="127">
        <v>50821739</v>
      </c>
      <c r="D36" s="127"/>
      <c r="E36" s="33">
        <f t="shared" si="0"/>
        <v>1331800</v>
      </c>
      <c r="F36" s="127">
        <v>6075140</v>
      </c>
      <c r="G36" s="127"/>
      <c r="H36" s="33">
        <f t="shared" si="1"/>
        <v>200380</v>
      </c>
      <c r="I36" s="127">
        <v>19247</v>
      </c>
      <c r="J36" s="127"/>
      <c r="K36" s="33">
        <f t="shared" si="2"/>
        <v>540</v>
      </c>
      <c r="L36" s="127">
        <v>370332</v>
      </c>
      <c r="M36" s="127"/>
      <c r="N36" s="33">
        <f t="shared" si="3"/>
        <v>1103000</v>
      </c>
      <c r="O36" s="123">
        <v>30407</v>
      </c>
      <c r="P36" s="124"/>
      <c r="Q36" s="33">
        <f t="shared" si="4"/>
        <v>25300</v>
      </c>
      <c r="R36" s="29"/>
      <c r="S36" s="123">
        <v>870232</v>
      </c>
      <c r="T36" s="124"/>
      <c r="U36" s="33">
        <f t="shared" si="5"/>
        <v>195400</v>
      </c>
      <c r="V36" s="127">
        <v>10231</v>
      </c>
      <c r="W36" s="127"/>
      <c r="X36" s="33">
        <f t="shared" si="23"/>
        <v>13600</v>
      </c>
      <c r="Y36" s="32">
        <f t="shared" si="24"/>
        <v>209000</v>
      </c>
      <c r="Z36" s="30"/>
      <c r="AA36" s="17">
        <v>31672</v>
      </c>
      <c r="AB36" s="33">
        <f t="shared" si="8"/>
        <v>3380000</v>
      </c>
      <c r="AC36" s="17">
        <v>839534768</v>
      </c>
      <c r="AD36" s="33">
        <f t="shared" si="9"/>
        <v>841526.8</v>
      </c>
      <c r="AE36" s="17">
        <v>873</v>
      </c>
      <c r="AF36" s="33">
        <f t="shared" ref="AF36" si="38">SUM(AE36-AE35)*100</f>
        <v>11200</v>
      </c>
      <c r="AG36" s="17">
        <v>130247</v>
      </c>
      <c r="AH36" s="33">
        <f t="shared" ref="AH36" si="39">SUM(AG36-AG35)*10</f>
        <v>2990</v>
      </c>
      <c r="AI36" s="17">
        <v>3936195</v>
      </c>
      <c r="AJ36" s="33">
        <f t="shared" si="27"/>
        <v>82700</v>
      </c>
      <c r="AK36" s="17">
        <v>4926448</v>
      </c>
      <c r="AL36" s="33">
        <f t="shared" si="12"/>
        <v>6722</v>
      </c>
      <c r="AM36" s="17">
        <v>28112</v>
      </c>
      <c r="AN36" s="33">
        <f t="shared" si="13"/>
        <v>24000</v>
      </c>
      <c r="AO36" s="17">
        <v>1649</v>
      </c>
      <c r="AP36" s="33">
        <f t="shared" si="14"/>
        <v>11</v>
      </c>
      <c r="AQ36" s="17">
        <v>13980</v>
      </c>
      <c r="AR36" s="33">
        <f t="shared" si="15"/>
        <v>500</v>
      </c>
      <c r="AS36" s="31"/>
      <c r="AT36" s="57">
        <f t="shared" si="25"/>
        <v>44753</v>
      </c>
      <c r="AU36" s="17">
        <v>7182</v>
      </c>
      <c r="AV36" s="33">
        <f t="shared" si="16"/>
        <v>139</v>
      </c>
      <c r="AW36" s="14"/>
      <c r="AX36" s="17">
        <v>3610229</v>
      </c>
      <c r="AY36" s="33">
        <f t="shared" si="17"/>
        <v>111807</v>
      </c>
      <c r="AZ36" s="17">
        <v>765567123</v>
      </c>
      <c r="BA36" s="34">
        <f t="shared" si="18"/>
        <v>94232.08</v>
      </c>
      <c r="BB36" s="33">
        <f t="shared" si="19"/>
        <v>17574.919999999998</v>
      </c>
      <c r="BC36" s="17">
        <v>7229500</v>
      </c>
      <c r="BD36" s="89">
        <f t="shared" si="20"/>
        <v>7700</v>
      </c>
      <c r="BE36" s="53">
        <v>3799900</v>
      </c>
      <c r="BF36" s="54">
        <f t="shared" si="21"/>
        <v>400</v>
      </c>
      <c r="BG36" s="17">
        <v>1133605</v>
      </c>
      <c r="BH36" s="33">
        <f t="shared" si="22"/>
        <v>0</v>
      </c>
    </row>
    <row r="37" spans="2:60" s="58" customFormat="1" x14ac:dyDescent="0.25">
      <c r="B37" s="45">
        <v>44760</v>
      </c>
      <c r="C37" s="127">
        <v>50949706</v>
      </c>
      <c r="D37" s="127"/>
      <c r="E37" s="33">
        <f t="shared" si="0"/>
        <v>1279670</v>
      </c>
      <c r="F37" s="127">
        <v>6093194</v>
      </c>
      <c r="G37" s="127"/>
      <c r="H37" s="33">
        <f t="shared" si="1"/>
        <v>180540</v>
      </c>
      <c r="I37" s="127">
        <v>19282</v>
      </c>
      <c r="J37" s="127"/>
      <c r="K37" s="33">
        <f t="shared" si="2"/>
        <v>350</v>
      </c>
      <c r="L37" s="127">
        <v>371443</v>
      </c>
      <c r="M37" s="127"/>
      <c r="N37" s="33">
        <f t="shared" si="3"/>
        <v>1111000</v>
      </c>
      <c r="O37" s="123">
        <v>30645</v>
      </c>
      <c r="P37" s="124"/>
      <c r="Q37" s="33">
        <f t="shared" si="4"/>
        <v>23800</v>
      </c>
      <c r="R37" s="29"/>
      <c r="S37" s="123">
        <v>872242</v>
      </c>
      <c r="T37" s="124"/>
      <c r="U37" s="33">
        <f t="shared" si="5"/>
        <v>201000</v>
      </c>
      <c r="V37" s="127">
        <v>10344</v>
      </c>
      <c r="W37" s="127"/>
      <c r="X37" s="33">
        <f t="shared" si="23"/>
        <v>11300</v>
      </c>
      <c r="Y37" s="32">
        <f t="shared" si="24"/>
        <v>212300</v>
      </c>
      <c r="Z37" s="30"/>
      <c r="AA37" s="17">
        <v>31992</v>
      </c>
      <c r="AB37" s="33">
        <f t="shared" si="8"/>
        <v>3200000</v>
      </c>
      <c r="AC37" s="17">
        <v>846935500</v>
      </c>
      <c r="AD37" s="33">
        <f t="shared" si="9"/>
        <v>740073.20000000007</v>
      </c>
      <c r="AE37" s="17">
        <v>964</v>
      </c>
      <c r="AF37" s="33">
        <f t="shared" ref="AF37" si="40">SUM(AE37-AE36)*100</f>
        <v>9100</v>
      </c>
      <c r="AG37" s="17">
        <v>130296</v>
      </c>
      <c r="AH37" s="33">
        <f t="shared" ref="AH37" si="41">SUM(AG37-AG36)*10</f>
        <v>490</v>
      </c>
      <c r="AI37" s="17">
        <v>3942124</v>
      </c>
      <c r="AJ37" s="33">
        <f t="shared" si="27"/>
        <v>59290</v>
      </c>
      <c r="AK37" s="17">
        <v>4930370</v>
      </c>
      <c r="AL37" s="33">
        <f t="shared" si="12"/>
        <v>3922</v>
      </c>
      <c r="AM37" s="17">
        <v>28119</v>
      </c>
      <c r="AN37" s="33">
        <f t="shared" si="13"/>
        <v>7000</v>
      </c>
      <c r="AO37" s="17">
        <v>1657</v>
      </c>
      <c r="AP37" s="33">
        <f t="shared" si="14"/>
        <v>8</v>
      </c>
      <c r="AQ37" s="17">
        <v>13987</v>
      </c>
      <c r="AR37" s="33">
        <f t="shared" si="15"/>
        <v>700</v>
      </c>
      <c r="AS37" s="31"/>
      <c r="AT37" s="57">
        <f t="shared" si="25"/>
        <v>44760</v>
      </c>
      <c r="AU37" s="17">
        <v>7230</v>
      </c>
      <c r="AV37" s="33">
        <f t="shared" si="16"/>
        <v>48</v>
      </c>
      <c r="AW37" s="14"/>
      <c r="AX37" s="17">
        <v>3640613</v>
      </c>
      <c r="AY37" s="33">
        <f t="shared" si="17"/>
        <v>30384</v>
      </c>
      <c r="AZ37" s="17">
        <v>767800000</v>
      </c>
      <c r="BA37" s="34">
        <f t="shared" si="18"/>
        <v>22328.77</v>
      </c>
      <c r="BB37" s="33">
        <f t="shared" si="19"/>
        <v>8055.23</v>
      </c>
      <c r="BC37" s="17">
        <v>7231500</v>
      </c>
      <c r="BD37" s="89">
        <f t="shared" si="20"/>
        <v>2000</v>
      </c>
      <c r="BE37" s="53">
        <v>3800000</v>
      </c>
      <c r="BF37" s="54">
        <f t="shared" si="21"/>
        <v>100</v>
      </c>
      <c r="BG37" s="17">
        <v>1133605</v>
      </c>
      <c r="BH37" s="33">
        <f t="shared" si="22"/>
        <v>0</v>
      </c>
    </row>
    <row r="38" spans="2:60" s="58" customFormat="1" x14ac:dyDescent="0.25">
      <c r="B38" s="45">
        <v>44767</v>
      </c>
      <c r="C38" s="127">
        <v>51096631</v>
      </c>
      <c r="D38" s="127"/>
      <c r="E38" s="33">
        <f t="shared" si="0"/>
        <v>1469250</v>
      </c>
      <c r="F38" s="127">
        <v>6111353</v>
      </c>
      <c r="G38" s="127"/>
      <c r="H38" s="33">
        <f t="shared" si="1"/>
        <v>181590</v>
      </c>
      <c r="I38" s="127">
        <v>19327</v>
      </c>
      <c r="J38" s="127"/>
      <c r="K38" s="33">
        <f t="shared" si="2"/>
        <v>450</v>
      </c>
      <c r="L38" s="127">
        <v>372656</v>
      </c>
      <c r="M38" s="127"/>
      <c r="N38" s="33">
        <f t="shared" si="3"/>
        <v>1213000</v>
      </c>
      <c r="O38" s="123">
        <v>30888</v>
      </c>
      <c r="P38" s="124"/>
      <c r="Q38" s="33">
        <f t="shared" si="4"/>
        <v>24300</v>
      </c>
      <c r="R38" s="29"/>
      <c r="S38" s="123">
        <v>874329</v>
      </c>
      <c r="T38" s="124"/>
      <c r="U38" s="33">
        <f t="shared" si="5"/>
        <v>208700</v>
      </c>
      <c r="V38" s="127">
        <v>10456</v>
      </c>
      <c r="W38" s="127"/>
      <c r="X38" s="33">
        <f t="shared" si="23"/>
        <v>11200</v>
      </c>
      <c r="Y38" s="32">
        <f t="shared" si="24"/>
        <v>219900</v>
      </c>
      <c r="Z38" s="30"/>
      <c r="AA38" s="17">
        <v>32840</v>
      </c>
      <c r="AB38" s="33">
        <f t="shared" si="8"/>
        <v>8480000</v>
      </c>
      <c r="AC38" s="17">
        <v>855463600</v>
      </c>
      <c r="AD38" s="33">
        <f t="shared" si="9"/>
        <v>852810</v>
      </c>
      <c r="AE38" s="17">
        <v>1053</v>
      </c>
      <c r="AF38" s="33">
        <f t="shared" ref="AF38:AF39" si="42">SUM(AE38-AE37)*100</f>
        <v>8900</v>
      </c>
      <c r="AG38" s="17">
        <v>130466</v>
      </c>
      <c r="AH38" s="33">
        <f t="shared" ref="AH38:AH39" si="43">SUM(AG38-AG37)*10</f>
        <v>1700</v>
      </c>
      <c r="AI38" s="17">
        <v>3949301</v>
      </c>
      <c r="AJ38" s="33">
        <f t="shared" si="27"/>
        <v>71770</v>
      </c>
      <c r="AK38" s="17">
        <v>4930370</v>
      </c>
      <c r="AL38" s="33">
        <f t="shared" si="12"/>
        <v>0</v>
      </c>
      <c r="AM38" s="17">
        <v>28181</v>
      </c>
      <c r="AN38" s="33">
        <f t="shared" si="13"/>
        <v>62000</v>
      </c>
      <c r="AO38" s="17">
        <v>1657</v>
      </c>
      <c r="AP38" s="33">
        <f t="shared" si="14"/>
        <v>0</v>
      </c>
      <c r="AQ38" s="17">
        <v>13987</v>
      </c>
      <c r="AR38" s="33">
        <f t="shared" si="15"/>
        <v>0</v>
      </c>
      <c r="AS38" s="31"/>
      <c r="AT38" s="57">
        <f t="shared" si="25"/>
        <v>44767</v>
      </c>
      <c r="AU38" s="17">
        <v>7306</v>
      </c>
      <c r="AV38" s="33">
        <f t="shared" si="16"/>
        <v>76</v>
      </c>
      <c r="AW38" s="14"/>
      <c r="AX38" s="17">
        <v>3695554</v>
      </c>
      <c r="AY38" s="33">
        <f t="shared" si="17"/>
        <v>54941</v>
      </c>
      <c r="AZ38" s="17">
        <v>771767001</v>
      </c>
      <c r="BA38" s="34">
        <f t="shared" si="18"/>
        <v>39670.01</v>
      </c>
      <c r="BB38" s="33">
        <f t="shared" si="19"/>
        <v>15270.989999999998</v>
      </c>
      <c r="BC38" s="17">
        <v>7236200</v>
      </c>
      <c r="BD38" s="89">
        <f t="shared" si="20"/>
        <v>4700</v>
      </c>
      <c r="BE38" s="53">
        <v>3800300</v>
      </c>
      <c r="BF38" s="54">
        <f t="shared" si="21"/>
        <v>300</v>
      </c>
      <c r="BG38" s="17">
        <v>1133605</v>
      </c>
      <c r="BH38" s="33">
        <f t="shared" si="22"/>
        <v>0</v>
      </c>
    </row>
    <row r="39" spans="2:60" s="58" customFormat="1" x14ac:dyDescent="0.25">
      <c r="B39" s="45">
        <v>44774</v>
      </c>
      <c r="C39" s="127">
        <v>51230693</v>
      </c>
      <c r="D39" s="127"/>
      <c r="E39" s="33">
        <f t="shared" si="0"/>
        <v>1340620</v>
      </c>
      <c r="F39" s="127">
        <v>6128610</v>
      </c>
      <c r="G39" s="127"/>
      <c r="H39" s="33">
        <f t="shared" si="1"/>
        <v>172570</v>
      </c>
      <c r="I39" s="127">
        <v>19350</v>
      </c>
      <c r="J39" s="127"/>
      <c r="K39" s="33">
        <f t="shared" si="2"/>
        <v>230</v>
      </c>
      <c r="L39" s="127">
        <v>373762</v>
      </c>
      <c r="M39" s="127"/>
      <c r="N39" s="33">
        <f t="shared" si="3"/>
        <v>1106000</v>
      </c>
      <c r="O39" s="123">
        <v>31154</v>
      </c>
      <c r="P39" s="124"/>
      <c r="Q39" s="33">
        <f t="shared" si="4"/>
        <v>26600</v>
      </c>
      <c r="R39" s="29"/>
      <c r="S39" s="123">
        <v>876299</v>
      </c>
      <c r="T39" s="124"/>
      <c r="U39" s="33">
        <f t="shared" si="5"/>
        <v>197000</v>
      </c>
      <c r="V39" s="127">
        <v>10581</v>
      </c>
      <c r="W39" s="127"/>
      <c r="X39" s="33">
        <f t="shared" si="23"/>
        <v>12500</v>
      </c>
      <c r="Y39" s="32">
        <f t="shared" si="24"/>
        <v>209500</v>
      </c>
      <c r="Z39" s="30"/>
      <c r="AA39" s="17">
        <v>32965</v>
      </c>
      <c r="AB39" s="33">
        <f t="shared" si="8"/>
        <v>1250000</v>
      </c>
      <c r="AC39" s="17">
        <v>865817300</v>
      </c>
      <c r="AD39" s="33">
        <f t="shared" si="9"/>
        <v>1035370</v>
      </c>
      <c r="AE39" s="17">
        <v>1120</v>
      </c>
      <c r="AF39" s="33">
        <f t="shared" si="42"/>
        <v>6700</v>
      </c>
      <c r="AG39" s="17">
        <v>130750</v>
      </c>
      <c r="AH39" s="33">
        <f t="shared" si="43"/>
        <v>2840</v>
      </c>
      <c r="AI39" s="17">
        <v>3953446</v>
      </c>
      <c r="AJ39" s="33">
        <f t="shared" si="27"/>
        <v>41450</v>
      </c>
      <c r="AK39" s="17">
        <v>4946609</v>
      </c>
      <c r="AL39" s="33">
        <f t="shared" si="12"/>
        <v>16239</v>
      </c>
      <c r="AM39" s="17">
        <v>28214</v>
      </c>
      <c r="AN39" s="33">
        <f t="shared" si="13"/>
        <v>33000</v>
      </c>
      <c r="AO39" s="17">
        <v>1666</v>
      </c>
      <c r="AP39" s="33">
        <f t="shared" si="14"/>
        <v>9</v>
      </c>
      <c r="AQ39" s="17">
        <v>14008</v>
      </c>
      <c r="AR39" s="33">
        <f t="shared" si="15"/>
        <v>2100</v>
      </c>
      <c r="AS39" s="31"/>
      <c r="AT39" s="57">
        <f t="shared" si="25"/>
        <v>44774</v>
      </c>
      <c r="AU39" s="17">
        <v>7390</v>
      </c>
      <c r="AV39" s="33">
        <f t="shared" si="16"/>
        <v>84</v>
      </c>
      <c r="AW39" s="14"/>
      <c r="AX39" s="17">
        <v>3756863</v>
      </c>
      <c r="AY39" s="33">
        <f t="shared" si="17"/>
        <v>61309</v>
      </c>
      <c r="AZ39" s="17">
        <v>776273973</v>
      </c>
      <c r="BA39" s="34">
        <f t="shared" si="18"/>
        <v>45069.72</v>
      </c>
      <c r="BB39" s="33">
        <f t="shared" si="19"/>
        <v>16239.279999999999</v>
      </c>
      <c r="BC39" s="17">
        <v>7240500</v>
      </c>
      <c r="BD39" s="89">
        <f t="shared" si="20"/>
        <v>4300</v>
      </c>
      <c r="BE39" s="53">
        <v>3800500</v>
      </c>
      <c r="BF39" s="54">
        <f t="shared" si="21"/>
        <v>200</v>
      </c>
      <c r="BG39" s="17">
        <v>1133605</v>
      </c>
      <c r="BH39" s="33">
        <f t="shared" si="22"/>
        <v>0</v>
      </c>
    </row>
    <row r="40" spans="2:60" s="58" customFormat="1" x14ac:dyDescent="0.25">
      <c r="B40" s="45">
        <v>44781</v>
      </c>
      <c r="C40" s="127">
        <v>51375510</v>
      </c>
      <c r="D40" s="127"/>
      <c r="E40" s="33">
        <f t="shared" si="0"/>
        <v>1448170</v>
      </c>
      <c r="F40" s="127">
        <v>6146264</v>
      </c>
      <c r="G40" s="127"/>
      <c r="H40" s="33">
        <f t="shared" si="1"/>
        <v>176540</v>
      </c>
      <c r="I40" s="127">
        <v>19388</v>
      </c>
      <c r="J40" s="127"/>
      <c r="K40" s="33">
        <f t="shared" si="2"/>
        <v>380</v>
      </c>
      <c r="L40" s="127">
        <v>374976</v>
      </c>
      <c r="M40" s="127"/>
      <c r="N40" s="33">
        <f t="shared" si="3"/>
        <v>1214000</v>
      </c>
      <c r="O40" s="123">
        <v>31444</v>
      </c>
      <c r="P40" s="124"/>
      <c r="Q40" s="33">
        <f t="shared" si="4"/>
        <v>29000</v>
      </c>
      <c r="R40" s="29"/>
      <c r="S40" s="123">
        <v>878338</v>
      </c>
      <c r="T40" s="124"/>
      <c r="U40" s="33">
        <f t="shared" si="5"/>
        <v>203900</v>
      </c>
      <c r="V40" s="127">
        <v>10710</v>
      </c>
      <c r="W40" s="127"/>
      <c r="X40" s="33">
        <f t="shared" si="23"/>
        <v>12900</v>
      </c>
      <c r="Y40" s="32">
        <f t="shared" si="24"/>
        <v>216800</v>
      </c>
      <c r="Z40" s="30"/>
      <c r="AA40" s="17">
        <v>33086</v>
      </c>
      <c r="AB40" s="33">
        <f t="shared" si="8"/>
        <v>1210000</v>
      </c>
      <c r="AC40" s="17">
        <v>878707200</v>
      </c>
      <c r="AD40" s="33">
        <f t="shared" si="9"/>
        <v>1288990</v>
      </c>
      <c r="AE40" s="17">
        <v>1200</v>
      </c>
      <c r="AF40" s="33">
        <f t="shared" ref="AF40" si="44">SUM(AE40-AE39)*100</f>
        <v>8000</v>
      </c>
      <c r="AG40" s="17">
        <v>130947</v>
      </c>
      <c r="AH40" s="33">
        <f t="shared" ref="AH40" si="45">SUM(AG40-AG39)*10</f>
        <v>1970</v>
      </c>
      <c r="AI40" s="17">
        <v>3958482</v>
      </c>
      <c r="AJ40" s="33">
        <f t="shared" si="27"/>
        <v>50360</v>
      </c>
      <c r="AK40" s="17">
        <v>4952032</v>
      </c>
      <c r="AL40" s="33">
        <f t="shared" si="12"/>
        <v>5423</v>
      </c>
      <c r="AM40" s="17">
        <v>28253</v>
      </c>
      <c r="AN40" s="33">
        <f t="shared" si="13"/>
        <v>39000</v>
      </c>
      <c r="AO40" s="17">
        <v>1673</v>
      </c>
      <c r="AP40" s="33">
        <f t="shared" si="14"/>
        <v>7</v>
      </c>
      <c r="AQ40" s="17">
        <v>14018</v>
      </c>
      <c r="AR40" s="33">
        <f t="shared" si="15"/>
        <v>1000</v>
      </c>
      <c r="AS40" s="31"/>
      <c r="AT40" s="57">
        <f t="shared" si="25"/>
        <v>44781</v>
      </c>
      <c r="AU40" s="17">
        <v>7492</v>
      </c>
      <c r="AV40" s="33">
        <f t="shared" si="16"/>
        <v>102</v>
      </c>
      <c r="AW40" s="14"/>
      <c r="AX40" s="17">
        <v>3819889</v>
      </c>
      <c r="AY40" s="33">
        <f t="shared" si="17"/>
        <v>63026</v>
      </c>
      <c r="AZ40" s="17">
        <v>780781961</v>
      </c>
      <c r="BA40" s="34">
        <f t="shared" si="18"/>
        <v>45079.88</v>
      </c>
      <c r="BB40" s="33">
        <f t="shared" si="19"/>
        <v>17946.120000000003</v>
      </c>
      <c r="BC40" s="17">
        <v>7242800</v>
      </c>
      <c r="BD40" s="89">
        <f t="shared" si="20"/>
        <v>2300</v>
      </c>
      <c r="BE40" s="53">
        <v>3801700</v>
      </c>
      <c r="BF40" s="54">
        <f t="shared" si="21"/>
        <v>1200</v>
      </c>
      <c r="BG40" s="17">
        <v>1133605</v>
      </c>
      <c r="BH40" s="33">
        <f t="shared" si="22"/>
        <v>0</v>
      </c>
    </row>
    <row r="41" spans="2:60" s="58" customFormat="1" x14ac:dyDescent="0.25">
      <c r="B41" s="45">
        <v>44788</v>
      </c>
      <c r="C41" s="127">
        <v>51524723</v>
      </c>
      <c r="D41" s="127"/>
      <c r="E41" s="33">
        <f t="shared" si="0"/>
        <v>1492130</v>
      </c>
      <c r="F41" s="127">
        <v>6167606</v>
      </c>
      <c r="G41" s="127"/>
      <c r="H41" s="33">
        <f t="shared" si="1"/>
        <v>213420</v>
      </c>
      <c r="I41" s="127">
        <v>19404</v>
      </c>
      <c r="J41" s="127"/>
      <c r="K41" s="33">
        <f t="shared" si="2"/>
        <v>160</v>
      </c>
      <c r="L41" s="127">
        <v>376168</v>
      </c>
      <c r="M41" s="127"/>
      <c r="N41" s="33">
        <f t="shared" si="3"/>
        <v>1192000</v>
      </c>
      <c r="O41" s="123">
        <v>31667</v>
      </c>
      <c r="P41" s="124"/>
      <c r="Q41" s="33">
        <f t="shared" si="4"/>
        <v>22300</v>
      </c>
      <c r="R41" s="29"/>
      <c r="S41" s="123">
        <v>880317</v>
      </c>
      <c r="T41" s="124"/>
      <c r="U41" s="33">
        <f t="shared" si="5"/>
        <v>197900</v>
      </c>
      <c r="V41" s="127">
        <v>10869</v>
      </c>
      <c r="W41" s="127"/>
      <c r="X41" s="33">
        <f t="shared" si="23"/>
        <v>15900</v>
      </c>
      <c r="Y41" s="32">
        <f t="shared" si="24"/>
        <v>213800</v>
      </c>
      <c r="Z41" s="30"/>
      <c r="AA41" s="17">
        <v>33447</v>
      </c>
      <c r="AB41" s="33">
        <f t="shared" si="8"/>
        <v>3610000</v>
      </c>
      <c r="AC41" s="17">
        <v>889841600</v>
      </c>
      <c r="AD41" s="33">
        <f t="shared" si="9"/>
        <v>1113440</v>
      </c>
      <c r="AE41" s="17">
        <v>1254</v>
      </c>
      <c r="AF41" s="33">
        <f t="shared" ref="AF41" si="46">SUM(AE41-AE40)*100</f>
        <v>5400</v>
      </c>
      <c r="AG41" s="17">
        <v>131259</v>
      </c>
      <c r="AH41" s="33">
        <f t="shared" ref="AH41" si="47">SUM(AG41-AG40)*10</f>
        <v>3120</v>
      </c>
      <c r="AI41" s="17">
        <v>3964492</v>
      </c>
      <c r="AJ41" s="33">
        <f t="shared" si="27"/>
        <v>60100</v>
      </c>
      <c r="AK41" s="17">
        <v>4964273</v>
      </c>
      <c r="AL41" s="33">
        <f t="shared" si="12"/>
        <v>12241</v>
      </c>
      <c r="AM41" s="17">
        <v>28306</v>
      </c>
      <c r="AN41" s="33">
        <f t="shared" si="13"/>
        <v>53000</v>
      </c>
      <c r="AO41" s="17">
        <v>1681</v>
      </c>
      <c r="AP41" s="33">
        <f t="shared" si="14"/>
        <v>8</v>
      </c>
      <c r="AQ41" s="17">
        <v>14028</v>
      </c>
      <c r="AR41" s="33">
        <f t="shared" si="15"/>
        <v>1000</v>
      </c>
      <c r="AS41" s="31"/>
      <c r="AT41" s="57">
        <f t="shared" si="25"/>
        <v>44788</v>
      </c>
      <c r="AU41" s="17">
        <v>7551</v>
      </c>
      <c r="AV41" s="33">
        <f t="shared" si="16"/>
        <v>59</v>
      </c>
      <c r="AW41" s="14"/>
      <c r="AX41" s="17">
        <v>3856543</v>
      </c>
      <c r="AY41" s="33">
        <f t="shared" si="17"/>
        <v>36654</v>
      </c>
      <c r="AZ41" s="17">
        <v>783604083</v>
      </c>
      <c r="BA41" s="34">
        <f t="shared" si="18"/>
        <v>28221.22</v>
      </c>
      <c r="BB41" s="33">
        <f t="shared" si="19"/>
        <v>8432.7799999999988</v>
      </c>
      <c r="BC41" s="17">
        <v>7247500</v>
      </c>
      <c r="BD41" s="89">
        <f t="shared" si="20"/>
        <v>4700</v>
      </c>
      <c r="BE41" s="53">
        <v>3801900</v>
      </c>
      <c r="BF41" s="54">
        <f t="shared" si="21"/>
        <v>200</v>
      </c>
      <c r="BG41" s="17">
        <v>1133605</v>
      </c>
      <c r="BH41" s="33">
        <f t="shared" si="22"/>
        <v>0</v>
      </c>
    </row>
    <row r="42" spans="2:60" s="58" customFormat="1" x14ac:dyDescent="0.25">
      <c r="B42" s="45">
        <v>44795</v>
      </c>
      <c r="C42" s="128"/>
      <c r="D42" s="129"/>
      <c r="E42" s="33">
        <f t="shared" si="0"/>
        <v>-515247230</v>
      </c>
      <c r="F42" s="128"/>
      <c r="G42" s="129"/>
      <c r="H42" s="33">
        <f t="shared" si="1"/>
        <v>-61676060</v>
      </c>
      <c r="I42" s="128"/>
      <c r="J42" s="129"/>
      <c r="K42" s="33">
        <f t="shared" si="2"/>
        <v>-194040</v>
      </c>
      <c r="L42" s="128"/>
      <c r="M42" s="129"/>
      <c r="N42" s="33">
        <f t="shared" si="3"/>
        <v>-376168000</v>
      </c>
      <c r="O42" s="128"/>
      <c r="P42" s="129"/>
      <c r="Q42" s="33">
        <f t="shared" si="4"/>
        <v>-3166700</v>
      </c>
      <c r="R42" s="29"/>
      <c r="S42" s="128"/>
      <c r="T42" s="129"/>
      <c r="U42" s="33">
        <f t="shared" si="5"/>
        <v>-88031700</v>
      </c>
      <c r="V42" s="128"/>
      <c r="W42" s="129"/>
      <c r="X42" s="33">
        <f t="shared" si="23"/>
        <v>-1086900</v>
      </c>
      <c r="Y42" s="32">
        <f t="shared" si="24"/>
        <v>-89118600</v>
      </c>
      <c r="Z42" s="30"/>
      <c r="AA42" s="59"/>
      <c r="AB42" s="61"/>
      <c r="AC42" s="59"/>
      <c r="AD42" s="61"/>
      <c r="AE42" s="61"/>
      <c r="AF42" s="61"/>
      <c r="AG42" s="59"/>
      <c r="AH42" s="61"/>
      <c r="AI42" s="59"/>
      <c r="AJ42" s="61"/>
      <c r="AK42" s="59"/>
      <c r="AL42" s="61"/>
      <c r="AM42" s="59"/>
      <c r="AN42" s="61"/>
      <c r="AO42" s="59"/>
      <c r="AP42" s="61"/>
      <c r="AQ42" s="59"/>
      <c r="AR42" s="61"/>
      <c r="AS42" s="31"/>
      <c r="AT42" s="57">
        <f t="shared" si="25"/>
        <v>44795</v>
      </c>
      <c r="AU42" s="59"/>
      <c r="AV42" s="61"/>
      <c r="AW42" s="62"/>
      <c r="AX42" s="59"/>
      <c r="AY42" s="61"/>
      <c r="AZ42" s="59"/>
      <c r="BA42" s="61"/>
      <c r="BB42" s="61"/>
      <c r="BC42" s="59"/>
      <c r="BD42" s="63"/>
      <c r="BE42" s="60"/>
      <c r="BF42" s="64"/>
      <c r="BG42" s="59"/>
      <c r="BH42" s="61"/>
    </row>
    <row r="43" spans="2:60" s="58" customFormat="1" x14ac:dyDescent="0.25">
      <c r="B43" s="45">
        <v>44802</v>
      </c>
      <c r="C43" s="127"/>
      <c r="D43" s="127"/>
      <c r="E43" s="33">
        <f t="shared" si="0"/>
        <v>0</v>
      </c>
      <c r="F43" s="127"/>
      <c r="G43" s="127"/>
      <c r="H43" s="33">
        <f t="shared" si="1"/>
        <v>0</v>
      </c>
      <c r="I43" s="127"/>
      <c r="J43" s="127"/>
      <c r="K43" s="33">
        <f t="shared" si="2"/>
        <v>0</v>
      </c>
      <c r="L43" s="127"/>
      <c r="M43" s="127"/>
      <c r="N43" s="33">
        <f t="shared" si="3"/>
        <v>0</v>
      </c>
      <c r="O43" s="127"/>
      <c r="P43" s="127"/>
      <c r="Q43" s="33">
        <f t="shared" si="4"/>
        <v>0</v>
      </c>
      <c r="R43" s="29"/>
      <c r="S43" s="127"/>
      <c r="T43" s="127"/>
      <c r="U43" s="33">
        <f t="shared" si="5"/>
        <v>0</v>
      </c>
      <c r="V43" s="127"/>
      <c r="W43" s="127"/>
      <c r="X43" s="33">
        <f t="shared" si="23"/>
        <v>0</v>
      </c>
      <c r="Y43" s="32">
        <f t="shared" si="24"/>
        <v>0</v>
      </c>
      <c r="Z43" s="30"/>
      <c r="AA43" s="17"/>
      <c r="AB43" s="33"/>
      <c r="AC43" s="17"/>
      <c r="AD43" s="33"/>
      <c r="AE43" s="33"/>
      <c r="AF43" s="33"/>
      <c r="AG43" s="17"/>
      <c r="AH43" s="33"/>
      <c r="AI43" s="17"/>
      <c r="AJ43" s="33"/>
      <c r="AK43" s="17"/>
      <c r="AL43" s="33"/>
      <c r="AM43" s="17"/>
      <c r="AN43" s="33"/>
      <c r="AO43" s="17"/>
      <c r="AP43" s="33"/>
      <c r="AQ43" s="17"/>
      <c r="AR43" s="33"/>
      <c r="AS43" s="31"/>
      <c r="AT43" s="57">
        <f t="shared" si="25"/>
        <v>44802</v>
      </c>
      <c r="AU43" s="17"/>
      <c r="AV43" s="33"/>
      <c r="AW43" s="14"/>
      <c r="AX43" s="17"/>
      <c r="AY43" s="33"/>
      <c r="AZ43" s="17"/>
      <c r="BA43" s="34"/>
      <c r="BB43" s="33"/>
      <c r="BC43" s="17"/>
      <c r="BD43" s="89"/>
      <c r="BE43" s="53"/>
      <c r="BF43" s="54"/>
      <c r="BG43" s="17"/>
      <c r="BH43" s="33"/>
    </row>
    <row r="44" spans="2:60" s="58" customFormat="1" x14ac:dyDescent="0.25">
      <c r="B44" s="45">
        <v>44804</v>
      </c>
      <c r="C44" s="127"/>
      <c r="D44" s="127"/>
      <c r="E44" s="33">
        <f t="shared" si="0"/>
        <v>0</v>
      </c>
      <c r="F44" s="127"/>
      <c r="G44" s="127"/>
      <c r="H44" s="33">
        <f t="shared" si="1"/>
        <v>0</v>
      </c>
      <c r="I44" s="127"/>
      <c r="J44" s="127"/>
      <c r="K44" s="33">
        <f t="shared" si="2"/>
        <v>0</v>
      </c>
      <c r="L44" s="127"/>
      <c r="M44" s="127"/>
      <c r="N44" s="33">
        <f t="shared" si="3"/>
        <v>0</v>
      </c>
      <c r="O44" s="127"/>
      <c r="P44" s="127"/>
      <c r="Q44" s="33">
        <f t="shared" si="4"/>
        <v>0</v>
      </c>
      <c r="R44" s="29"/>
      <c r="S44" s="127"/>
      <c r="T44" s="127"/>
      <c r="U44" s="33">
        <f t="shared" si="5"/>
        <v>0</v>
      </c>
      <c r="V44" s="127"/>
      <c r="W44" s="127"/>
      <c r="X44" s="33">
        <f t="shared" si="23"/>
        <v>0</v>
      </c>
      <c r="Y44" s="32">
        <f t="shared" si="24"/>
        <v>0</v>
      </c>
      <c r="Z44" s="30"/>
      <c r="AA44" s="17"/>
      <c r="AB44" s="33"/>
      <c r="AC44" s="17"/>
      <c r="AD44" s="33"/>
      <c r="AE44" s="33"/>
      <c r="AF44" s="33"/>
      <c r="AG44" s="17"/>
      <c r="AH44" s="33"/>
      <c r="AI44" s="17"/>
      <c r="AJ44" s="33"/>
      <c r="AK44" s="17"/>
      <c r="AL44" s="33"/>
      <c r="AM44" s="17"/>
      <c r="AN44" s="33"/>
      <c r="AO44" s="17"/>
      <c r="AP44" s="33"/>
      <c r="AQ44" s="17"/>
      <c r="AR44" s="33"/>
      <c r="AS44" s="31"/>
      <c r="AT44" s="57">
        <f t="shared" si="25"/>
        <v>44804</v>
      </c>
      <c r="AU44" s="17"/>
      <c r="AV44" s="33"/>
      <c r="AW44" s="14"/>
      <c r="AX44" s="17"/>
      <c r="AY44" s="33"/>
      <c r="AZ44" s="17"/>
      <c r="BA44" s="33"/>
      <c r="BB44" s="33"/>
      <c r="BC44" s="17"/>
      <c r="BD44" s="33"/>
      <c r="BE44" s="53"/>
      <c r="BF44" s="33"/>
      <c r="BG44" s="17"/>
      <c r="BH44" s="33"/>
    </row>
    <row r="45" spans="2:60" x14ac:dyDescent="0.25">
      <c r="B45" s="45">
        <v>44809</v>
      </c>
      <c r="C45" s="128"/>
      <c r="D45" s="129"/>
      <c r="E45" s="33">
        <f t="shared" si="0"/>
        <v>0</v>
      </c>
      <c r="F45" s="128"/>
      <c r="G45" s="129"/>
      <c r="H45" s="33">
        <f t="shared" si="1"/>
        <v>0</v>
      </c>
      <c r="I45" s="128"/>
      <c r="J45" s="129"/>
      <c r="K45" s="33">
        <f t="shared" si="2"/>
        <v>0</v>
      </c>
      <c r="L45" s="128"/>
      <c r="M45" s="129"/>
      <c r="N45" s="33">
        <f t="shared" si="3"/>
        <v>0</v>
      </c>
      <c r="O45" s="128"/>
      <c r="P45" s="129"/>
      <c r="Q45" s="33">
        <f t="shared" si="4"/>
        <v>0</v>
      </c>
      <c r="R45" s="29"/>
      <c r="S45" s="128"/>
      <c r="T45" s="129"/>
      <c r="U45" s="33">
        <f t="shared" si="5"/>
        <v>0</v>
      </c>
      <c r="V45" s="128"/>
      <c r="W45" s="129"/>
      <c r="X45" s="33">
        <f t="shared" si="23"/>
        <v>0</v>
      </c>
      <c r="Y45" s="32">
        <f t="shared" si="24"/>
        <v>0</v>
      </c>
      <c r="Z45" s="30"/>
      <c r="AA45" s="59"/>
      <c r="AB45" s="61"/>
      <c r="AC45" s="59"/>
      <c r="AD45" s="61"/>
      <c r="AE45" s="61"/>
      <c r="AF45" s="61"/>
      <c r="AG45" s="59"/>
      <c r="AH45" s="61"/>
      <c r="AI45" s="59"/>
      <c r="AJ45" s="61"/>
      <c r="AK45" s="59"/>
      <c r="AL45" s="61"/>
      <c r="AM45" s="59"/>
      <c r="AN45" s="61"/>
      <c r="AO45" s="59"/>
      <c r="AP45" s="61"/>
      <c r="AQ45" s="59"/>
      <c r="AR45" s="61"/>
      <c r="AS45" s="31"/>
      <c r="AT45" s="57">
        <f t="shared" si="25"/>
        <v>44809</v>
      </c>
      <c r="AU45" s="59"/>
      <c r="AV45" s="61"/>
      <c r="AW45" s="62"/>
      <c r="AX45" s="59"/>
      <c r="AY45" s="61"/>
      <c r="AZ45" s="59"/>
      <c r="BA45" s="61"/>
      <c r="BB45" s="61"/>
      <c r="BC45" s="59"/>
      <c r="BD45" s="63"/>
      <c r="BE45" s="60"/>
      <c r="BF45" s="64"/>
      <c r="BG45" s="59"/>
      <c r="BH45" s="61"/>
    </row>
    <row r="46" spans="2:60" x14ac:dyDescent="0.25">
      <c r="B46" s="45">
        <v>44816</v>
      </c>
      <c r="C46" s="127"/>
      <c r="D46" s="127"/>
      <c r="E46" s="33">
        <f t="shared" si="0"/>
        <v>0</v>
      </c>
      <c r="F46" s="127"/>
      <c r="G46" s="127"/>
      <c r="H46" s="33">
        <f t="shared" si="1"/>
        <v>0</v>
      </c>
      <c r="I46" s="127"/>
      <c r="J46" s="127"/>
      <c r="K46" s="33">
        <f t="shared" si="2"/>
        <v>0</v>
      </c>
      <c r="L46" s="127"/>
      <c r="M46" s="127"/>
      <c r="N46" s="33">
        <f t="shared" si="3"/>
        <v>0</v>
      </c>
      <c r="O46" s="127"/>
      <c r="P46" s="127"/>
      <c r="Q46" s="33">
        <f t="shared" si="4"/>
        <v>0</v>
      </c>
      <c r="R46" s="29"/>
      <c r="S46" s="127"/>
      <c r="T46" s="127"/>
      <c r="U46" s="33">
        <f t="shared" si="5"/>
        <v>0</v>
      </c>
      <c r="V46" s="127"/>
      <c r="W46" s="127"/>
      <c r="X46" s="33">
        <f t="shared" si="23"/>
        <v>0</v>
      </c>
      <c r="Y46" s="32">
        <f t="shared" si="24"/>
        <v>0</v>
      </c>
      <c r="Z46" s="30"/>
      <c r="AA46" s="17"/>
      <c r="AB46" s="33"/>
      <c r="AC46" s="17"/>
      <c r="AD46" s="33"/>
      <c r="AE46" s="33"/>
      <c r="AF46" s="33"/>
      <c r="AG46" s="17"/>
      <c r="AH46" s="33"/>
      <c r="AI46" s="17"/>
      <c r="AJ46" s="33"/>
      <c r="AK46" s="17"/>
      <c r="AL46" s="33"/>
      <c r="AM46" s="17"/>
      <c r="AN46" s="33"/>
      <c r="AO46" s="17"/>
      <c r="AP46" s="33"/>
      <c r="AQ46" s="17"/>
      <c r="AR46" s="33"/>
      <c r="AS46" s="31"/>
      <c r="AT46" s="57">
        <f t="shared" si="25"/>
        <v>44816</v>
      </c>
      <c r="AU46" s="17"/>
      <c r="AV46" s="33"/>
      <c r="AW46" s="14"/>
      <c r="AX46" s="17"/>
      <c r="AY46" s="33"/>
      <c r="AZ46" s="17"/>
      <c r="BA46" s="34"/>
      <c r="BB46" s="33"/>
      <c r="BC46" s="17"/>
      <c r="BD46" s="89"/>
      <c r="BE46" s="53"/>
      <c r="BF46" s="54"/>
      <c r="BG46" s="17"/>
      <c r="BH46" s="33"/>
    </row>
    <row r="47" spans="2:60" x14ac:dyDescent="0.25">
      <c r="B47" s="45">
        <v>44823</v>
      </c>
      <c r="C47" s="128"/>
      <c r="D47" s="129"/>
      <c r="E47" s="33">
        <f t="shared" si="0"/>
        <v>0</v>
      </c>
      <c r="F47" s="128"/>
      <c r="G47" s="129"/>
      <c r="H47" s="33">
        <f t="shared" si="1"/>
        <v>0</v>
      </c>
      <c r="I47" s="128"/>
      <c r="J47" s="129"/>
      <c r="K47" s="33">
        <f t="shared" si="2"/>
        <v>0</v>
      </c>
      <c r="L47" s="128"/>
      <c r="M47" s="129"/>
      <c r="N47" s="33">
        <f t="shared" si="3"/>
        <v>0</v>
      </c>
      <c r="O47" s="128"/>
      <c r="P47" s="129"/>
      <c r="Q47" s="33">
        <f t="shared" si="4"/>
        <v>0</v>
      </c>
      <c r="R47" s="29"/>
      <c r="S47" s="128"/>
      <c r="T47" s="129"/>
      <c r="U47" s="33">
        <f t="shared" si="5"/>
        <v>0</v>
      </c>
      <c r="V47" s="128"/>
      <c r="W47" s="129"/>
      <c r="X47" s="33">
        <f t="shared" si="23"/>
        <v>0</v>
      </c>
      <c r="Y47" s="32">
        <f t="shared" si="24"/>
        <v>0</v>
      </c>
      <c r="Z47" s="30"/>
      <c r="AA47" s="59"/>
      <c r="AB47" s="61"/>
      <c r="AC47" s="59"/>
      <c r="AD47" s="61"/>
      <c r="AE47" s="61"/>
      <c r="AF47" s="61"/>
      <c r="AG47" s="59"/>
      <c r="AH47" s="61"/>
      <c r="AI47" s="59"/>
      <c r="AJ47" s="61"/>
      <c r="AK47" s="59"/>
      <c r="AL47" s="61"/>
      <c r="AM47" s="59"/>
      <c r="AN47" s="61"/>
      <c r="AO47" s="59"/>
      <c r="AP47" s="61"/>
      <c r="AQ47" s="59"/>
      <c r="AR47" s="61"/>
      <c r="AS47" s="31"/>
      <c r="AT47" s="57">
        <f t="shared" si="25"/>
        <v>44823</v>
      </c>
      <c r="AU47" s="59"/>
      <c r="AV47" s="61"/>
      <c r="AW47" s="62"/>
      <c r="AX47" s="59"/>
      <c r="AY47" s="61"/>
      <c r="AZ47" s="59"/>
      <c r="BA47" s="61"/>
      <c r="BB47" s="61"/>
      <c r="BC47" s="59"/>
      <c r="BD47" s="63"/>
      <c r="BE47" s="60"/>
      <c r="BF47" s="64"/>
      <c r="BG47" s="59"/>
      <c r="BH47" s="61"/>
    </row>
    <row r="48" spans="2:60" x14ac:dyDescent="0.25">
      <c r="B48" s="45">
        <v>44830</v>
      </c>
      <c r="C48" s="128"/>
      <c r="D48" s="129"/>
      <c r="E48" s="33">
        <f t="shared" si="0"/>
        <v>0</v>
      </c>
      <c r="F48" s="128"/>
      <c r="G48" s="129"/>
      <c r="H48" s="33">
        <f t="shared" si="1"/>
        <v>0</v>
      </c>
      <c r="I48" s="128"/>
      <c r="J48" s="129"/>
      <c r="K48" s="33">
        <f t="shared" si="2"/>
        <v>0</v>
      </c>
      <c r="L48" s="128"/>
      <c r="M48" s="129"/>
      <c r="N48" s="33">
        <f t="shared" si="3"/>
        <v>0</v>
      </c>
      <c r="O48" s="128"/>
      <c r="P48" s="129"/>
      <c r="Q48" s="33">
        <f t="shared" si="4"/>
        <v>0</v>
      </c>
      <c r="R48" s="29"/>
      <c r="S48" s="128"/>
      <c r="T48" s="129"/>
      <c r="U48" s="33">
        <f t="shared" si="5"/>
        <v>0</v>
      </c>
      <c r="V48" s="128"/>
      <c r="W48" s="129"/>
      <c r="X48" s="33">
        <f t="shared" si="23"/>
        <v>0</v>
      </c>
      <c r="Y48" s="32">
        <f t="shared" si="24"/>
        <v>0</v>
      </c>
      <c r="Z48" s="30"/>
      <c r="AA48" s="59"/>
      <c r="AB48" s="61"/>
      <c r="AC48" s="59"/>
      <c r="AD48" s="61"/>
      <c r="AE48" s="61"/>
      <c r="AF48" s="61"/>
      <c r="AG48" s="59"/>
      <c r="AH48" s="61"/>
      <c r="AI48" s="59"/>
      <c r="AJ48" s="61"/>
      <c r="AK48" s="59"/>
      <c r="AL48" s="61"/>
      <c r="AM48" s="59"/>
      <c r="AN48" s="61"/>
      <c r="AO48" s="59"/>
      <c r="AP48" s="61"/>
      <c r="AQ48" s="59"/>
      <c r="AR48" s="61"/>
      <c r="AS48" s="31"/>
      <c r="AT48" s="57">
        <f t="shared" si="25"/>
        <v>44830</v>
      </c>
      <c r="AU48" s="59"/>
      <c r="AV48" s="61"/>
      <c r="AW48" s="62"/>
      <c r="AX48" s="59"/>
      <c r="AY48" s="61"/>
      <c r="AZ48" s="59"/>
      <c r="BA48" s="61"/>
      <c r="BB48" s="61"/>
      <c r="BC48" s="59"/>
      <c r="BD48" s="63"/>
      <c r="BE48" s="60"/>
      <c r="BF48" s="64"/>
      <c r="BG48" s="59"/>
      <c r="BH48" s="61"/>
    </row>
    <row r="49" spans="2:60" x14ac:dyDescent="0.25">
      <c r="B49" s="45">
        <v>44834</v>
      </c>
      <c r="C49" s="128"/>
      <c r="D49" s="129"/>
      <c r="E49" s="33">
        <f t="shared" si="0"/>
        <v>0</v>
      </c>
      <c r="F49" s="128"/>
      <c r="G49" s="129"/>
      <c r="H49" s="33">
        <f t="shared" si="1"/>
        <v>0</v>
      </c>
      <c r="I49" s="128"/>
      <c r="J49" s="129"/>
      <c r="K49" s="33">
        <f t="shared" si="2"/>
        <v>0</v>
      </c>
      <c r="L49" s="128"/>
      <c r="M49" s="129"/>
      <c r="N49" s="33">
        <f t="shared" si="3"/>
        <v>0</v>
      </c>
      <c r="O49" s="128"/>
      <c r="P49" s="129"/>
      <c r="Q49" s="33">
        <f t="shared" si="4"/>
        <v>0</v>
      </c>
      <c r="R49" s="29"/>
      <c r="S49" s="128"/>
      <c r="T49" s="129"/>
      <c r="U49" s="33">
        <f t="shared" si="5"/>
        <v>0</v>
      </c>
      <c r="V49" s="128"/>
      <c r="W49" s="129"/>
      <c r="X49" s="33">
        <f t="shared" si="23"/>
        <v>0</v>
      </c>
      <c r="Y49" s="32">
        <f t="shared" si="24"/>
        <v>0</v>
      </c>
      <c r="Z49" s="30"/>
      <c r="AA49" s="59"/>
      <c r="AB49" s="61"/>
      <c r="AC49" s="59"/>
      <c r="AD49" s="61"/>
      <c r="AE49" s="61"/>
      <c r="AF49" s="61"/>
      <c r="AG49" s="59"/>
      <c r="AH49" s="61"/>
      <c r="AI49" s="59"/>
      <c r="AJ49" s="61"/>
      <c r="AK49" s="59"/>
      <c r="AL49" s="61"/>
      <c r="AM49" s="59"/>
      <c r="AN49" s="61"/>
      <c r="AO49" s="59"/>
      <c r="AP49" s="61"/>
      <c r="AQ49" s="59"/>
      <c r="AR49" s="61"/>
      <c r="AS49" s="31"/>
      <c r="AT49" s="57">
        <f t="shared" si="25"/>
        <v>44834</v>
      </c>
      <c r="AU49" s="59"/>
      <c r="AV49" s="61"/>
      <c r="AW49" s="62"/>
      <c r="AX49" s="59"/>
      <c r="AY49" s="61"/>
      <c r="AZ49" s="59"/>
      <c r="BA49" s="61"/>
      <c r="BB49" s="61"/>
      <c r="BC49" s="59"/>
      <c r="BD49" s="63"/>
      <c r="BE49" s="60"/>
      <c r="BF49" s="64"/>
      <c r="BG49" s="59"/>
      <c r="BH49" s="61"/>
    </row>
    <row r="50" spans="2:60" x14ac:dyDescent="0.25">
      <c r="B50" s="45">
        <v>44837</v>
      </c>
      <c r="C50" s="127"/>
      <c r="D50" s="127"/>
      <c r="E50" s="33">
        <f t="shared" si="0"/>
        <v>0</v>
      </c>
      <c r="F50" s="127"/>
      <c r="G50" s="127"/>
      <c r="H50" s="33">
        <f t="shared" si="1"/>
        <v>0</v>
      </c>
      <c r="I50" s="127"/>
      <c r="J50" s="127"/>
      <c r="K50" s="33">
        <f t="shared" si="2"/>
        <v>0</v>
      </c>
      <c r="L50" s="127"/>
      <c r="M50" s="127"/>
      <c r="N50" s="33">
        <f t="shared" si="3"/>
        <v>0</v>
      </c>
      <c r="O50" s="127"/>
      <c r="P50" s="127"/>
      <c r="Q50" s="33">
        <f t="shared" si="4"/>
        <v>0</v>
      </c>
      <c r="R50" s="29"/>
      <c r="S50" s="127"/>
      <c r="T50" s="127"/>
      <c r="U50" s="33">
        <f t="shared" si="5"/>
        <v>0</v>
      </c>
      <c r="V50" s="127"/>
      <c r="W50" s="127"/>
      <c r="X50" s="33">
        <f t="shared" si="23"/>
        <v>0</v>
      </c>
      <c r="Y50" s="32">
        <f t="shared" si="24"/>
        <v>0</v>
      </c>
      <c r="Z50" s="30"/>
      <c r="AA50" s="17"/>
      <c r="AB50" s="33"/>
      <c r="AC50" s="17"/>
      <c r="AD50" s="33"/>
      <c r="AE50" s="33"/>
      <c r="AF50" s="33"/>
      <c r="AG50" s="17"/>
      <c r="AH50" s="33"/>
      <c r="AI50" s="17"/>
      <c r="AJ50" s="33"/>
      <c r="AK50" s="17"/>
      <c r="AL50" s="33"/>
      <c r="AM50" s="17"/>
      <c r="AN50" s="33"/>
      <c r="AO50" s="17"/>
      <c r="AP50" s="33"/>
      <c r="AQ50" s="17"/>
      <c r="AR50" s="33"/>
      <c r="AS50" s="31"/>
      <c r="AT50" s="57">
        <f t="shared" si="25"/>
        <v>44837</v>
      </c>
      <c r="AU50" s="17"/>
      <c r="AV50" s="33"/>
      <c r="AW50" s="14"/>
      <c r="AX50" s="17"/>
      <c r="AY50" s="33"/>
      <c r="AZ50" s="17"/>
      <c r="BA50" s="34"/>
      <c r="BB50" s="33"/>
      <c r="BC50" s="17"/>
      <c r="BD50" s="89"/>
      <c r="BE50" s="53"/>
      <c r="BF50" s="54"/>
      <c r="BG50" s="17"/>
      <c r="BH50" s="33"/>
    </row>
    <row r="51" spans="2:60" x14ac:dyDescent="0.25">
      <c r="B51" s="45">
        <v>44844</v>
      </c>
      <c r="C51" s="127"/>
      <c r="D51" s="127"/>
      <c r="E51" s="33">
        <f t="shared" si="0"/>
        <v>0</v>
      </c>
      <c r="F51" s="127"/>
      <c r="G51" s="127"/>
      <c r="H51" s="33">
        <f t="shared" si="1"/>
        <v>0</v>
      </c>
      <c r="I51" s="127"/>
      <c r="J51" s="127"/>
      <c r="K51" s="33">
        <f t="shared" si="2"/>
        <v>0</v>
      </c>
      <c r="L51" s="127"/>
      <c r="M51" s="127"/>
      <c r="N51" s="33">
        <f t="shared" si="3"/>
        <v>0</v>
      </c>
      <c r="O51" s="127"/>
      <c r="P51" s="127"/>
      <c r="Q51" s="33">
        <f t="shared" si="4"/>
        <v>0</v>
      </c>
      <c r="R51" s="29"/>
      <c r="S51" s="127"/>
      <c r="T51" s="127"/>
      <c r="U51" s="33">
        <f t="shared" si="5"/>
        <v>0</v>
      </c>
      <c r="V51" s="127"/>
      <c r="W51" s="127"/>
      <c r="X51" s="33">
        <f t="shared" si="23"/>
        <v>0</v>
      </c>
      <c r="Y51" s="32">
        <f t="shared" si="24"/>
        <v>0</v>
      </c>
      <c r="Z51" s="30"/>
      <c r="AA51" s="17"/>
      <c r="AB51" s="33"/>
      <c r="AC51" s="17"/>
      <c r="AD51" s="33"/>
      <c r="AE51" s="33"/>
      <c r="AF51" s="33"/>
      <c r="AG51" s="17"/>
      <c r="AH51" s="33"/>
      <c r="AI51" s="17"/>
      <c r="AJ51" s="33"/>
      <c r="AK51" s="17"/>
      <c r="AL51" s="33"/>
      <c r="AM51" s="17"/>
      <c r="AN51" s="33"/>
      <c r="AO51" s="17"/>
      <c r="AP51" s="33"/>
      <c r="AQ51" s="17"/>
      <c r="AR51" s="33"/>
      <c r="AS51" s="31"/>
      <c r="AT51" s="57">
        <f t="shared" si="25"/>
        <v>44844</v>
      </c>
      <c r="AU51" s="17"/>
      <c r="AV51" s="33"/>
      <c r="AW51" s="14"/>
      <c r="AX51" s="17"/>
      <c r="AY51" s="33"/>
      <c r="AZ51" s="17"/>
      <c r="BA51" s="34"/>
      <c r="BB51" s="33"/>
      <c r="BC51" s="17"/>
      <c r="BD51" s="89"/>
      <c r="BE51" s="53"/>
      <c r="BF51" s="54"/>
      <c r="BG51" s="17"/>
      <c r="BH51" s="33"/>
    </row>
    <row r="52" spans="2:60" x14ac:dyDescent="0.25">
      <c r="B52" s="45">
        <v>44851</v>
      </c>
      <c r="C52" s="127"/>
      <c r="D52" s="127"/>
      <c r="E52" s="33">
        <f t="shared" si="0"/>
        <v>0</v>
      </c>
      <c r="F52" s="127"/>
      <c r="G52" s="127"/>
      <c r="H52" s="33">
        <f t="shared" si="1"/>
        <v>0</v>
      </c>
      <c r="I52" s="127"/>
      <c r="J52" s="127"/>
      <c r="K52" s="33">
        <f t="shared" si="2"/>
        <v>0</v>
      </c>
      <c r="L52" s="127"/>
      <c r="M52" s="127"/>
      <c r="N52" s="33">
        <f t="shared" si="3"/>
        <v>0</v>
      </c>
      <c r="O52" s="127"/>
      <c r="P52" s="127"/>
      <c r="Q52" s="33">
        <f t="shared" si="4"/>
        <v>0</v>
      </c>
      <c r="R52" s="29"/>
      <c r="S52" s="127"/>
      <c r="T52" s="127"/>
      <c r="U52" s="33">
        <f t="shared" si="5"/>
        <v>0</v>
      </c>
      <c r="V52" s="127"/>
      <c r="W52" s="127"/>
      <c r="X52" s="33">
        <f t="shared" si="23"/>
        <v>0</v>
      </c>
      <c r="Y52" s="32">
        <f t="shared" si="24"/>
        <v>0</v>
      </c>
      <c r="Z52" s="30"/>
      <c r="AA52" s="17"/>
      <c r="AB52" s="33"/>
      <c r="AC52" s="17"/>
      <c r="AD52" s="33"/>
      <c r="AE52" s="33"/>
      <c r="AF52" s="33"/>
      <c r="AG52" s="17"/>
      <c r="AH52" s="33"/>
      <c r="AI52" s="17"/>
      <c r="AJ52" s="33"/>
      <c r="AK52" s="17"/>
      <c r="AL52" s="33"/>
      <c r="AM52" s="17"/>
      <c r="AN52" s="33"/>
      <c r="AO52" s="17"/>
      <c r="AP52" s="33"/>
      <c r="AQ52" s="17"/>
      <c r="AR52" s="33"/>
      <c r="AS52" s="31"/>
      <c r="AT52" s="57">
        <f t="shared" si="25"/>
        <v>44851</v>
      </c>
      <c r="AU52" s="17"/>
      <c r="AV52" s="33"/>
      <c r="AW52" s="14"/>
      <c r="AX52" s="17"/>
      <c r="AY52" s="33"/>
      <c r="AZ52" s="17"/>
      <c r="BA52" s="34"/>
      <c r="BB52" s="33"/>
      <c r="BC52" s="17"/>
      <c r="BD52" s="89"/>
      <c r="BE52" s="53"/>
      <c r="BF52" s="54"/>
      <c r="BG52" s="17"/>
      <c r="BH52" s="33"/>
    </row>
    <row r="53" spans="2:60" x14ac:dyDescent="0.25">
      <c r="B53" s="45">
        <v>44858</v>
      </c>
      <c r="C53" s="127"/>
      <c r="D53" s="127"/>
      <c r="E53" s="33">
        <f t="shared" si="0"/>
        <v>0</v>
      </c>
      <c r="F53" s="127"/>
      <c r="G53" s="127"/>
      <c r="H53" s="33">
        <f t="shared" si="1"/>
        <v>0</v>
      </c>
      <c r="I53" s="127"/>
      <c r="J53" s="127"/>
      <c r="K53" s="33">
        <f t="shared" si="2"/>
        <v>0</v>
      </c>
      <c r="L53" s="127"/>
      <c r="M53" s="127"/>
      <c r="N53" s="33">
        <f t="shared" si="3"/>
        <v>0</v>
      </c>
      <c r="O53" s="127"/>
      <c r="P53" s="127"/>
      <c r="Q53" s="33">
        <f t="shared" si="4"/>
        <v>0</v>
      </c>
      <c r="R53" s="29"/>
      <c r="S53" s="127"/>
      <c r="T53" s="127"/>
      <c r="U53" s="33">
        <f t="shared" si="5"/>
        <v>0</v>
      </c>
      <c r="V53" s="127"/>
      <c r="W53" s="127"/>
      <c r="X53" s="33">
        <f t="shared" si="23"/>
        <v>0</v>
      </c>
      <c r="Y53" s="32">
        <f t="shared" si="24"/>
        <v>0</v>
      </c>
      <c r="Z53" s="30"/>
      <c r="AA53" s="17"/>
      <c r="AB53" s="33"/>
      <c r="AC53" s="17"/>
      <c r="AD53" s="33"/>
      <c r="AE53" s="33"/>
      <c r="AF53" s="33"/>
      <c r="AG53" s="17"/>
      <c r="AH53" s="33"/>
      <c r="AI53" s="17"/>
      <c r="AJ53" s="33"/>
      <c r="AK53" s="17"/>
      <c r="AL53" s="33"/>
      <c r="AM53" s="17"/>
      <c r="AN53" s="33"/>
      <c r="AO53" s="17"/>
      <c r="AP53" s="33"/>
      <c r="AQ53" s="17"/>
      <c r="AR53" s="33"/>
      <c r="AS53" s="31"/>
      <c r="AT53" s="57">
        <f t="shared" si="25"/>
        <v>44858</v>
      </c>
      <c r="AU53" s="17"/>
      <c r="AV53" s="33"/>
      <c r="AW53" s="14"/>
      <c r="AX53" s="17"/>
      <c r="AY53" s="33"/>
      <c r="AZ53" s="17"/>
      <c r="BA53" s="34"/>
      <c r="BB53" s="33"/>
      <c r="BC53" s="17"/>
      <c r="BD53" s="89"/>
      <c r="BE53" s="53"/>
      <c r="BF53" s="54"/>
      <c r="BG53" s="17"/>
      <c r="BH53" s="33"/>
    </row>
    <row r="54" spans="2:60" x14ac:dyDescent="0.25">
      <c r="B54" s="45">
        <v>44865</v>
      </c>
      <c r="C54" s="127"/>
      <c r="D54" s="127"/>
      <c r="E54" s="33">
        <f t="shared" si="0"/>
        <v>0</v>
      </c>
      <c r="F54" s="127"/>
      <c r="G54" s="127"/>
      <c r="H54" s="33">
        <f t="shared" si="1"/>
        <v>0</v>
      </c>
      <c r="I54" s="127"/>
      <c r="J54" s="127"/>
      <c r="K54" s="33">
        <f t="shared" si="2"/>
        <v>0</v>
      </c>
      <c r="L54" s="127"/>
      <c r="M54" s="127"/>
      <c r="N54" s="33">
        <f t="shared" si="3"/>
        <v>0</v>
      </c>
      <c r="O54" s="127"/>
      <c r="P54" s="127"/>
      <c r="Q54" s="33">
        <f t="shared" si="4"/>
        <v>0</v>
      </c>
      <c r="R54" s="29"/>
      <c r="S54" s="127"/>
      <c r="T54" s="127"/>
      <c r="U54" s="33">
        <f t="shared" si="5"/>
        <v>0</v>
      </c>
      <c r="V54" s="127"/>
      <c r="W54" s="127"/>
      <c r="X54" s="33">
        <f t="shared" si="23"/>
        <v>0</v>
      </c>
      <c r="Y54" s="32">
        <f t="shared" si="24"/>
        <v>0</v>
      </c>
      <c r="Z54" s="30"/>
      <c r="AA54" s="17"/>
      <c r="AB54" s="33"/>
      <c r="AC54" s="17"/>
      <c r="AD54" s="33"/>
      <c r="AE54" s="33"/>
      <c r="AF54" s="33"/>
      <c r="AG54" s="17"/>
      <c r="AH54" s="33"/>
      <c r="AI54" s="17"/>
      <c r="AJ54" s="33"/>
      <c r="AK54" s="17"/>
      <c r="AL54" s="33"/>
      <c r="AM54" s="17"/>
      <c r="AN54" s="33"/>
      <c r="AO54" s="17"/>
      <c r="AP54" s="33"/>
      <c r="AQ54" s="17"/>
      <c r="AR54" s="33"/>
      <c r="AS54" s="31"/>
      <c r="AT54" s="57">
        <f t="shared" si="25"/>
        <v>44865</v>
      </c>
      <c r="AU54" s="17"/>
      <c r="AV54" s="33"/>
      <c r="AW54" s="14"/>
      <c r="AX54" s="17"/>
      <c r="AY54" s="33"/>
      <c r="AZ54" s="17"/>
      <c r="BA54" s="34"/>
      <c r="BB54" s="33"/>
      <c r="BC54" s="17"/>
      <c r="BD54" s="89"/>
      <c r="BE54" s="53"/>
      <c r="BF54" s="54"/>
      <c r="BG54" s="17"/>
      <c r="BH54" s="33"/>
    </row>
    <row r="55" spans="2:60" x14ac:dyDescent="0.25">
      <c r="B55" s="45">
        <v>44872</v>
      </c>
      <c r="C55" s="127"/>
      <c r="D55" s="127"/>
      <c r="E55" s="33">
        <f t="shared" si="0"/>
        <v>0</v>
      </c>
      <c r="F55" s="127"/>
      <c r="G55" s="127"/>
      <c r="H55" s="33">
        <f t="shared" si="1"/>
        <v>0</v>
      </c>
      <c r="I55" s="127"/>
      <c r="J55" s="127"/>
      <c r="K55" s="33">
        <f t="shared" si="2"/>
        <v>0</v>
      </c>
      <c r="L55" s="127"/>
      <c r="M55" s="127"/>
      <c r="N55" s="33">
        <f t="shared" si="3"/>
        <v>0</v>
      </c>
      <c r="O55" s="127"/>
      <c r="P55" s="127"/>
      <c r="Q55" s="33">
        <f t="shared" si="4"/>
        <v>0</v>
      </c>
      <c r="R55" s="29"/>
      <c r="S55" s="123"/>
      <c r="T55" s="124"/>
      <c r="U55" s="33">
        <f t="shared" si="5"/>
        <v>0</v>
      </c>
      <c r="V55" s="127"/>
      <c r="W55" s="127"/>
      <c r="X55" s="33">
        <f t="shared" si="23"/>
        <v>0</v>
      </c>
      <c r="Y55" s="32">
        <f t="shared" si="24"/>
        <v>0</v>
      </c>
      <c r="Z55" s="30"/>
      <c r="AA55" s="17"/>
      <c r="AB55" s="33"/>
      <c r="AC55" s="17"/>
      <c r="AD55" s="33"/>
      <c r="AE55" s="33"/>
      <c r="AF55" s="33"/>
      <c r="AG55" s="17"/>
      <c r="AH55" s="33"/>
      <c r="AI55" s="17"/>
      <c r="AJ55" s="33"/>
      <c r="AK55" s="17"/>
      <c r="AL55" s="33"/>
      <c r="AM55" s="17"/>
      <c r="AN55" s="33"/>
      <c r="AO55" s="17"/>
      <c r="AP55" s="33"/>
      <c r="AQ55" s="17"/>
      <c r="AR55" s="33"/>
      <c r="AS55" s="31"/>
      <c r="AT55" s="57">
        <f t="shared" si="25"/>
        <v>44872</v>
      </c>
      <c r="AU55" s="17"/>
      <c r="AV55" s="33"/>
      <c r="AW55" s="14"/>
      <c r="AX55" s="17"/>
      <c r="AY55" s="33"/>
      <c r="AZ55" s="17"/>
      <c r="BA55" s="34"/>
      <c r="BB55" s="33"/>
      <c r="BC55" s="17"/>
      <c r="BD55" s="89"/>
      <c r="BE55" s="53"/>
      <c r="BF55" s="54"/>
      <c r="BG55" s="17"/>
      <c r="BH55" s="33"/>
    </row>
    <row r="56" spans="2:60" x14ac:dyDescent="0.25">
      <c r="B56" s="45">
        <v>44879</v>
      </c>
      <c r="C56" s="127"/>
      <c r="D56" s="127"/>
      <c r="E56" s="33">
        <f t="shared" si="0"/>
        <v>0</v>
      </c>
      <c r="F56" s="127"/>
      <c r="G56" s="127"/>
      <c r="H56" s="33">
        <f t="shared" si="1"/>
        <v>0</v>
      </c>
      <c r="I56" s="127"/>
      <c r="J56" s="127"/>
      <c r="K56" s="33">
        <f t="shared" si="2"/>
        <v>0</v>
      </c>
      <c r="L56" s="127"/>
      <c r="M56" s="127"/>
      <c r="N56" s="33">
        <f t="shared" si="3"/>
        <v>0</v>
      </c>
      <c r="O56" s="127"/>
      <c r="P56" s="127"/>
      <c r="Q56" s="33">
        <f t="shared" si="4"/>
        <v>0</v>
      </c>
      <c r="R56" s="29"/>
      <c r="S56" s="123"/>
      <c r="T56" s="124"/>
      <c r="U56" s="33">
        <f t="shared" si="5"/>
        <v>0</v>
      </c>
      <c r="V56" s="127"/>
      <c r="W56" s="127"/>
      <c r="X56" s="33">
        <f t="shared" si="23"/>
        <v>0</v>
      </c>
      <c r="Y56" s="32">
        <f t="shared" si="24"/>
        <v>0</v>
      </c>
      <c r="Z56" s="30"/>
      <c r="AA56" s="17"/>
      <c r="AB56" s="33"/>
      <c r="AC56" s="17"/>
      <c r="AD56" s="33"/>
      <c r="AE56" s="33"/>
      <c r="AF56" s="33"/>
      <c r="AG56" s="17"/>
      <c r="AH56" s="33"/>
      <c r="AI56" s="17"/>
      <c r="AJ56" s="33"/>
      <c r="AK56" s="17"/>
      <c r="AL56" s="33"/>
      <c r="AM56" s="17"/>
      <c r="AN56" s="33"/>
      <c r="AO56" s="17"/>
      <c r="AP56" s="33"/>
      <c r="AQ56" s="17"/>
      <c r="AR56" s="33"/>
      <c r="AS56" s="31"/>
      <c r="AT56" s="57">
        <f t="shared" si="25"/>
        <v>44879</v>
      </c>
      <c r="AU56" s="17"/>
      <c r="AV56" s="33"/>
      <c r="AW56" s="14"/>
      <c r="AX56" s="17"/>
      <c r="AY56" s="33"/>
      <c r="AZ56" s="17"/>
      <c r="BA56" s="34"/>
      <c r="BB56" s="33"/>
      <c r="BC56" s="17"/>
      <c r="BD56" s="89"/>
      <c r="BE56" s="53"/>
      <c r="BF56" s="54"/>
      <c r="BG56" s="17"/>
      <c r="BH56" s="33"/>
    </row>
    <row r="57" spans="2:60" x14ac:dyDescent="0.25">
      <c r="B57" s="45">
        <v>44886</v>
      </c>
      <c r="C57" s="127"/>
      <c r="D57" s="127"/>
      <c r="E57" s="33">
        <f t="shared" si="0"/>
        <v>0</v>
      </c>
      <c r="F57" s="127"/>
      <c r="G57" s="127"/>
      <c r="H57" s="33">
        <f t="shared" si="1"/>
        <v>0</v>
      </c>
      <c r="I57" s="127"/>
      <c r="J57" s="127"/>
      <c r="K57" s="33">
        <f t="shared" si="2"/>
        <v>0</v>
      </c>
      <c r="L57" s="127"/>
      <c r="M57" s="127"/>
      <c r="N57" s="33">
        <f t="shared" si="3"/>
        <v>0</v>
      </c>
      <c r="O57" s="127"/>
      <c r="P57" s="127"/>
      <c r="Q57" s="33">
        <f t="shared" si="4"/>
        <v>0</v>
      </c>
      <c r="R57" s="29"/>
      <c r="S57" s="123"/>
      <c r="T57" s="124"/>
      <c r="U57" s="33">
        <f t="shared" si="5"/>
        <v>0</v>
      </c>
      <c r="V57" s="127"/>
      <c r="W57" s="127"/>
      <c r="X57" s="33">
        <f t="shared" si="23"/>
        <v>0</v>
      </c>
      <c r="Y57" s="32">
        <f t="shared" si="24"/>
        <v>0</v>
      </c>
      <c r="Z57" s="30"/>
      <c r="AA57" s="17"/>
      <c r="AB57" s="33"/>
      <c r="AC57" s="17"/>
      <c r="AD57" s="33"/>
      <c r="AE57" s="33"/>
      <c r="AF57" s="33"/>
      <c r="AG57" s="17"/>
      <c r="AH57" s="33"/>
      <c r="AI57" s="17"/>
      <c r="AJ57" s="33"/>
      <c r="AK57" s="17"/>
      <c r="AL57" s="33"/>
      <c r="AM57" s="17"/>
      <c r="AN57" s="33"/>
      <c r="AO57" s="17"/>
      <c r="AP57" s="33"/>
      <c r="AQ57" s="17"/>
      <c r="AR57" s="33"/>
      <c r="AS57" s="31"/>
      <c r="AT57" s="57">
        <f t="shared" si="25"/>
        <v>44886</v>
      </c>
      <c r="AU57" s="17"/>
      <c r="AV57" s="33"/>
      <c r="AW57" s="14"/>
      <c r="AX57" s="17"/>
      <c r="AY57" s="33"/>
      <c r="AZ57" s="17"/>
      <c r="BA57" s="34"/>
      <c r="BB57" s="33"/>
      <c r="BC57" s="17"/>
      <c r="BD57" s="89"/>
      <c r="BE57" s="53"/>
      <c r="BF57" s="54"/>
      <c r="BG57" s="17"/>
      <c r="BH57" s="33"/>
    </row>
    <row r="58" spans="2:60" x14ac:dyDescent="0.25">
      <c r="B58" s="45">
        <v>44893</v>
      </c>
      <c r="C58" s="127"/>
      <c r="D58" s="127"/>
      <c r="E58" s="33">
        <f t="shared" si="0"/>
        <v>0</v>
      </c>
      <c r="F58" s="127"/>
      <c r="G58" s="127"/>
      <c r="H58" s="33">
        <f t="shared" si="1"/>
        <v>0</v>
      </c>
      <c r="I58" s="127"/>
      <c r="J58" s="127"/>
      <c r="K58" s="33">
        <f t="shared" si="2"/>
        <v>0</v>
      </c>
      <c r="L58" s="127"/>
      <c r="M58" s="127"/>
      <c r="N58" s="33">
        <f t="shared" si="3"/>
        <v>0</v>
      </c>
      <c r="O58" s="127"/>
      <c r="P58" s="127"/>
      <c r="Q58" s="33">
        <f t="shared" si="4"/>
        <v>0</v>
      </c>
      <c r="R58" s="29"/>
      <c r="S58" s="123"/>
      <c r="T58" s="124"/>
      <c r="U58" s="33">
        <f t="shared" si="5"/>
        <v>0</v>
      </c>
      <c r="V58" s="127"/>
      <c r="W58" s="127"/>
      <c r="X58" s="33">
        <f t="shared" si="23"/>
        <v>0</v>
      </c>
      <c r="Y58" s="32">
        <f t="shared" si="24"/>
        <v>0</v>
      </c>
      <c r="Z58" s="30"/>
      <c r="AA58" s="17"/>
      <c r="AB58" s="33"/>
      <c r="AC58" s="17"/>
      <c r="AD58" s="33"/>
      <c r="AE58" s="33"/>
      <c r="AF58" s="33"/>
      <c r="AG58" s="17"/>
      <c r="AH58" s="33"/>
      <c r="AI58" s="17"/>
      <c r="AJ58" s="33"/>
      <c r="AK58" s="17"/>
      <c r="AL58" s="33"/>
      <c r="AM58" s="17"/>
      <c r="AN58" s="33"/>
      <c r="AO58" s="17"/>
      <c r="AP58" s="33"/>
      <c r="AQ58" s="17"/>
      <c r="AR58" s="33"/>
      <c r="AS58" s="31"/>
      <c r="AT58" s="57">
        <f t="shared" si="25"/>
        <v>44893</v>
      </c>
      <c r="AU58" s="17"/>
      <c r="AV58" s="33"/>
      <c r="AW58" s="14"/>
      <c r="AX58" s="17"/>
      <c r="AY58" s="33"/>
      <c r="AZ58" s="17"/>
      <c r="BA58" s="34"/>
      <c r="BB58" s="33"/>
      <c r="BC58" s="17"/>
      <c r="BD58" s="89"/>
      <c r="BE58" s="53"/>
      <c r="BF58" s="54"/>
      <c r="BG58" s="17"/>
      <c r="BH58" s="33"/>
    </row>
    <row r="59" spans="2:60" x14ac:dyDescent="0.25">
      <c r="B59" s="45">
        <v>44895</v>
      </c>
      <c r="C59" s="127"/>
      <c r="D59" s="127"/>
      <c r="E59" s="33">
        <f t="shared" si="0"/>
        <v>0</v>
      </c>
      <c r="F59" s="127"/>
      <c r="G59" s="127"/>
      <c r="H59" s="33">
        <f t="shared" si="1"/>
        <v>0</v>
      </c>
      <c r="I59" s="127"/>
      <c r="J59" s="127"/>
      <c r="K59" s="33">
        <f t="shared" si="2"/>
        <v>0</v>
      </c>
      <c r="L59" s="127"/>
      <c r="M59" s="127"/>
      <c r="N59" s="33">
        <f t="shared" si="3"/>
        <v>0</v>
      </c>
      <c r="O59" s="127"/>
      <c r="P59" s="127"/>
      <c r="Q59" s="33">
        <f t="shared" si="4"/>
        <v>0</v>
      </c>
      <c r="R59" s="29"/>
      <c r="S59" s="123"/>
      <c r="T59" s="124"/>
      <c r="U59" s="33">
        <f t="shared" si="5"/>
        <v>0</v>
      </c>
      <c r="V59" s="127"/>
      <c r="W59" s="127"/>
      <c r="X59" s="33">
        <f t="shared" si="23"/>
        <v>0</v>
      </c>
      <c r="Y59" s="32">
        <f t="shared" si="24"/>
        <v>0</v>
      </c>
      <c r="Z59" s="30"/>
      <c r="AA59" s="17"/>
      <c r="AB59" s="33"/>
      <c r="AC59" s="17"/>
      <c r="AD59" s="33"/>
      <c r="AE59" s="33"/>
      <c r="AF59" s="33"/>
      <c r="AG59" s="17"/>
      <c r="AH59" s="33"/>
      <c r="AI59" s="17"/>
      <c r="AJ59" s="33"/>
      <c r="AK59" s="17"/>
      <c r="AL59" s="33"/>
      <c r="AM59" s="17"/>
      <c r="AN59" s="33"/>
      <c r="AO59" s="17"/>
      <c r="AP59" s="33"/>
      <c r="AQ59" s="17"/>
      <c r="AR59" s="33"/>
      <c r="AS59" s="31"/>
      <c r="AT59" s="57">
        <f t="shared" si="25"/>
        <v>44895</v>
      </c>
      <c r="AU59" s="17"/>
      <c r="AV59" s="33"/>
      <c r="AW59" s="14"/>
      <c r="AX59" s="17"/>
      <c r="AY59" s="33"/>
      <c r="AZ59" s="17"/>
      <c r="BA59" s="34"/>
      <c r="BB59" s="33"/>
      <c r="BC59" s="17"/>
      <c r="BD59" s="89"/>
      <c r="BE59" s="53"/>
      <c r="BF59" s="54"/>
      <c r="BG59" s="17"/>
      <c r="BH59" s="33"/>
    </row>
    <row r="60" spans="2:60" x14ac:dyDescent="0.25">
      <c r="B60" s="45">
        <v>44900</v>
      </c>
      <c r="C60" s="127"/>
      <c r="D60" s="127"/>
      <c r="E60" s="33">
        <f t="shared" si="0"/>
        <v>0</v>
      </c>
      <c r="F60" s="127"/>
      <c r="G60" s="127"/>
      <c r="H60" s="33">
        <f t="shared" si="1"/>
        <v>0</v>
      </c>
      <c r="I60" s="127"/>
      <c r="J60" s="127"/>
      <c r="K60" s="33">
        <f t="shared" si="2"/>
        <v>0</v>
      </c>
      <c r="L60" s="127"/>
      <c r="M60" s="127"/>
      <c r="N60" s="33">
        <f t="shared" si="3"/>
        <v>0</v>
      </c>
      <c r="O60" s="127"/>
      <c r="P60" s="127"/>
      <c r="Q60" s="33">
        <f t="shared" si="4"/>
        <v>0</v>
      </c>
      <c r="R60" s="29"/>
      <c r="S60" s="123"/>
      <c r="T60" s="124"/>
      <c r="U60" s="33">
        <f t="shared" si="5"/>
        <v>0</v>
      </c>
      <c r="V60" s="127"/>
      <c r="W60" s="127"/>
      <c r="X60" s="33">
        <f t="shared" si="23"/>
        <v>0</v>
      </c>
      <c r="Y60" s="32">
        <f t="shared" si="24"/>
        <v>0</v>
      </c>
      <c r="Z60" s="30"/>
      <c r="AA60" s="17"/>
      <c r="AB60" s="33"/>
      <c r="AC60" s="17"/>
      <c r="AD60" s="33"/>
      <c r="AE60" s="33"/>
      <c r="AF60" s="33"/>
      <c r="AG60" s="17"/>
      <c r="AH60" s="33"/>
      <c r="AI60" s="17"/>
      <c r="AJ60" s="33"/>
      <c r="AK60" s="17"/>
      <c r="AL60" s="33"/>
      <c r="AM60" s="17"/>
      <c r="AN60" s="33"/>
      <c r="AO60" s="17"/>
      <c r="AP60" s="33"/>
      <c r="AQ60" s="17"/>
      <c r="AR60" s="33"/>
      <c r="AS60" s="31"/>
      <c r="AT60" s="57">
        <f t="shared" si="25"/>
        <v>44900</v>
      </c>
      <c r="AU60" s="17"/>
      <c r="AV60" s="33"/>
      <c r="AW60" s="14"/>
      <c r="AX60" s="17"/>
      <c r="AY60" s="33"/>
      <c r="AZ60" s="17"/>
      <c r="BA60" s="34"/>
      <c r="BB60" s="33"/>
      <c r="BC60" s="17"/>
      <c r="BD60" s="89"/>
      <c r="BE60" s="53"/>
      <c r="BF60" s="54"/>
      <c r="BG60" s="17"/>
      <c r="BH60" s="33"/>
    </row>
    <row r="61" spans="2:60" x14ac:dyDescent="0.25">
      <c r="B61" s="45">
        <v>44907</v>
      </c>
      <c r="C61" s="127"/>
      <c r="D61" s="127"/>
      <c r="E61" s="33">
        <f t="shared" si="0"/>
        <v>0</v>
      </c>
      <c r="F61" s="127"/>
      <c r="G61" s="127"/>
      <c r="H61" s="33">
        <f t="shared" si="1"/>
        <v>0</v>
      </c>
      <c r="I61" s="127"/>
      <c r="J61" s="127"/>
      <c r="K61" s="33">
        <f t="shared" si="2"/>
        <v>0</v>
      </c>
      <c r="L61" s="127"/>
      <c r="M61" s="127"/>
      <c r="N61" s="33">
        <f t="shared" si="3"/>
        <v>0</v>
      </c>
      <c r="O61" s="127"/>
      <c r="P61" s="127"/>
      <c r="Q61" s="33">
        <f t="shared" si="4"/>
        <v>0</v>
      </c>
      <c r="R61" s="29"/>
      <c r="S61" s="123"/>
      <c r="T61" s="124"/>
      <c r="U61" s="33">
        <f t="shared" si="5"/>
        <v>0</v>
      </c>
      <c r="V61" s="127"/>
      <c r="W61" s="127"/>
      <c r="X61" s="33">
        <f t="shared" si="23"/>
        <v>0</v>
      </c>
      <c r="Y61" s="32">
        <f t="shared" si="24"/>
        <v>0</v>
      </c>
      <c r="Z61" s="30"/>
      <c r="AA61" s="17"/>
      <c r="AB61" s="33"/>
      <c r="AC61" s="17"/>
      <c r="AD61" s="33"/>
      <c r="AE61" s="33"/>
      <c r="AF61" s="33"/>
      <c r="AG61" s="17"/>
      <c r="AH61" s="33"/>
      <c r="AI61" s="17"/>
      <c r="AJ61" s="33"/>
      <c r="AK61" s="17"/>
      <c r="AL61" s="33"/>
      <c r="AM61" s="17"/>
      <c r="AN61" s="33"/>
      <c r="AO61" s="17"/>
      <c r="AP61" s="33"/>
      <c r="AQ61" s="17"/>
      <c r="AR61" s="33"/>
      <c r="AS61" s="31"/>
      <c r="AT61" s="57">
        <f t="shared" si="25"/>
        <v>44907</v>
      </c>
      <c r="AU61" s="17"/>
      <c r="AV61" s="33"/>
      <c r="AW61" s="14"/>
      <c r="AX61" s="17"/>
      <c r="AY61" s="33"/>
      <c r="AZ61" s="17"/>
      <c r="BA61" s="34"/>
      <c r="BB61" s="33"/>
      <c r="BC61" s="17"/>
      <c r="BD61" s="89"/>
      <c r="BE61" s="53"/>
      <c r="BF61" s="54"/>
      <c r="BG61" s="17"/>
      <c r="BH61" s="33"/>
    </row>
    <row r="62" spans="2:60" x14ac:dyDescent="0.25">
      <c r="B62" s="45">
        <v>44914</v>
      </c>
      <c r="C62" s="127"/>
      <c r="D62" s="127"/>
      <c r="E62" s="33">
        <f t="shared" si="0"/>
        <v>0</v>
      </c>
      <c r="F62" s="127"/>
      <c r="G62" s="127"/>
      <c r="H62" s="33">
        <f t="shared" si="1"/>
        <v>0</v>
      </c>
      <c r="I62" s="127"/>
      <c r="J62" s="127"/>
      <c r="K62" s="33">
        <f t="shared" si="2"/>
        <v>0</v>
      </c>
      <c r="L62" s="127"/>
      <c r="M62" s="127"/>
      <c r="N62" s="33">
        <f t="shared" si="3"/>
        <v>0</v>
      </c>
      <c r="O62" s="127"/>
      <c r="P62" s="127"/>
      <c r="Q62" s="33">
        <f t="shared" si="4"/>
        <v>0</v>
      </c>
      <c r="R62" s="29"/>
      <c r="S62" s="123"/>
      <c r="T62" s="124"/>
      <c r="U62" s="33">
        <f t="shared" si="5"/>
        <v>0</v>
      </c>
      <c r="V62" s="127"/>
      <c r="W62" s="127"/>
      <c r="X62" s="33">
        <f t="shared" si="23"/>
        <v>0</v>
      </c>
      <c r="Y62" s="32">
        <f t="shared" si="24"/>
        <v>0</v>
      </c>
      <c r="Z62" s="30"/>
      <c r="AA62" s="17"/>
      <c r="AB62" s="33"/>
      <c r="AC62" s="17"/>
      <c r="AD62" s="33"/>
      <c r="AE62" s="33"/>
      <c r="AF62" s="33"/>
      <c r="AG62" s="17"/>
      <c r="AH62" s="33"/>
      <c r="AI62" s="17"/>
      <c r="AJ62" s="33"/>
      <c r="AK62" s="17"/>
      <c r="AL62" s="33"/>
      <c r="AM62" s="17"/>
      <c r="AN62" s="33"/>
      <c r="AO62" s="17"/>
      <c r="AP62" s="33"/>
      <c r="AQ62" s="17"/>
      <c r="AR62" s="33"/>
      <c r="AS62" s="31"/>
      <c r="AT62" s="57">
        <f t="shared" si="25"/>
        <v>44914</v>
      </c>
      <c r="AU62" s="17"/>
      <c r="AV62" s="33"/>
      <c r="AW62" s="14"/>
      <c r="AX62" s="17"/>
      <c r="AY62" s="33"/>
      <c r="AZ62" s="17"/>
      <c r="BA62" s="34"/>
      <c r="BB62" s="33"/>
      <c r="BC62" s="17"/>
      <c r="BD62" s="89"/>
      <c r="BE62" s="53"/>
      <c r="BF62" s="54"/>
      <c r="BG62" s="17"/>
      <c r="BH62" s="33"/>
    </row>
    <row r="63" spans="2:60" x14ac:dyDescent="0.25">
      <c r="B63" s="45">
        <v>44921</v>
      </c>
      <c r="C63" s="127"/>
      <c r="D63" s="127"/>
      <c r="E63" s="33">
        <f t="shared" si="0"/>
        <v>0</v>
      </c>
      <c r="F63" s="127"/>
      <c r="G63" s="127"/>
      <c r="H63" s="33">
        <f t="shared" si="1"/>
        <v>0</v>
      </c>
      <c r="I63" s="127"/>
      <c r="J63" s="127"/>
      <c r="K63" s="33">
        <f t="shared" si="2"/>
        <v>0</v>
      </c>
      <c r="L63" s="127"/>
      <c r="M63" s="127"/>
      <c r="N63" s="33">
        <f t="shared" si="3"/>
        <v>0</v>
      </c>
      <c r="O63" s="127"/>
      <c r="P63" s="127"/>
      <c r="Q63" s="33">
        <f t="shared" si="4"/>
        <v>0</v>
      </c>
      <c r="R63" s="29"/>
      <c r="S63" s="123"/>
      <c r="T63" s="124"/>
      <c r="U63" s="33">
        <f t="shared" si="5"/>
        <v>0</v>
      </c>
      <c r="V63" s="127"/>
      <c r="W63" s="127"/>
      <c r="X63" s="33">
        <f t="shared" si="23"/>
        <v>0</v>
      </c>
      <c r="Y63" s="32">
        <f t="shared" si="24"/>
        <v>0</v>
      </c>
      <c r="Z63" s="30"/>
      <c r="AA63" s="17"/>
      <c r="AB63" s="33"/>
      <c r="AC63" s="17"/>
      <c r="AD63" s="33"/>
      <c r="AE63" s="33"/>
      <c r="AF63" s="33"/>
      <c r="AG63" s="17"/>
      <c r="AH63" s="33"/>
      <c r="AI63" s="17"/>
      <c r="AJ63" s="33"/>
      <c r="AK63" s="17"/>
      <c r="AL63" s="33"/>
      <c r="AM63" s="17"/>
      <c r="AN63" s="33"/>
      <c r="AO63" s="17"/>
      <c r="AP63" s="33"/>
      <c r="AQ63" s="17"/>
      <c r="AR63" s="33"/>
      <c r="AS63" s="31"/>
      <c r="AT63" s="57">
        <f t="shared" si="25"/>
        <v>44921</v>
      </c>
      <c r="AU63" s="17"/>
      <c r="AV63" s="33"/>
      <c r="AW63" s="14"/>
      <c r="AX63" s="17"/>
      <c r="AY63" s="33"/>
      <c r="AZ63" s="17"/>
      <c r="BA63" s="34"/>
      <c r="BB63" s="33"/>
      <c r="BC63" s="17"/>
      <c r="BD63" s="89"/>
      <c r="BE63" s="53"/>
      <c r="BF63" s="54"/>
      <c r="BG63" s="17"/>
      <c r="BH63" s="33"/>
    </row>
    <row r="64" spans="2:60" x14ac:dyDescent="0.25">
      <c r="B64" s="45">
        <v>44926</v>
      </c>
      <c r="C64" s="127"/>
      <c r="D64" s="127"/>
      <c r="E64" s="33">
        <f t="shared" si="0"/>
        <v>0</v>
      </c>
      <c r="F64" s="127"/>
      <c r="G64" s="127"/>
      <c r="H64" s="33">
        <f t="shared" si="1"/>
        <v>0</v>
      </c>
      <c r="I64" s="127"/>
      <c r="J64" s="127"/>
      <c r="K64" s="33">
        <f t="shared" si="2"/>
        <v>0</v>
      </c>
      <c r="L64" s="127"/>
      <c r="M64" s="127"/>
      <c r="N64" s="33">
        <f t="shared" si="3"/>
        <v>0</v>
      </c>
      <c r="O64" s="127"/>
      <c r="P64" s="127"/>
      <c r="Q64" s="33">
        <f t="shared" si="4"/>
        <v>0</v>
      </c>
      <c r="R64" s="29"/>
      <c r="S64" s="123"/>
      <c r="T64" s="124"/>
      <c r="U64" s="33">
        <f t="shared" si="5"/>
        <v>0</v>
      </c>
      <c r="V64" s="127"/>
      <c r="W64" s="127"/>
      <c r="X64" s="33">
        <f t="shared" si="23"/>
        <v>0</v>
      </c>
      <c r="Y64" s="32">
        <f t="shared" si="24"/>
        <v>0</v>
      </c>
      <c r="Z64" s="30"/>
      <c r="AA64" s="17"/>
      <c r="AB64" s="33"/>
      <c r="AC64" s="17"/>
      <c r="AD64" s="33"/>
      <c r="AE64" s="33"/>
      <c r="AF64" s="33"/>
      <c r="AG64" s="17"/>
      <c r="AH64" s="33"/>
      <c r="AI64" s="17"/>
      <c r="AJ64" s="33"/>
      <c r="AK64" s="17"/>
      <c r="AL64" s="33"/>
      <c r="AM64" s="17"/>
      <c r="AN64" s="33"/>
      <c r="AO64" s="17"/>
      <c r="AP64" s="33"/>
      <c r="AQ64" s="17"/>
      <c r="AR64" s="33"/>
      <c r="AS64" s="31"/>
      <c r="AT64" s="57">
        <f t="shared" si="25"/>
        <v>44926</v>
      </c>
      <c r="AU64" s="17"/>
      <c r="AV64" s="33"/>
      <c r="AW64" s="14"/>
      <c r="AX64" s="17"/>
      <c r="AY64" s="33"/>
      <c r="AZ64" s="17"/>
      <c r="BA64" s="34"/>
      <c r="BB64" s="33"/>
      <c r="BC64" s="17"/>
      <c r="BD64" s="89"/>
      <c r="BE64" s="53"/>
      <c r="BF64" s="54"/>
      <c r="BG64" s="17"/>
      <c r="BH64" s="33"/>
    </row>
    <row r="65" spans="46:46" x14ac:dyDescent="0.25">
      <c r="AT65" s="115"/>
    </row>
  </sheetData>
  <mergeCells count="466">
    <mergeCell ref="C64:D64"/>
    <mergeCell ref="F64:G64"/>
    <mergeCell ref="I64:J64"/>
    <mergeCell ref="L64:M64"/>
    <mergeCell ref="O64:P64"/>
    <mergeCell ref="S64:T64"/>
    <mergeCell ref="V64:W64"/>
    <mergeCell ref="S61:T61"/>
    <mergeCell ref="S62:T62"/>
    <mergeCell ref="V61:W61"/>
    <mergeCell ref="V62:W62"/>
    <mergeCell ref="C61:D61"/>
    <mergeCell ref="C62:D62"/>
    <mergeCell ref="F61:G61"/>
    <mergeCell ref="F62:G62"/>
    <mergeCell ref="I61:J61"/>
    <mergeCell ref="I62:J62"/>
    <mergeCell ref="L61:M61"/>
    <mergeCell ref="L62:M62"/>
    <mergeCell ref="O61:P61"/>
    <mergeCell ref="O62:P62"/>
    <mergeCell ref="I59:J59"/>
    <mergeCell ref="L59:M59"/>
    <mergeCell ref="O59:P59"/>
    <mergeCell ref="S59:T59"/>
    <mergeCell ref="V59:W59"/>
    <mergeCell ref="S55:T55"/>
    <mergeCell ref="V55:W55"/>
    <mergeCell ref="C58:D58"/>
    <mergeCell ref="F58:G58"/>
    <mergeCell ref="I58:J58"/>
    <mergeCell ref="L58:M58"/>
    <mergeCell ref="O58:P58"/>
    <mergeCell ref="S58:T58"/>
    <mergeCell ref="V58:W58"/>
    <mergeCell ref="C57:D57"/>
    <mergeCell ref="F57:G57"/>
    <mergeCell ref="I57:J57"/>
    <mergeCell ref="L57:M57"/>
    <mergeCell ref="O57:P57"/>
    <mergeCell ref="S57:T57"/>
    <mergeCell ref="V57:W57"/>
    <mergeCell ref="C56:D56"/>
    <mergeCell ref="C55:D55"/>
    <mergeCell ref="F55:G55"/>
    <mergeCell ref="I53:J53"/>
    <mergeCell ref="L53:M53"/>
    <mergeCell ref="O53:P53"/>
    <mergeCell ref="S53:T53"/>
    <mergeCell ref="V53:W53"/>
    <mergeCell ref="C54:D54"/>
    <mergeCell ref="F54:G54"/>
    <mergeCell ref="C53:D53"/>
    <mergeCell ref="F53:G53"/>
    <mergeCell ref="I54:J54"/>
    <mergeCell ref="L54:M54"/>
    <mergeCell ref="O54:P54"/>
    <mergeCell ref="S52:T52"/>
    <mergeCell ref="V52:W52"/>
    <mergeCell ref="C48:D48"/>
    <mergeCell ref="O49:P49"/>
    <mergeCell ref="O50:P50"/>
    <mergeCell ref="O51:P51"/>
    <mergeCell ref="S48:T48"/>
    <mergeCell ref="S49:T49"/>
    <mergeCell ref="S50:T50"/>
    <mergeCell ref="S51:T51"/>
    <mergeCell ref="F50:G50"/>
    <mergeCell ref="F51:G51"/>
    <mergeCell ref="I48:J48"/>
    <mergeCell ref="L48:M48"/>
    <mergeCell ref="V48:W48"/>
    <mergeCell ref="V49:W49"/>
    <mergeCell ref="V50:W50"/>
    <mergeCell ref="V51:W51"/>
    <mergeCell ref="C44:D44"/>
    <mergeCell ref="F44:G44"/>
    <mergeCell ref="I44:J44"/>
    <mergeCell ref="L44:M44"/>
    <mergeCell ref="O44:P44"/>
    <mergeCell ref="S44:T44"/>
    <mergeCell ref="C45:D45"/>
    <mergeCell ref="C46:D46"/>
    <mergeCell ref="V45:W45"/>
    <mergeCell ref="V46:W46"/>
    <mergeCell ref="S45:T45"/>
    <mergeCell ref="S46:T46"/>
    <mergeCell ref="F45:G45"/>
    <mergeCell ref="F46:G46"/>
    <mergeCell ref="I45:J45"/>
    <mergeCell ref="I46:J46"/>
    <mergeCell ref="L45:M45"/>
    <mergeCell ref="L46:M46"/>
    <mergeCell ref="V44:W44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  <mergeCell ref="V42:W42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40:W40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38:W38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6:W36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30:W30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28:W28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6:W26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4:W24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2:W22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20:W20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18:W18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V16:W16"/>
    <mergeCell ref="S13:T13"/>
    <mergeCell ref="V13:W13"/>
    <mergeCell ref="C12:D12"/>
    <mergeCell ref="F12:G12"/>
    <mergeCell ref="I12:J12"/>
    <mergeCell ref="L12:M12"/>
    <mergeCell ref="O12:P12"/>
    <mergeCell ref="S12:T12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4:W14"/>
    <mergeCell ref="S9:T9"/>
    <mergeCell ref="V9:W9"/>
    <mergeCell ref="C8:D8"/>
    <mergeCell ref="F8:G8"/>
    <mergeCell ref="I8:J8"/>
    <mergeCell ref="L8:M8"/>
    <mergeCell ref="O8:P8"/>
    <mergeCell ref="S8:T8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F4:G4"/>
    <mergeCell ref="I4:J4"/>
    <mergeCell ref="L4:M4"/>
    <mergeCell ref="O4:P4"/>
    <mergeCell ref="S4:T4"/>
    <mergeCell ref="C7:D7"/>
    <mergeCell ref="F7:G7"/>
    <mergeCell ref="I7:J7"/>
    <mergeCell ref="L7:M7"/>
    <mergeCell ref="O7:P7"/>
    <mergeCell ref="S7:T7"/>
    <mergeCell ref="C6:D6"/>
    <mergeCell ref="F6:G6"/>
    <mergeCell ref="I6:J6"/>
    <mergeCell ref="L6:M6"/>
    <mergeCell ref="O6:P6"/>
    <mergeCell ref="S6:T6"/>
    <mergeCell ref="S5:T5"/>
    <mergeCell ref="C4:D4"/>
    <mergeCell ref="C3:D3"/>
    <mergeCell ref="F3:G3"/>
    <mergeCell ref="I3:J3"/>
    <mergeCell ref="L3:M3"/>
    <mergeCell ref="O3:P3"/>
    <mergeCell ref="S3:T3"/>
    <mergeCell ref="V3:W3"/>
    <mergeCell ref="AQ2:AR2"/>
    <mergeCell ref="O2:P2"/>
    <mergeCell ref="AA2:AB2"/>
    <mergeCell ref="AG2:AH2"/>
    <mergeCell ref="AI2:AJ2"/>
    <mergeCell ref="AK2:AL2"/>
    <mergeCell ref="AM2:AN2"/>
    <mergeCell ref="AO2:AP2"/>
    <mergeCell ref="AC2:AD2"/>
    <mergeCell ref="AE2:AF2"/>
    <mergeCell ref="BC1:BD1"/>
    <mergeCell ref="BE1:BF1"/>
    <mergeCell ref="BG1:BH1"/>
    <mergeCell ref="C1:E1"/>
    <mergeCell ref="F1:H1"/>
    <mergeCell ref="I1:K1"/>
    <mergeCell ref="L1:N1"/>
    <mergeCell ref="O1:Q1"/>
    <mergeCell ref="S1:U1"/>
    <mergeCell ref="V1:X1"/>
    <mergeCell ref="AA1:AB1"/>
    <mergeCell ref="AC1:AD1"/>
    <mergeCell ref="AM1:AN1"/>
    <mergeCell ref="AO1:AP1"/>
    <mergeCell ref="AQ1:AR1"/>
    <mergeCell ref="AU1:AV1"/>
    <mergeCell ref="AX1:AY1"/>
    <mergeCell ref="AZ1:BA1"/>
    <mergeCell ref="AG1:AH1"/>
    <mergeCell ref="AI1:AJ1"/>
    <mergeCell ref="AK1:AL1"/>
    <mergeCell ref="AE1:AF1"/>
    <mergeCell ref="I47:J47"/>
    <mergeCell ref="L47:M47"/>
    <mergeCell ref="O45:P45"/>
    <mergeCell ref="O46:P46"/>
    <mergeCell ref="O48:P48"/>
    <mergeCell ref="C5:D5"/>
    <mergeCell ref="F5:G5"/>
    <mergeCell ref="I5:J5"/>
    <mergeCell ref="L5:M5"/>
    <mergeCell ref="O5:P5"/>
    <mergeCell ref="C9:D9"/>
    <mergeCell ref="F9:G9"/>
    <mergeCell ref="I9:J9"/>
    <mergeCell ref="L9:M9"/>
    <mergeCell ref="O9:P9"/>
    <mergeCell ref="C13:D13"/>
    <mergeCell ref="F13:G13"/>
    <mergeCell ref="I13:J13"/>
    <mergeCell ref="L13:M13"/>
    <mergeCell ref="O13:P13"/>
    <mergeCell ref="C17:D17"/>
    <mergeCell ref="F17:G17"/>
    <mergeCell ref="I17:J17"/>
    <mergeCell ref="L17:M17"/>
    <mergeCell ref="V4:W4"/>
    <mergeCell ref="V6:W6"/>
    <mergeCell ref="V8:W8"/>
    <mergeCell ref="V10:W10"/>
    <mergeCell ref="V12:W12"/>
    <mergeCell ref="V5:W5"/>
    <mergeCell ref="V7:W7"/>
    <mergeCell ref="V32:W32"/>
    <mergeCell ref="V34:W34"/>
    <mergeCell ref="O56:P56"/>
    <mergeCell ref="S56:T56"/>
    <mergeCell ref="V56:W56"/>
    <mergeCell ref="C47:D47"/>
    <mergeCell ref="F47:G47"/>
    <mergeCell ref="C52:D52"/>
    <mergeCell ref="F52:G52"/>
    <mergeCell ref="I52:J52"/>
    <mergeCell ref="L52:M52"/>
    <mergeCell ref="O52:P52"/>
    <mergeCell ref="C49:D49"/>
    <mergeCell ref="C50:D50"/>
    <mergeCell ref="C51:D51"/>
    <mergeCell ref="F48:G48"/>
    <mergeCell ref="F49:G49"/>
    <mergeCell ref="O47:P47"/>
    <mergeCell ref="S47:T47"/>
    <mergeCell ref="V47:W47"/>
    <mergeCell ref="I49:J49"/>
    <mergeCell ref="I50:J50"/>
    <mergeCell ref="I51:J51"/>
    <mergeCell ref="L49:M49"/>
    <mergeCell ref="L50:M50"/>
    <mergeCell ref="L51:M51"/>
    <mergeCell ref="I55:J55"/>
    <mergeCell ref="L55:M55"/>
    <mergeCell ref="O55:P55"/>
    <mergeCell ref="S54:T54"/>
    <mergeCell ref="V54:W54"/>
    <mergeCell ref="C59:D59"/>
    <mergeCell ref="F59:G59"/>
    <mergeCell ref="C63:D63"/>
    <mergeCell ref="F63:G63"/>
    <mergeCell ref="I63:J63"/>
    <mergeCell ref="L63:M63"/>
    <mergeCell ref="O63:P63"/>
    <mergeCell ref="S63:T63"/>
    <mergeCell ref="V63:W63"/>
    <mergeCell ref="C60:D60"/>
    <mergeCell ref="F60:G60"/>
    <mergeCell ref="I60:J60"/>
    <mergeCell ref="L60:M60"/>
    <mergeCell ref="O60:P60"/>
    <mergeCell ref="S60:T60"/>
    <mergeCell ref="V60:W60"/>
    <mergeCell ref="F56:G56"/>
    <mergeCell ref="I56:J56"/>
    <mergeCell ref="L56:M56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FDBF4-9794-41B7-B077-FD49D0909F20}">
  <sheetPr>
    <tabColor rgb="FF0070C0"/>
  </sheetPr>
  <dimension ref="A1:K439"/>
  <sheetViews>
    <sheetView topLeftCell="A358" workbookViewId="0">
      <selection activeCell="K215" sqref="K215"/>
    </sheetView>
  </sheetViews>
  <sheetFormatPr defaultColWidth="13.28515625" defaultRowHeight="15" x14ac:dyDescent="0.25"/>
  <cols>
    <col min="1" max="1" width="18" style="66" bestFit="1" customWidth="1"/>
    <col min="2" max="2" width="3" style="66" bestFit="1" customWidth="1"/>
    <col min="3" max="3" width="17.42578125" style="66" hidden="1" customWidth="1"/>
    <col min="4" max="4" width="40.85546875" style="66" hidden="1" customWidth="1"/>
    <col min="5" max="10" width="14.28515625" style="66" hidden="1" customWidth="1"/>
    <col min="11" max="11" width="14.28515625" style="66" bestFit="1" customWidth="1"/>
    <col min="12" max="18" width="13.28515625" style="66"/>
    <col min="19" max="19" width="19" style="66" customWidth="1"/>
    <col min="20" max="16384" width="13.28515625" style="66"/>
  </cols>
  <sheetData>
    <row r="1" spans="1:11" x14ac:dyDescent="0.25">
      <c r="A1" s="116"/>
      <c r="B1" s="116"/>
      <c r="C1" s="116" t="s">
        <v>196</v>
      </c>
      <c r="D1" s="116" t="s">
        <v>197</v>
      </c>
      <c r="E1" s="116" t="s">
        <v>198</v>
      </c>
      <c r="F1" s="116" t="s">
        <v>199</v>
      </c>
      <c r="G1" s="116" t="s">
        <v>200</v>
      </c>
      <c r="H1" s="116"/>
      <c r="I1" s="116"/>
      <c r="J1" s="116"/>
      <c r="K1" s="116"/>
    </row>
    <row r="2" spans="1:11" x14ac:dyDescent="0.25">
      <c r="A2" s="116"/>
      <c r="B2" s="116"/>
      <c r="C2" s="116" t="s">
        <v>201</v>
      </c>
      <c r="D2" s="116" t="s">
        <v>201</v>
      </c>
      <c r="E2" s="116" t="s">
        <v>201</v>
      </c>
      <c r="F2" s="116" t="s">
        <v>201</v>
      </c>
      <c r="G2" s="116" t="s">
        <v>201</v>
      </c>
      <c r="H2" s="116" t="s">
        <v>201</v>
      </c>
      <c r="I2" s="116" t="s">
        <v>201</v>
      </c>
      <c r="J2" s="116" t="s">
        <v>201</v>
      </c>
      <c r="K2" s="116" t="s">
        <v>215</v>
      </c>
    </row>
    <row r="3" spans="1:11" x14ac:dyDescent="0.25">
      <c r="A3" s="116"/>
      <c r="B3" s="116"/>
      <c r="C3" s="116" t="s">
        <v>202</v>
      </c>
      <c r="D3" s="116" t="s">
        <v>202</v>
      </c>
      <c r="E3" s="116" t="s">
        <v>202</v>
      </c>
      <c r="F3" s="116" t="s">
        <v>202</v>
      </c>
      <c r="G3" s="116" t="s">
        <v>202</v>
      </c>
      <c r="H3" s="116" t="s">
        <v>202</v>
      </c>
      <c r="I3" s="116" t="s">
        <v>202</v>
      </c>
      <c r="J3" s="116" t="s">
        <v>203</v>
      </c>
      <c r="K3" s="116" t="s">
        <v>202</v>
      </c>
    </row>
    <row r="4" spans="1:11" x14ac:dyDescent="0.25">
      <c r="A4" s="116"/>
      <c r="B4" s="116"/>
      <c r="C4" s="117" t="s">
        <v>204</v>
      </c>
      <c r="D4" s="117" t="s">
        <v>205</v>
      </c>
      <c r="E4" s="117" t="s">
        <v>206</v>
      </c>
      <c r="F4" s="117" t="s">
        <v>207</v>
      </c>
      <c r="G4" s="117" t="s">
        <v>208</v>
      </c>
      <c r="H4" s="117" t="s">
        <v>209</v>
      </c>
      <c r="I4" s="117" t="s">
        <v>210</v>
      </c>
      <c r="J4" s="117" t="s">
        <v>211</v>
      </c>
      <c r="K4" s="117" t="s">
        <v>216</v>
      </c>
    </row>
    <row r="5" spans="1:11" x14ac:dyDescent="0.25">
      <c r="A5" s="116"/>
      <c r="B5" s="116"/>
      <c r="C5" s="116" t="s">
        <v>212</v>
      </c>
      <c r="D5" s="116" t="s">
        <v>212</v>
      </c>
      <c r="E5" s="116" t="s">
        <v>212</v>
      </c>
      <c r="F5" s="116" t="s">
        <v>212</v>
      </c>
      <c r="G5" s="116" t="s">
        <v>212</v>
      </c>
      <c r="H5" s="116" t="s">
        <v>212</v>
      </c>
      <c r="I5" s="116" t="s">
        <v>212</v>
      </c>
      <c r="J5" s="116" t="s">
        <v>212</v>
      </c>
      <c r="K5" s="116" t="s">
        <v>212</v>
      </c>
    </row>
    <row r="6" spans="1:11" x14ac:dyDescent="0.25">
      <c r="A6" s="116"/>
      <c r="B6" s="116"/>
      <c r="C6" s="116" t="s">
        <v>120</v>
      </c>
      <c r="D6" s="116" t="s">
        <v>120</v>
      </c>
      <c r="E6" s="116" t="s">
        <v>120</v>
      </c>
      <c r="F6" s="116" t="s">
        <v>120</v>
      </c>
      <c r="G6" s="116" t="s">
        <v>120</v>
      </c>
      <c r="H6" s="116" t="s">
        <v>120</v>
      </c>
      <c r="I6" s="116" t="s">
        <v>120</v>
      </c>
      <c r="J6" s="116" t="s">
        <v>120</v>
      </c>
      <c r="K6" s="116" t="s">
        <v>120</v>
      </c>
    </row>
    <row r="7" spans="1:11" x14ac:dyDescent="0.25">
      <c r="A7" s="116"/>
      <c r="B7" s="116"/>
      <c r="C7" s="116"/>
      <c r="D7" s="116"/>
      <c r="E7" s="116"/>
      <c r="F7" s="116"/>
      <c r="G7" s="116"/>
      <c r="H7" s="116"/>
      <c r="I7" s="116"/>
      <c r="J7" s="116"/>
      <c r="K7" s="116"/>
    </row>
    <row r="8" spans="1:11" x14ac:dyDescent="0.25">
      <c r="A8" s="116" t="s">
        <v>122</v>
      </c>
      <c r="B8" s="117" t="s">
        <v>121</v>
      </c>
      <c r="C8" s="116">
        <v>0</v>
      </c>
      <c r="D8" s="116">
        <v>281</v>
      </c>
      <c r="E8" s="116">
        <v>359</v>
      </c>
      <c r="F8" s="116">
        <v>309</v>
      </c>
      <c r="G8" s="116">
        <v>368</v>
      </c>
      <c r="H8" s="116">
        <v>410</v>
      </c>
      <c r="I8" s="116">
        <v>377</v>
      </c>
      <c r="J8" s="116">
        <v>283</v>
      </c>
      <c r="K8" s="116">
        <v>298</v>
      </c>
    </row>
    <row r="9" spans="1:11" x14ac:dyDescent="0.25">
      <c r="A9" s="116" t="s">
        <v>122</v>
      </c>
      <c r="B9" s="117" t="s">
        <v>123</v>
      </c>
      <c r="C9" s="116">
        <v>0</v>
      </c>
      <c r="D9" s="116">
        <v>281</v>
      </c>
      <c r="E9" s="116">
        <v>261</v>
      </c>
      <c r="F9" s="116">
        <v>232</v>
      </c>
      <c r="G9" s="116">
        <v>316</v>
      </c>
      <c r="H9" s="116">
        <v>427</v>
      </c>
      <c r="I9" s="116">
        <v>379</v>
      </c>
      <c r="J9" s="116">
        <v>194</v>
      </c>
      <c r="K9" s="116">
        <v>239</v>
      </c>
    </row>
    <row r="10" spans="1:11" x14ac:dyDescent="0.25">
      <c r="A10" s="116" t="s">
        <v>122</v>
      </c>
      <c r="B10" s="117" t="s">
        <v>124</v>
      </c>
      <c r="C10" s="116">
        <v>0</v>
      </c>
      <c r="D10" s="116">
        <v>243</v>
      </c>
      <c r="E10" s="116">
        <v>237</v>
      </c>
      <c r="F10" s="116">
        <v>307</v>
      </c>
      <c r="G10" s="116">
        <v>382</v>
      </c>
      <c r="H10" s="116">
        <v>415</v>
      </c>
      <c r="I10" s="116">
        <v>314</v>
      </c>
      <c r="J10" s="116">
        <v>109</v>
      </c>
      <c r="K10" s="116">
        <v>205</v>
      </c>
    </row>
    <row r="11" spans="1:11" x14ac:dyDescent="0.25">
      <c r="A11" s="116" t="s">
        <v>122</v>
      </c>
      <c r="B11" s="117" t="s">
        <v>125</v>
      </c>
      <c r="C11" s="116">
        <v>0</v>
      </c>
      <c r="D11" s="116">
        <v>206</v>
      </c>
      <c r="E11" s="116">
        <v>341</v>
      </c>
      <c r="F11" s="116">
        <v>350</v>
      </c>
      <c r="G11" s="116">
        <v>421</v>
      </c>
      <c r="H11" s="116">
        <v>388</v>
      </c>
      <c r="I11" s="116">
        <v>210</v>
      </c>
      <c r="J11" s="116">
        <v>85</v>
      </c>
      <c r="K11" s="116">
        <v>178</v>
      </c>
    </row>
    <row r="12" spans="1:11" x14ac:dyDescent="0.25">
      <c r="A12" s="116" t="s">
        <v>122</v>
      </c>
      <c r="B12" s="117" t="s">
        <v>126</v>
      </c>
      <c r="C12" s="116">
        <v>0</v>
      </c>
      <c r="D12" s="116">
        <v>240</v>
      </c>
      <c r="E12" s="116">
        <v>414</v>
      </c>
      <c r="F12" s="116">
        <v>337</v>
      </c>
      <c r="G12" s="116">
        <v>400</v>
      </c>
      <c r="H12" s="116">
        <v>287</v>
      </c>
      <c r="I12" s="116">
        <v>157</v>
      </c>
      <c r="J12" s="116">
        <v>85</v>
      </c>
      <c r="K12" s="116">
        <v>195</v>
      </c>
    </row>
    <row r="13" spans="1:11" x14ac:dyDescent="0.25">
      <c r="A13" s="116" t="s">
        <v>122</v>
      </c>
      <c r="B13" s="117" t="s">
        <v>127</v>
      </c>
      <c r="C13" s="116">
        <v>0</v>
      </c>
      <c r="D13" s="116">
        <v>296</v>
      </c>
      <c r="E13" s="116">
        <v>408</v>
      </c>
      <c r="F13" s="116">
        <v>342</v>
      </c>
      <c r="G13" s="116">
        <v>341</v>
      </c>
      <c r="H13" s="116">
        <v>250</v>
      </c>
      <c r="I13" s="116">
        <v>146</v>
      </c>
      <c r="J13" s="116">
        <v>87</v>
      </c>
      <c r="K13" s="116">
        <v>221</v>
      </c>
    </row>
    <row r="14" spans="1:11" x14ac:dyDescent="0.25">
      <c r="A14" s="116" t="s">
        <v>122</v>
      </c>
      <c r="B14" s="117" t="s">
        <v>128</v>
      </c>
      <c r="C14" s="116">
        <v>0</v>
      </c>
      <c r="D14" s="116">
        <v>287</v>
      </c>
      <c r="E14" s="116">
        <v>428</v>
      </c>
      <c r="F14" s="116">
        <v>370</v>
      </c>
      <c r="G14" s="116">
        <v>337</v>
      </c>
      <c r="H14" s="116">
        <v>300</v>
      </c>
      <c r="I14" s="116">
        <v>174</v>
      </c>
      <c r="J14" s="116">
        <v>96</v>
      </c>
      <c r="K14" s="116">
        <v>283</v>
      </c>
    </row>
    <row r="15" spans="1:11" x14ac:dyDescent="0.25">
      <c r="A15" s="116" t="s">
        <v>122</v>
      </c>
      <c r="B15" s="117" t="s">
        <v>129</v>
      </c>
      <c r="C15" s="116">
        <v>0</v>
      </c>
      <c r="D15" s="116">
        <v>294</v>
      </c>
      <c r="E15" s="116">
        <v>349</v>
      </c>
      <c r="F15" s="116">
        <v>302</v>
      </c>
      <c r="G15" s="116">
        <v>398</v>
      </c>
      <c r="H15" s="116">
        <v>385</v>
      </c>
      <c r="I15" s="116">
        <v>219</v>
      </c>
      <c r="J15" s="116">
        <v>111</v>
      </c>
      <c r="K15" s="116">
        <v>277</v>
      </c>
    </row>
    <row r="16" spans="1:11" x14ac:dyDescent="0.25">
      <c r="A16" s="116" t="s">
        <v>122</v>
      </c>
      <c r="B16" s="117" t="s">
        <v>130</v>
      </c>
      <c r="C16" s="116">
        <v>0</v>
      </c>
      <c r="D16" s="116">
        <v>234</v>
      </c>
      <c r="E16" s="116">
        <v>377</v>
      </c>
      <c r="F16" s="116">
        <v>388</v>
      </c>
      <c r="G16" s="116">
        <v>413</v>
      </c>
      <c r="H16" s="116">
        <v>345</v>
      </c>
      <c r="I16" s="116">
        <v>190</v>
      </c>
      <c r="J16" s="116">
        <v>93</v>
      </c>
      <c r="K16" s="116">
        <v>133</v>
      </c>
    </row>
    <row r="17" spans="1:11" x14ac:dyDescent="0.25">
      <c r="A17" s="116" t="s">
        <v>122</v>
      </c>
      <c r="B17" s="117" t="s">
        <v>131</v>
      </c>
      <c r="C17" s="116">
        <v>0</v>
      </c>
      <c r="D17" s="116">
        <v>317</v>
      </c>
      <c r="E17" s="116">
        <v>392</v>
      </c>
      <c r="F17" s="116">
        <v>429</v>
      </c>
      <c r="G17" s="116">
        <v>397</v>
      </c>
      <c r="H17" s="116">
        <v>340</v>
      </c>
      <c r="I17" s="116">
        <v>217</v>
      </c>
      <c r="J17" s="116">
        <v>130</v>
      </c>
      <c r="K17" s="116">
        <v>68</v>
      </c>
    </row>
    <row r="18" spans="1:11" x14ac:dyDescent="0.25">
      <c r="A18" s="116" t="s">
        <v>122</v>
      </c>
      <c r="B18" s="117" t="s">
        <v>132</v>
      </c>
      <c r="C18" s="116">
        <v>0</v>
      </c>
      <c r="D18" s="116">
        <v>330</v>
      </c>
      <c r="E18" s="116">
        <v>379</v>
      </c>
      <c r="F18" s="116">
        <v>370</v>
      </c>
      <c r="G18" s="116">
        <v>324</v>
      </c>
      <c r="H18" s="116">
        <v>240</v>
      </c>
      <c r="I18" s="116">
        <v>232</v>
      </c>
      <c r="J18" s="116">
        <v>122</v>
      </c>
      <c r="K18" s="116">
        <v>64</v>
      </c>
    </row>
    <row r="19" spans="1:11" x14ac:dyDescent="0.25">
      <c r="A19" s="116" t="s">
        <v>122</v>
      </c>
      <c r="B19" s="117" t="s">
        <v>133</v>
      </c>
      <c r="C19" s="116">
        <v>0</v>
      </c>
      <c r="D19" s="116">
        <v>346</v>
      </c>
      <c r="E19" s="116">
        <v>332</v>
      </c>
      <c r="F19" s="116">
        <v>332</v>
      </c>
      <c r="G19" s="116">
        <v>427</v>
      </c>
      <c r="H19" s="116">
        <v>227</v>
      </c>
      <c r="I19" s="116">
        <v>192</v>
      </c>
      <c r="J19" s="116">
        <v>53</v>
      </c>
      <c r="K19" s="116">
        <v>83</v>
      </c>
    </row>
    <row r="20" spans="1:11" x14ac:dyDescent="0.25">
      <c r="A20" s="116" t="s">
        <v>122</v>
      </c>
      <c r="B20" s="117" t="s">
        <v>134</v>
      </c>
      <c r="C20" s="116">
        <v>0</v>
      </c>
      <c r="D20" s="116">
        <v>335</v>
      </c>
      <c r="E20" s="116">
        <v>244</v>
      </c>
      <c r="F20" s="116">
        <v>312</v>
      </c>
      <c r="G20" s="116">
        <v>357</v>
      </c>
      <c r="H20" s="116">
        <v>256</v>
      </c>
      <c r="I20" s="116">
        <v>369</v>
      </c>
      <c r="J20" s="116">
        <v>54</v>
      </c>
      <c r="K20" s="116">
        <v>140</v>
      </c>
    </row>
    <row r="21" spans="1:11" x14ac:dyDescent="0.25">
      <c r="A21" s="116" t="s">
        <v>122</v>
      </c>
      <c r="B21" s="117" t="s">
        <v>135</v>
      </c>
      <c r="C21" s="116">
        <v>0</v>
      </c>
      <c r="D21" s="116">
        <v>282</v>
      </c>
      <c r="E21" s="116">
        <v>324</v>
      </c>
      <c r="F21" s="116">
        <v>363</v>
      </c>
      <c r="G21" s="116">
        <v>348</v>
      </c>
      <c r="H21" s="116">
        <v>324</v>
      </c>
      <c r="I21" s="116">
        <v>369</v>
      </c>
      <c r="J21" s="116">
        <v>88</v>
      </c>
      <c r="K21" s="116">
        <v>294</v>
      </c>
    </row>
    <row r="22" spans="1:11" x14ac:dyDescent="0.25">
      <c r="A22" s="116" t="s">
        <v>122</v>
      </c>
      <c r="B22" s="117" t="s">
        <v>136</v>
      </c>
      <c r="C22" s="116">
        <v>0</v>
      </c>
      <c r="D22" s="116">
        <v>176</v>
      </c>
      <c r="E22" s="116">
        <v>319</v>
      </c>
      <c r="F22" s="116">
        <v>384</v>
      </c>
      <c r="G22" s="116">
        <v>382</v>
      </c>
      <c r="H22" s="116">
        <v>320</v>
      </c>
      <c r="I22" s="116">
        <v>407</v>
      </c>
      <c r="J22" s="116">
        <v>141</v>
      </c>
      <c r="K22" s="116">
        <v>359</v>
      </c>
    </row>
    <row r="23" spans="1:11" x14ac:dyDescent="0.25">
      <c r="A23" s="116" t="s">
        <v>122</v>
      </c>
      <c r="B23" s="117" t="s">
        <v>137</v>
      </c>
      <c r="C23" s="116">
        <v>0</v>
      </c>
      <c r="D23" s="116">
        <v>253</v>
      </c>
      <c r="E23" s="116">
        <v>371</v>
      </c>
      <c r="F23" s="116">
        <v>319</v>
      </c>
      <c r="G23" s="116">
        <v>391</v>
      </c>
      <c r="H23" s="116">
        <v>314</v>
      </c>
      <c r="I23" s="116">
        <v>407</v>
      </c>
      <c r="J23" s="116">
        <v>181</v>
      </c>
      <c r="K23" s="116">
        <v>354</v>
      </c>
    </row>
    <row r="24" spans="1:11" x14ac:dyDescent="0.25">
      <c r="A24" s="116" t="s">
        <v>122</v>
      </c>
      <c r="B24" s="117" t="s">
        <v>138</v>
      </c>
      <c r="C24" s="116">
        <v>0</v>
      </c>
      <c r="D24" s="116">
        <v>305</v>
      </c>
      <c r="E24" s="116">
        <v>337</v>
      </c>
      <c r="F24" s="116">
        <v>383</v>
      </c>
      <c r="G24" s="116">
        <v>275</v>
      </c>
      <c r="H24" s="116">
        <v>284</v>
      </c>
      <c r="I24" s="116">
        <v>388</v>
      </c>
      <c r="J24" s="116">
        <v>151</v>
      </c>
      <c r="K24" s="116">
        <v>316</v>
      </c>
    </row>
    <row r="25" spans="1:11" x14ac:dyDescent="0.25">
      <c r="A25" s="116" t="s">
        <v>122</v>
      </c>
      <c r="B25" s="117" t="s">
        <v>139</v>
      </c>
      <c r="C25" s="116">
        <v>0</v>
      </c>
      <c r="D25" s="116">
        <v>267</v>
      </c>
      <c r="E25" s="116">
        <v>226</v>
      </c>
      <c r="F25" s="116">
        <v>377</v>
      </c>
      <c r="G25" s="116">
        <v>247</v>
      </c>
      <c r="H25" s="116">
        <v>413</v>
      </c>
      <c r="I25" s="116">
        <v>394</v>
      </c>
      <c r="J25" s="116">
        <v>104</v>
      </c>
      <c r="K25" s="116">
        <v>314</v>
      </c>
    </row>
    <row r="26" spans="1:11" x14ac:dyDescent="0.25">
      <c r="A26" s="116" t="s">
        <v>122</v>
      </c>
      <c r="B26" s="117" t="s">
        <v>140</v>
      </c>
      <c r="C26" s="116">
        <v>0</v>
      </c>
      <c r="D26" s="116">
        <v>187</v>
      </c>
      <c r="E26" s="116">
        <v>346</v>
      </c>
      <c r="F26" s="116">
        <v>382</v>
      </c>
      <c r="G26" s="116">
        <v>219</v>
      </c>
      <c r="H26" s="116">
        <v>423</v>
      </c>
      <c r="I26" s="116">
        <v>377</v>
      </c>
      <c r="J26" s="116">
        <v>129</v>
      </c>
      <c r="K26" s="116">
        <v>280</v>
      </c>
    </row>
    <row r="27" spans="1:11" x14ac:dyDescent="0.25">
      <c r="A27" s="116" t="s">
        <v>122</v>
      </c>
      <c r="B27" s="117" t="s">
        <v>141</v>
      </c>
      <c r="C27" s="116">
        <v>0</v>
      </c>
      <c r="D27" s="116">
        <v>221</v>
      </c>
      <c r="E27" s="116">
        <v>412</v>
      </c>
      <c r="F27" s="116">
        <v>427</v>
      </c>
      <c r="G27" s="116">
        <v>253</v>
      </c>
      <c r="H27" s="116">
        <v>400</v>
      </c>
      <c r="I27" s="116">
        <v>387</v>
      </c>
      <c r="J27" s="116">
        <v>144</v>
      </c>
      <c r="K27" s="116">
        <v>244</v>
      </c>
    </row>
    <row r="28" spans="1:11" x14ac:dyDescent="0.25">
      <c r="A28" s="116" t="s">
        <v>122</v>
      </c>
      <c r="B28" s="117" t="s">
        <v>142</v>
      </c>
      <c r="C28" s="116">
        <v>0</v>
      </c>
      <c r="D28" s="116">
        <v>359</v>
      </c>
      <c r="E28" s="116">
        <v>409</v>
      </c>
      <c r="F28" s="116">
        <v>237</v>
      </c>
      <c r="G28" s="116">
        <v>225</v>
      </c>
      <c r="H28" s="116">
        <v>355</v>
      </c>
      <c r="I28" s="116">
        <v>344</v>
      </c>
      <c r="J28" s="116">
        <v>161</v>
      </c>
      <c r="K28" s="116">
        <v>279</v>
      </c>
    </row>
    <row r="29" spans="1:11" x14ac:dyDescent="0.25">
      <c r="A29" s="116" t="s">
        <v>122</v>
      </c>
      <c r="B29" s="117" t="s">
        <v>143</v>
      </c>
      <c r="C29" s="116">
        <v>0</v>
      </c>
      <c r="D29" s="116">
        <v>307</v>
      </c>
      <c r="E29" s="116">
        <v>320</v>
      </c>
      <c r="F29" s="116">
        <v>198</v>
      </c>
      <c r="G29" s="116">
        <v>285</v>
      </c>
      <c r="H29" s="116">
        <v>403</v>
      </c>
      <c r="I29" s="116">
        <v>401</v>
      </c>
      <c r="J29" s="116">
        <v>286</v>
      </c>
      <c r="K29" s="116">
        <v>262</v>
      </c>
    </row>
    <row r="30" spans="1:11" x14ac:dyDescent="0.25">
      <c r="A30" s="116" t="s">
        <v>122</v>
      </c>
      <c r="B30" s="117" t="s">
        <v>144</v>
      </c>
      <c r="C30" s="116">
        <v>0</v>
      </c>
      <c r="D30" s="116">
        <v>323</v>
      </c>
      <c r="E30" s="116">
        <v>313</v>
      </c>
      <c r="F30" s="116">
        <v>206</v>
      </c>
      <c r="G30" s="116">
        <v>323</v>
      </c>
      <c r="H30" s="116">
        <v>359</v>
      </c>
      <c r="I30" s="116">
        <v>392</v>
      </c>
      <c r="J30" s="116">
        <v>291</v>
      </c>
      <c r="K30" s="116">
        <v>225</v>
      </c>
    </row>
    <row r="31" spans="1:11" x14ac:dyDescent="0.25">
      <c r="A31" s="116" t="s">
        <v>122</v>
      </c>
      <c r="B31" s="117" t="s">
        <v>145</v>
      </c>
      <c r="C31" s="116">
        <v>0</v>
      </c>
      <c r="D31" s="116">
        <v>214</v>
      </c>
      <c r="E31" s="116">
        <v>197</v>
      </c>
      <c r="F31" s="116">
        <v>395</v>
      </c>
      <c r="G31" s="116">
        <v>322</v>
      </c>
      <c r="H31" s="116">
        <v>381</v>
      </c>
      <c r="I31" s="116">
        <v>416</v>
      </c>
      <c r="J31" s="116">
        <v>233</v>
      </c>
      <c r="K31" s="116">
        <v>245</v>
      </c>
    </row>
    <row r="32" spans="1:11" x14ac:dyDescent="0.25">
      <c r="A32" s="116" t="s">
        <v>122</v>
      </c>
      <c r="B32" s="117" t="s">
        <v>146</v>
      </c>
      <c r="C32" s="116">
        <v>0</v>
      </c>
      <c r="D32" s="116">
        <v>353</v>
      </c>
      <c r="E32" s="116">
        <v>253</v>
      </c>
      <c r="F32" s="116">
        <v>416</v>
      </c>
      <c r="G32" s="116">
        <v>264</v>
      </c>
      <c r="H32" s="116">
        <v>265</v>
      </c>
      <c r="I32" s="116">
        <v>237</v>
      </c>
      <c r="J32" s="116">
        <v>210</v>
      </c>
      <c r="K32" s="116">
        <v>59</v>
      </c>
    </row>
    <row r="33" spans="1:11" x14ac:dyDescent="0.25">
      <c r="A33" s="116" t="s">
        <v>122</v>
      </c>
      <c r="B33" s="117" t="s">
        <v>147</v>
      </c>
      <c r="C33" s="116">
        <v>0</v>
      </c>
      <c r="D33" s="116">
        <v>358</v>
      </c>
      <c r="E33" s="116">
        <v>295</v>
      </c>
      <c r="F33" s="116">
        <v>413</v>
      </c>
      <c r="G33" s="116">
        <v>249</v>
      </c>
      <c r="H33" s="116">
        <v>352</v>
      </c>
      <c r="I33" s="116">
        <v>374</v>
      </c>
      <c r="J33" s="116">
        <v>73</v>
      </c>
      <c r="K33" s="116">
        <v>63</v>
      </c>
    </row>
    <row r="34" spans="1:11" x14ac:dyDescent="0.25">
      <c r="A34" s="116" t="s">
        <v>122</v>
      </c>
      <c r="B34" s="117" t="s">
        <v>148</v>
      </c>
      <c r="C34" s="116">
        <v>0</v>
      </c>
      <c r="D34" s="116">
        <v>342</v>
      </c>
      <c r="E34" s="116">
        <v>331</v>
      </c>
      <c r="F34" s="116">
        <v>417</v>
      </c>
      <c r="G34" s="116">
        <v>345</v>
      </c>
      <c r="H34" s="116">
        <v>345</v>
      </c>
      <c r="I34" s="116">
        <v>383</v>
      </c>
      <c r="J34" s="116">
        <v>66</v>
      </c>
      <c r="K34" s="116">
        <v>92</v>
      </c>
    </row>
    <row r="35" spans="1:11" x14ac:dyDescent="0.25">
      <c r="A35" s="116" t="s">
        <v>122</v>
      </c>
      <c r="B35" s="117" t="s">
        <v>149</v>
      </c>
      <c r="C35" s="116">
        <v>0</v>
      </c>
      <c r="D35" s="116">
        <v>172</v>
      </c>
      <c r="E35" s="116">
        <v>369</v>
      </c>
      <c r="F35" s="116">
        <v>382</v>
      </c>
      <c r="G35" s="116">
        <v>411</v>
      </c>
      <c r="H35" s="116">
        <v>364</v>
      </c>
      <c r="I35" s="116">
        <v>352</v>
      </c>
      <c r="J35" s="116">
        <v>88</v>
      </c>
      <c r="K35" s="116">
        <v>134</v>
      </c>
    </row>
    <row r="36" spans="1:11" x14ac:dyDescent="0.25">
      <c r="A36" s="116" t="s">
        <v>122</v>
      </c>
      <c r="B36" s="117" t="s">
        <v>150</v>
      </c>
      <c r="C36" s="116">
        <v>0</v>
      </c>
      <c r="D36" s="116">
        <v>197</v>
      </c>
      <c r="E36" s="116">
        <v>383</v>
      </c>
      <c r="F36" s="116">
        <v>260</v>
      </c>
      <c r="G36" s="116">
        <v>383</v>
      </c>
      <c r="H36" s="116">
        <v>344</v>
      </c>
      <c r="I36" s="116">
        <v>407</v>
      </c>
      <c r="J36" s="116">
        <v>136</v>
      </c>
      <c r="K36" s="116">
        <v>135</v>
      </c>
    </row>
    <row r="37" spans="1:11" x14ac:dyDescent="0.25">
      <c r="A37" s="116" t="s">
        <v>122</v>
      </c>
      <c r="B37" s="117" t="s">
        <v>151</v>
      </c>
      <c r="C37" s="116">
        <v>0</v>
      </c>
      <c r="D37" s="116">
        <v>121</v>
      </c>
      <c r="E37" s="116">
        <v>412</v>
      </c>
      <c r="F37" s="116">
        <v>413</v>
      </c>
      <c r="G37" s="116">
        <v>372</v>
      </c>
      <c r="H37" s="116">
        <v>340</v>
      </c>
      <c r="I37" s="116">
        <v>364</v>
      </c>
      <c r="J37" s="116">
        <v>150</v>
      </c>
      <c r="K37" s="116">
        <v>89</v>
      </c>
    </row>
    <row r="38" spans="1:11" x14ac:dyDescent="0.25">
      <c r="A38" s="116" t="s">
        <v>122</v>
      </c>
      <c r="B38" s="117" t="s">
        <v>152</v>
      </c>
      <c r="C38" s="116">
        <v>0</v>
      </c>
      <c r="D38" s="116">
        <v>152</v>
      </c>
      <c r="E38" s="116">
        <v>256</v>
      </c>
      <c r="F38" s="116">
        <v>415</v>
      </c>
      <c r="G38" s="116">
        <v>274</v>
      </c>
      <c r="H38" s="116">
        <v>296</v>
      </c>
      <c r="I38" s="116">
        <v>246</v>
      </c>
      <c r="J38" s="116">
        <v>78</v>
      </c>
      <c r="K38" s="116">
        <v>152</v>
      </c>
    </row>
    <row r="39" spans="1:11" x14ac:dyDescent="0.25">
      <c r="A39" s="116" t="s">
        <v>153</v>
      </c>
      <c r="B39" s="117" t="s">
        <v>121</v>
      </c>
      <c r="C39" s="116">
        <v>0</v>
      </c>
      <c r="D39" s="116">
        <v>208</v>
      </c>
      <c r="E39" s="116">
        <v>386</v>
      </c>
      <c r="F39" s="116">
        <v>226</v>
      </c>
      <c r="G39" s="116">
        <v>311</v>
      </c>
      <c r="H39" s="116">
        <v>305</v>
      </c>
      <c r="I39" s="116">
        <v>264</v>
      </c>
      <c r="J39" s="116">
        <v>110</v>
      </c>
      <c r="K39" s="116">
        <v>157</v>
      </c>
    </row>
    <row r="40" spans="1:11" x14ac:dyDescent="0.25">
      <c r="A40" s="116" t="s">
        <v>153</v>
      </c>
      <c r="B40" s="117" t="s">
        <v>123</v>
      </c>
      <c r="C40" s="116">
        <v>0</v>
      </c>
      <c r="D40" s="116">
        <v>279</v>
      </c>
      <c r="E40" s="116">
        <v>398</v>
      </c>
      <c r="F40" s="116">
        <v>265</v>
      </c>
      <c r="G40" s="116">
        <v>239</v>
      </c>
      <c r="H40" s="116">
        <v>365</v>
      </c>
      <c r="I40" s="116">
        <v>271</v>
      </c>
      <c r="J40" s="116">
        <v>111</v>
      </c>
      <c r="K40" s="116">
        <v>277</v>
      </c>
    </row>
    <row r="41" spans="1:11" x14ac:dyDescent="0.25">
      <c r="A41" s="116" t="s">
        <v>153</v>
      </c>
      <c r="B41" s="117" t="s">
        <v>124</v>
      </c>
      <c r="C41" s="116">
        <v>0</v>
      </c>
      <c r="D41" s="116">
        <v>263</v>
      </c>
      <c r="E41" s="116">
        <v>355</v>
      </c>
      <c r="F41" s="116">
        <v>296</v>
      </c>
      <c r="G41" s="116">
        <v>218</v>
      </c>
      <c r="H41" s="116">
        <v>268</v>
      </c>
      <c r="I41" s="116">
        <v>418</v>
      </c>
      <c r="J41" s="116">
        <v>132</v>
      </c>
      <c r="K41" s="116">
        <v>273</v>
      </c>
    </row>
    <row r="42" spans="1:11" x14ac:dyDescent="0.25">
      <c r="A42" s="116" t="s">
        <v>153</v>
      </c>
      <c r="B42" s="117" t="s">
        <v>125</v>
      </c>
      <c r="C42" s="116">
        <v>0</v>
      </c>
      <c r="D42" s="116">
        <v>183</v>
      </c>
      <c r="E42" s="116">
        <v>206</v>
      </c>
      <c r="F42" s="116">
        <v>310</v>
      </c>
      <c r="G42" s="116">
        <v>212</v>
      </c>
      <c r="H42" s="116">
        <v>308</v>
      </c>
      <c r="I42" s="116">
        <v>417</v>
      </c>
      <c r="J42" s="116">
        <v>87</v>
      </c>
      <c r="K42" s="116">
        <v>298</v>
      </c>
    </row>
    <row r="43" spans="1:11" x14ac:dyDescent="0.25">
      <c r="A43" s="116" t="s">
        <v>153</v>
      </c>
      <c r="B43" s="117" t="s">
        <v>126</v>
      </c>
      <c r="C43" s="116">
        <v>0</v>
      </c>
      <c r="D43" s="116">
        <v>134</v>
      </c>
      <c r="E43" s="116">
        <v>278</v>
      </c>
      <c r="F43" s="116">
        <v>317</v>
      </c>
      <c r="G43" s="116">
        <v>365</v>
      </c>
      <c r="H43" s="116">
        <v>231</v>
      </c>
      <c r="I43" s="116">
        <v>349</v>
      </c>
      <c r="J43" s="116">
        <v>111</v>
      </c>
      <c r="K43" s="116">
        <v>318</v>
      </c>
    </row>
    <row r="44" spans="1:11" x14ac:dyDescent="0.25">
      <c r="A44" s="116" t="s">
        <v>153</v>
      </c>
      <c r="B44" s="117" t="s">
        <v>127</v>
      </c>
      <c r="C44" s="116">
        <v>0</v>
      </c>
      <c r="D44" s="116">
        <v>161</v>
      </c>
      <c r="E44" s="116">
        <v>285</v>
      </c>
      <c r="F44" s="116">
        <v>308</v>
      </c>
      <c r="G44" s="116">
        <v>393</v>
      </c>
      <c r="H44" s="116">
        <v>410</v>
      </c>
      <c r="I44" s="116">
        <v>354</v>
      </c>
      <c r="J44" s="116">
        <v>126</v>
      </c>
      <c r="K44" s="116">
        <v>135</v>
      </c>
    </row>
    <row r="45" spans="1:11" x14ac:dyDescent="0.25">
      <c r="A45" s="116" t="s">
        <v>153</v>
      </c>
      <c r="B45" s="117" t="s">
        <v>128</v>
      </c>
      <c r="C45" s="116">
        <v>0</v>
      </c>
      <c r="D45" s="116">
        <v>175</v>
      </c>
      <c r="E45" s="116">
        <v>345</v>
      </c>
      <c r="F45" s="116">
        <v>332</v>
      </c>
      <c r="G45" s="116">
        <v>345</v>
      </c>
      <c r="H45" s="116">
        <v>404</v>
      </c>
      <c r="I45" s="116">
        <v>404</v>
      </c>
      <c r="J45" s="116">
        <v>71</v>
      </c>
      <c r="K45" s="116">
        <v>99</v>
      </c>
    </row>
    <row r="46" spans="1:11" x14ac:dyDescent="0.25">
      <c r="A46" s="116" t="s">
        <v>153</v>
      </c>
      <c r="B46" s="117" t="s">
        <v>129</v>
      </c>
      <c r="C46" s="116">
        <v>0</v>
      </c>
      <c r="D46" s="116">
        <v>137</v>
      </c>
      <c r="E46" s="116">
        <v>419</v>
      </c>
      <c r="F46" s="116">
        <v>327</v>
      </c>
      <c r="G46" s="116">
        <v>364</v>
      </c>
      <c r="H46" s="116">
        <v>432</v>
      </c>
      <c r="I46" s="116">
        <v>349</v>
      </c>
      <c r="J46" s="116">
        <v>58</v>
      </c>
      <c r="K46" s="116">
        <v>79</v>
      </c>
    </row>
    <row r="47" spans="1:11" x14ac:dyDescent="0.25">
      <c r="A47" s="116" t="s">
        <v>153</v>
      </c>
      <c r="B47" s="117" t="s">
        <v>130</v>
      </c>
      <c r="C47" s="116">
        <v>0</v>
      </c>
      <c r="D47" s="116">
        <v>230</v>
      </c>
      <c r="E47" s="116">
        <v>390</v>
      </c>
      <c r="F47" s="116">
        <v>327</v>
      </c>
      <c r="G47" s="116">
        <v>330</v>
      </c>
      <c r="H47" s="116">
        <v>216</v>
      </c>
      <c r="I47" s="116">
        <v>296</v>
      </c>
      <c r="J47" s="116">
        <v>62</v>
      </c>
      <c r="K47" s="116">
        <v>107</v>
      </c>
    </row>
    <row r="48" spans="1:11" x14ac:dyDescent="0.25">
      <c r="A48" s="116" t="s">
        <v>153</v>
      </c>
      <c r="B48" s="117" t="s">
        <v>131</v>
      </c>
      <c r="C48" s="116">
        <v>0</v>
      </c>
      <c r="D48" s="116">
        <v>243</v>
      </c>
      <c r="E48" s="116">
        <v>395</v>
      </c>
      <c r="F48" s="116">
        <v>328</v>
      </c>
      <c r="G48" s="116">
        <v>332</v>
      </c>
      <c r="H48" s="116">
        <v>240</v>
      </c>
      <c r="I48" s="116">
        <v>290</v>
      </c>
      <c r="J48" s="116">
        <v>81</v>
      </c>
      <c r="K48" s="116">
        <v>135</v>
      </c>
    </row>
    <row r="49" spans="1:11" x14ac:dyDescent="0.25">
      <c r="A49" s="116" t="s">
        <v>153</v>
      </c>
      <c r="B49" s="117" t="s">
        <v>132</v>
      </c>
      <c r="C49" s="116">
        <v>0</v>
      </c>
      <c r="D49" s="116">
        <v>212</v>
      </c>
      <c r="E49" s="116">
        <v>347</v>
      </c>
      <c r="F49" s="116">
        <v>263</v>
      </c>
      <c r="G49" s="116">
        <v>326</v>
      </c>
      <c r="H49" s="116">
        <v>407</v>
      </c>
      <c r="I49" s="116">
        <v>232</v>
      </c>
      <c r="J49" s="116">
        <v>133</v>
      </c>
      <c r="K49" s="116">
        <v>210</v>
      </c>
    </row>
    <row r="50" spans="1:11" x14ac:dyDescent="0.25">
      <c r="A50" s="116" t="s">
        <v>153</v>
      </c>
      <c r="B50" s="117" t="s">
        <v>133</v>
      </c>
      <c r="C50" s="116">
        <v>0</v>
      </c>
      <c r="D50" s="116">
        <v>226</v>
      </c>
      <c r="E50" s="116">
        <v>331</v>
      </c>
      <c r="F50" s="116">
        <v>248</v>
      </c>
      <c r="G50" s="116">
        <v>340</v>
      </c>
      <c r="H50" s="116">
        <v>405</v>
      </c>
      <c r="I50" s="116">
        <v>267</v>
      </c>
      <c r="J50" s="116">
        <v>210</v>
      </c>
      <c r="K50" s="116">
        <v>265</v>
      </c>
    </row>
    <row r="51" spans="1:11" x14ac:dyDescent="0.25">
      <c r="A51" s="116" t="s">
        <v>153</v>
      </c>
      <c r="B51" s="117" t="s">
        <v>134</v>
      </c>
      <c r="C51" s="116">
        <v>0</v>
      </c>
      <c r="D51" s="116">
        <v>321</v>
      </c>
      <c r="E51" s="116">
        <v>406</v>
      </c>
      <c r="F51" s="116">
        <v>327</v>
      </c>
      <c r="G51" s="116">
        <v>389</v>
      </c>
      <c r="H51" s="116">
        <v>242</v>
      </c>
      <c r="I51" s="116">
        <v>329</v>
      </c>
      <c r="J51" s="116">
        <v>218</v>
      </c>
      <c r="K51" s="116">
        <v>232</v>
      </c>
    </row>
    <row r="52" spans="1:11" x14ac:dyDescent="0.25">
      <c r="A52" s="116" t="s">
        <v>153</v>
      </c>
      <c r="B52" s="117" t="s">
        <v>135</v>
      </c>
      <c r="C52" s="116">
        <v>0</v>
      </c>
      <c r="D52" s="116">
        <v>409</v>
      </c>
      <c r="E52" s="116">
        <v>428</v>
      </c>
      <c r="F52" s="116">
        <v>359</v>
      </c>
      <c r="G52" s="116">
        <v>317</v>
      </c>
      <c r="H52" s="116">
        <v>317</v>
      </c>
      <c r="I52" s="116">
        <v>377</v>
      </c>
      <c r="J52" s="116">
        <v>179</v>
      </c>
      <c r="K52" s="116">
        <v>287</v>
      </c>
    </row>
    <row r="53" spans="1:11" x14ac:dyDescent="0.25">
      <c r="A53" s="116" t="s">
        <v>153</v>
      </c>
      <c r="B53" s="117" t="s">
        <v>136</v>
      </c>
      <c r="C53" s="116">
        <v>0</v>
      </c>
      <c r="D53" s="116">
        <v>381</v>
      </c>
      <c r="E53" s="116">
        <v>410</v>
      </c>
      <c r="F53" s="116">
        <v>392</v>
      </c>
      <c r="G53" s="116">
        <v>384</v>
      </c>
      <c r="H53" s="116">
        <v>404</v>
      </c>
      <c r="I53" s="116">
        <v>435</v>
      </c>
      <c r="J53" s="116">
        <v>145</v>
      </c>
      <c r="K53" s="116">
        <v>270</v>
      </c>
    </row>
    <row r="54" spans="1:11" x14ac:dyDescent="0.25">
      <c r="A54" s="116" t="s">
        <v>153</v>
      </c>
      <c r="B54" s="117" t="s">
        <v>137</v>
      </c>
      <c r="C54" s="116">
        <v>0</v>
      </c>
      <c r="D54" s="116">
        <v>275</v>
      </c>
      <c r="E54" s="116">
        <v>386</v>
      </c>
      <c r="F54" s="116">
        <v>373</v>
      </c>
      <c r="G54" s="116">
        <v>433</v>
      </c>
      <c r="H54" s="116">
        <v>432</v>
      </c>
      <c r="I54" s="116">
        <v>425</v>
      </c>
      <c r="J54" s="116">
        <v>145</v>
      </c>
      <c r="K54" s="116">
        <v>272</v>
      </c>
    </row>
    <row r="55" spans="1:11" x14ac:dyDescent="0.25">
      <c r="A55" s="116" t="s">
        <v>153</v>
      </c>
      <c r="B55" s="117" t="s">
        <v>138</v>
      </c>
      <c r="C55" s="116">
        <v>0</v>
      </c>
      <c r="D55" s="116">
        <v>208</v>
      </c>
      <c r="E55" s="116">
        <v>395</v>
      </c>
      <c r="F55" s="116">
        <v>424</v>
      </c>
      <c r="G55" s="116">
        <v>435</v>
      </c>
      <c r="H55" s="116">
        <v>406</v>
      </c>
      <c r="I55" s="116">
        <v>317</v>
      </c>
      <c r="J55" s="116">
        <v>152</v>
      </c>
      <c r="K55" s="116">
        <v>347</v>
      </c>
    </row>
    <row r="56" spans="1:11" x14ac:dyDescent="0.25">
      <c r="A56" s="116" t="s">
        <v>153</v>
      </c>
      <c r="B56" s="117" t="s">
        <v>139</v>
      </c>
      <c r="C56" s="116">
        <v>0</v>
      </c>
      <c r="D56" s="116">
        <v>250</v>
      </c>
      <c r="E56" s="116">
        <v>373</v>
      </c>
      <c r="F56" s="116">
        <v>440</v>
      </c>
      <c r="G56" s="116">
        <v>433</v>
      </c>
      <c r="H56" s="116">
        <v>346</v>
      </c>
      <c r="I56" s="116">
        <v>317</v>
      </c>
      <c r="J56" s="116">
        <v>153</v>
      </c>
      <c r="K56" s="116">
        <v>398</v>
      </c>
    </row>
    <row r="57" spans="1:11" x14ac:dyDescent="0.25">
      <c r="A57" s="116" t="s">
        <v>153</v>
      </c>
      <c r="B57" s="117" t="s">
        <v>140</v>
      </c>
      <c r="C57" s="116">
        <v>0</v>
      </c>
      <c r="D57" s="116">
        <v>254</v>
      </c>
      <c r="E57" s="116">
        <v>409</v>
      </c>
      <c r="F57" s="116">
        <v>440</v>
      </c>
      <c r="G57" s="116">
        <v>392</v>
      </c>
      <c r="H57" s="116">
        <v>434</v>
      </c>
      <c r="I57" s="116">
        <v>436</v>
      </c>
      <c r="J57" s="116">
        <v>197</v>
      </c>
      <c r="K57" s="116">
        <v>411</v>
      </c>
    </row>
    <row r="58" spans="1:11" x14ac:dyDescent="0.25">
      <c r="A58" s="116" t="s">
        <v>153</v>
      </c>
      <c r="B58" s="117" t="s">
        <v>141</v>
      </c>
      <c r="C58" s="116">
        <v>0</v>
      </c>
      <c r="D58" s="116">
        <v>248</v>
      </c>
      <c r="E58" s="116">
        <v>399</v>
      </c>
      <c r="F58" s="116">
        <v>350</v>
      </c>
      <c r="G58" s="116">
        <v>415</v>
      </c>
      <c r="H58" s="116">
        <v>436</v>
      </c>
      <c r="I58" s="116">
        <v>432</v>
      </c>
      <c r="J58" s="116">
        <v>188</v>
      </c>
      <c r="K58" s="116">
        <v>404</v>
      </c>
    </row>
    <row r="59" spans="1:11" x14ac:dyDescent="0.25">
      <c r="A59" s="116" t="s">
        <v>153</v>
      </c>
      <c r="B59" s="117" t="s">
        <v>142</v>
      </c>
      <c r="C59" s="116">
        <v>0</v>
      </c>
      <c r="D59" s="116">
        <v>225</v>
      </c>
      <c r="E59" s="116">
        <v>360</v>
      </c>
      <c r="F59" s="116">
        <v>305</v>
      </c>
      <c r="G59" s="116">
        <v>420</v>
      </c>
      <c r="H59" s="116">
        <v>309</v>
      </c>
      <c r="I59" s="116">
        <v>369</v>
      </c>
      <c r="J59" s="116">
        <v>104</v>
      </c>
      <c r="K59" s="116">
        <v>346</v>
      </c>
    </row>
    <row r="60" spans="1:11" x14ac:dyDescent="0.25">
      <c r="A60" s="116" t="s">
        <v>153</v>
      </c>
      <c r="B60" s="117" t="s">
        <v>143</v>
      </c>
      <c r="C60" s="116">
        <v>0</v>
      </c>
      <c r="D60" s="116">
        <v>201</v>
      </c>
      <c r="E60" s="116">
        <v>219</v>
      </c>
      <c r="F60" s="116">
        <v>376</v>
      </c>
      <c r="G60" s="116">
        <v>342</v>
      </c>
      <c r="H60" s="116">
        <v>363</v>
      </c>
      <c r="I60" s="116">
        <v>388</v>
      </c>
      <c r="J60" s="116">
        <v>125</v>
      </c>
      <c r="K60" s="116">
        <v>389</v>
      </c>
    </row>
    <row r="61" spans="1:11" x14ac:dyDescent="0.25">
      <c r="A61" s="116" t="s">
        <v>153</v>
      </c>
      <c r="B61" s="117" t="s">
        <v>144</v>
      </c>
      <c r="C61" s="116">
        <v>0</v>
      </c>
      <c r="D61" s="116">
        <v>256</v>
      </c>
      <c r="E61" s="116">
        <v>219</v>
      </c>
      <c r="F61" s="116">
        <v>422</v>
      </c>
      <c r="G61" s="116">
        <v>355</v>
      </c>
      <c r="H61" s="116">
        <v>390</v>
      </c>
      <c r="I61" s="116">
        <v>364</v>
      </c>
      <c r="J61" s="116">
        <v>131</v>
      </c>
      <c r="K61" s="116">
        <v>395</v>
      </c>
    </row>
    <row r="62" spans="1:11" x14ac:dyDescent="0.25">
      <c r="A62" s="116" t="s">
        <v>153</v>
      </c>
      <c r="B62" s="117" t="s">
        <v>145</v>
      </c>
      <c r="C62" s="116">
        <v>0</v>
      </c>
      <c r="D62" s="116">
        <v>258</v>
      </c>
      <c r="E62" s="116">
        <v>352</v>
      </c>
      <c r="F62" s="116">
        <v>416</v>
      </c>
      <c r="G62" s="116">
        <v>390</v>
      </c>
      <c r="H62" s="116">
        <v>399</v>
      </c>
      <c r="I62" s="116">
        <v>382</v>
      </c>
      <c r="J62" s="116">
        <v>181</v>
      </c>
      <c r="K62" s="116">
        <v>402</v>
      </c>
    </row>
    <row r="63" spans="1:11" x14ac:dyDescent="0.25">
      <c r="A63" s="116" t="s">
        <v>153</v>
      </c>
      <c r="B63" s="117" t="s">
        <v>146</v>
      </c>
      <c r="C63" s="116">
        <v>0</v>
      </c>
      <c r="D63" s="116">
        <v>156</v>
      </c>
      <c r="E63" s="116">
        <v>336</v>
      </c>
      <c r="F63" s="116">
        <v>390</v>
      </c>
      <c r="G63" s="116">
        <v>320</v>
      </c>
      <c r="H63" s="116">
        <v>370</v>
      </c>
      <c r="I63" s="116">
        <v>334</v>
      </c>
      <c r="J63" s="116">
        <v>236</v>
      </c>
      <c r="K63" s="116">
        <v>317</v>
      </c>
    </row>
    <row r="64" spans="1:11" x14ac:dyDescent="0.25">
      <c r="A64" s="116" t="s">
        <v>153</v>
      </c>
      <c r="B64" s="117" t="s">
        <v>147</v>
      </c>
      <c r="C64" s="116">
        <v>0</v>
      </c>
      <c r="D64" s="116">
        <v>125</v>
      </c>
      <c r="E64" s="116">
        <v>227</v>
      </c>
      <c r="F64" s="116">
        <v>291</v>
      </c>
      <c r="G64" s="116">
        <v>309</v>
      </c>
      <c r="H64" s="116">
        <v>329</v>
      </c>
      <c r="I64" s="116">
        <v>389</v>
      </c>
      <c r="J64" s="116">
        <v>282</v>
      </c>
      <c r="K64" s="116">
        <v>303</v>
      </c>
    </row>
    <row r="65" spans="1:11" x14ac:dyDescent="0.25">
      <c r="A65" s="116" t="s">
        <v>153</v>
      </c>
      <c r="B65" s="117" t="s">
        <v>148</v>
      </c>
      <c r="C65" s="116">
        <v>0</v>
      </c>
      <c r="D65" s="116">
        <v>138</v>
      </c>
      <c r="E65" s="116">
        <v>267</v>
      </c>
      <c r="F65" s="116">
        <v>384</v>
      </c>
      <c r="G65" s="116">
        <v>206</v>
      </c>
      <c r="H65" s="116">
        <v>343</v>
      </c>
      <c r="I65" s="116">
        <v>355</v>
      </c>
      <c r="J65" s="116">
        <v>284</v>
      </c>
      <c r="K65" s="116">
        <v>310</v>
      </c>
    </row>
    <row r="66" spans="1:11" x14ac:dyDescent="0.25">
      <c r="A66" s="116" t="s">
        <v>153</v>
      </c>
      <c r="B66" s="117" t="s">
        <v>149</v>
      </c>
      <c r="C66" s="116">
        <v>0</v>
      </c>
      <c r="D66" s="116">
        <v>150</v>
      </c>
      <c r="E66" s="116">
        <v>293</v>
      </c>
      <c r="F66" s="116">
        <v>363</v>
      </c>
      <c r="G66" s="116">
        <v>408</v>
      </c>
      <c r="H66" s="116">
        <v>407</v>
      </c>
      <c r="I66" s="116">
        <v>274</v>
      </c>
      <c r="J66" s="116">
        <v>188</v>
      </c>
      <c r="K66" s="116">
        <v>321</v>
      </c>
    </row>
    <row r="67" spans="1:11" x14ac:dyDescent="0.25">
      <c r="A67" s="116" t="s">
        <v>153</v>
      </c>
      <c r="B67" s="117" t="s">
        <v>150</v>
      </c>
      <c r="C67" s="116">
        <v>0</v>
      </c>
      <c r="D67" s="116">
        <v>0</v>
      </c>
      <c r="E67" s="116">
        <v>311</v>
      </c>
      <c r="F67" s="116">
        <v>0</v>
      </c>
      <c r="G67" s="116">
        <v>0</v>
      </c>
      <c r="H67" s="116">
        <v>0</v>
      </c>
      <c r="I67" s="116">
        <v>284</v>
      </c>
      <c r="J67" s="116">
        <v>0</v>
      </c>
      <c r="K67" s="122">
        <v>0</v>
      </c>
    </row>
    <row r="68" spans="1:11" x14ac:dyDescent="0.25">
      <c r="A68" s="116" t="s">
        <v>154</v>
      </c>
      <c r="B68" s="117" t="s">
        <v>121</v>
      </c>
      <c r="C68" s="116">
        <v>0</v>
      </c>
      <c r="D68" s="116">
        <v>128</v>
      </c>
      <c r="E68" s="116">
        <v>325</v>
      </c>
      <c r="F68" s="116">
        <v>366</v>
      </c>
      <c r="G68" s="116">
        <v>414</v>
      </c>
      <c r="H68" s="116">
        <v>366</v>
      </c>
      <c r="I68" s="116">
        <v>260</v>
      </c>
      <c r="J68" s="116">
        <v>191</v>
      </c>
      <c r="K68" s="116">
        <v>286</v>
      </c>
    </row>
    <row r="69" spans="1:11" x14ac:dyDescent="0.25">
      <c r="A69" s="116" t="s">
        <v>154</v>
      </c>
      <c r="B69" s="117" t="s">
        <v>123</v>
      </c>
      <c r="C69" s="116">
        <v>0</v>
      </c>
      <c r="D69" s="116">
        <v>115</v>
      </c>
      <c r="E69" s="116">
        <v>343</v>
      </c>
      <c r="F69" s="116">
        <v>336</v>
      </c>
      <c r="G69" s="116">
        <v>416</v>
      </c>
      <c r="H69" s="116">
        <v>407</v>
      </c>
      <c r="I69" s="116">
        <v>311</v>
      </c>
      <c r="J69" s="116">
        <v>141</v>
      </c>
      <c r="K69" s="116">
        <v>299</v>
      </c>
    </row>
    <row r="70" spans="1:11" x14ac:dyDescent="0.25">
      <c r="A70" s="116" t="s">
        <v>154</v>
      </c>
      <c r="B70" s="117" t="s">
        <v>124</v>
      </c>
      <c r="C70" s="116">
        <v>0</v>
      </c>
      <c r="D70" s="116">
        <v>142</v>
      </c>
      <c r="E70" s="116">
        <v>372</v>
      </c>
      <c r="F70" s="116">
        <v>387</v>
      </c>
      <c r="G70" s="116">
        <v>277</v>
      </c>
      <c r="H70" s="116">
        <v>307</v>
      </c>
      <c r="I70" s="116">
        <v>314</v>
      </c>
      <c r="J70" s="116">
        <v>87</v>
      </c>
      <c r="K70" s="116">
        <v>295</v>
      </c>
    </row>
    <row r="71" spans="1:11" x14ac:dyDescent="0.25">
      <c r="A71" s="116" t="s">
        <v>154</v>
      </c>
      <c r="B71" s="117" t="s">
        <v>125</v>
      </c>
      <c r="C71" s="116">
        <v>0</v>
      </c>
      <c r="D71" s="116">
        <v>168</v>
      </c>
      <c r="E71" s="116">
        <v>371</v>
      </c>
      <c r="F71" s="116">
        <v>419</v>
      </c>
      <c r="G71" s="116">
        <v>348</v>
      </c>
      <c r="H71" s="116">
        <v>392</v>
      </c>
      <c r="I71" s="116">
        <v>368</v>
      </c>
      <c r="J71" s="116">
        <v>122</v>
      </c>
      <c r="K71" s="116">
        <v>369</v>
      </c>
    </row>
    <row r="72" spans="1:11" x14ac:dyDescent="0.25">
      <c r="A72" s="116" t="s">
        <v>154</v>
      </c>
      <c r="B72" s="117" t="s">
        <v>126</v>
      </c>
      <c r="C72" s="116">
        <v>0</v>
      </c>
      <c r="D72" s="116">
        <v>172</v>
      </c>
      <c r="E72" s="116">
        <v>396</v>
      </c>
      <c r="F72" s="116">
        <v>351</v>
      </c>
      <c r="G72" s="116">
        <v>408</v>
      </c>
      <c r="H72" s="116">
        <v>393</v>
      </c>
      <c r="I72" s="116">
        <v>332</v>
      </c>
      <c r="J72" s="116">
        <v>175</v>
      </c>
      <c r="K72" s="116">
        <v>350</v>
      </c>
    </row>
    <row r="73" spans="1:11" x14ac:dyDescent="0.25">
      <c r="A73" s="116" t="s">
        <v>154</v>
      </c>
      <c r="B73" s="117" t="s">
        <v>127</v>
      </c>
      <c r="C73" s="116">
        <v>0</v>
      </c>
      <c r="D73" s="116">
        <v>184</v>
      </c>
      <c r="E73" s="116">
        <v>250</v>
      </c>
      <c r="F73" s="116">
        <v>367</v>
      </c>
      <c r="G73" s="116">
        <v>290</v>
      </c>
      <c r="H73" s="116">
        <v>407</v>
      </c>
      <c r="I73" s="116">
        <v>291</v>
      </c>
      <c r="J73" s="116">
        <v>203</v>
      </c>
      <c r="K73" s="116">
        <v>233</v>
      </c>
    </row>
    <row r="74" spans="1:11" x14ac:dyDescent="0.25">
      <c r="A74" s="116" t="s">
        <v>154</v>
      </c>
      <c r="B74" s="117" t="s">
        <v>128</v>
      </c>
      <c r="C74" s="116">
        <v>0</v>
      </c>
      <c r="D74" s="116">
        <v>330</v>
      </c>
      <c r="E74" s="116">
        <v>248</v>
      </c>
      <c r="F74" s="116">
        <v>331</v>
      </c>
      <c r="G74" s="116">
        <v>356</v>
      </c>
      <c r="H74" s="116">
        <v>431</v>
      </c>
      <c r="I74" s="116">
        <v>220</v>
      </c>
      <c r="J74" s="116">
        <v>163</v>
      </c>
      <c r="K74" s="116">
        <v>267</v>
      </c>
    </row>
    <row r="75" spans="1:11" x14ac:dyDescent="0.25">
      <c r="A75" s="116" t="s">
        <v>154</v>
      </c>
      <c r="B75" s="117" t="s">
        <v>129</v>
      </c>
      <c r="C75" s="116">
        <v>0</v>
      </c>
      <c r="D75" s="116">
        <v>408</v>
      </c>
      <c r="E75" s="116">
        <v>247</v>
      </c>
      <c r="F75" s="116">
        <v>293</v>
      </c>
      <c r="G75" s="116">
        <v>361</v>
      </c>
      <c r="H75" s="116">
        <v>358</v>
      </c>
      <c r="I75" s="116">
        <v>204</v>
      </c>
      <c r="J75" s="116">
        <v>154</v>
      </c>
      <c r="K75" s="116">
        <v>288</v>
      </c>
    </row>
    <row r="76" spans="1:11" x14ac:dyDescent="0.25">
      <c r="A76" s="116" t="s">
        <v>154</v>
      </c>
      <c r="B76" s="117" t="s">
        <v>130</v>
      </c>
      <c r="C76" s="116">
        <v>0</v>
      </c>
      <c r="D76" s="116">
        <v>388</v>
      </c>
      <c r="E76" s="116">
        <v>261</v>
      </c>
      <c r="F76" s="116">
        <v>310</v>
      </c>
      <c r="G76" s="116">
        <v>331</v>
      </c>
      <c r="H76" s="116">
        <v>362</v>
      </c>
      <c r="I76" s="116">
        <v>229</v>
      </c>
      <c r="J76" s="116">
        <v>135</v>
      </c>
      <c r="K76" s="116">
        <v>368</v>
      </c>
    </row>
    <row r="77" spans="1:11" x14ac:dyDescent="0.25">
      <c r="A77" s="116" t="s">
        <v>154</v>
      </c>
      <c r="B77" s="117" t="s">
        <v>131</v>
      </c>
      <c r="C77" s="116">
        <v>0</v>
      </c>
      <c r="D77" s="116">
        <v>202</v>
      </c>
      <c r="E77" s="116">
        <v>289</v>
      </c>
      <c r="F77" s="116">
        <v>373</v>
      </c>
      <c r="G77" s="116">
        <v>345</v>
      </c>
      <c r="H77" s="116">
        <v>327</v>
      </c>
      <c r="I77" s="116">
        <v>210</v>
      </c>
      <c r="J77" s="116">
        <v>151</v>
      </c>
      <c r="K77" s="116">
        <v>384</v>
      </c>
    </row>
    <row r="78" spans="1:11" x14ac:dyDescent="0.25">
      <c r="A78" s="116" t="s">
        <v>154</v>
      </c>
      <c r="B78" s="117" t="s">
        <v>132</v>
      </c>
      <c r="C78" s="116">
        <v>0</v>
      </c>
      <c r="D78" s="116">
        <v>298</v>
      </c>
      <c r="E78" s="116">
        <v>315</v>
      </c>
      <c r="F78" s="116">
        <v>400</v>
      </c>
      <c r="G78" s="116">
        <v>322</v>
      </c>
      <c r="H78" s="116">
        <v>413</v>
      </c>
      <c r="I78" s="116">
        <v>198</v>
      </c>
      <c r="J78" s="116">
        <v>161</v>
      </c>
      <c r="K78" s="116">
        <v>389</v>
      </c>
    </row>
    <row r="79" spans="1:11" x14ac:dyDescent="0.25">
      <c r="A79" s="116" t="s">
        <v>154</v>
      </c>
      <c r="B79" s="117" t="s">
        <v>133</v>
      </c>
      <c r="C79" s="116">
        <v>0</v>
      </c>
      <c r="D79" s="116">
        <v>229</v>
      </c>
      <c r="E79" s="116">
        <v>334</v>
      </c>
      <c r="F79" s="116">
        <v>395</v>
      </c>
      <c r="G79" s="116">
        <v>393</v>
      </c>
      <c r="H79" s="116">
        <v>409</v>
      </c>
      <c r="I79" s="116">
        <v>207</v>
      </c>
      <c r="J79" s="116">
        <v>209</v>
      </c>
      <c r="K79" s="116">
        <v>367</v>
      </c>
    </row>
    <row r="80" spans="1:11" x14ac:dyDescent="0.25">
      <c r="A80" s="116" t="s">
        <v>154</v>
      </c>
      <c r="B80" s="117" t="s">
        <v>134</v>
      </c>
      <c r="C80" s="116">
        <v>0</v>
      </c>
      <c r="D80" s="116">
        <v>295</v>
      </c>
      <c r="E80" s="116">
        <v>317</v>
      </c>
      <c r="F80" s="116">
        <v>439</v>
      </c>
      <c r="G80" s="116">
        <v>399</v>
      </c>
      <c r="H80" s="116">
        <v>356</v>
      </c>
      <c r="I80" s="116">
        <v>234</v>
      </c>
      <c r="J80" s="116">
        <v>242</v>
      </c>
      <c r="K80" s="116">
        <v>353</v>
      </c>
    </row>
    <row r="81" spans="1:11" x14ac:dyDescent="0.25">
      <c r="A81" s="116" t="s">
        <v>154</v>
      </c>
      <c r="B81" s="117" t="s">
        <v>135</v>
      </c>
      <c r="C81" s="116">
        <v>0</v>
      </c>
      <c r="D81" s="116">
        <v>383</v>
      </c>
      <c r="E81" s="116">
        <v>423</v>
      </c>
      <c r="F81" s="116">
        <v>436</v>
      </c>
      <c r="G81" s="116">
        <v>378</v>
      </c>
      <c r="H81" s="116">
        <v>324</v>
      </c>
      <c r="I81" s="116">
        <v>180</v>
      </c>
      <c r="J81" s="116">
        <v>233</v>
      </c>
      <c r="K81" s="116">
        <v>372</v>
      </c>
    </row>
    <row r="82" spans="1:11" x14ac:dyDescent="0.25">
      <c r="A82" s="116" t="s">
        <v>154</v>
      </c>
      <c r="B82" s="117" t="s">
        <v>136</v>
      </c>
      <c r="C82" s="116">
        <v>0</v>
      </c>
      <c r="D82" s="116">
        <v>358</v>
      </c>
      <c r="E82" s="116">
        <v>433</v>
      </c>
      <c r="F82" s="116">
        <v>407</v>
      </c>
      <c r="G82" s="116">
        <v>372</v>
      </c>
      <c r="H82" s="116">
        <v>319</v>
      </c>
      <c r="I82" s="116">
        <v>96</v>
      </c>
      <c r="J82" s="116">
        <v>242</v>
      </c>
      <c r="K82" s="116">
        <v>402</v>
      </c>
    </row>
    <row r="83" spans="1:11" x14ac:dyDescent="0.25">
      <c r="A83" s="116" t="s">
        <v>154</v>
      </c>
      <c r="B83" s="117" t="s">
        <v>137</v>
      </c>
      <c r="C83" s="116">
        <v>0</v>
      </c>
      <c r="D83" s="116">
        <v>414</v>
      </c>
      <c r="E83" s="116">
        <v>375</v>
      </c>
      <c r="F83" s="116">
        <v>410</v>
      </c>
      <c r="G83" s="116">
        <v>373</v>
      </c>
      <c r="H83" s="116">
        <v>290</v>
      </c>
      <c r="I83" s="116">
        <v>61</v>
      </c>
      <c r="J83" s="116">
        <v>244</v>
      </c>
      <c r="K83" s="116">
        <v>409</v>
      </c>
    </row>
    <row r="84" spans="1:11" x14ac:dyDescent="0.25">
      <c r="A84" s="116" t="s">
        <v>154</v>
      </c>
      <c r="B84" s="117" t="s">
        <v>138</v>
      </c>
      <c r="C84" s="116">
        <v>0</v>
      </c>
      <c r="D84" s="116">
        <v>424</v>
      </c>
      <c r="E84" s="116">
        <v>286</v>
      </c>
      <c r="F84" s="116">
        <v>401</v>
      </c>
      <c r="G84" s="116">
        <v>394</v>
      </c>
      <c r="H84" s="116">
        <v>351</v>
      </c>
      <c r="I84" s="116">
        <v>58</v>
      </c>
      <c r="J84" s="116">
        <v>237</v>
      </c>
      <c r="K84" s="116">
        <v>400</v>
      </c>
    </row>
    <row r="85" spans="1:11" x14ac:dyDescent="0.25">
      <c r="A85" s="116" t="s">
        <v>154</v>
      </c>
      <c r="B85" s="117" t="s">
        <v>139</v>
      </c>
      <c r="C85" s="116">
        <v>0</v>
      </c>
      <c r="D85" s="116">
        <v>351</v>
      </c>
      <c r="E85" s="116">
        <v>339</v>
      </c>
      <c r="F85" s="116">
        <v>411</v>
      </c>
      <c r="G85" s="116">
        <v>379</v>
      </c>
      <c r="H85" s="116">
        <v>373</v>
      </c>
      <c r="I85" s="116">
        <v>49</v>
      </c>
      <c r="J85" s="116">
        <v>233</v>
      </c>
      <c r="K85" s="116">
        <v>403</v>
      </c>
    </row>
    <row r="86" spans="1:11" x14ac:dyDescent="0.25">
      <c r="A86" s="116" t="s">
        <v>154</v>
      </c>
      <c r="B86" s="117" t="s">
        <v>140</v>
      </c>
      <c r="C86" s="116">
        <v>0</v>
      </c>
      <c r="D86" s="116">
        <v>281</v>
      </c>
      <c r="E86" s="116">
        <v>417</v>
      </c>
      <c r="F86" s="116">
        <v>331</v>
      </c>
      <c r="G86" s="116">
        <v>408</v>
      </c>
      <c r="H86" s="116">
        <v>363</v>
      </c>
      <c r="I86" s="116">
        <v>32</v>
      </c>
      <c r="J86" s="116">
        <v>229</v>
      </c>
      <c r="K86" s="116">
        <v>379</v>
      </c>
    </row>
    <row r="87" spans="1:11" x14ac:dyDescent="0.25">
      <c r="A87" s="116" t="s">
        <v>154</v>
      </c>
      <c r="B87" s="117" t="s">
        <v>141</v>
      </c>
      <c r="C87" s="116">
        <v>0</v>
      </c>
      <c r="D87" s="116">
        <v>284</v>
      </c>
      <c r="E87" s="116">
        <v>405</v>
      </c>
      <c r="F87" s="116">
        <v>396</v>
      </c>
      <c r="G87" s="116">
        <v>405</v>
      </c>
      <c r="H87" s="116">
        <v>377</v>
      </c>
      <c r="I87" s="116">
        <v>23</v>
      </c>
      <c r="J87" s="116">
        <v>237</v>
      </c>
      <c r="K87" s="116">
        <v>322</v>
      </c>
    </row>
    <row r="88" spans="1:11" x14ac:dyDescent="0.25">
      <c r="A88" s="116" t="s">
        <v>154</v>
      </c>
      <c r="B88" s="117" t="s">
        <v>142</v>
      </c>
      <c r="C88" s="116">
        <v>0</v>
      </c>
      <c r="D88" s="116">
        <v>315</v>
      </c>
      <c r="E88" s="116">
        <v>426</v>
      </c>
      <c r="F88" s="116">
        <v>417</v>
      </c>
      <c r="G88" s="116">
        <v>406</v>
      </c>
      <c r="H88" s="116">
        <v>333</v>
      </c>
      <c r="I88" s="116">
        <v>14</v>
      </c>
      <c r="J88" s="116">
        <v>207</v>
      </c>
      <c r="K88" s="116">
        <v>342</v>
      </c>
    </row>
    <row r="89" spans="1:11" x14ac:dyDescent="0.25">
      <c r="A89" s="116" t="s">
        <v>154</v>
      </c>
      <c r="B89" s="117" t="s">
        <v>143</v>
      </c>
      <c r="C89" s="116">
        <v>0</v>
      </c>
      <c r="D89" s="116">
        <v>248</v>
      </c>
      <c r="E89" s="116">
        <v>418</v>
      </c>
      <c r="F89" s="116">
        <v>425</v>
      </c>
      <c r="G89" s="116">
        <v>347</v>
      </c>
      <c r="H89" s="116">
        <v>397</v>
      </c>
      <c r="I89" s="116">
        <v>5</v>
      </c>
      <c r="J89" s="116">
        <v>213</v>
      </c>
      <c r="K89" s="116">
        <v>329</v>
      </c>
    </row>
    <row r="90" spans="1:11" x14ac:dyDescent="0.25">
      <c r="A90" s="116" t="s">
        <v>154</v>
      </c>
      <c r="B90" s="117" t="s">
        <v>144</v>
      </c>
      <c r="C90" s="116">
        <v>0</v>
      </c>
      <c r="D90" s="116">
        <v>247</v>
      </c>
      <c r="E90" s="116">
        <v>411</v>
      </c>
      <c r="F90" s="116">
        <v>405</v>
      </c>
      <c r="G90" s="116">
        <v>354</v>
      </c>
      <c r="H90" s="116">
        <v>416</v>
      </c>
      <c r="I90" s="116">
        <v>0</v>
      </c>
      <c r="J90" s="116">
        <v>237</v>
      </c>
      <c r="K90" s="116">
        <v>357</v>
      </c>
    </row>
    <row r="91" spans="1:11" x14ac:dyDescent="0.25">
      <c r="A91" s="116" t="s">
        <v>154</v>
      </c>
      <c r="B91" s="117" t="s">
        <v>145</v>
      </c>
      <c r="C91" s="116">
        <v>0</v>
      </c>
      <c r="D91" s="116">
        <v>255</v>
      </c>
      <c r="E91" s="116">
        <v>418</v>
      </c>
      <c r="F91" s="116">
        <v>366</v>
      </c>
      <c r="G91" s="116">
        <v>398</v>
      </c>
      <c r="H91" s="116">
        <v>351</v>
      </c>
      <c r="I91" s="116">
        <v>0</v>
      </c>
      <c r="J91" s="116">
        <v>209</v>
      </c>
      <c r="K91" s="116">
        <v>374</v>
      </c>
    </row>
    <row r="92" spans="1:11" x14ac:dyDescent="0.25">
      <c r="A92" s="116" t="s">
        <v>154</v>
      </c>
      <c r="B92" s="117" t="s">
        <v>146</v>
      </c>
      <c r="C92" s="116">
        <v>0</v>
      </c>
      <c r="D92" s="116">
        <v>237</v>
      </c>
      <c r="E92" s="116">
        <v>414</v>
      </c>
      <c r="F92" s="116">
        <v>392</v>
      </c>
      <c r="G92" s="116">
        <v>373</v>
      </c>
      <c r="H92" s="116">
        <v>417</v>
      </c>
      <c r="I92" s="116">
        <v>0</v>
      </c>
      <c r="J92" s="116">
        <v>185</v>
      </c>
      <c r="K92" s="116">
        <v>378</v>
      </c>
    </row>
    <row r="93" spans="1:11" x14ac:dyDescent="0.25">
      <c r="A93" s="116" t="s">
        <v>154</v>
      </c>
      <c r="B93" s="117" t="s">
        <v>147</v>
      </c>
      <c r="C93" s="116">
        <v>0</v>
      </c>
      <c r="D93" s="116">
        <v>246</v>
      </c>
      <c r="E93" s="116">
        <v>398</v>
      </c>
      <c r="F93" s="116">
        <v>319</v>
      </c>
      <c r="G93" s="116">
        <v>426</v>
      </c>
      <c r="H93" s="116">
        <v>422</v>
      </c>
      <c r="I93" s="116">
        <v>0</v>
      </c>
      <c r="J93" s="116">
        <v>222</v>
      </c>
      <c r="K93" s="116">
        <v>364</v>
      </c>
    </row>
    <row r="94" spans="1:11" x14ac:dyDescent="0.25">
      <c r="A94" s="116" t="s">
        <v>154</v>
      </c>
      <c r="B94" s="117" t="s">
        <v>148</v>
      </c>
      <c r="C94" s="116">
        <v>0</v>
      </c>
      <c r="D94" s="116">
        <v>256</v>
      </c>
      <c r="E94" s="116">
        <v>345</v>
      </c>
      <c r="F94" s="116">
        <v>327</v>
      </c>
      <c r="G94" s="116">
        <v>434</v>
      </c>
      <c r="H94" s="116">
        <v>413</v>
      </c>
      <c r="I94" s="116">
        <v>0</v>
      </c>
      <c r="J94" s="116">
        <v>228</v>
      </c>
      <c r="K94" s="116">
        <v>359</v>
      </c>
    </row>
    <row r="95" spans="1:11" x14ac:dyDescent="0.25">
      <c r="A95" s="116" t="s">
        <v>154</v>
      </c>
      <c r="B95" s="117" t="s">
        <v>149</v>
      </c>
      <c r="C95" s="116">
        <v>0</v>
      </c>
      <c r="D95" s="116">
        <v>265</v>
      </c>
      <c r="E95" s="116">
        <v>403</v>
      </c>
      <c r="F95" s="116">
        <v>359</v>
      </c>
      <c r="G95" s="116">
        <v>398</v>
      </c>
      <c r="H95" s="116">
        <v>383</v>
      </c>
      <c r="I95" s="116">
        <v>0</v>
      </c>
      <c r="J95" s="116">
        <v>215</v>
      </c>
      <c r="K95" s="116">
        <v>366</v>
      </c>
    </row>
    <row r="96" spans="1:11" x14ac:dyDescent="0.25">
      <c r="A96" s="116" t="s">
        <v>154</v>
      </c>
      <c r="B96" s="117" t="s">
        <v>150</v>
      </c>
      <c r="C96" s="116">
        <v>0</v>
      </c>
      <c r="D96" s="116">
        <v>227</v>
      </c>
      <c r="E96" s="116">
        <v>409</v>
      </c>
      <c r="F96" s="116">
        <v>343</v>
      </c>
      <c r="G96" s="116">
        <v>429</v>
      </c>
      <c r="H96" s="116">
        <v>313</v>
      </c>
      <c r="I96" s="116">
        <v>0</v>
      </c>
      <c r="J96" s="116">
        <v>208</v>
      </c>
      <c r="K96" s="116">
        <v>376</v>
      </c>
    </row>
    <row r="97" spans="1:11" x14ac:dyDescent="0.25">
      <c r="A97" s="116" t="s">
        <v>154</v>
      </c>
      <c r="B97" s="117" t="s">
        <v>151</v>
      </c>
      <c r="C97" s="116">
        <v>0</v>
      </c>
      <c r="D97" s="116">
        <v>282</v>
      </c>
      <c r="E97" s="116">
        <v>411</v>
      </c>
      <c r="F97" s="116">
        <v>364</v>
      </c>
      <c r="G97" s="116">
        <v>425</v>
      </c>
      <c r="H97" s="116">
        <v>319</v>
      </c>
      <c r="I97" s="116">
        <v>0</v>
      </c>
      <c r="J97" s="116">
        <v>210</v>
      </c>
      <c r="K97" s="116">
        <v>359</v>
      </c>
    </row>
    <row r="98" spans="1:11" x14ac:dyDescent="0.25">
      <c r="A98" s="116" t="s">
        <v>154</v>
      </c>
      <c r="B98" s="117" t="s">
        <v>152</v>
      </c>
      <c r="C98" s="116">
        <v>0</v>
      </c>
      <c r="D98" s="116">
        <v>323</v>
      </c>
      <c r="E98" s="116">
        <v>400</v>
      </c>
      <c r="F98" s="116">
        <v>337</v>
      </c>
      <c r="G98" s="116">
        <v>424</v>
      </c>
      <c r="H98" s="116">
        <v>224</v>
      </c>
      <c r="I98" s="116">
        <v>0</v>
      </c>
      <c r="J98" s="116">
        <v>214</v>
      </c>
      <c r="K98" s="116">
        <v>348</v>
      </c>
    </row>
    <row r="99" spans="1:11" x14ac:dyDescent="0.25">
      <c r="A99" s="116" t="s">
        <v>155</v>
      </c>
      <c r="B99" s="117" t="s">
        <v>121</v>
      </c>
      <c r="C99" s="116">
        <v>0</v>
      </c>
      <c r="D99" s="116">
        <v>371</v>
      </c>
      <c r="E99" s="116">
        <v>332</v>
      </c>
      <c r="F99" s="116">
        <v>363</v>
      </c>
      <c r="G99" s="116">
        <v>410</v>
      </c>
      <c r="H99" s="116">
        <v>292</v>
      </c>
      <c r="I99" s="116">
        <v>0</v>
      </c>
      <c r="J99" s="116">
        <v>225</v>
      </c>
      <c r="K99" s="116">
        <v>272</v>
      </c>
    </row>
    <row r="100" spans="1:11" x14ac:dyDescent="0.25">
      <c r="A100" s="116" t="s">
        <v>155</v>
      </c>
      <c r="B100" s="117" t="s">
        <v>123</v>
      </c>
      <c r="C100" s="116">
        <v>0</v>
      </c>
      <c r="D100" s="116">
        <v>399</v>
      </c>
      <c r="E100" s="116">
        <v>402</v>
      </c>
      <c r="F100" s="116">
        <v>272</v>
      </c>
      <c r="G100" s="116">
        <v>431</v>
      </c>
      <c r="H100" s="116">
        <v>333</v>
      </c>
      <c r="I100" s="116">
        <v>0</v>
      </c>
      <c r="J100" s="116">
        <v>233</v>
      </c>
      <c r="K100" s="116">
        <v>288</v>
      </c>
    </row>
    <row r="101" spans="1:11" x14ac:dyDescent="0.25">
      <c r="A101" s="116" t="s">
        <v>155</v>
      </c>
      <c r="B101" s="117" t="s">
        <v>124</v>
      </c>
      <c r="C101" s="116">
        <v>0</v>
      </c>
      <c r="D101" s="116">
        <v>405</v>
      </c>
      <c r="E101" s="116">
        <v>416</v>
      </c>
      <c r="F101" s="116">
        <v>286</v>
      </c>
      <c r="G101" s="116">
        <v>431</v>
      </c>
      <c r="H101" s="116">
        <v>373</v>
      </c>
      <c r="I101" s="116">
        <v>0</v>
      </c>
      <c r="J101" s="116">
        <v>220</v>
      </c>
      <c r="K101" s="116">
        <v>331</v>
      </c>
    </row>
    <row r="102" spans="1:11" x14ac:dyDescent="0.25">
      <c r="A102" s="116" t="s">
        <v>155</v>
      </c>
      <c r="B102" s="117" t="s">
        <v>125</v>
      </c>
      <c r="C102" s="116">
        <v>0</v>
      </c>
      <c r="D102" s="116">
        <v>392</v>
      </c>
      <c r="E102" s="116">
        <v>394</v>
      </c>
      <c r="F102" s="116">
        <v>289</v>
      </c>
      <c r="G102" s="116">
        <v>431</v>
      </c>
      <c r="H102" s="116">
        <v>354</v>
      </c>
      <c r="I102" s="116">
        <v>0</v>
      </c>
      <c r="J102" s="116">
        <v>189</v>
      </c>
      <c r="K102" s="116">
        <v>365</v>
      </c>
    </row>
    <row r="103" spans="1:11" x14ac:dyDescent="0.25">
      <c r="A103" s="116" t="s">
        <v>155</v>
      </c>
      <c r="B103" s="117" t="s">
        <v>126</v>
      </c>
      <c r="C103" s="116">
        <v>0</v>
      </c>
      <c r="D103" s="116">
        <v>346</v>
      </c>
      <c r="E103" s="116">
        <v>231</v>
      </c>
      <c r="F103" s="116">
        <v>302</v>
      </c>
      <c r="G103" s="116">
        <v>418</v>
      </c>
      <c r="H103" s="116">
        <v>328</v>
      </c>
      <c r="I103" s="116">
        <v>0</v>
      </c>
      <c r="J103" s="116">
        <v>183</v>
      </c>
      <c r="K103" s="116">
        <v>373</v>
      </c>
    </row>
    <row r="104" spans="1:11" x14ac:dyDescent="0.25">
      <c r="A104" s="116" t="s">
        <v>155</v>
      </c>
      <c r="B104" s="117" t="s">
        <v>127</v>
      </c>
      <c r="C104" s="116">
        <v>0</v>
      </c>
      <c r="D104" s="116">
        <v>391</v>
      </c>
      <c r="E104" s="116">
        <v>266</v>
      </c>
      <c r="F104" s="116">
        <v>292</v>
      </c>
      <c r="G104" s="116">
        <v>366</v>
      </c>
      <c r="H104" s="116">
        <v>320</v>
      </c>
      <c r="I104" s="116">
        <v>0</v>
      </c>
      <c r="J104" s="116">
        <v>181</v>
      </c>
      <c r="K104" s="116">
        <v>345</v>
      </c>
    </row>
    <row r="105" spans="1:11" x14ac:dyDescent="0.25">
      <c r="A105" s="116" t="s">
        <v>155</v>
      </c>
      <c r="B105" s="117" t="s">
        <v>128</v>
      </c>
      <c r="C105" s="116">
        <v>0</v>
      </c>
      <c r="D105" s="116">
        <v>398</v>
      </c>
      <c r="E105" s="116">
        <v>362</v>
      </c>
      <c r="F105" s="116">
        <v>338</v>
      </c>
      <c r="G105" s="116">
        <v>412</v>
      </c>
      <c r="H105" s="116">
        <v>286</v>
      </c>
      <c r="I105" s="116">
        <v>0</v>
      </c>
      <c r="J105" s="116">
        <v>190</v>
      </c>
      <c r="K105" s="116">
        <v>368</v>
      </c>
    </row>
    <row r="106" spans="1:11" x14ac:dyDescent="0.25">
      <c r="A106" s="116" t="s">
        <v>155</v>
      </c>
      <c r="B106" s="117" t="s">
        <v>129</v>
      </c>
      <c r="C106" s="116">
        <v>0</v>
      </c>
      <c r="D106" s="116">
        <v>399</v>
      </c>
      <c r="E106" s="116">
        <v>377</v>
      </c>
      <c r="F106" s="116">
        <v>392</v>
      </c>
      <c r="G106" s="116">
        <v>425</v>
      </c>
      <c r="H106" s="116">
        <v>328</v>
      </c>
      <c r="I106" s="116">
        <v>0</v>
      </c>
      <c r="J106" s="116">
        <v>191</v>
      </c>
      <c r="K106" s="116">
        <v>385</v>
      </c>
    </row>
    <row r="107" spans="1:11" x14ac:dyDescent="0.25">
      <c r="A107" s="116" t="s">
        <v>155</v>
      </c>
      <c r="B107" s="117" t="s">
        <v>130</v>
      </c>
      <c r="C107" s="116">
        <v>0</v>
      </c>
      <c r="D107" s="116">
        <v>418</v>
      </c>
      <c r="E107" s="116">
        <v>365</v>
      </c>
      <c r="F107" s="116">
        <v>387</v>
      </c>
      <c r="G107" s="116">
        <v>414</v>
      </c>
      <c r="H107" s="116">
        <v>383</v>
      </c>
      <c r="I107" s="116">
        <v>0</v>
      </c>
      <c r="J107" s="116">
        <v>208</v>
      </c>
      <c r="K107" s="116">
        <v>390</v>
      </c>
    </row>
    <row r="108" spans="1:11" x14ac:dyDescent="0.25">
      <c r="A108" s="116" t="s">
        <v>155</v>
      </c>
      <c r="B108" s="117" t="s">
        <v>131</v>
      </c>
      <c r="C108" s="116">
        <v>0</v>
      </c>
      <c r="D108" s="116">
        <v>408</v>
      </c>
      <c r="E108" s="116">
        <v>250</v>
      </c>
      <c r="F108" s="116">
        <v>389</v>
      </c>
      <c r="G108" s="116">
        <v>205</v>
      </c>
      <c r="H108" s="116">
        <v>355</v>
      </c>
      <c r="I108" s="116">
        <v>0</v>
      </c>
      <c r="J108" s="116">
        <v>246</v>
      </c>
      <c r="K108" s="116">
        <v>356</v>
      </c>
    </row>
    <row r="109" spans="1:11" x14ac:dyDescent="0.25">
      <c r="A109" s="116" t="s">
        <v>155</v>
      </c>
      <c r="B109" s="117" t="s">
        <v>132</v>
      </c>
      <c r="C109" s="116">
        <v>0</v>
      </c>
      <c r="D109" s="116">
        <v>383</v>
      </c>
      <c r="E109" s="116">
        <v>409</v>
      </c>
      <c r="F109" s="116">
        <v>391</v>
      </c>
      <c r="G109" s="116">
        <v>361</v>
      </c>
      <c r="H109" s="116">
        <v>361</v>
      </c>
      <c r="I109" s="116">
        <v>0</v>
      </c>
      <c r="J109" s="116">
        <v>178</v>
      </c>
      <c r="K109" s="116">
        <v>370</v>
      </c>
    </row>
    <row r="110" spans="1:11" x14ac:dyDescent="0.25">
      <c r="A110" s="116" t="s">
        <v>155</v>
      </c>
      <c r="B110" s="117" t="s">
        <v>133</v>
      </c>
      <c r="C110" s="116">
        <v>0</v>
      </c>
      <c r="D110" s="116">
        <v>332</v>
      </c>
      <c r="E110" s="116">
        <v>416</v>
      </c>
      <c r="F110" s="116">
        <v>419</v>
      </c>
      <c r="G110" s="116">
        <v>419</v>
      </c>
      <c r="H110" s="116">
        <v>326</v>
      </c>
      <c r="I110" s="116">
        <v>0</v>
      </c>
      <c r="J110" s="116">
        <v>181</v>
      </c>
      <c r="K110" s="116">
        <v>374</v>
      </c>
    </row>
    <row r="111" spans="1:11" x14ac:dyDescent="0.25">
      <c r="A111" s="116" t="s">
        <v>155</v>
      </c>
      <c r="B111" s="117" t="s">
        <v>134</v>
      </c>
      <c r="C111" s="116">
        <v>0</v>
      </c>
      <c r="D111" s="116">
        <v>398</v>
      </c>
      <c r="E111" s="116">
        <v>370</v>
      </c>
      <c r="F111" s="116">
        <v>436</v>
      </c>
      <c r="G111" s="116">
        <v>401</v>
      </c>
      <c r="H111" s="116">
        <v>400</v>
      </c>
      <c r="I111" s="116">
        <v>0</v>
      </c>
      <c r="J111" s="116">
        <v>139</v>
      </c>
      <c r="K111" s="116">
        <v>355</v>
      </c>
    </row>
    <row r="112" spans="1:11" x14ac:dyDescent="0.25">
      <c r="A112" s="116" t="s">
        <v>155</v>
      </c>
      <c r="B112" s="117" t="s">
        <v>135</v>
      </c>
      <c r="C112" s="116">
        <v>0</v>
      </c>
      <c r="D112" s="116">
        <v>402</v>
      </c>
      <c r="E112" s="116">
        <v>374</v>
      </c>
      <c r="F112" s="116">
        <v>438</v>
      </c>
      <c r="G112" s="116">
        <v>407</v>
      </c>
      <c r="H112" s="116">
        <v>337</v>
      </c>
      <c r="I112" s="116">
        <v>0</v>
      </c>
      <c r="J112" s="116">
        <v>147</v>
      </c>
      <c r="K112" s="116">
        <v>382</v>
      </c>
    </row>
    <row r="113" spans="1:11" x14ac:dyDescent="0.25">
      <c r="A113" s="116" t="s">
        <v>155</v>
      </c>
      <c r="B113" s="117" t="s">
        <v>136</v>
      </c>
      <c r="C113" s="116">
        <v>0</v>
      </c>
      <c r="D113" s="116">
        <v>320</v>
      </c>
      <c r="E113" s="116">
        <v>416</v>
      </c>
      <c r="F113" s="116">
        <v>397</v>
      </c>
      <c r="G113" s="116">
        <v>269</v>
      </c>
      <c r="H113" s="116">
        <v>384</v>
      </c>
      <c r="I113" s="116">
        <v>0</v>
      </c>
      <c r="J113" s="116">
        <v>164</v>
      </c>
      <c r="K113" s="116">
        <v>372</v>
      </c>
    </row>
    <row r="114" spans="1:11" x14ac:dyDescent="0.25">
      <c r="A114" s="116" t="s">
        <v>155</v>
      </c>
      <c r="B114" s="117" t="s">
        <v>137</v>
      </c>
      <c r="C114" s="116">
        <v>0</v>
      </c>
      <c r="D114" s="116">
        <v>303</v>
      </c>
      <c r="E114" s="116">
        <v>382</v>
      </c>
      <c r="F114" s="116">
        <v>338</v>
      </c>
      <c r="G114" s="116">
        <v>260</v>
      </c>
      <c r="H114" s="116">
        <v>404</v>
      </c>
      <c r="I114" s="116">
        <v>0</v>
      </c>
      <c r="J114" s="116">
        <v>196</v>
      </c>
      <c r="K114" s="116">
        <v>386</v>
      </c>
    </row>
    <row r="115" spans="1:11" x14ac:dyDescent="0.25">
      <c r="A115" s="116" t="s">
        <v>155</v>
      </c>
      <c r="B115" s="117" t="s">
        <v>138</v>
      </c>
      <c r="C115" s="116">
        <v>0</v>
      </c>
      <c r="D115" s="116">
        <v>233</v>
      </c>
      <c r="E115" s="116">
        <v>215</v>
      </c>
      <c r="F115" s="116">
        <v>356</v>
      </c>
      <c r="G115" s="116">
        <v>303</v>
      </c>
      <c r="H115" s="116">
        <v>408</v>
      </c>
      <c r="I115" s="116">
        <v>0</v>
      </c>
      <c r="J115" s="116">
        <v>219</v>
      </c>
      <c r="K115" s="116">
        <v>337</v>
      </c>
    </row>
    <row r="116" spans="1:11" x14ac:dyDescent="0.25">
      <c r="A116" s="116" t="s">
        <v>155</v>
      </c>
      <c r="B116" s="117" t="s">
        <v>139</v>
      </c>
      <c r="C116" s="116">
        <v>0</v>
      </c>
      <c r="D116" s="116">
        <v>293</v>
      </c>
      <c r="E116" s="116">
        <v>313</v>
      </c>
      <c r="F116" s="116">
        <v>340</v>
      </c>
      <c r="G116" s="116">
        <v>315</v>
      </c>
      <c r="H116" s="116">
        <v>430</v>
      </c>
      <c r="I116" s="116">
        <v>0</v>
      </c>
      <c r="J116" s="116">
        <v>124</v>
      </c>
      <c r="K116" s="116">
        <v>332</v>
      </c>
    </row>
    <row r="117" spans="1:11" x14ac:dyDescent="0.25">
      <c r="A117" s="116" t="s">
        <v>155</v>
      </c>
      <c r="B117" s="117" t="s">
        <v>140</v>
      </c>
      <c r="C117" s="116">
        <v>0</v>
      </c>
      <c r="D117" s="116">
        <v>326</v>
      </c>
      <c r="E117" s="116">
        <v>336</v>
      </c>
      <c r="F117" s="116">
        <v>429</v>
      </c>
      <c r="G117" s="116">
        <v>366</v>
      </c>
      <c r="H117" s="116">
        <v>421</v>
      </c>
      <c r="I117" s="116">
        <v>0</v>
      </c>
      <c r="J117" s="116">
        <v>125</v>
      </c>
      <c r="K117" s="116">
        <v>360</v>
      </c>
    </row>
    <row r="118" spans="1:11" x14ac:dyDescent="0.25">
      <c r="A118" s="116" t="s">
        <v>155</v>
      </c>
      <c r="B118" s="117" t="s">
        <v>141</v>
      </c>
      <c r="C118" s="116">
        <v>0</v>
      </c>
      <c r="D118" s="116">
        <v>316</v>
      </c>
      <c r="E118" s="116">
        <v>327</v>
      </c>
      <c r="F118" s="116">
        <v>414</v>
      </c>
      <c r="G118" s="116">
        <v>400</v>
      </c>
      <c r="H118" s="116">
        <v>401</v>
      </c>
      <c r="I118" s="116">
        <v>0</v>
      </c>
      <c r="J118" s="116">
        <v>115</v>
      </c>
      <c r="K118" s="116">
        <v>370</v>
      </c>
    </row>
    <row r="119" spans="1:11" x14ac:dyDescent="0.25">
      <c r="A119" s="116" t="s">
        <v>155</v>
      </c>
      <c r="B119" s="117" t="s">
        <v>142</v>
      </c>
      <c r="C119" s="116">
        <v>0</v>
      </c>
      <c r="D119" s="116">
        <v>314</v>
      </c>
      <c r="E119" s="116">
        <v>344</v>
      </c>
      <c r="F119" s="116">
        <v>408</v>
      </c>
      <c r="G119" s="116">
        <v>402</v>
      </c>
      <c r="H119" s="116">
        <v>284</v>
      </c>
      <c r="I119" s="116">
        <v>0</v>
      </c>
      <c r="J119" s="116">
        <v>123</v>
      </c>
      <c r="K119" s="116">
        <v>372</v>
      </c>
    </row>
    <row r="120" spans="1:11" x14ac:dyDescent="0.25">
      <c r="A120" s="116" t="s">
        <v>155</v>
      </c>
      <c r="B120" s="117" t="s">
        <v>143</v>
      </c>
      <c r="C120" s="116">
        <v>0</v>
      </c>
      <c r="D120" s="116">
        <v>334</v>
      </c>
      <c r="E120" s="116">
        <v>282</v>
      </c>
      <c r="F120" s="116">
        <v>423</v>
      </c>
      <c r="G120" s="116">
        <v>199</v>
      </c>
      <c r="H120" s="116">
        <v>268</v>
      </c>
      <c r="I120" s="116">
        <v>0</v>
      </c>
      <c r="J120" s="116">
        <v>158</v>
      </c>
      <c r="K120" s="116">
        <v>369</v>
      </c>
    </row>
    <row r="121" spans="1:11" x14ac:dyDescent="0.25">
      <c r="A121" s="116" t="s">
        <v>155</v>
      </c>
      <c r="B121" s="117" t="s">
        <v>144</v>
      </c>
      <c r="C121" s="116">
        <v>0</v>
      </c>
      <c r="D121" s="116">
        <v>255</v>
      </c>
      <c r="E121" s="116">
        <v>315</v>
      </c>
      <c r="F121" s="116">
        <v>366</v>
      </c>
      <c r="G121" s="116">
        <v>328</v>
      </c>
      <c r="H121" s="116">
        <v>246</v>
      </c>
      <c r="I121" s="116">
        <v>0</v>
      </c>
      <c r="J121" s="116">
        <v>221</v>
      </c>
      <c r="K121" s="116">
        <v>294</v>
      </c>
    </row>
    <row r="122" spans="1:11" x14ac:dyDescent="0.25">
      <c r="A122" s="116" t="s">
        <v>155</v>
      </c>
      <c r="B122" s="117" t="s">
        <v>145</v>
      </c>
      <c r="C122" s="116">
        <v>0</v>
      </c>
      <c r="D122" s="116">
        <v>336</v>
      </c>
      <c r="E122" s="116">
        <v>293</v>
      </c>
      <c r="F122" s="116">
        <v>312</v>
      </c>
      <c r="G122" s="116">
        <v>347</v>
      </c>
      <c r="H122" s="116">
        <v>266</v>
      </c>
      <c r="I122" s="116">
        <v>0</v>
      </c>
      <c r="J122" s="116">
        <v>242</v>
      </c>
      <c r="K122" s="116">
        <v>332</v>
      </c>
    </row>
    <row r="123" spans="1:11" x14ac:dyDescent="0.25">
      <c r="A123" s="116" t="s">
        <v>155</v>
      </c>
      <c r="B123" s="117" t="s">
        <v>146</v>
      </c>
      <c r="C123" s="116">
        <v>0</v>
      </c>
      <c r="D123" s="116">
        <v>351</v>
      </c>
      <c r="E123" s="116">
        <v>352</v>
      </c>
      <c r="F123" s="116">
        <v>338</v>
      </c>
      <c r="G123" s="116">
        <v>404</v>
      </c>
      <c r="H123" s="116">
        <v>310</v>
      </c>
      <c r="I123" s="116">
        <v>0</v>
      </c>
      <c r="J123" s="116">
        <v>209</v>
      </c>
      <c r="K123" s="116">
        <v>288</v>
      </c>
    </row>
    <row r="124" spans="1:11" x14ac:dyDescent="0.25">
      <c r="A124" s="116" t="s">
        <v>155</v>
      </c>
      <c r="B124" s="117" t="s">
        <v>147</v>
      </c>
      <c r="C124" s="116">
        <v>0</v>
      </c>
      <c r="D124" s="116">
        <v>253</v>
      </c>
      <c r="E124" s="116">
        <v>357</v>
      </c>
      <c r="F124" s="116">
        <v>231</v>
      </c>
      <c r="G124" s="116">
        <v>379</v>
      </c>
      <c r="H124" s="116">
        <v>312</v>
      </c>
      <c r="I124" s="116">
        <v>0</v>
      </c>
      <c r="J124" s="116">
        <v>111</v>
      </c>
      <c r="K124" s="116">
        <v>274</v>
      </c>
    </row>
    <row r="125" spans="1:11" x14ac:dyDescent="0.25">
      <c r="A125" s="116" t="s">
        <v>155</v>
      </c>
      <c r="B125" s="117" t="s">
        <v>148</v>
      </c>
      <c r="C125" s="116">
        <v>0</v>
      </c>
      <c r="D125" s="116">
        <v>249</v>
      </c>
      <c r="E125" s="116">
        <v>340</v>
      </c>
      <c r="F125" s="116">
        <v>265</v>
      </c>
      <c r="G125" s="116">
        <v>418</v>
      </c>
      <c r="H125" s="116">
        <v>307</v>
      </c>
      <c r="I125" s="116">
        <v>0</v>
      </c>
      <c r="J125" s="116">
        <v>94</v>
      </c>
      <c r="K125" s="116">
        <v>324</v>
      </c>
    </row>
    <row r="126" spans="1:11" x14ac:dyDescent="0.25">
      <c r="A126" s="116" t="s">
        <v>155</v>
      </c>
      <c r="B126" s="117" t="s">
        <v>149</v>
      </c>
      <c r="C126" s="116">
        <v>0</v>
      </c>
      <c r="D126" s="116">
        <v>261</v>
      </c>
      <c r="E126" s="116">
        <v>397</v>
      </c>
      <c r="F126" s="116">
        <v>333</v>
      </c>
      <c r="G126" s="116">
        <v>416</v>
      </c>
      <c r="H126" s="116">
        <v>373</v>
      </c>
      <c r="I126" s="116">
        <v>0</v>
      </c>
      <c r="J126" s="116">
        <v>125</v>
      </c>
      <c r="K126" s="116">
        <v>320</v>
      </c>
    </row>
    <row r="127" spans="1:11" x14ac:dyDescent="0.25">
      <c r="A127" s="116" t="s">
        <v>155</v>
      </c>
      <c r="B127" s="117" t="s">
        <v>150</v>
      </c>
      <c r="C127" s="116">
        <v>0</v>
      </c>
      <c r="D127" s="116">
        <v>261</v>
      </c>
      <c r="E127" s="116">
        <v>405</v>
      </c>
      <c r="F127" s="116">
        <v>412</v>
      </c>
      <c r="G127" s="116">
        <v>392</v>
      </c>
      <c r="H127" s="116">
        <v>419</v>
      </c>
      <c r="I127" s="116">
        <v>0</v>
      </c>
      <c r="J127" s="116">
        <v>164</v>
      </c>
      <c r="K127" s="116">
        <v>371</v>
      </c>
    </row>
    <row r="128" spans="1:11" x14ac:dyDescent="0.25">
      <c r="A128" s="116" t="s">
        <v>155</v>
      </c>
      <c r="B128" s="117" t="s">
        <v>151</v>
      </c>
      <c r="C128" s="116">
        <v>0</v>
      </c>
      <c r="D128" s="116">
        <v>298</v>
      </c>
      <c r="E128" s="116">
        <v>383</v>
      </c>
      <c r="F128" s="116">
        <v>277</v>
      </c>
      <c r="G128" s="116">
        <v>419</v>
      </c>
      <c r="H128" s="116">
        <v>380</v>
      </c>
      <c r="I128" s="116">
        <v>0</v>
      </c>
      <c r="J128" s="116">
        <v>237</v>
      </c>
      <c r="K128" s="116">
        <v>357</v>
      </c>
    </row>
    <row r="129" spans="1:11" x14ac:dyDescent="0.25">
      <c r="A129" s="116" t="s">
        <v>156</v>
      </c>
      <c r="B129" s="117" t="s">
        <v>121</v>
      </c>
      <c r="C129" s="116">
        <v>0</v>
      </c>
      <c r="D129" s="116">
        <v>280</v>
      </c>
      <c r="E129" s="116">
        <v>236</v>
      </c>
      <c r="F129" s="116">
        <v>389</v>
      </c>
      <c r="G129" s="116">
        <v>363</v>
      </c>
      <c r="H129" s="116">
        <v>226</v>
      </c>
      <c r="I129" s="116">
        <v>0</v>
      </c>
      <c r="J129" s="116">
        <v>277</v>
      </c>
      <c r="K129" s="116">
        <v>305</v>
      </c>
    </row>
    <row r="130" spans="1:11" x14ac:dyDescent="0.25">
      <c r="A130" s="116" t="s">
        <v>156</v>
      </c>
      <c r="B130" s="117" t="s">
        <v>123</v>
      </c>
      <c r="C130" s="116">
        <v>0</v>
      </c>
      <c r="D130" s="116">
        <v>315</v>
      </c>
      <c r="E130" s="116">
        <v>220</v>
      </c>
      <c r="F130" s="116">
        <v>380</v>
      </c>
      <c r="G130" s="116">
        <v>248</v>
      </c>
      <c r="H130" s="116">
        <v>314</v>
      </c>
      <c r="I130" s="116">
        <v>0</v>
      </c>
      <c r="J130" s="116">
        <v>254</v>
      </c>
      <c r="K130" s="116">
        <v>263</v>
      </c>
    </row>
    <row r="131" spans="1:11" x14ac:dyDescent="0.25">
      <c r="A131" s="116" t="s">
        <v>156</v>
      </c>
      <c r="B131" s="117" t="s">
        <v>124</v>
      </c>
      <c r="C131" s="116">
        <v>0</v>
      </c>
      <c r="D131" s="116">
        <v>180</v>
      </c>
      <c r="E131" s="116">
        <v>231</v>
      </c>
      <c r="F131" s="116">
        <v>428</v>
      </c>
      <c r="G131" s="116">
        <v>371</v>
      </c>
      <c r="H131" s="116">
        <v>396</v>
      </c>
      <c r="I131" s="116">
        <v>0</v>
      </c>
      <c r="J131" s="116">
        <v>279</v>
      </c>
      <c r="K131" s="116">
        <v>221</v>
      </c>
    </row>
    <row r="132" spans="1:11" x14ac:dyDescent="0.25">
      <c r="A132" s="116" t="s">
        <v>156</v>
      </c>
      <c r="B132" s="117" t="s">
        <v>125</v>
      </c>
      <c r="C132" s="116">
        <v>0</v>
      </c>
      <c r="D132" s="116">
        <v>234</v>
      </c>
      <c r="E132" s="116">
        <v>364</v>
      </c>
      <c r="F132" s="116">
        <v>407</v>
      </c>
      <c r="G132" s="116">
        <v>397</v>
      </c>
      <c r="H132" s="116">
        <v>401</v>
      </c>
      <c r="I132" s="116">
        <v>0</v>
      </c>
      <c r="J132" s="116">
        <v>323</v>
      </c>
      <c r="K132" s="116">
        <v>338</v>
      </c>
    </row>
    <row r="133" spans="1:11" x14ac:dyDescent="0.25">
      <c r="A133" s="116" t="s">
        <v>156</v>
      </c>
      <c r="B133" s="117" t="s">
        <v>126</v>
      </c>
      <c r="C133" s="116">
        <v>0</v>
      </c>
      <c r="D133" s="116">
        <v>338</v>
      </c>
      <c r="E133" s="116">
        <v>318</v>
      </c>
      <c r="F133" s="116">
        <v>430</v>
      </c>
      <c r="G133" s="116">
        <v>408</v>
      </c>
      <c r="H133" s="116">
        <v>343</v>
      </c>
      <c r="I133" s="116">
        <v>0</v>
      </c>
      <c r="J133" s="116">
        <v>332</v>
      </c>
      <c r="K133" s="116">
        <v>375</v>
      </c>
    </row>
    <row r="134" spans="1:11" x14ac:dyDescent="0.25">
      <c r="A134" s="116" t="s">
        <v>156</v>
      </c>
      <c r="B134" s="117" t="s">
        <v>127</v>
      </c>
      <c r="C134" s="116">
        <v>0</v>
      </c>
      <c r="D134" s="116">
        <v>373</v>
      </c>
      <c r="E134" s="116">
        <v>309</v>
      </c>
      <c r="F134" s="116">
        <v>419</v>
      </c>
      <c r="G134" s="116">
        <v>301</v>
      </c>
      <c r="H134" s="116">
        <v>389</v>
      </c>
      <c r="I134" s="116">
        <v>0</v>
      </c>
      <c r="J134" s="116">
        <v>307</v>
      </c>
      <c r="K134" s="116">
        <v>376</v>
      </c>
    </row>
    <row r="135" spans="1:11" x14ac:dyDescent="0.25">
      <c r="A135" s="116" t="s">
        <v>156</v>
      </c>
      <c r="B135" s="117" t="s">
        <v>128</v>
      </c>
      <c r="C135" s="116">
        <v>0</v>
      </c>
      <c r="D135" s="116">
        <v>347</v>
      </c>
      <c r="E135" s="116">
        <v>370</v>
      </c>
      <c r="F135" s="116">
        <v>235</v>
      </c>
      <c r="G135" s="116">
        <v>333</v>
      </c>
      <c r="H135" s="116">
        <v>395</v>
      </c>
      <c r="I135" s="116">
        <v>0</v>
      </c>
      <c r="J135" s="116">
        <v>266</v>
      </c>
      <c r="K135" s="116">
        <v>398</v>
      </c>
    </row>
    <row r="136" spans="1:11" x14ac:dyDescent="0.25">
      <c r="A136" s="116" t="s">
        <v>156</v>
      </c>
      <c r="B136" s="117" t="s">
        <v>129</v>
      </c>
      <c r="C136" s="116">
        <v>0</v>
      </c>
      <c r="D136" s="116">
        <v>234</v>
      </c>
      <c r="E136" s="116">
        <v>255</v>
      </c>
      <c r="F136" s="116">
        <v>217</v>
      </c>
      <c r="G136" s="116">
        <v>289</v>
      </c>
      <c r="H136" s="116">
        <v>401</v>
      </c>
      <c r="I136" s="116">
        <v>0</v>
      </c>
      <c r="J136" s="116">
        <v>307</v>
      </c>
      <c r="K136" s="116">
        <v>255</v>
      </c>
    </row>
    <row r="137" spans="1:11" x14ac:dyDescent="0.25">
      <c r="A137" s="116" t="s">
        <v>156</v>
      </c>
      <c r="B137" s="117" t="s">
        <v>130</v>
      </c>
      <c r="C137" s="116">
        <v>0</v>
      </c>
      <c r="D137" s="116">
        <v>247</v>
      </c>
      <c r="E137" s="116">
        <v>391</v>
      </c>
      <c r="F137" s="116">
        <v>211</v>
      </c>
      <c r="G137" s="116">
        <v>375</v>
      </c>
      <c r="H137" s="116">
        <v>373</v>
      </c>
      <c r="I137" s="116">
        <v>0</v>
      </c>
      <c r="J137" s="116">
        <v>218</v>
      </c>
      <c r="K137" s="116">
        <v>321</v>
      </c>
    </row>
    <row r="138" spans="1:11" x14ac:dyDescent="0.25">
      <c r="A138" s="116" t="s">
        <v>156</v>
      </c>
      <c r="B138" s="117" t="s">
        <v>131</v>
      </c>
      <c r="C138" s="116">
        <v>0</v>
      </c>
      <c r="D138" s="116">
        <v>137</v>
      </c>
      <c r="E138" s="116">
        <v>395</v>
      </c>
      <c r="F138" s="116">
        <v>229</v>
      </c>
      <c r="G138" s="116">
        <v>398</v>
      </c>
      <c r="H138" s="116">
        <v>358</v>
      </c>
      <c r="I138" s="116">
        <v>0</v>
      </c>
      <c r="J138" s="116">
        <v>137</v>
      </c>
      <c r="K138" s="116">
        <v>283</v>
      </c>
    </row>
    <row r="139" spans="1:11" x14ac:dyDescent="0.25">
      <c r="A139" s="116" t="s">
        <v>156</v>
      </c>
      <c r="B139" s="117" t="s">
        <v>132</v>
      </c>
      <c r="C139" s="116">
        <v>0</v>
      </c>
      <c r="D139" s="116">
        <v>110</v>
      </c>
      <c r="E139" s="116">
        <v>321</v>
      </c>
      <c r="F139" s="116">
        <v>273</v>
      </c>
      <c r="G139" s="116">
        <v>384</v>
      </c>
      <c r="H139" s="116">
        <v>423</v>
      </c>
      <c r="I139" s="116">
        <v>0</v>
      </c>
      <c r="J139" s="116">
        <v>134</v>
      </c>
      <c r="K139" s="116">
        <v>302</v>
      </c>
    </row>
    <row r="140" spans="1:11" x14ac:dyDescent="0.25">
      <c r="A140" s="116" t="s">
        <v>156</v>
      </c>
      <c r="B140" s="117" t="s">
        <v>133</v>
      </c>
      <c r="C140" s="116">
        <v>0</v>
      </c>
      <c r="D140" s="116">
        <v>130</v>
      </c>
      <c r="E140" s="116">
        <v>368</v>
      </c>
      <c r="F140" s="116">
        <v>350</v>
      </c>
      <c r="G140" s="116">
        <v>357</v>
      </c>
      <c r="H140" s="116">
        <v>252</v>
      </c>
      <c r="I140" s="116">
        <v>0</v>
      </c>
      <c r="J140" s="116">
        <v>166</v>
      </c>
      <c r="K140" s="116">
        <v>373</v>
      </c>
    </row>
    <row r="141" spans="1:11" x14ac:dyDescent="0.25">
      <c r="A141" s="116" t="s">
        <v>156</v>
      </c>
      <c r="B141" s="117" t="s">
        <v>134</v>
      </c>
      <c r="C141" s="116">
        <v>0</v>
      </c>
      <c r="D141" s="116">
        <v>141</v>
      </c>
      <c r="E141" s="116">
        <v>377</v>
      </c>
      <c r="F141" s="116">
        <v>392</v>
      </c>
      <c r="G141" s="116">
        <v>193</v>
      </c>
      <c r="H141" s="116">
        <v>339</v>
      </c>
      <c r="I141" s="116">
        <v>0</v>
      </c>
      <c r="J141" s="116">
        <v>232</v>
      </c>
      <c r="K141" s="116">
        <v>327</v>
      </c>
    </row>
    <row r="142" spans="1:11" x14ac:dyDescent="0.25">
      <c r="A142" s="116" t="s">
        <v>156</v>
      </c>
      <c r="B142" s="117" t="s">
        <v>135</v>
      </c>
      <c r="C142" s="116">
        <v>0</v>
      </c>
      <c r="D142" s="116">
        <v>240</v>
      </c>
      <c r="E142" s="116">
        <v>364</v>
      </c>
      <c r="F142" s="116">
        <v>180</v>
      </c>
      <c r="G142" s="116">
        <v>307</v>
      </c>
      <c r="H142" s="116">
        <v>344</v>
      </c>
      <c r="I142" s="116">
        <v>0</v>
      </c>
      <c r="J142" s="116">
        <v>293</v>
      </c>
      <c r="K142" s="116">
        <v>343</v>
      </c>
    </row>
    <row r="143" spans="1:11" x14ac:dyDescent="0.25">
      <c r="A143" s="116" t="s">
        <v>156</v>
      </c>
      <c r="B143" s="117" t="s">
        <v>136</v>
      </c>
      <c r="C143" s="116">
        <v>0</v>
      </c>
      <c r="D143" s="116">
        <v>304</v>
      </c>
      <c r="E143" s="116">
        <v>234</v>
      </c>
      <c r="F143" s="116">
        <v>201</v>
      </c>
      <c r="G143" s="116">
        <v>373</v>
      </c>
      <c r="H143" s="116">
        <v>325</v>
      </c>
      <c r="I143" s="116">
        <v>0</v>
      </c>
      <c r="J143" s="116">
        <v>276</v>
      </c>
      <c r="K143" s="116">
        <v>335</v>
      </c>
    </row>
    <row r="144" spans="1:11" x14ac:dyDescent="0.25">
      <c r="A144" s="116" t="s">
        <v>156</v>
      </c>
      <c r="B144" s="117" t="s">
        <v>137</v>
      </c>
      <c r="C144" s="116">
        <v>0</v>
      </c>
      <c r="D144" s="116">
        <v>360</v>
      </c>
      <c r="E144" s="116">
        <v>280</v>
      </c>
      <c r="F144" s="116">
        <v>413</v>
      </c>
      <c r="G144" s="116">
        <v>382</v>
      </c>
      <c r="H144" s="116">
        <v>285</v>
      </c>
      <c r="I144" s="116">
        <v>0</v>
      </c>
      <c r="J144" s="116">
        <v>207</v>
      </c>
      <c r="K144" s="116">
        <v>338</v>
      </c>
    </row>
    <row r="145" spans="1:11" x14ac:dyDescent="0.25">
      <c r="A145" s="116" t="s">
        <v>156</v>
      </c>
      <c r="B145" s="117" t="s">
        <v>138</v>
      </c>
      <c r="C145" s="116">
        <v>0</v>
      </c>
      <c r="D145" s="116">
        <v>292</v>
      </c>
      <c r="E145" s="116">
        <v>313</v>
      </c>
      <c r="F145" s="116">
        <v>408</v>
      </c>
      <c r="G145" s="116">
        <v>273</v>
      </c>
      <c r="H145" s="116">
        <v>327</v>
      </c>
      <c r="I145" s="116">
        <v>0</v>
      </c>
      <c r="J145" s="116">
        <v>211</v>
      </c>
      <c r="K145" s="116">
        <v>354</v>
      </c>
    </row>
    <row r="146" spans="1:11" x14ac:dyDescent="0.25">
      <c r="A146" s="116" t="s">
        <v>156</v>
      </c>
      <c r="B146" s="117" t="s">
        <v>139</v>
      </c>
      <c r="C146" s="116">
        <v>0</v>
      </c>
      <c r="D146" s="116">
        <v>319</v>
      </c>
      <c r="E146" s="116">
        <v>303</v>
      </c>
      <c r="F146" s="116">
        <v>397</v>
      </c>
      <c r="G146" s="116">
        <v>336</v>
      </c>
      <c r="H146" s="116">
        <v>353</v>
      </c>
      <c r="I146" s="116">
        <v>0</v>
      </c>
      <c r="J146" s="116">
        <v>219</v>
      </c>
      <c r="K146" s="116">
        <v>355</v>
      </c>
    </row>
    <row r="147" spans="1:11" x14ac:dyDescent="0.25">
      <c r="A147" s="116" t="s">
        <v>156</v>
      </c>
      <c r="B147" s="117" t="s">
        <v>140</v>
      </c>
      <c r="C147" s="116">
        <v>0</v>
      </c>
      <c r="D147" s="116">
        <v>277</v>
      </c>
      <c r="E147" s="116">
        <v>371</v>
      </c>
      <c r="F147" s="116">
        <v>293</v>
      </c>
      <c r="G147" s="116">
        <v>365</v>
      </c>
      <c r="H147" s="116">
        <v>371</v>
      </c>
      <c r="I147" s="116">
        <v>0</v>
      </c>
      <c r="J147" s="116">
        <v>204</v>
      </c>
      <c r="K147" s="116">
        <v>282</v>
      </c>
    </row>
    <row r="148" spans="1:11" x14ac:dyDescent="0.25">
      <c r="A148" s="116" t="s">
        <v>156</v>
      </c>
      <c r="B148" s="117" t="s">
        <v>141</v>
      </c>
      <c r="C148" s="116">
        <v>0</v>
      </c>
      <c r="D148" s="116">
        <v>224</v>
      </c>
      <c r="E148" s="116">
        <v>351</v>
      </c>
      <c r="F148" s="116">
        <v>369</v>
      </c>
      <c r="G148" s="116">
        <v>303</v>
      </c>
      <c r="H148" s="116">
        <v>393</v>
      </c>
      <c r="I148" s="116">
        <v>0</v>
      </c>
      <c r="J148" s="116">
        <v>217</v>
      </c>
      <c r="K148" s="116">
        <v>335</v>
      </c>
    </row>
    <row r="149" spans="1:11" x14ac:dyDescent="0.25">
      <c r="A149" s="116" t="s">
        <v>156</v>
      </c>
      <c r="B149" s="117" t="s">
        <v>142</v>
      </c>
      <c r="C149" s="116">
        <v>0</v>
      </c>
      <c r="D149" s="116">
        <v>241</v>
      </c>
      <c r="E149" s="116">
        <v>321</v>
      </c>
      <c r="F149" s="116">
        <v>302</v>
      </c>
      <c r="G149" s="116">
        <v>284</v>
      </c>
      <c r="H149" s="116">
        <v>412</v>
      </c>
      <c r="I149" s="116">
        <v>0</v>
      </c>
      <c r="J149" s="116">
        <v>290</v>
      </c>
      <c r="K149" s="116">
        <v>363</v>
      </c>
    </row>
    <row r="150" spans="1:11" x14ac:dyDescent="0.25">
      <c r="A150" s="116" t="s">
        <v>156</v>
      </c>
      <c r="B150" s="117" t="s">
        <v>143</v>
      </c>
      <c r="C150" s="116">
        <v>0</v>
      </c>
      <c r="D150" s="116">
        <v>313</v>
      </c>
      <c r="E150" s="116">
        <v>262</v>
      </c>
      <c r="F150" s="116">
        <v>347</v>
      </c>
      <c r="G150" s="116">
        <v>286</v>
      </c>
      <c r="H150" s="116">
        <v>262</v>
      </c>
      <c r="I150" s="116">
        <v>0</v>
      </c>
      <c r="J150" s="116">
        <v>286</v>
      </c>
      <c r="K150" s="116">
        <v>354</v>
      </c>
    </row>
    <row r="151" spans="1:11" x14ac:dyDescent="0.25">
      <c r="A151" s="116" t="s">
        <v>156</v>
      </c>
      <c r="B151" s="117" t="s">
        <v>144</v>
      </c>
      <c r="C151" s="116">
        <v>0</v>
      </c>
      <c r="D151" s="116">
        <v>396</v>
      </c>
      <c r="E151" s="116">
        <v>379</v>
      </c>
      <c r="F151" s="116">
        <v>317</v>
      </c>
      <c r="G151" s="116">
        <v>268</v>
      </c>
      <c r="H151" s="116">
        <v>343</v>
      </c>
      <c r="I151" s="116">
        <v>0</v>
      </c>
      <c r="J151" s="116">
        <v>209</v>
      </c>
      <c r="K151" s="116">
        <v>308</v>
      </c>
    </row>
    <row r="152" spans="1:11" x14ac:dyDescent="0.25">
      <c r="A152" s="116" t="s">
        <v>156</v>
      </c>
      <c r="B152" s="117" t="s">
        <v>145</v>
      </c>
      <c r="C152" s="116">
        <v>0</v>
      </c>
      <c r="D152" s="116">
        <v>381</v>
      </c>
      <c r="E152" s="116">
        <v>366</v>
      </c>
      <c r="F152" s="116">
        <v>303</v>
      </c>
      <c r="G152" s="116">
        <v>246</v>
      </c>
      <c r="H152" s="116">
        <v>378</v>
      </c>
      <c r="I152" s="116">
        <v>0</v>
      </c>
      <c r="J152" s="116">
        <v>174</v>
      </c>
      <c r="K152" s="116">
        <v>307</v>
      </c>
    </row>
    <row r="153" spans="1:11" x14ac:dyDescent="0.25">
      <c r="A153" s="116" t="s">
        <v>156</v>
      </c>
      <c r="B153" s="117" t="s">
        <v>146</v>
      </c>
      <c r="C153" s="116">
        <v>0</v>
      </c>
      <c r="D153" s="116">
        <v>169</v>
      </c>
      <c r="E153" s="116">
        <v>365</v>
      </c>
      <c r="F153" s="116">
        <v>234</v>
      </c>
      <c r="G153" s="116">
        <v>378</v>
      </c>
      <c r="H153" s="116">
        <v>435</v>
      </c>
      <c r="I153" s="116">
        <v>0</v>
      </c>
      <c r="J153" s="116">
        <v>186</v>
      </c>
      <c r="K153" s="116">
        <v>241</v>
      </c>
    </row>
    <row r="154" spans="1:11" x14ac:dyDescent="0.25">
      <c r="A154" s="116" t="s">
        <v>156</v>
      </c>
      <c r="B154" s="117" t="s">
        <v>147</v>
      </c>
      <c r="C154" s="116">
        <v>0</v>
      </c>
      <c r="D154" s="116">
        <v>136</v>
      </c>
      <c r="E154" s="116">
        <v>373</v>
      </c>
      <c r="F154" s="116">
        <v>387</v>
      </c>
      <c r="G154" s="116">
        <v>408</v>
      </c>
      <c r="H154" s="116">
        <v>423</v>
      </c>
      <c r="I154" s="116">
        <v>0</v>
      </c>
      <c r="J154" s="116">
        <v>165</v>
      </c>
      <c r="K154" s="116">
        <v>309</v>
      </c>
    </row>
    <row r="155" spans="1:11" x14ac:dyDescent="0.25">
      <c r="A155" s="116" t="s">
        <v>156</v>
      </c>
      <c r="B155" s="117" t="s">
        <v>148</v>
      </c>
      <c r="C155" s="116">
        <v>0</v>
      </c>
      <c r="D155" s="116">
        <v>155</v>
      </c>
      <c r="E155" s="116">
        <v>367</v>
      </c>
      <c r="F155" s="116">
        <v>439</v>
      </c>
      <c r="G155" s="116">
        <v>381</v>
      </c>
      <c r="H155" s="116">
        <v>304</v>
      </c>
      <c r="I155" s="116">
        <v>0</v>
      </c>
      <c r="J155" s="116">
        <v>227</v>
      </c>
      <c r="K155" s="116">
        <v>349</v>
      </c>
    </row>
    <row r="156" spans="1:11" x14ac:dyDescent="0.25">
      <c r="A156" s="116" t="s">
        <v>156</v>
      </c>
      <c r="B156" s="117" t="s">
        <v>149</v>
      </c>
      <c r="C156" s="116">
        <v>0</v>
      </c>
      <c r="D156" s="116">
        <v>164</v>
      </c>
      <c r="E156" s="116">
        <v>421</v>
      </c>
      <c r="F156" s="116">
        <v>418</v>
      </c>
      <c r="G156" s="116">
        <v>272</v>
      </c>
      <c r="H156" s="116">
        <v>270</v>
      </c>
      <c r="I156" s="116">
        <v>0</v>
      </c>
      <c r="J156" s="116">
        <v>275</v>
      </c>
      <c r="K156" s="116">
        <v>391</v>
      </c>
    </row>
    <row r="157" spans="1:11" x14ac:dyDescent="0.25">
      <c r="A157" s="116" t="s">
        <v>156</v>
      </c>
      <c r="B157" s="117" t="s">
        <v>150</v>
      </c>
      <c r="C157" s="116">
        <v>0</v>
      </c>
      <c r="D157" s="116">
        <v>201</v>
      </c>
      <c r="E157" s="116">
        <v>411</v>
      </c>
      <c r="F157" s="116">
        <v>269</v>
      </c>
      <c r="G157" s="116">
        <v>366</v>
      </c>
      <c r="H157" s="116">
        <v>277</v>
      </c>
      <c r="I157" s="116">
        <v>0</v>
      </c>
      <c r="J157" s="116">
        <v>281</v>
      </c>
      <c r="K157" s="116">
        <v>375</v>
      </c>
    </row>
    <row r="158" spans="1:11" x14ac:dyDescent="0.25">
      <c r="A158" s="116" t="s">
        <v>156</v>
      </c>
      <c r="B158" s="117" t="s">
        <v>151</v>
      </c>
      <c r="C158" s="116">
        <v>0</v>
      </c>
      <c r="D158" s="116">
        <v>234</v>
      </c>
      <c r="E158" s="116">
        <v>217</v>
      </c>
      <c r="F158" s="116">
        <v>261</v>
      </c>
      <c r="G158" s="116">
        <v>405</v>
      </c>
      <c r="H158" s="116">
        <v>298</v>
      </c>
      <c r="I158" s="116">
        <v>0</v>
      </c>
      <c r="J158" s="116">
        <v>279</v>
      </c>
      <c r="K158" s="116">
        <v>231</v>
      </c>
    </row>
    <row r="159" spans="1:11" x14ac:dyDescent="0.25">
      <c r="A159" s="116" t="s">
        <v>156</v>
      </c>
      <c r="B159" s="117" t="s">
        <v>152</v>
      </c>
      <c r="C159" s="116">
        <v>0</v>
      </c>
      <c r="D159" s="116">
        <v>211</v>
      </c>
      <c r="E159" s="116">
        <v>223</v>
      </c>
      <c r="F159" s="116">
        <v>271</v>
      </c>
      <c r="G159" s="116">
        <v>396</v>
      </c>
      <c r="H159" s="116">
        <v>343</v>
      </c>
      <c r="I159" s="116">
        <v>0</v>
      </c>
      <c r="J159" s="116">
        <v>191</v>
      </c>
      <c r="K159" s="116">
        <v>200</v>
      </c>
    </row>
    <row r="160" spans="1:11" x14ac:dyDescent="0.25">
      <c r="A160" s="116" t="s">
        <v>157</v>
      </c>
      <c r="B160" s="117" t="s">
        <v>121</v>
      </c>
      <c r="C160" s="116">
        <v>0</v>
      </c>
      <c r="D160" s="116">
        <v>272</v>
      </c>
      <c r="E160" s="116">
        <v>242</v>
      </c>
      <c r="F160" s="116">
        <v>275</v>
      </c>
      <c r="G160" s="116">
        <v>347</v>
      </c>
      <c r="H160" s="116">
        <v>386</v>
      </c>
      <c r="I160" s="116">
        <v>0</v>
      </c>
      <c r="J160" s="116">
        <v>211</v>
      </c>
      <c r="K160" s="116">
        <v>224</v>
      </c>
    </row>
    <row r="161" spans="1:11" x14ac:dyDescent="0.25">
      <c r="A161" s="116" t="s">
        <v>157</v>
      </c>
      <c r="B161" s="117" t="s">
        <v>123</v>
      </c>
      <c r="C161" s="116">
        <v>0</v>
      </c>
      <c r="D161" s="116">
        <v>269</v>
      </c>
      <c r="E161" s="116">
        <v>279</v>
      </c>
      <c r="F161" s="116">
        <v>370</v>
      </c>
      <c r="G161" s="116">
        <v>344</v>
      </c>
      <c r="H161" s="116">
        <v>386</v>
      </c>
      <c r="I161" s="116">
        <v>0</v>
      </c>
      <c r="J161" s="116">
        <v>230</v>
      </c>
      <c r="K161" s="116">
        <v>245</v>
      </c>
    </row>
    <row r="162" spans="1:11" x14ac:dyDescent="0.25">
      <c r="A162" s="116" t="s">
        <v>157</v>
      </c>
      <c r="B162" s="117" t="s">
        <v>124</v>
      </c>
      <c r="C162" s="116">
        <v>0</v>
      </c>
      <c r="D162" s="116">
        <v>209</v>
      </c>
      <c r="E162" s="116">
        <v>333</v>
      </c>
      <c r="F162" s="116">
        <v>338</v>
      </c>
      <c r="G162" s="116">
        <v>226</v>
      </c>
      <c r="H162" s="116">
        <v>388</v>
      </c>
      <c r="I162" s="116">
        <v>0</v>
      </c>
      <c r="J162" s="116">
        <v>247</v>
      </c>
      <c r="K162" s="116">
        <v>313</v>
      </c>
    </row>
    <row r="163" spans="1:11" x14ac:dyDescent="0.25">
      <c r="A163" s="116" t="s">
        <v>157</v>
      </c>
      <c r="B163" s="117" t="s">
        <v>125</v>
      </c>
      <c r="C163" s="116">
        <v>0</v>
      </c>
      <c r="D163" s="116">
        <v>164</v>
      </c>
      <c r="E163" s="116">
        <v>342</v>
      </c>
      <c r="F163" s="116">
        <v>205</v>
      </c>
      <c r="G163" s="116">
        <v>263</v>
      </c>
      <c r="H163" s="116">
        <v>380</v>
      </c>
      <c r="I163" s="116">
        <v>0</v>
      </c>
      <c r="J163" s="116">
        <v>253</v>
      </c>
      <c r="K163" s="116">
        <v>374</v>
      </c>
    </row>
    <row r="164" spans="1:11" x14ac:dyDescent="0.25">
      <c r="A164" s="116" t="s">
        <v>157</v>
      </c>
      <c r="B164" s="117" t="s">
        <v>126</v>
      </c>
      <c r="C164" s="116">
        <v>0</v>
      </c>
      <c r="D164" s="116">
        <v>191</v>
      </c>
      <c r="E164" s="116">
        <v>213</v>
      </c>
      <c r="F164" s="116">
        <v>217</v>
      </c>
      <c r="G164" s="116">
        <v>272</v>
      </c>
      <c r="H164" s="116">
        <v>364</v>
      </c>
      <c r="I164" s="116">
        <v>0</v>
      </c>
      <c r="J164" s="116">
        <v>241</v>
      </c>
      <c r="K164" s="116">
        <v>392</v>
      </c>
    </row>
    <row r="165" spans="1:11" x14ac:dyDescent="0.25">
      <c r="A165" s="116" t="s">
        <v>157</v>
      </c>
      <c r="B165" s="117" t="s">
        <v>127</v>
      </c>
      <c r="C165" s="116">
        <v>0</v>
      </c>
      <c r="D165" s="116">
        <v>235</v>
      </c>
      <c r="E165" s="116">
        <v>191</v>
      </c>
      <c r="F165" s="116">
        <v>225</v>
      </c>
      <c r="G165" s="116">
        <v>362</v>
      </c>
      <c r="H165" s="116">
        <v>331</v>
      </c>
      <c r="I165" s="116">
        <v>0</v>
      </c>
      <c r="J165" s="116">
        <v>169</v>
      </c>
      <c r="K165" s="116">
        <v>385</v>
      </c>
    </row>
    <row r="166" spans="1:11" x14ac:dyDescent="0.25">
      <c r="A166" s="116" t="s">
        <v>157</v>
      </c>
      <c r="B166" s="117" t="s">
        <v>128</v>
      </c>
      <c r="C166" s="116">
        <v>0</v>
      </c>
      <c r="D166" s="116">
        <v>159</v>
      </c>
      <c r="E166" s="116">
        <v>252</v>
      </c>
      <c r="F166" s="116">
        <v>243</v>
      </c>
      <c r="G166" s="116">
        <v>370</v>
      </c>
      <c r="H166" s="116">
        <v>277</v>
      </c>
      <c r="I166" s="116">
        <v>0</v>
      </c>
      <c r="J166" s="116">
        <v>172</v>
      </c>
      <c r="K166" s="116">
        <v>363</v>
      </c>
    </row>
    <row r="167" spans="1:11" x14ac:dyDescent="0.25">
      <c r="A167" s="116" t="s">
        <v>157</v>
      </c>
      <c r="B167" s="117" t="s">
        <v>129</v>
      </c>
      <c r="C167" s="116">
        <v>0</v>
      </c>
      <c r="D167" s="116">
        <v>149</v>
      </c>
      <c r="E167" s="116">
        <v>325</v>
      </c>
      <c r="F167" s="116">
        <v>329</v>
      </c>
      <c r="G167" s="116">
        <v>329</v>
      </c>
      <c r="H167" s="116">
        <v>315</v>
      </c>
      <c r="I167" s="116">
        <v>0</v>
      </c>
      <c r="J167" s="116">
        <v>253</v>
      </c>
      <c r="K167" s="116">
        <v>236</v>
      </c>
    </row>
    <row r="168" spans="1:11" x14ac:dyDescent="0.25">
      <c r="A168" s="116" t="s">
        <v>157</v>
      </c>
      <c r="B168" s="117" t="s">
        <v>130</v>
      </c>
      <c r="C168" s="116">
        <v>0</v>
      </c>
      <c r="D168" s="116">
        <v>140</v>
      </c>
      <c r="E168" s="116">
        <v>325</v>
      </c>
      <c r="F168" s="116">
        <v>402</v>
      </c>
      <c r="G168" s="116">
        <v>327</v>
      </c>
      <c r="H168" s="116">
        <v>322</v>
      </c>
      <c r="I168" s="116">
        <v>0</v>
      </c>
      <c r="J168" s="116">
        <v>324</v>
      </c>
      <c r="K168" s="116">
        <v>215</v>
      </c>
    </row>
    <row r="169" spans="1:11" x14ac:dyDescent="0.25">
      <c r="A169" s="116" t="s">
        <v>157</v>
      </c>
      <c r="B169" s="117" t="s">
        <v>131</v>
      </c>
      <c r="C169" s="116">
        <v>0</v>
      </c>
      <c r="D169" s="116">
        <v>195</v>
      </c>
      <c r="E169" s="116">
        <v>291</v>
      </c>
      <c r="F169" s="116">
        <v>380</v>
      </c>
      <c r="G169" s="116">
        <v>335</v>
      </c>
      <c r="H169" s="116">
        <v>405</v>
      </c>
      <c r="I169" s="116">
        <v>0</v>
      </c>
      <c r="J169" s="116">
        <v>334</v>
      </c>
      <c r="K169" s="116">
        <v>283</v>
      </c>
    </row>
    <row r="170" spans="1:11" x14ac:dyDescent="0.25">
      <c r="A170" s="116" t="s">
        <v>157</v>
      </c>
      <c r="B170" s="117" t="s">
        <v>132</v>
      </c>
      <c r="C170" s="116">
        <v>0</v>
      </c>
      <c r="D170" s="116">
        <v>245</v>
      </c>
      <c r="E170" s="116">
        <v>378</v>
      </c>
      <c r="F170" s="116">
        <v>236</v>
      </c>
      <c r="G170" s="116">
        <v>341</v>
      </c>
      <c r="H170" s="116">
        <v>380</v>
      </c>
      <c r="I170" s="116">
        <v>0</v>
      </c>
      <c r="J170" s="116">
        <v>279</v>
      </c>
      <c r="K170" s="116">
        <v>353</v>
      </c>
    </row>
    <row r="171" spans="1:11" x14ac:dyDescent="0.25">
      <c r="A171" s="116" t="s">
        <v>157</v>
      </c>
      <c r="B171" s="117" t="s">
        <v>133</v>
      </c>
      <c r="C171" s="116">
        <v>0</v>
      </c>
      <c r="D171" s="116">
        <v>345</v>
      </c>
      <c r="E171" s="116">
        <v>370</v>
      </c>
      <c r="F171" s="116">
        <v>278</v>
      </c>
      <c r="G171" s="116">
        <v>330</v>
      </c>
      <c r="H171" s="116">
        <v>339</v>
      </c>
      <c r="I171" s="116">
        <v>0</v>
      </c>
      <c r="J171" s="116">
        <v>235</v>
      </c>
      <c r="K171" s="116">
        <v>369</v>
      </c>
    </row>
    <row r="172" spans="1:11" x14ac:dyDescent="0.25">
      <c r="A172" s="116" t="s">
        <v>157</v>
      </c>
      <c r="B172" s="117" t="s">
        <v>134</v>
      </c>
      <c r="C172" s="116">
        <v>0</v>
      </c>
      <c r="D172" s="116">
        <v>324</v>
      </c>
      <c r="E172" s="116">
        <v>365</v>
      </c>
      <c r="F172" s="116">
        <v>380</v>
      </c>
      <c r="G172" s="116">
        <v>336</v>
      </c>
      <c r="H172" s="116">
        <v>292</v>
      </c>
      <c r="I172" s="116">
        <v>0</v>
      </c>
      <c r="J172" s="116">
        <v>213</v>
      </c>
      <c r="K172" s="116">
        <v>375</v>
      </c>
    </row>
    <row r="173" spans="1:11" x14ac:dyDescent="0.25">
      <c r="A173" s="116" t="s">
        <v>157</v>
      </c>
      <c r="B173" s="117" t="s">
        <v>135</v>
      </c>
      <c r="C173" s="116">
        <v>0</v>
      </c>
      <c r="D173" s="116">
        <v>213</v>
      </c>
      <c r="E173" s="116">
        <v>376</v>
      </c>
      <c r="F173" s="116">
        <v>408</v>
      </c>
      <c r="G173" s="116">
        <v>351</v>
      </c>
      <c r="H173" s="116">
        <v>391</v>
      </c>
      <c r="I173" s="116">
        <v>0</v>
      </c>
      <c r="J173" s="116">
        <v>242</v>
      </c>
      <c r="K173" s="116">
        <v>366</v>
      </c>
    </row>
    <row r="174" spans="1:11" x14ac:dyDescent="0.25">
      <c r="A174" s="116" t="s">
        <v>157</v>
      </c>
      <c r="B174" s="117" t="s">
        <v>136</v>
      </c>
      <c r="C174" s="116">
        <v>0</v>
      </c>
      <c r="D174" s="116">
        <v>176</v>
      </c>
      <c r="E174" s="116">
        <v>369</v>
      </c>
      <c r="F174" s="116">
        <v>409</v>
      </c>
      <c r="G174" s="116">
        <v>338</v>
      </c>
      <c r="H174" s="116">
        <v>406</v>
      </c>
      <c r="I174" s="116">
        <v>0</v>
      </c>
      <c r="J174" s="116">
        <v>250</v>
      </c>
      <c r="K174" s="116">
        <v>316</v>
      </c>
    </row>
    <row r="175" spans="1:11" x14ac:dyDescent="0.25">
      <c r="A175" s="116" t="s">
        <v>157</v>
      </c>
      <c r="B175" s="117" t="s">
        <v>137</v>
      </c>
      <c r="C175" s="116">
        <v>0</v>
      </c>
      <c r="D175" s="116">
        <v>207</v>
      </c>
      <c r="E175" s="116">
        <v>288</v>
      </c>
      <c r="F175" s="116">
        <v>396</v>
      </c>
      <c r="G175" s="116">
        <v>366</v>
      </c>
      <c r="H175" s="116">
        <v>300</v>
      </c>
      <c r="I175" s="116">
        <v>0</v>
      </c>
      <c r="J175" s="116">
        <v>312</v>
      </c>
      <c r="K175" s="116">
        <v>315</v>
      </c>
    </row>
    <row r="176" spans="1:11" x14ac:dyDescent="0.25">
      <c r="A176" s="116" t="s">
        <v>157</v>
      </c>
      <c r="B176" s="117" t="s">
        <v>138</v>
      </c>
      <c r="C176" s="116">
        <v>0</v>
      </c>
      <c r="D176" s="116">
        <v>196</v>
      </c>
      <c r="E176" s="116">
        <v>282</v>
      </c>
      <c r="F176" s="116">
        <v>400</v>
      </c>
      <c r="G176" s="116">
        <v>261</v>
      </c>
      <c r="H176" s="116">
        <v>405</v>
      </c>
      <c r="I176" s="116">
        <v>0</v>
      </c>
      <c r="J176" s="116">
        <v>318</v>
      </c>
      <c r="K176" s="116">
        <v>331</v>
      </c>
    </row>
    <row r="177" spans="1:11" x14ac:dyDescent="0.25">
      <c r="A177" s="116" t="s">
        <v>157</v>
      </c>
      <c r="B177" s="117" t="s">
        <v>139</v>
      </c>
      <c r="C177" s="116">
        <v>0</v>
      </c>
      <c r="D177" s="116">
        <v>185</v>
      </c>
      <c r="E177" s="116">
        <v>288</v>
      </c>
      <c r="F177" s="116">
        <v>216</v>
      </c>
      <c r="G177" s="116">
        <v>253</v>
      </c>
      <c r="H177" s="116">
        <v>310</v>
      </c>
      <c r="I177" s="116">
        <v>0</v>
      </c>
      <c r="J177" s="116">
        <v>305</v>
      </c>
      <c r="K177" s="116">
        <v>322</v>
      </c>
    </row>
    <row r="178" spans="1:11" x14ac:dyDescent="0.25">
      <c r="A178" s="116" t="s">
        <v>157</v>
      </c>
      <c r="B178" s="117" t="s">
        <v>140</v>
      </c>
      <c r="C178" s="116">
        <v>0</v>
      </c>
      <c r="D178" s="116">
        <v>215</v>
      </c>
      <c r="E178" s="116">
        <v>237</v>
      </c>
      <c r="F178" s="116">
        <v>299</v>
      </c>
      <c r="G178" s="116">
        <v>274</v>
      </c>
      <c r="H178" s="116">
        <v>404</v>
      </c>
      <c r="I178" s="116">
        <v>0</v>
      </c>
      <c r="J178" s="116">
        <v>306</v>
      </c>
      <c r="K178" s="116">
        <v>295</v>
      </c>
    </row>
    <row r="179" spans="1:11" x14ac:dyDescent="0.25">
      <c r="A179" s="116" t="s">
        <v>157</v>
      </c>
      <c r="B179" s="117" t="s">
        <v>141</v>
      </c>
      <c r="C179" s="116">
        <v>0</v>
      </c>
      <c r="D179" s="116">
        <v>200</v>
      </c>
      <c r="E179" s="116">
        <v>298</v>
      </c>
      <c r="F179" s="116">
        <v>292</v>
      </c>
      <c r="G179" s="116">
        <v>361</v>
      </c>
      <c r="H179" s="116">
        <v>397</v>
      </c>
      <c r="I179" s="116">
        <v>0</v>
      </c>
      <c r="J179" s="116">
        <v>278</v>
      </c>
      <c r="K179" s="116">
        <v>313</v>
      </c>
    </row>
    <row r="180" spans="1:11" x14ac:dyDescent="0.25">
      <c r="A180" s="116" t="s">
        <v>157</v>
      </c>
      <c r="B180" s="117" t="s">
        <v>142</v>
      </c>
      <c r="C180" s="116">
        <v>0</v>
      </c>
      <c r="D180" s="116">
        <v>189</v>
      </c>
      <c r="E180" s="116">
        <v>324</v>
      </c>
      <c r="F180" s="116">
        <v>396</v>
      </c>
      <c r="G180" s="116">
        <v>340</v>
      </c>
      <c r="H180" s="116">
        <v>316</v>
      </c>
      <c r="I180" s="116">
        <v>0</v>
      </c>
      <c r="J180" s="116">
        <v>312</v>
      </c>
      <c r="K180" s="116">
        <v>301</v>
      </c>
    </row>
    <row r="181" spans="1:11" x14ac:dyDescent="0.25">
      <c r="A181" s="116" t="s">
        <v>157</v>
      </c>
      <c r="B181" s="117" t="s">
        <v>143</v>
      </c>
      <c r="C181" s="116">
        <v>0</v>
      </c>
      <c r="D181" s="116">
        <v>263</v>
      </c>
      <c r="E181" s="116">
        <v>295</v>
      </c>
      <c r="F181" s="116">
        <v>407</v>
      </c>
      <c r="G181" s="116">
        <v>391</v>
      </c>
      <c r="H181" s="116">
        <v>368</v>
      </c>
      <c r="I181" s="116">
        <v>0</v>
      </c>
      <c r="J181" s="116">
        <v>317</v>
      </c>
      <c r="K181" s="116">
        <v>319</v>
      </c>
    </row>
    <row r="182" spans="1:11" x14ac:dyDescent="0.25">
      <c r="A182" s="116" t="s">
        <v>157</v>
      </c>
      <c r="B182" s="117" t="s">
        <v>144</v>
      </c>
      <c r="C182" s="116">
        <v>0</v>
      </c>
      <c r="D182" s="116">
        <v>245</v>
      </c>
      <c r="E182" s="116">
        <v>307</v>
      </c>
      <c r="F182" s="116">
        <v>418</v>
      </c>
      <c r="G182" s="116">
        <v>401</v>
      </c>
      <c r="H182" s="116">
        <v>411</v>
      </c>
      <c r="I182" s="116">
        <v>0</v>
      </c>
      <c r="J182" s="116">
        <v>313</v>
      </c>
      <c r="K182" s="116">
        <v>340</v>
      </c>
    </row>
    <row r="183" spans="1:11" x14ac:dyDescent="0.25">
      <c r="A183" s="116" t="s">
        <v>157</v>
      </c>
      <c r="B183" s="117" t="s">
        <v>145</v>
      </c>
      <c r="C183" s="116">
        <v>0</v>
      </c>
      <c r="D183" s="116">
        <v>256</v>
      </c>
      <c r="E183" s="116">
        <v>338</v>
      </c>
      <c r="F183" s="116">
        <v>422</v>
      </c>
      <c r="G183" s="116">
        <v>279</v>
      </c>
      <c r="H183" s="116">
        <v>409</v>
      </c>
      <c r="I183" s="116">
        <v>0</v>
      </c>
      <c r="J183" s="116">
        <v>303</v>
      </c>
      <c r="K183" s="116">
        <v>340</v>
      </c>
    </row>
    <row r="184" spans="1:11" x14ac:dyDescent="0.25">
      <c r="A184" s="116" t="s">
        <v>157</v>
      </c>
      <c r="B184" s="117" t="s">
        <v>146</v>
      </c>
      <c r="C184" s="116">
        <v>0</v>
      </c>
      <c r="D184" s="116">
        <v>284</v>
      </c>
      <c r="E184" s="116">
        <v>340</v>
      </c>
      <c r="F184" s="116">
        <v>212</v>
      </c>
      <c r="G184" s="116">
        <v>392</v>
      </c>
      <c r="H184" s="116">
        <v>409</v>
      </c>
      <c r="I184" s="116">
        <v>0</v>
      </c>
      <c r="J184" s="116">
        <v>277</v>
      </c>
      <c r="K184" s="116">
        <v>342</v>
      </c>
    </row>
    <row r="185" spans="1:11" x14ac:dyDescent="0.25">
      <c r="A185" s="116" t="s">
        <v>157</v>
      </c>
      <c r="B185" s="117" t="s">
        <v>147</v>
      </c>
      <c r="C185" s="116">
        <v>0</v>
      </c>
      <c r="D185" s="116">
        <v>303</v>
      </c>
      <c r="E185" s="116">
        <v>399</v>
      </c>
      <c r="F185" s="116">
        <v>264</v>
      </c>
      <c r="G185" s="116">
        <v>399</v>
      </c>
      <c r="H185" s="116">
        <v>410</v>
      </c>
      <c r="I185" s="116">
        <v>0</v>
      </c>
      <c r="J185" s="116">
        <v>273</v>
      </c>
      <c r="K185" s="116">
        <v>382</v>
      </c>
    </row>
    <row r="186" spans="1:11" x14ac:dyDescent="0.25">
      <c r="A186" s="116" t="s">
        <v>157</v>
      </c>
      <c r="B186" s="117" t="s">
        <v>148</v>
      </c>
      <c r="C186" s="116">
        <v>0</v>
      </c>
      <c r="D186" s="116">
        <v>316</v>
      </c>
      <c r="E186" s="116">
        <v>408</v>
      </c>
      <c r="F186" s="116">
        <v>298</v>
      </c>
      <c r="G186" s="116">
        <v>403</v>
      </c>
      <c r="H186" s="116">
        <v>323</v>
      </c>
      <c r="I186" s="116">
        <v>0</v>
      </c>
      <c r="J186" s="116">
        <v>232</v>
      </c>
      <c r="K186" s="116">
        <v>391</v>
      </c>
    </row>
    <row r="187" spans="1:11" x14ac:dyDescent="0.25">
      <c r="A187" s="116" t="s">
        <v>157</v>
      </c>
      <c r="B187" s="117" t="s">
        <v>149</v>
      </c>
      <c r="C187" s="116">
        <v>0</v>
      </c>
      <c r="D187" s="116">
        <v>162</v>
      </c>
      <c r="E187" s="116">
        <v>421</v>
      </c>
      <c r="F187" s="116">
        <v>321</v>
      </c>
      <c r="G187" s="116">
        <v>281</v>
      </c>
      <c r="H187" s="116">
        <v>327</v>
      </c>
      <c r="I187" s="116">
        <v>0</v>
      </c>
      <c r="J187" s="116">
        <v>278</v>
      </c>
      <c r="K187" s="116">
        <v>374</v>
      </c>
    </row>
    <row r="188" spans="1:11" x14ac:dyDescent="0.25">
      <c r="A188" s="116" t="s">
        <v>157</v>
      </c>
      <c r="B188" s="117" t="s">
        <v>150</v>
      </c>
      <c r="C188" s="116">
        <v>0</v>
      </c>
      <c r="D188" s="116">
        <v>138</v>
      </c>
      <c r="E188" s="116">
        <v>231</v>
      </c>
      <c r="F188" s="116">
        <v>396</v>
      </c>
      <c r="G188" s="116">
        <v>333</v>
      </c>
      <c r="H188" s="116">
        <v>335</v>
      </c>
      <c r="I188" s="116">
        <v>0</v>
      </c>
      <c r="J188" s="116">
        <v>272</v>
      </c>
      <c r="K188" s="116">
        <v>261</v>
      </c>
    </row>
    <row r="189" spans="1:11" x14ac:dyDescent="0.25">
      <c r="A189" s="116" t="s">
        <v>157</v>
      </c>
      <c r="B189" s="117" t="s">
        <v>151</v>
      </c>
      <c r="C189" s="116">
        <v>0</v>
      </c>
      <c r="D189" s="116">
        <v>124</v>
      </c>
      <c r="E189" s="116">
        <v>248</v>
      </c>
      <c r="F189" s="116">
        <v>417</v>
      </c>
      <c r="G189" s="116">
        <v>320</v>
      </c>
      <c r="H189" s="116">
        <v>276</v>
      </c>
      <c r="I189" s="116">
        <v>0</v>
      </c>
      <c r="J189" s="116">
        <v>282</v>
      </c>
      <c r="K189" s="116">
        <v>198</v>
      </c>
    </row>
    <row r="190" spans="1:11" x14ac:dyDescent="0.25">
      <c r="A190" s="116" t="s">
        <v>158</v>
      </c>
      <c r="B190" s="117" t="s">
        <v>121</v>
      </c>
      <c r="C190" s="116">
        <v>0</v>
      </c>
      <c r="D190" s="116">
        <v>142</v>
      </c>
      <c r="E190" s="116">
        <v>313</v>
      </c>
      <c r="F190" s="116">
        <v>397</v>
      </c>
      <c r="G190" s="116">
        <v>285</v>
      </c>
      <c r="H190" s="116">
        <v>416</v>
      </c>
      <c r="I190" s="116">
        <v>79</v>
      </c>
      <c r="J190" s="116">
        <v>266</v>
      </c>
      <c r="K190" s="116">
        <v>222</v>
      </c>
    </row>
    <row r="191" spans="1:11" x14ac:dyDescent="0.25">
      <c r="A191" s="116" t="s">
        <v>158</v>
      </c>
      <c r="B191" s="117" t="s">
        <v>123</v>
      </c>
      <c r="C191" s="116">
        <v>0</v>
      </c>
      <c r="D191" s="116">
        <v>175</v>
      </c>
      <c r="E191" s="116">
        <v>382</v>
      </c>
      <c r="F191" s="116">
        <v>312</v>
      </c>
      <c r="G191" s="116">
        <v>298</v>
      </c>
      <c r="H191" s="116">
        <v>413</v>
      </c>
      <c r="I191" s="116">
        <v>124</v>
      </c>
      <c r="J191" s="116">
        <v>272</v>
      </c>
      <c r="K191" s="116">
        <v>274</v>
      </c>
    </row>
    <row r="192" spans="1:11" x14ac:dyDescent="0.25">
      <c r="A192" s="116" t="s">
        <v>158</v>
      </c>
      <c r="B192" s="117" t="s">
        <v>124</v>
      </c>
      <c r="C192" s="116">
        <v>0</v>
      </c>
      <c r="D192" s="116">
        <v>199</v>
      </c>
      <c r="E192" s="116">
        <v>402</v>
      </c>
      <c r="F192" s="116">
        <v>316</v>
      </c>
      <c r="G192" s="116">
        <v>327</v>
      </c>
      <c r="H192" s="116">
        <v>337</v>
      </c>
      <c r="I192" s="116">
        <v>208</v>
      </c>
      <c r="J192" s="116">
        <v>299</v>
      </c>
      <c r="K192" s="116">
        <v>294</v>
      </c>
    </row>
    <row r="193" spans="1:11" x14ac:dyDescent="0.25">
      <c r="A193" s="116" t="s">
        <v>158</v>
      </c>
      <c r="B193" s="117" t="s">
        <v>125</v>
      </c>
      <c r="C193" s="116">
        <v>0</v>
      </c>
      <c r="D193" s="116">
        <v>229</v>
      </c>
      <c r="E193" s="116">
        <v>348</v>
      </c>
      <c r="F193" s="116">
        <v>287</v>
      </c>
      <c r="G193" s="116">
        <v>350</v>
      </c>
      <c r="H193" s="116">
        <v>401</v>
      </c>
      <c r="I193" s="116">
        <v>218</v>
      </c>
      <c r="J193" s="116">
        <v>281</v>
      </c>
      <c r="K193" s="116">
        <v>265</v>
      </c>
    </row>
    <row r="194" spans="1:11" x14ac:dyDescent="0.25">
      <c r="A194" s="116" t="s">
        <v>158</v>
      </c>
      <c r="B194" s="117" t="s">
        <v>126</v>
      </c>
      <c r="C194" s="116">
        <v>0</v>
      </c>
      <c r="D194" s="116">
        <v>142</v>
      </c>
      <c r="E194" s="116">
        <v>389</v>
      </c>
      <c r="F194" s="116">
        <v>386</v>
      </c>
      <c r="G194" s="116">
        <v>325</v>
      </c>
      <c r="H194" s="116">
        <v>399</v>
      </c>
      <c r="I194" s="116">
        <v>88</v>
      </c>
      <c r="J194" s="116">
        <v>218</v>
      </c>
      <c r="K194" s="116">
        <v>229</v>
      </c>
    </row>
    <row r="195" spans="1:11" x14ac:dyDescent="0.25">
      <c r="A195" s="116" t="s">
        <v>158</v>
      </c>
      <c r="B195" s="117" t="s">
        <v>127</v>
      </c>
      <c r="C195" s="116">
        <v>0</v>
      </c>
      <c r="D195" s="116">
        <v>156</v>
      </c>
      <c r="E195" s="116">
        <v>387</v>
      </c>
      <c r="F195" s="116">
        <v>388</v>
      </c>
      <c r="G195" s="116">
        <v>329</v>
      </c>
      <c r="H195" s="116">
        <v>416</v>
      </c>
      <c r="I195" s="116">
        <v>69</v>
      </c>
      <c r="J195" s="116">
        <v>213</v>
      </c>
      <c r="K195" s="116">
        <v>242</v>
      </c>
    </row>
    <row r="196" spans="1:11" x14ac:dyDescent="0.25">
      <c r="A196" s="116" t="s">
        <v>158</v>
      </c>
      <c r="B196" s="117" t="s">
        <v>128</v>
      </c>
      <c r="C196" s="116">
        <v>0</v>
      </c>
      <c r="D196" s="116">
        <v>164</v>
      </c>
      <c r="E196" s="116">
        <v>256</v>
      </c>
      <c r="F196" s="116">
        <v>267</v>
      </c>
      <c r="G196" s="116">
        <v>305</v>
      </c>
      <c r="H196" s="116">
        <v>316</v>
      </c>
      <c r="I196" s="116">
        <v>55</v>
      </c>
      <c r="J196" s="116">
        <v>268</v>
      </c>
      <c r="K196" s="116">
        <v>245</v>
      </c>
    </row>
    <row r="197" spans="1:11" x14ac:dyDescent="0.25">
      <c r="A197" s="116" t="s">
        <v>158</v>
      </c>
      <c r="B197" s="117" t="s">
        <v>129</v>
      </c>
      <c r="C197" s="116">
        <v>0</v>
      </c>
      <c r="D197" s="116">
        <v>170</v>
      </c>
      <c r="E197" s="116">
        <v>346</v>
      </c>
      <c r="F197" s="116">
        <v>289</v>
      </c>
      <c r="G197" s="116">
        <v>242</v>
      </c>
      <c r="H197" s="116">
        <v>332</v>
      </c>
      <c r="I197" s="116">
        <v>48</v>
      </c>
      <c r="J197" s="116">
        <v>314</v>
      </c>
      <c r="K197" s="116">
        <v>272</v>
      </c>
    </row>
    <row r="198" spans="1:11" x14ac:dyDescent="0.25">
      <c r="A198" s="116" t="s">
        <v>158</v>
      </c>
      <c r="B198" s="117" t="s">
        <v>130</v>
      </c>
      <c r="C198" s="116">
        <v>0</v>
      </c>
      <c r="D198" s="116">
        <v>161</v>
      </c>
      <c r="E198" s="116">
        <v>356</v>
      </c>
      <c r="F198" s="116">
        <v>259</v>
      </c>
      <c r="G198" s="116">
        <v>318</v>
      </c>
      <c r="H198" s="116">
        <v>384</v>
      </c>
      <c r="I198" s="116">
        <v>67</v>
      </c>
      <c r="J198" s="116">
        <v>314</v>
      </c>
      <c r="K198" s="116">
        <v>270</v>
      </c>
    </row>
    <row r="199" spans="1:11" x14ac:dyDescent="0.25">
      <c r="A199" s="116" t="s">
        <v>158</v>
      </c>
      <c r="B199" s="117" t="s">
        <v>131</v>
      </c>
      <c r="C199" s="116">
        <v>0</v>
      </c>
      <c r="D199" s="116">
        <v>168</v>
      </c>
      <c r="E199" s="116">
        <v>310</v>
      </c>
      <c r="F199" s="116">
        <v>295</v>
      </c>
      <c r="G199" s="116">
        <v>316</v>
      </c>
      <c r="H199" s="116">
        <v>420</v>
      </c>
      <c r="I199" s="116">
        <v>100</v>
      </c>
      <c r="J199" s="116">
        <v>295</v>
      </c>
      <c r="K199" s="116">
        <v>321</v>
      </c>
    </row>
    <row r="200" spans="1:11" x14ac:dyDescent="0.25">
      <c r="A200" s="116" t="s">
        <v>158</v>
      </c>
      <c r="B200" s="117" t="s">
        <v>132</v>
      </c>
      <c r="C200" s="116">
        <v>0</v>
      </c>
      <c r="D200" s="116">
        <v>183</v>
      </c>
      <c r="E200" s="116">
        <v>354</v>
      </c>
      <c r="F200" s="116">
        <v>312</v>
      </c>
      <c r="G200" s="116">
        <v>388</v>
      </c>
      <c r="H200" s="116">
        <v>394</v>
      </c>
      <c r="I200" s="116">
        <v>111</v>
      </c>
      <c r="J200" s="116">
        <v>209</v>
      </c>
      <c r="K200" s="116">
        <v>385</v>
      </c>
    </row>
    <row r="201" spans="1:11" x14ac:dyDescent="0.25">
      <c r="A201" s="116" t="s">
        <v>158</v>
      </c>
      <c r="B201" s="117" t="s">
        <v>133</v>
      </c>
      <c r="C201" s="116">
        <v>0</v>
      </c>
      <c r="D201" s="116">
        <v>178</v>
      </c>
      <c r="E201" s="116">
        <v>409</v>
      </c>
      <c r="F201" s="116">
        <v>353</v>
      </c>
      <c r="G201" s="116">
        <v>388</v>
      </c>
      <c r="H201" s="116">
        <v>284</v>
      </c>
      <c r="I201" s="116">
        <v>59</v>
      </c>
      <c r="J201" s="116">
        <v>246</v>
      </c>
      <c r="K201" s="116">
        <v>395</v>
      </c>
    </row>
    <row r="202" spans="1:11" x14ac:dyDescent="0.25">
      <c r="A202" s="116" t="s">
        <v>158</v>
      </c>
      <c r="B202" s="117" t="s">
        <v>134</v>
      </c>
      <c r="C202" s="116">
        <v>0</v>
      </c>
      <c r="D202" s="116">
        <v>214</v>
      </c>
      <c r="E202" s="116">
        <v>391</v>
      </c>
      <c r="F202" s="116">
        <v>403</v>
      </c>
      <c r="G202" s="116">
        <v>274</v>
      </c>
      <c r="H202" s="116">
        <v>291</v>
      </c>
      <c r="I202" s="116">
        <v>39</v>
      </c>
      <c r="J202" s="116">
        <v>260</v>
      </c>
      <c r="K202" s="116">
        <v>380</v>
      </c>
    </row>
    <row r="203" spans="1:11" x14ac:dyDescent="0.25">
      <c r="A203" s="116" t="s">
        <v>158</v>
      </c>
      <c r="B203" s="117" t="s">
        <v>135</v>
      </c>
      <c r="C203" s="116">
        <v>0</v>
      </c>
      <c r="D203" s="116">
        <v>250</v>
      </c>
      <c r="E203" s="116">
        <v>383</v>
      </c>
      <c r="F203" s="116">
        <v>418</v>
      </c>
      <c r="G203" s="116">
        <v>333</v>
      </c>
      <c r="H203" s="116">
        <v>282</v>
      </c>
      <c r="I203" s="116">
        <v>42</v>
      </c>
      <c r="J203" s="116">
        <v>265</v>
      </c>
      <c r="K203" s="116">
        <v>307</v>
      </c>
    </row>
    <row r="204" spans="1:11" x14ac:dyDescent="0.25">
      <c r="A204" s="116" t="s">
        <v>158</v>
      </c>
      <c r="B204" s="117" t="s">
        <v>136</v>
      </c>
      <c r="C204" s="116">
        <v>0</v>
      </c>
      <c r="D204" s="116">
        <v>257</v>
      </c>
      <c r="E204" s="116">
        <v>362</v>
      </c>
      <c r="F204" s="116">
        <v>421</v>
      </c>
      <c r="G204" s="116">
        <v>286</v>
      </c>
      <c r="H204" s="116">
        <v>300</v>
      </c>
      <c r="I204" s="116">
        <v>55</v>
      </c>
      <c r="J204" s="116">
        <v>290</v>
      </c>
      <c r="K204" s="120">
        <v>294</v>
      </c>
    </row>
    <row r="205" spans="1:11" x14ac:dyDescent="0.25">
      <c r="A205" s="116" t="s">
        <v>158</v>
      </c>
      <c r="B205" s="117" t="s">
        <v>137</v>
      </c>
      <c r="C205" s="116">
        <v>0</v>
      </c>
      <c r="D205" s="116">
        <v>251</v>
      </c>
      <c r="E205" s="116">
        <v>378</v>
      </c>
      <c r="F205" s="116">
        <v>261</v>
      </c>
      <c r="G205" s="116">
        <v>287</v>
      </c>
      <c r="H205" s="116">
        <v>314</v>
      </c>
      <c r="I205" s="116">
        <v>84</v>
      </c>
      <c r="J205" s="116">
        <v>309</v>
      </c>
      <c r="K205" s="116">
        <v>288</v>
      </c>
    </row>
    <row r="206" spans="1:11" x14ac:dyDescent="0.25">
      <c r="A206" s="116" t="s">
        <v>158</v>
      </c>
      <c r="B206" s="117" t="s">
        <v>138</v>
      </c>
      <c r="C206" s="116">
        <v>0</v>
      </c>
      <c r="D206" s="116">
        <v>280</v>
      </c>
      <c r="E206" s="116">
        <v>333</v>
      </c>
      <c r="F206" s="116">
        <v>235</v>
      </c>
      <c r="G206" s="116">
        <v>286</v>
      </c>
      <c r="H206" s="116">
        <v>317</v>
      </c>
      <c r="I206" s="116">
        <v>123</v>
      </c>
      <c r="J206" s="116">
        <v>314</v>
      </c>
      <c r="K206" s="116">
        <v>355</v>
      </c>
    </row>
    <row r="207" spans="1:11" x14ac:dyDescent="0.25">
      <c r="A207" s="116" t="s">
        <v>158</v>
      </c>
      <c r="B207" s="117" t="s">
        <v>139</v>
      </c>
      <c r="C207" s="116">
        <v>0</v>
      </c>
      <c r="D207" s="116">
        <v>311</v>
      </c>
      <c r="E207" s="116">
        <v>340</v>
      </c>
      <c r="F207" s="116">
        <v>255</v>
      </c>
      <c r="G207" s="116">
        <v>278</v>
      </c>
      <c r="H207" s="116">
        <v>360</v>
      </c>
      <c r="I207" s="116">
        <v>152</v>
      </c>
      <c r="J207" s="116">
        <v>263</v>
      </c>
      <c r="K207" s="116">
        <v>368</v>
      </c>
    </row>
    <row r="208" spans="1:11" x14ac:dyDescent="0.25">
      <c r="A208" s="116" t="s">
        <v>158</v>
      </c>
      <c r="B208" s="117" t="s">
        <v>140</v>
      </c>
      <c r="C208" s="116">
        <v>0</v>
      </c>
      <c r="D208" s="116">
        <v>198</v>
      </c>
      <c r="E208" s="116">
        <v>323</v>
      </c>
      <c r="F208" s="116">
        <v>371</v>
      </c>
      <c r="G208" s="116">
        <v>275</v>
      </c>
      <c r="H208" s="116">
        <v>424</v>
      </c>
      <c r="I208" s="116">
        <v>92</v>
      </c>
      <c r="J208" s="116">
        <v>270</v>
      </c>
      <c r="K208" s="116">
        <v>351</v>
      </c>
    </row>
    <row r="209" spans="1:11" x14ac:dyDescent="0.25">
      <c r="A209" s="116" t="s">
        <v>158</v>
      </c>
      <c r="B209" s="117" t="s">
        <v>141</v>
      </c>
      <c r="C209" s="116">
        <v>0</v>
      </c>
      <c r="D209" s="116">
        <v>206</v>
      </c>
      <c r="E209" s="116">
        <v>373</v>
      </c>
      <c r="F209" s="116">
        <v>402</v>
      </c>
      <c r="G209" s="116">
        <v>274</v>
      </c>
      <c r="H209" s="116">
        <v>416</v>
      </c>
      <c r="I209" s="116">
        <v>63</v>
      </c>
      <c r="J209" s="116">
        <v>296</v>
      </c>
      <c r="K209" s="116">
        <v>337</v>
      </c>
    </row>
    <row r="210" spans="1:11" x14ac:dyDescent="0.25">
      <c r="A210" s="116" t="s">
        <v>158</v>
      </c>
      <c r="B210" s="117" t="s">
        <v>142</v>
      </c>
      <c r="C210" s="116">
        <v>0</v>
      </c>
      <c r="D210" s="116">
        <v>215</v>
      </c>
      <c r="E210" s="116">
        <v>368</v>
      </c>
      <c r="F210" s="116">
        <v>368</v>
      </c>
      <c r="G210" s="116">
        <v>324</v>
      </c>
      <c r="H210" s="116">
        <v>392</v>
      </c>
      <c r="I210" s="116">
        <v>50</v>
      </c>
      <c r="J210" s="116">
        <v>327</v>
      </c>
      <c r="K210" s="116">
        <v>366</v>
      </c>
    </row>
    <row r="211" spans="1:11" x14ac:dyDescent="0.25">
      <c r="A211" s="116" t="s">
        <v>158</v>
      </c>
      <c r="B211" s="117" t="s">
        <v>143</v>
      </c>
      <c r="C211" s="116">
        <v>0</v>
      </c>
      <c r="D211" s="116">
        <v>257</v>
      </c>
      <c r="E211" s="116">
        <v>351</v>
      </c>
      <c r="F211" s="116">
        <v>403</v>
      </c>
      <c r="G211" s="116">
        <v>377</v>
      </c>
      <c r="H211" s="116">
        <v>341</v>
      </c>
      <c r="I211" s="116">
        <v>66</v>
      </c>
      <c r="J211" s="116">
        <v>319</v>
      </c>
      <c r="K211" s="116">
        <v>334</v>
      </c>
    </row>
    <row r="212" spans="1:11" x14ac:dyDescent="0.25">
      <c r="A212" s="116" t="s">
        <v>158</v>
      </c>
      <c r="B212" s="117" t="s">
        <v>144</v>
      </c>
      <c r="C212" s="116">
        <v>0</v>
      </c>
      <c r="D212" s="116">
        <v>299</v>
      </c>
      <c r="E212" s="116">
        <v>362</v>
      </c>
      <c r="F212" s="116">
        <v>246</v>
      </c>
      <c r="G212" s="116">
        <v>400</v>
      </c>
      <c r="H212" s="116">
        <v>312</v>
      </c>
      <c r="I212" s="116">
        <v>72</v>
      </c>
      <c r="J212" s="116">
        <v>334</v>
      </c>
      <c r="K212" s="116">
        <v>318</v>
      </c>
    </row>
    <row r="213" spans="1:11" x14ac:dyDescent="0.25">
      <c r="A213" s="116" t="s">
        <v>158</v>
      </c>
      <c r="B213" s="117" t="s">
        <v>145</v>
      </c>
      <c r="C213" s="116">
        <v>0</v>
      </c>
      <c r="D213" s="116">
        <v>346</v>
      </c>
      <c r="E213" s="116">
        <v>305</v>
      </c>
      <c r="F213" s="116">
        <v>281</v>
      </c>
      <c r="G213" s="116">
        <v>368</v>
      </c>
      <c r="H213" s="116">
        <v>325</v>
      </c>
      <c r="I213" s="116">
        <v>125</v>
      </c>
      <c r="J213" s="116">
        <v>325</v>
      </c>
      <c r="K213" s="116">
        <v>261</v>
      </c>
    </row>
    <row r="214" spans="1:11" x14ac:dyDescent="0.25">
      <c r="A214" s="116" t="s">
        <v>158</v>
      </c>
      <c r="B214" s="117" t="s">
        <v>146</v>
      </c>
      <c r="C214" s="116">
        <v>74</v>
      </c>
      <c r="D214" s="116">
        <v>378</v>
      </c>
      <c r="E214" s="116">
        <v>240</v>
      </c>
      <c r="F214" s="116">
        <v>302</v>
      </c>
      <c r="G214" s="116">
        <v>269</v>
      </c>
      <c r="H214" s="116">
        <v>378</v>
      </c>
      <c r="I214" s="116">
        <v>138</v>
      </c>
      <c r="J214" s="116">
        <v>261</v>
      </c>
      <c r="K214" s="116">
        <v>264</v>
      </c>
    </row>
    <row r="215" spans="1:11" x14ac:dyDescent="0.25">
      <c r="A215" s="116" t="s">
        <v>158</v>
      </c>
      <c r="B215" s="117" t="s">
        <v>147</v>
      </c>
      <c r="C215" s="116">
        <v>101</v>
      </c>
      <c r="D215" s="116">
        <v>309</v>
      </c>
      <c r="E215" s="116">
        <v>251</v>
      </c>
      <c r="F215" s="116">
        <v>312</v>
      </c>
      <c r="G215" s="116">
        <v>270</v>
      </c>
      <c r="H215" s="116">
        <v>411</v>
      </c>
      <c r="I215" s="116">
        <v>78</v>
      </c>
      <c r="J215" s="116">
        <v>270</v>
      </c>
      <c r="K215" s="116">
        <v>266</v>
      </c>
    </row>
    <row r="216" spans="1:11" x14ac:dyDescent="0.25">
      <c r="A216" s="116" t="s">
        <v>158</v>
      </c>
      <c r="B216" s="117" t="s">
        <v>148</v>
      </c>
      <c r="C216" s="116">
        <v>96</v>
      </c>
      <c r="D216" s="116">
        <v>335</v>
      </c>
      <c r="E216" s="116">
        <v>268</v>
      </c>
      <c r="F216" s="116">
        <v>394</v>
      </c>
      <c r="G216" s="116">
        <v>287</v>
      </c>
      <c r="H216" s="116">
        <v>411</v>
      </c>
      <c r="I216" s="116">
        <v>68</v>
      </c>
      <c r="J216" s="116">
        <v>261</v>
      </c>
      <c r="K216" s="116">
        <v>262</v>
      </c>
    </row>
    <row r="217" spans="1:11" x14ac:dyDescent="0.25">
      <c r="A217" s="116" t="s">
        <v>158</v>
      </c>
      <c r="B217" s="117" t="s">
        <v>149</v>
      </c>
      <c r="C217" s="116">
        <v>93</v>
      </c>
      <c r="D217" s="116">
        <v>318</v>
      </c>
      <c r="E217" s="116">
        <v>286</v>
      </c>
      <c r="F217" s="116">
        <v>430</v>
      </c>
      <c r="G217" s="116">
        <v>310</v>
      </c>
      <c r="H217" s="116">
        <v>334</v>
      </c>
      <c r="I217" s="116">
        <v>71</v>
      </c>
      <c r="J217" s="116">
        <v>271</v>
      </c>
      <c r="K217" s="116">
        <v>271</v>
      </c>
    </row>
    <row r="218" spans="1:11" x14ac:dyDescent="0.25">
      <c r="A218" s="116" t="s">
        <v>158</v>
      </c>
      <c r="B218" s="117" t="s">
        <v>150</v>
      </c>
      <c r="C218" s="116">
        <v>72</v>
      </c>
      <c r="D218" s="116">
        <v>258</v>
      </c>
      <c r="E218" s="116">
        <v>397</v>
      </c>
      <c r="F218" s="116">
        <v>422</v>
      </c>
      <c r="G218" s="116">
        <v>287</v>
      </c>
      <c r="H218" s="116">
        <v>338</v>
      </c>
      <c r="I218" s="116">
        <v>68</v>
      </c>
      <c r="J218" s="116">
        <v>272</v>
      </c>
      <c r="K218" s="116">
        <v>268</v>
      </c>
    </row>
    <row r="219" spans="1:11" x14ac:dyDescent="0.25">
      <c r="A219" s="116" t="s">
        <v>158</v>
      </c>
      <c r="B219" s="117" t="s">
        <v>151</v>
      </c>
      <c r="C219" s="116">
        <v>73</v>
      </c>
      <c r="D219" s="116">
        <v>295</v>
      </c>
      <c r="E219" s="116">
        <v>363</v>
      </c>
      <c r="F219" s="116">
        <v>298</v>
      </c>
      <c r="G219" s="116">
        <v>352</v>
      </c>
      <c r="H219" s="116">
        <v>327</v>
      </c>
      <c r="I219" s="116">
        <v>84</v>
      </c>
      <c r="J219" s="116">
        <v>296</v>
      </c>
      <c r="K219" s="116">
        <v>247</v>
      </c>
    </row>
    <row r="220" spans="1:11" x14ac:dyDescent="0.25">
      <c r="A220" s="116" t="s">
        <v>158</v>
      </c>
      <c r="B220" s="117" t="s">
        <v>152</v>
      </c>
      <c r="C220" s="116">
        <v>86</v>
      </c>
      <c r="D220" s="116">
        <v>342</v>
      </c>
      <c r="E220" s="116">
        <v>253</v>
      </c>
      <c r="F220" s="116">
        <v>251</v>
      </c>
      <c r="G220" s="116">
        <v>339</v>
      </c>
      <c r="H220" s="116">
        <v>335</v>
      </c>
      <c r="I220" s="116">
        <v>120</v>
      </c>
      <c r="J220" s="116">
        <v>303</v>
      </c>
      <c r="K220" s="116">
        <v>215</v>
      </c>
    </row>
    <row r="221" spans="1:11" x14ac:dyDescent="0.25">
      <c r="A221" s="116" t="s">
        <v>159</v>
      </c>
      <c r="B221" s="117" t="s">
        <v>121</v>
      </c>
      <c r="C221" s="116">
        <v>81</v>
      </c>
      <c r="D221" s="116">
        <v>355</v>
      </c>
      <c r="E221" s="116">
        <v>238</v>
      </c>
      <c r="F221" s="116">
        <v>314</v>
      </c>
      <c r="G221" s="116">
        <v>379</v>
      </c>
      <c r="H221" s="116">
        <v>339</v>
      </c>
      <c r="I221" s="116">
        <v>124</v>
      </c>
      <c r="J221" s="116">
        <v>261</v>
      </c>
      <c r="K221" s="116">
        <v>301</v>
      </c>
    </row>
    <row r="222" spans="1:11" x14ac:dyDescent="0.25">
      <c r="A222" s="116" t="s">
        <v>159</v>
      </c>
      <c r="B222" s="117" t="s">
        <v>123</v>
      </c>
      <c r="C222" s="116">
        <v>28</v>
      </c>
      <c r="D222" s="116">
        <v>299</v>
      </c>
      <c r="E222" s="116">
        <v>251</v>
      </c>
      <c r="F222" s="116">
        <v>352</v>
      </c>
      <c r="G222" s="116">
        <v>342</v>
      </c>
      <c r="H222" s="116">
        <v>366</v>
      </c>
      <c r="I222" s="116">
        <v>67</v>
      </c>
      <c r="J222" s="116">
        <v>275</v>
      </c>
      <c r="K222" s="116">
        <v>376</v>
      </c>
    </row>
    <row r="223" spans="1:11" x14ac:dyDescent="0.25">
      <c r="A223" s="116" t="s">
        <v>159</v>
      </c>
      <c r="B223" s="117" t="s">
        <v>124</v>
      </c>
      <c r="C223" s="116">
        <v>86</v>
      </c>
      <c r="D223" s="116">
        <v>315</v>
      </c>
      <c r="E223" s="116">
        <v>281</v>
      </c>
      <c r="F223" s="116">
        <v>355</v>
      </c>
      <c r="G223" s="116">
        <v>339</v>
      </c>
      <c r="H223" s="116">
        <v>387</v>
      </c>
      <c r="I223" s="116">
        <v>69</v>
      </c>
      <c r="J223" s="116">
        <v>277</v>
      </c>
      <c r="K223" s="116">
        <v>426</v>
      </c>
    </row>
    <row r="224" spans="1:11" x14ac:dyDescent="0.25">
      <c r="A224" s="116" t="s">
        <v>159</v>
      </c>
      <c r="B224" s="117" t="s">
        <v>125</v>
      </c>
      <c r="C224" s="116">
        <v>113</v>
      </c>
      <c r="D224" s="116">
        <v>303</v>
      </c>
      <c r="E224" s="116">
        <v>306</v>
      </c>
      <c r="F224" s="116">
        <v>416</v>
      </c>
      <c r="G224" s="116">
        <v>362</v>
      </c>
      <c r="H224" s="116">
        <v>328</v>
      </c>
      <c r="I224" s="116">
        <v>92</v>
      </c>
      <c r="J224" s="116">
        <v>270</v>
      </c>
      <c r="K224" s="116">
        <v>408</v>
      </c>
    </row>
    <row r="225" spans="1:11" x14ac:dyDescent="0.25">
      <c r="A225" s="116" t="s">
        <v>159</v>
      </c>
      <c r="B225" s="117" t="s">
        <v>126</v>
      </c>
      <c r="C225" s="116">
        <v>143</v>
      </c>
      <c r="D225" s="116">
        <v>359</v>
      </c>
      <c r="E225" s="116">
        <v>346</v>
      </c>
      <c r="F225" s="116">
        <v>436</v>
      </c>
      <c r="G225" s="116">
        <v>368</v>
      </c>
      <c r="H225" s="116">
        <v>359</v>
      </c>
      <c r="I225" s="116">
        <v>122</v>
      </c>
      <c r="J225" s="116">
        <v>292</v>
      </c>
      <c r="K225" s="116">
        <v>317</v>
      </c>
    </row>
    <row r="226" spans="1:11" x14ac:dyDescent="0.25">
      <c r="A226" s="116" t="s">
        <v>159</v>
      </c>
      <c r="B226" s="117" t="s">
        <v>127</v>
      </c>
      <c r="C226" s="116">
        <v>131</v>
      </c>
      <c r="D226" s="116">
        <v>368</v>
      </c>
      <c r="E226" s="116">
        <v>348</v>
      </c>
      <c r="F226" s="116">
        <v>311</v>
      </c>
      <c r="G226" s="116">
        <v>332</v>
      </c>
      <c r="H226" s="116">
        <v>333</v>
      </c>
      <c r="I226" s="116">
        <v>141</v>
      </c>
      <c r="J226" s="116">
        <v>320</v>
      </c>
      <c r="K226" s="116">
        <v>266</v>
      </c>
    </row>
    <row r="227" spans="1:11" x14ac:dyDescent="0.25">
      <c r="A227" s="116" t="s">
        <v>159</v>
      </c>
      <c r="B227" s="117" t="s">
        <v>128</v>
      </c>
      <c r="C227" s="116">
        <v>136</v>
      </c>
      <c r="D227" s="116">
        <v>385</v>
      </c>
      <c r="E227" s="116">
        <v>303</v>
      </c>
      <c r="F227" s="116">
        <v>315</v>
      </c>
      <c r="G227" s="116">
        <v>271</v>
      </c>
      <c r="H227" s="116">
        <v>342</v>
      </c>
      <c r="I227" s="116">
        <v>194</v>
      </c>
      <c r="J227" s="116">
        <v>330</v>
      </c>
      <c r="K227" s="116">
        <v>232</v>
      </c>
    </row>
    <row r="228" spans="1:11" x14ac:dyDescent="0.25">
      <c r="A228" s="116" t="s">
        <v>159</v>
      </c>
      <c r="B228" s="117" t="s">
        <v>129</v>
      </c>
      <c r="C228" s="116">
        <v>135</v>
      </c>
      <c r="D228" s="116">
        <v>328</v>
      </c>
      <c r="E228" s="116">
        <v>314</v>
      </c>
      <c r="F228" s="116">
        <v>321</v>
      </c>
      <c r="G228" s="116">
        <v>257</v>
      </c>
      <c r="H228" s="116">
        <v>356</v>
      </c>
      <c r="I228" s="116">
        <v>183</v>
      </c>
      <c r="J228" s="116">
        <v>255</v>
      </c>
      <c r="K228" s="116">
        <v>233</v>
      </c>
    </row>
    <row r="229" spans="1:11" x14ac:dyDescent="0.25">
      <c r="A229" s="116" t="s">
        <v>159</v>
      </c>
      <c r="B229" s="117" t="s">
        <v>130</v>
      </c>
      <c r="C229" s="116">
        <v>137</v>
      </c>
      <c r="D229" s="116">
        <v>278</v>
      </c>
      <c r="E229" s="116">
        <v>364</v>
      </c>
      <c r="F229" s="116">
        <v>349</v>
      </c>
      <c r="G229" s="116">
        <v>287</v>
      </c>
      <c r="H229" s="116">
        <v>353</v>
      </c>
      <c r="I229" s="116">
        <v>106</v>
      </c>
      <c r="J229" s="116">
        <v>246</v>
      </c>
      <c r="K229" s="116">
        <v>252</v>
      </c>
    </row>
    <row r="230" spans="1:11" x14ac:dyDescent="0.25">
      <c r="A230" s="116" t="s">
        <v>159</v>
      </c>
      <c r="B230" s="117" t="s">
        <v>131</v>
      </c>
      <c r="C230" s="116">
        <v>140</v>
      </c>
      <c r="D230" s="116">
        <v>288</v>
      </c>
      <c r="E230" s="116">
        <v>402</v>
      </c>
      <c r="F230" s="116">
        <v>337</v>
      </c>
      <c r="G230" s="116">
        <v>334</v>
      </c>
      <c r="H230" s="116">
        <v>322</v>
      </c>
      <c r="I230" s="116">
        <v>102</v>
      </c>
      <c r="J230" s="116">
        <v>223</v>
      </c>
      <c r="K230" s="116">
        <v>294</v>
      </c>
    </row>
    <row r="231" spans="1:11" x14ac:dyDescent="0.25">
      <c r="A231" s="116" t="s">
        <v>159</v>
      </c>
      <c r="B231" s="117" t="s">
        <v>132</v>
      </c>
      <c r="C231" s="116">
        <v>144</v>
      </c>
      <c r="D231" s="116">
        <v>288</v>
      </c>
      <c r="E231" s="116">
        <v>422</v>
      </c>
      <c r="F231" s="116">
        <v>349</v>
      </c>
      <c r="G231" s="116">
        <v>364</v>
      </c>
      <c r="H231" s="116">
        <v>285</v>
      </c>
      <c r="I231" s="116">
        <v>95</v>
      </c>
      <c r="J231" s="116">
        <v>234</v>
      </c>
      <c r="K231" s="116">
        <v>273</v>
      </c>
    </row>
    <row r="232" spans="1:11" x14ac:dyDescent="0.25">
      <c r="A232" s="116" t="s">
        <v>159</v>
      </c>
      <c r="B232" s="117" t="s">
        <v>133</v>
      </c>
      <c r="C232" s="116">
        <v>146</v>
      </c>
      <c r="D232" s="116">
        <v>283</v>
      </c>
      <c r="E232" s="116">
        <v>424</v>
      </c>
      <c r="F232" s="116">
        <v>345</v>
      </c>
      <c r="G232" s="116">
        <v>346</v>
      </c>
      <c r="H232" s="116">
        <v>315</v>
      </c>
      <c r="I232" s="116">
        <v>95</v>
      </c>
      <c r="J232" s="116">
        <v>258</v>
      </c>
      <c r="K232" s="116">
        <v>264</v>
      </c>
    </row>
    <row r="233" spans="1:11" x14ac:dyDescent="0.25">
      <c r="A233" s="116" t="s">
        <v>159</v>
      </c>
      <c r="B233" s="117" t="s">
        <v>134</v>
      </c>
      <c r="C233" s="116">
        <v>160</v>
      </c>
      <c r="D233" s="116">
        <v>250</v>
      </c>
      <c r="E233" s="116">
        <v>410</v>
      </c>
      <c r="F233" s="116">
        <v>295</v>
      </c>
      <c r="G233" s="116">
        <v>367</v>
      </c>
      <c r="H233" s="116">
        <v>277</v>
      </c>
      <c r="I233" s="116">
        <v>125</v>
      </c>
      <c r="J233" s="116">
        <v>270</v>
      </c>
      <c r="K233" s="116">
        <v>264</v>
      </c>
    </row>
    <row r="234" spans="1:11" x14ac:dyDescent="0.25">
      <c r="A234" s="116" t="s">
        <v>159</v>
      </c>
      <c r="B234" s="117" t="s">
        <v>135</v>
      </c>
      <c r="C234" s="116">
        <v>151</v>
      </c>
      <c r="D234" s="116">
        <v>273</v>
      </c>
      <c r="E234" s="116">
        <v>222</v>
      </c>
      <c r="F234" s="116">
        <v>305</v>
      </c>
      <c r="G234" s="116">
        <v>332</v>
      </c>
      <c r="H234" s="116">
        <v>262</v>
      </c>
      <c r="I234" s="116">
        <v>195</v>
      </c>
      <c r="J234" s="116">
        <v>278</v>
      </c>
      <c r="K234" s="116">
        <v>423</v>
      </c>
    </row>
    <row r="235" spans="1:11" x14ac:dyDescent="0.25">
      <c r="A235" s="116" t="s">
        <v>159</v>
      </c>
      <c r="B235" s="117" t="s">
        <v>136</v>
      </c>
      <c r="C235" s="116">
        <v>161</v>
      </c>
      <c r="D235" s="116">
        <v>293</v>
      </c>
      <c r="E235" s="116">
        <v>279</v>
      </c>
      <c r="F235" s="116">
        <v>302</v>
      </c>
      <c r="G235" s="116">
        <v>346</v>
      </c>
      <c r="H235" s="116">
        <v>307</v>
      </c>
      <c r="I235" s="116">
        <v>209</v>
      </c>
      <c r="J235" s="116">
        <v>191</v>
      </c>
      <c r="K235" s="116">
        <v>421</v>
      </c>
    </row>
    <row r="236" spans="1:11" x14ac:dyDescent="0.25">
      <c r="A236" s="116" t="s">
        <v>159</v>
      </c>
      <c r="B236" s="117" t="s">
        <v>137</v>
      </c>
      <c r="C236" s="116">
        <v>147</v>
      </c>
      <c r="D236" s="116">
        <v>255</v>
      </c>
      <c r="E236" s="116">
        <v>288</v>
      </c>
      <c r="F236" s="116">
        <v>270</v>
      </c>
      <c r="G236" s="116">
        <v>329</v>
      </c>
      <c r="H236" s="116">
        <v>319</v>
      </c>
      <c r="I236" s="116">
        <v>77</v>
      </c>
      <c r="J236" s="116">
        <v>170</v>
      </c>
      <c r="K236" s="116">
        <v>417</v>
      </c>
    </row>
    <row r="237" spans="1:11" x14ac:dyDescent="0.25">
      <c r="A237" s="116" t="s">
        <v>159</v>
      </c>
      <c r="B237" s="117" t="s">
        <v>138</v>
      </c>
      <c r="C237" s="116">
        <v>132</v>
      </c>
      <c r="D237" s="116">
        <v>241</v>
      </c>
      <c r="E237" s="116">
        <v>264</v>
      </c>
      <c r="F237" s="116">
        <v>308</v>
      </c>
      <c r="G237" s="116">
        <v>357</v>
      </c>
      <c r="H237" s="116">
        <v>367</v>
      </c>
      <c r="I237" s="116">
        <v>60</v>
      </c>
      <c r="J237" s="116">
        <v>142</v>
      </c>
      <c r="K237" s="116">
        <v>418</v>
      </c>
    </row>
    <row r="238" spans="1:11" x14ac:dyDescent="0.25">
      <c r="A238" s="116" t="s">
        <v>159</v>
      </c>
      <c r="B238" s="117" t="s">
        <v>139</v>
      </c>
      <c r="C238" s="116">
        <v>121</v>
      </c>
      <c r="D238" s="116">
        <v>233</v>
      </c>
      <c r="E238" s="116">
        <v>267</v>
      </c>
      <c r="F238" s="116">
        <v>365</v>
      </c>
      <c r="G238" s="116">
        <v>390</v>
      </c>
      <c r="H238" s="116">
        <v>265</v>
      </c>
      <c r="I238" s="116">
        <v>75</v>
      </c>
      <c r="J238" s="116">
        <v>151</v>
      </c>
      <c r="K238" s="116">
        <v>233</v>
      </c>
    </row>
    <row r="239" spans="1:11" x14ac:dyDescent="0.25">
      <c r="A239" s="116" t="s">
        <v>159</v>
      </c>
      <c r="B239" s="117" t="s">
        <v>140</v>
      </c>
      <c r="C239" s="116">
        <v>133</v>
      </c>
      <c r="D239" s="116">
        <v>227</v>
      </c>
      <c r="E239" s="116">
        <v>332</v>
      </c>
      <c r="F239" s="116">
        <v>402</v>
      </c>
      <c r="G239" s="116">
        <v>238</v>
      </c>
      <c r="H239" s="116">
        <v>250</v>
      </c>
      <c r="I239" s="116">
        <v>68</v>
      </c>
      <c r="J239" s="116">
        <v>178</v>
      </c>
      <c r="K239" s="116">
        <v>232</v>
      </c>
    </row>
    <row r="240" spans="1:11" x14ac:dyDescent="0.25">
      <c r="A240" s="116" t="s">
        <v>159</v>
      </c>
      <c r="B240" s="117" t="s">
        <v>141</v>
      </c>
      <c r="C240" s="116">
        <v>134</v>
      </c>
      <c r="D240" s="116">
        <v>235</v>
      </c>
      <c r="E240" s="116">
        <v>344</v>
      </c>
      <c r="F240" s="116">
        <v>253</v>
      </c>
      <c r="G240" s="116">
        <v>257</v>
      </c>
      <c r="H240" s="116">
        <v>300</v>
      </c>
      <c r="I240" s="116">
        <v>90</v>
      </c>
      <c r="J240" s="116">
        <v>205</v>
      </c>
      <c r="K240" s="116">
        <v>258</v>
      </c>
    </row>
    <row r="241" spans="1:11" x14ac:dyDescent="0.25">
      <c r="A241" s="116" t="s">
        <v>159</v>
      </c>
      <c r="B241" s="117" t="s">
        <v>142</v>
      </c>
      <c r="C241" s="116">
        <v>143</v>
      </c>
      <c r="D241" s="116">
        <v>285</v>
      </c>
      <c r="E241" s="116">
        <v>268</v>
      </c>
      <c r="F241" s="116">
        <v>274</v>
      </c>
      <c r="G241" s="116">
        <v>249</v>
      </c>
      <c r="H241" s="116">
        <v>281</v>
      </c>
      <c r="I241" s="116">
        <v>180</v>
      </c>
      <c r="J241" s="116">
        <v>203</v>
      </c>
      <c r="K241" s="116">
        <v>242</v>
      </c>
    </row>
    <row r="242" spans="1:11" x14ac:dyDescent="0.25">
      <c r="A242" s="116" t="s">
        <v>159</v>
      </c>
      <c r="B242" s="117" t="s">
        <v>143</v>
      </c>
      <c r="C242" s="116">
        <v>159</v>
      </c>
      <c r="D242" s="116">
        <v>318</v>
      </c>
      <c r="E242" s="116">
        <v>279</v>
      </c>
      <c r="F242" s="116">
        <v>290</v>
      </c>
      <c r="G242" s="116">
        <v>258</v>
      </c>
      <c r="H242" s="116">
        <v>264</v>
      </c>
      <c r="I242" s="116">
        <v>223</v>
      </c>
      <c r="J242" s="116">
        <v>75</v>
      </c>
      <c r="K242" s="116">
        <v>345</v>
      </c>
    </row>
    <row r="243" spans="1:11" x14ac:dyDescent="0.25">
      <c r="A243" s="116" t="s">
        <v>159</v>
      </c>
      <c r="B243" s="117" t="s">
        <v>144</v>
      </c>
      <c r="C243" s="116">
        <v>156</v>
      </c>
      <c r="D243" s="116">
        <v>189</v>
      </c>
      <c r="E243" s="116">
        <v>246</v>
      </c>
      <c r="F243" s="116">
        <v>429</v>
      </c>
      <c r="G243" s="116">
        <v>282</v>
      </c>
      <c r="H243" s="116">
        <v>356</v>
      </c>
      <c r="I243" s="116">
        <v>99</v>
      </c>
      <c r="J243" s="116">
        <v>73</v>
      </c>
      <c r="K243" s="116">
        <v>353</v>
      </c>
    </row>
    <row r="244" spans="1:11" x14ac:dyDescent="0.25">
      <c r="A244" s="116" t="s">
        <v>159</v>
      </c>
      <c r="B244" s="117" t="s">
        <v>145</v>
      </c>
      <c r="C244" s="116">
        <v>102</v>
      </c>
      <c r="D244" s="116">
        <v>199</v>
      </c>
      <c r="E244" s="116">
        <v>250</v>
      </c>
      <c r="F244" s="116">
        <v>296</v>
      </c>
      <c r="G244" s="116">
        <v>341</v>
      </c>
      <c r="H244" s="116">
        <v>390</v>
      </c>
      <c r="I244" s="116">
        <v>60</v>
      </c>
      <c r="J244" s="116">
        <v>84</v>
      </c>
      <c r="K244" s="116">
        <v>358</v>
      </c>
    </row>
    <row r="245" spans="1:11" x14ac:dyDescent="0.25">
      <c r="A245" s="116" t="s">
        <v>159</v>
      </c>
      <c r="B245" s="117" t="s">
        <v>146</v>
      </c>
      <c r="C245" s="116">
        <v>98</v>
      </c>
      <c r="D245" s="116">
        <v>193</v>
      </c>
      <c r="E245" s="116">
        <v>274</v>
      </c>
      <c r="F245" s="116">
        <v>338</v>
      </c>
      <c r="G245" s="116">
        <v>366</v>
      </c>
      <c r="H245" s="116">
        <v>242</v>
      </c>
      <c r="I245" s="116">
        <v>56</v>
      </c>
      <c r="J245" s="116">
        <v>99</v>
      </c>
      <c r="K245" s="116">
        <v>351</v>
      </c>
    </row>
    <row r="246" spans="1:11" x14ac:dyDescent="0.25">
      <c r="A246" s="116" t="s">
        <v>159</v>
      </c>
      <c r="B246" s="117" t="s">
        <v>147</v>
      </c>
      <c r="C246" s="116">
        <v>88</v>
      </c>
      <c r="D246" s="116">
        <v>184</v>
      </c>
      <c r="E246" s="116">
        <v>300</v>
      </c>
      <c r="F246" s="116">
        <v>386</v>
      </c>
      <c r="G246" s="116">
        <v>250</v>
      </c>
      <c r="H246" s="116">
        <v>223</v>
      </c>
      <c r="I246" s="116">
        <v>67</v>
      </c>
      <c r="J246" s="116">
        <v>99</v>
      </c>
      <c r="K246" s="116">
        <v>278</v>
      </c>
    </row>
    <row r="247" spans="1:11" x14ac:dyDescent="0.25">
      <c r="A247" s="116" t="s">
        <v>159</v>
      </c>
      <c r="B247" s="117" t="s">
        <v>148</v>
      </c>
      <c r="C247" s="116">
        <v>89</v>
      </c>
      <c r="D247" s="116">
        <v>185</v>
      </c>
      <c r="E247" s="116">
        <v>316</v>
      </c>
      <c r="F247" s="116">
        <v>270</v>
      </c>
      <c r="G247" s="116">
        <v>327</v>
      </c>
      <c r="H247" s="116">
        <v>215</v>
      </c>
      <c r="I247" s="116">
        <v>82</v>
      </c>
      <c r="J247" s="116">
        <v>152</v>
      </c>
      <c r="K247" s="116">
        <v>289</v>
      </c>
    </row>
    <row r="248" spans="1:11" x14ac:dyDescent="0.25">
      <c r="A248" s="116" t="s">
        <v>159</v>
      </c>
      <c r="B248" s="117" t="s">
        <v>149</v>
      </c>
      <c r="C248" s="116">
        <v>113</v>
      </c>
      <c r="D248" s="116">
        <v>218</v>
      </c>
      <c r="E248" s="116">
        <v>256</v>
      </c>
      <c r="F248" s="116">
        <v>294</v>
      </c>
      <c r="G248" s="116">
        <v>306</v>
      </c>
      <c r="H248" s="116">
        <v>201</v>
      </c>
      <c r="I248" s="116">
        <v>145</v>
      </c>
      <c r="J248" s="116">
        <v>163</v>
      </c>
      <c r="K248" s="116">
        <v>344</v>
      </c>
    </row>
    <row r="249" spans="1:11" x14ac:dyDescent="0.25">
      <c r="A249" s="116" t="s">
        <v>159</v>
      </c>
      <c r="B249" s="117" t="s">
        <v>150</v>
      </c>
      <c r="C249" s="116">
        <v>144</v>
      </c>
      <c r="D249" s="116">
        <v>200</v>
      </c>
      <c r="E249" s="116">
        <v>207</v>
      </c>
      <c r="F249" s="116">
        <v>289</v>
      </c>
      <c r="G249" s="116">
        <v>307</v>
      </c>
      <c r="H249" s="116">
        <v>194</v>
      </c>
      <c r="I249" s="116">
        <v>185</v>
      </c>
      <c r="J249" s="116">
        <v>119</v>
      </c>
      <c r="K249" s="116">
        <v>320</v>
      </c>
    </row>
    <row r="250" spans="1:11" x14ac:dyDescent="0.25">
      <c r="A250" s="116" t="s">
        <v>159</v>
      </c>
      <c r="B250" s="117" t="s">
        <v>151</v>
      </c>
      <c r="C250" s="116">
        <v>163</v>
      </c>
      <c r="D250" s="116">
        <v>141</v>
      </c>
      <c r="E250" s="116">
        <v>220</v>
      </c>
      <c r="F250" s="116">
        <v>325</v>
      </c>
      <c r="G250" s="116">
        <v>256</v>
      </c>
      <c r="H250" s="116">
        <v>211</v>
      </c>
      <c r="I250" s="116">
        <v>68</v>
      </c>
      <c r="J250" s="116">
        <v>86</v>
      </c>
      <c r="K250" s="116">
        <v>361</v>
      </c>
    </row>
    <row r="251" spans="1:11" x14ac:dyDescent="0.25">
      <c r="A251" s="116" t="s">
        <v>159</v>
      </c>
      <c r="B251" s="117" t="s">
        <v>152</v>
      </c>
      <c r="C251" s="116">
        <v>156</v>
      </c>
      <c r="D251" s="116">
        <v>125</v>
      </c>
      <c r="E251" s="116">
        <v>218</v>
      </c>
      <c r="F251" s="116">
        <v>286</v>
      </c>
      <c r="G251" s="116">
        <v>349</v>
      </c>
      <c r="H251" s="116">
        <v>206</v>
      </c>
      <c r="I251" s="116">
        <v>56</v>
      </c>
      <c r="J251" s="116">
        <v>83</v>
      </c>
      <c r="K251" s="116">
        <v>273</v>
      </c>
    </row>
    <row r="252" spans="1:11" x14ac:dyDescent="0.25">
      <c r="A252" s="116" t="s">
        <v>160</v>
      </c>
      <c r="B252" s="117" t="s">
        <v>121</v>
      </c>
      <c r="C252" s="116">
        <v>68</v>
      </c>
      <c r="D252" s="116">
        <v>120</v>
      </c>
      <c r="E252" s="116">
        <v>248</v>
      </c>
      <c r="F252" s="116">
        <v>374</v>
      </c>
      <c r="G252" s="116">
        <v>419</v>
      </c>
      <c r="H252" s="116">
        <v>195</v>
      </c>
      <c r="I252" s="116">
        <v>45</v>
      </c>
      <c r="J252" s="116">
        <v>99</v>
      </c>
      <c r="K252" s="116">
        <v>171</v>
      </c>
    </row>
    <row r="253" spans="1:11" x14ac:dyDescent="0.25">
      <c r="A253" s="116" t="s">
        <v>160</v>
      </c>
      <c r="B253" s="117" t="s">
        <v>123</v>
      </c>
      <c r="C253" s="116">
        <v>63</v>
      </c>
      <c r="D253" s="116">
        <v>152</v>
      </c>
      <c r="E253" s="116">
        <v>313</v>
      </c>
      <c r="F253" s="116">
        <v>439</v>
      </c>
      <c r="G253" s="116">
        <v>375</v>
      </c>
      <c r="H253" s="116">
        <v>151</v>
      </c>
      <c r="I253" s="116">
        <v>53</v>
      </c>
      <c r="J253" s="116">
        <v>129</v>
      </c>
      <c r="K253" s="116">
        <v>269</v>
      </c>
    </row>
    <row r="254" spans="1:11" x14ac:dyDescent="0.25">
      <c r="A254" s="116" t="s">
        <v>160</v>
      </c>
      <c r="B254" s="117" t="s">
        <v>124</v>
      </c>
      <c r="C254" s="116">
        <v>74</v>
      </c>
      <c r="D254" s="116">
        <v>145</v>
      </c>
      <c r="E254" s="116">
        <v>390</v>
      </c>
      <c r="F254" s="116">
        <v>401</v>
      </c>
      <c r="G254" s="116">
        <v>90</v>
      </c>
      <c r="H254" s="116">
        <v>121</v>
      </c>
      <c r="I254" s="116">
        <v>69</v>
      </c>
      <c r="J254" s="116">
        <v>246</v>
      </c>
      <c r="K254" s="116">
        <v>299</v>
      </c>
    </row>
    <row r="255" spans="1:11" x14ac:dyDescent="0.25">
      <c r="A255" s="116" t="s">
        <v>160</v>
      </c>
      <c r="B255" s="117" t="s">
        <v>125</v>
      </c>
      <c r="C255" s="116">
        <v>89</v>
      </c>
      <c r="D255" s="116">
        <v>220</v>
      </c>
      <c r="E255" s="116">
        <v>365</v>
      </c>
      <c r="F255" s="116">
        <v>138</v>
      </c>
      <c r="G255" s="116">
        <v>93</v>
      </c>
      <c r="H255" s="116">
        <v>95</v>
      </c>
      <c r="I255" s="116">
        <v>177</v>
      </c>
      <c r="J255" s="116">
        <v>325</v>
      </c>
      <c r="K255" s="116">
        <v>257</v>
      </c>
    </row>
    <row r="256" spans="1:11" x14ac:dyDescent="0.25">
      <c r="A256" s="116" t="s">
        <v>160</v>
      </c>
      <c r="B256" s="117" t="s">
        <v>126</v>
      </c>
      <c r="C256" s="116">
        <v>114</v>
      </c>
      <c r="D256" s="116">
        <v>327</v>
      </c>
      <c r="E256" s="116">
        <v>172</v>
      </c>
      <c r="F256" s="116">
        <v>114</v>
      </c>
      <c r="G256" s="116">
        <v>145</v>
      </c>
      <c r="H256" s="116">
        <v>104</v>
      </c>
      <c r="I256" s="116">
        <v>244</v>
      </c>
      <c r="J256" s="116">
        <v>314</v>
      </c>
      <c r="K256" s="116">
        <v>164</v>
      </c>
    </row>
    <row r="257" spans="1:11" x14ac:dyDescent="0.25">
      <c r="A257" s="116" t="s">
        <v>160</v>
      </c>
      <c r="B257" s="117" t="s">
        <v>127</v>
      </c>
      <c r="C257" s="116">
        <v>123</v>
      </c>
      <c r="D257" s="116">
        <v>287</v>
      </c>
      <c r="E257" s="116">
        <v>152</v>
      </c>
      <c r="F257" s="116">
        <v>216</v>
      </c>
      <c r="G257" s="116">
        <v>182</v>
      </c>
      <c r="H257" s="116">
        <v>196</v>
      </c>
      <c r="I257" s="116">
        <v>235</v>
      </c>
      <c r="J257" s="116">
        <v>124</v>
      </c>
      <c r="K257" s="116">
        <v>210</v>
      </c>
    </row>
    <row r="258" spans="1:11" x14ac:dyDescent="0.25">
      <c r="A258" s="116" t="s">
        <v>160</v>
      </c>
      <c r="B258" s="117" t="s">
        <v>128</v>
      </c>
      <c r="C258" s="116">
        <v>100</v>
      </c>
      <c r="D258" s="116">
        <v>90</v>
      </c>
      <c r="E258" s="116">
        <v>165</v>
      </c>
      <c r="F258" s="116">
        <v>233</v>
      </c>
      <c r="G258" s="116">
        <v>228</v>
      </c>
      <c r="H258" s="116">
        <v>243</v>
      </c>
      <c r="I258" s="116">
        <v>59</v>
      </c>
      <c r="J258" s="116">
        <v>78</v>
      </c>
      <c r="K258" s="116">
        <v>224</v>
      </c>
    </row>
    <row r="259" spans="1:11" x14ac:dyDescent="0.25">
      <c r="A259" s="116" t="s">
        <v>160</v>
      </c>
      <c r="B259" s="117" t="s">
        <v>129</v>
      </c>
      <c r="C259" s="116">
        <v>165</v>
      </c>
      <c r="D259" s="116">
        <v>81</v>
      </c>
      <c r="E259" s="116">
        <v>183</v>
      </c>
      <c r="F259" s="116">
        <v>204</v>
      </c>
      <c r="G259" s="116">
        <v>301</v>
      </c>
      <c r="H259" s="116">
        <v>153</v>
      </c>
      <c r="I259" s="116">
        <v>65</v>
      </c>
      <c r="J259" s="116">
        <v>76</v>
      </c>
      <c r="K259" s="116">
        <v>256</v>
      </c>
    </row>
    <row r="260" spans="1:11" x14ac:dyDescent="0.25">
      <c r="A260" s="116" t="s">
        <v>160</v>
      </c>
      <c r="B260" s="117" t="s">
        <v>130</v>
      </c>
      <c r="C260" s="116">
        <v>161</v>
      </c>
      <c r="D260" s="116">
        <v>98</v>
      </c>
      <c r="E260" s="116">
        <v>204</v>
      </c>
      <c r="F260" s="116">
        <v>202</v>
      </c>
      <c r="G260" s="116">
        <v>164</v>
      </c>
      <c r="H260" s="116">
        <v>192</v>
      </c>
      <c r="I260" s="116">
        <v>77</v>
      </c>
      <c r="J260" s="116">
        <v>94</v>
      </c>
      <c r="K260" s="116">
        <v>321</v>
      </c>
    </row>
    <row r="261" spans="1:11" x14ac:dyDescent="0.25">
      <c r="A261" s="116" t="s">
        <v>160</v>
      </c>
      <c r="B261" s="117" t="s">
        <v>131</v>
      </c>
      <c r="C261" s="116">
        <v>99</v>
      </c>
      <c r="D261" s="116">
        <v>128</v>
      </c>
      <c r="E261" s="116">
        <v>211</v>
      </c>
      <c r="F261" s="116">
        <v>197</v>
      </c>
      <c r="G261" s="116">
        <v>220</v>
      </c>
      <c r="H261" s="116">
        <v>378</v>
      </c>
      <c r="I261" s="116">
        <v>90</v>
      </c>
      <c r="J261" s="116">
        <v>141</v>
      </c>
      <c r="K261" s="116">
        <v>329</v>
      </c>
    </row>
    <row r="262" spans="1:11" x14ac:dyDescent="0.25">
      <c r="A262" s="116" t="s">
        <v>160</v>
      </c>
      <c r="B262" s="117" t="s">
        <v>132</v>
      </c>
      <c r="C262" s="116">
        <v>70</v>
      </c>
      <c r="D262" s="116">
        <v>213</v>
      </c>
      <c r="E262" s="116">
        <v>215</v>
      </c>
      <c r="F262" s="116">
        <v>176</v>
      </c>
      <c r="G262" s="116">
        <v>250</v>
      </c>
      <c r="H262" s="116">
        <v>360</v>
      </c>
      <c r="I262" s="116">
        <v>165</v>
      </c>
      <c r="J262" s="116">
        <v>148</v>
      </c>
      <c r="K262" s="116">
        <v>130</v>
      </c>
    </row>
    <row r="263" spans="1:11" x14ac:dyDescent="0.25">
      <c r="A263" s="116" t="s">
        <v>160</v>
      </c>
      <c r="B263" s="117" t="s">
        <v>133</v>
      </c>
      <c r="C263" s="116">
        <v>118</v>
      </c>
      <c r="D263" s="116">
        <v>287</v>
      </c>
      <c r="E263" s="116">
        <v>277</v>
      </c>
      <c r="F263" s="116">
        <v>103</v>
      </c>
      <c r="G263" s="116">
        <v>394</v>
      </c>
      <c r="H263" s="116">
        <v>334</v>
      </c>
      <c r="I263" s="116">
        <v>199</v>
      </c>
      <c r="J263" s="116">
        <v>84</v>
      </c>
      <c r="K263" s="116">
        <v>150</v>
      </c>
    </row>
    <row r="264" spans="1:11" x14ac:dyDescent="0.25">
      <c r="A264" s="116" t="s">
        <v>160</v>
      </c>
      <c r="B264" s="117" t="s">
        <v>134</v>
      </c>
      <c r="C264" s="116">
        <v>153</v>
      </c>
      <c r="D264" s="116">
        <v>235</v>
      </c>
      <c r="E264" s="116">
        <v>298</v>
      </c>
      <c r="F264" s="116">
        <v>90</v>
      </c>
      <c r="G264" s="116">
        <v>396</v>
      </c>
      <c r="H264" s="116">
        <v>195</v>
      </c>
      <c r="I264" s="116">
        <v>64</v>
      </c>
      <c r="J264" s="116">
        <v>92</v>
      </c>
      <c r="K264" s="116">
        <v>360</v>
      </c>
    </row>
    <row r="265" spans="1:11" x14ac:dyDescent="0.25">
      <c r="A265" s="116" t="s">
        <v>160</v>
      </c>
      <c r="B265" s="117" t="s">
        <v>135</v>
      </c>
      <c r="C265" s="116">
        <v>153</v>
      </c>
      <c r="D265" s="116">
        <v>238</v>
      </c>
      <c r="E265" s="116">
        <v>300</v>
      </c>
      <c r="F265" s="116">
        <v>159</v>
      </c>
      <c r="G265" s="116">
        <v>250</v>
      </c>
      <c r="H265" s="116">
        <v>227</v>
      </c>
      <c r="I265" s="116">
        <v>40</v>
      </c>
      <c r="J265" s="116">
        <v>126</v>
      </c>
      <c r="K265" s="116">
        <v>366</v>
      </c>
    </row>
    <row r="266" spans="1:11" x14ac:dyDescent="0.25">
      <c r="A266" s="116" t="s">
        <v>160</v>
      </c>
      <c r="B266" s="117" t="s">
        <v>136</v>
      </c>
      <c r="C266" s="116">
        <v>206</v>
      </c>
      <c r="D266" s="116">
        <v>205</v>
      </c>
      <c r="E266" s="116">
        <v>256</v>
      </c>
      <c r="F266" s="116">
        <v>329</v>
      </c>
      <c r="G266" s="116">
        <v>285</v>
      </c>
      <c r="H266" s="116">
        <v>280</v>
      </c>
      <c r="I266" s="116">
        <v>41</v>
      </c>
      <c r="J266" s="116">
        <v>175</v>
      </c>
      <c r="K266" s="116">
        <v>373</v>
      </c>
    </row>
    <row r="267" spans="1:11" x14ac:dyDescent="0.25">
      <c r="A267" s="116" t="s">
        <v>160</v>
      </c>
      <c r="B267" s="117" t="s">
        <v>137</v>
      </c>
      <c r="C267" s="116">
        <v>190</v>
      </c>
      <c r="D267" s="116">
        <v>177</v>
      </c>
      <c r="E267" s="116">
        <v>251</v>
      </c>
      <c r="F267" s="116">
        <v>285</v>
      </c>
      <c r="G267" s="116">
        <v>155</v>
      </c>
      <c r="H267" s="116">
        <v>385</v>
      </c>
      <c r="I267" s="116">
        <v>36</v>
      </c>
      <c r="J267" s="116">
        <v>165</v>
      </c>
      <c r="K267" s="116">
        <v>168</v>
      </c>
    </row>
    <row r="268" spans="1:11" x14ac:dyDescent="0.25">
      <c r="A268" s="116" t="s">
        <v>160</v>
      </c>
      <c r="B268" s="117" t="s">
        <v>138</v>
      </c>
      <c r="C268" s="116">
        <v>192</v>
      </c>
      <c r="D268" s="116">
        <v>223</v>
      </c>
      <c r="E268" s="116">
        <v>295</v>
      </c>
      <c r="F268" s="116">
        <v>256</v>
      </c>
      <c r="G268" s="116">
        <v>153</v>
      </c>
      <c r="H268" s="116">
        <v>382</v>
      </c>
      <c r="I268" s="116">
        <v>57</v>
      </c>
      <c r="J268" s="116">
        <v>235</v>
      </c>
      <c r="K268" s="116">
        <v>190</v>
      </c>
    </row>
    <row r="269" spans="1:11" x14ac:dyDescent="0.25">
      <c r="A269" s="116" t="s">
        <v>160</v>
      </c>
      <c r="B269" s="117" t="s">
        <v>139</v>
      </c>
      <c r="C269" s="116">
        <v>109</v>
      </c>
      <c r="D269" s="116">
        <v>236</v>
      </c>
      <c r="E269" s="116">
        <v>199</v>
      </c>
      <c r="F269" s="116">
        <v>274</v>
      </c>
      <c r="G269" s="116">
        <v>147</v>
      </c>
      <c r="H269" s="116">
        <v>391</v>
      </c>
      <c r="I269" s="116">
        <v>157</v>
      </c>
      <c r="J269" s="116">
        <v>247</v>
      </c>
      <c r="K269" s="116">
        <v>149</v>
      </c>
    </row>
    <row r="270" spans="1:11" x14ac:dyDescent="0.25">
      <c r="A270" s="116" t="s">
        <v>160</v>
      </c>
      <c r="B270" s="117" t="s">
        <v>140</v>
      </c>
      <c r="C270" s="116">
        <v>146</v>
      </c>
      <c r="D270" s="116">
        <v>374</v>
      </c>
      <c r="E270" s="116">
        <v>266</v>
      </c>
      <c r="F270" s="116">
        <v>287</v>
      </c>
      <c r="G270" s="116">
        <v>170</v>
      </c>
      <c r="H270" s="116">
        <v>118</v>
      </c>
      <c r="I270" s="116">
        <v>196</v>
      </c>
      <c r="J270" s="116">
        <v>131</v>
      </c>
      <c r="K270" s="116">
        <v>190</v>
      </c>
    </row>
    <row r="271" spans="1:11" x14ac:dyDescent="0.25">
      <c r="A271" s="116" t="s">
        <v>160</v>
      </c>
      <c r="B271" s="117" t="s">
        <v>141</v>
      </c>
      <c r="C271" s="116">
        <v>157</v>
      </c>
      <c r="D271" s="116">
        <v>287</v>
      </c>
      <c r="E271" s="116">
        <v>266</v>
      </c>
      <c r="F271" s="116">
        <v>372</v>
      </c>
      <c r="G271" s="116">
        <v>191</v>
      </c>
      <c r="H271" s="116">
        <v>231</v>
      </c>
      <c r="I271" s="116">
        <v>69</v>
      </c>
      <c r="J271" s="116">
        <v>154</v>
      </c>
      <c r="K271" s="116">
        <v>363</v>
      </c>
    </row>
    <row r="272" spans="1:11" x14ac:dyDescent="0.25">
      <c r="A272" s="116" t="s">
        <v>160</v>
      </c>
      <c r="B272" s="117" t="s">
        <v>142</v>
      </c>
      <c r="C272" s="116">
        <v>208</v>
      </c>
      <c r="D272" s="116">
        <v>283</v>
      </c>
      <c r="E272" s="116">
        <v>291</v>
      </c>
      <c r="F272" s="116">
        <v>360</v>
      </c>
      <c r="G272" s="116">
        <v>261</v>
      </c>
      <c r="H272" s="116">
        <v>275</v>
      </c>
      <c r="I272" s="116">
        <v>69</v>
      </c>
      <c r="J272" s="116">
        <v>258</v>
      </c>
      <c r="K272" s="116">
        <v>390</v>
      </c>
    </row>
    <row r="273" spans="1:11" x14ac:dyDescent="0.25">
      <c r="A273" s="116" t="s">
        <v>160</v>
      </c>
      <c r="B273" s="117" t="s">
        <v>143</v>
      </c>
      <c r="C273" s="116">
        <v>200</v>
      </c>
      <c r="D273" s="116">
        <v>244</v>
      </c>
      <c r="E273" s="116">
        <v>202</v>
      </c>
      <c r="F273" s="116">
        <v>356</v>
      </c>
      <c r="G273" s="116">
        <v>306</v>
      </c>
      <c r="H273" s="116">
        <v>174</v>
      </c>
      <c r="I273" s="116">
        <v>65</v>
      </c>
      <c r="J273" s="116">
        <v>270</v>
      </c>
      <c r="K273" s="116">
        <v>328</v>
      </c>
    </row>
    <row r="274" spans="1:11" x14ac:dyDescent="0.25">
      <c r="A274" s="116" t="s">
        <v>160</v>
      </c>
      <c r="B274" s="117" t="s">
        <v>144</v>
      </c>
      <c r="C274" s="116">
        <v>204</v>
      </c>
      <c r="D274" s="116">
        <v>263</v>
      </c>
      <c r="E274" s="116">
        <v>243</v>
      </c>
      <c r="F274" s="116">
        <v>369</v>
      </c>
      <c r="G274" s="116">
        <v>290</v>
      </c>
      <c r="H274" s="116">
        <v>171</v>
      </c>
      <c r="I274" s="116">
        <v>79</v>
      </c>
      <c r="J274" s="116">
        <v>229</v>
      </c>
      <c r="K274" s="116">
        <v>395</v>
      </c>
    </row>
    <row r="275" spans="1:11" x14ac:dyDescent="0.25">
      <c r="A275" s="116" t="s">
        <v>160</v>
      </c>
      <c r="B275" s="117" t="s">
        <v>145</v>
      </c>
      <c r="C275" s="116">
        <v>105</v>
      </c>
      <c r="D275" s="116">
        <v>338</v>
      </c>
      <c r="E275" s="116">
        <v>375</v>
      </c>
      <c r="F275" s="116">
        <v>306</v>
      </c>
      <c r="G275" s="116">
        <v>347</v>
      </c>
      <c r="H275" s="116">
        <v>232</v>
      </c>
      <c r="I275" s="116">
        <v>142</v>
      </c>
      <c r="J275" s="116">
        <v>225</v>
      </c>
      <c r="K275" s="116">
        <v>399</v>
      </c>
    </row>
    <row r="276" spans="1:11" x14ac:dyDescent="0.25">
      <c r="A276" s="116" t="s">
        <v>160</v>
      </c>
      <c r="B276" s="117" t="s">
        <v>146</v>
      </c>
      <c r="C276" s="116">
        <v>151</v>
      </c>
      <c r="D276" s="116">
        <v>293</v>
      </c>
      <c r="E276" s="116">
        <v>341</v>
      </c>
      <c r="F276" s="116">
        <v>331</v>
      </c>
      <c r="G276" s="116">
        <v>381</v>
      </c>
      <c r="H276" s="116">
        <v>318</v>
      </c>
      <c r="I276" s="116">
        <v>226</v>
      </c>
      <c r="J276" s="116">
        <v>246</v>
      </c>
      <c r="K276" s="116">
        <v>359</v>
      </c>
    </row>
    <row r="277" spans="1:11" x14ac:dyDescent="0.25">
      <c r="A277" s="116" t="s">
        <v>160</v>
      </c>
      <c r="B277" s="117" t="s">
        <v>147</v>
      </c>
      <c r="C277" s="116">
        <v>178</v>
      </c>
      <c r="D277" s="116">
        <v>326</v>
      </c>
      <c r="E277" s="116">
        <v>364</v>
      </c>
      <c r="F277" s="116">
        <v>321</v>
      </c>
      <c r="G277" s="116">
        <v>354</v>
      </c>
      <c r="H277" s="116">
        <v>379</v>
      </c>
      <c r="I277" s="116">
        <v>239</v>
      </c>
      <c r="J277" s="116">
        <v>128</v>
      </c>
      <c r="K277" s="116">
        <v>326</v>
      </c>
    </row>
    <row r="278" spans="1:11" x14ac:dyDescent="0.25">
      <c r="A278" s="116" t="s">
        <v>160</v>
      </c>
      <c r="B278" s="117" t="s">
        <v>148</v>
      </c>
      <c r="C278" s="116">
        <v>182</v>
      </c>
      <c r="D278" s="116">
        <v>305</v>
      </c>
      <c r="E278" s="116">
        <v>345</v>
      </c>
      <c r="F278" s="116">
        <v>237</v>
      </c>
      <c r="G278" s="116">
        <v>332</v>
      </c>
      <c r="H278" s="116">
        <v>414</v>
      </c>
      <c r="I278" s="116">
        <v>136</v>
      </c>
      <c r="J278" s="116">
        <v>100</v>
      </c>
      <c r="K278" s="116">
        <v>275</v>
      </c>
    </row>
    <row r="279" spans="1:11" x14ac:dyDescent="0.25">
      <c r="A279" s="116" t="s">
        <v>160</v>
      </c>
      <c r="B279" s="117" t="s">
        <v>149</v>
      </c>
      <c r="C279" s="116">
        <v>140</v>
      </c>
      <c r="D279" s="116">
        <v>410</v>
      </c>
      <c r="E279" s="116">
        <v>379</v>
      </c>
      <c r="F279" s="116">
        <v>237</v>
      </c>
      <c r="G279" s="116">
        <v>395</v>
      </c>
      <c r="H279" s="116">
        <v>427</v>
      </c>
      <c r="I279" s="116">
        <v>93</v>
      </c>
      <c r="J279" s="116">
        <v>85</v>
      </c>
      <c r="K279" s="116">
        <v>281</v>
      </c>
    </row>
    <row r="280" spans="1:11" x14ac:dyDescent="0.25">
      <c r="A280" s="116" t="s">
        <v>160</v>
      </c>
      <c r="B280" s="117" t="s">
        <v>150</v>
      </c>
      <c r="C280" s="116">
        <v>164</v>
      </c>
      <c r="D280" s="116">
        <v>404</v>
      </c>
      <c r="E280" s="116">
        <v>371</v>
      </c>
      <c r="F280" s="116">
        <v>312</v>
      </c>
      <c r="G280" s="116">
        <v>364</v>
      </c>
      <c r="H280" s="116">
        <v>425</v>
      </c>
      <c r="I280" s="116">
        <v>67</v>
      </c>
      <c r="J280" s="116">
        <v>84</v>
      </c>
      <c r="K280" s="116">
        <v>281</v>
      </c>
    </row>
    <row r="281" spans="1:11" x14ac:dyDescent="0.25">
      <c r="A281" s="116" t="s">
        <v>160</v>
      </c>
      <c r="B281" s="117" t="s">
        <v>151</v>
      </c>
      <c r="C281" s="116">
        <v>178</v>
      </c>
      <c r="D281" s="116">
        <v>404</v>
      </c>
      <c r="E281" s="116">
        <v>289</v>
      </c>
      <c r="F281" s="116">
        <v>374</v>
      </c>
      <c r="G281" s="116">
        <v>227</v>
      </c>
      <c r="H281" s="116">
        <v>283</v>
      </c>
      <c r="I281" s="116">
        <v>68</v>
      </c>
      <c r="J281" s="116">
        <v>174</v>
      </c>
      <c r="K281" s="116">
        <v>334</v>
      </c>
    </row>
    <row r="282" spans="1:11" x14ac:dyDescent="0.25">
      <c r="A282" s="116" t="s">
        <v>161</v>
      </c>
      <c r="B282" s="117" t="s">
        <v>121</v>
      </c>
      <c r="C282" s="116">
        <v>175</v>
      </c>
      <c r="D282" s="116">
        <v>316</v>
      </c>
      <c r="E282" s="116">
        <v>367</v>
      </c>
      <c r="F282" s="116">
        <v>221</v>
      </c>
      <c r="G282" s="116">
        <v>351</v>
      </c>
      <c r="H282" s="116">
        <v>245</v>
      </c>
      <c r="I282" s="116">
        <v>74</v>
      </c>
      <c r="J282" s="116">
        <v>240</v>
      </c>
      <c r="K282" s="116">
        <v>420</v>
      </c>
    </row>
    <row r="283" spans="1:11" x14ac:dyDescent="0.25">
      <c r="A283" s="116" t="s">
        <v>161</v>
      </c>
      <c r="B283" s="117" t="s">
        <v>123</v>
      </c>
      <c r="C283" s="116">
        <v>227</v>
      </c>
      <c r="D283" s="116">
        <v>310</v>
      </c>
      <c r="E283" s="116">
        <v>232</v>
      </c>
      <c r="F283" s="116">
        <v>371</v>
      </c>
      <c r="G283" s="116">
        <v>367</v>
      </c>
      <c r="H283" s="116">
        <v>276</v>
      </c>
      <c r="I283" s="116">
        <v>122</v>
      </c>
      <c r="J283" s="116">
        <v>232</v>
      </c>
      <c r="K283" s="116">
        <v>353</v>
      </c>
    </row>
    <row r="284" spans="1:11" x14ac:dyDescent="0.25">
      <c r="A284" s="116" t="s">
        <v>161</v>
      </c>
      <c r="B284" s="117" t="s">
        <v>124</v>
      </c>
      <c r="C284" s="116">
        <v>281</v>
      </c>
      <c r="D284" s="116">
        <v>389</v>
      </c>
      <c r="E284" s="116">
        <v>122</v>
      </c>
      <c r="F284" s="116">
        <v>382</v>
      </c>
      <c r="G284" s="116">
        <v>386</v>
      </c>
      <c r="H284" s="116">
        <v>271</v>
      </c>
      <c r="I284" s="116">
        <v>131</v>
      </c>
      <c r="J284" s="116">
        <v>109</v>
      </c>
      <c r="K284" s="116">
        <v>343</v>
      </c>
    </row>
    <row r="285" spans="1:11" x14ac:dyDescent="0.25">
      <c r="A285" s="116" t="s">
        <v>161</v>
      </c>
      <c r="B285" s="117" t="s">
        <v>125</v>
      </c>
      <c r="C285" s="116">
        <v>300</v>
      </c>
      <c r="D285" s="116">
        <v>244</v>
      </c>
      <c r="E285" s="116">
        <v>85</v>
      </c>
      <c r="F285" s="116">
        <v>199</v>
      </c>
      <c r="G285" s="116">
        <v>389</v>
      </c>
      <c r="H285" s="116">
        <v>343</v>
      </c>
      <c r="I285" s="116">
        <v>65</v>
      </c>
      <c r="J285" s="116">
        <v>91</v>
      </c>
      <c r="K285" s="116">
        <v>345</v>
      </c>
    </row>
    <row r="286" spans="1:11" x14ac:dyDescent="0.25">
      <c r="A286" s="116" t="s">
        <v>161</v>
      </c>
      <c r="B286" s="117" t="s">
        <v>126</v>
      </c>
      <c r="C286" s="116">
        <v>188</v>
      </c>
      <c r="D286" s="116">
        <v>390</v>
      </c>
      <c r="E286" s="116">
        <v>170</v>
      </c>
      <c r="F286" s="116">
        <v>249</v>
      </c>
      <c r="G286" s="116">
        <v>329</v>
      </c>
      <c r="H286" s="116">
        <v>315</v>
      </c>
      <c r="I286" s="116">
        <v>70</v>
      </c>
      <c r="J286" s="116">
        <v>97</v>
      </c>
      <c r="K286" s="116">
        <v>368</v>
      </c>
    </row>
    <row r="287" spans="1:11" x14ac:dyDescent="0.25">
      <c r="A287" s="116" t="s">
        <v>161</v>
      </c>
      <c r="B287" s="117" t="s">
        <v>127</v>
      </c>
      <c r="C287" s="116">
        <v>201</v>
      </c>
      <c r="D287" s="116">
        <v>354</v>
      </c>
      <c r="E287" s="116">
        <v>223</v>
      </c>
      <c r="F287" s="116">
        <v>393</v>
      </c>
      <c r="G287" s="116">
        <v>385</v>
      </c>
      <c r="H287" s="116">
        <v>180</v>
      </c>
      <c r="I287" s="116">
        <v>67</v>
      </c>
      <c r="J287" s="116">
        <v>131</v>
      </c>
      <c r="K287" s="116">
        <v>262</v>
      </c>
    </row>
    <row r="288" spans="1:11" x14ac:dyDescent="0.25">
      <c r="A288" s="116" t="s">
        <v>161</v>
      </c>
      <c r="B288" s="117" t="s">
        <v>128</v>
      </c>
      <c r="C288" s="116">
        <v>217</v>
      </c>
      <c r="D288" s="116">
        <v>345</v>
      </c>
      <c r="E288" s="116">
        <v>232</v>
      </c>
      <c r="F288" s="116">
        <v>418</v>
      </c>
      <c r="G288" s="116">
        <v>302</v>
      </c>
      <c r="H288" s="116">
        <v>151</v>
      </c>
      <c r="I288" s="116">
        <v>81</v>
      </c>
      <c r="J288" s="116">
        <v>220</v>
      </c>
      <c r="K288" s="116">
        <v>378</v>
      </c>
    </row>
    <row r="289" spans="1:11" x14ac:dyDescent="0.25">
      <c r="A289" s="116" t="s">
        <v>161</v>
      </c>
      <c r="B289" s="117" t="s">
        <v>129</v>
      </c>
      <c r="C289" s="116">
        <v>258</v>
      </c>
      <c r="D289" s="116">
        <v>378</v>
      </c>
      <c r="E289" s="116">
        <v>254</v>
      </c>
      <c r="F289" s="116">
        <v>365</v>
      </c>
      <c r="G289" s="116">
        <v>204</v>
      </c>
      <c r="H289" s="116">
        <v>216</v>
      </c>
      <c r="I289" s="116">
        <v>125</v>
      </c>
      <c r="J289" s="116">
        <v>307</v>
      </c>
      <c r="K289" s="116">
        <v>421</v>
      </c>
    </row>
    <row r="290" spans="1:11" x14ac:dyDescent="0.25">
      <c r="A290" s="116" t="s">
        <v>161</v>
      </c>
      <c r="B290" s="117" t="s">
        <v>130</v>
      </c>
      <c r="C290" s="116">
        <v>307</v>
      </c>
      <c r="D290" s="116">
        <v>337</v>
      </c>
      <c r="E290" s="116">
        <v>238</v>
      </c>
      <c r="F290" s="116">
        <v>256</v>
      </c>
      <c r="G290" s="116">
        <v>171</v>
      </c>
      <c r="H290" s="116">
        <v>270</v>
      </c>
      <c r="I290" s="116">
        <v>200</v>
      </c>
      <c r="J290" s="116">
        <v>329</v>
      </c>
      <c r="K290" s="116">
        <v>394</v>
      </c>
    </row>
    <row r="291" spans="1:11" x14ac:dyDescent="0.25">
      <c r="A291" s="116" t="s">
        <v>161</v>
      </c>
      <c r="B291" s="117" t="s">
        <v>131</v>
      </c>
      <c r="C291" s="116">
        <v>294</v>
      </c>
      <c r="D291" s="116">
        <v>376</v>
      </c>
      <c r="E291" s="116">
        <v>255</v>
      </c>
      <c r="F291" s="116">
        <v>235</v>
      </c>
      <c r="G291" s="116">
        <v>223</v>
      </c>
      <c r="H291" s="116">
        <v>348</v>
      </c>
      <c r="I291" s="116">
        <v>205</v>
      </c>
      <c r="J291" s="116">
        <v>254</v>
      </c>
      <c r="K291" s="116">
        <v>304</v>
      </c>
    </row>
    <row r="292" spans="1:11" x14ac:dyDescent="0.25">
      <c r="A292" s="116" t="s">
        <v>161</v>
      </c>
      <c r="B292" s="117" t="s">
        <v>132</v>
      </c>
      <c r="C292" s="116">
        <v>306</v>
      </c>
      <c r="D292" s="116">
        <v>359</v>
      </c>
      <c r="E292" s="116">
        <v>265</v>
      </c>
      <c r="F292" s="116">
        <v>253</v>
      </c>
      <c r="G292" s="116">
        <v>276</v>
      </c>
      <c r="H292" s="116">
        <v>394</v>
      </c>
      <c r="I292" s="116">
        <v>124</v>
      </c>
      <c r="J292" s="116">
        <v>230</v>
      </c>
      <c r="K292" s="116">
        <v>376</v>
      </c>
    </row>
    <row r="293" spans="1:11" x14ac:dyDescent="0.25">
      <c r="A293" s="116" t="s">
        <v>161</v>
      </c>
      <c r="B293" s="117" t="s">
        <v>133</v>
      </c>
      <c r="C293" s="116">
        <v>307</v>
      </c>
      <c r="D293" s="116">
        <v>317</v>
      </c>
      <c r="E293" s="116">
        <v>251</v>
      </c>
      <c r="F293" s="116">
        <v>340</v>
      </c>
      <c r="G293" s="116">
        <v>335</v>
      </c>
      <c r="H293" s="116">
        <v>405</v>
      </c>
      <c r="I293" s="116">
        <v>82</v>
      </c>
      <c r="J293" s="116">
        <v>269</v>
      </c>
      <c r="K293" s="116">
        <v>434</v>
      </c>
    </row>
    <row r="294" spans="1:11" x14ac:dyDescent="0.25">
      <c r="A294" s="116" t="s">
        <v>161</v>
      </c>
      <c r="B294" s="117" t="s">
        <v>134</v>
      </c>
      <c r="C294" s="116">
        <v>220</v>
      </c>
      <c r="D294" s="116">
        <v>333</v>
      </c>
      <c r="E294" s="116">
        <v>307</v>
      </c>
      <c r="F294" s="116">
        <v>405</v>
      </c>
      <c r="G294" s="116">
        <v>352</v>
      </c>
      <c r="H294" s="116">
        <v>354</v>
      </c>
      <c r="I294" s="116">
        <v>51</v>
      </c>
      <c r="J294" s="116">
        <v>314</v>
      </c>
      <c r="K294" s="116">
        <v>434</v>
      </c>
    </row>
    <row r="295" spans="1:11" x14ac:dyDescent="0.25">
      <c r="A295" s="116" t="s">
        <v>161</v>
      </c>
      <c r="B295" s="117" t="s">
        <v>135</v>
      </c>
      <c r="C295" s="116">
        <v>262</v>
      </c>
      <c r="D295" s="116">
        <v>368</v>
      </c>
      <c r="E295" s="116">
        <v>356</v>
      </c>
      <c r="F295" s="116">
        <v>426</v>
      </c>
      <c r="G295" s="116">
        <v>282</v>
      </c>
      <c r="H295" s="116">
        <v>249</v>
      </c>
      <c r="I295" s="116">
        <v>90</v>
      </c>
      <c r="J295" s="116">
        <v>349</v>
      </c>
      <c r="K295" s="116">
        <v>374</v>
      </c>
    </row>
    <row r="296" spans="1:11" x14ac:dyDescent="0.25">
      <c r="A296" s="116" t="s">
        <v>161</v>
      </c>
      <c r="B296" s="117" t="s">
        <v>136</v>
      </c>
      <c r="C296" s="116">
        <v>302</v>
      </c>
      <c r="D296" s="116">
        <v>316</v>
      </c>
      <c r="E296" s="116">
        <v>348</v>
      </c>
      <c r="F296" s="116">
        <v>200</v>
      </c>
      <c r="G296" s="116">
        <v>264</v>
      </c>
      <c r="H296" s="116">
        <v>268</v>
      </c>
      <c r="I296" s="116">
        <v>111</v>
      </c>
      <c r="J296" s="116">
        <v>237</v>
      </c>
      <c r="K296" s="116">
        <v>365</v>
      </c>
    </row>
    <row r="297" spans="1:11" x14ac:dyDescent="0.25">
      <c r="A297" s="116" t="s">
        <v>161</v>
      </c>
      <c r="B297" s="117" t="s">
        <v>137</v>
      </c>
      <c r="C297" s="116">
        <v>340</v>
      </c>
      <c r="D297" s="116">
        <v>334</v>
      </c>
      <c r="E297" s="116">
        <v>262</v>
      </c>
      <c r="F297" s="116">
        <v>149</v>
      </c>
      <c r="G297" s="116">
        <v>277</v>
      </c>
      <c r="H297" s="116">
        <v>404</v>
      </c>
      <c r="I297" s="116">
        <v>149</v>
      </c>
      <c r="J297" s="116">
        <v>263</v>
      </c>
      <c r="K297" s="116">
        <v>396</v>
      </c>
    </row>
    <row r="298" spans="1:11" x14ac:dyDescent="0.25">
      <c r="A298" s="116" t="s">
        <v>161</v>
      </c>
      <c r="B298" s="117" t="s">
        <v>138</v>
      </c>
      <c r="C298" s="116">
        <v>349</v>
      </c>
      <c r="D298" s="116">
        <v>386</v>
      </c>
      <c r="E298" s="116">
        <v>415</v>
      </c>
      <c r="F298" s="116">
        <v>151</v>
      </c>
      <c r="G298" s="116">
        <v>284</v>
      </c>
      <c r="H298" s="116">
        <v>433</v>
      </c>
      <c r="I298" s="116">
        <v>165</v>
      </c>
      <c r="J298" s="116">
        <v>309</v>
      </c>
      <c r="K298" s="116">
        <v>387</v>
      </c>
    </row>
    <row r="299" spans="1:11" x14ac:dyDescent="0.25">
      <c r="A299" s="116" t="s">
        <v>161</v>
      </c>
      <c r="B299" s="117" t="s">
        <v>139</v>
      </c>
      <c r="C299" s="116">
        <v>374</v>
      </c>
      <c r="D299" s="116">
        <v>353</v>
      </c>
      <c r="E299" s="116">
        <v>402</v>
      </c>
      <c r="F299" s="116">
        <v>194</v>
      </c>
      <c r="G299" s="116">
        <v>277</v>
      </c>
      <c r="H299" s="116">
        <v>355</v>
      </c>
      <c r="I299" s="116">
        <v>95</v>
      </c>
      <c r="J299" s="116">
        <v>267</v>
      </c>
      <c r="K299" s="116">
        <v>381</v>
      </c>
    </row>
    <row r="300" spans="1:11" x14ac:dyDescent="0.25">
      <c r="A300" s="116" t="s">
        <v>161</v>
      </c>
      <c r="B300" s="117" t="s">
        <v>140</v>
      </c>
      <c r="C300" s="116">
        <v>184</v>
      </c>
      <c r="D300" s="116">
        <v>329</v>
      </c>
      <c r="E300" s="116">
        <v>296</v>
      </c>
      <c r="F300" s="116">
        <v>274</v>
      </c>
      <c r="G300" s="116">
        <v>344</v>
      </c>
      <c r="H300" s="116">
        <v>430</v>
      </c>
      <c r="I300" s="116">
        <v>70</v>
      </c>
      <c r="J300" s="116">
        <v>277</v>
      </c>
      <c r="K300" s="116">
        <v>254</v>
      </c>
    </row>
    <row r="301" spans="1:11" x14ac:dyDescent="0.25">
      <c r="A301" s="116" t="s">
        <v>161</v>
      </c>
      <c r="B301" s="117" t="s">
        <v>141</v>
      </c>
      <c r="C301" s="116">
        <v>275</v>
      </c>
      <c r="D301" s="116">
        <v>348</v>
      </c>
      <c r="E301" s="116">
        <v>382</v>
      </c>
      <c r="F301" s="116">
        <v>377</v>
      </c>
      <c r="G301" s="116">
        <v>379</v>
      </c>
      <c r="H301" s="116">
        <v>337</v>
      </c>
      <c r="I301" s="116">
        <v>68</v>
      </c>
      <c r="J301" s="116">
        <v>298</v>
      </c>
      <c r="K301" s="116">
        <v>267</v>
      </c>
    </row>
    <row r="302" spans="1:11" x14ac:dyDescent="0.25">
      <c r="A302" s="116" t="s">
        <v>161</v>
      </c>
      <c r="B302" s="117" t="s">
        <v>142</v>
      </c>
      <c r="C302" s="116">
        <v>287</v>
      </c>
      <c r="D302" s="116">
        <v>382</v>
      </c>
      <c r="E302" s="116">
        <v>398</v>
      </c>
      <c r="F302" s="116">
        <v>399</v>
      </c>
      <c r="G302" s="116">
        <v>387</v>
      </c>
      <c r="H302" s="116">
        <v>389</v>
      </c>
      <c r="I302" s="116">
        <v>58</v>
      </c>
      <c r="J302" s="116">
        <v>170</v>
      </c>
      <c r="K302" s="116">
        <v>247</v>
      </c>
    </row>
    <row r="303" spans="1:11" x14ac:dyDescent="0.25">
      <c r="A303" s="116" t="s">
        <v>161</v>
      </c>
      <c r="B303" s="117" t="s">
        <v>143</v>
      </c>
      <c r="C303" s="116">
        <v>235</v>
      </c>
      <c r="D303" s="116">
        <v>309</v>
      </c>
      <c r="E303" s="116">
        <v>431</v>
      </c>
      <c r="F303" s="116">
        <v>426</v>
      </c>
      <c r="G303" s="116">
        <v>388</v>
      </c>
      <c r="H303" s="116">
        <v>399</v>
      </c>
      <c r="I303" s="116">
        <v>83</v>
      </c>
      <c r="J303" s="116">
        <v>192</v>
      </c>
      <c r="K303" s="116">
        <v>250</v>
      </c>
    </row>
    <row r="304" spans="1:11" x14ac:dyDescent="0.25">
      <c r="A304" s="116" t="s">
        <v>161</v>
      </c>
      <c r="B304" s="117" t="s">
        <v>144</v>
      </c>
      <c r="C304" s="116">
        <v>246</v>
      </c>
      <c r="D304" s="116">
        <v>357</v>
      </c>
      <c r="E304" s="116">
        <v>331</v>
      </c>
      <c r="F304" s="116">
        <v>390</v>
      </c>
      <c r="G304" s="116">
        <v>253</v>
      </c>
      <c r="H304" s="116">
        <v>362</v>
      </c>
      <c r="I304" s="116">
        <v>131</v>
      </c>
      <c r="J304" s="116">
        <v>240</v>
      </c>
      <c r="K304" s="116">
        <v>254</v>
      </c>
    </row>
    <row r="305" spans="1:11" x14ac:dyDescent="0.25">
      <c r="A305" s="116" t="s">
        <v>161</v>
      </c>
      <c r="B305" s="117" t="s">
        <v>145</v>
      </c>
      <c r="C305" s="116">
        <v>228</v>
      </c>
      <c r="D305" s="116">
        <v>369</v>
      </c>
      <c r="E305" s="116">
        <v>346</v>
      </c>
      <c r="F305" s="116">
        <v>407</v>
      </c>
      <c r="G305" s="116">
        <v>264</v>
      </c>
      <c r="H305" s="116">
        <v>345</v>
      </c>
      <c r="I305" s="116">
        <v>151</v>
      </c>
      <c r="J305" s="116">
        <v>208</v>
      </c>
      <c r="K305" s="116">
        <v>422</v>
      </c>
    </row>
    <row r="306" spans="1:11" x14ac:dyDescent="0.25">
      <c r="A306" s="116" t="s">
        <v>161</v>
      </c>
      <c r="B306" s="117" t="s">
        <v>146</v>
      </c>
      <c r="C306" s="116">
        <v>204</v>
      </c>
      <c r="D306" s="116">
        <v>309</v>
      </c>
      <c r="E306" s="116">
        <v>266</v>
      </c>
      <c r="F306" s="116">
        <v>296</v>
      </c>
      <c r="G306" s="116">
        <v>340</v>
      </c>
      <c r="H306" s="116">
        <v>407</v>
      </c>
      <c r="I306" s="116">
        <v>62</v>
      </c>
      <c r="J306" s="116">
        <v>277</v>
      </c>
      <c r="K306" s="116">
        <v>423</v>
      </c>
    </row>
    <row r="307" spans="1:11" x14ac:dyDescent="0.25">
      <c r="A307" s="116" t="s">
        <v>161</v>
      </c>
      <c r="B307" s="117" t="s">
        <v>147</v>
      </c>
      <c r="C307" s="116">
        <v>214</v>
      </c>
      <c r="D307" s="116">
        <v>313</v>
      </c>
      <c r="E307" s="116">
        <v>241</v>
      </c>
      <c r="F307" s="116">
        <v>373</v>
      </c>
      <c r="G307" s="116">
        <v>391</v>
      </c>
      <c r="H307" s="116">
        <v>421</v>
      </c>
      <c r="I307" s="116">
        <v>59</v>
      </c>
      <c r="J307" s="116">
        <v>307</v>
      </c>
      <c r="K307" s="116">
        <v>414</v>
      </c>
    </row>
    <row r="308" spans="1:11" x14ac:dyDescent="0.25">
      <c r="A308" s="116" t="s">
        <v>161</v>
      </c>
      <c r="B308" s="117" t="s">
        <v>148</v>
      </c>
      <c r="C308" s="116">
        <v>197</v>
      </c>
      <c r="D308" s="116">
        <v>379</v>
      </c>
      <c r="E308" s="116">
        <v>266</v>
      </c>
      <c r="F308" s="116">
        <v>418</v>
      </c>
      <c r="G308" s="116">
        <v>398</v>
      </c>
      <c r="H308" s="116">
        <v>313</v>
      </c>
      <c r="I308" s="116">
        <v>56</v>
      </c>
      <c r="J308" s="116">
        <v>340</v>
      </c>
      <c r="K308" s="116">
        <v>176</v>
      </c>
    </row>
    <row r="309" spans="1:11" x14ac:dyDescent="0.25">
      <c r="A309" s="116" t="s">
        <v>161</v>
      </c>
      <c r="B309" s="117" t="s">
        <v>149</v>
      </c>
      <c r="C309" s="116">
        <v>202</v>
      </c>
      <c r="D309" s="116">
        <v>325</v>
      </c>
      <c r="E309" s="116">
        <v>354</v>
      </c>
      <c r="F309" s="116">
        <v>361</v>
      </c>
      <c r="G309" s="116">
        <v>296</v>
      </c>
      <c r="H309" s="116">
        <v>266</v>
      </c>
      <c r="I309" s="116">
        <v>57</v>
      </c>
      <c r="J309" s="116">
        <v>370</v>
      </c>
      <c r="K309" s="116">
        <v>184</v>
      </c>
    </row>
    <row r="310" spans="1:11" x14ac:dyDescent="0.25">
      <c r="A310" s="116" t="s">
        <v>161</v>
      </c>
      <c r="B310" s="117" t="s">
        <v>150</v>
      </c>
      <c r="C310" s="116">
        <v>174</v>
      </c>
      <c r="D310" s="116">
        <v>365</v>
      </c>
      <c r="E310" s="116">
        <v>371</v>
      </c>
      <c r="F310" s="116">
        <v>229</v>
      </c>
      <c r="G310" s="116">
        <v>273</v>
      </c>
      <c r="H310" s="116">
        <v>262</v>
      </c>
      <c r="I310" s="116">
        <v>66</v>
      </c>
      <c r="J310" s="116">
        <v>260</v>
      </c>
      <c r="K310" s="116">
        <v>247</v>
      </c>
    </row>
    <row r="311" spans="1:11" x14ac:dyDescent="0.25">
      <c r="A311" s="116" t="s">
        <v>161</v>
      </c>
      <c r="B311" s="117" t="s">
        <v>151</v>
      </c>
      <c r="C311" s="116">
        <v>149</v>
      </c>
      <c r="D311" s="116">
        <v>262</v>
      </c>
      <c r="E311" s="116">
        <v>280</v>
      </c>
      <c r="F311" s="116">
        <v>207</v>
      </c>
      <c r="G311" s="116">
        <v>252</v>
      </c>
      <c r="H311" s="116">
        <v>326</v>
      </c>
      <c r="I311" s="116">
        <v>110</v>
      </c>
      <c r="J311" s="116">
        <v>243</v>
      </c>
      <c r="K311" s="116">
        <v>181</v>
      </c>
    </row>
    <row r="312" spans="1:11" x14ac:dyDescent="0.25">
      <c r="A312" s="116" t="s">
        <v>161</v>
      </c>
      <c r="B312" s="117" t="s">
        <v>152</v>
      </c>
      <c r="C312" s="116">
        <v>154</v>
      </c>
      <c r="D312" s="116">
        <v>266</v>
      </c>
      <c r="E312" s="116">
        <v>288</v>
      </c>
      <c r="F312" s="116">
        <v>261</v>
      </c>
      <c r="G312" s="116">
        <v>254</v>
      </c>
      <c r="H312" s="116">
        <v>331</v>
      </c>
      <c r="I312" s="116">
        <v>125</v>
      </c>
      <c r="J312" s="116">
        <v>167</v>
      </c>
      <c r="K312" s="116">
        <v>193</v>
      </c>
    </row>
    <row r="313" spans="1:11" x14ac:dyDescent="0.25">
      <c r="A313" s="116" t="s">
        <v>213</v>
      </c>
      <c r="B313" s="117" t="s">
        <v>121</v>
      </c>
      <c r="C313" s="116">
        <v>178</v>
      </c>
      <c r="D313" s="116">
        <v>272</v>
      </c>
      <c r="E313" s="116">
        <v>325</v>
      </c>
      <c r="F313" s="116">
        <v>352</v>
      </c>
      <c r="G313" s="116">
        <v>285</v>
      </c>
      <c r="H313" s="116">
        <v>333</v>
      </c>
      <c r="I313" s="116">
        <v>78</v>
      </c>
      <c r="J313" s="116">
        <v>289</v>
      </c>
      <c r="K313" s="116">
        <v>248</v>
      </c>
    </row>
    <row r="314" spans="1:11" x14ac:dyDescent="0.25">
      <c r="A314" s="116" t="s">
        <v>213</v>
      </c>
      <c r="B314" s="117" t="s">
        <v>123</v>
      </c>
      <c r="C314" s="116">
        <v>221</v>
      </c>
      <c r="D314" s="116">
        <v>267</v>
      </c>
      <c r="E314" s="116">
        <v>417</v>
      </c>
      <c r="F314" s="116">
        <v>341</v>
      </c>
      <c r="G314" s="116">
        <v>327</v>
      </c>
      <c r="H314" s="116">
        <v>331</v>
      </c>
      <c r="I314" s="116">
        <v>56</v>
      </c>
      <c r="J314" s="116">
        <v>304</v>
      </c>
      <c r="K314" s="116">
        <v>389</v>
      </c>
    </row>
    <row r="315" spans="1:11" x14ac:dyDescent="0.25">
      <c r="A315" s="116" t="s">
        <v>213</v>
      </c>
      <c r="B315" s="117" t="s">
        <v>124</v>
      </c>
      <c r="C315" s="116">
        <v>376</v>
      </c>
      <c r="D315" s="116">
        <v>255</v>
      </c>
      <c r="E315" s="116">
        <v>426</v>
      </c>
      <c r="F315" s="116">
        <v>417</v>
      </c>
      <c r="G315" s="116">
        <v>341</v>
      </c>
      <c r="H315" s="116">
        <v>181</v>
      </c>
      <c r="I315" s="116">
        <v>58</v>
      </c>
      <c r="J315" s="116">
        <v>309</v>
      </c>
      <c r="K315" s="116">
        <v>390</v>
      </c>
    </row>
    <row r="316" spans="1:11" x14ac:dyDescent="0.25">
      <c r="A316" s="116" t="s">
        <v>213</v>
      </c>
      <c r="B316" s="117" t="s">
        <v>125</v>
      </c>
      <c r="C316" s="116">
        <v>379</v>
      </c>
      <c r="D316" s="116">
        <v>296</v>
      </c>
      <c r="E316" s="116">
        <v>356</v>
      </c>
      <c r="F316" s="116">
        <v>417</v>
      </c>
      <c r="G316" s="116">
        <v>279</v>
      </c>
      <c r="H316" s="116">
        <v>199</v>
      </c>
      <c r="I316" s="116">
        <v>75</v>
      </c>
      <c r="J316" s="116">
        <v>285</v>
      </c>
      <c r="K316" s="116">
        <v>376</v>
      </c>
    </row>
    <row r="317" spans="1:11" x14ac:dyDescent="0.25">
      <c r="A317" s="116" t="s">
        <v>213</v>
      </c>
      <c r="B317" s="117" t="s">
        <v>126</v>
      </c>
      <c r="C317" s="116">
        <v>233</v>
      </c>
      <c r="D317" s="116">
        <v>394</v>
      </c>
      <c r="E317" s="116">
        <v>304</v>
      </c>
      <c r="F317" s="116">
        <v>258</v>
      </c>
      <c r="G317" s="116">
        <v>289</v>
      </c>
      <c r="H317" s="116">
        <v>256</v>
      </c>
      <c r="I317" s="116">
        <v>98</v>
      </c>
      <c r="J317" s="116">
        <v>321</v>
      </c>
      <c r="K317" s="116">
        <v>303</v>
      </c>
    </row>
    <row r="318" spans="1:11" x14ac:dyDescent="0.25">
      <c r="A318" s="116" t="s">
        <v>213</v>
      </c>
      <c r="B318" s="117" t="s">
        <v>127</v>
      </c>
      <c r="C318" s="116">
        <v>252</v>
      </c>
      <c r="D318" s="116">
        <v>336</v>
      </c>
      <c r="E318" s="116">
        <v>344</v>
      </c>
      <c r="F318" s="116">
        <v>245</v>
      </c>
      <c r="G318" s="116">
        <v>284</v>
      </c>
      <c r="H318" s="116">
        <v>352</v>
      </c>
      <c r="I318" s="116">
        <v>162</v>
      </c>
      <c r="J318" s="116">
        <v>293</v>
      </c>
      <c r="K318" s="116">
        <v>153</v>
      </c>
    </row>
    <row r="319" spans="1:11" x14ac:dyDescent="0.25">
      <c r="A319" s="116" t="s">
        <v>213</v>
      </c>
      <c r="B319" s="117" t="s">
        <v>128</v>
      </c>
      <c r="C319" s="116">
        <v>320</v>
      </c>
      <c r="D319" s="116">
        <v>373</v>
      </c>
      <c r="E319" s="116">
        <v>356</v>
      </c>
      <c r="F319" s="116">
        <v>231</v>
      </c>
      <c r="G319" s="116">
        <v>333</v>
      </c>
      <c r="H319" s="116">
        <v>408</v>
      </c>
      <c r="I319" s="116">
        <v>165</v>
      </c>
      <c r="J319" s="116">
        <v>170</v>
      </c>
      <c r="K319" s="116">
        <v>142</v>
      </c>
    </row>
    <row r="320" spans="1:11" x14ac:dyDescent="0.25">
      <c r="A320" s="116" t="s">
        <v>213</v>
      </c>
      <c r="B320" s="117" t="s">
        <v>129</v>
      </c>
      <c r="C320" s="116">
        <v>351</v>
      </c>
      <c r="D320" s="116">
        <v>382</v>
      </c>
      <c r="E320" s="116">
        <v>352</v>
      </c>
      <c r="F320" s="116">
        <v>352</v>
      </c>
      <c r="G320" s="116">
        <v>364</v>
      </c>
      <c r="H320" s="116">
        <v>434</v>
      </c>
      <c r="I320" s="116">
        <v>76</v>
      </c>
      <c r="J320" s="116">
        <v>116</v>
      </c>
      <c r="K320" s="116">
        <v>187</v>
      </c>
    </row>
    <row r="321" spans="1:11" x14ac:dyDescent="0.25">
      <c r="A321" s="116" t="s">
        <v>213</v>
      </c>
      <c r="B321" s="117" t="s">
        <v>130</v>
      </c>
      <c r="C321" s="116">
        <v>232</v>
      </c>
      <c r="D321" s="116">
        <v>395</v>
      </c>
      <c r="E321" s="116">
        <v>277</v>
      </c>
      <c r="F321" s="116">
        <v>418</v>
      </c>
      <c r="G321" s="116">
        <v>326</v>
      </c>
      <c r="H321" s="116">
        <v>430</v>
      </c>
      <c r="I321" s="116">
        <v>51</v>
      </c>
      <c r="J321" s="116">
        <v>101</v>
      </c>
      <c r="K321" s="116">
        <v>271</v>
      </c>
    </row>
    <row r="322" spans="1:11" x14ac:dyDescent="0.25">
      <c r="A322" s="116" t="s">
        <v>213</v>
      </c>
      <c r="B322" s="117" t="s">
        <v>131</v>
      </c>
      <c r="C322" s="116">
        <v>208</v>
      </c>
      <c r="D322" s="116">
        <v>385</v>
      </c>
      <c r="E322" s="116">
        <v>357</v>
      </c>
      <c r="F322" s="116">
        <v>425</v>
      </c>
      <c r="G322" s="116">
        <v>369</v>
      </c>
      <c r="H322" s="116">
        <v>263</v>
      </c>
      <c r="I322" s="116">
        <v>45</v>
      </c>
      <c r="J322" s="116">
        <v>181</v>
      </c>
      <c r="K322" s="116">
        <v>301</v>
      </c>
    </row>
    <row r="323" spans="1:11" x14ac:dyDescent="0.25">
      <c r="A323" s="116" t="s">
        <v>213</v>
      </c>
      <c r="B323" s="117" t="s">
        <v>132</v>
      </c>
      <c r="C323" s="116">
        <v>224</v>
      </c>
      <c r="D323" s="116">
        <v>408</v>
      </c>
      <c r="E323" s="116">
        <v>363</v>
      </c>
      <c r="F323" s="116">
        <v>423</v>
      </c>
      <c r="G323" s="116">
        <v>270</v>
      </c>
      <c r="H323" s="116">
        <v>359</v>
      </c>
      <c r="I323" s="116">
        <v>46</v>
      </c>
      <c r="J323" s="116">
        <v>213</v>
      </c>
      <c r="K323" s="116">
        <v>326</v>
      </c>
    </row>
    <row r="324" spans="1:11" x14ac:dyDescent="0.25">
      <c r="A324" s="116" t="s">
        <v>213</v>
      </c>
      <c r="B324" s="117" t="s">
        <v>133</v>
      </c>
      <c r="C324" s="116">
        <v>309</v>
      </c>
      <c r="D324" s="116">
        <v>299</v>
      </c>
      <c r="E324" s="116">
        <v>385</v>
      </c>
      <c r="F324" s="116">
        <v>217</v>
      </c>
      <c r="G324" s="116">
        <v>346</v>
      </c>
      <c r="H324" s="116">
        <v>324</v>
      </c>
      <c r="I324" s="116">
        <v>87</v>
      </c>
      <c r="J324" s="116">
        <v>178</v>
      </c>
      <c r="K324" s="116">
        <v>342</v>
      </c>
    </row>
    <row r="325" spans="1:11" x14ac:dyDescent="0.25">
      <c r="A325" s="116" t="s">
        <v>213</v>
      </c>
      <c r="B325" s="117" t="s">
        <v>134</v>
      </c>
      <c r="C325" s="116">
        <v>252</v>
      </c>
      <c r="D325" s="116">
        <v>368</v>
      </c>
      <c r="E325" s="116">
        <v>338</v>
      </c>
      <c r="F325" s="116">
        <v>397</v>
      </c>
      <c r="G325" s="116">
        <v>350</v>
      </c>
      <c r="H325" s="116">
        <v>349</v>
      </c>
      <c r="I325" s="116">
        <v>134</v>
      </c>
      <c r="J325" s="116">
        <v>210</v>
      </c>
      <c r="K325" s="116">
        <v>279</v>
      </c>
    </row>
    <row r="326" spans="1:11" x14ac:dyDescent="0.25">
      <c r="A326" s="116" t="s">
        <v>213</v>
      </c>
      <c r="B326" s="117" t="s">
        <v>135</v>
      </c>
      <c r="C326" s="116">
        <v>273</v>
      </c>
      <c r="D326" s="116">
        <v>386</v>
      </c>
      <c r="E326" s="116">
        <v>373</v>
      </c>
      <c r="F326" s="116">
        <v>414</v>
      </c>
      <c r="G326" s="116">
        <v>403</v>
      </c>
      <c r="H326" s="116">
        <v>395</v>
      </c>
      <c r="I326" s="116">
        <v>154</v>
      </c>
      <c r="J326" s="116">
        <v>192</v>
      </c>
      <c r="K326" s="116">
        <v>407</v>
      </c>
    </row>
    <row r="327" spans="1:11" x14ac:dyDescent="0.25">
      <c r="A327" s="116" t="s">
        <v>213</v>
      </c>
      <c r="B327" s="117" t="s">
        <v>136</v>
      </c>
      <c r="C327" s="116">
        <v>258</v>
      </c>
      <c r="D327" s="116">
        <v>216</v>
      </c>
      <c r="E327" s="116">
        <v>396</v>
      </c>
      <c r="F327" s="116">
        <v>327</v>
      </c>
      <c r="G327" s="116">
        <v>347</v>
      </c>
      <c r="H327" s="116">
        <v>330</v>
      </c>
      <c r="I327" s="116">
        <v>66</v>
      </c>
      <c r="J327" s="116">
        <v>180</v>
      </c>
      <c r="K327" s="116">
        <v>402</v>
      </c>
    </row>
    <row r="328" spans="1:11" x14ac:dyDescent="0.25">
      <c r="A328" s="116" t="s">
        <v>213</v>
      </c>
      <c r="B328" s="117" t="s">
        <v>137</v>
      </c>
      <c r="C328" s="116">
        <v>184</v>
      </c>
      <c r="D328" s="116">
        <v>300</v>
      </c>
      <c r="E328" s="116">
        <v>202</v>
      </c>
      <c r="F328" s="116">
        <v>287</v>
      </c>
      <c r="G328" s="116">
        <v>334</v>
      </c>
      <c r="H328" s="116">
        <v>383</v>
      </c>
      <c r="I328" s="116">
        <v>54</v>
      </c>
      <c r="J328" s="116">
        <v>171</v>
      </c>
      <c r="K328" s="116">
        <v>376</v>
      </c>
    </row>
    <row r="329" spans="1:11" x14ac:dyDescent="0.25">
      <c r="A329" s="116" t="s">
        <v>213</v>
      </c>
      <c r="B329" s="117" t="s">
        <v>138</v>
      </c>
      <c r="C329" s="116">
        <v>227</v>
      </c>
      <c r="D329" s="116">
        <v>396</v>
      </c>
      <c r="E329" s="116">
        <v>205</v>
      </c>
      <c r="F329" s="116">
        <v>348</v>
      </c>
      <c r="G329" s="116">
        <v>374</v>
      </c>
      <c r="H329" s="116">
        <v>330</v>
      </c>
      <c r="I329" s="116">
        <v>60</v>
      </c>
      <c r="J329" s="116">
        <v>186</v>
      </c>
      <c r="K329" s="116">
        <v>197</v>
      </c>
    </row>
    <row r="330" spans="1:11" x14ac:dyDescent="0.25">
      <c r="A330" s="116" t="s">
        <v>213</v>
      </c>
      <c r="B330" s="117" t="s">
        <v>139</v>
      </c>
      <c r="C330" s="116">
        <v>234</v>
      </c>
      <c r="D330" s="116">
        <v>385</v>
      </c>
      <c r="E330" s="116">
        <v>291</v>
      </c>
      <c r="F330" s="116">
        <v>414</v>
      </c>
      <c r="G330" s="116">
        <v>364</v>
      </c>
      <c r="H330" s="116">
        <v>332</v>
      </c>
      <c r="I330" s="116">
        <v>70</v>
      </c>
      <c r="J330" s="116">
        <v>228</v>
      </c>
      <c r="K330" s="116">
        <v>293</v>
      </c>
    </row>
    <row r="331" spans="1:11" x14ac:dyDescent="0.25">
      <c r="A331" s="116" t="s">
        <v>213</v>
      </c>
      <c r="B331" s="117" t="s">
        <v>140</v>
      </c>
      <c r="C331" s="116">
        <v>232</v>
      </c>
      <c r="D331" s="116">
        <v>401</v>
      </c>
      <c r="E331" s="116">
        <v>348</v>
      </c>
      <c r="F331" s="116">
        <v>363</v>
      </c>
      <c r="G331" s="116">
        <v>348</v>
      </c>
      <c r="H331" s="116">
        <v>324</v>
      </c>
      <c r="I331" s="116">
        <v>72</v>
      </c>
      <c r="J331" s="116">
        <v>265</v>
      </c>
      <c r="K331" s="116">
        <v>304</v>
      </c>
    </row>
    <row r="332" spans="1:11" x14ac:dyDescent="0.25">
      <c r="A332" s="116" t="s">
        <v>213</v>
      </c>
      <c r="B332" s="117" t="s">
        <v>141</v>
      </c>
      <c r="C332" s="116">
        <v>291</v>
      </c>
      <c r="D332" s="116">
        <v>364</v>
      </c>
      <c r="E332" s="116">
        <v>237</v>
      </c>
      <c r="F332" s="116">
        <v>332</v>
      </c>
      <c r="G332" s="116">
        <v>350</v>
      </c>
      <c r="H332" s="116">
        <v>299</v>
      </c>
      <c r="I332" s="116">
        <v>194</v>
      </c>
      <c r="J332" s="116">
        <v>266</v>
      </c>
      <c r="K332" s="116">
        <v>256</v>
      </c>
    </row>
    <row r="333" spans="1:11" x14ac:dyDescent="0.25">
      <c r="A333" s="116" t="s">
        <v>213</v>
      </c>
      <c r="B333" s="117" t="s">
        <v>142</v>
      </c>
      <c r="C333" s="116">
        <v>250</v>
      </c>
      <c r="D333" s="116">
        <v>353</v>
      </c>
      <c r="E333" s="116">
        <v>221</v>
      </c>
      <c r="F333" s="116">
        <v>332</v>
      </c>
      <c r="G333" s="116">
        <v>387</v>
      </c>
      <c r="H333" s="116">
        <v>172</v>
      </c>
      <c r="I333" s="116">
        <v>246</v>
      </c>
      <c r="J333" s="116">
        <v>267</v>
      </c>
      <c r="K333" s="116">
        <v>274</v>
      </c>
    </row>
    <row r="334" spans="1:11" x14ac:dyDescent="0.25">
      <c r="A334" s="116" t="s">
        <v>213</v>
      </c>
      <c r="B334" s="117" t="s">
        <v>143</v>
      </c>
      <c r="C334" s="116">
        <v>290</v>
      </c>
      <c r="D334" s="116">
        <v>335</v>
      </c>
      <c r="E334" s="116">
        <v>277</v>
      </c>
      <c r="F334" s="116">
        <v>376</v>
      </c>
      <c r="G334" s="116">
        <v>383</v>
      </c>
      <c r="H334" s="116">
        <v>323</v>
      </c>
      <c r="I334" s="116">
        <v>156</v>
      </c>
      <c r="J334" s="116">
        <v>265</v>
      </c>
      <c r="K334" s="116">
        <v>314</v>
      </c>
    </row>
    <row r="335" spans="1:11" x14ac:dyDescent="0.25">
      <c r="A335" s="116" t="s">
        <v>213</v>
      </c>
      <c r="B335" s="117" t="s">
        <v>144</v>
      </c>
      <c r="C335" s="116">
        <v>205</v>
      </c>
      <c r="D335" s="116">
        <v>357</v>
      </c>
      <c r="E335" s="116">
        <v>302</v>
      </c>
      <c r="F335" s="116">
        <v>415</v>
      </c>
      <c r="G335" s="116">
        <v>390</v>
      </c>
      <c r="H335" s="116">
        <v>381</v>
      </c>
      <c r="I335" s="116">
        <v>144</v>
      </c>
      <c r="J335" s="116">
        <v>258</v>
      </c>
      <c r="K335" s="116">
        <v>363</v>
      </c>
    </row>
    <row r="336" spans="1:11" x14ac:dyDescent="0.25">
      <c r="A336" s="116" t="s">
        <v>213</v>
      </c>
      <c r="B336" s="117" t="s">
        <v>145</v>
      </c>
      <c r="C336" s="116">
        <v>203</v>
      </c>
      <c r="D336" s="116">
        <v>324</v>
      </c>
      <c r="E336" s="116">
        <v>321</v>
      </c>
      <c r="F336" s="116">
        <v>429</v>
      </c>
      <c r="G336" s="116">
        <v>346</v>
      </c>
      <c r="H336" s="116">
        <v>294</v>
      </c>
      <c r="I336" s="116">
        <v>161</v>
      </c>
      <c r="J336" s="116">
        <v>282</v>
      </c>
      <c r="K336" s="116">
        <v>380</v>
      </c>
    </row>
    <row r="337" spans="1:11" x14ac:dyDescent="0.25">
      <c r="A337" s="116" t="s">
        <v>213</v>
      </c>
      <c r="B337" s="117" t="s">
        <v>146</v>
      </c>
      <c r="C337" s="116">
        <v>247</v>
      </c>
      <c r="D337" s="116">
        <v>329</v>
      </c>
      <c r="E337" s="116">
        <v>340</v>
      </c>
      <c r="F337" s="116">
        <v>349</v>
      </c>
      <c r="G337" s="116">
        <v>195</v>
      </c>
      <c r="H337" s="116">
        <v>281</v>
      </c>
      <c r="I337" s="116">
        <v>181</v>
      </c>
      <c r="J337" s="116">
        <v>289</v>
      </c>
      <c r="K337" s="116">
        <v>354</v>
      </c>
    </row>
    <row r="338" spans="1:11" x14ac:dyDescent="0.25">
      <c r="A338" s="116" t="s">
        <v>213</v>
      </c>
      <c r="B338" s="117" t="s">
        <v>147</v>
      </c>
      <c r="C338" s="116">
        <v>293</v>
      </c>
      <c r="D338" s="116">
        <v>361</v>
      </c>
      <c r="E338" s="116">
        <v>255</v>
      </c>
      <c r="F338" s="116">
        <v>113</v>
      </c>
      <c r="G338" s="116">
        <v>190</v>
      </c>
      <c r="H338" s="116">
        <v>297</v>
      </c>
      <c r="I338" s="116">
        <v>195</v>
      </c>
      <c r="J338" s="116">
        <v>298</v>
      </c>
      <c r="K338" s="116">
        <v>237</v>
      </c>
    </row>
    <row r="339" spans="1:11" x14ac:dyDescent="0.25">
      <c r="A339" s="116" t="s">
        <v>213</v>
      </c>
      <c r="B339" s="117" t="s">
        <v>148</v>
      </c>
      <c r="C339" s="116">
        <v>329</v>
      </c>
      <c r="D339" s="116">
        <v>376</v>
      </c>
      <c r="E339" s="116">
        <v>100</v>
      </c>
      <c r="F339" s="116">
        <v>128</v>
      </c>
      <c r="G339" s="116">
        <v>417</v>
      </c>
      <c r="H339" s="116">
        <v>330</v>
      </c>
      <c r="I339" s="116">
        <v>222</v>
      </c>
      <c r="J339" s="116">
        <v>262</v>
      </c>
      <c r="K339" s="116">
        <v>187</v>
      </c>
    </row>
    <row r="340" spans="1:11" x14ac:dyDescent="0.25">
      <c r="A340" s="116" t="s">
        <v>213</v>
      </c>
      <c r="B340" s="117" t="s">
        <v>149</v>
      </c>
      <c r="C340" s="116">
        <v>332</v>
      </c>
      <c r="D340" s="116">
        <v>311</v>
      </c>
      <c r="E340" s="116">
        <v>121</v>
      </c>
      <c r="F340" s="116">
        <v>410</v>
      </c>
      <c r="G340" s="116">
        <v>401</v>
      </c>
      <c r="H340" s="116">
        <v>370</v>
      </c>
      <c r="I340" s="116">
        <v>188</v>
      </c>
      <c r="J340" s="116">
        <v>157</v>
      </c>
      <c r="K340" s="116">
        <v>192</v>
      </c>
    </row>
    <row r="341" spans="1:11" x14ac:dyDescent="0.25">
      <c r="A341" s="116" t="s">
        <v>213</v>
      </c>
      <c r="B341" s="117" t="s">
        <v>150</v>
      </c>
      <c r="C341" s="116">
        <v>268</v>
      </c>
      <c r="D341" s="116">
        <v>171</v>
      </c>
      <c r="E341" s="116">
        <v>393</v>
      </c>
      <c r="F341" s="116">
        <v>419</v>
      </c>
      <c r="G341" s="116">
        <v>256</v>
      </c>
      <c r="H341" s="116">
        <v>384</v>
      </c>
      <c r="I341" s="116">
        <v>87</v>
      </c>
      <c r="J341" s="116">
        <v>135</v>
      </c>
      <c r="K341" s="116">
        <v>194</v>
      </c>
    </row>
    <row r="342" spans="1:11" x14ac:dyDescent="0.25">
      <c r="A342" s="116" t="s">
        <v>213</v>
      </c>
      <c r="B342" s="117" t="s">
        <v>151</v>
      </c>
      <c r="C342" s="116">
        <v>209</v>
      </c>
      <c r="D342" s="116">
        <v>141</v>
      </c>
      <c r="E342" s="116">
        <v>406</v>
      </c>
      <c r="F342" s="116">
        <v>207</v>
      </c>
      <c r="G342" s="116">
        <v>273</v>
      </c>
      <c r="H342" s="116">
        <v>312</v>
      </c>
      <c r="I342" s="116">
        <v>97</v>
      </c>
      <c r="J342" s="116">
        <v>186</v>
      </c>
      <c r="K342" s="116">
        <v>185</v>
      </c>
    </row>
    <row r="343" spans="1:11" x14ac:dyDescent="0.25">
      <c r="A343" s="116" t="s">
        <v>214</v>
      </c>
      <c r="B343" s="117" t="s">
        <v>121</v>
      </c>
      <c r="C343" s="116">
        <v>240</v>
      </c>
      <c r="D343" s="116">
        <v>304</v>
      </c>
      <c r="E343" s="116">
        <v>265</v>
      </c>
      <c r="F343" s="116">
        <v>296</v>
      </c>
      <c r="G343" s="116">
        <v>276</v>
      </c>
      <c r="H343" s="116">
        <v>208</v>
      </c>
      <c r="I343" s="116">
        <v>58</v>
      </c>
      <c r="J343" s="116">
        <v>217</v>
      </c>
      <c r="K343" s="116">
        <v>385</v>
      </c>
    </row>
    <row r="344" spans="1:11" x14ac:dyDescent="0.25">
      <c r="A344" s="116" t="s">
        <v>214</v>
      </c>
      <c r="B344" s="117" t="s">
        <v>123</v>
      </c>
      <c r="C344" s="116">
        <v>286</v>
      </c>
      <c r="D344" s="116">
        <v>339</v>
      </c>
      <c r="E344" s="116">
        <v>356</v>
      </c>
      <c r="F344" s="116">
        <v>301</v>
      </c>
      <c r="G344" s="116">
        <v>151</v>
      </c>
      <c r="H344" s="116">
        <v>229</v>
      </c>
      <c r="I344" s="116">
        <v>67</v>
      </c>
      <c r="J344" s="116">
        <v>224</v>
      </c>
      <c r="K344" s="116">
        <v>395</v>
      </c>
    </row>
    <row r="345" spans="1:11" x14ac:dyDescent="0.25">
      <c r="A345" s="116" t="s">
        <v>214</v>
      </c>
      <c r="B345" s="117" t="s">
        <v>124</v>
      </c>
      <c r="C345" s="116">
        <v>310</v>
      </c>
      <c r="D345" s="116">
        <v>394</v>
      </c>
      <c r="E345" s="116">
        <v>346</v>
      </c>
      <c r="F345" s="116">
        <v>236</v>
      </c>
      <c r="G345" s="116">
        <v>194</v>
      </c>
      <c r="H345" s="116">
        <v>230</v>
      </c>
      <c r="I345" s="116">
        <v>89</v>
      </c>
      <c r="J345" s="116">
        <v>306</v>
      </c>
      <c r="K345" s="116">
        <v>397</v>
      </c>
    </row>
    <row r="346" spans="1:11" x14ac:dyDescent="0.25">
      <c r="A346" s="116" t="s">
        <v>214</v>
      </c>
      <c r="B346" s="117" t="s">
        <v>125</v>
      </c>
      <c r="C346" s="116">
        <v>357</v>
      </c>
      <c r="D346" s="116">
        <v>376</v>
      </c>
      <c r="E346" s="116">
        <v>172</v>
      </c>
      <c r="F346" s="116">
        <v>248</v>
      </c>
      <c r="G346" s="116">
        <v>243</v>
      </c>
      <c r="H346" s="116">
        <v>302</v>
      </c>
      <c r="I346" s="116">
        <v>157</v>
      </c>
      <c r="J346" s="116">
        <v>312</v>
      </c>
      <c r="K346" s="116">
        <v>208</v>
      </c>
    </row>
    <row r="347" spans="1:11" x14ac:dyDescent="0.25">
      <c r="A347" s="116" t="s">
        <v>214</v>
      </c>
      <c r="B347" s="117" t="s">
        <v>126</v>
      </c>
      <c r="C347" s="116">
        <v>306</v>
      </c>
      <c r="D347" s="116">
        <v>390</v>
      </c>
      <c r="E347" s="116">
        <v>291</v>
      </c>
      <c r="F347" s="116">
        <v>277</v>
      </c>
      <c r="G347" s="116">
        <v>299</v>
      </c>
      <c r="H347" s="116">
        <v>358</v>
      </c>
      <c r="I347" s="116">
        <v>192</v>
      </c>
      <c r="J347" s="116">
        <v>207</v>
      </c>
      <c r="K347" s="116">
        <v>179</v>
      </c>
    </row>
    <row r="348" spans="1:11" x14ac:dyDescent="0.25">
      <c r="A348" s="116" t="s">
        <v>214</v>
      </c>
      <c r="B348" s="117" t="s">
        <v>127</v>
      </c>
      <c r="C348" s="116">
        <v>353</v>
      </c>
      <c r="D348" s="116">
        <v>386</v>
      </c>
      <c r="E348" s="116">
        <v>289</v>
      </c>
      <c r="F348" s="116">
        <v>261</v>
      </c>
      <c r="G348" s="116">
        <v>370</v>
      </c>
      <c r="H348" s="116">
        <v>383</v>
      </c>
      <c r="I348" s="116">
        <v>81</v>
      </c>
      <c r="J348" s="116">
        <v>173</v>
      </c>
      <c r="K348" s="116">
        <v>175</v>
      </c>
    </row>
    <row r="349" spans="1:11" x14ac:dyDescent="0.25">
      <c r="A349" s="116" t="s">
        <v>214</v>
      </c>
      <c r="B349" s="117" t="s">
        <v>128</v>
      </c>
      <c r="C349" s="116">
        <v>256</v>
      </c>
      <c r="D349" s="116">
        <v>235</v>
      </c>
      <c r="E349" s="116">
        <v>180</v>
      </c>
      <c r="F349" s="116">
        <v>383</v>
      </c>
      <c r="G349" s="116">
        <v>392</v>
      </c>
      <c r="H349" s="116">
        <v>408</v>
      </c>
      <c r="I349" s="116">
        <v>59</v>
      </c>
      <c r="J349" s="116">
        <v>207</v>
      </c>
      <c r="K349" s="116">
        <v>290</v>
      </c>
    </row>
    <row r="350" spans="1:11" x14ac:dyDescent="0.25">
      <c r="A350" s="116" t="s">
        <v>214</v>
      </c>
      <c r="B350" s="117" t="s">
        <v>129</v>
      </c>
      <c r="C350" s="116">
        <v>256</v>
      </c>
      <c r="D350" s="116">
        <v>165</v>
      </c>
      <c r="E350" s="116">
        <v>216</v>
      </c>
      <c r="F350" s="116">
        <v>344</v>
      </c>
      <c r="G350" s="116">
        <v>257</v>
      </c>
      <c r="H350" s="116">
        <v>254</v>
      </c>
      <c r="I350" s="116">
        <v>45</v>
      </c>
      <c r="J350" s="116">
        <v>240</v>
      </c>
      <c r="K350" s="116">
        <v>337</v>
      </c>
    </row>
    <row r="351" spans="1:11" x14ac:dyDescent="0.25">
      <c r="A351" s="116" t="s">
        <v>214</v>
      </c>
      <c r="B351" s="117" t="s">
        <v>130</v>
      </c>
      <c r="C351" s="116">
        <v>258</v>
      </c>
      <c r="D351" s="116">
        <v>162</v>
      </c>
      <c r="E351" s="116">
        <v>261</v>
      </c>
      <c r="F351" s="116">
        <v>389</v>
      </c>
      <c r="G351" s="116">
        <v>158</v>
      </c>
      <c r="H351" s="116">
        <v>222</v>
      </c>
      <c r="I351" s="116">
        <v>43</v>
      </c>
      <c r="J351" s="116">
        <v>266</v>
      </c>
      <c r="K351" s="116">
        <v>379</v>
      </c>
    </row>
    <row r="352" spans="1:11" x14ac:dyDescent="0.25">
      <c r="A352" s="116" t="s">
        <v>214</v>
      </c>
      <c r="B352" s="117" t="s">
        <v>131</v>
      </c>
      <c r="C352" s="116">
        <v>172</v>
      </c>
      <c r="D352" s="116">
        <v>206</v>
      </c>
      <c r="E352" s="116">
        <v>322</v>
      </c>
      <c r="F352" s="116">
        <v>198</v>
      </c>
      <c r="G352" s="116">
        <v>147</v>
      </c>
      <c r="H352" s="116">
        <v>195</v>
      </c>
      <c r="I352" s="116">
        <v>66</v>
      </c>
      <c r="J352" s="116">
        <v>271</v>
      </c>
      <c r="K352" s="116">
        <v>281</v>
      </c>
    </row>
    <row r="353" spans="1:11" x14ac:dyDescent="0.25">
      <c r="A353" s="116" t="s">
        <v>214</v>
      </c>
      <c r="B353" s="117" t="s">
        <v>132</v>
      </c>
      <c r="C353" s="116">
        <v>190</v>
      </c>
      <c r="D353" s="116">
        <v>281</v>
      </c>
      <c r="E353" s="116">
        <v>193</v>
      </c>
      <c r="F353" s="116">
        <v>170</v>
      </c>
      <c r="G353" s="116">
        <v>151</v>
      </c>
      <c r="H353" s="116">
        <v>181</v>
      </c>
      <c r="I353" s="116">
        <v>112</v>
      </c>
      <c r="J353" s="116">
        <v>262</v>
      </c>
      <c r="K353" s="116">
        <v>183</v>
      </c>
    </row>
    <row r="354" spans="1:11" x14ac:dyDescent="0.25">
      <c r="A354" s="116" t="s">
        <v>214</v>
      </c>
      <c r="B354" s="117" t="s">
        <v>133</v>
      </c>
      <c r="C354" s="116">
        <v>267</v>
      </c>
      <c r="D354" s="116">
        <v>327</v>
      </c>
      <c r="E354" s="116">
        <v>309</v>
      </c>
      <c r="F354" s="116">
        <v>170</v>
      </c>
      <c r="G354" s="116">
        <v>178</v>
      </c>
      <c r="H354" s="116">
        <v>234</v>
      </c>
      <c r="I354" s="116">
        <v>112</v>
      </c>
      <c r="J354" s="116">
        <v>256</v>
      </c>
      <c r="K354" s="116">
        <v>168</v>
      </c>
    </row>
    <row r="355" spans="1:11" x14ac:dyDescent="0.25">
      <c r="A355" s="116" t="s">
        <v>214</v>
      </c>
      <c r="B355" s="117" t="s">
        <v>134</v>
      </c>
      <c r="C355" s="116">
        <v>345</v>
      </c>
      <c r="D355" s="116">
        <v>138</v>
      </c>
      <c r="E355" s="116">
        <v>331</v>
      </c>
      <c r="F355" s="116">
        <v>236</v>
      </c>
      <c r="G355" s="116">
        <v>219</v>
      </c>
      <c r="H355" s="116">
        <v>310</v>
      </c>
      <c r="I355" s="116">
        <v>65</v>
      </c>
      <c r="J355" s="116">
        <v>238</v>
      </c>
      <c r="K355" s="116">
        <v>220</v>
      </c>
    </row>
    <row r="356" spans="1:11" x14ac:dyDescent="0.25">
      <c r="A356" s="116" t="s">
        <v>214</v>
      </c>
      <c r="B356" s="117" t="s">
        <v>135</v>
      </c>
      <c r="C356" s="116">
        <v>207</v>
      </c>
      <c r="D356" s="116">
        <v>132</v>
      </c>
      <c r="E356" s="116">
        <v>299</v>
      </c>
      <c r="F356" s="116">
        <v>307</v>
      </c>
      <c r="G356" s="116">
        <v>330</v>
      </c>
      <c r="H356" s="116">
        <v>331</v>
      </c>
      <c r="I356" s="116">
        <v>56</v>
      </c>
      <c r="J356" s="116">
        <v>255</v>
      </c>
      <c r="K356" s="116">
        <v>330</v>
      </c>
    </row>
    <row r="357" spans="1:11" x14ac:dyDescent="0.25">
      <c r="A357" s="116" t="s">
        <v>214</v>
      </c>
      <c r="B357" s="117" t="s">
        <v>136</v>
      </c>
      <c r="C357" s="116">
        <v>124</v>
      </c>
      <c r="D357" s="116">
        <v>156</v>
      </c>
      <c r="E357" s="116">
        <v>186</v>
      </c>
      <c r="F357" s="116">
        <v>351</v>
      </c>
      <c r="G357" s="116">
        <v>363</v>
      </c>
      <c r="H357" s="116">
        <v>202</v>
      </c>
      <c r="I357" s="116">
        <v>52</v>
      </c>
      <c r="J357" s="116">
        <v>255</v>
      </c>
      <c r="K357" s="116">
        <v>328</v>
      </c>
    </row>
    <row r="358" spans="1:11" x14ac:dyDescent="0.25">
      <c r="A358" s="116" t="s">
        <v>214</v>
      </c>
      <c r="B358" s="117" t="s">
        <v>137</v>
      </c>
      <c r="C358" s="116">
        <v>103</v>
      </c>
      <c r="D358" s="116">
        <v>173</v>
      </c>
      <c r="E358" s="116">
        <v>234</v>
      </c>
      <c r="F358" s="116">
        <v>364</v>
      </c>
      <c r="G358" s="116">
        <v>238</v>
      </c>
      <c r="H358" s="116">
        <v>212</v>
      </c>
      <c r="I358" s="116">
        <v>47</v>
      </c>
      <c r="J358" s="116">
        <v>243</v>
      </c>
      <c r="K358" s="116">
        <v>199</v>
      </c>
    </row>
    <row r="359" spans="1:11" x14ac:dyDescent="0.25">
      <c r="A359" s="116" t="s">
        <v>214</v>
      </c>
      <c r="B359" s="117" t="s">
        <v>138</v>
      </c>
      <c r="C359" s="116">
        <v>87</v>
      </c>
      <c r="D359" s="116">
        <v>207</v>
      </c>
      <c r="E359" s="116">
        <v>302</v>
      </c>
      <c r="F359" s="116">
        <v>267</v>
      </c>
      <c r="G359" s="116">
        <v>203</v>
      </c>
      <c r="H359" s="116">
        <v>141</v>
      </c>
      <c r="I359" s="116">
        <v>66</v>
      </c>
      <c r="J359" s="116">
        <v>271</v>
      </c>
      <c r="K359" s="116">
        <v>261</v>
      </c>
    </row>
    <row r="360" spans="1:11" x14ac:dyDescent="0.25">
      <c r="A360" s="116" t="s">
        <v>214</v>
      </c>
      <c r="B360" s="117" t="s">
        <v>139</v>
      </c>
      <c r="C360" s="116">
        <v>118</v>
      </c>
      <c r="D360" s="116">
        <v>281</v>
      </c>
      <c r="E360" s="116">
        <v>247</v>
      </c>
      <c r="F360" s="116">
        <v>263</v>
      </c>
      <c r="G360" s="116">
        <v>195</v>
      </c>
      <c r="H360" s="116">
        <v>154</v>
      </c>
      <c r="I360" s="116">
        <v>122</v>
      </c>
      <c r="J360" s="116">
        <v>258</v>
      </c>
      <c r="K360" s="116">
        <v>183</v>
      </c>
    </row>
    <row r="361" spans="1:11" x14ac:dyDescent="0.25">
      <c r="A361" s="116" t="s">
        <v>214</v>
      </c>
      <c r="B361" s="117" t="s">
        <v>140</v>
      </c>
      <c r="C361" s="116">
        <v>157</v>
      </c>
      <c r="D361" s="116">
        <v>335</v>
      </c>
      <c r="E361" s="116">
        <v>239</v>
      </c>
      <c r="F361" s="116">
        <v>284</v>
      </c>
      <c r="G361" s="116">
        <v>206</v>
      </c>
      <c r="H361" s="116">
        <v>239</v>
      </c>
      <c r="I361" s="116">
        <v>173</v>
      </c>
      <c r="J361" s="116">
        <v>245</v>
      </c>
      <c r="K361" s="116">
        <v>190</v>
      </c>
    </row>
    <row r="362" spans="1:11" x14ac:dyDescent="0.25">
      <c r="A362" s="116" t="s">
        <v>214</v>
      </c>
      <c r="B362" s="117" t="s">
        <v>141</v>
      </c>
      <c r="C362" s="116">
        <v>172</v>
      </c>
      <c r="D362" s="116">
        <v>310</v>
      </c>
      <c r="E362" s="116">
        <v>257</v>
      </c>
      <c r="F362" s="116">
        <v>290</v>
      </c>
      <c r="G362" s="116">
        <v>251</v>
      </c>
      <c r="H362" s="116">
        <v>352</v>
      </c>
      <c r="I362" s="116">
        <v>166</v>
      </c>
      <c r="J362" s="116">
        <v>271</v>
      </c>
      <c r="K362" s="116">
        <v>188</v>
      </c>
    </row>
    <row r="363" spans="1:11" x14ac:dyDescent="0.25">
      <c r="A363" s="116" t="s">
        <v>214</v>
      </c>
      <c r="B363" s="117" t="s">
        <v>142</v>
      </c>
      <c r="C363" s="116">
        <v>177</v>
      </c>
      <c r="D363" s="116">
        <v>263</v>
      </c>
      <c r="E363" s="116">
        <v>258</v>
      </c>
      <c r="F363" s="116">
        <v>324</v>
      </c>
      <c r="G363" s="116">
        <v>266</v>
      </c>
      <c r="H363" s="116">
        <v>370</v>
      </c>
      <c r="I363" s="116">
        <v>168</v>
      </c>
      <c r="J363" s="116">
        <v>295</v>
      </c>
      <c r="K363" s="116">
        <v>224</v>
      </c>
    </row>
    <row r="364" spans="1:11" x14ac:dyDescent="0.25">
      <c r="A364" s="116" t="s">
        <v>214</v>
      </c>
      <c r="B364" s="117" t="s">
        <v>143</v>
      </c>
      <c r="C364" s="116">
        <v>177</v>
      </c>
      <c r="D364" s="116">
        <v>234</v>
      </c>
      <c r="E364" s="116">
        <v>216</v>
      </c>
      <c r="F364" s="116">
        <v>342</v>
      </c>
      <c r="G364" s="116">
        <v>279</v>
      </c>
      <c r="H364" s="116">
        <v>343</v>
      </c>
      <c r="I364" s="116">
        <v>160</v>
      </c>
      <c r="J364" s="116">
        <v>289</v>
      </c>
      <c r="K364" s="116">
        <v>252</v>
      </c>
    </row>
    <row r="365" spans="1:11" x14ac:dyDescent="0.25">
      <c r="A365" s="116" t="s">
        <v>214</v>
      </c>
      <c r="B365" s="117" t="s">
        <v>144</v>
      </c>
      <c r="C365" s="116">
        <v>152</v>
      </c>
      <c r="D365" s="116">
        <v>216</v>
      </c>
      <c r="E365" s="116">
        <v>224</v>
      </c>
      <c r="F365" s="116">
        <v>334</v>
      </c>
      <c r="G365" s="116">
        <v>292</v>
      </c>
      <c r="H365" s="116">
        <v>309</v>
      </c>
      <c r="I365" s="116">
        <v>166</v>
      </c>
      <c r="J365" s="116">
        <v>269</v>
      </c>
      <c r="K365" s="116">
        <v>327</v>
      </c>
    </row>
    <row r="366" spans="1:11" x14ac:dyDescent="0.25">
      <c r="A366" s="116" t="s">
        <v>214</v>
      </c>
      <c r="B366" s="117" t="s">
        <v>145</v>
      </c>
      <c r="C366" s="116">
        <v>146</v>
      </c>
      <c r="D366" s="116">
        <v>200</v>
      </c>
      <c r="E366" s="116">
        <v>226</v>
      </c>
      <c r="F366" s="116">
        <v>333</v>
      </c>
      <c r="G366" s="116">
        <v>291</v>
      </c>
      <c r="H366" s="116">
        <v>290</v>
      </c>
      <c r="I366" s="116">
        <v>172</v>
      </c>
      <c r="J366" s="116">
        <v>265</v>
      </c>
      <c r="K366" s="116">
        <v>357</v>
      </c>
    </row>
    <row r="367" spans="1:11" x14ac:dyDescent="0.25">
      <c r="A367" s="116" t="s">
        <v>214</v>
      </c>
      <c r="B367" s="117" t="s">
        <v>146</v>
      </c>
      <c r="C367" s="116">
        <v>152</v>
      </c>
      <c r="D367" s="116">
        <v>207</v>
      </c>
      <c r="E367" s="116">
        <v>213</v>
      </c>
      <c r="F367" s="116">
        <v>335</v>
      </c>
      <c r="G367" s="116">
        <v>288</v>
      </c>
      <c r="H367" s="116">
        <v>294</v>
      </c>
      <c r="I367" s="116">
        <v>194</v>
      </c>
      <c r="J367" s="116">
        <v>299</v>
      </c>
      <c r="K367" s="116">
        <v>397</v>
      </c>
    </row>
    <row r="368" spans="1:11" x14ac:dyDescent="0.25">
      <c r="A368" s="116" t="s">
        <v>214</v>
      </c>
      <c r="B368" s="117" t="s">
        <v>147</v>
      </c>
      <c r="C368" s="116">
        <v>183</v>
      </c>
      <c r="D368" s="116">
        <v>256</v>
      </c>
      <c r="E368" s="116">
        <v>247</v>
      </c>
      <c r="F368" s="116">
        <v>372</v>
      </c>
      <c r="G368" s="116">
        <v>390</v>
      </c>
      <c r="H368" s="116">
        <v>327</v>
      </c>
      <c r="I368" s="116">
        <v>203</v>
      </c>
      <c r="J368" s="116">
        <v>289</v>
      </c>
      <c r="K368" s="116">
        <v>415</v>
      </c>
    </row>
    <row r="369" spans="1:11" x14ac:dyDescent="0.25">
      <c r="A369" s="116" t="s">
        <v>214</v>
      </c>
      <c r="B369" s="117" t="s">
        <v>148</v>
      </c>
      <c r="C369" s="116">
        <v>220</v>
      </c>
      <c r="D369" s="116">
        <v>308</v>
      </c>
      <c r="E369" s="116">
        <v>289</v>
      </c>
      <c r="F369" s="116">
        <v>415</v>
      </c>
      <c r="G369" s="116">
        <v>427</v>
      </c>
      <c r="H369" s="116">
        <v>394</v>
      </c>
      <c r="I369" s="116">
        <v>213</v>
      </c>
      <c r="J369" s="116">
        <v>312</v>
      </c>
      <c r="K369" s="116">
        <v>433</v>
      </c>
    </row>
    <row r="370" spans="1:11" x14ac:dyDescent="0.25">
      <c r="A370" s="116" t="s">
        <v>214</v>
      </c>
      <c r="B370" s="117" t="s">
        <v>149</v>
      </c>
      <c r="C370" s="116">
        <v>257</v>
      </c>
      <c r="D370" s="116">
        <v>353</v>
      </c>
      <c r="E370" s="116">
        <v>360</v>
      </c>
      <c r="F370" s="116">
        <v>430</v>
      </c>
      <c r="G370" s="116">
        <v>430</v>
      </c>
      <c r="H370" s="116">
        <v>412</v>
      </c>
      <c r="I370" s="116">
        <v>263</v>
      </c>
      <c r="J370" s="116">
        <v>331</v>
      </c>
      <c r="K370" s="116">
        <v>436</v>
      </c>
    </row>
    <row r="371" spans="1:11" x14ac:dyDescent="0.25">
      <c r="A371" s="116" t="s">
        <v>214</v>
      </c>
      <c r="B371" s="117" t="s">
        <v>150</v>
      </c>
      <c r="C371" s="116">
        <v>284</v>
      </c>
      <c r="D371" s="116">
        <v>365</v>
      </c>
      <c r="E371" s="116">
        <v>413</v>
      </c>
      <c r="F371" s="116">
        <v>439</v>
      </c>
      <c r="G371" s="116">
        <v>442</v>
      </c>
      <c r="H371" s="116">
        <v>397</v>
      </c>
      <c r="I371" s="116">
        <v>267</v>
      </c>
      <c r="J371" s="116">
        <v>330</v>
      </c>
      <c r="K371" s="116">
        <v>442</v>
      </c>
    </row>
    <row r="372" spans="1:11" x14ac:dyDescent="0.25">
      <c r="A372" s="116" t="s">
        <v>214</v>
      </c>
      <c r="B372" s="117" t="s">
        <v>151</v>
      </c>
      <c r="C372" s="116">
        <v>286</v>
      </c>
      <c r="D372" s="116">
        <v>386</v>
      </c>
      <c r="E372" s="116">
        <v>394</v>
      </c>
      <c r="F372" s="116">
        <v>440</v>
      </c>
      <c r="G372" s="116">
        <v>433</v>
      </c>
      <c r="H372" s="116">
        <v>378</v>
      </c>
      <c r="I372" s="116">
        <v>293</v>
      </c>
      <c r="J372" s="116">
        <v>328</v>
      </c>
      <c r="K372" s="116">
        <v>440</v>
      </c>
    </row>
    <row r="373" spans="1:11" x14ac:dyDescent="0.25">
      <c r="A373" s="116" t="s">
        <v>214</v>
      </c>
      <c r="B373" s="117" t="s">
        <v>152</v>
      </c>
      <c r="C373" s="116">
        <v>271</v>
      </c>
      <c r="D373" s="116">
        <v>414</v>
      </c>
      <c r="E373" s="116">
        <v>398</v>
      </c>
      <c r="F373" s="116">
        <v>441</v>
      </c>
      <c r="G373" s="116">
        <v>441</v>
      </c>
      <c r="H373" s="116">
        <v>402</v>
      </c>
      <c r="I373" s="116">
        <v>309</v>
      </c>
      <c r="J373" s="116">
        <v>320</v>
      </c>
      <c r="K373" s="116">
        <v>441</v>
      </c>
    </row>
    <row r="374" spans="1:11" x14ac:dyDescent="0.25">
      <c r="A374"/>
      <c r="B374"/>
      <c r="C374"/>
      <c r="D374"/>
      <c r="E374"/>
      <c r="F374"/>
      <c r="G374"/>
      <c r="H374"/>
      <c r="I374"/>
      <c r="J374"/>
      <c r="K374"/>
    </row>
    <row r="375" spans="1:11" x14ac:dyDescent="0.25">
      <c r="A375"/>
      <c r="B375"/>
      <c r="C375"/>
      <c r="D375"/>
      <c r="E375"/>
      <c r="F375"/>
      <c r="G375"/>
      <c r="H375"/>
      <c r="I375"/>
      <c r="J375"/>
      <c r="K375"/>
    </row>
    <row r="376" spans="1:11" x14ac:dyDescent="0.25">
      <c r="A376"/>
      <c r="B376"/>
      <c r="C376"/>
      <c r="D376"/>
      <c r="E376"/>
      <c r="F376"/>
      <c r="G376"/>
      <c r="H376"/>
      <c r="I376"/>
      <c r="J376"/>
      <c r="K376"/>
    </row>
    <row r="377" spans="1:11" x14ac:dyDescent="0.25">
      <c r="A377"/>
      <c r="B377"/>
      <c r="C377"/>
      <c r="D377"/>
      <c r="E377"/>
      <c r="F377"/>
      <c r="G377"/>
      <c r="H377"/>
      <c r="I377"/>
      <c r="J377"/>
      <c r="K377"/>
    </row>
    <row r="378" spans="1:11" x14ac:dyDescent="0.25">
      <c r="A378"/>
      <c r="B378"/>
      <c r="C378"/>
      <c r="D378"/>
      <c r="E378"/>
      <c r="F378"/>
      <c r="G378"/>
      <c r="H378"/>
      <c r="I378"/>
      <c r="J378"/>
      <c r="K378"/>
    </row>
    <row r="379" spans="1:11" x14ac:dyDescent="0.25">
      <c r="A379"/>
      <c r="B379"/>
      <c r="C379"/>
      <c r="D379"/>
      <c r="E379"/>
      <c r="F379"/>
      <c r="G379"/>
      <c r="H379"/>
      <c r="I379"/>
      <c r="J379"/>
      <c r="K379"/>
    </row>
    <row r="380" spans="1:11" x14ac:dyDescent="0.25">
      <c r="A380"/>
      <c r="B380"/>
      <c r="C380"/>
      <c r="D380"/>
      <c r="E380"/>
      <c r="F380"/>
      <c r="G380"/>
      <c r="H380"/>
      <c r="I380"/>
      <c r="J380"/>
      <c r="K380"/>
    </row>
    <row r="381" spans="1:11" x14ac:dyDescent="0.25">
      <c r="A381"/>
      <c r="B381"/>
      <c r="C381"/>
      <c r="D381"/>
      <c r="E381"/>
      <c r="F381"/>
      <c r="G381"/>
      <c r="H381"/>
      <c r="I381"/>
      <c r="J381"/>
      <c r="K381"/>
    </row>
    <row r="382" spans="1:11" x14ac:dyDescent="0.25">
      <c r="A382"/>
      <c r="B382"/>
      <c r="C382"/>
      <c r="D382"/>
      <c r="E382"/>
      <c r="F382"/>
      <c r="G382"/>
      <c r="H382"/>
      <c r="I382"/>
      <c r="J382"/>
      <c r="K382"/>
    </row>
    <row r="383" spans="1:11" x14ac:dyDescent="0.25">
      <c r="A383"/>
      <c r="B383"/>
      <c r="C383"/>
      <c r="D383"/>
      <c r="E383"/>
      <c r="F383"/>
      <c r="G383"/>
      <c r="H383"/>
      <c r="I383"/>
      <c r="J383"/>
      <c r="K383"/>
    </row>
    <row r="384" spans="1:11" x14ac:dyDescent="0.25">
      <c r="A384"/>
      <c r="B384"/>
      <c r="C384"/>
      <c r="D384"/>
      <c r="E384"/>
      <c r="F384"/>
      <c r="G384"/>
      <c r="H384"/>
      <c r="I384"/>
      <c r="J384"/>
      <c r="K384"/>
    </row>
    <row r="385" spans="1:11" x14ac:dyDescent="0.25">
      <c r="A385"/>
      <c r="B385"/>
      <c r="C385"/>
      <c r="D385"/>
      <c r="E385"/>
      <c r="F385"/>
      <c r="G385"/>
      <c r="H385"/>
      <c r="I385"/>
      <c r="J385"/>
      <c r="K385"/>
    </row>
    <row r="386" spans="1:11" x14ac:dyDescent="0.25">
      <c r="A386"/>
      <c r="B386"/>
      <c r="C386"/>
      <c r="D386"/>
      <c r="E386"/>
      <c r="F386"/>
      <c r="G386"/>
      <c r="H386"/>
      <c r="I386"/>
      <c r="J386"/>
      <c r="K386"/>
    </row>
    <row r="387" spans="1:11" x14ac:dyDescent="0.25">
      <c r="A387"/>
      <c r="B387"/>
      <c r="C387"/>
      <c r="D387"/>
      <c r="E387"/>
      <c r="F387"/>
      <c r="G387"/>
      <c r="H387"/>
      <c r="I387"/>
      <c r="J387"/>
      <c r="K387"/>
    </row>
    <row r="388" spans="1:11" x14ac:dyDescent="0.25">
      <c r="A388"/>
      <c r="B388"/>
      <c r="C388"/>
      <c r="D388"/>
      <c r="E388"/>
      <c r="F388"/>
      <c r="G388"/>
      <c r="H388"/>
      <c r="I388"/>
      <c r="J388"/>
      <c r="K388"/>
    </row>
    <row r="389" spans="1:11" x14ac:dyDescent="0.25">
      <c r="A389"/>
      <c r="B389"/>
      <c r="C389"/>
      <c r="D389"/>
      <c r="E389"/>
      <c r="F389"/>
      <c r="G389"/>
      <c r="H389"/>
      <c r="I389"/>
      <c r="J389"/>
      <c r="K389"/>
    </row>
    <row r="390" spans="1:11" x14ac:dyDescent="0.25">
      <c r="A390"/>
      <c r="B390"/>
      <c r="C390"/>
      <c r="D390"/>
      <c r="E390"/>
      <c r="F390"/>
      <c r="G390"/>
      <c r="H390"/>
      <c r="I390"/>
      <c r="J390"/>
      <c r="K390"/>
    </row>
    <row r="391" spans="1:11" x14ac:dyDescent="0.25">
      <c r="A391"/>
      <c r="B391"/>
      <c r="C391"/>
      <c r="D391"/>
      <c r="E391"/>
      <c r="F391"/>
      <c r="G391"/>
      <c r="H391"/>
      <c r="I391"/>
      <c r="J391"/>
      <c r="K391"/>
    </row>
    <row r="392" spans="1:11" x14ac:dyDescent="0.25">
      <c r="A392"/>
      <c r="B392"/>
      <c r="C392"/>
      <c r="D392"/>
      <c r="E392"/>
      <c r="F392"/>
      <c r="G392"/>
      <c r="H392"/>
      <c r="I392"/>
      <c r="J392"/>
      <c r="K392"/>
    </row>
    <row r="393" spans="1:11" x14ac:dyDescent="0.25">
      <c r="A393"/>
      <c r="B393"/>
      <c r="C393"/>
      <c r="D393"/>
      <c r="E393"/>
      <c r="F393"/>
      <c r="G393"/>
      <c r="H393"/>
      <c r="I393"/>
      <c r="J393"/>
      <c r="K393"/>
    </row>
    <row r="394" spans="1:11" x14ac:dyDescent="0.25">
      <c r="A394"/>
      <c r="B394"/>
      <c r="C394"/>
      <c r="D394"/>
      <c r="E394"/>
      <c r="F394"/>
      <c r="G394"/>
      <c r="H394"/>
      <c r="I394"/>
      <c r="J394"/>
      <c r="K394"/>
    </row>
    <row r="395" spans="1:11" x14ac:dyDescent="0.25">
      <c r="A395"/>
      <c r="B395"/>
      <c r="C395"/>
      <c r="D395"/>
      <c r="E395"/>
      <c r="F395"/>
      <c r="G395"/>
      <c r="H395"/>
      <c r="I395"/>
      <c r="J395"/>
      <c r="K395"/>
    </row>
    <row r="396" spans="1:11" x14ac:dyDescent="0.25">
      <c r="A396"/>
      <c r="B396"/>
      <c r="C396"/>
      <c r="D396"/>
      <c r="E396"/>
      <c r="F396"/>
      <c r="G396"/>
      <c r="H396"/>
      <c r="I396"/>
      <c r="J396"/>
      <c r="K396"/>
    </row>
    <row r="397" spans="1:11" x14ac:dyDescent="0.25">
      <c r="A397"/>
      <c r="B397"/>
      <c r="C397"/>
      <c r="D397"/>
      <c r="E397"/>
      <c r="F397"/>
      <c r="G397"/>
      <c r="H397"/>
      <c r="I397"/>
      <c r="J397"/>
      <c r="K397"/>
    </row>
    <row r="398" spans="1:11" x14ac:dyDescent="0.25">
      <c r="A398"/>
      <c r="B398"/>
      <c r="C398"/>
      <c r="D398"/>
      <c r="E398"/>
      <c r="F398"/>
      <c r="G398"/>
      <c r="H398"/>
      <c r="I398"/>
      <c r="J398"/>
      <c r="K398"/>
    </row>
    <row r="399" spans="1:11" x14ac:dyDescent="0.25">
      <c r="A399"/>
      <c r="B399"/>
      <c r="C399"/>
      <c r="D399"/>
      <c r="E399"/>
      <c r="F399"/>
      <c r="G399"/>
      <c r="H399"/>
      <c r="I399"/>
      <c r="J399"/>
      <c r="K399"/>
    </row>
    <row r="400" spans="1:11" x14ac:dyDescent="0.25">
      <c r="A400"/>
      <c r="B400"/>
      <c r="C400"/>
      <c r="D400"/>
      <c r="E400"/>
      <c r="F400"/>
      <c r="G400"/>
      <c r="H400"/>
      <c r="I400"/>
      <c r="J400"/>
      <c r="K400"/>
    </row>
    <row r="401" spans="1:11" x14ac:dyDescent="0.25">
      <c r="A401"/>
      <c r="B401"/>
      <c r="C401"/>
      <c r="D401"/>
      <c r="E401"/>
      <c r="F401"/>
      <c r="G401"/>
      <c r="H401"/>
      <c r="I401"/>
      <c r="J401"/>
      <c r="K401"/>
    </row>
    <row r="402" spans="1:11" x14ac:dyDescent="0.25">
      <c r="A402"/>
      <c r="B402"/>
      <c r="C402"/>
      <c r="D402"/>
      <c r="E402"/>
      <c r="F402"/>
      <c r="G402"/>
      <c r="H402"/>
      <c r="I402"/>
      <c r="J402"/>
      <c r="K402"/>
    </row>
    <row r="403" spans="1:11" x14ac:dyDescent="0.25">
      <c r="A403"/>
      <c r="B403"/>
      <c r="C403"/>
      <c r="D403"/>
      <c r="E403"/>
      <c r="F403"/>
      <c r="G403"/>
      <c r="H403"/>
      <c r="I403"/>
      <c r="J403"/>
      <c r="K403"/>
    </row>
    <row r="404" spans="1:11" x14ac:dyDescent="0.25">
      <c r="A404"/>
      <c r="B404"/>
      <c r="C404"/>
      <c r="D404"/>
      <c r="E404"/>
      <c r="F404"/>
      <c r="G404"/>
      <c r="H404"/>
      <c r="I404"/>
      <c r="J404"/>
      <c r="K404"/>
    </row>
    <row r="405" spans="1:11" x14ac:dyDescent="0.25">
      <c r="A405"/>
      <c r="B405"/>
      <c r="C405"/>
      <c r="D405"/>
      <c r="E405"/>
      <c r="F405"/>
      <c r="G405"/>
      <c r="H405"/>
      <c r="I405"/>
      <c r="J405"/>
      <c r="K405"/>
    </row>
    <row r="406" spans="1:11" x14ac:dyDescent="0.25">
      <c r="A406"/>
      <c r="B406"/>
      <c r="C406"/>
      <c r="D406"/>
      <c r="E406"/>
      <c r="F406"/>
      <c r="G406"/>
      <c r="H406"/>
      <c r="I406"/>
      <c r="J406"/>
      <c r="K406"/>
    </row>
    <row r="407" spans="1:11" x14ac:dyDescent="0.25">
      <c r="A407"/>
      <c r="B407"/>
      <c r="C407"/>
      <c r="D407"/>
      <c r="E407"/>
      <c r="F407"/>
      <c r="G407"/>
      <c r="H407"/>
      <c r="I407"/>
      <c r="J407"/>
      <c r="K407"/>
    </row>
    <row r="408" spans="1:11" x14ac:dyDescent="0.25">
      <c r="A408"/>
      <c r="B408"/>
      <c r="C408"/>
      <c r="D408"/>
      <c r="E408"/>
      <c r="F408"/>
      <c r="G408"/>
      <c r="H408"/>
      <c r="I408"/>
      <c r="J408"/>
      <c r="K408"/>
    </row>
    <row r="409" spans="1:11" x14ac:dyDescent="0.25">
      <c r="A409"/>
      <c r="B409"/>
      <c r="C409"/>
      <c r="D409"/>
      <c r="E409"/>
      <c r="F409"/>
      <c r="G409"/>
      <c r="H409"/>
      <c r="I409"/>
      <c r="J409"/>
      <c r="K409"/>
    </row>
    <row r="410" spans="1:11" x14ac:dyDescent="0.25">
      <c r="A410"/>
      <c r="B410"/>
      <c r="C410"/>
      <c r="D410"/>
      <c r="E410"/>
      <c r="F410"/>
      <c r="G410"/>
      <c r="H410"/>
      <c r="I410"/>
      <c r="J410"/>
      <c r="K410"/>
    </row>
    <row r="411" spans="1:11" x14ac:dyDescent="0.25">
      <c r="A411"/>
      <c r="B411"/>
      <c r="C411"/>
      <c r="D411"/>
      <c r="E411"/>
      <c r="F411"/>
      <c r="G411"/>
      <c r="H411"/>
      <c r="I411"/>
      <c r="J411"/>
      <c r="K411"/>
    </row>
    <row r="412" spans="1:11" x14ac:dyDescent="0.25">
      <c r="A412"/>
      <c r="B412"/>
      <c r="C412"/>
      <c r="D412"/>
      <c r="E412"/>
      <c r="F412"/>
      <c r="G412"/>
      <c r="H412"/>
      <c r="I412"/>
      <c r="J412"/>
      <c r="K412"/>
    </row>
    <row r="413" spans="1:11" x14ac:dyDescent="0.25">
      <c r="A413"/>
      <c r="B413"/>
      <c r="C413"/>
      <c r="D413"/>
      <c r="E413"/>
      <c r="F413"/>
      <c r="G413"/>
      <c r="H413"/>
      <c r="I413"/>
      <c r="J413"/>
      <c r="K413"/>
    </row>
    <row r="414" spans="1:11" x14ac:dyDescent="0.25">
      <c r="A414"/>
      <c r="B414"/>
      <c r="C414"/>
      <c r="D414"/>
      <c r="E414"/>
      <c r="F414"/>
      <c r="G414"/>
      <c r="H414"/>
      <c r="I414"/>
      <c r="J414"/>
      <c r="K414"/>
    </row>
    <row r="415" spans="1:11" x14ac:dyDescent="0.25">
      <c r="A415"/>
      <c r="B415"/>
      <c r="C415"/>
      <c r="D415"/>
      <c r="E415"/>
      <c r="F415"/>
      <c r="G415"/>
      <c r="H415"/>
      <c r="I415"/>
      <c r="J415"/>
      <c r="K415"/>
    </row>
    <row r="416" spans="1:11" x14ac:dyDescent="0.25">
      <c r="A416"/>
      <c r="B416"/>
      <c r="C416"/>
      <c r="D416"/>
      <c r="E416"/>
      <c r="F416"/>
      <c r="G416"/>
      <c r="H416"/>
      <c r="I416"/>
      <c r="J416"/>
      <c r="K416"/>
    </row>
    <row r="417" spans="1:11" x14ac:dyDescent="0.25">
      <c r="A417"/>
      <c r="B417"/>
      <c r="C417"/>
      <c r="D417"/>
      <c r="E417"/>
      <c r="F417"/>
      <c r="G417"/>
      <c r="H417"/>
      <c r="I417"/>
      <c r="J417"/>
      <c r="K417"/>
    </row>
    <row r="418" spans="1:11" x14ac:dyDescent="0.25">
      <c r="A418"/>
      <c r="B418"/>
      <c r="C418"/>
      <c r="D418"/>
      <c r="E418"/>
      <c r="F418"/>
      <c r="G418"/>
      <c r="H418"/>
      <c r="I418"/>
      <c r="J418"/>
      <c r="K418"/>
    </row>
    <row r="419" spans="1:11" x14ac:dyDescent="0.25">
      <c r="A419"/>
      <c r="B419"/>
      <c r="C419"/>
      <c r="D419"/>
      <c r="E419"/>
      <c r="F419"/>
      <c r="G419"/>
      <c r="H419"/>
      <c r="I419"/>
      <c r="J419"/>
      <c r="K419"/>
    </row>
    <row r="420" spans="1:11" x14ac:dyDescent="0.25">
      <c r="A420"/>
      <c r="B420"/>
      <c r="C420"/>
      <c r="D420"/>
      <c r="E420"/>
      <c r="F420"/>
      <c r="G420"/>
      <c r="H420"/>
      <c r="I420"/>
      <c r="J420"/>
      <c r="K420"/>
    </row>
    <row r="421" spans="1:11" x14ac:dyDescent="0.25">
      <c r="A421"/>
      <c r="B421"/>
      <c r="C421"/>
      <c r="D421"/>
      <c r="E421"/>
      <c r="F421"/>
      <c r="G421"/>
      <c r="H421"/>
      <c r="I421"/>
      <c r="J421"/>
      <c r="K421"/>
    </row>
    <row r="422" spans="1:11" x14ac:dyDescent="0.25">
      <c r="A422"/>
      <c r="B422"/>
      <c r="C422"/>
      <c r="D422"/>
      <c r="E422"/>
      <c r="F422"/>
      <c r="G422"/>
      <c r="H422"/>
      <c r="I422"/>
      <c r="J422"/>
      <c r="K422"/>
    </row>
    <row r="423" spans="1:11" x14ac:dyDescent="0.25">
      <c r="A423"/>
      <c r="B423"/>
      <c r="C423"/>
      <c r="D423"/>
      <c r="E423"/>
      <c r="F423"/>
      <c r="G423"/>
      <c r="H423"/>
      <c r="I423"/>
      <c r="J423"/>
      <c r="K423"/>
    </row>
    <row r="424" spans="1:11" x14ac:dyDescent="0.25">
      <c r="A424"/>
      <c r="B424"/>
      <c r="C424"/>
      <c r="D424"/>
      <c r="E424"/>
      <c r="F424"/>
      <c r="G424"/>
      <c r="H424"/>
      <c r="I424"/>
      <c r="J424"/>
      <c r="K424"/>
    </row>
    <row r="425" spans="1:11" x14ac:dyDescent="0.25">
      <c r="A425"/>
      <c r="B425"/>
      <c r="C425"/>
      <c r="D425"/>
      <c r="E425"/>
      <c r="F425"/>
      <c r="G425"/>
      <c r="H425"/>
      <c r="I425"/>
      <c r="J425"/>
      <c r="K425"/>
    </row>
    <row r="426" spans="1:11" x14ac:dyDescent="0.25">
      <c r="A426"/>
      <c r="B426"/>
      <c r="C426"/>
      <c r="D426"/>
      <c r="E426"/>
      <c r="F426"/>
      <c r="G426"/>
      <c r="H426"/>
      <c r="I426"/>
      <c r="J426"/>
      <c r="K426"/>
    </row>
    <row r="427" spans="1:11" x14ac:dyDescent="0.25">
      <c r="A427"/>
      <c r="B427"/>
      <c r="C427"/>
      <c r="D427"/>
      <c r="E427"/>
      <c r="F427"/>
      <c r="G427"/>
      <c r="H427"/>
      <c r="I427"/>
      <c r="J427"/>
      <c r="K427"/>
    </row>
    <row r="428" spans="1:11" x14ac:dyDescent="0.25">
      <c r="A428"/>
      <c r="B428"/>
      <c r="C428"/>
      <c r="D428"/>
      <c r="E428"/>
      <c r="F428"/>
      <c r="G428"/>
      <c r="H428"/>
      <c r="I428"/>
      <c r="J428"/>
      <c r="K428"/>
    </row>
    <row r="429" spans="1:11" x14ac:dyDescent="0.25">
      <c r="A429"/>
      <c r="B429"/>
      <c r="C429"/>
      <c r="D429"/>
      <c r="E429"/>
      <c r="F429"/>
      <c r="G429"/>
      <c r="H429"/>
      <c r="I429"/>
      <c r="J429"/>
      <c r="K429"/>
    </row>
    <row r="430" spans="1:11" x14ac:dyDescent="0.25">
      <c r="A430"/>
      <c r="B430"/>
      <c r="C430"/>
      <c r="D430"/>
      <c r="E430"/>
      <c r="F430"/>
      <c r="G430"/>
      <c r="H430"/>
      <c r="I430"/>
      <c r="J430"/>
      <c r="K430"/>
    </row>
    <row r="431" spans="1:11" x14ac:dyDescent="0.25">
      <c r="A431"/>
      <c r="B431"/>
      <c r="C431"/>
      <c r="D431"/>
      <c r="E431"/>
      <c r="F431"/>
      <c r="G431"/>
      <c r="H431"/>
      <c r="I431"/>
      <c r="J431"/>
      <c r="K431"/>
    </row>
    <row r="432" spans="1:11" x14ac:dyDescent="0.25">
      <c r="A432"/>
      <c r="B432"/>
      <c r="C432"/>
      <c r="D432"/>
      <c r="E432"/>
      <c r="F432"/>
      <c r="G432"/>
      <c r="H432"/>
      <c r="I432"/>
      <c r="J432"/>
      <c r="K432"/>
    </row>
    <row r="433" spans="1:11" x14ac:dyDescent="0.25">
      <c r="A433"/>
      <c r="B433"/>
      <c r="C433"/>
      <c r="D433"/>
      <c r="E433"/>
      <c r="F433"/>
      <c r="G433"/>
      <c r="H433"/>
      <c r="I433"/>
      <c r="J433"/>
      <c r="K433"/>
    </row>
    <row r="434" spans="1:11" x14ac:dyDescent="0.25">
      <c r="A434"/>
      <c r="B434"/>
      <c r="C434"/>
      <c r="D434"/>
      <c r="E434"/>
      <c r="F434"/>
      <c r="G434"/>
      <c r="H434"/>
      <c r="I434"/>
      <c r="J434"/>
      <c r="K434"/>
    </row>
    <row r="435" spans="1:11" x14ac:dyDescent="0.25">
      <c r="A435"/>
      <c r="B435"/>
      <c r="C435"/>
      <c r="D435"/>
      <c r="E435"/>
      <c r="F435"/>
      <c r="G435"/>
      <c r="H435"/>
      <c r="I435"/>
      <c r="J435"/>
      <c r="K435"/>
    </row>
    <row r="436" spans="1:11" x14ac:dyDescent="0.25">
      <c r="A436"/>
      <c r="B436"/>
      <c r="C436"/>
      <c r="D436"/>
      <c r="E436"/>
      <c r="F436"/>
      <c r="G436"/>
      <c r="H436"/>
      <c r="I436"/>
      <c r="J436"/>
      <c r="K436"/>
    </row>
    <row r="437" spans="1:11" x14ac:dyDescent="0.25">
      <c r="A437"/>
      <c r="B437"/>
      <c r="C437"/>
      <c r="D437"/>
      <c r="E437"/>
      <c r="F437"/>
      <c r="G437"/>
      <c r="H437"/>
      <c r="I437"/>
      <c r="J437"/>
      <c r="K437"/>
    </row>
    <row r="438" spans="1:11" x14ac:dyDescent="0.25">
      <c r="A438"/>
      <c r="B438"/>
      <c r="C438"/>
      <c r="D438"/>
      <c r="E438"/>
      <c r="F438"/>
      <c r="G438"/>
      <c r="H438"/>
      <c r="I438"/>
      <c r="J438"/>
      <c r="K438"/>
    </row>
    <row r="439" spans="1:11" x14ac:dyDescent="0.25">
      <c r="A439"/>
      <c r="B439"/>
      <c r="C439"/>
      <c r="D439"/>
      <c r="E439"/>
      <c r="F439"/>
      <c r="G439"/>
      <c r="H439"/>
      <c r="I439"/>
      <c r="J439"/>
      <c r="K439"/>
    </row>
  </sheetData>
  <dataValidations count="1">
    <dataValidation type="list" allowBlank="1" showInputMessage="1" sqref="C1:G1" xr:uid="{F71560AC-9163-48E6-B9DE-5922997CA144}">
      <formula1>"..."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60EF89F-258D-4656-B645-0F5675E8D65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</vt:lpstr>
      <vt:lpstr>Elect</vt:lpstr>
      <vt:lpstr>Wtr-Gas</vt:lpstr>
      <vt:lpstr>Occupancy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Tom Wuebben</cp:lastModifiedBy>
  <cp:revision/>
  <dcterms:created xsi:type="dcterms:W3CDTF">2017-05-03T09:23:30Z</dcterms:created>
  <dcterms:modified xsi:type="dcterms:W3CDTF">2022-08-15T14:00:13Z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